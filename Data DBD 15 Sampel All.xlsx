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Dokumen Kampus\SKRIPSI\BAB IV\"/>
    </mc:Choice>
  </mc:AlternateContent>
  <xr:revisionPtr revIDLastSave="0" documentId="13_ncr:1_{766C335F-04E5-41C5-B256-988859364A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_DBD" sheetId="1" r:id="rId1"/>
    <sheet name="Pemilihan Fitur" sheetId="19" r:id="rId2"/>
    <sheet name="Data Uji" sheetId="26" r:id="rId3"/>
    <sheet name="Data Latih" sheetId="27" r:id="rId4"/>
    <sheet name="Pohon 1" sheetId="2" r:id="rId5"/>
    <sheet name="Pohon 2" sheetId="4" r:id="rId6"/>
    <sheet name="Pohon 3" sheetId="5" r:id="rId7"/>
    <sheet name="Pohon 4" sheetId="6" r:id="rId8"/>
    <sheet name="Pohon 5" sheetId="29" r:id="rId9"/>
    <sheet name="Pohon 6" sheetId="30" r:id="rId10"/>
    <sheet name="Pohon 7" sheetId="31" r:id="rId11"/>
    <sheet name="Pohon 8" sheetId="32" r:id="rId12"/>
    <sheet name="Pohon 9" sheetId="33" r:id="rId13"/>
    <sheet name="Pohon 10" sheetId="34" r:id="rId14"/>
    <sheet name="Pohon 11" sheetId="35" r:id="rId15"/>
    <sheet name="Pohon 12" sheetId="36" r:id="rId16"/>
    <sheet name="Pohon 13" sheetId="37" r:id="rId17"/>
    <sheet name="Pohon 14" sheetId="38" r:id="rId18"/>
    <sheet name="Pohon 15" sheetId="39" r:id="rId19"/>
    <sheet name="PerhitunganRF" sheetId="24" r:id="rId20"/>
    <sheet name="PenentuanPohonterbaik" sheetId="25" r:id="rId21"/>
    <sheet name="perhitungan data uji" sheetId="28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90" i="2" l="1"/>
  <c r="V191" i="2"/>
  <c r="V189" i="2"/>
  <c r="V180" i="2"/>
  <c r="V172" i="2"/>
  <c r="V173" i="2"/>
  <c r="V171" i="2"/>
  <c r="L166" i="2"/>
  <c r="K166" i="2"/>
  <c r="Q190" i="2"/>
  <c r="Q191" i="2"/>
  <c r="Q189" i="2"/>
  <c r="Q183" i="2"/>
  <c r="Q181" i="2"/>
  <c r="Q182" i="2"/>
  <c r="Q180" i="2"/>
  <c r="Q176" i="2"/>
  <c r="Q175" i="2"/>
  <c r="Q172" i="2"/>
  <c r="Q173" i="2"/>
  <c r="Q171" i="2"/>
  <c r="J166" i="2"/>
  <c r="L189" i="2"/>
  <c r="L175" i="2"/>
  <c r="L174" i="2"/>
  <c r="L180" i="2"/>
  <c r="G185" i="2"/>
  <c r="G184" i="2"/>
  <c r="G183" i="2"/>
  <c r="G182" i="2"/>
  <c r="G181" i="2"/>
  <c r="G180" i="2"/>
  <c r="G171" i="2"/>
  <c r="F171" i="2"/>
  <c r="G174" i="2" s="1"/>
  <c r="G176" i="2" s="1"/>
  <c r="L190" i="2"/>
  <c r="L191" i="2"/>
  <c r="L181" i="2"/>
  <c r="L182" i="2"/>
  <c r="L172" i="2"/>
  <c r="L173" i="2"/>
  <c r="L171" i="2"/>
  <c r="K173" i="2"/>
  <c r="I166" i="2"/>
  <c r="G189" i="2"/>
  <c r="G175" i="2"/>
  <c r="G190" i="2"/>
  <c r="G191" i="2"/>
  <c r="G172" i="2"/>
  <c r="G173" i="2"/>
  <c r="F169" i="2"/>
  <c r="E170" i="2" s="1" a="1"/>
  <c r="E170" i="2" s="1"/>
  <c r="G169" i="2"/>
  <c r="I165" i="2"/>
  <c r="P5" i="2"/>
  <c r="C79" i="24"/>
  <c r="B84" i="24"/>
  <c r="B71" i="24"/>
  <c r="B48" i="24"/>
  <c r="E47" i="24" s="1"/>
  <c r="F47" i="24" s="1"/>
  <c r="B33" i="24"/>
  <c r="Q190" i="39"/>
  <c r="Q191" i="39"/>
  <c r="Q189" i="39"/>
  <c r="Q181" i="39"/>
  <c r="Q182" i="39"/>
  <c r="Q180" i="39"/>
  <c r="P173" i="38"/>
  <c r="L191" i="39"/>
  <c r="L190" i="39"/>
  <c r="L189" i="39"/>
  <c r="L181" i="39"/>
  <c r="L182" i="39"/>
  <c r="L180" i="39"/>
  <c r="L172" i="39"/>
  <c r="L173" i="39"/>
  <c r="L171" i="39"/>
  <c r="G190" i="39"/>
  <c r="G191" i="39"/>
  <c r="G189" i="39"/>
  <c r="G181" i="39"/>
  <c r="G182" i="39"/>
  <c r="G180" i="39"/>
  <c r="G172" i="39"/>
  <c r="G173" i="39"/>
  <c r="G171" i="39"/>
  <c r="P169" i="39"/>
  <c r="L165" i="39"/>
  <c r="V169" i="39" s="1"/>
  <c r="K165" i="39"/>
  <c r="Q169" i="39" s="1"/>
  <c r="J165" i="39"/>
  <c r="I165" i="39"/>
  <c r="G169" i="39" s="1"/>
  <c r="A164" i="39"/>
  <c r="C164" i="39" s="1" a="1"/>
  <c r="C164" i="39" s="1"/>
  <c r="A163" i="39"/>
  <c r="E163" i="39" s="1" a="1"/>
  <c r="E163" i="39" s="1"/>
  <c r="A162" i="39"/>
  <c r="E162" i="39" s="1" a="1"/>
  <c r="E162" i="39" s="1"/>
  <c r="A161" i="39"/>
  <c r="A160" i="39"/>
  <c r="F160" i="39" s="1" a="1"/>
  <c r="F160" i="39" s="1"/>
  <c r="A159" i="39"/>
  <c r="A158" i="39"/>
  <c r="F158" i="39" s="1" a="1"/>
  <c r="F158" i="39" s="1"/>
  <c r="A157" i="39"/>
  <c r="B157" i="39" s="1" a="1"/>
  <c r="B157" i="39" s="1"/>
  <c r="A156" i="39"/>
  <c r="D156" i="39" s="1" a="1"/>
  <c r="D156" i="39" s="1"/>
  <c r="A155" i="39"/>
  <c r="A154" i="39"/>
  <c r="D154" i="39" s="1" a="1"/>
  <c r="D154" i="39" s="1"/>
  <c r="A153" i="39"/>
  <c r="D153" i="39" s="1" a="1"/>
  <c r="D153" i="39" s="1"/>
  <c r="A152" i="39"/>
  <c r="F152" i="39" s="1" a="1"/>
  <c r="F152" i="39" s="1"/>
  <c r="A151" i="39"/>
  <c r="A150" i="39"/>
  <c r="E150" i="39" s="1" a="1"/>
  <c r="E150" i="39" s="1"/>
  <c r="A149" i="39"/>
  <c r="A148" i="39"/>
  <c r="D148" i="39" s="1" a="1"/>
  <c r="D148" i="39" s="1"/>
  <c r="A147" i="39"/>
  <c r="E147" i="39" s="1" a="1"/>
  <c r="E147" i="39" s="1"/>
  <c r="A146" i="39"/>
  <c r="D146" i="39" s="1" a="1"/>
  <c r="D146" i="39" s="1"/>
  <c r="A145" i="39"/>
  <c r="F145" i="39" s="1" a="1"/>
  <c r="F145" i="39" s="1"/>
  <c r="A144" i="39"/>
  <c r="F144" i="39" s="1" a="1"/>
  <c r="F144" i="39" s="1"/>
  <c r="A143" i="39"/>
  <c r="B143" i="39" s="1" a="1"/>
  <c r="B143" i="39" s="1"/>
  <c r="A142" i="39"/>
  <c r="F142" i="39" s="1" a="1"/>
  <c r="F142" i="39" s="1"/>
  <c r="A141" i="39"/>
  <c r="E141" i="39" s="1" a="1"/>
  <c r="E141" i="39" s="1"/>
  <c r="A140" i="39"/>
  <c r="F140" i="39" s="1" a="1"/>
  <c r="F140" i="39" s="1"/>
  <c r="A139" i="39"/>
  <c r="E139" i="39" s="1" a="1"/>
  <c r="E139" i="39" s="1"/>
  <c r="A138" i="39"/>
  <c r="B138" i="39" s="1" a="1"/>
  <c r="B138" i="39" s="1"/>
  <c r="A137" i="39"/>
  <c r="E137" i="39" s="1" a="1"/>
  <c r="E137" i="39" s="1"/>
  <c r="A136" i="39"/>
  <c r="A135" i="39"/>
  <c r="D135" i="39" s="1" a="1"/>
  <c r="D135" i="39" s="1"/>
  <c r="A134" i="39"/>
  <c r="F134" i="39" s="1" a="1"/>
  <c r="F134" i="39" s="1"/>
  <c r="A133" i="39"/>
  <c r="E133" i="39" s="1" a="1"/>
  <c r="E133" i="39" s="1"/>
  <c r="A132" i="39"/>
  <c r="A131" i="39"/>
  <c r="A130" i="39"/>
  <c r="A129" i="39"/>
  <c r="E129" i="39" s="1" a="1"/>
  <c r="E129" i="39" s="1"/>
  <c r="A128" i="39"/>
  <c r="F128" i="39" s="1" a="1"/>
  <c r="F128" i="39" s="1"/>
  <c r="A127" i="39"/>
  <c r="B127" i="39" s="1" a="1"/>
  <c r="B127" i="39" s="1"/>
  <c r="A126" i="39"/>
  <c r="F126" i="39" s="1" a="1"/>
  <c r="F126" i="39" s="1"/>
  <c r="A125" i="39"/>
  <c r="D125" i="39" s="1" a="1"/>
  <c r="D125" i="39" s="1"/>
  <c r="A124" i="39"/>
  <c r="E124" i="39" s="1" a="1"/>
  <c r="E124" i="39" s="1"/>
  <c r="A123" i="39"/>
  <c r="D123" i="39" s="1" a="1"/>
  <c r="D123" i="39" s="1"/>
  <c r="A122" i="39"/>
  <c r="A121" i="39"/>
  <c r="D121" i="39" s="1" a="1"/>
  <c r="D121" i="39" s="1"/>
  <c r="A120" i="39"/>
  <c r="A119" i="39"/>
  <c r="F119" i="39" s="1" a="1"/>
  <c r="F119" i="39" s="1"/>
  <c r="A118" i="39"/>
  <c r="A117" i="39"/>
  <c r="E117" i="39" s="1" a="1"/>
  <c r="E117" i="39" s="1"/>
  <c r="A116" i="39"/>
  <c r="E116" i="39" s="1" a="1"/>
  <c r="E116" i="39" s="1"/>
  <c r="A115" i="39"/>
  <c r="A114" i="39"/>
  <c r="A113" i="39"/>
  <c r="D113" i="39" s="1" a="1"/>
  <c r="D113" i="39" s="1"/>
  <c r="A112" i="39"/>
  <c r="C112" i="39" s="1" a="1"/>
  <c r="C112" i="39" s="1"/>
  <c r="A111" i="39"/>
  <c r="F111" i="39" s="1" a="1"/>
  <c r="F111" i="39" s="1"/>
  <c r="A110" i="39"/>
  <c r="A109" i="39"/>
  <c r="A108" i="39"/>
  <c r="A107" i="39"/>
  <c r="E107" i="39" s="1" a="1"/>
  <c r="E107" i="39" s="1"/>
  <c r="A106" i="39"/>
  <c r="B106" i="39" s="1" a="1"/>
  <c r="B106" i="39" s="1"/>
  <c r="A105" i="39"/>
  <c r="A104" i="39"/>
  <c r="A103" i="39"/>
  <c r="D103" i="39" s="1" a="1"/>
  <c r="D103" i="39" s="1"/>
  <c r="A102" i="39"/>
  <c r="D102" i="39" s="1" a="1"/>
  <c r="D102" i="39" s="1"/>
  <c r="A101" i="39"/>
  <c r="C101" i="39" s="1" a="1"/>
  <c r="C101" i="39" s="1"/>
  <c r="A100" i="39"/>
  <c r="D100" i="39" s="1" a="1"/>
  <c r="D100" i="39" s="1"/>
  <c r="A99" i="39"/>
  <c r="E99" i="39" s="1" a="1"/>
  <c r="E99" i="39" s="1"/>
  <c r="A98" i="39"/>
  <c r="A97" i="39"/>
  <c r="E97" i="39" s="1" a="1"/>
  <c r="E97" i="39" s="1"/>
  <c r="A96" i="39"/>
  <c r="B96" i="39" s="1" a="1"/>
  <c r="B96" i="39" s="1"/>
  <c r="A95" i="39"/>
  <c r="E95" i="39" s="1" a="1"/>
  <c r="E95" i="39" s="1"/>
  <c r="A94" i="39"/>
  <c r="D94" i="39" s="1" a="1"/>
  <c r="D94" i="39" s="1"/>
  <c r="A93" i="39"/>
  <c r="A92" i="39"/>
  <c r="E92" i="39" s="1" a="1"/>
  <c r="E92" i="39" s="1"/>
  <c r="A91" i="39"/>
  <c r="F91" i="39" s="1" a="1"/>
  <c r="F91" i="39" s="1"/>
  <c r="A90" i="39"/>
  <c r="D90" i="39" s="1" a="1"/>
  <c r="D90" i="39" s="1"/>
  <c r="A89" i="39"/>
  <c r="E89" i="39" s="1" a="1"/>
  <c r="E89" i="39" s="1"/>
  <c r="A88" i="39"/>
  <c r="E88" i="39" s="1" a="1"/>
  <c r="E88" i="39" s="1"/>
  <c r="A87" i="39"/>
  <c r="F87" i="39" s="1" a="1"/>
  <c r="F87" i="39" s="1"/>
  <c r="A86" i="39"/>
  <c r="D86" i="39" s="1" a="1"/>
  <c r="D86" i="39" s="1"/>
  <c r="A85" i="39"/>
  <c r="C85" i="39" s="1" a="1"/>
  <c r="C85" i="39" s="1"/>
  <c r="A84" i="39"/>
  <c r="E84" i="39" s="1" a="1"/>
  <c r="E84" i="39" s="1"/>
  <c r="A83" i="39"/>
  <c r="F83" i="39" s="1" a="1"/>
  <c r="F83" i="39" s="1"/>
  <c r="A82" i="39"/>
  <c r="A81" i="39"/>
  <c r="A80" i="39"/>
  <c r="E80" i="39" s="1" a="1"/>
  <c r="E80" i="39" s="1"/>
  <c r="A79" i="39"/>
  <c r="A78" i="39"/>
  <c r="C78" i="39" s="1" a="1"/>
  <c r="C78" i="39" s="1"/>
  <c r="A77" i="39"/>
  <c r="E77" i="39" s="1" a="1"/>
  <c r="E77" i="39" s="1"/>
  <c r="A76" i="39"/>
  <c r="E76" i="39" s="1" a="1"/>
  <c r="E76" i="39" s="1"/>
  <c r="A75" i="39"/>
  <c r="F75" i="39" s="1" a="1"/>
  <c r="F75" i="39" s="1"/>
  <c r="A74" i="39"/>
  <c r="C74" i="39" s="1" a="1"/>
  <c r="C74" i="39" s="1"/>
  <c r="A73" i="39"/>
  <c r="A72" i="39"/>
  <c r="C72" i="39" s="1" a="1"/>
  <c r="C72" i="39" s="1"/>
  <c r="A71" i="39"/>
  <c r="F71" i="39" s="1" a="1"/>
  <c r="F71" i="39" s="1"/>
  <c r="A70" i="39"/>
  <c r="D70" i="39" s="1" a="1"/>
  <c r="D70" i="39" s="1"/>
  <c r="A69" i="39"/>
  <c r="E69" i="39" s="1" a="1"/>
  <c r="E69" i="39" s="1"/>
  <c r="A68" i="39"/>
  <c r="E68" i="39" s="1" a="1"/>
  <c r="E68" i="39" s="1"/>
  <c r="A67" i="39"/>
  <c r="F67" i="39" s="1" a="1"/>
  <c r="F67" i="39" s="1"/>
  <c r="A66" i="39"/>
  <c r="C66" i="39" s="1" a="1"/>
  <c r="C66" i="39" s="1"/>
  <c r="A65" i="39"/>
  <c r="A64" i="39"/>
  <c r="D64" i="39" s="1" a="1"/>
  <c r="D64" i="39" s="1"/>
  <c r="A63" i="39"/>
  <c r="F63" i="39" s="1" a="1"/>
  <c r="F63" i="39" s="1"/>
  <c r="A62" i="39"/>
  <c r="D62" i="39" s="1" a="1"/>
  <c r="D62" i="39" s="1"/>
  <c r="A61" i="39"/>
  <c r="E61" i="39" s="1" a="1"/>
  <c r="E61" i="39" s="1"/>
  <c r="A60" i="39"/>
  <c r="A59" i="39"/>
  <c r="F59" i="39" s="1" a="1"/>
  <c r="F59" i="39" s="1"/>
  <c r="A58" i="39"/>
  <c r="B58" i="39" s="1" a="1"/>
  <c r="B58" i="39" s="1"/>
  <c r="A57" i="39"/>
  <c r="E57" i="39" s="1" a="1"/>
  <c r="E57" i="39" s="1"/>
  <c r="A56" i="39"/>
  <c r="A55" i="39"/>
  <c r="F55" i="39" s="1" a="1"/>
  <c r="F55" i="39" s="1"/>
  <c r="A54" i="39"/>
  <c r="E54" i="39" s="1" a="1"/>
  <c r="E54" i="39" s="1"/>
  <c r="A53" i="39"/>
  <c r="E53" i="39" s="1" a="1"/>
  <c r="E53" i="39" s="1"/>
  <c r="A52" i="39"/>
  <c r="D52" i="39" s="1" a="1"/>
  <c r="D52" i="39" s="1"/>
  <c r="A51" i="39"/>
  <c r="E51" i="39" s="1" a="1"/>
  <c r="E51" i="39" s="1"/>
  <c r="A50" i="39"/>
  <c r="B50" i="39" s="1" a="1"/>
  <c r="B50" i="39" s="1"/>
  <c r="A49" i="39"/>
  <c r="E49" i="39" s="1" a="1"/>
  <c r="E49" i="39" s="1"/>
  <c r="A48" i="39"/>
  <c r="F48" i="39" s="1" a="1"/>
  <c r="F48" i="39" s="1"/>
  <c r="A47" i="39"/>
  <c r="E47" i="39" s="1" a="1"/>
  <c r="E47" i="39" s="1"/>
  <c r="A46" i="39"/>
  <c r="D46" i="39" s="1" a="1"/>
  <c r="D46" i="39" s="1"/>
  <c r="A45" i="39"/>
  <c r="E45" i="39" s="1" a="1"/>
  <c r="E45" i="39" s="1"/>
  <c r="A44" i="39"/>
  <c r="D44" i="39" s="1" a="1"/>
  <c r="D44" i="39" s="1"/>
  <c r="A43" i="39"/>
  <c r="C43" i="39" s="1" a="1"/>
  <c r="C43" i="39" s="1"/>
  <c r="A42" i="39"/>
  <c r="D42" i="39" s="1" a="1"/>
  <c r="D42" i="39" s="1"/>
  <c r="A41" i="39"/>
  <c r="E41" i="39" s="1" a="1"/>
  <c r="E41" i="39" s="1"/>
  <c r="A40" i="39"/>
  <c r="D40" i="39" s="1" a="1"/>
  <c r="D40" i="39" s="1"/>
  <c r="A39" i="39"/>
  <c r="E39" i="39" s="1" a="1"/>
  <c r="E39" i="39" s="1"/>
  <c r="A38" i="39"/>
  <c r="D38" i="39" s="1" a="1"/>
  <c r="D38" i="39" s="1"/>
  <c r="A37" i="39"/>
  <c r="E37" i="39" s="1" a="1"/>
  <c r="E37" i="39" s="1"/>
  <c r="A36" i="39"/>
  <c r="F36" i="39" s="1" a="1"/>
  <c r="F36" i="39" s="1"/>
  <c r="A35" i="39"/>
  <c r="E35" i="39" s="1" a="1"/>
  <c r="E35" i="39" s="1"/>
  <c r="A34" i="39"/>
  <c r="B34" i="39" s="1" a="1"/>
  <c r="B34" i="39" s="1"/>
  <c r="A33" i="39"/>
  <c r="E33" i="39" s="1" a="1"/>
  <c r="E33" i="39" s="1"/>
  <c r="A32" i="39"/>
  <c r="F32" i="39" s="1" a="1"/>
  <c r="F32" i="39" s="1"/>
  <c r="A31" i="39"/>
  <c r="E31" i="39" s="1" a="1"/>
  <c r="E31" i="39" s="1"/>
  <c r="A30" i="39"/>
  <c r="D30" i="39" s="1" a="1"/>
  <c r="D30" i="39" s="1"/>
  <c r="A29" i="39"/>
  <c r="E29" i="39" s="1" a="1"/>
  <c r="E29" i="39" s="1"/>
  <c r="A28" i="39"/>
  <c r="D28" i="39" s="1" a="1"/>
  <c r="D28" i="39" s="1"/>
  <c r="A27" i="39"/>
  <c r="C27" i="39" s="1" a="1"/>
  <c r="C27" i="39" s="1"/>
  <c r="A26" i="39"/>
  <c r="D26" i="39" s="1" a="1"/>
  <c r="D26" i="39" s="1"/>
  <c r="A25" i="39"/>
  <c r="E25" i="39" s="1" a="1"/>
  <c r="E25" i="39" s="1"/>
  <c r="A24" i="39"/>
  <c r="D24" i="39" s="1" a="1"/>
  <c r="D24" i="39" s="1"/>
  <c r="A23" i="39"/>
  <c r="E23" i="39" s="1" a="1"/>
  <c r="E23" i="39" s="1"/>
  <c r="A22" i="39"/>
  <c r="D22" i="39" s="1" a="1"/>
  <c r="D22" i="39" s="1"/>
  <c r="A21" i="39"/>
  <c r="E21" i="39" s="1" a="1"/>
  <c r="E21" i="39" s="1"/>
  <c r="A20" i="39"/>
  <c r="D20" i="39" s="1" a="1"/>
  <c r="D20" i="39" s="1"/>
  <c r="A19" i="39"/>
  <c r="E19" i="39" s="1" a="1"/>
  <c r="E19" i="39" s="1"/>
  <c r="A18" i="39"/>
  <c r="B18" i="39" s="1" a="1"/>
  <c r="B18" i="39" s="1"/>
  <c r="A17" i="39"/>
  <c r="E17" i="39" s="1" a="1"/>
  <c r="E17" i="39" s="1"/>
  <c r="A16" i="39"/>
  <c r="F16" i="39" s="1" a="1"/>
  <c r="F16" i="39" s="1"/>
  <c r="A15" i="39"/>
  <c r="E15" i="39" s="1" a="1"/>
  <c r="E15" i="39" s="1"/>
  <c r="A14" i="39"/>
  <c r="D14" i="39" s="1" a="1"/>
  <c r="D14" i="39" s="1"/>
  <c r="A13" i="39"/>
  <c r="E13" i="39" s="1" a="1"/>
  <c r="E13" i="39" s="1"/>
  <c r="A12" i="39"/>
  <c r="D12" i="39" s="1" a="1"/>
  <c r="D12" i="39" s="1"/>
  <c r="A11" i="39"/>
  <c r="C11" i="39" s="1" a="1"/>
  <c r="C11" i="39" s="1"/>
  <c r="A10" i="39"/>
  <c r="D10" i="39" s="1" a="1"/>
  <c r="D10" i="39" s="1"/>
  <c r="A9" i="39"/>
  <c r="E9" i="39" s="1" a="1"/>
  <c r="E9" i="39" s="1"/>
  <c r="A8" i="39"/>
  <c r="D8" i="39" s="1" a="1"/>
  <c r="D8" i="39" s="1"/>
  <c r="A7" i="39"/>
  <c r="E7" i="39" s="1" a="1"/>
  <c r="E7" i="39" s="1"/>
  <c r="A6" i="39"/>
  <c r="E6" i="39" s="1" a="1"/>
  <c r="E6" i="39" s="1"/>
  <c r="A5" i="39"/>
  <c r="D5" i="39" s="1" a="1"/>
  <c r="D5" i="39" s="1"/>
  <c r="P4" i="39"/>
  <c r="Q4" i="39" s="1"/>
  <c r="A4" i="39"/>
  <c r="E4" i="39" s="1" a="1"/>
  <c r="E4" i="39" s="1"/>
  <c r="Q3" i="39"/>
  <c r="P5" i="39" s="1"/>
  <c r="P3" i="39"/>
  <c r="A3" i="39"/>
  <c r="B3" i="39" s="1" a="1"/>
  <c r="B3" i="39" s="1"/>
  <c r="Q2" i="39"/>
  <c r="P2" i="39"/>
  <c r="A2" i="39"/>
  <c r="E2" i="39" s="1" a="1"/>
  <c r="E2" i="39" s="1"/>
  <c r="Q190" i="38"/>
  <c r="Q191" i="38"/>
  <c r="Q189" i="38"/>
  <c r="Q181" i="38"/>
  <c r="Q182" i="38"/>
  <c r="Q180" i="38"/>
  <c r="Q172" i="38"/>
  <c r="Q173" i="38"/>
  <c r="Q171" i="38"/>
  <c r="L190" i="38"/>
  <c r="L191" i="38"/>
  <c r="L189" i="38"/>
  <c r="L181" i="38"/>
  <c r="L182" i="38"/>
  <c r="L180" i="38"/>
  <c r="L172" i="38"/>
  <c r="L173" i="38"/>
  <c r="L171" i="38"/>
  <c r="G190" i="38"/>
  <c r="G191" i="38"/>
  <c r="G189" i="38"/>
  <c r="G181" i="38"/>
  <c r="G182" i="38"/>
  <c r="G180" i="38"/>
  <c r="G172" i="38"/>
  <c r="G173" i="38"/>
  <c r="G171" i="38"/>
  <c r="L165" i="38"/>
  <c r="V169" i="38" s="1"/>
  <c r="K165" i="38"/>
  <c r="P169" i="38" s="1"/>
  <c r="J165" i="38"/>
  <c r="I165" i="38"/>
  <c r="F169" i="38" s="1"/>
  <c r="A164" i="38"/>
  <c r="B164" i="38" s="1" a="1"/>
  <c r="B164" i="38" s="1"/>
  <c r="A163" i="38"/>
  <c r="A162" i="38"/>
  <c r="D162" i="38" s="1" a="1"/>
  <c r="D162" i="38" s="1"/>
  <c r="A161" i="38"/>
  <c r="F161" i="38" s="1" a="1"/>
  <c r="F161" i="38" s="1"/>
  <c r="A160" i="38"/>
  <c r="F160" i="38" s="1" a="1"/>
  <c r="F160" i="38" s="1"/>
  <c r="A159" i="38"/>
  <c r="C159" i="38" s="1" a="1"/>
  <c r="C159" i="38" s="1"/>
  <c r="A158" i="38"/>
  <c r="E158" i="38" s="1" a="1"/>
  <c r="E158" i="38" s="1"/>
  <c r="A157" i="38"/>
  <c r="D157" i="38" s="1" a="1"/>
  <c r="D157" i="38" s="1"/>
  <c r="A156" i="38"/>
  <c r="A155" i="38"/>
  <c r="E155" i="38" s="1" a="1"/>
  <c r="E155" i="38" s="1"/>
  <c r="A154" i="38"/>
  <c r="B154" i="38" s="1" a="1"/>
  <c r="B154" i="38" s="1"/>
  <c r="A153" i="38"/>
  <c r="F153" i="38" s="1" a="1"/>
  <c r="F153" i="38" s="1"/>
  <c r="A152" i="38"/>
  <c r="A151" i="38"/>
  <c r="C151" i="38" s="1" a="1"/>
  <c r="C151" i="38" s="1"/>
  <c r="A150" i="38"/>
  <c r="F150" i="38" s="1" a="1"/>
  <c r="F150" i="38" s="1"/>
  <c r="A149" i="38"/>
  <c r="D149" i="38" s="1" a="1"/>
  <c r="D149" i="38" s="1"/>
  <c r="A148" i="38"/>
  <c r="D148" i="38" s="1" a="1"/>
  <c r="D148" i="38" s="1"/>
  <c r="A147" i="38"/>
  <c r="E147" i="38" s="1" a="1"/>
  <c r="E147" i="38" s="1"/>
  <c r="A146" i="38"/>
  <c r="E146" i="38" s="1" a="1"/>
  <c r="E146" i="38" s="1"/>
  <c r="A145" i="38"/>
  <c r="F145" i="38" s="1" a="1"/>
  <c r="F145" i="38" s="1"/>
  <c r="A144" i="38"/>
  <c r="A143" i="38"/>
  <c r="A142" i="38"/>
  <c r="E142" i="38" s="1" a="1"/>
  <c r="E142" i="38" s="1"/>
  <c r="A141" i="38"/>
  <c r="F141" i="38" s="1" a="1"/>
  <c r="F141" i="38" s="1"/>
  <c r="A140" i="38"/>
  <c r="D140" i="38" s="1" a="1"/>
  <c r="D140" i="38" s="1"/>
  <c r="A139" i="38"/>
  <c r="A138" i="38"/>
  <c r="C138" i="38" s="1" a="1"/>
  <c r="C138" i="38" s="1"/>
  <c r="A137" i="38"/>
  <c r="F137" i="38" s="1" a="1"/>
  <c r="F137" i="38" s="1"/>
  <c r="A136" i="38"/>
  <c r="F136" i="38" s="1" a="1"/>
  <c r="F136" i="38" s="1"/>
  <c r="A135" i="38"/>
  <c r="F135" i="38" s="1" a="1"/>
  <c r="F135" i="38" s="1"/>
  <c r="A134" i="38"/>
  <c r="E134" i="38" s="1" a="1"/>
  <c r="E134" i="38" s="1"/>
  <c r="A133" i="38"/>
  <c r="A132" i="38"/>
  <c r="D132" i="38" s="1" a="1"/>
  <c r="D132" i="38" s="1"/>
  <c r="A131" i="38"/>
  <c r="F131" i="38" s="1" a="1"/>
  <c r="F131" i="38" s="1"/>
  <c r="A130" i="38"/>
  <c r="A129" i="38"/>
  <c r="F129" i="38" s="1" a="1"/>
  <c r="F129" i="38" s="1"/>
  <c r="A128" i="38"/>
  <c r="E128" i="38" s="1" a="1"/>
  <c r="E128" i="38" s="1"/>
  <c r="A127" i="38"/>
  <c r="B127" i="38" s="1" a="1"/>
  <c r="B127" i="38" s="1"/>
  <c r="A126" i="38"/>
  <c r="A125" i="38"/>
  <c r="E125" i="38" s="1" a="1"/>
  <c r="E125" i="38" s="1"/>
  <c r="A124" i="38"/>
  <c r="E124" i="38" s="1" a="1"/>
  <c r="E124" i="38" s="1"/>
  <c r="A123" i="38"/>
  <c r="F123" i="38" s="1" a="1"/>
  <c r="F123" i="38" s="1"/>
  <c r="A122" i="38"/>
  <c r="E122" i="38" s="1" a="1"/>
  <c r="E122" i="38" s="1"/>
  <c r="A121" i="38"/>
  <c r="F121" i="38" s="1" a="1"/>
  <c r="F121" i="38" s="1"/>
  <c r="A120" i="38"/>
  <c r="C120" i="38" s="1" a="1"/>
  <c r="C120" i="38" s="1"/>
  <c r="A119" i="38"/>
  <c r="E119" i="38" s="1" a="1"/>
  <c r="E119" i="38" s="1"/>
  <c r="A118" i="38"/>
  <c r="A117" i="38"/>
  <c r="E117" i="38" s="1" a="1"/>
  <c r="E117" i="38" s="1"/>
  <c r="A116" i="38"/>
  <c r="E116" i="38" s="1" a="1"/>
  <c r="E116" i="38" s="1"/>
  <c r="A115" i="38"/>
  <c r="D115" i="38" s="1" a="1"/>
  <c r="D115" i="38" s="1"/>
  <c r="A114" i="38"/>
  <c r="A113" i="38"/>
  <c r="D113" i="38" s="1" a="1"/>
  <c r="D113" i="38" s="1"/>
  <c r="A112" i="38"/>
  <c r="E112" i="38" s="1" a="1"/>
  <c r="E112" i="38" s="1"/>
  <c r="A111" i="38"/>
  <c r="E111" i="38" s="1" a="1"/>
  <c r="E111" i="38" s="1"/>
  <c r="A110" i="38"/>
  <c r="D110" i="38" s="1" a="1"/>
  <c r="D110" i="38" s="1"/>
  <c r="A109" i="38"/>
  <c r="D109" i="38" s="1" a="1"/>
  <c r="D109" i="38" s="1"/>
  <c r="A108" i="38"/>
  <c r="E108" i="38" s="1" a="1"/>
  <c r="E108" i="38" s="1"/>
  <c r="A107" i="38"/>
  <c r="D107" i="38" s="1" a="1"/>
  <c r="D107" i="38" s="1"/>
  <c r="A106" i="38"/>
  <c r="A105" i="38"/>
  <c r="D105" i="38" s="1" a="1"/>
  <c r="D105" i="38" s="1"/>
  <c r="A104" i="38"/>
  <c r="A103" i="38"/>
  <c r="F103" i="38" s="1" a="1"/>
  <c r="F103" i="38" s="1"/>
  <c r="A102" i="38"/>
  <c r="D102" i="38" s="1" a="1"/>
  <c r="D102" i="38" s="1"/>
  <c r="A101" i="38"/>
  <c r="E101" i="38" s="1" a="1"/>
  <c r="E101" i="38" s="1"/>
  <c r="A100" i="38"/>
  <c r="E100" i="38" s="1" a="1"/>
  <c r="E100" i="38" s="1"/>
  <c r="A99" i="38"/>
  <c r="F99" i="38" s="1" a="1"/>
  <c r="F99" i="38" s="1"/>
  <c r="A98" i="38"/>
  <c r="B98" i="38" s="1" a="1"/>
  <c r="B98" i="38" s="1"/>
  <c r="A97" i="38"/>
  <c r="D97" i="38" s="1" a="1"/>
  <c r="D97" i="38" s="1"/>
  <c r="A96" i="38"/>
  <c r="A95" i="38"/>
  <c r="A94" i="38"/>
  <c r="A93" i="38"/>
  <c r="A92" i="38"/>
  <c r="A91" i="38"/>
  <c r="F91" i="38" s="1" a="1"/>
  <c r="F91" i="38" s="1"/>
  <c r="A90" i="38"/>
  <c r="B90" i="38" s="1" a="1"/>
  <c r="B90" i="38" s="1"/>
  <c r="A89" i="38"/>
  <c r="D89" i="38" s="1" a="1"/>
  <c r="D89" i="38" s="1"/>
  <c r="A88" i="38"/>
  <c r="E88" i="38" s="1" a="1"/>
  <c r="E88" i="38" s="1"/>
  <c r="A87" i="38"/>
  <c r="F87" i="38" s="1" a="1"/>
  <c r="F87" i="38" s="1"/>
  <c r="A86" i="38"/>
  <c r="B86" i="38" s="1" a="1"/>
  <c r="B86" i="38" s="1"/>
  <c r="A85" i="38"/>
  <c r="A84" i="38"/>
  <c r="A83" i="38"/>
  <c r="F83" i="38" s="1" a="1"/>
  <c r="F83" i="38" s="1"/>
  <c r="A82" i="38"/>
  <c r="A81" i="38"/>
  <c r="A80" i="38"/>
  <c r="C80" i="38" s="1" a="1"/>
  <c r="C80" i="38" s="1"/>
  <c r="A79" i="38"/>
  <c r="F79" i="38" s="1" a="1"/>
  <c r="F79" i="38" s="1"/>
  <c r="A78" i="38"/>
  <c r="B78" i="38" s="1" a="1"/>
  <c r="B78" i="38" s="1"/>
  <c r="A77" i="38"/>
  <c r="D77" i="38" s="1" a="1"/>
  <c r="D77" i="38" s="1"/>
  <c r="A76" i="38"/>
  <c r="E76" i="38" s="1" a="1"/>
  <c r="E76" i="38" s="1"/>
  <c r="A75" i="38"/>
  <c r="D75" i="38" s="1" a="1"/>
  <c r="D75" i="38" s="1"/>
  <c r="A74" i="38"/>
  <c r="F74" i="38" s="1" a="1"/>
  <c r="F74" i="38" s="1"/>
  <c r="A73" i="38"/>
  <c r="E73" i="38" s="1" a="1"/>
  <c r="E73" i="38" s="1"/>
  <c r="A72" i="38"/>
  <c r="F72" i="38" s="1" a="1"/>
  <c r="F72" i="38" s="1"/>
  <c r="A71" i="38"/>
  <c r="B71" i="38" s="1" a="1"/>
  <c r="B71" i="38" s="1"/>
  <c r="A70" i="38"/>
  <c r="C70" i="38" s="1" a="1"/>
  <c r="C70" i="38" s="1"/>
  <c r="A69" i="38"/>
  <c r="E69" i="38" s="1" a="1"/>
  <c r="E69" i="38" s="1"/>
  <c r="A68" i="38"/>
  <c r="E68" i="38" s="1" a="1"/>
  <c r="E68" i="38" s="1"/>
  <c r="A67" i="38"/>
  <c r="A66" i="38"/>
  <c r="C66" i="38" s="1" a="1"/>
  <c r="C66" i="38" s="1"/>
  <c r="A65" i="38"/>
  <c r="E65" i="38" s="1" a="1"/>
  <c r="E65" i="38" s="1"/>
  <c r="A64" i="38"/>
  <c r="E64" i="38" s="1" a="1"/>
  <c r="E64" i="38" s="1"/>
  <c r="A63" i="38"/>
  <c r="D63" i="38" s="1" a="1"/>
  <c r="D63" i="38" s="1"/>
  <c r="A62" i="38"/>
  <c r="E62" i="38" s="1" a="1"/>
  <c r="E62" i="38" s="1"/>
  <c r="A61" i="38"/>
  <c r="D61" i="38" s="1" a="1"/>
  <c r="D61" i="38" s="1"/>
  <c r="A60" i="38"/>
  <c r="E60" i="38" s="1" a="1"/>
  <c r="E60" i="38" s="1"/>
  <c r="A59" i="38"/>
  <c r="D59" i="38" s="1" a="1"/>
  <c r="D59" i="38" s="1"/>
  <c r="A58" i="38"/>
  <c r="E58" i="38" s="1" a="1"/>
  <c r="E58" i="38" s="1"/>
  <c r="A57" i="38"/>
  <c r="D57" i="38" s="1" a="1"/>
  <c r="D57" i="38" s="1"/>
  <c r="A56" i="38"/>
  <c r="E56" i="38" s="1" a="1"/>
  <c r="E56" i="38" s="1"/>
  <c r="A55" i="38"/>
  <c r="F55" i="38" s="1" a="1"/>
  <c r="F55" i="38" s="1"/>
  <c r="A54" i="38"/>
  <c r="E54" i="38" s="1" a="1"/>
  <c r="E54" i="38" s="1"/>
  <c r="A53" i="38"/>
  <c r="D53" i="38" s="1" a="1"/>
  <c r="D53" i="38" s="1"/>
  <c r="A52" i="38"/>
  <c r="E52" i="38" s="1" a="1"/>
  <c r="E52" i="38" s="1"/>
  <c r="A51" i="38"/>
  <c r="D51" i="38" s="1" a="1"/>
  <c r="D51" i="38" s="1"/>
  <c r="A50" i="38"/>
  <c r="A49" i="38"/>
  <c r="D49" i="38" s="1" a="1"/>
  <c r="D49" i="38" s="1"/>
  <c r="A48" i="38"/>
  <c r="E48" i="38" s="1" a="1"/>
  <c r="E48" i="38" s="1"/>
  <c r="A47" i="38"/>
  <c r="D47" i="38" s="1" a="1"/>
  <c r="D47" i="38" s="1"/>
  <c r="A46" i="38"/>
  <c r="A45" i="38"/>
  <c r="E45" i="38" s="1" a="1"/>
  <c r="E45" i="38" s="1"/>
  <c r="A44" i="38"/>
  <c r="E44" i="38" s="1" a="1"/>
  <c r="E44" i="38" s="1"/>
  <c r="A43" i="38"/>
  <c r="D43" i="38" s="1" a="1"/>
  <c r="D43" i="38" s="1"/>
  <c r="A42" i="38"/>
  <c r="E42" i="38" s="1" a="1"/>
  <c r="E42" i="38" s="1"/>
  <c r="A41" i="38"/>
  <c r="D41" i="38" s="1" a="1"/>
  <c r="D41" i="38" s="1"/>
  <c r="A40" i="38"/>
  <c r="E40" i="38" s="1" a="1"/>
  <c r="E40" i="38" s="1"/>
  <c r="A39" i="38"/>
  <c r="B39" i="38" s="1" a="1"/>
  <c r="B39" i="38" s="1"/>
  <c r="A38" i="38"/>
  <c r="E38" i="38" s="1" a="1"/>
  <c r="E38" i="38" s="1"/>
  <c r="A37" i="38"/>
  <c r="D37" i="38" s="1" a="1"/>
  <c r="D37" i="38" s="1"/>
  <c r="A36" i="38"/>
  <c r="E36" i="38" s="1" a="1"/>
  <c r="E36" i="38" s="1"/>
  <c r="A35" i="38"/>
  <c r="A34" i="38"/>
  <c r="C34" i="38" s="1" a="1"/>
  <c r="C34" i="38" s="1"/>
  <c r="A33" i="38"/>
  <c r="D33" i="38" s="1" a="1"/>
  <c r="D33" i="38" s="1"/>
  <c r="A32" i="38"/>
  <c r="E32" i="38" s="1" a="1"/>
  <c r="E32" i="38" s="1"/>
  <c r="A31" i="38"/>
  <c r="D31" i="38" s="1" a="1"/>
  <c r="D31" i="38" s="1"/>
  <c r="A30" i="38"/>
  <c r="E30" i="38" s="1" a="1"/>
  <c r="E30" i="38" s="1"/>
  <c r="A29" i="38"/>
  <c r="E29" i="38" s="1" a="1"/>
  <c r="E29" i="38" s="1"/>
  <c r="A28" i="38"/>
  <c r="E28" i="38" s="1" a="1"/>
  <c r="E28" i="38" s="1"/>
  <c r="A27" i="38"/>
  <c r="F27" i="38" s="1" a="1"/>
  <c r="F27" i="38" s="1"/>
  <c r="A26" i="38"/>
  <c r="E26" i="38" s="1" a="1"/>
  <c r="E26" i="38" s="1"/>
  <c r="A25" i="38"/>
  <c r="E25" i="38" s="1" a="1"/>
  <c r="E25" i="38" s="1"/>
  <c r="A24" i="38"/>
  <c r="E24" i="38" s="1" a="1"/>
  <c r="E24" i="38" s="1"/>
  <c r="A23" i="38"/>
  <c r="F23" i="38" s="1" a="1"/>
  <c r="F23" i="38" s="1"/>
  <c r="A22" i="38"/>
  <c r="C22" i="38" s="1" a="1"/>
  <c r="C22" i="38" s="1"/>
  <c r="A21" i="38"/>
  <c r="F21" i="38" s="1" a="1"/>
  <c r="F21" i="38" s="1"/>
  <c r="A20" i="38"/>
  <c r="E20" i="38" s="1" a="1"/>
  <c r="E20" i="38" s="1"/>
  <c r="A19" i="38"/>
  <c r="D19" i="38" s="1" a="1"/>
  <c r="D19" i="38" s="1"/>
  <c r="A18" i="38"/>
  <c r="A17" i="38"/>
  <c r="F17" i="38" s="1" a="1"/>
  <c r="F17" i="38" s="1"/>
  <c r="A16" i="38"/>
  <c r="E16" i="38" s="1" a="1"/>
  <c r="E16" i="38" s="1"/>
  <c r="A15" i="38"/>
  <c r="D15" i="38" s="1" a="1"/>
  <c r="D15" i="38" s="1"/>
  <c r="A14" i="38"/>
  <c r="E14" i="38" s="1" a="1"/>
  <c r="E14" i="38" s="1"/>
  <c r="A13" i="38"/>
  <c r="D13" i="38" s="1" a="1"/>
  <c r="D13" i="38" s="1"/>
  <c r="A12" i="38"/>
  <c r="F12" i="38" s="1" a="1"/>
  <c r="F12" i="38" s="1"/>
  <c r="A11" i="38"/>
  <c r="F11" i="38" s="1" a="1"/>
  <c r="F11" i="38" s="1"/>
  <c r="A10" i="38"/>
  <c r="A9" i="38"/>
  <c r="C9" i="38" s="1" a="1"/>
  <c r="C9" i="38" s="1"/>
  <c r="A8" i="38"/>
  <c r="F8" i="38" s="1" a="1"/>
  <c r="F8" i="38" s="1"/>
  <c r="A7" i="38"/>
  <c r="D7" i="38" s="1" a="1"/>
  <c r="D7" i="38" s="1"/>
  <c r="A6" i="38"/>
  <c r="C6" i="38" s="1" a="1"/>
  <c r="C6" i="38" s="1"/>
  <c r="A5" i="38"/>
  <c r="C5" i="38" s="1" a="1"/>
  <c r="C5" i="38" s="1"/>
  <c r="P4" i="38"/>
  <c r="Q4" i="38" s="1"/>
  <c r="A4" i="38"/>
  <c r="F4" i="38" s="1" a="1"/>
  <c r="F4" i="38" s="1"/>
  <c r="P3" i="38"/>
  <c r="Q3" i="38" s="1"/>
  <c r="A3" i="38"/>
  <c r="D3" i="38" s="1" a="1"/>
  <c r="D3" i="38" s="1"/>
  <c r="P2" i="38"/>
  <c r="Q2" i="38" s="1"/>
  <c r="A2" i="38"/>
  <c r="D2" i="38" s="1" a="1"/>
  <c r="D2" i="38" s="1"/>
  <c r="Q190" i="37"/>
  <c r="Q191" i="37"/>
  <c r="Q189" i="37"/>
  <c r="Q181" i="37"/>
  <c r="Q182" i="37"/>
  <c r="Q172" i="37"/>
  <c r="Q173" i="37"/>
  <c r="Q171" i="37"/>
  <c r="L190" i="37"/>
  <c r="L191" i="37"/>
  <c r="L189" i="37"/>
  <c r="L181" i="37"/>
  <c r="L182" i="37"/>
  <c r="L180" i="37"/>
  <c r="L172" i="37"/>
  <c r="L173" i="37"/>
  <c r="L171" i="37"/>
  <c r="G190" i="37"/>
  <c r="G191" i="37"/>
  <c r="G189" i="37"/>
  <c r="G181" i="37"/>
  <c r="G182" i="37"/>
  <c r="G180" i="37"/>
  <c r="G172" i="37"/>
  <c r="G173" i="37"/>
  <c r="G171" i="37"/>
  <c r="U169" i="37"/>
  <c r="L165" i="37"/>
  <c r="V169" i="37" s="1"/>
  <c r="K165" i="37"/>
  <c r="Q169" i="37" s="1"/>
  <c r="J165" i="37"/>
  <c r="L169" i="37" s="1"/>
  <c r="I165" i="37"/>
  <c r="G169" i="37" s="1"/>
  <c r="A164" i="37"/>
  <c r="A163" i="37"/>
  <c r="A162" i="37"/>
  <c r="F162" i="37" s="1" a="1"/>
  <c r="F162" i="37" s="1"/>
  <c r="A161" i="37"/>
  <c r="A160" i="37"/>
  <c r="E160" i="37" s="1" a="1"/>
  <c r="E160" i="37" s="1"/>
  <c r="A159" i="37"/>
  <c r="A158" i="37"/>
  <c r="E158" i="37" s="1" a="1"/>
  <c r="E158" i="37" s="1"/>
  <c r="A157" i="37"/>
  <c r="A156" i="37"/>
  <c r="E156" i="37" s="1" a="1"/>
  <c r="E156" i="37" s="1"/>
  <c r="A155" i="37"/>
  <c r="A154" i="37"/>
  <c r="F154" i="37" s="1" a="1"/>
  <c r="F154" i="37" s="1"/>
  <c r="A153" i="37"/>
  <c r="A152" i="37"/>
  <c r="E152" i="37" s="1" a="1"/>
  <c r="E152" i="37" s="1"/>
  <c r="A151" i="37"/>
  <c r="A150" i="37"/>
  <c r="E150" i="37" s="1" a="1"/>
  <c r="E150" i="37" s="1"/>
  <c r="A149" i="37"/>
  <c r="A148" i="37"/>
  <c r="A147" i="37"/>
  <c r="A146" i="37"/>
  <c r="F146" i="37" s="1" a="1"/>
  <c r="F146" i="37" s="1"/>
  <c r="A145" i="37"/>
  <c r="A144" i="37"/>
  <c r="A143" i="37"/>
  <c r="F143" i="37" s="1" a="1"/>
  <c r="F143" i="37" s="1"/>
  <c r="A142" i="37"/>
  <c r="F142" i="37" s="1" a="1"/>
  <c r="F142" i="37" s="1"/>
  <c r="A141" i="37"/>
  <c r="F141" i="37" s="1" a="1"/>
  <c r="F141" i="37" s="1"/>
  <c r="A140" i="37"/>
  <c r="A139" i="37"/>
  <c r="E139" i="37" s="1" a="1"/>
  <c r="E139" i="37" s="1"/>
  <c r="A138" i="37"/>
  <c r="F138" i="37" s="1" a="1"/>
  <c r="F138" i="37" s="1"/>
  <c r="A137" i="37"/>
  <c r="E137" i="37" s="1" a="1"/>
  <c r="E137" i="37" s="1"/>
  <c r="A136" i="37"/>
  <c r="A135" i="37"/>
  <c r="E135" i="37" s="1" a="1"/>
  <c r="E135" i="37" s="1"/>
  <c r="A134" i="37"/>
  <c r="F134" i="37" s="1" a="1"/>
  <c r="F134" i="37" s="1"/>
  <c r="A133" i="37"/>
  <c r="E133" i="37" s="1" a="1"/>
  <c r="E133" i="37" s="1"/>
  <c r="A132" i="37"/>
  <c r="A131" i="37"/>
  <c r="F131" i="37" s="1" a="1"/>
  <c r="F131" i="37" s="1"/>
  <c r="A130" i="37"/>
  <c r="F130" i="37" s="1" a="1"/>
  <c r="F130" i="37" s="1"/>
  <c r="A129" i="37"/>
  <c r="E129" i="37" s="1" a="1"/>
  <c r="E129" i="37" s="1"/>
  <c r="A128" i="37"/>
  <c r="A127" i="37"/>
  <c r="E127" i="37" s="1" a="1"/>
  <c r="E127" i="37" s="1"/>
  <c r="A126" i="37"/>
  <c r="A125" i="37"/>
  <c r="E125" i="37" s="1" a="1"/>
  <c r="E125" i="37" s="1"/>
  <c r="A124" i="37"/>
  <c r="A123" i="37"/>
  <c r="F123" i="37" s="1" a="1"/>
  <c r="F123" i="37" s="1"/>
  <c r="A122" i="37"/>
  <c r="A121" i="37"/>
  <c r="E121" i="37" s="1" a="1"/>
  <c r="E121" i="37" s="1"/>
  <c r="A120" i="37"/>
  <c r="A119" i="37"/>
  <c r="E119" i="37" s="1" a="1"/>
  <c r="E119" i="37" s="1"/>
  <c r="A118" i="37"/>
  <c r="A117" i="37"/>
  <c r="E117" i="37" s="1" a="1"/>
  <c r="E117" i="37" s="1"/>
  <c r="A116" i="37"/>
  <c r="A115" i="37"/>
  <c r="F115" i="37" s="1" a="1"/>
  <c r="F115" i="37" s="1"/>
  <c r="A114" i="37"/>
  <c r="A113" i="37"/>
  <c r="E113" i="37" s="1" a="1"/>
  <c r="E113" i="37" s="1"/>
  <c r="A112" i="37"/>
  <c r="A111" i="37"/>
  <c r="E111" i="37" s="1" a="1"/>
  <c r="E111" i="37" s="1"/>
  <c r="A110" i="37"/>
  <c r="A109" i="37"/>
  <c r="A108" i="37"/>
  <c r="A107" i="37"/>
  <c r="F107" i="37" s="1" a="1"/>
  <c r="F107" i="37" s="1"/>
  <c r="A106" i="37"/>
  <c r="A105" i="37"/>
  <c r="E105" i="37" s="1" a="1"/>
  <c r="E105" i="37" s="1"/>
  <c r="A104" i="37"/>
  <c r="A103" i="37"/>
  <c r="E103" i="37" s="1" a="1"/>
  <c r="E103" i="37" s="1"/>
  <c r="A102" i="37"/>
  <c r="A101" i="37"/>
  <c r="E101" i="37" s="1" a="1"/>
  <c r="E101" i="37" s="1"/>
  <c r="A100" i="37"/>
  <c r="A99" i="37"/>
  <c r="F99" i="37" s="1" a="1"/>
  <c r="F99" i="37" s="1"/>
  <c r="A98" i="37"/>
  <c r="A97" i="37"/>
  <c r="E97" i="37" s="1" a="1"/>
  <c r="E97" i="37" s="1"/>
  <c r="A96" i="37"/>
  <c r="A95" i="37"/>
  <c r="E95" i="37" s="1" a="1"/>
  <c r="E95" i="37" s="1"/>
  <c r="A94" i="37"/>
  <c r="A93" i="37"/>
  <c r="D93" i="37" s="1" a="1"/>
  <c r="D93" i="37" s="1"/>
  <c r="A92" i="37"/>
  <c r="A91" i="37"/>
  <c r="A90" i="37"/>
  <c r="D90" i="37" s="1" a="1"/>
  <c r="D90" i="37" s="1"/>
  <c r="A89" i="37"/>
  <c r="D89" i="37" s="1" a="1"/>
  <c r="D89" i="37" s="1"/>
  <c r="A88" i="37"/>
  <c r="A87" i="37"/>
  <c r="A86" i="37"/>
  <c r="D86" i="37" s="1" a="1"/>
  <c r="D86" i="37" s="1"/>
  <c r="A85" i="37"/>
  <c r="D85" i="37" s="1" a="1"/>
  <c r="D85" i="37" s="1"/>
  <c r="A84" i="37"/>
  <c r="A83" i="37"/>
  <c r="F83" i="37" s="1" a="1"/>
  <c r="F83" i="37" s="1"/>
  <c r="A82" i="37"/>
  <c r="A81" i="37"/>
  <c r="E81" i="37" s="1" a="1"/>
  <c r="E81" i="37" s="1"/>
  <c r="A80" i="37"/>
  <c r="A79" i="37"/>
  <c r="E79" i="37" s="1" a="1"/>
  <c r="E79" i="37" s="1"/>
  <c r="A78" i="37"/>
  <c r="A77" i="37"/>
  <c r="E77" i="37" s="1" a="1"/>
  <c r="E77" i="37" s="1"/>
  <c r="A76" i="37"/>
  <c r="A75" i="37"/>
  <c r="F75" i="37" s="1" a="1"/>
  <c r="F75" i="37" s="1"/>
  <c r="A74" i="37"/>
  <c r="A73" i="37"/>
  <c r="E73" i="37" s="1" a="1"/>
  <c r="E73" i="37" s="1"/>
  <c r="A72" i="37"/>
  <c r="A71" i="37"/>
  <c r="E71" i="37" s="1" a="1"/>
  <c r="E71" i="37" s="1"/>
  <c r="A70" i="37"/>
  <c r="A69" i="37"/>
  <c r="E69" i="37" s="1" a="1"/>
  <c r="E69" i="37" s="1"/>
  <c r="A68" i="37"/>
  <c r="A67" i="37"/>
  <c r="F67" i="37" s="1" a="1"/>
  <c r="F67" i="37" s="1"/>
  <c r="A66" i="37"/>
  <c r="A65" i="37"/>
  <c r="E65" i="37" s="1" a="1"/>
  <c r="E65" i="37" s="1"/>
  <c r="A64" i="37"/>
  <c r="A63" i="37"/>
  <c r="E63" i="37" s="1" a="1"/>
  <c r="E63" i="37" s="1"/>
  <c r="A62" i="37"/>
  <c r="A61" i="37"/>
  <c r="A60" i="37"/>
  <c r="A59" i="37"/>
  <c r="F59" i="37" s="1" a="1"/>
  <c r="F59" i="37" s="1"/>
  <c r="A58" i="37"/>
  <c r="A57" i="37"/>
  <c r="E57" i="37" s="1" a="1"/>
  <c r="E57" i="37" s="1"/>
  <c r="A56" i="37"/>
  <c r="A55" i="37"/>
  <c r="E55" i="37" s="1" a="1"/>
  <c r="E55" i="37" s="1"/>
  <c r="A54" i="37"/>
  <c r="A53" i="37"/>
  <c r="E53" i="37" s="1" a="1"/>
  <c r="E53" i="37" s="1"/>
  <c r="A52" i="37"/>
  <c r="A51" i="37"/>
  <c r="F51" i="37" s="1" a="1"/>
  <c r="F51" i="37" s="1"/>
  <c r="A50" i="37"/>
  <c r="A49" i="37"/>
  <c r="E49" i="37" s="1" a="1"/>
  <c r="E49" i="37" s="1"/>
  <c r="A48" i="37"/>
  <c r="A47" i="37"/>
  <c r="E47" i="37" s="1" a="1"/>
  <c r="E47" i="37" s="1"/>
  <c r="A46" i="37"/>
  <c r="A45" i="37"/>
  <c r="E45" i="37" s="1" a="1"/>
  <c r="E45" i="37" s="1"/>
  <c r="A44" i="37"/>
  <c r="A43" i="37"/>
  <c r="F43" i="37" s="1" a="1"/>
  <c r="F43" i="37" s="1"/>
  <c r="A42" i="37"/>
  <c r="C42" i="37" s="1" a="1"/>
  <c r="C42" i="37" s="1"/>
  <c r="A41" i="37"/>
  <c r="E41" i="37" s="1" a="1"/>
  <c r="E41" i="37" s="1"/>
  <c r="A40" i="37"/>
  <c r="A39" i="37"/>
  <c r="F39" i="37" s="1" a="1"/>
  <c r="F39" i="37" s="1"/>
  <c r="A38" i="37"/>
  <c r="F38" i="37" s="1" a="1"/>
  <c r="F38" i="37" s="1"/>
  <c r="A37" i="37"/>
  <c r="F37" i="37" s="1" a="1"/>
  <c r="F37" i="37" s="1"/>
  <c r="A36" i="37"/>
  <c r="A35" i="37"/>
  <c r="E35" i="37" s="1" a="1"/>
  <c r="E35" i="37" s="1"/>
  <c r="A34" i="37"/>
  <c r="F34" i="37" s="1" a="1"/>
  <c r="F34" i="37" s="1"/>
  <c r="A33" i="37"/>
  <c r="F33" i="37" s="1" a="1"/>
  <c r="F33" i="37" s="1"/>
  <c r="A32" i="37"/>
  <c r="A31" i="37"/>
  <c r="E31" i="37" s="1" a="1"/>
  <c r="E31" i="37" s="1"/>
  <c r="A30" i="37"/>
  <c r="F30" i="37" s="1" a="1"/>
  <c r="F30" i="37" s="1"/>
  <c r="A29" i="37"/>
  <c r="D29" i="37" s="1" a="1"/>
  <c r="D29" i="37" s="1"/>
  <c r="A28" i="37"/>
  <c r="A27" i="37"/>
  <c r="E27" i="37" s="1" a="1"/>
  <c r="E27" i="37" s="1"/>
  <c r="A26" i="37"/>
  <c r="F26" i="37" s="1" a="1"/>
  <c r="F26" i="37" s="1"/>
  <c r="A25" i="37"/>
  <c r="E25" i="37" s="1" a="1"/>
  <c r="E25" i="37" s="1"/>
  <c r="A24" i="37"/>
  <c r="A23" i="37"/>
  <c r="D23" i="37" s="1" a="1"/>
  <c r="D23" i="37" s="1"/>
  <c r="A22" i="37"/>
  <c r="A21" i="37"/>
  <c r="C21" i="37" s="1" a="1"/>
  <c r="C21" i="37" s="1"/>
  <c r="A20" i="37"/>
  <c r="A19" i="37"/>
  <c r="E19" i="37" s="1" a="1"/>
  <c r="E19" i="37" s="1"/>
  <c r="A18" i="37"/>
  <c r="A17" i="37"/>
  <c r="E17" i="37" s="1" a="1"/>
  <c r="E17" i="37" s="1"/>
  <c r="A16" i="37"/>
  <c r="A15" i="37"/>
  <c r="D15" i="37" s="1" a="1"/>
  <c r="D15" i="37" s="1"/>
  <c r="A14" i="37"/>
  <c r="A13" i="37"/>
  <c r="C13" i="37" s="1" a="1"/>
  <c r="C13" i="37" s="1"/>
  <c r="A12" i="37"/>
  <c r="A11" i="37"/>
  <c r="E11" i="37" s="1" a="1"/>
  <c r="E11" i="37" s="1"/>
  <c r="A10" i="37"/>
  <c r="A9" i="37"/>
  <c r="E9" i="37" s="1" a="1"/>
  <c r="E9" i="37" s="1"/>
  <c r="A8" i="37"/>
  <c r="A7" i="37"/>
  <c r="D7" i="37" s="1" a="1"/>
  <c r="D7" i="37" s="1"/>
  <c r="A6" i="37"/>
  <c r="A5" i="37"/>
  <c r="P4" i="37"/>
  <c r="Q4" i="37" s="1"/>
  <c r="A4" i="37"/>
  <c r="E4" i="37" s="1" a="1"/>
  <c r="E4" i="37" s="1"/>
  <c r="P3" i="37"/>
  <c r="Q3" i="37" s="1"/>
  <c r="A3" i="37"/>
  <c r="Q2" i="37"/>
  <c r="P2" i="37"/>
  <c r="A2" i="37"/>
  <c r="E2" i="37" s="1" a="1"/>
  <c r="E2" i="37" s="1"/>
  <c r="Q190" i="36"/>
  <c r="Q191" i="36"/>
  <c r="Q189" i="36"/>
  <c r="Q181" i="36"/>
  <c r="Q182" i="36"/>
  <c r="Q180" i="36"/>
  <c r="P181" i="36"/>
  <c r="P173" i="36"/>
  <c r="P172" i="36"/>
  <c r="Q172" i="36" s="1"/>
  <c r="P171" i="36"/>
  <c r="Q173" i="36"/>
  <c r="Q171" i="36"/>
  <c r="L190" i="36"/>
  <c r="L191" i="36"/>
  <c r="L189" i="36"/>
  <c r="L181" i="36"/>
  <c r="L182" i="36"/>
  <c r="L180" i="36"/>
  <c r="L172" i="36"/>
  <c r="L173" i="36"/>
  <c r="L171" i="36"/>
  <c r="G190" i="36"/>
  <c r="G191" i="36"/>
  <c r="G189" i="36"/>
  <c r="G181" i="36"/>
  <c r="G182" i="36"/>
  <c r="G180" i="36"/>
  <c r="G172" i="36"/>
  <c r="G173" i="36"/>
  <c r="G171" i="36"/>
  <c r="L165" i="36"/>
  <c r="V169" i="36" s="1"/>
  <c r="K165" i="36"/>
  <c r="Q169" i="36" s="1"/>
  <c r="J165" i="36"/>
  <c r="L169" i="36" s="1"/>
  <c r="I165" i="36"/>
  <c r="G169" i="36" s="1"/>
  <c r="A164" i="36"/>
  <c r="A163" i="36"/>
  <c r="A162" i="36"/>
  <c r="F162" i="36" s="1" a="1"/>
  <c r="F162" i="36" s="1"/>
  <c r="A161" i="36"/>
  <c r="A160" i="36"/>
  <c r="E160" i="36" s="1" a="1"/>
  <c r="E160" i="36" s="1"/>
  <c r="A159" i="36"/>
  <c r="A158" i="36"/>
  <c r="E158" i="36" s="1" a="1"/>
  <c r="E158" i="36" s="1"/>
  <c r="A157" i="36"/>
  <c r="A156" i="36"/>
  <c r="E156" i="36" s="1" a="1"/>
  <c r="E156" i="36" s="1"/>
  <c r="A155" i="36"/>
  <c r="A154" i="36"/>
  <c r="F154" i="36" s="1" a="1"/>
  <c r="F154" i="36" s="1"/>
  <c r="A153" i="36"/>
  <c r="A152" i="36"/>
  <c r="E152" i="36" s="1" a="1"/>
  <c r="E152" i="36" s="1"/>
  <c r="A151" i="36"/>
  <c r="A150" i="36"/>
  <c r="E150" i="36" s="1" a="1"/>
  <c r="E150" i="36" s="1"/>
  <c r="A149" i="36"/>
  <c r="A148" i="36"/>
  <c r="A147" i="36"/>
  <c r="A146" i="36"/>
  <c r="F146" i="36" s="1" a="1"/>
  <c r="F146" i="36" s="1"/>
  <c r="A145" i="36"/>
  <c r="A144" i="36"/>
  <c r="A143" i="36"/>
  <c r="F143" i="36" s="1" a="1"/>
  <c r="F143" i="36" s="1"/>
  <c r="A142" i="36"/>
  <c r="F142" i="36" s="1" a="1"/>
  <c r="F142" i="36" s="1"/>
  <c r="A141" i="36"/>
  <c r="F141" i="36" s="1" a="1"/>
  <c r="F141" i="36" s="1"/>
  <c r="A140" i="36"/>
  <c r="A139" i="36"/>
  <c r="E139" i="36" s="1" a="1"/>
  <c r="E139" i="36" s="1"/>
  <c r="A138" i="36"/>
  <c r="F138" i="36" s="1" a="1"/>
  <c r="F138" i="36" s="1"/>
  <c r="A137" i="36"/>
  <c r="E137" i="36" s="1" a="1"/>
  <c r="E137" i="36" s="1"/>
  <c r="A136" i="36"/>
  <c r="A135" i="36"/>
  <c r="E135" i="36" s="1" a="1"/>
  <c r="E135" i="36" s="1"/>
  <c r="A134" i="36"/>
  <c r="F134" i="36" s="1" a="1"/>
  <c r="F134" i="36" s="1"/>
  <c r="A133" i="36"/>
  <c r="E133" i="36" s="1" a="1"/>
  <c r="E133" i="36" s="1"/>
  <c r="A132" i="36"/>
  <c r="A131" i="36"/>
  <c r="F131" i="36" s="1" a="1"/>
  <c r="F131" i="36" s="1"/>
  <c r="A130" i="36"/>
  <c r="F130" i="36" s="1" a="1"/>
  <c r="F130" i="36" s="1"/>
  <c r="A129" i="36"/>
  <c r="E129" i="36" s="1" a="1"/>
  <c r="E129" i="36" s="1"/>
  <c r="A128" i="36"/>
  <c r="A127" i="36"/>
  <c r="E127" i="36" s="1" a="1"/>
  <c r="E127" i="36" s="1"/>
  <c r="A126" i="36"/>
  <c r="F126" i="36" s="1" a="1"/>
  <c r="F126" i="36" s="1"/>
  <c r="A125" i="36"/>
  <c r="E125" i="36" s="1" a="1"/>
  <c r="E125" i="36" s="1"/>
  <c r="A124" i="36"/>
  <c r="A123" i="36"/>
  <c r="E123" i="36" s="1" a="1"/>
  <c r="E123" i="36" s="1"/>
  <c r="A122" i="36"/>
  <c r="F122" i="36" s="1" a="1"/>
  <c r="F122" i="36" s="1"/>
  <c r="A121" i="36"/>
  <c r="F121" i="36" s="1" a="1"/>
  <c r="F121" i="36" s="1"/>
  <c r="A120" i="36"/>
  <c r="A119" i="36"/>
  <c r="E119" i="36" s="1" a="1"/>
  <c r="E119" i="36" s="1"/>
  <c r="A118" i="36"/>
  <c r="F118" i="36" s="1" a="1"/>
  <c r="F118" i="36" s="1"/>
  <c r="A117" i="36"/>
  <c r="E117" i="36" s="1" a="1"/>
  <c r="E117" i="36" s="1"/>
  <c r="A116" i="36"/>
  <c r="A115" i="36"/>
  <c r="E115" i="36" s="1" a="1"/>
  <c r="E115" i="36" s="1"/>
  <c r="A114" i="36"/>
  <c r="F114" i="36" s="1" a="1"/>
  <c r="F114" i="36" s="1"/>
  <c r="A113" i="36"/>
  <c r="A112" i="36"/>
  <c r="A111" i="36"/>
  <c r="E111" i="36" s="1" a="1"/>
  <c r="E111" i="36" s="1"/>
  <c r="A110" i="36"/>
  <c r="A109" i="36"/>
  <c r="F109" i="36" s="1" a="1"/>
  <c r="F109" i="36" s="1"/>
  <c r="A108" i="36"/>
  <c r="A107" i="36"/>
  <c r="E107" i="36" s="1" a="1"/>
  <c r="E107" i="36" s="1"/>
  <c r="A106" i="36"/>
  <c r="A105" i="36"/>
  <c r="A104" i="36"/>
  <c r="A103" i="36"/>
  <c r="E103" i="36" s="1" a="1"/>
  <c r="E103" i="36" s="1"/>
  <c r="A102" i="36"/>
  <c r="A101" i="36"/>
  <c r="F101" i="36" s="1" a="1"/>
  <c r="F101" i="36" s="1"/>
  <c r="A100" i="36"/>
  <c r="A99" i="36"/>
  <c r="E99" i="36" s="1" a="1"/>
  <c r="E99" i="36" s="1"/>
  <c r="A98" i="36"/>
  <c r="A97" i="36"/>
  <c r="A96" i="36"/>
  <c r="A95" i="36"/>
  <c r="C95" i="36" s="1" a="1"/>
  <c r="C95" i="36" s="1"/>
  <c r="A94" i="36"/>
  <c r="A93" i="36"/>
  <c r="F93" i="36" s="1" a="1"/>
  <c r="F93" i="36" s="1"/>
  <c r="A92" i="36"/>
  <c r="A91" i="36"/>
  <c r="E91" i="36" s="1" a="1"/>
  <c r="E91" i="36" s="1"/>
  <c r="A90" i="36"/>
  <c r="A89" i="36"/>
  <c r="E89" i="36" s="1" a="1"/>
  <c r="E89" i="36" s="1"/>
  <c r="A88" i="36"/>
  <c r="A87" i="36"/>
  <c r="C87" i="36" s="1" a="1"/>
  <c r="C87" i="36" s="1"/>
  <c r="A86" i="36"/>
  <c r="A85" i="36"/>
  <c r="F85" i="36" s="1" a="1"/>
  <c r="F85" i="36" s="1"/>
  <c r="A84" i="36"/>
  <c r="A83" i="36"/>
  <c r="E83" i="36" s="1" a="1"/>
  <c r="E83" i="36" s="1"/>
  <c r="A82" i="36"/>
  <c r="A81" i="36"/>
  <c r="A80" i="36"/>
  <c r="A79" i="36"/>
  <c r="C79" i="36" s="1" a="1"/>
  <c r="C79" i="36" s="1"/>
  <c r="A78" i="36"/>
  <c r="A77" i="36"/>
  <c r="F77" i="36" s="1" a="1"/>
  <c r="F77" i="36" s="1"/>
  <c r="A76" i="36"/>
  <c r="A75" i="36"/>
  <c r="E75" i="36" s="1" a="1"/>
  <c r="E75" i="36" s="1"/>
  <c r="A74" i="36"/>
  <c r="A73" i="36"/>
  <c r="E73" i="36" s="1" a="1"/>
  <c r="E73" i="36" s="1"/>
  <c r="A72" i="36"/>
  <c r="A71" i="36"/>
  <c r="C71" i="36" s="1" a="1"/>
  <c r="C71" i="36" s="1"/>
  <c r="A70" i="36"/>
  <c r="A69" i="36"/>
  <c r="F69" i="36" s="1" a="1"/>
  <c r="F69" i="36" s="1"/>
  <c r="A68" i="36"/>
  <c r="A67" i="36"/>
  <c r="E67" i="36" s="1" a="1"/>
  <c r="E67" i="36" s="1"/>
  <c r="A66" i="36"/>
  <c r="A65" i="36"/>
  <c r="A64" i="36"/>
  <c r="A63" i="36"/>
  <c r="C63" i="36" s="1" a="1"/>
  <c r="C63" i="36" s="1"/>
  <c r="A62" i="36"/>
  <c r="A61" i="36"/>
  <c r="F61" i="36" s="1" a="1"/>
  <c r="F61" i="36" s="1"/>
  <c r="A60" i="36"/>
  <c r="A59" i="36"/>
  <c r="E59" i="36" s="1" a="1"/>
  <c r="E59" i="36" s="1"/>
  <c r="A58" i="36"/>
  <c r="A57" i="36"/>
  <c r="A56" i="36"/>
  <c r="A55" i="36"/>
  <c r="C55" i="36" s="1" a="1"/>
  <c r="C55" i="36" s="1"/>
  <c r="A54" i="36"/>
  <c r="A53" i="36"/>
  <c r="F53" i="36" s="1" a="1"/>
  <c r="F53" i="36" s="1"/>
  <c r="A52" i="36"/>
  <c r="A51" i="36"/>
  <c r="E51" i="36" s="1" a="1"/>
  <c r="E51" i="36" s="1"/>
  <c r="A50" i="36"/>
  <c r="A49" i="36"/>
  <c r="A48" i="36"/>
  <c r="A47" i="36"/>
  <c r="C47" i="36" s="1" a="1"/>
  <c r="C47" i="36" s="1"/>
  <c r="A46" i="36"/>
  <c r="A45" i="36"/>
  <c r="F45" i="36" s="1" a="1"/>
  <c r="F45" i="36" s="1"/>
  <c r="A44" i="36"/>
  <c r="A43" i="36"/>
  <c r="E43" i="36" s="1" a="1"/>
  <c r="E43" i="36" s="1"/>
  <c r="A42" i="36"/>
  <c r="A41" i="36"/>
  <c r="E41" i="36" s="1" a="1"/>
  <c r="E41" i="36" s="1"/>
  <c r="A40" i="36"/>
  <c r="A39" i="36"/>
  <c r="C39" i="36" s="1" a="1"/>
  <c r="C39" i="36" s="1"/>
  <c r="A38" i="36"/>
  <c r="A37" i="36"/>
  <c r="E37" i="36" s="1" a="1"/>
  <c r="E37" i="36" s="1"/>
  <c r="A36" i="36"/>
  <c r="A35" i="36"/>
  <c r="E35" i="36" s="1" a="1"/>
  <c r="E35" i="36" s="1"/>
  <c r="A34" i="36"/>
  <c r="A33" i="36"/>
  <c r="A32" i="36"/>
  <c r="A31" i="36"/>
  <c r="C31" i="36" s="1" a="1"/>
  <c r="C31" i="36" s="1"/>
  <c r="A30" i="36"/>
  <c r="A29" i="36"/>
  <c r="E29" i="36" s="1" a="1"/>
  <c r="E29" i="36" s="1"/>
  <c r="A28" i="36"/>
  <c r="F28" i="36" s="1" a="1"/>
  <c r="F28" i="36" s="1"/>
  <c r="A27" i="36"/>
  <c r="A26" i="36"/>
  <c r="A25" i="36"/>
  <c r="E25" i="36" s="1" a="1"/>
  <c r="E25" i="36" s="1"/>
  <c r="A24" i="36"/>
  <c r="F24" i="36" s="1" a="1"/>
  <c r="F24" i="36" s="1"/>
  <c r="A23" i="36"/>
  <c r="E23" i="36" s="1" a="1"/>
  <c r="E23" i="36" s="1"/>
  <c r="A22" i="36"/>
  <c r="A21" i="36"/>
  <c r="F21" i="36" s="1" a="1"/>
  <c r="F21" i="36" s="1"/>
  <c r="A20" i="36"/>
  <c r="F20" i="36" s="1" a="1"/>
  <c r="F20" i="36" s="1"/>
  <c r="A19" i="36"/>
  <c r="F19" i="36" s="1" a="1"/>
  <c r="F19" i="36" s="1"/>
  <c r="A18" i="36"/>
  <c r="A17" i="36"/>
  <c r="E17" i="36" s="1" a="1"/>
  <c r="E17" i="36" s="1"/>
  <c r="A16" i="36"/>
  <c r="F16" i="36" s="1" a="1"/>
  <c r="F16" i="36" s="1"/>
  <c r="A15" i="36"/>
  <c r="D15" i="36" s="1" a="1"/>
  <c r="D15" i="36" s="1"/>
  <c r="A14" i="36"/>
  <c r="A13" i="36"/>
  <c r="C13" i="36" s="1" a="1"/>
  <c r="C13" i="36" s="1"/>
  <c r="A12" i="36"/>
  <c r="F12" i="36" s="1" a="1"/>
  <c r="F12" i="36" s="1"/>
  <c r="A11" i="36"/>
  <c r="C11" i="36" s="1" a="1"/>
  <c r="C11" i="36" s="1"/>
  <c r="A10" i="36"/>
  <c r="A9" i="36"/>
  <c r="F9" i="36" s="1" a="1"/>
  <c r="F9" i="36" s="1"/>
  <c r="A8" i="36"/>
  <c r="F8" i="36" s="1" a="1"/>
  <c r="F8" i="36" s="1"/>
  <c r="A7" i="36"/>
  <c r="E7" i="36" s="1" a="1"/>
  <c r="E7" i="36" s="1"/>
  <c r="A6" i="36"/>
  <c r="A5" i="36"/>
  <c r="P4" i="36"/>
  <c r="Q4" i="36" s="1"/>
  <c r="A4" i="36"/>
  <c r="F4" i="36" s="1" a="1"/>
  <c r="F4" i="36" s="1"/>
  <c r="P3" i="36"/>
  <c r="Q3" i="36" s="1"/>
  <c r="A3" i="36"/>
  <c r="F3" i="36" s="1" a="1"/>
  <c r="F3" i="36" s="1"/>
  <c r="P2" i="36"/>
  <c r="Q2" i="36" s="1"/>
  <c r="A2" i="36"/>
  <c r="E2" i="36" s="1" a="1"/>
  <c r="E2" i="36" s="1"/>
  <c r="Q190" i="35"/>
  <c r="Q191" i="35"/>
  <c r="Q189" i="35"/>
  <c r="Q181" i="35"/>
  <c r="Q182" i="35"/>
  <c r="Q180" i="35"/>
  <c r="Q172" i="35"/>
  <c r="Q173" i="35"/>
  <c r="Q171" i="35"/>
  <c r="L190" i="35"/>
  <c r="L191" i="35"/>
  <c r="L189" i="35"/>
  <c r="L181" i="35"/>
  <c r="L182" i="35"/>
  <c r="L180" i="35"/>
  <c r="L172" i="35"/>
  <c r="L173" i="35"/>
  <c r="L171" i="35"/>
  <c r="G190" i="35"/>
  <c r="G191" i="35"/>
  <c r="G189" i="35"/>
  <c r="G172" i="35"/>
  <c r="G173" i="35"/>
  <c r="G171" i="35"/>
  <c r="L165" i="35"/>
  <c r="V169" i="35" s="1"/>
  <c r="K165" i="35"/>
  <c r="J165" i="35"/>
  <c r="L169" i="35" s="1"/>
  <c r="I165" i="35"/>
  <c r="F169" i="35" s="1"/>
  <c r="A164" i="35"/>
  <c r="D164" i="35" s="1" a="1"/>
  <c r="D164" i="35" s="1"/>
  <c r="A163" i="35"/>
  <c r="A162" i="35"/>
  <c r="E162" i="35" s="1" a="1"/>
  <c r="E162" i="35" s="1"/>
  <c r="A161" i="35"/>
  <c r="A160" i="35"/>
  <c r="F160" i="35" s="1" a="1"/>
  <c r="F160" i="35" s="1"/>
  <c r="A159" i="35"/>
  <c r="A158" i="35"/>
  <c r="E158" i="35" s="1" a="1"/>
  <c r="E158" i="35" s="1"/>
  <c r="A157" i="35"/>
  <c r="B157" i="35" s="1" a="1"/>
  <c r="B157" i="35" s="1"/>
  <c r="A156" i="35"/>
  <c r="D156" i="35" s="1" a="1"/>
  <c r="D156" i="35" s="1"/>
  <c r="A155" i="35"/>
  <c r="C155" i="35" s="1" a="1"/>
  <c r="C155" i="35" s="1"/>
  <c r="A154" i="35"/>
  <c r="D154" i="35" s="1" a="1"/>
  <c r="D154" i="35" s="1"/>
  <c r="A153" i="35"/>
  <c r="A152" i="35"/>
  <c r="A151" i="35"/>
  <c r="A150" i="35"/>
  <c r="D150" i="35" s="1" a="1"/>
  <c r="D150" i="35" s="1"/>
  <c r="A149" i="35"/>
  <c r="F149" i="35" s="1" a="1"/>
  <c r="F149" i="35" s="1"/>
  <c r="A148" i="35"/>
  <c r="D148" i="35" s="1" a="1"/>
  <c r="D148" i="35" s="1"/>
  <c r="A147" i="35"/>
  <c r="C147" i="35" s="1" a="1"/>
  <c r="C147" i="35" s="1"/>
  <c r="A146" i="35"/>
  <c r="D146" i="35" s="1" a="1"/>
  <c r="D146" i="35" s="1"/>
  <c r="A145" i="35"/>
  <c r="A144" i="35"/>
  <c r="F144" i="35" s="1" a="1"/>
  <c r="F144" i="35" s="1"/>
  <c r="A143" i="35"/>
  <c r="E143" i="35" s="1" a="1"/>
  <c r="E143" i="35" s="1"/>
  <c r="A142" i="35"/>
  <c r="D142" i="35" s="1" a="1"/>
  <c r="D142" i="35" s="1"/>
  <c r="A141" i="35"/>
  <c r="A140" i="35"/>
  <c r="F140" i="35" s="1" a="1"/>
  <c r="F140" i="35" s="1"/>
  <c r="A139" i="35"/>
  <c r="B139" i="35" s="1" a="1"/>
  <c r="B139" i="35" s="1"/>
  <c r="A138" i="35"/>
  <c r="A137" i="35"/>
  <c r="E137" i="35" s="1" a="1"/>
  <c r="E137" i="35" s="1"/>
  <c r="A136" i="35"/>
  <c r="F136" i="35" s="1" a="1"/>
  <c r="F136" i="35" s="1"/>
  <c r="A135" i="35"/>
  <c r="E135" i="35" s="1" a="1"/>
  <c r="E135" i="35" s="1"/>
  <c r="A134" i="35"/>
  <c r="F134" i="35" s="1" a="1"/>
  <c r="F134" i="35" s="1"/>
  <c r="A133" i="35"/>
  <c r="A132" i="35"/>
  <c r="A131" i="35"/>
  <c r="A130" i="35"/>
  <c r="A129" i="35"/>
  <c r="D129" i="35" s="1" a="1"/>
  <c r="D129" i="35" s="1"/>
  <c r="A128" i="35"/>
  <c r="C128" i="35" s="1" a="1"/>
  <c r="C128" i="35" s="1"/>
  <c r="A127" i="35"/>
  <c r="F127" i="35" s="1" a="1"/>
  <c r="F127" i="35" s="1"/>
  <c r="A126" i="35"/>
  <c r="B126" i="35" s="1" a="1"/>
  <c r="B126" i="35" s="1"/>
  <c r="A125" i="35"/>
  <c r="A124" i="35"/>
  <c r="A123" i="35"/>
  <c r="C123" i="35" s="1" a="1"/>
  <c r="C123" i="35" s="1"/>
  <c r="A122" i="35"/>
  <c r="D122" i="35" s="1" a="1"/>
  <c r="D122" i="35" s="1"/>
  <c r="A121" i="35"/>
  <c r="E121" i="35" s="1" a="1"/>
  <c r="E121" i="35" s="1"/>
  <c r="A120" i="35"/>
  <c r="F120" i="35" s="1" a="1"/>
  <c r="F120" i="35" s="1"/>
  <c r="A119" i="35"/>
  <c r="A118" i="35"/>
  <c r="B118" i="35" s="1" a="1"/>
  <c r="B118" i="35" s="1"/>
  <c r="A117" i="35"/>
  <c r="E117" i="35" s="1" a="1"/>
  <c r="E117" i="35" s="1"/>
  <c r="A116" i="35"/>
  <c r="A115" i="35"/>
  <c r="A114" i="35"/>
  <c r="D114" i="35" s="1" a="1"/>
  <c r="D114" i="35" s="1"/>
  <c r="A113" i="35"/>
  <c r="E113" i="35" s="1" a="1"/>
  <c r="E113" i="35" s="1"/>
  <c r="A112" i="35"/>
  <c r="F112" i="35" s="1" a="1"/>
  <c r="F112" i="35" s="1"/>
  <c r="A111" i="35"/>
  <c r="E111" i="35" s="1" a="1"/>
  <c r="E111" i="35" s="1"/>
  <c r="A110" i="35"/>
  <c r="D110" i="35" s="1" a="1"/>
  <c r="D110" i="35" s="1"/>
  <c r="A109" i="35"/>
  <c r="E109" i="35" s="1" a="1"/>
  <c r="E109" i="35" s="1"/>
  <c r="A108" i="35"/>
  <c r="A107" i="35"/>
  <c r="A106" i="35"/>
  <c r="D106" i="35" s="1" a="1"/>
  <c r="D106" i="35" s="1"/>
  <c r="A105" i="35"/>
  <c r="E105" i="35" s="1" a="1"/>
  <c r="E105" i="35" s="1"/>
  <c r="A104" i="35"/>
  <c r="F104" i="35" s="1" a="1"/>
  <c r="F104" i="35" s="1"/>
  <c r="A103" i="35"/>
  <c r="E103" i="35" s="1" a="1"/>
  <c r="E103" i="35" s="1"/>
  <c r="A102" i="35"/>
  <c r="D102" i="35" s="1" a="1"/>
  <c r="D102" i="35" s="1"/>
  <c r="A101" i="35"/>
  <c r="E101" i="35" s="1" a="1"/>
  <c r="E101" i="35" s="1"/>
  <c r="A100" i="35"/>
  <c r="D100" i="35" s="1" a="1"/>
  <c r="D100" i="35" s="1"/>
  <c r="A99" i="35"/>
  <c r="E99" i="35" s="1" a="1"/>
  <c r="E99" i="35" s="1"/>
  <c r="A98" i="35"/>
  <c r="D98" i="35" s="1" a="1"/>
  <c r="D98" i="35" s="1"/>
  <c r="A97" i="35"/>
  <c r="A96" i="35"/>
  <c r="A95" i="35"/>
  <c r="E95" i="35" s="1" a="1"/>
  <c r="E95" i="35" s="1"/>
  <c r="A94" i="35"/>
  <c r="D94" i="35" s="1" a="1"/>
  <c r="D94" i="35" s="1"/>
  <c r="A93" i="35"/>
  <c r="E93" i="35" s="1" a="1"/>
  <c r="E93" i="35" s="1"/>
  <c r="A92" i="35"/>
  <c r="A91" i="35"/>
  <c r="C91" i="35" s="1" a="1"/>
  <c r="C91" i="35" s="1"/>
  <c r="A90" i="35"/>
  <c r="D90" i="35" s="1" a="1"/>
  <c r="D90" i="35" s="1"/>
  <c r="A89" i="35"/>
  <c r="E89" i="35" s="1" a="1"/>
  <c r="E89" i="35" s="1"/>
  <c r="A88" i="35"/>
  <c r="F88" i="35" s="1" a="1"/>
  <c r="F88" i="35" s="1"/>
  <c r="A87" i="35"/>
  <c r="C87" i="35" s="1" a="1"/>
  <c r="C87" i="35" s="1"/>
  <c r="A86" i="35"/>
  <c r="D86" i="35" s="1" a="1"/>
  <c r="D86" i="35" s="1"/>
  <c r="A85" i="35"/>
  <c r="A84" i="35"/>
  <c r="E84" i="35" s="1" a="1"/>
  <c r="E84" i="35" s="1"/>
  <c r="A83" i="35"/>
  <c r="E83" i="35" s="1" a="1"/>
  <c r="E83" i="35" s="1"/>
  <c r="A82" i="35"/>
  <c r="E82" i="35" s="1" a="1"/>
  <c r="E82" i="35" s="1"/>
  <c r="A81" i="35"/>
  <c r="B81" i="35" s="1" a="1"/>
  <c r="B81" i="35" s="1"/>
  <c r="A80" i="35"/>
  <c r="B80" i="35" s="1" a="1"/>
  <c r="B80" i="35" s="1"/>
  <c r="A79" i="35"/>
  <c r="A78" i="35"/>
  <c r="E78" i="35" s="1" a="1"/>
  <c r="E78" i="35" s="1"/>
  <c r="A77" i="35"/>
  <c r="D77" i="35" s="1" a="1"/>
  <c r="D77" i="35" s="1"/>
  <c r="A76" i="35"/>
  <c r="C76" i="35" s="1" a="1"/>
  <c r="C76" i="35" s="1"/>
  <c r="A75" i="35"/>
  <c r="A74" i="35"/>
  <c r="E74" i="35" s="1" a="1"/>
  <c r="E74" i="35" s="1"/>
  <c r="A73" i="35"/>
  <c r="F73" i="35" s="1" a="1"/>
  <c r="F73" i="35" s="1"/>
  <c r="A72" i="35"/>
  <c r="C72" i="35" s="1" a="1"/>
  <c r="C72" i="35" s="1"/>
  <c r="A71" i="35"/>
  <c r="A70" i="35"/>
  <c r="F70" i="35" s="1" a="1"/>
  <c r="F70" i="35" s="1"/>
  <c r="A69" i="35"/>
  <c r="F69" i="35" s="1" a="1"/>
  <c r="F69" i="35" s="1"/>
  <c r="A68" i="35"/>
  <c r="A67" i="35"/>
  <c r="C67" i="35" s="1" a="1"/>
  <c r="C67" i="35" s="1"/>
  <c r="A66" i="35"/>
  <c r="D66" i="35" s="1" a="1"/>
  <c r="D66" i="35" s="1"/>
  <c r="A65" i="35"/>
  <c r="E65" i="35" s="1" a="1"/>
  <c r="E65" i="35" s="1"/>
  <c r="A64" i="35"/>
  <c r="A63" i="35"/>
  <c r="F63" i="35" s="1" a="1"/>
  <c r="F63" i="35" s="1"/>
  <c r="A62" i="35"/>
  <c r="F62" i="35" s="1" a="1"/>
  <c r="F62" i="35" s="1"/>
  <c r="A61" i="35"/>
  <c r="E61" i="35" s="1" a="1"/>
  <c r="E61" i="35" s="1"/>
  <c r="A60" i="35"/>
  <c r="A59" i="35"/>
  <c r="F59" i="35" s="1" a="1"/>
  <c r="F59" i="35" s="1"/>
  <c r="A58" i="35"/>
  <c r="F58" i="35" s="1" a="1"/>
  <c r="F58" i="35" s="1"/>
  <c r="A57" i="35"/>
  <c r="E57" i="35" s="1" a="1"/>
  <c r="E57" i="35" s="1"/>
  <c r="A56" i="35"/>
  <c r="A55" i="35"/>
  <c r="F55" i="35" s="1" a="1"/>
  <c r="F55" i="35" s="1"/>
  <c r="A54" i="35"/>
  <c r="F54" i="35" s="1" a="1"/>
  <c r="F54" i="35" s="1"/>
  <c r="A53" i="35"/>
  <c r="E53" i="35" s="1" a="1"/>
  <c r="E53" i="35" s="1"/>
  <c r="A52" i="35"/>
  <c r="A51" i="35"/>
  <c r="F51" i="35" s="1" a="1"/>
  <c r="F51" i="35" s="1"/>
  <c r="A50" i="35"/>
  <c r="F50" i="35" s="1" a="1"/>
  <c r="F50" i="35" s="1"/>
  <c r="A49" i="35"/>
  <c r="E49" i="35" s="1" a="1"/>
  <c r="E49" i="35" s="1"/>
  <c r="A48" i="35"/>
  <c r="A47" i="35"/>
  <c r="F47" i="35" s="1" a="1"/>
  <c r="F47" i="35" s="1"/>
  <c r="A46" i="35"/>
  <c r="F46" i="35" s="1" a="1"/>
  <c r="F46" i="35" s="1"/>
  <c r="A45" i="35"/>
  <c r="E45" i="35" s="1" a="1"/>
  <c r="E45" i="35" s="1"/>
  <c r="A44" i="35"/>
  <c r="A43" i="35"/>
  <c r="F43" i="35" s="1" a="1"/>
  <c r="F43" i="35" s="1"/>
  <c r="A42" i="35"/>
  <c r="F42" i="35" s="1" a="1"/>
  <c r="F42" i="35" s="1"/>
  <c r="A41" i="35"/>
  <c r="E41" i="35" s="1" a="1"/>
  <c r="E41" i="35" s="1"/>
  <c r="A40" i="35"/>
  <c r="A39" i="35"/>
  <c r="F39" i="35" s="1" a="1"/>
  <c r="F39" i="35" s="1"/>
  <c r="A38" i="35"/>
  <c r="F38" i="35" s="1" a="1"/>
  <c r="F38" i="35" s="1"/>
  <c r="A37" i="35"/>
  <c r="E37" i="35" s="1" a="1"/>
  <c r="E37" i="35" s="1"/>
  <c r="A36" i="35"/>
  <c r="A35" i="35"/>
  <c r="F35" i="35" s="1" a="1"/>
  <c r="F35" i="35" s="1"/>
  <c r="A34" i="35"/>
  <c r="F34" i="35" s="1" a="1"/>
  <c r="F34" i="35" s="1"/>
  <c r="A33" i="35"/>
  <c r="E33" i="35" s="1" a="1"/>
  <c r="E33" i="35" s="1"/>
  <c r="A32" i="35"/>
  <c r="A31" i="35"/>
  <c r="F31" i="35" s="1" a="1"/>
  <c r="F31" i="35" s="1"/>
  <c r="A30" i="35"/>
  <c r="F30" i="35" s="1" a="1"/>
  <c r="F30" i="35" s="1"/>
  <c r="A29" i="35"/>
  <c r="E29" i="35" s="1" a="1"/>
  <c r="E29" i="35" s="1"/>
  <c r="A28" i="35"/>
  <c r="A27" i="35"/>
  <c r="F27" i="35" s="1" a="1"/>
  <c r="F27" i="35" s="1"/>
  <c r="A26" i="35"/>
  <c r="F26" i="35" s="1" a="1"/>
  <c r="F26" i="35" s="1"/>
  <c r="A25" i="35"/>
  <c r="E25" i="35" s="1" a="1"/>
  <c r="E25" i="35" s="1"/>
  <c r="A24" i="35"/>
  <c r="F24" i="35" s="1" a="1"/>
  <c r="F24" i="35" s="1"/>
  <c r="A23" i="35"/>
  <c r="E23" i="35" s="1" a="1"/>
  <c r="E23" i="35" s="1"/>
  <c r="A22" i="35"/>
  <c r="F22" i="35" s="1" a="1"/>
  <c r="F22" i="35" s="1"/>
  <c r="A21" i="35"/>
  <c r="E21" i="35" s="1" a="1"/>
  <c r="E21" i="35" s="1"/>
  <c r="A20" i="35"/>
  <c r="F20" i="35" s="1" a="1"/>
  <c r="F20" i="35" s="1"/>
  <c r="A19" i="35"/>
  <c r="E19" i="35" s="1" a="1"/>
  <c r="E19" i="35" s="1"/>
  <c r="A18" i="35"/>
  <c r="F18" i="35" s="1" a="1"/>
  <c r="F18" i="35" s="1"/>
  <c r="A17" i="35"/>
  <c r="E17" i="35" s="1" a="1"/>
  <c r="E17" i="35" s="1"/>
  <c r="A16" i="35"/>
  <c r="A15" i="35"/>
  <c r="E15" i="35" s="1" a="1"/>
  <c r="E15" i="35" s="1"/>
  <c r="A14" i="35"/>
  <c r="F14" i="35" s="1" a="1"/>
  <c r="F14" i="35" s="1"/>
  <c r="A13" i="35"/>
  <c r="E13" i="35" s="1" a="1"/>
  <c r="E13" i="35" s="1"/>
  <c r="A12" i="35"/>
  <c r="D12" i="35" s="1" a="1"/>
  <c r="D12" i="35" s="1"/>
  <c r="A11" i="35"/>
  <c r="C11" i="35" s="1" a="1"/>
  <c r="C11" i="35" s="1"/>
  <c r="A10" i="35"/>
  <c r="E10" i="35" s="1" a="1"/>
  <c r="E10" i="35" s="1"/>
  <c r="A9" i="35"/>
  <c r="F9" i="35" s="1" a="1"/>
  <c r="F9" i="35" s="1"/>
  <c r="A8" i="35"/>
  <c r="E8" i="35" s="1" a="1"/>
  <c r="E8" i="35" s="1"/>
  <c r="A7" i="35"/>
  <c r="E7" i="35" s="1" a="1"/>
  <c r="E7" i="35" s="1"/>
  <c r="A6" i="35"/>
  <c r="E6" i="35" s="1" a="1"/>
  <c r="E6" i="35" s="1"/>
  <c r="A5" i="35"/>
  <c r="E5" i="35" s="1" a="1"/>
  <c r="E5" i="35" s="1"/>
  <c r="P4" i="35"/>
  <c r="Q4" i="35" s="1"/>
  <c r="A4" i="35"/>
  <c r="D4" i="35" s="1" a="1"/>
  <c r="D4" i="35" s="1"/>
  <c r="P3" i="35"/>
  <c r="Q3" i="35" s="1"/>
  <c r="A3" i="35"/>
  <c r="F3" i="35" s="1" a="1"/>
  <c r="F3" i="35" s="1"/>
  <c r="P2" i="35"/>
  <c r="Q2" i="35" s="1"/>
  <c r="P5" i="35" s="1"/>
  <c r="A2" i="35"/>
  <c r="F2" i="35" s="1" a="1"/>
  <c r="F2" i="35" s="1"/>
  <c r="Q190" i="34"/>
  <c r="Q191" i="34"/>
  <c r="Q189" i="34"/>
  <c r="Q181" i="34"/>
  <c r="Q182" i="34"/>
  <c r="Q180" i="34"/>
  <c r="Q172" i="34"/>
  <c r="Q173" i="34"/>
  <c r="Q171" i="34"/>
  <c r="L190" i="34"/>
  <c r="L191" i="34"/>
  <c r="L189" i="34"/>
  <c r="L172" i="34"/>
  <c r="L173" i="34"/>
  <c r="L171" i="34"/>
  <c r="G190" i="34"/>
  <c r="G191" i="34"/>
  <c r="G189" i="34"/>
  <c r="G181" i="34"/>
  <c r="G182" i="34"/>
  <c r="G180" i="34"/>
  <c r="G172" i="34"/>
  <c r="G173" i="34"/>
  <c r="G171" i="34"/>
  <c r="F171" i="34"/>
  <c r="P169" i="34"/>
  <c r="L165" i="34"/>
  <c r="V169" i="34" s="1"/>
  <c r="K165" i="34"/>
  <c r="Q169" i="34" s="1"/>
  <c r="J165" i="34"/>
  <c r="I165" i="34"/>
  <c r="G169" i="34" s="1"/>
  <c r="A164" i="34"/>
  <c r="A163" i="34"/>
  <c r="A162" i="34"/>
  <c r="D162" i="34" s="1" a="1"/>
  <c r="D162" i="34" s="1"/>
  <c r="A161" i="34"/>
  <c r="F161" i="34" s="1" a="1"/>
  <c r="F161" i="34" s="1"/>
  <c r="A160" i="34"/>
  <c r="D160" i="34" s="1" a="1"/>
  <c r="D160" i="34" s="1"/>
  <c r="A159" i="34"/>
  <c r="E159" i="34" s="1" a="1"/>
  <c r="E159" i="34" s="1"/>
  <c r="A158" i="34"/>
  <c r="D158" i="34" s="1" a="1"/>
  <c r="D158" i="34" s="1"/>
  <c r="A157" i="34"/>
  <c r="A156" i="34"/>
  <c r="A155" i="34"/>
  <c r="A154" i="34"/>
  <c r="D154" i="34" s="1" a="1"/>
  <c r="D154" i="34" s="1"/>
  <c r="A153" i="34"/>
  <c r="F153" i="34" s="1" a="1"/>
  <c r="F153" i="34" s="1"/>
  <c r="A152" i="34"/>
  <c r="A151" i="34"/>
  <c r="E151" i="34" s="1" a="1"/>
  <c r="E151" i="34" s="1"/>
  <c r="A150" i="34"/>
  <c r="A149" i="34"/>
  <c r="A148" i="34"/>
  <c r="A147" i="34"/>
  <c r="A146" i="34"/>
  <c r="A145" i="34"/>
  <c r="F145" i="34" s="1" a="1"/>
  <c r="F145" i="34" s="1"/>
  <c r="A144" i="34"/>
  <c r="A143" i="34"/>
  <c r="A142" i="34"/>
  <c r="A141" i="34"/>
  <c r="F141" i="34" s="1" a="1"/>
  <c r="F141" i="34" s="1"/>
  <c r="A140" i="34"/>
  <c r="A139" i="34"/>
  <c r="A138" i="34"/>
  <c r="A137" i="34"/>
  <c r="A136" i="34"/>
  <c r="D136" i="34" s="1" a="1"/>
  <c r="D136" i="34" s="1"/>
  <c r="A135" i="34"/>
  <c r="A134" i="34"/>
  <c r="F134" i="34" s="1" a="1"/>
  <c r="F134" i="34" s="1"/>
  <c r="A133" i="34"/>
  <c r="A132" i="34"/>
  <c r="F132" i="34" s="1" a="1"/>
  <c r="F132" i="34" s="1"/>
  <c r="A131" i="34"/>
  <c r="A130" i="34"/>
  <c r="C130" i="34" s="1" a="1"/>
  <c r="C130" i="34" s="1"/>
  <c r="A129" i="34"/>
  <c r="C129" i="34" s="1" a="1"/>
  <c r="C129" i="34" s="1"/>
  <c r="A128" i="34"/>
  <c r="F128" i="34" s="1" a="1"/>
  <c r="F128" i="34" s="1"/>
  <c r="A127" i="34"/>
  <c r="A126" i="34"/>
  <c r="A125" i="34"/>
  <c r="A124" i="34"/>
  <c r="E124" i="34" s="1" a="1"/>
  <c r="E124" i="34" s="1"/>
  <c r="A123" i="34"/>
  <c r="F123" i="34" s="1" a="1"/>
  <c r="F123" i="34" s="1"/>
  <c r="A122" i="34"/>
  <c r="E122" i="34" s="1" a="1"/>
  <c r="E122" i="34" s="1"/>
  <c r="A121" i="34"/>
  <c r="C121" i="34" s="1" a="1"/>
  <c r="C121" i="34" s="1"/>
  <c r="A120" i="34"/>
  <c r="A119" i="34"/>
  <c r="A118" i="34"/>
  <c r="E118" i="34" s="1" a="1"/>
  <c r="E118" i="34" s="1"/>
  <c r="A117" i="34"/>
  <c r="E117" i="34" s="1" a="1"/>
  <c r="E117" i="34" s="1"/>
  <c r="A116" i="34"/>
  <c r="D116" i="34" s="1" a="1"/>
  <c r="D116" i="34" s="1"/>
  <c r="A115" i="34"/>
  <c r="F115" i="34" s="1" a="1"/>
  <c r="F115" i="34" s="1"/>
  <c r="A114" i="34"/>
  <c r="E114" i="34" s="1" a="1"/>
  <c r="E114" i="34" s="1"/>
  <c r="A113" i="34"/>
  <c r="C113" i="34" s="1" a="1"/>
  <c r="C113" i="34" s="1"/>
  <c r="A112" i="34"/>
  <c r="E112" i="34" s="1" a="1"/>
  <c r="E112" i="34" s="1"/>
  <c r="A111" i="34"/>
  <c r="D111" i="34" s="1" a="1"/>
  <c r="D111" i="34" s="1"/>
  <c r="A110" i="34"/>
  <c r="E110" i="34" s="1" a="1"/>
  <c r="E110" i="34" s="1"/>
  <c r="A109" i="34"/>
  <c r="E109" i="34" s="1" a="1"/>
  <c r="E109" i="34" s="1"/>
  <c r="A108" i="34"/>
  <c r="A107" i="34"/>
  <c r="F107" i="34" s="1" a="1"/>
  <c r="F107" i="34" s="1"/>
  <c r="A106" i="34"/>
  <c r="A105" i="34"/>
  <c r="C105" i="34" s="1" a="1"/>
  <c r="C105" i="34" s="1"/>
  <c r="A104" i="34"/>
  <c r="F104" i="34" s="1" a="1"/>
  <c r="F104" i="34" s="1"/>
  <c r="A103" i="34"/>
  <c r="D103" i="34" s="1" a="1"/>
  <c r="D103" i="34" s="1"/>
  <c r="A102" i="34"/>
  <c r="E102" i="34" s="1" a="1"/>
  <c r="E102" i="34" s="1"/>
  <c r="A101" i="34"/>
  <c r="E101" i="34" s="1" a="1"/>
  <c r="E101" i="34" s="1"/>
  <c r="A100" i="34"/>
  <c r="E100" i="34" s="1" a="1"/>
  <c r="E100" i="34" s="1"/>
  <c r="A99" i="34"/>
  <c r="F99" i="34" s="1" a="1"/>
  <c r="F99" i="34" s="1"/>
  <c r="A98" i="34"/>
  <c r="A97" i="34"/>
  <c r="C97" i="34" s="1" a="1"/>
  <c r="C97" i="34" s="1"/>
  <c r="A96" i="34"/>
  <c r="F96" i="34" s="1" a="1"/>
  <c r="F96" i="34" s="1"/>
  <c r="A95" i="34"/>
  <c r="A94" i="34"/>
  <c r="A93" i="34"/>
  <c r="A92" i="34"/>
  <c r="D92" i="34" s="1" a="1"/>
  <c r="D92" i="34" s="1"/>
  <c r="A91" i="34"/>
  <c r="F91" i="34" s="1" a="1"/>
  <c r="F91" i="34" s="1"/>
  <c r="A90" i="34"/>
  <c r="E90" i="34" s="1" a="1"/>
  <c r="E90" i="34" s="1"/>
  <c r="A89" i="34"/>
  <c r="C89" i="34" s="1" a="1"/>
  <c r="C89" i="34" s="1"/>
  <c r="A88" i="34"/>
  <c r="E88" i="34" s="1" a="1"/>
  <c r="E88" i="34" s="1"/>
  <c r="A87" i="34"/>
  <c r="A86" i="34"/>
  <c r="E86" i="34" s="1" a="1"/>
  <c r="E86" i="34" s="1"/>
  <c r="A85" i="34"/>
  <c r="E85" i="34" s="1" a="1"/>
  <c r="E85" i="34" s="1"/>
  <c r="A84" i="34"/>
  <c r="D84" i="34" s="1" a="1"/>
  <c r="D84" i="34" s="1"/>
  <c r="A83" i="34"/>
  <c r="F83" i="34" s="1" a="1"/>
  <c r="F83" i="34" s="1"/>
  <c r="A82" i="34"/>
  <c r="E82" i="34" s="1" a="1"/>
  <c r="E82" i="34" s="1"/>
  <c r="A81" i="34"/>
  <c r="C81" i="34" s="1" a="1"/>
  <c r="C81" i="34" s="1"/>
  <c r="A80" i="34"/>
  <c r="E80" i="34" s="1" a="1"/>
  <c r="E80" i="34" s="1"/>
  <c r="A79" i="34"/>
  <c r="D79" i="34" s="1" a="1"/>
  <c r="D79" i="34" s="1"/>
  <c r="A78" i="34"/>
  <c r="E78" i="34" s="1" a="1"/>
  <c r="E78" i="34" s="1"/>
  <c r="A77" i="34"/>
  <c r="E77" i="34" s="1" a="1"/>
  <c r="E77" i="34" s="1"/>
  <c r="A76" i="34"/>
  <c r="F76" i="34" s="1" a="1"/>
  <c r="F76" i="34" s="1"/>
  <c r="A75" i="34"/>
  <c r="E75" i="34" s="1" a="1"/>
  <c r="E75" i="34" s="1"/>
  <c r="A74" i="34"/>
  <c r="A73" i="34"/>
  <c r="F73" i="34" s="1" a="1"/>
  <c r="F73" i="34" s="1"/>
  <c r="A72" i="34"/>
  <c r="A71" i="34"/>
  <c r="E71" i="34" s="1" a="1"/>
  <c r="E71" i="34" s="1"/>
  <c r="A70" i="34"/>
  <c r="F70" i="34" s="1" a="1"/>
  <c r="F70" i="34" s="1"/>
  <c r="A69" i="34"/>
  <c r="F69" i="34" s="1" a="1"/>
  <c r="F69" i="34" s="1"/>
  <c r="A68" i="34"/>
  <c r="B68" i="34" s="1" a="1"/>
  <c r="B68" i="34" s="1"/>
  <c r="A67" i="34"/>
  <c r="E67" i="34" s="1" a="1"/>
  <c r="E67" i="34" s="1"/>
  <c r="A66" i="34"/>
  <c r="F66" i="34" s="1" a="1"/>
  <c r="F66" i="34" s="1"/>
  <c r="A65" i="34"/>
  <c r="D65" i="34" s="1" a="1"/>
  <c r="D65" i="34" s="1"/>
  <c r="A64" i="34"/>
  <c r="A63" i="34"/>
  <c r="E63" i="34" s="1" a="1"/>
  <c r="E63" i="34" s="1"/>
  <c r="A62" i="34"/>
  <c r="A61" i="34"/>
  <c r="E61" i="34" s="1" a="1"/>
  <c r="E61" i="34" s="1"/>
  <c r="A60" i="34"/>
  <c r="B60" i="34" s="1" a="1"/>
  <c r="B60" i="34" s="1"/>
  <c r="A59" i="34"/>
  <c r="E59" i="34" s="1" a="1"/>
  <c r="E59" i="34" s="1"/>
  <c r="A58" i="34"/>
  <c r="F58" i="34" s="1" a="1"/>
  <c r="F58" i="34" s="1"/>
  <c r="A57" i="34"/>
  <c r="E57" i="34" s="1" a="1"/>
  <c r="E57" i="34" s="1"/>
  <c r="A56" i="34"/>
  <c r="A55" i="34"/>
  <c r="E55" i="34" s="1" a="1"/>
  <c r="E55" i="34" s="1"/>
  <c r="A54" i="34"/>
  <c r="A53" i="34"/>
  <c r="E53" i="34" s="1" a="1"/>
  <c r="E53" i="34" s="1"/>
  <c r="A52" i="34"/>
  <c r="D52" i="34" s="1" a="1"/>
  <c r="D52" i="34" s="1"/>
  <c r="A51" i="34"/>
  <c r="E51" i="34" s="1" a="1"/>
  <c r="E51" i="34" s="1"/>
  <c r="A50" i="34"/>
  <c r="C50" i="34" s="1" a="1"/>
  <c r="C50" i="34" s="1"/>
  <c r="A49" i="34"/>
  <c r="E49" i="34" s="1" a="1"/>
  <c r="E49" i="34" s="1"/>
  <c r="A48" i="34"/>
  <c r="A47" i="34"/>
  <c r="A46" i="34"/>
  <c r="F46" i="34" s="1" a="1"/>
  <c r="F46" i="34" s="1"/>
  <c r="A45" i="34"/>
  <c r="D45" i="34" s="1" a="1"/>
  <c r="D45" i="34" s="1"/>
  <c r="A44" i="34"/>
  <c r="F44" i="34" s="1" a="1"/>
  <c r="F44" i="34" s="1"/>
  <c r="A43" i="34"/>
  <c r="E43" i="34" s="1" a="1"/>
  <c r="E43" i="34" s="1"/>
  <c r="A42" i="34"/>
  <c r="E42" i="34" s="1" a="1"/>
  <c r="E42" i="34" s="1"/>
  <c r="A41" i="34"/>
  <c r="B41" i="34" s="1" a="1"/>
  <c r="B41" i="34" s="1"/>
  <c r="A40" i="34"/>
  <c r="F40" i="34" s="1" a="1"/>
  <c r="F40" i="34" s="1"/>
  <c r="A39" i="34"/>
  <c r="A38" i="34"/>
  <c r="C38" i="34" s="1" a="1"/>
  <c r="C38" i="34" s="1"/>
  <c r="A37" i="34"/>
  <c r="D37" i="34" s="1" a="1"/>
  <c r="D37" i="34" s="1"/>
  <c r="A36" i="34"/>
  <c r="F36" i="34" s="1" a="1"/>
  <c r="F36" i="34" s="1"/>
  <c r="A35" i="34"/>
  <c r="E35" i="34" s="1" a="1"/>
  <c r="E35" i="34" s="1"/>
  <c r="A34" i="34"/>
  <c r="C34" i="34" s="1" a="1"/>
  <c r="C34" i="34" s="1"/>
  <c r="A33" i="34"/>
  <c r="E33" i="34" s="1" a="1"/>
  <c r="E33" i="34" s="1"/>
  <c r="A32" i="34"/>
  <c r="A31" i="34"/>
  <c r="E31" i="34" s="1" a="1"/>
  <c r="E31" i="34" s="1"/>
  <c r="A30" i="34"/>
  <c r="E30" i="34" s="1" a="1"/>
  <c r="E30" i="34" s="1"/>
  <c r="A29" i="34"/>
  <c r="D29" i="34" s="1" a="1"/>
  <c r="D29" i="34" s="1"/>
  <c r="A28" i="34"/>
  <c r="F28" i="34" s="1" a="1"/>
  <c r="F28" i="34" s="1"/>
  <c r="A27" i="34"/>
  <c r="E27" i="34" s="1" a="1"/>
  <c r="E27" i="34" s="1"/>
  <c r="A26" i="34"/>
  <c r="C26" i="34" s="1" a="1"/>
  <c r="C26" i="34" s="1"/>
  <c r="A25" i="34"/>
  <c r="D25" i="34" s="1" a="1"/>
  <c r="D25" i="34" s="1"/>
  <c r="A24" i="34"/>
  <c r="B24" i="34" s="1" a="1"/>
  <c r="B24" i="34" s="1"/>
  <c r="A23" i="34"/>
  <c r="F23" i="34" s="1" a="1"/>
  <c r="F23" i="34" s="1"/>
  <c r="A22" i="34"/>
  <c r="C22" i="34" s="1" a="1"/>
  <c r="C22" i="34" s="1"/>
  <c r="A21" i="34"/>
  <c r="F21" i="34" s="1" a="1"/>
  <c r="F21" i="34" s="1"/>
  <c r="A20" i="34"/>
  <c r="F20" i="34" s="1" a="1"/>
  <c r="F20" i="34" s="1"/>
  <c r="A19" i="34"/>
  <c r="D19" i="34" s="1" a="1"/>
  <c r="D19" i="34" s="1"/>
  <c r="A18" i="34"/>
  <c r="C18" i="34" s="1" a="1"/>
  <c r="C18" i="34" s="1"/>
  <c r="A17" i="34"/>
  <c r="D17" i="34" s="1" a="1"/>
  <c r="D17" i="34" s="1"/>
  <c r="A16" i="34"/>
  <c r="D16" i="34" s="1" a="1"/>
  <c r="D16" i="34" s="1"/>
  <c r="A15" i="34"/>
  <c r="F15" i="34" s="1" a="1"/>
  <c r="F15" i="34" s="1"/>
  <c r="A14" i="34"/>
  <c r="C14" i="34" s="1" a="1"/>
  <c r="C14" i="34" s="1"/>
  <c r="A13" i="34"/>
  <c r="D13" i="34" s="1" a="1"/>
  <c r="D13" i="34" s="1"/>
  <c r="A12" i="34"/>
  <c r="F12" i="34" s="1" a="1"/>
  <c r="F12" i="34" s="1"/>
  <c r="A11" i="34"/>
  <c r="F11" i="34" s="1" a="1"/>
  <c r="F11" i="34" s="1"/>
  <c r="A10" i="34"/>
  <c r="C10" i="34" s="1" a="1"/>
  <c r="C10" i="34" s="1"/>
  <c r="A9" i="34"/>
  <c r="E9" i="34" s="1" a="1"/>
  <c r="E9" i="34" s="1"/>
  <c r="A8" i="34"/>
  <c r="B8" i="34" s="1" a="1"/>
  <c r="B8" i="34" s="1"/>
  <c r="A7" i="34"/>
  <c r="F7" i="34" s="1" a="1"/>
  <c r="F7" i="34" s="1"/>
  <c r="A6" i="34"/>
  <c r="C6" i="34" s="1" a="1"/>
  <c r="C6" i="34" s="1"/>
  <c r="A5" i="34"/>
  <c r="C5" i="34" s="1" a="1"/>
  <c r="C5" i="34" s="1"/>
  <c r="P4" i="34"/>
  <c r="Q4" i="34" s="1"/>
  <c r="A4" i="34"/>
  <c r="C4" i="34" s="1" a="1"/>
  <c r="C4" i="34" s="1"/>
  <c r="P3" i="34"/>
  <c r="Q3" i="34" s="1"/>
  <c r="A3" i="34"/>
  <c r="F3" i="34" s="1" a="1"/>
  <c r="F3" i="34" s="1"/>
  <c r="P2" i="34"/>
  <c r="Q2" i="34" s="1"/>
  <c r="A2" i="34"/>
  <c r="D2" i="34" s="1" a="1"/>
  <c r="D2" i="34" s="1"/>
  <c r="Q190" i="33"/>
  <c r="Q191" i="33"/>
  <c r="Q189" i="33"/>
  <c r="Q181" i="33"/>
  <c r="Q182" i="33"/>
  <c r="Q180" i="33"/>
  <c r="Q172" i="33"/>
  <c r="Q173" i="33"/>
  <c r="Q171" i="33"/>
  <c r="P180" i="33"/>
  <c r="L190" i="33"/>
  <c r="L191" i="33"/>
  <c r="L189" i="33"/>
  <c r="L181" i="33"/>
  <c r="L182" i="33"/>
  <c r="L180" i="33"/>
  <c r="L172" i="33"/>
  <c r="L173" i="33"/>
  <c r="L171" i="33"/>
  <c r="G181" i="33"/>
  <c r="G182" i="33"/>
  <c r="G180" i="33"/>
  <c r="G172" i="33"/>
  <c r="G173" i="33"/>
  <c r="G171" i="33"/>
  <c r="P2" i="33"/>
  <c r="L165" i="33"/>
  <c r="V169" i="33" s="1"/>
  <c r="K165" i="33"/>
  <c r="Q169" i="33" s="1"/>
  <c r="J165" i="33"/>
  <c r="L169" i="33" s="1"/>
  <c r="I165" i="33"/>
  <c r="G169" i="33" s="1"/>
  <c r="A164" i="33"/>
  <c r="F164" i="33" s="1" a="1"/>
  <c r="F164" i="33" s="1"/>
  <c r="A163" i="33"/>
  <c r="A162" i="33"/>
  <c r="E162" i="33" s="1" a="1"/>
  <c r="E162" i="33" s="1"/>
  <c r="A161" i="33"/>
  <c r="A160" i="33"/>
  <c r="E160" i="33" s="1" a="1"/>
  <c r="E160" i="33" s="1"/>
  <c r="A159" i="33"/>
  <c r="A158" i="33"/>
  <c r="E158" i="33" s="1" a="1"/>
  <c r="E158" i="33" s="1"/>
  <c r="A157" i="33"/>
  <c r="A156" i="33"/>
  <c r="F156" i="33" s="1" a="1"/>
  <c r="F156" i="33" s="1"/>
  <c r="A155" i="33"/>
  <c r="A154" i="33"/>
  <c r="E154" i="33" s="1" a="1"/>
  <c r="E154" i="33" s="1"/>
  <c r="A153" i="33"/>
  <c r="A152" i="33"/>
  <c r="E152" i="33" s="1" a="1"/>
  <c r="E152" i="33" s="1"/>
  <c r="A151" i="33"/>
  <c r="A150" i="33"/>
  <c r="E150" i="33" s="1" a="1"/>
  <c r="E150" i="33" s="1"/>
  <c r="A149" i="33"/>
  <c r="A148" i="33"/>
  <c r="F148" i="33" s="1" a="1"/>
  <c r="F148" i="33" s="1"/>
  <c r="A147" i="33"/>
  <c r="A146" i="33"/>
  <c r="E146" i="33" s="1" a="1"/>
  <c r="E146" i="33" s="1"/>
  <c r="A145" i="33"/>
  <c r="A144" i="33"/>
  <c r="A143" i="33"/>
  <c r="D143" i="33" s="1" a="1"/>
  <c r="D143" i="33" s="1"/>
  <c r="A142" i="33"/>
  <c r="F142" i="33" s="1" a="1"/>
  <c r="F142" i="33" s="1"/>
  <c r="A141" i="33"/>
  <c r="E141" i="33" s="1" a="1"/>
  <c r="E141" i="33" s="1"/>
  <c r="A140" i="33"/>
  <c r="A139" i="33"/>
  <c r="E139" i="33" s="1" a="1"/>
  <c r="E139" i="33" s="1"/>
  <c r="A138" i="33"/>
  <c r="A137" i="33"/>
  <c r="E137" i="33" s="1" a="1"/>
  <c r="E137" i="33" s="1"/>
  <c r="A136" i="33"/>
  <c r="A135" i="33"/>
  <c r="E135" i="33" s="1" a="1"/>
  <c r="E135" i="33" s="1"/>
  <c r="A134" i="33"/>
  <c r="A133" i="33"/>
  <c r="E133" i="33" s="1" a="1"/>
  <c r="E133" i="33" s="1"/>
  <c r="A132" i="33"/>
  <c r="A131" i="33"/>
  <c r="E131" i="33" s="1" a="1"/>
  <c r="E131" i="33" s="1"/>
  <c r="A130" i="33"/>
  <c r="A129" i="33"/>
  <c r="E129" i="33" s="1" a="1"/>
  <c r="E129" i="33" s="1"/>
  <c r="A128" i="33"/>
  <c r="A127" i="33"/>
  <c r="A126" i="33"/>
  <c r="A125" i="33"/>
  <c r="E125" i="33" s="1" a="1"/>
  <c r="E125" i="33" s="1"/>
  <c r="A124" i="33"/>
  <c r="A123" i="33"/>
  <c r="E123" i="33" s="1" a="1"/>
  <c r="E123" i="33" s="1"/>
  <c r="A122" i="33"/>
  <c r="D122" i="33" s="1" a="1"/>
  <c r="D122" i="33" s="1"/>
  <c r="A121" i="33"/>
  <c r="A120" i="33"/>
  <c r="C120" i="33" s="1" a="1"/>
  <c r="C120" i="33" s="1"/>
  <c r="A119" i="33"/>
  <c r="E119" i="33" s="1" a="1"/>
  <c r="E119" i="33" s="1"/>
  <c r="A118" i="33"/>
  <c r="E118" i="33" s="1" a="1"/>
  <c r="E118" i="33" s="1"/>
  <c r="A117" i="33"/>
  <c r="A116" i="33"/>
  <c r="B116" i="33" s="1" a="1"/>
  <c r="B116" i="33" s="1"/>
  <c r="A115" i="33"/>
  <c r="A114" i="33"/>
  <c r="D114" i="33" s="1" a="1"/>
  <c r="D114" i="33" s="1"/>
  <c r="A113" i="33"/>
  <c r="A112" i="33"/>
  <c r="F112" i="33" s="1" a="1"/>
  <c r="F112" i="33" s="1"/>
  <c r="A111" i="33"/>
  <c r="A110" i="33"/>
  <c r="E110" i="33" s="1" a="1"/>
  <c r="E110" i="33" s="1"/>
  <c r="A109" i="33"/>
  <c r="A108" i="33"/>
  <c r="F108" i="33" s="1" a="1"/>
  <c r="F108" i="33" s="1"/>
  <c r="A107" i="33"/>
  <c r="A106" i="33"/>
  <c r="E106" i="33" s="1" a="1"/>
  <c r="E106" i="33" s="1"/>
  <c r="A105" i="33"/>
  <c r="A104" i="33"/>
  <c r="F104" i="33" s="1" a="1"/>
  <c r="F104" i="33" s="1"/>
  <c r="A103" i="33"/>
  <c r="A102" i="33"/>
  <c r="E102" i="33" s="1" a="1"/>
  <c r="E102" i="33" s="1"/>
  <c r="A101" i="33"/>
  <c r="A100" i="33"/>
  <c r="B100" i="33" s="1" a="1"/>
  <c r="B100" i="33" s="1"/>
  <c r="A99" i="33"/>
  <c r="A98" i="33"/>
  <c r="D98" i="33" s="1" a="1"/>
  <c r="D98" i="33" s="1"/>
  <c r="A97" i="33"/>
  <c r="A96" i="33"/>
  <c r="F96" i="33" s="1" a="1"/>
  <c r="F96" i="33" s="1"/>
  <c r="A95" i="33"/>
  <c r="A94" i="33"/>
  <c r="E94" i="33" s="1" a="1"/>
  <c r="E94" i="33" s="1"/>
  <c r="A93" i="33"/>
  <c r="A92" i="33"/>
  <c r="F92" i="33" s="1" a="1"/>
  <c r="F92" i="33" s="1"/>
  <c r="A91" i="33"/>
  <c r="A90" i="33"/>
  <c r="E90" i="33" s="1" a="1"/>
  <c r="E90" i="33" s="1"/>
  <c r="A89" i="33"/>
  <c r="A88" i="33"/>
  <c r="F88" i="33" s="1" a="1"/>
  <c r="F88" i="33" s="1"/>
  <c r="A87" i="33"/>
  <c r="A86" i="33"/>
  <c r="E86" i="33" s="1" a="1"/>
  <c r="E86" i="33" s="1"/>
  <c r="A85" i="33"/>
  <c r="A84" i="33"/>
  <c r="F84" i="33" s="1" a="1"/>
  <c r="F84" i="33" s="1"/>
  <c r="A83" i="33"/>
  <c r="A82" i="33"/>
  <c r="D82" i="33" s="1" a="1"/>
  <c r="D82" i="33" s="1"/>
  <c r="A81" i="33"/>
  <c r="A80" i="33"/>
  <c r="F80" i="33" s="1" a="1"/>
  <c r="F80" i="33" s="1"/>
  <c r="A79" i="33"/>
  <c r="A78" i="33"/>
  <c r="E78" i="33" s="1" a="1"/>
  <c r="E78" i="33" s="1"/>
  <c r="A77" i="33"/>
  <c r="A76" i="33"/>
  <c r="F76" i="33" s="1" a="1"/>
  <c r="F76" i="33" s="1"/>
  <c r="A75" i="33"/>
  <c r="A74" i="33"/>
  <c r="E74" i="33" s="1" a="1"/>
  <c r="E74" i="33" s="1"/>
  <c r="A73" i="33"/>
  <c r="A72" i="33"/>
  <c r="F72" i="33" s="1" a="1"/>
  <c r="F72" i="33" s="1"/>
  <c r="A71" i="33"/>
  <c r="A70" i="33"/>
  <c r="E70" i="33" s="1" a="1"/>
  <c r="E70" i="33" s="1"/>
  <c r="A69" i="33"/>
  <c r="A68" i="33"/>
  <c r="F68" i="33" s="1" a="1"/>
  <c r="F68" i="33" s="1"/>
  <c r="A67" i="33"/>
  <c r="A66" i="33"/>
  <c r="D66" i="33" s="1" a="1"/>
  <c r="D66" i="33" s="1"/>
  <c r="A65" i="33"/>
  <c r="A64" i="33"/>
  <c r="F64" i="33" s="1" a="1"/>
  <c r="F64" i="33" s="1"/>
  <c r="A63" i="33"/>
  <c r="C63" i="33" s="1" a="1"/>
  <c r="C63" i="33" s="1"/>
  <c r="A62" i="33"/>
  <c r="E62" i="33" s="1" a="1"/>
  <c r="E62" i="33" s="1"/>
  <c r="A61" i="33"/>
  <c r="A60" i="33"/>
  <c r="C60" i="33" s="1" a="1"/>
  <c r="C60" i="33" s="1"/>
  <c r="A59" i="33"/>
  <c r="E59" i="33" s="1" a="1"/>
  <c r="E59" i="33" s="1"/>
  <c r="A58" i="33"/>
  <c r="E58" i="33" s="1" a="1"/>
  <c r="E58" i="33" s="1"/>
  <c r="A57" i="33"/>
  <c r="A56" i="33"/>
  <c r="F56" i="33" s="1" a="1"/>
  <c r="F56" i="33" s="1"/>
  <c r="A55" i="33"/>
  <c r="E55" i="33" s="1" a="1"/>
  <c r="E55" i="33" s="1"/>
  <c r="A54" i="33"/>
  <c r="E54" i="33" s="1" a="1"/>
  <c r="E54" i="33" s="1"/>
  <c r="A53" i="33"/>
  <c r="A52" i="33"/>
  <c r="C52" i="33" s="1" a="1"/>
  <c r="C52" i="33" s="1"/>
  <c r="A51" i="33"/>
  <c r="E51" i="33" s="1" a="1"/>
  <c r="E51" i="33" s="1"/>
  <c r="A50" i="33"/>
  <c r="E50" i="33" s="1" a="1"/>
  <c r="E50" i="33" s="1"/>
  <c r="A49" i="33"/>
  <c r="A48" i="33"/>
  <c r="D48" i="33" s="1" a="1"/>
  <c r="D48" i="33" s="1"/>
  <c r="A47" i="33"/>
  <c r="D47" i="33" s="1" a="1"/>
  <c r="D47" i="33" s="1"/>
  <c r="A46" i="33"/>
  <c r="F46" i="33" s="1" a="1"/>
  <c r="F46" i="33" s="1"/>
  <c r="A45" i="33"/>
  <c r="A44" i="33"/>
  <c r="D44" i="33" s="1" a="1"/>
  <c r="D44" i="33" s="1"/>
  <c r="A43" i="33"/>
  <c r="E43" i="33" s="1" a="1"/>
  <c r="E43" i="33" s="1"/>
  <c r="A42" i="33"/>
  <c r="A41" i="33"/>
  <c r="E41" i="33" s="1" a="1"/>
  <c r="E41" i="33" s="1"/>
  <c r="A40" i="33"/>
  <c r="F40" i="33" s="1" a="1"/>
  <c r="F40" i="33" s="1"/>
  <c r="A39" i="33"/>
  <c r="C39" i="33" s="1" a="1"/>
  <c r="C39" i="33" s="1"/>
  <c r="A38" i="33"/>
  <c r="F38" i="33" s="1" a="1"/>
  <c r="F38" i="33" s="1"/>
  <c r="A37" i="33"/>
  <c r="A36" i="33"/>
  <c r="E36" i="33" s="1" a="1"/>
  <c r="E36" i="33" s="1"/>
  <c r="A35" i="33"/>
  <c r="F35" i="33" s="1" a="1"/>
  <c r="F35" i="33" s="1"/>
  <c r="A34" i="33"/>
  <c r="F34" i="33" s="1" a="1"/>
  <c r="F34" i="33" s="1"/>
  <c r="A33" i="33"/>
  <c r="E33" i="33" s="1" a="1"/>
  <c r="E33" i="33" s="1"/>
  <c r="A32" i="33"/>
  <c r="E32" i="33" s="1" a="1"/>
  <c r="E32" i="33" s="1"/>
  <c r="A31" i="33"/>
  <c r="F31" i="33" s="1" a="1"/>
  <c r="F31" i="33" s="1"/>
  <c r="A30" i="33"/>
  <c r="F30" i="33" s="1" a="1"/>
  <c r="F30" i="33" s="1"/>
  <c r="A29" i="33"/>
  <c r="E29" i="33" s="1" a="1"/>
  <c r="E29" i="33" s="1"/>
  <c r="A28" i="33"/>
  <c r="E28" i="33" s="1" a="1"/>
  <c r="E28" i="33" s="1"/>
  <c r="A27" i="33"/>
  <c r="F27" i="33" s="1" a="1"/>
  <c r="F27" i="33" s="1"/>
  <c r="A26" i="33"/>
  <c r="F26" i="33" s="1" a="1"/>
  <c r="F26" i="33" s="1"/>
  <c r="A25" i="33"/>
  <c r="E25" i="33" s="1" a="1"/>
  <c r="E25" i="33" s="1"/>
  <c r="A24" i="33"/>
  <c r="E24" i="33" s="1" a="1"/>
  <c r="E24" i="33" s="1"/>
  <c r="A23" i="33"/>
  <c r="F23" i="33" s="1" a="1"/>
  <c r="F23" i="33" s="1"/>
  <c r="A22" i="33"/>
  <c r="F22" i="33" s="1" a="1"/>
  <c r="F22" i="33" s="1"/>
  <c r="A21" i="33"/>
  <c r="E21" i="33" s="1" a="1"/>
  <c r="E21" i="33" s="1"/>
  <c r="A20" i="33"/>
  <c r="E20" i="33" s="1" a="1"/>
  <c r="E20" i="33" s="1"/>
  <c r="A19" i="33"/>
  <c r="F19" i="33" s="1" a="1"/>
  <c r="F19" i="33" s="1"/>
  <c r="A18" i="33"/>
  <c r="F18" i="33" s="1" a="1"/>
  <c r="F18" i="33" s="1"/>
  <c r="A17" i="33"/>
  <c r="E17" i="33" s="1" a="1"/>
  <c r="E17" i="33" s="1"/>
  <c r="A16" i="33"/>
  <c r="E16" i="33" s="1" a="1"/>
  <c r="E16" i="33" s="1"/>
  <c r="A15" i="33"/>
  <c r="F15" i="33" s="1" a="1"/>
  <c r="F15" i="33" s="1"/>
  <c r="A14" i="33"/>
  <c r="F14" i="33" s="1" a="1"/>
  <c r="F14" i="33" s="1"/>
  <c r="A13" i="33"/>
  <c r="E13" i="33" s="1" a="1"/>
  <c r="E13" i="33" s="1"/>
  <c r="A12" i="33"/>
  <c r="E12" i="33" s="1" a="1"/>
  <c r="E12" i="33" s="1"/>
  <c r="A11" i="33"/>
  <c r="F11" i="33" s="1" a="1"/>
  <c r="F11" i="33" s="1"/>
  <c r="A10" i="33"/>
  <c r="F10" i="33" s="1" a="1"/>
  <c r="F10" i="33" s="1"/>
  <c r="A9" i="33"/>
  <c r="E9" i="33" s="1" a="1"/>
  <c r="E9" i="33" s="1"/>
  <c r="A8" i="33"/>
  <c r="E8" i="33" s="1" a="1"/>
  <c r="E8" i="33" s="1"/>
  <c r="A7" i="33"/>
  <c r="F7" i="33" s="1" a="1"/>
  <c r="F7" i="33" s="1"/>
  <c r="A6" i="33"/>
  <c r="F6" i="33" s="1" a="1"/>
  <c r="F6" i="33" s="1"/>
  <c r="A5" i="33"/>
  <c r="F5" i="33" s="1" a="1"/>
  <c r="F5" i="33" s="1"/>
  <c r="P4" i="33"/>
  <c r="Q4" i="33" s="1"/>
  <c r="A4" i="33"/>
  <c r="F4" i="33" s="1" a="1"/>
  <c r="F4" i="33" s="1"/>
  <c r="Q3" i="33"/>
  <c r="P3" i="33"/>
  <c r="A3" i="33"/>
  <c r="E3" i="33" s="1" a="1"/>
  <c r="E3" i="33" s="1"/>
  <c r="Q2" i="33"/>
  <c r="A2" i="33"/>
  <c r="C2" i="33" s="1" a="1"/>
  <c r="C2" i="33" s="1"/>
  <c r="Q190" i="32"/>
  <c r="Q191" i="32"/>
  <c r="Q189" i="32"/>
  <c r="Q181" i="32"/>
  <c r="Q182" i="32"/>
  <c r="Q180" i="32"/>
  <c r="Q172" i="32"/>
  <c r="Q173" i="32"/>
  <c r="Q171" i="32"/>
  <c r="L190" i="32"/>
  <c r="L191" i="32"/>
  <c r="L189" i="32"/>
  <c r="L181" i="32"/>
  <c r="L182" i="32"/>
  <c r="L180" i="32"/>
  <c r="L172" i="32"/>
  <c r="L173" i="32"/>
  <c r="L171" i="32"/>
  <c r="G181" i="32"/>
  <c r="G182" i="32"/>
  <c r="G180" i="32"/>
  <c r="G172" i="32"/>
  <c r="G173" i="32"/>
  <c r="G171" i="32"/>
  <c r="L165" i="32"/>
  <c r="V169" i="32" s="1"/>
  <c r="K165" i="32"/>
  <c r="Q169" i="32" s="1"/>
  <c r="J165" i="32"/>
  <c r="L169" i="32" s="1"/>
  <c r="I165" i="32"/>
  <c r="G169" i="32" s="1"/>
  <c r="A164" i="32"/>
  <c r="E164" i="32" s="1" a="1"/>
  <c r="E164" i="32" s="1"/>
  <c r="A163" i="32"/>
  <c r="A162" i="32"/>
  <c r="F162" i="32" s="1" a="1"/>
  <c r="F162" i="32" s="1"/>
  <c r="A161" i="32"/>
  <c r="A160" i="32"/>
  <c r="E160" i="32" s="1" a="1"/>
  <c r="E160" i="32" s="1"/>
  <c r="A159" i="32"/>
  <c r="A158" i="32"/>
  <c r="E158" i="32" s="1" a="1"/>
  <c r="E158" i="32" s="1"/>
  <c r="A157" i="32"/>
  <c r="A156" i="32"/>
  <c r="E156" i="32" s="1" a="1"/>
  <c r="E156" i="32" s="1"/>
  <c r="A155" i="32"/>
  <c r="A154" i="32"/>
  <c r="F154" i="32" s="1" a="1"/>
  <c r="F154" i="32" s="1"/>
  <c r="A153" i="32"/>
  <c r="A152" i="32"/>
  <c r="E152" i="32" s="1" a="1"/>
  <c r="E152" i="32" s="1"/>
  <c r="A151" i="32"/>
  <c r="A150" i="32"/>
  <c r="E150" i="32" s="1" a="1"/>
  <c r="E150" i="32" s="1"/>
  <c r="A149" i="32"/>
  <c r="A148" i="32"/>
  <c r="A147" i="32"/>
  <c r="A146" i="32"/>
  <c r="F146" i="32" s="1" a="1"/>
  <c r="F146" i="32" s="1"/>
  <c r="A145" i="32"/>
  <c r="A144" i="32"/>
  <c r="A143" i="32"/>
  <c r="F143" i="32" s="1" a="1"/>
  <c r="F143" i="32" s="1"/>
  <c r="A142" i="32"/>
  <c r="F142" i="32" s="1" a="1"/>
  <c r="F142" i="32" s="1"/>
  <c r="A141" i="32"/>
  <c r="F141" i="32" s="1" a="1"/>
  <c r="F141" i="32" s="1"/>
  <c r="A140" i="32"/>
  <c r="A139" i="32"/>
  <c r="E139" i="32" s="1" a="1"/>
  <c r="E139" i="32" s="1"/>
  <c r="A138" i="32"/>
  <c r="F138" i="32" s="1" a="1"/>
  <c r="F138" i="32" s="1"/>
  <c r="A137" i="32"/>
  <c r="E137" i="32" s="1" a="1"/>
  <c r="E137" i="32" s="1"/>
  <c r="A136" i="32"/>
  <c r="A135" i="32"/>
  <c r="E135" i="32" s="1" a="1"/>
  <c r="E135" i="32" s="1"/>
  <c r="A134" i="32"/>
  <c r="A133" i="32"/>
  <c r="F133" i="32" s="1" a="1"/>
  <c r="F133" i="32" s="1"/>
  <c r="A132" i="32"/>
  <c r="A131" i="32"/>
  <c r="E131" i="32" s="1" a="1"/>
  <c r="E131" i="32" s="1"/>
  <c r="A130" i="32"/>
  <c r="A129" i="32"/>
  <c r="E129" i="32" s="1" a="1"/>
  <c r="E129" i="32" s="1"/>
  <c r="A128" i="32"/>
  <c r="A127" i="32"/>
  <c r="E127" i="32" s="1" a="1"/>
  <c r="E127" i="32" s="1"/>
  <c r="A126" i="32"/>
  <c r="A125" i="32"/>
  <c r="F125" i="32" s="1" a="1"/>
  <c r="F125" i="32" s="1"/>
  <c r="A124" i="32"/>
  <c r="A123" i="32"/>
  <c r="E123" i="32" s="1" a="1"/>
  <c r="E123" i="32" s="1"/>
  <c r="A122" i="32"/>
  <c r="A121" i="32"/>
  <c r="A120" i="32"/>
  <c r="A119" i="32"/>
  <c r="A118" i="32"/>
  <c r="E118" i="32" s="1" a="1"/>
  <c r="E118" i="32" s="1"/>
  <c r="A117" i="32"/>
  <c r="A116" i="32"/>
  <c r="A115" i="32"/>
  <c r="A114" i="32"/>
  <c r="F114" i="32" s="1" a="1"/>
  <c r="F114" i="32" s="1"/>
  <c r="A113" i="32"/>
  <c r="A112" i="32"/>
  <c r="E112" i="32" s="1" a="1"/>
  <c r="E112" i="32" s="1"/>
  <c r="A111" i="32"/>
  <c r="A110" i="32"/>
  <c r="E110" i="32" s="1" a="1"/>
  <c r="E110" i="32" s="1"/>
  <c r="A109" i="32"/>
  <c r="A108" i="32"/>
  <c r="A107" i="32"/>
  <c r="A106" i="32"/>
  <c r="F106" i="32" s="1" a="1"/>
  <c r="F106" i="32" s="1"/>
  <c r="A105" i="32"/>
  <c r="A104" i="32"/>
  <c r="E104" i="32" s="1" a="1"/>
  <c r="E104" i="32" s="1"/>
  <c r="A103" i="32"/>
  <c r="A102" i="32"/>
  <c r="E102" i="32" s="1" a="1"/>
  <c r="E102" i="32" s="1"/>
  <c r="A101" i="32"/>
  <c r="A100" i="32"/>
  <c r="A99" i="32"/>
  <c r="A98" i="32"/>
  <c r="F98" i="32" s="1" a="1"/>
  <c r="F98" i="32" s="1"/>
  <c r="A97" i="32"/>
  <c r="A96" i="32"/>
  <c r="E96" i="32" s="1" a="1"/>
  <c r="E96" i="32" s="1"/>
  <c r="A95" i="32"/>
  <c r="A94" i="32"/>
  <c r="E94" i="32" s="1" a="1"/>
  <c r="E94" i="32" s="1"/>
  <c r="A93" i="32"/>
  <c r="A92" i="32"/>
  <c r="E92" i="32" s="1" a="1"/>
  <c r="E92" i="32" s="1"/>
  <c r="A91" i="32"/>
  <c r="A90" i="32"/>
  <c r="F90" i="32" s="1" a="1"/>
  <c r="F90" i="32" s="1"/>
  <c r="A89" i="32"/>
  <c r="A88" i="32"/>
  <c r="E88" i="32" s="1" a="1"/>
  <c r="E88" i="32" s="1"/>
  <c r="A87" i="32"/>
  <c r="A86" i="32"/>
  <c r="E86" i="32" s="1" a="1"/>
  <c r="E86" i="32" s="1"/>
  <c r="A85" i="32"/>
  <c r="A84" i="32"/>
  <c r="A83" i="32"/>
  <c r="A82" i="32"/>
  <c r="F82" i="32" s="1" a="1"/>
  <c r="F82" i="32" s="1"/>
  <c r="A81" i="32"/>
  <c r="A80" i="32"/>
  <c r="E80" i="32" s="1" a="1"/>
  <c r="E80" i="32" s="1"/>
  <c r="A79" i="32"/>
  <c r="A78" i="32"/>
  <c r="E78" i="32" s="1" a="1"/>
  <c r="E78" i="32" s="1"/>
  <c r="A77" i="32"/>
  <c r="F77" i="32" s="1" a="1"/>
  <c r="F77" i="32" s="1"/>
  <c r="A76" i="32"/>
  <c r="E76" i="32" s="1" a="1"/>
  <c r="E76" i="32" s="1"/>
  <c r="A75" i="32"/>
  <c r="C75" i="32" s="1" a="1"/>
  <c r="C75" i="32" s="1"/>
  <c r="A74" i="32"/>
  <c r="E74" i="32" s="1" a="1"/>
  <c r="E74" i="32" s="1"/>
  <c r="A73" i="32"/>
  <c r="D73" i="32" s="1" a="1"/>
  <c r="D73" i="32" s="1"/>
  <c r="A72" i="32"/>
  <c r="E72" i="32" s="1" a="1"/>
  <c r="E72" i="32" s="1"/>
  <c r="A71" i="32"/>
  <c r="E71" i="32" s="1" a="1"/>
  <c r="E71" i="32" s="1"/>
  <c r="A70" i="32"/>
  <c r="D70" i="32" s="1" a="1"/>
  <c r="D70" i="32" s="1"/>
  <c r="A69" i="32"/>
  <c r="F69" i="32" s="1" a="1"/>
  <c r="F69" i="32" s="1"/>
  <c r="A68" i="32"/>
  <c r="A67" i="32"/>
  <c r="C67" i="32" s="1" a="1"/>
  <c r="C67" i="32" s="1"/>
  <c r="A66" i="32"/>
  <c r="E66" i="32" s="1" a="1"/>
  <c r="E66" i="32" s="1"/>
  <c r="A65" i="32"/>
  <c r="A64" i="32"/>
  <c r="A63" i="32"/>
  <c r="A62" i="32"/>
  <c r="E62" i="32" s="1" a="1"/>
  <c r="E62" i="32" s="1"/>
  <c r="A61" i="32"/>
  <c r="F61" i="32" s="1" a="1"/>
  <c r="F61" i="32" s="1"/>
  <c r="A60" i="32"/>
  <c r="A59" i="32"/>
  <c r="D59" i="32" s="1" a="1"/>
  <c r="D59" i="32" s="1"/>
  <c r="A58" i="32"/>
  <c r="E58" i="32" s="1" a="1"/>
  <c r="E58" i="32" s="1"/>
  <c r="A57" i="32"/>
  <c r="A56" i="32"/>
  <c r="E56" i="32" s="1" a="1"/>
  <c r="E56" i="32" s="1"/>
  <c r="A55" i="32"/>
  <c r="A54" i="32"/>
  <c r="C54" i="32" s="1" a="1"/>
  <c r="C54" i="32" s="1"/>
  <c r="A53" i="32"/>
  <c r="F53" i="32" s="1" a="1"/>
  <c r="F53" i="32" s="1"/>
  <c r="A52" i="32"/>
  <c r="A51" i="32"/>
  <c r="E51" i="32" s="1" a="1"/>
  <c r="E51" i="32" s="1"/>
  <c r="A50" i="32"/>
  <c r="F50" i="32" s="1" a="1"/>
  <c r="F50" i="32" s="1"/>
  <c r="A49" i="32"/>
  <c r="A48" i="32"/>
  <c r="E48" i="32" s="1" a="1"/>
  <c r="E48" i="32" s="1"/>
  <c r="A47" i="32"/>
  <c r="A46" i="32"/>
  <c r="F46" i="32" s="1" a="1"/>
  <c r="F46" i="32" s="1"/>
  <c r="A45" i="32"/>
  <c r="E45" i="32" s="1" a="1"/>
  <c r="E45" i="32" s="1"/>
  <c r="A44" i="32"/>
  <c r="E44" i="32" s="1" a="1"/>
  <c r="E44" i="32" s="1"/>
  <c r="A43" i="32"/>
  <c r="F43" i="32" s="1" a="1"/>
  <c r="F43" i="32" s="1"/>
  <c r="A42" i="32"/>
  <c r="A41" i="32"/>
  <c r="F41" i="32" s="1" a="1"/>
  <c r="F41" i="32" s="1"/>
  <c r="A40" i="32"/>
  <c r="E40" i="32" s="1" a="1"/>
  <c r="E40" i="32" s="1"/>
  <c r="A39" i="32"/>
  <c r="F39" i="32" s="1" a="1"/>
  <c r="F39" i="32" s="1"/>
  <c r="A38" i="32"/>
  <c r="F38" i="32" s="1" a="1"/>
  <c r="F38" i="32" s="1"/>
  <c r="A37" i="32"/>
  <c r="F37" i="32" s="1" a="1"/>
  <c r="F37" i="32" s="1"/>
  <c r="A36" i="32"/>
  <c r="E36" i="32" s="1" a="1"/>
  <c r="E36" i="32" s="1"/>
  <c r="A35" i="32"/>
  <c r="F35" i="32" s="1" a="1"/>
  <c r="F35" i="32" s="1"/>
  <c r="A34" i="32"/>
  <c r="F34" i="32" s="1" a="1"/>
  <c r="F34" i="32" s="1"/>
  <c r="A33" i="32"/>
  <c r="A32" i="32"/>
  <c r="E32" i="32" s="1" a="1"/>
  <c r="E32" i="32" s="1"/>
  <c r="A31" i="32"/>
  <c r="A30" i="32"/>
  <c r="F30" i="32" s="1" a="1"/>
  <c r="F30" i="32" s="1"/>
  <c r="A29" i="32"/>
  <c r="E29" i="32" s="1" a="1"/>
  <c r="E29" i="32" s="1"/>
  <c r="A28" i="32"/>
  <c r="E28" i="32" s="1" a="1"/>
  <c r="E28" i="32" s="1"/>
  <c r="A27" i="32"/>
  <c r="F27" i="32" s="1" a="1"/>
  <c r="F27" i="32" s="1"/>
  <c r="A26" i="32"/>
  <c r="A25" i="32"/>
  <c r="E25" i="32" s="1" a="1"/>
  <c r="E25" i="32" s="1"/>
  <c r="A24" i="32"/>
  <c r="E24" i="32" s="1" a="1"/>
  <c r="E24" i="32" s="1"/>
  <c r="A23" i="32"/>
  <c r="F23" i="32" s="1" a="1"/>
  <c r="F23" i="32" s="1"/>
  <c r="A22" i="32"/>
  <c r="A21" i="32"/>
  <c r="D21" i="32" s="1" a="1"/>
  <c r="D21" i="32" s="1"/>
  <c r="A20" i="32"/>
  <c r="E20" i="32" s="1" a="1"/>
  <c r="E20" i="32" s="1"/>
  <c r="A19" i="32"/>
  <c r="F19" i="32" s="1" a="1"/>
  <c r="F19" i="32" s="1"/>
  <c r="A18" i="32"/>
  <c r="F18" i="32" s="1" a="1"/>
  <c r="F18" i="32" s="1"/>
  <c r="A17" i="32"/>
  <c r="D17" i="32" s="1" a="1"/>
  <c r="D17" i="32" s="1"/>
  <c r="A16" i="32"/>
  <c r="E16" i="32" s="1" a="1"/>
  <c r="E16" i="32" s="1"/>
  <c r="A15" i="32"/>
  <c r="F15" i="32" s="1" a="1"/>
  <c r="F15" i="32" s="1"/>
  <c r="A14" i="32"/>
  <c r="F14" i="32" s="1" a="1"/>
  <c r="F14" i="32" s="1"/>
  <c r="A13" i="32"/>
  <c r="E13" i="32" s="1" a="1"/>
  <c r="E13" i="32" s="1"/>
  <c r="A12" i="32"/>
  <c r="E12" i="32" s="1" a="1"/>
  <c r="E12" i="32" s="1"/>
  <c r="A11" i="32"/>
  <c r="F11" i="32" s="1" a="1"/>
  <c r="F11" i="32" s="1"/>
  <c r="A10" i="32"/>
  <c r="F10" i="32" s="1" a="1"/>
  <c r="F10" i="32" s="1"/>
  <c r="A9" i="32"/>
  <c r="F9" i="32" s="1" a="1"/>
  <c r="F9" i="32" s="1"/>
  <c r="A8" i="32"/>
  <c r="A7" i="32"/>
  <c r="F7" i="32" s="1" a="1"/>
  <c r="F7" i="32" s="1"/>
  <c r="A6" i="32"/>
  <c r="F6" i="32" s="1" a="1"/>
  <c r="F6" i="32" s="1"/>
  <c r="A5" i="32"/>
  <c r="F5" i="32" s="1" a="1"/>
  <c r="F5" i="32" s="1"/>
  <c r="P4" i="32"/>
  <c r="Q4" i="32" s="1"/>
  <c r="A4" i="32"/>
  <c r="F4" i="32" s="1" a="1"/>
  <c r="F4" i="32" s="1"/>
  <c r="Q3" i="32"/>
  <c r="P3" i="32"/>
  <c r="A3" i="32"/>
  <c r="P2" i="32"/>
  <c r="Q2" i="32" s="1"/>
  <c r="A2" i="32"/>
  <c r="C2" i="32" s="1" a="1"/>
  <c r="C2" i="32" s="1"/>
  <c r="V172" i="31"/>
  <c r="V173" i="31"/>
  <c r="V171" i="31"/>
  <c r="Q190" i="31"/>
  <c r="Q191" i="31"/>
  <c r="Q189" i="31"/>
  <c r="Q172" i="31"/>
  <c r="Q173" i="31"/>
  <c r="Q171" i="31"/>
  <c r="L190" i="31"/>
  <c r="L191" i="31"/>
  <c r="L189" i="31"/>
  <c r="L181" i="31"/>
  <c r="L182" i="31"/>
  <c r="L180" i="31"/>
  <c r="L172" i="31"/>
  <c r="L173" i="31"/>
  <c r="L171" i="31"/>
  <c r="K169" i="31"/>
  <c r="G190" i="31"/>
  <c r="G191" i="31"/>
  <c r="G189" i="31"/>
  <c r="G181" i="31"/>
  <c r="G182" i="31"/>
  <c r="G180" i="31"/>
  <c r="G172" i="31"/>
  <c r="G169" i="31"/>
  <c r="F169" i="31"/>
  <c r="P2" i="31"/>
  <c r="U169" i="31"/>
  <c r="T170" i="31" s="1" a="1"/>
  <c r="T170" i="31" s="1"/>
  <c r="U191" i="31" s="1"/>
  <c r="V191" i="31" s="1"/>
  <c r="L165" i="31"/>
  <c r="V169" i="31" s="1"/>
  <c r="K165" i="31"/>
  <c r="J165" i="31"/>
  <c r="L169" i="31" s="1"/>
  <c r="I165" i="31"/>
  <c r="A164" i="31"/>
  <c r="D164" i="31" s="1" a="1"/>
  <c r="D164" i="31" s="1"/>
  <c r="A163" i="31"/>
  <c r="A162" i="31"/>
  <c r="E162" i="31" s="1" a="1"/>
  <c r="E162" i="31" s="1"/>
  <c r="A161" i="31"/>
  <c r="F161" i="31" s="1" a="1"/>
  <c r="F161" i="31" s="1"/>
  <c r="A160" i="31"/>
  <c r="A159" i="31"/>
  <c r="A158" i="31"/>
  <c r="E158" i="31" s="1" a="1"/>
  <c r="E158" i="31" s="1"/>
  <c r="A157" i="31"/>
  <c r="F157" i="31" s="1" a="1"/>
  <c r="F157" i="31" s="1"/>
  <c r="A156" i="31"/>
  <c r="D156" i="31" s="1" a="1"/>
  <c r="D156" i="31" s="1"/>
  <c r="A155" i="31"/>
  <c r="C155" i="31" s="1" a="1"/>
  <c r="C155" i="31" s="1"/>
  <c r="A154" i="31"/>
  <c r="D154" i="31" s="1" a="1"/>
  <c r="D154" i="31" s="1"/>
  <c r="A153" i="31"/>
  <c r="D153" i="31" s="1" a="1"/>
  <c r="D153" i="31" s="1"/>
  <c r="A152" i="31"/>
  <c r="D152" i="31" s="1" a="1"/>
  <c r="D152" i="31" s="1"/>
  <c r="A151" i="31"/>
  <c r="A150" i="31"/>
  <c r="D150" i="31" s="1" a="1"/>
  <c r="D150" i="31" s="1"/>
  <c r="A149" i="31"/>
  <c r="F149" i="31" s="1" a="1"/>
  <c r="F149" i="31" s="1"/>
  <c r="A148" i="31"/>
  <c r="A147" i="31"/>
  <c r="E147" i="31" s="1" a="1"/>
  <c r="E147" i="31" s="1"/>
  <c r="A146" i="31"/>
  <c r="D146" i="31" s="1" a="1"/>
  <c r="D146" i="31" s="1"/>
  <c r="A145" i="31"/>
  <c r="F145" i="31" s="1" a="1"/>
  <c r="F145" i="31" s="1"/>
  <c r="A144" i="31"/>
  <c r="F144" i="31" s="1" a="1"/>
  <c r="F144" i="31" s="1"/>
  <c r="A143" i="31"/>
  <c r="D143" i="31" s="1" a="1"/>
  <c r="D143" i="31" s="1"/>
  <c r="A142" i="31"/>
  <c r="D142" i="31" s="1" a="1"/>
  <c r="D142" i="31" s="1"/>
  <c r="A141" i="31"/>
  <c r="E141" i="31" s="1" a="1"/>
  <c r="E141" i="31" s="1"/>
  <c r="A140" i="31"/>
  <c r="F140" i="31" s="1" a="1"/>
  <c r="F140" i="31" s="1"/>
  <c r="A139" i="31"/>
  <c r="D139" i="31" s="1" a="1"/>
  <c r="D139" i="31" s="1"/>
  <c r="A138" i="31"/>
  <c r="B138" i="31" s="1" a="1"/>
  <c r="B138" i="31" s="1"/>
  <c r="A137" i="31"/>
  <c r="E137" i="31" s="1" a="1"/>
  <c r="E137" i="31" s="1"/>
  <c r="A136" i="31"/>
  <c r="F136" i="31" s="1" a="1"/>
  <c r="F136" i="31" s="1"/>
  <c r="A135" i="31"/>
  <c r="E135" i="31" s="1" a="1"/>
  <c r="E135" i="31" s="1"/>
  <c r="A134" i="31"/>
  <c r="A133" i="31"/>
  <c r="C133" i="31" s="1" a="1"/>
  <c r="C133" i="31" s="1"/>
  <c r="A132" i="31"/>
  <c r="F132" i="31" s="1" a="1"/>
  <c r="F132" i="31" s="1"/>
  <c r="A131" i="31"/>
  <c r="D131" i="31" s="1" a="1"/>
  <c r="D131" i="31" s="1"/>
  <c r="A130" i="31"/>
  <c r="F130" i="31" s="1" a="1"/>
  <c r="F130" i="31" s="1"/>
  <c r="A129" i="31"/>
  <c r="A128" i="31"/>
  <c r="E128" i="31" s="1" a="1"/>
  <c r="E128" i="31" s="1"/>
  <c r="A127" i="31"/>
  <c r="D127" i="31" s="1" a="1"/>
  <c r="D127" i="31" s="1"/>
  <c r="A126" i="31"/>
  <c r="D126" i="31" s="1" a="1"/>
  <c r="D126" i="31" s="1"/>
  <c r="A125" i="31"/>
  <c r="A124" i="31"/>
  <c r="A123" i="31"/>
  <c r="A122" i="31"/>
  <c r="B122" i="31" s="1" a="1"/>
  <c r="B122" i="31" s="1"/>
  <c r="A121" i="31"/>
  <c r="A120" i="31"/>
  <c r="C120" i="31" s="1" a="1"/>
  <c r="C120" i="31" s="1"/>
  <c r="A119" i="31"/>
  <c r="D119" i="31" s="1" a="1"/>
  <c r="D119" i="31" s="1"/>
  <c r="A118" i="31"/>
  <c r="E118" i="31" s="1" a="1"/>
  <c r="E118" i="31" s="1"/>
  <c r="A117" i="31"/>
  <c r="D117" i="31" s="1" a="1"/>
  <c r="D117" i="31" s="1"/>
  <c r="A116" i="31"/>
  <c r="A115" i="31"/>
  <c r="D115" i="31" s="1" a="1"/>
  <c r="D115" i="31" s="1"/>
  <c r="A114" i="31"/>
  <c r="A113" i="31"/>
  <c r="F113" i="31" s="1" a="1"/>
  <c r="F113" i="31" s="1"/>
  <c r="A112" i="31"/>
  <c r="F112" i="31" s="1" a="1"/>
  <c r="F112" i="31" s="1"/>
  <c r="A111" i="31"/>
  <c r="D111" i="31" s="1" a="1"/>
  <c r="D111" i="31" s="1"/>
  <c r="A110" i="31"/>
  <c r="C110" i="31" s="1" a="1"/>
  <c r="C110" i="31" s="1"/>
  <c r="A109" i="31"/>
  <c r="D109" i="31" s="1" a="1"/>
  <c r="D109" i="31" s="1"/>
  <c r="A108" i="31"/>
  <c r="F108" i="31" s="1" a="1"/>
  <c r="F108" i="31" s="1"/>
  <c r="A107" i="31"/>
  <c r="F107" i="31" s="1" a="1"/>
  <c r="F107" i="31" s="1"/>
  <c r="A106" i="31"/>
  <c r="A105" i="31"/>
  <c r="E105" i="31" s="1" a="1"/>
  <c r="E105" i="31" s="1"/>
  <c r="A104" i="31"/>
  <c r="A103" i="31"/>
  <c r="D103" i="31" s="1" a="1"/>
  <c r="D103" i="31" s="1"/>
  <c r="A102" i="31"/>
  <c r="E102" i="31" s="1" a="1"/>
  <c r="E102" i="31" s="1"/>
  <c r="A101" i="31"/>
  <c r="D101" i="31" s="1" a="1"/>
  <c r="D101" i="31" s="1"/>
  <c r="A100" i="31"/>
  <c r="A99" i="31"/>
  <c r="A98" i="31"/>
  <c r="A97" i="31"/>
  <c r="E97" i="31" s="1" a="1"/>
  <c r="E97" i="31" s="1"/>
  <c r="A96" i="31"/>
  <c r="B96" i="31" s="1" a="1"/>
  <c r="B96" i="31" s="1"/>
  <c r="A95" i="31"/>
  <c r="D95" i="31" s="1" a="1"/>
  <c r="D95" i="31" s="1"/>
  <c r="A94" i="31"/>
  <c r="A93" i="31"/>
  <c r="E93" i="31" s="1" a="1"/>
  <c r="E93" i="31" s="1"/>
  <c r="A92" i="31"/>
  <c r="F92" i="31" s="1" a="1"/>
  <c r="F92" i="31" s="1"/>
  <c r="A91" i="31"/>
  <c r="F91" i="31" s="1" a="1"/>
  <c r="F91" i="31" s="1"/>
  <c r="A90" i="31"/>
  <c r="A89" i="31"/>
  <c r="E89" i="31" s="1" a="1"/>
  <c r="E89" i="31" s="1"/>
  <c r="A88" i="31"/>
  <c r="A87" i="31"/>
  <c r="D87" i="31" s="1" a="1"/>
  <c r="D87" i="31" s="1"/>
  <c r="A86" i="31"/>
  <c r="A85" i="31"/>
  <c r="E85" i="31" s="1" a="1"/>
  <c r="E85" i="31" s="1"/>
  <c r="A84" i="31"/>
  <c r="D84" i="31" s="1" a="1"/>
  <c r="D84" i="31" s="1"/>
  <c r="A83" i="31"/>
  <c r="F83" i="31" s="1" a="1"/>
  <c r="F83" i="31" s="1"/>
  <c r="A82" i="31"/>
  <c r="A81" i="31"/>
  <c r="E81" i="31" s="1" a="1"/>
  <c r="E81" i="31" s="1"/>
  <c r="A80" i="31"/>
  <c r="A79" i="31"/>
  <c r="D79" i="31" s="1" a="1"/>
  <c r="D79" i="31" s="1"/>
  <c r="A78" i="31"/>
  <c r="A77" i="31"/>
  <c r="E77" i="31" s="1" a="1"/>
  <c r="E77" i="31" s="1"/>
  <c r="A76" i="31"/>
  <c r="F76" i="31" s="1" a="1"/>
  <c r="F76" i="31" s="1"/>
  <c r="A75" i="31"/>
  <c r="F75" i="31" s="1" a="1"/>
  <c r="F75" i="31" s="1"/>
  <c r="A74" i="31"/>
  <c r="A73" i="31"/>
  <c r="F73" i="31" s="1" a="1"/>
  <c r="F73" i="31" s="1"/>
  <c r="A72" i="31"/>
  <c r="E72" i="31" s="1" a="1"/>
  <c r="E72" i="31" s="1"/>
  <c r="A71" i="31"/>
  <c r="D71" i="31" s="1" a="1"/>
  <c r="D71" i="31" s="1"/>
  <c r="A70" i="31"/>
  <c r="D70" i="31" s="1" a="1"/>
  <c r="D70" i="31" s="1"/>
  <c r="A69" i="31"/>
  <c r="A68" i="31"/>
  <c r="F68" i="31" s="1" a="1"/>
  <c r="F68" i="31" s="1"/>
  <c r="A67" i="31"/>
  <c r="B67" i="31" s="1" a="1"/>
  <c r="B67" i="31" s="1"/>
  <c r="A66" i="31"/>
  <c r="B66" i="31" s="1" a="1"/>
  <c r="B66" i="31" s="1"/>
  <c r="A65" i="31"/>
  <c r="E65" i="31" s="1" a="1"/>
  <c r="E65" i="31" s="1"/>
  <c r="A64" i="31"/>
  <c r="F64" i="31" s="1" a="1"/>
  <c r="F64" i="31" s="1"/>
  <c r="A63" i="31"/>
  <c r="E63" i="31" s="1" a="1"/>
  <c r="E63" i="31" s="1"/>
  <c r="A62" i="31"/>
  <c r="D62" i="31" s="1" a="1"/>
  <c r="D62" i="31" s="1"/>
  <c r="A61" i="31"/>
  <c r="A60" i="31"/>
  <c r="F60" i="31" s="1" a="1"/>
  <c r="F60" i="31" s="1"/>
  <c r="A59" i="31"/>
  <c r="E59" i="31" s="1" a="1"/>
  <c r="E59" i="31" s="1"/>
  <c r="A58" i="31"/>
  <c r="B58" i="31" s="1" a="1"/>
  <c r="B58" i="31" s="1"/>
  <c r="A57" i="31"/>
  <c r="E57" i="31" s="1" a="1"/>
  <c r="E57" i="31" s="1"/>
  <c r="A56" i="31"/>
  <c r="F56" i="31" s="1" a="1"/>
  <c r="F56" i="31" s="1"/>
  <c r="A55" i="31"/>
  <c r="B55" i="31" s="1" a="1"/>
  <c r="B55" i="31" s="1"/>
  <c r="A54" i="31"/>
  <c r="D54" i="31" s="1" a="1"/>
  <c r="D54" i="31" s="1"/>
  <c r="A53" i="31"/>
  <c r="A52" i="31"/>
  <c r="F52" i="31" s="1" a="1"/>
  <c r="F52" i="31" s="1"/>
  <c r="A51" i="31"/>
  <c r="F51" i="31" s="1" a="1"/>
  <c r="F51" i="31" s="1"/>
  <c r="A50" i="31"/>
  <c r="B50" i="31" s="1" a="1"/>
  <c r="B50" i="31" s="1"/>
  <c r="A49" i="31"/>
  <c r="E49" i="31" s="1" a="1"/>
  <c r="E49" i="31" s="1"/>
  <c r="A48" i="31"/>
  <c r="F48" i="31" s="1" a="1"/>
  <c r="F48" i="31" s="1"/>
  <c r="A47" i="31"/>
  <c r="A46" i="31"/>
  <c r="D46" i="31" s="1" a="1"/>
  <c r="D46" i="31" s="1"/>
  <c r="A45" i="31"/>
  <c r="A44" i="31"/>
  <c r="F44" i="31" s="1" a="1"/>
  <c r="F44" i="31" s="1"/>
  <c r="A43" i="31"/>
  <c r="F43" i="31" s="1" a="1"/>
  <c r="F43" i="31" s="1"/>
  <c r="A42" i="31"/>
  <c r="B42" i="31" s="1" a="1"/>
  <c r="B42" i="31" s="1"/>
  <c r="A41" i="31"/>
  <c r="E41" i="31" s="1" a="1"/>
  <c r="E41" i="31" s="1"/>
  <c r="A40" i="31"/>
  <c r="C40" i="31" s="1" a="1"/>
  <c r="C40" i="31" s="1"/>
  <c r="A39" i="31"/>
  <c r="F39" i="31" s="1" a="1"/>
  <c r="F39" i="31" s="1"/>
  <c r="A38" i="31"/>
  <c r="D38" i="31" s="1" a="1"/>
  <c r="D38" i="31" s="1"/>
  <c r="A37" i="31"/>
  <c r="A36" i="31"/>
  <c r="A35" i="31"/>
  <c r="E35" i="31" s="1" a="1"/>
  <c r="E35" i="31" s="1"/>
  <c r="A34" i="31"/>
  <c r="F34" i="31" s="1" a="1"/>
  <c r="F34" i="31" s="1"/>
  <c r="A33" i="31"/>
  <c r="E33" i="31" s="1" a="1"/>
  <c r="E33" i="31" s="1"/>
  <c r="A32" i="31"/>
  <c r="C32" i="31" s="1" a="1"/>
  <c r="C32" i="31" s="1"/>
  <c r="A31" i="31"/>
  <c r="E31" i="31" s="1" a="1"/>
  <c r="E31" i="31" s="1"/>
  <c r="A30" i="31"/>
  <c r="A29" i="31"/>
  <c r="D29" i="31" s="1" a="1"/>
  <c r="D29" i="31" s="1"/>
  <c r="A28" i="31"/>
  <c r="E28" i="31" s="1" a="1"/>
  <c r="E28" i="31" s="1"/>
  <c r="A27" i="31"/>
  <c r="B27" i="31" s="1" a="1"/>
  <c r="B27" i="31" s="1"/>
  <c r="A26" i="31"/>
  <c r="F26" i="31" s="1" a="1"/>
  <c r="F26" i="31" s="1"/>
  <c r="A25" i="31"/>
  <c r="E25" i="31" s="1" a="1"/>
  <c r="E25" i="31" s="1"/>
  <c r="A24" i="31"/>
  <c r="E24" i="31" s="1" a="1"/>
  <c r="E24" i="31" s="1"/>
  <c r="A23" i="31"/>
  <c r="D23" i="31" s="1" a="1"/>
  <c r="D23" i="31" s="1"/>
  <c r="A22" i="31"/>
  <c r="A21" i="31"/>
  <c r="F21" i="31" s="1" a="1"/>
  <c r="F21" i="31" s="1"/>
  <c r="A20" i="31"/>
  <c r="F20" i="31" s="1" a="1"/>
  <c r="F20" i="31" s="1"/>
  <c r="A19" i="31"/>
  <c r="B19" i="31" s="1" a="1"/>
  <c r="B19" i="31" s="1"/>
  <c r="A18" i="31"/>
  <c r="E18" i="31" s="1" a="1"/>
  <c r="E18" i="31" s="1"/>
  <c r="A17" i="31"/>
  <c r="F17" i="31" s="1" a="1"/>
  <c r="F17" i="31" s="1"/>
  <c r="A16" i="31"/>
  <c r="E16" i="31" s="1" a="1"/>
  <c r="E16" i="31" s="1"/>
  <c r="A15" i="31"/>
  <c r="D15" i="31" s="1" a="1"/>
  <c r="D15" i="31" s="1"/>
  <c r="A14" i="31"/>
  <c r="C14" i="31" s="1" a="1"/>
  <c r="C14" i="31" s="1"/>
  <c r="A13" i="31"/>
  <c r="F13" i="31" s="1" a="1"/>
  <c r="F13" i="31" s="1"/>
  <c r="A12" i="31"/>
  <c r="F12" i="31" s="1" a="1"/>
  <c r="F12" i="31" s="1"/>
  <c r="A11" i="31"/>
  <c r="D11" i="31" s="1" a="1"/>
  <c r="D11" i="31" s="1"/>
  <c r="A10" i="31"/>
  <c r="E10" i="31" s="1" a="1"/>
  <c r="E10" i="31" s="1"/>
  <c r="A9" i="31"/>
  <c r="F9" i="31" s="1" a="1"/>
  <c r="F9" i="31" s="1"/>
  <c r="A8" i="31"/>
  <c r="E8" i="31" s="1" a="1"/>
  <c r="E8" i="31" s="1"/>
  <c r="A7" i="31"/>
  <c r="D7" i="31" s="1" a="1"/>
  <c r="D7" i="31" s="1"/>
  <c r="A6" i="31"/>
  <c r="C6" i="31" s="1" a="1"/>
  <c r="C6" i="31" s="1"/>
  <c r="A5" i="31"/>
  <c r="E5" i="31" s="1" a="1"/>
  <c r="E5" i="31" s="1"/>
  <c r="P4" i="31"/>
  <c r="Q4" i="31" s="1"/>
  <c r="A4" i="31"/>
  <c r="D4" i="31" s="1" a="1"/>
  <c r="D4" i="31" s="1"/>
  <c r="P3" i="31"/>
  <c r="Q3" i="31" s="1"/>
  <c r="A3" i="31"/>
  <c r="C3" i="31" s="1" a="1"/>
  <c r="C3" i="31" s="1"/>
  <c r="Q2" i="31"/>
  <c r="A2" i="31"/>
  <c r="F2" i="31" s="1" a="1"/>
  <c r="F2" i="31" s="1"/>
  <c r="V190" i="30"/>
  <c r="V191" i="30"/>
  <c r="V189" i="30"/>
  <c r="V172" i="30"/>
  <c r="V173" i="30"/>
  <c r="V171" i="30"/>
  <c r="Q190" i="30"/>
  <c r="Q191" i="30"/>
  <c r="Q189" i="30"/>
  <c r="Q181" i="30"/>
  <c r="Q182" i="30"/>
  <c r="Q180" i="30"/>
  <c r="Q172" i="30"/>
  <c r="Q173" i="30"/>
  <c r="Q171" i="30"/>
  <c r="L189" i="30"/>
  <c r="L181" i="30"/>
  <c r="L182" i="30"/>
  <c r="L180" i="30"/>
  <c r="L172" i="30"/>
  <c r="L173" i="30"/>
  <c r="L171" i="30"/>
  <c r="G190" i="30"/>
  <c r="G191" i="30"/>
  <c r="G189" i="30"/>
  <c r="G181" i="30"/>
  <c r="G182" i="30"/>
  <c r="G180" i="30"/>
  <c r="G172" i="30"/>
  <c r="G173" i="30"/>
  <c r="G171" i="30"/>
  <c r="J165" i="30"/>
  <c r="I165" i="30"/>
  <c r="L165" i="30"/>
  <c r="V169" i="30" s="1"/>
  <c r="K165" i="30"/>
  <c r="Q169" i="30" s="1"/>
  <c r="L169" i="30"/>
  <c r="G169" i="30"/>
  <c r="A164" i="30"/>
  <c r="F164" i="30" s="1" a="1"/>
  <c r="F164" i="30" s="1"/>
  <c r="A163" i="30"/>
  <c r="A162" i="30"/>
  <c r="E162" i="30" s="1" a="1"/>
  <c r="E162" i="30" s="1"/>
  <c r="A161" i="30"/>
  <c r="A160" i="30"/>
  <c r="F160" i="30" s="1" a="1"/>
  <c r="F160" i="30" s="1"/>
  <c r="A159" i="30"/>
  <c r="A158" i="30"/>
  <c r="E158" i="30" s="1" a="1"/>
  <c r="E158" i="30" s="1"/>
  <c r="A157" i="30"/>
  <c r="A156" i="30"/>
  <c r="F156" i="30" s="1" a="1"/>
  <c r="F156" i="30" s="1"/>
  <c r="A155" i="30"/>
  <c r="A154" i="30"/>
  <c r="E154" i="30" s="1" a="1"/>
  <c r="E154" i="30" s="1"/>
  <c r="A153" i="30"/>
  <c r="A152" i="30"/>
  <c r="F152" i="30" s="1" a="1"/>
  <c r="F152" i="30" s="1"/>
  <c r="A151" i="30"/>
  <c r="A150" i="30"/>
  <c r="E150" i="30" s="1" a="1"/>
  <c r="E150" i="30" s="1"/>
  <c r="A149" i="30"/>
  <c r="A148" i="30"/>
  <c r="A147" i="30"/>
  <c r="A146" i="30"/>
  <c r="A145" i="30"/>
  <c r="A144" i="30"/>
  <c r="A143" i="30"/>
  <c r="E143" i="30" s="1" a="1"/>
  <c r="E143" i="30" s="1"/>
  <c r="A142" i="30"/>
  <c r="F142" i="30" s="1" a="1"/>
  <c r="F142" i="30" s="1"/>
  <c r="A141" i="30"/>
  <c r="E141" i="30" s="1" a="1"/>
  <c r="E141" i="30" s="1"/>
  <c r="A140" i="30"/>
  <c r="A139" i="30"/>
  <c r="F139" i="30" s="1" a="1"/>
  <c r="F139" i="30" s="1"/>
  <c r="A138" i="30"/>
  <c r="F138" i="30" s="1" a="1"/>
  <c r="F138" i="30" s="1"/>
  <c r="A137" i="30"/>
  <c r="E137" i="30" s="1" a="1"/>
  <c r="E137" i="30" s="1"/>
  <c r="A136" i="30"/>
  <c r="A135" i="30"/>
  <c r="F135" i="30" s="1" a="1"/>
  <c r="F135" i="30" s="1"/>
  <c r="A134" i="30"/>
  <c r="F134" i="30" s="1" a="1"/>
  <c r="F134" i="30" s="1"/>
  <c r="A133" i="30"/>
  <c r="E133" i="30" s="1" a="1"/>
  <c r="E133" i="30" s="1"/>
  <c r="A132" i="30"/>
  <c r="A131" i="30"/>
  <c r="E131" i="30" s="1" a="1"/>
  <c r="E131" i="30" s="1"/>
  <c r="A130" i="30"/>
  <c r="F130" i="30" s="1" a="1"/>
  <c r="F130" i="30" s="1"/>
  <c r="A129" i="30"/>
  <c r="F129" i="30" s="1" a="1"/>
  <c r="F129" i="30" s="1"/>
  <c r="A128" i="30"/>
  <c r="A127" i="30"/>
  <c r="E127" i="30" s="1" a="1"/>
  <c r="E127" i="30" s="1"/>
  <c r="A126" i="30"/>
  <c r="F126" i="30" s="1" a="1"/>
  <c r="F126" i="30" s="1"/>
  <c r="A125" i="30"/>
  <c r="E125" i="30" s="1" a="1"/>
  <c r="E125" i="30" s="1"/>
  <c r="A124" i="30"/>
  <c r="A123" i="30"/>
  <c r="F123" i="30" s="1" a="1"/>
  <c r="F123" i="30" s="1"/>
  <c r="A122" i="30"/>
  <c r="A121" i="30"/>
  <c r="A120" i="30"/>
  <c r="A119" i="30"/>
  <c r="F119" i="30" s="1" a="1"/>
  <c r="F119" i="30" s="1"/>
  <c r="A118" i="30"/>
  <c r="A117" i="30"/>
  <c r="E117" i="30" s="1" a="1"/>
  <c r="E117" i="30" s="1"/>
  <c r="A116" i="30"/>
  <c r="A115" i="30"/>
  <c r="F115" i="30" s="1" a="1"/>
  <c r="F115" i="30" s="1"/>
  <c r="A114" i="30"/>
  <c r="A113" i="30"/>
  <c r="E113" i="30" s="1" a="1"/>
  <c r="E113" i="30" s="1"/>
  <c r="A112" i="30"/>
  <c r="A111" i="30"/>
  <c r="F111" i="30" s="1" a="1"/>
  <c r="F111" i="30" s="1"/>
  <c r="A110" i="30"/>
  <c r="A109" i="30"/>
  <c r="E109" i="30" s="1" a="1"/>
  <c r="E109" i="30" s="1"/>
  <c r="A108" i="30"/>
  <c r="A107" i="30"/>
  <c r="F107" i="30" s="1" a="1"/>
  <c r="F107" i="30" s="1"/>
  <c r="A106" i="30"/>
  <c r="A105" i="30"/>
  <c r="E105" i="30" s="1" a="1"/>
  <c r="E105" i="30" s="1"/>
  <c r="A104" i="30"/>
  <c r="A103" i="30"/>
  <c r="F103" i="30" s="1" a="1"/>
  <c r="F103" i="30" s="1"/>
  <c r="A102" i="30"/>
  <c r="A101" i="30"/>
  <c r="E101" i="30" s="1" a="1"/>
  <c r="E101" i="30" s="1"/>
  <c r="A100" i="30"/>
  <c r="A99" i="30"/>
  <c r="A98" i="30"/>
  <c r="A97" i="30"/>
  <c r="A96" i="30"/>
  <c r="A95" i="30"/>
  <c r="F95" i="30" s="1" a="1"/>
  <c r="F95" i="30" s="1"/>
  <c r="A94" i="30"/>
  <c r="A93" i="30"/>
  <c r="E93" i="30" s="1" a="1"/>
  <c r="E93" i="30" s="1"/>
  <c r="A92" i="30"/>
  <c r="A91" i="30"/>
  <c r="F91" i="30" s="1" a="1"/>
  <c r="F91" i="30" s="1"/>
  <c r="A90" i="30"/>
  <c r="A89" i="30"/>
  <c r="A88" i="30"/>
  <c r="A87" i="30"/>
  <c r="F87" i="30" s="1" a="1"/>
  <c r="F87" i="30" s="1"/>
  <c r="A86" i="30"/>
  <c r="A85" i="30"/>
  <c r="A84" i="30"/>
  <c r="F84" i="30" s="1" a="1"/>
  <c r="F84" i="30" s="1"/>
  <c r="A83" i="30"/>
  <c r="A82" i="30"/>
  <c r="E82" i="30" s="1" a="1"/>
  <c r="E82" i="30" s="1"/>
  <c r="A81" i="30"/>
  <c r="A80" i="30"/>
  <c r="F80" i="30" s="1" a="1"/>
  <c r="F80" i="30" s="1"/>
  <c r="A79" i="30"/>
  <c r="A78" i="30"/>
  <c r="A77" i="30"/>
  <c r="A76" i="30"/>
  <c r="F76" i="30" s="1" a="1"/>
  <c r="F76" i="30" s="1"/>
  <c r="A75" i="30"/>
  <c r="A74" i="30"/>
  <c r="E74" i="30" s="1" a="1"/>
  <c r="E74" i="30" s="1"/>
  <c r="A73" i="30"/>
  <c r="A72" i="30"/>
  <c r="F72" i="30" s="1" a="1"/>
  <c r="F72" i="30" s="1"/>
  <c r="A71" i="30"/>
  <c r="A70" i="30"/>
  <c r="E70" i="30" s="1" a="1"/>
  <c r="E70" i="30" s="1"/>
  <c r="A69" i="30"/>
  <c r="A68" i="30"/>
  <c r="F68" i="30" s="1" a="1"/>
  <c r="F68" i="30" s="1"/>
  <c r="A67" i="30"/>
  <c r="A66" i="30"/>
  <c r="E66" i="30" s="1" a="1"/>
  <c r="E66" i="30" s="1"/>
  <c r="A65" i="30"/>
  <c r="A64" i="30"/>
  <c r="F64" i="30" s="1" a="1"/>
  <c r="F64" i="30" s="1"/>
  <c r="A63" i="30"/>
  <c r="A62" i="30"/>
  <c r="D62" i="30" s="1" a="1"/>
  <c r="D62" i="30" s="1"/>
  <c r="A61" i="30"/>
  <c r="A60" i="30"/>
  <c r="F60" i="30" s="1" a="1"/>
  <c r="F60" i="30" s="1"/>
  <c r="A59" i="30"/>
  <c r="A58" i="30"/>
  <c r="E58" i="30" s="1" a="1"/>
  <c r="E58" i="30" s="1"/>
  <c r="A57" i="30"/>
  <c r="A56" i="30"/>
  <c r="B56" i="30" s="1" a="1"/>
  <c r="B56" i="30" s="1"/>
  <c r="A55" i="30"/>
  <c r="A54" i="30"/>
  <c r="D54" i="30" s="1" a="1"/>
  <c r="D54" i="30" s="1"/>
  <c r="A53" i="30"/>
  <c r="A52" i="30"/>
  <c r="F52" i="30" s="1" a="1"/>
  <c r="F52" i="30" s="1"/>
  <c r="A51" i="30"/>
  <c r="A50" i="30"/>
  <c r="E50" i="30" s="1" a="1"/>
  <c r="E50" i="30" s="1"/>
  <c r="A49" i="30"/>
  <c r="A48" i="30"/>
  <c r="F48" i="30" s="1" a="1"/>
  <c r="F48" i="30" s="1"/>
  <c r="A47" i="30"/>
  <c r="A46" i="30"/>
  <c r="A45" i="30"/>
  <c r="A44" i="30"/>
  <c r="F44" i="30" s="1" a="1"/>
  <c r="F44" i="30" s="1"/>
  <c r="A43" i="30"/>
  <c r="A42" i="30"/>
  <c r="E42" i="30" s="1" a="1"/>
  <c r="E42" i="30" s="1"/>
  <c r="A41" i="30"/>
  <c r="A40" i="30"/>
  <c r="F40" i="30" s="1" a="1"/>
  <c r="F40" i="30" s="1"/>
  <c r="A39" i="30"/>
  <c r="A38" i="30"/>
  <c r="E38" i="30" s="1" a="1"/>
  <c r="E38" i="30" s="1"/>
  <c r="A37" i="30"/>
  <c r="A36" i="30"/>
  <c r="F36" i="30" s="1" a="1"/>
  <c r="F36" i="30" s="1"/>
  <c r="A35" i="30"/>
  <c r="A34" i="30"/>
  <c r="E34" i="30" s="1" a="1"/>
  <c r="E34" i="30" s="1"/>
  <c r="A33" i="30"/>
  <c r="A32" i="30"/>
  <c r="F32" i="30" s="1" a="1"/>
  <c r="F32" i="30" s="1"/>
  <c r="A31" i="30"/>
  <c r="A30" i="30"/>
  <c r="B30" i="30" s="1" a="1"/>
  <c r="B30" i="30" s="1"/>
  <c r="A29" i="30"/>
  <c r="E29" i="30" s="1" a="1"/>
  <c r="E29" i="30" s="1"/>
  <c r="A28" i="30"/>
  <c r="E28" i="30" s="1" a="1"/>
  <c r="E28" i="30" s="1"/>
  <c r="A27" i="30"/>
  <c r="F27" i="30" s="1" a="1"/>
  <c r="F27" i="30" s="1"/>
  <c r="A26" i="30"/>
  <c r="D26" i="30" s="1" a="1"/>
  <c r="D26" i="30" s="1"/>
  <c r="A25" i="30"/>
  <c r="C25" i="30" s="1" a="1"/>
  <c r="C25" i="30" s="1"/>
  <c r="A24" i="30"/>
  <c r="F24" i="30" s="1" a="1"/>
  <c r="F24" i="30" s="1"/>
  <c r="A23" i="30"/>
  <c r="F23" i="30" s="1" a="1"/>
  <c r="F23" i="30" s="1"/>
  <c r="A22" i="30"/>
  <c r="E22" i="30" s="1" a="1"/>
  <c r="E22" i="30" s="1"/>
  <c r="A21" i="30"/>
  <c r="E21" i="30" s="1" a="1"/>
  <c r="E21" i="30" s="1"/>
  <c r="A20" i="30"/>
  <c r="E20" i="30" s="1" a="1"/>
  <c r="E20" i="30" s="1"/>
  <c r="A19" i="30"/>
  <c r="F19" i="30" s="1" a="1"/>
  <c r="F19" i="30" s="1"/>
  <c r="A18" i="30"/>
  <c r="D18" i="30" s="1" a="1"/>
  <c r="D18" i="30" s="1"/>
  <c r="A17" i="30"/>
  <c r="E17" i="30" s="1" a="1"/>
  <c r="E17" i="30" s="1"/>
  <c r="A16" i="30"/>
  <c r="C16" i="30" s="1" a="1"/>
  <c r="C16" i="30" s="1"/>
  <c r="A15" i="30"/>
  <c r="F15" i="30" s="1" a="1"/>
  <c r="F15" i="30" s="1"/>
  <c r="A14" i="30"/>
  <c r="E14" i="30" s="1" a="1"/>
  <c r="E14" i="30" s="1"/>
  <c r="A13" i="30"/>
  <c r="E13" i="30" s="1" a="1"/>
  <c r="E13" i="30" s="1"/>
  <c r="A12" i="30"/>
  <c r="E12" i="30" s="1" a="1"/>
  <c r="E12" i="30" s="1"/>
  <c r="A11" i="30"/>
  <c r="F11" i="30" s="1" a="1"/>
  <c r="F11" i="30" s="1"/>
  <c r="A10" i="30"/>
  <c r="D10" i="30" s="1" a="1"/>
  <c r="D10" i="30" s="1"/>
  <c r="A9" i="30"/>
  <c r="E9" i="30" s="1" a="1"/>
  <c r="E9" i="30" s="1"/>
  <c r="A8" i="30"/>
  <c r="C8" i="30" s="1" a="1"/>
  <c r="C8" i="30" s="1"/>
  <c r="A7" i="30"/>
  <c r="F7" i="30" s="1" a="1"/>
  <c r="F7" i="30" s="1"/>
  <c r="A6" i="30"/>
  <c r="E6" i="30" s="1" a="1"/>
  <c r="E6" i="30" s="1"/>
  <c r="A5" i="30"/>
  <c r="D5" i="30" s="1" a="1"/>
  <c r="D5" i="30" s="1"/>
  <c r="P4" i="30"/>
  <c r="Q4" i="30" s="1"/>
  <c r="A4" i="30"/>
  <c r="F4" i="30" s="1" a="1"/>
  <c r="F4" i="30" s="1"/>
  <c r="P3" i="30"/>
  <c r="Q3" i="30" s="1"/>
  <c r="A3" i="30"/>
  <c r="E3" i="30" s="1" a="1"/>
  <c r="E3" i="30" s="1"/>
  <c r="Q2" i="30"/>
  <c r="P2" i="30"/>
  <c r="A2" i="30"/>
  <c r="E2" i="30" s="1" a="1"/>
  <c r="E2" i="30" s="1"/>
  <c r="V190" i="29"/>
  <c r="V191" i="29"/>
  <c r="V189" i="29"/>
  <c r="V172" i="29"/>
  <c r="V173" i="29"/>
  <c r="V171" i="29"/>
  <c r="Q190" i="29"/>
  <c r="Q191" i="29"/>
  <c r="Q189" i="29"/>
  <c r="Q181" i="29"/>
  <c r="Q182" i="29"/>
  <c r="Q180" i="29"/>
  <c r="Q172" i="29"/>
  <c r="Q173" i="29"/>
  <c r="Q171" i="29"/>
  <c r="L190" i="29"/>
  <c r="L191" i="29"/>
  <c r="L189" i="29"/>
  <c r="L181" i="29"/>
  <c r="L182" i="29"/>
  <c r="L180" i="29"/>
  <c r="L172" i="29"/>
  <c r="L173" i="29"/>
  <c r="L171" i="29"/>
  <c r="F171" i="29"/>
  <c r="G190" i="29"/>
  <c r="G191" i="29"/>
  <c r="G189" i="29"/>
  <c r="G181" i="29"/>
  <c r="G182" i="29"/>
  <c r="G180" i="29"/>
  <c r="G171" i="29"/>
  <c r="J165" i="29"/>
  <c r="I165" i="29"/>
  <c r="A164" i="29"/>
  <c r="A163" i="29"/>
  <c r="A162" i="29"/>
  <c r="D162" i="29" s="1" a="1"/>
  <c r="D162" i="29" s="1"/>
  <c r="A161" i="29"/>
  <c r="A160" i="29"/>
  <c r="D160" i="29" s="1" a="1"/>
  <c r="D160" i="29" s="1"/>
  <c r="A159" i="29"/>
  <c r="A158" i="29"/>
  <c r="A157" i="29"/>
  <c r="A156" i="29"/>
  <c r="A155" i="29"/>
  <c r="A154" i="29"/>
  <c r="D154" i="29" s="1" a="1"/>
  <c r="D154" i="29" s="1"/>
  <c r="A153" i="29"/>
  <c r="A152" i="29"/>
  <c r="A151" i="29"/>
  <c r="A150" i="29"/>
  <c r="A149" i="29"/>
  <c r="A148" i="29"/>
  <c r="A147" i="29"/>
  <c r="A146" i="29"/>
  <c r="C146" i="29" s="1" a="1"/>
  <c r="C146" i="29" s="1"/>
  <c r="A145" i="29"/>
  <c r="A144" i="29"/>
  <c r="A143" i="29"/>
  <c r="A142" i="29"/>
  <c r="A141" i="29"/>
  <c r="A140" i="29"/>
  <c r="A139" i="29"/>
  <c r="C139" i="29" s="1" a="1"/>
  <c r="C139" i="29" s="1"/>
  <c r="A138" i="29"/>
  <c r="A137" i="29"/>
  <c r="C137" i="29" s="1" a="1"/>
  <c r="C137" i="29" s="1"/>
  <c r="A136" i="29"/>
  <c r="A135" i="29"/>
  <c r="B135" i="29" s="1" a="1"/>
  <c r="B135" i="29" s="1"/>
  <c r="A134" i="29"/>
  <c r="A133" i="29"/>
  <c r="A132" i="29"/>
  <c r="A131" i="29"/>
  <c r="A130" i="29"/>
  <c r="A129" i="29"/>
  <c r="E129" i="29" s="1" a="1"/>
  <c r="E129" i="29" s="1"/>
  <c r="A128" i="29"/>
  <c r="A127" i="29"/>
  <c r="A126" i="29"/>
  <c r="A125" i="29"/>
  <c r="A124" i="29"/>
  <c r="A123" i="29"/>
  <c r="D123" i="29" s="1" a="1"/>
  <c r="D123" i="29" s="1"/>
  <c r="A122" i="29"/>
  <c r="A121" i="29"/>
  <c r="A120" i="29"/>
  <c r="A119" i="29"/>
  <c r="A118" i="29"/>
  <c r="A117" i="29"/>
  <c r="C117" i="29" s="1" a="1"/>
  <c r="C117" i="29" s="1"/>
  <c r="A116" i="29"/>
  <c r="A115" i="29"/>
  <c r="D115" i="29" s="1" a="1"/>
  <c r="D115" i="29" s="1"/>
  <c r="A114" i="29"/>
  <c r="D114" i="29" s="1" a="1"/>
  <c r="D114" i="29" s="1"/>
  <c r="A113" i="29"/>
  <c r="D113" i="29" s="1" a="1"/>
  <c r="D113" i="29" s="1"/>
  <c r="A112" i="29"/>
  <c r="A111" i="29"/>
  <c r="E111" i="29" s="1" a="1"/>
  <c r="E111" i="29" s="1"/>
  <c r="A110" i="29"/>
  <c r="A109" i="29"/>
  <c r="F109" i="29" s="1" a="1"/>
  <c r="F109" i="29" s="1"/>
  <c r="A108" i="29"/>
  <c r="A107" i="29"/>
  <c r="A106" i="29"/>
  <c r="E106" i="29" s="1" a="1"/>
  <c r="E106" i="29" s="1"/>
  <c r="A105" i="29"/>
  <c r="A104" i="29"/>
  <c r="A103" i="29"/>
  <c r="A102" i="29"/>
  <c r="E102" i="29" s="1" a="1"/>
  <c r="E102" i="29" s="1"/>
  <c r="A101" i="29"/>
  <c r="A100" i="29"/>
  <c r="A99" i="29"/>
  <c r="A98" i="29"/>
  <c r="A97" i="29"/>
  <c r="D97" i="29" s="1" a="1"/>
  <c r="D97" i="29" s="1"/>
  <c r="A96" i="29"/>
  <c r="A95" i="29"/>
  <c r="A94" i="29"/>
  <c r="F94" i="29" s="1" a="1"/>
  <c r="F94" i="29" s="1"/>
  <c r="A93" i="29"/>
  <c r="A92" i="29"/>
  <c r="A91" i="29"/>
  <c r="A90" i="29"/>
  <c r="A89" i="29"/>
  <c r="A88" i="29"/>
  <c r="A87" i="29"/>
  <c r="A86" i="29"/>
  <c r="A85" i="29"/>
  <c r="D85" i="29" s="1" a="1"/>
  <c r="D85" i="29" s="1"/>
  <c r="A84" i="29"/>
  <c r="B84" i="29" s="1" a="1"/>
  <c r="B84" i="29" s="1"/>
  <c r="A83" i="29"/>
  <c r="A82" i="29"/>
  <c r="D82" i="29" s="1" a="1"/>
  <c r="D82" i="29" s="1"/>
  <c r="A81" i="29"/>
  <c r="A80" i="29"/>
  <c r="A79" i="29"/>
  <c r="A78" i="29"/>
  <c r="D78" i="29" s="1" a="1"/>
  <c r="D78" i="29" s="1"/>
  <c r="A77" i="29"/>
  <c r="A76" i="29"/>
  <c r="A75" i="29"/>
  <c r="A74" i="29"/>
  <c r="C74" i="29" s="1" a="1"/>
  <c r="C74" i="29" s="1"/>
  <c r="A73" i="29"/>
  <c r="B73" i="29" s="1" a="1"/>
  <c r="B73" i="29" s="1"/>
  <c r="A72" i="29"/>
  <c r="A71" i="29"/>
  <c r="A70" i="29"/>
  <c r="E70" i="29" s="1" a="1"/>
  <c r="E70" i="29" s="1"/>
  <c r="A69" i="29"/>
  <c r="F69" i="29" s="1" a="1"/>
  <c r="F69" i="29" s="1"/>
  <c r="A68" i="29"/>
  <c r="D68" i="29" s="1" a="1"/>
  <c r="D68" i="29" s="1"/>
  <c r="A67" i="29"/>
  <c r="A66" i="29"/>
  <c r="A65" i="29"/>
  <c r="A64" i="29"/>
  <c r="B64" i="29" s="1" a="1"/>
  <c r="B64" i="29" s="1"/>
  <c r="A63" i="29"/>
  <c r="A62" i="29"/>
  <c r="C62" i="29" s="1" a="1"/>
  <c r="C62" i="29" s="1"/>
  <c r="A61" i="29"/>
  <c r="A60" i="29"/>
  <c r="A59" i="29"/>
  <c r="A58" i="29"/>
  <c r="A57" i="29"/>
  <c r="A56" i="29"/>
  <c r="A55" i="29"/>
  <c r="A54" i="29"/>
  <c r="A53" i="29"/>
  <c r="A52" i="29"/>
  <c r="F52" i="29" s="1" a="1"/>
  <c r="F52" i="29" s="1"/>
  <c r="A51" i="29"/>
  <c r="A50" i="29"/>
  <c r="A49" i="29"/>
  <c r="A48" i="29"/>
  <c r="A47" i="29"/>
  <c r="A46" i="29"/>
  <c r="A45" i="29"/>
  <c r="D45" i="29" s="1" a="1"/>
  <c r="D45" i="29" s="1"/>
  <c r="A44" i="29"/>
  <c r="A43" i="29"/>
  <c r="E43" i="29" s="1" a="1"/>
  <c r="E43" i="29" s="1"/>
  <c r="A42" i="29"/>
  <c r="E42" i="29" s="1" a="1"/>
  <c r="E42" i="29" s="1"/>
  <c r="A41" i="29"/>
  <c r="A40" i="29"/>
  <c r="A39" i="29"/>
  <c r="A38" i="29"/>
  <c r="A37" i="29"/>
  <c r="A36" i="29"/>
  <c r="A35" i="29"/>
  <c r="A34" i="29"/>
  <c r="A33" i="29"/>
  <c r="A32" i="29"/>
  <c r="A31" i="29"/>
  <c r="A30" i="29"/>
  <c r="E30" i="29" s="1" a="1"/>
  <c r="E30" i="29" s="1"/>
  <c r="A29" i="29"/>
  <c r="E29" i="29" s="1" a="1"/>
  <c r="E29" i="29" s="1"/>
  <c r="A28" i="29"/>
  <c r="A27" i="29"/>
  <c r="F27" i="29" s="1" a="1"/>
  <c r="F27" i="29" s="1"/>
  <c r="A26" i="29"/>
  <c r="F26" i="29" s="1" a="1"/>
  <c r="F26" i="29" s="1"/>
  <c r="A25" i="29"/>
  <c r="A24" i="29"/>
  <c r="A23" i="29"/>
  <c r="F23" i="29" s="1" a="1"/>
  <c r="F23" i="29" s="1"/>
  <c r="A22" i="29"/>
  <c r="F22" i="29" s="1" a="1"/>
  <c r="F22" i="29" s="1"/>
  <c r="A21" i="29"/>
  <c r="A20" i="29"/>
  <c r="A19" i="29"/>
  <c r="A18" i="29"/>
  <c r="A17" i="29"/>
  <c r="A16" i="29"/>
  <c r="E16" i="29" s="1" a="1"/>
  <c r="E16" i="29" s="1"/>
  <c r="A15" i="29"/>
  <c r="A14" i="29"/>
  <c r="D14" i="29" s="1" a="1"/>
  <c r="D14" i="29" s="1"/>
  <c r="A13" i="29"/>
  <c r="E13" i="29" s="1" a="1"/>
  <c r="E13" i="29" s="1"/>
  <c r="A12" i="29"/>
  <c r="E12" i="29" s="1" a="1"/>
  <c r="E12" i="29" s="1"/>
  <c r="A11" i="29"/>
  <c r="F11" i="29" s="1" a="1"/>
  <c r="F11" i="29" s="1"/>
  <c r="A10" i="29"/>
  <c r="B10" i="29" s="1" a="1"/>
  <c r="B10" i="29" s="1"/>
  <c r="A9" i="29"/>
  <c r="E9" i="29" s="1" a="1"/>
  <c r="E9" i="29" s="1"/>
  <c r="A8" i="29"/>
  <c r="E8" i="29" s="1" a="1"/>
  <c r="E8" i="29" s="1"/>
  <c r="A7" i="29"/>
  <c r="A6" i="29"/>
  <c r="A5" i="29"/>
  <c r="A4" i="29"/>
  <c r="A3" i="29"/>
  <c r="E3" i="29" s="1" a="1"/>
  <c r="E3" i="29" s="1"/>
  <c r="A2" i="29"/>
  <c r="E2" i="29" s="1" a="1"/>
  <c r="E2" i="29" s="1"/>
  <c r="P182" i="6"/>
  <c r="Q190" i="6"/>
  <c r="Q191" i="6"/>
  <c r="Q189" i="6"/>
  <c r="Q181" i="6"/>
  <c r="Q182" i="6"/>
  <c r="Q180" i="6"/>
  <c r="Q172" i="6"/>
  <c r="Q173" i="6"/>
  <c r="Q171" i="6"/>
  <c r="L190" i="6"/>
  <c r="L191" i="6"/>
  <c r="L189" i="6"/>
  <c r="L181" i="6"/>
  <c r="L182" i="6"/>
  <c r="L180" i="6"/>
  <c r="L172" i="6"/>
  <c r="L173" i="6"/>
  <c r="L171" i="6"/>
  <c r="G190" i="6"/>
  <c r="G191" i="6"/>
  <c r="G189" i="6"/>
  <c r="G181" i="6"/>
  <c r="G182" i="6"/>
  <c r="G180" i="6"/>
  <c r="V169" i="6"/>
  <c r="U169" i="6"/>
  <c r="T170" i="6" s="1" a="1"/>
  <c r="T170" i="6" s="1"/>
  <c r="Q169" i="6"/>
  <c r="O170" i="6" s="1" a="1"/>
  <c r="O170" i="6" s="1"/>
  <c r="P169" i="6"/>
  <c r="J170" i="6" a="1"/>
  <c r="J170" i="6" s="1"/>
  <c r="L169" i="6"/>
  <c r="K169" i="6"/>
  <c r="G169" i="6"/>
  <c r="F169" i="6"/>
  <c r="E170" i="6" s="1" a="1"/>
  <c r="E170" i="6" s="1"/>
  <c r="L165" i="6"/>
  <c r="K165" i="6"/>
  <c r="J165" i="6"/>
  <c r="I165" i="6"/>
  <c r="P4" i="6"/>
  <c r="Q4" i="6" s="1"/>
  <c r="Q3" i="6"/>
  <c r="P3" i="6"/>
  <c r="P2" i="6"/>
  <c r="Q2" i="6" s="1"/>
  <c r="P5" i="6" s="1"/>
  <c r="A164" i="6"/>
  <c r="F164" i="6" s="1" a="1"/>
  <c r="F164" i="6" s="1"/>
  <c r="A163" i="6"/>
  <c r="F163" i="6" s="1" a="1"/>
  <c r="F163" i="6" s="1"/>
  <c r="A162" i="6"/>
  <c r="E162" i="6" s="1" a="1"/>
  <c r="E162" i="6" s="1"/>
  <c r="A161" i="6"/>
  <c r="A160" i="6"/>
  <c r="F160" i="6" s="1" a="1"/>
  <c r="F160" i="6" s="1"/>
  <c r="A159" i="6"/>
  <c r="F159" i="6" s="1" a="1"/>
  <c r="F159" i="6" s="1"/>
  <c r="A158" i="6"/>
  <c r="E158" i="6" s="1" a="1"/>
  <c r="E158" i="6" s="1"/>
  <c r="A157" i="6"/>
  <c r="A156" i="6"/>
  <c r="F156" i="6" s="1" a="1"/>
  <c r="F156" i="6" s="1"/>
  <c r="A155" i="6"/>
  <c r="F155" i="6" s="1" a="1"/>
  <c r="F155" i="6" s="1"/>
  <c r="A154" i="6"/>
  <c r="E154" i="6" s="1" a="1"/>
  <c r="E154" i="6" s="1"/>
  <c r="A153" i="6"/>
  <c r="A152" i="6"/>
  <c r="F152" i="6" s="1" a="1"/>
  <c r="F152" i="6" s="1"/>
  <c r="A151" i="6"/>
  <c r="F151" i="6" s="1" a="1"/>
  <c r="F151" i="6" s="1"/>
  <c r="A150" i="6"/>
  <c r="E150" i="6" s="1" a="1"/>
  <c r="E150" i="6" s="1"/>
  <c r="A149" i="6"/>
  <c r="A148" i="6"/>
  <c r="F148" i="6" s="1" a="1"/>
  <c r="F148" i="6" s="1"/>
  <c r="A147" i="6"/>
  <c r="F147" i="6" s="1" a="1"/>
  <c r="F147" i="6" s="1"/>
  <c r="A146" i="6"/>
  <c r="E146" i="6" s="1" a="1"/>
  <c r="E146" i="6" s="1"/>
  <c r="A145" i="6"/>
  <c r="A144" i="6"/>
  <c r="F144" i="6" s="1" a="1"/>
  <c r="F144" i="6" s="1"/>
  <c r="A143" i="6"/>
  <c r="F143" i="6" s="1" a="1"/>
  <c r="F143" i="6" s="1"/>
  <c r="A142" i="6"/>
  <c r="E142" i="6" s="1" a="1"/>
  <c r="E142" i="6" s="1"/>
  <c r="A141" i="6"/>
  <c r="A140" i="6"/>
  <c r="F140" i="6" s="1" a="1"/>
  <c r="F140" i="6" s="1"/>
  <c r="A139" i="6"/>
  <c r="F139" i="6" s="1" a="1"/>
  <c r="F139" i="6" s="1"/>
  <c r="A138" i="6"/>
  <c r="E138" i="6" s="1" a="1"/>
  <c r="E138" i="6" s="1"/>
  <c r="A137" i="6"/>
  <c r="B137" i="6" s="1" a="1"/>
  <c r="B137" i="6" s="1"/>
  <c r="A136" i="6"/>
  <c r="A135" i="6"/>
  <c r="F135" i="6" s="1" a="1"/>
  <c r="F135" i="6" s="1"/>
  <c r="A134" i="6"/>
  <c r="B134" i="6" s="1" a="1"/>
  <c r="B134" i="6" s="1"/>
  <c r="A133" i="6"/>
  <c r="D133" i="6" s="1" a="1"/>
  <c r="D133" i="6" s="1"/>
  <c r="A132" i="6"/>
  <c r="A131" i="6"/>
  <c r="C131" i="6" s="1" a="1"/>
  <c r="C131" i="6" s="1"/>
  <c r="A130" i="6"/>
  <c r="A129" i="6"/>
  <c r="A128" i="6"/>
  <c r="C128" i="6" s="1" a="1"/>
  <c r="C128" i="6" s="1"/>
  <c r="A127" i="6"/>
  <c r="F127" i="6" s="1" a="1"/>
  <c r="F127" i="6" s="1"/>
  <c r="A126" i="6"/>
  <c r="C126" i="6" s="1" a="1"/>
  <c r="C126" i="6" s="1"/>
  <c r="A125" i="6"/>
  <c r="A124" i="6"/>
  <c r="F124" i="6" s="1" a="1"/>
  <c r="F124" i="6" s="1"/>
  <c r="A123" i="6"/>
  <c r="F123" i="6" s="1" a="1"/>
  <c r="F123" i="6" s="1"/>
  <c r="A122" i="6"/>
  <c r="E122" i="6" s="1" a="1"/>
  <c r="E122" i="6" s="1"/>
  <c r="A121" i="6"/>
  <c r="A120" i="6"/>
  <c r="E120" i="6" s="1" a="1"/>
  <c r="E120" i="6" s="1"/>
  <c r="A119" i="6"/>
  <c r="F119" i="6" s="1" a="1"/>
  <c r="F119" i="6" s="1"/>
  <c r="A118" i="6"/>
  <c r="C118" i="6" s="1" a="1"/>
  <c r="C118" i="6" s="1"/>
  <c r="A117" i="6"/>
  <c r="A116" i="6"/>
  <c r="F116" i="6" s="1" a="1"/>
  <c r="F116" i="6" s="1"/>
  <c r="A115" i="6"/>
  <c r="A114" i="6"/>
  <c r="E114" i="6" s="1" a="1"/>
  <c r="E114" i="6" s="1"/>
  <c r="A113" i="6"/>
  <c r="A112" i="6"/>
  <c r="E112" i="6" s="1" a="1"/>
  <c r="E112" i="6" s="1"/>
  <c r="A111" i="6"/>
  <c r="A110" i="6"/>
  <c r="C110" i="6" s="1" a="1"/>
  <c r="C110" i="6" s="1"/>
  <c r="A109" i="6"/>
  <c r="A108" i="6"/>
  <c r="F108" i="6" s="1" a="1"/>
  <c r="F108" i="6" s="1"/>
  <c r="A107" i="6"/>
  <c r="A106" i="6"/>
  <c r="E106" i="6" s="1" a="1"/>
  <c r="E106" i="6" s="1"/>
  <c r="A105" i="6"/>
  <c r="A104" i="6"/>
  <c r="E104" i="6" s="1" a="1"/>
  <c r="E104" i="6" s="1"/>
  <c r="A103" i="6"/>
  <c r="C103" i="6" s="1" a="1"/>
  <c r="C103" i="6" s="1"/>
  <c r="A102" i="6"/>
  <c r="A101" i="6"/>
  <c r="F101" i="6" s="1" a="1"/>
  <c r="F101" i="6" s="1"/>
  <c r="A100" i="6"/>
  <c r="F100" i="6" s="1" a="1"/>
  <c r="F100" i="6" s="1"/>
  <c r="A99" i="6"/>
  <c r="E99" i="6" s="1" a="1"/>
  <c r="E99" i="6" s="1"/>
  <c r="A98" i="6"/>
  <c r="A97" i="6"/>
  <c r="F97" i="6" s="1" a="1"/>
  <c r="F97" i="6" s="1"/>
  <c r="A96" i="6"/>
  <c r="A95" i="6"/>
  <c r="A94" i="6"/>
  <c r="A93" i="6"/>
  <c r="A92" i="6"/>
  <c r="F92" i="6" s="1" a="1"/>
  <c r="F92" i="6" s="1"/>
  <c r="A91" i="6"/>
  <c r="E91" i="6" s="1" a="1"/>
  <c r="E91" i="6" s="1"/>
  <c r="A90" i="6"/>
  <c r="A89" i="6"/>
  <c r="E89" i="6" s="1" a="1"/>
  <c r="E89" i="6" s="1"/>
  <c r="A88" i="6"/>
  <c r="E88" i="6" s="1" a="1"/>
  <c r="E88" i="6" s="1"/>
  <c r="A87" i="6"/>
  <c r="E87" i="6" s="1" a="1"/>
  <c r="E87" i="6" s="1"/>
  <c r="A86" i="6"/>
  <c r="D86" i="6" s="1" a="1"/>
  <c r="D86" i="6" s="1"/>
  <c r="A85" i="6"/>
  <c r="E85" i="6" s="1" a="1"/>
  <c r="E85" i="6" s="1"/>
  <c r="A84" i="6"/>
  <c r="F84" i="6" s="1" a="1"/>
  <c r="F84" i="6" s="1"/>
  <c r="A83" i="6"/>
  <c r="E83" i="6" s="1" a="1"/>
  <c r="E83" i="6" s="1"/>
  <c r="A82" i="6"/>
  <c r="D82" i="6" s="1" a="1"/>
  <c r="D82" i="6" s="1"/>
  <c r="A81" i="6"/>
  <c r="E81" i="6" s="1" a="1"/>
  <c r="E81" i="6" s="1"/>
  <c r="A80" i="6"/>
  <c r="E80" i="6" s="1" a="1"/>
  <c r="E80" i="6" s="1"/>
  <c r="A79" i="6"/>
  <c r="A78" i="6"/>
  <c r="D78" i="6" s="1" a="1"/>
  <c r="D78" i="6" s="1"/>
  <c r="A77" i="6"/>
  <c r="C77" i="6" s="1" a="1"/>
  <c r="C77" i="6" s="1"/>
  <c r="A76" i="6"/>
  <c r="A75" i="6"/>
  <c r="F75" i="6" s="1" a="1"/>
  <c r="F75" i="6" s="1"/>
  <c r="A74" i="6"/>
  <c r="F74" i="6" s="1" a="1"/>
  <c r="F74" i="6" s="1"/>
  <c r="A73" i="6"/>
  <c r="C73" i="6" s="1" a="1"/>
  <c r="C73" i="6" s="1"/>
  <c r="A72" i="6"/>
  <c r="A71" i="6"/>
  <c r="F71" i="6" s="1" a="1"/>
  <c r="F71" i="6" s="1"/>
  <c r="A70" i="6"/>
  <c r="F70" i="6" s="1" a="1"/>
  <c r="F70" i="6" s="1"/>
  <c r="A69" i="6"/>
  <c r="E69" i="6" s="1" a="1"/>
  <c r="E69" i="6" s="1"/>
  <c r="A68" i="6"/>
  <c r="A67" i="6"/>
  <c r="A66" i="6"/>
  <c r="A65" i="6"/>
  <c r="F65" i="6" s="1" a="1"/>
  <c r="F65" i="6" s="1"/>
  <c r="A64" i="6"/>
  <c r="A63" i="6"/>
  <c r="F63" i="6" s="1" a="1"/>
  <c r="F63" i="6" s="1"/>
  <c r="A62" i="6"/>
  <c r="F62" i="6" s="1" a="1"/>
  <c r="F62" i="6" s="1"/>
  <c r="A61" i="6"/>
  <c r="C61" i="6" s="1" a="1"/>
  <c r="C61" i="6" s="1"/>
  <c r="A60" i="6"/>
  <c r="A59" i="6"/>
  <c r="F59" i="6" s="1" a="1"/>
  <c r="F59" i="6" s="1"/>
  <c r="A58" i="6"/>
  <c r="F58" i="6" s="1" a="1"/>
  <c r="F58" i="6" s="1"/>
  <c r="A57" i="6"/>
  <c r="E57" i="6" s="1" a="1"/>
  <c r="E57" i="6" s="1"/>
  <c r="A56" i="6"/>
  <c r="A55" i="6"/>
  <c r="F55" i="6" s="1" a="1"/>
  <c r="F55" i="6" s="1"/>
  <c r="A54" i="6"/>
  <c r="C54" i="6" s="1" a="1"/>
  <c r="C54" i="6" s="1"/>
  <c r="A53" i="6"/>
  <c r="F53" i="6" s="1" a="1"/>
  <c r="F53" i="6" s="1"/>
  <c r="A52" i="6"/>
  <c r="A51" i="6"/>
  <c r="F51" i="6" s="1" a="1"/>
  <c r="F51" i="6" s="1"/>
  <c r="A50" i="6"/>
  <c r="F50" i="6" s="1" a="1"/>
  <c r="F50" i="6" s="1"/>
  <c r="A49" i="6"/>
  <c r="F49" i="6" s="1" a="1"/>
  <c r="F49" i="6" s="1"/>
  <c r="A48" i="6"/>
  <c r="A47" i="6"/>
  <c r="C47" i="6" s="1" a="1"/>
  <c r="C47" i="6" s="1"/>
  <c r="A46" i="6"/>
  <c r="A45" i="6"/>
  <c r="E45" i="6" s="1" a="1"/>
  <c r="E45" i="6" s="1"/>
  <c r="A44" i="6"/>
  <c r="A43" i="6"/>
  <c r="F43" i="6" s="1" a="1"/>
  <c r="F43" i="6" s="1"/>
  <c r="A42" i="6"/>
  <c r="F42" i="6" s="1" a="1"/>
  <c r="F42" i="6" s="1"/>
  <c r="A41" i="6"/>
  <c r="A40" i="6"/>
  <c r="A39" i="6"/>
  <c r="A38" i="6"/>
  <c r="F38" i="6" s="1" a="1"/>
  <c r="F38" i="6" s="1"/>
  <c r="A37" i="6"/>
  <c r="A36" i="6"/>
  <c r="A35" i="6"/>
  <c r="C35" i="6" s="1" a="1"/>
  <c r="C35" i="6" s="1"/>
  <c r="A34" i="6"/>
  <c r="C34" i="6" s="1" a="1"/>
  <c r="C34" i="6" s="1"/>
  <c r="A33" i="6"/>
  <c r="F33" i="6" s="1" a="1"/>
  <c r="F33" i="6" s="1"/>
  <c r="A32" i="6"/>
  <c r="A31" i="6"/>
  <c r="F31" i="6" s="1" a="1"/>
  <c r="F31" i="6" s="1"/>
  <c r="A30" i="6"/>
  <c r="F30" i="6" s="1" a="1"/>
  <c r="F30" i="6" s="1"/>
  <c r="A29" i="6"/>
  <c r="E29" i="6" s="1" a="1"/>
  <c r="E29" i="6" s="1"/>
  <c r="A28" i="6"/>
  <c r="A27" i="6"/>
  <c r="A26" i="6"/>
  <c r="A25" i="6"/>
  <c r="E25" i="6" s="1" a="1"/>
  <c r="E25" i="6" s="1"/>
  <c r="A24" i="6"/>
  <c r="D24" i="6" s="1" a="1"/>
  <c r="D24" i="6" s="1"/>
  <c r="A23" i="6"/>
  <c r="A22" i="6"/>
  <c r="A21" i="6"/>
  <c r="C21" i="6" s="1" a="1"/>
  <c r="C21" i="6" s="1"/>
  <c r="A20" i="6"/>
  <c r="F20" i="6" s="1" a="1"/>
  <c r="F20" i="6" s="1"/>
  <c r="A19" i="6"/>
  <c r="D19" i="6" s="1" a="1"/>
  <c r="D19" i="6" s="1"/>
  <c r="A18" i="6"/>
  <c r="B18" i="6" s="1" a="1"/>
  <c r="B18" i="6" s="1"/>
  <c r="A17" i="6"/>
  <c r="E17" i="6" s="1" a="1"/>
  <c r="E17" i="6" s="1"/>
  <c r="A16" i="6"/>
  <c r="E16" i="6" s="1" a="1"/>
  <c r="E16" i="6" s="1"/>
  <c r="A15" i="6"/>
  <c r="F15" i="6" s="1" a="1"/>
  <c r="F15" i="6" s="1"/>
  <c r="A14" i="6"/>
  <c r="E14" i="6" s="1" a="1"/>
  <c r="E14" i="6" s="1"/>
  <c r="A13" i="6"/>
  <c r="E13" i="6" s="1" a="1"/>
  <c r="E13" i="6" s="1"/>
  <c r="A12" i="6"/>
  <c r="E12" i="6" s="1" a="1"/>
  <c r="E12" i="6" s="1"/>
  <c r="A11" i="6"/>
  <c r="F11" i="6" s="1" a="1"/>
  <c r="F11" i="6" s="1"/>
  <c r="A10" i="6"/>
  <c r="F10" i="6" s="1" a="1"/>
  <c r="F10" i="6" s="1"/>
  <c r="A9" i="6"/>
  <c r="E9" i="6" s="1" a="1"/>
  <c r="E9" i="6" s="1"/>
  <c r="A8" i="6"/>
  <c r="E8" i="6" s="1" a="1"/>
  <c r="E8" i="6" s="1"/>
  <c r="A7" i="6"/>
  <c r="F7" i="6" s="1" a="1"/>
  <c r="F7" i="6" s="1"/>
  <c r="A6" i="6"/>
  <c r="D6" i="6" s="1" a="1"/>
  <c r="D6" i="6" s="1"/>
  <c r="A5" i="6"/>
  <c r="E5" i="6" s="1" a="1"/>
  <c r="E5" i="6" s="1"/>
  <c r="A4" i="6"/>
  <c r="E4" i="6" s="1" a="1"/>
  <c r="E4" i="6" s="1"/>
  <c r="A3" i="6"/>
  <c r="F3" i="6" s="1" a="1"/>
  <c r="F3" i="6" s="1"/>
  <c r="A2" i="6"/>
  <c r="B2" i="6" s="1" a="1"/>
  <c r="B2" i="6" s="1"/>
  <c r="V171" i="5"/>
  <c r="U171" i="5"/>
  <c r="U169" i="5"/>
  <c r="V169" i="5"/>
  <c r="Q190" i="5"/>
  <c r="Q191" i="5"/>
  <c r="Q189" i="5"/>
  <c r="Q181" i="5"/>
  <c r="Q180" i="5"/>
  <c r="Q173" i="5"/>
  <c r="Q169" i="5"/>
  <c r="P169" i="5"/>
  <c r="O170" i="5" s="1" a="1"/>
  <c r="O170" i="5" s="1"/>
  <c r="L190" i="5"/>
  <c r="L191" i="5"/>
  <c r="L189" i="5"/>
  <c r="L181" i="5"/>
  <c r="L182" i="5"/>
  <c r="L180" i="5"/>
  <c r="L172" i="5"/>
  <c r="L173" i="5"/>
  <c r="L171" i="5"/>
  <c r="K171" i="5" a="1"/>
  <c r="K171" i="5" s="1"/>
  <c r="K169" i="5"/>
  <c r="J170" i="5" s="1" a="1"/>
  <c r="J170" i="5" s="1"/>
  <c r="L169" i="5"/>
  <c r="P4" i="5"/>
  <c r="Q4" i="5" s="1"/>
  <c r="P3" i="5"/>
  <c r="Q3" i="5" s="1"/>
  <c r="P2" i="5"/>
  <c r="Q2" i="5" s="1"/>
  <c r="L165" i="5"/>
  <c r="K165" i="5"/>
  <c r="A164" i="5"/>
  <c r="F164" i="5" s="1" a="1"/>
  <c r="F164" i="5" s="1"/>
  <c r="A163" i="5"/>
  <c r="F163" i="5" s="1" a="1"/>
  <c r="F163" i="5" s="1"/>
  <c r="A162" i="5"/>
  <c r="E162" i="5" s="1" a="1"/>
  <c r="E162" i="5" s="1"/>
  <c r="A161" i="5"/>
  <c r="A160" i="5"/>
  <c r="F160" i="5" s="1" a="1"/>
  <c r="F160" i="5" s="1"/>
  <c r="A159" i="5"/>
  <c r="A158" i="5"/>
  <c r="E158" i="5" s="1" a="1"/>
  <c r="E158" i="5" s="1"/>
  <c r="A157" i="5"/>
  <c r="A156" i="5"/>
  <c r="F156" i="5" s="1" a="1"/>
  <c r="F156" i="5" s="1"/>
  <c r="A155" i="5"/>
  <c r="A154" i="5"/>
  <c r="E154" i="5" s="1" a="1"/>
  <c r="E154" i="5" s="1"/>
  <c r="A153" i="5"/>
  <c r="A152" i="5"/>
  <c r="F152" i="5" s="1" a="1"/>
  <c r="F152" i="5" s="1"/>
  <c r="A151" i="5"/>
  <c r="F151" i="5" s="1" a="1"/>
  <c r="F151" i="5" s="1"/>
  <c r="A150" i="5"/>
  <c r="E150" i="5" s="1" a="1"/>
  <c r="E150" i="5" s="1"/>
  <c r="A149" i="5"/>
  <c r="A148" i="5"/>
  <c r="E148" i="5" s="1" a="1"/>
  <c r="E148" i="5" s="1"/>
  <c r="A147" i="5"/>
  <c r="F147" i="5" s="1" a="1"/>
  <c r="F147" i="5" s="1"/>
  <c r="A146" i="5"/>
  <c r="A145" i="5"/>
  <c r="A144" i="5"/>
  <c r="C144" i="5" s="1" a="1"/>
  <c r="C144" i="5" s="1"/>
  <c r="A143" i="5"/>
  <c r="F143" i="5" s="1" a="1"/>
  <c r="F143" i="5" s="1"/>
  <c r="A142" i="5"/>
  <c r="C142" i="5" s="1" a="1"/>
  <c r="C142" i="5" s="1"/>
  <c r="A141" i="5"/>
  <c r="A140" i="5"/>
  <c r="F140" i="5" s="1" a="1"/>
  <c r="F140" i="5" s="1"/>
  <c r="A139" i="5"/>
  <c r="A138" i="5"/>
  <c r="E138" i="5" s="1" a="1"/>
  <c r="E138" i="5" s="1"/>
  <c r="A137" i="5"/>
  <c r="A136" i="5"/>
  <c r="A135" i="5"/>
  <c r="C135" i="5" s="1" a="1"/>
  <c r="C135" i="5" s="1"/>
  <c r="A134" i="5"/>
  <c r="B134" i="5" s="1" a="1"/>
  <c r="B134" i="5" s="1"/>
  <c r="A133" i="5"/>
  <c r="F133" i="5" s="1" a="1"/>
  <c r="F133" i="5" s="1"/>
  <c r="A132" i="5"/>
  <c r="C132" i="5" s="1" a="1"/>
  <c r="C132" i="5" s="1"/>
  <c r="A131" i="5"/>
  <c r="A130" i="5"/>
  <c r="F130" i="5" s="1" a="1"/>
  <c r="F130" i="5" s="1"/>
  <c r="A129" i="5"/>
  <c r="F129" i="5" s="1" a="1"/>
  <c r="F129" i="5" s="1"/>
  <c r="A128" i="5"/>
  <c r="C128" i="5" s="1" a="1"/>
  <c r="C128" i="5" s="1"/>
  <c r="A127" i="5"/>
  <c r="A126" i="5"/>
  <c r="F126" i="5" s="1" a="1"/>
  <c r="F126" i="5" s="1"/>
  <c r="A125" i="5"/>
  <c r="F125" i="5" s="1" a="1"/>
  <c r="F125" i="5" s="1"/>
  <c r="A124" i="5"/>
  <c r="E124" i="5" s="1" a="1"/>
  <c r="E124" i="5" s="1"/>
  <c r="A123" i="5"/>
  <c r="A122" i="5"/>
  <c r="A121" i="5"/>
  <c r="F121" i="5" s="1" a="1"/>
  <c r="F121" i="5" s="1"/>
  <c r="A120" i="5"/>
  <c r="A119" i="5"/>
  <c r="A118" i="5"/>
  <c r="A117" i="5"/>
  <c r="A116" i="5"/>
  <c r="A115" i="5"/>
  <c r="A114" i="5"/>
  <c r="A113" i="5"/>
  <c r="F113" i="5" s="1" a="1"/>
  <c r="F113" i="5" s="1"/>
  <c r="A112" i="5"/>
  <c r="E112" i="5" s="1" a="1"/>
  <c r="E112" i="5" s="1"/>
  <c r="A111" i="5"/>
  <c r="A110" i="5"/>
  <c r="F110" i="5" s="1" a="1"/>
  <c r="F110" i="5" s="1"/>
  <c r="A109" i="5"/>
  <c r="F109" i="5" s="1" a="1"/>
  <c r="F109" i="5" s="1"/>
  <c r="A108" i="5"/>
  <c r="E108" i="5" s="1" a="1"/>
  <c r="E108" i="5" s="1"/>
  <c r="A107" i="5"/>
  <c r="A106" i="5"/>
  <c r="C106" i="5" s="1" a="1"/>
  <c r="C106" i="5" s="1"/>
  <c r="A105" i="5"/>
  <c r="F105" i="5" s="1" a="1"/>
  <c r="F105" i="5" s="1"/>
  <c r="A104" i="5"/>
  <c r="E104" i="5" s="1" a="1"/>
  <c r="E104" i="5" s="1"/>
  <c r="A103" i="5"/>
  <c r="D103" i="5" s="1" a="1"/>
  <c r="D103" i="5" s="1"/>
  <c r="A102" i="5"/>
  <c r="C102" i="5" s="1" a="1"/>
  <c r="C102" i="5" s="1"/>
  <c r="A101" i="5"/>
  <c r="A100" i="5"/>
  <c r="E100" i="5" s="1" a="1"/>
  <c r="E100" i="5" s="1"/>
  <c r="A99" i="5"/>
  <c r="F99" i="5" s="1" a="1"/>
  <c r="F99" i="5" s="1"/>
  <c r="A98" i="5"/>
  <c r="E98" i="5" s="1" a="1"/>
  <c r="E98" i="5" s="1"/>
  <c r="A97" i="5"/>
  <c r="A96" i="5"/>
  <c r="A95" i="5"/>
  <c r="F95" i="5" s="1" a="1"/>
  <c r="F95" i="5" s="1"/>
  <c r="A94" i="5"/>
  <c r="A93" i="5"/>
  <c r="A92" i="5"/>
  <c r="C92" i="5" s="1" a="1"/>
  <c r="C92" i="5" s="1"/>
  <c r="A91" i="5"/>
  <c r="F91" i="5" s="1" a="1"/>
  <c r="F91" i="5" s="1"/>
  <c r="A90" i="5"/>
  <c r="F90" i="5" s="1" a="1"/>
  <c r="F90" i="5" s="1"/>
  <c r="A89" i="5"/>
  <c r="A88" i="5"/>
  <c r="E88" i="5" s="1" a="1"/>
  <c r="E88" i="5" s="1"/>
  <c r="A87" i="5"/>
  <c r="A86" i="5"/>
  <c r="A85" i="5"/>
  <c r="A84" i="5"/>
  <c r="C84" i="5" s="1" a="1"/>
  <c r="C84" i="5" s="1"/>
  <c r="A83" i="5"/>
  <c r="A82" i="5"/>
  <c r="F82" i="5" s="1" a="1"/>
  <c r="F82" i="5" s="1"/>
  <c r="A81" i="5"/>
  <c r="A80" i="5"/>
  <c r="E80" i="5" s="1" a="1"/>
  <c r="E80" i="5" s="1"/>
  <c r="A79" i="5"/>
  <c r="A78" i="5"/>
  <c r="E78" i="5" s="1" a="1"/>
  <c r="E78" i="5" s="1"/>
  <c r="A77" i="5"/>
  <c r="A76" i="5"/>
  <c r="A75" i="5"/>
  <c r="A74" i="5"/>
  <c r="A73" i="5"/>
  <c r="A72" i="5"/>
  <c r="F72" i="5" s="1" a="1"/>
  <c r="F72" i="5" s="1"/>
  <c r="A71" i="5"/>
  <c r="E71" i="5" s="1" a="1"/>
  <c r="E71" i="5" s="1"/>
  <c r="A70" i="5"/>
  <c r="A69" i="5"/>
  <c r="F69" i="5" s="1" a="1"/>
  <c r="F69" i="5" s="1"/>
  <c r="A68" i="5"/>
  <c r="F68" i="5" s="1" a="1"/>
  <c r="F68" i="5" s="1"/>
  <c r="A67" i="5"/>
  <c r="E67" i="5" s="1" a="1"/>
  <c r="E67" i="5" s="1"/>
  <c r="A66" i="5"/>
  <c r="A65" i="5"/>
  <c r="F65" i="5" s="1" a="1"/>
  <c r="F65" i="5" s="1"/>
  <c r="A64" i="5"/>
  <c r="F64" i="5" s="1" a="1"/>
  <c r="F64" i="5" s="1"/>
  <c r="A63" i="5"/>
  <c r="E63" i="5" s="1" a="1"/>
  <c r="E63" i="5" s="1"/>
  <c r="A62" i="5"/>
  <c r="A61" i="5"/>
  <c r="F61" i="5" s="1" a="1"/>
  <c r="F61" i="5" s="1"/>
  <c r="A60" i="5"/>
  <c r="F60" i="5" s="1" a="1"/>
  <c r="F60" i="5" s="1"/>
  <c r="A59" i="5"/>
  <c r="E59" i="5" s="1" a="1"/>
  <c r="E59" i="5" s="1"/>
  <c r="A58" i="5"/>
  <c r="A57" i="5"/>
  <c r="F57" i="5" s="1" a="1"/>
  <c r="F57" i="5" s="1"/>
  <c r="A56" i="5"/>
  <c r="F56" i="5" s="1" a="1"/>
  <c r="F56" i="5" s="1"/>
  <c r="A55" i="5"/>
  <c r="E55" i="5" s="1" a="1"/>
  <c r="E55" i="5" s="1"/>
  <c r="A54" i="5"/>
  <c r="A53" i="5"/>
  <c r="F53" i="5" s="1" a="1"/>
  <c r="F53" i="5" s="1"/>
  <c r="A52" i="5"/>
  <c r="F52" i="5" s="1" a="1"/>
  <c r="F52" i="5" s="1"/>
  <c r="A51" i="5"/>
  <c r="E51" i="5" s="1" a="1"/>
  <c r="E51" i="5" s="1"/>
  <c r="A50" i="5"/>
  <c r="A49" i="5"/>
  <c r="F49" i="5" s="1" a="1"/>
  <c r="F49" i="5" s="1"/>
  <c r="A48" i="5"/>
  <c r="F48" i="5" s="1" a="1"/>
  <c r="F48" i="5" s="1"/>
  <c r="A47" i="5"/>
  <c r="E47" i="5" s="1" a="1"/>
  <c r="E47" i="5" s="1"/>
  <c r="A46" i="5"/>
  <c r="A45" i="5"/>
  <c r="F45" i="5" s="1" a="1"/>
  <c r="F45" i="5" s="1"/>
  <c r="A44" i="5"/>
  <c r="F44" i="5" s="1" a="1"/>
  <c r="F44" i="5" s="1"/>
  <c r="A43" i="5"/>
  <c r="E43" i="5" s="1" a="1"/>
  <c r="E43" i="5" s="1"/>
  <c r="A42" i="5"/>
  <c r="A41" i="5"/>
  <c r="F41" i="5" s="1" a="1"/>
  <c r="F41" i="5" s="1"/>
  <c r="A40" i="5"/>
  <c r="F40" i="5" s="1" a="1"/>
  <c r="F40" i="5" s="1"/>
  <c r="A39" i="5"/>
  <c r="E39" i="5" s="1" a="1"/>
  <c r="E39" i="5" s="1"/>
  <c r="A38" i="5"/>
  <c r="A37" i="5"/>
  <c r="F37" i="5" s="1" a="1"/>
  <c r="F37" i="5" s="1"/>
  <c r="A36" i="5"/>
  <c r="F36" i="5" s="1" a="1"/>
  <c r="F36" i="5" s="1"/>
  <c r="A35" i="5"/>
  <c r="E35" i="5" s="1" a="1"/>
  <c r="E35" i="5" s="1"/>
  <c r="A34" i="5"/>
  <c r="A33" i="5"/>
  <c r="F33" i="5" s="1" a="1"/>
  <c r="F33" i="5" s="1"/>
  <c r="A32" i="5"/>
  <c r="A31" i="5"/>
  <c r="E31" i="5" s="1" a="1"/>
  <c r="E31" i="5" s="1"/>
  <c r="A30" i="5"/>
  <c r="F30" i="5" s="1" a="1"/>
  <c r="F30" i="5" s="1"/>
  <c r="A29" i="5"/>
  <c r="E29" i="5" s="1" a="1"/>
  <c r="E29" i="5" s="1"/>
  <c r="A28" i="5"/>
  <c r="F28" i="5" s="1" a="1"/>
  <c r="F28" i="5" s="1"/>
  <c r="A27" i="5"/>
  <c r="A26" i="5"/>
  <c r="A25" i="5"/>
  <c r="A24" i="5"/>
  <c r="F24" i="5" s="1" a="1"/>
  <c r="F24" i="5" s="1"/>
  <c r="A23" i="5"/>
  <c r="E23" i="5" s="1" a="1"/>
  <c r="E23" i="5" s="1"/>
  <c r="A22" i="5"/>
  <c r="F22" i="5" s="1" a="1"/>
  <c r="F22" i="5" s="1"/>
  <c r="A21" i="5"/>
  <c r="E21" i="5" s="1" a="1"/>
  <c r="E21" i="5" s="1"/>
  <c r="A20" i="5"/>
  <c r="F20" i="5" s="1" a="1"/>
  <c r="F20" i="5" s="1"/>
  <c r="A19" i="5"/>
  <c r="E19" i="5" s="1" a="1"/>
  <c r="E19" i="5" s="1"/>
  <c r="A18" i="5"/>
  <c r="D18" i="5" s="1" a="1"/>
  <c r="D18" i="5" s="1"/>
  <c r="A17" i="5"/>
  <c r="C17" i="5" s="1" a="1"/>
  <c r="C17" i="5" s="1"/>
  <c r="A16" i="5"/>
  <c r="A15" i="5"/>
  <c r="A14" i="5"/>
  <c r="A13" i="5"/>
  <c r="F13" i="5" s="1" a="1"/>
  <c r="F13" i="5" s="1"/>
  <c r="A12" i="5"/>
  <c r="E12" i="5" s="1" a="1"/>
  <c r="E12" i="5" s="1"/>
  <c r="A11" i="5"/>
  <c r="F11" i="5" s="1" a="1"/>
  <c r="F11" i="5" s="1"/>
  <c r="A10" i="5"/>
  <c r="F10" i="5" s="1" a="1"/>
  <c r="F10" i="5" s="1"/>
  <c r="A9" i="5"/>
  <c r="E9" i="5" s="1" a="1"/>
  <c r="E9" i="5" s="1"/>
  <c r="A8" i="5"/>
  <c r="F8" i="5" s="1" a="1"/>
  <c r="F8" i="5" s="1"/>
  <c r="A7" i="5"/>
  <c r="F7" i="5" s="1" a="1"/>
  <c r="F7" i="5" s="1"/>
  <c r="A6" i="5"/>
  <c r="F6" i="5" s="1" a="1"/>
  <c r="F6" i="5" s="1"/>
  <c r="A5" i="5"/>
  <c r="E5" i="5" s="1" a="1"/>
  <c r="E5" i="5" s="1"/>
  <c r="A4" i="5"/>
  <c r="E4" i="5" s="1" a="1"/>
  <c r="E4" i="5" s="1"/>
  <c r="A3" i="5"/>
  <c r="F3" i="5" s="1" a="1"/>
  <c r="F3" i="5" s="1"/>
  <c r="A2" i="5"/>
  <c r="D2" i="5" s="1" a="1"/>
  <c r="D2" i="5" s="1"/>
  <c r="V190" i="4"/>
  <c r="V191" i="4"/>
  <c r="V189" i="4"/>
  <c r="V172" i="4"/>
  <c r="V173" i="4"/>
  <c r="V171" i="4"/>
  <c r="U171" i="4"/>
  <c r="U169" i="4"/>
  <c r="V169" i="4"/>
  <c r="L165" i="4"/>
  <c r="L165" i="2"/>
  <c r="U169" i="2" s="1"/>
  <c r="Q190" i="4"/>
  <c r="Q191" i="4"/>
  <c r="Q189" i="4"/>
  <c r="Q181" i="4"/>
  <c r="Q182" i="4"/>
  <c r="Q180" i="4"/>
  <c r="P180" i="4"/>
  <c r="Q172" i="4"/>
  <c r="Q173" i="4"/>
  <c r="Q171" i="4"/>
  <c r="O170" i="4" a="1"/>
  <c r="O170" i="4" s="1"/>
  <c r="P169" i="4"/>
  <c r="Q169" i="4"/>
  <c r="I165" i="4"/>
  <c r="F169" i="4" s="1"/>
  <c r="P4" i="4"/>
  <c r="Q4" i="4" s="1"/>
  <c r="P3" i="4"/>
  <c r="Q3" i="4" s="1"/>
  <c r="P2" i="4"/>
  <c r="Q2" i="4" s="1"/>
  <c r="A164" i="4"/>
  <c r="F164" i="4" s="1" a="1"/>
  <c r="F164" i="4" s="1"/>
  <c r="A163" i="4"/>
  <c r="F163" i="4" s="1" a="1"/>
  <c r="F163" i="4" s="1"/>
  <c r="A162" i="4"/>
  <c r="E162" i="4" s="1" a="1"/>
  <c r="E162" i="4" s="1"/>
  <c r="A161" i="4"/>
  <c r="A160" i="4"/>
  <c r="F160" i="4" s="1" a="1"/>
  <c r="F160" i="4" s="1"/>
  <c r="A159" i="4"/>
  <c r="A158" i="4"/>
  <c r="A157" i="4"/>
  <c r="A156" i="4"/>
  <c r="A155" i="4"/>
  <c r="D155" i="4" s="1" a="1"/>
  <c r="D155" i="4" s="1"/>
  <c r="A154" i="4"/>
  <c r="E154" i="4" s="1" a="1"/>
  <c r="E154" i="4" s="1"/>
  <c r="A153" i="4"/>
  <c r="A152" i="4"/>
  <c r="F152" i="4" s="1" a="1"/>
  <c r="F152" i="4" s="1"/>
  <c r="A151" i="4"/>
  <c r="B151" i="4" s="1" a="1"/>
  <c r="B151" i="4" s="1"/>
  <c r="A150" i="4"/>
  <c r="E150" i="4" s="1" a="1"/>
  <c r="E150" i="4" s="1"/>
  <c r="A149" i="4"/>
  <c r="A148" i="4"/>
  <c r="F148" i="4" s="1" a="1"/>
  <c r="F148" i="4" s="1"/>
  <c r="A147" i="4"/>
  <c r="E147" i="4" s="1" a="1"/>
  <c r="E147" i="4" s="1"/>
  <c r="A146" i="4"/>
  <c r="E146" i="4" s="1" a="1"/>
  <c r="E146" i="4" s="1"/>
  <c r="A145" i="4"/>
  <c r="A144" i="4"/>
  <c r="F144" i="4" s="1" a="1"/>
  <c r="F144" i="4" s="1"/>
  <c r="A143" i="4"/>
  <c r="D143" i="4" s="1" a="1"/>
  <c r="D143" i="4" s="1"/>
  <c r="A142" i="4"/>
  <c r="A141" i="4"/>
  <c r="A140" i="4"/>
  <c r="A139" i="4"/>
  <c r="D139" i="4" s="1" a="1"/>
  <c r="D139" i="4" s="1"/>
  <c r="A138" i="4"/>
  <c r="E138" i="4" s="1" a="1"/>
  <c r="E138" i="4" s="1"/>
  <c r="A137" i="4"/>
  <c r="D137" i="4" s="1" a="1"/>
  <c r="D137" i="4" s="1"/>
  <c r="A136" i="4"/>
  <c r="E136" i="4" s="1" a="1"/>
  <c r="E136" i="4" s="1"/>
  <c r="A135" i="4"/>
  <c r="E135" i="4" s="1" a="1"/>
  <c r="E135" i="4" s="1"/>
  <c r="A134" i="4"/>
  <c r="D134" i="4" s="1" a="1"/>
  <c r="D134" i="4" s="1"/>
  <c r="A133" i="4"/>
  <c r="D133" i="4" s="1" a="1"/>
  <c r="D133" i="4" s="1"/>
  <c r="A132" i="4"/>
  <c r="A131" i="4"/>
  <c r="D131" i="4" s="1" a="1"/>
  <c r="D131" i="4" s="1"/>
  <c r="A130" i="4"/>
  <c r="A129" i="4"/>
  <c r="F129" i="4" s="1" a="1"/>
  <c r="F129" i="4" s="1"/>
  <c r="A128" i="4"/>
  <c r="F128" i="4" s="1" a="1"/>
  <c r="F128" i="4" s="1"/>
  <c r="A127" i="4"/>
  <c r="E127" i="4" s="1" a="1"/>
  <c r="E127" i="4" s="1"/>
  <c r="A126" i="4"/>
  <c r="A125" i="4"/>
  <c r="F125" i="4" s="1" a="1"/>
  <c r="F125" i="4" s="1"/>
  <c r="A124" i="4"/>
  <c r="F124" i="4" s="1" a="1"/>
  <c r="F124" i="4" s="1"/>
  <c r="A123" i="4"/>
  <c r="E123" i="4" s="1" a="1"/>
  <c r="E123" i="4" s="1"/>
  <c r="A122" i="4"/>
  <c r="A121" i="4"/>
  <c r="F121" i="4" s="1" a="1"/>
  <c r="F121" i="4" s="1"/>
  <c r="A120" i="4"/>
  <c r="F120" i="4" s="1" a="1"/>
  <c r="F120" i="4" s="1"/>
  <c r="A119" i="4"/>
  <c r="E119" i="4" s="1" a="1"/>
  <c r="E119" i="4" s="1"/>
  <c r="A118" i="4"/>
  <c r="A117" i="4"/>
  <c r="F117" i="4" s="1" a="1"/>
  <c r="F117" i="4" s="1"/>
  <c r="A116" i="4"/>
  <c r="A115" i="4"/>
  <c r="A114" i="4"/>
  <c r="A113" i="4"/>
  <c r="A112" i="4"/>
  <c r="F112" i="4" s="1" a="1"/>
  <c r="F112" i="4" s="1"/>
  <c r="A111" i="4"/>
  <c r="E111" i="4" s="1" a="1"/>
  <c r="E111" i="4" s="1"/>
  <c r="A110" i="4"/>
  <c r="A109" i="4"/>
  <c r="E109" i="4" s="1" a="1"/>
  <c r="E109" i="4" s="1"/>
  <c r="A108" i="4"/>
  <c r="F108" i="4" s="1" a="1"/>
  <c r="F108" i="4" s="1"/>
  <c r="A107" i="4"/>
  <c r="E107" i="4" s="1" a="1"/>
  <c r="E107" i="4" s="1"/>
  <c r="A106" i="4"/>
  <c r="B106" i="4" s="1" a="1"/>
  <c r="B106" i="4" s="1"/>
  <c r="A105" i="4"/>
  <c r="E105" i="4" s="1" a="1"/>
  <c r="E105" i="4" s="1"/>
  <c r="A104" i="4"/>
  <c r="A103" i="4"/>
  <c r="A102" i="4"/>
  <c r="A101" i="4"/>
  <c r="A100" i="4"/>
  <c r="F100" i="4" s="1" a="1"/>
  <c r="F100" i="4" s="1"/>
  <c r="A99" i="4"/>
  <c r="E99" i="4" s="1" a="1"/>
  <c r="E99" i="4" s="1"/>
  <c r="A98" i="4"/>
  <c r="A97" i="4"/>
  <c r="F97" i="4" s="1" a="1"/>
  <c r="F97" i="4" s="1"/>
  <c r="A96" i="4"/>
  <c r="F96" i="4" s="1" a="1"/>
  <c r="F96" i="4" s="1"/>
  <c r="A95" i="4"/>
  <c r="E95" i="4" s="1" a="1"/>
  <c r="E95" i="4" s="1"/>
  <c r="A94" i="4"/>
  <c r="A93" i="4"/>
  <c r="E93" i="4" s="1" a="1"/>
  <c r="E93" i="4" s="1"/>
  <c r="A92" i="4"/>
  <c r="F92" i="4" s="1" a="1"/>
  <c r="F92" i="4" s="1"/>
  <c r="A91" i="4"/>
  <c r="E91" i="4" s="1" a="1"/>
  <c r="E91" i="4" s="1"/>
  <c r="A90" i="4"/>
  <c r="A89" i="4"/>
  <c r="F89" i="4" s="1" a="1"/>
  <c r="F89" i="4" s="1"/>
  <c r="A88" i="4"/>
  <c r="F88" i="4" s="1" a="1"/>
  <c r="F88" i="4" s="1"/>
  <c r="A87" i="4"/>
  <c r="F87" i="4" s="1" a="1"/>
  <c r="F87" i="4" s="1"/>
  <c r="A86" i="4"/>
  <c r="A85" i="4"/>
  <c r="E85" i="4" s="1" a="1"/>
  <c r="E85" i="4" s="1"/>
  <c r="A84" i="4"/>
  <c r="F84" i="4" s="1" a="1"/>
  <c r="F84" i="4" s="1"/>
  <c r="A83" i="4"/>
  <c r="E83" i="4" s="1" a="1"/>
  <c r="E83" i="4" s="1"/>
  <c r="A82" i="4"/>
  <c r="A81" i="4"/>
  <c r="C81" i="4" s="1" a="1"/>
  <c r="C81" i="4" s="1"/>
  <c r="A80" i="4"/>
  <c r="A79" i="4"/>
  <c r="F79" i="4" s="1" a="1"/>
  <c r="F79" i="4" s="1"/>
  <c r="A78" i="4"/>
  <c r="A77" i="4"/>
  <c r="E77" i="4" s="1" a="1"/>
  <c r="E77" i="4" s="1"/>
  <c r="A76" i="4"/>
  <c r="A75" i="4"/>
  <c r="E75" i="4" s="1" a="1"/>
  <c r="E75" i="4" s="1"/>
  <c r="A74" i="4"/>
  <c r="F74" i="4" s="1" a="1"/>
  <c r="F74" i="4" s="1"/>
  <c r="A73" i="4"/>
  <c r="F73" i="4" s="1" a="1"/>
  <c r="F73" i="4" s="1"/>
  <c r="A72" i="4"/>
  <c r="E72" i="4" s="1" a="1"/>
  <c r="E72" i="4" s="1"/>
  <c r="A71" i="4"/>
  <c r="A70" i="4"/>
  <c r="A69" i="4"/>
  <c r="F69" i="4" s="1" a="1"/>
  <c r="F69" i="4" s="1"/>
  <c r="A68" i="4"/>
  <c r="E68" i="4" s="1" a="1"/>
  <c r="E68" i="4" s="1"/>
  <c r="A67" i="4"/>
  <c r="A66" i="4"/>
  <c r="F66" i="4" s="1" a="1"/>
  <c r="F66" i="4" s="1"/>
  <c r="A65" i="4"/>
  <c r="F65" i="4" s="1" a="1"/>
  <c r="F65" i="4" s="1"/>
  <c r="A64" i="4"/>
  <c r="F64" i="4" s="1" a="1"/>
  <c r="F64" i="4" s="1"/>
  <c r="A63" i="4"/>
  <c r="A62" i="4"/>
  <c r="E62" i="4" s="1" a="1"/>
  <c r="E62" i="4" s="1"/>
  <c r="A61" i="4"/>
  <c r="F61" i="4" s="1" a="1"/>
  <c r="F61" i="4" s="1"/>
  <c r="A60" i="4"/>
  <c r="E60" i="4" s="1" a="1"/>
  <c r="E60" i="4" s="1"/>
  <c r="A59" i="4"/>
  <c r="A58" i="4"/>
  <c r="A57" i="4"/>
  <c r="F57" i="4" s="1" a="1"/>
  <c r="F57" i="4" s="1"/>
  <c r="A56" i="4"/>
  <c r="C56" i="4" s="1" a="1"/>
  <c r="C56" i="4" s="1"/>
  <c r="A55" i="4"/>
  <c r="A54" i="4"/>
  <c r="F54" i="4" s="1" a="1"/>
  <c r="F54" i="4" s="1"/>
  <c r="A53" i="4"/>
  <c r="F53" i="4" s="1" a="1"/>
  <c r="F53" i="4" s="1"/>
  <c r="A52" i="4"/>
  <c r="E52" i="4" s="1" a="1"/>
  <c r="E52" i="4" s="1"/>
  <c r="A51" i="4"/>
  <c r="A50" i="4"/>
  <c r="A49" i="4"/>
  <c r="F49" i="4" s="1" a="1"/>
  <c r="F49" i="4" s="1"/>
  <c r="A48" i="4"/>
  <c r="A47" i="4"/>
  <c r="A46" i="4"/>
  <c r="C46" i="4" s="1" a="1"/>
  <c r="C46" i="4" s="1"/>
  <c r="A45" i="4"/>
  <c r="F45" i="4" s="1" a="1"/>
  <c r="F45" i="4" s="1"/>
  <c r="A44" i="4"/>
  <c r="C44" i="4" s="1" a="1"/>
  <c r="C44" i="4" s="1"/>
  <c r="A43" i="4"/>
  <c r="A42" i="4"/>
  <c r="E42" i="4" s="1" a="1"/>
  <c r="E42" i="4" s="1"/>
  <c r="A41" i="4"/>
  <c r="F41" i="4" s="1" a="1"/>
  <c r="F41" i="4" s="1"/>
  <c r="A40" i="4"/>
  <c r="E40" i="4" s="1" a="1"/>
  <c r="E40" i="4" s="1"/>
  <c r="A39" i="4"/>
  <c r="A38" i="4"/>
  <c r="A37" i="4"/>
  <c r="F37" i="4" s="1" a="1"/>
  <c r="F37" i="4" s="1"/>
  <c r="A36" i="4"/>
  <c r="E36" i="4" s="1" a="1"/>
  <c r="E36" i="4" s="1"/>
  <c r="A35" i="4"/>
  <c r="A34" i="4"/>
  <c r="E34" i="4" s="1" a="1"/>
  <c r="E34" i="4" s="1"/>
  <c r="A33" i="4"/>
  <c r="F33" i="4" s="1" a="1"/>
  <c r="F33" i="4" s="1"/>
  <c r="A32" i="4"/>
  <c r="E32" i="4" s="1" a="1"/>
  <c r="E32" i="4" s="1"/>
  <c r="A31" i="4"/>
  <c r="A30" i="4"/>
  <c r="E30" i="4" s="1" a="1"/>
  <c r="E30" i="4" s="1"/>
  <c r="A29" i="4"/>
  <c r="F29" i="4" s="1" a="1"/>
  <c r="F29" i="4" s="1"/>
  <c r="A28" i="4"/>
  <c r="E28" i="4" s="1" a="1"/>
  <c r="E28" i="4" s="1"/>
  <c r="A27" i="4"/>
  <c r="A26" i="4"/>
  <c r="D26" i="4" s="1" a="1"/>
  <c r="D26" i="4" s="1"/>
  <c r="A25" i="4"/>
  <c r="A24" i="4"/>
  <c r="C24" i="4" s="1" a="1"/>
  <c r="C24" i="4" s="1"/>
  <c r="A23" i="4"/>
  <c r="A22" i="4"/>
  <c r="F22" i="4" s="1" a="1"/>
  <c r="F22" i="4" s="1"/>
  <c r="A21" i="4"/>
  <c r="A20" i="4"/>
  <c r="E20" i="4" s="1" a="1"/>
  <c r="E20" i="4" s="1"/>
  <c r="A19" i="4"/>
  <c r="A18" i="4"/>
  <c r="D18" i="4" s="1" a="1"/>
  <c r="D18" i="4" s="1"/>
  <c r="A17" i="4"/>
  <c r="A16" i="4"/>
  <c r="C16" i="4" s="1" a="1"/>
  <c r="C16" i="4" s="1"/>
  <c r="A15" i="4"/>
  <c r="A14" i="4"/>
  <c r="E14" i="4" s="1" a="1"/>
  <c r="E14" i="4" s="1"/>
  <c r="A13" i="4"/>
  <c r="F13" i="4" s="1" a="1"/>
  <c r="F13" i="4" s="1"/>
  <c r="A12" i="4"/>
  <c r="E12" i="4" s="1" a="1"/>
  <c r="E12" i="4" s="1"/>
  <c r="A11" i="4"/>
  <c r="E11" i="4" s="1" a="1"/>
  <c r="E11" i="4" s="1"/>
  <c r="A10" i="4"/>
  <c r="F10" i="4" s="1" a="1"/>
  <c r="F10" i="4" s="1"/>
  <c r="A9" i="4"/>
  <c r="F9" i="4" s="1" a="1"/>
  <c r="F9" i="4" s="1"/>
  <c r="A8" i="4"/>
  <c r="E8" i="4" s="1" a="1"/>
  <c r="E8" i="4" s="1"/>
  <c r="A7" i="4"/>
  <c r="E7" i="4" s="1" a="1"/>
  <c r="E7" i="4" s="1"/>
  <c r="A6" i="4"/>
  <c r="F6" i="4" s="1" a="1"/>
  <c r="F6" i="4" s="1"/>
  <c r="A5" i="4"/>
  <c r="F5" i="4" s="1" a="1"/>
  <c r="F5" i="4" s="1"/>
  <c r="A4" i="4"/>
  <c r="E4" i="4" s="1" a="1"/>
  <c r="E4" i="4" s="1"/>
  <c r="A3" i="4"/>
  <c r="E3" i="4" s="1" a="1"/>
  <c r="E3" i="4" s="1"/>
  <c r="A2" i="4"/>
  <c r="F2" i="4" s="1" a="1"/>
  <c r="F2" i="4" s="1"/>
  <c r="P180" i="2"/>
  <c r="P182" i="2"/>
  <c r="P173" i="2"/>
  <c r="P172" i="2"/>
  <c r="P171" i="2"/>
  <c r="P191" i="2"/>
  <c r="P189" i="2"/>
  <c r="P190" i="2"/>
  <c r="P181" i="2"/>
  <c r="P169" i="2"/>
  <c r="K191" i="2"/>
  <c r="K190" i="2"/>
  <c r="K189" i="2"/>
  <c r="K182" i="2"/>
  <c r="K181" i="2"/>
  <c r="K180" i="2"/>
  <c r="K172" i="2"/>
  <c r="K171" i="2" a="1"/>
  <c r="K171" i="2" s="1"/>
  <c r="J170" i="2" a="1"/>
  <c r="J170" i="2" s="1"/>
  <c r="K169" i="2"/>
  <c r="Q4" i="2"/>
  <c r="Q3" i="2"/>
  <c r="Q2" i="2"/>
  <c r="P4" i="2"/>
  <c r="P3" i="2"/>
  <c r="P2" i="2"/>
  <c r="J165" i="2"/>
  <c r="G12" i="28"/>
  <c r="E12" i="28"/>
  <c r="D12" i="28"/>
  <c r="B12" i="28"/>
  <c r="G11" i="28"/>
  <c r="F11" i="28"/>
  <c r="E11" i="28"/>
  <c r="D11" i="28"/>
  <c r="G10" i="28"/>
  <c r="F10" i="28"/>
  <c r="E10" i="28"/>
  <c r="D10" i="28"/>
  <c r="G9" i="28"/>
  <c r="F9" i="28"/>
  <c r="E9" i="28"/>
  <c r="D9" i="28"/>
  <c r="G8" i="28"/>
  <c r="F8" i="28"/>
  <c r="E8" i="28"/>
  <c r="D8" i="28"/>
  <c r="G7" i="28"/>
  <c r="F7" i="28"/>
  <c r="E7" i="28"/>
  <c r="D7" i="28"/>
  <c r="G6" i="28"/>
  <c r="F6" i="28"/>
  <c r="E6" i="28"/>
  <c r="D6" i="28"/>
  <c r="I5" i="28"/>
  <c r="G5" i="28"/>
  <c r="F5" i="28"/>
  <c r="E5" i="28"/>
  <c r="D5" i="28"/>
  <c r="I4" i="28"/>
  <c r="G4" i="28"/>
  <c r="F4" i="28"/>
  <c r="E4" i="28"/>
  <c r="D4" i="28"/>
  <c r="I3" i="28"/>
  <c r="G3" i="28"/>
  <c r="F3" i="28"/>
  <c r="E3" i="28"/>
  <c r="D3" i="28"/>
  <c r="I2" i="28"/>
  <c r="G2" i="28"/>
  <c r="F2" i="28"/>
  <c r="E2" i="28"/>
  <c r="D2" i="28"/>
  <c r="B193" i="24"/>
  <c r="E190" i="24" s="1"/>
  <c r="F190" i="24" s="1"/>
  <c r="D192" i="24"/>
  <c r="C192" i="24"/>
  <c r="D191" i="24"/>
  <c r="C191" i="24"/>
  <c r="D190" i="24"/>
  <c r="C190" i="24"/>
  <c r="D189" i="24"/>
  <c r="C189" i="24"/>
  <c r="D188" i="24"/>
  <c r="C188" i="24"/>
  <c r="B178" i="24"/>
  <c r="D177" i="24"/>
  <c r="C177" i="24"/>
  <c r="D176" i="24"/>
  <c r="C176" i="24"/>
  <c r="D175" i="24"/>
  <c r="C175" i="24"/>
  <c r="D174" i="24"/>
  <c r="C174" i="24"/>
  <c r="D173" i="24"/>
  <c r="C173" i="24"/>
  <c r="B167" i="24"/>
  <c r="E166" i="24" s="1"/>
  <c r="F166" i="24" s="1"/>
  <c r="D166" i="24"/>
  <c r="C166" i="24"/>
  <c r="D165" i="24"/>
  <c r="C165" i="24"/>
  <c r="D164" i="24"/>
  <c r="C164" i="24"/>
  <c r="D163" i="24"/>
  <c r="C163" i="24"/>
  <c r="D162" i="24"/>
  <c r="C162" i="24"/>
  <c r="B155" i="24"/>
  <c r="E153" i="24" s="1"/>
  <c r="F153" i="24" s="1"/>
  <c r="D154" i="24"/>
  <c r="C154" i="24"/>
  <c r="D153" i="24"/>
  <c r="C153" i="24"/>
  <c r="D152" i="24"/>
  <c r="C152" i="24"/>
  <c r="D151" i="24"/>
  <c r="C151" i="24"/>
  <c r="D150" i="24"/>
  <c r="C150" i="24"/>
  <c r="B140" i="24"/>
  <c r="E137" i="24" s="1"/>
  <c r="F137" i="24" s="1"/>
  <c r="D139" i="24"/>
  <c r="C139" i="24"/>
  <c r="D138" i="24"/>
  <c r="C138" i="24"/>
  <c r="D137" i="24"/>
  <c r="C137" i="24"/>
  <c r="D136" i="24"/>
  <c r="C136" i="24"/>
  <c r="D135" i="24"/>
  <c r="C135" i="24"/>
  <c r="B125" i="24"/>
  <c r="D124" i="24"/>
  <c r="C124" i="24"/>
  <c r="D123" i="24"/>
  <c r="C123" i="24"/>
  <c r="D122" i="24"/>
  <c r="C122" i="24"/>
  <c r="D121" i="24"/>
  <c r="C121" i="24"/>
  <c r="D120" i="24"/>
  <c r="C120" i="24"/>
  <c r="B112" i="24"/>
  <c r="E108" i="24" s="1"/>
  <c r="F108" i="24" s="1"/>
  <c r="D111" i="24"/>
  <c r="C111" i="24"/>
  <c r="D110" i="24"/>
  <c r="C110" i="24"/>
  <c r="D109" i="24"/>
  <c r="C109" i="24"/>
  <c r="D108" i="24"/>
  <c r="C108" i="24"/>
  <c r="D107" i="24"/>
  <c r="C107" i="24"/>
  <c r="B97" i="24"/>
  <c r="E96" i="24" s="1"/>
  <c r="F96" i="24" s="1"/>
  <c r="D96" i="24"/>
  <c r="C96" i="24"/>
  <c r="D95" i="24"/>
  <c r="C95" i="24"/>
  <c r="D94" i="24"/>
  <c r="C94" i="24"/>
  <c r="D93" i="24"/>
  <c r="C93" i="24"/>
  <c r="D92" i="24"/>
  <c r="C92" i="24"/>
  <c r="E82" i="24"/>
  <c r="F82" i="24" s="1"/>
  <c r="D83" i="24"/>
  <c r="C83" i="24"/>
  <c r="D82" i="24"/>
  <c r="C82" i="24"/>
  <c r="D81" i="24"/>
  <c r="C81" i="24"/>
  <c r="D80" i="24"/>
  <c r="C80" i="24"/>
  <c r="D79" i="24"/>
  <c r="D70" i="24"/>
  <c r="C70" i="24"/>
  <c r="D69" i="24"/>
  <c r="C69" i="24"/>
  <c r="D68" i="24"/>
  <c r="C68" i="24"/>
  <c r="D67" i="24"/>
  <c r="C67" i="24"/>
  <c r="D66" i="24"/>
  <c r="C66" i="24"/>
  <c r="B60" i="24"/>
  <c r="E59" i="24" s="1"/>
  <c r="F59" i="24" s="1"/>
  <c r="D59" i="24"/>
  <c r="C59" i="24"/>
  <c r="D58" i="24"/>
  <c r="C58" i="24"/>
  <c r="D57" i="24"/>
  <c r="C57" i="24"/>
  <c r="D56" i="24"/>
  <c r="C56" i="24"/>
  <c r="D55" i="24"/>
  <c r="C55" i="24"/>
  <c r="D47" i="24"/>
  <c r="C47" i="24"/>
  <c r="D46" i="24"/>
  <c r="C46" i="24"/>
  <c r="D45" i="24"/>
  <c r="C45" i="24"/>
  <c r="D44" i="24"/>
  <c r="C44" i="24"/>
  <c r="D43" i="24"/>
  <c r="C43" i="24"/>
  <c r="E31" i="24"/>
  <c r="F31" i="24" s="1"/>
  <c r="D32" i="24"/>
  <c r="C32" i="24"/>
  <c r="D31" i="24"/>
  <c r="C31" i="24"/>
  <c r="D30" i="24"/>
  <c r="C30" i="24"/>
  <c r="D29" i="24"/>
  <c r="C29" i="24"/>
  <c r="D28" i="24"/>
  <c r="C28" i="24"/>
  <c r="B20" i="24"/>
  <c r="E16" i="24" s="1"/>
  <c r="F16" i="24" s="1"/>
  <c r="D19" i="24"/>
  <c r="C19" i="24"/>
  <c r="D18" i="24"/>
  <c r="C18" i="24"/>
  <c r="D17" i="24"/>
  <c r="C17" i="24"/>
  <c r="D16" i="24"/>
  <c r="C16" i="24"/>
  <c r="D15" i="24"/>
  <c r="C15" i="24"/>
  <c r="B9" i="24"/>
  <c r="D8" i="24"/>
  <c r="C8" i="24"/>
  <c r="D7" i="24"/>
  <c r="C7" i="24"/>
  <c r="D6" i="24"/>
  <c r="C6" i="24"/>
  <c r="D5" i="24"/>
  <c r="C5" i="24"/>
  <c r="D4" i="24"/>
  <c r="C4" i="24"/>
  <c r="J165" i="5"/>
  <c r="I165" i="5"/>
  <c r="F169" i="5" s="1"/>
  <c r="K165" i="4"/>
  <c r="J165" i="4"/>
  <c r="L169" i="4" s="1"/>
  <c r="V169" i="2"/>
  <c r="K165" i="2"/>
  <c r="A164" i="2"/>
  <c r="C164" i="2" s="1" a="1"/>
  <c r="A163" i="2"/>
  <c r="E163" i="2" s="1" a="1"/>
  <c r="A162" i="2"/>
  <c r="C162" i="2" s="1" a="1"/>
  <c r="A161" i="2"/>
  <c r="F161" i="2" s="1" a="1"/>
  <c r="A160" i="2"/>
  <c r="D160" i="2" s="1" a="1"/>
  <c r="A159" i="2"/>
  <c r="F159" i="2" s="1" a="1"/>
  <c r="A158" i="2"/>
  <c r="C158" i="2" s="1" a="1"/>
  <c r="A157" i="2"/>
  <c r="E157" i="2" s="1" a="1"/>
  <c r="A156" i="2"/>
  <c r="D156" i="2" s="1" a="1"/>
  <c r="A155" i="2"/>
  <c r="F155" i="2" s="1" a="1"/>
  <c r="A154" i="2"/>
  <c r="E154" i="2" s="1" a="1"/>
  <c r="A153" i="2"/>
  <c r="F153" i="2" s="1" a="1"/>
  <c r="A152" i="2"/>
  <c r="C152" i="2" s="1" a="1"/>
  <c r="A151" i="2"/>
  <c r="A150" i="2"/>
  <c r="E150" i="2" s="1" a="1"/>
  <c r="A149" i="2"/>
  <c r="E149" i="2" s="1" a="1"/>
  <c r="A148" i="2"/>
  <c r="D148" i="2" s="1" a="1"/>
  <c r="A147" i="2"/>
  <c r="F147" i="2" s="1" a="1"/>
  <c r="A146" i="2"/>
  <c r="E146" i="2" s="1" a="1"/>
  <c r="A145" i="2"/>
  <c r="E145" i="2" s="1" a="1"/>
  <c r="A144" i="2"/>
  <c r="D144" i="2" s="1" a="1"/>
  <c r="A143" i="2"/>
  <c r="B143" i="2" s="1" a="1"/>
  <c r="A142" i="2"/>
  <c r="B142" i="2" s="1" a="1"/>
  <c r="A141" i="2"/>
  <c r="B141" i="2" s="1" a="1"/>
  <c r="A140" i="2"/>
  <c r="F140" i="2" s="1" a="1"/>
  <c r="A139" i="2"/>
  <c r="F139" i="2" s="1" a="1"/>
  <c r="A138" i="2"/>
  <c r="D138" i="2" s="1" a="1"/>
  <c r="A137" i="2"/>
  <c r="F137" i="2" s="1" a="1"/>
  <c r="A136" i="2"/>
  <c r="F136" i="2" s="1" a="1"/>
  <c r="A135" i="2"/>
  <c r="F135" i="2" s="1" a="1"/>
  <c r="A134" i="2"/>
  <c r="C134" i="2" s="1" a="1"/>
  <c r="A133" i="2"/>
  <c r="E133" i="2" s="1" a="1"/>
  <c r="A132" i="2"/>
  <c r="F132" i="2" s="1" a="1"/>
  <c r="A131" i="2"/>
  <c r="E131" i="2" s="1" a="1"/>
  <c r="A130" i="2"/>
  <c r="E130" i="2" s="1" a="1"/>
  <c r="A129" i="2"/>
  <c r="B129" i="2" s="1" a="1"/>
  <c r="A128" i="2"/>
  <c r="B128" i="2" s="1" a="1"/>
  <c r="A127" i="2"/>
  <c r="E127" i="2" s="1" a="1"/>
  <c r="A126" i="2"/>
  <c r="E126" i="2" s="1" a="1"/>
  <c r="A125" i="2"/>
  <c r="C125" i="2" s="1" a="1"/>
  <c r="A124" i="2"/>
  <c r="B124" i="2" s="1" a="1"/>
  <c r="A123" i="2"/>
  <c r="E123" i="2" s="1" a="1"/>
  <c r="A122" i="2"/>
  <c r="F122" i="2" s="1" a="1"/>
  <c r="A121" i="2"/>
  <c r="E121" i="2" s="1" a="1"/>
  <c r="A120" i="2"/>
  <c r="E120" i="2" s="1" a="1"/>
  <c r="A119" i="2"/>
  <c r="E119" i="2" s="1" a="1"/>
  <c r="A118" i="2"/>
  <c r="F118" i="2" s="1" a="1"/>
  <c r="A117" i="2"/>
  <c r="E117" i="2" s="1" a="1"/>
  <c r="A116" i="2"/>
  <c r="F116" i="2" s="1" a="1"/>
  <c r="A115" i="2"/>
  <c r="F115" i="2" s="1" a="1"/>
  <c r="A114" i="2"/>
  <c r="A113" i="2"/>
  <c r="F113" i="2" s="1" a="1"/>
  <c r="A112" i="2"/>
  <c r="A111" i="2"/>
  <c r="B111" i="2" s="1" a="1"/>
  <c r="A110" i="2"/>
  <c r="D110" i="2" s="1" a="1"/>
  <c r="A109" i="2"/>
  <c r="B109" i="2" s="1" a="1"/>
  <c r="A108" i="2"/>
  <c r="E108" i="2" s="1" a="1"/>
  <c r="A107" i="2"/>
  <c r="F107" i="2" s="1" a="1"/>
  <c r="A106" i="2"/>
  <c r="D106" i="2" s="1" a="1"/>
  <c r="A105" i="2"/>
  <c r="B105" i="2" s="1" a="1"/>
  <c r="A104" i="2"/>
  <c r="E104" i="2" s="1" a="1"/>
  <c r="A103" i="2"/>
  <c r="A102" i="2"/>
  <c r="C102" i="2" s="1" a="1"/>
  <c r="A101" i="2"/>
  <c r="C101" i="2" s="1" a="1"/>
  <c r="A100" i="2"/>
  <c r="D100" i="2" s="1" a="1"/>
  <c r="A99" i="2"/>
  <c r="C99" i="2" s="1" a="1"/>
  <c r="A98" i="2"/>
  <c r="E98" i="2" s="1" a="1"/>
  <c r="A97" i="2"/>
  <c r="F97" i="2" s="1" a="1"/>
  <c r="A96" i="2"/>
  <c r="E96" i="2" s="1" a="1"/>
  <c r="A95" i="2"/>
  <c r="F95" i="2" s="1" a="1"/>
  <c r="A94" i="2"/>
  <c r="A93" i="2"/>
  <c r="E93" i="2" s="1" a="1"/>
  <c r="A92" i="2"/>
  <c r="C92" i="2" s="1" a="1"/>
  <c r="A91" i="2"/>
  <c r="F91" i="2" s="1" a="1"/>
  <c r="A90" i="2"/>
  <c r="D90" i="2" s="1" a="1"/>
  <c r="A89" i="2"/>
  <c r="E89" i="2" s="1" a="1"/>
  <c r="A88" i="2"/>
  <c r="E88" i="2" s="1" a="1"/>
  <c r="A87" i="2"/>
  <c r="F87" i="2" s="1" a="1"/>
  <c r="A86" i="2"/>
  <c r="C86" i="2" s="1" a="1"/>
  <c r="A85" i="2"/>
  <c r="E85" i="2" s="1" a="1"/>
  <c r="A84" i="2"/>
  <c r="C84" i="2" s="1" a="1"/>
  <c r="A83" i="2"/>
  <c r="E83" i="2" s="1" a="1"/>
  <c r="A82" i="2"/>
  <c r="D82" i="2" s="1" a="1"/>
  <c r="A81" i="2"/>
  <c r="B81" i="2" s="1" a="1"/>
  <c r="A80" i="2"/>
  <c r="A79" i="2"/>
  <c r="E79" i="2" s="1" a="1"/>
  <c r="A78" i="2"/>
  <c r="A77" i="2"/>
  <c r="C77" i="2" s="1" a="1"/>
  <c r="A76" i="2"/>
  <c r="C76" i="2" s="1" a="1"/>
  <c r="A75" i="2"/>
  <c r="E75" i="2" s="1" a="1"/>
  <c r="A74" i="2"/>
  <c r="E74" i="2" s="1" a="1"/>
  <c r="A73" i="2"/>
  <c r="D73" i="2" s="1" a="1"/>
  <c r="A72" i="2"/>
  <c r="D72" i="2" s="1" a="1"/>
  <c r="A71" i="2"/>
  <c r="D71" i="2" s="1" a="1"/>
  <c r="A70" i="2"/>
  <c r="A69" i="2"/>
  <c r="E69" i="2" s="1" a="1"/>
  <c r="A68" i="2"/>
  <c r="C68" i="2" s="1" a="1"/>
  <c r="A67" i="2"/>
  <c r="E67" i="2" s="1" a="1"/>
  <c r="A66" i="2"/>
  <c r="E66" i="2" s="1" a="1"/>
  <c r="A65" i="2"/>
  <c r="A64" i="2"/>
  <c r="D64" i="2" s="1" a="1"/>
  <c r="A63" i="2"/>
  <c r="E63" i="2" s="1" a="1"/>
  <c r="A62" i="2"/>
  <c r="A61" i="2"/>
  <c r="D61" i="2" s="1" a="1"/>
  <c r="A60" i="2"/>
  <c r="D60" i="2" s="1" a="1"/>
  <c r="A59" i="2"/>
  <c r="D59" i="2" s="1" a="1"/>
  <c r="A58" i="2"/>
  <c r="F58" i="2" s="1" a="1"/>
  <c r="A57" i="2"/>
  <c r="F57" i="2" s="1" a="1"/>
  <c r="A56" i="2"/>
  <c r="D56" i="2" s="1" a="1"/>
  <c r="A55" i="2"/>
  <c r="D55" i="2" s="1" a="1"/>
  <c r="A54" i="2"/>
  <c r="F54" i="2" s="1" a="1"/>
  <c r="A53" i="2"/>
  <c r="F53" i="2" s="1" a="1"/>
  <c r="A52" i="2"/>
  <c r="D52" i="2" s="1" a="1"/>
  <c r="A51" i="2"/>
  <c r="D51" i="2" s="1" a="1"/>
  <c r="A50" i="2"/>
  <c r="F50" i="2" s="1" a="1"/>
  <c r="A49" i="2"/>
  <c r="D49" i="2" s="1" a="1"/>
  <c r="A48" i="2"/>
  <c r="D48" i="2" s="1" a="1"/>
  <c r="A47" i="2"/>
  <c r="D47" i="2" s="1" a="1"/>
  <c r="A46" i="2"/>
  <c r="F46" i="2" s="1" a="1"/>
  <c r="A45" i="2"/>
  <c r="F45" i="2" s="1" a="1"/>
  <c r="A44" i="2"/>
  <c r="E44" i="2" s="1" a="1"/>
  <c r="A43" i="2"/>
  <c r="D43" i="2" s="1" a="1"/>
  <c r="A42" i="2"/>
  <c r="F42" i="2" s="1" a="1"/>
  <c r="A41" i="2"/>
  <c r="D41" i="2" s="1" a="1"/>
  <c r="A40" i="2"/>
  <c r="D40" i="2" s="1" a="1"/>
  <c r="A39" i="2"/>
  <c r="D39" i="2" s="1" a="1"/>
  <c r="A38" i="2"/>
  <c r="F38" i="2" s="1" a="1"/>
  <c r="A37" i="2"/>
  <c r="F37" i="2" s="1" a="1"/>
  <c r="A36" i="2"/>
  <c r="D36" i="2" s="1" a="1"/>
  <c r="A35" i="2"/>
  <c r="D35" i="2" s="1" a="1"/>
  <c r="A34" i="2"/>
  <c r="F34" i="2" s="1" a="1"/>
  <c r="A33" i="2"/>
  <c r="D33" i="2" s="1" a="1"/>
  <c r="A32" i="2"/>
  <c r="D32" i="2" s="1" a="1"/>
  <c r="A31" i="2"/>
  <c r="D31" i="2" s="1" a="1"/>
  <c r="A30" i="2"/>
  <c r="A29" i="2"/>
  <c r="D29" i="2" s="1" a="1"/>
  <c r="A28" i="2"/>
  <c r="D28" i="2" s="1" a="1"/>
  <c r="A27" i="2"/>
  <c r="D27" i="2" s="1" a="1"/>
  <c r="A26" i="2"/>
  <c r="F26" i="2" s="1" a="1"/>
  <c r="A25" i="2"/>
  <c r="D25" i="2" s="1" a="1"/>
  <c r="A24" i="2"/>
  <c r="E24" i="2" s="1" a="1"/>
  <c r="A23" i="2"/>
  <c r="C23" i="2" s="1" a="1"/>
  <c r="A22" i="2"/>
  <c r="A21" i="2"/>
  <c r="F21" i="2" s="1" a="1"/>
  <c r="A20" i="2"/>
  <c r="D20" i="2" s="1" a="1"/>
  <c r="A19" i="2"/>
  <c r="D19" i="2" s="1" a="1"/>
  <c r="A18" i="2"/>
  <c r="F18" i="2" s="1" a="1"/>
  <c r="A17" i="2"/>
  <c r="F17" i="2" s="1" a="1"/>
  <c r="A16" i="2"/>
  <c r="E16" i="2" s="1" a="1"/>
  <c r="A15" i="2"/>
  <c r="D15" i="2" s="1" a="1"/>
  <c r="A14" i="2"/>
  <c r="D14" i="2" s="1" a="1"/>
  <c r="A13" i="2"/>
  <c r="D13" i="2" s="1" a="1"/>
  <c r="A12" i="2"/>
  <c r="D12" i="2" s="1" a="1"/>
  <c r="A11" i="2"/>
  <c r="D11" i="2" s="1" a="1"/>
  <c r="A10" i="2"/>
  <c r="D10" i="2" s="1" a="1"/>
  <c r="A9" i="2"/>
  <c r="F9" i="2" s="1" a="1"/>
  <c r="A8" i="2"/>
  <c r="D8" i="2" s="1" a="1"/>
  <c r="A7" i="2"/>
  <c r="F7" i="2" s="1" a="1"/>
  <c r="A6" i="2"/>
  <c r="D6" i="2" s="1" a="1"/>
  <c r="A5" i="2"/>
  <c r="F5" i="2" s="1" a="1"/>
  <c r="A4" i="2"/>
  <c r="F4" i="2" s="1" a="1"/>
  <c r="A3" i="2"/>
  <c r="F3" i="2" s="1" a="1"/>
  <c r="A2" i="2"/>
  <c r="F2" i="2" s="1" a="1"/>
  <c r="B6" i="19"/>
  <c r="B5" i="19"/>
  <c r="B4" i="19"/>
  <c r="B3" i="19"/>
  <c r="E110" i="24" l="1"/>
  <c r="F110" i="24" s="1"/>
  <c r="E107" i="24"/>
  <c r="F107" i="24" s="1"/>
  <c r="E111" i="24"/>
  <c r="F111" i="24" s="1"/>
  <c r="E174" i="24"/>
  <c r="F174" i="24" s="1"/>
  <c r="E154" i="24"/>
  <c r="F154" i="24" s="1"/>
  <c r="E45" i="24"/>
  <c r="F45" i="24" s="1"/>
  <c r="E109" i="24"/>
  <c r="F109" i="24" s="1"/>
  <c r="E151" i="24"/>
  <c r="F151" i="24" s="1"/>
  <c r="E44" i="24"/>
  <c r="F44" i="24" s="1"/>
  <c r="D125" i="24"/>
  <c r="E175" i="24"/>
  <c r="F175" i="24" s="1"/>
  <c r="E95" i="24"/>
  <c r="F95" i="24" s="1"/>
  <c r="E94" i="24"/>
  <c r="F94" i="24" s="1"/>
  <c r="E93" i="24"/>
  <c r="F93" i="24" s="1"/>
  <c r="E92" i="24"/>
  <c r="F92" i="24" s="1"/>
  <c r="I28" i="24"/>
  <c r="I79" i="24"/>
  <c r="D9" i="24"/>
  <c r="E150" i="24"/>
  <c r="F150" i="24" s="1"/>
  <c r="E56" i="24"/>
  <c r="F56" i="24" s="1"/>
  <c r="E57" i="24"/>
  <c r="F57" i="24" s="1"/>
  <c r="I56" i="24"/>
  <c r="C97" i="24"/>
  <c r="E55" i="24"/>
  <c r="F55" i="24" s="1"/>
  <c r="I66" i="24"/>
  <c r="E122" i="24"/>
  <c r="F122" i="24" s="1"/>
  <c r="C178" i="24"/>
  <c r="C33" i="24"/>
  <c r="C125" i="24"/>
  <c r="E121" i="24"/>
  <c r="F121" i="24" s="1"/>
  <c r="C167" i="24"/>
  <c r="I45" i="24"/>
  <c r="E43" i="24"/>
  <c r="F43" i="24" s="1"/>
  <c r="E46" i="24"/>
  <c r="F46" i="24" s="1"/>
  <c r="I44" i="24"/>
  <c r="C48" i="24"/>
  <c r="I93" i="24"/>
  <c r="E163" i="24"/>
  <c r="F163" i="24" s="1"/>
  <c r="D48" i="24"/>
  <c r="E58" i="24"/>
  <c r="F58" i="24" s="1"/>
  <c r="C84" i="24"/>
  <c r="E162" i="24"/>
  <c r="F162" i="24" s="1"/>
  <c r="D178" i="24"/>
  <c r="C193" i="24"/>
  <c r="E164" i="24"/>
  <c r="F164" i="24" s="1"/>
  <c r="C60" i="24"/>
  <c r="I80" i="24"/>
  <c r="C112" i="24"/>
  <c r="I150" i="24"/>
  <c r="E152" i="24"/>
  <c r="F152" i="24" s="1"/>
  <c r="C155" i="24"/>
  <c r="E165" i="24"/>
  <c r="F165" i="24" s="1"/>
  <c r="D60" i="24"/>
  <c r="E70" i="24"/>
  <c r="F70" i="24" s="1"/>
  <c r="E66" i="24"/>
  <c r="F66" i="24" s="1"/>
  <c r="E69" i="24"/>
  <c r="F69" i="24" s="1"/>
  <c r="D155" i="24"/>
  <c r="I152" i="24"/>
  <c r="D33" i="24"/>
  <c r="I30" i="24"/>
  <c r="E30" i="24"/>
  <c r="F30" i="24" s="1"/>
  <c r="I57" i="24"/>
  <c r="C71" i="24"/>
  <c r="I92" i="24"/>
  <c r="C140" i="24"/>
  <c r="I151" i="24"/>
  <c r="E189" i="24"/>
  <c r="F189" i="24" s="1"/>
  <c r="E191" i="24"/>
  <c r="F191" i="24" s="1"/>
  <c r="E192" i="24"/>
  <c r="F192" i="24" s="1"/>
  <c r="E188" i="24"/>
  <c r="F188" i="24" s="1"/>
  <c r="C9" i="24"/>
  <c r="I29" i="24"/>
  <c r="I43" i="24"/>
  <c r="D71" i="24"/>
  <c r="D84" i="24"/>
  <c r="I81" i="24"/>
  <c r="E81" i="24"/>
  <c r="F81" i="24" s="1"/>
  <c r="D97" i="24"/>
  <c r="I94" i="24"/>
  <c r="I108" i="24"/>
  <c r="I109" i="24"/>
  <c r="E136" i="24"/>
  <c r="F136" i="24" s="1"/>
  <c r="E139" i="24"/>
  <c r="F139" i="24" s="1"/>
  <c r="E135" i="24"/>
  <c r="F135" i="24" s="1"/>
  <c r="E138" i="24"/>
  <c r="F138" i="24" s="1"/>
  <c r="I163" i="24"/>
  <c r="I164" i="24"/>
  <c r="I188" i="24"/>
  <c r="E8" i="24"/>
  <c r="F8" i="24" s="1"/>
  <c r="E7" i="24"/>
  <c r="F7" i="24" s="1"/>
  <c r="E6" i="24"/>
  <c r="F6" i="24" s="1"/>
  <c r="E5" i="24"/>
  <c r="F5" i="24" s="1"/>
  <c r="E4" i="24"/>
  <c r="F4" i="24" s="1"/>
  <c r="E29" i="24"/>
  <c r="F29" i="24" s="1"/>
  <c r="E32" i="24"/>
  <c r="F32" i="24" s="1"/>
  <c r="E28" i="24"/>
  <c r="F28" i="24" s="1"/>
  <c r="I5" i="24"/>
  <c r="E67" i="24"/>
  <c r="F67" i="24" s="1"/>
  <c r="E68" i="24"/>
  <c r="F68" i="24" s="1"/>
  <c r="E80" i="24"/>
  <c r="F80" i="24" s="1"/>
  <c r="E83" i="24"/>
  <c r="F83" i="24" s="1"/>
  <c r="E79" i="24"/>
  <c r="F79" i="24" s="1"/>
  <c r="D112" i="24"/>
  <c r="I135" i="24"/>
  <c r="D167" i="24"/>
  <c r="I120" i="24"/>
  <c r="I136" i="24"/>
  <c r="I173" i="24"/>
  <c r="I55" i="24"/>
  <c r="I67" i="24"/>
  <c r="I107" i="24"/>
  <c r="I121" i="24"/>
  <c r="E123" i="24"/>
  <c r="F123" i="24" s="1"/>
  <c r="I137" i="24"/>
  <c r="D140" i="24"/>
  <c r="I162" i="24"/>
  <c r="I174" i="24"/>
  <c r="E176" i="24"/>
  <c r="F176" i="24" s="1"/>
  <c r="I190" i="24"/>
  <c r="D193" i="24"/>
  <c r="I189" i="24"/>
  <c r="I68" i="24"/>
  <c r="E120" i="24"/>
  <c r="F120" i="24" s="1"/>
  <c r="I122" i="24"/>
  <c r="E124" i="24"/>
  <c r="F124" i="24" s="1"/>
  <c r="E173" i="24"/>
  <c r="F173" i="24" s="1"/>
  <c r="I175" i="24"/>
  <c r="E177" i="24"/>
  <c r="F177" i="24" s="1"/>
  <c r="C20" i="24"/>
  <c r="I15" i="24"/>
  <c r="E17" i="24"/>
  <c r="F17" i="24" s="1"/>
  <c r="I16" i="24"/>
  <c r="E18" i="24"/>
  <c r="F18" i="24" s="1"/>
  <c r="E15" i="24"/>
  <c r="F15" i="24" s="1"/>
  <c r="I17" i="24"/>
  <c r="E19" i="24"/>
  <c r="F19" i="24" s="1"/>
  <c r="D20" i="24"/>
  <c r="I6" i="24"/>
  <c r="I4" i="24"/>
  <c r="C107" i="39" a="1"/>
  <c r="C107" i="39" s="1"/>
  <c r="B61" i="39" a="1"/>
  <c r="B61" i="39" s="1"/>
  <c r="D158" i="39" a="1"/>
  <c r="D158" i="39" s="1"/>
  <c r="E156" i="39" a="1"/>
  <c r="E156" i="39" s="1"/>
  <c r="C42" i="39" a="1"/>
  <c r="C42" i="39" s="1"/>
  <c r="E112" i="39" a="1"/>
  <c r="E112" i="39" s="1"/>
  <c r="B119" i="39" a="1"/>
  <c r="B119" i="39" s="1"/>
  <c r="D138" i="39" a="1"/>
  <c r="D138" i="39" s="1"/>
  <c r="F42" i="39" a="1"/>
  <c r="F42" i="39" s="1"/>
  <c r="B52" i="39" a="1"/>
  <c r="B52" i="39" s="1"/>
  <c r="D3" i="39" a="1"/>
  <c r="D3" i="39" s="1"/>
  <c r="B26" i="39" a="1"/>
  <c r="B26" i="39" s="1"/>
  <c r="B29" i="39" a="1"/>
  <c r="B29" i="39" s="1"/>
  <c r="F62" i="39" a="1"/>
  <c r="F62" i="39" s="1"/>
  <c r="B20" i="39" a="1"/>
  <c r="B20" i="39" s="1"/>
  <c r="D57" i="39" a="1"/>
  <c r="D57" i="39" s="1"/>
  <c r="B86" i="39" a="1"/>
  <c r="B86" i="39" s="1"/>
  <c r="B88" i="39" a="1"/>
  <c r="B88" i="39" s="1"/>
  <c r="C97" i="39" a="1"/>
  <c r="C97" i="39" s="1"/>
  <c r="C147" i="39" a="1"/>
  <c r="C147" i="39" s="1"/>
  <c r="E86" i="39" a="1"/>
  <c r="E86" i="39" s="1"/>
  <c r="D88" i="39" a="1"/>
  <c r="D88" i="39" s="1"/>
  <c r="B158" i="39" a="1"/>
  <c r="B158" i="39" s="1"/>
  <c r="O170" i="39" a="1"/>
  <c r="O170" i="39" s="1"/>
  <c r="C6" i="39" a="1"/>
  <c r="C6" i="39" s="1"/>
  <c r="F52" i="39" a="1"/>
  <c r="F52" i="39" s="1"/>
  <c r="F61" i="39" a="1"/>
  <c r="F61" i="39" s="1"/>
  <c r="F74" i="39" a="1"/>
  <c r="F74" i="39" s="1"/>
  <c r="E85" i="39" a="1"/>
  <c r="E85" i="39" s="1"/>
  <c r="E101" i="39" a="1"/>
  <c r="E101" i="39" s="1"/>
  <c r="E111" i="39" a="1"/>
  <c r="E111" i="39" s="1"/>
  <c r="F150" i="39" a="1"/>
  <c r="F150" i="39" s="1"/>
  <c r="E158" i="39" a="1"/>
  <c r="E158" i="39" s="1"/>
  <c r="B21" i="39" a="1"/>
  <c r="B21" i="39" s="1"/>
  <c r="F30" i="39" a="1"/>
  <c r="F30" i="39" s="1"/>
  <c r="C133" i="39" a="1"/>
  <c r="C133" i="39" s="1"/>
  <c r="E143" i="39" a="1"/>
  <c r="E143" i="39" s="1"/>
  <c r="B148" i="39" a="1"/>
  <c r="B148" i="39" s="1"/>
  <c r="U169" i="39"/>
  <c r="T170" i="39" s="1" a="1"/>
  <c r="T170" i="39" s="1"/>
  <c r="B10" i="39" a="1"/>
  <c r="B10" i="39" s="1"/>
  <c r="E18" i="39" a="1"/>
  <c r="E18" i="39" s="1"/>
  <c r="B22" i="39" a="1"/>
  <c r="B22" i="39" s="1"/>
  <c r="F29" i="39" a="1"/>
  <c r="F29" i="39" s="1"/>
  <c r="D41" i="39" a="1"/>
  <c r="D41" i="39" s="1"/>
  <c r="F53" i="39" a="1"/>
  <c r="F53" i="39" s="1"/>
  <c r="C59" i="39" a="1"/>
  <c r="C59" i="39" s="1"/>
  <c r="B76" i="39" a="1"/>
  <c r="B76" i="39" s="1"/>
  <c r="B92" i="39" a="1"/>
  <c r="B92" i="39" s="1"/>
  <c r="B95" i="39" a="1"/>
  <c r="B95" i="39" s="1"/>
  <c r="B125" i="39" a="1"/>
  <c r="B125" i="39" s="1"/>
  <c r="E127" i="39" a="1"/>
  <c r="E127" i="39" s="1"/>
  <c r="E140" i="39" a="1"/>
  <c r="E140" i="39" s="1"/>
  <c r="B142" i="39" a="1"/>
  <c r="B142" i="39" s="1"/>
  <c r="F157" i="39" a="1"/>
  <c r="F157" i="39" s="1"/>
  <c r="C10" i="39" a="1"/>
  <c r="C10" i="39" s="1"/>
  <c r="C22" i="39" a="1"/>
  <c r="C22" i="39" s="1"/>
  <c r="B46" i="39" a="1"/>
  <c r="B46" i="39" s="1"/>
  <c r="E125" i="39" a="1"/>
  <c r="E125" i="39" s="1"/>
  <c r="B6" i="39" a="1"/>
  <c r="B6" i="39" s="1"/>
  <c r="F13" i="39" a="1"/>
  <c r="F13" i="39" s="1"/>
  <c r="D21" i="39" a="1"/>
  <c r="D21" i="39" s="1"/>
  <c r="E22" i="39" a="1"/>
  <c r="E22" i="39" s="1"/>
  <c r="C30" i="39" a="1"/>
  <c r="C30" i="39" s="1"/>
  <c r="E50" i="39" a="1"/>
  <c r="E50" i="39" s="1"/>
  <c r="C62" i="39" a="1"/>
  <c r="C62" i="39" s="1"/>
  <c r="C77" i="39" a="1"/>
  <c r="C77" i="39" s="1"/>
  <c r="C111" i="39" a="1"/>
  <c r="C111" i="39" s="1"/>
  <c r="C141" i="39" a="1"/>
  <c r="C141" i="39" s="1"/>
  <c r="B150" i="39" a="1"/>
  <c r="B150" i="39" s="1"/>
  <c r="F38" i="39" a="1"/>
  <c r="F38" i="39" s="1"/>
  <c r="F154" i="39" a="1"/>
  <c r="F154" i="39" s="1"/>
  <c r="F6" i="39" a="1"/>
  <c r="F6" i="39" s="1"/>
  <c r="D9" i="39" a="1"/>
  <c r="D9" i="39" s="1"/>
  <c r="F10" i="39" a="1"/>
  <c r="F10" i="39" s="1"/>
  <c r="B14" i="39" a="1"/>
  <c r="B14" i="39" s="1"/>
  <c r="F20" i="39" a="1"/>
  <c r="F20" i="39" s="1"/>
  <c r="F21" i="39" a="1"/>
  <c r="F21" i="39" s="1"/>
  <c r="C26" i="39" a="1"/>
  <c r="C26" i="39" s="1"/>
  <c r="E34" i="39" a="1"/>
  <c r="E34" i="39" s="1"/>
  <c r="B36" i="39" a="1"/>
  <c r="B36" i="39" s="1"/>
  <c r="B37" i="39" a="1"/>
  <c r="B37" i="39" s="1"/>
  <c r="B38" i="39" a="1"/>
  <c r="B38" i="39" s="1"/>
  <c r="B45" i="39" a="1"/>
  <c r="B45" i="39" s="1"/>
  <c r="C46" i="39" a="1"/>
  <c r="C46" i="39" s="1"/>
  <c r="B54" i="39" a="1"/>
  <c r="B54" i="39" s="1"/>
  <c r="E55" i="39" a="1"/>
  <c r="E55" i="39" s="1"/>
  <c r="F66" i="39" a="1"/>
  <c r="F66" i="39" s="1"/>
  <c r="B68" i="39" a="1"/>
  <c r="B68" i="39" s="1"/>
  <c r="C69" i="39" a="1"/>
  <c r="C69" i="39" s="1"/>
  <c r="D72" i="39" a="1"/>
  <c r="D72" i="39" s="1"/>
  <c r="C76" i="39" a="1"/>
  <c r="C76" i="39" s="1"/>
  <c r="B87" i="39" a="1"/>
  <c r="B87" i="39" s="1"/>
  <c r="F88" i="39" a="1"/>
  <c r="F88" i="39" s="1"/>
  <c r="C92" i="39" a="1"/>
  <c r="C92" i="39" s="1"/>
  <c r="B102" i="39" a="1"/>
  <c r="B102" i="39" s="1"/>
  <c r="F107" i="39" a="1"/>
  <c r="F107" i="39" s="1"/>
  <c r="C113" i="39" a="1"/>
  <c r="C113" i="39" s="1"/>
  <c r="C119" i="39" a="1"/>
  <c r="C119" i="39" s="1"/>
  <c r="B121" i="39" a="1"/>
  <c r="B121" i="39" s="1"/>
  <c r="C139" i="39" a="1"/>
  <c r="C139" i="39" s="1"/>
  <c r="E144" i="39" a="1"/>
  <c r="E144" i="39" s="1"/>
  <c r="E148" i="39" a="1"/>
  <c r="E148" i="39" s="1"/>
  <c r="D150" i="39" a="1"/>
  <c r="D150" i="39" s="1"/>
  <c r="D152" i="39" a="1"/>
  <c r="D152" i="39" s="1"/>
  <c r="B154" i="39" a="1"/>
  <c r="B154" i="39" s="1"/>
  <c r="F156" i="39" a="1"/>
  <c r="F156" i="39" s="1"/>
  <c r="F162" i="39" a="1"/>
  <c r="F162" i="39" s="1"/>
  <c r="B13" i="39" a="1"/>
  <c r="B13" i="39" s="1"/>
  <c r="C14" i="39" a="1"/>
  <c r="C14" i="39" s="1"/>
  <c r="F22" i="39" a="1"/>
  <c r="F22" i="39" s="1"/>
  <c r="D25" i="39" a="1"/>
  <c r="D25" i="39" s="1"/>
  <c r="F26" i="39" a="1"/>
  <c r="F26" i="39" s="1"/>
  <c r="B30" i="39" a="1"/>
  <c r="B30" i="39" s="1"/>
  <c r="D36" i="39" a="1"/>
  <c r="D36" i="39" s="1"/>
  <c r="D37" i="39" a="1"/>
  <c r="D37" i="39" s="1"/>
  <c r="C38" i="39" a="1"/>
  <c r="C38" i="39" s="1"/>
  <c r="B42" i="39" a="1"/>
  <c r="B42" i="39" s="1"/>
  <c r="F45" i="39" a="1"/>
  <c r="F45" i="39" s="1"/>
  <c r="F46" i="39" a="1"/>
  <c r="F46" i="39" s="1"/>
  <c r="B53" i="39" a="1"/>
  <c r="B53" i="39" s="1"/>
  <c r="C54" i="39" a="1"/>
  <c r="C54" i="39" s="1"/>
  <c r="E58" i="39" a="1"/>
  <c r="E58" i="39" s="1"/>
  <c r="B62" i="39" a="1"/>
  <c r="B62" i="39" s="1"/>
  <c r="C68" i="39" a="1"/>
  <c r="C68" i="39" s="1"/>
  <c r="F76" i="39" a="1"/>
  <c r="F76" i="39" s="1"/>
  <c r="D91" i="39" a="1"/>
  <c r="D91" i="39" s="1"/>
  <c r="F92" i="39" a="1"/>
  <c r="F92" i="39" s="1"/>
  <c r="E96" i="39" a="1"/>
  <c r="E96" i="39" s="1"/>
  <c r="B111" i="39" a="1"/>
  <c r="B111" i="39" s="1"/>
  <c r="E119" i="39" a="1"/>
  <c r="E119" i="39" s="1"/>
  <c r="B126" i="39" a="1"/>
  <c r="B126" i="39" s="1"/>
  <c r="E128" i="39" a="1"/>
  <c r="E128" i="39" s="1"/>
  <c r="B134" i="39" a="1"/>
  <c r="B134" i="39" s="1"/>
  <c r="F139" i="39" a="1"/>
  <c r="F139" i="39" s="1"/>
  <c r="C154" i="39" a="1"/>
  <c r="C154" i="39" s="1"/>
  <c r="F14" i="39" a="1"/>
  <c r="F14" i="39" s="1"/>
  <c r="F37" i="39" a="1"/>
  <c r="F37" i="39" s="1"/>
  <c r="E38" i="39" a="1"/>
  <c r="E38" i="39" s="1"/>
  <c r="F54" i="39" a="1"/>
  <c r="F54" i="39" s="1"/>
  <c r="F68" i="39" a="1"/>
  <c r="F68" i="39" s="1"/>
  <c r="F153" i="39" a="1"/>
  <c r="F153" i="39" s="1"/>
  <c r="E154" i="39" a="1"/>
  <c r="E154" i="39" s="1"/>
  <c r="B156" i="39" a="1"/>
  <c r="B156" i="39" s="1"/>
  <c r="D2" i="39" a="1"/>
  <c r="D2" i="39" s="1"/>
  <c r="F3" i="39" a="1"/>
  <c r="F3" i="39" s="1"/>
  <c r="C4" i="39" a="1"/>
  <c r="C4" i="39" s="1"/>
  <c r="B5" i="39" a="1"/>
  <c r="B5" i="39" s="1"/>
  <c r="D6" i="39" a="1"/>
  <c r="D6" i="39" s="1"/>
  <c r="E10" i="39" a="1"/>
  <c r="E10" i="39" s="1"/>
  <c r="D13" i="39" a="1"/>
  <c r="D13" i="39" s="1"/>
  <c r="E14" i="39" a="1"/>
  <c r="E14" i="39" s="1"/>
  <c r="C15" i="39" a="1"/>
  <c r="C15" i="39" s="1"/>
  <c r="B17" i="39" a="1"/>
  <c r="B17" i="39" s="1"/>
  <c r="C18" i="39" a="1"/>
  <c r="C18" i="39" s="1"/>
  <c r="F18" i="39" a="1"/>
  <c r="F18" i="39" s="1"/>
  <c r="E26" i="39" a="1"/>
  <c r="E26" i="39" s="1"/>
  <c r="D29" i="39" a="1"/>
  <c r="D29" i="39" s="1"/>
  <c r="E30" i="39" a="1"/>
  <c r="E30" i="39" s="1"/>
  <c r="C31" i="39" a="1"/>
  <c r="C31" i="39" s="1"/>
  <c r="B33" i="39" a="1"/>
  <c r="B33" i="39" s="1"/>
  <c r="C34" i="39" a="1"/>
  <c r="C34" i="39" s="1"/>
  <c r="F34" i="39" a="1"/>
  <c r="F34" i="39" s="1"/>
  <c r="E42" i="39" a="1"/>
  <c r="E42" i="39" s="1"/>
  <c r="D45" i="39" a="1"/>
  <c r="D45" i="39" s="1"/>
  <c r="E46" i="39" a="1"/>
  <c r="E46" i="39" s="1"/>
  <c r="C47" i="39" a="1"/>
  <c r="C47" i="39" s="1"/>
  <c r="B49" i="39" a="1"/>
  <c r="B49" i="39" s="1"/>
  <c r="C50" i="39" a="1"/>
  <c r="C50" i="39" s="1"/>
  <c r="F50" i="39" a="1"/>
  <c r="F50" i="39" s="1"/>
  <c r="D54" i="39" a="1"/>
  <c r="D54" i="39" s="1"/>
  <c r="F57" i="39" a="1"/>
  <c r="F57" i="39" s="1"/>
  <c r="C58" i="39" a="1"/>
  <c r="C58" i="39" s="1"/>
  <c r="F58" i="39" a="1"/>
  <c r="F58" i="39" s="1"/>
  <c r="E59" i="39" a="1"/>
  <c r="E59" i="39" s="1"/>
  <c r="D61" i="39" a="1"/>
  <c r="D61" i="39" s="1"/>
  <c r="E62" i="39" a="1"/>
  <c r="E62" i="39" s="1"/>
  <c r="C63" i="39" a="1"/>
  <c r="C63" i="39" s="1"/>
  <c r="D68" i="39" a="1"/>
  <c r="D68" i="39" s="1"/>
  <c r="B70" i="39" a="1"/>
  <c r="B70" i="39" s="1"/>
  <c r="B71" i="39" a="1"/>
  <c r="B71" i="39" s="1"/>
  <c r="E72" i="39" a="1"/>
  <c r="E72" i="39" s="1"/>
  <c r="F79" i="39" a="1"/>
  <c r="F79" i="39" s="1"/>
  <c r="B79" i="39" a="1"/>
  <c r="B79" i="39" s="1"/>
  <c r="B84" i="39" a="1"/>
  <c r="B84" i="39" s="1"/>
  <c r="F84" i="39" a="1"/>
  <c r="F84" i="39" s="1"/>
  <c r="C84" i="39" a="1"/>
  <c r="C84" i="39" s="1"/>
  <c r="F90" i="39" a="1"/>
  <c r="F90" i="39" s="1"/>
  <c r="B90" i="39" a="1"/>
  <c r="B90" i="39" s="1"/>
  <c r="F100" i="39" a="1"/>
  <c r="F100" i="39" s="1"/>
  <c r="C100" i="39" a="1"/>
  <c r="C100" i="39" s="1"/>
  <c r="E100" i="39" a="1"/>
  <c r="E100" i="39" s="1"/>
  <c r="B100" i="39" a="1"/>
  <c r="B100" i="39" s="1"/>
  <c r="C103" i="39" a="1"/>
  <c r="C103" i="39" s="1"/>
  <c r="F103" i="39" a="1"/>
  <c r="F103" i="39" s="1"/>
  <c r="E103" i="39" a="1"/>
  <c r="E103" i="39" s="1"/>
  <c r="B103" i="39" a="1"/>
  <c r="B103" i="39" s="1"/>
  <c r="D115" i="39" a="1"/>
  <c r="D115" i="39" s="1"/>
  <c r="F115" i="39" a="1"/>
  <c r="F115" i="39" s="1"/>
  <c r="C115" i="39" a="1"/>
  <c r="C115" i="39" s="1"/>
  <c r="E115" i="39" a="1"/>
  <c r="E115" i="39" s="1"/>
  <c r="B115" i="39" a="1"/>
  <c r="B115" i="39" s="1"/>
  <c r="D131" i="39" a="1"/>
  <c r="D131" i="39" s="1"/>
  <c r="F131" i="39" a="1"/>
  <c r="F131" i="39" s="1"/>
  <c r="C131" i="39" a="1"/>
  <c r="C131" i="39" s="1"/>
  <c r="E131" i="39" a="1"/>
  <c r="E131" i="39" s="1"/>
  <c r="B131" i="39" a="1"/>
  <c r="B131" i="39" s="1"/>
  <c r="C146" i="39" a="1"/>
  <c r="C146" i="39" s="1"/>
  <c r="F146" i="39" a="1"/>
  <c r="F146" i="39" s="1"/>
  <c r="E146" i="39" a="1"/>
  <c r="E146" i="39" s="1"/>
  <c r="B146" i="39" a="1"/>
  <c r="B146" i="39" s="1"/>
  <c r="F2" i="39" a="1"/>
  <c r="F2" i="39" s="1"/>
  <c r="E5" i="39" a="1"/>
  <c r="E5" i="39" s="1"/>
  <c r="F9" i="39" a="1"/>
  <c r="F9" i="39" s="1"/>
  <c r="D18" i="39" a="1"/>
  <c r="D18" i="39" s="1"/>
  <c r="F25" i="39" a="1"/>
  <c r="F25" i="39" s="1"/>
  <c r="D34" i="39" a="1"/>
  <c r="D34" i="39" s="1"/>
  <c r="F41" i="39" a="1"/>
  <c r="F41" i="39" s="1"/>
  <c r="D50" i="39" a="1"/>
  <c r="D50" i="39" s="1"/>
  <c r="D58" i="39" a="1"/>
  <c r="D58" i="39" s="1"/>
  <c r="E63" i="39" a="1"/>
  <c r="E63" i="39" s="1"/>
  <c r="C70" i="39" a="1"/>
  <c r="C70" i="39" s="1"/>
  <c r="F72" i="39" a="1"/>
  <c r="F72" i="39" s="1"/>
  <c r="F80" i="39" a="1"/>
  <c r="F80" i="39" s="1"/>
  <c r="B80" i="39" a="1"/>
  <c r="B80" i="39" s="1"/>
  <c r="D80" i="39" a="1"/>
  <c r="D80" i="39" s="1"/>
  <c r="E120" i="39" a="1"/>
  <c r="E120" i="39" s="1"/>
  <c r="C120" i="39" a="1"/>
  <c r="C120" i="39" s="1"/>
  <c r="F136" i="39" a="1"/>
  <c r="F136" i="39" s="1"/>
  <c r="E136" i="39" a="1"/>
  <c r="E136" i="39" s="1"/>
  <c r="C136" i="39" a="1"/>
  <c r="C136" i="39" s="1"/>
  <c r="F161" i="39" a="1"/>
  <c r="F161" i="39" s="1"/>
  <c r="D161" i="39" a="1"/>
  <c r="D161" i="39" s="1"/>
  <c r="B2" i="39" a="1"/>
  <c r="B2" i="39" s="1"/>
  <c r="C5" i="39" a="1"/>
  <c r="C5" i="39" s="1"/>
  <c r="F5" i="39" a="1"/>
  <c r="F5" i="39" s="1"/>
  <c r="B9" i="39" a="1"/>
  <c r="B9" i="39" s="1"/>
  <c r="D17" i="39" a="1"/>
  <c r="D17" i="39" s="1"/>
  <c r="B25" i="39" a="1"/>
  <c r="B25" i="39" s="1"/>
  <c r="D33" i="39" a="1"/>
  <c r="D33" i="39" s="1"/>
  <c r="B41" i="39" a="1"/>
  <c r="B41" i="39" s="1"/>
  <c r="D49" i="39" a="1"/>
  <c r="D49" i="39" s="1"/>
  <c r="D53" i="39" a="1"/>
  <c r="D53" i="39" s="1"/>
  <c r="C55" i="39" a="1"/>
  <c r="C55" i="39" s="1"/>
  <c r="B57" i="39" a="1"/>
  <c r="B57" i="39" s="1"/>
  <c r="E70" i="39" a="1"/>
  <c r="E70" i="39" s="1"/>
  <c r="B72" i="39" a="1"/>
  <c r="B72" i="39" s="1"/>
  <c r="D78" i="39" a="1"/>
  <c r="D78" i="39" s="1"/>
  <c r="E78" i="39" a="1"/>
  <c r="E78" i="39" s="1"/>
  <c r="B78" i="39" a="1"/>
  <c r="B78" i="39" s="1"/>
  <c r="C80" i="39" a="1"/>
  <c r="C80" i="39" s="1"/>
  <c r="C82" i="39" a="1"/>
  <c r="C82" i="39" s="1"/>
  <c r="F82" i="39" a="1"/>
  <c r="F82" i="39" s="1"/>
  <c r="D84" i="39" a="1"/>
  <c r="D84" i="39" s="1"/>
  <c r="E91" i="39" a="1"/>
  <c r="E91" i="39" s="1"/>
  <c r="B91" i="39" a="1"/>
  <c r="B91" i="39" s="1"/>
  <c r="E104" i="39" a="1"/>
  <c r="E104" i="39" s="1"/>
  <c r="C104" i="39" a="1"/>
  <c r="C104" i="39" s="1"/>
  <c r="F122" i="39" a="1"/>
  <c r="F122" i="39" s="1"/>
  <c r="B122" i="39" a="1"/>
  <c r="B122" i="39" s="1"/>
  <c r="F132" i="39" a="1"/>
  <c r="F132" i="39" s="1"/>
  <c r="E132" i="39" a="1"/>
  <c r="E132" i="39" s="1"/>
  <c r="C132" i="39" a="1"/>
  <c r="C132" i="39" s="1"/>
  <c r="E155" i="39" a="1"/>
  <c r="E155" i="39" s="1"/>
  <c r="C155" i="39" a="1"/>
  <c r="C155" i="39" s="1"/>
  <c r="F17" i="39" a="1"/>
  <c r="F17" i="39" s="1"/>
  <c r="F33" i="39" a="1"/>
  <c r="F33" i="39" s="1"/>
  <c r="F49" i="39" a="1"/>
  <c r="F49" i="39" s="1"/>
  <c r="D105" i="39" a="1"/>
  <c r="D105" i="39" s="1"/>
  <c r="E105" i="39" a="1"/>
  <c r="E105" i="39" s="1"/>
  <c r="C105" i="39" a="1"/>
  <c r="C105" i="39" s="1"/>
  <c r="F105" i="39" a="1"/>
  <c r="F105" i="39" s="1"/>
  <c r="B105" i="39" a="1"/>
  <c r="B105" i="39" s="1"/>
  <c r="F114" i="39" a="1"/>
  <c r="F114" i="39" s="1"/>
  <c r="B114" i="39" a="1"/>
  <c r="B114" i="39" s="1"/>
  <c r="F123" i="39" a="1"/>
  <c r="F123" i="39" s="1"/>
  <c r="C123" i="39" a="1"/>
  <c r="C123" i="39" s="1"/>
  <c r="E123" i="39" a="1"/>
  <c r="E123" i="39" s="1"/>
  <c r="B123" i="39" a="1"/>
  <c r="B123" i="39" s="1"/>
  <c r="F130" i="39" a="1"/>
  <c r="F130" i="39" s="1"/>
  <c r="D130" i="39" a="1"/>
  <c r="D130" i="39" s="1"/>
  <c r="B130" i="39" a="1"/>
  <c r="B130" i="39" s="1"/>
  <c r="F135" i="39" a="1"/>
  <c r="F135" i="39" s="1"/>
  <c r="C135" i="39" a="1"/>
  <c r="C135" i="39" s="1"/>
  <c r="E135" i="39" a="1"/>
  <c r="E135" i="39" s="1"/>
  <c r="B135" i="39" a="1"/>
  <c r="B135" i="39" s="1"/>
  <c r="F149" i="39" a="1"/>
  <c r="F149" i="39" s="1"/>
  <c r="B149" i="39" a="1"/>
  <c r="B149" i="39" s="1"/>
  <c r="D76" i="39" a="1"/>
  <c r="D76" i="39" s="1"/>
  <c r="C88" i="39" a="1"/>
  <c r="C88" i="39" s="1"/>
  <c r="D92" i="39" a="1"/>
  <c r="D92" i="39" s="1"/>
  <c r="F95" i="39" a="1"/>
  <c r="F95" i="39" s="1"/>
  <c r="C96" i="39" a="1"/>
  <c r="C96" i="39" s="1"/>
  <c r="F96" i="39" a="1"/>
  <c r="F96" i="39" s="1"/>
  <c r="D99" i="39" a="1"/>
  <c r="D99" i="39" s="1"/>
  <c r="F106" i="39" a="1"/>
  <c r="F106" i="39" s="1"/>
  <c r="D107" i="39" a="1"/>
  <c r="D107" i="39" s="1"/>
  <c r="D111" i="39" a="1"/>
  <c r="D111" i="39" s="1"/>
  <c r="E113" i="39" a="1"/>
  <c r="E113" i="39" s="1"/>
  <c r="D119" i="39" a="1"/>
  <c r="D119" i="39" s="1"/>
  <c r="E121" i="39" a="1"/>
  <c r="E121" i="39" s="1"/>
  <c r="C127" i="39" a="1"/>
  <c r="C127" i="39" s="1"/>
  <c r="F127" i="39" a="1"/>
  <c r="F127" i="39" s="1"/>
  <c r="F138" i="39" a="1"/>
  <c r="F138" i="39" s="1"/>
  <c r="D139" i="39" a="1"/>
  <c r="D139" i="39" s="1"/>
  <c r="C143" i="39" a="1"/>
  <c r="C143" i="39" s="1"/>
  <c r="F143" i="39" a="1"/>
  <c r="F143" i="39" s="1"/>
  <c r="C148" i="39" a="1"/>
  <c r="C148" i="39" s="1"/>
  <c r="C150" i="39" a="1"/>
  <c r="C150" i="39" s="1"/>
  <c r="C156" i="39" a="1"/>
  <c r="C156" i="39" s="1"/>
  <c r="C162" i="39" a="1"/>
  <c r="C162" i="39" s="1"/>
  <c r="D96" i="39" a="1"/>
  <c r="D96" i="39" s="1"/>
  <c r="F99" i="39" a="1"/>
  <c r="F99" i="39" s="1"/>
  <c r="D127" i="39" a="1"/>
  <c r="D127" i="39" s="1"/>
  <c r="D143" i="39" a="1"/>
  <c r="D143" i="39" s="1"/>
  <c r="D162" i="39" a="1"/>
  <c r="D162" i="39" s="1"/>
  <c r="C163" i="39" a="1"/>
  <c r="C163" i="39" s="1"/>
  <c r="B164" i="39" a="1"/>
  <c r="B164" i="39" s="1"/>
  <c r="C86" i="39" a="1"/>
  <c r="C86" i="39" s="1"/>
  <c r="D95" i="39" a="1"/>
  <c r="D95" i="39" s="1"/>
  <c r="B99" i="39" a="1"/>
  <c r="B99" i="39" s="1"/>
  <c r="B107" i="39" a="1"/>
  <c r="B107" i="39" s="1"/>
  <c r="B113" i="39" a="1"/>
  <c r="B113" i="39" s="1"/>
  <c r="F113" i="39" a="1"/>
  <c r="F113" i="39" s="1"/>
  <c r="C121" i="39" a="1"/>
  <c r="C121" i="39" s="1"/>
  <c r="F121" i="39" a="1"/>
  <c r="F121" i="39" s="1"/>
  <c r="C128" i="39" a="1"/>
  <c r="C128" i="39" s="1"/>
  <c r="B139" i="39" a="1"/>
  <c r="B139" i="39" s="1"/>
  <c r="C140" i="39" a="1"/>
  <c r="C140" i="39" s="1"/>
  <c r="C144" i="39" a="1"/>
  <c r="C144" i="39" s="1"/>
  <c r="F148" i="39" a="1"/>
  <c r="F148" i="39" s="1"/>
  <c r="C158" i="39" a="1"/>
  <c r="C158" i="39" s="1"/>
  <c r="D160" i="39" a="1"/>
  <c r="D160" i="39" s="1"/>
  <c r="B162" i="39" a="1"/>
  <c r="B162" i="39" s="1"/>
  <c r="P190" i="39"/>
  <c r="P180" i="39"/>
  <c r="P189" i="39"/>
  <c r="P173" i="39"/>
  <c r="Q173" i="39" s="1"/>
  <c r="P171" i="39"/>
  <c r="P191" i="39"/>
  <c r="P181" i="39"/>
  <c r="P172" i="39"/>
  <c r="Q172" i="39" s="1"/>
  <c r="P182" i="39"/>
  <c r="F7" i="39" a="1"/>
  <c r="F7" i="39" s="1"/>
  <c r="D7" i="39" a="1"/>
  <c r="D7" i="39" s="1"/>
  <c r="B7" i="39" a="1"/>
  <c r="B7" i="39" s="1"/>
  <c r="E12" i="39" a="1"/>
  <c r="E12" i="39" s="1"/>
  <c r="C12" i="39" a="1"/>
  <c r="C12" i="39" s="1"/>
  <c r="B16" i="39" a="1"/>
  <c r="B16" i="39" s="1"/>
  <c r="F23" i="39" a="1"/>
  <c r="F23" i="39" s="1"/>
  <c r="D23" i="39" a="1"/>
  <c r="D23" i="39" s="1"/>
  <c r="B23" i="39" a="1"/>
  <c r="B23" i="39" s="1"/>
  <c r="E28" i="39" a="1"/>
  <c r="E28" i="39" s="1"/>
  <c r="C28" i="39" a="1"/>
  <c r="C28" i="39" s="1"/>
  <c r="B32" i="39" a="1"/>
  <c r="B32" i="39" s="1"/>
  <c r="F39" i="39" a="1"/>
  <c r="F39" i="39" s="1"/>
  <c r="D39" i="39" a="1"/>
  <c r="D39" i="39" s="1"/>
  <c r="B39" i="39" a="1"/>
  <c r="B39" i="39" s="1"/>
  <c r="E44" i="39" a="1"/>
  <c r="E44" i="39" s="1"/>
  <c r="C44" i="39" a="1"/>
  <c r="C44" i="39" s="1"/>
  <c r="B48" i="39" a="1"/>
  <c r="B48" i="39" s="1"/>
  <c r="E60" i="39" a="1"/>
  <c r="E60" i="39" s="1"/>
  <c r="C60" i="39" a="1"/>
  <c r="C60" i="39" s="1"/>
  <c r="F60" i="39" a="1"/>
  <c r="F60" i="39" s="1"/>
  <c r="D60" i="39" a="1"/>
  <c r="D60" i="39" s="1"/>
  <c r="B60" i="39" a="1"/>
  <c r="B60" i="39" s="1"/>
  <c r="F93" i="39" a="1"/>
  <c r="F93" i="39" s="1"/>
  <c r="D93" i="39" a="1"/>
  <c r="D93" i="39" s="1"/>
  <c r="B93" i="39" a="1"/>
  <c r="B93" i="39" s="1"/>
  <c r="E93" i="39" a="1"/>
  <c r="E93" i="39" s="1"/>
  <c r="C93" i="39" a="1"/>
  <c r="C93" i="39" s="1"/>
  <c r="E98" i="39" a="1"/>
  <c r="E98" i="39" s="1"/>
  <c r="C98" i="39" a="1"/>
  <c r="C98" i="39" s="1"/>
  <c r="D98" i="39" a="1"/>
  <c r="D98" i="39" s="1"/>
  <c r="F98" i="39" a="1"/>
  <c r="F98" i="39" s="1"/>
  <c r="B98" i="39" a="1"/>
  <c r="B98" i="39" s="1"/>
  <c r="F109" i="39" a="1"/>
  <c r="F109" i="39" s="1"/>
  <c r="C109" i="39" a="1"/>
  <c r="C109" i="39" s="1"/>
  <c r="E109" i="39" a="1"/>
  <c r="E109" i="39" s="1"/>
  <c r="D109" i="39" a="1"/>
  <c r="D109" i="39" s="1"/>
  <c r="B109" i="39" a="1"/>
  <c r="B109" i="39" s="1"/>
  <c r="F11" i="39" a="1"/>
  <c r="F11" i="39" s="1"/>
  <c r="D11" i="39" a="1"/>
  <c r="D11" i="39" s="1"/>
  <c r="B11" i="39" a="1"/>
  <c r="B11" i="39" s="1"/>
  <c r="E16" i="39" a="1"/>
  <c r="E16" i="39" s="1"/>
  <c r="C16" i="39" a="1"/>
  <c r="C16" i="39" s="1"/>
  <c r="F27" i="39" a="1"/>
  <c r="F27" i="39" s="1"/>
  <c r="D27" i="39" a="1"/>
  <c r="D27" i="39" s="1"/>
  <c r="B27" i="39" a="1"/>
  <c r="B27" i="39" s="1"/>
  <c r="E32" i="39" a="1"/>
  <c r="E32" i="39" s="1"/>
  <c r="C32" i="39" a="1"/>
  <c r="C32" i="39" s="1"/>
  <c r="F43" i="39" a="1"/>
  <c r="F43" i="39" s="1"/>
  <c r="D43" i="39" a="1"/>
  <c r="D43" i="39" s="1"/>
  <c r="B43" i="39" a="1"/>
  <c r="B43" i="39" s="1"/>
  <c r="E48" i="39" a="1"/>
  <c r="E48" i="39" s="1"/>
  <c r="C48" i="39" a="1"/>
  <c r="C48" i="39" s="1"/>
  <c r="F64" i="39" a="1"/>
  <c r="F64" i="39" s="1"/>
  <c r="C64" i="39" a="1"/>
  <c r="C64" i="39" s="1"/>
  <c r="E64" i="39" a="1"/>
  <c r="E64" i="39" s="1"/>
  <c r="B64" i="39" a="1"/>
  <c r="B64" i="39" s="1"/>
  <c r="F108" i="39" a="1"/>
  <c r="F108" i="39" s="1"/>
  <c r="D108" i="39" a="1"/>
  <c r="D108" i="39" s="1"/>
  <c r="B108" i="39" a="1"/>
  <c r="B108" i="39" s="1"/>
  <c r="C108" i="39" a="1"/>
  <c r="C108" i="39" s="1"/>
  <c r="E108" i="39" a="1"/>
  <c r="E108" i="39" s="1"/>
  <c r="F169" i="39"/>
  <c r="E170" i="39" s="1" a="1"/>
  <c r="E170" i="39" s="1"/>
  <c r="C7" i="39" a="1"/>
  <c r="C7" i="39" s="1"/>
  <c r="E8" i="39" a="1"/>
  <c r="E8" i="39" s="1"/>
  <c r="C8" i="39" a="1"/>
  <c r="C8" i="39" s="1"/>
  <c r="B12" i="39" a="1"/>
  <c r="B12" i="39" s="1"/>
  <c r="F12" i="39" a="1"/>
  <c r="F12" i="39" s="1"/>
  <c r="F19" i="39" a="1"/>
  <c r="F19" i="39" s="1"/>
  <c r="D19" i="39" a="1"/>
  <c r="D19" i="39" s="1"/>
  <c r="B19" i="39" a="1"/>
  <c r="B19" i="39" s="1"/>
  <c r="C23" i="39" a="1"/>
  <c r="C23" i="39" s="1"/>
  <c r="E24" i="39" a="1"/>
  <c r="E24" i="39" s="1"/>
  <c r="C24" i="39" a="1"/>
  <c r="C24" i="39" s="1"/>
  <c r="B28" i="39" a="1"/>
  <c r="B28" i="39" s="1"/>
  <c r="F28" i="39" a="1"/>
  <c r="F28" i="39" s="1"/>
  <c r="F35" i="39" a="1"/>
  <c r="F35" i="39" s="1"/>
  <c r="D35" i="39" a="1"/>
  <c r="D35" i="39" s="1"/>
  <c r="B35" i="39" a="1"/>
  <c r="B35" i="39" s="1"/>
  <c r="C39" i="39" a="1"/>
  <c r="C39" i="39" s="1"/>
  <c r="E40" i="39" a="1"/>
  <c r="E40" i="39" s="1"/>
  <c r="C40" i="39" a="1"/>
  <c r="C40" i="39" s="1"/>
  <c r="B44" i="39" a="1"/>
  <c r="B44" i="39" s="1"/>
  <c r="F44" i="39" a="1"/>
  <c r="F44" i="39" s="1"/>
  <c r="F51" i="39" a="1"/>
  <c r="F51" i="39" s="1"/>
  <c r="D51" i="39" a="1"/>
  <c r="D51" i="39" s="1"/>
  <c r="B51" i="39" a="1"/>
  <c r="B51" i="39" s="1"/>
  <c r="E56" i="39" a="1"/>
  <c r="E56" i="39" s="1"/>
  <c r="C56" i="39" a="1"/>
  <c r="C56" i="39" s="1"/>
  <c r="F56" i="39" a="1"/>
  <c r="F56" i="39" s="1"/>
  <c r="D56" i="39" a="1"/>
  <c r="D56" i="39" s="1"/>
  <c r="B56" i="39" a="1"/>
  <c r="B56" i="39" s="1"/>
  <c r="E110" i="39" a="1"/>
  <c r="E110" i="39" s="1"/>
  <c r="C110" i="39" a="1"/>
  <c r="C110" i="39" s="1"/>
  <c r="F110" i="39" a="1"/>
  <c r="F110" i="39" s="1"/>
  <c r="D110" i="39" a="1"/>
  <c r="D110" i="39" s="1"/>
  <c r="B110" i="39" a="1"/>
  <c r="B110" i="39" s="1"/>
  <c r="E3" i="39" a="1"/>
  <c r="E3" i="39" s="1"/>
  <c r="C3" i="39" a="1"/>
  <c r="C3" i="39" s="1"/>
  <c r="F4" i="39" a="1"/>
  <c r="F4" i="39" s="1"/>
  <c r="D4" i="39" a="1"/>
  <c r="D4" i="39" s="1"/>
  <c r="B4" i="39" a="1"/>
  <c r="B4" i="39" s="1"/>
  <c r="B8" i="39" a="1"/>
  <c r="B8" i="39" s="1"/>
  <c r="F8" i="39" a="1"/>
  <c r="F8" i="39" s="1"/>
  <c r="E11" i="39" a="1"/>
  <c r="E11" i="39" s="1"/>
  <c r="F15" i="39" a="1"/>
  <c r="F15" i="39" s="1"/>
  <c r="D15" i="39" a="1"/>
  <c r="D15" i="39" s="1"/>
  <c r="B15" i="39" a="1"/>
  <c r="B15" i="39" s="1"/>
  <c r="D16" i="39" a="1"/>
  <c r="D16" i="39" s="1"/>
  <c r="C19" i="39" a="1"/>
  <c r="C19" i="39" s="1"/>
  <c r="E20" i="39" a="1"/>
  <c r="E20" i="39" s="1"/>
  <c r="C20" i="39" a="1"/>
  <c r="C20" i="39" s="1"/>
  <c r="B24" i="39" a="1"/>
  <c r="B24" i="39" s="1"/>
  <c r="F24" i="39" a="1"/>
  <c r="F24" i="39" s="1"/>
  <c r="E27" i="39" a="1"/>
  <c r="E27" i="39" s="1"/>
  <c r="F31" i="39" a="1"/>
  <c r="F31" i="39" s="1"/>
  <c r="D31" i="39" a="1"/>
  <c r="D31" i="39" s="1"/>
  <c r="B31" i="39" a="1"/>
  <c r="B31" i="39" s="1"/>
  <c r="D32" i="39" a="1"/>
  <c r="D32" i="39" s="1"/>
  <c r="C35" i="39" a="1"/>
  <c r="C35" i="39" s="1"/>
  <c r="E36" i="39" a="1"/>
  <c r="E36" i="39" s="1"/>
  <c r="C36" i="39" a="1"/>
  <c r="C36" i="39" s="1"/>
  <c r="B40" i="39" a="1"/>
  <c r="B40" i="39" s="1"/>
  <c r="F40" i="39" a="1"/>
  <c r="F40" i="39" s="1"/>
  <c r="E43" i="39" a="1"/>
  <c r="E43" i="39" s="1"/>
  <c r="F47" i="39" a="1"/>
  <c r="F47" i="39" s="1"/>
  <c r="D47" i="39" a="1"/>
  <c r="D47" i="39" s="1"/>
  <c r="B47" i="39" a="1"/>
  <c r="B47" i="39" s="1"/>
  <c r="D48" i="39" a="1"/>
  <c r="D48" i="39" s="1"/>
  <c r="C51" i="39" a="1"/>
  <c r="C51" i="39" s="1"/>
  <c r="E52" i="39" a="1"/>
  <c r="E52" i="39" s="1"/>
  <c r="C52" i="39" a="1"/>
  <c r="C52" i="39" s="1"/>
  <c r="F65" i="39" a="1"/>
  <c r="F65" i="39" s="1"/>
  <c r="D65" i="39" a="1"/>
  <c r="D65" i="39" s="1"/>
  <c r="B65" i="39" a="1"/>
  <c r="B65" i="39" s="1"/>
  <c r="D66" i="39" a="1"/>
  <c r="D66" i="39" s="1"/>
  <c r="E67" i="39" a="1"/>
  <c r="E67" i="39" s="1"/>
  <c r="C67" i="39" a="1"/>
  <c r="C67" i="39" s="1"/>
  <c r="D67" i="39" a="1"/>
  <c r="D67" i="39" s="1"/>
  <c r="F73" i="39" a="1"/>
  <c r="F73" i="39" s="1"/>
  <c r="D73" i="39" a="1"/>
  <c r="D73" i="39" s="1"/>
  <c r="B73" i="39" a="1"/>
  <c r="B73" i="39" s="1"/>
  <c r="D74" i="39" a="1"/>
  <c r="D74" i="39" s="1"/>
  <c r="E75" i="39" a="1"/>
  <c r="E75" i="39" s="1"/>
  <c r="C75" i="39" a="1"/>
  <c r="C75" i="39" s="1"/>
  <c r="D75" i="39" a="1"/>
  <c r="D75" i="39" s="1"/>
  <c r="F81" i="39" a="1"/>
  <c r="F81" i="39" s="1"/>
  <c r="D81" i="39" a="1"/>
  <c r="D81" i="39" s="1"/>
  <c r="B81" i="39" a="1"/>
  <c r="B81" i="39" s="1"/>
  <c r="D82" i="39" a="1"/>
  <c r="D82" i="39" s="1"/>
  <c r="E83" i="39" a="1"/>
  <c r="E83" i="39" s="1"/>
  <c r="C83" i="39" a="1"/>
  <c r="C83" i="39" s="1"/>
  <c r="D83" i="39" a="1"/>
  <c r="D83" i="39" s="1"/>
  <c r="F89" i="39" a="1"/>
  <c r="F89" i="39" s="1"/>
  <c r="D89" i="39" a="1"/>
  <c r="D89" i="39" s="1"/>
  <c r="B89" i="39" a="1"/>
  <c r="B89" i="39" s="1"/>
  <c r="E94" i="39" a="1"/>
  <c r="E94" i="39" s="1"/>
  <c r="C94" i="39" a="1"/>
  <c r="C94" i="39" s="1"/>
  <c r="F116" i="39" a="1"/>
  <c r="F116" i="39" s="1"/>
  <c r="D116" i="39" a="1"/>
  <c r="D116" i="39" s="1"/>
  <c r="B116" i="39" a="1"/>
  <c r="B116" i="39" s="1"/>
  <c r="C116" i="39" a="1"/>
  <c r="C116" i="39" s="1"/>
  <c r="F117" i="39" a="1"/>
  <c r="F117" i="39" s="1"/>
  <c r="C117" i="39" a="1"/>
  <c r="C117" i="39" s="1"/>
  <c r="E118" i="39" a="1"/>
  <c r="E118" i="39" s="1"/>
  <c r="C118" i="39" a="1"/>
  <c r="C118" i="39" s="1"/>
  <c r="F118" i="39" a="1"/>
  <c r="F118" i="39" s="1"/>
  <c r="C2" i="39" a="1"/>
  <c r="C2" i="39" s="1"/>
  <c r="C9" i="39" a="1"/>
  <c r="C9" i="39" s="1"/>
  <c r="C13" i="39" a="1"/>
  <c r="C13" i="39" s="1"/>
  <c r="C17" i="39" a="1"/>
  <c r="C17" i="39" s="1"/>
  <c r="C21" i="39" a="1"/>
  <c r="C21" i="39" s="1"/>
  <c r="C25" i="39" a="1"/>
  <c r="C25" i="39" s="1"/>
  <c r="C29" i="39" a="1"/>
  <c r="C29" i="39" s="1"/>
  <c r="C33" i="39" a="1"/>
  <c r="C33" i="39" s="1"/>
  <c r="C37" i="39" a="1"/>
  <c r="C37" i="39" s="1"/>
  <c r="C41" i="39" a="1"/>
  <c r="C41" i="39" s="1"/>
  <c r="C45" i="39" a="1"/>
  <c r="C45" i="39" s="1"/>
  <c r="C49" i="39" a="1"/>
  <c r="C49" i="39" s="1"/>
  <c r="C53" i="39" a="1"/>
  <c r="C53" i="39" s="1"/>
  <c r="B55" i="39" a="1"/>
  <c r="B55" i="39" s="1"/>
  <c r="D55" i="39" a="1"/>
  <c r="D55" i="39" s="1"/>
  <c r="C57" i="39" a="1"/>
  <c r="C57" i="39" s="1"/>
  <c r="B59" i="39" a="1"/>
  <c r="B59" i="39" s="1"/>
  <c r="D59" i="39" a="1"/>
  <c r="D59" i="39" s="1"/>
  <c r="C61" i="39" a="1"/>
  <c r="C61" i="39" s="1"/>
  <c r="B63" i="39" a="1"/>
  <c r="B63" i="39" s="1"/>
  <c r="D63" i="39" a="1"/>
  <c r="D63" i="39" s="1"/>
  <c r="E65" i="39" a="1"/>
  <c r="E65" i="39" s="1"/>
  <c r="B66" i="39" a="1"/>
  <c r="B66" i="39" s="1"/>
  <c r="E66" i="39" a="1"/>
  <c r="E66" i="39" s="1"/>
  <c r="B67" i="39" a="1"/>
  <c r="B67" i="39" s="1"/>
  <c r="F70" i="39" a="1"/>
  <c r="F70" i="39" s="1"/>
  <c r="E73" i="39" a="1"/>
  <c r="E73" i="39" s="1"/>
  <c r="B74" i="39" a="1"/>
  <c r="B74" i="39" s="1"/>
  <c r="E74" i="39" a="1"/>
  <c r="E74" i="39" s="1"/>
  <c r="B75" i="39" a="1"/>
  <c r="B75" i="39" s="1"/>
  <c r="F78" i="39" a="1"/>
  <c r="F78" i="39" s="1"/>
  <c r="E81" i="39" a="1"/>
  <c r="E81" i="39" s="1"/>
  <c r="B82" i="39" a="1"/>
  <c r="B82" i="39" s="1"/>
  <c r="E82" i="39" a="1"/>
  <c r="E82" i="39" s="1"/>
  <c r="B83" i="39" a="1"/>
  <c r="B83" i="39" s="1"/>
  <c r="F86" i="39" a="1"/>
  <c r="F86" i="39" s="1"/>
  <c r="C89" i="39" a="1"/>
  <c r="C89" i="39" s="1"/>
  <c r="E90" i="39" a="1"/>
  <c r="E90" i="39" s="1"/>
  <c r="C90" i="39" a="1"/>
  <c r="C90" i="39" s="1"/>
  <c r="B94" i="39" a="1"/>
  <c r="B94" i="39" s="1"/>
  <c r="F94" i="39" a="1"/>
  <c r="F94" i="39" s="1"/>
  <c r="F101" i="39" a="1"/>
  <c r="F101" i="39" s="1"/>
  <c r="D101" i="39" a="1"/>
  <c r="D101" i="39" s="1"/>
  <c r="B101" i="39" a="1"/>
  <c r="B101" i="39" s="1"/>
  <c r="B117" i="39" a="1"/>
  <c r="B117" i="39" s="1"/>
  <c r="B118" i="39" a="1"/>
  <c r="B118" i="39" s="1"/>
  <c r="F124" i="39" a="1"/>
  <c r="F124" i="39" s="1"/>
  <c r="D124" i="39" a="1"/>
  <c r="D124" i="39" s="1"/>
  <c r="B124" i="39" a="1"/>
  <c r="B124" i="39" s="1"/>
  <c r="C124" i="39" a="1"/>
  <c r="C124" i="39" s="1"/>
  <c r="F125" i="39" a="1"/>
  <c r="F125" i="39" s="1"/>
  <c r="C125" i="39" a="1"/>
  <c r="C125" i="39" s="1"/>
  <c r="E126" i="39" a="1"/>
  <c r="E126" i="39" s="1"/>
  <c r="C126" i="39" a="1"/>
  <c r="C126" i="39" s="1"/>
  <c r="D126" i="39" a="1"/>
  <c r="D126" i="39" s="1"/>
  <c r="E134" i="39" a="1"/>
  <c r="E134" i="39" s="1"/>
  <c r="C134" i="39" a="1"/>
  <c r="C134" i="39" s="1"/>
  <c r="D134" i="39" a="1"/>
  <c r="D134" i="39" s="1"/>
  <c r="E142" i="39" a="1"/>
  <c r="E142" i="39" s="1"/>
  <c r="C142" i="39" a="1"/>
  <c r="C142" i="39" s="1"/>
  <c r="D142" i="39" a="1"/>
  <c r="D142" i="39" s="1"/>
  <c r="C65" i="39" a="1"/>
  <c r="C65" i="39" s="1"/>
  <c r="F69" i="39" a="1"/>
  <c r="F69" i="39" s="1"/>
  <c r="D69" i="39" a="1"/>
  <c r="D69" i="39" s="1"/>
  <c r="B69" i="39" a="1"/>
  <c r="B69" i="39" s="1"/>
  <c r="E71" i="39" a="1"/>
  <c r="E71" i="39" s="1"/>
  <c r="C71" i="39" a="1"/>
  <c r="C71" i="39" s="1"/>
  <c r="D71" i="39" a="1"/>
  <c r="D71" i="39" s="1"/>
  <c r="C73" i="39" a="1"/>
  <c r="C73" i="39" s="1"/>
  <c r="F77" i="39" a="1"/>
  <c r="F77" i="39" s="1"/>
  <c r="D77" i="39" a="1"/>
  <c r="D77" i="39" s="1"/>
  <c r="B77" i="39" a="1"/>
  <c r="B77" i="39" s="1"/>
  <c r="E79" i="39" a="1"/>
  <c r="E79" i="39" s="1"/>
  <c r="C79" i="39" a="1"/>
  <c r="C79" i="39" s="1"/>
  <c r="D79" i="39" a="1"/>
  <c r="D79" i="39" s="1"/>
  <c r="C81" i="39" a="1"/>
  <c r="C81" i="39" s="1"/>
  <c r="F85" i="39" a="1"/>
  <c r="F85" i="39" s="1"/>
  <c r="D85" i="39" a="1"/>
  <c r="D85" i="39" s="1"/>
  <c r="B85" i="39" a="1"/>
  <c r="B85" i="39" s="1"/>
  <c r="E87" i="39" a="1"/>
  <c r="E87" i="39" s="1"/>
  <c r="C87" i="39" a="1"/>
  <c r="C87" i="39" s="1"/>
  <c r="D87" i="39" a="1"/>
  <c r="D87" i="39" s="1"/>
  <c r="F97" i="39" a="1"/>
  <c r="F97" i="39" s="1"/>
  <c r="D97" i="39" a="1"/>
  <c r="D97" i="39" s="1"/>
  <c r="B97" i="39" a="1"/>
  <c r="B97" i="39" s="1"/>
  <c r="E102" i="39" a="1"/>
  <c r="E102" i="39" s="1"/>
  <c r="C102" i="39" a="1"/>
  <c r="C102" i="39" s="1"/>
  <c r="F102" i="39" a="1"/>
  <c r="F102" i="39" s="1"/>
  <c r="D117" i="39" a="1"/>
  <c r="D117" i="39" s="1"/>
  <c r="D118" i="39" a="1"/>
  <c r="D118" i="39" s="1"/>
  <c r="F129" i="39" a="1"/>
  <c r="F129" i="39" s="1"/>
  <c r="D129" i="39" a="1"/>
  <c r="D129" i="39" s="1"/>
  <c r="B129" i="39" a="1"/>
  <c r="B129" i="39" s="1"/>
  <c r="C129" i="39" a="1"/>
  <c r="C129" i="39" s="1"/>
  <c r="F137" i="39" a="1"/>
  <c r="F137" i="39" s="1"/>
  <c r="D137" i="39" a="1"/>
  <c r="D137" i="39" s="1"/>
  <c r="B137" i="39" a="1"/>
  <c r="B137" i="39" s="1"/>
  <c r="C137" i="39" a="1"/>
  <c r="C137" i="39" s="1"/>
  <c r="E145" i="39" a="1"/>
  <c r="E145" i="39" s="1"/>
  <c r="C145" i="39" a="1"/>
  <c r="C145" i="39" s="1"/>
  <c r="B145" i="39" a="1"/>
  <c r="B145" i="39" s="1"/>
  <c r="D145" i="39" a="1"/>
  <c r="D145" i="39" s="1"/>
  <c r="C91" i="39" a="1"/>
  <c r="C91" i="39" s="1"/>
  <c r="C95" i="39" a="1"/>
  <c r="C95" i="39" s="1"/>
  <c r="C99" i="39" a="1"/>
  <c r="C99" i="39" s="1"/>
  <c r="F104" i="39" a="1"/>
  <c r="F104" i="39" s="1"/>
  <c r="D104" i="39" a="1"/>
  <c r="D104" i="39" s="1"/>
  <c r="B104" i="39" a="1"/>
  <c r="B104" i="39" s="1"/>
  <c r="E106" i="39" a="1"/>
  <c r="E106" i="39" s="1"/>
  <c r="C106" i="39" a="1"/>
  <c r="C106" i="39" s="1"/>
  <c r="D106" i="39" a="1"/>
  <c r="D106" i="39" s="1"/>
  <c r="F112" i="39" a="1"/>
  <c r="F112" i="39" s="1"/>
  <c r="D112" i="39" a="1"/>
  <c r="D112" i="39" s="1"/>
  <c r="B112" i="39" a="1"/>
  <c r="B112" i="39" s="1"/>
  <c r="E114" i="39" a="1"/>
  <c r="E114" i="39" s="1"/>
  <c r="C114" i="39" a="1"/>
  <c r="C114" i="39" s="1"/>
  <c r="D114" i="39" a="1"/>
  <c r="D114" i="39" s="1"/>
  <c r="F120" i="39" a="1"/>
  <c r="F120" i="39" s="1"/>
  <c r="D120" i="39" a="1"/>
  <c r="D120" i="39" s="1"/>
  <c r="B120" i="39" a="1"/>
  <c r="B120" i="39" s="1"/>
  <c r="E122" i="39" a="1"/>
  <c r="E122" i="39" s="1"/>
  <c r="C122" i="39" a="1"/>
  <c r="C122" i="39" s="1"/>
  <c r="D122" i="39" a="1"/>
  <c r="D122" i="39" s="1"/>
  <c r="E130" i="39" a="1"/>
  <c r="E130" i="39" s="1"/>
  <c r="C130" i="39" a="1"/>
  <c r="C130" i="39" s="1"/>
  <c r="E138" i="39" a="1"/>
  <c r="E138" i="39" s="1"/>
  <c r="C138" i="39" a="1"/>
  <c r="C138" i="39" s="1"/>
  <c r="F151" i="39" a="1"/>
  <c r="F151" i="39" s="1"/>
  <c r="D151" i="39" a="1"/>
  <c r="D151" i="39" s="1"/>
  <c r="B151" i="39" a="1"/>
  <c r="B151" i="39" s="1"/>
  <c r="C151" i="39" a="1"/>
  <c r="C151" i="39" s="1"/>
  <c r="E151" i="39" a="1"/>
  <c r="E151" i="39" s="1"/>
  <c r="C152" i="39" a="1"/>
  <c r="C152" i="39" s="1"/>
  <c r="E152" i="39" a="1"/>
  <c r="E152" i="39" s="1"/>
  <c r="B152" i="39" a="1"/>
  <c r="B152" i="39" s="1"/>
  <c r="E153" i="39" a="1"/>
  <c r="E153" i="39" s="1"/>
  <c r="C153" i="39" a="1"/>
  <c r="C153" i="39" s="1"/>
  <c r="B153" i="39" a="1"/>
  <c r="B153" i="39" s="1"/>
  <c r="F133" i="39" a="1"/>
  <c r="F133" i="39" s="1"/>
  <c r="D133" i="39" a="1"/>
  <c r="D133" i="39" s="1"/>
  <c r="B133" i="39" a="1"/>
  <c r="B133" i="39" s="1"/>
  <c r="F141" i="39" a="1"/>
  <c r="F141" i="39" s="1"/>
  <c r="D141" i="39" a="1"/>
  <c r="D141" i="39" s="1"/>
  <c r="B141" i="39" a="1"/>
  <c r="B141" i="39" s="1"/>
  <c r="F159" i="39" a="1"/>
  <c r="F159" i="39" s="1"/>
  <c r="D159" i="39" a="1"/>
  <c r="D159" i="39" s="1"/>
  <c r="B159" i="39" a="1"/>
  <c r="B159" i="39" s="1"/>
  <c r="C159" i="39" a="1"/>
  <c r="C159" i="39" s="1"/>
  <c r="E159" i="39" a="1"/>
  <c r="E159" i="39" s="1"/>
  <c r="C160" i="39" a="1"/>
  <c r="C160" i="39" s="1"/>
  <c r="E160" i="39" a="1"/>
  <c r="E160" i="39" s="1"/>
  <c r="B160" i="39" a="1"/>
  <c r="B160" i="39" s="1"/>
  <c r="E161" i="39" a="1"/>
  <c r="E161" i="39" s="1"/>
  <c r="C161" i="39" a="1"/>
  <c r="C161" i="39" s="1"/>
  <c r="B161" i="39" a="1"/>
  <c r="B161" i="39" s="1"/>
  <c r="L169" i="39"/>
  <c r="K169" i="39"/>
  <c r="J170" i="39" s="1" a="1"/>
  <c r="J170" i="39" s="1"/>
  <c r="B128" i="39" a="1"/>
  <c r="B128" i="39" s="1"/>
  <c r="D128" i="39" a="1"/>
  <c r="D128" i="39" s="1"/>
  <c r="B132" i="39" a="1"/>
  <c r="B132" i="39" s="1"/>
  <c r="D132" i="39" a="1"/>
  <c r="D132" i="39" s="1"/>
  <c r="B136" i="39" a="1"/>
  <c r="B136" i="39" s="1"/>
  <c r="D136" i="39" a="1"/>
  <c r="D136" i="39" s="1"/>
  <c r="B140" i="39" a="1"/>
  <c r="B140" i="39" s="1"/>
  <c r="D140" i="39" a="1"/>
  <c r="D140" i="39" s="1"/>
  <c r="B144" i="39" a="1"/>
  <c r="B144" i="39" s="1"/>
  <c r="D144" i="39" a="1"/>
  <c r="D144" i="39" s="1"/>
  <c r="F147" i="39" a="1"/>
  <c r="F147" i="39" s="1"/>
  <c r="D147" i="39" a="1"/>
  <c r="D147" i="39" s="1"/>
  <c r="B147" i="39" a="1"/>
  <c r="B147" i="39" s="1"/>
  <c r="E149" i="39" a="1"/>
  <c r="E149" i="39" s="1"/>
  <c r="C149" i="39" a="1"/>
  <c r="C149" i="39" s="1"/>
  <c r="D149" i="39" a="1"/>
  <c r="D149" i="39" s="1"/>
  <c r="F155" i="39" a="1"/>
  <c r="F155" i="39" s="1"/>
  <c r="D155" i="39" a="1"/>
  <c r="D155" i="39" s="1"/>
  <c r="B155" i="39" a="1"/>
  <c r="B155" i="39" s="1"/>
  <c r="E157" i="39" a="1"/>
  <c r="E157" i="39" s="1"/>
  <c r="C157" i="39" a="1"/>
  <c r="C157" i="39" s="1"/>
  <c r="D157" i="39" a="1"/>
  <c r="D157" i="39" s="1"/>
  <c r="F163" i="39" a="1"/>
  <c r="F163" i="39" s="1"/>
  <c r="D163" i="39" a="1"/>
  <c r="D163" i="39" s="1"/>
  <c r="B163" i="39" a="1"/>
  <c r="B163" i="39" s="1"/>
  <c r="F164" i="39" a="1"/>
  <c r="F164" i="39" s="1"/>
  <c r="D164" i="39" a="1"/>
  <c r="D164" i="39" s="1"/>
  <c r="E164" i="39" a="1"/>
  <c r="E164" i="39" s="1"/>
  <c r="B123" i="38" a="1"/>
  <c r="B123" i="38" s="1"/>
  <c r="F146" i="38" a="1"/>
  <c r="F146" i="38" s="1"/>
  <c r="E6" i="38" a="1"/>
  <c r="E6" i="38" s="1"/>
  <c r="C29" i="38" a="1"/>
  <c r="C29" i="38" s="1"/>
  <c r="B79" i="38" a="1"/>
  <c r="B79" i="38" s="1"/>
  <c r="F73" i="38" a="1"/>
  <c r="F73" i="38" s="1"/>
  <c r="C79" i="38" a="1"/>
  <c r="C79" i="38" s="1"/>
  <c r="F90" i="38" a="1"/>
  <c r="F90" i="38" s="1"/>
  <c r="B8" i="38" a="1"/>
  <c r="B8" i="38" s="1"/>
  <c r="E37" i="38" a="1"/>
  <c r="E37" i="38" s="1"/>
  <c r="F44" i="38" a="1"/>
  <c r="F44" i="38" s="1"/>
  <c r="E97" i="38" a="1"/>
  <c r="E97" i="38" s="1"/>
  <c r="C121" i="38" a="1"/>
  <c r="C121" i="38" s="1"/>
  <c r="D127" i="38" a="1"/>
  <c r="D127" i="38" s="1"/>
  <c r="C137" i="38" a="1"/>
  <c r="C137" i="38" s="1"/>
  <c r="F68" i="38" a="1"/>
  <c r="F68" i="38" s="1"/>
  <c r="E91" i="38" a="1"/>
  <c r="E91" i="38" s="1"/>
  <c r="B109" i="38" a="1"/>
  <c r="B109" i="38" s="1"/>
  <c r="F119" i="38" a="1"/>
  <c r="F119" i="38" s="1"/>
  <c r="F25" i="38" a="1"/>
  <c r="F25" i="38" s="1"/>
  <c r="C146" i="38" a="1"/>
  <c r="C146" i="38" s="1"/>
  <c r="B148" i="38" a="1"/>
  <c r="B148" i="38" s="1"/>
  <c r="E154" i="38" a="1"/>
  <c r="E154" i="38" s="1"/>
  <c r="D20" i="38" a="1"/>
  <c r="D20" i="38" s="1"/>
  <c r="B33" i="38" a="1"/>
  <c r="B33" i="38" s="1"/>
  <c r="C54" i="38" a="1"/>
  <c r="C54" i="38" s="1"/>
  <c r="C88" i="38" a="1"/>
  <c r="C88" i="38" s="1"/>
  <c r="C141" i="38" a="1"/>
  <c r="C141" i="38" s="1"/>
  <c r="F158" i="38" a="1"/>
  <c r="F158" i="38" s="1"/>
  <c r="G169" i="38"/>
  <c r="E170" i="38" s="1" a="1"/>
  <c r="E170" i="38" s="1"/>
  <c r="C2" i="38" a="1"/>
  <c r="C2" i="38" s="1"/>
  <c r="C14" i="38" a="1"/>
  <c r="C14" i="38" s="1"/>
  <c r="E33" i="38" a="1"/>
  <c r="E33" i="38" s="1"/>
  <c r="B36" i="38" a="1"/>
  <c r="B36" i="38" s="1"/>
  <c r="F49" i="38" a="1"/>
  <c r="F49" i="38" s="1"/>
  <c r="F52" i="38" a="1"/>
  <c r="F52" i="38" s="1"/>
  <c r="F69" i="38" a="1"/>
  <c r="F69" i="38" s="1"/>
  <c r="E80" i="38" a="1"/>
  <c r="E80" i="38" s="1"/>
  <c r="C83" i="38" a="1"/>
  <c r="C83" i="38" s="1"/>
  <c r="B91" i="38" a="1"/>
  <c r="B91" i="38" s="1"/>
  <c r="B99" i="38" a="1"/>
  <c r="B99" i="38" s="1"/>
  <c r="E120" i="38" a="1"/>
  <c r="E120" i="38" s="1"/>
  <c r="Q169" i="38"/>
  <c r="O170" i="38" s="1" a="1"/>
  <c r="O170" i="38" s="1"/>
  <c r="P190" i="38" s="1"/>
  <c r="P5" i="38"/>
  <c r="D91" i="38" a="1"/>
  <c r="D91" i="38" s="1"/>
  <c r="D99" i="38" a="1"/>
  <c r="D99" i="38" s="1"/>
  <c r="U169" i="38"/>
  <c r="T170" i="38" s="1" a="1"/>
  <c r="T170" i="38" s="1"/>
  <c r="U191" i="38" s="1"/>
  <c r="V191" i="38" s="1"/>
  <c r="E2" i="38" a="1"/>
  <c r="E2" i="38" s="1"/>
  <c r="E7" i="38" a="1"/>
  <c r="E7" i="38" s="1"/>
  <c r="B13" i="38" a="1"/>
  <c r="B13" i="38" s="1"/>
  <c r="F29" i="38" a="1"/>
  <c r="F29" i="38" s="1"/>
  <c r="B32" i="38" a="1"/>
  <c r="B32" i="38" s="1"/>
  <c r="C53" i="38" a="1"/>
  <c r="C53" i="38" s="1"/>
  <c r="E79" i="38" a="1"/>
  <c r="E79" i="38" s="1"/>
  <c r="B87" i="38" a="1"/>
  <c r="B87" i="38" s="1"/>
  <c r="B89" i="38" a="1"/>
  <c r="B89" i="38" s="1"/>
  <c r="F98" i="38" a="1"/>
  <c r="F98" i="38" s="1"/>
  <c r="E99" i="38" a="1"/>
  <c r="E99" i="38" s="1"/>
  <c r="D101" i="38" a="1"/>
  <c r="D101" i="38" s="1"/>
  <c r="B103" i="38" a="1"/>
  <c r="B103" i="38" s="1"/>
  <c r="B113" i="38" a="1"/>
  <c r="B113" i="38" s="1"/>
  <c r="E129" i="38" a="1"/>
  <c r="E129" i="38" s="1"/>
  <c r="E137" i="38" a="1"/>
  <c r="E137" i="38" s="1"/>
  <c r="B140" i="38" a="1"/>
  <c r="B140" i="38" s="1"/>
  <c r="B149" i="38" a="1"/>
  <c r="B149" i="38" s="1"/>
  <c r="B162" i="38" a="1"/>
  <c r="B162" i="38" s="1"/>
  <c r="B16" i="38" a="1"/>
  <c r="B16" i="38" s="1"/>
  <c r="E22" i="38" a="1"/>
  <c r="E22" i="38" s="1"/>
  <c r="C25" i="38" a="1"/>
  <c r="C25" i="38" s="1"/>
  <c r="B37" i="38" a="1"/>
  <c r="B37" i="38" s="1"/>
  <c r="B49" i="38" a="1"/>
  <c r="B49" i="38" s="1"/>
  <c r="D56" i="38" a="1"/>
  <c r="D56" i="38" s="1"/>
  <c r="F59" i="38" a="1"/>
  <c r="F59" i="38" s="1"/>
  <c r="E89" i="38" a="1"/>
  <c r="E89" i="38" s="1"/>
  <c r="E103" i="38" a="1"/>
  <c r="E103" i="38" s="1"/>
  <c r="C140" i="38" a="1"/>
  <c r="C140" i="38" s="1"/>
  <c r="D158" i="38" a="1"/>
  <c r="D158" i="38" s="1"/>
  <c r="E41" i="38" a="1"/>
  <c r="E41" i="38" s="1"/>
  <c r="F75" i="38" a="1"/>
  <c r="F75" i="38" s="1"/>
  <c r="E136" i="38" a="1"/>
  <c r="E136" i="38" s="1"/>
  <c r="C4" i="38" a="1"/>
  <c r="C4" i="38" s="1"/>
  <c r="E13" i="38" a="1"/>
  <c r="E13" i="38" s="1"/>
  <c r="D16" i="38" a="1"/>
  <c r="D16" i="38" s="1"/>
  <c r="B24" i="38" a="1"/>
  <c r="B24" i="38" s="1"/>
  <c r="D32" i="38" a="1"/>
  <c r="D32" i="38" s="1"/>
  <c r="D36" i="38" a="1"/>
  <c r="D36" i="38" s="1"/>
  <c r="B41" i="38" a="1"/>
  <c r="B41" i="38" s="1"/>
  <c r="F41" i="38" a="1"/>
  <c r="F41" i="38" s="1"/>
  <c r="F43" i="38" a="1"/>
  <c r="F43" i="38" s="1"/>
  <c r="C45" i="38" a="1"/>
  <c r="C45" i="38" s="1"/>
  <c r="E53" i="38" a="1"/>
  <c r="E53" i="38" s="1"/>
  <c r="B61" i="38" a="1"/>
  <c r="B61" i="38" s="1"/>
  <c r="B75" i="38" a="1"/>
  <c r="B75" i="38" s="1"/>
  <c r="C87" i="38" a="1"/>
  <c r="C87" i="38" s="1"/>
  <c r="F89" i="38" a="1"/>
  <c r="F89" i="38" s="1"/>
  <c r="F97" i="38" a="1"/>
  <c r="F97" i="38" s="1"/>
  <c r="C103" i="38" a="1"/>
  <c r="C103" i="38" s="1"/>
  <c r="B105" i="38" a="1"/>
  <c r="B105" i="38" s="1"/>
  <c r="E109" i="38" a="1"/>
  <c r="E109" i="38" s="1"/>
  <c r="F111" i="38" a="1"/>
  <c r="F111" i="38" s="1"/>
  <c r="B124" i="38" a="1"/>
  <c r="B124" i="38" s="1"/>
  <c r="C128" i="38" a="1"/>
  <c r="C128" i="38" s="1"/>
  <c r="B135" i="38" a="1"/>
  <c r="B135" i="38" s="1"/>
  <c r="B136" i="38" a="1"/>
  <c r="B136" i="38" s="1"/>
  <c r="F140" i="38" a="1"/>
  <c r="F140" i="38" s="1"/>
  <c r="E148" i="38" a="1"/>
  <c r="E148" i="38" s="1"/>
  <c r="C150" i="38" a="1"/>
  <c r="C150" i="38" s="1"/>
  <c r="E162" i="38" a="1"/>
  <c r="E162" i="38" s="1"/>
  <c r="F2" i="38" a="1"/>
  <c r="F2" i="38" s="1"/>
  <c r="D4" i="38" a="1"/>
  <c r="D4" i="38" s="1"/>
  <c r="F13" i="38" a="1"/>
  <c r="F13" i="38" s="1"/>
  <c r="B20" i="38" a="1"/>
  <c r="B20" i="38" s="1"/>
  <c r="F45" i="38" a="1"/>
  <c r="F45" i="38" s="1"/>
  <c r="C49" i="38" a="1"/>
  <c r="C49" i="38" s="1"/>
  <c r="B53" i="38" a="1"/>
  <c r="B53" i="38" s="1"/>
  <c r="F53" i="38" a="1"/>
  <c r="F53" i="38" s="1"/>
  <c r="B57" i="38" a="1"/>
  <c r="B57" i="38" s="1"/>
  <c r="B59" i="38" a="1"/>
  <c r="B59" i="38" s="1"/>
  <c r="B60" i="38" a="1"/>
  <c r="B60" i="38" s="1"/>
  <c r="E61" i="38" a="1"/>
  <c r="E61" i="38" s="1"/>
  <c r="B69" i="38" a="1"/>
  <c r="B69" i="38" s="1"/>
  <c r="C73" i="38" a="1"/>
  <c r="C73" i="38" s="1"/>
  <c r="B74" i="38" a="1"/>
  <c r="B74" i="38" s="1"/>
  <c r="C75" i="38" a="1"/>
  <c r="C75" i="38" s="1"/>
  <c r="E87" i="38" a="1"/>
  <c r="E87" i="38" s="1"/>
  <c r="D124" i="38" a="1"/>
  <c r="D124" i="38" s="1"/>
  <c r="F128" i="38" a="1"/>
  <c r="F128" i="38" s="1"/>
  <c r="D135" i="38" a="1"/>
  <c r="D135" i="38" s="1"/>
  <c r="C136" i="38" a="1"/>
  <c r="C136" i="38" s="1"/>
  <c r="B146" i="38" a="1"/>
  <c r="B146" i="38" s="1"/>
  <c r="B158" i="38" a="1"/>
  <c r="B158" i="38" s="1"/>
  <c r="B2" i="38" a="1"/>
  <c r="B2" i="38" s="1"/>
  <c r="D9" i="38" a="1"/>
  <c r="D9" i="38" s="1"/>
  <c r="C41" i="38" a="1"/>
  <c r="C41" i="38" s="1"/>
  <c r="E49" i="38" a="1"/>
  <c r="E49" i="38" s="1"/>
  <c r="E57" i="38" a="1"/>
  <c r="E57" i="38" s="1"/>
  <c r="D60" i="38" a="1"/>
  <c r="D60" i="38" s="1"/>
  <c r="B68" i="38" a="1"/>
  <c r="B68" i="38" s="1"/>
  <c r="C69" i="38" a="1"/>
  <c r="C69" i="38" s="1"/>
  <c r="B97" i="38" a="1"/>
  <c r="B97" i="38" s="1"/>
  <c r="B110" i="38" a="1"/>
  <c r="B110" i="38" s="1"/>
  <c r="C112" i="38" a="1"/>
  <c r="C112" i="38" s="1"/>
  <c r="F124" i="38" a="1"/>
  <c r="F124" i="38" s="1"/>
  <c r="D136" i="38" a="1"/>
  <c r="D136" i="38" s="1"/>
  <c r="D17" i="38" a="1"/>
  <c r="D17" i="38" s="1"/>
  <c r="D21" i="38" a="1"/>
  <c r="D21" i="38" s="1"/>
  <c r="F28" i="38" a="1"/>
  <c r="F28" i="38" s="1"/>
  <c r="F40" i="38" a="1"/>
  <c r="F40" i="38" s="1"/>
  <c r="B82" i="38" a="1"/>
  <c r="B82" i="38" s="1"/>
  <c r="F82" i="38" a="1"/>
  <c r="F82" i="38" s="1"/>
  <c r="E95" i="38" a="1"/>
  <c r="E95" i="38" s="1"/>
  <c r="B95" i="38" a="1"/>
  <c r="B95" i="38" s="1"/>
  <c r="C95" i="38" a="1"/>
  <c r="C95" i="38" s="1"/>
  <c r="C96" i="38" a="1"/>
  <c r="C96" i="38" s="1"/>
  <c r="E96" i="38" a="1"/>
  <c r="E96" i="38" s="1"/>
  <c r="E104" i="38" a="1"/>
  <c r="E104" i="38" s="1"/>
  <c r="C104" i="38" a="1"/>
  <c r="C104" i="38" s="1"/>
  <c r="D144" i="38" a="1"/>
  <c r="D144" i="38" s="1"/>
  <c r="F144" i="38" a="1"/>
  <c r="F144" i="38" s="1"/>
  <c r="C144" i="38" a="1"/>
  <c r="C144" i="38" s="1"/>
  <c r="E144" i="38" a="1"/>
  <c r="E144" i="38" s="1"/>
  <c r="B144" i="38" a="1"/>
  <c r="B144" i="38" s="1"/>
  <c r="E152" i="38" a="1"/>
  <c r="E152" i="38" s="1"/>
  <c r="F152" i="38" a="1"/>
  <c r="F152" i="38" s="1"/>
  <c r="C152" i="38" a="1"/>
  <c r="C152" i="38" s="1"/>
  <c r="F7" i="38" a="1"/>
  <c r="F7" i="38" s="1"/>
  <c r="E9" i="38" a="1"/>
  <c r="E9" i="38" s="1"/>
  <c r="D12" i="38" a="1"/>
  <c r="D12" i="38" s="1"/>
  <c r="B17" i="38" a="1"/>
  <c r="B17" i="38" s="1"/>
  <c r="B21" i="38" a="1"/>
  <c r="B21" i="38" s="1"/>
  <c r="D25" i="38" a="1"/>
  <c r="D25" i="38" s="1"/>
  <c r="B27" i="38" a="1"/>
  <c r="B27" i="38" s="1"/>
  <c r="B28" i="38" a="1"/>
  <c r="B28" i="38" s="1"/>
  <c r="D29" i="38" a="1"/>
  <c r="D29" i="38" s="1"/>
  <c r="C38" i="38" a="1"/>
  <c r="C38" i="38" s="1"/>
  <c r="B40" i="38" a="1"/>
  <c r="B40" i="38" s="1"/>
  <c r="D45" i="38" a="1"/>
  <c r="D45" i="38" s="1"/>
  <c r="F48" i="38" a="1"/>
  <c r="F48" i="38" s="1"/>
  <c r="F56" i="38" a="1"/>
  <c r="F56" i="38" s="1"/>
  <c r="B64" i="38" a="1"/>
  <c r="B64" i="38" s="1"/>
  <c r="B65" i="38" a="1"/>
  <c r="B65" i="38" s="1"/>
  <c r="F65" i="38" a="1"/>
  <c r="F65" i="38" s="1"/>
  <c r="E70" i="38" a="1"/>
  <c r="E70" i="38" s="1"/>
  <c r="D81" i="38" a="1"/>
  <c r="D81" i="38" s="1"/>
  <c r="E81" i="38" a="1"/>
  <c r="E81" i="38" s="1"/>
  <c r="F81" i="38" a="1"/>
  <c r="F81" i="38" s="1"/>
  <c r="B81" i="38" a="1"/>
  <c r="B81" i="38" s="1"/>
  <c r="F106" i="38" a="1"/>
  <c r="F106" i="38" s="1"/>
  <c r="B106" i="38" a="1"/>
  <c r="B106" i="38" s="1"/>
  <c r="F114" i="38" a="1"/>
  <c r="F114" i="38" s="1"/>
  <c r="B114" i="38" a="1"/>
  <c r="B114" i="38" s="1"/>
  <c r="E126" i="38" a="1"/>
  <c r="E126" i="38" s="1"/>
  <c r="B126" i="38" a="1"/>
  <c r="B126" i="38" s="1"/>
  <c r="F133" i="38" a="1"/>
  <c r="F133" i="38" s="1"/>
  <c r="E133" i="38" a="1"/>
  <c r="E133" i="38" s="1"/>
  <c r="C133" i="38" a="1"/>
  <c r="C133" i="38" s="1"/>
  <c r="B7" i="38" a="1"/>
  <c r="B7" i="38" s="1"/>
  <c r="B9" i="38" a="1"/>
  <c r="B9" i="38" s="1"/>
  <c r="F9" i="38" a="1"/>
  <c r="F9" i="38" s="1"/>
  <c r="D11" i="38" a="1"/>
  <c r="D11" i="38" s="1"/>
  <c r="C13" i="38" a="1"/>
  <c r="C13" i="38" s="1"/>
  <c r="E17" i="38" a="1"/>
  <c r="E17" i="38" s="1"/>
  <c r="F20" i="38" a="1"/>
  <c r="F20" i="38" s="1"/>
  <c r="E21" i="38" a="1"/>
  <c r="E21" i="38" s="1"/>
  <c r="D24" i="38" a="1"/>
  <c r="D24" i="38" s="1"/>
  <c r="B25" i="38" a="1"/>
  <c r="B25" i="38" s="1"/>
  <c r="D27" i="38" a="1"/>
  <c r="D27" i="38" s="1"/>
  <c r="D28" i="38" a="1"/>
  <c r="D28" i="38" s="1"/>
  <c r="B29" i="38" a="1"/>
  <c r="B29" i="38" s="1"/>
  <c r="F32" i="38" a="1"/>
  <c r="F32" i="38" s="1"/>
  <c r="C33" i="38" a="1"/>
  <c r="C33" i="38" s="1"/>
  <c r="F33" i="38" a="1"/>
  <c r="F33" i="38" s="1"/>
  <c r="F36" i="38" a="1"/>
  <c r="F36" i="38" s="1"/>
  <c r="C37" i="38" a="1"/>
  <c r="C37" i="38" s="1"/>
  <c r="F37" i="38" a="1"/>
  <c r="F37" i="38" s="1"/>
  <c r="B43" i="38" a="1"/>
  <c r="B43" i="38" s="1"/>
  <c r="B44" i="38" a="1"/>
  <c r="B44" i="38" s="1"/>
  <c r="B45" i="38" a="1"/>
  <c r="B45" i="38" s="1"/>
  <c r="B48" i="38" a="1"/>
  <c r="B48" i="38" s="1"/>
  <c r="B52" i="38" a="1"/>
  <c r="B52" i="38" s="1"/>
  <c r="B56" i="38" a="1"/>
  <c r="B56" i="38" s="1"/>
  <c r="C57" i="38" a="1"/>
  <c r="C57" i="38" s="1"/>
  <c r="F57" i="38" a="1"/>
  <c r="F57" i="38" s="1"/>
  <c r="F60" i="38" a="1"/>
  <c r="F60" i="38" s="1"/>
  <c r="C61" i="38" a="1"/>
  <c r="C61" i="38" s="1"/>
  <c r="F61" i="38" a="1"/>
  <c r="F61" i="38" s="1"/>
  <c r="D64" i="38" a="1"/>
  <c r="D64" i="38" s="1"/>
  <c r="C65" i="38" a="1"/>
  <c r="C65" i="38" s="1"/>
  <c r="D73" i="38" a="1"/>
  <c r="D73" i="38" s="1"/>
  <c r="B73" i="38" a="1"/>
  <c r="B73" i="38" s="1"/>
  <c r="D78" i="38" a="1"/>
  <c r="D78" i="38" s="1"/>
  <c r="C81" i="38" a="1"/>
  <c r="C81" i="38" s="1"/>
  <c r="E83" i="38" a="1"/>
  <c r="E83" i="38" s="1"/>
  <c r="B83" i="38" a="1"/>
  <c r="B83" i="38" s="1"/>
  <c r="D83" i="38" a="1"/>
  <c r="D83" i="38" s="1"/>
  <c r="D95" i="38" a="1"/>
  <c r="D95" i="38" s="1"/>
  <c r="F107" i="38" a="1"/>
  <c r="F107" i="38" s="1"/>
  <c r="C107" i="38" a="1"/>
  <c r="C107" i="38" s="1"/>
  <c r="E107" i="38" a="1"/>
  <c r="E107" i="38" s="1"/>
  <c r="B107" i="38" a="1"/>
  <c r="B107" i="38" s="1"/>
  <c r="F115" i="38" a="1"/>
  <c r="F115" i="38" s="1"/>
  <c r="C115" i="38" a="1"/>
  <c r="C115" i="38" s="1"/>
  <c r="E115" i="38" a="1"/>
  <c r="E115" i="38" s="1"/>
  <c r="B115" i="38" a="1"/>
  <c r="B115" i="38" s="1"/>
  <c r="C7" i="38" a="1"/>
  <c r="C7" i="38" s="1"/>
  <c r="F16" i="38" a="1"/>
  <c r="F16" i="38" s="1"/>
  <c r="C17" i="38" a="1"/>
  <c r="C17" i="38" s="1"/>
  <c r="C21" i="38" a="1"/>
  <c r="C21" i="38" s="1"/>
  <c r="F24" i="38" a="1"/>
  <c r="F24" i="38" s="1"/>
  <c r="D40" i="38" a="1"/>
  <c r="D40" i="38" s="1"/>
  <c r="D44" i="38" a="1"/>
  <c r="D44" i="38" s="1"/>
  <c r="D48" i="38" a="1"/>
  <c r="D48" i="38" s="1"/>
  <c r="D52" i="38" a="1"/>
  <c r="D52" i="38" s="1"/>
  <c r="F64" i="38" a="1"/>
  <c r="F64" i="38" s="1"/>
  <c r="D65" i="38" a="1"/>
  <c r="D65" i="38" s="1"/>
  <c r="E72" i="38" a="1"/>
  <c r="E72" i="38" s="1"/>
  <c r="B72" i="38" a="1"/>
  <c r="B72" i="38" s="1"/>
  <c r="D72" i="38" a="1"/>
  <c r="D72" i="38" s="1"/>
  <c r="B77" i="38" a="1"/>
  <c r="B77" i="38" s="1"/>
  <c r="E77" i="38" a="1"/>
  <c r="E77" i="38" s="1"/>
  <c r="F95" i="38" a="1"/>
  <c r="F95" i="38" s="1"/>
  <c r="D118" i="38" a="1"/>
  <c r="D118" i="38" s="1"/>
  <c r="B118" i="38" a="1"/>
  <c r="B118" i="38" s="1"/>
  <c r="D122" i="38" a="1"/>
  <c r="D122" i="38" s="1"/>
  <c r="F122" i="38" a="1"/>
  <c r="F122" i="38" s="1"/>
  <c r="C122" i="38" a="1"/>
  <c r="C122" i="38" s="1"/>
  <c r="B122" i="38" a="1"/>
  <c r="B122" i="38" s="1"/>
  <c r="F132" i="38" a="1"/>
  <c r="F132" i="38" s="1"/>
  <c r="C132" i="38" a="1"/>
  <c r="C132" i="38" s="1"/>
  <c r="E132" i="38" a="1"/>
  <c r="E132" i="38" s="1"/>
  <c r="B132" i="38" a="1"/>
  <c r="B132" i="38" s="1"/>
  <c r="F143" i="38" a="1"/>
  <c r="F143" i="38" s="1"/>
  <c r="D143" i="38" a="1"/>
  <c r="D143" i="38" s="1"/>
  <c r="B143" i="38" a="1"/>
  <c r="B143" i="38" s="1"/>
  <c r="E160" i="38" a="1"/>
  <c r="E160" i="38" s="1"/>
  <c r="C160" i="38" a="1"/>
  <c r="C160" i="38" s="1"/>
  <c r="D69" i="38" a="1"/>
  <c r="D69" i="38" s="1"/>
  <c r="E75" i="38" a="1"/>
  <c r="E75" i="38" s="1"/>
  <c r="D79" i="38" a="1"/>
  <c r="D79" i="38" s="1"/>
  <c r="D87" i="38" a="1"/>
  <c r="D87" i="38" s="1"/>
  <c r="C91" i="38" a="1"/>
  <c r="C91" i="38" s="1"/>
  <c r="C97" i="38" a="1"/>
  <c r="C97" i="38" s="1"/>
  <c r="D103" i="38" a="1"/>
  <c r="D103" i="38" s="1"/>
  <c r="E105" i="38" a="1"/>
  <c r="E105" i="38" s="1"/>
  <c r="C111" i="38" a="1"/>
  <c r="C111" i="38" s="1"/>
  <c r="E113" i="38" a="1"/>
  <c r="E113" i="38" s="1"/>
  <c r="C119" i="38" a="1"/>
  <c r="C119" i="38" s="1"/>
  <c r="E121" i="38" a="1"/>
  <c r="E121" i="38" s="1"/>
  <c r="C124" i="38" a="1"/>
  <c r="C124" i="38" s="1"/>
  <c r="F127" i="38" a="1"/>
  <c r="F127" i="38" s="1"/>
  <c r="D128" i="38" a="1"/>
  <c r="D128" i="38" s="1"/>
  <c r="E140" i="38" a="1"/>
  <c r="E140" i="38" s="1"/>
  <c r="E141" i="38" a="1"/>
  <c r="E141" i="38" s="1"/>
  <c r="D146" i="38" a="1"/>
  <c r="D146" i="38" s="1"/>
  <c r="D150" i="38" a="1"/>
  <c r="D150" i="38" s="1"/>
  <c r="C154" i="38" a="1"/>
  <c r="C154" i="38" s="1"/>
  <c r="F154" i="38" a="1"/>
  <c r="F154" i="38" s="1"/>
  <c r="C158" i="38" a="1"/>
  <c r="C158" i="38" s="1"/>
  <c r="C162" i="38" a="1"/>
  <c r="C162" i="38" s="1"/>
  <c r="F162" i="38" a="1"/>
  <c r="F162" i="38" s="1"/>
  <c r="D111" i="38" a="1"/>
  <c r="D111" i="38" s="1"/>
  <c r="D119" i="38" a="1"/>
  <c r="D119" i="38" s="1"/>
  <c r="E150" i="38" a="1"/>
  <c r="E150" i="38" s="1"/>
  <c r="D154" i="38" a="1"/>
  <c r="D154" i="38" s="1"/>
  <c r="D68" i="38" a="1"/>
  <c r="D68" i="38" s="1"/>
  <c r="C89" i="38" a="1"/>
  <c r="C89" i="38" s="1"/>
  <c r="C99" i="38" a="1"/>
  <c r="C99" i="38" s="1"/>
  <c r="C105" i="38" a="1"/>
  <c r="C105" i="38" s="1"/>
  <c r="F105" i="38" a="1"/>
  <c r="F105" i="38" s="1"/>
  <c r="B111" i="38" a="1"/>
  <c r="B111" i="38" s="1"/>
  <c r="C113" i="38" a="1"/>
  <c r="C113" i="38" s="1"/>
  <c r="F113" i="38" a="1"/>
  <c r="F113" i="38" s="1"/>
  <c r="B117" i="38" a="1"/>
  <c r="B117" i="38" s="1"/>
  <c r="B119" i="38" a="1"/>
  <c r="B119" i="38" s="1"/>
  <c r="B121" i="38" a="1"/>
  <c r="B121" i="38" s="1"/>
  <c r="B128" i="38" a="1"/>
  <c r="B128" i="38" s="1"/>
  <c r="C129" i="38" a="1"/>
  <c r="C129" i="38" s="1"/>
  <c r="B150" i="38" a="1"/>
  <c r="B150" i="38" s="1"/>
  <c r="P180" i="38"/>
  <c r="P189" i="38"/>
  <c r="P191" i="38"/>
  <c r="P181" i="38"/>
  <c r="P172" i="38"/>
  <c r="E3" i="38" a="1"/>
  <c r="E3" i="38" s="1"/>
  <c r="C3" i="38" a="1"/>
  <c r="C3" i="38" s="1"/>
  <c r="F18" i="38" a="1"/>
  <c r="F18" i="38" s="1"/>
  <c r="D18" i="38" a="1"/>
  <c r="D18" i="38" s="1"/>
  <c r="B18" i="38" a="1"/>
  <c r="B18" i="38" s="1"/>
  <c r="E18" i="38" a="1"/>
  <c r="E18" i="38" s="1"/>
  <c r="F46" i="38" a="1"/>
  <c r="F46" i="38" s="1"/>
  <c r="D46" i="38" a="1"/>
  <c r="D46" i="38" s="1"/>
  <c r="B46" i="38" a="1"/>
  <c r="B46" i="38" s="1"/>
  <c r="C46" i="38" a="1"/>
  <c r="C46" i="38" s="1"/>
  <c r="F50" i="38" a="1"/>
  <c r="F50" i="38" s="1"/>
  <c r="D50" i="38" a="1"/>
  <c r="D50" i="38" s="1"/>
  <c r="B50" i="38" a="1"/>
  <c r="B50" i="38" s="1"/>
  <c r="E50" i="38" a="1"/>
  <c r="E50" i="38" s="1"/>
  <c r="F92" i="38" a="1"/>
  <c r="F92" i="38" s="1"/>
  <c r="D92" i="38" a="1"/>
  <c r="D92" i="38" s="1"/>
  <c r="B92" i="38" a="1"/>
  <c r="B92" i="38" s="1"/>
  <c r="C92" i="38" a="1"/>
  <c r="C92" i="38" s="1"/>
  <c r="E92" i="38" a="1"/>
  <c r="E92" i="38" s="1"/>
  <c r="E139" i="38" a="1"/>
  <c r="E139" i="38" s="1"/>
  <c r="C139" i="38" a="1"/>
  <c r="C139" i="38" s="1"/>
  <c r="D139" i="38" a="1"/>
  <c r="D139" i="38" s="1"/>
  <c r="F139" i="38" a="1"/>
  <c r="F139" i="38" s="1"/>
  <c r="B139" i="38" a="1"/>
  <c r="B139" i="38" s="1"/>
  <c r="L169" i="38"/>
  <c r="K169" i="38"/>
  <c r="J170" i="38" s="1" a="1"/>
  <c r="J170" i="38" s="1"/>
  <c r="E19" i="38" a="1"/>
  <c r="E19" i="38" s="1"/>
  <c r="C19" i="38" a="1"/>
  <c r="C19" i="38" s="1"/>
  <c r="F19" i="38" a="1"/>
  <c r="F19" i="38" s="1"/>
  <c r="B19" i="38" a="1"/>
  <c r="B19" i="38" s="1"/>
  <c r="E39" i="38" a="1"/>
  <c r="E39" i="38" s="1"/>
  <c r="C39" i="38" a="1"/>
  <c r="C39" i="38" s="1"/>
  <c r="D39" i="38" a="1"/>
  <c r="D39" i="38" s="1"/>
  <c r="E51" i="38" a="1"/>
  <c r="E51" i="38" s="1"/>
  <c r="C51" i="38" a="1"/>
  <c r="C51" i="38" s="1"/>
  <c r="F51" i="38" a="1"/>
  <c r="F51" i="38" s="1"/>
  <c r="B51" i="38" a="1"/>
  <c r="B51" i="38" s="1"/>
  <c r="E71" i="38" a="1"/>
  <c r="E71" i="38" s="1"/>
  <c r="C71" i="38" a="1"/>
  <c r="C71" i="38" s="1"/>
  <c r="D71" i="38" a="1"/>
  <c r="D71" i="38" s="1"/>
  <c r="F84" i="38" a="1"/>
  <c r="F84" i="38" s="1"/>
  <c r="D84" i="38" a="1"/>
  <c r="D84" i="38" s="1"/>
  <c r="B84" i="38" a="1"/>
  <c r="B84" i="38" s="1"/>
  <c r="C84" i="38" a="1"/>
  <c r="C84" i="38" s="1"/>
  <c r="E84" i="38" a="1"/>
  <c r="E84" i="38" s="1"/>
  <c r="E86" i="38" a="1"/>
  <c r="E86" i="38" s="1"/>
  <c r="C86" i="38" a="1"/>
  <c r="C86" i="38" s="1"/>
  <c r="F86" i="38" a="1"/>
  <c r="F86" i="38" s="1"/>
  <c r="D86" i="38" a="1"/>
  <c r="D86" i="38" s="1"/>
  <c r="B3" i="38" a="1"/>
  <c r="B3" i="38" s="1"/>
  <c r="F3" i="38" a="1"/>
  <c r="F3" i="38" s="1"/>
  <c r="E4" i="38" a="1"/>
  <c r="E4" i="38" s="1"/>
  <c r="C18" i="38" a="1"/>
  <c r="C18" i="38" s="1"/>
  <c r="E23" i="38" a="1"/>
  <c r="E23" i="38" s="1"/>
  <c r="C23" i="38" a="1"/>
  <c r="C23" i="38" s="1"/>
  <c r="D23" i="38" a="1"/>
  <c r="D23" i="38" s="1"/>
  <c r="E35" i="38" a="1"/>
  <c r="E35" i="38" s="1"/>
  <c r="C35" i="38" a="1"/>
  <c r="C35" i="38" s="1"/>
  <c r="F35" i="38" a="1"/>
  <c r="F35" i="38" s="1"/>
  <c r="B35" i="38" a="1"/>
  <c r="B35" i="38" s="1"/>
  <c r="E46" i="38" a="1"/>
  <c r="E46" i="38" s="1"/>
  <c r="C50" i="38" a="1"/>
  <c r="C50" i="38" s="1"/>
  <c r="E55" i="38" a="1"/>
  <c r="E55" i="38" s="1"/>
  <c r="C55" i="38" a="1"/>
  <c r="C55" i="38" s="1"/>
  <c r="D55" i="38" a="1"/>
  <c r="D55" i="38" s="1"/>
  <c r="E67" i="38" a="1"/>
  <c r="E67" i="38" s="1"/>
  <c r="C67" i="38" a="1"/>
  <c r="C67" i="38" s="1"/>
  <c r="F67" i="38" a="1"/>
  <c r="F67" i="38" s="1"/>
  <c r="B67" i="38" a="1"/>
  <c r="B67" i="38" s="1"/>
  <c r="F85" i="38" a="1"/>
  <c r="F85" i="38" s="1"/>
  <c r="C85" i="38" a="1"/>
  <c r="C85" i="38" s="1"/>
  <c r="E85" i="38" a="1"/>
  <c r="E85" i="38" s="1"/>
  <c r="D85" i="38" a="1"/>
  <c r="D85" i="38" s="1"/>
  <c r="F93" i="38" a="1"/>
  <c r="F93" i="38" s="1"/>
  <c r="C93" i="38" a="1"/>
  <c r="C93" i="38" s="1"/>
  <c r="E93" i="38" a="1"/>
  <c r="E93" i="38" s="1"/>
  <c r="D93" i="38" a="1"/>
  <c r="D93" i="38" s="1"/>
  <c r="B93" i="38" a="1"/>
  <c r="B93" i="38" s="1"/>
  <c r="B4" i="38" a="1"/>
  <c r="B4" i="38" s="1"/>
  <c r="F10" i="38" a="1"/>
  <c r="F10" i="38" s="1"/>
  <c r="D10" i="38" a="1"/>
  <c r="D10" i="38" s="1"/>
  <c r="B10" i="38" a="1"/>
  <c r="B10" i="38" s="1"/>
  <c r="C10" i="38" a="1"/>
  <c r="C10" i="38" s="1"/>
  <c r="E10" i="38" a="1"/>
  <c r="E10" i="38" s="1"/>
  <c r="C11" i="38" a="1"/>
  <c r="C11" i="38" s="1"/>
  <c r="E11" i="38" a="1"/>
  <c r="E11" i="38" s="1"/>
  <c r="B11" i="38" a="1"/>
  <c r="B11" i="38" s="1"/>
  <c r="E12" i="38" a="1"/>
  <c r="E12" i="38" s="1"/>
  <c r="C12" i="38" a="1"/>
  <c r="C12" i="38" s="1"/>
  <c r="B12" i="38" a="1"/>
  <c r="B12" i="38" s="1"/>
  <c r="B23" i="38" a="1"/>
  <c r="B23" i="38" s="1"/>
  <c r="F30" i="38" a="1"/>
  <c r="F30" i="38" s="1"/>
  <c r="D30" i="38" a="1"/>
  <c r="D30" i="38" s="1"/>
  <c r="B30" i="38" a="1"/>
  <c r="B30" i="38" s="1"/>
  <c r="C30" i="38" a="1"/>
  <c r="C30" i="38" s="1"/>
  <c r="F34" i="38" a="1"/>
  <c r="F34" i="38" s="1"/>
  <c r="D34" i="38" a="1"/>
  <c r="D34" i="38" s="1"/>
  <c r="B34" i="38" a="1"/>
  <c r="B34" i="38" s="1"/>
  <c r="E34" i="38" a="1"/>
  <c r="E34" i="38" s="1"/>
  <c r="D35" i="38" a="1"/>
  <c r="D35" i="38" s="1"/>
  <c r="F39" i="38" a="1"/>
  <c r="F39" i="38" s="1"/>
  <c r="B55" i="38" a="1"/>
  <c r="B55" i="38" s="1"/>
  <c r="F62" i="38" a="1"/>
  <c r="F62" i="38" s="1"/>
  <c r="D62" i="38" a="1"/>
  <c r="D62" i="38" s="1"/>
  <c r="B62" i="38" a="1"/>
  <c r="B62" i="38" s="1"/>
  <c r="C62" i="38" a="1"/>
  <c r="C62" i="38" s="1"/>
  <c r="F66" i="38" a="1"/>
  <c r="F66" i="38" s="1"/>
  <c r="D66" i="38" a="1"/>
  <c r="D66" i="38" s="1"/>
  <c r="B66" i="38" a="1"/>
  <c r="B66" i="38" s="1"/>
  <c r="E66" i="38" a="1"/>
  <c r="E66" i="38" s="1"/>
  <c r="D67" i="38" a="1"/>
  <c r="D67" i="38" s="1"/>
  <c r="F71" i="38" a="1"/>
  <c r="F71" i="38" s="1"/>
  <c r="B85" i="38" a="1"/>
  <c r="B85" i="38" s="1"/>
  <c r="E94" i="38" a="1"/>
  <c r="E94" i="38" s="1"/>
  <c r="C94" i="38" a="1"/>
  <c r="C94" i="38" s="1"/>
  <c r="F94" i="38" a="1"/>
  <c r="F94" i="38" s="1"/>
  <c r="D94" i="38" a="1"/>
  <c r="D94" i="38" s="1"/>
  <c r="B94" i="38" a="1"/>
  <c r="B94" i="38" s="1"/>
  <c r="F5" i="38" a="1"/>
  <c r="F5" i="38" s="1"/>
  <c r="D5" i="38" a="1"/>
  <c r="D5" i="38" s="1"/>
  <c r="B5" i="38" a="1"/>
  <c r="B5" i="38" s="1"/>
  <c r="E15" i="38" a="1"/>
  <c r="E15" i="38" s="1"/>
  <c r="C15" i="38" a="1"/>
  <c r="C15" i="38" s="1"/>
  <c r="F26" i="38" a="1"/>
  <c r="F26" i="38" s="1"/>
  <c r="D26" i="38" a="1"/>
  <c r="D26" i="38" s="1"/>
  <c r="B26" i="38" a="1"/>
  <c r="B26" i="38" s="1"/>
  <c r="E31" i="38" a="1"/>
  <c r="E31" i="38" s="1"/>
  <c r="C31" i="38" a="1"/>
  <c r="C31" i="38" s="1"/>
  <c r="F42" i="38" a="1"/>
  <c r="F42" i="38" s="1"/>
  <c r="D42" i="38" a="1"/>
  <c r="D42" i="38" s="1"/>
  <c r="B42" i="38" a="1"/>
  <c r="B42" i="38" s="1"/>
  <c r="E47" i="38" a="1"/>
  <c r="E47" i="38" s="1"/>
  <c r="C47" i="38" a="1"/>
  <c r="C47" i="38" s="1"/>
  <c r="F58" i="38" a="1"/>
  <c r="F58" i="38" s="1"/>
  <c r="D58" i="38" a="1"/>
  <c r="D58" i="38" s="1"/>
  <c r="B58" i="38" a="1"/>
  <c r="B58" i="38" s="1"/>
  <c r="E63" i="38" a="1"/>
  <c r="E63" i="38" s="1"/>
  <c r="C63" i="38" a="1"/>
  <c r="C63" i="38" s="1"/>
  <c r="F100" i="38" a="1"/>
  <c r="F100" i="38" s="1"/>
  <c r="D100" i="38" a="1"/>
  <c r="D100" i="38" s="1"/>
  <c r="B100" i="38" a="1"/>
  <c r="B100" i="38" s="1"/>
  <c r="C100" i="38" a="1"/>
  <c r="C100" i="38" s="1"/>
  <c r="F101" i="38" a="1"/>
  <c r="F101" i="38" s="1"/>
  <c r="C101" i="38" a="1"/>
  <c r="C101" i="38" s="1"/>
  <c r="E102" i="38" a="1"/>
  <c r="E102" i="38" s="1"/>
  <c r="C102" i="38" a="1"/>
  <c r="C102" i="38" s="1"/>
  <c r="F102" i="38" a="1"/>
  <c r="F102" i="38" s="1"/>
  <c r="D117" i="38" a="1"/>
  <c r="D117" i="38" s="1"/>
  <c r="E131" i="38" a="1"/>
  <c r="E131" i="38" s="1"/>
  <c r="C131" i="38" a="1"/>
  <c r="C131" i="38" s="1"/>
  <c r="D131" i="38" a="1"/>
  <c r="D131" i="38" s="1"/>
  <c r="B131" i="38" a="1"/>
  <c r="B131" i="38" s="1"/>
  <c r="F156" i="38" a="1"/>
  <c r="F156" i="38" s="1"/>
  <c r="C156" i="38" a="1"/>
  <c r="C156" i="38" s="1"/>
  <c r="B156" i="38" a="1"/>
  <c r="B156" i="38" s="1"/>
  <c r="E156" i="38" a="1"/>
  <c r="E156" i="38" s="1"/>
  <c r="D156" i="38" a="1"/>
  <c r="D156" i="38" s="1"/>
  <c r="E5" i="38" a="1"/>
  <c r="E5" i="38" s="1"/>
  <c r="F6" i="38" a="1"/>
  <c r="F6" i="38" s="1"/>
  <c r="D6" i="38" a="1"/>
  <c r="D6" i="38" s="1"/>
  <c r="B6" i="38" a="1"/>
  <c r="B6" i="38" s="1"/>
  <c r="E8" i="38" a="1"/>
  <c r="E8" i="38" s="1"/>
  <c r="C8" i="38" a="1"/>
  <c r="C8" i="38" s="1"/>
  <c r="D8" i="38" a="1"/>
  <c r="D8" i="38" s="1"/>
  <c r="F14" i="38" a="1"/>
  <c r="F14" i="38" s="1"/>
  <c r="D14" i="38" a="1"/>
  <c r="D14" i="38" s="1"/>
  <c r="B14" i="38" a="1"/>
  <c r="B14" i="38" s="1"/>
  <c r="B15" i="38" a="1"/>
  <c r="B15" i="38" s="1"/>
  <c r="F15" i="38" a="1"/>
  <c r="F15" i="38" s="1"/>
  <c r="F22" i="38" a="1"/>
  <c r="F22" i="38" s="1"/>
  <c r="D22" i="38" a="1"/>
  <c r="D22" i="38" s="1"/>
  <c r="B22" i="38" a="1"/>
  <c r="B22" i="38" s="1"/>
  <c r="C26" i="38" a="1"/>
  <c r="C26" i="38" s="1"/>
  <c r="E27" i="38" a="1"/>
  <c r="E27" i="38" s="1"/>
  <c r="C27" i="38" a="1"/>
  <c r="C27" i="38" s="1"/>
  <c r="B31" i="38" a="1"/>
  <c r="B31" i="38" s="1"/>
  <c r="F31" i="38" a="1"/>
  <c r="F31" i="38" s="1"/>
  <c r="F38" i="38" a="1"/>
  <c r="F38" i="38" s="1"/>
  <c r="D38" i="38" a="1"/>
  <c r="D38" i="38" s="1"/>
  <c r="B38" i="38" a="1"/>
  <c r="B38" i="38" s="1"/>
  <c r="C42" i="38" a="1"/>
  <c r="C42" i="38" s="1"/>
  <c r="E43" i="38" a="1"/>
  <c r="E43" i="38" s="1"/>
  <c r="C43" i="38" a="1"/>
  <c r="C43" i="38" s="1"/>
  <c r="B47" i="38" a="1"/>
  <c r="B47" i="38" s="1"/>
  <c r="F47" i="38" a="1"/>
  <c r="F47" i="38" s="1"/>
  <c r="F54" i="38" a="1"/>
  <c r="F54" i="38" s="1"/>
  <c r="D54" i="38" a="1"/>
  <c r="D54" i="38" s="1"/>
  <c r="B54" i="38" a="1"/>
  <c r="B54" i="38" s="1"/>
  <c r="C58" i="38" a="1"/>
  <c r="C58" i="38" s="1"/>
  <c r="E59" i="38" a="1"/>
  <c r="E59" i="38" s="1"/>
  <c r="C59" i="38" a="1"/>
  <c r="C59" i="38" s="1"/>
  <c r="B63" i="38" a="1"/>
  <c r="B63" i="38" s="1"/>
  <c r="F63" i="38" a="1"/>
  <c r="F63" i="38" s="1"/>
  <c r="F70" i="38" a="1"/>
  <c r="F70" i="38" s="1"/>
  <c r="D70" i="38" a="1"/>
  <c r="D70" i="38" s="1"/>
  <c r="B70" i="38" a="1"/>
  <c r="B70" i="38" s="1"/>
  <c r="F76" i="38" a="1"/>
  <c r="F76" i="38" s="1"/>
  <c r="D76" i="38" a="1"/>
  <c r="D76" i="38" s="1"/>
  <c r="B76" i="38" a="1"/>
  <c r="B76" i="38" s="1"/>
  <c r="C76" i="38" a="1"/>
  <c r="C76" i="38" s="1"/>
  <c r="F77" i="38" a="1"/>
  <c r="F77" i="38" s="1"/>
  <c r="C77" i="38" a="1"/>
  <c r="C77" i="38" s="1"/>
  <c r="E78" i="38" a="1"/>
  <c r="E78" i="38" s="1"/>
  <c r="C78" i="38" a="1"/>
  <c r="C78" i="38" s="1"/>
  <c r="F78" i="38" a="1"/>
  <c r="F78" i="38" s="1"/>
  <c r="B101" i="38" a="1"/>
  <c r="B101" i="38" s="1"/>
  <c r="B102" i="38" a="1"/>
  <c r="B102" i="38" s="1"/>
  <c r="F108" i="38" a="1"/>
  <c r="F108" i="38" s="1"/>
  <c r="D108" i="38" a="1"/>
  <c r="D108" i="38" s="1"/>
  <c r="B108" i="38" a="1"/>
  <c r="B108" i="38" s="1"/>
  <c r="C108" i="38" a="1"/>
  <c r="C108" i="38" s="1"/>
  <c r="F109" i="38" a="1"/>
  <c r="F109" i="38" s="1"/>
  <c r="C109" i="38" a="1"/>
  <c r="C109" i="38" s="1"/>
  <c r="E110" i="38" a="1"/>
  <c r="E110" i="38" s="1"/>
  <c r="C110" i="38" a="1"/>
  <c r="C110" i="38" s="1"/>
  <c r="F110" i="38" a="1"/>
  <c r="F110" i="38" s="1"/>
  <c r="F125" i="38" a="1"/>
  <c r="F125" i="38" s="1"/>
  <c r="D125" i="38" a="1"/>
  <c r="D125" i="38" s="1"/>
  <c r="B125" i="38" a="1"/>
  <c r="B125" i="38" s="1"/>
  <c r="C125" i="38" a="1"/>
  <c r="C125" i="38" s="1"/>
  <c r="F138" i="38" a="1"/>
  <c r="F138" i="38" s="1"/>
  <c r="D138" i="38" a="1"/>
  <c r="D138" i="38" s="1"/>
  <c r="B138" i="38" a="1"/>
  <c r="B138" i="38" s="1"/>
  <c r="E138" i="38" a="1"/>
  <c r="E138" i="38" s="1"/>
  <c r="E157" i="38" a="1"/>
  <c r="E157" i="38" s="1"/>
  <c r="C157" i="38" a="1"/>
  <c r="C157" i="38" s="1"/>
  <c r="F157" i="38" a="1"/>
  <c r="F157" i="38" s="1"/>
  <c r="B157" i="38" a="1"/>
  <c r="B157" i="38" s="1"/>
  <c r="F116" i="38" a="1"/>
  <c r="F116" i="38" s="1"/>
  <c r="D116" i="38" a="1"/>
  <c r="D116" i="38" s="1"/>
  <c r="B116" i="38" a="1"/>
  <c r="B116" i="38" s="1"/>
  <c r="C116" i="38" a="1"/>
  <c r="C116" i="38" s="1"/>
  <c r="F117" i="38" a="1"/>
  <c r="F117" i="38" s="1"/>
  <c r="C117" i="38" a="1"/>
  <c r="C117" i="38" s="1"/>
  <c r="E118" i="38" a="1"/>
  <c r="E118" i="38" s="1"/>
  <c r="C118" i="38" a="1"/>
  <c r="C118" i="38" s="1"/>
  <c r="F118" i="38" a="1"/>
  <c r="F118" i="38" s="1"/>
  <c r="F130" i="38" a="1"/>
  <c r="F130" i="38" s="1"/>
  <c r="D130" i="38" a="1"/>
  <c r="D130" i="38" s="1"/>
  <c r="B130" i="38" a="1"/>
  <c r="B130" i="38" s="1"/>
  <c r="E130" i="38" a="1"/>
  <c r="E130" i="38" s="1"/>
  <c r="C130" i="38" a="1"/>
  <c r="C130" i="38" s="1"/>
  <c r="F163" i="38" a="1"/>
  <c r="F163" i="38" s="1"/>
  <c r="D163" i="38" a="1"/>
  <c r="D163" i="38" s="1"/>
  <c r="B163" i="38" a="1"/>
  <c r="B163" i="38" s="1"/>
  <c r="C163" i="38" a="1"/>
  <c r="C163" i="38" s="1"/>
  <c r="E163" i="38" a="1"/>
  <c r="E163" i="38" s="1"/>
  <c r="C16" i="38" a="1"/>
  <c r="C16" i="38" s="1"/>
  <c r="C20" i="38" a="1"/>
  <c r="C20" i="38" s="1"/>
  <c r="C24" i="38" a="1"/>
  <c r="C24" i="38" s="1"/>
  <c r="C28" i="38" a="1"/>
  <c r="C28" i="38" s="1"/>
  <c r="C32" i="38" a="1"/>
  <c r="C32" i="38" s="1"/>
  <c r="C36" i="38" a="1"/>
  <c r="C36" i="38" s="1"/>
  <c r="C40" i="38" a="1"/>
  <c r="C40" i="38" s="1"/>
  <c r="C44" i="38" a="1"/>
  <c r="C44" i="38" s="1"/>
  <c r="C48" i="38" a="1"/>
  <c r="C48" i="38" s="1"/>
  <c r="C52" i="38" a="1"/>
  <c r="C52" i="38" s="1"/>
  <c r="C56" i="38" a="1"/>
  <c r="C56" i="38" s="1"/>
  <c r="C60" i="38" a="1"/>
  <c r="C60" i="38" s="1"/>
  <c r="C64" i="38" a="1"/>
  <c r="C64" i="38" s="1"/>
  <c r="C68" i="38" a="1"/>
  <c r="C68" i="38" s="1"/>
  <c r="C72" i="38" a="1"/>
  <c r="C72" i="38" s="1"/>
  <c r="E74" i="38" a="1"/>
  <c r="E74" i="38" s="1"/>
  <c r="C74" i="38" a="1"/>
  <c r="C74" i="38" s="1"/>
  <c r="D74" i="38" a="1"/>
  <c r="D74" i="38" s="1"/>
  <c r="F80" i="38" a="1"/>
  <c r="F80" i="38" s="1"/>
  <c r="D80" i="38" a="1"/>
  <c r="D80" i="38" s="1"/>
  <c r="B80" i="38" a="1"/>
  <c r="B80" i="38" s="1"/>
  <c r="E82" i="38" a="1"/>
  <c r="E82" i="38" s="1"/>
  <c r="C82" i="38" a="1"/>
  <c r="C82" i="38" s="1"/>
  <c r="D82" i="38" a="1"/>
  <c r="D82" i="38" s="1"/>
  <c r="F88" i="38" a="1"/>
  <c r="F88" i="38" s="1"/>
  <c r="D88" i="38" a="1"/>
  <c r="D88" i="38" s="1"/>
  <c r="B88" i="38" a="1"/>
  <c r="B88" i="38" s="1"/>
  <c r="E90" i="38" a="1"/>
  <c r="E90" i="38" s="1"/>
  <c r="C90" i="38" a="1"/>
  <c r="C90" i="38" s="1"/>
  <c r="D90" i="38" a="1"/>
  <c r="D90" i="38" s="1"/>
  <c r="F96" i="38" a="1"/>
  <c r="F96" i="38" s="1"/>
  <c r="D96" i="38" a="1"/>
  <c r="D96" i="38" s="1"/>
  <c r="B96" i="38" a="1"/>
  <c r="B96" i="38" s="1"/>
  <c r="E98" i="38" a="1"/>
  <c r="E98" i="38" s="1"/>
  <c r="C98" i="38" a="1"/>
  <c r="C98" i="38" s="1"/>
  <c r="D98" i="38" a="1"/>
  <c r="D98" i="38" s="1"/>
  <c r="F104" i="38" a="1"/>
  <c r="F104" i="38" s="1"/>
  <c r="D104" i="38" a="1"/>
  <c r="D104" i="38" s="1"/>
  <c r="B104" i="38" a="1"/>
  <c r="B104" i="38" s="1"/>
  <c r="E106" i="38" a="1"/>
  <c r="E106" i="38" s="1"/>
  <c r="C106" i="38" a="1"/>
  <c r="C106" i="38" s="1"/>
  <c r="D106" i="38" a="1"/>
  <c r="D106" i="38" s="1"/>
  <c r="F112" i="38" a="1"/>
  <c r="F112" i="38" s="1"/>
  <c r="D112" i="38" a="1"/>
  <c r="D112" i="38" s="1"/>
  <c r="B112" i="38" a="1"/>
  <c r="B112" i="38" s="1"/>
  <c r="E114" i="38" a="1"/>
  <c r="E114" i="38" s="1"/>
  <c r="C114" i="38" a="1"/>
  <c r="C114" i="38" s="1"/>
  <c r="D114" i="38" a="1"/>
  <c r="D114" i="38" s="1"/>
  <c r="F120" i="38" a="1"/>
  <c r="F120" i="38" s="1"/>
  <c r="D120" i="38" a="1"/>
  <c r="D120" i="38" s="1"/>
  <c r="B120" i="38" a="1"/>
  <c r="B120" i="38" s="1"/>
  <c r="D121" i="38" a="1"/>
  <c r="D121" i="38" s="1"/>
  <c r="F142" i="38" a="1"/>
  <c r="F142" i="38" s="1"/>
  <c r="D142" i="38" a="1"/>
  <c r="D142" i="38" s="1"/>
  <c r="B142" i="38" a="1"/>
  <c r="B142" i="38" s="1"/>
  <c r="C142" i="38" a="1"/>
  <c r="C142" i="38" s="1"/>
  <c r="F155" i="38" a="1"/>
  <c r="F155" i="38" s="1"/>
  <c r="D155" i="38" a="1"/>
  <c r="D155" i="38" s="1"/>
  <c r="B155" i="38" a="1"/>
  <c r="B155" i="38" s="1"/>
  <c r="C155" i="38" a="1"/>
  <c r="C155" i="38" s="1"/>
  <c r="F164" i="38" a="1"/>
  <c r="F164" i="38" s="1"/>
  <c r="C164" i="38" a="1"/>
  <c r="C164" i="38" s="1"/>
  <c r="E164" i="38" a="1"/>
  <c r="E164" i="38" s="1"/>
  <c r="D164" i="38" a="1"/>
  <c r="D164" i="38" s="1"/>
  <c r="F126" i="38" a="1"/>
  <c r="F126" i="38" s="1"/>
  <c r="D126" i="38" a="1"/>
  <c r="D126" i="38" s="1"/>
  <c r="C126" i="38" a="1"/>
  <c r="C126" i="38" s="1"/>
  <c r="F134" i="38" a="1"/>
  <c r="F134" i="38" s="1"/>
  <c r="D134" i="38" a="1"/>
  <c r="D134" i="38" s="1"/>
  <c r="B134" i="38" a="1"/>
  <c r="B134" i="38" s="1"/>
  <c r="C134" i="38" a="1"/>
  <c r="C134" i="38" s="1"/>
  <c r="E123" i="38" a="1"/>
  <c r="E123" i="38" s="1"/>
  <c r="C123" i="38" a="1"/>
  <c r="C123" i="38" s="1"/>
  <c r="D123" i="38" a="1"/>
  <c r="D123" i="38" s="1"/>
  <c r="E127" i="38" a="1"/>
  <c r="E127" i="38" s="1"/>
  <c r="C127" i="38" a="1"/>
  <c r="C127" i="38" s="1"/>
  <c r="E135" i="38" a="1"/>
  <c r="E135" i="38" s="1"/>
  <c r="C135" i="38" a="1"/>
  <c r="C135" i="38" s="1"/>
  <c r="E143" i="38" a="1"/>
  <c r="E143" i="38" s="1"/>
  <c r="C143" i="38" a="1"/>
  <c r="C143" i="38" s="1"/>
  <c r="F147" i="38" a="1"/>
  <c r="F147" i="38" s="1"/>
  <c r="D147" i="38" a="1"/>
  <c r="D147" i="38" s="1"/>
  <c r="B147" i="38" a="1"/>
  <c r="B147" i="38" s="1"/>
  <c r="C147" i="38" a="1"/>
  <c r="C147" i="38" s="1"/>
  <c r="F148" i="38" a="1"/>
  <c r="F148" i="38" s="1"/>
  <c r="C148" i="38" a="1"/>
  <c r="C148" i="38" s="1"/>
  <c r="E149" i="38" a="1"/>
  <c r="E149" i="38" s="1"/>
  <c r="C149" i="38" a="1"/>
  <c r="C149" i="38" s="1"/>
  <c r="F149" i="38" a="1"/>
  <c r="F149" i="38" s="1"/>
  <c r="U182" i="38"/>
  <c r="V182" i="38" s="1"/>
  <c r="U172" i="38"/>
  <c r="V172" i="38" s="1"/>
  <c r="U171" i="38"/>
  <c r="U181" i="38"/>
  <c r="V181" i="38" s="1"/>
  <c r="U173" i="38"/>
  <c r="V173" i="38" s="1"/>
  <c r="E145" i="38" a="1"/>
  <c r="E145" i="38" s="1"/>
  <c r="C145" i="38" a="1"/>
  <c r="C145" i="38" s="1"/>
  <c r="D145" i="38" a="1"/>
  <c r="D145" i="38" s="1"/>
  <c r="F151" i="38" a="1"/>
  <c r="F151" i="38" s="1"/>
  <c r="D151" i="38" a="1"/>
  <c r="D151" i="38" s="1"/>
  <c r="B151" i="38" a="1"/>
  <c r="B151" i="38" s="1"/>
  <c r="D152" i="38" a="1"/>
  <c r="D152" i="38" s="1"/>
  <c r="E153" i="38" a="1"/>
  <c r="E153" i="38" s="1"/>
  <c r="C153" i="38" a="1"/>
  <c r="C153" i="38" s="1"/>
  <c r="D153" i="38" a="1"/>
  <c r="D153" i="38" s="1"/>
  <c r="F159" i="38" a="1"/>
  <c r="F159" i="38" s="1"/>
  <c r="D159" i="38" a="1"/>
  <c r="D159" i="38" s="1"/>
  <c r="B159" i="38" a="1"/>
  <c r="B159" i="38" s="1"/>
  <c r="D160" i="38" a="1"/>
  <c r="D160" i="38" s="1"/>
  <c r="E161" i="38" a="1"/>
  <c r="E161" i="38" s="1"/>
  <c r="C161" i="38" a="1"/>
  <c r="C161" i="38" s="1"/>
  <c r="D161" i="38" a="1"/>
  <c r="D161" i="38" s="1"/>
  <c r="B129" i="38" a="1"/>
  <c r="B129" i="38" s="1"/>
  <c r="D129" i="38" a="1"/>
  <c r="D129" i="38" s="1"/>
  <c r="B133" i="38" a="1"/>
  <c r="B133" i="38" s="1"/>
  <c r="D133" i="38" a="1"/>
  <c r="D133" i="38" s="1"/>
  <c r="B137" i="38" a="1"/>
  <c r="B137" i="38" s="1"/>
  <c r="D137" i="38" a="1"/>
  <c r="D137" i="38" s="1"/>
  <c r="B141" i="38" a="1"/>
  <c r="B141" i="38" s="1"/>
  <c r="D141" i="38" a="1"/>
  <c r="D141" i="38" s="1"/>
  <c r="B145" i="38" a="1"/>
  <c r="B145" i="38" s="1"/>
  <c r="E151" i="38" a="1"/>
  <c r="E151" i="38" s="1"/>
  <c r="B152" i="38" a="1"/>
  <c r="B152" i="38" s="1"/>
  <c r="B153" i="38" a="1"/>
  <c r="B153" i="38" s="1"/>
  <c r="E159" i="38" a="1"/>
  <c r="E159" i="38" s="1"/>
  <c r="B160" i="38" a="1"/>
  <c r="B160" i="38" s="1"/>
  <c r="B161" i="38" a="1"/>
  <c r="B161" i="38" s="1"/>
  <c r="D31" i="37" a="1"/>
  <c r="D31" i="37" s="1"/>
  <c r="D152" i="37" a="1"/>
  <c r="D152" i="37" s="1"/>
  <c r="F71" i="37" a="1"/>
  <c r="F71" i="37" s="1"/>
  <c r="C51" i="37" a="1"/>
  <c r="C51" i="37" s="1"/>
  <c r="F127" i="37" a="1"/>
  <c r="F127" i="37" s="1"/>
  <c r="B160" i="37" a="1"/>
  <c r="B160" i="37" s="1"/>
  <c r="F55" i="37" a="1"/>
  <c r="F55" i="37" s="1"/>
  <c r="B152" i="37" a="1"/>
  <c r="B152" i="37" s="1"/>
  <c r="B11" i="37" a="1"/>
  <c r="B11" i="37" s="1"/>
  <c r="B47" i="37" a="1"/>
  <c r="B47" i="37" s="1"/>
  <c r="B49" i="37" a="1"/>
  <c r="B49" i="37" s="1"/>
  <c r="C73" i="37" a="1"/>
  <c r="C73" i="37" s="1"/>
  <c r="C129" i="37" a="1"/>
  <c r="C129" i="37" s="1"/>
  <c r="F47" i="37" a="1"/>
  <c r="F47" i="37" s="1"/>
  <c r="C49" i="37" a="1"/>
  <c r="C49" i="37" s="1"/>
  <c r="D73" i="37" a="1"/>
  <c r="D73" i="37" s="1"/>
  <c r="C43" i="37" a="1"/>
  <c r="C43" i="37" s="1"/>
  <c r="D49" i="37" a="1"/>
  <c r="D49" i="37" s="1"/>
  <c r="D65" i="37" a="1"/>
  <c r="D65" i="37" s="1"/>
  <c r="D121" i="37" a="1"/>
  <c r="D121" i="37" s="1"/>
  <c r="F150" i="37" a="1"/>
  <c r="F150" i="37" s="1"/>
  <c r="C152" i="37" a="1"/>
  <c r="C152" i="37" s="1"/>
  <c r="B158" i="37" a="1"/>
  <c r="B158" i="37" s="1"/>
  <c r="C11" i="37" a="1"/>
  <c r="C11" i="37" s="1"/>
  <c r="C33" i="37" a="1"/>
  <c r="C33" i="37" s="1"/>
  <c r="D43" i="37" a="1"/>
  <c r="D43" i="37" s="1"/>
  <c r="D51" i="37" a="1"/>
  <c r="D51" i="37" s="1"/>
  <c r="D99" i="37" a="1"/>
  <c r="D99" i="37" s="1"/>
  <c r="F158" i="37" a="1"/>
  <c r="F158" i="37" s="1"/>
  <c r="C160" i="37" a="1"/>
  <c r="C160" i="37" s="1"/>
  <c r="C65" i="37" a="1"/>
  <c r="C65" i="37" s="1"/>
  <c r="B71" i="37" a="1"/>
  <c r="B71" i="37" s="1"/>
  <c r="B73" i="37" a="1"/>
  <c r="B73" i="37" s="1"/>
  <c r="D97" i="37" a="1"/>
  <c r="D97" i="37" s="1"/>
  <c r="K169" i="37"/>
  <c r="J170" i="37" s="1" a="1"/>
  <c r="J170" i="37" s="1"/>
  <c r="K172" i="37" s="1"/>
  <c r="P5" i="37"/>
  <c r="C9" i="37" a="1"/>
  <c r="C9" i="37" s="1"/>
  <c r="D13" i="37" a="1"/>
  <c r="D13" i="37" s="1"/>
  <c r="B19" i="37" a="1"/>
  <c r="B19" i="37" s="1"/>
  <c r="D21" i="37" a="1"/>
  <c r="D21" i="37" s="1"/>
  <c r="B27" i="37" a="1"/>
  <c r="B27" i="37" s="1"/>
  <c r="B37" i="37" a="1"/>
  <c r="B37" i="37" s="1"/>
  <c r="F63" i="37" a="1"/>
  <c r="F63" i="37" s="1"/>
  <c r="B79" i="37" a="1"/>
  <c r="B79" i="37" s="1"/>
  <c r="B81" i="37" a="1"/>
  <c r="B81" i="37" s="1"/>
  <c r="C105" i="37" a="1"/>
  <c r="C105" i="37" s="1"/>
  <c r="B111" i="37" a="1"/>
  <c r="B111" i="37" s="1"/>
  <c r="B113" i="37" a="1"/>
  <c r="B113" i="37" s="1"/>
  <c r="F4" i="37" a="1"/>
  <c r="F4" i="37" s="1"/>
  <c r="D11" i="37" a="1"/>
  <c r="D11" i="37" s="1"/>
  <c r="C17" i="37" a="1"/>
  <c r="C17" i="37" s="1"/>
  <c r="D19" i="37" a="1"/>
  <c r="D19" i="37" s="1"/>
  <c r="C25" i="37" a="1"/>
  <c r="C25" i="37" s="1"/>
  <c r="B31" i="37" a="1"/>
  <c r="B31" i="37" s="1"/>
  <c r="D35" i="37" a="1"/>
  <c r="D35" i="37" s="1"/>
  <c r="C57" i="37" a="1"/>
  <c r="C57" i="37" s="1"/>
  <c r="F79" i="37" a="1"/>
  <c r="F79" i="37" s="1"/>
  <c r="C81" i="37" a="1"/>
  <c r="C81" i="37" s="1"/>
  <c r="F103" i="37" a="1"/>
  <c r="F103" i="37" s="1"/>
  <c r="D105" i="37" a="1"/>
  <c r="D105" i="37" s="1"/>
  <c r="F111" i="37" a="1"/>
  <c r="F111" i="37" s="1"/>
  <c r="C113" i="37" a="1"/>
  <c r="C113" i="37" s="1"/>
  <c r="B119" i="37" a="1"/>
  <c r="B119" i="37" s="1"/>
  <c r="B121" i="37" a="1"/>
  <c r="B121" i="37" s="1"/>
  <c r="C141" i="37" a="1"/>
  <c r="C141" i="37" s="1"/>
  <c r="C143" i="37" a="1"/>
  <c r="C143" i="37" s="1"/>
  <c r="C31" i="37" a="1"/>
  <c r="C31" i="37" s="1"/>
  <c r="C99" i="37" a="1"/>
  <c r="C99" i="37" s="1"/>
  <c r="D113" i="37" a="1"/>
  <c r="D113" i="37" s="1"/>
  <c r="F119" i="37" a="1"/>
  <c r="F119" i="37" s="1"/>
  <c r="C121" i="37" a="1"/>
  <c r="C121" i="37" s="1"/>
  <c r="B127" i="37" a="1"/>
  <c r="B127" i="37" s="1"/>
  <c r="B129" i="37" a="1"/>
  <c r="B129" i="37" s="1"/>
  <c r="D141" i="37" a="1"/>
  <c r="D141" i="37" s="1"/>
  <c r="D143" i="37" a="1"/>
  <c r="D143" i="37" s="1"/>
  <c r="B150" i="37" a="1"/>
  <c r="B150" i="37" s="1"/>
  <c r="B2" i="37" a="1"/>
  <c r="B2" i="37" s="1"/>
  <c r="F9" i="37" a="1"/>
  <c r="F9" i="37" s="1"/>
  <c r="F17" i="37" a="1"/>
  <c r="F17" i="37" s="1"/>
  <c r="C19" i="37" a="1"/>
  <c r="C19" i="37" s="1"/>
  <c r="F25" i="37" a="1"/>
  <c r="F25" i="37" s="1"/>
  <c r="C27" i="37" a="1"/>
  <c r="C27" i="37" s="1"/>
  <c r="B29" i="37" a="1"/>
  <c r="B29" i="37" s="1"/>
  <c r="F31" i="37" a="1"/>
  <c r="F31" i="37" s="1"/>
  <c r="D33" i="37" a="1"/>
  <c r="D33" i="37" s="1"/>
  <c r="E37" i="37" a="1"/>
  <c r="E37" i="37" s="1"/>
  <c r="B39" i="37" a="1"/>
  <c r="B39" i="37" s="1"/>
  <c r="B41" i="37" a="1"/>
  <c r="B41" i="37" s="1"/>
  <c r="F49" i="37" a="1"/>
  <c r="F49" i="37" s="1"/>
  <c r="D57" i="37" a="1"/>
  <c r="D57" i="37" s="1"/>
  <c r="C59" i="37" a="1"/>
  <c r="C59" i="37" s="1"/>
  <c r="C67" i="37" a="1"/>
  <c r="C67" i="37" s="1"/>
  <c r="C75" i="37" a="1"/>
  <c r="C75" i="37" s="1"/>
  <c r="F97" i="37" a="1"/>
  <c r="F97" i="37" s="1"/>
  <c r="C107" i="37" a="1"/>
  <c r="C107" i="37" s="1"/>
  <c r="C115" i="37" a="1"/>
  <c r="C115" i="37" s="1"/>
  <c r="C123" i="37" a="1"/>
  <c r="C123" i="37" s="1"/>
  <c r="B137" i="37" a="1"/>
  <c r="B137" i="37" s="1"/>
  <c r="B139" i="37" a="1"/>
  <c r="B139" i="37" s="1"/>
  <c r="C146" i="37" a="1"/>
  <c r="C146" i="37" s="1"/>
  <c r="C154" i="37" a="1"/>
  <c r="C154" i="37" s="1"/>
  <c r="F139" i="37" a="1"/>
  <c r="F139" i="37" s="1"/>
  <c r="D2" i="37" a="1"/>
  <c r="D2" i="37" s="1"/>
  <c r="B4" i="37" a="1"/>
  <c r="B4" i="37" s="1"/>
  <c r="F27" i="37" a="1"/>
  <c r="F27" i="37" s="1"/>
  <c r="C29" i="37" a="1"/>
  <c r="C29" i="37" s="1"/>
  <c r="E39" i="37" a="1"/>
  <c r="E39" i="37" s="1"/>
  <c r="C41" i="37" a="1"/>
  <c r="C41" i="37" s="1"/>
  <c r="F57" i="37" a="1"/>
  <c r="F57" i="37" s="1"/>
  <c r="D59" i="37" a="1"/>
  <c r="D59" i="37" s="1"/>
  <c r="F65" i="37" a="1"/>
  <c r="F65" i="37" s="1"/>
  <c r="D67" i="37" a="1"/>
  <c r="D67" i="37" s="1"/>
  <c r="F73" i="37" a="1"/>
  <c r="F73" i="37" s="1"/>
  <c r="D75" i="37" a="1"/>
  <c r="D75" i="37" s="1"/>
  <c r="D81" i="37" a="1"/>
  <c r="D81" i="37" s="1"/>
  <c r="C83" i="37" a="1"/>
  <c r="C83" i="37" s="1"/>
  <c r="B95" i="37" a="1"/>
  <c r="B95" i="37" s="1"/>
  <c r="B97" i="37" a="1"/>
  <c r="B97" i="37" s="1"/>
  <c r="F105" i="37" a="1"/>
  <c r="F105" i="37" s="1"/>
  <c r="D107" i="37" a="1"/>
  <c r="D107" i="37" s="1"/>
  <c r="F113" i="37" a="1"/>
  <c r="F113" i="37" s="1"/>
  <c r="D115" i="37" a="1"/>
  <c r="D115" i="37" s="1"/>
  <c r="F121" i="37" a="1"/>
  <c r="F121" i="37" s="1"/>
  <c r="D123" i="37" a="1"/>
  <c r="D123" i="37" s="1"/>
  <c r="D129" i="37" a="1"/>
  <c r="D129" i="37" s="1"/>
  <c r="C131" i="37" a="1"/>
  <c r="C131" i="37" s="1"/>
  <c r="F137" i="37" a="1"/>
  <c r="F137" i="37" s="1"/>
  <c r="C139" i="37" a="1"/>
  <c r="C139" i="37" s="1"/>
  <c r="D146" i="37" a="1"/>
  <c r="D146" i="37" s="1"/>
  <c r="F152" i="37" a="1"/>
  <c r="F152" i="37" s="1"/>
  <c r="D154" i="37" a="1"/>
  <c r="D154" i="37" s="1"/>
  <c r="D160" i="37" a="1"/>
  <c r="D160" i="37" s="1"/>
  <c r="C162" i="37" a="1"/>
  <c r="C162" i="37" s="1"/>
  <c r="F41" i="37" a="1"/>
  <c r="F41" i="37" s="1"/>
  <c r="F2" i="37" a="1"/>
  <c r="F2" i="37" s="1"/>
  <c r="C4" i="37" a="1"/>
  <c r="C4" i="37" s="1"/>
  <c r="B9" i="37" a="1"/>
  <c r="B9" i="37" s="1"/>
  <c r="F11" i="37" a="1"/>
  <c r="F11" i="37" s="1"/>
  <c r="B17" i="37" a="1"/>
  <c r="B17" i="37" s="1"/>
  <c r="F19" i="37" a="1"/>
  <c r="F19" i="37" s="1"/>
  <c r="B25" i="37" a="1"/>
  <c r="B25" i="37" s="1"/>
  <c r="E29" i="37" a="1"/>
  <c r="E29" i="37" s="1"/>
  <c r="D41" i="37" a="1"/>
  <c r="D41" i="37" s="1"/>
  <c r="B55" i="37" a="1"/>
  <c r="B55" i="37" s="1"/>
  <c r="B57" i="37" a="1"/>
  <c r="B57" i="37" s="1"/>
  <c r="B63" i="37" a="1"/>
  <c r="B63" i="37" s="1"/>
  <c r="B65" i="37" a="1"/>
  <c r="B65" i="37" s="1"/>
  <c r="F81" i="37" a="1"/>
  <c r="F81" i="37" s="1"/>
  <c r="D83" i="37" a="1"/>
  <c r="D83" i="37" s="1"/>
  <c r="F95" i="37" a="1"/>
  <c r="F95" i="37" s="1"/>
  <c r="C97" i="37" a="1"/>
  <c r="C97" i="37" s="1"/>
  <c r="B103" i="37" a="1"/>
  <c r="B103" i="37" s="1"/>
  <c r="B105" i="37" a="1"/>
  <c r="B105" i="37" s="1"/>
  <c r="F129" i="37" a="1"/>
  <c r="F129" i="37" s="1"/>
  <c r="D131" i="37" a="1"/>
  <c r="D131" i="37" s="1"/>
  <c r="D139" i="37" a="1"/>
  <c r="D139" i="37" s="1"/>
  <c r="F160" i="37" a="1"/>
  <c r="F160" i="37" s="1"/>
  <c r="D162" i="37" a="1"/>
  <c r="D162" i="37" s="1"/>
  <c r="D61" i="37" a="1"/>
  <c r="D61" i="37" s="1"/>
  <c r="C61" i="37" a="1"/>
  <c r="C61" i="37" s="1"/>
  <c r="F61" i="37" a="1"/>
  <c r="F61" i="37" s="1"/>
  <c r="B61" i="37" a="1"/>
  <c r="B61" i="37" s="1"/>
  <c r="D109" i="37" a="1"/>
  <c r="D109" i="37" s="1"/>
  <c r="C109" i="37" a="1"/>
  <c r="C109" i="37" s="1"/>
  <c r="F109" i="37" a="1"/>
  <c r="F109" i="37" s="1"/>
  <c r="B109" i="37" a="1"/>
  <c r="B109" i="37" s="1"/>
  <c r="F7" i="37" a="1"/>
  <c r="F7" i="37" s="1"/>
  <c r="E13" i="37" a="1"/>
  <c r="E13" i="37" s="1"/>
  <c r="F15" i="37" a="1"/>
  <c r="F15" i="37" s="1"/>
  <c r="B23" i="37" a="1"/>
  <c r="B23" i="37" s="1"/>
  <c r="E61" i="37" a="1"/>
  <c r="E61" i="37" s="1"/>
  <c r="D4" i="37" a="1"/>
  <c r="D4" i="37" s="1"/>
  <c r="C7" i="37" a="1"/>
  <c r="C7" i="37" s="1"/>
  <c r="D9" i="37" a="1"/>
  <c r="D9" i="37" s="1"/>
  <c r="B13" i="37" a="1"/>
  <c r="B13" i="37" s="1"/>
  <c r="F13" i="37" a="1"/>
  <c r="F13" i="37" s="1"/>
  <c r="C15" i="37" a="1"/>
  <c r="C15" i="37" s="1"/>
  <c r="D17" i="37" a="1"/>
  <c r="D17" i="37" s="1"/>
  <c r="B21" i="37" a="1"/>
  <c r="B21" i="37" s="1"/>
  <c r="F21" i="37" a="1"/>
  <c r="F21" i="37" s="1"/>
  <c r="C23" i="37" a="1"/>
  <c r="C23" i="37" s="1"/>
  <c r="D25" i="37" a="1"/>
  <c r="D25" i="37" s="1"/>
  <c r="D27" i="37" a="1"/>
  <c r="D27" i="37" s="1"/>
  <c r="F29" i="37" a="1"/>
  <c r="F29" i="37" s="1"/>
  <c r="C35" i="37" a="1"/>
  <c r="C35" i="37" s="1"/>
  <c r="F35" i="37" a="1"/>
  <c r="F35" i="37" s="1"/>
  <c r="B35" i="37" a="1"/>
  <c r="B35" i="37" s="1"/>
  <c r="D37" i="37" a="1"/>
  <c r="D37" i="37" s="1"/>
  <c r="C37" i="37" a="1"/>
  <c r="C37" i="37" s="1"/>
  <c r="D45" i="37" a="1"/>
  <c r="D45" i="37" s="1"/>
  <c r="C45" i="37" a="1"/>
  <c r="C45" i="37" s="1"/>
  <c r="F45" i="37" a="1"/>
  <c r="F45" i="37" s="1"/>
  <c r="B45" i="37" a="1"/>
  <c r="B45" i="37" s="1"/>
  <c r="D77" i="37" a="1"/>
  <c r="D77" i="37" s="1"/>
  <c r="C77" i="37" a="1"/>
  <c r="C77" i="37" s="1"/>
  <c r="F77" i="37" a="1"/>
  <c r="F77" i="37" s="1"/>
  <c r="B77" i="37" a="1"/>
  <c r="B77" i="37" s="1"/>
  <c r="D87" i="37" a="1"/>
  <c r="D87" i="37" s="1"/>
  <c r="F87" i="37" a="1"/>
  <c r="F87" i="37" s="1"/>
  <c r="C87" i="37" a="1"/>
  <c r="C87" i="37" s="1"/>
  <c r="E87" i="37" a="1"/>
  <c r="E87" i="37" s="1"/>
  <c r="B87" i="37" a="1"/>
  <c r="B87" i="37" s="1"/>
  <c r="D125" i="37" a="1"/>
  <c r="D125" i="37" s="1"/>
  <c r="C125" i="37" a="1"/>
  <c r="C125" i="37" s="1"/>
  <c r="F125" i="37" a="1"/>
  <c r="F125" i="37" s="1"/>
  <c r="B125" i="37" a="1"/>
  <c r="B125" i="37" s="1"/>
  <c r="D148" i="37" a="1"/>
  <c r="D148" i="37" s="1"/>
  <c r="C148" i="37" a="1"/>
  <c r="C148" i="37" s="1"/>
  <c r="F148" i="37" a="1"/>
  <c r="F148" i="37" s="1"/>
  <c r="B148" i="37" a="1"/>
  <c r="B148" i="37" s="1"/>
  <c r="E7" i="37" a="1"/>
  <c r="E7" i="37" s="1"/>
  <c r="E15" i="37" a="1"/>
  <c r="E15" i="37" s="1"/>
  <c r="E23" i="37" a="1"/>
  <c r="E23" i="37" s="1"/>
  <c r="D91" i="37" a="1"/>
  <c r="D91" i="37" s="1"/>
  <c r="F91" i="37" a="1"/>
  <c r="F91" i="37" s="1"/>
  <c r="C91" i="37" a="1"/>
  <c r="C91" i="37" s="1"/>
  <c r="E91" i="37" a="1"/>
  <c r="E91" i="37" s="1"/>
  <c r="B91" i="37" a="1"/>
  <c r="B91" i="37" s="1"/>
  <c r="D164" i="37" a="1"/>
  <c r="D164" i="37" s="1"/>
  <c r="C164" i="37" a="1"/>
  <c r="C164" i="37" s="1"/>
  <c r="F164" i="37" a="1"/>
  <c r="F164" i="37" s="1"/>
  <c r="B164" i="37" a="1"/>
  <c r="B164" i="37" s="1"/>
  <c r="B7" i="37" a="1"/>
  <c r="B7" i="37" s="1"/>
  <c r="B15" i="37" a="1"/>
  <c r="B15" i="37" s="1"/>
  <c r="E21" i="37" a="1"/>
  <c r="E21" i="37" s="1"/>
  <c r="F23" i="37" a="1"/>
  <c r="F23" i="37" s="1"/>
  <c r="D69" i="37" a="1"/>
  <c r="D69" i="37" s="1"/>
  <c r="C69" i="37" a="1"/>
  <c r="C69" i="37" s="1"/>
  <c r="F69" i="37" a="1"/>
  <c r="F69" i="37" s="1"/>
  <c r="B69" i="37" a="1"/>
  <c r="B69" i="37" s="1"/>
  <c r="E109" i="37" a="1"/>
  <c r="E109" i="37" s="1"/>
  <c r="D117" i="37" a="1"/>
  <c r="D117" i="37" s="1"/>
  <c r="C117" i="37" a="1"/>
  <c r="C117" i="37" s="1"/>
  <c r="F117" i="37" a="1"/>
  <c r="F117" i="37" s="1"/>
  <c r="B117" i="37" a="1"/>
  <c r="B117" i="37" s="1"/>
  <c r="E164" i="37" a="1"/>
  <c r="E164" i="37" s="1"/>
  <c r="D39" i="37" a="1"/>
  <c r="D39" i="37" s="1"/>
  <c r="C39" i="37" a="1"/>
  <c r="C39" i="37" s="1"/>
  <c r="D53" i="37" a="1"/>
  <c r="D53" i="37" s="1"/>
  <c r="C53" i="37" a="1"/>
  <c r="C53" i="37" s="1"/>
  <c r="F53" i="37" a="1"/>
  <c r="F53" i="37" s="1"/>
  <c r="B53" i="37" a="1"/>
  <c r="B53" i="37" s="1"/>
  <c r="D101" i="37" a="1"/>
  <c r="D101" i="37" s="1"/>
  <c r="C101" i="37" a="1"/>
  <c r="C101" i="37" s="1"/>
  <c r="F101" i="37" a="1"/>
  <c r="F101" i="37" s="1"/>
  <c r="B101" i="37" a="1"/>
  <c r="B101" i="37" s="1"/>
  <c r="D133" i="37" a="1"/>
  <c r="D133" i="37" s="1"/>
  <c r="C133" i="37" a="1"/>
  <c r="C133" i="37" s="1"/>
  <c r="F133" i="37" a="1"/>
  <c r="F133" i="37" s="1"/>
  <c r="B133" i="37" a="1"/>
  <c r="B133" i="37" s="1"/>
  <c r="D135" i="37" a="1"/>
  <c r="D135" i="37" s="1"/>
  <c r="C135" i="37" a="1"/>
  <c r="C135" i="37" s="1"/>
  <c r="F135" i="37" a="1"/>
  <c r="F135" i="37" s="1"/>
  <c r="B135" i="37" a="1"/>
  <c r="B135" i="37" s="1"/>
  <c r="E148" i="37" a="1"/>
  <c r="E148" i="37" s="1"/>
  <c r="D156" i="37" a="1"/>
  <c r="D156" i="37" s="1"/>
  <c r="C156" i="37" a="1"/>
  <c r="C156" i="37" s="1"/>
  <c r="F156" i="37" a="1"/>
  <c r="F156" i="37" s="1"/>
  <c r="B156" i="37" a="1"/>
  <c r="B156" i="37" s="1"/>
  <c r="E33" i="37" a="1"/>
  <c r="E33" i="37" s="1"/>
  <c r="E43" i="37" a="1"/>
  <c r="E43" i="37" s="1"/>
  <c r="C47" i="37" a="1"/>
  <c r="C47" i="37" s="1"/>
  <c r="E51" i="37" a="1"/>
  <c r="E51" i="37" s="1"/>
  <c r="C55" i="37" a="1"/>
  <c r="C55" i="37" s="1"/>
  <c r="E59" i="37" a="1"/>
  <c r="E59" i="37" s="1"/>
  <c r="C63" i="37" a="1"/>
  <c r="C63" i="37" s="1"/>
  <c r="E67" i="37" a="1"/>
  <c r="E67" i="37" s="1"/>
  <c r="C71" i="37" a="1"/>
  <c r="C71" i="37" s="1"/>
  <c r="E75" i="37" a="1"/>
  <c r="E75" i="37" s="1"/>
  <c r="C79" i="37" a="1"/>
  <c r="C79" i="37" s="1"/>
  <c r="E83" i="37" a="1"/>
  <c r="E83" i="37" s="1"/>
  <c r="C95" i="37" a="1"/>
  <c r="C95" i="37" s="1"/>
  <c r="E99" i="37" a="1"/>
  <c r="E99" i="37" s="1"/>
  <c r="C103" i="37" a="1"/>
  <c r="C103" i="37" s="1"/>
  <c r="E107" i="37" a="1"/>
  <c r="E107" i="37" s="1"/>
  <c r="C111" i="37" a="1"/>
  <c r="C111" i="37" s="1"/>
  <c r="E115" i="37" a="1"/>
  <c r="E115" i="37" s="1"/>
  <c r="C119" i="37" a="1"/>
  <c r="C119" i="37" s="1"/>
  <c r="E123" i="37" a="1"/>
  <c r="E123" i="37" s="1"/>
  <c r="C127" i="37" a="1"/>
  <c r="C127" i="37" s="1"/>
  <c r="E131" i="37" a="1"/>
  <c r="E131" i="37" s="1"/>
  <c r="C137" i="37" a="1"/>
  <c r="C137" i="37" s="1"/>
  <c r="E141" i="37" a="1"/>
  <c r="E141" i="37" s="1"/>
  <c r="E143" i="37" a="1"/>
  <c r="E143" i="37" s="1"/>
  <c r="E146" i="37" a="1"/>
  <c r="E146" i="37" s="1"/>
  <c r="C150" i="37" a="1"/>
  <c r="C150" i="37" s="1"/>
  <c r="E154" i="37" a="1"/>
  <c r="E154" i="37" s="1"/>
  <c r="C158" i="37" a="1"/>
  <c r="C158" i="37" s="1"/>
  <c r="E162" i="37" a="1"/>
  <c r="E162" i="37" s="1"/>
  <c r="B33" i="37" a="1"/>
  <c r="B33" i="37" s="1"/>
  <c r="B43" i="37" a="1"/>
  <c r="B43" i="37" s="1"/>
  <c r="D47" i="37" a="1"/>
  <c r="D47" i="37" s="1"/>
  <c r="B51" i="37" a="1"/>
  <c r="B51" i="37" s="1"/>
  <c r="D55" i="37" a="1"/>
  <c r="D55" i="37" s="1"/>
  <c r="B59" i="37" a="1"/>
  <c r="B59" i="37" s="1"/>
  <c r="D63" i="37" a="1"/>
  <c r="D63" i="37" s="1"/>
  <c r="B67" i="37" a="1"/>
  <c r="B67" i="37" s="1"/>
  <c r="D71" i="37" a="1"/>
  <c r="D71" i="37" s="1"/>
  <c r="B75" i="37" a="1"/>
  <c r="B75" i="37" s="1"/>
  <c r="D79" i="37" a="1"/>
  <c r="D79" i="37" s="1"/>
  <c r="B83" i="37" a="1"/>
  <c r="B83" i="37" s="1"/>
  <c r="D95" i="37" a="1"/>
  <c r="D95" i="37" s="1"/>
  <c r="B99" i="37" a="1"/>
  <c r="B99" i="37" s="1"/>
  <c r="D103" i="37" a="1"/>
  <c r="D103" i="37" s="1"/>
  <c r="B107" i="37" a="1"/>
  <c r="B107" i="37" s="1"/>
  <c r="D111" i="37" a="1"/>
  <c r="D111" i="37" s="1"/>
  <c r="B115" i="37" a="1"/>
  <c r="B115" i="37" s="1"/>
  <c r="D119" i="37" a="1"/>
  <c r="D119" i="37" s="1"/>
  <c r="B123" i="37" a="1"/>
  <c r="B123" i="37" s="1"/>
  <c r="D127" i="37" a="1"/>
  <c r="D127" i="37" s="1"/>
  <c r="B131" i="37" a="1"/>
  <c r="B131" i="37" s="1"/>
  <c r="D137" i="37" a="1"/>
  <c r="D137" i="37" s="1"/>
  <c r="B141" i="37" a="1"/>
  <c r="B141" i="37" s="1"/>
  <c r="B143" i="37" a="1"/>
  <c r="B143" i="37" s="1"/>
  <c r="B146" i="37" a="1"/>
  <c r="B146" i="37" s="1"/>
  <c r="D150" i="37" a="1"/>
  <c r="D150" i="37" s="1"/>
  <c r="B154" i="37" a="1"/>
  <c r="B154" i="37" s="1"/>
  <c r="D158" i="37" a="1"/>
  <c r="D158" i="37" s="1"/>
  <c r="B162" i="37" a="1"/>
  <c r="B162" i="37" s="1"/>
  <c r="F3" i="37" a="1"/>
  <c r="F3" i="37" s="1"/>
  <c r="D3" i="37" a="1"/>
  <c r="D3" i="37" s="1"/>
  <c r="F6" i="37" a="1"/>
  <c r="F6" i="37" s="1"/>
  <c r="D6" i="37" a="1"/>
  <c r="D6" i="37" s="1"/>
  <c r="B6" i="37" a="1"/>
  <c r="B6" i="37" s="1"/>
  <c r="E6" i="37" a="1"/>
  <c r="E6" i="37" s="1"/>
  <c r="C6" i="37" a="1"/>
  <c r="C6" i="37" s="1"/>
  <c r="E8" i="37" a="1"/>
  <c r="E8" i="37" s="1"/>
  <c r="C8" i="37" a="1"/>
  <c r="C8" i="37" s="1"/>
  <c r="F8" i="37" a="1"/>
  <c r="F8" i="37" s="1"/>
  <c r="D8" i="37" a="1"/>
  <c r="D8" i="37" s="1"/>
  <c r="B8" i="37" a="1"/>
  <c r="B8" i="37" s="1"/>
  <c r="F10" i="37" a="1"/>
  <c r="F10" i="37" s="1"/>
  <c r="D10" i="37" a="1"/>
  <c r="D10" i="37" s="1"/>
  <c r="B10" i="37" a="1"/>
  <c r="B10" i="37" s="1"/>
  <c r="E10" i="37" a="1"/>
  <c r="E10" i="37" s="1"/>
  <c r="C10" i="37" a="1"/>
  <c r="C10" i="37" s="1"/>
  <c r="E12" i="37" a="1"/>
  <c r="E12" i="37" s="1"/>
  <c r="C12" i="37" a="1"/>
  <c r="C12" i="37" s="1"/>
  <c r="F12" i="37" a="1"/>
  <c r="F12" i="37" s="1"/>
  <c r="D12" i="37" a="1"/>
  <c r="D12" i="37" s="1"/>
  <c r="B12" i="37" a="1"/>
  <c r="B12" i="37" s="1"/>
  <c r="F14" i="37" a="1"/>
  <c r="F14" i="37" s="1"/>
  <c r="D14" i="37" a="1"/>
  <c r="D14" i="37" s="1"/>
  <c r="B14" i="37" a="1"/>
  <c r="B14" i="37" s="1"/>
  <c r="E14" i="37" a="1"/>
  <c r="E14" i="37" s="1"/>
  <c r="C14" i="37" a="1"/>
  <c r="C14" i="37" s="1"/>
  <c r="E16" i="37" a="1"/>
  <c r="E16" i="37" s="1"/>
  <c r="C16" i="37" a="1"/>
  <c r="C16" i="37" s="1"/>
  <c r="F16" i="37" a="1"/>
  <c r="F16" i="37" s="1"/>
  <c r="D16" i="37" a="1"/>
  <c r="D16" i="37" s="1"/>
  <c r="B16" i="37" a="1"/>
  <c r="B16" i="37" s="1"/>
  <c r="F18" i="37" a="1"/>
  <c r="F18" i="37" s="1"/>
  <c r="D18" i="37" a="1"/>
  <c r="D18" i="37" s="1"/>
  <c r="B18" i="37" a="1"/>
  <c r="B18" i="37" s="1"/>
  <c r="E18" i="37" a="1"/>
  <c r="E18" i="37" s="1"/>
  <c r="C18" i="37" a="1"/>
  <c r="C18" i="37" s="1"/>
  <c r="E20" i="37" a="1"/>
  <c r="E20" i="37" s="1"/>
  <c r="C20" i="37" a="1"/>
  <c r="C20" i="37" s="1"/>
  <c r="F20" i="37" a="1"/>
  <c r="F20" i="37" s="1"/>
  <c r="D20" i="37" a="1"/>
  <c r="D20" i="37" s="1"/>
  <c r="B20" i="37" a="1"/>
  <c r="B20" i="37" s="1"/>
  <c r="F22" i="37" a="1"/>
  <c r="F22" i="37" s="1"/>
  <c r="D22" i="37" a="1"/>
  <c r="D22" i="37" s="1"/>
  <c r="B22" i="37" a="1"/>
  <c r="B22" i="37" s="1"/>
  <c r="E22" i="37" a="1"/>
  <c r="E22" i="37" s="1"/>
  <c r="C22" i="37" a="1"/>
  <c r="C22" i="37" s="1"/>
  <c r="E24" i="37" a="1"/>
  <c r="E24" i="37" s="1"/>
  <c r="C24" i="37" a="1"/>
  <c r="C24" i="37" s="1"/>
  <c r="F24" i="37" a="1"/>
  <c r="F24" i="37" s="1"/>
  <c r="D24" i="37" a="1"/>
  <c r="D24" i="37" s="1"/>
  <c r="B24" i="37" a="1"/>
  <c r="B24" i="37" s="1"/>
  <c r="E40" i="37" a="1"/>
  <c r="E40" i="37" s="1"/>
  <c r="C40" i="37" a="1"/>
  <c r="C40" i="37" s="1"/>
  <c r="F40" i="37" a="1"/>
  <c r="F40" i="37" s="1"/>
  <c r="D40" i="37" a="1"/>
  <c r="D40" i="37" s="1"/>
  <c r="B40" i="37" a="1"/>
  <c r="B40" i="37" s="1"/>
  <c r="F98" i="37" a="1"/>
  <c r="F98" i="37" s="1"/>
  <c r="D98" i="37" a="1"/>
  <c r="D98" i="37" s="1"/>
  <c r="B98" i="37" a="1"/>
  <c r="B98" i="37" s="1"/>
  <c r="E98" i="37" a="1"/>
  <c r="E98" i="37" s="1"/>
  <c r="C98" i="37" a="1"/>
  <c r="C98" i="37" s="1"/>
  <c r="F114" i="37" a="1"/>
  <c r="F114" i="37" s="1"/>
  <c r="D114" i="37" a="1"/>
  <c r="D114" i="37" s="1"/>
  <c r="B114" i="37" a="1"/>
  <c r="B114" i="37" s="1"/>
  <c r="E114" i="37" a="1"/>
  <c r="E114" i="37" s="1"/>
  <c r="C114" i="37" a="1"/>
  <c r="C114" i="37" s="1"/>
  <c r="B3" i="37" a="1"/>
  <c r="B3" i="37" s="1"/>
  <c r="E36" i="37" a="1"/>
  <c r="E36" i="37" s="1"/>
  <c r="C36" i="37" a="1"/>
  <c r="C36" i="37" s="1"/>
  <c r="F36" i="37" a="1"/>
  <c r="F36" i="37" s="1"/>
  <c r="D36" i="37" a="1"/>
  <c r="D36" i="37" s="1"/>
  <c r="B36" i="37" a="1"/>
  <c r="B36" i="37" s="1"/>
  <c r="C2" i="37" a="1"/>
  <c r="C2" i="37" s="1"/>
  <c r="E3" i="37" a="1"/>
  <c r="E3" i="37" s="1"/>
  <c r="F5" i="37" a="1"/>
  <c r="F5" i="37" s="1"/>
  <c r="D5" i="37" a="1"/>
  <c r="D5" i="37" s="1"/>
  <c r="B5" i="37" a="1"/>
  <c r="B5" i="37" s="1"/>
  <c r="E5" i="37" a="1"/>
  <c r="E5" i="37" s="1"/>
  <c r="C5" i="37" a="1"/>
  <c r="C5" i="37" s="1"/>
  <c r="E32" i="37" a="1"/>
  <c r="E32" i="37" s="1"/>
  <c r="C32" i="37" a="1"/>
  <c r="C32" i="37" s="1"/>
  <c r="F32" i="37" a="1"/>
  <c r="F32" i="37" s="1"/>
  <c r="D32" i="37" a="1"/>
  <c r="D32" i="37" s="1"/>
  <c r="B32" i="37" a="1"/>
  <c r="B32" i="37" s="1"/>
  <c r="F106" i="37" a="1"/>
  <c r="F106" i="37" s="1"/>
  <c r="D106" i="37" a="1"/>
  <c r="D106" i="37" s="1"/>
  <c r="B106" i="37" a="1"/>
  <c r="B106" i="37" s="1"/>
  <c r="E106" i="37" a="1"/>
  <c r="E106" i="37" s="1"/>
  <c r="C106" i="37" a="1"/>
  <c r="C106" i="37" s="1"/>
  <c r="F122" i="37" a="1"/>
  <c r="F122" i="37" s="1"/>
  <c r="D122" i="37" a="1"/>
  <c r="D122" i="37" s="1"/>
  <c r="B122" i="37" a="1"/>
  <c r="B122" i="37" s="1"/>
  <c r="E122" i="37" a="1"/>
  <c r="E122" i="37" s="1"/>
  <c r="C122" i="37" a="1"/>
  <c r="C122" i="37" s="1"/>
  <c r="K182" i="37"/>
  <c r="K171" i="37" a="1"/>
  <c r="K171" i="37" s="1"/>
  <c r="K189" i="37"/>
  <c r="C3" i="37" a="1"/>
  <c r="C3" i="37" s="1"/>
  <c r="E28" i="37" a="1"/>
  <c r="E28" i="37" s="1"/>
  <c r="C28" i="37" a="1"/>
  <c r="C28" i="37" s="1"/>
  <c r="F28" i="37" a="1"/>
  <c r="F28" i="37" s="1"/>
  <c r="D28" i="37" a="1"/>
  <c r="D28" i="37" s="1"/>
  <c r="B28" i="37" a="1"/>
  <c r="B28" i="37" s="1"/>
  <c r="E132" i="37" a="1"/>
  <c r="E132" i="37" s="1"/>
  <c r="C132" i="37" a="1"/>
  <c r="C132" i="37" s="1"/>
  <c r="F132" i="37" a="1"/>
  <c r="F132" i="37" s="1"/>
  <c r="D132" i="37" a="1"/>
  <c r="D132" i="37" s="1"/>
  <c r="B132" i="37" a="1"/>
  <c r="B132" i="37" s="1"/>
  <c r="C26" i="37" a="1"/>
  <c r="C26" i="37" s="1"/>
  <c r="E26" i="37" a="1"/>
  <c r="E26" i="37" s="1"/>
  <c r="C30" i="37" a="1"/>
  <c r="C30" i="37" s="1"/>
  <c r="E30" i="37" a="1"/>
  <c r="E30" i="37" s="1"/>
  <c r="C34" i="37" a="1"/>
  <c r="C34" i="37" s="1"/>
  <c r="E34" i="37" a="1"/>
  <c r="E34" i="37" s="1"/>
  <c r="C38" i="37" a="1"/>
  <c r="C38" i="37" s="1"/>
  <c r="E38" i="37" a="1"/>
  <c r="E38" i="37" s="1"/>
  <c r="E44" i="37" a="1"/>
  <c r="E44" i="37" s="1"/>
  <c r="C44" i="37" a="1"/>
  <c r="C44" i="37" s="1"/>
  <c r="F44" i="37" a="1"/>
  <c r="F44" i="37" s="1"/>
  <c r="D44" i="37" a="1"/>
  <c r="D44" i="37" s="1"/>
  <c r="B44" i="37" a="1"/>
  <c r="B44" i="37" s="1"/>
  <c r="F46" i="37" a="1"/>
  <c r="F46" i="37" s="1"/>
  <c r="D46" i="37" a="1"/>
  <c r="D46" i="37" s="1"/>
  <c r="B46" i="37" a="1"/>
  <c r="B46" i="37" s="1"/>
  <c r="E46" i="37" a="1"/>
  <c r="E46" i="37" s="1"/>
  <c r="C46" i="37" a="1"/>
  <c r="C46" i="37" s="1"/>
  <c r="E48" i="37" a="1"/>
  <c r="E48" i="37" s="1"/>
  <c r="C48" i="37" a="1"/>
  <c r="C48" i="37" s="1"/>
  <c r="F48" i="37" a="1"/>
  <c r="F48" i="37" s="1"/>
  <c r="D48" i="37" a="1"/>
  <c r="D48" i="37" s="1"/>
  <c r="B48" i="37" a="1"/>
  <c r="B48" i="37" s="1"/>
  <c r="F50" i="37" a="1"/>
  <c r="F50" i="37" s="1"/>
  <c r="D50" i="37" a="1"/>
  <c r="D50" i="37" s="1"/>
  <c r="B50" i="37" a="1"/>
  <c r="B50" i="37" s="1"/>
  <c r="E50" i="37" a="1"/>
  <c r="E50" i="37" s="1"/>
  <c r="C50" i="37" a="1"/>
  <c r="C50" i="37" s="1"/>
  <c r="E52" i="37" a="1"/>
  <c r="E52" i="37" s="1"/>
  <c r="C52" i="37" a="1"/>
  <c r="C52" i="37" s="1"/>
  <c r="F52" i="37" a="1"/>
  <c r="F52" i="37" s="1"/>
  <c r="D52" i="37" a="1"/>
  <c r="D52" i="37" s="1"/>
  <c r="B52" i="37" a="1"/>
  <c r="B52" i="37" s="1"/>
  <c r="F54" i="37" a="1"/>
  <c r="F54" i="37" s="1"/>
  <c r="D54" i="37" a="1"/>
  <c r="D54" i="37" s="1"/>
  <c r="B54" i="37" a="1"/>
  <c r="B54" i="37" s="1"/>
  <c r="E54" i="37" a="1"/>
  <c r="E54" i="37" s="1"/>
  <c r="C54" i="37" a="1"/>
  <c r="C54" i="37" s="1"/>
  <c r="E56" i="37" a="1"/>
  <c r="E56" i="37" s="1"/>
  <c r="C56" i="37" a="1"/>
  <c r="C56" i="37" s="1"/>
  <c r="F56" i="37" a="1"/>
  <c r="F56" i="37" s="1"/>
  <c r="D56" i="37" a="1"/>
  <c r="D56" i="37" s="1"/>
  <c r="B56" i="37" a="1"/>
  <c r="B56" i="37" s="1"/>
  <c r="F58" i="37" a="1"/>
  <c r="F58" i="37" s="1"/>
  <c r="D58" i="37" a="1"/>
  <c r="D58" i="37" s="1"/>
  <c r="B58" i="37" a="1"/>
  <c r="B58" i="37" s="1"/>
  <c r="E58" i="37" a="1"/>
  <c r="E58" i="37" s="1"/>
  <c r="C58" i="37" a="1"/>
  <c r="C58" i="37" s="1"/>
  <c r="E60" i="37" a="1"/>
  <c r="E60" i="37" s="1"/>
  <c r="C60" i="37" a="1"/>
  <c r="C60" i="37" s="1"/>
  <c r="F60" i="37" a="1"/>
  <c r="F60" i="37" s="1"/>
  <c r="D60" i="37" a="1"/>
  <c r="D60" i="37" s="1"/>
  <c r="B60" i="37" a="1"/>
  <c r="B60" i="37" s="1"/>
  <c r="F62" i="37" a="1"/>
  <c r="F62" i="37" s="1"/>
  <c r="D62" i="37" a="1"/>
  <c r="D62" i="37" s="1"/>
  <c r="B62" i="37" a="1"/>
  <c r="B62" i="37" s="1"/>
  <c r="E62" i="37" a="1"/>
  <c r="E62" i="37" s="1"/>
  <c r="C62" i="37" a="1"/>
  <c r="C62" i="37" s="1"/>
  <c r="E64" i="37" a="1"/>
  <c r="E64" i="37" s="1"/>
  <c r="C64" i="37" a="1"/>
  <c r="C64" i="37" s="1"/>
  <c r="F64" i="37" a="1"/>
  <c r="F64" i="37" s="1"/>
  <c r="D64" i="37" a="1"/>
  <c r="D64" i="37" s="1"/>
  <c r="B64" i="37" a="1"/>
  <c r="B64" i="37" s="1"/>
  <c r="F66" i="37" a="1"/>
  <c r="F66" i="37" s="1"/>
  <c r="D66" i="37" a="1"/>
  <c r="D66" i="37" s="1"/>
  <c r="B66" i="37" a="1"/>
  <c r="B66" i="37" s="1"/>
  <c r="E66" i="37" a="1"/>
  <c r="E66" i="37" s="1"/>
  <c r="C66" i="37" a="1"/>
  <c r="C66" i="37" s="1"/>
  <c r="E68" i="37" a="1"/>
  <c r="E68" i="37" s="1"/>
  <c r="C68" i="37" a="1"/>
  <c r="C68" i="37" s="1"/>
  <c r="F68" i="37" a="1"/>
  <c r="F68" i="37" s="1"/>
  <c r="D68" i="37" a="1"/>
  <c r="D68" i="37" s="1"/>
  <c r="B68" i="37" a="1"/>
  <c r="B68" i="37" s="1"/>
  <c r="F70" i="37" a="1"/>
  <c r="F70" i="37" s="1"/>
  <c r="D70" i="37" a="1"/>
  <c r="D70" i="37" s="1"/>
  <c r="B70" i="37" a="1"/>
  <c r="B70" i="37" s="1"/>
  <c r="E70" i="37" a="1"/>
  <c r="E70" i="37" s="1"/>
  <c r="C70" i="37" a="1"/>
  <c r="C70" i="37" s="1"/>
  <c r="E72" i="37" a="1"/>
  <c r="E72" i="37" s="1"/>
  <c r="C72" i="37" a="1"/>
  <c r="C72" i="37" s="1"/>
  <c r="F72" i="37" a="1"/>
  <c r="F72" i="37" s="1"/>
  <c r="D72" i="37" a="1"/>
  <c r="D72" i="37" s="1"/>
  <c r="B72" i="37" a="1"/>
  <c r="B72" i="37" s="1"/>
  <c r="F74" i="37" a="1"/>
  <c r="F74" i="37" s="1"/>
  <c r="D74" i="37" a="1"/>
  <c r="D74" i="37" s="1"/>
  <c r="B74" i="37" a="1"/>
  <c r="B74" i="37" s="1"/>
  <c r="E74" i="37" a="1"/>
  <c r="E74" i="37" s="1"/>
  <c r="C74" i="37" a="1"/>
  <c r="C74" i="37" s="1"/>
  <c r="E76" i="37" a="1"/>
  <c r="E76" i="37" s="1"/>
  <c r="C76" i="37" a="1"/>
  <c r="C76" i="37" s="1"/>
  <c r="F76" i="37" a="1"/>
  <c r="F76" i="37" s="1"/>
  <c r="D76" i="37" a="1"/>
  <c r="D76" i="37" s="1"/>
  <c r="B76" i="37" a="1"/>
  <c r="B76" i="37" s="1"/>
  <c r="F78" i="37" a="1"/>
  <c r="F78" i="37" s="1"/>
  <c r="D78" i="37" a="1"/>
  <c r="D78" i="37" s="1"/>
  <c r="B78" i="37" a="1"/>
  <c r="B78" i="37" s="1"/>
  <c r="E78" i="37" a="1"/>
  <c r="E78" i="37" s="1"/>
  <c r="C78" i="37" a="1"/>
  <c r="C78" i="37" s="1"/>
  <c r="E80" i="37" a="1"/>
  <c r="E80" i="37" s="1"/>
  <c r="C80" i="37" a="1"/>
  <c r="C80" i="37" s="1"/>
  <c r="F80" i="37" a="1"/>
  <c r="F80" i="37" s="1"/>
  <c r="D80" i="37" a="1"/>
  <c r="D80" i="37" s="1"/>
  <c r="B80" i="37" a="1"/>
  <c r="B80" i="37" s="1"/>
  <c r="F82" i="37" a="1"/>
  <c r="F82" i="37" s="1"/>
  <c r="D82" i="37" a="1"/>
  <c r="D82" i="37" s="1"/>
  <c r="B82" i="37" a="1"/>
  <c r="B82" i="37" s="1"/>
  <c r="E82" i="37" a="1"/>
  <c r="E82" i="37" s="1"/>
  <c r="C82" i="37" a="1"/>
  <c r="C82" i="37" s="1"/>
  <c r="F84" i="37" a="1"/>
  <c r="F84" i="37" s="1"/>
  <c r="E84" i="37" a="1"/>
  <c r="E84" i="37" s="1"/>
  <c r="C84" i="37" a="1"/>
  <c r="C84" i="37" s="1"/>
  <c r="D84" i="37" a="1"/>
  <c r="D84" i="37" s="1"/>
  <c r="B84" i="37" a="1"/>
  <c r="B84" i="37" s="1"/>
  <c r="E100" i="37" a="1"/>
  <c r="E100" i="37" s="1"/>
  <c r="C100" i="37" a="1"/>
  <c r="C100" i="37" s="1"/>
  <c r="F100" i="37" a="1"/>
  <c r="F100" i="37" s="1"/>
  <c r="D100" i="37" a="1"/>
  <c r="D100" i="37" s="1"/>
  <c r="B100" i="37" a="1"/>
  <c r="B100" i="37" s="1"/>
  <c r="E108" i="37" a="1"/>
  <c r="E108" i="37" s="1"/>
  <c r="C108" i="37" a="1"/>
  <c r="C108" i="37" s="1"/>
  <c r="F108" i="37" a="1"/>
  <c r="F108" i="37" s="1"/>
  <c r="D108" i="37" a="1"/>
  <c r="D108" i="37" s="1"/>
  <c r="B108" i="37" a="1"/>
  <c r="B108" i="37" s="1"/>
  <c r="E116" i="37" a="1"/>
  <c r="E116" i="37" s="1"/>
  <c r="C116" i="37" a="1"/>
  <c r="C116" i="37" s="1"/>
  <c r="F116" i="37" a="1"/>
  <c r="F116" i="37" s="1"/>
  <c r="D116" i="37" a="1"/>
  <c r="D116" i="37" s="1"/>
  <c r="B116" i="37" a="1"/>
  <c r="B116" i="37" s="1"/>
  <c r="E124" i="37" a="1"/>
  <c r="E124" i="37" s="1"/>
  <c r="C124" i="37" a="1"/>
  <c r="C124" i="37" s="1"/>
  <c r="F124" i="37" a="1"/>
  <c r="F124" i="37" s="1"/>
  <c r="D124" i="37" a="1"/>
  <c r="D124" i="37" s="1"/>
  <c r="B124" i="37" a="1"/>
  <c r="B124" i="37" s="1"/>
  <c r="E140" i="37" a="1"/>
  <c r="E140" i="37" s="1"/>
  <c r="C140" i="37" a="1"/>
  <c r="C140" i="37" s="1"/>
  <c r="F140" i="37" a="1"/>
  <c r="F140" i="37" s="1"/>
  <c r="D140" i="37" a="1"/>
  <c r="D140" i="37" s="1"/>
  <c r="B140" i="37" a="1"/>
  <c r="B140" i="37" s="1"/>
  <c r="F42" i="37" a="1"/>
  <c r="F42" i="37" s="1"/>
  <c r="E42" i="37" a="1"/>
  <c r="E42" i="37" s="1"/>
  <c r="E85" i="37" a="1"/>
  <c r="E85" i="37" s="1"/>
  <c r="B85" i="37" a="1"/>
  <c r="B85" i="37" s="1"/>
  <c r="F85" i="37" a="1"/>
  <c r="F85" i="37" s="1"/>
  <c r="E86" i="37" a="1"/>
  <c r="E86" i="37" s="1"/>
  <c r="C86" i="37" a="1"/>
  <c r="C86" i="37" s="1"/>
  <c r="B86" i="37" a="1"/>
  <c r="B86" i="37" s="1"/>
  <c r="F86" i="37" a="1"/>
  <c r="F86" i="37" s="1"/>
  <c r="F88" i="37" a="1"/>
  <c r="F88" i="37" s="1"/>
  <c r="D88" i="37" a="1"/>
  <c r="D88" i="37" s="1"/>
  <c r="B88" i="37" a="1"/>
  <c r="B88" i="37" s="1"/>
  <c r="E88" i="37" a="1"/>
  <c r="E88" i="37" s="1"/>
  <c r="F89" i="37" a="1"/>
  <c r="F89" i="37" s="1"/>
  <c r="E89" i="37" a="1"/>
  <c r="E89" i="37" s="1"/>
  <c r="B89" i="37" a="1"/>
  <c r="B89" i="37" s="1"/>
  <c r="E90" i="37" a="1"/>
  <c r="E90" i="37" s="1"/>
  <c r="C90" i="37" a="1"/>
  <c r="C90" i="37" s="1"/>
  <c r="F90" i="37" a="1"/>
  <c r="F90" i="37" s="1"/>
  <c r="B90" i="37" a="1"/>
  <c r="B90" i="37" s="1"/>
  <c r="F92" i="37" a="1"/>
  <c r="F92" i="37" s="1"/>
  <c r="D92" i="37" a="1"/>
  <c r="D92" i="37" s="1"/>
  <c r="B92" i="37" a="1"/>
  <c r="B92" i="37" s="1"/>
  <c r="E92" i="37" a="1"/>
  <c r="E92" i="37" s="1"/>
  <c r="E93" i="37" a="1"/>
  <c r="E93" i="37" s="1"/>
  <c r="B93" i="37" a="1"/>
  <c r="B93" i="37" s="1"/>
  <c r="F93" i="37" a="1"/>
  <c r="F93" i="37" s="1"/>
  <c r="F94" i="37" a="1"/>
  <c r="F94" i="37" s="1"/>
  <c r="D94" i="37" a="1"/>
  <c r="D94" i="37" s="1"/>
  <c r="B94" i="37" a="1"/>
  <c r="B94" i="37" s="1"/>
  <c r="E94" i="37" a="1"/>
  <c r="E94" i="37" s="1"/>
  <c r="C94" i="37" a="1"/>
  <c r="C94" i="37" s="1"/>
  <c r="F102" i="37" a="1"/>
  <c r="F102" i="37" s="1"/>
  <c r="D102" i="37" a="1"/>
  <c r="D102" i="37" s="1"/>
  <c r="B102" i="37" a="1"/>
  <c r="B102" i="37" s="1"/>
  <c r="E102" i="37" a="1"/>
  <c r="E102" i="37" s="1"/>
  <c r="C102" i="37" a="1"/>
  <c r="C102" i="37" s="1"/>
  <c r="F110" i="37" a="1"/>
  <c r="F110" i="37" s="1"/>
  <c r="D110" i="37" a="1"/>
  <c r="D110" i="37" s="1"/>
  <c r="B110" i="37" a="1"/>
  <c r="B110" i="37" s="1"/>
  <c r="E110" i="37" a="1"/>
  <c r="E110" i="37" s="1"/>
  <c r="C110" i="37" a="1"/>
  <c r="C110" i="37" s="1"/>
  <c r="F118" i="37" a="1"/>
  <c r="F118" i="37" s="1"/>
  <c r="D118" i="37" a="1"/>
  <c r="D118" i="37" s="1"/>
  <c r="B118" i="37" a="1"/>
  <c r="B118" i="37" s="1"/>
  <c r="E118" i="37" a="1"/>
  <c r="E118" i="37" s="1"/>
  <c r="C118" i="37" a="1"/>
  <c r="C118" i="37" s="1"/>
  <c r="F126" i="37" a="1"/>
  <c r="F126" i="37" s="1"/>
  <c r="D126" i="37" a="1"/>
  <c r="D126" i="37" s="1"/>
  <c r="B126" i="37" a="1"/>
  <c r="B126" i="37" s="1"/>
  <c r="E126" i="37" a="1"/>
  <c r="E126" i="37" s="1"/>
  <c r="C126" i="37" a="1"/>
  <c r="C126" i="37" s="1"/>
  <c r="B26" i="37" a="1"/>
  <c r="B26" i="37" s="1"/>
  <c r="D26" i="37" a="1"/>
  <c r="D26" i="37" s="1"/>
  <c r="B30" i="37" a="1"/>
  <c r="B30" i="37" s="1"/>
  <c r="D30" i="37" a="1"/>
  <c r="D30" i="37" s="1"/>
  <c r="B34" i="37" a="1"/>
  <c r="B34" i="37" s="1"/>
  <c r="D34" i="37" a="1"/>
  <c r="D34" i="37" s="1"/>
  <c r="B38" i="37" a="1"/>
  <c r="B38" i="37" s="1"/>
  <c r="D38" i="37" a="1"/>
  <c r="D38" i="37" s="1"/>
  <c r="B42" i="37" a="1"/>
  <c r="B42" i="37" s="1"/>
  <c r="D42" i="37" a="1"/>
  <c r="D42" i="37" s="1"/>
  <c r="C85" i="37" a="1"/>
  <c r="C85" i="37" s="1"/>
  <c r="C88" i="37" a="1"/>
  <c r="C88" i="37" s="1"/>
  <c r="C89" i="37" a="1"/>
  <c r="C89" i="37" s="1"/>
  <c r="C92" i="37" a="1"/>
  <c r="C92" i="37" s="1"/>
  <c r="C93" i="37" a="1"/>
  <c r="C93" i="37" s="1"/>
  <c r="E96" i="37" a="1"/>
  <c r="E96" i="37" s="1"/>
  <c r="C96" i="37" a="1"/>
  <c r="C96" i="37" s="1"/>
  <c r="F96" i="37" a="1"/>
  <c r="F96" i="37" s="1"/>
  <c r="D96" i="37" a="1"/>
  <c r="D96" i="37" s="1"/>
  <c r="B96" i="37" a="1"/>
  <c r="B96" i="37" s="1"/>
  <c r="E104" i="37" a="1"/>
  <c r="E104" i="37" s="1"/>
  <c r="C104" i="37" a="1"/>
  <c r="C104" i="37" s="1"/>
  <c r="F104" i="37" a="1"/>
  <c r="F104" i="37" s="1"/>
  <c r="D104" i="37" a="1"/>
  <c r="D104" i="37" s="1"/>
  <c r="B104" i="37" a="1"/>
  <c r="B104" i="37" s="1"/>
  <c r="E112" i="37" a="1"/>
  <c r="E112" i="37" s="1"/>
  <c r="C112" i="37" a="1"/>
  <c r="C112" i="37" s="1"/>
  <c r="F112" i="37" a="1"/>
  <c r="F112" i="37" s="1"/>
  <c r="D112" i="37" a="1"/>
  <c r="D112" i="37" s="1"/>
  <c r="B112" i="37" a="1"/>
  <c r="B112" i="37" s="1"/>
  <c r="E120" i="37" a="1"/>
  <c r="E120" i="37" s="1"/>
  <c r="C120" i="37" a="1"/>
  <c r="C120" i="37" s="1"/>
  <c r="F120" i="37" a="1"/>
  <c r="F120" i="37" s="1"/>
  <c r="D120" i="37" a="1"/>
  <c r="D120" i="37" s="1"/>
  <c r="B120" i="37" a="1"/>
  <c r="B120" i="37" s="1"/>
  <c r="E128" i="37" a="1"/>
  <c r="E128" i="37" s="1"/>
  <c r="C128" i="37" a="1"/>
  <c r="C128" i="37" s="1"/>
  <c r="F128" i="37" a="1"/>
  <c r="F128" i="37" s="1"/>
  <c r="D128" i="37" a="1"/>
  <c r="D128" i="37" s="1"/>
  <c r="B128" i="37" a="1"/>
  <c r="B128" i="37" s="1"/>
  <c r="E144" i="37" a="1"/>
  <c r="E144" i="37" s="1"/>
  <c r="C144" i="37" a="1"/>
  <c r="C144" i="37" s="1"/>
  <c r="F144" i="37" a="1"/>
  <c r="F144" i="37" s="1"/>
  <c r="D144" i="37" a="1"/>
  <c r="D144" i="37" s="1"/>
  <c r="B144" i="37" a="1"/>
  <c r="B144" i="37" s="1"/>
  <c r="E136" i="37" a="1"/>
  <c r="E136" i="37" s="1"/>
  <c r="C136" i="37" a="1"/>
  <c r="C136" i="37" s="1"/>
  <c r="F136" i="37" a="1"/>
  <c r="F136" i="37" s="1"/>
  <c r="D136" i="37" a="1"/>
  <c r="D136" i="37" s="1"/>
  <c r="B136" i="37" a="1"/>
  <c r="B136" i="37" s="1"/>
  <c r="C130" i="37" a="1"/>
  <c r="C130" i="37" s="1"/>
  <c r="E130" i="37" a="1"/>
  <c r="E130" i="37" s="1"/>
  <c r="C134" i="37" a="1"/>
  <c r="C134" i="37" s="1"/>
  <c r="E134" i="37" a="1"/>
  <c r="E134" i="37" s="1"/>
  <c r="C138" i="37" a="1"/>
  <c r="C138" i="37" s="1"/>
  <c r="E138" i="37" a="1"/>
  <c r="E138" i="37" s="1"/>
  <c r="C142" i="37" a="1"/>
  <c r="C142" i="37" s="1"/>
  <c r="E142" i="37" a="1"/>
  <c r="E142" i="37" s="1"/>
  <c r="P169" i="37"/>
  <c r="O170" i="37" s="1" a="1"/>
  <c r="O170" i="37" s="1"/>
  <c r="T170" i="37" a="1"/>
  <c r="T170" i="37" s="1"/>
  <c r="B130" i="37" a="1"/>
  <c r="B130" i="37" s="1"/>
  <c r="D130" i="37" a="1"/>
  <c r="D130" i="37" s="1"/>
  <c r="B134" i="37" a="1"/>
  <c r="B134" i="37" s="1"/>
  <c r="D134" i="37" a="1"/>
  <c r="D134" i="37" s="1"/>
  <c r="B138" i="37" a="1"/>
  <c r="B138" i="37" s="1"/>
  <c r="D138" i="37" a="1"/>
  <c r="D138" i="37" s="1"/>
  <c r="B142" i="37" a="1"/>
  <c r="B142" i="37" s="1"/>
  <c r="D142" i="37" a="1"/>
  <c r="D142" i="37" s="1"/>
  <c r="E145" i="37" a="1"/>
  <c r="E145" i="37" s="1"/>
  <c r="C145" i="37" a="1"/>
  <c r="C145" i="37" s="1"/>
  <c r="F145" i="37" a="1"/>
  <c r="F145" i="37" s="1"/>
  <c r="D145" i="37" a="1"/>
  <c r="D145" i="37" s="1"/>
  <c r="B145" i="37" a="1"/>
  <c r="B145" i="37" s="1"/>
  <c r="F147" i="37" a="1"/>
  <c r="F147" i="37" s="1"/>
  <c r="D147" i="37" a="1"/>
  <c r="D147" i="37" s="1"/>
  <c r="B147" i="37" a="1"/>
  <c r="B147" i="37" s="1"/>
  <c r="E147" i="37" a="1"/>
  <c r="E147" i="37" s="1"/>
  <c r="C147" i="37" a="1"/>
  <c r="C147" i="37" s="1"/>
  <c r="E149" i="37" a="1"/>
  <c r="E149" i="37" s="1"/>
  <c r="C149" i="37" a="1"/>
  <c r="C149" i="37" s="1"/>
  <c r="F149" i="37" a="1"/>
  <c r="F149" i="37" s="1"/>
  <c r="D149" i="37" a="1"/>
  <c r="D149" i="37" s="1"/>
  <c r="B149" i="37" a="1"/>
  <c r="B149" i="37" s="1"/>
  <c r="F151" i="37" a="1"/>
  <c r="F151" i="37" s="1"/>
  <c r="D151" i="37" a="1"/>
  <c r="D151" i="37" s="1"/>
  <c r="B151" i="37" a="1"/>
  <c r="B151" i="37" s="1"/>
  <c r="E151" i="37" a="1"/>
  <c r="E151" i="37" s="1"/>
  <c r="C151" i="37" a="1"/>
  <c r="C151" i="37" s="1"/>
  <c r="E153" i="37" a="1"/>
  <c r="E153" i="37" s="1"/>
  <c r="C153" i="37" a="1"/>
  <c r="C153" i="37" s="1"/>
  <c r="F153" i="37" a="1"/>
  <c r="F153" i="37" s="1"/>
  <c r="D153" i="37" a="1"/>
  <c r="D153" i="37" s="1"/>
  <c r="B153" i="37" a="1"/>
  <c r="B153" i="37" s="1"/>
  <c r="F155" i="37" a="1"/>
  <c r="F155" i="37" s="1"/>
  <c r="D155" i="37" a="1"/>
  <c r="D155" i="37" s="1"/>
  <c r="B155" i="37" a="1"/>
  <c r="B155" i="37" s="1"/>
  <c r="E155" i="37" a="1"/>
  <c r="E155" i="37" s="1"/>
  <c r="C155" i="37" a="1"/>
  <c r="C155" i="37" s="1"/>
  <c r="E157" i="37" a="1"/>
  <c r="E157" i="37" s="1"/>
  <c r="C157" i="37" a="1"/>
  <c r="C157" i="37" s="1"/>
  <c r="F157" i="37" a="1"/>
  <c r="F157" i="37" s="1"/>
  <c r="D157" i="37" a="1"/>
  <c r="D157" i="37" s="1"/>
  <c r="B157" i="37" a="1"/>
  <c r="B157" i="37" s="1"/>
  <c r="F159" i="37" a="1"/>
  <c r="F159" i="37" s="1"/>
  <c r="D159" i="37" a="1"/>
  <c r="D159" i="37" s="1"/>
  <c r="B159" i="37" a="1"/>
  <c r="B159" i="37" s="1"/>
  <c r="E159" i="37" a="1"/>
  <c r="E159" i="37" s="1"/>
  <c r="C159" i="37" a="1"/>
  <c r="C159" i="37" s="1"/>
  <c r="E161" i="37" a="1"/>
  <c r="E161" i="37" s="1"/>
  <c r="C161" i="37" a="1"/>
  <c r="C161" i="37" s="1"/>
  <c r="F161" i="37" a="1"/>
  <c r="F161" i="37" s="1"/>
  <c r="D161" i="37" a="1"/>
  <c r="D161" i="37" s="1"/>
  <c r="B161" i="37" a="1"/>
  <c r="B161" i="37" s="1"/>
  <c r="F163" i="37" a="1"/>
  <c r="F163" i="37" s="1"/>
  <c r="D163" i="37" a="1"/>
  <c r="D163" i="37" s="1"/>
  <c r="B163" i="37" a="1"/>
  <c r="B163" i="37" s="1"/>
  <c r="E163" i="37" a="1"/>
  <c r="E163" i="37" s="1"/>
  <c r="C163" i="37" a="1"/>
  <c r="C163" i="37" s="1"/>
  <c r="F169" i="37"/>
  <c r="E170" i="37" s="1" a="1"/>
  <c r="E170" i="37" s="1"/>
  <c r="C85" i="36" a="1"/>
  <c r="C85" i="36" s="1"/>
  <c r="B107" i="36" a="1"/>
  <c r="B107" i="36" s="1"/>
  <c r="D107" i="36" a="1"/>
  <c r="D107" i="36" s="1"/>
  <c r="F63" i="36" a="1"/>
  <c r="F63" i="36" s="1"/>
  <c r="B2" i="36" a="1"/>
  <c r="B2" i="36" s="1"/>
  <c r="F83" i="36" a="1"/>
  <c r="F83" i="36" s="1"/>
  <c r="C2" i="36" a="1"/>
  <c r="C2" i="36" s="1"/>
  <c r="K169" i="36"/>
  <c r="J170" i="36" s="1" a="1"/>
  <c r="J170" i="36" s="1"/>
  <c r="K181" i="36" s="1"/>
  <c r="P5" i="36"/>
  <c r="U169" i="36"/>
  <c r="C7" i="36" a="1"/>
  <c r="C7" i="36" s="1"/>
  <c r="C9" i="36" a="1"/>
  <c r="C9" i="36" s="1"/>
  <c r="D11" i="36" a="1"/>
  <c r="D11" i="36" s="1"/>
  <c r="F25" i="36" a="1"/>
  <c r="F25" i="36" s="1"/>
  <c r="F55" i="36" a="1"/>
  <c r="F55" i="36" s="1"/>
  <c r="B99" i="36" a="1"/>
  <c r="B99" i="36" s="1"/>
  <c r="B115" i="36" a="1"/>
  <c r="B115" i="36" s="1"/>
  <c r="B117" i="36" a="1"/>
  <c r="B117" i="36" s="1"/>
  <c r="F150" i="36" a="1"/>
  <c r="F150" i="36" s="1"/>
  <c r="C152" i="36" a="1"/>
  <c r="C152" i="36" s="1"/>
  <c r="B158" i="36" a="1"/>
  <c r="B158" i="36" s="1"/>
  <c r="B160" i="36" a="1"/>
  <c r="B160" i="36" s="1"/>
  <c r="F7" i="36" a="1"/>
  <c r="F7" i="36" s="1"/>
  <c r="D9" i="36" a="1"/>
  <c r="D9" i="36" s="1"/>
  <c r="D99" i="36" a="1"/>
  <c r="D99" i="36" s="1"/>
  <c r="F115" i="36" a="1"/>
  <c r="F115" i="36" s="1"/>
  <c r="C117" i="36" a="1"/>
  <c r="C117" i="36" s="1"/>
  <c r="D152" i="36" a="1"/>
  <c r="D152" i="36" s="1"/>
  <c r="F158" i="36" a="1"/>
  <c r="F158" i="36" s="1"/>
  <c r="C160" i="36" a="1"/>
  <c r="C160" i="36" s="1"/>
  <c r="F17" i="36" a="1"/>
  <c r="F17" i="36" s="1"/>
  <c r="D35" i="36" a="1"/>
  <c r="D35" i="36" s="1"/>
  <c r="B150" i="36" a="1"/>
  <c r="B150" i="36" s="1"/>
  <c r="B152" i="36" a="1"/>
  <c r="B152" i="36" s="1"/>
  <c r="F43" i="36" a="1"/>
  <c r="F43" i="36" s="1"/>
  <c r="B79" i="36" a="1"/>
  <c r="B79" i="36" s="1"/>
  <c r="B103" i="36" a="1"/>
  <c r="B103" i="36" s="1"/>
  <c r="B111" i="36" a="1"/>
  <c r="B111" i="36" s="1"/>
  <c r="D21" i="36" a="1"/>
  <c r="D21" i="36" s="1"/>
  <c r="C23" i="36" a="1"/>
  <c r="C23" i="36" s="1"/>
  <c r="B25" i="36" a="1"/>
  <c r="B25" i="36" s="1"/>
  <c r="F47" i="36" a="1"/>
  <c r="F47" i="36" s="1"/>
  <c r="F71" i="36" a="1"/>
  <c r="F71" i="36" s="1"/>
  <c r="C77" i="36" a="1"/>
  <c r="C77" i="36" s="1"/>
  <c r="D79" i="36" a="1"/>
  <c r="D79" i="36" s="1"/>
  <c r="F87" i="36" a="1"/>
  <c r="F87" i="36" s="1"/>
  <c r="C103" i="36" a="1"/>
  <c r="C103" i="36" s="1"/>
  <c r="C111" i="36" a="1"/>
  <c r="C111" i="36" s="1"/>
  <c r="C141" i="36" a="1"/>
  <c r="C141" i="36" s="1"/>
  <c r="C143" i="36" a="1"/>
  <c r="C143" i="36" s="1"/>
  <c r="B7" i="36" a="1"/>
  <c r="B7" i="36" s="1"/>
  <c r="D13" i="36" a="1"/>
  <c r="D13" i="36" s="1"/>
  <c r="D19" i="36" a="1"/>
  <c r="D19" i="36" s="1"/>
  <c r="D25" i="36" a="1"/>
  <c r="D25" i="36" s="1"/>
  <c r="B35" i="36" a="1"/>
  <c r="B35" i="36" s="1"/>
  <c r="C69" i="36" a="1"/>
  <c r="C69" i="36" s="1"/>
  <c r="D75" i="36" a="1"/>
  <c r="D75" i="36" s="1"/>
  <c r="F79" i="36" a="1"/>
  <c r="F79" i="36" s="1"/>
  <c r="D141" i="36" a="1"/>
  <c r="D141" i="36" s="1"/>
  <c r="D143" i="36" a="1"/>
  <c r="D143" i="36" s="1"/>
  <c r="F51" i="36" a="1"/>
  <c r="F51" i="36" s="1"/>
  <c r="F59" i="36" a="1"/>
  <c r="F59" i="36" s="1"/>
  <c r="F67" i="36" a="1"/>
  <c r="F67" i="36" s="1"/>
  <c r="F139" i="36" a="1"/>
  <c r="F139" i="36" s="1"/>
  <c r="C4" i="36" a="1"/>
  <c r="C4" i="36" s="1"/>
  <c r="B31" i="36" a="1"/>
  <c r="B31" i="36" s="1"/>
  <c r="C37" i="36" a="1"/>
  <c r="C37" i="36" s="1"/>
  <c r="B39" i="36" a="1"/>
  <c r="B39" i="36" s="1"/>
  <c r="B51" i="36" a="1"/>
  <c r="B51" i="36" s="1"/>
  <c r="B59" i="36" a="1"/>
  <c r="B59" i="36" s="1"/>
  <c r="B67" i="36" a="1"/>
  <c r="B67" i="36" s="1"/>
  <c r="F75" i="36" a="1"/>
  <c r="F75" i="36" s="1"/>
  <c r="B91" i="36" a="1"/>
  <c r="B91" i="36" s="1"/>
  <c r="B95" i="36" a="1"/>
  <c r="B95" i="36" s="1"/>
  <c r="C101" i="36" a="1"/>
  <c r="C101" i="36" s="1"/>
  <c r="C109" i="36" a="1"/>
  <c r="C109" i="36" s="1"/>
  <c r="B119" i="36" a="1"/>
  <c r="B119" i="36" s="1"/>
  <c r="B125" i="36" a="1"/>
  <c r="B125" i="36" s="1"/>
  <c r="B127" i="36" a="1"/>
  <c r="B127" i="36" s="1"/>
  <c r="B129" i="36" a="1"/>
  <c r="B129" i="36" s="1"/>
  <c r="B137" i="36" a="1"/>
  <c r="B137" i="36" s="1"/>
  <c r="B139" i="36" a="1"/>
  <c r="B139" i="36" s="1"/>
  <c r="C146" i="36" a="1"/>
  <c r="C146" i="36" s="1"/>
  <c r="C154" i="36" a="1"/>
  <c r="C154" i="36" s="1"/>
  <c r="D2" i="36" a="1"/>
  <c r="D2" i="36" s="1"/>
  <c r="D4" i="36" a="1"/>
  <c r="D4" i="36" s="1"/>
  <c r="B17" i="36" a="1"/>
  <c r="B17" i="36" s="1"/>
  <c r="D31" i="36" a="1"/>
  <c r="D31" i="36" s="1"/>
  <c r="F35" i="36" a="1"/>
  <c r="F35" i="36" s="1"/>
  <c r="D39" i="36" a="1"/>
  <c r="D39" i="36" s="1"/>
  <c r="C41" i="36" a="1"/>
  <c r="C41" i="36" s="1"/>
  <c r="B43" i="36" a="1"/>
  <c r="B43" i="36" s="1"/>
  <c r="B47" i="36" a="1"/>
  <c r="B47" i="36" s="1"/>
  <c r="C51" i="36" a="1"/>
  <c r="C51" i="36" s="1"/>
  <c r="B55" i="36" a="1"/>
  <c r="B55" i="36" s="1"/>
  <c r="C59" i="36" a="1"/>
  <c r="C59" i="36" s="1"/>
  <c r="B63" i="36" a="1"/>
  <c r="B63" i="36" s="1"/>
  <c r="C67" i="36" a="1"/>
  <c r="C67" i="36" s="1"/>
  <c r="B71" i="36" a="1"/>
  <c r="B71" i="36" s="1"/>
  <c r="B75" i="36" a="1"/>
  <c r="B75" i="36" s="1"/>
  <c r="B83" i="36" a="1"/>
  <c r="B83" i="36" s="1"/>
  <c r="B87" i="36" a="1"/>
  <c r="B87" i="36" s="1"/>
  <c r="D91" i="36" a="1"/>
  <c r="D91" i="36" s="1"/>
  <c r="C93" i="36" a="1"/>
  <c r="C93" i="36" s="1"/>
  <c r="D95" i="36" a="1"/>
  <c r="D95" i="36" s="1"/>
  <c r="F99" i="36" a="1"/>
  <c r="F99" i="36" s="1"/>
  <c r="D103" i="36" a="1"/>
  <c r="D103" i="36" s="1"/>
  <c r="F107" i="36" a="1"/>
  <c r="F107" i="36" s="1"/>
  <c r="D111" i="36" a="1"/>
  <c r="D111" i="36" s="1"/>
  <c r="F117" i="36" a="1"/>
  <c r="F117" i="36" s="1"/>
  <c r="C119" i="36" a="1"/>
  <c r="C119" i="36" s="1"/>
  <c r="C121" i="36" a="1"/>
  <c r="C121" i="36" s="1"/>
  <c r="F125" i="36" a="1"/>
  <c r="F125" i="36" s="1"/>
  <c r="F127" i="36" a="1"/>
  <c r="F127" i="36" s="1"/>
  <c r="C129" i="36" a="1"/>
  <c r="C129" i="36" s="1"/>
  <c r="C131" i="36" a="1"/>
  <c r="C131" i="36" s="1"/>
  <c r="F137" i="36" a="1"/>
  <c r="F137" i="36" s="1"/>
  <c r="C139" i="36" a="1"/>
  <c r="C139" i="36" s="1"/>
  <c r="D146" i="36" a="1"/>
  <c r="D146" i="36" s="1"/>
  <c r="F152" i="36" a="1"/>
  <c r="F152" i="36" s="1"/>
  <c r="D154" i="36" a="1"/>
  <c r="D154" i="36" s="1"/>
  <c r="D160" i="36" a="1"/>
  <c r="D160" i="36" s="1"/>
  <c r="C162" i="36" a="1"/>
  <c r="C162" i="36" s="1"/>
  <c r="F2" i="36" a="1"/>
  <c r="F2" i="36" s="1"/>
  <c r="E15" i="36" a="1"/>
  <c r="E15" i="36" s="1"/>
  <c r="C17" i="36" a="1"/>
  <c r="C17" i="36" s="1"/>
  <c r="C19" i="36" a="1"/>
  <c r="C19" i="36" s="1"/>
  <c r="F31" i="36" a="1"/>
  <c r="F31" i="36" s="1"/>
  <c r="F39" i="36" a="1"/>
  <c r="F39" i="36" s="1"/>
  <c r="D43" i="36" a="1"/>
  <c r="D43" i="36" s="1"/>
  <c r="C45" i="36" a="1"/>
  <c r="C45" i="36" s="1"/>
  <c r="D47" i="36" a="1"/>
  <c r="D47" i="36" s="1"/>
  <c r="D51" i="36" a="1"/>
  <c r="D51" i="36" s="1"/>
  <c r="C53" i="36" a="1"/>
  <c r="C53" i="36" s="1"/>
  <c r="D55" i="36" a="1"/>
  <c r="D55" i="36" s="1"/>
  <c r="D59" i="36" a="1"/>
  <c r="D59" i="36" s="1"/>
  <c r="C61" i="36" a="1"/>
  <c r="C61" i="36" s="1"/>
  <c r="D63" i="36" a="1"/>
  <c r="D63" i="36" s="1"/>
  <c r="D67" i="36" a="1"/>
  <c r="D67" i="36" s="1"/>
  <c r="D71" i="36" a="1"/>
  <c r="D71" i="36" s="1"/>
  <c r="C75" i="36" a="1"/>
  <c r="C75" i="36" s="1"/>
  <c r="D83" i="36" a="1"/>
  <c r="D83" i="36" s="1"/>
  <c r="D87" i="36" a="1"/>
  <c r="D87" i="36" s="1"/>
  <c r="F91" i="36" a="1"/>
  <c r="F91" i="36" s="1"/>
  <c r="F95" i="36" a="1"/>
  <c r="F95" i="36" s="1"/>
  <c r="F103" i="36" a="1"/>
  <c r="F103" i="36" s="1"/>
  <c r="F111" i="36" a="1"/>
  <c r="F111" i="36" s="1"/>
  <c r="F119" i="36" a="1"/>
  <c r="F119" i="36" s="1"/>
  <c r="D121" i="36" a="1"/>
  <c r="D121" i="36" s="1"/>
  <c r="F129" i="36" a="1"/>
  <c r="F129" i="36" s="1"/>
  <c r="D131" i="36" a="1"/>
  <c r="D131" i="36" s="1"/>
  <c r="D139" i="36" a="1"/>
  <c r="D139" i="36" s="1"/>
  <c r="F160" i="36" a="1"/>
  <c r="F160" i="36" s="1"/>
  <c r="D162" i="36" a="1"/>
  <c r="D162" i="36" s="1"/>
  <c r="F27" i="36" a="1"/>
  <c r="F27" i="36" s="1"/>
  <c r="B27" i="36" a="1"/>
  <c r="B27" i="36" s="1"/>
  <c r="D27" i="36" a="1"/>
  <c r="D27" i="36" s="1"/>
  <c r="D49" i="36" a="1"/>
  <c r="D49" i="36" s="1"/>
  <c r="C49" i="36" a="1"/>
  <c r="C49" i="36" s="1"/>
  <c r="F49" i="36" a="1"/>
  <c r="F49" i="36" s="1"/>
  <c r="B49" i="36" a="1"/>
  <c r="B49" i="36" s="1"/>
  <c r="D81" i="36" a="1"/>
  <c r="D81" i="36" s="1"/>
  <c r="C81" i="36" a="1"/>
  <c r="C81" i="36" s="1"/>
  <c r="F81" i="36" a="1"/>
  <c r="F81" i="36" s="1"/>
  <c r="B81" i="36" a="1"/>
  <c r="B81" i="36" s="1"/>
  <c r="D97" i="36" a="1"/>
  <c r="D97" i="36" s="1"/>
  <c r="C97" i="36" a="1"/>
  <c r="C97" i="36" s="1"/>
  <c r="F97" i="36" a="1"/>
  <c r="F97" i="36" s="1"/>
  <c r="B97" i="36" a="1"/>
  <c r="B97" i="36" s="1"/>
  <c r="D164" i="36" a="1"/>
  <c r="D164" i="36" s="1"/>
  <c r="C164" i="36" a="1"/>
  <c r="C164" i="36" s="1"/>
  <c r="F164" i="36" a="1"/>
  <c r="F164" i="36" s="1"/>
  <c r="B164" i="36" a="1"/>
  <c r="B164" i="36" s="1"/>
  <c r="E11" i="36" a="1"/>
  <c r="E11" i="36" s="1"/>
  <c r="E13" i="36" a="1"/>
  <c r="E13" i="36" s="1"/>
  <c r="B15" i="36" a="1"/>
  <c r="B15" i="36" s="1"/>
  <c r="F15" i="36" a="1"/>
  <c r="F15" i="36" s="1"/>
  <c r="C27" i="36" a="1"/>
  <c r="C27" i="36" s="1"/>
  <c r="C29" i="36" a="1"/>
  <c r="C29" i="36" s="1"/>
  <c r="D33" i="36" a="1"/>
  <c r="D33" i="36" s="1"/>
  <c r="F33" i="36" a="1"/>
  <c r="F33" i="36" s="1"/>
  <c r="B33" i="36" a="1"/>
  <c r="B33" i="36" s="1"/>
  <c r="E49" i="36" a="1"/>
  <c r="E49" i="36" s="1"/>
  <c r="D57" i="36" a="1"/>
  <c r="D57" i="36" s="1"/>
  <c r="C57" i="36" a="1"/>
  <c r="C57" i="36" s="1"/>
  <c r="F57" i="36" a="1"/>
  <c r="F57" i="36" s="1"/>
  <c r="B57" i="36" a="1"/>
  <c r="B57" i="36" s="1"/>
  <c r="E81" i="36" a="1"/>
  <c r="E81" i="36" s="1"/>
  <c r="E97" i="36" a="1"/>
  <c r="E97" i="36" s="1"/>
  <c r="D105" i="36" a="1"/>
  <c r="D105" i="36" s="1"/>
  <c r="C105" i="36" a="1"/>
  <c r="C105" i="36" s="1"/>
  <c r="F105" i="36" a="1"/>
  <c r="F105" i="36" s="1"/>
  <c r="B105" i="36" a="1"/>
  <c r="B105" i="36" s="1"/>
  <c r="E164" i="36" a="1"/>
  <c r="E164" i="36" s="1"/>
  <c r="D89" i="36" a="1"/>
  <c r="D89" i="36" s="1"/>
  <c r="C89" i="36" a="1"/>
  <c r="C89" i="36" s="1"/>
  <c r="F89" i="36" a="1"/>
  <c r="F89" i="36" s="1"/>
  <c r="B89" i="36" a="1"/>
  <c r="B89" i="36" s="1"/>
  <c r="E4" i="36" a="1"/>
  <c r="E4" i="36" s="1"/>
  <c r="D7" i="36" a="1"/>
  <c r="D7" i="36" s="1"/>
  <c r="E9" i="36" a="1"/>
  <c r="E9" i="36" s="1"/>
  <c r="B11" i="36" a="1"/>
  <c r="B11" i="36" s="1"/>
  <c r="F11" i="36" a="1"/>
  <c r="F11" i="36" s="1"/>
  <c r="B13" i="36" a="1"/>
  <c r="B13" i="36" s="1"/>
  <c r="F13" i="36" a="1"/>
  <c r="F13" i="36" s="1"/>
  <c r="C15" i="36" a="1"/>
  <c r="C15" i="36" s="1"/>
  <c r="D17" i="36" a="1"/>
  <c r="D17" i="36" s="1"/>
  <c r="E19" i="36" a="1"/>
  <c r="E19" i="36" s="1"/>
  <c r="C21" i="36" a="1"/>
  <c r="C21" i="36" s="1"/>
  <c r="E21" i="36" a="1"/>
  <c r="E21" i="36" s="1"/>
  <c r="E27" i="36" a="1"/>
  <c r="E27" i="36" s="1"/>
  <c r="C33" i="36" a="1"/>
  <c r="C33" i="36" s="1"/>
  <c r="F37" i="36" a="1"/>
  <c r="F37" i="36" s="1"/>
  <c r="B37" i="36" a="1"/>
  <c r="B37" i="36" s="1"/>
  <c r="D37" i="36" a="1"/>
  <c r="D37" i="36" s="1"/>
  <c r="E57" i="36" a="1"/>
  <c r="E57" i="36" s="1"/>
  <c r="D65" i="36" a="1"/>
  <c r="D65" i="36" s="1"/>
  <c r="C65" i="36" a="1"/>
  <c r="C65" i="36" s="1"/>
  <c r="F65" i="36" a="1"/>
  <c r="F65" i="36" s="1"/>
  <c r="B65" i="36" a="1"/>
  <c r="B65" i="36" s="1"/>
  <c r="E105" i="36" a="1"/>
  <c r="E105" i="36" s="1"/>
  <c r="D113" i="36" a="1"/>
  <c r="D113" i="36" s="1"/>
  <c r="C113" i="36" a="1"/>
  <c r="C113" i="36" s="1"/>
  <c r="F113" i="36" a="1"/>
  <c r="F113" i="36" s="1"/>
  <c r="B113" i="36" a="1"/>
  <c r="B113" i="36" s="1"/>
  <c r="D148" i="36" a="1"/>
  <c r="D148" i="36" s="1"/>
  <c r="C148" i="36" a="1"/>
  <c r="C148" i="36" s="1"/>
  <c r="F148" i="36" a="1"/>
  <c r="F148" i="36" s="1"/>
  <c r="B148" i="36" a="1"/>
  <c r="B148" i="36" s="1"/>
  <c r="F29" i="36" a="1"/>
  <c r="F29" i="36" s="1"/>
  <c r="B29" i="36" a="1"/>
  <c r="B29" i="36" s="1"/>
  <c r="D29" i="36" a="1"/>
  <c r="D29" i="36" s="1"/>
  <c r="B4" i="36" a="1"/>
  <c r="B4" i="36" s="1"/>
  <c r="B9" i="36" a="1"/>
  <c r="B9" i="36" s="1"/>
  <c r="B19" i="36" a="1"/>
  <c r="B19" i="36" s="1"/>
  <c r="B21" i="36" a="1"/>
  <c r="B21" i="36" s="1"/>
  <c r="D23" i="36" a="1"/>
  <c r="D23" i="36" s="1"/>
  <c r="F23" i="36" a="1"/>
  <c r="F23" i="36" s="1"/>
  <c r="B23" i="36" a="1"/>
  <c r="B23" i="36" s="1"/>
  <c r="E33" i="36" a="1"/>
  <c r="E33" i="36" s="1"/>
  <c r="D41" i="36" a="1"/>
  <c r="D41" i="36" s="1"/>
  <c r="F41" i="36" a="1"/>
  <c r="F41" i="36" s="1"/>
  <c r="B41" i="36" a="1"/>
  <c r="B41" i="36" s="1"/>
  <c r="E65" i="36" a="1"/>
  <c r="E65" i="36" s="1"/>
  <c r="D73" i="36" a="1"/>
  <c r="D73" i="36" s="1"/>
  <c r="C73" i="36" a="1"/>
  <c r="C73" i="36" s="1"/>
  <c r="F73" i="36" a="1"/>
  <c r="F73" i="36" s="1"/>
  <c r="B73" i="36" a="1"/>
  <c r="B73" i="36" s="1"/>
  <c r="E113" i="36" a="1"/>
  <c r="E113" i="36" s="1"/>
  <c r="D123" i="36" a="1"/>
  <c r="D123" i="36" s="1"/>
  <c r="C123" i="36" a="1"/>
  <c r="C123" i="36" s="1"/>
  <c r="F123" i="36" a="1"/>
  <c r="F123" i="36" s="1"/>
  <c r="B123" i="36" a="1"/>
  <c r="B123" i="36" s="1"/>
  <c r="D133" i="36" a="1"/>
  <c r="D133" i="36" s="1"/>
  <c r="C133" i="36" a="1"/>
  <c r="C133" i="36" s="1"/>
  <c r="F133" i="36" a="1"/>
  <c r="F133" i="36" s="1"/>
  <c r="B133" i="36" a="1"/>
  <c r="B133" i="36" s="1"/>
  <c r="D135" i="36" a="1"/>
  <c r="D135" i="36" s="1"/>
  <c r="C135" i="36" a="1"/>
  <c r="C135" i="36" s="1"/>
  <c r="F135" i="36" a="1"/>
  <c r="F135" i="36" s="1"/>
  <c r="B135" i="36" a="1"/>
  <c r="B135" i="36" s="1"/>
  <c r="E148" i="36" a="1"/>
  <c r="E148" i="36" s="1"/>
  <c r="D156" i="36" a="1"/>
  <c r="D156" i="36" s="1"/>
  <c r="C156" i="36" a="1"/>
  <c r="C156" i="36" s="1"/>
  <c r="F156" i="36" a="1"/>
  <c r="F156" i="36" s="1"/>
  <c r="B156" i="36" a="1"/>
  <c r="B156" i="36" s="1"/>
  <c r="C25" i="36" a="1"/>
  <c r="C25" i="36" s="1"/>
  <c r="E31" i="36" a="1"/>
  <c r="E31" i="36" s="1"/>
  <c r="C35" i="36" a="1"/>
  <c r="C35" i="36" s="1"/>
  <c r="E39" i="36" a="1"/>
  <c r="E39" i="36" s="1"/>
  <c r="C43" i="36" a="1"/>
  <c r="C43" i="36" s="1"/>
  <c r="D45" i="36" a="1"/>
  <c r="D45" i="36" s="1"/>
  <c r="E47" i="36" a="1"/>
  <c r="E47" i="36" s="1"/>
  <c r="D53" i="36" a="1"/>
  <c r="D53" i="36" s="1"/>
  <c r="E55" i="36" a="1"/>
  <c r="E55" i="36" s="1"/>
  <c r="D61" i="36" a="1"/>
  <c r="D61" i="36" s="1"/>
  <c r="E63" i="36" a="1"/>
  <c r="E63" i="36" s="1"/>
  <c r="D69" i="36" a="1"/>
  <c r="D69" i="36" s="1"/>
  <c r="E71" i="36" a="1"/>
  <c r="E71" i="36" s="1"/>
  <c r="D77" i="36" a="1"/>
  <c r="D77" i="36" s="1"/>
  <c r="E79" i="36" a="1"/>
  <c r="E79" i="36" s="1"/>
  <c r="C83" i="36" a="1"/>
  <c r="C83" i="36" s="1"/>
  <c r="D85" i="36" a="1"/>
  <c r="D85" i="36" s="1"/>
  <c r="E87" i="36" a="1"/>
  <c r="E87" i="36" s="1"/>
  <c r="C91" i="36" a="1"/>
  <c r="C91" i="36" s="1"/>
  <c r="D93" i="36" a="1"/>
  <c r="D93" i="36" s="1"/>
  <c r="E95" i="36" a="1"/>
  <c r="E95" i="36" s="1"/>
  <c r="C99" i="36" a="1"/>
  <c r="C99" i="36" s="1"/>
  <c r="D101" i="36" a="1"/>
  <c r="D101" i="36" s="1"/>
  <c r="C107" i="36" a="1"/>
  <c r="C107" i="36" s="1"/>
  <c r="D109" i="36" a="1"/>
  <c r="D109" i="36" s="1"/>
  <c r="C115" i="36" a="1"/>
  <c r="C115" i="36" s="1"/>
  <c r="D117" i="36" a="1"/>
  <c r="D117" i="36" s="1"/>
  <c r="D119" i="36" a="1"/>
  <c r="D119" i="36" s="1"/>
  <c r="E121" i="36" a="1"/>
  <c r="E121" i="36" s="1"/>
  <c r="C125" i="36" a="1"/>
  <c r="C125" i="36" s="1"/>
  <c r="C127" i="36" a="1"/>
  <c r="C127" i="36" s="1"/>
  <c r="D129" i="36" a="1"/>
  <c r="D129" i="36" s="1"/>
  <c r="E131" i="36" a="1"/>
  <c r="E131" i="36" s="1"/>
  <c r="C137" i="36" a="1"/>
  <c r="C137" i="36" s="1"/>
  <c r="E141" i="36" a="1"/>
  <c r="E141" i="36" s="1"/>
  <c r="E143" i="36" a="1"/>
  <c r="E143" i="36" s="1"/>
  <c r="E146" i="36" a="1"/>
  <c r="E146" i="36" s="1"/>
  <c r="C150" i="36" a="1"/>
  <c r="C150" i="36" s="1"/>
  <c r="E154" i="36" a="1"/>
  <c r="E154" i="36" s="1"/>
  <c r="C158" i="36" a="1"/>
  <c r="C158" i="36" s="1"/>
  <c r="E162" i="36" a="1"/>
  <c r="E162" i="36" s="1"/>
  <c r="E45" i="36" a="1"/>
  <c r="E45" i="36" s="1"/>
  <c r="E53" i="36" a="1"/>
  <c r="E53" i="36" s="1"/>
  <c r="E61" i="36" a="1"/>
  <c r="E61" i="36" s="1"/>
  <c r="E69" i="36" a="1"/>
  <c r="E69" i="36" s="1"/>
  <c r="E77" i="36" a="1"/>
  <c r="E77" i="36" s="1"/>
  <c r="E85" i="36" a="1"/>
  <c r="E85" i="36" s="1"/>
  <c r="E93" i="36" a="1"/>
  <c r="E93" i="36" s="1"/>
  <c r="E101" i="36" a="1"/>
  <c r="E101" i="36" s="1"/>
  <c r="E109" i="36" a="1"/>
  <c r="E109" i="36" s="1"/>
  <c r="D115" i="36" a="1"/>
  <c r="D115" i="36" s="1"/>
  <c r="B121" i="36" a="1"/>
  <c r="B121" i="36" s="1"/>
  <c r="D125" i="36" a="1"/>
  <c r="D125" i="36" s="1"/>
  <c r="D127" i="36" a="1"/>
  <c r="D127" i="36" s="1"/>
  <c r="B131" i="36" a="1"/>
  <c r="B131" i="36" s="1"/>
  <c r="D137" i="36" a="1"/>
  <c r="D137" i="36" s="1"/>
  <c r="B141" i="36" a="1"/>
  <c r="B141" i="36" s="1"/>
  <c r="B143" i="36" a="1"/>
  <c r="B143" i="36" s="1"/>
  <c r="B146" i="36" a="1"/>
  <c r="B146" i="36" s="1"/>
  <c r="D150" i="36" a="1"/>
  <c r="D150" i="36" s="1"/>
  <c r="B154" i="36" a="1"/>
  <c r="B154" i="36" s="1"/>
  <c r="D158" i="36" a="1"/>
  <c r="D158" i="36" s="1"/>
  <c r="B162" i="36" a="1"/>
  <c r="B162" i="36" s="1"/>
  <c r="B45" i="36" a="1"/>
  <c r="B45" i="36" s="1"/>
  <c r="B53" i="36" a="1"/>
  <c r="B53" i="36" s="1"/>
  <c r="B61" i="36" a="1"/>
  <c r="B61" i="36" s="1"/>
  <c r="B69" i="36" a="1"/>
  <c r="B69" i="36" s="1"/>
  <c r="B77" i="36" a="1"/>
  <c r="B77" i="36" s="1"/>
  <c r="B85" i="36" a="1"/>
  <c r="B85" i="36" s="1"/>
  <c r="B93" i="36" a="1"/>
  <c r="B93" i="36" s="1"/>
  <c r="B101" i="36" a="1"/>
  <c r="B101" i="36" s="1"/>
  <c r="B109" i="36" a="1"/>
  <c r="B109" i="36" s="1"/>
  <c r="E10" i="36" a="1"/>
  <c r="E10" i="36" s="1"/>
  <c r="C10" i="36" a="1"/>
  <c r="C10" i="36" s="1"/>
  <c r="F10" i="36" a="1"/>
  <c r="F10" i="36" s="1"/>
  <c r="D10" i="36" a="1"/>
  <c r="D10" i="36" s="1"/>
  <c r="B10" i="36" a="1"/>
  <c r="B10" i="36" s="1"/>
  <c r="F102" i="36" a="1"/>
  <c r="F102" i="36" s="1"/>
  <c r="D102" i="36" a="1"/>
  <c r="D102" i="36" s="1"/>
  <c r="B102" i="36" a="1"/>
  <c r="B102" i="36" s="1"/>
  <c r="E102" i="36" a="1"/>
  <c r="E102" i="36" s="1"/>
  <c r="C102" i="36" a="1"/>
  <c r="C102" i="36" s="1"/>
  <c r="E6" i="36" a="1"/>
  <c r="E6" i="36" s="1"/>
  <c r="C6" i="36" a="1"/>
  <c r="C6" i="36" s="1"/>
  <c r="F6" i="36" a="1"/>
  <c r="F6" i="36" s="1"/>
  <c r="D6" i="36" a="1"/>
  <c r="D6" i="36" s="1"/>
  <c r="B6" i="36" a="1"/>
  <c r="B6" i="36" s="1"/>
  <c r="E22" i="36" a="1"/>
  <c r="E22" i="36" s="1"/>
  <c r="C22" i="36" a="1"/>
  <c r="C22" i="36" s="1"/>
  <c r="F22" i="36" a="1"/>
  <c r="F22" i="36" s="1"/>
  <c r="D22" i="36" a="1"/>
  <c r="D22" i="36" s="1"/>
  <c r="B22" i="36" a="1"/>
  <c r="B22" i="36" s="1"/>
  <c r="E5" i="36" a="1"/>
  <c r="E5" i="36" s="1"/>
  <c r="C5" i="36" a="1"/>
  <c r="C5" i="36" s="1"/>
  <c r="F5" i="36" a="1"/>
  <c r="F5" i="36" s="1"/>
  <c r="D5" i="36" a="1"/>
  <c r="D5" i="36" s="1"/>
  <c r="B5" i="36" a="1"/>
  <c r="B5" i="36" s="1"/>
  <c r="E18" i="36" a="1"/>
  <c r="E18" i="36" s="1"/>
  <c r="C18" i="36" a="1"/>
  <c r="C18" i="36" s="1"/>
  <c r="F18" i="36" a="1"/>
  <c r="F18" i="36" s="1"/>
  <c r="D18" i="36" a="1"/>
  <c r="D18" i="36" s="1"/>
  <c r="B18" i="36" a="1"/>
  <c r="B18" i="36" s="1"/>
  <c r="F94" i="36" a="1"/>
  <c r="F94" i="36" s="1"/>
  <c r="D94" i="36" a="1"/>
  <c r="D94" i="36" s="1"/>
  <c r="B94" i="36" a="1"/>
  <c r="B94" i="36" s="1"/>
  <c r="E94" i="36" a="1"/>
  <c r="E94" i="36" s="1"/>
  <c r="C94" i="36" a="1"/>
  <c r="C94" i="36" s="1"/>
  <c r="E26" i="36" a="1"/>
  <c r="E26" i="36" s="1"/>
  <c r="C26" i="36" a="1"/>
  <c r="C26" i="36" s="1"/>
  <c r="F26" i="36" a="1"/>
  <c r="F26" i="36" s="1"/>
  <c r="D26" i="36" a="1"/>
  <c r="D26" i="36" s="1"/>
  <c r="B26" i="36" a="1"/>
  <c r="B26" i="36" s="1"/>
  <c r="E14" i="36" a="1"/>
  <c r="E14" i="36" s="1"/>
  <c r="C14" i="36" a="1"/>
  <c r="C14" i="36" s="1"/>
  <c r="F14" i="36" a="1"/>
  <c r="F14" i="36" s="1"/>
  <c r="D14" i="36" a="1"/>
  <c r="D14" i="36" s="1"/>
  <c r="B14" i="36" a="1"/>
  <c r="B14" i="36" s="1"/>
  <c r="E30" i="36" a="1"/>
  <c r="E30" i="36" s="1"/>
  <c r="F30" i="36" a="1"/>
  <c r="F30" i="36" s="1"/>
  <c r="C30" i="36" a="1"/>
  <c r="C30" i="36" s="1"/>
  <c r="D30" i="36" a="1"/>
  <c r="D30" i="36" s="1"/>
  <c r="B30" i="36" a="1"/>
  <c r="B30" i="36" s="1"/>
  <c r="F110" i="36" a="1"/>
  <c r="F110" i="36" s="1"/>
  <c r="D110" i="36" a="1"/>
  <c r="D110" i="36" s="1"/>
  <c r="B110" i="36" a="1"/>
  <c r="B110" i="36" s="1"/>
  <c r="E110" i="36" a="1"/>
  <c r="E110" i="36" s="1"/>
  <c r="C110" i="36" a="1"/>
  <c r="C110" i="36" s="1"/>
  <c r="C3" i="36" a="1"/>
  <c r="C3" i="36" s="1"/>
  <c r="E3" i="36" a="1"/>
  <c r="E3" i="36" s="1"/>
  <c r="C8" i="36" a="1"/>
  <c r="C8" i="36" s="1"/>
  <c r="E8" i="36" a="1"/>
  <c r="E8" i="36" s="1"/>
  <c r="C12" i="36" a="1"/>
  <c r="C12" i="36" s="1"/>
  <c r="E12" i="36" a="1"/>
  <c r="E12" i="36" s="1"/>
  <c r="C16" i="36" a="1"/>
  <c r="C16" i="36" s="1"/>
  <c r="E16" i="36" a="1"/>
  <c r="E16" i="36" s="1"/>
  <c r="C20" i="36" a="1"/>
  <c r="C20" i="36" s="1"/>
  <c r="E20" i="36" a="1"/>
  <c r="E20" i="36" s="1"/>
  <c r="C24" i="36" a="1"/>
  <c r="C24" i="36" s="1"/>
  <c r="E24" i="36" a="1"/>
  <c r="E24" i="36" s="1"/>
  <c r="C28" i="36" a="1"/>
  <c r="C28" i="36" s="1"/>
  <c r="E28" i="36" a="1"/>
  <c r="E28" i="36" s="1"/>
  <c r="E88" i="36" a="1"/>
  <c r="E88" i="36" s="1"/>
  <c r="C88" i="36" a="1"/>
  <c r="C88" i="36" s="1"/>
  <c r="F88" i="36" a="1"/>
  <c r="F88" i="36" s="1"/>
  <c r="D88" i="36" a="1"/>
  <c r="D88" i="36" s="1"/>
  <c r="B88" i="36" a="1"/>
  <c r="B88" i="36" s="1"/>
  <c r="E96" i="36" a="1"/>
  <c r="E96" i="36" s="1"/>
  <c r="C96" i="36" a="1"/>
  <c r="C96" i="36" s="1"/>
  <c r="F96" i="36" a="1"/>
  <c r="F96" i="36" s="1"/>
  <c r="D96" i="36" a="1"/>
  <c r="D96" i="36" s="1"/>
  <c r="B96" i="36" a="1"/>
  <c r="B96" i="36" s="1"/>
  <c r="E104" i="36" a="1"/>
  <c r="E104" i="36" s="1"/>
  <c r="C104" i="36" a="1"/>
  <c r="C104" i="36" s="1"/>
  <c r="F104" i="36" a="1"/>
  <c r="F104" i="36" s="1"/>
  <c r="D104" i="36" a="1"/>
  <c r="D104" i="36" s="1"/>
  <c r="B104" i="36" a="1"/>
  <c r="B104" i="36" s="1"/>
  <c r="E112" i="36" a="1"/>
  <c r="E112" i="36" s="1"/>
  <c r="C112" i="36" a="1"/>
  <c r="C112" i="36" s="1"/>
  <c r="F112" i="36" a="1"/>
  <c r="F112" i="36" s="1"/>
  <c r="D112" i="36" a="1"/>
  <c r="D112" i="36" s="1"/>
  <c r="B112" i="36" a="1"/>
  <c r="B112" i="36" s="1"/>
  <c r="E140" i="36" a="1"/>
  <c r="E140" i="36" s="1"/>
  <c r="C140" i="36" a="1"/>
  <c r="C140" i="36" s="1"/>
  <c r="F140" i="36" a="1"/>
  <c r="F140" i="36" s="1"/>
  <c r="D140" i="36" a="1"/>
  <c r="D140" i="36" s="1"/>
  <c r="B140" i="36" a="1"/>
  <c r="B140" i="36" s="1"/>
  <c r="E132" i="36" a="1"/>
  <c r="E132" i="36" s="1"/>
  <c r="C132" i="36" a="1"/>
  <c r="C132" i="36" s="1"/>
  <c r="F132" i="36" a="1"/>
  <c r="F132" i="36" s="1"/>
  <c r="D132" i="36" a="1"/>
  <c r="D132" i="36" s="1"/>
  <c r="B132" i="36" a="1"/>
  <c r="B132" i="36" s="1"/>
  <c r="F90" i="36" a="1"/>
  <c r="F90" i="36" s="1"/>
  <c r="D90" i="36" a="1"/>
  <c r="D90" i="36" s="1"/>
  <c r="B90" i="36" a="1"/>
  <c r="B90" i="36" s="1"/>
  <c r="E90" i="36" a="1"/>
  <c r="E90" i="36" s="1"/>
  <c r="C90" i="36" a="1"/>
  <c r="C90" i="36" s="1"/>
  <c r="F98" i="36" a="1"/>
  <c r="F98" i="36" s="1"/>
  <c r="D98" i="36" a="1"/>
  <c r="D98" i="36" s="1"/>
  <c r="B98" i="36" a="1"/>
  <c r="B98" i="36" s="1"/>
  <c r="E98" i="36" a="1"/>
  <c r="E98" i="36" s="1"/>
  <c r="C98" i="36" a="1"/>
  <c r="C98" i="36" s="1"/>
  <c r="F106" i="36" a="1"/>
  <c r="F106" i="36" s="1"/>
  <c r="D106" i="36" a="1"/>
  <c r="D106" i="36" s="1"/>
  <c r="B106" i="36" a="1"/>
  <c r="B106" i="36" s="1"/>
  <c r="E106" i="36" a="1"/>
  <c r="E106" i="36" s="1"/>
  <c r="C106" i="36" a="1"/>
  <c r="C106" i="36" s="1"/>
  <c r="E116" i="36" a="1"/>
  <c r="E116" i="36" s="1"/>
  <c r="C116" i="36" a="1"/>
  <c r="C116" i="36" s="1"/>
  <c r="F116" i="36" a="1"/>
  <c r="F116" i="36" s="1"/>
  <c r="D116" i="36" a="1"/>
  <c r="D116" i="36" s="1"/>
  <c r="B116" i="36" a="1"/>
  <c r="B116" i="36" s="1"/>
  <c r="B3" i="36" a="1"/>
  <c r="B3" i="36" s="1"/>
  <c r="D3" i="36" a="1"/>
  <c r="D3" i="36" s="1"/>
  <c r="B8" i="36" a="1"/>
  <c r="B8" i="36" s="1"/>
  <c r="D8" i="36" a="1"/>
  <c r="D8" i="36" s="1"/>
  <c r="B12" i="36" a="1"/>
  <c r="B12" i="36" s="1"/>
  <c r="D12" i="36" a="1"/>
  <c r="D12" i="36" s="1"/>
  <c r="B16" i="36" a="1"/>
  <c r="B16" i="36" s="1"/>
  <c r="D16" i="36" a="1"/>
  <c r="D16" i="36" s="1"/>
  <c r="B20" i="36" a="1"/>
  <c r="B20" i="36" s="1"/>
  <c r="D20" i="36" a="1"/>
  <c r="D20" i="36" s="1"/>
  <c r="B24" i="36" a="1"/>
  <c r="B24" i="36" s="1"/>
  <c r="D24" i="36" a="1"/>
  <c r="D24" i="36" s="1"/>
  <c r="B28" i="36" a="1"/>
  <c r="B28" i="36" s="1"/>
  <c r="D28" i="36" a="1"/>
  <c r="D28" i="36" s="1"/>
  <c r="F32" i="36" a="1"/>
  <c r="F32" i="36" s="1"/>
  <c r="D32" i="36" a="1"/>
  <c r="D32" i="36" s="1"/>
  <c r="B32" i="36" a="1"/>
  <c r="B32" i="36" s="1"/>
  <c r="E32" i="36" a="1"/>
  <c r="E32" i="36" s="1"/>
  <c r="C32" i="36" a="1"/>
  <c r="C32" i="36" s="1"/>
  <c r="E34" i="36" a="1"/>
  <c r="E34" i="36" s="1"/>
  <c r="C34" i="36" a="1"/>
  <c r="C34" i="36" s="1"/>
  <c r="F34" i="36" a="1"/>
  <c r="F34" i="36" s="1"/>
  <c r="D34" i="36" a="1"/>
  <c r="D34" i="36" s="1"/>
  <c r="B34" i="36" a="1"/>
  <c r="B34" i="36" s="1"/>
  <c r="F36" i="36" a="1"/>
  <c r="F36" i="36" s="1"/>
  <c r="D36" i="36" a="1"/>
  <c r="D36" i="36" s="1"/>
  <c r="B36" i="36" a="1"/>
  <c r="B36" i="36" s="1"/>
  <c r="E36" i="36" a="1"/>
  <c r="E36" i="36" s="1"/>
  <c r="C36" i="36" a="1"/>
  <c r="C36" i="36" s="1"/>
  <c r="E38" i="36" a="1"/>
  <c r="E38" i="36" s="1"/>
  <c r="C38" i="36" a="1"/>
  <c r="C38" i="36" s="1"/>
  <c r="F38" i="36" a="1"/>
  <c r="F38" i="36" s="1"/>
  <c r="D38" i="36" a="1"/>
  <c r="D38" i="36" s="1"/>
  <c r="B38" i="36" a="1"/>
  <c r="B38" i="36" s="1"/>
  <c r="F40" i="36" a="1"/>
  <c r="F40" i="36" s="1"/>
  <c r="D40" i="36" a="1"/>
  <c r="D40" i="36" s="1"/>
  <c r="B40" i="36" a="1"/>
  <c r="B40" i="36" s="1"/>
  <c r="E40" i="36" a="1"/>
  <c r="E40" i="36" s="1"/>
  <c r="C40" i="36" a="1"/>
  <c r="C40" i="36" s="1"/>
  <c r="E42" i="36" a="1"/>
  <c r="E42" i="36" s="1"/>
  <c r="C42" i="36" a="1"/>
  <c r="C42" i="36" s="1"/>
  <c r="F42" i="36" a="1"/>
  <c r="F42" i="36" s="1"/>
  <c r="D42" i="36" a="1"/>
  <c r="D42" i="36" s="1"/>
  <c r="B42" i="36" a="1"/>
  <c r="B42" i="36" s="1"/>
  <c r="F44" i="36" a="1"/>
  <c r="F44" i="36" s="1"/>
  <c r="D44" i="36" a="1"/>
  <c r="D44" i="36" s="1"/>
  <c r="B44" i="36" a="1"/>
  <c r="B44" i="36" s="1"/>
  <c r="E44" i="36" a="1"/>
  <c r="E44" i="36" s="1"/>
  <c r="C44" i="36" a="1"/>
  <c r="C44" i="36" s="1"/>
  <c r="E46" i="36" a="1"/>
  <c r="E46" i="36" s="1"/>
  <c r="C46" i="36" a="1"/>
  <c r="C46" i="36" s="1"/>
  <c r="F46" i="36" a="1"/>
  <c r="F46" i="36" s="1"/>
  <c r="D46" i="36" a="1"/>
  <c r="D46" i="36" s="1"/>
  <c r="B46" i="36" a="1"/>
  <c r="B46" i="36" s="1"/>
  <c r="F48" i="36" a="1"/>
  <c r="F48" i="36" s="1"/>
  <c r="D48" i="36" a="1"/>
  <c r="D48" i="36" s="1"/>
  <c r="B48" i="36" a="1"/>
  <c r="B48" i="36" s="1"/>
  <c r="E48" i="36" a="1"/>
  <c r="E48" i="36" s="1"/>
  <c r="C48" i="36" a="1"/>
  <c r="C48" i="36" s="1"/>
  <c r="E50" i="36" a="1"/>
  <c r="E50" i="36" s="1"/>
  <c r="C50" i="36" a="1"/>
  <c r="C50" i="36" s="1"/>
  <c r="F50" i="36" a="1"/>
  <c r="F50" i="36" s="1"/>
  <c r="D50" i="36" a="1"/>
  <c r="D50" i="36" s="1"/>
  <c r="B50" i="36" a="1"/>
  <c r="B50" i="36" s="1"/>
  <c r="F52" i="36" a="1"/>
  <c r="F52" i="36" s="1"/>
  <c r="D52" i="36" a="1"/>
  <c r="D52" i="36" s="1"/>
  <c r="B52" i="36" a="1"/>
  <c r="B52" i="36" s="1"/>
  <c r="E52" i="36" a="1"/>
  <c r="E52" i="36" s="1"/>
  <c r="C52" i="36" a="1"/>
  <c r="C52" i="36" s="1"/>
  <c r="E54" i="36" a="1"/>
  <c r="E54" i="36" s="1"/>
  <c r="C54" i="36" a="1"/>
  <c r="C54" i="36" s="1"/>
  <c r="F54" i="36" a="1"/>
  <c r="F54" i="36" s="1"/>
  <c r="D54" i="36" a="1"/>
  <c r="D54" i="36" s="1"/>
  <c r="B54" i="36" a="1"/>
  <c r="B54" i="36" s="1"/>
  <c r="F56" i="36" a="1"/>
  <c r="F56" i="36" s="1"/>
  <c r="D56" i="36" a="1"/>
  <c r="D56" i="36" s="1"/>
  <c r="B56" i="36" a="1"/>
  <c r="B56" i="36" s="1"/>
  <c r="E56" i="36" a="1"/>
  <c r="E56" i="36" s="1"/>
  <c r="C56" i="36" a="1"/>
  <c r="C56" i="36" s="1"/>
  <c r="E58" i="36" a="1"/>
  <c r="E58" i="36" s="1"/>
  <c r="C58" i="36" a="1"/>
  <c r="C58" i="36" s="1"/>
  <c r="F58" i="36" a="1"/>
  <c r="F58" i="36" s="1"/>
  <c r="D58" i="36" a="1"/>
  <c r="D58" i="36" s="1"/>
  <c r="B58" i="36" a="1"/>
  <c r="B58" i="36" s="1"/>
  <c r="F60" i="36" a="1"/>
  <c r="F60" i="36" s="1"/>
  <c r="D60" i="36" a="1"/>
  <c r="D60" i="36" s="1"/>
  <c r="B60" i="36" a="1"/>
  <c r="B60" i="36" s="1"/>
  <c r="E60" i="36" a="1"/>
  <c r="E60" i="36" s="1"/>
  <c r="C60" i="36" a="1"/>
  <c r="C60" i="36" s="1"/>
  <c r="E62" i="36" a="1"/>
  <c r="E62" i="36" s="1"/>
  <c r="C62" i="36" a="1"/>
  <c r="C62" i="36" s="1"/>
  <c r="F62" i="36" a="1"/>
  <c r="F62" i="36" s="1"/>
  <c r="D62" i="36" a="1"/>
  <c r="D62" i="36" s="1"/>
  <c r="B62" i="36" a="1"/>
  <c r="B62" i="36" s="1"/>
  <c r="F64" i="36" a="1"/>
  <c r="F64" i="36" s="1"/>
  <c r="D64" i="36" a="1"/>
  <c r="D64" i="36" s="1"/>
  <c r="B64" i="36" a="1"/>
  <c r="B64" i="36" s="1"/>
  <c r="E64" i="36" a="1"/>
  <c r="E64" i="36" s="1"/>
  <c r="C64" i="36" a="1"/>
  <c r="C64" i="36" s="1"/>
  <c r="E66" i="36" a="1"/>
  <c r="E66" i="36" s="1"/>
  <c r="C66" i="36" a="1"/>
  <c r="C66" i="36" s="1"/>
  <c r="F66" i="36" a="1"/>
  <c r="F66" i="36" s="1"/>
  <c r="D66" i="36" a="1"/>
  <c r="D66" i="36" s="1"/>
  <c r="B66" i="36" a="1"/>
  <c r="B66" i="36" s="1"/>
  <c r="F68" i="36" a="1"/>
  <c r="F68" i="36" s="1"/>
  <c r="D68" i="36" a="1"/>
  <c r="D68" i="36" s="1"/>
  <c r="B68" i="36" a="1"/>
  <c r="B68" i="36" s="1"/>
  <c r="E68" i="36" a="1"/>
  <c r="E68" i="36" s="1"/>
  <c r="C68" i="36" a="1"/>
  <c r="C68" i="36" s="1"/>
  <c r="E70" i="36" a="1"/>
  <c r="E70" i="36" s="1"/>
  <c r="C70" i="36" a="1"/>
  <c r="C70" i="36" s="1"/>
  <c r="F70" i="36" a="1"/>
  <c r="F70" i="36" s="1"/>
  <c r="D70" i="36" a="1"/>
  <c r="D70" i="36" s="1"/>
  <c r="B70" i="36" a="1"/>
  <c r="B70" i="36" s="1"/>
  <c r="F72" i="36" a="1"/>
  <c r="F72" i="36" s="1"/>
  <c r="D72" i="36" a="1"/>
  <c r="D72" i="36" s="1"/>
  <c r="B72" i="36" a="1"/>
  <c r="B72" i="36" s="1"/>
  <c r="E72" i="36" a="1"/>
  <c r="E72" i="36" s="1"/>
  <c r="C72" i="36" a="1"/>
  <c r="C72" i="36" s="1"/>
  <c r="E74" i="36" a="1"/>
  <c r="E74" i="36" s="1"/>
  <c r="C74" i="36" a="1"/>
  <c r="C74" i="36" s="1"/>
  <c r="F74" i="36" a="1"/>
  <c r="F74" i="36" s="1"/>
  <c r="D74" i="36" a="1"/>
  <c r="D74" i="36" s="1"/>
  <c r="B74" i="36" a="1"/>
  <c r="B74" i="36" s="1"/>
  <c r="F76" i="36" a="1"/>
  <c r="F76" i="36" s="1"/>
  <c r="D76" i="36" a="1"/>
  <c r="D76" i="36" s="1"/>
  <c r="B76" i="36" a="1"/>
  <c r="B76" i="36" s="1"/>
  <c r="E76" i="36" a="1"/>
  <c r="E76" i="36" s="1"/>
  <c r="C76" i="36" a="1"/>
  <c r="C76" i="36" s="1"/>
  <c r="E78" i="36" a="1"/>
  <c r="E78" i="36" s="1"/>
  <c r="C78" i="36" a="1"/>
  <c r="C78" i="36" s="1"/>
  <c r="F78" i="36" a="1"/>
  <c r="F78" i="36" s="1"/>
  <c r="D78" i="36" a="1"/>
  <c r="D78" i="36" s="1"/>
  <c r="B78" i="36" a="1"/>
  <c r="B78" i="36" s="1"/>
  <c r="F80" i="36" a="1"/>
  <c r="F80" i="36" s="1"/>
  <c r="D80" i="36" a="1"/>
  <c r="D80" i="36" s="1"/>
  <c r="B80" i="36" a="1"/>
  <c r="B80" i="36" s="1"/>
  <c r="E80" i="36" a="1"/>
  <c r="E80" i="36" s="1"/>
  <c r="C80" i="36" a="1"/>
  <c r="C80" i="36" s="1"/>
  <c r="E82" i="36" a="1"/>
  <c r="E82" i="36" s="1"/>
  <c r="C82" i="36" a="1"/>
  <c r="C82" i="36" s="1"/>
  <c r="F82" i="36" a="1"/>
  <c r="F82" i="36" s="1"/>
  <c r="D82" i="36" a="1"/>
  <c r="D82" i="36" s="1"/>
  <c r="B82" i="36" a="1"/>
  <c r="B82" i="36" s="1"/>
  <c r="F84" i="36" a="1"/>
  <c r="F84" i="36" s="1"/>
  <c r="D84" i="36" a="1"/>
  <c r="D84" i="36" s="1"/>
  <c r="B84" i="36" a="1"/>
  <c r="B84" i="36" s="1"/>
  <c r="E84" i="36" a="1"/>
  <c r="E84" i="36" s="1"/>
  <c r="C84" i="36" a="1"/>
  <c r="C84" i="36" s="1"/>
  <c r="F86" i="36" a="1"/>
  <c r="F86" i="36" s="1"/>
  <c r="D86" i="36" a="1"/>
  <c r="D86" i="36" s="1"/>
  <c r="E86" i="36" a="1"/>
  <c r="E86" i="36" s="1"/>
  <c r="C86" i="36" a="1"/>
  <c r="C86" i="36" s="1"/>
  <c r="B86" i="36" a="1"/>
  <c r="B86" i="36" s="1"/>
  <c r="E92" i="36" a="1"/>
  <c r="E92" i="36" s="1"/>
  <c r="C92" i="36" a="1"/>
  <c r="C92" i="36" s="1"/>
  <c r="F92" i="36" a="1"/>
  <c r="F92" i="36" s="1"/>
  <c r="D92" i="36" a="1"/>
  <c r="D92" i="36" s="1"/>
  <c r="B92" i="36" a="1"/>
  <c r="B92" i="36" s="1"/>
  <c r="E100" i="36" a="1"/>
  <c r="E100" i="36" s="1"/>
  <c r="C100" i="36" a="1"/>
  <c r="C100" i="36" s="1"/>
  <c r="F100" i="36" a="1"/>
  <c r="F100" i="36" s="1"/>
  <c r="D100" i="36" a="1"/>
  <c r="D100" i="36" s="1"/>
  <c r="B100" i="36" a="1"/>
  <c r="B100" i="36" s="1"/>
  <c r="E108" i="36" a="1"/>
  <c r="E108" i="36" s="1"/>
  <c r="C108" i="36" a="1"/>
  <c r="C108" i="36" s="1"/>
  <c r="F108" i="36" a="1"/>
  <c r="F108" i="36" s="1"/>
  <c r="D108" i="36" a="1"/>
  <c r="D108" i="36" s="1"/>
  <c r="B108" i="36" a="1"/>
  <c r="B108" i="36" s="1"/>
  <c r="E124" i="36" a="1"/>
  <c r="E124" i="36" s="1"/>
  <c r="C124" i="36" a="1"/>
  <c r="C124" i="36" s="1"/>
  <c r="F124" i="36" a="1"/>
  <c r="F124" i="36" s="1"/>
  <c r="D124" i="36" a="1"/>
  <c r="D124" i="36" s="1"/>
  <c r="B124" i="36" a="1"/>
  <c r="B124" i="36" s="1"/>
  <c r="E128" i="36" a="1"/>
  <c r="E128" i="36" s="1"/>
  <c r="C128" i="36" a="1"/>
  <c r="C128" i="36" s="1"/>
  <c r="F128" i="36" a="1"/>
  <c r="F128" i="36" s="1"/>
  <c r="D128" i="36" a="1"/>
  <c r="D128" i="36" s="1"/>
  <c r="B128" i="36" a="1"/>
  <c r="B128" i="36" s="1"/>
  <c r="E144" i="36" a="1"/>
  <c r="E144" i="36" s="1"/>
  <c r="C144" i="36" a="1"/>
  <c r="C144" i="36" s="1"/>
  <c r="F144" i="36" a="1"/>
  <c r="F144" i="36" s="1"/>
  <c r="D144" i="36" a="1"/>
  <c r="D144" i="36" s="1"/>
  <c r="B144" i="36" a="1"/>
  <c r="B144" i="36" s="1"/>
  <c r="E120" i="36" a="1"/>
  <c r="E120" i="36" s="1"/>
  <c r="C120" i="36" a="1"/>
  <c r="C120" i="36" s="1"/>
  <c r="F120" i="36" a="1"/>
  <c r="F120" i="36" s="1"/>
  <c r="D120" i="36" a="1"/>
  <c r="D120" i="36" s="1"/>
  <c r="B120" i="36" a="1"/>
  <c r="B120" i="36" s="1"/>
  <c r="E136" i="36" a="1"/>
  <c r="E136" i="36" s="1"/>
  <c r="C136" i="36" a="1"/>
  <c r="C136" i="36" s="1"/>
  <c r="F136" i="36" a="1"/>
  <c r="F136" i="36" s="1"/>
  <c r="D136" i="36" a="1"/>
  <c r="D136" i="36" s="1"/>
  <c r="B136" i="36" a="1"/>
  <c r="B136" i="36" s="1"/>
  <c r="C114" i="36" a="1"/>
  <c r="C114" i="36" s="1"/>
  <c r="E114" i="36" a="1"/>
  <c r="E114" i="36" s="1"/>
  <c r="C118" i="36" a="1"/>
  <c r="C118" i="36" s="1"/>
  <c r="E118" i="36" a="1"/>
  <c r="E118" i="36" s="1"/>
  <c r="C122" i="36" a="1"/>
  <c r="C122" i="36" s="1"/>
  <c r="E122" i="36" a="1"/>
  <c r="E122" i="36" s="1"/>
  <c r="C126" i="36" a="1"/>
  <c r="C126" i="36" s="1"/>
  <c r="E126" i="36" a="1"/>
  <c r="E126" i="36" s="1"/>
  <c r="C130" i="36" a="1"/>
  <c r="C130" i="36" s="1"/>
  <c r="E130" i="36" a="1"/>
  <c r="E130" i="36" s="1"/>
  <c r="C134" i="36" a="1"/>
  <c r="C134" i="36" s="1"/>
  <c r="E134" i="36" a="1"/>
  <c r="E134" i="36" s="1"/>
  <c r="C138" i="36" a="1"/>
  <c r="C138" i="36" s="1"/>
  <c r="E138" i="36" a="1"/>
  <c r="E138" i="36" s="1"/>
  <c r="C142" i="36" a="1"/>
  <c r="C142" i="36" s="1"/>
  <c r="E142" i="36" a="1"/>
  <c r="E142" i="36" s="1"/>
  <c r="P169" i="36"/>
  <c r="O170" i="36" s="1" a="1"/>
  <c r="O170" i="36" s="1"/>
  <c r="T170" i="36" a="1"/>
  <c r="T170" i="36" s="1"/>
  <c r="B114" i="36" a="1"/>
  <c r="B114" i="36" s="1"/>
  <c r="D114" i="36" a="1"/>
  <c r="D114" i="36" s="1"/>
  <c r="B118" i="36" a="1"/>
  <c r="B118" i="36" s="1"/>
  <c r="D118" i="36" a="1"/>
  <c r="D118" i="36" s="1"/>
  <c r="B122" i="36" a="1"/>
  <c r="B122" i="36" s="1"/>
  <c r="D122" i="36" a="1"/>
  <c r="D122" i="36" s="1"/>
  <c r="B126" i="36" a="1"/>
  <c r="B126" i="36" s="1"/>
  <c r="D126" i="36" a="1"/>
  <c r="D126" i="36" s="1"/>
  <c r="B130" i="36" a="1"/>
  <c r="B130" i="36" s="1"/>
  <c r="D130" i="36" a="1"/>
  <c r="D130" i="36" s="1"/>
  <c r="B134" i="36" a="1"/>
  <c r="B134" i="36" s="1"/>
  <c r="D134" i="36" a="1"/>
  <c r="D134" i="36" s="1"/>
  <c r="B138" i="36" a="1"/>
  <c r="B138" i="36" s="1"/>
  <c r="D138" i="36" a="1"/>
  <c r="D138" i="36" s="1"/>
  <c r="B142" i="36" a="1"/>
  <c r="B142" i="36" s="1"/>
  <c r="D142" i="36" a="1"/>
  <c r="D142" i="36" s="1"/>
  <c r="E145" i="36" a="1"/>
  <c r="E145" i="36" s="1"/>
  <c r="C145" i="36" a="1"/>
  <c r="C145" i="36" s="1"/>
  <c r="F145" i="36" a="1"/>
  <c r="F145" i="36" s="1"/>
  <c r="D145" i="36" a="1"/>
  <c r="D145" i="36" s="1"/>
  <c r="B145" i="36" a="1"/>
  <c r="B145" i="36" s="1"/>
  <c r="F147" i="36" a="1"/>
  <c r="F147" i="36" s="1"/>
  <c r="D147" i="36" a="1"/>
  <c r="D147" i="36" s="1"/>
  <c r="B147" i="36" a="1"/>
  <c r="B147" i="36" s="1"/>
  <c r="E147" i="36" a="1"/>
  <c r="E147" i="36" s="1"/>
  <c r="C147" i="36" a="1"/>
  <c r="C147" i="36" s="1"/>
  <c r="E149" i="36" a="1"/>
  <c r="E149" i="36" s="1"/>
  <c r="C149" i="36" a="1"/>
  <c r="C149" i="36" s="1"/>
  <c r="F149" i="36" a="1"/>
  <c r="F149" i="36" s="1"/>
  <c r="D149" i="36" a="1"/>
  <c r="D149" i="36" s="1"/>
  <c r="B149" i="36" a="1"/>
  <c r="B149" i="36" s="1"/>
  <c r="F151" i="36" a="1"/>
  <c r="F151" i="36" s="1"/>
  <c r="D151" i="36" a="1"/>
  <c r="D151" i="36" s="1"/>
  <c r="B151" i="36" a="1"/>
  <c r="B151" i="36" s="1"/>
  <c r="E151" i="36" a="1"/>
  <c r="E151" i="36" s="1"/>
  <c r="C151" i="36" a="1"/>
  <c r="C151" i="36" s="1"/>
  <c r="E153" i="36" a="1"/>
  <c r="E153" i="36" s="1"/>
  <c r="C153" i="36" a="1"/>
  <c r="C153" i="36" s="1"/>
  <c r="F153" i="36" a="1"/>
  <c r="F153" i="36" s="1"/>
  <c r="D153" i="36" a="1"/>
  <c r="D153" i="36" s="1"/>
  <c r="B153" i="36" a="1"/>
  <c r="B153" i="36" s="1"/>
  <c r="F155" i="36" a="1"/>
  <c r="F155" i="36" s="1"/>
  <c r="D155" i="36" a="1"/>
  <c r="D155" i="36" s="1"/>
  <c r="B155" i="36" a="1"/>
  <c r="B155" i="36" s="1"/>
  <c r="E155" i="36" a="1"/>
  <c r="E155" i="36" s="1"/>
  <c r="C155" i="36" a="1"/>
  <c r="C155" i="36" s="1"/>
  <c r="E157" i="36" a="1"/>
  <c r="E157" i="36" s="1"/>
  <c r="C157" i="36" a="1"/>
  <c r="C157" i="36" s="1"/>
  <c r="F157" i="36" a="1"/>
  <c r="F157" i="36" s="1"/>
  <c r="D157" i="36" a="1"/>
  <c r="D157" i="36" s="1"/>
  <c r="B157" i="36" a="1"/>
  <c r="B157" i="36" s="1"/>
  <c r="F159" i="36" a="1"/>
  <c r="F159" i="36" s="1"/>
  <c r="D159" i="36" a="1"/>
  <c r="D159" i="36" s="1"/>
  <c r="B159" i="36" a="1"/>
  <c r="B159" i="36" s="1"/>
  <c r="E159" i="36" a="1"/>
  <c r="E159" i="36" s="1"/>
  <c r="C159" i="36" a="1"/>
  <c r="C159" i="36" s="1"/>
  <c r="E161" i="36" a="1"/>
  <c r="E161" i="36" s="1"/>
  <c r="C161" i="36" a="1"/>
  <c r="C161" i="36" s="1"/>
  <c r="F161" i="36" a="1"/>
  <c r="F161" i="36" s="1"/>
  <c r="D161" i="36" a="1"/>
  <c r="D161" i="36" s="1"/>
  <c r="B161" i="36" a="1"/>
  <c r="B161" i="36" s="1"/>
  <c r="F163" i="36" a="1"/>
  <c r="F163" i="36" s="1"/>
  <c r="D163" i="36" a="1"/>
  <c r="D163" i="36" s="1"/>
  <c r="B163" i="36" a="1"/>
  <c r="B163" i="36" s="1"/>
  <c r="E163" i="36" a="1"/>
  <c r="E163" i="36" s="1"/>
  <c r="C163" i="36" a="1"/>
  <c r="C163" i="36" s="1"/>
  <c r="F169" i="36"/>
  <c r="E170" i="36" s="1" a="1"/>
  <c r="E170" i="36" s="1"/>
  <c r="E31" i="35" a="1"/>
  <c r="E31" i="35" s="1"/>
  <c r="D33" i="35" a="1"/>
  <c r="D33" i="35" s="1"/>
  <c r="D21" i="35" a="1"/>
  <c r="D21" i="35" s="1"/>
  <c r="F142" i="35" a="1"/>
  <c r="F142" i="35" s="1"/>
  <c r="F157" i="35" a="1"/>
  <c r="F157" i="35" s="1"/>
  <c r="F164" i="35" a="1"/>
  <c r="F164" i="35" s="1"/>
  <c r="C38" i="35" a="1"/>
  <c r="C38" i="35" s="1"/>
  <c r="K169" i="35"/>
  <c r="J170" i="35" s="1" a="1"/>
  <c r="J170" i="35" s="1"/>
  <c r="K172" i="35" s="1"/>
  <c r="C98" i="35" a="1"/>
  <c r="C98" i="35" s="1"/>
  <c r="D113" i="35" a="1"/>
  <c r="D113" i="35" s="1"/>
  <c r="G169" i="35"/>
  <c r="E170" i="35" s="1" a="1"/>
  <c r="E170" i="35" s="1"/>
  <c r="E9" i="35" a="1"/>
  <c r="E9" i="35" s="1"/>
  <c r="C31" i="35" a="1"/>
  <c r="C31" i="35" s="1"/>
  <c r="B33" i="35" a="1"/>
  <c r="B33" i="35" s="1"/>
  <c r="E42" i="35" a="1"/>
  <c r="E42" i="35" s="1"/>
  <c r="F65" i="35" a="1"/>
  <c r="F65" i="35" s="1"/>
  <c r="B142" i="35" a="1"/>
  <c r="B142" i="35" s="1"/>
  <c r="U169" i="35"/>
  <c r="C82" i="35" a="1"/>
  <c r="C82" i="35" s="1"/>
  <c r="B89" i="35" a="1"/>
  <c r="B89" i="35" s="1"/>
  <c r="C129" i="35" a="1"/>
  <c r="C129" i="35" s="1"/>
  <c r="C127" i="35" a="1"/>
  <c r="C127" i="35" s="1"/>
  <c r="C14" i="35" a="1"/>
  <c r="C14" i="35" s="1"/>
  <c r="C23" i="35" a="1"/>
  <c r="C23" i="35" s="1"/>
  <c r="E26" i="35" a="1"/>
  <c r="E26" i="35" s="1"/>
  <c r="B74" i="35" a="1"/>
  <c r="B74" i="35" s="1"/>
  <c r="F80" i="35" a="1"/>
  <c r="F80" i="35" s="1"/>
  <c r="D82" i="35" a="1"/>
  <c r="D82" i="35" s="1"/>
  <c r="B121" i="35" a="1"/>
  <c r="B121" i="35" s="1"/>
  <c r="D127" i="35" a="1"/>
  <c r="D127" i="35" s="1"/>
  <c r="F129" i="35" a="1"/>
  <c r="F129" i="35" s="1"/>
  <c r="E144" i="35" a="1"/>
  <c r="E144" i="35" s="1"/>
  <c r="F82" i="35" a="1"/>
  <c r="F82" i="35" s="1"/>
  <c r="C143" i="35" a="1"/>
  <c r="C143" i="35" s="1"/>
  <c r="C148" i="35" a="1"/>
  <c r="C148" i="35" s="1"/>
  <c r="E11" i="35" a="1"/>
  <c r="E11" i="35" s="1"/>
  <c r="B14" i="35" a="1"/>
  <c r="B14" i="35" s="1"/>
  <c r="C15" i="35" a="1"/>
  <c r="C15" i="35" s="1"/>
  <c r="D143" i="35" a="1"/>
  <c r="D143" i="35" s="1"/>
  <c r="C39" i="35" a="1"/>
  <c r="C39" i="35" s="1"/>
  <c r="B41" i="35" a="1"/>
  <c r="B41" i="35" s="1"/>
  <c r="C156" i="35" a="1"/>
  <c r="C156" i="35" s="1"/>
  <c r="F162" i="35" a="1"/>
  <c r="F162" i="35" s="1"/>
  <c r="F8" i="35" a="1"/>
  <c r="F8" i="35" s="1"/>
  <c r="D17" i="35" a="1"/>
  <c r="D17" i="35" s="1"/>
  <c r="D25" i="35" a="1"/>
  <c r="D25" i="35" s="1"/>
  <c r="E34" i="35" a="1"/>
  <c r="E34" i="35" s="1"/>
  <c r="E39" i="35" a="1"/>
  <c r="E39" i="35" s="1"/>
  <c r="D41" i="35" a="1"/>
  <c r="D41" i="35" s="1"/>
  <c r="C50" i="35" a="1"/>
  <c r="C50" i="35" s="1"/>
  <c r="F57" i="35" a="1"/>
  <c r="F57" i="35" s="1"/>
  <c r="E67" i="35" a="1"/>
  <c r="E67" i="35" s="1"/>
  <c r="C70" i="35" a="1"/>
  <c r="C70" i="35" s="1"/>
  <c r="B86" i="35" a="1"/>
  <c r="B86" i="35" s="1"/>
  <c r="B88" i="35" a="1"/>
  <c r="B88" i="35" s="1"/>
  <c r="B90" i="35" a="1"/>
  <c r="B90" i="35" s="1"/>
  <c r="B93" i="35" a="1"/>
  <c r="B93" i="35" s="1"/>
  <c r="C99" i="35" a="1"/>
  <c r="C99" i="35" s="1"/>
  <c r="B105" i="35" a="1"/>
  <c r="B105" i="35" s="1"/>
  <c r="F126" i="35" a="1"/>
  <c r="F126" i="35" s="1"/>
  <c r="C139" i="35" a="1"/>
  <c r="C139" i="35" s="1"/>
  <c r="D158" i="35" a="1"/>
  <c r="D158" i="35" s="1"/>
  <c r="C8" i="35" a="1"/>
  <c r="C8" i="35" s="1"/>
  <c r="C19" i="35" a="1"/>
  <c r="C19" i="35" s="1"/>
  <c r="C30" i="35" a="1"/>
  <c r="C30" i="35" s="1"/>
  <c r="B46" i="35" a="1"/>
  <c r="B46" i="35" s="1"/>
  <c r="F78" i="35" a="1"/>
  <c r="F78" i="35" s="1"/>
  <c r="B101" i="35" a="1"/>
  <c r="B101" i="35" s="1"/>
  <c r="B135" i="35" a="1"/>
  <c r="B135" i="35" s="1"/>
  <c r="E140" i="35" a="1"/>
  <c r="E140" i="35" s="1"/>
  <c r="C158" i="35" a="1"/>
  <c r="C158" i="35" s="1"/>
  <c r="F86" i="35" a="1"/>
  <c r="F86" i="35" s="1"/>
  <c r="B134" i="35" a="1"/>
  <c r="B134" i="35" s="1"/>
  <c r="F139" i="35" a="1"/>
  <c r="F139" i="35" s="1"/>
  <c r="B143" i="35" a="1"/>
  <c r="B143" i="35" s="1"/>
  <c r="F158" i="35" a="1"/>
  <c r="F158" i="35" s="1"/>
  <c r="F7" i="35" a="1"/>
  <c r="F7" i="35" s="1"/>
  <c r="C27" i="35" a="1"/>
  <c r="C27" i="35" s="1"/>
  <c r="B29" i="35" a="1"/>
  <c r="B29" i="35" s="1"/>
  <c r="E30" i="35" a="1"/>
  <c r="E30" i="35" s="1"/>
  <c r="C35" i="35" a="1"/>
  <c r="C35" i="35" s="1"/>
  <c r="B37" i="35" a="1"/>
  <c r="B37" i="35" s="1"/>
  <c r="E38" i="35" a="1"/>
  <c r="E38" i="35" s="1"/>
  <c r="C43" i="35" a="1"/>
  <c r="C43" i="35" s="1"/>
  <c r="B45" i="35" a="1"/>
  <c r="B45" i="35" s="1"/>
  <c r="F49" i="35" a="1"/>
  <c r="F49" i="35" s="1"/>
  <c r="C51" i="35" a="1"/>
  <c r="C51" i="35" s="1"/>
  <c r="B53" i="35" a="1"/>
  <c r="B53" i="35" s="1"/>
  <c r="C54" i="35" a="1"/>
  <c r="C54" i="35" s="1"/>
  <c r="C66" i="35" a="1"/>
  <c r="C66" i="35" s="1"/>
  <c r="D70" i="35" a="1"/>
  <c r="D70" i="35" s="1"/>
  <c r="F72" i="35" a="1"/>
  <c r="F72" i="35" s="1"/>
  <c r="C74" i="35" a="1"/>
  <c r="C74" i="35" s="1"/>
  <c r="B76" i="35" a="1"/>
  <c r="B76" i="35" s="1"/>
  <c r="F81" i="35" a="1"/>
  <c r="F81" i="35" s="1"/>
  <c r="D88" i="35" a="1"/>
  <c r="D88" i="35" s="1"/>
  <c r="D89" i="35" a="1"/>
  <c r="D89" i="35" s="1"/>
  <c r="E98" i="35" a="1"/>
  <c r="E98" i="35" s="1"/>
  <c r="B109" i="35" a="1"/>
  <c r="B109" i="35" s="1"/>
  <c r="C118" i="35" a="1"/>
  <c r="C118" i="35" s="1"/>
  <c r="E128" i="35" a="1"/>
  <c r="E128" i="35" s="1"/>
  <c r="C136" i="35" a="1"/>
  <c r="C136" i="35" s="1"/>
  <c r="F143" i="35" a="1"/>
  <c r="F143" i="35" s="1"/>
  <c r="C146" i="35" a="1"/>
  <c r="C146" i="35" s="1"/>
  <c r="E147" i="35" a="1"/>
  <c r="E147" i="35" s="1"/>
  <c r="E148" i="35" a="1"/>
  <c r="E148" i="35" s="1"/>
  <c r="B150" i="35" a="1"/>
  <c r="B150" i="35" s="1"/>
  <c r="C154" i="35" a="1"/>
  <c r="C154" i="35" s="1"/>
  <c r="E155" i="35" a="1"/>
  <c r="E155" i="35" s="1"/>
  <c r="E156" i="35" a="1"/>
  <c r="E156" i="35" s="1"/>
  <c r="C9" i="35" a="1"/>
  <c r="C9" i="35" s="1"/>
  <c r="B17" i="35" a="1"/>
  <c r="B17" i="35" s="1"/>
  <c r="B21" i="35" a="1"/>
  <c r="B21" i="35" s="1"/>
  <c r="B25" i="35" a="1"/>
  <c r="B25" i="35" s="1"/>
  <c r="C26" i="35" a="1"/>
  <c r="C26" i="35" s="1"/>
  <c r="E27" i="35" a="1"/>
  <c r="E27" i="35" s="1"/>
  <c r="D29" i="35" a="1"/>
  <c r="D29" i="35" s="1"/>
  <c r="C34" i="35" a="1"/>
  <c r="C34" i="35" s="1"/>
  <c r="E35" i="35" a="1"/>
  <c r="E35" i="35" s="1"/>
  <c r="D37" i="35" a="1"/>
  <c r="D37" i="35" s="1"/>
  <c r="C42" i="35" a="1"/>
  <c r="C42" i="35" s="1"/>
  <c r="E43" i="35" a="1"/>
  <c r="E43" i="35" s="1"/>
  <c r="D45" i="35" a="1"/>
  <c r="D45" i="35" s="1"/>
  <c r="E51" i="35" a="1"/>
  <c r="E51" i="35" s="1"/>
  <c r="D53" i="35" a="1"/>
  <c r="D53" i="35" s="1"/>
  <c r="E54" i="35" a="1"/>
  <c r="E54" i="35" s="1"/>
  <c r="B69" i="35" a="1"/>
  <c r="B69" i="35" s="1"/>
  <c r="F74" i="35" a="1"/>
  <c r="F74" i="35" s="1"/>
  <c r="C78" i="35" a="1"/>
  <c r="C78" i="35" s="1"/>
  <c r="C86" i="35" a="1"/>
  <c r="C86" i="35" s="1"/>
  <c r="E87" i="35" a="1"/>
  <c r="E87" i="35" s="1"/>
  <c r="B98" i="35" a="1"/>
  <c r="B98" i="35" s="1"/>
  <c r="F98" i="35" a="1"/>
  <c r="F98" i="35" s="1"/>
  <c r="B100" i="35" a="1"/>
  <c r="B100" i="35" s="1"/>
  <c r="D101" i="35" a="1"/>
  <c r="D101" i="35" s="1"/>
  <c r="B104" i="35" a="1"/>
  <c r="B104" i="35" s="1"/>
  <c r="B114" i="35" a="1"/>
  <c r="B114" i="35" s="1"/>
  <c r="E118" i="35" a="1"/>
  <c r="E118" i="35" s="1"/>
  <c r="B120" i="35" a="1"/>
  <c r="B120" i="35" s="1"/>
  <c r="C126" i="35" a="1"/>
  <c r="C126" i="35" s="1"/>
  <c r="E136" i="35" a="1"/>
  <c r="E136" i="35" s="1"/>
  <c r="E146" i="35" a="1"/>
  <c r="E146" i="35" s="1"/>
  <c r="E150" i="35" a="1"/>
  <c r="E150" i="35" s="1"/>
  <c r="E154" i="35" a="1"/>
  <c r="E154" i="35" s="1"/>
  <c r="F53" i="35" a="1"/>
  <c r="F53" i="35" s="1"/>
  <c r="E86" i="35" a="1"/>
  <c r="E86" i="35" s="1"/>
  <c r="B117" i="35" a="1"/>
  <c r="B117" i="35" s="1"/>
  <c r="F118" i="35" a="1"/>
  <c r="F118" i="35" s="1"/>
  <c r="E126" i="35" a="1"/>
  <c r="E126" i="35" s="1"/>
  <c r="F135" i="35" a="1"/>
  <c r="F135" i="35" s="1"/>
  <c r="E139" i="35" a="1"/>
  <c r="E139" i="35" s="1"/>
  <c r="B146" i="35" a="1"/>
  <c r="B146" i="35" s="1"/>
  <c r="F146" i="35" a="1"/>
  <c r="F146" i="35" s="1"/>
  <c r="B149" i="35" a="1"/>
  <c r="B149" i="35" s="1"/>
  <c r="B154" i="35" a="1"/>
  <c r="B154" i="35" s="1"/>
  <c r="F154" i="35" a="1"/>
  <c r="F154" i="35" s="1"/>
  <c r="C162" i="35" a="1"/>
  <c r="C162" i="35" s="1"/>
  <c r="B164" i="35" a="1"/>
  <c r="B164" i="35" s="1"/>
  <c r="E4" i="35" a="1"/>
  <c r="E4" i="35" s="1"/>
  <c r="F13" i="35" a="1"/>
  <c r="F13" i="35" s="1"/>
  <c r="E62" i="35" a="1"/>
  <c r="E62" i="35" s="1"/>
  <c r="E97" i="35" a="1"/>
  <c r="E97" i="35" s="1"/>
  <c r="D97" i="35" a="1"/>
  <c r="D97" i="35" s="1"/>
  <c r="B97" i="35" a="1"/>
  <c r="B97" i="35" s="1"/>
  <c r="C2" i="35" a="1"/>
  <c r="C2" i="35" s="1"/>
  <c r="C3" i="35" a="1"/>
  <c r="C3" i="35" s="1"/>
  <c r="B4" i="35" a="1"/>
  <c r="B4" i="35" s="1"/>
  <c r="F4" i="35" a="1"/>
  <c r="F4" i="35" s="1"/>
  <c r="D8" i="35" a="1"/>
  <c r="D8" i="35" s="1"/>
  <c r="B13" i="35" a="1"/>
  <c r="B13" i="35" s="1"/>
  <c r="C18" i="35" a="1"/>
  <c r="C18" i="35" s="1"/>
  <c r="C22" i="35" a="1"/>
  <c r="C22" i="35" s="1"/>
  <c r="E50" i="35" a="1"/>
  <c r="E50" i="35" s="1"/>
  <c r="C59" i="35" a="1"/>
  <c r="C59" i="35" s="1"/>
  <c r="B61" i="35" a="1"/>
  <c r="B61" i="35" s="1"/>
  <c r="B62" i="35" a="1"/>
  <c r="B62" i="35" s="1"/>
  <c r="E66" i="35" a="1"/>
  <c r="E66" i="35" s="1"/>
  <c r="D68" i="35" a="1"/>
  <c r="D68" i="35" s="1"/>
  <c r="E68" i="35" a="1"/>
  <c r="E68" i="35" s="1"/>
  <c r="C68" i="35" a="1"/>
  <c r="C68" i="35" s="1"/>
  <c r="B73" i="35" a="1"/>
  <c r="B73" i="35" s="1"/>
  <c r="E79" i="35" a="1"/>
  <c r="E79" i="35" s="1"/>
  <c r="C79" i="35" a="1"/>
  <c r="C79" i="35" s="1"/>
  <c r="F97" i="35" a="1"/>
  <c r="F97" i="35" s="1"/>
  <c r="E125" i="35" a="1"/>
  <c r="E125" i="35" s="1"/>
  <c r="D125" i="35" a="1"/>
  <c r="D125" i="35" s="1"/>
  <c r="B125" i="35" a="1"/>
  <c r="B125" i="35" s="1"/>
  <c r="F130" i="35" a="1"/>
  <c r="F130" i="35" s="1"/>
  <c r="B130" i="35" a="1"/>
  <c r="B130" i="35" s="1"/>
  <c r="F145" i="35" a="1"/>
  <c r="F145" i="35" s="1"/>
  <c r="D145" i="35" a="1"/>
  <c r="D145" i="35" s="1"/>
  <c r="E163" i="35" a="1"/>
  <c r="E163" i="35" s="1"/>
  <c r="C163" i="35" a="1"/>
  <c r="C163" i="35" s="1"/>
  <c r="F102" i="35" a="1"/>
  <c r="F102" i="35" s="1"/>
  <c r="C102" i="35" a="1"/>
  <c r="C102" i="35" s="1"/>
  <c r="E102" i="35" a="1"/>
  <c r="E102" i="35" s="1"/>
  <c r="B102" i="35" a="1"/>
  <c r="B102" i="35" s="1"/>
  <c r="F106" i="35" a="1"/>
  <c r="F106" i="35" s="1"/>
  <c r="C106" i="35" a="1"/>
  <c r="C106" i="35" s="1"/>
  <c r="E106" i="35" a="1"/>
  <c r="E106" i="35" s="1"/>
  <c r="B106" i="35" a="1"/>
  <c r="B106" i="35" s="1"/>
  <c r="F122" i="35" a="1"/>
  <c r="F122" i="35" s="1"/>
  <c r="C122" i="35" a="1"/>
  <c r="C122" i="35" s="1"/>
  <c r="E122" i="35" a="1"/>
  <c r="E122" i="35" s="1"/>
  <c r="B122" i="35" a="1"/>
  <c r="B122" i="35" s="1"/>
  <c r="E2" i="35" a="1"/>
  <c r="E2" i="35" s="1"/>
  <c r="E3" i="35" a="1"/>
  <c r="E3" i="35" s="1"/>
  <c r="C4" i="35" a="1"/>
  <c r="C4" i="35" s="1"/>
  <c r="B7" i="35" a="1"/>
  <c r="B7" i="35" s="1"/>
  <c r="B8" i="35" a="1"/>
  <c r="B8" i="35" s="1"/>
  <c r="B12" i="35" a="1"/>
  <c r="B12" i="35" s="1"/>
  <c r="E14" i="35" a="1"/>
  <c r="E14" i="35" s="1"/>
  <c r="F17" i="35" a="1"/>
  <c r="F17" i="35" s="1"/>
  <c r="E18" i="35" a="1"/>
  <c r="E18" i="35" s="1"/>
  <c r="F21" i="35" a="1"/>
  <c r="F21" i="35" s="1"/>
  <c r="E22" i="35" a="1"/>
  <c r="E22" i="35" s="1"/>
  <c r="F25" i="35" a="1"/>
  <c r="F25" i="35" s="1"/>
  <c r="F29" i="35" a="1"/>
  <c r="F29" i="35" s="1"/>
  <c r="F33" i="35" a="1"/>
  <c r="F33" i="35" s="1"/>
  <c r="F37" i="35" a="1"/>
  <c r="F37" i="35" s="1"/>
  <c r="F41" i="35" a="1"/>
  <c r="F41" i="35" s="1"/>
  <c r="F45" i="35" a="1"/>
  <c r="F45" i="35" s="1"/>
  <c r="C46" i="35" a="1"/>
  <c r="C46" i="35" s="1"/>
  <c r="C47" i="35" a="1"/>
  <c r="C47" i="35" s="1"/>
  <c r="B49" i="35" a="1"/>
  <c r="B49" i="35" s="1"/>
  <c r="B50" i="35" a="1"/>
  <c r="B50" i="35" s="1"/>
  <c r="C55" i="35" a="1"/>
  <c r="C55" i="35" s="1"/>
  <c r="B57" i="35" a="1"/>
  <c r="B57" i="35" s="1"/>
  <c r="C58" i="35" a="1"/>
  <c r="C58" i="35" s="1"/>
  <c r="E59" i="35" a="1"/>
  <c r="E59" i="35" s="1"/>
  <c r="D61" i="35" a="1"/>
  <c r="D61" i="35" s="1"/>
  <c r="C63" i="35" a="1"/>
  <c r="C63" i="35" s="1"/>
  <c r="B65" i="35" a="1"/>
  <c r="B65" i="35" s="1"/>
  <c r="B66" i="35" a="1"/>
  <c r="B66" i="35" s="1"/>
  <c r="F66" i="35" a="1"/>
  <c r="F66" i="35" s="1"/>
  <c r="B68" i="35" a="1"/>
  <c r="B68" i="35" s="1"/>
  <c r="D80" i="35" a="1"/>
  <c r="D80" i="35" s="1"/>
  <c r="E80" i="35" a="1"/>
  <c r="E80" i="35" s="1"/>
  <c r="C80" i="35" a="1"/>
  <c r="C80" i="35" s="1"/>
  <c r="E115" i="35" a="1"/>
  <c r="E115" i="35" s="1"/>
  <c r="C115" i="35" a="1"/>
  <c r="C115" i="35" s="1"/>
  <c r="F125" i="35" a="1"/>
  <c r="F125" i="35" s="1"/>
  <c r="F131" i="35" a="1"/>
  <c r="F131" i="35" s="1"/>
  <c r="C131" i="35" a="1"/>
  <c r="C131" i="35" s="1"/>
  <c r="E131" i="35" a="1"/>
  <c r="E131" i="35" s="1"/>
  <c r="B131" i="35" a="1"/>
  <c r="B131" i="35" s="1"/>
  <c r="D7" i="35" a="1"/>
  <c r="D7" i="35" s="1"/>
  <c r="F12" i="35" a="1"/>
  <c r="F12" i="35" s="1"/>
  <c r="D13" i="35" a="1"/>
  <c r="D13" i="35" s="1"/>
  <c r="E46" i="35" a="1"/>
  <c r="E46" i="35" s="1"/>
  <c r="E47" i="35" a="1"/>
  <c r="E47" i="35" s="1"/>
  <c r="D49" i="35" a="1"/>
  <c r="D49" i="35" s="1"/>
  <c r="E55" i="35" a="1"/>
  <c r="E55" i="35" s="1"/>
  <c r="D57" i="35" a="1"/>
  <c r="D57" i="35" s="1"/>
  <c r="E58" i="35" a="1"/>
  <c r="E58" i="35" s="1"/>
  <c r="F61" i="35" a="1"/>
  <c r="F61" i="35" s="1"/>
  <c r="C62" i="35" a="1"/>
  <c r="C62" i="35" s="1"/>
  <c r="E63" i="35" a="1"/>
  <c r="E63" i="35" s="1"/>
  <c r="D65" i="35" a="1"/>
  <c r="D65" i="35" s="1"/>
  <c r="F94" i="35" a="1"/>
  <c r="F94" i="35" s="1"/>
  <c r="C94" i="35" a="1"/>
  <c r="C94" i="35" s="1"/>
  <c r="E94" i="35" a="1"/>
  <c r="E94" i="35" s="1"/>
  <c r="B94" i="35" a="1"/>
  <c r="B94" i="35" s="1"/>
  <c r="F110" i="35" a="1"/>
  <c r="F110" i="35" s="1"/>
  <c r="C110" i="35" a="1"/>
  <c r="C110" i="35" s="1"/>
  <c r="E110" i="35" a="1"/>
  <c r="E110" i="35" s="1"/>
  <c r="B110" i="35" a="1"/>
  <c r="B110" i="35" s="1"/>
  <c r="D116" i="35" a="1"/>
  <c r="D116" i="35" s="1"/>
  <c r="F116" i="35" a="1"/>
  <c r="F116" i="35" s="1"/>
  <c r="B116" i="35" a="1"/>
  <c r="B116" i="35" s="1"/>
  <c r="D131" i="35" a="1"/>
  <c r="D131" i="35" s="1"/>
  <c r="E70" i="35" a="1"/>
  <c r="E70" i="35" s="1"/>
  <c r="D74" i="35" a="1"/>
  <c r="D74" i="35" s="1"/>
  <c r="D76" i="35" a="1"/>
  <c r="D76" i="35" s="1"/>
  <c r="D78" i="35" a="1"/>
  <c r="D78" i="35" s="1"/>
  <c r="E90" i="35" a="1"/>
  <c r="E90" i="35" s="1"/>
  <c r="D93" i="35" a="1"/>
  <c r="D93" i="35" s="1"/>
  <c r="F100" i="35" a="1"/>
  <c r="F100" i="35" s="1"/>
  <c r="D104" i="35" a="1"/>
  <c r="D104" i="35" s="1"/>
  <c r="D105" i="35" a="1"/>
  <c r="D105" i="35" s="1"/>
  <c r="D109" i="35" a="1"/>
  <c r="D109" i="35" s="1"/>
  <c r="F113" i="35" a="1"/>
  <c r="F113" i="35" s="1"/>
  <c r="E114" i="35" a="1"/>
  <c r="E114" i="35" s="1"/>
  <c r="D118" i="35" a="1"/>
  <c r="D118" i="35" s="1"/>
  <c r="D120" i="35" a="1"/>
  <c r="D120" i="35" s="1"/>
  <c r="D121" i="35" a="1"/>
  <c r="D121" i="35" s="1"/>
  <c r="D126" i="35" a="1"/>
  <c r="D126" i="35" s="1"/>
  <c r="E129" i="35" a="1"/>
  <c r="E129" i="35" s="1"/>
  <c r="D134" i="35" a="1"/>
  <c r="D134" i="35" s="1"/>
  <c r="C135" i="35" a="1"/>
  <c r="C135" i="35" s="1"/>
  <c r="D139" i="35" a="1"/>
  <c r="D139" i="35" s="1"/>
  <c r="C150" i="35" a="1"/>
  <c r="C150" i="35" s="1"/>
  <c r="F150" i="35" a="1"/>
  <c r="F150" i="35" s="1"/>
  <c r="F156" i="35" a="1"/>
  <c r="F156" i="35" s="1"/>
  <c r="D162" i="35" a="1"/>
  <c r="D162" i="35" s="1"/>
  <c r="C164" i="35" a="1"/>
  <c r="C164" i="35" s="1"/>
  <c r="B70" i="35" a="1"/>
  <c r="B70" i="35" s="1"/>
  <c r="F76" i="35" a="1"/>
  <c r="F76" i="35" s="1"/>
  <c r="B78" i="35" a="1"/>
  <c r="B78" i="35" s="1"/>
  <c r="B82" i="35" a="1"/>
  <c r="B82" i="35" s="1"/>
  <c r="F89" i="35" a="1"/>
  <c r="F89" i="35" s="1"/>
  <c r="C90" i="35" a="1"/>
  <c r="C90" i="35" s="1"/>
  <c r="F90" i="35" a="1"/>
  <c r="F90" i="35" s="1"/>
  <c r="C95" i="35" a="1"/>
  <c r="C95" i="35" s="1"/>
  <c r="F101" i="35" a="1"/>
  <c r="F101" i="35" s="1"/>
  <c r="C111" i="35" a="1"/>
  <c r="C111" i="35" s="1"/>
  <c r="B113" i="35" a="1"/>
  <c r="B113" i="35" s="1"/>
  <c r="C114" i="35" a="1"/>
  <c r="C114" i="35" s="1"/>
  <c r="F114" i="35" a="1"/>
  <c r="F114" i="35" s="1"/>
  <c r="D117" i="35" a="1"/>
  <c r="D117" i="35" s="1"/>
  <c r="B129" i="35" a="1"/>
  <c r="B129" i="35" s="1"/>
  <c r="D135" i="35" a="1"/>
  <c r="D135" i="35" s="1"/>
  <c r="C137" i="35" a="1"/>
  <c r="C137" i="35" s="1"/>
  <c r="C140" i="35" a="1"/>
  <c r="C140" i="35" s="1"/>
  <c r="C144" i="35" a="1"/>
  <c r="C144" i="35" s="1"/>
  <c r="B148" i="35" a="1"/>
  <c r="B148" i="35" s="1"/>
  <c r="F148" i="35" a="1"/>
  <c r="F148" i="35" s="1"/>
  <c r="B156" i="35" a="1"/>
  <c r="B156" i="35" s="1"/>
  <c r="B158" i="35" a="1"/>
  <c r="B158" i="35" s="1"/>
  <c r="B162" i="35" a="1"/>
  <c r="B162" i="35" s="1"/>
  <c r="E164" i="35" a="1"/>
  <c r="E164" i="35" s="1"/>
  <c r="F93" i="35" a="1"/>
  <c r="F93" i="35" s="1"/>
  <c r="F105" i="35" a="1"/>
  <c r="F105" i="35" s="1"/>
  <c r="F109" i="35" a="1"/>
  <c r="F109" i="35" s="1"/>
  <c r="F117" i="35" a="1"/>
  <c r="F117" i="35" s="1"/>
  <c r="F121" i="35" a="1"/>
  <c r="F121" i="35" s="1"/>
  <c r="E16" i="35" a="1"/>
  <c r="E16" i="35" s="1"/>
  <c r="C16" i="35" a="1"/>
  <c r="C16" i="35" s="1"/>
  <c r="E40" i="35" a="1"/>
  <c r="E40" i="35" s="1"/>
  <c r="C40" i="35" a="1"/>
  <c r="C40" i="35" s="1"/>
  <c r="F40" i="35" a="1"/>
  <c r="F40" i="35" s="1"/>
  <c r="D40" i="35" a="1"/>
  <c r="D40" i="35" s="1"/>
  <c r="B40" i="35" a="1"/>
  <c r="B40" i="35" s="1"/>
  <c r="B5" i="35" a="1"/>
  <c r="B5" i="35" s="1"/>
  <c r="D5" i="35" a="1"/>
  <c r="D5" i="35" s="1"/>
  <c r="F5" i="35" a="1"/>
  <c r="F5" i="35" s="1"/>
  <c r="B6" i="35" a="1"/>
  <c r="B6" i="35" s="1"/>
  <c r="D6" i="35" a="1"/>
  <c r="D6" i="35" s="1"/>
  <c r="F6" i="35" a="1"/>
  <c r="F6" i="35" s="1"/>
  <c r="B10" i="35" a="1"/>
  <c r="B10" i="35" s="1"/>
  <c r="D10" i="35" a="1"/>
  <c r="D10" i="35" s="1"/>
  <c r="F10" i="35" a="1"/>
  <c r="F10" i="35" s="1"/>
  <c r="B16" i="35" a="1"/>
  <c r="B16" i="35" s="1"/>
  <c r="F16" i="35" a="1"/>
  <c r="F16" i="35" s="1"/>
  <c r="B20" i="35" a="1"/>
  <c r="B20" i="35" s="1"/>
  <c r="B24" i="35" a="1"/>
  <c r="B24" i="35" s="1"/>
  <c r="E48" i="35" a="1"/>
  <c r="E48" i="35" s="1"/>
  <c r="C48" i="35" a="1"/>
  <c r="C48" i="35" s="1"/>
  <c r="F48" i="35" a="1"/>
  <c r="F48" i="35" s="1"/>
  <c r="D48" i="35" a="1"/>
  <c r="D48" i="35" s="1"/>
  <c r="B48" i="35" a="1"/>
  <c r="B48" i="35" s="1"/>
  <c r="F141" i="35" a="1"/>
  <c r="F141" i="35" s="1"/>
  <c r="D141" i="35" a="1"/>
  <c r="D141" i="35" s="1"/>
  <c r="B141" i="35" a="1"/>
  <c r="B141" i="35" s="1"/>
  <c r="C141" i="35" a="1"/>
  <c r="C141" i="35" s="1"/>
  <c r="E141" i="35" a="1"/>
  <c r="E141" i="35" s="1"/>
  <c r="E28" i="35" a="1"/>
  <c r="E28" i="35" s="1"/>
  <c r="C28" i="35" a="1"/>
  <c r="C28" i="35" s="1"/>
  <c r="F28" i="35" a="1"/>
  <c r="F28" i="35" s="1"/>
  <c r="D28" i="35" a="1"/>
  <c r="D28" i="35" s="1"/>
  <c r="B28" i="35" a="1"/>
  <c r="B28" i="35" s="1"/>
  <c r="E32" i="35" a="1"/>
  <c r="E32" i="35" s="1"/>
  <c r="C32" i="35" a="1"/>
  <c r="C32" i="35" s="1"/>
  <c r="F32" i="35" a="1"/>
  <c r="F32" i="35" s="1"/>
  <c r="D32" i="35" a="1"/>
  <c r="D32" i="35" s="1"/>
  <c r="B32" i="35" a="1"/>
  <c r="B32" i="35" s="1"/>
  <c r="B2" i="35" a="1"/>
  <c r="B2" i="35" s="1"/>
  <c r="D2" i="35" a="1"/>
  <c r="D2" i="35" s="1"/>
  <c r="C7" i="35" a="1"/>
  <c r="C7" i="35" s="1"/>
  <c r="B9" i="35" a="1"/>
  <c r="B9" i="35" s="1"/>
  <c r="D9" i="35" a="1"/>
  <c r="D9" i="35" s="1"/>
  <c r="E52" i="35" a="1"/>
  <c r="E52" i="35" s="1"/>
  <c r="C52" i="35" a="1"/>
  <c r="C52" i="35" s="1"/>
  <c r="F52" i="35" a="1"/>
  <c r="F52" i="35" s="1"/>
  <c r="D52" i="35" a="1"/>
  <c r="D52" i="35" s="1"/>
  <c r="B52" i="35" a="1"/>
  <c r="B52" i="35" s="1"/>
  <c r="E56" i="35" a="1"/>
  <c r="E56" i="35" s="1"/>
  <c r="C56" i="35" a="1"/>
  <c r="C56" i="35" s="1"/>
  <c r="F56" i="35" a="1"/>
  <c r="F56" i="35" s="1"/>
  <c r="D56" i="35" a="1"/>
  <c r="D56" i="35" s="1"/>
  <c r="B56" i="35" a="1"/>
  <c r="B56" i="35" s="1"/>
  <c r="E60" i="35" a="1"/>
  <c r="E60" i="35" s="1"/>
  <c r="C60" i="35" a="1"/>
  <c r="C60" i="35" s="1"/>
  <c r="F60" i="35" a="1"/>
  <c r="F60" i="35" s="1"/>
  <c r="D60" i="35" a="1"/>
  <c r="D60" i="35" s="1"/>
  <c r="B60" i="35" a="1"/>
  <c r="B60" i="35" s="1"/>
  <c r="E20" i="35" a="1"/>
  <c r="E20" i="35" s="1"/>
  <c r="C20" i="35" a="1"/>
  <c r="C20" i="35" s="1"/>
  <c r="E24" i="35" a="1"/>
  <c r="E24" i="35" s="1"/>
  <c r="C24" i="35" a="1"/>
  <c r="C24" i="35" s="1"/>
  <c r="E36" i="35" a="1"/>
  <c r="E36" i="35" s="1"/>
  <c r="C36" i="35" a="1"/>
  <c r="C36" i="35" s="1"/>
  <c r="F36" i="35" a="1"/>
  <c r="F36" i="35" s="1"/>
  <c r="D36" i="35" a="1"/>
  <c r="D36" i="35" s="1"/>
  <c r="B36" i="35" a="1"/>
  <c r="B36" i="35" s="1"/>
  <c r="E44" i="35" a="1"/>
  <c r="E44" i="35" s="1"/>
  <c r="C44" i="35" a="1"/>
  <c r="C44" i="35" s="1"/>
  <c r="F44" i="35" a="1"/>
  <c r="F44" i="35" s="1"/>
  <c r="D44" i="35" a="1"/>
  <c r="D44" i="35" s="1"/>
  <c r="B44" i="35" a="1"/>
  <c r="B44" i="35" s="1"/>
  <c r="E96" i="35" a="1"/>
  <c r="E96" i="35" s="1"/>
  <c r="C96" i="35" a="1"/>
  <c r="C96" i="35" s="1"/>
  <c r="D96" i="35" a="1"/>
  <c r="D96" i="35" s="1"/>
  <c r="F96" i="35" a="1"/>
  <c r="F96" i="35" s="1"/>
  <c r="B96" i="35" a="1"/>
  <c r="B96" i="35" s="1"/>
  <c r="E108" i="35" a="1"/>
  <c r="E108" i="35" s="1"/>
  <c r="C108" i="35" a="1"/>
  <c r="C108" i="35" s="1"/>
  <c r="F108" i="35" a="1"/>
  <c r="F108" i="35" s="1"/>
  <c r="B108" i="35" a="1"/>
  <c r="B108" i="35" s="1"/>
  <c r="D108" i="35" a="1"/>
  <c r="D108" i="35" s="1"/>
  <c r="B3" i="35" a="1"/>
  <c r="B3" i="35" s="1"/>
  <c r="D3" i="35" a="1"/>
  <c r="D3" i="35" s="1"/>
  <c r="C5" i="35" a="1"/>
  <c r="C5" i="35" s="1"/>
  <c r="C6" i="35" a="1"/>
  <c r="C6" i="35" s="1"/>
  <c r="C10" i="35" a="1"/>
  <c r="C10" i="35" s="1"/>
  <c r="F11" i="35" a="1"/>
  <c r="F11" i="35" s="1"/>
  <c r="D11" i="35" a="1"/>
  <c r="D11" i="35" s="1"/>
  <c r="B11" i="35" a="1"/>
  <c r="B11" i="35" s="1"/>
  <c r="E12" i="35" a="1"/>
  <c r="E12" i="35" s="1"/>
  <c r="C12" i="35" a="1"/>
  <c r="C12" i="35" s="1"/>
  <c r="F15" i="35" a="1"/>
  <c r="F15" i="35" s="1"/>
  <c r="D15" i="35" a="1"/>
  <c r="D15" i="35" s="1"/>
  <c r="B15" i="35" a="1"/>
  <c r="B15" i="35" s="1"/>
  <c r="D16" i="35" a="1"/>
  <c r="D16" i="35" s="1"/>
  <c r="F19" i="35" a="1"/>
  <c r="F19" i="35" s="1"/>
  <c r="D19" i="35" a="1"/>
  <c r="D19" i="35" s="1"/>
  <c r="B19" i="35" a="1"/>
  <c r="B19" i="35" s="1"/>
  <c r="D20" i="35" a="1"/>
  <c r="D20" i="35" s="1"/>
  <c r="F23" i="35" a="1"/>
  <c r="F23" i="35" s="1"/>
  <c r="D23" i="35" a="1"/>
  <c r="D23" i="35" s="1"/>
  <c r="B23" i="35" a="1"/>
  <c r="B23" i="35" s="1"/>
  <c r="D24" i="35" a="1"/>
  <c r="D24" i="35" s="1"/>
  <c r="E64" i="35" a="1"/>
  <c r="E64" i="35" s="1"/>
  <c r="C64" i="35" a="1"/>
  <c r="C64" i="35" s="1"/>
  <c r="F64" i="35" a="1"/>
  <c r="F64" i="35" s="1"/>
  <c r="D64" i="35" a="1"/>
  <c r="D64" i="35" s="1"/>
  <c r="B64" i="35" a="1"/>
  <c r="B64" i="35" s="1"/>
  <c r="F71" i="35" a="1"/>
  <c r="F71" i="35" s="1"/>
  <c r="D71" i="35" a="1"/>
  <c r="D71" i="35" s="1"/>
  <c r="B71" i="35" a="1"/>
  <c r="B71" i="35" s="1"/>
  <c r="D72" i="35" a="1"/>
  <c r="D72" i="35" s="1"/>
  <c r="F75" i="35" a="1"/>
  <c r="F75" i="35" s="1"/>
  <c r="D75" i="35" a="1"/>
  <c r="D75" i="35" s="1"/>
  <c r="B75" i="35" a="1"/>
  <c r="B75" i="35" s="1"/>
  <c r="C75" i="35" a="1"/>
  <c r="C75" i="35" s="1"/>
  <c r="E75" i="35" a="1"/>
  <c r="E75" i="35" s="1"/>
  <c r="E77" i="35" a="1"/>
  <c r="E77" i="35" s="1"/>
  <c r="C77" i="35" a="1"/>
  <c r="C77" i="35" s="1"/>
  <c r="F83" i="35" a="1"/>
  <c r="F83" i="35" s="1"/>
  <c r="D83" i="35" a="1"/>
  <c r="D83" i="35" s="1"/>
  <c r="B83" i="35" a="1"/>
  <c r="B83" i="35" s="1"/>
  <c r="C83" i="35" a="1"/>
  <c r="C83" i="35" s="1"/>
  <c r="F84" i="35" a="1"/>
  <c r="F84" i="35" s="1"/>
  <c r="C84" i="35" a="1"/>
  <c r="C84" i="35" s="1"/>
  <c r="E85" i="35" a="1"/>
  <c r="E85" i="35" s="1"/>
  <c r="C85" i="35" a="1"/>
  <c r="C85" i="35" s="1"/>
  <c r="F85" i="35" a="1"/>
  <c r="F85" i="35" s="1"/>
  <c r="F107" i="35" a="1"/>
  <c r="F107" i="35" s="1"/>
  <c r="D107" i="35" a="1"/>
  <c r="D107" i="35" s="1"/>
  <c r="B107" i="35" a="1"/>
  <c r="B107" i="35" s="1"/>
  <c r="E107" i="35" a="1"/>
  <c r="E107" i="35" s="1"/>
  <c r="F119" i="35" a="1"/>
  <c r="F119" i="35" s="1"/>
  <c r="D119" i="35" a="1"/>
  <c r="D119" i="35" s="1"/>
  <c r="B119" i="35" a="1"/>
  <c r="B119" i="35" s="1"/>
  <c r="C119" i="35" a="1"/>
  <c r="C119" i="35" s="1"/>
  <c r="F133" i="35" a="1"/>
  <c r="F133" i="35" s="1"/>
  <c r="D133" i="35" a="1"/>
  <c r="D133" i="35" s="1"/>
  <c r="C133" i="35" a="1"/>
  <c r="C133" i="35" s="1"/>
  <c r="E133" i="35" a="1"/>
  <c r="E133" i="35" s="1"/>
  <c r="E138" i="35" a="1"/>
  <c r="E138" i="35" s="1"/>
  <c r="C138" i="35" a="1"/>
  <c r="C138" i="35" s="1"/>
  <c r="D138" i="35" a="1"/>
  <c r="D138" i="35" s="1"/>
  <c r="F138" i="35" a="1"/>
  <c r="F138" i="35" s="1"/>
  <c r="C13" i="35" a="1"/>
  <c r="C13" i="35" s="1"/>
  <c r="C17" i="35" a="1"/>
  <c r="C17" i="35" s="1"/>
  <c r="C21" i="35" a="1"/>
  <c r="C21" i="35" s="1"/>
  <c r="C25" i="35" a="1"/>
  <c r="C25" i="35" s="1"/>
  <c r="B27" i="35" a="1"/>
  <c r="B27" i="35" s="1"/>
  <c r="D27" i="35" a="1"/>
  <c r="D27" i="35" s="1"/>
  <c r="C29" i="35" a="1"/>
  <c r="C29" i="35" s="1"/>
  <c r="B31" i="35" a="1"/>
  <c r="B31" i="35" s="1"/>
  <c r="D31" i="35" a="1"/>
  <c r="D31" i="35" s="1"/>
  <c r="C33" i="35" a="1"/>
  <c r="C33" i="35" s="1"/>
  <c r="B35" i="35" a="1"/>
  <c r="B35" i="35" s="1"/>
  <c r="D35" i="35" a="1"/>
  <c r="D35" i="35" s="1"/>
  <c r="C37" i="35" a="1"/>
  <c r="C37" i="35" s="1"/>
  <c r="B39" i="35" a="1"/>
  <c r="B39" i="35" s="1"/>
  <c r="D39" i="35" a="1"/>
  <c r="D39" i="35" s="1"/>
  <c r="C41" i="35" a="1"/>
  <c r="C41" i="35" s="1"/>
  <c r="B43" i="35" a="1"/>
  <c r="B43" i="35" s="1"/>
  <c r="D43" i="35" a="1"/>
  <c r="D43" i="35" s="1"/>
  <c r="C45" i="35" a="1"/>
  <c r="C45" i="35" s="1"/>
  <c r="B47" i="35" a="1"/>
  <c r="B47" i="35" s="1"/>
  <c r="D47" i="35" a="1"/>
  <c r="D47" i="35" s="1"/>
  <c r="C49" i="35" a="1"/>
  <c r="C49" i="35" s="1"/>
  <c r="B51" i="35" a="1"/>
  <c r="B51" i="35" s="1"/>
  <c r="D51" i="35" a="1"/>
  <c r="D51" i="35" s="1"/>
  <c r="C53" i="35" a="1"/>
  <c r="C53" i="35" s="1"/>
  <c r="B55" i="35" a="1"/>
  <c r="B55" i="35" s="1"/>
  <c r="D55" i="35" a="1"/>
  <c r="D55" i="35" s="1"/>
  <c r="C57" i="35" a="1"/>
  <c r="C57" i="35" s="1"/>
  <c r="B59" i="35" a="1"/>
  <c r="B59" i="35" s="1"/>
  <c r="D59" i="35" a="1"/>
  <c r="D59" i="35" s="1"/>
  <c r="C61" i="35" a="1"/>
  <c r="C61" i="35" s="1"/>
  <c r="B63" i="35" a="1"/>
  <c r="B63" i="35" s="1"/>
  <c r="D63" i="35" a="1"/>
  <c r="D63" i="35" s="1"/>
  <c r="C65" i="35" a="1"/>
  <c r="C65" i="35" s="1"/>
  <c r="F68" i="35" a="1"/>
  <c r="F68" i="35" s="1"/>
  <c r="E71" i="35" a="1"/>
  <c r="E71" i="35" s="1"/>
  <c r="B72" i="35" a="1"/>
  <c r="B72" i="35" s="1"/>
  <c r="E72" i="35" a="1"/>
  <c r="E72" i="35" s="1"/>
  <c r="B77" i="35" a="1"/>
  <c r="B77" i="35" s="1"/>
  <c r="F77" i="35" a="1"/>
  <c r="F77" i="35" s="1"/>
  <c r="B84" i="35" a="1"/>
  <c r="B84" i="35" s="1"/>
  <c r="B85" i="35" a="1"/>
  <c r="B85" i="35" s="1"/>
  <c r="E92" i="35" a="1"/>
  <c r="E92" i="35" s="1"/>
  <c r="C92" i="35" a="1"/>
  <c r="C92" i="35" s="1"/>
  <c r="F92" i="35" a="1"/>
  <c r="F92" i="35" s="1"/>
  <c r="B92" i="35" a="1"/>
  <c r="B92" i="35" s="1"/>
  <c r="C107" i="35" a="1"/>
  <c r="C107" i="35" s="1"/>
  <c r="E112" i="35" a="1"/>
  <c r="E112" i="35" s="1"/>
  <c r="C112" i="35" a="1"/>
  <c r="C112" i="35" s="1"/>
  <c r="D112" i="35" a="1"/>
  <c r="D112" i="35" s="1"/>
  <c r="E119" i="35" a="1"/>
  <c r="E119" i="35" s="1"/>
  <c r="E124" i="35" a="1"/>
  <c r="E124" i="35" s="1"/>
  <c r="C124" i="35" a="1"/>
  <c r="C124" i="35" s="1"/>
  <c r="F124" i="35" a="1"/>
  <c r="F124" i="35" s="1"/>
  <c r="B124" i="35" a="1"/>
  <c r="B124" i="35" s="1"/>
  <c r="B133" i="35" a="1"/>
  <c r="B133" i="35" s="1"/>
  <c r="B138" i="35" a="1"/>
  <c r="B138" i="35" s="1"/>
  <c r="F159" i="35" a="1"/>
  <c r="F159" i="35" s="1"/>
  <c r="D159" i="35" a="1"/>
  <c r="D159" i="35" s="1"/>
  <c r="B159" i="35" a="1"/>
  <c r="B159" i="35" s="1"/>
  <c r="C159" i="35" a="1"/>
  <c r="C159" i="35" s="1"/>
  <c r="E159" i="35" a="1"/>
  <c r="E159" i="35" s="1"/>
  <c r="E161" i="35" a="1"/>
  <c r="E161" i="35" s="1"/>
  <c r="C161" i="35" a="1"/>
  <c r="C161" i="35" s="1"/>
  <c r="B161" i="35" a="1"/>
  <c r="B161" i="35" s="1"/>
  <c r="D161" i="35" a="1"/>
  <c r="D161" i="35" s="1"/>
  <c r="K182" i="35"/>
  <c r="K181" i="35"/>
  <c r="K171" i="35" a="1"/>
  <c r="K171" i="35" s="1"/>
  <c r="K173" i="35"/>
  <c r="K189" i="35"/>
  <c r="D14" i="35" a="1"/>
  <c r="D14" i="35" s="1"/>
  <c r="B18" i="35" a="1"/>
  <c r="B18" i="35" s="1"/>
  <c r="D18" i="35" a="1"/>
  <c r="D18" i="35" s="1"/>
  <c r="B22" i="35" a="1"/>
  <c r="B22" i="35" s="1"/>
  <c r="D22" i="35" a="1"/>
  <c r="D22" i="35" s="1"/>
  <c r="B26" i="35" a="1"/>
  <c r="B26" i="35" s="1"/>
  <c r="D26" i="35" a="1"/>
  <c r="D26" i="35" s="1"/>
  <c r="B30" i="35" a="1"/>
  <c r="B30" i="35" s="1"/>
  <c r="D30" i="35" a="1"/>
  <c r="D30" i="35" s="1"/>
  <c r="B34" i="35" a="1"/>
  <c r="B34" i="35" s="1"/>
  <c r="D34" i="35" a="1"/>
  <c r="D34" i="35" s="1"/>
  <c r="B38" i="35" a="1"/>
  <c r="B38" i="35" s="1"/>
  <c r="D38" i="35" a="1"/>
  <c r="D38" i="35" s="1"/>
  <c r="B42" i="35" a="1"/>
  <c r="B42" i="35" s="1"/>
  <c r="D42" i="35" a="1"/>
  <c r="D42" i="35" s="1"/>
  <c r="D46" i="35" a="1"/>
  <c r="D46" i="35" s="1"/>
  <c r="D50" i="35" a="1"/>
  <c r="D50" i="35" s="1"/>
  <c r="B54" i="35" a="1"/>
  <c r="B54" i="35" s="1"/>
  <c r="D54" i="35" a="1"/>
  <c r="D54" i="35" s="1"/>
  <c r="B58" i="35" a="1"/>
  <c r="B58" i="35" s="1"/>
  <c r="D58" i="35" a="1"/>
  <c r="D58" i="35" s="1"/>
  <c r="D62" i="35" a="1"/>
  <c r="D62" i="35" s="1"/>
  <c r="F67" i="35" a="1"/>
  <c r="F67" i="35" s="1"/>
  <c r="D67" i="35" a="1"/>
  <c r="D67" i="35" s="1"/>
  <c r="B67" i="35" a="1"/>
  <c r="B67" i="35" s="1"/>
  <c r="E69" i="35" a="1"/>
  <c r="E69" i="35" s="1"/>
  <c r="C69" i="35" a="1"/>
  <c r="C69" i="35" s="1"/>
  <c r="D69" i="35" a="1"/>
  <c r="D69" i="35" s="1"/>
  <c r="C71" i="35" a="1"/>
  <c r="C71" i="35" s="1"/>
  <c r="E76" i="35" a="1"/>
  <c r="E76" i="35" s="1"/>
  <c r="D84" i="35" a="1"/>
  <c r="D84" i="35" s="1"/>
  <c r="D85" i="35" a="1"/>
  <c r="D85" i="35" s="1"/>
  <c r="F91" i="35" a="1"/>
  <c r="F91" i="35" s="1"/>
  <c r="D91" i="35" a="1"/>
  <c r="D91" i="35" s="1"/>
  <c r="B91" i="35" a="1"/>
  <c r="B91" i="35" s="1"/>
  <c r="E91" i="35" a="1"/>
  <c r="E91" i="35" s="1"/>
  <c r="D92" i="35" a="1"/>
  <c r="D92" i="35" s="1"/>
  <c r="F103" i="35" a="1"/>
  <c r="F103" i="35" s="1"/>
  <c r="D103" i="35" a="1"/>
  <c r="D103" i="35" s="1"/>
  <c r="B103" i="35" a="1"/>
  <c r="B103" i="35" s="1"/>
  <c r="C103" i="35" a="1"/>
  <c r="C103" i="35" s="1"/>
  <c r="B112" i="35" a="1"/>
  <c r="B112" i="35" s="1"/>
  <c r="F123" i="35" a="1"/>
  <c r="F123" i="35" s="1"/>
  <c r="D123" i="35" a="1"/>
  <c r="D123" i="35" s="1"/>
  <c r="B123" i="35" a="1"/>
  <c r="B123" i="35" s="1"/>
  <c r="E123" i="35" a="1"/>
  <c r="E123" i="35" s="1"/>
  <c r="D124" i="35" a="1"/>
  <c r="D124" i="35" s="1"/>
  <c r="F132" i="35" a="1"/>
  <c r="F132" i="35" s="1"/>
  <c r="D132" i="35" a="1"/>
  <c r="D132" i="35" s="1"/>
  <c r="B132" i="35" a="1"/>
  <c r="B132" i="35" s="1"/>
  <c r="C132" i="35" a="1"/>
  <c r="C132" i="35" s="1"/>
  <c r="E132" i="35" a="1"/>
  <c r="E132" i="35" s="1"/>
  <c r="C152" i="35" a="1"/>
  <c r="C152" i="35" s="1"/>
  <c r="E152" i="35" a="1"/>
  <c r="E152" i="35" s="1"/>
  <c r="B152" i="35" a="1"/>
  <c r="B152" i="35" s="1"/>
  <c r="F152" i="35" a="1"/>
  <c r="F152" i="35" s="1"/>
  <c r="D152" i="35" a="1"/>
  <c r="D152" i="35" s="1"/>
  <c r="F161" i="35" a="1"/>
  <c r="F161" i="35" s="1"/>
  <c r="E73" i="35" a="1"/>
  <c r="E73" i="35" s="1"/>
  <c r="C73" i="35" a="1"/>
  <c r="C73" i="35" s="1"/>
  <c r="D73" i="35" a="1"/>
  <c r="D73" i="35" s="1"/>
  <c r="F79" i="35" a="1"/>
  <c r="F79" i="35" s="1"/>
  <c r="D79" i="35" a="1"/>
  <c r="D79" i="35" s="1"/>
  <c r="B79" i="35" a="1"/>
  <c r="B79" i="35" s="1"/>
  <c r="E81" i="35" a="1"/>
  <c r="E81" i="35" s="1"/>
  <c r="C81" i="35" a="1"/>
  <c r="C81" i="35" s="1"/>
  <c r="D81" i="35" a="1"/>
  <c r="D81" i="35" s="1"/>
  <c r="F87" i="35" a="1"/>
  <c r="F87" i="35" s="1"/>
  <c r="D87" i="35" a="1"/>
  <c r="D87" i="35" s="1"/>
  <c r="B87" i="35" a="1"/>
  <c r="B87" i="35" s="1"/>
  <c r="E88" i="35" a="1"/>
  <c r="E88" i="35" s="1"/>
  <c r="C88" i="35" a="1"/>
  <c r="C88" i="35" s="1"/>
  <c r="F99" i="35" a="1"/>
  <c r="F99" i="35" s="1"/>
  <c r="D99" i="35" a="1"/>
  <c r="D99" i="35" s="1"/>
  <c r="B99" i="35" a="1"/>
  <c r="B99" i="35" s="1"/>
  <c r="E104" i="35" a="1"/>
  <c r="E104" i="35" s="1"/>
  <c r="C104" i="35" a="1"/>
  <c r="C104" i="35" s="1"/>
  <c r="F115" i="35" a="1"/>
  <c r="F115" i="35" s="1"/>
  <c r="D115" i="35" a="1"/>
  <c r="D115" i="35" s="1"/>
  <c r="B115" i="35" a="1"/>
  <c r="B115" i="35" s="1"/>
  <c r="E120" i="35" a="1"/>
  <c r="E120" i="35" s="1"/>
  <c r="C120" i="35" a="1"/>
  <c r="C120" i="35" s="1"/>
  <c r="C160" i="35" a="1"/>
  <c r="C160" i="35" s="1"/>
  <c r="E160" i="35" a="1"/>
  <c r="E160" i="35" s="1"/>
  <c r="B160" i="35" a="1"/>
  <c r="B160" i="35" s="1"/>
  <c r="D160" i="35" a="1"/>
  <c r="D160" i="35" s="1"/>
  <c r="F95" i="35" a="1"/>
  <c r="F95" i="35" s="1"/>
  <c r="D95" i="35" a="1"/>
  <c r="D95" i="35" s="1"/>
  <c r="B95" i="35" a="1"/>
  <c r="B95" i="35" s="1"/>
  <c r="E100" i="35" a="1"/>
  <c r="E100" i="35" s="1"/>
  <c r="C100" i="35" a="1"/>
  <c r="C100" i="35" s="1"/>
  <c r="F111" i="35" a="1"/>
  <c r="F111" i="35" s="1"/>
  <c r="D111" i="35" a="1"/>
  <c r="D111" i="35" s="1"/>
  <c r="B111" i="35" a="1"/>
  <c r="B111" i="35" s="1"/>
  <c r="E116" i="35" a="1"/>
  <c r="E116" i="35" s="1"/>
  <c r="C116" i="35" a="1"/>
  <c r="C116" i="35" s="1"/>
  <c r="E127" i="35" a="1"/>
  <c r="E127" i="35" s="1"/>
  <c r="B127" i="35" a="1"/>
  <c r="B127" i="35" s="1"/>
  <c r="F151" i="35" a="1"/>
  <c r="F151" i="35" s="1"/>
  <c r="D151" i="35" a="1"/>
  <c r="D151" i="35" s="1"/>
  <c r="B151" i="35" a="1"/>
  <c r="B151" i="35" s="1"/>
  <c r="C151" i="35" a="1"/>
  <c r="C151" i="35" s="1"/>
  <c r="E151" i="35" a="1"/>
  <c r="E151" i="35" s="1"/>
  <c r="E153" i="35" a="1"/>
  <c r="E153" i="35" s="1"/>
  <c r="C153" i="35" a="1"/>
  <c r="C153" i="35" s="1"/>
  <c r="B153" i="35" a="1"/>
  <c r="B153" i="35" s="1"/>
  <c r="F153" i="35" a="1"/>
  <c r="F153" i="35" s="1"/>
  <c r="D153" i="35" a="1"/>
  <c r="D153" i="35" s="1"/>
  <c r="C89" i="35" a="1"/>
  <c r="C89" i="35" s="1"/>
  <c r="C93" i="35" a="1"/>
  <c r="C93" i="35" s="1"/>
  <c r="C97" i="35" a="1"/>
  <c r="C97" i="35" s="1"/>
  <c r="C101" i="35" a="1"/>
  <c r="C101" i="35" s="1"/>
  <c r="C105" i="35" a="1"/>
  <c r="C105" i="35" s="1"/>
  <c r="C109" i="35" a="1"/>
  <c r="C109" i="35" s="1"/>
  <c r="C113" i="35" a="1"/>
  <c r="C113" i="35" s="1"/>
  <c r="C117" i="35" a="1"/>
  <c r="C117" i="35" s="1"/>
  <c r="C121" i="35" a="1"/>
  <c r="C121" i="35" s="1"/>
  <c r="C125" i="35" a="1"/>
  <c r="C125" i="35" s="1"/>
  <c r="F128" i="35" a="1"/>
  <c r="F128" i="35" s="1"/>
  <c r="D128" i="35" a="1"/>
  <c r="D128" i="35" s="1"/>
  <c r="B128" i="35" a="1"/>
  <c r="B128" i="35" s="1"/>
  <c r="E130" i="35" a="1"/>
  <c r="E130" i="35" s="1"/>
  <c r="C130" i="35" a="1"/>
  <c r="C130" i="35" s="1"/>
  <c r="D130" i="35" a="1"/>
  <c r="D130" i="35" s="1"/>
  <c r="E134" i="35" a="1"/>
  <c r="E134" i="35" s="1"/>
  <c r="C134" i="35" a="1"/>
  <c r="C134" i="35" s="1"/>
  <c r="E142" i="35" a="1"/>
  <c r="E142" i="35" s="1"/>
  <c r="C142" i="35" a="1"/>
  <c r="C142" i="35" s="1"/>
  <c r="Q169" i="35"/>
  <c r="P169" i="35"/>
  <c r="F137" i="35" a="1"/>
  <c r="F137" i="35" s="1"/>
  <c r="D137" i="35" a="1"/>
  <c r="D137" i="35" s="1"/>
  <c r="B137" i="35" a="1"/>
  <c r="B137" i="35" s="1"/>
  <c r="E145" i="35" a="1"/>
  <c r="E145" i="35" s="1"/>
  <c r="C145" i="35" a="1"/>
  <c r="C145" i="35" s="1"/>
  <c r="B145" i="35" a="1"/>
  <c r="B145" i="35" s="1"/>
  <c r="B136" i="35" a="1"/>
  <c r="B136" i="35" s="1"/>
  <c r="D136" i="35" a="1"/>
  <c r="D136" i="35" s="1"/>
  <c r="B140" i="35" a="1"/>
  <c r="B140" i="35" s="1"/>
  <c r="D140" i="35" a="1"/>
  <c r="D140" i="35" s="1"/>
  <c r="B144" i="35" a="1"/>
  <c r="B144" i="35" s="1"/>
  <c r="D144" i="35" a="1"/>
  <c r="D144" i="35" s="1"/>
  <c r="F147" i="35" a="1"/>
  <c r="F147" i="35" s="1"/>
  <c r="D147" i="35" a="1"/>
  <c r="D147" i="35" s="1"/>
  <c r="B147" i="35" a="1"/>
  <c r="B147" i="35" s="1"/>
  <c r="E149" i="35" a="1"/>
  <c r="E149" i="35" s="1"/>
  <c r="C149" i="35" a="1"/>
  <c r="C149" i="35" s="1"/>
  <c r="D149" i="35" a="1"/>
  <c r="D149" i="35" s="1"/>
  <c r="F155" i="35" a="1"/>
  <c r="F155" i="35" s="1"/>
  <c r="D155" i="35" a="1"/>
  <c r="D155" i="35" s="1"/>
  <c r="B155" i="35" a="1"/>
  <c r="B155" i="35" s="1"/>
  <c r="E157" i="35" a="1"/>
  <c r="E157" i="35" s="1"/>
  <c r="C157" i="35" a="1"/>
  <c r="C157" i="35" s="1"/>
  <c r="D157" i="35" a="1"/>
  <c r="D157" i="35" s="1"/>
  <c r="F163" i="35" a="1"/>
  <c r="F163" i="35" s="1"/>
  <c r="D163" i="35" a="1"/>
  <c r="D163" i="35" s="1"/>
  <c r="B163" i="35" a="1"/>
  <c r="B163" i="35" s="1"/>
  <c r="T170" i="35" a="1"/>
  <c r="T170" i="35" s="1"/>
  <c r="F124" i="34" a="1"/>
  <c r="F124" i="34" s="1"/>
  <c r="E29" i="34" a="1"/>
  <c r="E29" i="34" s="1"/>
  <c r="E154" i="34" a="1"/>
  <c r="E154" i="34" s="1"/>
  <c r="E5" i="34" a="1"/>
  <c r="E5" i="34" s="1"/>
  <c r="B103" i="34" a="1"/>
  <c r="B103" i="34" s="1"/>
  <c r="C160" i="34" a="1"/>
  <c r="C160" i="34" s="1"/>
  <c r="B29" i="34" a="1"/>
  <c r="B29" i="34" s="1"/>
  <c r="F27" i="34" a="1"/>
  <c r="F27" i="34" s="1"/>
  <c r="C29" i="34" a="1"/>
  <c r="C29" i="34" s="1"/>
  <c r="F52" i="34" a="1"/>
  <c r="F52" i="34" s="1"/>
  <c r="F65" i="34" a="1"/>
  <c r="F65" i="34" s="1"/>
  <c r="C70" i="34" a="1"/>
  <c r="C70" i="34" s="1"/>
  <c r="C73" i="34" a="1"/>
  <c r="C73" i="34" s="1"/>
  <c r="F82" i="34" a="1"/>
  <c r="F82" i="34" s="1"/>
  <c r="B84" i="34" a="1"/>
  <c r="B84" i="34" s="1"/>
  <c r="C77" i="34" a="1"/>
  <c r="C77" i="34" s="1"/>
  <c r="B80" i="34" a="1"/>
  <c r="B80" i="34" s="1"/>
  <c r="D4" i="34" a="1"/>
  <c r="D4" i="34" s="1"/>
  <c r="C37" i="34" a="1"/>
  <c r="C37" i="34" s="1"/>
  <c r="B40" i="34" a="1"/>
  <c r="B40" i="34" s="1"/>
  <c r="D53" i="34" a="1"/>
  <c r="D53" i="34" s="1"/>
  <c r="F60" i="34" a="1"/>
  <c r="F60" i="34" s="1"/>
  <c r="E66" i="34" a="1"/>
  <c r="E66" i="34" s="1"/>
  <c r="O170" i="34" a="1"/>
  <c r="O170" i="34" s="1"/>
  <c r="C33" i="34" a="1"/>
  <c r="C33" i="34" s="1"/>
  <c r="F35" i="34" a="1"/>
  <c r="F35" i="34" s="1"/>
  <c r="D80" i="34" a="1"/>
  <c r="D80" i="34" s="1"/>
  <c r="B96" i="34" a="1"/>
  <c r="B96" i="34" s="1"/>
  <c r="B102" i="34" a="1"/>
  <c r="B102" i="34" s="1"/>
  <c r="B104" i="34" a="1"/>
  <c r="B104" i="34" s="1"/>
  <c r="C112" i="34" a="1"/>
  <c r="C112" i="34" s="1"/>
  <c r="C134" i="34" a="1"/>
  <c r="C134" i="34" s="1"/>
  <c r="D33" i="34" a="1"/>
  <c r="D33" i="34" s="1"/>
  <c r="E104" i="34" a="1"/>
  <c r="E104" i="34" s="1"/>
  <c r="E134" i="34" a="1"/>
  <c r="E134" i="34" s="1"/>
  <c r="U169" i="34"/>
  <c r="E38" i="34" a="1"/>
  <c r="E38" i="34" s="1"/>
  <c r="C46" i="34" a="1"/>
  <c r="C46" i="34" s="1"/>
  <c r="B57" i="34" a="1"/>
  <c r="B57" i="34" s="1"/>
  <c r="D73" i="34" a="1"/>
  <c r="D73" i="34" s="1"/>
  <c r="E96" i="34" a="1"/>
  <c r="E96" i="34" s="1"/>
  <c r="B111" i="34" a="1"/>
  <c r="B111" i="34" s="1"/>
  <c r="B116" i="34" a="1"/>
  <c r="B116" i="34" s="1"/>
  <c r="B158" i="34" a="1"/>
  <c r="B158" i="34" s="1"/>
  <c r="C159" i="34" a="1"/>
  <c r="C159" i="34" s="1"/>
  <c r="B33" i="34" a="1"/>
  <c r="B33" i="34" s="1"/>
  <c r="B37" i="34" a="1"/>
  <c r="B37" i="34" s="1"/>
  <c r="D44" i="34" a="1"/>
  <c r="D44" i="34" s="1"/>
  <c r="B53" i="34" a="1"/>
  <c r="B53" i="34" s="1"/>
  <c r="D57" i="34" a="1"/>
  <c r="D57" i="34" s="1"/>
  <c r="B65" i="34" a="1"/>
  <c r="B65" i="34" s="1"/>
  <c r="C66" i="34" a="1"/>
  <c r="C66" i="34" s="1"/>
  <c r="B76" i="34" a="1"/>
  <c r="B76" i="34" s="1"/>
  <c r="B78" i="34" a="1"/>
  <c r="B78" i="34" s="1"/>
  <c r="B124" i="34" a="1"/>
  <c r="B124" i="34" s="1"/>
  <c r="C158" i="34" a="1"/>
  <c r="C158" i="34" s="1"/>
  <c r="C53" i="34" a="1"/>
  <c r="C53" i="34" s="1"/>
  <c r="C65" i="34" a="1"/>
  <c r="C65" i="34" s="1"/>
  <c r="D78" i="34" a="1"/>
  <c r="D78" i="34" s="1"/>
  <c r="D88" i="34" a="1"/>
  <c r="D88" i="34" s="1"/>
  <c r="D124" i="34" a="1"/>
  <c r="D124" i="34" s="1"/>
  <c r="B154" i="34" a="1"/>
  <c r="B154" i="34" s="1"/>
  <c r="F158" i="34" a="1"/>
  <c r="F158" i="34" s="1"/>
  <c r="F2" i="34" a="1"/>
  <c r="F2" i="34" s="1"/>
  <c r="F9" i="34" a="1"/>
  <c r="F9" i="34" s="1"/>
  <c r="F13" i="34" a="1"/>
  <c r="F13" i="34" s="1"/>
  <c r="E92" i="34" a="1"/>
  <c r="E92" i="34" s="1"/>
  <c r="E162" i="34" a="1"/>
  <c r="E162" i="34" s="1"/>
  <c r="B2" i="34" a="1"/>
  <c r="B2" i="34" s="1"/>
  <c r="B9" i="34" a="1"/>
  <c r="B9" i="34" s="1"/>
  <c r="B13" i="34" a="1"/>
  <c r="B13" i="34" s="1"/>
  <c r="F19" i="34" a="1"/>
  <c r="F19" i="34" s="1"/>
  <c r="F29" i="34" a="1"/>
  <c r="F29" i="34" s="1"/>
  <c r="F33" i="34" a="1"/>
  <c r="F33" i="34" s="1"/>
  <c r="E37" i="34" a="1"/>
  <c r="E37" i="34" s="1"/>
  <c r="D41" i="34" a="1"/>
  <c r="D41" i="34" s="1"/>
  <c r="C45" i="34" a="1"/>
  <c r="C45" i="34" s="1"/>
  <c r="E46" i="34" a="1"/>
  <c r="E46" i="34" s="1"/>
  <c r="D49" i="34" a="1"/>
  <c r="D49" i="34" s="1"/>
  <c r="F53" i="34" a="1"/>
  <c r="F53" i="34" s="1"/>
  <c r="C63" i="34" a="1"/>
  <c r="C63" i="34" s="1"/>
  <c r="E70" i="34" a="1"/>
  <c r="E70" i="34" s="1"/>
  <c r="D76" i="34" a="1"/>
  <c r="D76" i="34" s="1"/>
  <c r="B79" i="34" a="1"/>
  <c r="B79" i="34" s="1"/>
  <c r="C80" i="34" a="1"/>
  <c r="C80" i="34" s="1"/>
  <c r="C90" i="34" a="1"/>
  <c r="C90" i="34" s="1"/>
  <c r="B92" i="34" a="1"/>
  <c r="B92" i="34" s="1"/>
  <c r="F92" i="34" a="1"/>
  <c r="F92" i="34" s="1"/>
  <c r="B110" i="34" a="1"/>
  <c r="B110" i="34" s="1"/>
  <c r="D112" i="34" a="1"/>
  <c r="D112" i="34" s="1"/>
  <c r="C114" i="34" a="1"/>
  <c r="C114" i="34" s="1"/>
  <c r="C122" i="34" a="1"/>
  <c r="C122" i="34" s="1"/>
  <c r="C124" i="34" a="1"/>
  <c r="C124" i="34" s="1"/>
  <c r="B128" i="34" a="1"/>
  <c r="B128" i="34" s="1"/>
  <c r="F154" i="34" a="1"/>
  <c r="F154" i="34" s="1"/>
  <c r="E158" i="34" a="1"/>
  <c r="E158" i="34" s="1"/>
  <c r="E160" i="34" a="1"/>
  <c r="E160" i="34" s="1"/>
  <c r="B162" i="34" a="1"/>
  <c r="B162" i="34" s="1"/>
  <c r="F162" i="34" a="1"/>
  <c r="F162" i="34" s="1"/>
  <c r="C2" i="34" a="1"/>
  <c r="C2" i="34" s="1"/>
  <c r="B4" i="34" a="1"/>
  <c r="B4" i="34" s="1"/>
  <c r="C9" i="34" a="1"/>
  <c r="C9" i="34" s="1"/>
  <c r="C13" i="34" a="1"/>
  <c r="C13" i="34" s="1"/>
  <c r="F37" i="34" a="1"/>
  <c r="F37" i="34" s="1"/>
  <c r="B44" i="34" a="1"/>
  <c r="B44" i="34" s="1"/>
  <c r="E45" i="34" a="1"/>
  <c r="E45" i="34" s="1"/>
  <c r="B52" i="34" a="1"/>
  <c r="B52" i="34" s="1"/>
  <c r="C92" i="34" a="1"/>
  <c r="C92" i="34" s="1"/>
  <c r="D110" i="34" a="1"/>
  <c r="D110" i="34" s="1"/>
  <c r="F112" i="34" a="1"/>
  <c r="F112" i="34" s="1"/>
  <c r="F114" i="34" a="1"/>
  <c r="F114" i="34" s="1"/>
  <c r="E128" i="34" a="1"/>
  <c r="E128" i="34" s="1"/>
  <c r="C162" i="34" a="1"/>
  <c r="C162" i="34" s="1"/>
  <c r="E2" i="34" a="1"/>
  <c r="E2" i="34" s="1"/>
  <c r="D9" i="34" a="1"/>
  <c r="D9" i="34" s="1"/>
  <c r="E13" i="34" a="1"/>
  <c r="E13" i="34" s="1"/>
  <c r="E65" i="34" a="1"/>
  <c r="E65" i="34" s="1"/>
  <c r="C71" i="34" a="1"/>
  <c r="C71" i="34" s="1"/>
  <c r="B77" i="34" a="1"/>
  <c r="B77" i="34" s="1"/>
  <c r="F80" i="34" a="1"/>
  <c r="F80" i="34" s="1"/>
  <c r="C82" i="34" a="1"/>
  <c r="C82" i="34" s="1"/>
  <c r="B112" i="34" a="1"/>
  <c r="B112" i="34" s="1"/>
  <c r="B145" i="34" a="1"/>
  <c r="B145" i="34" s="1"/>
  <c r="C154" i="34" a="1"/>
  <c r="C154" i="34" s="1"/>
  <c r="B160" i="34" a="1"/>
  <c r="B160" i="34" s="1"/>
  <c r="B161" i="34" a="1"/>
  <c r="B161" i="34" s="1"/>
  <c r="E17" i="34" a="1"/>
  <c r="E17" i="34" s="1"/>
  <c r="D21" i="34" a="1"/>
  <c r="D21" i="34" s="1"/>
  <c r="E25" i="34" a="1"/>
  <c r="E25" i="34" s="1"/>
  <c r="E98" i="34" a="1"/>
  <c r="E98" i="34" s="1"/>
  <c r="C98" i="34" a="1"/>
  <c r="C98" i="34" s="1"/>
  <c r="E106" i="34" a="1"/>
  <c r="E106" i="34" s="1"/>
  <c r="F106" i="34" a="1"/>
  <c r="F106" i="34" s="1"/>
  <c r="E108" i="34" a="1"/>
  <c r="E108" i="34" s="1"/>
  <c r="B108" i="34" a="1"/>
  <c r="B108" i="34" s="1"/>
  <c r="C120" i="34" a="1"/>
  <c r="C120" i="34" s="1"/>
  <c r="F120" i="34" a="1"/>
  <c r="F120" i="34" s="1"/>
  <c r="B120" i="34" a="1"/>
  <c r="B120" i="34" s="1"/>
  <c r="F140" i="34" a="1"/>
  <c r="F140" i="34" s="1"/>
  <c r="D140" i="34" a="1"/>
  <c r="D140" i="34" s="1"/>
  <c r="F150" i="34" a="1"/>
  <c r="F150" i="34" s="1"/>
  <c r="C150" i="34" a="1"/>
  <c r="C150" i="34" s="1"/>
  <c r="E150" i="34" a="1"/>
  <c r="E150" i="34" s="1"/>
  <c r="C7" i="34" a="1"/>
  <c r="C7" i="34" s="1"/>
  <c r="C11" i="34" a="1"/>
  <c r="C11" i="34" s="1"/>
  <c r="D12" i="34" a="1"/>
  <c r="D12" i="34" s="1"/>
  <c r="B17" i="34" a="1"/>
  <c r="B17" i="34" s="1"/>
  <c r="F17" i="34" a="1"/>
  <c r="F17" i="34" s="1"/>
  <c r="B21" i="34" a="1"/>
  <c r="B21" i="34" s="1"/>
  <c r="B25" i="34" a="1"/>
  <c r="B25" i="34" s="1"/>
  <c r="F25" i="34" a="1"/>
  <c r="F25" i="34" s="1"/>
  <c r="D31" i="34" a="1"/>
  <c r="D31" i="34" s="1"/>
  <c r="D39" i="34" a="1"/>
  <c r="D39" i="34" s="1"/>
  <c r="E39" i="34" a="1"/>
  <c r="E39" i="34" s="1"/>
  <c r="E41" i="34" a="1"/>
  <c r="E41" i="34" s="1"/>
  <c r="C55" i="34" a="1"/>
  <c r="C55" i="34" s="1"/>
  <c r="F61" i="34" a="1"/>
  <c r="F61" i="34" s="1"/>
  <c r="B61" i="34" a="1"/>
  <c r="B61" i="34" s="1"/>
  <c r="D69" i="34" a="1"/>
  <c r="D69" i="34" s="1"/>
  <c r="C69" i="34" a="1"/>
  <c r="C69" i="34" s="1"/>
  <c r="D100" i="34" a="1"/>
  <c r="D100" i="34" s="1"/>
  <c r="F100" i="34" a="1"/>
  <c r="F100" i="34" s="1"/>
  <c r="C100" i="34" a="1"/>
  <c r="C100" i="34" s="1"/>
  <c r="C106" i="34" a="1"/>
  <c r="C106" i="34" s="1"/>
  <c r="C108" i="34" a="1"/>
  <c r="C108" i="34" s="1"/>
  <c r="D120" i="34" a="1"/>
  <c r="D120" i="34" s="1"/>
  <c r="C133" i="34" a="1"/>
  <c r="C133" i="34" s="1"/>
  <c r="F133" i="34" a="1"/>
  <c r="F133" i="34" s="1"/>
  <c r="B133" i="34" a="1"/>
  <c r="B133" i="34" s="1"/>
  <c r="F138" i="34" a="1"/>
  <c r="F138" i="34" s="1"/>
  <c r="E138" i="34" a="1"/>
  <c r="E138" i="34" s="1"/>
  <c r="B140" i="34" a="1"/>
  <c r="B140" i="34" s="1"/>
  <c r="F142" i="34" a="1"/>
  <c r="F142" i="34" s="1"/>
  <c r="E142" i="34" a="1"/>
  <c r="E142" i="34" s="1"/>
  <c r="B142" i="34" a="1"/>
  <c r="B142" i="34" s="1"/>
  <c r="F146" i="34" a="1"/>
  <c r="F146" i="34" s="1"/>
  <c r="C146" i="34" a="1"/>
  <c r="C146" i="34" s="1"/>
  <c r="E146" i="34" a="1"/>
  <c r="E146" i="34" s="1"/>
  <c r="B146" i="34" a="1"/>
  <c r="B146" i="34" s="1"/>
  <c r="B150" i="34" a="1"/>
  <c r="B150" i="34" s="1"/>
  <c r="C151" i="34" a="1"/>
  <c r="C151" i="34" s="1"/>
  <c r="B153" i="34" a="1"/>
  <c r="B153" i="34" s="1"/>
  <c r="D11" i="34" a="1"/>
  <c r="D11" i="34" s="1"/>
  <c r="E15" i="34" a="1"/>
  <c r="E15" i="34" s="1"/>
  <c r="C17" i="34" a="1"/>
  <c r="C17" i="34" s="1"/>
  <c r="C19" i="34" a="1"/>
  <c r="C19" i="34" s="1"/>
  <c r="D20" i="34" a="1"/>
  <c r="D20" i="34" s="1"/>
  <c r="E21" i="34" a="1"/>
  <c r="E21" i="34" s="1"/>
  <c r="C23" i="34" a="1"/>
  <c r="C23" i="34" s="1"/>
  <c r="C25" i="34" a="1"/>
  <c r="C25" i="34" s="1"/>
  <c r="C27" i="34" a="1"/>
  <c r="C27" i="34" s="1"/>
  <c r="C35" i="34" a="1"/>
  <c r="C35" i="34" s="1"/>
  <c r="B39" i="34" a="1"/>
  <c r="B39" i="34" s="1"/>
  <c r="F41" i="34" a="1"/>
  <c r="F41" i="34" s="1"/>
  <c r="F45" i="34" a="1"/>
  <c r="F45" i="34" s="1"/>
  <c r="B49" i="34" a="1"/>
  <c r="B49" i="34" s="1"/>
  <c r="F49" i="34" a="1"/>
  <c r="F49" i="34" s="1"/>
  <c r="F54" i="34" a="1"/>
  <c r="F54" i="34" s="1"/>
  <c r="C54" i="34" a="1"/>
  <c r="C54" i="34" s="1"/>
  <c r="C58" i="34" a="1"/>
  <c r="C58" i="34" s="1"/>
  <c r="C61" i="34" a="1"/>
  <c r="C61" i="34" s="1"/>
  <c r="F62" i="34" a="1"/>
  <c r="F62" i="34" s="1"/>
  <c r="E62" i="34" a="1"/>
  <c r="E62" i="34" s="1"/>
  <c r="B69" i="34" a="1"/>
  <c r="B69" i="34" s="1"/>
  <c r="F84" i="34" a="1"/>
  <c r="F84" i="34" s="1"/>
  <c r="C84" i="34" a="1"/>
  <c r="C84" i="34" s="1"/>
  <c r="E84" i="34" a="1"/>
  <c r="E84" i="34" s="1"/>
  <c r="D96" i="34" a="1"/>
  <c r="D96" i="34" s="1"/>
  <c r="C96" i="34" a="1"/>
  <c r="C96" i="34" s="1"/>
  <c r="F98" i="34" a="1"/>
  <c r="F98" i="34" s="1"/>
  <c r="B100" i="34" a="1"/>
  <c r="B100" i="34" s="1"/>
  <c r="D104" i="34" a="1"/>
  <c r="D104" i="34" s="1"/>
  <c r="C104" i="34" a="1"/>
  <c r="C104" i="34" s="1"/>
  <c r="D108" i="34" a="1"/>
  <c r="D108" i="34" s="1"/>
  <c r="E120" i="34" a="1"/>
  <c r="E120" i="34" s="1"/>
  <c r="D133" i="34" a="1"/>
  <c r="D133" i="34" s="1"/>
  <c r="F137" i="34" a="1"/>
  <c r="F137" i="34" s="1"/>
  <c r="C137" i="34" a="1"/>
  <c r="C137" i="34" s="1"/>
  <c r="E137" i="34" a="1"/>
  <c r="E137" i="34" s="1"/>
  <c r="B137" i="34" a="1"/>
  <c r="B137" i="34" s="1"/>
  <c r="C138" i="34" a="1"/>
  <c r="C138" i="34" s="1"/>
  <c r="E141" i="34" a="1"/>
  <c r="E141" i="34" s="1"/>
  <c r="D141" i="34" a="1"/>
  <c r="D141" i="34" s="1"/>
  <c r="C142" i="34" a="1"/>
  <c r="C142" i="34" s="1"/>
  <c r="D146" i="34" a="1"/>
  <c r="D146" i="34" s="1"/>
  <c r="D150" i="34" a="1"/>
  <c r="D150" i="34" s="1"/>
  <c r="D152" i="34" a="1"/>
  <c r="D152" i="34" s="1"/>
  <c r="E152" i="34" a="1"/>
  <c r="E152" i="34" s="1"/>
  <c r="C152" i="34" a="1"/>
  <c r="C152" i="34" s="1"/>
  <c r="F4" i="34" a="1"/>
  <c r="F4" i="34" s="1"/>
  <c r="C21" i="34" a="1"/>
  <c r="C21" i="34" s="1"/>
  <c r="C41" i="34" a="1"/>
  <c r="C41" i="34" s="1"/>
  <c r="F42" i="34" a="1"/>
  <c r="F42" i="34" s="1"/>
  <c r="C42" i="34" a="1"/>
  <c r="C42" i="34" s="1"/>
  <c r="B45" i="34" a="1"/>
  <c r="B45" i="34" s="1"/>
  <c r="E47" i="34" a="1"/>
  <c r="E47" i="34" s="1"/>
  <c r="C47" i="34" a="1"/>
  <c r="C47" i="34" s="1"/>
  <c r="C49" i="34" a="1"/>
  <c r="C49" i="34" s="1"/>
  <c r="F50" i="34" a="1"/>
  <c r="F50" i="34" s="1"/>
  <c r="E50" i="34" a="1"/>
  <c r="E50" i="34" s="1"/>
  <c r="E54" i="34" a="1"/>
  <c r="E54" i="34" s="1"/>
  <c r="F57" i="34" a="1"/>
  <c r="F57" i="34" s="1"/>
  <c r="C57" i="34" a="1"/>
  <c r="C57" i="34" s="1"/>
  <c r="E58" i="34" a="1"/>
  <c r="E58" i="34" s="1"/>
  <c r="D60" i="34" a="1"/>
  <c r="D60" i="34" s="1"/>
  <c r="D61" i="34" a="1"/>
  <c r="D61" i="34" s="1"/>
  <c r="C62" i="34" a="1"/>
  <c r="C62" i="34" s="1"/>
  <c r="F68" i="34" a="1"/>
  <c r="F68" i="34" s="1"/>
  <c r="D68" i="34" a="1"/>
  <c r="D68" i="34" s="1"/>
  <c r="E69" i="34" a="1"/>
  <c r="E69" i="34" s="1"/>
  <c r="E73" i="34" a="1"/>
  <c r="E73" i="34" s="1"/>
  <c r="B73" i="34" a="1"/>
  <c r="B73" i="34" s="1"/>
  <c r="F74" i="34" a="1"/>
  <c r="F74" i="34" s="1"/>
  <c r="E74" i="34" a="1"/>
  <c r="E74" i="34" s="1"/>
  <c r="C74" i="34" a="1"/>
  <c r="C74" i="34" s="1"/>
  <c r="C88" i="34" a="1"/>
  <c r="C88" i="34" s="1"/>
  <c r="F88" i="34" a="1"/>
  <c r="F88" i="34" s="1"/>
  <c r="B88" i="34" a="1"/>
  <c r="B88" i="34" s="1"/>
  <c r="F108" i="34" a="1"/>
  <c r="F108" i="34" s="1"/>
  <c r="F116" i="34" a="1"/>
  <c r="F116" i="34" s="1"/>
  <c r="C116" i="34" a="1"/>
  <c r="C116" i="34" s="1"/>
  <c r="E116" i="34" a="1"/>
  <c r="E116" i="34" s="1"/>
  <c r="D128" i="34" a="1"/>
  <c r="D128" i="34" s="1"/>
  <c r="C128" i="34" a="1"/>
  <c r="C128" i="34" s="1"/>
  <c r="D132" i="34" a="1"/>
  <c r="D132" i="34" s="1"/>
  <c r="B132" i="34" a="1"/>
  <c r="B132" i="34" s="1"/>
  <c r="E133" i="34" a="1"/>
  <c r="E133" i="34" s="1"/>
  <c r="D137" i="34" a="1"/>
  <c r="D137" i="34" s="1"/>
  <c r="B141" i="34" a="1"/>
  <c r="B141" i="34" s="1"/>
  <c r="D142" i="34" a="1"/>
  <c r="D142" i="34" s="1"/>
  <c r="B152" i="34" a="1"/>
  <c r="B152" i="34" s="1"/>
  <c r="F90" i="34" a="1"/>
  <c r="F90" i="34" s="1"/>
  <c r="F122" i="34" a="1"/>
  <c r="F122" i="34" s="1"/>
  <c r="E4" i="34" a="1"/>
  <c r="E4" i="34" s="1"/>
  <c r="D7" i="34" a="1"/>
  <c r="D7" i="34" s="1"/>
  <c r="E11" i="34" a="1"/>
  <c r="E11" i="34" s="1"/>
  <c r="B11" i="34" a="1"/>
  <c r="B11" i="34" s="1"/>
  <c r="B15" i="34" a="1"/>
  <c r="B15" i="34" s="1"/>
  <c r="F18" i="34" a="1"/>
  <c r="F18" i="34" s="1"/>
  <c r="D18" i="34" a="1"/>
  <c r="D18" i="34" s="1"/>
  <c r="B18" i="34" a="1"/>
  <c r="B18" i="34" s="1"/>
  <c r="E18" i="34" a="1"/>
  <c r="E18" i="34" s="1"/>
  <c r="E20" i="34" a="1"/>
  <c r="E20" i="34" s="1"/>
  <c r="C20" i="34" a="1"/>
  <c r="C20" i="34" s="1"/>
  <c r="B20" i="34" a="1"/>
  <c r="B20" i="34" s="1"/>
  <c r="D23" i="34" a="1"/>
  <c r="D23" i="34" s="1"/>
  <c r="E48" i="34" a="1"/>
  <c r="E48" i="34" s="1"/>
  <c r="C48" i="34" a="1"/>
  <c r="C48" i="34" s="1"/>
  <c r="D48" i="34" a="1"/>
  <c r="D48" i="34" s="1"/>
  <c r="F48" i="34" a="1"/>
  <c r="F48" i="34" s="1"/>
  <c r="B48" i="34" a="1"/>
  <c r="B48" i="34" s="1"/>
  <c r="E127" i="34" a="1"/>
  <c r="E127" i="34" s="1"/>
  <c r="C127" i="34" a="1"/>
  <c r="C127" i="34" s="1"/>
  <c r="F127" i="34" a="1"/>
  <c r="F127" i="34" s="1"/>
  <c r="D127" i="34" a="1"/>
  <c r="D127" i="34" s="1"/>
  <c r="B127" i="34" a="1"/>
  <c r="B127" i="34" s="1"/>
  <c r="E8" i="34" a="1"/>
  <c r="E8" i="34" s="1"/>
  <c r="C8" i="34" a="1"/>
  <c r="C8" i="34" s="1"/>
  <c r="F8" i="34" a="1"/>
  <c r="F8" i="34" s="1"/>
  <c r="E22" i="34" a="1"/>
  <c r="E22" i="34" s="1"/>
  <c r="E24" i="34" a="1"/>
  <c r="E24" i="34" s="1"/>
  <c r="C24" i="34" a="1"/>
  <c r="C24" i="34" s="1"/>
  <c r="F24" i="34" a="1"/>
  <c r="F24" i="34" s="1"/>
  <c r="C156" i="34" a="1"/>
  <c r="C156" i="34" s="1"/>
  <c r="E156" i="34" a="1"/>
  <c r="E156" i="34" s="1"/>
  <c r="B156" i="34" a="1"/>
  <c r="B156" i="34" s="1"/>
  <c r="F156" i="34" a="1"/>
  <c r="F156" i="34" s="1"/>
  <c r="D156" i="34" a="1"/>
  <c r="D156" i="34" s="1"/>
  <c r="E7" i="34" a="1"/>
  <c r="E7" i="34" s="1"/>
  <c r="F14" i="34" a="1"/>
  <c r="F14" i="34" s="1"/>
  <c r="D14" i="34" a="1"/>
  <c r="D14" i="34" s="1"/>
  <c r="B14" i="34" a="1"/>
  <c r="B14" i="34" s="1"/>
  <c r="E14" i="34" a="1"/>
  <c r="E14" i="34" s="1"/>
  <c r="C15" i="34" a="1"/>
  <c r="C15" i="34" s="1"/>
  <c r="E16" i="34" a="1"/>
  <c r="E16" i="34" s="1"/>
  <c r="C16" i="34" a="1"/>
  <c r="C16" i="34" s="1"/>
  <c r="F16" i="34" a="1"/>
  <c r="F16" i="34" s="1"/>
  <c r="E23" i="34" a="1"/>
  <c r="E23" i="34" s="1"/>
  <c r="F30" i="34" a="1"/>
  <c r="F30" i="34" s="1"/>
  <c r="D30" i="34" a="1"/>
  <c r="D30" i="34" s="1"/>
  <c r="B30" i="34" a="1"/>
  <c r="B30" i="34" s="1"/>
  <c r="C30" i="34" a="1"/>
  <c r="C30" i="34" s="1"/>
  <c r="F31" i="34" a="1"/>
  <c r="F31" i="34" s="1"/>
  <c r="C31" i="34" a="1"/>
  <c r="C31" i="34" s="1"/>
  <c r="E32" i="34" a="1"/>
  <c r="E32" i="34" s="1"/>
  <c r="C32" i="34" a="1"/>
  <c r="C32" i="34" s="1"/>
  <c r="D32" i="34" a="1"/>
  <c r="D32" i="34" s="1"/>
  <c r="F32" i="34" a="1"/>
  <c r="F32" i="34" s="1"/>
  <c r="E72" i="34" a="1"/>
  <c r="E72" i="34" s="1"/>
  <c r="C72" i="34" a="1"/>
  <c r="C72" i="34" s="1"/>
  <c r="D72" i="34" a="1"/>
  <c r="D72" i="34" s="1"/>
  <c r="F72" i="34" a="1"/>
  <c r="F72" i="34" s="1"/>
  <c r="B72" i="34" a="1"/>
  <c r="B72" i="34" s="1"/>
  <c r="F93" i="34" a="1"/>
  <c r="F93" i="34" s="1"/>
  <c r="D93" i="34" a="1"/>
  <c r="D93" i="34" s="1"/>
  <c r="B93" i="34" a="1"/>
  <c r="B93" i="34" s="1"/>
  <c r="C93" i="34" a="1"/>
  <c r="C93" i="34" s="1"/>
  <c r="E93" i="34" a="1"/>
  <c r="E93" i="34" s="1"/>
  <c r="F139" i="34" a="1"/>
  <c r="F139" i="34" s="1"/>
  <c r="D139" i="34" a="1"/>
  <c r="D139" i="34" s="1"/>
  <c r="B139" i="34" a="1"/>
  <c r="B139" i="34" s="1"/>
  <c r="C139" i="34" a="1"/>
  <c r="C139" i="34" s="1"/>
  <c r="E139" i="34" a="1"/>
  <c r="E139" i="34" s="1"/>
  <c r="F169" i="34"/>
  <c r="E170" i="34" s="1" a="1"/>
  <c r="E170" i="34" s="1"/>
  <c r="P190" i="34"/>
  <c r="P180" i="34"/>
  <c r="P189" i="34"/>
  <c r="P173" i="34"/>
  <c r="P171" i="34"/>
  <c r="P191" i="34"/>
  <c r="P181" i="34"/>
  <c r="P172" i="34"/>
  <c r="P182" i="34"/>
  <c r="E3" i="34" a="1"/>
  <c r="E3" i="34" s="1"/>
  <c r="C3" i="34" a="1"/>
  <c r="C3" i="34" s="1"/>
  <c r="B3" i="34" a="1"/>
  <c r="B3" i="34" s="1"/>
  <c r="F6" i="34" a="1"/>
  <c r="F6" i="34" s="1"/>
  <c r="D6" i="34" a="1"/>
  <c r="D6" i="34" s="1"/>
  <c r="B6" i="34" a="1"/>
  <c r="B6" i="34" s="1"/>
  <c r="E6" i="34" a="1"/>
  <c r="E6" i="34" s="1"/>
  <c r="F22" i="34" a="1"/>
  <c r="F22" i="34" s="1"/>
  <c r="D22" i="34" a="1"/>
  <c r="D22" i="34" s="1"/>
  <c r="B22" i="34" a="1"/>
  <c r="B22" i="34" s="1"/>
  <c r="E56" i="34" a="1"/>
  <c r="E56" i="34" s="1"/>
  <c r="C56" i="34" a="1"/>
  <c r="C56" i="34" s="1"/>
  <c r="D56" i="34" a="1"/>
  <c r="D56" i="34" s="1"/>
  <c r="F56" i="34" a="1"/>
  <c r="F56" i="34" s="1"/>
  <c r="B56" i="34" a="1"/>
  <c r="B56" i="34" s="1"/>
  <c r="E95" i="34" a="1"/>
  <c r="E95" i="34" s="1"/>
  <c r="C95" i="34" a="1"/>
  <c r="C95" i="34" s="1"/>
  <c r="F95" i="34" a="1"/>
  <c r="F95" i="34" s="1"/>
  <c r="D95" i="34" a="1"/>
  <c r="D95" i="34" s="1"/>
  <c r="B95" i="34" a="1"/>
  <c r="B95" i="34" s="1"/>
  <c r="F126" i="34" a="1"/>
  <c r="F126" i="34" s="1"/>
  <c r="C126" i="34" a="1"/>
  <c r="C126" i="34" s="1"/>
  <c r="E126" i="34" a="1"/>
  <c r="E126" i="34" s="1"/>
  <c r="D126" i="34" a="1"/>
  <c r="D126" i="34" s="1"/>
  <c r="B126" i="34" a="1"/>
  <c r="B126" i="34" s="1"/>
  <c r="E144" i="34" a="1"/>
  <c r="E144" i="34" s="1"/>
  <c r="C144" i="34" a="1"/>
  <c r="C144" i="34" s="1"/>
  <c r="D144" i="34" a="1"/>
  <c r="D144" i="34" s="1"/>
  <c r="B144" i="34" a="1"/>
  <c r="B144" i="34" s="1"/>
  <c r="F144" i="34" a="1"/>
  <c r="F144" i="34" s="1"/>
  <c r="P5" i="34"/>
  <c r="D3" i="34" a="1"/>
  <c r="D3" i="34" s="1"/>
  <c r="B7" i="34" a="1"/>
  <c r="B7" i="34" s="1"/>
  <c r="D8" i="34" a="1"/>
  <c r="D8" i="34" s="1"/>
  <c r="F10" i="34" a="1"/>
  <c r="F10" i="34" s="1"/>
  <c r="D10" i="34" a="1"/>
  <c r="D10" i="34" s="1"/>
  <c r="B10" i="34" a="1"/>
  <c r="B10" i="34" s="1"/>
  <c r="E10" i="34" a="1"/>
  <c r="E10" i="34" s="1"/>
  <c r="E12" i="34" a="1"/>
  <c r="E12" i="34" s="1"/>
  <c r="C12" i="34" a="1"/>
  <c r="C12" i="34" s="1"/>
  <c r="B12" i="34" a="1"/>
  <c r="B12" i="34" s="1"/>
  <c r="D15" i="34" a="1"/>
  <c r="D15" i="34" s="1"/>
  <c r="B16" i="34" a="1"/>
  <c r="B16" i="34" s="1"/>
  <c r="E19" i="34" a="1"/>
  <c r="E19" i="34" s="1"/>
  <c r="B19" i="34" a="1"/>
  <c r="B19" i="34" s="1"/>
  <c r="B23" i="34" a="1"/>
  <c r="B23" i="34" s="1"/>
  <c r="D24" i="34" a="1"/>
  <c r="D24" i="34" s="1"/>
  <c r="F26" i="34" a="1"/>
  <c r="F26" i="34" s="1"/>
  <c r="D26" i="34" a="1"/>
  <c r="D26" i="34" s="1"/>
  <c r="B26" i="34" a="1"/>
  <c r="B26" i="34" s="1"/>
  <c r="E26" i="34" a="1"/>
  <c r="E26" i="34" s="1"/>
  <c r="B31" i="34" a="1"/>
  <c r="B31" i="34" s="1"/>
  <c r="B32" i="34" a="1"/>
  <c r="B32" i="34" s="1"/>
  <c r="E64" i="34" a="1"/>
  <c r="E64" i="34" s="1"/>
  <c r="C64" i="34" a="1"/>
  <c r="C64" i="34" s="1"/>
  <c r="D64" i="34" a="1"/>
  <c r="D64" i="34" s="1"/>
  <c r="F64" i="34" a="1"/>
  <c r="F64" i="34" s="1"/>
  <c r="B64" i="34" a="1"/>
  <c r="B64" i="34" s="1"/>
  <c r="F94" i="34" a="1"/>
  <c r="F94" i="34" s="1"/>
  <c r="C94" i="34" a="1"/>
  <c r="C94" i="34" s="1"/>
  <c r="E94" i="34" a="1"/>
  <c r="E94" i="34" s="1"/>
  <c r="D94" i="34" a="1"/>
  <c r="D94" i="34" s="1"/>
  <c r="B94" i="34" a="1"/>
  <c r="B94" i="34" s="1"/>
  <c r="F125" i="34" a="1"/>
  <c r="F125" i="34" s="1"/>
  <c r="D125" i="34" a="1"/>
  <c r="D125" i="34" s="1"/>
  <c r="B125" i="34" a="1"/>
  <c r="B125" i="34" s="1"/>
  <c r="C125" i="34" a="1"/>
  <c r="C125" i="34" s="1"/>
  <c r="E125" i="34" a="1"/>
  <c r="E125" i="34" s="1"/>
  <c r="D27" i="34" a="1"/>
  <c r="D27" i="34" s="1"/>
  <c r="E28" i="34" a="1"/>
  <c r="E28" i="34" s="1"/>
  <c r="C28" i="34" a="1"/>
  <c r="C28" i="34" s="1"/>
  <c r="D28" i="34" a="1"/>
  <c r="D28" i="34" s="1"/>
  <c r="F34" i="34" a="1"/>
  <c r="F34" i="34" s="1"/>
  <c r="D34" i="34" a="1"/>
  <c r="D34" i="34" s="1"/>
  <c r="B34" i="34" a="1"/>
  <c r="B34" i="34" s="1"/>
  <c r="D35" i="34" a="1"/>
  <c r="D35" i="34" s="1"/>
  <c r="E36" i="34" a="1"/>
  <c r="E36" i="34" s="1"/>
  <c r="C36" i="34" a="1"/>
  <c r="C36" i="34" s="1"/>
  <c r="D36" i="34" a="1"/>
  <c r="D36" i="34" s="1"/>
  <c r="C39" i="34" a="1"/>
  <c r="C39" i="34" s="1"/>
  <c r="F43" i="34" a="1"/>
  <c r="F43" i="34" s="1"/>
  <c r="D43" i="34" a="1"/>
  <c r="D43" i="34" s="1"/>
  <c r="B43" i="34" a="1"/>
  <c r="B43" i="34" s="1"/>
  <c r="F51" i="34" a="1"/>
  <c r="F51" i="34" s="1"/>
  <c r="D51" i="34" a="1"/>
  <c r="D51" i="34" s="1"/>
  <c r="B51" i="34" a="1"/>
  <c r="B51" i="34" s="1"/>
  <c r="F59" i="34" a="1"/>
  <c r="F59" i="34" s="1"/>
  <c r="D59" i="34" a="1"/>
  <c r="D59" i="34" s="1"/>
  <c r="B59" i="34" a="1"/>
  <c r="B59" i="34" s="1"/>
  <c r="F67" i="34" a="1"/>
  <c r="F67" i="34" s="1"/>
  <c r="D67" i="34" a="1"/>
  <c r="D67" i="34" s="1"/>
  <c r="B67" i="34" a="1"/>
  <c r="B67" i="34" s="1"/>
  <c r="F75" i="34" a="1"/>
  <c r="F75" i="34" s="1"/>
  <c r="D75" i="34" a="1"/>
  <c r="D75" i="34" s="1"/>
  <c r="B75" i="34" a="1"/>
  <c r="B75" i="34" s="1"/>
  <c r="F85" i="34" a="1"/>
  <c r="F85" i="34" s="1"/>
  <c r="D85" i="34" a="1"/>
  <c r="D85" i="34" s="1"/>
  <c r="B85" i="34" a="1"/>
  <c r="B85" i="34" s="1"/>
  <c r="C85" i="34" a="1"/>
  <c r="C85" i="34" s="1"/>
  <c r="F86" i="34" a="1"/>
  <c r="F86" i="34" s="1"/>
  <c r="C86" i="34" a="1"/>
  <c r="C86" i="34" s="1"/>
  <c r="E87" i="34" a="1"/>
  <c r="E87" i="34" s="1"/>
  <c r="C87" i="34" a="1"/>
  <c r="C87" i="34" s="1"/>
  <c r="F87" i="34" a="1"/>
  <c r="F87" i="34" s="1"/>
  <c r="D102" i="34" a="1"/>
  <c r="D102" i="34" s="1"/>
  <c r="F117" i="34" a="1"/>
  <c r="F117" i="34" s="1"/>
  <c r="D117" i="34" a="1"/>
  <c r="D117" i="34" s="1"/>
  <c r="B117" i="34" a="1"/>
  <c r="B117" i="34" s="1"/>
  <c r="C117" i="34" a="1"/>
  <c r="C117" i="34" s="1"/>
  <c r="F118" i="34" a="1"/>
  <c r="F118" i="34" s="1"/>
  <c r="C118" i="34" a="1"/>
  <c r="C118" i="34" s="1"/>
  <c r="E119" i="34" a="1"/>
  <c r="E119" i="34" s="1"/>
  <c r="C119" i="34" a="1"/>
  <c r="C119" i="34" s="1"/>
  <c r="F119" i="34" a="1"/>
  <c r="F119" i="34" s="1"/>
  <c r="F131" i="34" a="1"/>
  <c r="F131" i="34" s="1"/>
  <c r="D131" i="34" a="1"/>
  <c r="D131" i="34" s="1"/>
  <c r="B131" i="34" a="1"/>
  <c r="B131" i="34" s="1"/>
  <c r="C131" i="34" a="1"/>
  <c r="C131" i="34" s="1"/>
  <c r="E131" i="34" a="1"/>
  <c r="E131" i="34" s="1"/>
  <c r="C148" i="34" a="1"/>
  <c r="C148" i="34" s="1"/>
  <c r="E148" i="34" a="1"/>
  <c r="E148" i="34" s="1"/>
  <c r="B148" i="34" a="1"/>
  <c r="B148" i="34" s="1"/>
  <c r="F148" i="34" a="1"/>
  <c r="F148" i="34" s="1"/>
  <c r="D148" i="34" a="1"/>
  <c r="D148" i="34" s="1"/>
  <c r="E157" i="34" a="1"/>
  <c r="E157" i="34" s="1"/>
  <c r="C157" i="34" a="1"/>
  <c r="C157" i="34" s="1"/>
  <c r="B157" i="34" a="1"/>
  <c r="B157" i="34" s="1"/>
  <c r="F157" i="34" a="1"/>
  <c r="F157" i="34" s="1"/>
  <c r="D157" i="34" a="1"/>
  <c r="D157" i="34" s="1"/>
  <c r="F5" i="34" a="1"/>
  <c r="F5" i="34" s="1"/>
  <c r="D5" i="34" a="1"/>
  <c r="D5" i="34" s="1"/>
  <c r="B5" i="34" a="1"/>
  <c r="B5" i="34" s="1"/>
  <c r="B27" i="34" a="1"/>
  <c r="B27" i="34" s="1"/>
  <c r="B28" i="34" a="1"/>
  <c r="B28" i="34" s="1"/>
  <c r="E34" i="34" a="1"/>
  <c r="E34" i="34" s="1"/>
  <c r="B35" i="34" a="1"/>
  <c r="B35" i="34" s="1"/>
  <c r="B36" i="34" a="1"/>
  <c r="B36" i="34" s="1"/>
  <c r="F39" i="34" a="1"/>
  <c r="F39" i="34" s="1"/>
  <c r="C43" i="34" a="1"/>
  <c r="C43" i="34" s="1"/>
  <c r="E44" i="34" a="1"/>
  <c r="E44" i="34" s="1"/>
  <c r="C44" i="34" a="1"/>
  <c r="C44" i="34" s="1"/>
  <c r="C51" i="34" a="1"/>
  <c r="C51" i="34" s="1"/>
  <c r="E52" i="34" a="1"/>
  <c r="E52" i="34" s="1"/>
  <c r="C52" i="34" a="1"/>
  <c r="C52" i="34" s="1"/>
  <c r="C59" i="34" a="1"/>
  <c r="C59" i="34" s="1"/>
  <c r="E60" i="34" a="1"/>
  <c r="E60" i="34" s="1"/>
  <c r="C60" i="34" a="1"/>
  <c r="C60" i="34" s="1"/>
  <c r="C67" i="34" a="1"/>
  <c r="C67" i="34" s="1"/>
  <c r="E68" i="34" a="1"/>
  <c r="E68" i="34" s="1"/>
  <c r="C68" i="34" a="1"/>
  <c r="C68" i="34" s="1"/>
  <c r="C75" i="34" a="1"/>
  <c r="C75" i="34" s="1"/>
  <c r="E76" i="34" a="1"/>
  <c r="E76" i="34" s="1"/>
  <c r="C76" i="34" a="1"/>
  <c r="C76" i="34" s="1"/>
  <c r="F78" i="34" a="1"/>
  <c r="F78" i="34" s="1"/>
  <c r="C78" i="34" a="1"/>
  <c r="C78" i="34" s="1"/>
  <c r="E79" i="34" a="1"/>
  <c r="E79" i="34" s="1"/>
  <c r="C79" i="34" a="1"/>
  <c r="C79" i="34" s="1"/>
  <c r="F79" i="34" a="1"/>
  <c r="F79" i="34" s="1"/>
  <c r="B86" i="34" a="1"/>
  <c r="B86" i="34" s="1"/>
  <c r="B87" i="34" a="1"/>
  <c r="B87" i="34" s="1"/>
  <c r="F109" i="34" a="1"/>
  <c r="F109" i="34" s="1"/>
  <c r="D109" i="34" a="1"/>
  <c r="D109" i="34" s="1"/>
  <c r="B109" i="34" a="1"/>
  <c r="B109" i="34" s="1"/>
  <c r="C109" i="34" a="1"/>
  <c r="C109" i="34" s="1"/>
  <c r="F110" i="34" a="1"/>
  <c r="F110" i="34" s="1"/>
  <c r="C110" i="34" a="1"/>
  <c r="C110" i="34" s="1"/>
  <c r="E111" i="34" a="1"/>
  <c r="E111" i="34" s="1"/>
  <c r="C111" i="34" a="1"/>
  <c r="C111" i="34" s="1"/>
  <c r="F111" i="34" a="1"/>
  <c r="F111" i="34" s="1"/>
  <c r="B118" i="34" a="1"/>
  <c r="B118" i="34" s="1"/>
  <c r="B119" i="34" a="1"/>
  <c r="B119" i="34" s="1"/>
  <c r="F143" i="34" a="1"/>
  <c r="F143" i="34" s="1"/>
  <c r="D143" i="34" a="1"/>
  <c r="D143" i="34" s="1"/>
  <c r="B143" i="34" a="1"/>
  <c r="B143" i="34" s="1"/>
  <c r="E143" i="34" a="1"/>
  <c r="E143" i="34" s="1"/>
  <c r="C143" i="34" a="1"/>
  <c r="C143" i="34" s="1"/>
  <c r="E149" i="34" a="1"/>
  <c r="E149" i="34" s="1"/>
  <c r="C149" i="34" a="1"/>
  <c r="C149" i="34" s="1"/>
  <c r="B149" i="34" a="1"/>
  <c r="B149" i="34" s="1"/>
  <c r="F149" i="34" a="1"/>
  <c r="F149" i="34" s="1"/>
  <c r="D149" i="34" a="1"/>
  <c r="D149" i="34" s="1"/>
  <c r="F38" i="34" a="1"/>
  <c r="F38" i="34" s="1"/>
  <c r="D38" i="34" a="1"/>
  <c r="D38" i="34" s="1"/>
  <c r="B38" i="34" a="1"/>
  <c r="B38" i="34" s="1"/>
  <c r="E40" i="34" a="1"/>
  <c r="E40" i="34" s="1"/>
  <c r="C40" i="34" a="1"/>
  <c r="C40" i="34" s="1"/>
  <c r="D40" i="34" a="1"/>
  <c r="D40" i="34" s="1"/>
  <c r="F47" i="34" a="1"/>
  <c r="F47" i="34" s="1"/>
  <c r="D47" i="34" a="1"/>
  <c r="D47" i="34" s="1"/>
  <c r="B47" i="34" a="1"/>
  <c r="B47" i="34" s="1"/>
  <c r="F55" i="34" a="1"/>
  <c r="F55" i="34" s="1"/>
  <c r="D55" i="34" a="1"/>
  <c r="D55" i="34" s="1"/>
  <c r="B55" i="34" a="1"/>
  <c r="B55" i="34" s="1"/>
  <c r="F63" i="34" a="1"/>
  <c r="F63" i="34" s="1"/>
  <c r="D63" i="34" a="1"/>
  <c r="D63" i="34" s="1"/>
  <c r="B63" i="34" a="1"/>
  <c r="B63" i="34" s="1"/>
  <c r="F71" i="34" a="1"/>
  <c r="F71" i="34" s="1"/>
  <c r="D71" i="34" a="1"/>
  <c r="D71" i="34" s="1"/>
  <c r="B71" i="34" a="1"/>
  <c r="B71" i="34" s="1"/>
  <c r="D86" i="34" a="1"/>
  <c r="D86" i="34" s="1"/>
  <c r="D87" i="34" a="1"/>
  <c r="D87" i="34" s="1"/>
  <c r="F101" i="34" a="1"/>
  <c r="F101" i="34" s="1"/>
  <c r="D101" i="34" a="1"/>
  <c r="D101" i="34" s="1"/>
  <c r="B101" i="34" a="1"/>
  <c r="B101" i="34" s="1"/>
  <c r="C101" i="34" a="1"/>
  <c r="C101" i="34" s="1"/>
  <c r="F102" i="34" a="1"/>
  <c r="F102" i="34" s="1"/>
  <c r="C102" i="34" a="1"/>
  <c r="C102" i="34" s="1"/>
  <c r="E103" i="34" a="1"/>
  <c r="E103" i="34" s="1"/>
  <c r="C103" i="34" a="1"/>
  <c r="C103" i="34" s="1"/>
  <c r="F103" i="34" a="1"/>
  <c r="F103" i="34" s="1"/>
  <c r="D118" i="34" a="1"/>
  <c r="D118" i="34" s="1"/>
  <c r="D119" i="34" a="1"/>
  <c r="D119" i="34" s="1"/>
  <c r="C164" i="34" a="1"/>
  <c r="C164" i="34" s="1"/>
  <c r="E164" i="34" a="1"/>
  <c r="E164" i="34" s="1"/>
  <c r="B164" i="34" a="1"/>
  <c r="B164" i="34" s="1"/>
  <c r="F164" i="34" a="1"/>
  <c r="F164" i="34" s="1"/>
  <c r="D164" i="34" a="1"/>
  <c r="D164" i="34" s="1"/>
  <c r="F81" i="34" a="1"/>
  <c r="F81" i="34" s="1"/>
  <c r="D81" i="34" a="1"/>
  <c r="D81" i="34" s="1"/>
  <c r="B81" i="34" a="1"/>
  <c r="B81" i="34" s="1"/>
  <c r="D82" i="34" a="1"/>
  <c r="D82" i="34" s="1"/>
  <c r="E83" i="34" a="1"/>
  <c r="E83" i="34" s="1"/>
  <c r="C83" i="34" a="1"/>
  <c r="C83" i="34" s="1"/>
  <c r="D83" i="34" a="1"/>
  <c r="D83" i="34" s="1"/>
  <c r="F89" i="34" a="1"/>
  <c r="F89" i="34" s="1"/>
  <c r="D89" i="34" a="1"/>
  <c r="D89" i="34" s="1"/>
  <c r="B89" i="34" a="1"/>
  <c r="B89" i="34" s="1"/>
  <c r="D90" i="34" a="1"/>
  <c r="D90" i="34" s="1"/>
  <c r="E91" i="34" a="1"/>
  <c r="E91" i="34" s="1"/>
  <c r="C91" i="34" a="1"/>
  <c r="C91" i="34" s="1"/>
  <c r="D91" i="34" a="1"/>
  <c r="D91" i="34" s="1"/>
  <c r="F97" i="34" a="1"/>
  <c r="F97" i="34" s="1"/>
  <c r="D97" i="34" a="1"/>
  <c r="D97" i="34" s="1"/>
  <c r="B97" i="34" a="1"/>
  <c r="B97" i="34" s="1"/>
  <c r="D98" i="34" a="1"/>
  <c r="D98" i="34" s="1"/>
  <c r="E99" i="34" a="1"/>
  <c r="E99" i="34" s="1"/>
  <c r="C99" i="34" a="1"/>
  <c r="C99" i="34" s="1"/>
  <c r="D99" i="34" a="1"/>
  <c r="D99" i="34" s="1"/>
  <c r="F105" i="34" a="1"/>
  <c r="F105" i="34" s="1"/>
  <c r="D105" i="34" a="1"/>
  <c r="D105" i="34" s="1"/>
  <c r="B105" i="34" a="1"/>
  <c r="B105" i="34" s="1"/>
  <c r="D106" i="34" a="1"/>
  <c r="D106" i="34" s="1"/>
  <c r="E107" i="34" a="1"/>
  <c r="E107" i="34" s="1"/>
  <c r="C107" i="34" a="1"/>
  <c r="C107" i="34" s="1"/>
  <c r="D107" i="34" a="1"/>
  <c r="D107" i="34" s="1"/>
  <c r="F113" i="34" a="1"/>
  <c r="F113" i="34" s="1"/>
  <c r="D113" i="34" a="1"/>
  <c r="D113" i="34" s="1"/>
  <c r="B113" i="34" a="1"/>
  <c r="B113" i="34" s="1"/>
  <c r="D114" i="34" a="1"/>
  <c r="D114" i="34" s="1"/>
  <c r="E115" i="34" a="1"/>
  <c r="E115" i="34" s="1"/>
  <c r="C115" i="34" a="1"/>
  <c r="C115" i="34" s="1"/>
  <c r="D115" i="34" a="1"/>
  <c r="D115" i="34" s="1"/>
  <c r="F121" i="34" a="1"/>
  <c r="F121" i="34" s="1"/>
  <c r="D121" i="34" a="1"/>
  <c r="D121" i="34" s="1"/>
  <c r="B121" i="34" a="1"/>
  <c r="B121" i="34" s="1"/>
  <c r="D122" i="34" a="1"/>
  <c r="D122" i="34" s="1"/>
  <c r="E123" i="34" a="1"/>
  <c r="E123" i="34" s="1"/>
  <c r="C123" i="34" a="1"/>
  <c r="C123" i="34" s="1"/>
  <c r="D123" i="34" a="1"/>
  <c r="D123" i="34" s="1"/>
  <c r="F129" i="34" a="1"/>
  <c r="F129" i="34" s="1"/>
  <c r="D129" i="34" a="1"/>
  <c r="D129" i="34" s="1"/>
  <c r="B129" i="34" a="1"/>
  <c r="B129" i="34" s="1"/>
  <c r="F130" i="34" a="1"/>
  <c r="F130" i="34" s="1"/>
  <c r="D130" i="34" a="1"/>
  <c r="D130" i="34" s="1"/>
  <c r="E130" i="34" a="1"/>
  <c r="E130" i="34" s="1"/>
  <c r="F135" i="34" a="1"/>
  <c r="F135" i="34" s="1"/>
  <c r="D135" i="34" a="1"/>
  <c r="D135" i="34" s="1"/>
  <c r="B135" i="34" a="1"/>
  <c r="B135" i="34" s="1"/>
  <c r="E135" i="34" a="1"/>
  <c r="E135" i="34" s="1"/>
  <c r="E136" i="34" a="1"/>
  <c r="E136" i="34" s="1"/>
  <c r="C136" i="34" a="1"/>
  <c r="C136" i="34" s="1"/>
  <c r="F136" i="34" a="1"/>
  <c r="F136" i="34" s="1"/>
  <c r="F147" i="34" a="1"/>
  <c r="F147" i="34" s="1"/>
  <c r="D147" i="34" a="1"/>
  <c r="D147" i="34" s="1"/>
  <c r="B147" i="34" a="1"/>
  <c r="B147" i="34" s="1"/>
  <c r="C147" i="34" a="1"/>
  <c r="C147" i="34" s="1"/>
  <c r="E147" i="34" a="1"/>
  <c r="E147" i="34" s="1"/>
  <c r="F155" i="34" a="1"/>
  <c r="F155" i="34" s="1"/>
  <c r="D155" i="34" a="1"/>
  <c r="D155" i="34" s="1"/>
  <c r="B155" i="34" a="1"/>
  <c r="B155" i="34" s="1"/>
  <c r="C155" i="34" a="1"/>
  <c r="C155" i="34" s="1"/>
  <c r="E155" i="34" a="1"/>
  <c r="E155" i="34" s="1"/>
  <c r="F163" i="34" a="1"/>
  <c r="F163" i="34" s="1"/>
  <c r="D163" i="34" a="1"/>
  <c r="D163" i="34" s="1"/>
  <c r="B163" i="34" a="1"/>
  <c r="B163" i="34" s="1"/>
  <c r="C163" i="34" a="1"/>
  <c r="C163" i="34" s="1"/>
  <c r="E163" i="34" a="1"/>
  <c r="E163" i="34" s="1"/>
  <c r="B42" i="34" a="1"/>
  <c r="B42" i="34" s="1"/>
  <c r="D42" i="34" a="1"/>
  <c r="D42" i="34" s="1"/>
  <c r="B46" i="34" a="1"/>
  <c r="B46" i="34" s="1"/>
  <c r="D46" i="34" a="1"/>
  <c r="D46" i="34" s="1"/>
  <c r="B50" i="34" a="1"/>
  <c r="B50" i="34" s="1"/>
  <c r="D50" i="34" a="1"/>
  <c r="D50" i="34" s="1"/>
  <c r="B54" i="34" a="1"/>
  <c r="B54" i="34" s="1"/>
  <c r="D54" i="34" a="1"/>
  <c r="D54" i="34" s="1"/>
  <c r="B58" i="34" a="1"/>
  <c r="B58" i="34" s="1"/>
  <c r="D58" i="34" a="1"/>
  <c r="D58" i="34" s="1"/>
  <c r="B62" i="34" a="1"/>
  <c r="B62" i="34" s="1"/>
  <c r="D62" i="34" a="1"/>
  <c r="D62" i="34" s="1"/>
  <c r="B66" i="34" a="1"/>
  <c r="B66" i="34" s="1"/>
  <c r="D66" i="34" a="1"/>
  <c r="D66" i="34" s="1"/>
  <c r="B70" i="34" a="1"/>
  <c r="B70" i="34" s="1"/>
  <c r="D70" i="34" a="1"/>
  <c r="D70" i="34" s="1"/>
  <c r="B74" i="34" a="1"/>
  <c r="B74" i="34" s="1"/>
  <c r="D74" i="34" a="1"/>
  <c r="D74" i="34" s="1"/>
  <c r="F77" i="34" a="1"/>
  <c r="F77" i="34" s="1"/>
  <c r="D77" i="34" a="1"/>
  <c r="D77" i="34" s="1"/>
  <c r="E81" i="34" a="1"/>
  <c r="E81" i="34" s="1"/>
  <c r="B82" i="34" a="1"/>
  <c r="B82" i="34" s="1"/>
  <c r="B83" i="34" a="1"/>
  <c r="B83" i="34" s="1"/>
  <c r="E89" i="34" a="1"/>
  <c r="E89" i="34" s="1"/>
  <c r="B90" i="34" a="1"/>
  <c r="B90" i="34" s="1"/>
  <c r="B91" i="34" a="1"/>
  <c r="B91" i="34" s="1"/>
  <c r="E97" i="34" a="1"/>
  <c r="E97" i="34" s="1"/>
  <c r="B98" i="34" a="1"/>
  <c r="B98" i="34" s="1"/>
  <c r="B99" i="34" a="1"/>
  <c r="B99" i="34" s="1"/>
  <c r="E105" i="34" a="1"/>
  <c r="E105" i="34" s="1"/>
  <c r="B106" i="34" a="1"/>
  <c r="B106" i="34" s="1"/>
  <c r="B107" i="34" a="1"/>
  <c r="B107" i="34" s="1"/>
  <c r="E113" i="34" a="1"/>
  <c r="E113" i="34" s="1"/>
  <c r="B114" i="34" a="1"/>
  <c r="B114" i="34" s="1"/>
  <c r="B115" i="34" a="1"/>
  <c r="B115" i="34" s="1"/>
  <c r="E121" i="34" a="1"/>
  <c r="E121" i="34" s="1"/>
  <c r="B122" i="34" a="1"/>
  <c r="B122" i="34" s="1"/>
  <c r="B123" i="34" a="1"/>
  <c r="B123" i="34" s="1"/>
  <c r="E129" i="34" a="1"/>
  <c r="E129" i="34" s="1"/>
  <c r="B130" i="34" a="1"/>
  <c r="B130" i="34" s="1"/>
  <c r="C135" i="34" a="1"/>
  <c r="C135" i="34" s="1"/>
  <c r="B136" i="34" a="1"/>
  <c r="B136" i="34" s="1"/>
  <c r="E132" i="34" a="1"/>
  <c r="E132" i="34" s="1"/>
  <c r="C132" i="34" a="1"/>
  <c r="C132" i="34" s="1"/>
  <c r="E140" i="34" a="1"/>
  <c r="E140" i="34" s="1"/>
  <c r="C140" i="34" a="1"/>
  <c r="C140" i="34" s="1"/>
  <c r="T170" i="34" a="1"/>
  <c r="T170" i="34" s="1"/>
  <c r="C141" i="34" a="1"/>
  <c r="C141" i="34" s="1"/>
  <c r="F152" i="34" a="1"/>
  <c r="F152" i="34" s="1"/>
  <c r="F160" i="34" a="1"/>
  <c r="F160" i="34" s="1"/>
  <c r="L169" i="34"/>
  <c r="K169" i="34"/>
  <c r="B134" i="34" a="1"/>
  <c r="B134" i="34" s="1"/>
  <c r="D134" i="34" a="1"/>
  <c r="D134" i="34" s="1"/>
  <c r="B138" i="34" a="1"/>
  <c r="B138" i="34" s="1"/>
  <c r="D138" i="34" a="1"/>
  <c r="D138" i="34" s="1"/>
  <c r="E145" i="34" a="1"/>
  <c r="E145" i="34" s="1"/>
  <c r="C145" i="34" a="1"/>
  <c r="C145" i="34" s="1"/>
  <c r="D145" i="34" a="1"/>
  <c r="D145" i="34" s="1"/>
  <c r="F151" i="34" a="1"/>
  <c r="F151" i="34" s="1"/>
  <c r="D151" i="34" a="1"/>
  <c r="D151" i="34" s="1"/>
  <c r="B151" i="34" a="1"/>
  <c r="B151" i="34" s="1"/>
  <c r="E153" i="34" a="1"/>
  <c r="E153" i="34" s="1"/>
  <c r="C153" i="34" a="1"/>
  <c r="C153" i="34" s="1"/>
  <c r="D153" i="34" a="1"/>
  <c r="D153" i="34" s="1"/>
  <c r="F159" i="34" a="1"/>
  <c r="F159" i="34" s="1"/>
  <c r="D159" i="34" a="1"/>
  <c r="D159" i="34" s="1"/>
  <c r="B159" i="34" a="1"/>
  <c r="B159" i="34" s="1"/>
  <c r="E161" i="34" a="1"/>
  <c r="E161" i="34" s="1"/>
  <c r="C161" i="34" a="1"/>
  <c r="C161" i="34" s="1"/>
  <c r="D161" i="34" a="1"/>
  <c r="D161" i="34" s="1"/>
  <c r="D90" i="33" a="1"/>
  <c r="D90" i="33" s="1"/>
  <c r="D9" i="33" a="1"/>
  <c r="D9" i="33" s="1"/>
  <c r="C78" i="33" a="1"/>
  <c r="C78" i="33" s="1"/>
  <c r="C88" i="33" a="1"/>
  <c r="C88" i="33" s="1"/>
  <c r="F9" i="33" a="1"/>
  <c r="F9" i="33" s="1"/>
  <c r="F116" i="33" a="1"/>
  <c r="F116" i="33" s="1"/>
  <c r="C123" i="33" a="1"/>
  <c r="C123" i="33" s="1"/>
  <c r="C104" i="33" a="1"/>
  <c r="C104" i="33" s="1"/>
  <c r="D106" i="33" a="1"/>
  <c r="D106" i="33" s="1"/>
  <c r="B108" i="33" a="1"/>
  <c r="B108" i="33" s="1"/>
  <c r="B110" i="33" a="1"/>
  <c r="B110" i="33" s="1"/>
  <c r="D131" i="33" a="1"/>
  <c r="D131" i="33" s="1"/>
  <c r="D104" i="33" a="1"/>
  <c r="D104" i="33" s="1"/>
  <c r="E108" i="33" a="1"/>
  <c r="E108" i="33" s="1"/>
  <c r="E60" i="33" a="1"/>
  <c r="E60" i="33" s="1"/>
  <c r="D62" i="33" a="1"/>
  <c r="D62" i="33" s="1"/>
  <c r="B92" i="33" a="1"/>
  <c r="B92" i="33" s="1"/>
  <c r="E148" i="33" a="1"/>
  <c r="E148" i="33" s="1"/>
  <c r="B158" i="33" a="1"/>
  <c r="B158" i="33" s="1"/>
  <c r="K169" i="33"/>
  <c r="J170" i="33" s="1" a="1"/>
  <c r="J170" i="33" s="1"/>
  <c r="K191" i="33" s="1"/>
  <c r="B62" i="33" a="1"/>
  <c r="B62" i="33" s="1"/>
  <c r="F102" i="33" a="1"/>
  <c r="F102" i="33" s="1"/>
  <c r="B150" i="33" a="1"/>
  <c r="B150" i="33" s="1"/>
  <c r="C160" i="33" a="1"/>
  <c r="C160" i="33" s="1"/>
  <c r="U169" i="33"/>
  <c r="B5" i="33" a="1"/>
  <c r="B5" i="33" s="1"/>
  <c r="E7" i="33" a="1"/>
  <c r="E7" i="33" s="1"/>
  <c r="C30" i="33" a="1"/>
  <c r="C30" i="33" s="1"/>
  <c r="C72" i="33" a="1"/>
  <c r="C72" i="33" s="1"/>
  <c r="D74" i="33" a="1"/>
  <c r="D74" i="33" s="1"/>
  <c r="B76" i="33" a="1"/>
  <c r="B76" i="33" s="1"/>
  <c r="F86" i="33" a="1"/>
  <c r="F86" i="33" s="1"/>
  <c r="D88" i="33" a="1"/>
  <c r="D88" i="33" s="1"/>
  <c r="E92" i="33" a="1"/>
  <c r="E92" i="33" s="1"/>
  <c r="B94" i="33" a="1"/>
  <c r="B94" i="33" s="1"/>
  <c r="F100" i="33" a="1"/>
  <c r="F100" i="33" s="1"/>
  <c r="C110" i="33" a="1"/>
  <c r="C110" i="33" s="1"/>
  <c r="D123" i="33" a="1"/>
  <c r="D123" i="33" s="1"/>
  <c r="B137" i="33" a="1"/>
  <c r="B137" i="33" s="1"/>
  <c r="C150" i="33" a="1"/>
  <c r="C150" i="33" s="1"/>
  <c r="E156" i="33" a="1"/>
  <c r="E156" i="33" s="1"/>
  <c r="F158" i="33" a="1"/>
  <c r="F158" i="33" s="1"/>
  <c r="E164" i="33" a="1"/>
  <c r="E164" i="33" s="1"/>
  <c r="C4" i="33" a="1"/>
  <c r="C4" i="33" s="1"/>
  <c r="E34" i="33" a="1"/>
  <c r="E34" i="33" s="1"/>
  <c r="C41" i="33" a="1"/>
  <c r="C41" i="33" s="1"/>
  <c r="D51" i="33" a="1"/>
  <c r="D51" i="33" s="1"/>
  <c r="F70" i="33" a="1"/>
  <c r="F70" i="33" s="1"/>
  <c r="D72" i="33" a="1"/>
  <c r="D72" i="33" s="1"/>
  <c r="E76" i="33" a="1"/>
  <c r="E76" i="33" s="1"/>
  <c r="B78" i="33" a="1"/>
  <c r="B78" i="33" s="1"/>
  <c r="C94" i="33" a="1"/>
  <c r="C94" i="33" s="1"/>
  <c r="C137" i="33" a="1"/>
  <c r="C137" i="33" s="1"/>
  <c r="F150" i="33" a="1"/>
  <c r="F150" i="33" s="1"/>
  <c r="C6" i="33" a="1"/>
  <c r="C6" i="33" s="1"/>
  <c r="E10" i="33" a="1"/>
  <c r="E10" i="33" s="1"/>
  <c r="D13" i="33" a="1"/>
  <c r="D13" i="33" s="1"/>
  <c r="F137" i="33" a="1"/>
  <c r="F137" i="33" s="1"/>
  <c r="F59" i="33" a="1"/>
  <c r="F59" i="33" s="1"/>
  <c r="F139" i="33" a="1"/>
  <c r="F139" i="33" s="1"/>
  <c r="F152" i="33" a="1"/>
  <c r="F152" i="33" s="1"/>
  <c r="E4" i="33" a="1"/>
  <c r="E4" i="33" s="1"/>
  <c r="C5" i="33" a="1"/>
  <c r="C5" i="33" s="1"/>
  <c r="E11" i="33" a="1"/>
  <c r="E11" i="33" s="1"/>
  <c r="F13" i="33" a="1"/>
  <c r="F13" i="33" s="1"/>
  <c r="E18" i="33" a="1"/>
  <c r="E18" i="33" s="1"/>
  <c r="F21" i="33" a="1"/>
  <c r="F21" i="33" s="1"/>
  <c r="D33" i="33" a="1"/>
  <c r="D33" i="33" s="1"/>
  <c r="B38" i="33" a="1"/>
  <c r="B38" i="33" s="1"/>
  <c r="B40" i="33" a="1"/>
  <c r="B40" i="33" s="1"/>
  <c r="D50" i="33" a="1"/>
  <c r="D50" i="33" s="1"/>
  <c r="B54" i="33" a="1"/>
  <c r="B54" i="33" s="1"/>
  <c r="B55" i="33" a="1"/>
  <c r="B55" i="33" s="1"/>
  <c r="B59" i="33" a="1"/>
  <c r="B59" i="33" s="1"/>
  <c r="C64" i="33" a="1"/>
  <c r="C64" i="33" s="1"/>
  <c r="C80" i="33" a="1"/>
  <c r="C80" i="33" s="1"/>
  <c r="C96" i="33" a="1"/>
  <c r="C96" i="33" s="1"/>
  <c r="C112" i="33" a="1"/>
  <c r="C112" i="33" s="1"/>
  <c r="B129" i="33" a="1"/>
  <c r="B129" i="33" s="1"/>
  <c r="F131" i="33" a="1"/>
  <c r="F131" i="33" s="1"/>
  <c r="B139" i="33" a="1"/>
  <c r="B139" i="33" s="1"/>
  <c r="B152" i="33" a="1"/>
  <c r="B152" i="33" s="1"/>
  <c r="D160" i="33" a="1"/>
  <c r="D160" i="33" s="1"/>
  <c r="D2" i="33" a="1"/>
  <c r="D2" i="33" s="1"/>
  <c r="E5" i="33" a="1"/>
  <c r="E5" i="33" s="1"/>
  <c r="C7" i="33" a="1"/>
  <c r="C7" i="33" s="1"/>
  <c r="B9" i="33" a="1"/>
  <c r="B9" i="33" s="1"/>
  <c r="C10" i="33" a="1"/>
  <c r="C10" i="33" s="1"/>
  <c r="F29" i="33" a="1"/>
  <c r="F29" i="33" s="1"/>
  <c r="E31" i="33" a="1"/>
  <c r="E31" i="33" s="1"/>
  <c r="F33" i="33" a="1"/>
  <c r="F33" i="33" s="1"/>
  <c r="C40" i="33" a="1"/>
  <c r="C40" i="33" s="1"/>
  <c r="F50" i="33" a="1"/>
  <c r="F50" i="33" s="1"/>
  <c r="F52" i="33" a="1"/>
  <c r="F52" i="33" s="1"/>
  <c r="D54" i="33" a="1"/>
  <c r="D54" i="33" s="1"/>
  <c r="D55" i="33" a="1"/>
  <c r="D55" i="33" s="1"/>
  <c r="C56" i="33" a="1"/>
  <c r="C56" i="33" s="1"/>
  <c r="D58" i="33" a="1"/>
  <c r="D58" i="33" s="1"/>
  <c r="B63" i="33" a="1"/>
  <c r="B63" i="33" s="1"/>
  <c r="D64" i="33" a="1"/>
  <c r="D64" i="33" s="1"/>
  <c r="B70" i="33" a="1"/>
  <c r="B70" i="33" s="1"/>
  <c r="F78" i="33" a="1"/>
  <c r="F78" i="33" s="1"/>
  <c r="D80" i="33" a="1"/>
  <c r="D80" i="33" s="1"/>
  <c r="B86" i="33" a="1"/>
  <c r="B86" i="33" s="1"/>
  <c r="F94" i="33" a="1"/>
  <c r="F94" i="33" s="1"/>
  <c r="D96" i="33" a="1"/>
  <c r="D96" i="33" s="1"/>
  <c r="B102" i="33" a="1"/>
  <c r="B102" i="33" s="1"/>
  <c r="F110" i="33" a="1"/>
  <c r="F110" i="33" s="1"/>
  <c r="D112" i="33" a="1"/>
  <c r="D112" i="33" s="1"/>
  <c r="B118" i="33" a="1"/>
  <c r="B118" i="33" s="1"/>
  <c r="F123" i="33" a="1"/>
  <c r="F123" i="33" s="1"/>
  <c r="C129" i="33" a="1"/>
  <c r="C129" i="33" s="1"/>
  <c r="B131" i="33" a="1"/>
  <c r="B131" i="33" s="1"/>
  <c r="C139" i="33" a="1"/>
  <c r="C139" i="33" s="1"/>
  <c r="C152" i="33" a="1"/>
  <c r="C152" i="33" s="1"/>
  <c r="F160" i="33" a="1"/>
  <c r="F160" i="33" s="1"/>
  <c r="E14" i="33" a="1"/>
  <c r="E14" i="33" s="1"/>
  <c r="D17" i="33" a="1"/>
  <c r="D17" i="33" s="1"/>
  <c r="D43" i="33" a="1"/>
  <c r="D43" i="33" s="1"/>
  <c r="F54" i="33" a="1"/>
  <c r="F54" i="33" s="1"/>
  <c r="F55" i="33" a="1"/>
  <c r="F55" i="33" s="1"/>
  <c r="E56" i="33" a="1"/>
  <c r="E56" i="33" s="1"/>
  <c r="F58" i="33" a="1"/>
  <c r="F58" i="33" s="1"/>
  <c r="D59" i="33" a="1"/>
  <c r="D59" i="33" s="1"/>
  <c r="C70" i="33" a="1"/>
  <c r="C70" i="33" s="1"/>
  <c r="C86" i="33" a="1"/>
  <c r="C86" i="33" s="1"/>
  <c r="C102" i="33" a="1"/>
  <c r="C102" i="33" s="1"/>
  <c r="C118" i="33" a="1"/>
  <c r="C118" i="33" s="1"/>
  <c r="B123" i="33" a="1"/>
  <c r="B123" i="33" s="1"/>
  <c r="F129" i="33" a="1"/>
  <c r="F129" i="33" s="1"/>
  <c r="C131" i="33" a="1"/>
  <c r="C131" i="33" s="1"/>
  <c r="D139" i="33" a="1"/>
  <c r="D139" i="33" s="1"/>
  <c r="D152" i="33" a="1"/>
  <c r="D152" i="33" s="1"/>
  <c r="C158" i="33" a="1"/>
  <c r="C158" i="33" s="1"/>
  <c r="B160" i="33" a="1"/>
  <c r="B160" i="33" s="1"/>
  <c r="D127" i="33" a="1"/>
  <c r="D127" i="33" s="1"/>
  <c r="C127" i="33" a="1"/>
  <c r="C127" i="33" s="1"/>
  <c r="B25" i="33" a="1"/>
  <c r="B25" i="33" s="1"/>
  <c r="E30" i="33" a="1"/>
  <c r="E30" i="33" s="1"/>
  <c r="E37" i="33" a="1"/>
  <c r="E37" i="33" s="1"/>
  <c r="F37" i="33" a="1"/>
  <c r="F37" i="33" s="1"/>
  <c r="B48" i="33" a="1"/>
  <c r="B48" i="33" s="1"/>
  <c r="D68" i="33" a="1"/>
  <c r="D68" i="33" s="1"/>
  <c r="C68" i="33" a="1"/>
  <c r="C68" i="33" s="1"/>
  <c r="D84" i="33" a="1"/>
  <c r="D84" i="33" s="1"/>
  <c r="C84" i="33" a="1"/>
  <c r="C84" i="33" s="1"/>
  <c r="D119" i="33" a="1"/>
  <c r="D119" i="33" s="1"/>
  <c r="F119" i="33" a="1"/>
  <c r="F119" i="33" s="1"/>
  <c r="C119" i="33" a="1"/>
  <c r="C119" i="33" s="1"/>
  <c r="D125" i="33" a="1"/>
  <c r="D125" i="33" s="1"/>
  <c r="B2" i="33" a="1"/>
  <c r="B2" i="33" s="1"/>
  <c r="F2" i="33" a="1"/>
  <c r="F2" i="33" s="1"/>
  <c r="E6" i="33" a="1"/>
  <c r="E6" i="33" s="1"/>
  <c r="C15" i="33" a="1"/>
  <c r="C15" i="33" s="1"/>
  <c r="B17" i="33" a="1"/>
  <c r="B17" i="33" s="1"/>
  <c r="C19" i="33" a="1"/>
  <c r="C19" i="33" s="1"/>
  <c r="B21" i="33" a="1"/>
  <c r="B21" i="33" s="1"/>
  <c r="C22" i="33" a="1"/>
  <c r="C22" i="33" s="1"/>
  <c r="E23" i="33" a="1"/>
  <c r="E23" i="33" s="1"/>
  <c r="D25" i="33" a="1"/>
  <c r="D25" i="33" s="1"/>
  <c r="C27" i="33" a="1"/>
  <c r="C27" i="33" s="1"/>
  <c r="B29" i="33" a="1"/>
  <c r="B29" i="33" s="1"/>
  <c r="B30" i="33" a="1"/>
  <c r="B30" i="33" s="1"/>
  <c r="C35" i="33" a="1"/>
  <c r="C35" i="33" s="1"/>
  <c r="B37" i="33" a="1"/>
  <c r="B37" i="33" s="1"/>
  <c r="F44" i="33" a="1"/>
  <c r="F44" i="33" s="1"/>
  <c r="C44" i="33" a="1"/>
  <c r="C44" i="33" s="1"/>
  <c r="E44" i="33" a="1"/>
  <c r="E44" i="33" s="1"/>
  <c r="B68" i="33" a="1"/>
  <c r="B68" i="33" s="1"/>
  <c r="B84" i="33" a="1"/>
  <c r="B84" i="33" s="1"/>
  <c r="B119" i="33" a="1"/>
  <c r="B119" i="33" s="1"/>
  <c r="E127" i="33" a="1"/>
  <c r="E127" i="33" s="1"/>
  <c r="C146" i="33" a="1"/>
  <c r="C146" i="33" s="1"/>
  <c r="F146" i="33" a="1"/>
  <c r="F146" i="33" s="1"/>
  <c r="B146" i="33" a="1"/>
  <c r="B146" i="33" s="1"/>
  <c r="D148" i="33" a="1"/>
  <c r="D148" i="33" s="1"/>
  <c r="C148" i="33" a="1"/>
  <c r="C148" i="33" s="1"/>
  <c r="C154" i="33" a="1"/>
  <c r="C154" i="33" s="1"/>
  <c r="F154" i="33" a="1"/>
  <c r="F154" i="33" s="1"/>
  <c r="B154" i="33" a="1"/>
  <c r="B154" i="33" s="1"/>
  <c r="D156" i="33" a="1"/>
  <c r="D156" i="33" s="1"/>
  <c r="C156" i="33" a="1"/>
  <c r="C156" i="33" s="1"/>
  <c r="C162" i="33" a="1"/>
  <c r="C162" i="33" s="1"/>
  <c r="F162" i="33" a="1"/>
  <c r="F162" i="33" s="1"/>
  <c r="B162" i="33" a="1"/>
  <c r="B162" i="33" s="1"/>
  <c r="D164" i="33" a="1"/>
  <c r="D164" i="33" s="1"/>
  <c r="C164" i="33" a="1"/>
  <c r="C164" i="33" s="1"/>
  <c r="E26" i="33" a="1"/>
  <c r="E26" i="33" s="1"/>
  <c r="F48" i="33" a="1"/>
  <c r="F48" i="33" s="1"/>
  <c r="C48" i="33" a="1"/>
  <c r="C48" i="33" s="1"/>
  <c r="E48" i="33" a="1"/>
  <c r="E48" i="33" s="1"/>
  <c r="C125" i="33" a="1"/>
  <c r="C125" i="33" s="1"/>
  <c r="F125" i="33" a="1"/>
  <c r="F125" i="33" s="1"/>
  <c r="B125" i="33" a="1"/>
  <c r="B125" i="33" s="1"/>
  <c r="C133" i="33" a="1"/>
  <c r="C133" i="33" s="1"/>
  <c r="F133" i="33" a="1"/>
  <c r="F133" i="33" s="1"/>
  <c r="B133" i="33" a="1"/>
  <c r="B133" i="33" s="1"/>
  <c r="D135" i="33" a="1"/>
  <c r="D135" i="33" s="1"/>
  <c r="C135" i="33" a="1"/>
  <c r="C135" i="33" s="1"/>
  <c r="C141" i="33" a="1"/>
  <c r="C141" i="33" s="1"/>
  <c r="F141" i="33" a="1"/>
  <c r="F141" i="33" s="1"/>
  <c r="B141" i="33" a="1"/>
  <c r="B141" i="33" s="1"/>
  <c r="E2" i="33" a="1"/>
  <c r="E2" i="33" s="1"/>
  <c r="F17" i="33" a="1"/>
  <c r="F17" i="33" s="1"/>
  <c r="C23" i="33" a="1"/>
  <c r="C23" i="33" s="1"/>
  <c r="B26" i="33" a="1"/>
  <c r="B26" i="33" s="1"/>
  <c r="E47" i="33" a="1"/>
  <c r="E47" i="33" s="1"/>
  <c r="F47" i="33" a="1"/>
  <c r="F47" i="33" s="1"/>
  <c r="B47" i="33" a="1"/>
  <c r="B47" i="33" s="1"/>
  <c r="E52" i="33" a="1"/>
  <c r="E52" i="33" s="1"/>
  <c r="B52" i="33" a="1"/>
  <c r="B52" i="33" s="1"/>
  <c r="C66" i="33" a="1"/>
  <c r="C66" i="33" s="1"/>
  <c r="F66" i="33" a="1"/>
  <c r="F66" i="33" s="1"/>
  <c r="B66" i="33" a="1"/>
  <c r="B66" i="33" s="1"/>
  <c r="C82" i="33" a="1"/>
  <c r="C82" i="33" s="1"/>
  <c r="F82" i="33" a="1"/>
  <c r="F82" i="33" s="1"/>
  <c r="B82" i="33" a="1"/>
  <c r="B82" i="33" s="1"/>
  <c r="C98" i="33" a="1"/>
  <c r="C98" i="33" s="1"/>
  <c r="F98" i="33" a="1"/>
  <c r="F98" i="33" s="1"/>
  <c r="B98" i="33" a="1"/>
  <c r="B98" i="33" s="1"/>
  <c r="D100" i="33" a="1"/>
  <c r="D100" i="33" s="1"/>
  <c r="C100" i="33" a="1"/>
  <c r="C100" i="33" s="1"/>
  <c r="C114" i="33" a="1"/>
  <c r="C114" i="33" s="1"/>
  <c r="F114" i="33" a="1"/>
  <c r="F114" i="33" s="1"/>
  <c r="B114" i="33" a="1"/>
  <c r="B114" i="33" s="1"/>
  <c r="D116" i="33" a="1"/>
  <c r="D116" i="33" s="1"/>
  <c r="C116" i="33" a="1"/>
  <c r="C116" i="33" s="1"/>
  <c r="B127" i="33" a="1"/>
  <c r="B127" i="33" s="1"/>
  <c r="D133" i="33" a="1"/>
  <c r="D133" i="33" s="1"/>
  <c r="B135" i="33" a="1"/>
  <c r="B135" i="33" s="1"/>
  <c r="D141" i="33" a="1"/>
  <c r="D141" i="33" s="1"/>
  <c r="C143" i="33" a="1"/>
  <c r="C143" i="33" s="1"/>
  <c r="F143" i="33" a="1"/>
  <c r="F143" i="33" s="1"/>
  <c r="B143" i="33" a="1"/>
  <c r="B143" i="33" s="1"/>
  <c r="D5" i="33" a="1"/>
  <c r="D5" i="33" s="1"/>
  <c r="B6" i="33" a="1"/>
  <c r="B6" i="33" s="1"/>
  <c r="C11" i="33" a="1"/>
  <c r="C11" i="33" s="1"/>
  <c r="B13" i="33" a="1"/>
  <c r="B13" i="33" s="1"/>
  <c r="C14" i="33" a="1"/>
  <c r="C14" i="33" s="1"/>
  <c r="E15" i="33" a="1"/>
  <c r="E15" i="33" s="1"/>
  <c r="C17" i="33" a="1"/>
  <c r="C17" i="33" s="1"/>
  <c r="C18" i="33" a="1"/>
  <c r="C18" i="33" s="1"/>
  <c r="E19" i="33" a="1"/>
  <c r="E19" i="33" s="1"/>
  <c r="D21" i="33" a="1"/>
  <c r="D21" i="33" s="1"/>
  <c r="E22" i="33" a="1"/>
  <c r="E22" i="33" s="1"/>
  <c r="F25" i="33" a="1"/>
  <c r="F25" i="33" s="1"/>
  <c r="C26" i="33" a="1"/>
  <c r="C26" i="33" s="1"/>
  <c r="E27" i="33" a="1"/>
  <c r="E27" i="33" s="1"/>
  <c r="D29" i="33" a="1"/>
  <c r="D29" i="33" s="1"/>
  <c r="C31" i="33" a="1"/>
  <c r="C31" i="33" s="1"/>
  <c r="B33" i="33" a="1"/>
  <c r="B33" i="33" s="1"/>
  <c r="C34" i="33" a="1"/>
  <c r="C34" i="33" s="1"/>
  <c r="E35" i="33" a="1"/>
  <c r="E35" i="33" s="1"/>
  <c r="D37" i="33" a="1"/>
  <c r="D37" i="33" s="1"/>
  <c r="F39" i="33" a="1"/>
  <c r="F39" i="33" s="1"/>
  <c r="E39" i="33" a="1"/>
  <c r="E39" i="33" s="1"/>
  <c r="B44" i="33" a="1"/>
  <c r="B44" i="33" s="1"/>
  <c r="E46" i="33" a="1"/>
  <c r="E46" i="33" s="1"/>
  <c r="D46" i="33" a="1"/>
  <c r="D46" i="33" s="1"/>
  <c r="B46" i="33" a="1"/>
  <c r="B46" i="33" s="1"/>
  <c r="D52" i="33" a="1"/>
  <c r="D52" i="33" s="1"/>
  <c r="F60" i="33" a="1"/>
  <c r="F60" i="33" s="1"/>
  <c r="B60" i="33" a="1"/>
  <c r="B60" i="33" s="1"/>
  <c r="E66" i="33" a="1"/>
  <c r="E66" i="33" s="1"/>
  <c r="E68" i="33" a="1"/>
  <c r="E68" i="33" s="1"/>
  <c r="C74" i="33" a="1"/>
  <c r="C74" i="33" s="1"/>
  <c r="F74" i="33" a="1"/>
  <c r="F74" i="33" s="1"/>
  <c r="B74" i="33" a="1"/>
  <c r="B74" i="33" s="1"/>
  <c r="D76" i="33" a="1"/>
  <c r="D76" i="33" s="1"/>
  <c r="C76" i="33" a="1"/>
  <c r="C76" i="33" s="1"/>
  <c r="E82" i="33" a="1"/>
  <c r="E82" i="33" s="1"/>
  <c r="E84" i="33" a="1"/>
  <c r="E84" i="33" s="1"/>
  <c r="C90" i="33" a="1"/>
  <c r="C90" i="33" s="1"/>
  <c r="F90" i="33" a="1"/>
  <c r="F90" i="33" s="1"/>
  <c r="B90" i="33" a="1"/>
  <c r="B90" i="33" s="1"/>
  <c r="D92" i="33" a="1"/>
  <c r="D92" i="33" s="1"/>
  <c r="C92" i="33" a="1"/>
  <c r="C92" i="33" s="1"/>
  <c r="E98" i="33" a="1"/>
  <c r="E98" i="33" s="1"/>
  <c r="E100" i="33" a="1"/>
  <c r="E100" i="33" s="1"/>
  <c r="C106" i="33" a="1"/>
  <c r="C106" i="33" s="1"/>
  <c r="F106" i="33" a="1"/>
  <c r="F106" i="33" s="1"/>
  <c r="B106" i="33" a="1"/>
  <c r="B106" i="33" s="1"/>
  <c r="D108" i="33" a="1"/>
  <c r="D108" i="33" s="1"/>
  <c r="C108" i="33" a="1"/>
  <c r="C108" i="33" s="1"/>
  <c r="E114" i="33" a="1"/>
  <c r="E114" i="33" s="1"/>
  <c r="E116" i="33" a="1"/>
  <c r="E116" i="33" s="1"/>
  <c r="D121" i="33" a="1"/>
  <c r="D121" i="33" s="1"/>
  <c r="C121" i="33" a="1"/>
  <c r="C121" i="33" s="1"/>
  <c r="F127" i="33" a="1"/>
  <c r="F127" i="33" s="1"/>
  <c r="F135" i="33" a="1"/>
  <c r="F135" i="33" s="1"/>
  <c r="E143" i="33" a="1"/>
  <c r="E143" i="33" s="1"/>
  <c r="D146" i="33" a="1"/>
  <c r="D146" i="33" s="1"/>
  <c r="B148" i="33" a="1"/>
  <c r="B148" i="33" s="1"/>
  <c r="D154" i="33" a="1"/>
  <c r="D154" i="33" s="1"/>
  <c r="B156" i="33" a="1"/>
  <c r="B156" i="33" s="1"/>
  <c r="D162" i="33" a="1"/>
  <c r="D162" i="33" s="1"/>
  <c r="B164" i="33" a="1"/>
  <c r="B164" i="33" s="1"/>
  <c r="C38" i="33" a="1"/>
  <c r="C38" i="33" s="1"/>
  <c r="E40" i="33" a="1"/>
  <c r="E40" i="33" s="1"/>
  <c r="F43" i="33" a="1"/>
  <c r="F43" i="33" s="1"/>
  <c r="D56" i="33" a="1"/>
  <c r="D56" i="33" s="1"/>
  <c r="F62" i="33" a="1"/>
  <c r="F62" i="33" s="1"/>
  <c r="E64" i="33" a="1"/>
  <c r="E64" i="33" s="1"/>
  <c r="D70" i="33" a="1"/>
  <c r="D70" i="33" s="1"/>
  <c r="E72" i="33" a="1"/>
  <c r="E72" i="33" s="1"/>
  <c r="D78" i="33" a="1"/>
  <c r="D78" i="33" s="1"/>
  <c r="E80" i="33" a="1"/>
  <c r="E80" i="33" s="1"/>
  <c r="D86" i="33" a="1"/>
  <c r="D86" i="33" s="1"/>
  <c r="E88" i="33" a="1"/>
  <c r="E88" i="33" s="1"/>
  <c r="D94" i="33" a="1"/>
  <c r="D94" i="33" s="1"/>
  <c r="E96" i="33" a="1"/>
  <c r="E96" i="33" s="1"/>
  <c r="D102" i="33" a="1"/>
  <c r="D102" i="33" s="1"/>
  <c r="E104" i="33" a="1"/>
  <c r="E104" i="33" s="1"/>
  <c r="D110" i="33" a="1"/>
  <c r="D110" i="33" s="1"/>
  <c r="E112" i="33" a="1"/>
  <c r="E112" i="33" s="1"/>
  <c r="D118" i="33" a="1"/>
  <c r="D118" i="33" s="1"/>
  <c r="D129" i="33" a="1"/>
  <c r="D129" i="33" s="1"/>
  <c r="D137" i="33" a="1"/>
  <c r="D137" i="33" s="1"/>
  <c r="D150" i="33" a="1"/>
  <c r="D150" i="33" s="1"/>
  <c r="D158" i="33" a="1"/>
  <c r="D158" i="33" s="1"/>
  <c r="E38" i="33" a="1"/>
  <c r="E38" i="33" s="1"/>
  <c r="B43" i="33" a="1"/>
  <c r="B43" i="33" s="1"/>
  <c r="B50" i="33" a="1"/>
  <c r="B50" i="33" s="1"/>
  <c r="B51" i="33" a="1"/>
  <c r="B51" i="33" s="1"/>
  <c r="F51" i="33" a="1"/>
  <c r="F51" i="33" s="1"/>
  <c r="B56" i="33" a="1"/>
  <c r="B56" i="33" s="1"/>
  <c r="B58" i="33" a="1"/>
  <c r="B58" i="33" s="1"/>
  <c r="B64" i="33" a="1"/>
  <c r="B64" i="33" s="1"/>
  <c r="B72" i="33" a="1"/>
  <c r="B72" i="33" s="1"/>
  <c r="B80" i="33" a="1"/>
  <c r="B80" i="33" s="1"/>
  <c r="B88" i="33" a="1"/>
  <c r="B88" i="33" s="1"/>
  <c r="B96" i="33" a="1"/>
  <c r="B96" i="33" s="1"/>
  <c r="B104" i="33" a="1"/>
  <c r="B104" i="33" s="1"/>
  <c r="B112" i="33" a="1"/>
  <c r="B112" i="33" s="1"/>
  <c r="P5" i="33"/>
  <c r="E42" i="33" a="1"/>
  <c r="E42" i="33" s="1"/>
  <c r="C42" i="33" a="1"/>
  <c r="C42" i="33" s="1"/>
  <c r="E49" i="33" a="1"/>
  <c r="E49" i="33" s="1"/>
  <c r="C49" i="33" a="1"/>
  <c r="C49" i="33" s="1"/>
  <c r="F49" i="33" a="1"/>
  <c r="F49" i="33" s="1"/>
  <c r="D49" i="33" a="1"/>
  <c r="D49" i="33" s="1"/>
  <c r="B49" i="33" a="1"/>
  <c r="B49" i="33" s="1"/>
  <c r="E57" i="33" a="1"/>
  <c r="E57" i="33" s="1"/>
  <c r="C57" i="33" a="1"/>
  <c r="C57" i="33" s="1"/>
  <c r="F57" i="33" a="1"/>
  <c r="F57" i="33" s="1"/>
  <c r="D57" i="33" a="1"/>
  <c r="D57" i="33" s="1"/>
  <c r="B57" i="33" a="1"/>
  <c r="B57" i="33" s="1"/>
  <c r="F65" i="33" a="1"/>
  <c r="F65" i="33" s="1"/>
  <c r="D65" i="33" a="1"/>
  <c r="D65" i="33" s="1"/>
  <c r="B65" i="33" a="1"/>
  <c r="B65" i="33" s="1"/>
  <c r="E65" i="33" a="1"/>
  <c r="E65" i="33" s="1"/>
  <c r="C65" i="33" a="1"/>
  <c r="C65" i="33" s="1"/>
  <c r="E67" i="33" a="1"/>
  <c r="E67" i="33" s="1"/>
  <c r="C67" i="33" a="1"/>
  <c r="C67" i="33" s="1"/>
  <c r="F67" i="33" a="1"/>
  <c r="F67" i="33" s="1"/>
  <c r="D67" i="33" a="1"/>
  <c r="D67" i="33" s="1"/>
  <c r="B67" i="33" a="1"/>
  <c r="B67" i="33" s="1"/>
  <c r="F69" i="33" a="1"/>
  <c r="F69" i="33" s="1"/>
  <c r="D69" i="33" a="1"/>
  <c r="D69" i="33" s="1"/>
  <c r="B69" i="33" a="1"/>
  <c r="B69" i="33" s="1"/>
  <c r="E69" i="33" a="1"/>
  <c r="E69" i="33" s="1"/>
  <c r="C69" i="33" a="1"/>
  <c r="C69" i="33" s="1"/>
  <c r="E71" i="33" a="1"/>
  <c r="E71" i="33" s="1"/>
  <c r="C71" i="33" a="1"/>
  <c r="C71" i="33" s="1"/>
  <c r="F71" i="33" a="1"/>
  <c r="F71" i="33" s="1"/>
  <c r="D71" i="33" a="1"/>
  <c r="D71" i="33" s="1"/>
  <c r="B71" i="33" a="1"/>
  <c r="B71" i="33" s="1"/>
  <c r="F73" i="33" a="1"/>
  <c r="F73" i="33" s="1"/>
  <c r="D73" i="33" a="1"/>
  <c r="D73" i="33" s="1"/>
  <c r="B73" i="33" a="1"/>
  <c r="B73" i="33" s="1"/>
  <c r="E73" i="33" a="1"/>
  <c r="E73" i="33" s="1"/>
  <c r="C73" i="33" a="1"/>
  <c r="C73" i="33" s="1"/>
  <c r="E75" i="33" a="1"/>
  <c r="E75" i="33" s="1"/>
  <c r="C75" i="33" a="1"/>
  <c r="C75" i="33" s="1"/>
  <c r="F75" i="33" a="1"/>
  <c r="F75" i="33" s="1"/>
  <c r="D75" i="33" a="1"/>
  <c r="D75" i="33" s="1"/>
  <c r="B75" i="33" a="1"/>
  <c r="B75" i="33" s="1"/>
  <c r="F77" i="33" a="1"/>
  <c r="F77" i="33" s="1"/>
  <c r="D77" i="33" a="1"/>
  <c r="D77" i="33" s="1"/>
  <c r="B77" i="33" a="1"/>
  <c r="B77" i="33" s="1"/>
  <c r="E77" i="33" a="1"/>
  <c r="E77" i="33" s="1"/>
  <c r="C77" i="33" a="1"/>
  <c r="C77" i="33" s="1"/>
  <c r="E79" i="33" a="1"/>
  <c r="E79" i="33" s="1"/>
  <c r="C79" i="33" a="1"/>
  <c r="C79" i="33" s="1"/>
  <c r="F79" i="33" a="1"/>
  <c r="F79" i="33" s="1"/>
  <c r="D79" i="33" a="1"/>
  <c r="D79" i="33" s="1"/>
  <c r="B79" i="33" a="1"/>
  <c r="B79" i="33" s="1"/>
  <c r="F81" i="33" a="1"/>
  <c r="F81" i="33" s="1"/>
  <c r="D81" i="33" a="1"/>
  <c r="D81" i="33" s="1"/>
  <c r="B81" i="33" a="1"/>
  <c r="B81" i="33" s="1"/>
  <c r="E81" i="33" a="1"/>
  <c r="E81" i="33" s="1"/>
  <c r="C81" i="33" a="1"/>
  <c r="C81" i="33" s="1"/>
  <c r="E83" i="33" a="1"/>
  <c r="E83" i="33" s="1"/>
  <c r="C83" i="33" a="1"/>
  <c r="C83" i="33" s="1"/>
  <c r="F83" i="33" a="1"/>
  <c r="F83" i="33" s="1"/>
  <c r="D83" i="33" a="1"/>
  <c r="D83" i="33" s="1"/>
  <c r="B83" i="33" a="1"/>
  <c r="B83" i="33" s="1"/>
  <c r="F85" i="33" a="1"/>
  <c r="F85" i="33" s="1"/>
  <c r="D85" i="33" a="1"/>
  <c r="D85" i="33" s="1"/>
  <c r="B85" i="33" a="1"/>
  <c r="B85" i="33" s="1"/>
  <c r="E85" i="33" a="1"/>
  <c r="E85" i="33" s="1"/>
  <c r="C85" i="33" a="1"/>
  <c r="C85" i="33" s="1"/>
  <c r="E87" i="33" a="1"/>
  <c r="E87" i="33" s="1"/>
  <c r="C87" i="33" a="1"/>
  <c r="C87" i="33" s="1"/>
  <c r="F87" i="33" a="1"/>
  <c r="F87" i="33" s="1"/>
  <c r="D87" i="33" a="1"/>
  <c r="D87" i="33" s="1"/>
  <c r="B87" i="33" a="1"/>
  <c r="B87" i="33" s="1"/>
  <c r="F89" i="33" a="1"/>
  <c r="F89" i="33" s="1"/>
  <c r="D89" i="33" a="1"/>
  <c r="D89" i="33" s="1"/>
  <c r="B89" i="33" a="1"/>
  <c r="B89" i="33" s="1"/>
  <c r="E89" i="33" a="1"/>
  <c r="E89" i="33" s="1"/>
  <c r="C89" i="33" a="1"/>
  <c r="C89" i="33" s="1"/>
  <c r="E91" i="33" a="1"/>
  <c r="E91" i="33" s="1"/>
  <c r="C91" i="33" a="1"/>
  <c r="C91" i="33" s="1"/>
  <c r="F91" i="33" a="1"/>
  <c r="F91" i="33" s="1"/>
  <c r="D91" i="33" a="1"/>
  <c r="D91" i="33" s="1"/>
  <c r="B91" i="33" a="1"/>
  <c r="B91" i="33" s="1"/>
  <c r="F93" i="33" a="1"/>
  <c r="F93" i="33" s="1"/>
  <c r="D93" i="33" a="1"/>
  <c r="D93" i="33" s="1"/>
  <c r="B93" i="33" a="1"/>
  <c r="B93" i="33" s="1"/>
  <c r="E93" i="33" a="1"/>
  <c r="E93" i="33" s="1"/>
  <c r="C93" i="33" a="1"/>
  <c r="C93" i="33" s="1"/>
  <c r="E95" i="33" a="1"/>
  <c r="E95" i="33" s="1"/>
  <c r="C95" i="33" a="1"/>
  <c r="C95" i="33" s="1"/>
  <c r="F95" i="33" a="1"/>
  <c r="F95" i="33" s="1"/>
  <c r="D95" i="33" a="1"/>
  <c r="D95" i="33" s="1"/>
  <c r="B95" i="33" a="1"/>
  <c r="B95" i="33" s="1"/>
  <c r="F97" i="33" a="1"/>
  <c r="F97" i="33" s="1"/>
  <c r="D97" i="33" a="1"/>
  <c r="D97" i="33" s="1"/>
  <c r="B97" i="33" a="1"/>
  <c r="B97" i="33" s="1"/>
  <c r="E97" i="33" a="1"/>
  <c r="E97" i="33" s="1"/>
  <c r="C97" i="33" a="1"/>
  <c r="C97" i="33" s="1"/>
  <c r="E99" i="33" a="1"/>
  <c r="E99" i="33" s="1"/>
  <c r="C99" i="33" a="1"/>
  <c r="C99" i="33" s="1"/>
  <c r="F99" i="33" a="1"/>
  <c r="F99" i="33" s="1"/>
  <c r="D99" i="33" a="1"/>
  <c r="D99" i="33" s="1"/>
  <c r="B99" i="33" a="1"/>
  <c r="B99" i="33" s="1"/>
  <c r="F101" i="33" a="1"/>
  <c r="F101" i="33" s="1"/>
  <c r="D101" i="33" a="1"/>
  <c r="D101" i="33" s="1"/>
  <c r="B101" i="33" a="1"/>
  <c r="B101" i="33" s="1"/>
  <c r="E101" i="33" a="1"/>
  <c r="E101" i="33" s="1"/>
  <c r="C101" i="33" a="1"/>
  <c r="C101" i="33" s="1"/>
  <c r="E103" i="33" a="1"/>
  <c r="E103" i="33" s="1"/>
  <c r="C103" i="33" a="1"/>
  <c r="C103" i="33" s="1"/>
  <c r="F103" i="33" a="1"/>
  <c r="F103" i="33" s="1"/>
  <c r="D103" i="33" a="1"/>
  <c r="D103" i="33" s="1"/>
  <c r="B103" i="33" a="1"/>
  <c r="B103" i="33" s="1"/>
  <c r="F105" i="33" a="1"/>
  <c r="F105" i="33" s="1"/>
  <c r="D105" i="33" a="1"/>
  <c r="D105" i="33" s="1"/>
  <c r="B105" i="33" a="1"/>
  <c r="B105" i="33" s="1"/>
  <c r="E105" i="33" a="1"/>
  <c r="E105" i="33" s="1"/>
  <c r="C105" i="33" a="1"/>
  <c r="C105" i="33" s="1"/>
  <c r="E107" i="33" a="1"/>
  <c r="E107" i="33" s="1"/>
  <c r="C107" i="33" a="1"/>
  <c r="C107" i="33" s="1"/>
  <c r="F107" i="33" a="1"/>
  <c r="F107" i="33" s="1"/>
  <c r="D107" i="33" a="1"/>
  <c r="D107" i="33" s="1"/>
  <c r="B107" i="33" a="1"/>
  <c r="B107" i="33" s="1"/>
  <c r="F109" i="33" a="1"/>
  <c r="F109" i="33" s="1"/>
  <c r="D109" i="33" a="1"/>
  <c r="D109" i="33" s="1"/>
  <c r="B109" i="33" a="1"/>
  <c r="B109" i="33" s="1"/>
  <c r="E109" i="33" a="1"/>
  <c r="E109" i="33" s="1"/>
  <c r="C109" i="33" a="1"/>
  <c r="C109" i="33" s="1"/>
  <c r="E111" i="33" a="1"/>
  <c r="E111" i="33" s="1"/>
  <c r="C111" i="33" a="1"/>
  <c r="C111" i="33" s="1"/>
  <c r="F111" i="33" a="1"/>
  <c r="F111" i="33" s="1"/>
  <c r="D111" i="33" a="1"/>
  <c r="D111" i="33" s="1"/>
  <c r="B111" i="33" a="1"/>
  <c r="B111" i="33" s="1"/>
  <c r="F113" i="33" a="1"/>
  <c r="F113" i="33" s="1"/>
  <c r="D113" i="33" a="1"/>
  <c r="D113" i="33" s="1"/>
  <c r="B113" i="33" a="1"/>
  <c r="B113" i="33" s="1"/>
  <c r="E113" i="33" a="1"/>
  <c r="E113" i="33" s="1"/>
  <c r="C113" i="33" a="1"/>
  <c r="C113" i="33" s="1"/>
  <c r="E115" i="33" a="1"/>
  <c r="E115" i="33" s="1"/>
  <c r="C115" i="33" a="1"/>
  <c r="C115" i="33" s="1"/>
  <c r="F115" i="33" a="1"/>
  <c r="F115" i="33" s="1"/>
  <c r="D115" i="33" a="1"/>
  <c r="D115" i="33" s="1"/>
  <c r="B115" i="33" a="1"/>
  <c r="B115" i="33" s="1"/>
  <c r="F117" i="33" a="1"/>
  <c r="F117" i="33" s="1"/>
  <c r="D117" i="33" a="1"/>
  <c r="D117" i="33" s="1"/>
  <c r="B117" i="33" a="1"/>
  <c r="B117" i="33" s="1"/>
  <c r="E117" i="33" a="1"/>
  <c r="E117" i="33" s="1"/>
  <c r="C117" i="33" a="1"/>
  <c r="C117" i="33" s="1"/>
  <c r="B3" i="33" a="1"/>
  <c r="B3" i="33" s="1"/>
  <c r="D3" i="33" a="1"/>
  <c r="D3" i="33" s="1"/>
  <c r="F3" i="33" a="1"/>
  <c r="F3" i="33" s="1"/>
  <c r="B8" i="33" a="1"/>
  <c r="B8" i="33" s="1"/>
  <c r="D8" i="33" a="1"/>
  <c r="D8" i="33" s="1"/>
  <c r="F8" i="33" a="1"/>
  <c r="F8" i="33" s="1"/>
  <c r="B12" i="33" a="1"/>
  <c r="B12" i="33" s="1"/>
  <c r="D12" i="33" a="1"/>
  <c r="D12" i="33" s="1"/>
  <c r="F12" i="33" a="1"/>
  <c r="F12" i="33" s="1"/>
  <c r="B16" i="33" a="1"/>
  <c r="B16" i="33" s="1"/>
  <c r="D16" i="33" a="1"/>
  <c r="D16" i="33" s="1"/>
  <c r="F16" i="33" a="1"/>
  <c r="F16" i="33" s="1"/>
  <c r="B20" i="33" a="1"/>
  <c r="B20" i="33" s="1"/>
  <c r="D20" i="33" a="1"/>
  <c r="D20" i="33" s="1"/>
  <c r="F20" i="33" a="1"/>
  <c r="F20" i="33" s="1"/>
  <c r="B24" i="33" a="1"/>
  <c r="B24" i="33" s="1"/>
  <c r="D24" i="33" a="1"/>
  <c r="D24" i="33" s="1"/>
  <c r="F24" i="33" a="1"/>
  <c r="F24" i="33" s="1"/>
  <c r="B28" i="33" a="1"/>
  <c r="B28" i="33" s="1"/>
  <c r="D28" i="33" a="1"/>
  <c r="D28" i="33" s="1"/>
  <c r="F28" i="33" a="1"/>
  <c r="F28" i="33" s="1"/>
  <c r="B32" i="33" a="1"/>
  <c r="B32" i="33" s="1"/>
  <c r="D32" i="33" a="1"/>
  <c r="D32" i="33" s="1"/>
  <c r="F32" i="33" a="1"/>
  <c r="F32" i="33" s="1"/>
  <c r="B36" i="33" a="1"/>
  <c r="B36" i="33" s="1"/>
  <c r="D36" i="33" a="1"/>
  <c r="D36" i="33" s="1"/>
  <c r="F36" i="33" a="1"/>
  <c r="F36" i="33" s="1"/>
  <c r="B42" i="33" a="1"/>
  <c r="B42" i="33" s="1"/>
  <c r="F42" i="33" a="1"/>
  <c r="F42" i="33" s="1"/>
  <c r="E45" i="33" a="1"/>
  <c r="E45" i="33" s="1"/>
  <c r="C45" i="33" a="1"/>
  <c r="C45" i="33" s="1"/>
  <c r="F45" i="33" a="1"/>
  <c r="F45" i="33" s="1"/>
  <c r="D45" i="33" a="1"/>
  <c r="D45" i="33" s="1"/>
  <c r="B45" i="33" a="1"/>
  <c r="B45" i="33" s="1"/>
  <c r="F138" i="33" a="1"/>
  <c r="F138" i="33" s="1"/>
  <c r="D138" i="33" a="1"/>
  <c r="D138" i="33" s="1"/>
  <c r="B138" i="33" a="1"/>
  <c r="B138" i="33" s="1"/>
  <c r="E138" i="33" a="1"/>
  <c r="E138" i="33" s="1"/>
  <c r="C138" i="33" a="1"/>
  <c r="C138" i="33" s="1"/>
  <c r="B4" i="33" a="1"/>
  <c r="B4" i="33" s="1"/>
  <c r="D4" i="33" a="1"/>
  <c r="D4" i="33" s="1"/>
  <c r="B7" i="33" a="1"/>
  <c r="B7" i="33" s="1"/>
  <c r="D7" i="33" a="1"/>
  <c r="D7" i="33" s="1"/>
  <c r="C9" i="33" a="1"/>
  <c r="C9" i="33" s="1"/>
  <c r="B11" i="33" a="1"/>
  <c r="B11" i="33" s="1"/>
  <c r="D11" i="33" a="1"/>
  <c r="D11" i="33" s="1"/>
  <c r="C13" i="33" a="1"/>
  <c r="C13" i="33" s="1"/>
  <c r="B15" i="33" a="1"/>
  <c r="B15" i="33" s="1"/>
  <c r="D15" i="33" a="1"/>
  <c r="D15" i="33" s="1"/>
  <c r="B19" i="33" a="1"/>
  <c r="B19" i="33" s="1"/>
  <c r="D19" i="33" a="1"/>
  <c r="D19" i="33" s="1"/>
  <c r="C21" i="33" a="1"/>
  <c r="C21" i="33" s="1"/>
  <c r="B23" i="33" a="1"/>
  <c r="B23" i="33" s="1"/>
  <c r="D23" i="33" a="1"/>
  <c r="D23" i="33" s="1"/>
  <c r="C25" i="33" a="1"/>
  <c r="C25" i="33" s="1"/>
  <c r="B27" i="33" a="1"/>
  <c r="B27" i="33" s="1"/>
  <c r="D27" i="33" a="1"/>
  <c r="D27" i="33" s="1"/>
  <c r="C29" i="33" a="1"/>
  <c r="C29" i="33" s="1"/>
  <c r="B31" i="33" a="1"/>
  <c r="B31" i="33" s="1"/>
  <c r="D31" i="33" a="1"/>
  <c r="D31" i="33" s="1"/>
  <c r="C33" i="33" a="1"/>
  <c r="C33" i="33" s="1"/>
  <c r="B35" i="33" a="1"/>
  <c r="B35" i="33" s="1"/>
  <c r="D35" i="33" a="1"/>
  <c r="D35" i="33" s="1"/>
  <c r="C37" i="33" a="1"/>
  <c r="C37" i="33" s="1"/>
  <c r="B39" i="33" a="1"/>
  <c r="B39" i="33" s="1"/>
  <c r="D39" i="33" a="1"/>
  <c r="D39" i="33" s="1"/>
  <c r="K182" i="33"/>
  <c r="K172" i="33"/>
  <c r="K181" i="33"/>
  <c r="K171" i="33" a="1"/>
  <c r="K171" i="33" s="1"/>
  <c r="K190" i="33"/>
  <c r="K173" i="33"/>
  <c r="K189" i="33"/>
  <c r="C3" i="33" a="1"/>
  <c r="C3" i="33" s="1"/>
  <c r="D6" i="33" a="1"/>
  <c r="D6" i="33" s="1"/>
  <c r="C8" i="33" a="1"/>
  <c r="C8" i="33" s="1"/>
  <c r="B10" i="33" a="1"/>
  <c r="B10" i="33" s="1"/>
  <c r="D10" i="33" a="1"/>
  <c r="D10" i="33" s="1"/>
  <c r="C12" i="33" a="1"/>
  <c r="C12" i="33" s="1"/>
  <c r="B14" i="33" a="1"/>
  <c r="B14" i="33" s="1"/>
  <c r="D14" i="33" a="1"/>
  <c r="D14" i="33" s="1"/>
  <c r="C16" i="33" a="1"/>
  <c r="C16" i="33" s="1"/>
  <c r="B18" i="33" a="1"/>
  <c r="B18" i="33" s="1"/>
  <c r="D18" i="33" a="1"/>
  <c r="D18" i="33" s="1"/>
  <c r="C20" i="33" a="1"/>
  <c r="C20" i="33" s="1"/>
  <c r="B22" i="33" a="1"/>
  <c r="B22" i="33" s="1"/>
  <c r="D22" i="33" a="1"/>
  <c r="D22" i="33" s="1"/>
  <c r="C24" i="33" a="1"/>
  <c r="C24" i="33" s="1"/>
  <c r="D26" i="33" a="1"/>
  <c r="D26" i="33" s="1"/>
  <c r="C28" i="33" a="1"/>
  <c r="C28" i="33" s="1"/>
  <c r="D30" i="33" a="1"/>
  <c r="D30" i="33" s="1"/>
  <c r="C32" i="33" a="1"/>
  <c r="C32" i="33" s="1"/>
  <c r="B34" i="33" a="1"/>
  <c r="B34" i="33" s="1"/>
  <c r="D34" i="33" a="1"/>
  <c r="D34" i="33" s="1"/>
  <c r="C36" i="33" a="1"/>
  <c r="C36" i="33" s="1"/>
  <c r="D38" i="33" a="1"/>
  <c r="D38" i="33" s="1"/>
  <c r="F41" i="33" a="1"/>
  <c r="F41" i="33" s="1"/>
  <c r="D41" i="33" a="1"/>
  <c r="D41" i="33" s="1"/>
  <c r="B41" i="33" a="1"/>
  <c r="B41" i="33" s="1"/>
  <c r="D42" i="33" a="1"/>
  <c r="D42" i="33" s="1"/>
  <c r="E53" i="33" a="1"/>
  <c r="E53" i="33" s="1"/>
  <c r="C53" i="33" a="1"/>
  <c r="C53" i="33" s="1"/>
  <c r="F53" i="33" a="1"/>
  <c r="F53" i="33" s="1"/>
  <c r="D53" i="33" a="1"/>
  <c r="D53" i="33" s="1"/>
  <c r="B53" i="33" a="1"/>
  <c r="B53" i="33" s="1"/>
  <c r="E61" i="33" a="1"/>
  <c r="E61" i="33" s="1"/>
  <c r="C61" i="33" a="1"/>
  <c r="C61" i="33" s="1"/>
  <c r="F61" i="33" a="1"/>
  <c r="F61" i="33" s="1"/>
  <c r="D61" i="33" a="1"/>
  <c r="D61" i="33" s="1"/>
  <c r="B61" i="33" a="1"/>
  <c r="B61" i="33" s="1"/>
  <c r="F130" i="33" a="1"/>
  <c r="F130" i="33" s="1"/>
  <c r="D130" i="33" a="1"/>
  <c r="D130" i="33" s="1"/>
  <c r="B130" i="33" a="1"/>
  <c r="B130" i="33" s="1"/>
  <c r="E130" i="33" a="1"/>
  <c r="E130" i="33" s="1"/>
  <c r="C130" i="33" a="1"/>
  <c r="C130" i="33" s="1"/>
  <c r="C43" i="33" a="1"/>
  <c r="C43" i="33" s="1"/>
  <c r="C47" i="33" a="1"/>
  <c r="C47" i="33" s="1"/>
  <c r="C51" i="33" a="1"/>
  <c r="C51" i="33" s="1"/>
  <c r="C55" i="33" a="1"/>
  <c r="C55" i="33" s="1"/>
  <c r="C59" i="33" a="1"/>
  <c r="C59" i="33" s="1"/>
  <c r="E124" i="33" a="1"/>
  <c r="E124" i="33" s="1"/>
  <c r="C124" i="33" a="1"/>
  <c r="C124" i="33" s="1"/>
  <c r="F124" i="33" a="1"/>
  <c r="F124" i="33" s="1"/>
  <c r="D124" i="33" a="1"/>
  <c r="D124" i="33" s="1"/>
  <c r="B124" i="33" a="1"/>
  <c r="B124" i="33" s="1"/>
  <c r="E132" i="33" a="1"/>
  <c r="E132" i="33" s="1"/>
  <c r="C132" i="33" a="1"/>
  <c r="C132" i="33" s="1"/>
  <c r="F132" i="33" a="1"/>
  <c r="F132" i="33" s="1"/>
  <c r="D132" i="33" a="1"/>
  <c r="D132" i="33" s="1"/>
  <c r="B132" i="33" a="1"/>
  <c r="B132" i="33" s="1"/>
  <c r="E140" i="33" a="1"/>
  <c r="E140" i="33" s="1"/>
  <c r="C140" i="33" a="1"/>
  <c r="C140" i="33" s="1"/>
  <c r="F140" i="33" a="1"/>
  <c r="F140" i="33" s="1"/>
  <c r="D140" i="33" a="1"/>
  <c r="D140" i="33" s="1"/>
  <c r="B140" i="33" a="1"/>
  <c r="B140" i="33" s="1"/>
  <c r="D40" i="33" a="1"/>
  <c r="D40" i="33" s="1"/>
  <c r="C46" i="33" a="1"/>
  <c r="C46" i="33" s="1"/>
  <c r="C50" i="33" a="1"/>
  <c r="C50" i="33" s="1"/>
  <c r="C54" i="33" a="1"/>
  <c r="C54" i="33" s="1"/>
  <c r="C58" i="33" a="1"/>
  <c r="C58" i="33" s="1"/>
  <c r="D60" i="33" a="1"/>
  <c r="D60" i="33" s="1"/>
  <c r="C62" i="33" a="1"/>
  <c r="C62" i="33" s="1"/>
  <c r="E63" i="33" a="1"/>
  <c r="E63" i="33" s="1"/>
  <c r="F63" i="33" a="1"/>
  <c r="F63" i="33" s="1"/>
  <c r="D63" i="33" a="1"/>
  <c r="D63" i="33" s="1"/>
  <c r="F126" i="33" a="1"/>
  <c r="F126" i="33" s="1"/>
  <c r="D126" i="33" a="1"/>
  <c r="D126" i="33" s="1"/>
  <c r="B126" i="33" a="1"/>
  <c r="B126" i="33" s="1"/>
  <c r="E126" i="33" a="1"/>
  <c r="E126" i="33" s="1"/>
  <c r="C126" i="33" a="1"/>
  <c r="C126" i="33" s="1"/>
  <c r="F134" i="33" a="1"/>
  <c r="F134" i="33" s="1"/>
  <c r="D134" i="33" a="1"/>
  <c r="D134" i="33" s="1"/>
  <c r="B134" i="33" a="1"/>
  <c r="B134" i="33" s="1"/>
  <c r="E134" i="33" a="1"/>
  <c r="E134" i="33" s="1"/>
  <c r="C134" i="33" a="1"/>
  <c r="C134" i="33" s="1"/>
  <c r="F120" i="33" a="1"/>
  <c r="F120" i="33" s="1"/>
  <c r="D120" i="33" a="1"/>
  <c r="D120" i="33" s="1"/>
  <c r="B120" i="33" a="1"/>
  <c r="B120" i="33" s="1"/>
  <c r="E120" i="33" a="1"/>
  <c r="E120" i="33" s="1"/>
  <c r="F121" i="33" a="1"/>
  <c r="F121" i="33" s="1"/>
  <c r="E121" i="33" a="1"/>
  <c r="E121" i="33" s="1"/>
  <c r="B121" i="33" a="1"/>
  <c r="B121" i="33" s="1"/>
  <c r="F122" i="33" a="1"/>
  <c r="F122" i="33" s="1"/>
  <c r="E122" i="33" a="1"/>
  <c r="E122" i="33" s="1"/>
  <c r="C122" i="33" a="1"/>
  <c r="C122" i="33" s="1"/>
  <c r="B122" i="33" a="1"/>
  <c r="B122" i="33" s="1"/>
  <c r="E128" i="33" a="1"/>
  <c r="E128" i="33" s="1"/>
  <c r="C128" i="33" a="1"/>
  <c r="C128" i="33" s="1"/>
  <c r="F128" i="33" a="1"/>
  <c r="F128" i="33" s="1"/>
  <c r="D128" i="33" a="1"/>
  <c r="D128" i="33" s="1"/>
  <c r="B128" i="33" a="1"/>
  <c r="B128" i="33" s="1"/>
  <c r="E136" i="33" a="1"/>
  <c r="E136" i="33" s="1"/>
  <c r="C136" i="33" a="1"/>
  <c r="C136" i="33" s="1"/>
  <c r="F136" i="33" a="1"/>
  <c r="F136" i="33" s="1"/>
  <c r="D136" i="33" a="1"/>
  <c r="D136" i="33" s="1"/>
  <c r="B136" i="33" a="1"/>
  <c r="B136" i="33" s="1"/>
  <c r="F118" i="33" a="1"/>
  <c r="F118" i="33" s="1"/>
  <c r="E144" i="33" a="1"/>
  <c r="E144" i="33" s="1"/>
  <c r="C144" i="33" a="1"/>
  <c r="C144" i="33" s="1"/>
  <c r="F144" i="33" a="1"/>
  <c r="F144" i="33" s="1"/>
  <c r="D144" i="33" a="1"/>
  <c r="D144" i="33" s="1"/>
  <c r="B144" i="33" a="1"/>
  <c r="B144" i="33" s="1"/>
  <c r="C142" i="33" a="1"/>
  <c r="C142" i="33" s="1"/>
  <c r="E142" i="33" a="1"/>
  <c r="E142" i="33" s="1"/>
  <c r="P169" i="33"/>
  <c r="O170" i="33" s="1" a="1"/>
  <c r="O170" i="33" s="1"/>
  <c r="T170" i="33" a="1"/>
  <c r="T170" i="33" s="1"/>
  <c r="B142" i="33" a="1"/>
  <c r="B142" i="33" s="1"/>
  <c r="D142" i="33" a="1"/>
  <c r="D142" i="33" s="1"/>
  <c r="E145" i="33" a="1"/>
  <c r="E145" i="33" s="1"/>
  <c r="C145" i="33" a="1"/>
  <c r="C145" i="33" s="1"/>
  <c r="F145" i="33" a="1"/>
  <c r="F145" i="33" s="1"/>
  <c r="D145" i="33" a="1"/>
  <c r="D145" i="33" s="1"/>
  <c r="B145" i="33" a="1"/>
  <c r="B145" i="33" s="1"/>
  <c r="F147" i="33" a="1"/>
  <c r="F147" i="33" s="1"/>
  <c r="D147" i="33" a="1"/>
  <c r="D147" i="33" s="1"/>
  <c r="B147" i="33" a="1"/>
  <c r="B147" i="33" s="1"/>
  <c r="E147" i="33" a="1"/>
  <c r="E147" i="33" s="1"/>
  <c r="C147" i="33" a="1"/>
  <c r="C147" i="33" s="1"/>
  <c r="E149" i="33" a="1"/>
  <c r="E149" i="33" s="1"/>
  <c r="C149" i="33" a="1"/>
  <c r="C149" i="33" s="1"/>
  <c r="F149" i="33" a="1"/>
  <c r="F149" i="33" s="1"/>
  <c r="D149" i="33" a="1"/>
  <c r="D149" i="33" s="1"/>
  <c r="B149" i="33" a="1"/>
  <c r="B149" i="33" s="1"/>
  <c r="F151" i="33" a="1"/>
  <c r="F151" i="33" s="1"/>
  <c r="D151" i="33" a="1"/>
  <c r="D151" i="33" s="1"/>
  <c r="B151" i="33" a="1"/>
  <c r="B151" i="33" s="1"/>
  <c r="E151" i="33" a="1"/>
  <c r="E151" i="33" s="1"/>
  <c r="C151" i="33" a="1"/>
  <c r="C151" i="33" s="1"/>
  <c r="E153" i="33" a="1"/>
  <c r="E153" i="33" s="1"/>
  <c r="C153" i="33" a="1"/>
  <c r="C153" i="33" s="1"/>
  <c r="F153" i="33" a="1"/>
  <c r="F153" i="33" s="1"/>
  <c r="D153" i="33" a="1"/>
  <c r="D153" i="33" s="1"/>
  <c r="B153" i="33" a="1"/>
  <c r="B153" i="33" s="1"/>
  <c r="F155" i="33" a="1"/>
  <c r="F155" i="33" s="1"/>
  <c r="D155" i="33" a="1"/>
  <c r="D155" i="33" s="1"/>
  <c r="B155" i="33" a="1"/>
  <c r="B155" i="33" s="1"/>
  <c r="E155" i="33" a="1"/>
  <c r="E155" i="33" s="1"/>
  <c r="C155" i="33" a="1"/>
  <c r="C155" i="33" s="1"/>
  <c r="E157" i="33" a="1"/>
  <c r="E157" i="33" s="1"/>
  <c r="C157" i="33" a="1"/>
  <c r="C157" i="33" s="1"/>
  <c r="F157" i="33" a="1"/>
  <c r="F157" i="33" s="1"/>
  <c r="D157" i="33" a="1"/>
  <c r="D157" i="33" s="1"/>
  <c r="B157" i="33" a="1"/>
  <c r="B157" i="33" s="1"/>
  <c r="F159" i="33" a="1"/>
  <c r="F159" i="33" s="1"/>
  <c r="D159" i="33" a="1"/>
  <c r="D159" i="33" s="1"/>
  <c r="B159" i="33" a="1"/>
  <c r="B159" i="33" s="1"/>
  <c r="E159" i="33" a="1"/>
  <c r="E159" i="33" s="1"/>
  <c r="C159" i="33" a="1"/>
  <c r="C159" i="33" s="1"/>
  <c r="E161" i="33" a="1"/>
  <c r="E161" i="33" s="1"/>
  <c r="C161" i="33" a="1"/>
  <c r="C161" i="33" s="1"/>
  <c r="F161" i="33" a="1"/>
  <c r="F161" i="33" s="1"/>
  <c r="D161" i="33" a="1"/>
  <c r="D161" i="33" s="1"/>
  <c r="B161" i="33" a="1"/>
  <c r="B161" i="33" s="1"/>
  <c r="F163" i="33" a="1"/>
  <c r="F163" i="33" s="1"/>
  <c r="D163" i="33" a="1"/>
  <c r="D163" i="33" s="1"/>
  <c r="B163" i="33" a="1"/>
  <c r="B163" i="33" s="1"/>
  <c r="E163" i="33" a="1"/>
  <c r="E163" i="33" s="1"/>
  <c r="C163" i="33" a="1"/>
  <c r="C163" i="33" s="1"/>
  <c r="F169" i="33"/>
  <c r="E170" i="33" s="1" a="1"/>
  <c r="E170" i="33" s="1"/>
  <c r="C43" i="32" a="1"/>
  <c r="C43" i="32" s="1"/>
  <c r="C46" i="32" a="1"/>
  <c r="C46" i="32" s="1"/>
  <c r="C25" i="32" a="1"/>
  <c r="C25" i="32" s="1"/>
  <c r="B78" i="32" a="1"/>
  <c r="B78" i="32" s="1"/>
  <c r="E34" i="32" a="1"/>
  <c r="E34" i="32" s="1"/>
  <c r="C106" i="32" a="1"/>
  <c r="C106" i="32" s="1"/>
  <c r="F129" i="32" a="1"/>
  <c r="F129" i="32" s="1"/>
  <c r="C38" i="32" a="1"/>
  <c r="C38" i="32" s="1"/>
  <c r="C131" i="32" a="1"/>
  <c r="C131" i="32" s="1"/>
  <c r="D114" i="32" a="1"/>
  <c r="D114" i="32" s="1"/>
  <c r="E23" i="32" a="1"/>
  <c r="E23" i="32" s="1"/>
  <c r="B41" i="32" a="1"/>
  <c r="B41" i="32" s="1"/>
  <c r="E54" i="32" a="1"/>
  <c r="E54" i="32" s="1"/>
  <c r="D143" i="32" a="1"/>
  <c r="D143" i="32" s="1"/>
  <c r="B150" i="32" a="1"/>
  <c r="B150" i="32" s="1"/>
  <c r="B152" i="32" a="1"/>
  <c r="B152" i="32" s="1"/>
  <c r="B160" i="32" a="1"/>
  <c r="B160" i="32" s="1"/>
  <c r="E4" i="32" a="1"/>
  <c r="E4" i="32" s="1"/>
  <c r="E6" i="32" a="1"/>
  <c r="E6" i="32" s="1"/>
  <c r="C9" i="32" a="1"/>
  <c r="C9" i="32" s="1"/>
  <c r="E30" i="32" a="1"/>
  <c r="E30" i="32" s="1"/>
  <c r="C39" i="32" a="1"/>
  <c r="C39" i="32" s="1"/>
  <c r="C74" i="32" a="1"/>
  <c r="C74" i="32" s="1"/>
  <c r="B80" i="32" a="1"/>
  <c r="B80" i="32" s="1"/>
  <c r="C82" i="32" a="1"/>
  <c r="C82" i="32" s="1"/>
  <c r="B88" i="32" a="1"/>
  <c r="B88" i="32" s="1"/>
  <c r="D98" i="32" a="1"/>
  <c r="D98" i="32" s="1"/>
  <c r="D141" i="32" a="1"/>
  <c r="D141" i="32" s="1"/>
  <c r="F150" i="32" a="1"/>
  <c r="F150" i="32" s="1"/>
  <c r="C152" i="32" a="1"/>
  <c r="C152" i="32" s="1"/>
  <c r="B158" i="32" a="1"/>
  <c r="B158" i="32" s="1"/>
  <c r="K169" i="32"/>
  <c r="J170" i="32" s="1" a="1"/>
  <c r="J170" i="32" s="1"/>
  <c r="K191" i="32" s="1"/>
  <c r="D80" i="32" a="1"/>
  <c r="D80" i="32" s="1"/>
  <c r="D82" i="32" a="1"/>
  <c r="D82" i="32" s="1"/>
  <c r="D152" i="32" a="1"/>
  <c r="D152" i="32" s="1"/>
  <c r="U169" i="32"/>
  <c r="E5" i="32" a="1"/>
  <c r="E5" i="32" s="1"/>
  <c r="B13" i="32" a="1"/>
  <c r="B13" i="32" s="1"/>
  <c r="E18" i="32" a="1"/>
  <c r="E18" i="32" s="1"/>
  <c r="F29" i="32" a="1"/>
  <c r="F29" i="32" s="1"/>
  <c r="E39" i="32" a="1"/>
  <c r="E39" i="32" s="1"/>
  <c r="C41" i="32" a="1"/>
  <c r="C41" i="32" s="1"/>
  <c r="C50" i="32" a="1"/>
  <c r="C50" i="32" s="1"/>
  <c r="C76" i="32" a="1"/>
  <c r="C76" i="32" s="1"/>
  <c r="B86" i="32" a="1"/>
  <c r="B86" i="32" s="1"/>
  <c r="C88" i="32" a="1"/>
  <c r="C88" i="32" s="1"/>
  <c r="C90" i="32" a="1"/>
  <c r="C90" i="32" s="1"/>
  <c r="D106" i="32" a="1"/>
  <c r="D106" i="32" s="1"/>
  <c r="B123" i="32" a="1"/>
  <c r="B123" i="32" s="1"/>
  <c r="F158" i="32" a="1"/>
  <c r="F158" i="32" s="1"/>
  <c r="C160" i="32" a="1"/>
  <c r="C160" i="32" s="1"/>
  <c r="C11" i="32" a="1"/>
  <c r="C11" i="32" s="1"/>
  <c r="C13" i="32" a="1"/>
  <c r="C13" i="32" s="1"/>
  <c r="C27" i="32" a="1"/>
  <c r="C27" i="32" s="1"/>
  <c r="E35" i="32" a="1"/>
  <c r="E35" i="32" s="1"/>
  <c r="E50" i="32" a="1"/>
  <c r="E50" i="32" s="1"/>
  <c r="F56" i="32" a="1"/>
  <c r="F56" i="32" s="1"/>
  <c r="D88" i="32" a="1"/>
  <c r="D88" i="32" s="1"/>
  <c r="C114" i="32" a="1"/>
  <c r="C114" i="32" s="1"/>
  <c r="C123" i="32" a="1"/>
  <c r="C123" i="32" s="1"/>
  <c r="B129" i="32" a="1"/>
  <c r="B129" i="32" s="1"/>
  <c r="B131" i="32" a="1"/>
  <c r="B131" i="32" s="1"/>
  <c r="C141" i="32" a="1"/>
  <c r="C141" i="32" s="1"/>
  <c r="C143" i="32" a="1"/>
  <c r="C143" i="32" s="1"/>
  <c r="F13" i="32" a="1"/>
  <c r="F13" i="32" s="1"/>
  <c r="D123" i="32" a="1"/>
  <c r="D123" i="32" s="1"/>
  <c r="F70" i="32" a="1"/>
  <c r="F70" i="32" s="1"/>
  <c r="F96" i="32" a="1"/>
  <c r="F96" i="32" s="1"/>
  <c r="F104" i="32" a="1"/>
  <c r="F104" i="32" s="1"/>
  <c r="F112" i="32" a="1"/>
  <c r="F112" i="32" s="1"/>
  <c r="F139" i="32" a="1"/>
  <c r="F139" i="32" s="1"/>
  <c r="D2" i="32" a="1"/>
  <c r="D2" i="32" s="1"/>
  <c r="E7" i="32" a="1"/>
  <c r="E7" i="32" s="1"/>
  <c r="D9" i="32" a="1"/>
  <c r="D9" i="32" s="1"/>
  <c r="E11" i="32" a="1"/>
  <c r="E11" i="32" s="1"/>
  <c r="F25" i="32" a="1"/>
  <c r="F25" i="32" s="1"/>
  <c r="C37" i="32" a="1"/>
  <c r="C37" i="32" s="1"/>
  <c r="B45" i="32" a="1"/>
  <c r="B45" i="32" s="1"/>
  <c r="E46" i="32" a="1"/>
  <c r="E46" i="32" s="1"/>
  <c r="C51" i="32" a="1"/>
  <c r="C51" i="32" s="1"/>
  <c r="C53" i="32" a="1"/>
  <c r="C53" i="32" s="1"/>
  <c r="C62" i="32" a="1"/>
  <c r="C62" i="32" s="1"/>
  <c r="B70" i="32" a="1"/>
  <c r="B70" i="32" s="1"/>
  <c r="B73" i="32" a="1"/>
  <c r="B73" i="32" s="1"/>
  <c r="F74" i="32" a="1"/>
  <c r="F74" i="32" s="1"/>
  <c r="F76" i="32" a="1"/>
  <c r="F76" i="32" s="1"/>
  <c r="F78" i="32" a="1"/>
  <c r="F78" i="32" s="1"/>
  <c r="C80" i="32" a="1"/>
  <c r="C80" i="32" s="1"/>
  <c r="F86" i="32" a="1"/>
  <c r="F86" i="32" s="1"/>
  <c r="B94" i="32" a="1"/>
  <c r="B94" i="32" s="1"/>
  <c r="B96" i="32" a="1"/>
  <c r="B96" i="32" s="1"/>
  <c r="B102" i="32" a="1"/>
  <c r="B102" i="32" s="1"/>
  <c r="B104" i="32" a="1"/>
  <c r="B104" i="32" s="1"/>
  <c r="B110" i="32" a="1"/>
  <c r="B110" i="32" s="1"/>
  <c r="B112" i="32" a="1"/>
  <c r="B112" i="32" s="1"/>
  <c r="B118" i="32" a="1"/>
  <c r="B118" i="32" s="1"/>
  <c r="C125" i="32" a="1"/>
  <c r="C125" i="32" s="1"/>
  <c r="B137" i="32" a="1"/>
  <c r="B137" i="32" s="1"/>
  <c r="B139" i="32" a="1"/>
  <c r="B139" i="32" s="1"/>
  <c r="C146" i="32" a="1"/>
  <c r="C146" i="32" s="1"/>
  <c r="C154" i="32" a="1"/>
  <c r="C154" i="32" s="1"/>
  <c r="D37" i="32" a="1"/>
  <c r="D37" i="32" s="1"/>
  <c r="F45" i="32" a="1"/>
  <c r="F45" i="32" s="1"/>
  <c r="E53" i="32" a="1"/>
  <c r="E53" i="32" s="1"/>
  <c r="C70" i="32" a="1"/>
  <c r="C70" i="32" s="1"/>
  <c r="F94" i="32" a="1"/>
  <c r="F94" i="32" s="1"/>
  <c r="C96" i="32" a="1"/>
  <c r="C96" i="32" s="1"/>
  <c r="F102" i="32" a="1"/>
  <c r="F102" i="32" s="1"/>
  <c r="C104" i="32" a="1"/>
  <c r="C104" i="32" s="1"/>
  <c r="F110" i="32" a="1"/>
  <c r="F110" i="32" s="1"/>
  <c r="C112" i="32" a="1"/>
  <c r="C112" i="32" s="1"/>
  <c r="F123" i="32" a="1"/>
  <c r="F123" i="32" s="1"/>
  <c r="D125" i="32" a="1"/>
  <c r="D125" i="32" s="1"/>
  <c r="D131" i="32" a="1"/>
  <c r="D131" i="32" s="1"/>
  <c r="C133" i="32" a="1"/>
  <c r="C133" i="32" s="1"/>
  <c r="F137" i="32" a="1"/>
  <c r="F137" i="32" s="1"/>
  <c r="C139" i="32" a="1"/>
  <c r="C139" i="32" s="1"/>
  <c r="D146" i="32" a="1"/>
  <c r="D146" i="32" s="1"/>
  <c r="F152" i="32" a="1"/>
  <c r="F152" i="32" s="1"/>
  <c r="D154" i="32" a="1"/>
  <c r="D154" i="32" s="1"/>
  <c r="D160" i="32" a="1"/>
  <c r="D160" i="32" s="1"/>
  <c r="C162" i="32" a="1"/>
  <c r="C162" i="32" s="1"/>
  <c r="C4" i="32" a="1"/>
  <c r="C4" i="32" s="1"/>
  <c r="C5" i="32" a="1"/>
  <c r="C5" i="32" s="1"/>
  <c r="C23" i="32" a="1"/>
  <c r="C23" i="32" s="1"/>
  <c r="B25" i="32" a="1"/>
  <c r="B25" i="32" s="1"/>
  <c r="B29" i="32" a="1"/>
  <c r="B29" i="32" s="1"/>
  <c r="C34" i="32" a="1"/>
  <c r="C34" i="32" s="1"/>
  <c r="C56" i="32" a="1"/>
  <c r="C56" i="32" s="1"/>
  <c r="C61" i="32" a="1"/>
  <c r="C61" i="32" s="1"/>
  <c r="E70" i="32" a="1"/>
  <c r="E70" i="32" s="1"/>
  <c r="B72" i="32" a="1"/>
  <c r="B72" i="32" s="1"/>
  <c r="B74" i="32" a="1"/>
  <c r="B74" i="32" s="1"/>
  <c r="F80" i="32" a="1"/>
  <c r="F80" i="32" s="1"/>
  <c r="F88" i="32" a="1"/>
  <c r="F88" i="32" s="1"/>
  <c r="D90" i="32" a="1"/>
  <c r="D90" i="32" s="1"/>
  <c r="D96" i="32" a="1"/>
  <c r="D96" i="32" s="1"/>
  <c r="C98" i="32" a="1"/>
  <c r="C98" i="32" s="1"/>
  <c r="D104" i="32" a="1"/>
  <c r="D104" i="32" s="1"/>
  <c r="D112" i="32" a="1"/>
  <c r="D112" i="32" s="1"/>
  <c r="F131" i="32" a="1"/>
  <c r="F131" i="32" s="1"/>
  <c r="D133" i="32" a="1"/>
  <c r="D133" i="32" s="1"/>
  <c r="D139" i="32" a="1"/>
  <c r="D139" i="32" s="1"/>
  <c r="F160" i="32" a="1"/>
  <c r="F160" i="32" s="1"/>
  <c r="D162" i="32" a="1"/>
  <c r="D162" i="32" s="1"/>
  <c r="D100" i="32" a="1"/>
  <c r="D100" i="32" s="1"/>
  <c r="C100" i="32" a="1"/>
  <c r="C100" i="32" s="1"/>
  <c r="F100" i="32" a="1"/>
  <c r="F100" i="32" s="1"/>
  <c r="B100" i="32" a="1"/>
  <c r="B100" i="32" s="1"/>
  <c r="E17" i="32" a="1"/>
  <c r="E17" i="32" s="1"/>
  <c r="F31" i="32" a="1"/>
  <c r="F31" i="32" s="1"/>
  <c r="E31" i="32" a="1"/>
  <c r="E31" i="32" s="1"/>
  <c r="C31" i="32" a="1"/>
  <c r="C31" i="32" s="1"/>
  <c r="F47" i="32" a="1"/>
  <c r="F47" i="32" s="1"/>
  <c r="E47" i="32" a="1"/>
  <c r="E47" i="32" s="1"/>
  <c r="C47" i="32" a="1"/>
  <c r="C47" i="32" s="1"/>
  <c r="E2" i="32" a="1"/>
  <c r="E2" i="32" s="1"/>
  <c r="C10" i="32" a="1"/>
  <c r="C10" i="32" s="1"/>
  <c r="C15" i="32" a="1"/>
  <c r="C15" i="32" s="1"/>
  <c r="B17" i="32" a="1"/>
  <c r="B17" i="32" s="1"/>
  <c r="F17" i="32" a="1"/>
  <c r="F17" i="32" s="1"/>
  <c r="F21" i="32" a="1"/>
  <c r="F21" i="32" s="1"/>
  <c r="E21" i="32" a="1"/>
  <c r="E21" i="32" s="1"/>
  <c r="F22" i="32" a="1"/>
  <c r="F22" i="32" s="1"/>
  <c r="E22" i="32" a="1"/>
  <c r="E22" i="32" s="1"/>
  <c r="F57" i="32" a="1"/>
  <c r="F57" i="32" s="1"/>
  <c r="E57" i="32" a="1"/>
  <c r="E57" i="32" s="1"/>
  <c r="C57" i="32" a="1"/>
  <c r="C57" i="32" s="1"/>
  <c r="D60" i="32" a="1"/>
  <c r="D60" i="32" s="1"/>
  <c r="C60" i="32" a="1"/>
  <c r="C60" i="32" s="1"/>
  <c r="F60" i="32" a="1"/>
  <c r="F60" i="32" s="1"/>
  <c r="B60" i="32" a="1"/>
  <c r="B60" i="32" s="1"/>
  <c r="E100" i="32" a="1"/>
  <c r="E100" i="32" s="1"/>
  <c r="D108" i="32" a="1"/>
  <c r="D108" i="32" s="1"/>
  <c r="C108" i="32" a="1"/>
  <c r="C108" i="32" s="1"/>
  <c r="F108" i="32" a="1"/>
  <c r="F108" i="32" s="1"/>
  <c r="B108" i="32" a="1"/>
  <c r="B108" i="32" s="1"/>
  <c r="B2" i="32" a="1"/>
  <c r="B2" i="32" s="1"/>
  <c r="F2" i="32" a="1"/>
  <c r="F2" i="32" s="1"/>
  <c r="E9" i="32" a="1"/>
  <c r="E9" i="32" s="1"/>
  <c r="E10" i="32" a="1"/>
  <c r="E10" i="32" s="1"/>
  <c r="D13" i="32" a="1"/>
  <c r="D13" i="32" s="1"/>
  <c r="C14" i="32" a="1"/>
  <c r="C14" i="32" s="1"/>
  <c r="E15" i="32" a="1"/>
  <c r="E15" i="32" s="1"/>
  <c r="C17" i="32" a="1"/>
  <c r="C17" i="32" s="1"/>
  <c r="C19" i="32" a="1"/>
  <c r="C19" i="32" s="1"/>
  <c r="B21" i="32" a="1"/>
  <c r="B21" i="32" s="1"/>
  <c r="C22" i="32" a="1"/>
  <c r="C22" i="32" s="1"/>
  <c r="D33" i="32" a="1"/>
  <c r="D33" i="32" s="1"/>
  <c r="C33" i="32" a="1"/>
  <c r="C33" i="32" s="1"/>
  <c r="F33" i="32" a="1"/>
  <c r="F33" i="32" s="1"/>
  <c r="B33" i="32" a="1"/>
  <c r="B33" i="32" s="1"/>
  <c r="F42" i="32" a="1"/>
  <c r="F42" i="32" s="1"/>
  <c r="E42" i="32" a="1"/>
  <c r="E42" i="32" s="1"/>
  <c r="C42" i="32" a="1"/>
  <c r="C42" i="32" s="1"/>
  <c r="D49" i="32" a="1"/>
  <c r="D49" i="32" s="1"/>
  <c r="C49" i="32" a="1"/>
  <c r="C49" i="32" s="1"/>
  <c r="F49" i="32" a="1"/>
  <c r="F49" i="32" s="1"/>
  <c r="B49" i="32" a="1"/>
  <c r="B49" i="32" s="1"/>
  <c r="E52" i="32" a="1"/>
  <c r="E52" i="32" s="1"/>
  <c r="D52" i="32" a="1"/>
  <c r="D52" i="32" s="1"/>
  <c r="B52" i="32" a="1"/>
  <c r="B52" i="32" s="1"/>
  <c r="E60" i="32" a="1"/>
  <c r="E60" i="32" s="1"/>
  <c r="D84" i="32" a="1"/>
  <c r="D84" i="32" s="1"/>
  <c r="C84" i="32" a="1"/>
  <c r="C84" i="32" s="1"/>
  <c r="F84" i="32" a="1"/>
  <c r="F84" i="32" s="1"/>
  <c r="B84" i="32" a="1"/>
  <c r="B84" i="32" s="1"/>
  <c r="E108" i="32" a="1"/>
  <c r="E108" i="32" s="1"/>
  <c r="D116" i="32" a="1"/>
  <c r="D116" i="32" s="1"/>
  <c r="C116" i="32" a="1"/>
  <c r="C116" i="32" s="1"/>
  <c r="F116" i="32" a="1"/>
  <c r="F116" i="32" s="1"/>
  <c r="B116" i="32" a="1"/>
  <c r="B116" i="32" s="1"/>
  <c r="D127" i="32" a="1"/>
  <c r="D127" i="32" s="1"/>
  <c r="C127" i="32" a="1"/>
  <c r="C127" i="32" s="1"/>
  <c r="F127" i="32" a="1"/>
  <c r="F127" i="32" s="1"/>
  <c r="B127" i="32" a="1"/>
  <c r="B127" i="32" s="1"/>
  <c r="D148" i="32" a="1"/>
  <c r="D148" i="32" s="1"/>
  <c r="C148" i="32" a="1"/>
  <c r="C148" i="32" s="1"/>
  <c r="F148" i="32" a="1"/>
  <c r="F148" i="32" s="1"/>
  <c r="B148" i="32" a="1"/>
  <c r="B148" i="32" s="1"/>
  <c r="D164" i="32" a="1"/>
  <c r="D164" i="32" s="1"/>
  <c r="C164" i="32" a="1"/>
  <c r="C164" i="32" s="1"/>
  <c r="F164" i="32" a="1"/>
  <c r="F164" i="32" s="1"/>
  <c r="B164" i="32" a="1"/>
  <c r="B164" i="32" s="1"/>
  <c r="C6" i="32" a="1"/>
  <c r="C6" i="32" s="1"/>
  <c r="C7" i="32" a="1"/>
  <c r="C7" i="32" s="1"/>
  <c r="B9" i="32" a="1"/>
  <c r="B9" i="32" s="1"/>
  <c r="E14" i="32" a="1"/>
  <c r="E14" i="32" s="1"/>
  <c r="C18" i="32" a="1"/>
  <c r="C18" i="32" s="1"/>
  <c r="E19" i="32" a="1"/>
  <c r="E19" i="32" s="1"/>
  <c r="C21" i="32" a="1"/>
  <c r="C21" i="32" s="1"/>
  <c r="F26" i="32" a="1"/>
  <c r="F26" i="32" s="1"/>
  <c r="E26" i="32" a="1"/>
  <c r="E26" i="32" s="1"/>
  <c r="C26" i="32" a="1"/>
  <c r="C26" i="32" s="1"/>
  <c r="E33" i="32" a="1"/>
  <c r="E33" i="32" s="1"/>
  <c r="E49" i="32" a="1"/>
  <c r="E49" i="32" s="1"/>
  <c r="F52" i="32" a="1"/>
  <c r="F52" i="32" s="1"/>
  <c r="D66" i="32" a="1"/>
  <c r="D66" i="32" s="1"/>
  <c r="C66" i="32" a="1"/>
  <c r="C66" i="32" s="1"/>
  <c r="F66" i="32" a="1"/>
  <c r="F66" i="32" s="1"/>
  <c r="B66" i="32" a="1"/>
  <c r="B66" i="32" s="1"/>
  <c r="E68" i="32" a="1"/>
  <c r="E68" i="32" s="1"/>
  <c r="F68" i="32" a="1"/>
  <c r="F68" i="32" s="1"/>
  <c r="C68" i="32" a="1"/>
  <c r="C68" i="32" s="1"/>
  <c r="E84" i="32" a="1"/>
  <c r="E84" i="32" s="1"/>
  <c r="D92" i="32" a="1"/>
  <c r="D92" i="32" s="1"/>
  <c r="C92" i="32" a="1"/>
  <c r="C92" i="32" s="1"/>
  <c r="F92" i="32" a="1"/>
  <c r="F92" i="32" s="1"/>
  <c r="B92" i="32" a="1"/>
  <c r="B92" i="32" s="1"/>
  <c r="E116" i="32" a="1"/>
  <c r="E116" i="32" s="1"/>
  <c r="D119" i="32" a="1"/>
  <c r="D119" i="32" s="1"/>
  <c r="F119" i="32" a="1"/>
  <c r="F119" i="32" s="1"/>
  <c r="C119" i="32" a="1"/>
  <c r="C119" i="32" s="1"/>
  <c r="E119" i="32" a="1"/>
  <c r="E119" i="32" s="1"/>
  <c r="B119" i="32" a="1"/>
  <c r="B119" i="32" s="1"/>
  <c r="D135" i="32" a="1"/>
  <c r="D135" i="32" s="1"/>
  <c r="C135" i="32" a="1"/>
  <c r="C135" i="32" s="1"/>
  <c r="F135" i="32" a="1"/>
  <c r="F135" i="32" s="1"/>
  <c r="B135" i="32" a="1"/>
  <c r="B135" i="32" s="1"/>
  <c r="E148" i="32" a="1"/>
  <c r="E148" i="32" s="1"/>
  <c r="D156" i="32" a="1"/>
  <c r="D156" i="32" s="1"/>
  <c r="C156" i="32" a="1"/>
  <c r="C156" i="32" s="1"/>
  <c r="F156" i="32" a="1"/>
  <c r="F156" i="32" s="1"/>
  <c r="B156" i="32" a="1"/>
  <c r="B156" i="32" s="1"/>
  <c r="D25" i="32" a="1"/>
  <c r="D25" i="32" s="1"/>
  <c r="E27" i="32" a="1"/>
  <c r="E27" i="32" s="1"/>
  <c r="C29" i="32" a="1"/>
  <c r="C29" i="32" s="1"/>
  <c r="E37" i="32" a="1"/>
  <c r="E37" i="32" s="1"/>
  <c r="E38" i="32" a="1"/>
  <c r="E38" i="32" s="1"/>
  <c r="D41" i="32" a="1"/>
  <c r="D41" i="32" s="1"/>
  <c r="E43" i="32" a="1"/>
  <c r="E43" i="32" s="1"/>
  <c r="C45" i="32" a="1"/>
  <c r="C45" i="32" s="1"/>
  <c r="D56" i="32" a="1"/>
  <c r="D56" i="32" s="1"/>
  <c r="E61" i="32" a="1"/>
  <c r="E61" i="32" s="1"/>
  <c r="D72" i="32" a="1"/>
  <c r="D72" i="32" s="1"/>
  <c r="D74" i="32" a="1"/>
  <c r="D74" i="32" s="1"/>
  <c r="C78" i="32" a="1"/>
  <c r="C78" i="32" s="1"/>
  <c r="E82" i="32" a="1"/>
  <c r="E82" i="32" s="1"/>
  <c r="C86" i="32" a="1"/>
  <c r="C86" i="32" s="1"/>
  <c r="E90" i="32" a="1"/>
  <c r="E90" i="32" s="1"/>
  <c r="C94" i="32" a="1"/>
  <c r="C94" i="32" s="1"/>
  <c r="E98" i="32" a="1"/>
  <c r="E98" i="32" s="1"/>
  <c r="C102" i="32" a="1"/>
  <c r="C102" i="32" s="1"/>
  <c r="E106" i="32" a="1"/>
  <c r="E106" i="32" s="1"/>
  <c r="C110" i="32" a="1"/>
  <c r="C110" i="32" s="1"/>
  <c r="E114" i="32" a="1"/>
  <c r="E114" i="32" s="1"/>
  <c r="C118" i="32" a="1"/>
  <c r="C118" i="32" s="1"/>
  <c r="E125" i="32" a="1"/>
  <c r="E125" i="32" s="1"/>
  <c r="C129" i="32" a="1"/>
  <c r="C129" i="32" s="1"/>
  <c r="E133" i="32" a="1"/>
  <c r="E133" i="32" s="1"/>
  <c r="C137" i="32" a="1"/>
  <c r="C137" i="32" s="1"/>
  <c r="E141" i="32" a="1"/>
  <c r="E141" i="32" s="1"/>
  <c r="E143" i="32" a="1"/>
  <c r="E143" i="32" s="1"/>
  <c r="E146" i="32" a="1"/>
  <c r="E146" i="32" s="1"/>
  <c r="C150" i="32" a="1"/>
  <c r="C150" i="32" s="1"/>
  <c r="E154" i="32" a="1"/>
  <c r="E154" i="32" s="1"/>
  <c r="C158" i="32" a="1"/>
  <c r="C158" i="32" s="1"/>
  <c r="E162" i="32" a="1"/>
  <c r="E162" i="32" s="1"/>
  <c r="D29" i="32" a="1"/>
  <c r="D29" i="32" s="1"/>
  <c r="C30" i="32" a="1"/>
  <c r="C30" i="32" s="1"/>
  <c r="C35" i="32" a="1"/>
  <c r="C35" i="32" s="1"/>
  <c r="B37" i="32" a="1"/>
  <c r="B37" i="32" s="1"/>
  <c r="E41" i="32" a="1"/>
  <c r="E41" i="32" s="1"/>
  <c r="D45" i="32" a="1"/>
  <c r="D45" i="32" s="1"/>
  <c r="B56" i="32" a="1"/>
  <c r="B56" i="32" s="1"/>
  <c r="D78" i="32" a="1"/>
  <c r="D78" i="32" s="1"/>
  <c r="B82" i="32" a="1"/>
  <c r="B82" i="32" s="1"/>
  <c r="D86" i="32" a="1"/>
  <c r="D86" i="32" s="1"/>
  <c r="B90" i="32" a="1"/>
  <c r="B90" i="32" s="1"/>
  <c r="D94" i="32" a="1"/>
  <c r="D94" i="32" s="1"/>
  <c r="B98" i="32" a="1"/>
  <c r="B98" i="32" s="1"/>
  <c r="D102" i="32" a="1"/>
  <c r="D102" i="32" s="1"/>
  <c r="B106" i="32" a="1"/>
  <c r="B106" i="32" s="1"/>
  <c r="D110" i="32" a="1"/>
  <c r="D110" i="32" s="1"/>
  <c r="B114" i="32" a="1"/>
  <c r="B114" i="32" s="1"/>
  <c r="D118" i="32" a="1"/>
  <c r="D118" i="32" s="1"/>
  <c r="B125" i="32" a="1"/>
  <c r="B125" i="32" s="1"/>
  <c r="D129" i="32" a="1"/>
  <c r="D129" i="32" s="1"/>
  <c r="B133" i="32" a="1"/>
  <c r="B133" i="32" s="1"/>
  <c r="D137" i="32" a="1"/>
  <c r="D137" i="32" s="1"/>
  <c r="B141" i="32" a="1"/>
  <c r="B141" i="32" s="1"/>
  <c r="B143" i="32" a="1"/>
  <c r="B143" i="32" s="1"/>
  <c r="B146" i="32" a="1"/>
  <c r="B146" i="32" s="1"/>
  <c r="D150" i="32" a="1"/>
  <c r="D150" i="32" s="1"/>
  <c r="B154" i="32" a="1"/>
  <c r="B154" i="32" s="1"/>
  <c r="D158" i="32" a="1"/>
  <c r="D158" i="32" s="1"/>
  <c r="B162" i="32" a="1"/>
  <c r="B162" i="32" s="1"/>
  <c r="P5" i="32"/>
  <c r="E3" i="32" a="1"/>
  <c r="E3" i="32" s="1"/>
  <c r="C3" i="32" a="1"/>
  <c r="C3" i="32" s="1"/>
  <c r="F3" i="32" a="1"/>
  <c r="F3" i="32" s="1"/>
  <c r="D3" i="32" a="1"/>
  <c r="D3" i="32" s="1"/>
  <c r="B3" i="32" a="1"/>
  <c r="B3" i="32" s="1"/>
  <c r="E8" i="32" a="1"/>
  <c r="E8" i="32" s="1"/>
  <c r="C8" i="32" a="1"/>
  <c r="C8" i="32" s="1"/>
  <c r="F8" i="32" a="1"/>
  <c r="F8" i="32" s="1"/>
  <c r="D8" i="32" a="1"/>
  <c r="D8" i="32" s="1"/>
  <c r="B8" i="32" a="1"/>
  <c r="B8" i="32" s="1"/>
  <c r="E55" i="32" a="1"/>
  <c r="E55" i="32" s="1"/>
  <c r="C55" i="32" a="1"/>
  <c r="C55" i="32" s="1"/>
  <c r="F63" i="32" a="1"/>
  <c r="F63" i="32" s="1"/>
  <c r="D63" i="32" a="1"/>
  <c r="D63" i="32" s="1"/>
  <c r="B63" i="32" a="1"/>
  <c r="B63" i="32" s="1"/>
  <c r="C63" i="32" a="1"/>
  <c r="C63" i="32" s="1"/>
  <c r="F64" i="32" a="1"/>
  <c r="F64" i="32" s="1"/>
  <c r="C64" i="32" a="1"/>
  <c r="C64" i="32" s="1"/>
  <c r="E65" i="32" a="1"/>
  <c r="E65" i="32" s="1"/>
  <c r="C65" i="32" a="1"/>
  <c r="C65" i="32" s="1"/>
  <c r="F65" i="32" a="1"/>
  <c r="F65" i="32" s="1"/>
  <c r="E128" i="32" a="1"/>
  <c r="E128" i="32" s="1"/>
  <c r="C128" i="32" a="1"/>
  <c r="C128" i="32" s="1"/>
  <c r="F128" i="32" a="1"/>
  <c r="F128" i="32" s="1"/>
  <c r="D128" i="32" a="1"/>
  <c r="D128" i="32" s="1"/>
  <c r="B128" i="32" a="1"/>
  <c r="B128" i="32" s="1"/>
  <c r="B12" i="32" a="1"/>
  <c r="B12" i="32" s="1"/>
  <c r="D12" i="32" a="1"/>
  <c r="D12" i="32" s="1"/>
  <c r="F12" i="32" a="1"/>
  <c r="F12" i="32" s="1"/>
  <c r="B16" i="32" a="1"/>
  <c r="B16" i="32" s="1"/>
  <c r="D16" i="32" a="1"/>
  <c r="D16" i="32" s="1"/>
  <c r="F16" i="32" a="1"/>
  <c r="F16" i="32" s="1"/>
  <c r="B20" i="32" a="1"/>
  <c r="B20" i="32" s="1"/>
  <c r="D20" i="32" a="1"/>
  <c r="D20" i="32" s="1"/>
  <c r="F20" i="32" a="1"/>
  <c r="F20" i="32" s="1"/>
  <c r="B24" i="32" a="1"/>
  <c r="B24" i="32" s="1"/>
  <c r="D24" i="32" a="1"/>
  <c r="D24" i="32" s="1"/>
  <c r="F24" i="32" a="1"/>
  <c r="F24" i="32" s="1"/>
  <c r="B28" i="32" a="1"/>
  <c r="B28" i="32" s="1"/>
  <c r="D28" i="32" a="1"/>
  <c r="D28" i="32" s="1"/>
  <c r="F28" i="32" a="1"/>
  <c r="F28" i="32" s="1"/>
  <c r="B32" i="32" a="1"/>
  <c r="B32" i="32" s="1"/>
  <c r="D32" i="32" a="1"/>
  <c r="D32" i="32" s="1"/>
  <c r="F32" i="32" a="1"/>
  <c r="F32" i="32" s="1"/>
  <c r="B36" i="32" a="1"/>
  <c r="B36" i="32" s="1"/>
  <c r="D36" i="32" a="1"/>
  <c r="D36" i="32" s="1"/>
  <c r="F36" i="32" a="1"/>
  <c r="F36" i="32" s="1"/>
  <c r="B40" i="32" a="1"/>
  <c r="B40" i="32" s="1"/>
  <c r="D40" i="32" a="1"/>
  <c r="D40" i="32" s="1"/>
  <c r="F40" i="32" a="1"/>
  <c r="F40" i="32" s="1"/>
  <c r="B44" i="32" a="1"/>
  <c r="B44" i="32" s="1"/>
  <c r="D44" i="32" a="1"/>
  <c r="D44" i="32" s="1"/>
  <c r="F44" i="32" a="1"/>
  <c r="F44" i="32" s="1"/>
  <c r="B48" i="32" a="1"/>
  <c r="B48" i="32" s="1"/>
  <c r="D48" i="32" a="1"/>
  <c r="D48" i="32" s="1"/>
  <c r="F48" i="32" a="1"/>
  <c r="F48" i="32" s="1"/>
  <c r="F51" i="32" a="1"/>
  <c r="F51" i="32" s="1"/>
  <c r="B55" i="32" a="1"/>
  <c r="B55" i="32" s="1"/>
  <c r="F55" i="32" a="1"/>
  <c r="F55" i="32" s="1"/>
  <c r="F58" i="32" a="1"/>
  <c r="F58" i="32" s="1"/>
  <c r="D58" i="32" a="1"/>
  <c r="D58" i="32" s="1"/>
  <c r="B58" i="32" a="1"/>
  <c r="B58" i="32" s="1"/>
  <c r="B64" i="32" a="1"/>
  <c r="B64" i="32" s="1"/>
  <c r="B65" i="32" a="1"/>
  <c r="B65" i="32" s="1"/>
  <c r="B4" i="32" a="1"/>
  <c r="B4" i="32" s="1"/>
  <c r="D4" i="32" a="1"/>
  <c r="D4" i="32" s="1"/>
  <c r="B7" i="32" a="1"/>
  <c r="B7" i="32" s="1"/>
  <c r="D7" i="32" a="1"/>
  <c r="D7" i="32" s="1"/>
  <c r="B11" i="32" a="1"/>
  <c r="B11" i="32" s="1"/>
  <c r="D11" i="32" a="1"/>
  <c r="D11" i="32" s="1"/>
  <c r="B15" i="32" a="1"/>
  <c r="B15" i="32" s="1"/>
  <c r="D15" i="32" a="1"/>
  <c r="D15" i="32" s="1"/>
  <c r="B19" i="32" a="1"/>
  <c r="B19" i="32" s="1"/>
  <c r="D19" i="32" a="1"/>
  <c r="D19" i="32" s="1"/>
  <c r="B23" i="32" a="1"/>
  <c r="B23" i="32" s="1"/>
  <c r="D23" i="32" a="1"/>
  <c r="D23" i="32" s="1"/>
  <c r="B27" i="32" a="1"/>
  <c r="B27" i="32" s="1"/>
  <c r="D27" i="32" a="1"/>
  <c r="D27" i="32" s="1"/>
  <c r="B31" i="32" a="1"/>
  <c r="B31" i="32" s="1"/>
  <c r="D31" i="32" a="1"/>
  <c r="D31" i="32" s="1"/>
  <c r="B35" i="32" a="1"/>
  <c r="B35" i="32" s="1"/>
  <c r="D35" i="32" a="1"/>
  <c r="D35" i="32" s="1"/>
  <c r="B39" i="32" a="1"/>
  <c r="B39" i="32" s="1"/>
  <c r="D39" i="32" a="1"/>
  <c r="D39" i="32" s="1"/>
  <c r="B43" i="32" a="1"/>
  <c r="B43" i="32" s="1"/>
  <c r="D43" i="32" a="1"/>
  <c r="D43" i="32" s="1"/>
  <c r="B47" i="32" a="1"/>
  <c r="B47" i="32" s="1"/>
  <c r="D47" i="32" a="1"/>
  <c r="D47" i="32" s="1"/>
  <c r="B51" i="32" a="1"/>
  <c r="B51" i="32" s="1"/>
  <c r="D51" i="32" a="1"/>
  <c r="D51" i="32" s="1"/>
  <c r="C58" i="32" a="1"/>
  <c r="C58" i="32" s="1"/>
  <c r="E59" i="32" a="1"/>
  <c r="E59" i="32" s="1"/>
  <c r="C59" i="32" a="1"/>
  <c r="C59" i="32" s="1"/>
  <c r="D64" i="32" a="1"/>
  <c r="D64" i="32" s="1"/>
  <c r="D65" i="32" a="1"/>
  <c r="D65" i="32" s="1"/>
  <c r="E136" i="32" a="1"/>
  <c r="E136" i="32" s="1"/>
  <c r="C136" i="32" a="1"/>
  <c r="C136" i="32" s="1"/>
  <c r="F136" i="32" a="1"/>
  <c r="F136" i="32" s="1"/>
  <c r="D136" i="32" a="1"/>
  <c r="D136" i="32" s="1"/>
  <c r="B136" i="32" a="1"/>
  <c r="B136" i="32" s="1"/>
  <c r="K182" i="32"/>
  <c r="K172" i="32"/>
  <c r="K181" i="32"/>
  <c r="K171" i="32" a="1"/>
  <c r="K171" i="32" s="1"/>
  <c r="K190" i="32"/>
  <c r="K173" i="32"/>
  <c r="K189" i="32"/>
  <c r="B5" i="32" a="1"/>
  <c r="B5" i="32" s="1"/>
  <c r="D5" i="32" a="1"/>
  <c r="D5" i="32" s="1"/>
  <c r="B6" i="32" a="1"/>
  <c r="B6" i="32" s="1"/>
  <c r="D6" i="32" a="1"/>
  <c r="D6" i="32" s="1"/>
  <c r="B10" i="32" a="1"/>
  <c r="B10" i="32" s="1"/>
  <c r="D10" i="32" a="1"/>
  <c r="D10" i="32" s="1"/>
  <c r="C12" i="32" a="1"/>
  <c r="C12" i="32" s="1"/>
  <c r="B14" i="32" a="1"/>
  <c r="B14" i="32" s="1"/>
  <c r="D14" i="32" a="1"/>
  <c r="D14" i="32" s="1"/>
  <c r="C16" i="32" a="1"/>
  <c r="C16" i="32" s="1"/>
  <c r="B18" i="32" a="1"/>
  <c r="B18" i="32" s="1"/>
  <c r="D18" i="32" a="1"/>
  <c r="D18" i="32" s="1"/>
  <c r="C20" i="32" a="1"/>
  <c r="C20" i="32" s="1"/>
  <c r="B22" i="32" a="1"/>
  <c r="B22" i="32" s="1"/>
  <c r="D22" i="32" a="1"/>
  <c r="D22" i="32" s="1"/>
  <c r="C24" i="32" a="1"/>
  <c r="C24" i="32" s="1"/>
  <c r="B26" i="32" a="1"/>
  <c r="B26" i="32" s="1"/>
  <c r="D26" i="32" a="1"/>
  <c r="D26" i="32" s="1"/>
  <c r="C28" i="32" a="1"/>
  <c r="C28" i="32" s="1"/>
  <c r="B30" i="32" a="1"/>
  <c r="B30" i="32" s="1"/>
  <c r="D30" i="32" a="1"/>
  <c r="D30" i="32" s="1"/>
  <c r="C32" i="32" a="1"/>
  <c r="C32" i="32" s="1"/>
  <c r="B34" i="32" a="1"/>
  <c r="B34" i="32" s="1"/>
  <c r="D34" i="32" a="1"/>
  <c r="D34" i="32" s="1"/>
  <c r="C36" i="32" a="1"/>
  <c r="C36" i="32" s="1"/>
  <c r="B38" i="32" a="1"/>
  <c r="B38" i="32" s="1"/>
  <c r="D38" i="32" a="1"/>
  <c r="D38" i="32" s="1"/>
  <c r="C40" i="32" a="1"/>
  <c r="C40" i="32" s="1"/>
  <c r="B42" i="32" a="1"/>
  <c r="B42" i="32" s="1"/>
  <c r="D42" i="32" a="1"/>
  <c r="D42" i="32" s="1"/>
  <c r="C44" i="32" a="1"/>
  <c r="C44" i="32" s="1"/>
  <c r="B46" i="32" a="1"/>
  <c r="B46" i="32" s="1"/>
  <c r="D46" i="32" a="1"/>
  <c r="D46" i="32" s="1"/>
  <c r="C48" i="32" a="1"/>
  <c r="C48" i="32" s="1"/>
  <c r="B50" i="32" a="1"/>
  <c r="B50" i="32" s="1"/>
  <c r="D50" i="32" a="1"/>
  <c r="D50" i="32" s="1"/>
  <c r="F54" i="32" a="1"/>
  <c r="F54" i="32" s="1"/>
  <c r="D54" i="32" a="1"/>
  <c r="D54" i="32" s="1"/>
  <c r="B54" i="32" a="1"/>
  <c r="B54" i="32" s="1"/>
  <c r="D55" i="32" a="1"/>
  <c r="D55" i="32" s="1"/>
  <c r="B59" i="32" a="1"/>
  <c r="B59" i="32" s="1"/>
  <c r="F59" i="32" a="1"/>
  <c r="F59" i="32" s="1"/>
  <c r="F62" i="32" a="1"/>
  <c r="F62" i="32" s="1"/>
  <c r="D62" i="32" a="1"/>
  <c r="D62" i="32" s="1"/>
  <c r="B62" i="32" a="1"/>
  <c r="B62" i="32" s="1"/>
  <c r="E63" i="32" a="1"/>
  <c r="E63" i="32" s="1"/>
  <c r="E64" i="32" a="1"/>
  <c r="E64" i="32" s="1"/>
  <c r="F71" i="32" a="1"/>
  <c r="F71" i="32" s="1"/>
  <c r="D71" i="32" a="1"/>
  <c r="D71" i="32" s="1"/>
  <c r="B71" i="32" a="1"/>
  <c r="B71" i="32" s="1"/>
  <c r="C71" i="32" a="1"/>
  <c r="C71" i="32" s="1"/>
  <c r="F72" i="32" a="1"/>
  <c r="F72" i="32" s="1"/>
  <c r="C72" i="32" a="1"/>
  <c r="C72" i="32" s="1"/>
  <c r="E73" i="32" a="1"/>
  <c r="E73" i="32" s="1"/>
  <c r="C73" i="32" a="1"/>
  <c r="C73" i="32" s="1"/>
  <c r="F73" i="32" a="1"/>
  <c r="F73" i="32" s="1"/>
  <c r="F120" i="32" a="1"/>
  <c r="F120" i="32" s="1"/>
  <c r="D120" i="32" a="1"/>
  <c r="D120" i="32" s="1"/>
  <c r="B120" i="32" a="1"/>
  <c r="B120" i="32" s="1"/>
  <c r="E120" i="32" a="1"/>
  <c r="E120" i="32" s="1"/>
  <c r="F121" i="32" a="1"/>
  <c r="F121" i="32" s="1"/>
  <c r="E121" i="32" a="1"/>
  <c r="E121" i="32" s="1"/>
  <c r="B121" i="32" a="1"/>
  <c r="B121" i="32" s="1"/>
  <c r="F122" i="32" a="1"/>
  <c r="F122" i="32" s="1"/>
  <c r="D122" i="32" a="1"/>
  <c r="D122" i="32" s="1"/>
  <c r="B122" i="32" a="1"/>
  <c r="B122" i="32" s="1"/>
  <c r="E122" i="32" a="1"/>
  <c r="E122" i="32" s="1"/>
  <c r="C122" i="32" a="1"/>
  <c r="C122" i="32" s="1"/>
  <c r="F130" i="32" a="1"/>
  <c r="F130" i="32" s="1"/>
  <c r="D130" i="32" a="1"/>
  <c r="D130" i="32" s="1"/>
  <c r="B130" i="32" a="1"/>
  <c r="B130" i="32" s="1"/>
  <c r="E130" i="32" a="1"/>
  <c r="E130" i="32" s="1"/>
  <c r="C130" i="32" a="1"/>
  <c r="C130" i="32" s="1"/>
  <c r="E140" i="32" a="1"/>
  <c r="E140" i="32" s="1"/>
  <c r="C140" i="32" a="1"/>
  <c r="C140" i="32" s="1"/>
  <c r="F140" i="32" a="1"/>
  <c r="F140" i="32" s="1"/>
  <c r="D140" i="32" a="1"/>
  <c r="D140" i="32" s="1"/>
  <c r="B140" i="32" a="1"/>
  <c r="B140" i="32" s="1"/>
  <c r="C52" i="32" a="1"/>
  <c r="C52" i="32" s="1"/>
  <c r="F67" i="32" a="1"/>
  <c r="F67" i="32" s="1"/>
  <c r="D67" i="32" a="1"/>
  <c r="D67" i="32" s="1"/>
  <c r="B67" i="32" a="1"/>
  <c r="B67" i="32" s="1"/>
  <c r="D68" i="32" a="1"/>
  <c r="D68" i="32" s="1"/>
  <c r="E69" i="32" a="1"/>
  <c r="E69" i="32" s="1"/>
  <c r="C69" i="32" a="1"/>
  <c r="C69" i="32" s="1"/>
  <c r="D69" i="32" a="1"/>
  <c r="D69" i="32" s="1"/>
  <c r="F75" i="32" a="1"/>
  <c r="F75" i="32" s="1"/>
  <c r="D75" i="32" a="1"/>
  <c r="D75" i="32" s="1"/>
  <c r="B75" i="32" a="1"/>
  <c r="B75" i="32" s="1"/>
  <c r="D76" i="32" a="1"/>
  <c r="D76" i="32" s="1"/>
  <c r="E77" i="32" a="1"/>
  <c r="E77" i="32" s="1"/>
  <c r="C77" i="32" a="1"/>
  <c r="C77" i="32" s="1"/>
  <c r="D77" i="32" a="1"/>
  <c r="D77" i="32" s="1"/>
  <c r="E79" i="32" a="1"/>
  <c r="E79" i="32" s="1"/>
  <c r="C79" i="32" a="1"/>
  <c r="C79" i="32" s="1"/>
  <c r="F79" i="32" a="1"/>
  <c r="F79" i="32" s="1"/>
  <c r="D79" i="32" a="1"/>
  <c r="D79" i="32" s="1"/>
  <c r="B79" i="32" a="1"/>
  <c r="B79" i="32" s="1"/>
  <c r="F81" i="32" a="1"/>
  <c r="F81" i="32" s="1"/>
  <c r="D81" i="32" a="1"/>
  <c r="D81" i="32" s="1"/>
  <c r="B81" i="32" a="1"/>
  <c r="B81" i="32" s="1"/>
  <c r="E81" i="32" a="1"/>
  <c r="E81" i="32" s="1"/>
  <c r="C81" i="32" a="1"/>
  <c r="C81" i="32" s="1"/>
  <c r="E83" i="32" a="1"/>
  <c r="E83" i="32" s="1"/>
  <c r="C83" i="32" a="1"/>
  <c r="C83" i="32" s="1"/>
  <c r="F83" i="32" a="1"/>
  <c r="F83" i="32" s="1"/>
  <c r="D83" i="32" a="1"/>
  <c r="D83" i="32" s="1"/>
  <c r="B83" i="32" a="1"/>
  <c r="B83" i="32" s="1"/>
  <c r="F85" i="32" a="1"/>
  <c r="F85" i="32" s="1"/>
  <c r="D85" i="32" a="1"/>
  <c r="D85" i="32" s="1"/>
  <c r="B85" i="32" a="1"/>
  <c r="B85" i="32" s="1"/>
  <c r="E85" i="32" a="1"/>
  <c r="E85" i="32" s="1"/>
  <c r="C85" i="32" a="1"/>
  <c r="C85" i="32" s="1"/>
  <c r="E87" i="32" a="1"/>
  <c r="E87" i="32" s="1"/>
  <c r="C87" i="32" a="1"/>
  <c r="C87" i="32" s="1"/>
  <c r="F87" i="32" a="1"/>
  <c r="F87" i="32" s="1"/>
  <c r="D87" i="32" a="1"/>
  <c r="D87" i="32" s="1"/>
  <c r="B87" i="32" a="1"/>
  <c r="B87" i="32" s="1"/>
  <c r="F89" i="32" a="1"/>
  <c r="F89" i="32" s="1"/>
  <c r="D89" i="32" a="1"/>
  <c r="D89" i="32" s="1"/>
  <c r="B89" i="32" a="1"/>
  <c r="B89" i="32" s="1"/>
  <c r="E89" i="32" a="1"/>
  <c r="E89" i="32" s="1"/>
  <c r="C89" i="32" a="1"/>
  <c r="C89" i="32" s="1"/>
  <c r="E91" i="32" a="1"/>
  <c r="E91" i="32" s="1"/>
  <c r="C91" i="32" a="1"/>
  <c r="C91" i="32" s="1"/>
  <c r="F91" i="32" a="1"/>
  <c r="F91" i="32" s="1"/>
  <c r="D91" i="32" a="1"/>
  <c r="D91" i="32" s="1"/>
  <c r="B91" i="32" a="1"/>
  <c r="B91" i="32" s="1"/>
  <c r="F93" i="32" a="1"/>
  <c r="F93" i="32" s="1"/>
  <c r="D93" i="32" a="1"/>
  <c r="D93" i="32" s="1"/>
  <c r="B93" i="32" a="1"/>
  <c r="B93" i="32" s="1"/>
  <c r="E93" i="32" a="1"/>
  <c r="E93" i="32" s="1"/>
  <c r="C93" i="32" a="1"/>
  <c r="C93" i="32" s="1"/>
  <c r="E95" i="32" a="1"/>
  <c r="E95" i="32" s="1"/>
  <c r="C95" i="32" a="1"/>
  <c r="C95" i="32" s="1"/>
  <c r="F95" i="32" a="1"/>
  <c r="F95" i="32" s="1"/>
  <c r="D95" i="32" a="1"/>
  <c r="D95" i="32" s="1"/>
  <c r="B95" i="32" a="1"/>
  <c r="B95" i="32" s="1"/>
  <c r="F97" i="32" a="1"/>
  <c r="F97" i="32" s="1"/>
  <c r="D97" i="32" a="1"/>
  <c r="D97" i="32" s="1"/>
  <c r="B97" i="32" a="1"/>
  <c r="B97" i="32" s="1"/>
  <c r="E97" i="32" a="1"/>
  <c r="E97" i="32" s="1"/>
  <c r="C97" i="32" a="1"/>
  <c r="C97" i="32" s="1"/>
  <c r="E99" i="32" a="1"/>
  <c r="E99" i="32" s="1"/>
  <c r="C99" i="32" a="1"/>
  <c r="C99" i="32" s="1"/>
  <c r="F99" i="32" a="1"/>
  <c r="F99" i="32" s="1"/>
  <c r="D99" i="32" a="1"/>
  <c r="D99" i="32" s="1"/>
  <c r="B99" i="32" a="1"/>
  <c r="B99" i="32" s="1"/>
  <c r="F101" i="32" a="1"/>
  <c r="F101" i="32" s="1"/>
  <c r="D101" i="32" a="1"/>
  <c r="D101" i="32" s="1"/>
  <c r="B101" i="32" a="1"/>
  <c r="B101" i="32" s="1"/>
  <c r="E101" i="32" a="1"/>
  <c r="E101" i="32" s="1"/>
  <c r="C101" i="32" a="1"/>
  <c r="C101" i="32" s="1"/>
  <c r="E103" i="32" a="1"/>
  <c r="E103" i="32" s="1"/>
  <c r="C103" i="32" a="1"/>
  <c r="C103" i="32" s="1"/>
  <c r="F103" i="32" a="1"/>
  <c r="F103" i="32" s="1"/>
  <c r="D103" i="32" a="1"/>
  <c r="D103" i="32" s="1"/>
  <c r="B103" i="32" a="1"/>
  <c r="B103" i="32" s="1"/>
  <c r="F105" i="32" a="1"/>
  <c r="F105" i="32" s="1"/>
  <c r="D105" i="32" a="1"/>
  <c r="D105" i="32" s="1"/>
  <c r="B105" i="32" a="1"/>
  <c r="B105" i="32" s="1"/>
  <c r="E105" i="32" a="1"/>
  <c r="E105" i="32" s="1"/>
  <c r="C105" i="32" a="1"/>
  <c r="C105" i="32" s="1"/>
  <c r="E107" i="32" a="1"/>
  <c r="E107" i="32" s="1"/>
  <c r="C107" i="32" a="1"/>
  <c r="C107" i="32" s="1"/>
  <c r="F107" i="32" a="1"/>
  <c r="F107" i="32" s="1"/>
  <c r="D107" i="32" a="1"/>
  <c r="D107" i="32" s="1"/>
  <c r="B107" i="32" a="1"/>
  <c r="B107" i="32" s="1"/>
  <c r="F109" i="32" a="1"/>
  <c r="F109" i="32" s="1"/>
  <c r="D109" i="32" a="1"/>
  <c r="D109" i="32" s="1"/>
  <c r="B109" i="32" a="1"/>
  <c r="B109" i="32" s="1"/>
  <c r="E109" i="32" a="1"/>
  <c r="E109" i="32" s="1"/>
  <c r="C109" i="32" a="1"/>
  <c r="C109" i="32" s="1"/>
  <c r="E111" i="32" a="1"/>
  <c r="E111" i="32" s="1"/>
  <c r="C111" i="32" a="1"/>
  <c r="C111" i="32" s="1"/>
  <c r="F111" i="32" a="1"/>
  <c r="F111" i="32" s="1"/>
  <c r="D111" i="32" a="1"/>
  <c r="D111" i="32" s="1"/>
  <c r="B111" i="32" a="1"/>
  <c r="B111" i="32" s="1"/>
  <c r="F113" i="32" a="1"/>
  <c r="F113" i="32" s="1"/>
  <c r="D113" i="32" a="1"/>
  <c r="D113" i="32" s="1"/>
  <c r="B113" i="32" a="1"/>
  <c r="B113" i="32" s="1"/>
  <c r="E113" i="32" a="1"/>
  <c r="E113" i="32" s="1"/>
  <c r="C113" i="32" a="1"/>
  <c r="C113" i="32" s="1"/>
  <c r="E115" i="32" a="1"/>
  <c r="E115" i="32" s="1"/>
  <c r="C115" i="32" a="1"/>
  <c r="C115" i="32" s="1"/>
  <c r="F115" i="32" a="1"/>
  <c r="F115" i="32" s="1"/>
  <c r="D115" i="32" a="1"/>
  <c r="D115" i="32" s="1"/>
  <c r="B115" i="32" a="1"/>
  <c r="B115" i="32" s="1"/>
  <c r="F117" i="32" a="1"/>
  <c r="F117" i="32" s="1"/>
  <c r="D117" i="32" a="1"/>
  <c r="D117" i="32" s="1"/>
  <c r="B117" i="32" a="1"/>
  <c r="B117" i="32" s="1"/>
  <c r="E117" i="32" a="1"/>
  <c r="E117" i="32" s="1"/>
  <c r="C117" i="32" a="1"/>
  <c r="C117" i="32" s="1"/>
  <c r="C120" i="32" a="1"/>
  <c r="C120" i="32" s="1"/>
  <c r="C121" i="32" a="1"/>
  <c r="C121" i="32" s="1"/>
  <c r="E124" i="32" a="1"/>
  <c r="E124" i="32" s="1"/>
  <c r="C124" i="32" a="1"/>
  <c r="C124" i="32" s="1"/>
  <c r="F124" i="32" a="1"/>
  <c r="F124" i="32" s="1"/>
  <c r="D124" i="32" a="1"/>
  <c r="D124" i="32" s="1"/>
  <c r="B124" i="32" a="1"/>
  <c r="B124" i="32" s="1"/>
  <c r="E132" i="32" a="1"/>
  <c r="E132" i="32" s="1"/>
  <c r="C132" i="32" a="1"/>
  <c r="C132" i="32" s="1"/>
  <c r="F132" i="32" a="1"/>
  <c r="F132" i="32" s="1"/>
  <c r="D132" i="32" a="1"/>
  <c r="D132" i="32" s="1"/>
  <c r="B132" i="32" a="1"/>
  <c r="B132" i="32" s="1"/>
  <c r="B53" i="32" a="1"/>
  <c r="B53" i="32" s="1"/>
  <c r="D53" i="32" a="1"/>
  <c r="D53" i="32" s="1"/>
  <c r="B57" i="32" a="1"/>
  <c r="B57" i="32" s="1"/>
  <c r="D57" i="32" a="1"/>
  <c r="D57" i="32" s="1"/>
  <c r="B61" i="32" a="1"/>
  <c r="B61" i="32" s="1"/>
  <c r="D61" i="32" a="1"/>
  <c r="D61" i="32" s="1"/>
  <c r="E67" i="32" a="1"/>
  <c r="E67" i="32" s="1"/>
  <c r="B68" i="32" a="1"/>
  <c r="B68" i="32" s="1"/>
  <c r="B69" i="32" a="1"/>
  <c r="B69" i="32" s="1"/>
  <c r="E75" i="32" a="1"/>
  <c r="E75" i="32" s="1"/>
  <c r="B76" i="32" a="1"/>
  <c r="B76" i="32" s="1"/>
  <c r="B77" i="32" a="1"/>
  <c r="B77" i="32" s="1"/>
  <c r="D121" i="32" a="1"/>
  <c r="D121" i="32" s="1"/>
  <c r="F126" i="32" a="1"/>
  <c r="F126" i="32" s="1"/>
  <c r="D126" i="32" a="1"/>
  <c r="D126" i="32" s="1"/>
  <c r="B126" i="32" a="1"/>
  <c r="B126" i="32" s="1"/>
  <c r="E126" i="32" a="1"/>
  <c r="E126" i="32" s="1"/>
  <c r="C126" i="32" a="1"/>
  <c r="C126" i="32" s="1"/>
  <c r="F134" i="32" a="1"/>
  <c r="F134" i="32" s="1"/>
  <c r="D134" i="32" a="1"/>
  <c r="D134" i="32" s="1"/>
  <c r="B134" i="32" a="1"/>
  <c r="B134" i="32" s="1"/>
  <c r="E134" i="32" a="1"/>
  <c r="E134" i="32" s="1"/>
  <c r="C134" i="32" a="1"/>
  <c r="C134" i="32" s="1"/>
  <c r="F118" i="32" a="1"/>
  <c r="F118" i="32" s="1"/>
  <c r="E144" i="32" a="1"/>
  <c r="E144" i="32" s="1"/>
  <c r="C144" i="32" a="1"/>
  <c r="C144" i="32" s="1"/>
  <c r="F144" i="32" a="1"/>
  <c r="F144" i="32" s="1"/>
  <c r="D144" i="32" a="1"/>
  <c r="D144" i="32" s="1"/>
  <c r="B144" i="32" a="1"/>
  <c r="B144" i="32" s="1"/>
  <c r="C138" i="32" a="1"/>
  <c r="C138" i="32" s="1"/>
  <c r="E138" i="32" a="1"/>
  <c r="E138" i="32" s="1"/>
  <c r="C142" i="32" a="1"/>
  <c r="C142" i="32" s="1"/>
  <c r="E142" i="32" a="1"/>
  <c r="E142" i="32" s="1"/>
  <c r="P169" i="32"/>
  <c r="O170" i="32" s="1" a="1"/>
  <c r="O170" i="32" s="1"/>
  <c r="T170" i="32" a="1"/>
  <c r="T170" i="32" s="1"/>
  <c r="B138" i="32" a="1"/>
  <c r="B138" i="32" s="1"/>
  <c r="D138" i="32" a="1"/>
  <c r="D138" i="32" s="1"/>
  <c r="B142" i="32" a="1"/>
  <c r="B142" i="32" s="1"/>
  <c r="D142" i="32" a="1"/>
  <c r="D142" i="32" s="1"/>
  <c r="E145" i="32" a="1"/>
  <c r="E145" i="32" s="1"/>
  <c r="C145" i="32" a="1"/>
  <c r="C145" i="32" s="1"/>
  <c r="F145" i="32" a="1"/>
  <c r="F145" i="32" s="1"/>
  <c r="D145" i="32" a="1"/>
  <c r="D145" i="32" s="1"/>
  <c r="B145" i="32" a="1"/>
  <c r="B145" i="32" s="1"/>
  <c r="F147" i="32" a="1"/>
  <c r="F147" i="32" s="1"/>
  <c r="D147" i="32" a="1"/>
  <c r="D147" i="32" s="1"/>
  <c r="B147" i="32" a="1"/>
  <c r="B147" i="32" s="1"/>
  <c r="E147" i="32" a="1"/>
  <c r="E147" i="32" s="1"/>
  <c r="C147" i="32" a="1"/>
  <c r="C147" i="32" s="1"/>
  <c r="E149" i="32" a="1"/>
  <c r="E149" i="32" s="1"/>
  <c r="C149" i="32" a="1"/>
  <c r="C149" i="32" s="1"/>
  <c r="F149" i="32" a="1"/>
  <c r="F149" i="32" s="1"/>
  <c r="D149" i="32" a="1"/>
  <c r="D149" i="32" s="1"/>
  <c r="B149" i="32" a="1"/>
  <c r="B149" i="32" s="1"/>
  <c r="F151" i="32" a="1"/>
  <c r="F151" i="32" s="1"/>
  <c r="D151" i="32" a="1"/>
  <c r="D151" i="32" s="1"/>
  <c r="B151" i="32" a="1"/>
  <c r="B151" i="32" s="1"/>
  <c r="E151" i="32" a="1"/>
  <c r="E151" i="32" s="1"/>
  <c r="C151" i="32" a="1"/>
  <c r="C151" i="32" s="1"/>
  <c r="E153" i="32" a="1"/>
  <c r="E153" i="32" s="1"/>
  <c r="C153" i="32" a="1"/>
  <c r="C153" i="32" s="1"/>
  <c r="F153" i="32" a="1"/>
  <c r="F153" i="32" s="1"/>
  <c r="D153" i="32" a="1"/>
  <c r="D153" i="32" s="1"/>
  <c r="B153" i="32" a="1"/>
  <c r="B153" i="32" s="1"/>
  <c r="F155" i="32" a="1"/>
  <c r="F155" i="32" s="1"/>
  <c r="D155" i="32" a="1"/>
  <c r="D155" i="32" s="1"/>
  <c r="B155" i="32" a="1"/>
  <c r="B155" i="32" s="1"/>
  <c r="E155" i="32" a="1"/>
  <c r="E155" i="32" s="1"/>
  <c r="C155" i="32" a="1"/>
  <c r="C155" i="32" s="1"/>
  <c r="E157" i="32" a="1"/>
  <c r="E157" i="32" s="1"/>
  <c r="C157" i="32" a="1"/>
  <c r="C157" i="32" s="1"/>
  <c r="F157" i="32" a="1"/>
  <c r="F157" i="32" s="1"/>
  <c r="D157" i="32" a="1"/>
  <c r="D157" i="32" s="1"/>
  <c r="B157" i="32" a="1"/>
  <c r="B157" i="32" s="1"/>
  <c r="F159" i="32" a="1"/>
  <c r="F159" i="32" s="1"/>
  <c r="D159" i="32" a="1"/>
  <c r="D159" i="32" s="1"/>
  <c r="B159" i="32" a="1"/>
  <c r="B159" i="32" s="1"/>
  <c r="E159" i="32" a="1"/>
  <c r="E159" i="32" s="1"/>
  <c r="C159" i="32" a="1"/>
  <c r="C159" i="32" s="1"/>
  <c r="E161" i="32" a="1"/>
  <c r="E161" i="32" s="1"/>
  <c r="C161" i="32" a="1"/>
  <c r="C161" i="32" s="1"/>
  <c r="F161" i="32" a="1"/>
  <c r="F161" i="32" s="1"/>
  <c r="D161" i="32" a="1"/>
  <c r="D161" i="32" s="1"/>
  <c r="B161" i="32" a="1"/>
  <c r="B161" i="32" s="1"/>
  <c r="F163" i="32" a="1"/>
  <c r="F163" i="32" s="1"/>
  <c r="D163" i="32" a="1"/>
  <c r="D163" i="32" s="1"/>
  <c r="B163" i="32" a="1"/>
  <c r="B163" i="32" s="1"/>
  <c r="E163" i="32" a="1"/>
  <c r="E163" i="32" s="1"/>
  <c r="C163" i="32" a="1"/>
  <c r="C163" i="32" s="1"/>
  <c r="F169" i="32"/>
  <c r="E170" i="32" s="1" a="1"/>
  <c r="E170" i="32" s="1"/>
  <c r="E44" i="31" a="1"/>
  <c r="E44" i="31" s="1"/>
  <c r="F67" i="31" a="1"/>
  <c r="F67" i="31" s="1"/>
  <c r="E155" i="31" a="1"/>
  <c r="E155" i="31" s="1"/>
  <c r="C118" i="31" a="1"/>
  <c r="C118" i="31" s="1"/>
  <c r="B149" i="31" a="1"/>
  <c r="B149" i="31" s="1"/>
  <c r="D92" i="31" a="1"/>
  <c r="D92" i="31" s="1"/>
  <c r="C73" i="31" a="1"/>
  <c r="C73" i="31" s="1"/>
  <c r="B131" i="31" a="1"/>
  <c r="B131" i="31" s="1"/>
  <c r="E132" i="31" a="1"/>
  <c r="E132" i="31" s="1"/>
  <c r="D73" i="31" a="1"/>
  <c r="D73" i="31" s="1"/>
  <c r="C131" i="31" a="1"/>
  <c r="C131" i="31" s="1"/>
  <c r="C136" i="31" a="1"/>
  <c r="C136" i="31" s="1"/>
  <c r="F96" i="31" a="1"/>
  <c r="F96" i="31" s="1"/>
  <c r="F131" i="31" a="1"/>
  <c r="F131" i="31" s="1"/>
  <c r="B157" i="31" a="1"/>
  <c r="B157" i="31" s="1"/>
  <c r="C12" i="31" a="1"/>
  <c r="C12" i="31" s="1"/>
  <c r="E56" i="31" a="1"/>
  <c r="E56" i="31" s="1"/>
  <c r="F84" i="31" a="1"/>
  <c r="F84" i="31" s="1"/>
  <c r="C111" i="31" a="1"/>
  <c r="C111" i="31" s="1"/>
  <c r="C113" i="31" a="1"/>
  <c r="C113" i="31" s="1"/>
  <c r="P5" i="31"/>
  <c r="E170" i="31" a="1"/>
  <c r="E170" i="31" s="1"/>
  <c r="F180" i="31" s="1" a="1"/>
  <c r="F180" i="31" s="1"/>
  <c r="C56" i="31" a="1"/>
  <c r="C56" i="31" s="1"/>
  <c r="B71" i="31" a="1"/>
  <c r="B71" i="31" s="1"/>
  <c r="B103" i="31" a="1"/>
  <c r="B103" i="31" s="1"/>
  <c r="C140" i="31" a="1"/>
  <c r="C140" i="31" s="1"/>
  <c r="B143" i="31" a="1"/>
  <c r="B143" i="31" s="1"/>
  <c r="F158" i="31" a="1"/>
  <c r="F158" i="31" s="1"/>
  <c r="E111" i="31" a="1"/>
  <c r="E111" i="31" s="1"/>
  <c r="B11" i="31" a="1"/>
  <c r="B11" i="31" s="1"/>
  <c r="C16" i="31" a="1"/>
  <c r="C16" i="31" s="1"/>
  <c r="C48" i="31" a="1"/>
  <c r="C48" i="31" s="1"/>
  <c r="C60" i="31" a="1"/>
  <c r="C60" i="31" s="1"/>
  <c r="E117" i="31" a="1"/>
  <c r="E117" i="31" s="1"/>
  <c r="E139" i="31" a="1"/>
  <c r="E139" i="31" s="1"/>
  <c r="F162" i="31" a="1"/>
  <c r="F162" i="31" s="1"/>
  <c r="F11" i="31" a="1"/>
  <c r="F11" i="31" s="1"/>
  <c r="D16" i="31" a="1"/>
  <c r="D16" i="31" s="1"/>
  <c r="C31" i="31" a="1"/>
  <c r="C31" i="31" s="1"/>
  <c r="C33" i="31" a="1"/>
  <c r="C33" i="31" s="1"/>
  <c r="E48" i="31" a="1"/>
  <c r="E48" i="31" s="1"/>
  <c r="E55" i="31" a="1"/>
  <c r="E55" i="31" s="1"/>
  <c r="B59" i="31" a="1"/>
  <c r="B59" i="31" s="1"/>
  <c r="B63" i="31" a="1"/>
  <c r="B63" i="31" s="1"/>
  <c r="C68" i="31" a="1"/>
  <c r="C68" i="31" s="1"/>
  <c r="B81" i="31" a="1"/>
  <c r="B81" i="31" s="1"/>
  <c r="B89" i="31" a="1"/>
  <c r="B89" i="31" s="1"/>
  <c r="C97" i="31" a="1"/>
  <c r="C97" i="31" s="1"/>
  <c r="C102" i="31" a="1"/>
  <c r="C102" i="31" s="1"/>
  <c r="F115" i="31" a="1"/>
  <c r="F115" i="31" s="1"/>
  <c r="C137" i="31" a="1"/>
  <c r="C137" i="31" s="1"/>
  <c r="E154" i="31" a="1"/>
  <c r="E154" i="31" s="1"/>
  <c r="B158" i="31" a="1"/>
  <c r="B158" i="31" s="1"/>
  <c r="D3" i="31" a="1"/>
  <c r="D3" i="31" s="1"/>
  <c r="D20" i="31" a="1"/>
  <c r="D20" i="31" s="1"/>
  <c r="B31" i="31" a="1"/>
  <c r="B31" i="31" s="1"/>
  <c r="C39" i="31" a="1"/>
  <c r="C39" i="31" s="1"/>
  <c r="D83" i="31" a="1"/>
  <c r="D83" i="31" s="1"/>
  <c r="D91" i="31" a="1"/>
  <c r="D91" i="31" s="1"/>
  <c r="E110" i="31" a="1"/>
  <c r="E110" i="31" s="1"/>
  <c r="C147" i="31" a="1"/>
  <c r="C147" i="31" s="1"/>
  <c r="F16" i="31" a="1"/>
  <c r="F16" i="31" s="1"/>
  <c r="D19" i="31" a="1"/>
  <c r="D19" i="31" s="1"/>
  <c r="D31" i="31" a="1"/>
  <c r="D31" i="31" s="1"/>
  <c r="F59" i="31" a="1"/>
  <c r="F59" i="31" s="1"/>
  <c r="E68" i="31" a="1"/>
  <c r="E68" i="31" s="1"/>
  <c r="F97" i="31" a="1"/>
  <c r="F97" i="31" s="1"/>
  <c r="B109" i="31" a="1"/>
  <c r="B109" i="31" s="1"/>
  <c r="C158" i="31" a="1"/>
  <c r="C158" i="31" s="1"/>
  <c r="F8" i="31" a="1"/>
  <c r="F8" i="31" s="1"/>
  <c r="F146" i="31" a="1"/>
  <c r="F146" i="31" s="1"/>
  <c r="F150" i="31" a="1"/>
  <c r="F150" i="31" s="1"/>
  <c r="B8" i="31" a="1"/>
  <c r="B8" i="31" s="1"/>
  <c r="D12" i="31" a="1"/>
  <c r="D12" i="31" s="1"/>
  <c r="F19" i="31" a="1"/>
  <c r="F19" i="31" s="1"/>
  <c r="C24" i="31" a="1"/>
  <c r="C24" i="31" s="1"/>
  <c r="E43" i="31" a="1"/>
  <c r="E43" i="31" s="1"/>
  <c r="B51" i="31" a="1"/>
  <c r="B51" i="31" s="1"/>
  <c r="C52" i="31" a="1"/>
  <c r="C52" i="31" s="1"/>
  <c r="E60" i="31" a="1"/>
  <c r="E60" i="31" s="1"/>
  <c r="C64" i="31" a="1"/>
  <c r="C64" i="31" s="1"/>
  <c r="E71" i="31" a="1"/>
  <c r="E71" i="31" s="1"/>
  <c r="C77" i="31" a="1"/>
  <c r="C77" i="31" s="1"/>
  <c r="B79" i="31" a="1"/>
  <c r="B79" i="31" s="1"/>
  <c r="F81" i="31" a="1"/>
  <c r="F81" i="31" s="1"/>
  <c r="C85" i="31" a="1"/>
  <c r="C85" i="31" s="1"/>
  <c r="B87" i="31" a="1"/>
  <c r="B87" i="31" s="1"/>
  <c r="F89" i="31" a="1"/>
  <c r="F89" i="31" s="1"/>
  <c r="C93" i="31" a="1"/>
  <c r="C93" i="31" s="1"/>
  <c r="B95" i="31" a="1"/>
  <c r="B95" i="31" s="1"/>
  <c r="B105" i="31" a="1"/>
  <c r="B105" i="31" s="1"/>
  <c r="E109" i="31" a="1"/>
  <c r="E109" i="31" s="1"/>
  <c r="B112" i="31" a="1"/>
  <c r="B112" i="31" s="1"/>
  <c r="D113" i="31" a="1"/>
  <c r="D113" i="31" s="1"/>
  <c r="C119" i="31" a="1"/>
  <c r="C119" i="31" s="1"/>
  <c r="B127" i="31" a="1"/>
  <c r="B127" i="31" s="1"/>
  <c r="C144" i="31" a="1"/>
  <c r="C144" i="31" s="1"/>
  <c r="B146" i="31" a="1"/>
  <c r="B146" i="31" s="1"/>
  <c r="B150" i="31" a="1"/>
  <c r="B150" i="31" s="1"/>
  <c r="B156" i="31" a="1"/>
  <c r="B156" i="31" s="1"/>
  <c r="C8" i="31" a="1"/>
  <c r="C8" i="31" s="1"/>
  <c r="D24" i="31" a="1"/>
  <c r="D24" i="31" s="1"/>
  <c r="E51" i="31" a="1"/>
  <c r="E51" i="31" s="1"/>
  <c r="E52" i="31" a="1"/>
  <c r="E52" i="31" s="1"/>
  <c r="E64" i="31" a="1"/>
  <c r="E64" i="31" s="1"/>
  <c r="F77" i="31" a="1"/>
  <c r="F77" i="31" s="1"/>
  <c r="F85" i="31" a="1"/>
  <c r="F85" i="31" s="1"/>
  <c r="F93" i="31" a="1"/>
  <c r="F93" i="31" s="1"/>
  <c r="F95" i="31" a="1"/>
  <c r="F95" i="31" s="1"/>
  <c r="F105" i="31" a="1"/>
  <c r="F105" i="31" s="1"/>
  <c r="E119" i="31" a="1"/>
  <c r="E119" i="31" s="1"/>
  <c r="E127" i="31" a="1"/>
  <c r="E127" i="31" s="1"/>
  <c r="C150" i="31" a="1"/>
  <c r="C150" i="31" s="1"/>
  <c r="C156" i="31" a="1"/>
  <c r="C156" i="31" s="1"/>
  <c r="D8" i="31" a="1"/>
  <c r="D8" i="31" s="1"/>
  <c r="C20" i="31" a="1"/>
  <c r="C20" i="31" s="1"/>
  <c r="F24" i="31" a="1"/>
  <c r="F24" i="31" s="1"/>
  <c r="E27" i="31" a="1"/>
  <c r="E27" i="31" s="1"/>
  <c r="F31" i="31" a="1"/>
  <c r="F31" i="31" s="1"/>
  <c r="F33" i="31" a="1"/>
  <c r="F33" i="31" s="1"/>
  <c r="D39" i="31" a="1"/>
  <c r="D39" i="31" s="1"/>
  <c r="C44" i="31" a="1"/>
  <c r="C44" i="31" s="1"/>
  <c r="C72" i="31" a="1"/>
  <c r="C72" i="31" s="1"/>
  <c r="D97" i="31" a="1"/>
  <c r="D97" i="31" s="1"/>
  <c r="B117" i="31" a="1"/>
  <c r="B117" i="31" s="1"/>
  <c r="D122" i="31" a="1"/>
  <c r="D122" i="31" s="1"/>
  <c r="E131" i="31" a="1"/>
  <c r="E131" i="31" s="1"/>
  <c r="B139" i="31" a="1"/>
  <c r="B139" i="31" s="1"/>
  <c r="E140" i="31" a="1"/>
  <c r="E140" i="31" s="1"/>
  <c r="E143" i="31" a="1"/>
  <c r="E143" i="31" s="1"/>
  <c r="D145" i="31" a="1"/>
  <c r="D145" i="31" s="1"/>
  <c r="E146" i="31" a="1"/>
  <c r="E146" i="31" s="1"/>
  <c r="E150" i="31" a="1"/>
  <c r="E150" i="31" s="1"/>
  <c r="B154" i="31" a="1"/>
  <c r="B154" i="31" s="1"/>
  <c r="C162" i="31" a="1"/>
  <c r="C162" i="31" s="1"/>
  <c r="B164" i="31" a="1"/>
  <c r="B164" i="31" s="1"/>
  <c r="D47" i="31" a="1"/>
  <c r="D47" i="31" s="1"/>
  <c r="F47" i="31" a="1"/>
  <c r="F47" i="31" s="1"/>
  <c r="C47" i="31" a="1"/>
  <c r="C47" i="31" s="1"/>
  <c r="E3" i="31" a="1"/>
  <c r="E3" i="31" s="1"/>
  <c r="C13" i="31" a="1"/>
  <c r="C13" i="31" s="1"/>
  <c r="C21" i="31" a="1"/>
  <c r="C21" i="31" s="1"/>
  <c r="C27" i="31" a="1"/>
  <c r="C27" i="31" s="1"/>
  <c r="F27" i="31" a="1"/>
  <c r="F27" i="31" s="1"/>
  <c r="B47" i="31" a="1"/>
  <c r="B47" i="31" s="1"/>
  <c r="F50" i="31" a="1"/>
  <c r="F50" i="31" s="1"/>
  <c r="D50" i="31" a="1"/>
  <c r="D50" i="31" s="1"/>
  <c r="D55" i="31" a="1"/>
  <c r="D55" i="31" s="1"/>
  <c r="F55" i="31" a="1"/>
  <c r="F55" i="31" s="1"/>
  <c r="C55" i="31" a="1"/>
  <c r="C55" i="31" s="1"/>
  <c r="F58" i="31" a="1"/>
  <c r="F58" i="31" s="1"/>
  <c r="D58" i="31" a="1"/>
  <c r="D58" i="31" s="1"/>
  <c r="D63" i="31" a="1"/>
  <c r="D63" i="31" s="1"/>
  <c r="F63" i="31" a="1"/>
  <c r="F63" i="31" s="1"/>
  <c r="C63" i="31" a="1"/>
  <c r="C63" i="31" s="1"/>
  <c r="F66" i="31" a="1"/>
  <c r="F66" i="31" s="1"/>
  <c r="D66" i="31" a="1"/>
  <c r="D66" i="31" s="1"/>
  <c r="D123" i="31" a="1"/>
  <c r="D123" i="31" s="1"/>
  <c r="C123" i="31" a="1"/>
  <c r="C123" i="31" s="1"/>
  <c r="F123" i="31" a="1"/>
  <c r="F123" i="31" s="1"/>
  <c r="B123" i="31" a="1"/>
  <c r="B123" i="31" s="1"/>
  <c r="E163" i="31" a="1"/>
  <c r="E163" i="31" s="1"/>
  <c r="C163" i="31" a="1"/>
  <c r="C163" i="31" s="1"/>
  <c r="F42" i="31" a="1"/>
  <c r="F42" i="31" s="1"/>
  <c r="D42" i="31" a="1"/>
  <c r="D42" i="31" s="1"/>
  <c r="E78" i="31" a="1"/>
  <c r="E78" i="31" s="1"/>
  <c r="C78" i="31" a="1"/>
  <c r="C78" i="31" s="1"/>
  <c r="F104" i="31" a="1"/>
  <c r="F104" i="31" s="1"/>
  <c r="B104" i="31" a="1"/>
  <c r="B104" i="31" s="1"/>
  <c r="C2" i="31" a="1"/>
  <c r="C2" i="31" s="1"/>
  <c r="B3" i="31" a="1"/>
  <c r="B3" i="31" s="1"/>
  <c r="F3" i="31" a="1"/>
  <c r="F3" i="31" s="1"/>
  <c r="C9" i="31" a="1"/>
  <c r="C9" i="31" s="1"/>
  <c r="E12" i="31" a="1"/>
  <c r="E12" i="31" s="1"/>
  <c r="E13" i="31" a="1"/>
  <c r="E13" i="31" s="1"/>
  <c r="C17" i="31" a="1"/>
  <c r="C17" i="31" s="1"/>
  <c r="E20" i="31" a="1"/>
  <c r="E20" i="31" s="1"/>
  <c r="E21" i="31" a="1"/>
  <c r="E21" i="31" s="1"/>
  <c r="C25" i="31" a="1"/>
  <c r="C25" i="31" s="1"/>
  <c r="D27" i="31" a="1"/>
  <c r="D27" i="31" s="1"/>
  <c r="D35" i="31" a="1"/>
  <c r="D35" i="31" s="1"/>
  <c r="F35" i="31" a="1"/>
  <c r="F35" i="31" s="1"/>
  <c r="C35" i="31" a="1"/>
  <c r="C35" i="31" s="1"/>
  <c r="D43" i="31" a="1"/>
  <c r="D43" i="31" s="1"/>
  <c r="C43" i="31" a="1"/>
  <c r="C43" i="31" s="1"/>
  <c r="C101" i="31" a="1"/>
  <c r="C101" i="31" s="1"/>
  <c r="F101" i="31" a="1"/>
  <c r="F101" i="31" s="1"/>
  <c r="E101" i="31" a="1"/>
  <c r="E101" i="31" s="1"/>
  <c r="B101" i="31" a="1"/>
  <c r="B101" i="31" s="1"/>
  <c r="F116" i="31" a="1"/>
  <c r="F116" i="31" s="1"/>
  <c r="D116" i="31" a="1"/>
  <c r="D116" i="31" s="1"/>
  <c r="E123" i="31" a="1"/>
  <c r="E123" i="31" s="1"/>
  <c r="E86" i="31" a="1"/>
  <c r="E86" i="31" s="1"/>
  <c r="C86" i="31" a="1"/>
  <c r="C86" i="31" s="1"/>
  <c r="E94" i="31" a="1"/>
  <c r="E94" i="31" s="1"/>
  <c r="C94" i="31" a="1"/>
  <c r="C94" i="31" s="1"/>
  <c r="D135" i="31" a="1"/>
  <c r="D135" i="31" s="1"/>
  <c r="C135" i="31" a="1"/>
  <c r="C135" i="31" s="1"/>
  <c r="F135" i="31" a="1"/>
  <c r="F135" i="31" s="1"/>
  <c r="B135" i="31" a="1"/>
  <c r="B135" i="31" s="1"/>
  <c r="E2" i="31" a="1"/>
  <c r="E2" i="31" s="1"/>
  <c r="E9" i="31" a="1"/>
  <c r="E9" i="31" s="1"/>
  <c r="B12" i="31" a="1"/>
  <c r="B12" i="31" s="1"/>
  <c r="B16" i="31" a="1"/>
  <c r="B16" i="31" s="1"/>
  <c r="E17" i="31" a="1"/>
  <c r="E17" i="31" s="1"/>
  <c r="B20" i="31" a="1"/>
  <c r="B20" i="31" s="1"/>
  <c r="B24" i="31" a="1"/>
  <c r="B24" i="31" s="1"/>
  <c r="F25" i="31" a="1"/>
  <c r="F25" i="31" s="1"/>
  <c r="B35" i="31" a="1"/>
  <c r="B35" i="31" s="1"/>
  <c r="B43" i="31" a="1"/>
  <c r="B43" i="31" s="1"/>
  <c r="E47" i="31" a="1"/>
  <c r="E47" i="31" s="1"/>
  <c r="D51" i="31" a="1"/>
  <c r="D51" i="31" s="1"/>
  <c r="C51" i="31" a="1"/>
  <c r="C51" i="31" s="1"/>
  <c r="D59" i="31" a="1"/>
  <c r="D59" i="31" s="1"/>
  <c r="C59" i="31" a="1"/>
  <c r="C59" i="31" s="1"/>
  <c r="E67" i="31" a="1"/>
  <c r="E67" i="31" s="1"/>
  <c r="D67" i="31" a="1"/>
  <c r="D67" i="31" s="1"/>
  <c r="C67" i="31" a="1"/>
  <c r="C67" i="31" s="1"/>
  <c r="F80" i="31" a="1"/>
  <c r="F80" i="31" s="1"/>
  <c r="B80" i="31" a="1"/>
  <c r="B80" i="31" s="1"/>
  <c r="F88" i="31" a="1"/>
  <c r="F88" i="31" s="1"/>
  <c r="B88" i="31" a="1"/>
  <c r="B88" i="31" s="1"/>
  <c r="F129" i="31" a="1"/>
  <c r="F129" i="31" s="1"/>
  <c r="D129" i="31" a="1"/>
  <c r="D129" i="31" s="1"/>
  <c r="C129" i="31" a="1"/>
  <c r="C129" i="31" s="1"/>
  <c r="B129" i="31" a="1"/>
  <c r="B129" i="31" s="1"/>
  <c r="D148" i="31" a="1"/>
  <c r="D148" i="31" s="1"/>
  <c r="E148" i="31" a="1"/>
  <c r="E148" i="31" s="1"/>
  <c r="C148" i="31" a="1"/>
  <c r="C148" i="31" s="1"/>
  <c r="F148" i="31" a="1"/>
  <c r="F148" i="31" s="1"/>
  <c r="B148" i="31" a="1"/>
  <c r="B148" i="31" s="1"/>
  <c r="E39" i="31" a="1"/>
  <c r="E39" i="31" s="1"/>
  <c r="C71" i="31" a="1"/>
  <c r="C71" i="31" s="1"/>
  <c r="F71" i="31" a="1"/>
  <c r="F71" i="31" s="1"/>
  <c r="E73" i="31" a="1"/>
  <c r="E73" i="31" s="1"/>
  <c r="D77" i="31" a="1"/>
  <c r="D77" i="31" s="1"/>
  <c r="C79" i="31" a="1"/>
  <c r="C79" i="31" s="1"/>
  <c r="C81" i="31" a="1"/>
  <c r="C81" i="31" s="1"/>
  <c r="D85" i="31" a="1"/>
  <c r="D85" i="31" s="1"/>
  <c r="C87" i="31" a="1"/>
  <c r="C87" i="31" s="1"/>
  <c r="C89" i="31" a="1"/>
  <c r="C89" i="31" s="1"/>
  <c r="D93" i="31" a="1"/>
  <c r="D93" i="31" s="1"/>
  <c r="C95" i="31" a="1"/>
  <c r="C95" i="31" s="1"/>
  <c r="C103" i="31" a="1"/>
  <c r="C103" i="31" s="1"/>
  <c r="C105" i="31" a="1"/>
  <c r="C105" i="31" s="1"/>
  <c r="F109" i="31" a="1"/>
  <c r="F109" i="31" s="1"/>
  <c r="F111" i="31" a="1"/>
  <c r="F111" i="31" s="1"/>
  <c r="E113" i="31" a="1"/>
  <c r="E113" i="31" s="1"/>
  <c r="F117" i="31" a="1"/>
  <c r="F117" i="31" s="1"/>
  <c r="F119" i="31" a="1"/>
  <c r="F119" i="31" s="1"/>
  <c r="C127" i="31" a="1"/>
  <c r="C127" i="31" s="1"/>
  <c r="F127" i="31" a="1"/>
  <c r="F127" i="31" s="1"/>
  <c r="E136" i="31" a="1"/>
  <c r="E136" i="31" s="1"/>
  <c r="F139" i="31" a="1"/>
  <c r="F139" i="31" s="1"/>
  <c r="F143" i="31" a="1"/>
  <c r="F143" i="31" s="1"/>
  <c r="E144" i="31" a="1"/>
  <c r="E144" i="31" s="1"/>
  <c r="C146" i="31" a="1"/>
  <c r="C146" i="31" s="1"/>
  <c r="F154" i="31" a="1"/>
  <c r="F154" i="31" s="1"/>
  <c r="E156" i="31" a="1"/>
  <c r="E156" i="31" s="1"/>
  <c r="D158" i="31" a="1"/>
  <c r="D158" i="31" s="1"/>
  <c r="D162" i="31" a="1"/>
  <c r="D162" i="31" s="1"/>
  <c r="C164" i="31" a="1"/>
  <c r="C164" i="31" s="1"/>
  <c r="B39" i="31" a="1"/>
  <c r="B39" i="31" s="1"/>
  <c r="B73" i="31" a="1"/>
  <c r="B73" i="31" s="1"/>
  <c r="B77" i="31" a="1"/>
  <c r="B77" i="31" s="1"/>
  <c r="E79" i="31" a="1"/>
  <c r="E79" i="31" s="1"/>
  <c r="D81" i="31" a="1"/>
  <c r="D81" i="31" s="1"/>
  <c r="B85" i="31" a="1"/>
  <c r="B85" i="31" s="1"/>
  <c r="E87" i="31" a="1"/>
  <c r="E87" i="31" s="1"/>
  <c r="D89" i="31" a="1"/>
  <c r="D89" i="31" s="1"/>
  <c r="B93" i="31" a="1"/>
  <c r="B93" i="31" s="1"/>
  <c r="E95" i="31" a="1"/>
  <c r="E95" i="31" s="1"/>
  <c r="B97" i="31" a="1"/>
  <c r="B97" i="31" s="1"/>
  <c r="E103" i="31" a="1"/>
  <c r="E103" i="31" s="1"/>
  <c r="D105" i="31" a="1"/>
  <c r="D105" i="31" s="1"/>
  <c r="C109" i="31" a="1"/>
  <c r="C109" i="31" s="1"/>
  <c r="B111" i="31" a="1"/>
  <c r="B111" i="31" s="1"/>
  <c r="B113" i="31" a="1"/>
  <c r="B113" i="31" s="1"/>
  <c r="C117" i="31" a="1"/>
  <c r="C117" i="31" s="1"/>
  <c r="B119" i="31" a="1"/>
  <c r="B119" i="31" s="1"/>
  <c r="C132" i="31" a="1"/>
  <c r="C132" i="31" s="1"/>
  <c r="C139" i="31" a="1"/>
  <c r="C139" i="31" s="1"/>
  <c r="C143" i="31" a="1"/>
  <c r="C143" i="31" s="1"/>
  <c r="C154" i="31" a="1"/>
  <c r="C154" i="31" s="1"/>
  <c r="F156" i="31" a="1"/>
  <c r="F156" i="31" s="1"/>
  <c r="B162" i="31" a="1"/>
  <c r="B162" i="31" s="1"/>
  <c r="E164" i="31" a="1"/>
  <c r="E164" i="31" s="1"/>
  <c r="F79" i="31" a="1"/>
  <c r="F79" i="31" s="1"/>
  <c r="F87" i="31" a="1"/>
  <c r="F87" i="31" s="1"/>
  <c r="F103" i="31" a="1"/>
  <c r="F103" i="31" s="1"/>
  <c r="F164" i="31" a="1"/>
  <c r="F164" i="31" s="1"/>
  <c r="F22" i="31" a="1"/>
  <c r="F22" i="31" s="1"/>
  <c r="D22" i="31" a="1"/>
  <c r="D22" i="31" s="1"/>
  <c r="B22" i="31" a="1"/>
  <c r="B22" i="31" s="1"/>
  <c r="E7" i="31" a="1"/>
  <c r="E7" i="31" s="1"/>
  <c r="C7" i="31" a="1"/>
  <c r="C7" i="31" s="1"/>
  <c r="E15" i="31" a="1"/>
  <c r="E15" i="31" s="1"/>
  <c r="C15" i="31" a="1"/>
  <c r="C15" i="31" s="1"/>
  <c r="C22" i="31" a="1"/>
  <c r="C22" i="31" s="1"/>
  <c r="E23" i="31" a="1"/>
  <c r="E23" i="31" s="1"/>
  <c r="C23" i="31" a="1"/>
  <c r="C23" i="31" s="1"/>
  <c r="E30" i="31" a="1"/>
  <c r="E30" i="31" s="1"/>
  <c r="C30" i="31" a="1"/>
  <c r="C30" i="31" s="1"/>
  <c r="F30" i="31" a="1"/>
  <c r="F30" i="31" s="1"/>
  <c r="B30" i="31" a="1"/>
  <c r="B30" i="31" s="1"/>
  <c r="C99" i="31" a="1"/>
  <c r="C99" i="31" s="1"/>
  <c r="E99" i="31" a="1"/>
  <c r="E99" i="31" s="1"/>
  <c r="B99" i="31" a="1"/>
  <c r="B99" i="31" s="1"/>
  <c r="F99" i="31" a="1"/>
  <c r="F99" i="31" s="1"/>
  <c r="D99" i="31" a="1"/>
  <c r="D99" i="31" s="1"/>
  <c r="E125" i="31" a="1"/>
  <c r="E125" i="31" s="1"/>
  <c r="B125" i="31" a="1"/>
  <c r="B125" i="31" s="1"/>
  <c r="D125" i="31" a="1"/>
  <c r="D125" i="31" s="1"/>
  <c r="F125" i="31" a="1"/>
  <c r="F125" i="31" s="1"/>
  <c r="C125" i="31" a="1"/>
  <c r="C125" i="31" s="1"/>
  <c r="F6" i="31" a="1"/>
  <c r="F6" i="31" s="1"/>
  <c r="D6" i="31" a="1"/>
  <c r="D6" i="31" s="1"/>
  <c r="B6" i="31" a="1"/>
  <c r="B6" i="31" s="1"/>
  <c r="F14" i="31" a="1"/>
  <c r="F14" i="31" s="1"/>
  <c r="D14" i="31" a="1"/>
  <c r="D14" i="31" s="1"/>
  <c r="B14" i="31" a="1"/>
  <c r="B14" i="31" s="1"/>
  <c r="F36" i="31" a="1"/>
  <c r="F36" i="31" s="1"/>
  <c r="D36" i="31" a="1"/>
  <c r="D36" i="31" s="1"/>
  <c r="B36" i="31" a="1"/>
  <c r="B36" i="31" s="1"/>
  <c r="C36" i="31" a="1"/>
  <c r="C36" i="31" s="1"/>
  <c r="E36" i="31" a="1"/>
  <c r="E36" i="31" s="1"/>
  <c r="E4" i="31" a="1"/>
  <c r="E4" i="31" s="1"/>
  <c r="C4" i="31" a="1"/>
  <c r="C4" i="31" s="1"/>
  <c r="F5" i="31" a="1"/>
  <c r="F5" i="31" s="1"/>
  <c r="D5" i="31" a="1"/>
  <c r="D5" i="31" s="1"/>
  <c r="B5" i="31" a="1"/>
  <c r="B5" i="31" s="1"/>
  <c r="B7" i="31" a="1"/>
  <c r="B7" i="31" s="1"/>
  <c r="F7" i="31" a="1"/>
  <c r="F7" i="31" s="1"/>
  <c r="F10" i="31" a="1"/>
  <c r="F10" i="31" s="1"/>
  <c r="D10" i="31" a="1"/>
  <c r="D10" i="31" s="1"/>
  <c r="B10" i="31" a="1"/>
  <c r="B10" i="31" s="1"/>
  <c r="B15" i="31" a="1"/>
  <c r="B15" i="31" s="1"/>
  <c r="F15" i="31" a="1"/>
  <c r="F15" i="31" s="1"/>
  <c r="F18" i="31" a="1"/>
  <c r="F18" i="31" s="1"/>
  <c r="D18" i="31" a="1"/>
  <c r="D18" i="31" s="1"/>
  <c r="B18" i="31" a="1"/>
  <c r="B18" i="31" s="1"/>
  <c r="B23" i="31" a="1"/>
  <c r="B23" i="31" s="1"/>
  <c r="F23" i="31" a="1"/>
  <c r="F23" i="31" s="1"/>
  <c r="F28" i="31" a="1"/>
  <c r="F28" i="31" s="1"/>
  <c r="D28" i="31" a="1"/>
  <c r="D28" i="31" s="1"/>
  <c r="B28" i="31" a="1"/>
  <c r="B28" i="31" s="1"/>
  <c r="C28" i="31" a="1"/>
  <c r="C28" i="31" s="1"/>
  <c r="F29" i="31" a="1"/>
  <c r="F29" i="31" s="1"/>
  <c r="C29" i="31" a="1"/>
  <c r="C29" i="31" s="1"/>
  <c r="E29" i="31" a="1"/>
  <c r="E29" i="31" s="1"/>
  <c r="D30" i="31" a="1"/>
  <c r="D30" i="31" s="1"/>
  <c r="F37" i="31" a="1"/>
  <c r="F37" i="31" s="1"/>
  <c r="C37" i="31" a="1"/>
  <c r="C37" i="31" s="1"/>
  <c r="E37" i="31" a="1"/>
  <c r="E37" i="31" s="1"/>
  <c r="B37" i="31" a="1"/>
  <c r="B37" i="31" s="1"/>
  <c r="F53" i="31" a="1"/>
  <c r="F53" i="31" s="1"/>
  <c r="D53" i="31" a="1"/>
  <c r="D53" i="31" s="1"/>
  <c r="B53" i="31" a="1"/>
  <c r="B53" i="31" s="1"/>
  <c r="E53" i="31" a="1"/>
  <c r="E53" i="31" s="1"/>
  <c r="C53" i="31" a="1"/>
  <c r="C53" i="31" s="1"/>
  <c r="F69" i="31" a="1"/>
  <c r="F69" i="31" s="1"/>
  <c r="D69" i="31" a="1"/>
  <c r="D69" i="31" s="1"/>
  <c r="B69" i="31" a="1"/>
  <c r="B69" i="31" s="1"/>
  <c r="E69" i="31" a="1"/>
  <c r="E69" i="31" s="1"/>
  <c r="C69" i="31" a="1"/>
  <c r="C69" i="31" s="1"/>
  <c r="E100" i="31" a="1"/>
  <c r="E100" i="31" s="1"/>
  <c r="C100" i="31" a="1"/>
  <c r="C100" i="31" s="1"/>
  <c r="B100" i="31" a="1"/>
  <c r="B100" i="31" s="1"/>
  <c r="F100" i="31" a="1"/>
  <c r="F100" i="31" s="1"/>
  <c r="D100" i="31" a="1"/>
  <c r="D100" i="31" s="1"/>
  <c r="E38" i="31" a="1"/>
  <c r="E38" i="31" s="1"/>
  <c r="C38" i="31" a="1"/>
  <c r="C38" i="31" s="1"/>
  <c r="F38" i="31" a="1"/>
  <c r="F38" i="31" s="1"/>
  <c r="B38" i="31" a="1"/>
  <c r="B38" i="31" s="1"/>
  <c r="F45" i="31" a="1"/>
  <c r="F45" i="31" s="1"/>
  <c r="D45" i="31" a="1"/>
  <c r="D45" i="31" s="1"/>
  <c r="B45" i="31" a="1"/>
  <c r="B45" i="31" s="1"/>
  <c r="E45" i="31" a="1"/>
  <c r="E45" i="31" s="1"/>
  <c r="C45" i="31" a="1"/>
  <c r="C45" i="31" s="1"/>
  <c r="F61" i="31" a="1"/>
  <c r="F61" i="31" s="1"/>
  <c r="D61" i="31" a="1"/>
  <c r="D61" i="31" s="1"/>
  <c r="B61" i="31" a="1"/>
  <c r="B61" i="31" s="1"/>
  <c r="E61" i="31" a="1"/>
  <c r="E61" i="31" s="1"/>
  <c r="C61" i="31" a="1"/>
  <c r="C61" i="31" s="1"/>
  <c r="F98" i="31" a="1"/>
  <c r="F98" i="31" s="1"/>
  <c r="D98" i="31" a="1"/>
  <c r="D98" i="31" s="1"/>
  <c r="B98" i="31" a="1"/>
  <c r="B98" i="31" s="1"/>
  <c r="C98" i="31" a="1"/>
  <c r="C98" i="31" s="1"/>
  <c r="E98" i="31" a="1"/>
  <c r="E98" i="31" s="1"/>
  <c r="B4" i="31" a="1"/>
  <c r="B4" i="31" s="1"/>
  <c r="F4" i="31" a="1"/>
  <c r="F4" i="31" s="1"/>
  <c r="C5" i="31" a="1"/>
  <c r="C5" i="31" s="1"/>
  <c r="E6" i="31" a="1"/>
  <c r="E6" i="31" s="1"/>
  <c r="C10" i="31" a="1"/>
  <c r="C10" i="31" s="1"/>
  <c r="E11" i="31" a="1"/>
  <c r="E11" i="31" s="1"/>
  <c r="C11" i="31" a="1"/>
  <c r="C11" i="31" s="1"/>
  <c r="E14" i="31" a="1"/>
  <c r="E14" i="31" s="1"/>
  <c r="C18" i="31" a="1"/>
  <c r="C18" i="31" s="1"/>
  <c r="E19" i="31" a="1"/>
  <c r="E19" i="31" s="1"/>
  <c r="C19" i="31" a="1"/>
  <c r="C19" i="31" s="1"/>
  <c r="E22" i="31" a="1"/>
  <c r="E22" i="31" s="1"/>
  <c r="B29" i="31" a="1"/>
  <c r="B29" i="31" s="1"/>
  <c r="D37" i="31" a="1"/>
  <c r="D37" i="31" s="1"/>
  <c r="E46" i="31" a="1"/>
  <c r="E46" i="31" s="1"/>
  <c r="C46" i="31" a="1"/>
  <c r="C46" i="31" s="1"/>
  <c r="E54" i="31" a="1"/>
  <c r="E54" i="31" s="1"/>
  <c r="C54" i="31" a="1"/>
  <c r="C54" i="31" s="1"/>
  <c r="E62" i="31" a="1"/>
  <c r="E62" i="31" s="1"/>
  <c r="C62" i="31" a="1"/>
  <c r="C62" i="31" s="1"/>
  <c r="E70" i="31" a="1"/>
  <c r="E70" i="31" s="1"/>
  <c r="C70" i="31" a="1"/>
  <c r="C70" i="31" s="1"/>
  <c r="F74" i="31" a="1"/>
  <c r="F74" i="31" s="1"/>
  <c r="D74" i="31" a="1"/>
  <c r="D74" i="31" s="1"/>
  <c r="B74" i="31" a="1"/>
  <c r="B74" i="31" s="1"/>
  <c r="C74" i="31" a="1"/>
  <c r="C74" i="31" s="1"/>
  <c r="E74" i="31" a="1"/>
  <c r="E74" i="31" s="1"/>
  <c r="C75" i="31" a="1"/>
  <c r="C75" i="31" s="1"/>
  <c r="E75" i="31" a="1"/>
  <c r="E75" i="31" s="1"/>
  <c r="B75" i="31" a="1"/>
  <c r="B75" i="31" s="1"/>
  <c r="E76" i="31" a="1"/>
  <c r="E76" i="31" s="1"/>
  <c r="C76" i="31" a="1"/>
  <c r="C76" i="31" s="1"/>
  <c r="B76" i="31" a="1"/>
  <c r="B76" i="31" s="1"/>
  <c r="F106" i="31" a="1"/>
  <c r="F106" i="31" s="1"/>
  <c r="D106" i="31" a="1"/>
  <c r="D106" i="31" s="1"/>
  <c r="B106" i="31" a="1"/>
  <c r="B106" i="31" s="1"/>
  <c r="C106" i="31" a="1"/>
  <c r="C106" i="31" s="1"/>
  <c r="E106" i="31" a="1"/>
  <c r="E106" i="31" s="1"/>
  <c r="C107" i="31" a="1"/>
  <c r="C107" i="31" s="1"/>
  <c r="E107" i="31" a="1"/>
  <c r="E107" i="31" s="1"/>
  <c r="B107" i="31" a="1"/>
  <c r="B107" i="31" s="1"/>
  <c r="E108" i="31" a="1"/>
  <c r="E108" i="31" s="1"/>
  <c r="C108" i="31" a="1"/>
  <c r="C108" i="31" s="1"/>
  <c r="B108" i="31" a="1"/>
  <c r="B108" i="31" s="1"/>
  <c r="F121" i="31" a="1"/>
  <c r="F121" i="31" s="1"/>
  <c r="C121" i="31" a="1"/>
  <c r="C121" i="31" s="1"/>
  <c r="B121" i="31" a="1"/>
  <c r="B121" i="31" s="1"/>
  <c r="E134" i="31" a="1"/>
  <c r="E134" i="31" s="1"/>
  <c r="C134" i="31" a="1"/>
  <c r="C134" i="31" s="1"/>
  <c r="F134" i="31" a="1"/>
  <c r="F134" i="31" s="1"/>
  <c r="B134" i="31" a="1"/>
  <c r="B134" i="31" s="1"/>
  <c r="D134" i="31" a="1"/>
  <c r="D134" i="31" s="1"/>
  <c r="F159" i="31" a="1"/>
  <c r="F159" i="31" s="1"/>
  <c r="D159" i="31" a="1"/>
  <c r="D159" i="31" s="1"/>
  <c r="B159" i="31" a="1"/>
  <c r="B159" i="31" s="1"/>
  <c r="C159" i="31" a="1"/>
  <c r="C159" i="31" s="1"/>
  <c r="E159" i="31" a="1"/>
  <c r="E159" i="31" s="1"/>
  <c r="D25" i="31" a="1"/>
  <c r="D25" i="31" s="1"/>
  <c r="E26" i="31" a="1"/>
  <c r="E26" i="31" s="1"/>
  <c r="C26" i="31" a="1"/>
  <c r="C26" i="31" s="1"/>
  <c r="D26" i="31" a="1"/>
  <c r="D26" i="31" s="1"/>
  <c r="F32" i="31" a="1"/>
  <c r="F32" i="31" s="1"/>
  <c r="D32" i="31" a="1"/>
  <c r="D32" i="31" s="1"/>
  <c r="B32" i="31" a="1"/>
  <c r="B32" i="31" s="1"/>
  <c r="D33" i="31" a="1"/>
  <c r="D33" i="31" s="1"/>
  <c r="E34" i="31" a="1"/>
  <c r="E34" i="31" s="1"/>
  <c r="C34" i="31" a="1"/>
  <c r="C34" i="31" s="1"/>
  <c r="D34" i="31" a="1"/>
  <c r="D34" i="31" s="1"/>
  <c r="F40" i="31" a="1"/>
  <c r="F40" i="31" s="1"/>
  <c r="D40" i="31" a="1"/>
  <c r="D40" i="31" s="1"/>
  <c r="B40" i="31" a="1"/>
  <c r="B40" i="31" s="1"/>
  <c r="F41" i="31" a="1"/>
  <c r="F41" i="31" s="1"/>
  <c r="D41" i="31" a="1"/>
  <c r="D41" i="31" s="1"/>
  <c r="B41" i="31" a="1"/>
  <c r="B41" i="31" s="1"/>
  <c r="B46" i="31" a="1"/>
  <c r="B46" i="31" s="1"/>
  <c r="F46" i="31" a="1"/>
  <c r="F46" i="31" s="1"/>
  <c r="F49" i="31" a="1"/>
  <c r="F49" i="31" s="1"/>
  <c r="D49" i="31" a="1"/>
  <c r="D49" i="31" s="1"/>
  <c r="B49" i="31" a="1"/>
  <c r="B49" i="31" s="1"/>
  <c r="B54" i="31" a="1"/>
  <c r="B54" i="31" s="1"/>
  <c r="F54" i="31" a="1"/>
  <c r="F54" i="31" s="1"/>
  <c r="F57" i="31" a="1"/>
  <c r="F57" i="31" s="1"/>
  <c r="D57" i="31" a="1"/>
  <c r="D57" i="31" s="1"/>
  <c r="B57" i="31" a="1"/>
  <c r="B57" i="31" s="1"/>
  <c r="B62" i="31" a="1"/>
  <c r="B62" i="31" s="1"/>
  <c r="F62" i="31" a="1"/>
  <c r="F62" i="31" s="1"/>
  <c r="F65" i="31" a="1"/>
  <c r="F65" i="31" s="1"/>
  <c r="D65" i="31" a="1"/>
  <c r="D65" i="31" s="1"/>
  <c r="B65" i="31" a="1"/>
  <c r="B65" i="31" s="1"/>
  <c r="B70" i="31" a="1"/>
  <c r="B70" i="31" s="1"/>
  <c r="F70" i="31" a="1"/>
  <c r="F70" i="31" s="1"/>
  <c r="F82" i="31" a="1"/>
  <c r="F82" i="31" s="1"/>
  <c r="D82" i="31" a="1"/>
  <c r="D82" i="31" s="1"/>
  <c r="B82" i="31" a="1"/>
  <c r="B82" i="31" s="1"/>
  <c r="C82" i="31" a="1"/>
  <c r="C82" i="31" s="1"/>
  <c r="E82" i="31" a="1"/>
  <c r="E82" i="31" s="1"/>
  <c r="C83" i="31" a="1"/>
  <c r="C83" i="31" s="1"/>
  <c r="E83" i="31" a="1"/>
  <c r="E83" i="31" s="1"/>
  <c r="B83" i="31" a="1"/>
  <c r="B83" i="31" s="1"/>
  <c r="E84" i="31" a="1"/>
  <c r="E84" i="31" s="1"/>
  <c r="C84" i="31" a="1"/>
  <c r="C84" i="31" s="1"/>
  <c r="B84" i="31" a="1"/>
  <c r="B84" i="31" s="1"/>
  <c r="F114" i="31" a="1"/>
  <c r="F114" i="31" s="1"/>
  <c r="D114" i="31" a="1"/>
  <c r="D114" i="31" s="1"/>
  <c r="B114" i="31" a="1"/>
  <c r="B114" i="31" s="1"/>
  <c r="C114" i="31" a="1"/>
  <c r="C114" i="31" s="1"/>
  <c r="E114" i="31" a="1"/>
  <c r="E114" i="31" s="1"/>
  <c r="C115" i="31" a="1"/>
  <c r="C115" i="31" s="1"/>
  <c r="E115" i="31" a="1"/>
  <c r="E115" i="31" s="1"/>
  <c r="B115" i="31" a="1"/>
  <c r="B115" i="31" s="1"/>
  <c r="E116" i="31" a="1"/>
  <c r="E116" i="31" s="1"/>
  <c r="C116" i="31" a="1"/>
  <c r="C116" i="31" s="1"/>
  <c r="B116" i="31" a="1"/>
  <c r="B116" i="31" s="1"/>
  <c r="D121" i="31" a="1"/>
  <c r="D121" i="31" s="1"/>
  <c r="F151" i="31" a="1"/>
  <c r="F151" i="31" s="1"/>
  <c r="D151" i="31" a="1"/>
  <c r="D151" i="31" s="1"/>
  <c r="B151" i="31" a="1"/>
  <c r="B151" i="31" s="1"/>
  <c r="C151" i="31" a="1"/>
  <c r="C151" i="31" s="1"/>
  <c r="E151" i="31" a="1"/>
  <c r="E151" i="31" s="1"/>
  <c r="C160" i="31" a="1"/>
  <c r="C160" i="31" s="1"/>
  <c r="E160" i="31" a="1"/>
  <c r="E160" i="31" s="1"/>
  <c r="B160" i="31" a="1"/>
  <c r="B160" i="31" s="1"/>
  <c r="D160" i="31" a="1"/>
  <c r="D160" i="31" s="1"/>
  <c r="F160" i="31" a="1"/>
  <c r="F160" i="31" s="1"/>
  <c r="F172" i="31"/>
  <c r="B2" i="31" a="1"/>
  <c r="B2" i="31" s="1"/>
  <c r="D2" i="31" a="1"/>
  <c r="D2" i="31" s="1"/>
  <c r="B9" i="31" a="1"/>
  <c r="B9" i="31" s="1"/>
  <c r="D9" i="31" a="1"/>
  <c r="D9" i="31" s="1"/>
  <c r="B13" i="31" a="1"/>
  <c r="B13" i="31" s="1"/>
  <c r="D13" i="31" a="1"/>
  <c r="D13" i="31" s="1"/>
  <c r="B17" i="31" a="1"/>
  <c r="B17" i="31" s="1"/>
  <c r="D17" i="31" a="1"/>
  <c r="D17" i="31" s="1"/>
  <c r="B21" i="31" a="1"/>
  <c r="B21" i="31" s="1"/>
  <c r="D21" i="31" a="1"/>
  <c r="D21" i="31" s="1"/>
  <c r="B25" i="31" a="1"/>
  <c r="B25" i="31" s="1"/>
  <c r="B26" i="31" a="1"/>
  <c r="B26" i="31" s="1"/>
  <c r="E32" i="31" a="1"/>
  <c r="E32" i="31" s="1"/>
  <c r="B33" i="31" a="1"/>
  <c r="B33" i="31" s="1"/>
  <c r="B34" i="31" a="1"/>
  <c r="B34" i="31" s="1"/>
  <c r="E40" i="31" a="1"/>
  <c r="E40" i="31" s="1"/>
  <c r="C41" i="31" a="1"/>
  <c r="C41" i="31" s="1"/>
  <c r="E42" i="31" a="1"/>
  <c r="E42" i="31" s="1"/>
  <c r="C42" i="31" a="1"/>
  <c r="C42" i="31" s="1"/>
  <c r="C49" i="31" a="1"/>
  <c r="C49" i="31" s="1"/>
  <c r="E50" i="31" a="1"/>
  <c r="E50" i="31" s="1"/>
  <c r="C50" i="31" a="1"/>
  <c r="C50" i="31" s="1"/>
  <c r="C57" i="31" a="1"/>
  <c r="C57" i="31" s="1"/>
  <c r="E58" i="31" a="1"/>
  <c r="E58" i="31" s="1"/>
  <c r="C58" i="31" a="1"/>
  <c r="C58" i="31" s="1"/>
  <c r="C65" i="31" a="1"/>
  <c r="C65" i="31" s="1"/>
  <c r="E66" i="31" a="1"/>
  <c r="E66" i="31" s="1"/>
  <c r="C66" i="31" a="1"/>
  <c r="C66" i="31" s="1"/>
  <c r="D75" i="31" a="1"/>
  <c r="D75" i="31" s="1"/>
  <c r="D76" i="31" a="1"/>
  <c r="D76" i="31" s="1"/>
  <c r="F90" i="31" a="1"/>
  <c r="F90" i="31" s="1"/>
  <c r="D90" i="31" a="1"/>
  <c r="D90" i="31" s="1"/>
  <c r="B90" i="31" a="1"/>
  <c r="B90" i="31" s="1"/>
  <c r="C90" i="31" a="1"/>
  <c r="C90" i="31" s="1"/>
  <c r="E90" i="31" a="1"/>
  <c r="E90" i="31" s="1"/>
  <c r="C91" i="31" a="1"/>
  <c r="C91" i="31" s="1"/>
  <c r="E91" i="31" a="1"/>
  <c r="E91" i="31" s="1"/>
  <c r="B91" i="31" a="1"/>
  <c r="B91" i="31" s="1"/>
  <c r="E92" i="31" a="1"/>
  <c r="E92" i="31" s="1"/>
  <c r="C92" i="31" a="1"/>
  <c r="C92" i="31" s="1"/>
  <c r="B92" i="31" a="1"/>
  <c r="B92" i="31" s="1"/>
  <c r="D107" i="31" a="1"/>
  <c r="D107" i="31" s="1"/>
  <c r="D108" i="31" a="1"/>
  <c r="D108" i="31" s="1"/>
  <c r="E121" i="31" a="1"/>
  <c r="E121" i="31" s="1"/>
  <c r="F128" i="31" a="1"/>
  <c r="F128" i="31" s="1"/>
  <c r="D128" i="31" a="1"/>
  <c r="D128" i="31" s="1"/>
  <c r="B128" i="31" a="1"/>
  <c r="B128" i="31" s="1"/>
  <c r="C128" i="31" a="1"/>
  <c r="C128" i="31" s="1"/>
  <c r="E130" i="31" a="1"/>
  <c r="E130" i="31" s="1"/>
  <c r="C130" i="31" a="1"/>
  <c r="C130" i="31" s="1"/>
  <c r="D130" i="31" a="1"/>
  <c r="D130" i="31" s="1"/>
  <c r="B130" i="31" a="1"/>
  <c r="B130" i="31" s="1"/>
  <c r="F133" i="31" a="1"/>
  <c r="F133" i="31" s="1"/>
  <c r="D133" i="31" a="1"/>
  <c r="D133" i="31" s="1"/>
  <c r="B133" i="31" a="1"/>
  <c r="B133" i="31" s="1"/>
  <c r="E133" i="31" a="1"/>
  <c r="E133" i="31" s="1"/>
  <c r="F72" i="31" a="1"/>
  <c r="F72" i="31" s="1"/>
  <c r="F124" i="31" a="1"/>
  <c r="F124" i="31" s="1"/>
  <c r="D124" i="31" a="1"/>
  <c r="D124" i="31" s="1"/>
  <c r="B124" i="31" a="1"/>
  <c r="B124" i="31" s="1"/>
  <c r="E124" i="31" a="1"/>
  <c r="E124" i="31" s="1"/>
  <c r="E126" i="31" a="1"/>
  <c r="E126" i="31" s="1"/>
  <c r="C126" i="31" a="1"/>
  <c r="C126" i="31" s="1"/>
  <c r="B126" i="31" a="1"/>
  <c r="B126" i="31" s="1"/>
  <c r="F141" i="31" a="1"/>
  <c r="F141" i="31" s="1"/>
  <c r="D141" i="31" a="1"/>
  <c r="D141" i="31" s="1"/>
  <c r="B141" i="31" a="1"/>
  <c r="B141" i="31" s="1"/>
  <c r="E142" i="31" a="1"/>
  <c r="E142" i="31" s="1"/>
  <c r="C142" i="31" a="1"/>
  <c r="C142" i="31" s="1"/>
  <c r="F142" i="31" a="1"/>
  <c r="F142" i="31" s="1"/>
  <c r="B142" i="31" a="1"/>
  <c r="B142" i="31" s="1"/>
  <c r="E153" i="31" a="1"/>
  <c r="E153" i="31" s="1"/>
  <c r="C153" i="31" a="1"/>
  <c r="C153" i="31" s="1"/>
  <c r="B153" i="31" a="1"/>
  <c r="B153" i="31" s="1"/>
  <c r="F153" i="31" a="1"/>
  <c r="F153" i="31" s="1"/>
  <c r="J170" i="31" a="1"/>
  <c r="J170" i="31" s="1"/>
  <c r="B44" i="31" a="1"/>
  <c r="B44" i="31" s="1"/>
  <c r="D44" i="31" a="1"/>
  <c r="D44" i="31" s="1"/>
  <c r="B48" i="31" a="1"/>
  <c r="B48" i="31" s="1"/>
  <c r="D48" i="31" a="1"/>
  <c r="D48" i="31" s="1"/>
  <c r="B52" i="31" a="1"/>
  <c r="B52" i="31" s="1"/>
  <c r="D52" i="31" a="1"/>
  <c r="D52" i="31" s="1"/>
  <c r="B56" i="31" a="1"/>
  <c r="B56" i="31" s="1"/>
  <c r="D56" i="31" a="1"/>
  <c r="D56" i="31" s="1"/>
  <c r="B60" i="31" a="1"/>
  <c r="B60" i="31" s="1"/>
  <c r="D60" i="31" a="1"/>
  <c r="D60" i="31" s="1"/>
  <c r="B64" i="31" a="1"/>
  <c r="B64" i="31" s="1"/>
  <c r="D64" i="31" a="1"/>
  <c r="D64" i="31" s="1"/>
  <c r="B68" i="31" a="1"/>
  <c r="B68" i="31" s="1"/>
  <c r="D68" i="31" a="1"/>
  <c r="D68" i="31" s="1"/>
  <c r="B72" i="31" a="1"/>
  <c r="B72" i="31" s="1"/>
  <c r="D72" i="31" a="1"/>
  <c r="D72" i="31" s="1"/>
  <c r="F78" i="31" a="1"/>
  <c r="F78" i="31" s="1"/>
  <c r="D78" i="31" a="1"/>
  <c r="D78" i="31" s="1"/>
  <c r="B78" i="31" a="1"/>
  <c r="B78" i="31" s="1"/>
  <c r="E80" i="31" a="1"/>
  <c r="E80" i="31" s="1"/>
  <c r="C80" i="31" a="1"/>
  <c r="C80" i="31" s="1"/>
  <c r="D80" i="31" a="1"/>
  <c r="D80" i="31" s="1"/>
  <c r="F86" i="31" a="1"/>
  <c r="F86" i="31" s="1"/>
  <c r="D86" i="31" a="1"/>
  <c r="D86" i="31" s="1"/>
  <c r="B86" i="31" a="1"/>
  <c r="B86" i="31" s="1"/>
  <c r="E88" i="31" a="1"/>
  <c r="E88" i="31" s="1"/>
  <c r="C88" i="31" a="1"/>
  <c r="C88" i="31" s="1"/>
  <c r="D88" i="31" a="1"/>
  <c r="D88" i="31" s="1"/>
  <c r="F94" i="31" a="1"/>
  <c r="F94" i="31" s="1"/>
  <c r="D94" i="31" a="1"/>
  <c r="D94" i="31" s="1"/>
  <c r="B94" i="31" a="1"/>
  <c r="B94" i="31" s="1"/>
  <c r="E96" i="31" a="1"/>
  <c r="E96" i="31" s="1"/>
  <c r="C96" i="31" a="1"/>
  <c r="C96" i="31" s="1"/>
  <c r="D96" i="31" a="1"/>
  <c r="D96" i="31" s="1"/>
  <c r="F102" i="31" a="1"/>
  <c r="F102" i="31" s="1"/>
  <c r="D102" i="31" a="1"/>
  <c r="D102" i="31" s="1"/>
  <c r="B102" i="31" a="1"/>
  <c r="B102" i="31" s="1"/>
  <c r="E104" i="31" a="1"/>
  <c r="E104" i="31" s="1"/>
  <c r="C104" i="31" a="1"/>
  <c r="C104" i="31" s="1"/>
  <c r="D104" i="31" a="1"/>
  <c r="D104" i="31" s="1"/>
  <c r="F110" i="31" a="1"/>
  <c r="F110" i="31" s="1"/>
  <c r="D110" i="31" a="1"/>
  <c r="D110" i="31" s="1"/>
  <c r="B110" i="31" a="1"/>
  <c r="B110" i="31" s="1"/>
  <c r="E112" i="31" a="1"/>
  <c r="E112" i="31" s="1"/>
  <c r="C112" i="31" a="1"/>
  <c r="C112" i="31" s="1"/>
  <c r="D112" i="31" a="1"/>
  <c r="D112" i="31" s="1"/>
  <c r="F118" i="31" a="1"/>
  <c r="F118" i="31" s="1"/>
  <c r="D118" i="31" a="1"/>
  <c r="D118" i="31" s="1"/>
  <c r="B118" i="31" a="1"/>
  <c r="B118" i="31" s="1"/>
  <c r="F120" i="31" a="1"/>
  <c r="F120" i="31" s="1"/>
  <c r="D120" i="31" a="1"/>
  <c r="D120" i="31" s="1"/>
  <c r="B120" i="31" a="1"/>
  <c r="B120" i="31" s="1"/>
  <c r="E120" i="31" a="1"/>
  <c r="E120" i="31" s="1"/>
  <c r="E122" i="31" a="1"/>
  <c r="E122" i="31" s="1"/>
  <c r="C122" i="31" a="1"/>
  <c r="C122" i="31" s="1"/>
  <c r="F122" i="31" a="1"/>
  <c r="F122" i="31" s="1"/>
  <c r="C124" i="31" a="1"/>
  <c r="C124" i="31" s="1"/>
  <c r="F126" i="31" a="1"/>
  <c r="F126" i="31" s="1"/>
  <c r="E129" i="31" a="1"/>
  <c r="E129" i="31" s="1"/>
  <c r="E138" i="31" a="1"/>
  <c r="E138" i="31" s="1"/>
  <c r="C138" i="31" a="1"/>
  <c r="C138" i="31" s="1"/>
  <c r="D138" i="31" a="1"/>
  <c r="D138" i="31" s="1"/>
  <c r="F138" i="31" a="1"/>
  <c r="F138" i="31" s="1"/>
  <c r="C141" i="31" a="1"/>
  <c r="C141" i="31" s="1"/>
  <c r="C152" i="31" a="1"/>
  <c r="C152" i="31" s="1"/>
  <c r="E152" i="31" a="1"/>
  <c r="E152" i="31" s="1"/>
  <c r="B152" i="31" a="1"/>
  <c r="B152" i="31" s="1"/>
  <c r="F152" i="31" a="1"/>
  <c r="F152" i="31" s="1"/>
  <c r="E161" i="31" a="1"/>
  <c r="E161" i="31" s="1"/>
  <c r="C161" i="31" a="1"/>
  <c r="C161" i="31" s="1"/>
  <c r="B161" i="31" a="1"/>
  <c r="B161" i="31" s="1"/>
  <c r="D161" i="31" a="1"/>
  <c r="D161" i="31" s="1"/>
  <c r="Q169" i="31"/>
  <c r="P169" i="31"/>
  <c r="U182" i="31"/>
  <c r="V182" i="31" s="1"/>
  <c r="U172" i="31"/>
  <c r="U171" i="31"/>
  <c r="U189" i="31"/>
  <c r="U180" i="31"/>
  <c r="U173" i="31"/>
  <c r="U181" i="31"/>
  <c r="V181" i="31" s="1"/>
  <c r="U190" i="31"/>
  <c r="V190" i="31" s="1"/>
  <c r="F137" i="31" a="1"/>
  <c r="F137" i="31" s="1"/>
  <c r="D137" i="31" a="1"/>
  <c r="D137" i="31" s="1"/>
  <c r="B137" i="31" a="1"/>
  <c r="B137" i="31" s="1"/>
  <c r="E145" i="31" a="1"/>
  <c r="E145" i="31" s="1"/>
  <c r="C145" i="31" a="1"/>
  <c r="C145" i="31" s="1"/>
  <c r="B145" i="31" a="1"/>
  <c r="B145" i="31" s="1"/>
  <c r="B132" i="31" a="1"/>
  <c r="B132" i="31" s="1"/>
  <c r="D132" i="31" a="1"/>
  <c r="D132" i="31" s="1"/>
  <c r="B136" i="31" a="1"/>
  <c r="B136" i="31" s="1"/>
  <c r="D136" i="31" a="1"/>
  <c r="D136" i="31" s="1"/>
  <c r="B140" i="31" a="1"/>
  <c r="B140" i="31" s="1"/>
  <c r="D140" i="31" a="1"/>
  <c r="D140" i="31" s="1"/>
  <c r="B144" i="31" a="1"/>
  <c r="B144" i="31" s="1"/>
  <c r="D144" i="31" a="1"/>
  <c r="D144" i="31" s="1"/>
  <c r="F147" i="31" a="1"/>
  <c r="F147" i="31" s="1"/>
  <c r="D147" i="31" a="1"/>
  <c r="D147" i="31" s="1"/>
  <c r="B147" i="31" a="1"/>
  <c r="B147" i="31" s="1"/>
  <c r="E149" i="31" a="1"/>
  <c r="E149" i="31" s="1"/>
  <c r="C149" i="31" a="1"/>
  <c r="C149" i="31" s="1"/>
  <c r="D149" i="31" a="1"/>
  <c r="D149" i="31" s="1"/>
  <c r="F155" i="31" a="1"/>
  <c r="F155" i="31" s="1"/>
  <c r="D155" i="31" a="1"/>
  <c r="D155" i="31" s="1"/>
  <c r="B155" i="31" a="1"/>
  <c r="B155" i="31" s="1"/>
  <c r="E157" i="31" a="1"/>
  <c r="E157" i="31" s="1"/>
  <c r="C157" i="31" a="1"/>
  <c r="C157" i="31" s="1"/>
  <c r="D157" i="31" a="1"/>
  <c r="D157" i="31" s="1"/>
  <c r="F163" i="31" a="1"/>
  <c r="F163" i="31" s="1"/>
  <c r="D163" i="31" a="1"/>
  <c r="D163" i="31" s="1"/>
  <c r="B163" i="31" a="1"/>
  <c r="B163" i="31" s="1"/>
  <c r="D66" i="30" a="1"/>
  <c r="D66" i="30" s="1"/>
  <c r="B12" i="30" a="1"/>
  <c r="B12" i="30" s="1"/>
  <c r="D95" i="30" a="1"/>
  <c r="D95" i="30" s="1"/>
  <c r="C150" i="30" a="1"/>
  <c r="C150" i="30" s="1"/>
  <c r="D38" i="30" a="1"/>
  <c r="D38" i="30" s="1"/>
  <c r="B125" i="30" a="1"/>
  <c r="B125" i="30" s="1"/>
  <c r="D52" i="30" a="1"/>
  <c r="D52" i="30" s="1"/>
  <c r="B117" i="30" a="1"/>
  <c r="B117" i="30" s="1"/>
  <c r="C36" i="30" a="1"/>
  <c r="C36" i="30" s="1"/>
  <c r="B40" i="30" a="1"/>
  <c r="B40" i="30" s="1"/>
  <c r="B42" i="30" a="1"/>
  <c r="B42" i="30" s="1"/>
  <c r="E62" i="30" a="1"/>
  <c r="E62" i="30" s="1"/>
  <c r="C76" i="30" a="1"/>
  <c r="C76" i="30" s="1"/>
  <c r="C101" i="30" a="1"/>
  <c r="C101" i="30" s="1"/>
  <c r="C111" i="30" a="1"/>
  <c r="C111" i="30" s="1"/>
  <c r="D113" i="30" a="1"/>
  <c r="D113" i="30" s="1"/>
  <c r="B115" i="30" a="1"/>
  <c r="B115" i="30" s="1"/>
  <c r="C125" i="30" a="1"/>
  <c r="C125" i="30" s="1"/>
  <c r="E40" i="30" a="1"/>
  <c r="E40" i="30" s="1"/>
  <c r="C42" i="30" a="1"/>
  <c r="C42" i="30" s="1"/>
  <c r="D76" i="30" a="1"/>
  <c r="D76" i="30" s="1"/>
  <c r="D101" i="30" a="1"/>
  <c r="D101" i="30" s="1"/>
  <c r="D111" i="30" a="1"/>
  <c r="D111" i="30" s="1"/>
  <c r="E115" i="30" a="1"/>
  <c r="E115" i="30" s="1"/>
  <c r="D125" i="30" a="1"/>
  <c r="D125" i="30" s="1"/>
  <c r="F42" i="30" a="1"/>
  <c r="F42" i="30" s="1"/>
  <c r="E25" i="30" a="1"/>
  <c r="E25" i="30" s="1"/>
  <c r="E64" i="30" a="1"/>
  <c r="E64" i="30" s="1"/>
  <c r="C117" i="30" a="1"/>
  <c r="C117" i="30" s="1"/>
  <c r="B135" i="30" a="1"/>
  <c r="B135" i="30" s="1"/>
  <c r="B137" i="30" a="1"/>
  <c r="B137" i="30" s="1"/>
  <c r="D143" i="30" a="1"/>
  <c r="D143" i="30" s="1"/>
  <c r="F133" i="30" a="1"/>
  <c r="F133" i="30" s="1"/>
  <c r="E135" i="30" a="1"/>
  <c r="E135" i="30" s="1"/>
  <c r="C137" i="30" a="1"/>
  <c r="C137" i="30" s="1"/>
  <c r="B150" i="30" a="1"/>
  <c r="B150" i="30" s="1"/>
  <c r="K169" i="30"/>
  <c r="J170" i="30" s="1" a="1"/>
  <c r="J170" i="30" s="1"/>
  <c r="K181" i="30" s="1"/>
  <c r="C12" i="30" a="1"/>
  <c r="C12" i="30" s="1"/>
  <c r="F34" i="30" a="1"/>
  <c r="F34" i="30" s="1"/>
  <c r="D36" i="30" a="1"/>
  <c r="D36" i="30" s="1"/>
  <c r="U169" i="30"/>
  <c r="B3" i="30" a="1"/>
  <c r="B3" i="30" s="1"/>
  <c r="D6" i="30" a="1"/>
  <c r="D6" i="30" s="1"/>
  <c r="B26" i="30" a="1"/>
  <c r="B26" i="30" s="1"/>
  <c r="D60" i="30" a="1"/>
  <c r="D60" i="30" s="1"/>
  <c r="D74" i="30" a="1"/>
  <c r="D74" i="30" s="1"/>
  <c r="C160" i="30" a="1"/>
  <c r="C160" i="30" s="1"/>
  <c r="D162" i="30" a="1"/>
  <c r="D162" i="30" s="1"/>
  <c r="E164" i="30" a="1"/>
  <c r="E164" i="30" s="1"/>
  <c r="C3" i="30" a="1"/>
  <c r="C3" i="30" s="1"/>
  <c r="C20" i="30" a="1"/>
  <c r="C20" i="30" s="1"/>
  <c r="B22" i="30" a="1"/>
  <c r="B22" i="30" s="1"/>
  <c r="C26" i="30" a="1"/>
  <c r="C26" i="30" s="1"/>
  <c r="B28" i="30" a="1"/>
  <c r="B28" i="30" s="1"/>
  <c r="B34" i="30" a="1"/>
  <c r="B34" i="30" s="1"/>
  <c r="B66" i="30" a="1"/>
  <c r="B66" i="30" s="1"/>
  <c r="D84" i="30" a="1"/>
  <c r="D84" i="30" s="1"/>
  <c r="C87" i="30" a="1"/>
  <c r="C87" i="30" s="1"/>
  <c r="C129" i="30" a="1"/>
  <c r="C129" i="30" s="1"/>
  <c r="D131" i="30" a="1"/>
  <c r="D131" i="30" s="1"/>
  <c r="B133" i="30" a="1"/>
  <c r="B133" i="30" s="1"/>
  <c r="D158" i="30" a="1"/>
  <c r="D158" i="30" s="1"/>
  <c r="D160" i="30" a="1"/>
  <c r="D160" i="30" s="1"/>
  <c r="F20" i="30" a="1"/>
  <c r="F20" i="30" s="1"/>
  <c r="C22" i="30" a="1"/>
  <c r="C22" i="30" s="1"/>
  <c r="F26" i="30" a="1"/>
  <c r="F26" i="30" s="1"/>
  <c r="C28" i="30" a="1"/>
  <c r="C28" i="30" s="1"/>
  <c r="C34" i="30" a="1"/>
  <c r="C34" i="30" s="1"/>
  <c r="C66" i="30" a="1"/>
  <c r="C66" i="30" s="1"/>
  <c r="D87" i="30" a="1"/>
  <c r="D87" i="30" s="1"/>
  <c r="D129" i="30" a="1"/>
  <c r="D129" i="30" s="1"/>
  <c r="F14" i="30" a="1"/>
  <c r="F14" i="30" s="1"/>
  <c r="F50" i="30" a="1"/>
  <c r="F50" i="30" s="1"/>
  <c r="F58" i="30" a="1"/>
  <c r="F58" i="30" s="1"/>
  <c r="F82" i="30" a="1"/>
  <c r="F82" i="30" s="1"/>
  <c r="F93" i="30" a="1"/>
  <c r="F93" i="30" s="1"/>
  <c r="F109" i="30" a="1"/>
  <c r="F109" i="30" s="1"/>
  <c r="F127" i="30" a="1"/>
  <c r="F127" i="30" s="1"/>
  <c r="F6" i="30" a="1"/>
  <c r="F6" i="30" s="1"/>
  <c r="B14" i="30" a="1"/>
  <c r="B14" i="30" s="1"/>
  <c r="C44" i="30" a="1"/>
  <c r="C44" i="30" s="1"/>
  <c r="B50" i="30" a="1"/>
  <c r="B50" i="30" s="1"/>
  <c r="B58" i="30" a="1"/>
  <c r="B58" i="30" s="1"/>
  <c r="C68" i="30" a="1"/>
  <c r="C68" i="30" s="1"/>
  <c r="D70" i="30" a="1"/>
  <c r="D70" i="30" s="1"/>
  <c r="B72" i="30" a="1"/>
  <c r="B72" i="30" s="1"/>
  <c r="F74" i="30" a="1"/>
  <c r="F74" i="30" s="1"/>
  <c r="B82" i="30" a="1"/>
  <c r="B82" i="30" s="1"/>
  <c r="B93" i="30" a="1"/>
  <c r="B93" i="30" s="1"/>
  <c r="C103" i="30" a="1"/>
  <c r="C103" i="30" s="1"/>
  <c r="D105" i="30" a="1"/>
  <c r="D105" i="30" s="1"/>
  <c r="B107" i="30" a="1"/>
  <c r="B107" i="30" s="1"/>
  <c r="B109" i="30" a="1"/>
  <c r="B109" i="30" s="1"/>
  <c r="B127" i="30" a="1"/>
  <c r="B127" i="30" s="1"/>
  <c r="F158" i="30" a="1"/>
  <c r="F158" i="30" s="1"/>
  <c r="D3" i="30" a="1"/>
  <c r="D3" i="30" s="1"/>
  <c r="B6" i="30" a="1"/>
  <c r="B6" i="30" s="1"/>
  <c r="F12" i="30" a="1"/>
  <c r="F12" i="30" s="1"/>
  <c r="C14" i="30" a="1"/>
  <c r="C14" i="30" s="1"/>
  <c r="D22" i="30" a="1"/>
  <c r="D22" i="30" s="1"/>
  <c r="F28" i="30" a="1"/>
  <c r="F28" i="30" s="1"/>
  <c r="D44" i="30" a="1"/>
  <c r="D44" i="30" s="1"/>
  <c r="C50" i="30" a="1"/>
  <c r="C50" i="30" s="1"/>
  <c r="C58" i="30" a="1"/>
  <c r="C58" i="30" s="1"/>
  <c r="F66" i="30" a="1"/>
  <c r="F66" i="30" s="1"/>
  <c r="D68" i="30" a="1"/>
  <c r="D68" i="30" s="1"/>
  <c r="E72" i="30" a="1"/>
  <c r="E72" i="30" s="1"/>
  <c r="B74" i="30" a="1"/>
  <c r="B74" i="30" s="1"/>
  <c r="C82" i="30" a="1"/>
  <c r="C82" i="30" s="1"/>
  <c r="C93" i="30" a="1"/>
  <c r="C93" i="30" s="1"/>
  <c r="F101" i="30" a="1"/>
  <c r="F101" i="30" s="1"/>
  <c r="D103" i="30" a="1"/>
  <c r="D103" i="30" s="1"/>
  <c r="E107" i="30" a="1"/>
  <c r="E107" i="30" s="1"/>
  <c r="C109" i="30" a="1"/>
  <c r="C109" i="30" s="1"/>
  <c r="D117" i="30" a="1"/>
  <c r="D117" i="30" s="1"/>
  <c r="C119" i="30" a="1"/>
  <c r="C119" i="30" s="1"/>
  <c r="F125" i="30" a="1"/>
  <c r="F125" i="30" s="1"/>
  <c r="C127" i="30" a="1"/>
  <c r="C127" i="30" s="1"/>
  <c r="D137" i="30" a="1"/>
  <c r="D137" i="30" s="1"/>
  <c r="C139" i="30" a="1"/>
  <c r="C139" i="30" s="1"/>
  <c r="D141" i="30" a="1"/>
  <c r="D141" i="30" s="1"/>
  <c r="D150" i="30" a="1"/>
  <c r="D150" i="30" s="1"/>
  <c r="C152" i="30" a="1"/>
  <c r="C152" i="30" s="1"/>
  <c r="D154" i="30" a="1"/>
  <c r="D154" i="30" s="1"/>
  <c r="B156" i="30" a="1"/>
  <c r="B156" i="30" s="1"/>
  <c r="B158" i="30" a="1"/>
  <c r="B158" i="30" s="1"/>
  <c r="F3" i="30" a="1"/>
  <c r="F3" i="30" s="1"/>
  <c r="C6" i="30" a="1"/>
  <c r="C6" i="30" s="1"/>
  <c r="D14" i="30" a="1"/>
  <c r="D14" i="30" s="1"/>
  <c r="B20" i="30" a="1"/>
  <c r="B20" i="30" s="1"/>
  <c r="F22" i="30" a="1"/>
  <c r="F22" i="30" s="1"/>
  <c r="D50" i="30" a="1"/>
  <c r="D50" i="30" s="1"/>
  <c r="C52" i="30" a="1"/>
  <c r="C52" i="30" s="1"/>
  <c r="D58" i="30" a="1"/>
  <c r="D58" i="30" s="1"/>
  <c r="C60" i="30" a="1"/>
  <c r="C60" i="30" s="1"/>
  <c r="B64" i="30" a="1"/>
  <c r="B64" i="30" s="1"/>
  <c r="C74" i="30" a="1"/>
  <c r="C74" i="30" s="1"/>
  <c r="D82" i="30" a="1"/>
  <c r="D82" i="30" s="1"/>
  <c r="C84" i="30" a="1"/>
  <c r="C84" i="30" s="1"/>
  <c r="D93" i="30" a="1"/>
  <c r="D93" i="30" s="1"/>
  <c r="C95" i="30" a="1"/>
  <c r="C95" i="30" s="1"/>
  <c r="B101" i="30" a="1"/>
  <c r="B101" i="30" s="1"/>
  <c r="D109" i="30" a="1"/>
  <c r="D109" i="30" s="1"/>
  <c r="F117" i="30" a="1"/>
  <c r="F117" i="30" s="1"/>
  <c r="D119" i="30" a="1"/>
  <c r="D119" i="30" s="1"/>
  <c r="D127" i="30" a="1"/>
  <c r="D127" i="30" s="1"/>
  <c r="F137" i="30" a="1"/>
  <c r="F137" i="30" s="1"/>
  <c r="D139" i="30" a="1"/>
  <c r="D139" i="30" s="1"/>
  <c r="F150" i="30" a="1"/>
  <c r="F150" i="30" s="1"/>
  <c r="D152" i="30" a="1"/>
  <c r="D152" i="30" s="1"/>
  <c r="E156" i="30" a="1"/>
  <c r="E156" i="30" s="1"/>
  <c r="C158" i="30" a="1"/>
  <c r="C158" i="30" s="1"/>
  <c r="E5" i="30" a="1"/>
  <c r="E5" i="30" s="1"/>
  <c r="D8" i="30" a="1"/>
  <c r="D8" i="30" s="1"/>
  <c r="E10" i="30" a="1"/>
  <c r="E10" i="30" s="1"/>
  <c r="D16" i="30" a="1"/>
  <c r="D16" i="30" s="1"/>
  <c r="E18" i="30" a="1"/>
  <c r="E18" i="30" s="1"/>
  <c r="D24" i="30" a="1"/>
  <c r="D24" i="30" s="1"/>
  <c r="C54" i="30" a="1"/>
  <c r="C54" i="30" s="1"/>
  <c r="F54" i="30" a="1"/>
  <c r="F54" i="30" s="1"/>
  <c r="B54" i="30" a="1"/>
  <c r="B54" i="30" s="1"/>
  <c r="D56" i="30" a="1"/>
  <c r="D56" i="30" s="1"/>
  <c r="C56" i="30" a="1"/>
  <c r="C56" i="30" s="1"/>
  <c r="C97" i="30" a="1"/>
  <c r="C97" i="30" s="1"/>
  <c r="F97" i="30" a="1"/>
  <c r="F97" i="30" s="1"/>
  <c r="B97" i="30" a="1"/>
  <c r="B97" i="30" s="1"/>
  <c r="D99" i="30" a="1"/>
  <c r="D99" i="30" s="1"/>
  <c r="C99" i="30" a="1"/>
  <c r="C99" i="30" s="1"/>
  <c r="C146" i="30" a="1"/>
  <c r="C146" i="30" s="1"/>
  <c r="F146" i="30" a="1"/>
  <c r="F146" i="30" s="1"/>
  <c r="B146" i="30" a="1"/>
  <c r="B146" i="30" s="1"/>
  <c r="D148" i="30" a="1"/>
  <c r="D148" i="30" s="1"/>
  <c r="C148" i="30" a="1"/>
  <c r="C148" i="30" s="1"/>
  <c r="B5" i="30" a="1"/>
  <c r="B5" i="30" s="1"/>
  <c r="F5" i="30" a="1"/>
  <c r="F5" i="30" s="1"/>
  <c r="E8" i="30" a="1"/>
  <c r="E8" i="30" s="1"/>
  <c r="B10" i="30" a="1"/>
  <c r="B10" i="30" s="1"/>
  <c r="F10" i="30" a="1"/>
  <c r="F10" i="30" s="1"/>
  <c r="E16" i="30" a="1"/>
  <c r="E16" i="30" s="1"/>
  <c r="B18" i="30" a="1"/>
  <c r="B18" i="30" s="1"/>
  <c r="F18" i="30" a="1"/>
  <c r="F18" i="30" s="1"/>
  <c r="E24" i="30" a="1"/>
  <c r="E24" i="30" s="1"/>
  <c r="B27" i="30" a="1"/>
  <c r="B27" i="30" s="1"/>
  <c r="D32" i="30" a="1"/>
  <c r="D32" i="30" s="1"/>
  <c r="C32" i="30" a="1"/>
  <c r="C32" i="30" s="1"/>
  <c r="C46" i="30" a="1"/>
  <c r="C46" i="30" s="1"/>
  <c r="F46" i="30" a="1"/>
  <c r="F46" i="30" s="1"/>
  <c r="B46" i="30" a="1"/>
  <c r="B46" i="30" s="1"/>
  <c r="D48" i="30" a="1"/>
  <c r="D48" i="30" s="1"/>
  <c r="C48" i="30" a="1"/>
  <c r="C48" i="30" s="1"/>
  <c r="C78" i="30" a="1"/>
  <c r="C78" i="30" s="1"/>
  <c r="F78" i="30" a="1"/>
  <c r="F78" i="30" s="1"/>
  <c r="B78" i="30" a="1"/>
  <c r="B78" i="30" s="1"/>
  <c r="D80" i="30" a="1"/>
  <c r="D80" i="30" s="1"/>
  <c r="C80" i="30" a="1"/>
  <c r="C80" i="30" s="1"/>
  <c r="C89" i="30" a="1"/>
  <c r="C89" i="30" s="1"/>
  <c r="F89" i="30" a="1"/>
  <c r="F89" i="30" s="1"/>
  <c r="B89" i="30" a="1"/>
  <c r="B89" i="30" s="1"/>
  <c r="D91" i="30" a="1"/>
  <c r="D91" i="30" s="1"/>
  <c r="C91" i="30" a="1"/>
  <c r="C91" i="30" s="1"/>
  <c r="D97" i="30" a="1"/>
  <c r="D97" i="30" s="1"/>
  <c r="B99" i="30" a="1"/>
  <c r="B99" i="30" s="1"/>
  <c r="C121" i="30" a="1"/>
  <c r="C121" i="30" s="1"/>
  <c r="F121" i="30" a="1"/>
  <c r="F121" i="30" s="1"/>
  <c r="B121" i="30" a="1"/>
  <c r="B121" i="30" s="1"/>
  <c r="D123" i="30" a="1"/>
  <c r="D123" i="30" s="1"/>
  <c r="C123" i="30" a="1"/>
  <c r="C123" i="30" s="1"/>
  <c r="D146" i="30" a="1"/>
  <c r="D146" i="30" s="1"/>
  <c r="B148" i="30" a="1"/>
  <c r="B148" i="30" s="1"/>
  <c r="C5" i="30" a="1"/>
  <c r="C5" i="30" s="1"/>
  <c r="B8" i="30" a="1"/>
  <c r="B8" i="30" s="1"/>
  <c r="F8" i="30" a="1"/>
  <c r="F8" i="30" s="1"/>
  <c r="C10" i="30" a="1"/>
  <c r="C10" i="30" s="1"/>
  <c r="D12" i="30" a="1"/>
  <c r="D12" i="30" s="1"/>
  <c r="B16" i="30" a="1"/>
  <c r="B16" i="30" s="1"/>
  <c r="F16" i="30" a="1"/>
  <c r="F16" i="30" s="1"/>
  <c r="C18" i="30" a="1"/>
  <c r="C18" i="30" s="1"/>
  <c r="D20" i="30" a="1"/>
  <c r="D20" i="30" s="1"/>
  <c r="B24" i="30" a="1"/>
  <c r="B24" i="30" s="1"/>
  <c r="E26" i="30" a="1"/>
  <c r="E26" i="30" s="1"/>
  <c r="F30" i="30" a="1"/>
  <c r="F30" i="30" s="1"/>
  <c r="E30" i="30" a="1"/>
  <c r="E30" i="30" s="1"/>
  <c r="B32" i="30" a="1"/>
  <c r="B32" i="30" s="1"/>
  <c r="D46" i="30" a="1"/>
  <c r="D46" i="30" s="1"/>
  <c r="B48" i="30" a="1"/>
  <c r="B48" i="30" s="1"/>
  <c r="E54" i="30" a="1"/>
  <c r="E54" i="30" s="1"/>
  <c r="E56" i="30" a="1"/>
  <c r="E56" i="30" s="1"/>
  <c r="C70" i="30" a="1"/>
  <c r="C70" i="30" s="1"/>
  <c r="F70" i="30" a="1"/>
  <c r="F70" i="30" s="1"/>
  <c r="B70" i="30" a="1"/>
  <c r="B70" i="30" s="1"/>
  <c r="D72" i="30" a="1"/>
  <c r="D72" i="30" s="1"/>
  <c r="C72" i="30" a="1"/>
  <c r="C72" i="30" s="1"/>
  <c r="D78" i="30" a="1"/>
  <c r="D78" i="30" s="1"/>
  <c r="B80" i="30" a="1"/>
  <c r="B80" i="30" s="1"/>
  <c r="D89" i="30" a="1"/>
  <c r="D89" i="30" s="1"/>
  <c r="B91" i="30" a="1"/>
  <c r="B91" i="30" s="1"/>
  <c r="E97" i="30" a="1"/>
  <c r="E97" i="30" s="1"/>
  <c r="E99" i="30" a="1"/>
  <c r="E99" i="30" s="1"/>
  <c r="C113" i="30" a="1"/>
  <c r="C113" i="30" s="1"/>
  <c r="F113" i="30" a="1"/>
  <c r="F113" i="30" s="1"/>
  <c r="B113" i="30" a="1"/>
  <c r="B113" i="30" s="1"/>
  <c r="D115" i="30" a="1"/>
  <c r="D115" i="30" s="1"/>
  <c r="C115" i="30" a="1"/>
  <c r="C115" i="30" s="1"/>
  <c r="D121" i="30" a="1"/>
  <c r="D121" i="30" s="1"/>
  <c r="B123" i="30" a="1"/>
  <c r="B123" i="30" s="1"/>
  <c r="C131" i="30" a="1"/>
  <c r="C131" i="30" s="1"/>
  <c r="F131" i="30" a="1"/>
  <c r="F131" i="30" s="1"/>
  <c r="B131" i="30" a="1"/>
  <c r="B131" i="30" s="1"/>
  <c r="D133" i="30" a="1"/>
  <c r="D133" i="30" s="1"/>
  <c r="C133" i="30" a="1"/>
  <c r="C133" i="30" s="1"/>
  <c r="C141" i="30" a="1"/>
  <c r="C141" i="30" s="1"/>
  <c r="F141" i="30" a="1"/>
  <c r="F141" i="30" s="1"/>
  <c r="B141" i="30" a="1"/>
  <c r="B141" i="30" s="1"/>
  <c r="E146" i="30" a="1"/>
  <c r="E146" i="30" s="1"/>
  <c r="E148" i="30" a="1"/>
  <c r="E148" i="30" s="1"/>
  <c r="C162" i="30" a="1"/>
  <c r="C162" i="30" s="1"/>
  <c r="F162" i="30" a="1"/>
  <c r="F162" i="30" s="1"/>
  <c r="B162" i="30" a="1"/>
  <c r="B162" i="30" s="1"/>
  <c r="D164" i="30" a="1"/>
  <c r="D164" i="30" s="1"/>
  <c r="C164" i="30" a="1"/>
  <c r="C164" i="30" s="1"/>
  <c r="C24" i="30" a="1"/>
  <c r="C24" i="30" s="1"/>
  <c r="E32" i="30" a="1"/>
  <c r="E32" i="30" s="1"/>
  <c r="C38" i="30" a="1"/>
  <c r="C38" i="30" s="1"/>
  <c r="F38" i="30" a="1"/>
  <c r="F38" i="30" s="1"/>
  <c r="B38" i="30" a="1"/>
  <c r="B38" i="30" s="1"/>
  <c r="D40" i="30" a="1"/>
  <c r="D40" i="30" s="1"/>
  <c r="C40" i="30" a="1"/>
  <c r="C40" i="30" s="1"/>
  <c r="E46" i="30" a="1"/>
  <c r="E46" i="30" s="1"/>
  <c r="E48" i="30" a="1"/>
  <c r="E48" i="30" s="1"/>
  <c r="F56" i="30" a="1"/>
  <c r="F56" i="30" s="1"/>
  <c r="C62" i="30" a="1"/>
  <c r="C62" i="30" s="1"/>
  <c r="F62" i="30" a="1"/>
  <c r="F62" i="30" s="1"/>
  <c r="B62" i="30" a="1"/>
  <c r="B62" i="30" s="1"/>
  <c r="D64" i="30" a="1"/>
  <c r="D64" i="30" s="1"/>
  <c r="C64" i="30" a="1"/>
  <c r="C64" i="30" s="1"/>
  <c r="E78" i="30" a="1"/>
  <c r="E78" i="30" s="1"/>
  <c r="E80" i="30" a="1"/>
  <c r="E80" i="30" s="1"/>
  <c r="E89" i="30" a="1"/>
  <c r="E89" i="30" s="1"/>
  <c r="E91" i="30" a="1"/>
  <c r="E91" i="30" s="1"/>
  <c r="F99" i="30" a="1"/>
  <c r="F99" i="30" s="1"/>
  <c r="C105" i="30" a="1"/>
  <c r="C105" i="30" s="1"/>
  <c r="F105" i="30" a="1"/>
  <c r="F105" i="30" s="1"/>
  <c r="B105" i="30" a="1"/>
  <c r="B105" i="30" s="1"/>
  <c r="D107" i="30" a="1"/>
  <c r="D107" i="30" s="1"/>
  <c r="C107" i="30" a="1"/>
  <c r="C107" i="30" s="1"/>
  <c r="E121" i="30" a="1"/>
  <c r="E121" i="30" s="1"/>
  <c r="E123" i="30" a="1"/>
  <c r="E123" i="30" s="1"/>
  <c r="D135" i="30" a="1"/>
  <c r="D135" i="30" s="1"/>
  <c r="C135" i="30" a="1"/>
  <c r="C135" i="30" s="1"/>
  <c r="C143" i="30" a="1"/>
  <c r="C143" i="30" s="1"/>
  <c r="F143" i="30" a="1"/>
  <c r="F143" i="30" s="1"/>
  <c r="B143" i="30" a="1"/>
  <c r="B143" i="30" s="1"/>
  <c r="F148" i="30" a="1"/>
  <c r="F148" i="30" s="1"/>
  <c r="C154" i="30" a="1"/>
  <c r="C154" i="30" s="1"/>
  <c r="F154" i="30" a="1"/>
  <c r="F154" i="30" s="1"/>
  <c r="B154" i="30" a="1"/>
  <c r="B154" i="30" s="1"/>
  <c r="D156" i="30" a="1"/>
  <c r="D156" i="30" s="1"/>
  <c r="C156" i="30" a="1"/>
  <c r="C156" i="30" s="1"/>
  <c r="B164" i="30" a="1"/>
  <c r="B164" i="30" s="1"/>
  <c r="D28" i="30" a="1"/>
  <c r="D28" i="30" s="1"/>
  <c r="D34" i="30" a="1"/>
  <c r="D34" i="30" s="1"/>
  <c r="E36" i="30" a="1"/>
  <c r="E36" i="30" s="1"/>
  <c r="D42" i="30" a="1"/>
  <c r="D42" i="30" s="1"/>
  <c r="E44" i="30" a="1"/>
  <c r="E44" i="30" s="1"/>
  <c r="E52" i="30" a="1"/>
  <c r="E52" i="30" s="1"/>
  <c r="E60" i="30" a="1"/>
  <c r="E60" i="30" s="1"/>
  <c r="E68" i="30" a="1"/>
  <c r="E68" i="30" s="1"/>
  <c r="E76" i="30" a="1"/>
  <c r="E76" i="30" s="1"/>
  <c r="E84" i="30" a="1"/>
  <c r="E84" i="30" s="1"/>
  <c r="E87" i="30" a="1"/>
  <c r="E87" i="30" s="1"/>
  <c r="E95" i="30" a="1"/>
  <c r="E95" i="30" s="1"/>
  <c r="E103" i="30" a="1"/>
  <c r="E103" i="30" s="1"/>
  <c r="E111" i="30" a="1"/>
  <c r="E111" i="30" s="1"/>
  <c r="E119" i="30" a="1"/>
  <c r="E119" i="30" s="1"/>
  <c r="E129" i="30" a="1"/>
  <c r="E129" i="30" s="1"/>
  <c r="E139" i="30" a="1"/>
  <c r="E139" i="30" s="1"/>
  <c r="E152" i="30" a="1"/>
  <c r="E152" i="30" s="1"/>
  <c r="E160" i="30" a="1"/>
  <c r="E160" i="30" s="1"/>
  <c r="B36" i="30" a="1"/>
  <c r="B36" i="30" s="1"/>
  <c r="B44" i="30" a="1"/>
  <c r="B44" i="30" s="1"/>
  <c r="B52" i="30" a="1"/>
  <c r="B52" i="30" s="1"/>
  <c r="B60" i="30" a="1"/>
  <c r="B60" i="30" s="1"/>
  <c r="B68" i="30" a="1"/>
  <c r="B68" i="30" s="1"/>
  <c r="B76" i="30" a="1"/>
  <c r="B76" i="30" s="1"/>
  <c r="B84" i="30" a="1"/>
  <c r="B84" i="30" s="1"/>
  <c r="B87" i="30" a="1"/>
  <c r="B87" i="30" s="1"/>
  <c r="B95" i="30" a="1"/>
  <c r="B95" i="30" s="1"/>
  <c r="B103" i="30" a="1"/>
  <c r="B103" i="30" s="1"/>
  <c r="B111" i="30" a="1"/>
  <c r="B111" i="30" s="1"/>
  <c r="B119" i="30" a="1"/>
  <c r="B119" i="30" s="1"/>
  <c r="B129" i="30" a="1"/>
  <c r="B129" i="30" s="1"/>
  <c r="B139" i="30" a="1"/>
  <c r="B139" i="30" s="1"/>
  <c r="B152" i="30" a="1"/>
  <c r="B152" i="30" s="1"/>
  <c r="B160" i="30" a="1"/>
  <c r="B160" i="30" s="1"/>
  <c r="P5" i="30"/>
  <c r="F31" i="30" a="1"/>
  <c r="F31" i="30" s="1"/>
  <c r="D31" i="30" a="1"/>
  <c r="D31" i="30" s="1"/>
  <c r="B31" i="30" a="1"/>
  <c r="B31" i="30" s="1"/>
  <c r="E31" i="30" a="1"/>
  <c r="E31" i="30" s="1"/>
  <c r="C31" i="30" a="1"/>
  <c r="C31" i="30" s="1"/>
  <c r="F35" i="30" a="1"/>
  <c r="F35" i="30" s="1"/>
  <c r="D35" i="30" a="1"/>
  <c r="D35" i="30" s="1"/>
  <c r="B35" i="30" a="1"/>
  <c r="B35" i="30" s="1"/>
  <c r="E35" i="30" a="1"/>
  <c r="E35" i="30" s="1"/>
  <c r="C35" i="30" a="1"/>
  <c r="C35" i="30" s="1"/>
  <c r="F39" i="30" a="1"/>
  <c r="F39" i="30" s="1"/>
  <c r="D39" i="30" a="1"/>
  <c r="D39" i="30" s="1"/>
  <c r="B39" i="30" a="1"/>
  <c r="B39" i="30" s="1"/>
  <c r="E39" i="30" a="1"/>
  <c r="E39" i="30" s="1"/>
  <c r="C39" i="30" a="1"/>
  <c r="C39" i="30" s="1"/>
  <c r="E45" i="30" a="1"/>
  <c r="E45" i="30" s="1"/>
  <c r="C45" i="30" a="1"/>
  <c r="C45" i="30" s="1"/>
  <c r="F45" i="30" a="1"/>
  <c r="F45" i="30" s="1"/>
  <c r="D45" i="30" a="1"/>
  <c r="D45" i="30" s="1"/>
  <c r="B45" i="30" a="1"/>
  <c r="B45" i="30" s="1"/>
  <c r="B2" i="30" a="1"/>
  <c r="B2" i="30" s="1"/>
  <c r="D2" i="30" a="1"/>
  <c r="D2" i="30" s="1"/>
  <c r="F2" i="30" a="1"/>
  <c r="F2" i="30" s="1"/>
  <c r="C4" i="30" a="1"/>
  <c r="C4" i="30" s="1"/>
  <c r="E4" i="30" a="1"/>
  <c r="E4" i="30" s="1"/>
  <c r="C7" i="30" a="1"/>
  <c r="C7" i="30" s="1"/>
  <c r="E7" i="30" a="1"/>
  <c r="E7" i="30" s="1"/>
  <c r="B9" i="30" a="1"/>
  <c r="B9" i="30" s="1"/>
  <c r="D9" i="30" a="1"/>
  <c r="D9" i="30" s="1"/>
  <c r="F9" i="30" a="1"/>
  <c r="F9" i="30" s="1"/>
  <c r="C11" i="30" a="1"/>
  <c r="C11" i="30" s="1"/>
  <c r="E11" i="30" a="1"/>
  <c r="E11" i="30" s="1"/>
  <c r="B13" i="30" a="1"/>
  <c r="B13" i="30" s="1"/>
  <c r="D13" i="30" a="1"/>
  <c r="D13" i="30" s="1"/>
  <c r="F13" i="30" a="1"/>
  <c r="F13" i="30" s="1"/>
  <c r="C15" i="30" a="1"/>
  <c r="C15" i="30" s="1"/>
  <c r="E15" i="30" a="1"/>
  <c r="E15" i="30" s="1"/>
  <c r="B17" i="30" a="1"/>
  <c r="B17" i="30" s="1"/>
  <c r="D17" i="30" a="1"/>
  <c r="D17" i="30" s="1"/>
  <c r="F17" i="30" a="1"/>
  <c r="F17" i="30" s="1"/>
  <c r="C19" i="30" a="1"/>
  <c r="C19" i="30" s="1"/>
  <c r="E19" i="30" a="1"/>
  <c r="E19" i="30" s="1"/>
  <c r="B21" i="30" a="1"/>
  <c r="B21" i="30" s="1"/>
  <c r="D21" i="30" a="1"/>
  <c r="D21" i="30" s="1"/>
  <c r="F21" i="30" a="1"/>
  <c r="F21" i="30" s="1"/>
  <c r="C23" i="30" a="1"/>
  <c r="C23" i="30" s="1"/>
  <c r="E23" i="30" a="1"/>
  <c r="E23" i="30" s="1"/>
  <c r="F29" i="30" a="1"/>
  <c r="F29" i="30" s="1"/>
  <c r="D29" i="30" a="1"/>
  <c r="D29" i="30" s="1"/>
  <c r="B29" i="30" a="1"/>
  <c r="B29" i="30" s="1"/>
  <c r="D30" i="30" a="1"/>
  <c r="D30" i="30" s="1"/>
  <c r="F47" i="30" a="1"/>
  <c r="F47" i="30" s="1"/>
  <c r="D47" i="30" a="1"/>
  <c r="D47" i="30" s="1"/>
  <c r="B47" i="30" a="1"/>
  <c r="B47" i="30" s="1"/>
  <c r="E47" i="30" a="1"/>
  <c r="E47" i="30" s="1"/>
  <c r="C47" i="30" a="1"/>
  <c r="C47" i="30" s="1"/>
  <c r="E33" i="30" a="1"/>
  <c r="E33" i="30" s="1"/>
  <c r="C33" i="30" a="1"/>
  <c r="C33" i="30" s="1"/>
  <c r="F33" i="30" a="1"/>
  <c r="F33" i="30" s="1"/>
  <c r="D33" i="30" a="1"/>
  <c r="D33" i="30" s="1"/>
  <c r="B33" i="30" a="1"/>
  <c r="B33" i="30" s="1"/>
  <c r="E37" i="30" a="1"/>
  <c r="E37" i="30" s="1"/>
  <c r="C37" i="30" a="1"/>
  <c r="C37" i="30" s="1"/>
  <c r="F37" i="30" a="1"/>
  <c r="F37" i="30" s="1"/>
  <c r="D37" i="30" a="1"/>
  <c r="D37" i="30" s="1"/>
  <c r="B37" i="30" a="1"/>
  <c r="B37" i="30" s="1"/>
  <c r="E41" i="30" a="1"/>
  <c r="E41" i="30" s="1"/>
  <c r="C41" i="30" a="1"/>
  <c r="C41" i="30" s="1"/>
  <c r="F41" i="30" a="1"/>
  <c r="F41" i="30" s="1"/>
  <c r="D41" i="30" a="1"/>
  <c r="D41" i="30" s="1"/>
  <c r="B41" i="30" a="1"/>
  <c r="B41" i="30" s="1"/>
  <c r="E49" i="30" a="1"/>
  <c r="E49" i="30" s="1"/>
  <c r="C49" i="30" a="1"/>
  <c r="C49" i="30" s="1"/>
  <c r="F49" i="30" a="1"/>
  <c r="F49" i="30" s="1"/>
  <c r="D49" i="30" a="1"/>
  <c r="D49" i="30" s="1"/>
  <c r="B49" i="30" a="1"/>
  <c r="B49" i="30" s="1"/>
  <c r="C2" i="30" a="1"/>
  <c r="C2" i="30" s="1"/>
  <c r="B4" i="30" a="1"/>
  <c r="B4" i="30" s="1"/>
  <c r="D4" i="30" a="1"/>
  <c r="D4" i="30" s="1"/>
  <c r="B7" i="30" a="1"/>
  <c r="B7" i="30" s="1"/>
  <c r="D7" i="30" a="1"/>
  <c r="D7" i="30" s="1"/>
  <c r="C9" i="30" a="1"/>
  <c r="C9" i="30" s="1"/>
  <c r="B11" i="30" a="1"/>
  <c r="B11" i="30" s="1"/>
  <c r="D11" i="30" a="1"/>
  <c r="D11" i="30" s="1"/>
  <c r="C13" i="30" a="1"/>
  <c r="C13" i="30" s="1"/>
  <c r="B15" i="30" a="1"/>
  <c r="B15" i="30" s="1"/>
  <c r="D15" i="30" a="1"/>
  <c r="D15" i="30" s="1"/>
  <c r="C17" i="30" a="1"/>
  <c r="C17" i="30" s="1"/>
  <c r="B19" i="30" a="1"/>
  <c r="B19" i="30" s="1"/>
  <c r="D19" i="30" a="1"/>
  <c r="D19" i="30" s="1"/>
  <c r="C21" i="30" a="1"/>
  <c r="C21" i="30" s="1"/>
  <c r="B23" i="30" a="1"/>
  <c r="B23" i="30" s="1"/>
  <c r="D23" i="30" a="1"/>
  <c r="D23" i="30" s="1"/>
  <c r="F25" i="30" a="1"/>
  <c r="F25" i="30" s="1"/>
  <c r="D25" i="30" a="1"/>
  <c r="D25" i="30" s="1"/>
  <c r="B25" i="30" a="1"/>
  <c r="B25" i="30" s="1"/>
  <c r="E27" i="30" a="1"/>
  <c r="E27" i="30" s="1"/>
  <c r="C27" i="30" a="1"/>
  <c r="C27" i="30" s="1"/>
  <c r="D27" i="30" a="1"/>
  <c r="D27" i="30" s="1"/>
  <c r="C29" i="30" a="1"/>
  <c r="C29" i="30" s="1"/>
  <c r="C30" i="30" a="1"/>
  <c r="C30" i="30" s="1"/>
  <c r="F43" i="30" a="1"/>
  <c r="F43" i="30" s="1"/>
  <c r="D43" i="30" a="1"/>
  <c r="D43" i="30" s="1"/>
  <c r="B43" i="30" a="1"/>
  <c r="B43" i="30" s="1"/>
  <c r="E43" i="30" a="1"/>
  <c r="E43" i="30" s="1"/>
  <c r="C43" i="30" a="1"/>
  <c r="C43" i="30" s="1"/>
  <c r="F51" i="30" a="1"/>
  <c r="F51" i="30" s="1"/>
  <c r="D51" i="30" a="1"/>
  <c r="D51" i="30" s="1"/>
  <c r="B51" i="30" a="1"/>
  <c r="B51" i="30" s="1"/>
  <c r="E51" i="30" a="1"/>
  <c r="E51" i="30" s="1"/>
  <c r="C51" i="30" a="1"/>
  <c r="C51" i="30" s="1"/>
  <c r="E132" i="30" a="1"/>
  <c r="E132" i="30" s="1"/>
  <c r="C132" i="30" a="1"/>
  <c r="C132" i="30" s="1"/>
  <c r="F132" i="30" a="1"/>
  <c r="F132" i="30" s="1"/>
  <c r="D132" i="30" a="1"/>
  <c r="D132" i="30" s="1"/>
  <c r="B132" i="30" a="1"/>
  <c r="B132" i="30" s="1"/>
  <c r="E53" i="30" a="1"/>
  <c r="E53" i="30" s="1"/>
  <c r="C53" i="30" a="1"/>
  <c r="C53" i="30" s="1"/>
  <c r="F53" i="30" a="1"/>
  <c r="F53" i="30" s="1"/>
  <c r="D53" i="30" a="1"/>
  <c r="D53" i="30" s="1"/>
  <c r="B53" i="30" a="1"/>
  <c r="B53" i="30" s="1"/>
  <c r="F55" i="30" a="1"/>
  <c r="F55" i="30" s="1"/>
  <c r="D55" i="30" a="1"/>
  <c r="D55" i="30" s="1"/>
  <c r="B55" i="30" a="1"/>
  <c r="B55" i="30" s="1"/>
  <c r="E55" i="30" a="1"/>
  <c r="E55" i="30" s="1"/>
  <c r="C55" i="30" a="1"/>
  <c r="C55" i="30" s="1"/>
  <c r="E57" i="30" a="1"/>
  <c r="E57" i="30" s="1"/>
  <c r="C57" i="30" a="1"/>
  <c r="C57" i="30" s="1"/>
  <c r="F57" i="30" a="1"/>
  <c r="F57" i="30" s="1"/>
  <c r="D57" i="30" a="1"/>
  <c r="D57" i="30" s="1"/>
  <c r="B57" i="30" a="1"/>
  <c r="B57" i="30" s="1"/>
  <c r="F59" i="30" a="1"/>
  <c r="F59" i="30" s="1"/>
  <c r="D59" i="30" a="1"/>
  <c r="D59" i="30" s="1"/>
  <c r="B59" i="30" a="1"/>
  <c r="B59" i="30" s="1"/>
  <c r="E59" i="30" a="1"/>
  <c r="E59" i="30" s="1"/>
  <c r="C59" i="30" a="1"/>
  <c r="C59" i="30" s="1"/>
  <c r="E61" i="30" a="1"/>
  <c r="E61" i="30" s="1"/>
  <c r="C61" i="30" a="1"/>
  <c r="C61" i="30" s="1"/>
  <c r="F61" i="30" a="1"/>
  <c r="F61" i="30" s="1"/>
  <c r="D61" i="30" a="1"/>
  <c r="D61" i="30" s="1"/>
  <c r="B61" i="30" a="1"/>
  <c r="B61" i="30" s="1"/>
  <c r="F63" i="30" a="1"/>
  <c r="F63" i="30" s="1"/>
  <c r="D63" i="30" a="1"/>
  <c r="D63" i="30" s="1"/>
  <c r="B63" i="30" a="1"/>
  <c r="B63" i="30" s="1"/>
  <c r="E63" i="30" a="1"/>
  <c r="E63" i="30" s="1"/>
  <c r="C63" i="30" a="1"/>
  <c r="C63" i="30" s="1"/>
  <c r="E65" i="30" a="1"/>
  <c r="E65" i="30" s="1"/>
  <c r="C65" i="30" a="1"/>
  <c r="C65" i="30" s="1"/>
  <c r="F65" i="30" a="1"/>
  <c r="F65" i="30" s="1"/>
  <c r="D65" i="30" a="1"/>
  <c r="D65" i="30" s="1"/>
  <c r="B65" i="30" a="1"/>
  <c r="B65" i="30" s="1"/>
  <c r="F67" i="30" a="1"/>
  <c r="F67" i="30" s="1"/>
  <c r="D67" i="30" a="1"/>
  <c r="D67" i="30" s="1"/>
  <c r="B67" i="30" a="1"/>
  <c r="B67" i="30" s="1"/>
  <c r="E67" i="30" a="1"/>
  <c r="E67" i="30" s="1"/>
  <c r="C67" i="30" a="1"/>
  <c r="C67" i="30" s="1"/>
  <c r="E69" i="30" a="1"/>
  <c r="E69" i="30" s="1"/>
  <c r="C69" i="30" a="1"/>
  <c r="C69" i="30" s="1"/>
  <c r="F69" i="30" a="1"/>
  <c r="F69" i="30" s="1"/>
  <c r="D69" i="30" a="1"/>
  <c r="D69" i="30" s="1"/>
  <c r="B69" i="30" a="1"/>
  <c r="B69" i="30" s="1"/>
  <c r="F71" i="30" a="1"/>
  <c r="F71" i="30" s="1"/>
  <c r="D71" i="30" a="1"/>
  <c r="D71" i="30" s="1"/>
  <c r="B71" i="30" a="1"/>
  <c r="B71" i="30" s="1"/>
  <c r="E71" i="30" a="1"/>
  <c r="E71" i="30" s="1"/>
  <c r="C71" i="30" a="1"/>
  <c r="C71" i="30" s="1"/>
  <c r="E73" i="30" a="1"/>
  <c r="E73" i="30" s="1"/>
  <c r="C73" i="30" a="1"/>
  <c r="C73" i="30" s="1"/>
  <c r="F73" i="30" a="1"/>
  <c r="F73" i="30" s="1"/>
  <c r="D73" i="30" a="1"/>
  <c r="D73" i="30" s="1"/>
  <c r="B73" i="30" a="1"/>
  <c r="B73" i="30" s="1"/>
  <c r="F75" i="30" a="1"/>
  <c r="F75" i="30" s="1"/>
  <c r="D75" i="30" a="1"/>
  <c r="D75" i="30" s="1"/>
  <c r="B75" i="30" a="1"/>
  <c r="B75" i="30" s="1"/>
  <c r="E75" i="30" a="1"/>
  <c r="E75" i="30" s="1"/>
  <c r="C75" i="30" a="1"/>
  <c r="C75" i="30" s="1"/>
  <c r="E77" i="30" a="1"/>
  <c r="E77" i="30" s="1"/>
  <c r="C77" i="30" a="1"/>
  <c r="C77" i="30" s="1"/>
  <c r="F77" i="30" a="1"/>
  <c r="F77" i="30" s="1"/>
  <c r="D77" i="30" a="1"/>
  <c r="D77" i="30" s="1"/>
  <c r="B77" i="30" a="1"/>
  <c r="B77" i="30" s="1"/>
  <c r="F79" i="30" a="1"/>
  <c r="F79" i="30" s="1"/>
  <c r="D79" i="30" a="1"/>
  <c r="D79" i="30" s="1"/>
  <c r="B79" i="30" a="1"/>
  <c r="B79" i="30" s="1"/>
  <c r="E79" i="30" a="1"/>
  <c r="E79" i="30" s="1"/>
  <c r="C79" i="30" a="1"/>
  <c r="C79" i="30" s="1"/>
  <c r="E81" i="30" a="1"/>
  <c r="E81" i="30" s="1"/>
  <c r="C81" i="30" a="1"/>
  <c r="C81" i="30" s="1"/>
  <c r="F81" i="30" a="1"/>
  <c r="F81" i="30" s="1"/>
  <c r="D81" i="30" a="1"/>
  <c r="D81" i="30" s="1"/>
  <c r="B81" i="30" a="1"/>
  <c r="B81" i="30" s="1"/>
  <c r="F83" i="30" a="1"/>
  <c r="F83" i="30" s="1"/>
  <c r="D83" i="30" a="1"/>
  <c r="D83" i="30" s="1"/>
  <c r="B83" i="30" a="1"/>
  <c r="B83" i="30" s="1"/>
  <c r="E83" i="30" a="1"/>
  <c r="E83" i="30" s="1"/>
  <c r="C83" i="30" a="1"/>
  <c r="C83" i="30" s="1"/>
  <c r="E85" i="30" a="1"/>
  <c r="E85" i="30" s="1"/>
  <c r="C85" i="30" a="1"/>
  <c r="C85" i="30" s="1"/>
  <c r="F85" i="30" a="1"/>
  <c r="F85" i="30" s="1"/>
  <c r="D85" i="30" a="1"/>
  <c r="D85" i="30" s="1"/>
  <c r="B85" i="30" a="1"/>
  <c r="B85" i="30" s="1"/>
  <c r="E140" i="30" a="1"/>
  <c r="E140" i="30" s="1"/>
  <c r="C140" i="30" a="1"/>
  <c r="C140" i="30" s="1"/>
  <c r="F140" i="30" a="1"/>
  <c r="F140" i="30" s="1"/>
  <c r="D140" i="30" a="1"/>
  <c r="D140" i="30" s="1"/>
  <c r="B140" i="30" a="1"/>
  <c r="B140" i="30" s="1"/>
  <c r="F86" i="30" a="1"/>
  <c r="F86" i="30" s="1"/>
  <c r="D86" i="30" a="1"/>
  <c r="D86" i="30" s="1"/>
  <c r="E86" i="30" a="1"/>
  <c r="E86" i="30" s="1"/>
  <c r="C86" i="30" a="1"/>
  <c r="C86" i="30" s="1"/>
  <c r="B86" i="30" a="1"/>
  <c r="B86" i="30" s="1"/>
  <c r="E124" i="30" a="1"/>
  <c r="E124" i="30" s="1"/>
  <c r="C124" i="30" a="1"/>
  <c r="C124" i="30" s="1"/>
  <c r="F124" i="30" a="1"/>
  <c r="F124" i="30" s="1"/>
  <c r="D124" i="30" a="1"/>
  <c r="D124" i="30" s="1"/>
  <c r="B124" i="30" a="1"/>
  <c r="B124" i="30" s="1"/>
  <c r="E128" i="30" a="1"/>
  <c r="E128" i="30" s="1"/>
  <c r="C128" i="30" a="1"/>
  <c r="C128" i="30" s="1"/>
  <c r="F128" i="30" a="1"/>
  <c r="F128" i="30" s="1"/>
  <c r="D128" i="30" a="1"/>
  <c r="D128" i="30" s="1"/>
  <c r="B128" i="30" a="1"/>
  <c r="B128" i="30" s="1"/>
  <c r="E144" i="30" a="1"/>
  <c r="E144" i="30" s="1"/>
  <c r="C144" i="30" a="1"/>
  <c r="C144" i="30" s="1"/>
  <c r="F144" i="30" a="1"/>
  <c r="F144" i="30" s="1"/>
  <c r="D144" i="30" a="1"/>
  <c r="D144" i="30" s="1"/>
  <c r="B144" i="30" a="1"/>
  <c r="B144" i="30" s="1"/>
  <c r="E88" i="30" a="1"/>
  <c r="E88" i="30" s="1"/>
  <c r="C88" i="30" a="1"/>
  <c r="C88" i="30" s="1"/>
  <c r="F88" i="30" a="1"/>
  <c r="F88" i="30" s="1"/>
  <c r="D88" i="30" a="1"/>
  <c r="D88" i="30" s="1"/>
  <c r="B88" i="30" a="1"/>
  <c r="B88" i="30" s="1"/>
  <c r="F90" i="30" a="1"/>
  <c r="F90" i="30" s="1"/>
  <c r="D90" i="30" a="1"/>
  <c r="D90" i="30" s="1"/>
  <c r="B90" i="30" a="1"/>
  <c r="B90" i="30" s="1"/>
  <c r="E90" i="30" a="1"/>
  <c r="E90" i="30" s="1"/>
  <c r="C90" i="30" a="1"/>
  <c r="C90" i="30" s="1"/>
  <c r="E92" i="30" a="1"/>
  <c r="E92" i="30" s="1"/>
  <c r="C92" i="30" a="1"/>
  <c r="C92" i="30" s="1"/>
  <c r="F92" i="30" a="1"/>
  <c r="F92" i="30" s="1"/>
  <c r="D92" i="30" a="1"/>
  <c r="D92" i="30" s="1"/>
  <c r="B92" i="30" a="1"/>
  <c r="B92" i="30" s="1"/>
  <c r="F94" i="30" a="1"/>
  <c r="F94" i="30" s="1"/>
  <c r="D94" i="30" a="1"/>
  <c r="D94" i="30" s="1"/>
  <c r="B94" i="30" a="1"/>
  <c r="B94" i="30" s="1"/>
  <c r="E94" i="30" a="1"/>
  <c r="E94" i="30" s="1"/>
  <c r="C94" i="30" a="1"/>
  <c r="C94" i="30" s="1"/>
  <c r="E96" i="30" a="1"/>
  <c r="E96" i="30" s="1"/>
  <c r="C96" i="30" a="1"/>
  <c r="C96" i="30" s="1"/>
  <c r="F96" i="30" a="1"/>
  <c r="F96" i="30" s="1"/>
  <c r="D96" i="30" a="1"/>
  <c r="D96" i="30" s="1"/>
  <c r="B96" i="30" a="1"/>
  <c r="B96" i="30" s="1"/>
  <c r="F98" i="30" a="1"/>
  <c r="F98" i="30" s="1"/>
  <c r="D98" i="30" a="1"/>
  <c r="D98" i="30" s="1"/>
  <c r="B98" i="30" a="1"/>
  <c r="B98" i="30" s="1"/>
  <c r="E98" i="30" a="1"/>
  <c r="E98" i="30" s="1"/>
  <c r="C98" i="30" a="1"/>
  <c r="C98" i="30" s="1"/>
  <c r="E100" i="30" a="1"/>
  <c r="E100" i="30" s="1"/>
  <c r="C100" i="30" a="1"/>
  <c r="C100" i="30" s="1"/>
  <c r="F100" i="30" a="1"/>
  <c r="F100" i="30" s="1"/>
  <c r="D100" i="30" a="1"/>
  <c r="D100" i="30" s="1"/>
  <c r="B100" i="30" a="1"/>
  <c r="B100" i="30" s="1"/>
  <c r="F102" i="30" a="1"/>
  <c r="F102" i="30" s="1"/>
  <c r="D102" i="30" a="1"/>
  <c r="D102" i="30" s="1"/>
  <c r="B102" i="30" a="1"/>
  <c r="B102" i="30" s="1"/>
  <c r="E102" i="30" a="1"/>
  <c r="E102" i="30" s="1"/>
  <c r="C102" i="30" a="1"/>
  <c r="C102" i="30" s="1"/>
  <c r="E104" i="30" a="1"/>
  <c r="E104" i="30" s="1"/>
  <c r="C104" i="30" a="1"/>
  <c r="C104" i="30" s="1"/>
  <c r="F104" i="30" a="1"/>
  <c r="F104" i="30" s="1"/>
  <c r="D104" i="30" a="1"/>
  <c r="D104" i="30" s="1"/>
  <c r="B104" i="30" a="1"/>
  <c r="B104" i="30" s="1"/>
  <c r="F106" i="30" a="1"/>
  <c r="F106" i="30" s="1"/>
  <c r="D106" i="30" a="1"/>
  <c r="D106" i="30" s="1"/>
  <c r="B106" i="30" a="1"/>
  <c r="B106" i="30" s="1"/>
  <c r="E106" i="30" a="1"/>
  <c r="E106" i="30" s="1"/>
  <c r="C106" i="30" a="1"/>
  <c r="C106" i="30" s="1"/>
  <c r="E108" i="30" a="1"/>
  <c r="E108" i="30" s="1"/>
  <c r="C108" i="30" a="1"/>
  <c r="C108" i="30" s="1"/>
  <c r="F108" i="30" a="1"/>
  <c r="F108" i="30" s="1"/>
  <c r="D108" i="30" a="1"/>
  <c r="D108" i="30" s="1"/>
  <c r="B108" i="30" a="1"/>
  <c r="B108" i="30" s="1"/>
  <c r="F110" i="30" a="1"/>
  <c r="F110" i="30" s="1"/>
  <c r="D110" i="30" a="1"/>
  <c r="D110" i="30" s="1"/>
  <c r="B110" i="30" a="1"/>
  <c r="B110" i="30" s="1"/>
  <c r="E110" i="30" a="1"/>
  <c r="E110" i="30" s="1"/>
  <c r="C110" i="30" a="1"/>
  <c r="C110" i="30" s="1"/>
  <c r="E112" i="30" a="1"/>
  <c r="E112" i="30" s="1"/>
  <c r="C112" i="30" a="1"/>
  <c r="C112" i="30" s="1"/>
  <c r="F112" i="30" a="1"/>
  <c r="F112" i="30" s="1"/>
  <c r="D112" i="30" a="1"/>
  <c r="D112" i="30" s="1"/>
  <c r="B112" i="30" a="1"/>
  <c r="B112" i="30" s="1"/>
  <c r="F114" i="30" a="1"/>
  <c r="F114" i="30" s="1"/>
  <c r="D114" i="30" a="1"/>
  <c r="D114" i="30" s="1"/>
  <c r="B114" i="30" a="1"/>
  <c r="B114" i="30" s="1"/>
  <c r="E114" i="30" a="1"/>
  <c r="E114" i="30" s="1"/>
  <c r="C114" i="30" a="1"/>
  <c r="C114" i="30" s="1"/>
  <c r="E116" i="30" a="1"/>
  <c r="E116" i="30" s="1"/>
  <c r="C116" i="30" a="1"/>
  <c r="C116" i="30" s="1"/>
  <c r="F116" i="30" a="1"/>
  <c r="F116" i="30" s="1"/>
  <c r="D116" i="30" a="1"/>
  <c r="D116" i="30" s="1"/>
  <c r="B116" i="30" a="1"/>
  <c r="B116" i="30" s="1"/>
  <c r="F118" i="30" a="1"/>
  <c r="F118" i="30" s="1"/>
  <c r="D118" i="30" a="1"/>
  <c r="D118" i="30" s="1"/>
  <c r="B118" i="30" a="1"/>
  <c r="B118" i="30" s="1"/>
  <c r="E118" i="30" a="1"/>
  <c r="E118" i="30" s="1"/>
  <c r="C118" i="30" a="1"/>
  <c r="C118" i="30" s="1"/>
  <c r="E120" i="30" a="1"/>
  <c r="E120" i="30" s="1"/>
  <c r="C120" i="30" a="1"/>
  <c r="C120" i="30" s="1"/>
  <c r="F120" i="30" a="1"/>
  <c r="F120" i="30" s="1"/>
  <c r="D120" i="30" a="1"/>
  <c r="D120" i="30" s="1"/>
  <c r="B120" i="30" a="1"/>
  <c r="B120" i="30" s="1"/>
  <c r="F122" i="30" a="1"/>
  <c r="F122" i="30" s="1"/>
  <c r="D122" i="30" a="1"/>
  <c r="D122" i="30" s="1"/>
  <c r="B122" i="30" a="1"/>
  <c r="B122" i="30" s="1"/>
  <c r="E122" i="30" a="1"/>
  <c r="E122" i="30" s="1"/>
  <c r="C122" i="30" a="1"/>
  <c r="C122" i="30" s="1"/>
  <c r="E136" i="30" a="1"/>
  <c r="E136" i="30" s="1"/>
  <c r="C136" i="30" a="1"/>
  <c r="C136" i="30" s="1"/>
  <c r="F136" i="30" a="1"/>
  <c r="F136" i="30" s="1"/>
  <c r="D136" i="30" a="1"/>
  <c r="D136" i="30" s="1"/>
  <c r="B136" i="30" a="1"/>
  <c r="B136" i="30" s="1"/>
  <c r="C126" i="30" a="1"/>
  <c r="C126" i="30" s="1"/>
  <c r="E126" i="30" a="1"/>
  <c r="E126" i="30" s="1"/>
  <c r="C130" i="30" a="1"/>
  <c r="C130" i="30" s="1"/>
  <c r="E130" i="30" a="1"/>
  <c r="E130" i="30" s="1"/>
  <c r="C134" i="30" a="1"/>
  <c r="C134" i="30" s="1"/>
  <c r="E134" i="30" a="1"/>
  <c r="E134" i="30" s="1"/>
  <c r="C138" i="30" a="1"/>
  <c r="C138" i="30" s="1"/>
  <c r="E138" i="30" a="1"/>
  <c r="E138" i="30" s="1"/>
  <c r="C142" i="30" a="1"/>
  <c r="C142" i="30" s="1"/>
  <c r="E142" i="30" a="1"/>
  <c r="E142" i="30" s="1"/>
  <c r="P169" i="30"/>
  <c r="O170" i="30" s="1" a="1"/>
  <c r="O170" i="30" s="1"/>
  <c r="T170" i="30" a="1"/>
  <c r="T170" i="30" s="1"/>
  <c r="B126" i="30" a="1"/>
  <c r="B126" i="30" s="1"/>
  <c r="D126" i="30" a="1"/>
  <c r="D126" i="30" s="1"/>
  <c r="B130" i="30" a="1"/>
  <c r="B130" i="30" s="1"/>
  <c r="D130" i="30" a="1"/>
  <c r="D130" i="30" s="1"/>
  <c r="B134" i="30" a="1"/>
  <c r="B134" i="30" s="1"/>
  <c r="D134" i="30" a="1"/>
  <c r="D134" i="30" s="1"/>
  <c r="B138" i="30" a="1"/>
  <c r="B138" i="30" s="1"/>
  <c r="D138" i="30" a="1"/>
  <c r="D138" i="30" s="1"/>
  <c r="B142" i="30" a="1"/>
  <c r="B142" i="30" s="1"/>
  <c r="D142" i="30" a="1"/>
  <c r="D142" i="30" s="1"/>
  <c r="E145" i="30" a="1"/>
  <c r="E145" i="30" s="1"/>
  <c r="C145" i="30" a="1"/>
  <c r="C145" i="30" s="1"/>
  <c r="F145" i="30" a="1"/>
  <c r="F145" i="30" s="1"/>
  <c r="D145" i="30" a="1"/>
  <c r="D145" i="30" s="1"/>
  <c r="B145" i="30" a="1"/>
  <c r="B145" i="30" s="1"/>
  <c r="F147" i="30" a="1"/>
  <c r="F147" i="30" s="1"/>
  <c r="D147" i="30" a="1"/>
  <c r="D147" i="30" s="1"/>
  <c r="B147" i="30" a="1"/>
  <c r="B147" i="30" s="1"/>
  <c r="E147" i="30" a="1"/>
  <c r="E147" i="30" s="1"/>
  <c r="C147" i="30" a="1"/>
  <c r="C147" i="30" s="1"/>
  <c r="E149" i="30" a="1"/>
  <c r="E149" i="30" s="1"/>
  <c r="C149" i="30" a="1"/>
  <c r="C149" i="30" s="1"/>
  <c r="F149" i="30" a="1"/>
  <c r="F149" i="30" s="1"/>
  <c r="D149" i="30" a="1"/>
  <c r="D149" i="30" s="1"/>
  <c r="B149" i="30" a="1"/>
  <c r="B149" i="30" s="1"/>
  <c r="F151" i="30" a="1"/>
  <c r="F151" i="30" s="1"/>
  <c r="D151" i="30" a="1"/>
  <c r="D151" i="30" s="1"/>
  <c r="B151" i="30" a="1"/>
  <c r="B151" i="30" s="1"/>
  <c r="E151" i="30" a="1"/>
  <c r="E151" i="30" s="1"/>
  <c r="C151" i="30" a="1"/>
  <c r="C151" i="30" s="1"/>
  <c r="E153" i="30" a="1"/>
  <c r="E153" i="30" s="1"/>
  <c r="C153" i="30" a="1"/>
  <c r="C153" i="30" s="1"/>
  <c r="F153" i="30" a="1"/>
  <c r="F153" i="30" s="1"/>
  <c r="D153" i="30" a="1"/>
  <c r="D153" i="30" s="1"/>
  <c r="B153" i="30" a="1"/>
  <c r="B153" i="30" s="1"/>
  <c r="F155" i="30" a="1"/>
  <c r="F155" i="30" s="1"/>
  <c r="D155" i="30" a="1"/>
  <c r="D155" i="30" s="1"/>
  <c r="B155" i="30" a="1"/>
  <c r="B155" i="30" s="1"/>
  <c r="E155" i="30" a="1"/>
  <c r="E155" i="30" s="1"/>
  <c r="C155" i="30" a="1"/>
  <c r="C155" i="30" s="1"/>
  <c r="E157" i="30" a="1"/>
  <c r="E157" i="30" s="1"/>
  <c r="C157" i="30" a="1"/>
  <c r="C157" i="30" s="1"/>
  <c r="F157" i="30" a="1"/>
  <c r="F157" i="30" s="1"/>
  <c r="D157" i="30" a="1"/>
  <c r="D157" i="30" s="1"/>
  <c r="B157" i="30" a="1"/>
  <c r="B157" i="30" s="1"/>
  <c r="F159" i="30" a="1"/>
  <c r="F159" i="30" s="1"/>
  <c r="D159" i="30" a="1"/>
  <c r="D159" i="30" s="1"/>
  <c r="B159" i="30" a="1"/>
  <c r="B159" i="30" s="1"/>
  <c r="E159" i="30" a="1"/>
  <c r="E159" i="30" s="1"/>
  <c r="C159" i="30" a="1"/>
  <c r="C159" i="30" s="1"/>
  <c r="E161" i="30" a="1"/>
  <c r="E161" i="30" s="1"/>
  <c r="C161" i="30" a="1"/>
  <c r="C161" i="30" s="1"/>
  <c r="F161" i="30" a="1"/>
  <c r="F161" i="30" s="1"/>
  <c r="D161" i="30" a="1"/>
  <c r="D161" i="30" s="1"/>
  <c r="B161" i="30" a="1"/>
  <c r="B161" i="30" s="1"/>
  <c r="F163" i="30" a="1"/>
  <c r="F163" i="30" s="1"/>
  <c r="D163" i="30" a="1"/>
  <c r="D163" i="30" s="1"/>
  <c r="B163" i="30" a="1"/>
  <c r="B163" i="30" s="1"/>
  <c r="E163" i="30" a="1"/>
  <c r="E163" i="30" s="1"/>
  <c r="C163" i="30" a="1"/>
  <c r="C163" i="30" s="1"/>
  <c r="F169" i="30"/>
  <c r="E170" i="30" s="1" a="1"/>
  <c r="E170" i="30" s="1"/>
  <c r="B139" i="29" a="1"/>
  <c r="B139" i="29" s="1"/>
  <c r="B102" i="29" a="1"/>
  <c r="B102" i="29" s="1"/>
  <c r="F139" i="29" a="1"/>
  <c r="F139" i="29" s="1"/>
  <c r="E10" i="29" a="1"/>
  <c r="E10" i="29" s="1"/>
  <c r="C162" i="29" a="1"/>
  <c r="C162" i="29" s="1"/>
  <c r="F9" i="29" a="1"/>
  <c r="F9" i="29" s="1"/>
  <c r="E14" i="29" a="1"/>
  <c r="E14" i="29" s="1"/>
  <c r="C78" i="29" a="1"/>
  <c r="C78" i="29" s="1"/>
  <c r="B2" i="29" a="1"/>
  <c r="B2" i="29" s="1"/>
  <c r="C11" i="29" a="1"/>
  <c r="C11" i="29" s="1"/>
  <c r="B13" i="29" a="1"/>
  <c r="B13" i="29" s="1"/>
  <c r="C26" i="29" a="1"/>
  <c r="C26" i="29" s="1"/>
  <c r="C114" i="29" a="1"/>
  <c r="C114" i="29" s="1"/>
  <c r="D2" i="29" a="1"/>
  <c r="D2" i="29" s="1"/>
  <c r="D9" i="29" a="1"/>
  <c r="D9" i="29" s="1"/>
  <c r="C10" i="29" a="1"/>
  <c r="C10" i="29" s="1"/>
  <c r="E11" i="29" a="1"/>
  <c r="E11" i="29" s="1"/>
  <c r="D13" i="29" a="1"/>
  <c r="D13" i="29" s="1"/>
  <c r="E26" i="29" a="1"/>
  <c r="E26" i="29" s="1"/>
  <c r="D22" i="29" a="1"/>
  <c r="D22" i="29" s="1"/>
  <c r="D69" i="29" a="1"/>
  <c r="D69" i="29" s="1"/>
  <c r="C82" i="29" a="1"/>
  <c r="C82" i="29" s="1"/>
  <c r="C111" i="29" a="1"/>
  <c r="C111" i="29" s="1"/>
  <c r="B113" i="29" a="1"/>
  <c r="B113" i="29" s="1"/>
  <c r="B14" i="29" a="1"/>
  <c r="B14" i="29" s="1"/>
  <c r="C27" i="29" a="1"/>
  <c r="C27" i="29" s="1"/>
  <c r="B29" i="29" a="1"/>
  <c r="B29" i="29" s="1"/>
  <c r="B68" i="29" a="1"/>
  <c r="B68" i="29" s="1"/>
  <c r="D84" i="29" a="1"/>
  <c r="D84" i="29" s="1"/>
  <c r="E27" i="29" a="1"/>
  <c r="E27" i="29" s="1"/>
  <c r="D29" i="29" a="1"/>
  <c r="D29" i="29" s="1"/>
  <c r="F7" i="29" a="1"/>
  <c r="F7" i="29" s="1"/>
  <c r="E7" i="29" a="1"/>
  <c r="E7" i="29" s="1"/>
  <c r="E25" i="29" a="1"/>
  <c r="E25" i="29" s="1"/>
  <c r="F25" i="29" a="1"/>
  <c r="F25" i="29" s="1"/>
  <c r="D25" i="29" a="1"/>
  <c r="D25" i="29" s="1"/>
  <c r="E41" i="29" a="1"/>
  <c r="E41" i="29" s="1"/>
  <c r="F41" i="29" a="1"/>
  <c r="F41" i="29" s="1"/>
  <c r="D41" i="29" a="1"/>
  <c r="D41" i="29" s="1"/>
  <c r="B41" i="29" a="1"/>
  <c r="B41" i="29" s="1"/>
  <c r="D66" i="29" a="1"/>
  <c r="D66" i="29" s="1"/>
  <c r="F66" i="29" a="1"/>
  <c r="F66" i="29" s="1"/>
  <c r="E66" i="29" a="1"/>
  <c r="E66" i="29" s="1"/>
  <c r="B66" i="29" a="1"/>
  <c r="B66" i="29" s="1"/>
  <c r="E150" i="29" a="1"/>
  <c r="E150" i="29" s="1"/>
  <c r="F150" i="29" a="1"/>
  <c r="F150" i="29" s="1"/>
  <c r="B150" i="29" a="1"/>
  <c r="B150" i="29" s="1"/>
  <c r="E20" i="29" a="1"/>
  <c r="E20" i="29" s="1"/>
  <c r="D42" i="29" a="1"/>
  <c r="D42" i="29" s="1"/>
  <c r="C42" i="29" a="1"/>
  <c r="C42" i="29" s="1"/>
  <c r="F42" i="29" a="1"/>
  <c r="F42" i="29" s="1"/>
  <c r="B42" i="29" a="1"/>
  <c r="B42" i="29" s="1"/>
  <c r="E67" i="29" a="1"/>
  <c r="E67" i="29" s="1"/>
  <c r="C67" i="29" a="1"/>
  <c r="C67" i="29" s="1"/>
  <c r="F76" i="29" a="1"/>
  <c r="F76" i="29" s="1"/>
  <c r="E99" i="29" a="1"/>
  <c r="E99" i="29" s="1"/>
  <c r="F105" i="29" a="1"/>
  <c r="F105" i="29" s="1"/>
  <c r="B105" i="29" a="1"/>
  <c r="B105" i="29" s="1"/>
  <c r="F120" i="29" a="1"/>
  <c r="F120" i="29" s="1"/>
  <c r="E120" i="29" a="1"/>
  <c r="E120" i="29" s="1"/>
  <c r="C120" i="29" a="1"/>
  <c r="C120" i="29" s="1"/>
  <c r="C141" i="29" a="1"/>
  <c r="C141" i="29" s="1"/>
  <c r="F145" i="29" a="1"/>
  <c r="F145" i="29" s="1"/>
  <c r="D145" i="29" a="1"/>
  <c r="D145" i="29" s="1"/>
  <c r="C147" i="29" a="1"/>
  <c r="C147" i="29" s="1"/>
  <c r="E147" i="29" a="1"/>
  <c r="E147" i="29" s="1"/>
  <c r="D5" i="29" a="1"/>
  <c r="D5" i="29" s="1"/>
  <c r="B5" i="29" a="1"/>
  <c r="B5" i="29" s="1"/>
  <c r="B17" i="29" a="1"/>
  <c r="B17" i="29" s="1"/>
  <c r="F39" i="29" a="1"/>
  <c r="F39" i="29" s="1"/>
  <c r="E39" i="29" a="1"/>
  <c r="E39" i="29" s="1"/>
  <c r="C39" i="29" a="1"/>
  <c r="C39" i="29" s="1"/>
  <c r="D90" i="29" a="1"/>
  <c r="D90" i="29" s="1"/>
  <c r="E90" i="29" a="1"/>
  <c r="E90" i="29" s="1"/>
  <c r="B90" i="29" a="1"/>
  <c r="B90" i="29" s="1"/>
  <c r="C121" i="29" a="1"/>
  <c r="C121" i="29" s="1"/>
  <c r="E127" i="29" a="1"/>
  <c r="E127" i="29" s="1"/>
  <c r="F127" i="29" a="1"/>
  <c r="F127" i="29" s="1"/>
  <c r="D127" i="29" a="1"/>
  <c r="D127" i="29" s="1"/>
  <c r="C127" i="29" a="1"/>
  <c r="C127" i="29" s="1"/>
  <c r="E152" i="29" a="1"/>
  <c r="E152" i="29" s="1"/>
  <c r="D152" i="29" a="1"/>
  <c r="D152" i="29" s="1"/>
  <c r="C152" i="29" a="1"/>
  <c r="C152" i="29" s="1"/>
  <c r="B152" i="29" a="1"/>
  <c r="B152" i="29" s="1"/>
  <c r="E48" i="29" a="1"/>
  <c r="E48" i="29" s="1"/>
  <c r="E52" i="29" a="1"/>
  <c r="E52" i="29" s="1"/>
  <c r="D52" i="29" a="1"/>
  <c r="D52" i="29" s="1"/>
  <c r="C52" i="29" a="1"/>
  <c r="C52" i="29" s="1"/>
  <c r="B52" i="29" a="1"/>
  <c r="B52" i="29" s="1"/>
  <c r="E101" i="29" a="1"/>
  <c r="E101" i="29" s="1"/>
  <c r="D101" i="29" a="1"/>
  <c r="D101" i="29" s="1"/>
  <c r="B101" i="29" a="1"/>
  <c r="B101" i="29" s="1"/>
  <c r="F128" i="29" a="1"/>
  <c r="F128" i="29" s="1"/>
  <c r="E128" i="29" a="1"/>
  <c r="E128" i="29" s="1"/>
  <c r="F152" i="29" a="1"/>
  <c r="F152" i="29" s="1"/>
  <c r="E36" i="29" a="1"/>
  <c r="E36" i="29" s="1"/>
  <c r="E44" i="29" a="1"/>
  <c r="E44" i="29" s="1"/>
  <c r="D46" i="29" a="1"/>
  <c r="D46" i="29" s="1"/>
  <c r="E46" i="29" a="1"/>
  <c r="E46" i="29" s="1"/>
  <c r="E71" i="29" a="1"/>
  <c r="E71" i="29" s="1"/>
  <c r="D74" i="29" a="1"/>
  <c r="D74" i="29" s="1"/>
  <c r="E74" i="29" a="1"/>
  <c r="E74" i="29" s="1"/>
  <c r="E81" i="29" a="1"/>
  <c r="E81" i="29" s="1"/>
  <c r="D86" i="29" a="1"/>
  <c r="D86" i="29" s="1"/>
  <c r="D88" i="29" a="1"/>
  <c r="D88" i="29" s="1"/>
  <c r="E97" i="29" a="1"/>
  <c r="E97" i="29" s="1"/>
  <c r="F98" i="29" a="1"/>
  <c r="F98" i="29" s="1"/>
  <c r="F100" i="29" a="1"/>
  <c r="F100" i="29" s="1"/>
  <c r="B118" i="29" a="1"/>
  <c r="B118" i="29" s="1"/>
  <c r="F124" i="29" a="1"/>
  <c r="F124" i="29" s="1"/>
  <c r="D130" i="29" a="1"/>
  <c r="D130" i="29" s="1"/>
  <c r="D138" i="29" a="1"/>
  <c r="D138" i="29" s="1"/>
  <c r="F140" i="29" a="1"/>
  <c r="F140" i="29" s="1"/>
  <c r="E158" i="29" a="1"/>
  <c r="E158" i="29" s="1"/>
  <c r="E160" i="29" a="1"/>
  <c r="E160" i="29" s="1"/>
  <c r="F160" i="29" a="1"/>
  <c r="F160" i="29" s="1"/>
  <c r="F10" i="29" a="1"/>
  <c r="F10" i="29" s="1"/>
  <c r="E23" i="29" a="1"/>
  <c r="E23" i="29" s="1"/>
  <c r="E28" i="29" a="1"/>
  <c r="E28" i="29" s="1"/>
  <c r="D30" i="29" a="1"/>
  <c r="D30" i="29" s="1"/>
  <c r="B34" i="29" a="1"/>
  <c r="B34" i="29" s="1"/>
  <c r="F43" i="29" a="1"/>
  <c r="F43" i="29" s="1"/>
  <c r="E45" i="29" a="1"/>
  <c r="E45" i="29" s="1"/>
  <c r="B46" i="29" a="1"/>
  <c r="B46" i="29" s="1"/>
  <c r="F62" i="29" a="1"/>
  <c r="F62" i="29" s="1"/>
  <c r="E63" i="29" a="1"/>
  <c r="E63" i="29" s="1"/>
  <c r="F65" i="29" a="1"/>
  <c r="F65" i="29" s="1"/>
  <c r="E69" i="29" a="1"/>
  <c r="E69" i="29" s="1"/>
  <c r="D70" i="29" a="1"/>
  <c r="D70" i="29" s="1"/>
  <c r="D72" i="29" a="1"/>
  <c r="D72" i="29" s="1"/>
  <c r="B74" i="29" a="1"/>
  <c r="B74" i="29" s="1"/>
  <c r="F74" i="29" a="1"/>
  <c r="F74" i="29" s="1"/>
  <c r="C79" i="29" a="1"/>
  <c r="C79" i="29" s="1"/>
  <c r="D81" i="29" a="1"/>
  <c r="D81" i="29" s="1"/>
  <c r="E83" i="29" a="1"/>
  <c r="E83" i="29" s="1"/>
  <c r="E85" i="29" a="1"/>
  <c r="E85" i="29" s="1"/>
  <c r="B86" i="29" a="1"/>
  <c r="B86" i="29" s="1"/>
  <c r="F89" i="29" a="1"/>
  <c r="F89" i="29" s="1"/>
  <c r="F93" i="29" a="1"/>
  <c r="F93" i="29" s="1"/>
  <c r="C95" i="29" a="1"/>
  <c r="C95" i="29" s="1"/>
  <c r="B97" i="29" a="1"/>
  <c r="B97" i="29" s="1"/>
  <c r="C98" i="29" a="1"/>
  <c r="C98" i="29" s="1"/>
  <c r="B100" i="29" a="1"/>
  <c r="B100" i="29" s="1"/>
  <c r="D106" i="29" a="1"/>
  <c r="D106" i="29" s="1"/>
  <c r="F108" i="29" a="1"/>
  <c r="F108" i="29" s="1"/>
  <c r="F110" i="29" a="1"/>
  <c r="F110" i="29" s="1"/>
  <c r="C116" i="29" a="1"/>
  <c r="C116" i="29" s="1"/>
  <c r="F118" i="29" a="1"/>
  <c r="F118" i="29" s="1"/>
  <c r="C124" i="29" a="1"/>
  <c r="C124" i="29" s="1"/>
  <c r="C125" i="29" a="1"/>
  <c r="C125" i="29" s="1"/>
  <c r="F130" i="29" a="1"/>
  <c r="F130" i="29" s="1"/>
  <c r="D134" i="29" a="1"/>
  <c r="D134" i="29" s="1"/>
  <c r="B138" i="29" a="1"/>
  <c r="B138" i="29" s="1"/>
  <c r="E140" i="29" a="1"/>
  <c r="E140" i="29" s="1"/>
  <c r="D146" i="29" a="1"/>
  <c r="D146" i="29" s="1"/>
  <c r="E146" i="29" a="1"/>
  <c r="E146" i="29" s="1"/>
  <c r="F154" i="29" a="1"/>
  <c r="F154" i="29" s="1"/>
  <c r="B158" i="29" a="1"/>
  <c r="B158" i="29" s="1"/>
  <c r="B160" i="29" a="1"/>
  <c r="B160" i="29" s="1"/>
  <c r="E24" i="29" a="1"/>
  <c r="E24" i="29" s="1"/>
  <c r="B26" i="29" a="1"/>
  <c r="B26" i="29" s="1"/>
  <c r="B30" i="29" a="1"/>
  <c r="B30" i="29" s="1"/>
  <c r="E32" i="29" a="1"/>
  <c r="E32" i="29" s="1"/>
  <c r="D34" i="29" a="1"/>
  <c r="D34" i="29" s="1"/>
  <c r="E40" i="29" a="1"/>
  <c r="E40" i="29" s="1"/>
  <c r="C43" i="29" a="1"/>
  <c r="C43" i="29" s="1"/>
  <c r="B45" i="29" a="1"/>
  <c r="B45" i="29" s="1"/>
  <c r="C47" i="29" a="1"/>
  <c r="C47" i="29" s="1"/>
  <c r="B62" i="29" a="1"/>
  <c r="B62" i="29" s="1"/>
  <c r="C64" i="29" a="1"/>
  <c r="C64" i="29" s="1"/>
  <c r="B65" i="29" a="1"/>
  <c r="B65" i="29" s="1"/>
  <c r="F68" i="29" a="1"/>
  <c r="F68" i="29" s="1"/>
  <c r="B69" i="29" a="1"/>
  <c r="B69" i="29" s="1"/>
  <c r="B70" i="29" a="1"/>
  <c r="B70" i="29" s="1"/>
  <c r="F73" i="29" a="1"/>
  <c r="F73" i="29" s="1"/>
  <c r="F78" i="29" a="1"/>
  <c r="F78" i="29" s="1"/>
  <c r="E79" i="29" a="1"/>
  <c r="E79" i="29" s="1"/>
  <c r="F82" i="29" a="1"/>
  <c r="F82" i="29" s="1"/>
  <c r="F84" i="29" a="1"/>
  <c r="F84" i="29" s="1"/>
  <c r="B85" i="29" a="1"/>
  <c r="B85" i="29" s="1"/>
  <c r="E86" i="29" a="1"/>
  <c r="E86" i="29" s="1"/>
  <c r="B89" i="29" a="1"/>
  <c r="B89" i="29" s="1"/>
  <c r="E95" i="29" a="1"/>
  <c r="E95" i="29" s="1"/>
  <c r="D98" i="29" a="1"/>
  <c r="D98" i="29" s="1"/>
  <c r="D100" i="29" a="1"/>
  <c r="D100" i="29" s="1"/>
  <c r="D102" i="29" a="1"/>
  <c r="D102" i="29" s="1"/>
  <c r="D104" i="29" a="1"/>
  <c r="D104" i="29" s="1"/>
  <c r="B106" i="29" a="1"/>
  <c r="B106" i="29" s="1"/>
  <c r="E113" i="29" a="1"/>
  <c r="E113" i="29" s="1"/>
  <c r="C115" i="29" a="1"/>
  <c r="C115" i="29" s="1"/>
  <c r="E117" i="29" a="1"/>
  <c r="E117" i="29" s="1"/>
  <c r="C119" i="29" a="1"/>
  <c r="C119" i="29" s="1"/>
  <c r="E123" i="29" a="1"/>
  <c r="E123" i="29" s="1"/>
  <c r="E124" i="29" a="1"/>
  <c r="E124" i="29" s="1"/>
  <c r="C129" i="29" a="1"/>
  <c r="C129" i="29" s="1"/>
  <c r="D135" i="29" a="1"/>
  <c r="D135" i="29" s="1"/>
  <c r="E137" i="29" a="1"/>
  <c r="E137" i="29" s="1"/>
  <c r="D139" i="29" a="1"/>
  <c r="D139" i="29" s="1"/>
  <c r="E139" i="29" a="1"/>
  <c r="E139" i="29" s="1"/>
  <c r="B146" i="29" a="1"/>
  <c r="B146" i="29" s="1"/>
  <c r="F146" i="29" a="1"/>
  <c r="F146" i="29" s="1"/>
  <c r="C154" i="29" a="1"/>
  <c r="C154" i="29" s="1"/>
  <c r="E156" i="29" a="1"/>
  <c r="E156" i="29" s="1"/>
  <c r="F158" i="29" a="1"/>
  <c r="F158" i="29" s="1"/>
  <c r="C160" i="29" a="1"/>
  <c r="C160" i="29" s="1"/>
  <c r="F162" i="29" a="1"/>
  <c r="F162" i="29" s="1"/>
  <c r="F4" i="29" a="1"/>
  <c r="F4" i="29" s="1"/>
  <c r="E4" i="29" a="1"/>
  <c r="E4" i="29" s="1"/>
  <c r="E6" i="29" a="1"/>
  <c r="E6" i="29" s="1"/>
  <c r="B6" i="29" a="1"/>
  <c r="B6" i="29" s="1"/>
  <c r="F15" i="29" a="1"/>
  <c r="F15" i="29" s="1"/>
  <c r="E15" i="29" a="1"/>
  <c r="E15" i="29" s="1"/>
  <c r="F35" i="29" a="1"/>
  <c r="F35" i="29" s="1"/>
  <c r="E35" i="29" a="1"/>
  <c r="E35" i="29" s="1"/>
  <c r="C35" i="29" a="1"/>
  <c r="C35" i="29" s="1"/>
  <c r="E38" i="29" a="1"/>
  <c r="E38" i="29" s="1"/>
  <c r="B38" i="29" a="1"/>
  <c r="B38" i="29" s="1"/>
  <c r="F56" i="29" a="1"/>
  <c r="F56" i="29" s="1"/>
  <c r="E56" i="29" a="1"/>
  <c r="E56" i="29" s="1"/>
  <c r="D56" i="29" a="1"/>
  <c r="D56" i="29" s="1"/>
  <c r="C56" i="29" a="1"/>
  <c r="C56" i="29" s="1"/>
  <c r="E103" i="29" a="1"/>
  <c r="E103" i="29" s="1"/>
  <c r="C103" i="29" a="1"/>
  <c r="C103" i="29" s="1"/>
  <c r="E21" i="29" a="1"/>
  <c r="E21" i="29" s="1"/>
  <c r="D21" i="29" a="1"/>
  <c r="D21" i="29" s="1"/>
  <c r="B21" i="29" a="1"/>
  <c r="B21" i="29" s="1"/>
  <c r="F50" i="29" a="1"/>
  <c r="F50" i="29" s="1"/>
  <c r="C50" i="29" a="1"/>
  <c r="C50" i="29" s="1"/>
  <c r="E50" i="29" a="1"/>
  <c r="E50" i="29" s="1"/>
  <c r="C54" i="29" a="1"/>
  <c r="C54" i="29" s="1"/>
  <c r="F54" i="29" a="1"/>
  <c r="F54" i="29" s="1"/>
  <c r="B54" i="29" a="1"/>
  <c r="B54" i="29" s="1"/>
  <c r="C4" i="29" a="1"/>
  <c r="C4" i="29" s="1"/>
  <c r="C6" i="29" a="1"/>
  <c r="C6" i="29" s="1"/>
  <c r="C15" i="29" a="1"/>
  <c r="C15" i="29" s="1"/>
  <c r="F18" i="29" a="1"/>
  <c r="F18" i="29" s="1"/>
  <c r="C18" i="29" a="1"/>
  <c r="C18" i="29" s="1"/>
  <c r="E18" i="29" a="1"/>
  <c r="E18" i="29" s="1"/>
  <c r="F21" i="29" a="1"/>
  <c r="F21" i="29" s="1"/>
  <c r="E33" i="29" a="1"/>
  <c r="E33" i="29" s="1"/>
  <c r="F33" i="29" a="1"/>
  <c r="F33" i="29" s="1"/>
  <c r="D33" i="29" a="1"/>
  <c r="D33" i="29" s="1"/>
  <c r="C38" i="29" a="1"/>
  <c r="C38" i="29" s="1"/>
  <c r="B50" i="29" a="1"/>
  <c r="B50" i="29" s="1"/>
  <c r="D54" i="29" a="1"/>
  <c r="D54" i="29" s="1"/>
  <c r="B56" i="29" a="1"/>
  <c r="B56" i="29" s="1"/>
  <c r="D60" i="29" a="1"/>
  <c r="D60" i="29" s="1"/>
  <c r="C60" i="29" a="1"/>
  <c r="C60" i="29" s="1"/>
  <c r="E60" i="29" a="1"/>
  <c r="E60" i="29" s="1"/>
  <c r="B60" i="29" a="1"/>
  <c r="B60" i="29" s="1"/>
  <c r="C71" i="29" a="1"/>
  <c r="C71" i="29" s="1"/>
  <c r="D164" i="29" a="1"/>
  <c r="D164" i="29" s="1"/>
  <c r="C164" i="29" a="1"/>
  <c r="C164" i="29" s="1"/>
  <c r="F164" i="29" a="1"/>
  <c r="F164" i="29" s="1"/>
  <c r="B164" i="29" a="1"/>
  <c r="B164" i="29" s="1"/>
  <c r="E164" i="29" a="1"/>
  <c r="E164" i="29" s="1"/>
  <c r="D6" i="29" a="1"/>
  <c r="D6" i="29" s="1"/>
  <c r="B18" i="29" a="1"/>
  <c r="B18" i="29" s="1"/>
  <c r="F19" i="29" a="1"/>
  <c r="F19" i="29" s="1"/>
  <c r="E19" i="29" a="1"/>
  <c r="E19" i="29" s="1"/>
  <c r="C19" i="29" a="1"/>
  <c r="C19" i="29" s="1"/>
  <c r="E22" i="29" a="1"/>
  <c r="E22" i="29" s="1"/>
  <c r="B22" i="29" a="1"/>
  <c r="B22" i="29" s="1"/>
  <c r="F31" i="29" a="1"/>
  <c r="F31" i="29" s="1"/>
  <c r="E31" i="29" a="1"/>
  <c r="E31" i="29" s="1"/>
  <c r="B33" i="29" a="1"/>
  <c r="B33" i="29" s="1"/>
  <c r="E37" i="29" a="1"/>
  <c r="E37" i="29" s="1"/>
  <c r="D37" i="29" a="1"/>
  <c r="D37" i="29" s="1"/>
  <c r="B37" i="29" a="1"/>
  <c r="B37" i="29" s="1"/>
  <c r="D38" i="29" a="1"/>
  <c r="D38" i="29" s="1"/>
  <c r="E49" i="29" a="1"/>
  <c r="E49" i="29" s="1"/>
  <c r="F49" i="29" a="1"/>
  <c r="F49" i="29" s="1"/>
  <c r="D49" i="29" a="1"/>
  <c r="D49" i="29" s="1"/>
  <c r="D50" i="29" a="1"/>
  <c r="D50" i="29" s="1"/>
  <c r="E54" i="29" a="1"/>
  <c r="E54" i="29" s="1"/>
  <c r="F60" i="29" a="1"/>
  <c r="F60" i="29" s="1"/>
  <c r="E87" i="29" a="1"/>
  <c r="E87" i="29" s="1"/>
  <c r="C87" i="29" a="1"/>
  <c r="C87" i="29" s="1"/>
  <c r="F5" i="29" a="1"/>
  <c r="F5" i="29" s="1"/>
  <c r="C5" i="29" a="1"/>
  <c r="C5" i="29" s="1"/>
  <c r="E5" i="29" a="1"/>
  <c r="E5" i="29" s="1"/>
  <c r="F6" i="29" a="1"/>
  <c r="F6" i="29" s="1"/>
  <c r="E17" i="29" a="1"/>
  <c r="E17" i="29" s="1"/>
  <c r="F17" i="29" a="1"/>
  <c r="F17" i="29" s="1"/>
  <c r="D17" i="29" a="1"/>
  <c r="D17" i="29" s="1"/>
  <c r="D18" i="29" a="1"/>
  <c r="D18" i="29" s="1"/>
  <c r="C22" i="29" a="1"/>
  <c r="C22" i="29" s="1"/>
  <c r="C31" i="29" a="1"/>
  <c r="C31" i="29" s="1"/>
  <c r="F34" i="29" a="1"/>
  <c r="F34" i="29" s="1"/>
  <c r="C34" i="29" a="1"/>
  <c r="C34" i="29" s="1"/>
  <c r="E34" i="29" a="1"/>
  <c r="E34" i="29" s="1"/>
  <c r="F37" i="29" a="1"/>
  <c r="F37" i="29" s="1"/>
  <c r="F38" i="29" a="1"/>
  <c r="F38" i="29" s="1"/>
  <c r="F47" i="29" a="1"/>
  <c r="F47" i="29" s="1"/>
  <c r="E47" i="29" a="1"/>
  <c r="E47" i="29" s="1"/>
  <c r="B49" i="29" a="1"/>
  <c r="B49" i="29" s="1"/>
  <c r="C58" i="29" a="1"/>
  <c r="C58" i="29" s="1"/>
  <c r="F58" i="29" a="1"/>
  <c r="F58" i="29" s="1"/>
  <c r="B58" i="29" a="1"/>
  <c r="B58" i="29" s="1"/>
  <c r="E58" i="29" a="1"/>
  <c r="E58" i="29" s="1"/>
  <c r="D58" i="29" a="1"/>
  <c r="D58" i="29" s="1"/>
  <c r="E77" i="29" a="1"/>
  <c r="E77" i="29" s="1"/>
  <c r="D77" i="29" a="1"/>
  <c r="D77" i="29" s="1"/>
  <c r="B77" i="29" a="1"/>
  <c r="B77" i="29" s="1"/>
  <c r="F77" i="29" a="1"/>
  <c r="F77" i="29" s="1"/>
  <c r="D92" i="29" a="1"/>
  <c r="D92" i="29" s="1"/>
  <c r="B92" i="29" a="1"/>
  <c r="B92" i="29" s="1"/>
  <c r="E94" i="29" a="1"/>
  <c r="E94" i="29" s="1"/>
  <c r="B94" i="29" a="1"/>
  <c r="B94" i="29" s="1"/>
  <c r="E110" i="29" a="1"/>
  <c r="E110" i="29" s="1"/>
  <c r="B110" i="29" a="1"/>
  <c r="B110" i="29" s="1"/>
  <c r="C131" i="29" a="1"/>
  <c r="C131" i="29" s="1"/>
  <c r="F131" i="29" a="1"/>
  <c r="F131" i="29" s="1"/>
  <c r="E131" i="29" a="1"/>
  <c r="E131" i="29" s="1"/>
  <c r="B131" i="29" a="1"/>
  <c r="B131" i="29" s="1"/>
  <c r="F2" i="29" a="1"/>
  <c r="F2" i="29" s="1"/>
  <c r="D10" i="29" a="1"/>
  <c r="D10" i="29" s="1"/>
  <c r="F13" i="29" a="1"/>
  <c r="F13" i="29" s="1"/>
  <c r="C14" i="29" a="1"/>
  <c r="C14" i="29" s="1"/>
  <c r="F14" i="29" a="1"/>
  <c r="F14" i="29" s="1"/>
  <c r="D26" i="29" a="1"/>
  <c r="D26" i="29" s="1"/>
  <c r="F29" i="29" a="1"/>
  <c r="F29" i="29" s="1"/>
  <c r="C30" i="29" a="1"/>
  <c r="C30" i="29" s="1"/>
  <c r="F30" i="29" a="1"/>
  <c r="F30" i="29" s="1"/>
  <c r="F45" i="29" a="1"/>
  <c r="F45" i="29" s="1"/>
  <c r="C46" i="29" a="1"/>
  <c r="C46" i="29" s="1"/>
  <c r="F46" i="29" a="1"/>
  <c r="F46" i="29" s="1"/>
  <c r="F92" i="29" a="1"/>
  <c r="F92" i="29" s="1"/>
  <c r="C94" i="29" a="1"/>
  <c r="C94" i="29" s="1"/>
  <c r="C110" i="29" a="1"/>
  <c r="C110" i="29" s="1"/>
  <c r="F116" i="29" a="1"/>
  <c r="F116" i="29" s="1"/>
  <c r="E116" i="29" a="1"/>
  <c r="E116" i="29" s="1"/>
  <c r="D131" i="29" a="1"/>
  <c r="D131" i="29" s="1"/>
  <c r="D148" i="29" a="1"/>
  <c r="D148" i="29" s="1"/>
  <c r="E148" i="29" a="1"/>
  <c r="E148" i="29" s="1"/>
  <c r="C148" i="29" a="1"/>
  <c r="C148" i="29" s="1"/>
  <c r="F148" i="29" a="1"/>
  <c r="F148" i="29" s="1"/>
  <c r="B148" i="29" a="1"/>
  <c r="B148" i="29" s="1"/>
  <c r="D108" i="29" a="1"/>
  <c r="D108" i="29" s="1"/>
  <c r="B108" i="29" a="1"/>
  <c r="B108" i="29" s="1"/>
  <c r="E119" i="29" a="1"/>
  <c r="E119" i="29" s="1"/>
  <c r="F119" i="29" a="1"/>
  <c r="F119" i="29" s="1"/>
  <c r="B119" i="29" a="1"/>
  <c r="B119" i="29" s="1"/>
  <c r="F136" i="29" a="1"/>
  <c r="F136" i="29" s="1"/>
  <c r="E136" i="29" a="1"/>
  <c r="E136" i="29" s="1"/>
  <c r="C136" i="29" a="1"/>
  <c r="C136" i="29" s="1"/>
  <c r="D143" i="29" a="1"/>
  <c r="D143" i="29" s="1"/>
  <c r="F143" i="29" a="1"/>
  <c r="F143" i="29" s="1"/>
  <c r="C143" i="29" a="1"/>
  <c r="C143" i="29" s="1"/>
  <c r="E143" i="29" a="1"/>
  <c r="E143" i="29" s="1"/>
  <c r="B143" i="29" a="1"/>
  <c r="B143" i="29" s="1"/>
  <c r="C7" i="29" a="1"/>
  <c r="C7" i="29" s="1"/>
  <c r="B9" i="29" a="1"/>
  <c r="B9" i="29" s="1"/>
  <c r="C23" i="29" a="1"/>
  <c r="C23" i="29" s="1"/>
  <c r="B25" i="29" a="1"/>
  <c r="B25" i="29" s="1"/>
  <c r="E73" i="29" a="1"/>
  <c r="E73" i="29" s="1"/>
  <c r="D73" i="29" a="1"/>
  <c r="D73" i="29" s="1"/>
  <c r="D76" i="29" a="1"/>
  <c r="D76" i="29" s="1"/>
  <c r="B76" i="29" a="1"/>
  <c r="B76" i="29" s="1"/>
  <c r="E78" i="29" a="1"/>
  <c r="E78" i="29" s="1"/>
  <c r="B78" i="29" a="1"/>
  <c r="B78" i="29" s="1"/>
  <c r="E82" i="29" a="1"/>
  <c r="E82" i="29" s="1"/>
  <c r="B82" i="29" a="1"/>
  <c r="B82" i="29" s="1"/>
  <c r="E89" i="29" a="1"/>
  <c r="E89" i="29" s="1"/>
  <c r="D89" i="29" a="1"/>
  <c r="D89" i="29" s="1"/>
  <c r="E93" i="29" a="1"/>
  <c r="E93" i="29" s="1"/>
  <c r="D93" i="29" a="1"/>
  <c r="D93" i="29" s="1"/>
  <c r="B93" i="29" a="1"/>
  <c r="B93" i="29" s="1"/>
  <c r="D94" i="29" a="1"/>
  <c r="D94" i="29" s="1"/>
  <c r="E98" i="29" a="1"/>
  <c r="E98" i="29" s="1"/>
  <c r="B98" i="29" a="1"/>
  <c r="B98" i="29" s="1"/>
  <c r="E105" i="29" a="1"/>
  <c r="E105" i="29" s="1"/>
  <c r="D105" i="29" a="1"/>
  <c r="D105" i="29" s="1"/>
  <c r="E109" i="29" a="1"/>
  <c r="E109" i="29" s="1"/>
  <c r="D109" i="29" a="1"/>
  <c r="D109" i="29" s="1"/>
  <c r="B109" i="29" a="1"/>
  <c r="B109" i="29" s="1"/>
  <c r="D110" i="29" a="1"/>
  <c r="D110" i="29" s="1"/>
  <c r="F114" i="29" a="1"/>
  <c r="F114" i="29" s="1"/>
  <c r="E114" i="29" a="1"/>
  <c r="E114" i="29" s="1"/>
  <c r="B114" i="29" a="1"/>
  <c r="B114" i="29" s="1"/>
  <c r="E115" i="29" a="1"/>
  <c r="E115" i="29" s="1"/>
  <c r="F115" i="29" a="1"/>
  <c r="F115" i="29" s="1"/>
  <c r="B115" i="29" a="1"/>
  <c r="B115" i="29" s="1"/>
  <c r="D119" i="29" a="1"/>
  <c r="D119" i="29" s="1"/>
  <c r="F132" i="29" a="1"/>
  <c r="F132" i="29" s="1"/>
  <c r="E132" i="29" a="1"/>
  <c r="E132" i="29" s="1"/>
  <c r="C132" i="29" a="1"/>
  <c r="C132" i="29" s="1"/>
  <c r="F144" i="29" a="1"/>
  <c r="F144" i="29" s="1"/>
  <c r="E144" i="29" a="1"/>
  <c r="E144" i="29" s="1"/>
  <c r="C144" i="29" a="1"/>
  <c r="C144" i="29" s="1"/>
  <c r="D156" i="29" a="1"/>
  <c r="D156" i="29" s="1"/>
  <c r="C156" i="29" a="1"/>
  <c r="C156" i="29" s="1"/>
  <c r="F156" i="29" a="1"/>
  <c r="F156" i="29" s="1"/>
  <c r="B156" i="29" a="1"/>
  <c r="B156" i="29" s="1"/>
  <c r="D62" i="29" a="1"/>
  <c r="D62" i="29" s="1"/>
  <c r="E64" i="29" a="1"/>
  <c r="E64" i="29" s="1"/>
  <c r="C66" i="29" a="1"/>
  <c r="C66" i="29" s="1"/>
  <c r="C70" i="29" a="1"/>
  <c r="C70" i="29" s="1"/>
  <c r="F70" i="29" a="1"/>
  <c r="F70" i="29" s="1"/>
  <c r="F85" i="29" a="1"/>
  <c r="F85" i="29" s="1"/>
  <c r="C86" i="29" a="1"/>
  <c r="C86" i="29" s="1"/>
  <c r="F86" i="29" a="1"/>
  <c r="F86" i="29" s="1"/>
  <c r="C90" i="29" a="1"/>
  <c r="C90" i="29" s="1"/>
  <c r="F90" i="29" a="1"/>
  <c r="F90" i="29" s="1"/>
  <c r="F101" i="29" a="1"/>
  <c r="F101" i="29" s="1"/>
  <c r="C102" i="29" a="1"/>
  <c r="C102" i="29" s="1"/>
  <c r="F102" i="29" a="1"/>
  <c r="F102" i="29" s="1"/>
  <c r="C106" i="29" a="1"/>
  <c r="C106" i="29" s="1"/>
  <c r="F106" i="29" a="1"/>
  <c r="F106" i="29" s="1"/>
  <c r="F123" i="29" a="1"/>
  <c r="F123" i="29" s="1"/>
  <c r="E135" i="29" a="1"/>
  <c r="E135" i="29" s="1"/>
  <c r="F138" i="29" a="1"/>
  <c r="F138" i="29" s="1"/>
  <c r="C150" i="29" a="1"/>
  <c r="C150" i="29" s="1"/>
  <c r="E154" i="29" a="1"/>
  <c r="E154" i="29" s="1"/>
  <c r="C158" i="29" a="1"/>
  <c r="C158" i="29" s="1"/>
  <c r="E162" i="29" a="1"/>
  <c r="E162" i="29" s="1"/>
  <c r="E62" i="29" a="1"/>
  <c r="E62" i="29" s="1"/>
  <c r="F64" i="29" a="1"/>
  <c r="F64" i="29" s="1"/>
  <c r="B81" i="29" a="1"/>
  <c r="B81" i="29" s="1"/>
  <c r="F81" i="29" a="1"/>
  <c r="F81" i="29" s="1"/>
  <c r="F97" i="29" a="1"/>
  <c r="F97" i="29" s="1"/>
  <c r="F113" i="29" a="1"/>
  <c r="F113" i="29" s="1"/>
  <c r="B123" i="29" a="1"/>
  <c r="B123" i="29" s="1"/>
  <c r="B127" i="29" a="1"/>
  <c r="B127" i="29" s="1"/>
  <c r="C128" i="29" a="1"/>
  <c r="C128" i="29" s="1"/>
  <c r="B130" i="29" a="1"/>
  <c r="B130" i="29" s="1"/>
  <c r="C135" i="29" a="1"/>
  <c r="C135" i="29" s="1"/>
  <c r="F135" i="29" a="1"/>
  <c r="F135" i="29" s="1"/>
  <c r="C140" i="29" a="1"/>
  <c r="C140" i="29" s="1"/>
  <c r="D150" i="29" a="1"/>
  <c r="D150" i="29" s="1"/>
  <c r="B154" i="29" a="1"/>
  <c r="B154" i="29" s="1"/>
  <c r="D158" i="29" a="1"/>
  <c r="D158" i="29" s="1"/>
  <c r="B162" i="29" a="1"/>
  <c r="B162" i="29" s="1"/>
  <c r="B3" i="29" a="1"/>
  <c r="B3" i="29" s="1"/>
  <c r="D3" i="29" a="1"/>
  <c r="D3" i="29" s="1"/>
  <c r="F3" i="29" a="1"/>
  <c r="F3" i="29" s="1"/>
  <c r="B8" i="29" a="1"/>
  <c r="B8" i="29" s="1"/>
  <c r="D8" i="29" a="1"/>
  <c r="D8" i="29" s="1"/>
  <c r="F8" i="29" a="1"/>
  <c r="F8" i="29" s="1"/>
  <c r="B12" i="29" a="1"/>
  <c r="B12" i="29" s="1"/>
  <c r="D12" i="29" a="1"/>
  <c r="D12" i="29" s="1"/>
  <c r="F12" i="29" a="1"/>
  <c r="F12" i="29" s="1"/>
  <c r="B16" i="29" a="1"/>
  <c r="B16" i="29" s="1"/>
  <c r="D16" i="29" a="1"/>
  <c r="D16" i="29" s="1"/>
  <c r="F16" i="29" a="1"/>
  <c r="F16" i="29" s="1"/>
  <c r="B20" i="29" a="1"/>
  <c r="B20" i="29" s="1"/>
  <c r="D20" i="29" a="1"/>
  <c r="D20" i="29" s="1"/>
  <c r="F20" i="29" a="1"/>
  <c r="F20" i="29" s="1"/>
  <c r="B24" i="29" a="1"/>
  <c r="B24" i="29" s="1"/>
  <c r="D24" i="29" a="1"/>
  <c r="D24" i="29" s="1"/>
  <c r="F24" i="29" a="1"/>
  <c r="F24" i="29" s="1"/>
  <c r="B28" i="29" a="1"/>
  <c r="B28" i="29" s="1"/>
  <c r="D28" i="29" a="1"/>
  <c r="D28" i="29" s="1"/>
  <c r="F28" i="29" a="1"/>
  <c r="F28" i="29" s="1"/>
  <c r="B32" i="29" a="1"/>
  <c r="B32" i="29" s="1"/>
  <c r="D32" i="29" a="1"/>
  <c r="D32" i="29" s="1"/>
  <c r="F32" i="29" a="1"/>
  <c r="F32" i="29" s="1"/>
  <c r="B36" i="29" a="1"/>
  <c r="B36" i="29" s="1"/>
  <c r="D36" i="29" a="1"/>
  <c r="D36" i="29" s="1"/>
  <c r="F36" i="29" a="1"/>
  <c r="F36" i="29" s="1"/>
  <c r="B40" i="29" a="1"/>
  <c r="B40" i="29" s="1"/>
  <c r="D40" i="29" a="1"/>
  <c r="D40" i="29" s="1"/>
  <c r="F40" i="29" a="1"/>
  <c r="F40" i="29" s="1"/>
  <c r="B44" i="29" a="1"/>
  <c r="B44" i="29" s="1"/>
  <c r="D44" i="29" a="1"/>
  <c r="D44" i="29" s="1"/>
  <c r="F44" i="29" a="1"/>
  <c r="F44" i="29" s="1"/>
  <c r="B48" i="29" a="1"/>
  <c r="B48" i="29" s="1"/>
  <c r="D48" i="29" a="1"/>
  <c r="D48" i="29" s="1"/>
  <c r="F48" i="29" a="1"/>
  <c r="F48" i="29" s="1"/>
  <c r="F51" i="29" a="1"/>
  <c r="F51" i="29" s="1"/>
  <c r="D51" i="29" a="1"/>
  <c r="D51" i="29" s="1"/>
  <c r="B51" i="29" a="1"/>
  <c r="B51" i="29" s="1"/>
  <c r="E51" i="29" a="1"/>
  <c r="E51" i="29" s="1"/>
  <c r="C51" i="29" a="1"/>
  <c r="C51" i="29" s="1"/>
  <c r="E53" i="29" a="1"/>
  <c r="E53" i="29" s="1"/>
  <c r="C53" i="29" a="1"/>
  <c r="C53" i="29" s="1"/>
  <c r="F53" i="29" a="1"/>
  <c r="F53" i="29" s="1"/>
  <c r="D53" i="29" a="1"/>
  <c r="D53" i="29" s="1"/>
  <c r="B53" i="29" a="1"/>
  <c r="B53" i="29" s="1"/>
  <c r="F55" i="29" a="1"/>
  <c r="F55" i="29" s="1"/>
  <c r="D55" i="29" a="1"/>
  <c r="D55" i="29" s="1"/>
  <c r="B55" i="29" a="1"/>
  <c r="B55" i="29" s="1"/>
  <c r="E55" i="29" a="1"/>
  <c r="E55" i="29" s="1"/>
  <c r="C55" i="29" a="1"/>
  <c r="C55" i="29" s="1"/>
  <c r="E57" i="29" a="1"/>
  <c r="E57" i="29" s="1"/>
  <c r="C57" i="29" a="1"/>
  <c r="C57" i="29" s="1"/>
  <c r="F57" i="29" a="1"/>
  <c r="F57" i="29" s="1"/>
  <c r="D57" i="29" a="1"/>
  <c r="D57" i="29" s="1"/>
  <c r="B57" i="29" a="1"/>
  <c r="B57" i="29" s="1"/>
  <c r="F59" i="29" a="1"/>
  <c r="F59" i="29" s="1"/>
  <c r="D59" i="29" a="1"/>
  <c r="D59" i="29" s="1"/>
  <c r="B59" i="29" a="1"/>
  <c r="B59" i="29" s="1"/>
  <c r="E59" i="29" a="1"/>
  <c r="E59" i="29" s="1"/>
  <c r="C59" i="29" a="1"/>
  <c r="C59" i="29" s="1"/>
  <c r="E61" i="29" a="1"/>
  <c r="E61" i="29" s="1"/>
  <c r="C61" i="29" a="1"/>
  <c r="C61" i="29" s="1"/>
  <c r="F61" i="29" a="1"/>
  <c r="F61" i="29" s="1"/>
  <c r="D61" i="29" a="1"/>
  <c r="D61" i="29" s="1"/>
  <c r="B61" i="29" a="1"/>
  <c r="B61" i="29" s="1"/>
  <c r="E80" i="29" a="1"/>
  <c r="E80" i="29" s="1"/>
  <c r="C80" i="29" a="1"/>
  <c r="C80" i="29" s="1"/>
  <c r="D80" i="29" a="1"/>
  <c r="D80" i="29" s="1"/>
  <c r="F80" i="29" a="1"/>
  <c r="F80" i="29" s="1"/>
  <c r="B80" i="29" a="1"/>
  <c r="B80" i="29" s="1"/>
  <c r="E96" i="29" a="1"/>
  <c r="E96" i="29" s="1"/>
  <c r="C96" i="29" a="1"/>
  <c r="C96" i="29" s="1"/>
  <c r="D96" i="29" a="1"/>
  <c r="D96" i="29" s="1"/>
  <c r="F96" i="29" a="1"/>
  <c r="F96" i="29" s="1"/>
  <c r="B96" i="29" a="1"/>
  <c r="B96" i="29" s="1"/>
  <c r="E112" i="29" a="1"/>
  <c r="E112" i="29" s="1"/>
  <c r="C112" i="29" a="1"/>
  <c r="C112" i="29" s="1"/>
  <c r="D112" i="29" a="1"/>
  <c r="D112" i="29" s="1"/>
  <c r="F112" i="29" a="1"/>
  <c r="F112" i="29" s="1"/>
  <c r="B112" i="29" a="1"/>
  <c r="B112" i="29" s="1"/>
  <c r="C2" i="29" a="1"/>
  <c r="C2" i="29" s="1"/>
  <c r="B4" i="29" a="1"/>
  <c r="B4" i="29" s="1"/>
  <c r="D4" i="29" a="1"/>
  <c r="D4" i="29" s="1"/>
  <c r="B7" i="29" a="1"/>
  <c r="B7" i="29" s="1"/>
  <c r="D7" i="29" a="1"/>
  <c r="D7" i="29" s="1"/>
  <c r="C9" i="29" a="1"/>
  <c r="C9" i="29" s="1"/>
  <c r="B11" i="29" a="1"/>
  <c r="B11" i="29" s="1"/>
  <c r="D11" i="29" a="1"/>
  <c r="D11" i="29" s="1"/>
  <c r="C13" i="29" a="1"/>
  <c r="C13" i="29" s="1"/>
  <c r="B15" i="29" a="1"/>
  <c r="B15" i="29" s="1"/>
  <c r="D15" i="29" a="1"/>
  <c r="D15" i="29" s="1"/>
  <c r="C17" i="29" a="1"/>
  <c r="C17" i="29" s="1"/>
  <c r="B19" i="29" a="1"/>
  <c r="B19" i="29" s="1"/>
  <c r="D19" i="29" a="1"/>
  <c r="D19" i="29" s="1"/>
  <c r="C21" i="29" a="1"/>
  <c r="C21" i="29" s="1"/>
  <c r="B23" i="29" a="1"/>
  <c r="B23" i="29" s="1"/>
  <c r="D23" i="29" a="1"/>
  <c r="D23" i="29" s="1"/>
  <c r="C25" i="29" a="1"/>
  <c r="C25" i="29" s="1"/>
  <c r="B27" i="29" a="1"/>
  <c r="B27" i="29" s="1"/>
  <c r="D27" i="29" a="1"/>
  <c r="D27" i="29" s="1"/>
  <c r="C29" i="29" a="1"/>
  <c r="C29" i="29" s="1"/>
  <c r="B31" i="29" a="1"/>
  <c r="B31" i="29" s="1"/>
  <c r="D31" i="29" a="1"/>
  <c r="D31" i="29" s="1"/>
  <c r="C33" i="29" a="1"/>
  <c r="C33" i="29" s="1"/>
  <c r="B35" i="29" a="1"/>
  <c r="B35" i="29" s="1"/>
  <c r="D35" i="29" a="1"/>
  <c r="D35" i="29" s="1"/>
  <c r="C37" i="29" a="1"/>
  <c r="C37" i="29" s="1"/>
  <c r="B39" i="29" a="1"/>
  <c r="B39" i="29" s="1"/>
  <c r="D39" i="29" a="1"/>
  <c r="D39" i="29" s="1"/>
  <c r="C41" i="29" a="1"/>
  <c r="C41" i="29" s="1"/>
  <c r="B43" i="29" a="1"/>
  <c r="B43" i="29" s="1"/>
  <c r="D43" i="29" a="1"/>
  <c r="D43" i="29" s="1"/>
  <c r="C45" i="29" a="1"/>
  <c r="C45" i="29" s="1"/>
  <c r="B47" i="29" a="1"/>
  <c r="B47" i="29" s="1"/>
  <c r="D47" i="29" a="1"/>
  <c r="D47" i="29" s="1"/>
  <c r="C49" i="29" a="1"/>
  <c r="C49" i="29" s="1"/>
  <c r="E126" i="29" a="1"/>
  <c r="E126" i="29" s="1"/>
  <c r="C126" i="29" a="1"/>
  <c r="C126" i="29" s="1"/>
  <c r="F126" i="29" a="1"/>
  <c r="F126" i="29" s="1"/>
  <c r="B126" i="29" a="1"/>
  <c r="B126" i="29" s="1"/>
  <c r="D126" i="29" a="1"/>
  <c r="D126" i="29" s="1"/>
  <c r="C3" i="29" a="1"/>
  <c r="C3" i="29" s="1"/>
  <c r="C8" i="29" a="1"/>
  <c r="C8" i="29" s="1"/>
  <c r="C12" i="29" a="1"/>
  <c r="C12" i="29" s="1"/>
  <c r="C16" i="29" a="1"/>
  <c r="C16" i="29" s="1"/>
  <c r="C20" i="29" a="1"/>
  <c r="C20" i="29" s="1"/>
  <c r="C24" i="29" a="1"/>
  <c r="C24" i="29" s="1"/>
  <c r="C28" i="29" a="1"/>
  <c r="C28" i="29" s="1"/>
  <c r="C32" i="29" a="1"/>
  <c r="C32" i="29" s="1"/>
  <c r="C36" i="29" a="1"/>
  <c r="C36" i="29" s="1"/>
  <c r="C40" i="29" a="1"/>
  <c r="C40" i="29" s="1"/>
  <c r="C44" i="29" a="1"/>
  <c r="C44" i="29" s="1"/>
  <c r="C48" i="29" a="1"/>
  <c r="C48" i="29" s="1"/>
  <c r="F75" i="29" a="1"/>
  <c r="F75" i="29" s="1"/>
  <c r="D75" i="29" a="1"/>
  <c r="D75" i="29" s="1"/>
  <c r="B75" i="29" a="1"/>
  <c r="B75" i="29" s="1"/>
  <c r="E75" i="29" a="1"/>
  <c r="E75" i="29" s="1"/>
  <c r="C75" i="29" a="1"/>
  <c r="C75" i="29" s="1"/>
  <c r="F91" i="29" a="1"/>
  <c r="F91" i="29" s="1"/>
  <c r="D91" i="29" a="1"/>
  <c r="D91" i="29" s="1"/>
  <c r="B91" i="29" a="1"/>
  <c r="B91" i="29" s="1"/>
  <c r="E91" i="29" a="1"/>
  <c r="E91" i="29" s="1"/>
  <c r="C91" i="29" a="1"/>
  <c r="C91" i="29" s="1"/>
  <c r="F107" i="29" a="1"/>
  <c r="F107" i="29" s="1"/>
  <c r="D107" i="29" a="1"/>
  <c r="D107" i="29" s="1"/>
  <c r="B107" i="29" a="1"/>
  <c r="B107" i="29" s="1"/>
  <c r="E107" i="29" a="1"/>
  <c r="E107" i="29" s="1"/>
  <c r="C107" i="29" a="1"/>
  <c r="C107" i="29" s="1"/>
  <c r="F63" i="29" a="1"/>
  <c r="F63" i="29" s="1"/>
  <c r="D63" i="29" a="1"/>
  <c r="D63" i="29" s="1"/>
  <c r="B63" i="29" a="1"/>
  <c r="B63" i="29" s="1"/>
  <c r="D64" i="29" a="1"/>
  <c r="D64" i="29" s="1"/>
  <c r="E65" i="29" a="1"/>
  <c r="E65" i="29" s="1"/>
  <c r="C65" i="29" a="1"/>
  <c r="C65" i="29" s="1"/>
  <c r="D65" i="29" a="1"/>
  <c r="D65" i="29" s="1"/>
  <c r="F71" i="29" a="1"/>
  <c r="F71" i="29" s="1"/>
  <c r="D71" i="29" a="1"/>
  <c r="D71" i="29" s="1"/>
  <c r="B71" i="29" a="1"/>
  <c r="B71" i="29" s="1"/>
  <c r="E76" i="29" a="1"/>
  <c r="E76" i="29" s="1"/>
  <c r="C76" i="29" a="1"/>
  <c r="C76" i="29" s="1"/>
  <c r="F87" i="29" a="1"/>
  <c r="F87" i="29" s="1"/>
  <c r="D87" i="29" a="1"/>
  <c r="D87" i="29" s="1"/>
  <c r="B87" i="29" a="1"/>
  <c r="B87" i="29" s="1"/>
  <c r="E92" i="29" a="1"/>
  <c r="E92" i="29" s="1"/>
  <c r="C92" i="29" a="1"/>
  <c r="C92" i="29" s="1"/>
  <c r="F103" i="29" a="1"/>
  <c r="F103" i="29" s="1"/>
  <c r="D103" i="29" a="1"/>
  <c r="D103" i="29" s="1"/>
  <c r="B103" i="29" a="1"/>
  <c r="B103" i="29" s="1"/>
  <c r="E108" i="29" a="1"/>
  <c r="E108" i="29" s="1"/>
  <c r="C108" i="29" a="1"/>
  <c r="C108" i="29" s="1"/>
  <c r="F125" i="29" a="1"/>
  <c r="F125" i="29" s="1"/>
  <c r="D125" i="29" a="1"/>
  <c r="D125" i="29" s="1"/>
  <c r="B125" i="29" a="1"/>
  <c r="B125" i="29" s="1"/>
  <c r="E125" i="29" a="1"/>
  <c r="E125" i="29" s="1"/>
  <c r="E134" i="29" a="1"/>
  <c r="E134" i="29" s="1"/>
  <c r="C134" i="29" a="1"/>
  <c r="C134" i="29" s="1"/>
  <c r="F134" i="29" a="1"/>
  <c r="F134" i="29" s="1"/>
  <c r="B134" i="29" a="1"/>
  <c r="B134" i="29" s="1"/>
  <c r="E72" i="29" a="1"/>
  <c r="E72" i="29" s="1"/>
  <c r="C72" i="29" a="1"/>
  <c r="C72" i="29" s="1"/>
  <c r="F83" i="29" a="1"/>
  <c r="F83" i="29" s="1"/>
  <c r="D83" i="29" a="1"/>
  <c r="D83" i="29" s="1"/>
  <c r="B83" i="29" a="1"/>
  <c r="B83" i="29" s="1"/>
  <c r="E88" i="29" a="1"/>
  <c r="E88" i="29" s="1"/>
  <c r="C88" i="29" a="1"/>
  <c r="C88" i="29" s="1"/>
  <c r="F99" i="29" a="1"/>
  <c r="F99" i="29" s="1"/>
  <c r="D99" i="29" a="1"/>
  <c r="D99" i="29" s="1"/>
  <c r="B99" i="29" a="1"/>
  <c r="B99" i="29" s="1"/>
  <c r="E104" i="29" a="1"/>
  <c r="E104" i="29" s="1"/>
  <c r="C104" i="29" a="1"/>
  <c r="C104" i="29" s="1"/>
  <c r="E122" i="29" a="1"/>
  <c r="E122" i="29" s="1"/>
  <c r="C122" i="29" a="1"/>
  <c r="C122" i="29" s="1"/>
  <c r="F122" i="29" a="1"/>
  <c r="F122" i="29" s="1"/>
  <c r="B122" i="29" a="1"/>
  <c r="B122" i="29" s="1"/>
  <c r="F133" i="29" a="1"/>
  <c r="F133" i="29" s="1"/>
  <c r="D133" i="29" a="1"/>
  <c r="D133" i="29" s="1"/>
  <c r="B133" i="29" a="1"/>
  <c r="B133" i="29" s="1"/>
  <c r="E133" i="29" a="1"/>
  <c r="E133" i="29" s="1"/>
  <c r="E142" i="29" a="1"/>
  <c r="E142" i="29" s="1"/>
  <c r="C142" i="29" a="1"/>
  <c r="C142" i="29" s="1"/>
  <c r="F142" i="29" a="1"/>
  <c r="F142" i="29" s="1"/>
  <c r="B142" i="29" a="1"/>
  <c r="B142" i="29" s="1"/>
  <c r="C63" i="29" a="1"/>
  <c r="C63" i="29" s="1"/>
  <c r="F67" i="29" a="1"/>
  <c r="F67" i="29" s="1"/>
  <c r="D67" i="29" a="1"/>
  <c r="D67" i="29" s="1"/>
  <c r="B67" i="29" a="1"/>
  <c r="B67" i="29" s="1"/>
  <c r="E68" i="29" a="1"/>
  <c r="E68" i="29" s="1"/>
  <c r="C68" i="29" a="1"/>
  <c r="C68" i="29" s="1"/>
  <c r="B72" i="29" a="1"/>
  <c r="B72" i="29" s="1"/>
  <c r="F72" i="29" a="1"/>
  <c r="F72" i="29" s="1"/>
  <c r="F79" i="29" a="1"/>
  <c r="F79" i="29" s="1"/>
  <c r="D79" i="29" a="1"/>
  <c r="D79" i="29" s="1"/>
  <c r="B79" i="29" a="1"/>
  <c r="B79" i="29" s="1"/>
  <c r="C83" i="29" a="1"/>
  <c r="C83" i="29" s="1"/>
  <c r="E84" i="29" a="1"/>
  <c r="E84" i="29" s="1"/>
  <c r="C84" i="29" a="1"/>
  <c r="C84" i="29" s="1"/>
  <c r="B88" i="29" a="1"/>
  <c r="B88" i="29" s="1"/>
  <c r="F88" i="29" a="1"/>
  <c r="F88" i="29" s="1"/>
  <c r="F95" i="29" a="1"/>
  <c r="F95" i="29" s="1"/>
  <c r="D95" i="29" a="1"/>
  <c r="D95" i="29" s="1"/>
  <c r="B95" i="29" a="1"/>
  <c r="B95" i="29" s="1"/>
  <c r="C99" i="29" a="1"/>
  <c r="C99" i="29" s="1"/>
  <c r="E100" i="29" a="1"/>
  <c r="E100" i="29" s="1"/>
  <c r="C100" i="29" a="1"/>
  <c r="C100" i="29" s="1"/>
  <c r="B104" i="29" a="1"/>
  <c r="B104" i="29" s="1"/>
  <c r="F104" i="29" a="1"/>
  <c r="F104" i="29" s="1"/>
  <c r="F111" i="29" a="1"/>
  <c r="F111" i="29" s="1"/>
  <c r="D111" i="29" a="1"/>
  <c r="D111" i="29" s="1"/>
  <c r="B111" i="29" a="1"/>
  <c r="B111" i="29" s="1"/>
  <c r="E118" i="29" a="1"/>
  <c r="E118" i="29" s="1"/>
  <c r="C118" i="29" a="1"/>
  <c r="C118" i="29" s="1"/>
  <c r="D118" i="29" a="1"/>
  <c r="D118" i="29" s="1"/>
  <c r="F121" i="29" a="1"/>
  <c r="F121" i="29" s="1"/>
  <c r="D121" i="29" a="1"/>
  <c r="D121" i="29" s="1"/>
  <c r="B121" i="29" a="1"/>
  <c r="B121" i="29" s="1"/>
  <c r="E121" i="29" a="1"/>
  <c r="E121" i="29" s="1"/>
  <c r="D122" i="29" a="1"/>
  <c r="D122" i="29" s="1"/>
  <c r="C133" i="29" a="1"/>
  <c r="C133" i="29" s="1"/>
  <c r="F141" i="29" a="1"/>
  <c r="F141" i="29" s="1"/>
  <c r="D141" i="29" a="1"/>
  <c r="D141" i="29" s="1"/>
  <c r="B141" i="29" a="1"/>
  <c r="B141" i="29" s="1"/>
  <c r="E141" i="29" a="1"/>
  <c r="E141" i="29" s="1"/>
  <c r="D142" i="29" a="1"/>
  <c r="D142" i="29" s="1"/>
  <c r="C69" i="29" a="1"/>
  <c r="C69" i="29" s="1"/>
  <c r="C73" i="29" a="1"/>
  <c r="C73" i="29" s="1"/>
  <c r="C77" i="29" a="1"/>
  <c r="C77" i="29" s="1"/>
  <c r="C81" i="29" a="1"/>
  <c r="C81" i="29" s="1"/>
  <c r="C85" i="29" a="1"/>
  <c r="C85" i="29" s="1"/>
  <c r="C89" i="29" a="1"/>
  <c r="C89" i="29" s="1"/>
  <c r="C93" i="29" a="1"/>
  <c r="C93" i="29" s="1"/>
  <c r="C97" i="29" a="1"/>
  <c r="C97" i="29" s="1"/>
  <c r="C101" i="29" a="1"/>
  <c r="C101" i="29" s="1"/>
  <c r="C105" i="29" a="1"/>
  <c r="C105" i="29" s="1"/>
  <c r="C109" i="29" a="1"/>
  <c r="C109" i="29" s="1"/>
  <c r="C113" i="29" a="1"/>
  <c r="C113" i="29" s="1"/>
  <c r="F129" i="29" a="1"/>
  <c r="F129" i="29" s="1"/>
  <c r="D129" i="29" a="1"/>
  <c r="D129" i="29" s="1"/>
  <c r="B129" i="29" a="1"/>
  <c r="B129" i="29" s="1"/>
  <c r="F137" i="29" a="1"/>
  <c r="F137" i="29" s="1"/>
  <c r="D137" i="29" a="1"/>
  <c r="D137" i="29" s="1"/>
  <c r="B137" i="29" a="1"/>
  <c r="B137" i="29" s="1"/>
  <c r="E145" i="29" a="1"/>
  <c r="E145" i="29" s="1"/>
  <c r="C145" i="29" a="1"/>
  <c r="C145" i="29" s="1"/>
  <c r="B145" i="29" a="1"/>
  <c r="B145" i="29" s="1"/>
  <c r="F117" i="29" a="1"/>
  <c r="F117" i="29" s="1"/>
  <c r="D117" i="29" a="1"/>
  <c r="D117" i="29" s="1"/>
  <c r="B117" i="29" a="1"/>
  <c r="B117" i="29" s="1"/>
  <c r="E130" i="29" a="1"/>
  <c r="E130" i="29" s="1"/>
  <c r="C130" i="29" a="1"/>
  <c r="C130" i="29" s="1"/>
  <c r="E138" i="29" a="1"/>
  <c r="E138" i="29" s="1"/>
  <c r="C138" i="29" a="1"/>
  <c r="C138" i="29" s="1"/>
  <c r="C123" i="29" a="1"/>
  <c r="C123" i="29" s="1"/>
  <c r="B116" i="29" a="1"/>
  <c r="B116" i="29" s="1"/>
  <c r="D116" i="29" a="1"/>
  <c r="D116" i="29" s="1"/>
  <c r="B120" i="29" a="1"/>
  <c r="B120" i="29" s="1"/>
  <c r="D120" i="29" a="1"/>
  <c r="D120" i="29" s="1"/>
  <c r="B124" i="29" a="1"/>
  <c r="B124" i="29" s="1"/>
  <c r="D124" i="29" a="1"/>
  <c r="D124" i="29" s="1"/>
  <c r="B128" i="29" a="1"/>
  <c r="B128" i="29" s="1"/>
  <c r="D128" i="29" a="1"/>
  <c r="D128" i="29" s="1"/>
  <c r="B132" i="29" a="1"/>
  <c r="B132" i="29" s="1"/>
  <c r="D132" i="29" a="1"/>
  <c r="D132" i="29" s="1"/>
  <c r="B136" i="29" a="1"/>
  <c r="B136" i="29" s="1"/>
  <c r="D136" i="29" a="1"/>
  <c r="D136" i="29" s="1"/>
  <c r="B140" i="29" a="1"/>
  <c r="B140" i="29" s="1"/>
  <c r="D140" i="29" a="1"/>
  <c r="D140" i="29" s="1"/>
  <c r="B144" i="29" a="1"/>
  <c r="B144" i="29" s="1"/>
  <c r="D144" i="29" a="1"/>
  <c r="D144" i="29" s="1"/>
  <c r="F147" i="29" a="1"/>
  <c r="F147" i="29" s="1"/>
  <c r="D147" i="29" a="1"/>
  <c r="D147" i="29" s="1"/>
  <c r="B147" i="29" a="1"/>
  <c r="B147" i="29" s="1"/>
  <c r="E149" i="29" a="1"/>
  <c r="E149" i="29" s="1"/>
  <c r="C149" i="29" a="1"/>
  <c r="C149" i="29" s="1"/>
  <c r="F149" i="29" a="1"/>
  <c r="F149" i="29" s="1"/>
  <c r="D149" i="29" a="1"/>
  <c r="D149" i="29" s="1"/>
  <c r="B149" i="29" a="1"/>
  <c r="B149" i="29" s="1"/>
  <c r="F151" i="29" a="1"/>
  <c r="F151" i="29" s="1"/>
  <c r="D151" i="29" a="1"/>
  <c r="D151" i="29" s="1"/>
  <c r="B151" i="29" a="1"/>
  <c r="B151" i="29" s="1"/>
  <c r="E151" i="29" a="1"/>
  <c r="E151" i="29" s="1"/>
  <c r="C151" i="29" a="1"/>
  <c r="C151" i="29" s="1"/>
  <c r="E153" i="29" a="1"/>
  <c r="E153" i="29" s="1"/>
  <c r="C153" i="29" a="1"/>
  <c r="C153" i="29" s="1"/>
  <c r="F153" i="29" a="1"/>
  <c r="F153" i="29" s="1"/>
  <c r="D153" i="29" a="1"/>
  <c r="D153" i="29" s="1"/>
  <c r="B153" i="29" a="1"/>
  <c r="B153" i="29" s="1"/>
  <c r="F155" i="29" a="1"/>
  <c r="F155" i="29" s="1"/>
  <c r="D155" i="29" a="1"/>
  <c r="D155" i="29" s="1"/>
  <c r="B155" i="29" a="1"/>
  <c r="B155" i="29" s="1"/>
  <c r="E155" i="29" a="1"/>
  <c r="E155" i="29" s="1"/>
  <c r="C155" i="29" a="1"/>
  <c r="C155" i="29" s="1"/>
  <c r="E157" i="29" a="1"/>
  <c r="E157" i="29" s="1"/>
  <c r="C157" i="29" a="1"/>
  <c r="C157" i="29" s="1"/>
  <c r="F157" i="29" a="1"/>
  <c r="F157" i="29" s="1"/>
  <c r="D157" i="29" a="1"/>
  <c r="D157" i="29" s="1"/>
  <c r="B157" i="29" a="1"/>
  <c r="B157" i="29" s="1"/>
  <c r="F159" i="29" a="1"/>
  <c r="F159" i="29" s="1"/>
  <c r="D159" i="29" a="1"/>
  <c r="D159" i="29" s="1"/>
  <c r="B159" i="29" a="1"/>
  <c r="B159" i="29" s="1"/>
  <c r="E159" i="29" a="1"/>
  <c r="E159" i="29" s="1"/>
  <c r="C159" i="29" a="1"/>
  <c r="C159" i="29" s="1"/>
  <c r="E161" i="29" a="1"/>
  <c r="E161" i="29" s="1"/>
  <c r="C161" i="29" a="1"/>
  <c r="C161" i="29" s="1"/>
  <c r="F161" i="29" a="1"/>
  <c r="F161" i="29" s="1"/>
  <c r="D161" i="29" a="1"/>
  <c r="D161" i="29" s="1"/>
  <c r="B161" i="29" a="1"/>
  <c r="B161" i="29" s="1"/>
  <c r="F163" i="29" a="1"/>
  <c r="F163" i="29" s="1"/>
  <c r="D163" i="29" a="1"/>
  <c r="D163" i="29" s="1"/>
  <c r="B163" i="29" a="1"/>
  <c r="B163" i="29" s="1"/>
  <c r="E163" i="29" a="1"/>
  <c r="E163" i="29" s="1"/>
  <c r="C163" i="29" a="1"/>
  <c r="C163" i="29" s="1"/>
  <c r="U190" i="6"/>
  <c r="V190" i="6" s="1"/>
  <c r="U173" i="6"/>
  <c r="V173" i="6" s="1"/>
  <c r="U171" i="6"/>
  <c r="U181" i="6"/>
  <c r="V181" i="6" s="1"/>
  <c r="U180" i="6"/>
  <c r="U191" i="6"/>
  <c r="V191" i="6" s="1"/>
  <c r="U189" i="6"/>
  <c r="U172" i="6"/>
  <c r="V172" i="6" s="1"/>
  <c r="U182" i="6"/>
  <c r="V182" i="6" s="1"/>
  <c r="P190" i="6"/>
  <c r="P173" i="6"/>
  <c r="P171" i="6"/>
  <c r="P191" i="6"/>
  <c r="P172" i="6"/>
  <c r="P180" i="6"/>
  <c r="P181" i="6"/>
  <c r="P189" i="6"/>
  <c r="K190" i="6"/>
  <c r="K173" i="6"/>
  <c r="K182" i="6"/>
  <c r="K180" i="6"/>
  <c r="K181" i="6"/>
  <c r="K171" i="6" a="1"/>
  <c r="K171" i="6" s="1"/>
  <c r="K191" i="6"/>
  <c r="K189" i="6"/>
  <c r="K172" i="6"/>
  <c r="F182" i="6" a="1"/>
  <c r="F182" i="6" s="1"/>
  <c r="F171" i="6"/>
  <c r="F189" i="6" a="1"/>
  <c r="F189" i="6" s="1"/>
  <c r="F180" i="6" a="1"/>
  <c r="F180" i="6" s="1"/>
  <c r="F172" i="6"/>
  <c r="G172" i="6" s="1"/>
  <c r="F190" i="6" a="1"/>
  <c r="F190" i="6" s="1"/>
  <c r="F181" i="6" a="1"/>
  <c r="F181" i="6" s="1"/>
  <c r="F191" i="6" a="1"/>
  <c r="F191" i="6" s="1"/>
  <c r="F173" i="6" a="1"/>
  <c r="F173" i="6" s="1"/>
  <c r="G173" i="6" s="1"/>
  <c r="C106" i="6" a="1"/>
  <c r="C106" i="6" s="1"/>
  <c r="E50" i="6" a="1"/>
  <c r="E50" i="6" s="1"/>
  <c r="F57" i="6" a="1"/>
  <c r="F57" i="6" s="1"/>
  <c r="C116" i="6" a="1"/>
  <c r="C116" i="6" s="1"/>
  <c r="D118" i="6" a="1"/>
  <c r="D118" i="6" s="1"/>
  <c r="D116" i="6" a="1"/>
  <c r="D116" i="6" s="1"/>
  <c r="D65" i="6" a="1"/>
  <c r="D65" i="6" s="1"/>
  <c r="C84" i="6" a="1"/>
  <c r="C84" i="6" s="1"/>
  <c r="F114" i="6" a="1"/>
  <c r="F114" i="6" s="1"/>
  <c r="C138" i="6" a="1"/>
  <c r="C138" i="6" s="1"/>
  <c r="B20" i="6" a="1"/>
  <c r="B20" i="6" s="1"/>
  <c r="E30" i="6" a="1"/>
  <c r="E30" i="6" s="1"/>
  <c r="D138" i="6" a="1"/>
  <c r="D138" i="6" s="1"/>
  <c r="F14" i="6" a="1"/>
  <c r="F14" i="6" s="1"/>
  <c r="F24" i="6" a="1"/>
  <c r="F24" i="6" s="1"/>
  <c r="B13" i="6" a="1"/>
  <c r="B13" i="6" s="1"/>
  <c r="E63" i="6" a="1"/>
  <c r="E63" i="6" s="1"/>
  <c r="C134" i="6" a="1"/>
  <c r="C134" i="6" s="1"/>
  <c r="F13" i="6" a="1"/>
  <c r="F13" i="6" s="1"/>
  <c r="F25" i="6" a="1"/>
  <c r="F25" i="6" s="1"/>
  <c r="C42" i="6" a="1"/>
  <c r="C42" i="6" s="1"/>
  <c r="C51" i="6" a="1"/>
  <c r="C51" i="6" s="1"/>
  <c r="C53" i="6" a="1"/>
  <c r="C53" i="6" s="1"/>
  <c r="C55" i="6" a="1"/>
  <c r="C55" i="6" s="1"/>
  <c r="B57" i="6" a="1"/>
  <c r="B57" i="6" s="1"/>
  <c r="D61" i="6" a="1"/>
  <c r="D61" i="6" s="1"/>
  <c r="C74" i="6" a="1"/>
  <c r="C74" i="6" s="1"/>
  <c r="D137" i="6" a="1"/>
  <c r="D137" i="6" s="1"/>
  <c r="E51" i="6" a="1"/>
  <c r="E51" i="6" s="1"/>
  <c r="D53" i="6" a="1"/>
  <c r="D53" i="6" s="1"/>
  <c r="E55" i="6" a="1"/>
  <c r="E55" i="6" s="1"/>
  <c r="C57" i="6" a="1"/>
  <c r="C57" i="6" s="1"/>
  <c r="E74" i="6" a="1"/>
  <c r="E74" i="6" s="1"/>
  <c r="B133" i="6" a="1"/>
  <c r="B133" i="6" s="1"/>
  <c r="E42" i="6" a="1"/>
  <c r="E42" i="6" s="1"/>
  <c r="F45" i="6" a="1"/>
  <c r="F45" i="6" s="1"/>
  <c r="C70" i="6" a="1"/>
  <c r="C70" i="6" s="1"/>
  <c r="E84" i="6" a="1"/>
  <c r="E84" i="6" s="1"/>
  <c r="C97" i="6" a="1"/>
  <c r="C97" i="6" s="1"/>
  <c r="B99" i="6" a="1"/>
  <c r="B99" i="6" s="1"/>
  <c r="F133" i="6" a="1"/>
  <c r="F133" i="6" s="1"/>
  <c r="E134" i="6" a="1"/>
  <c r="E134" i="6" s="1"/>
  <c r="F146" i="6" a="1"/>
  <c r="F146" i="6" s="1"/>
  <c r="F162" i="6" a="1"/>
  <c r="F162" i="6" s="1"/>
  <c r="B14" i="6" a="1"/>
  <c r="B14" i="6" s="1"/>
  <c r="E15" i="6" a="1"/>
  <c r="E15" i="6" s="1"/>
  <c r="F21" i="6" a="1"/>
  <c r="F21" i="6" s="1"/>
  <c r="C63" i="6" a="1"/>
  <c r="C63" i="6" s="1"/>
  <c r="C65" i="6" a="1"/>
  <c r="C65" i="6" s="1"/>
  <c r="E70" i="6" a="1"/>
  <c r="E70" i="6" s="1"/>
  <c r="F91" i="6" a="1"/>
  <c r="F91" i="6" s="1"/>
  <c r="E97" i="6" a="1"/>
  <c r="E97" i="6" s="1"/>
  <c r="D99" i="6" a="1"/>
  <c r="D99" i="6" s="1"/>
  <c r="B106" i="6" a="1"/>
  <c r="B106" i="6" s="1"/>
  <c r="C14" i="6" a="1"/>
  <c r="C14" i="6" s="1"/>
  <c r="E135" i="6" a="1"/>
  <c r="E135" i="6" s="1"/>
  <c r="F154" i="6" a="1"/>
  <c r="F154" i="6" s="1"/>
  <c r="E2" i="6" a="1"/>
  <c r="E2" i="6" s="1"/>
  <c r="B6" i="6" a="1"/>
  <c r="B6" i="6" s="1"/>
  <c r="C11" i="6" a="1"/>
  <c r="C11" i="6" s="1"/>
  <c r="B19" i="6" a="1"/>
  <c r="B19" i="6" s="1"/>
  <c r="D29" i="6" a="1"/>
  <c r="D29" i="6" s="1"/>
  <c r="C33" i="6" a="1"/>
  <c r="C33" i="6" s="1"/>
  <c r="C62" i="6" a="1"/>
  <c r="C62" i="6" s="1"/>
  <c r="D73" i="6" a="1"/>
  <c r="D73" i="6" s="1"/>
  <c r="B83" i="6" a="1"/>
  <c r="B83" i="6" s="1"/>
  <c r="E101" i="6" a="1"/>
  <c r="E101" i="6" s="1"/>
  <c r="C108" i="6" a="1"/>
  <c r="C108" i="6" s="1"/>
  <c r="D110" i="6" a="1"/>
  <c r="D110" i="6" s="1"/>
  <c r="B122" i="6" a="1"/>
  <c r="B122" i="6" s="1"/>
  <c r="B5" i="6" a="1"/>
  <c r="B5" i="6" s="1"/>
  <c r="C6" i="6" a="1"/>
  <c r="C6" i="6" s="1"/>
  <c r="D17" i="6" a="1"/>
  <c r="D17" i="6" s="1"/>
  <c r="E19" i="6" a="1"/>
  <c r="E19" i="6" s="1"/>
  <c r="B21" i="6" a="1"/>
  <c r="B21" i="6" s="1"/>
  <c r="B25" i="6" a="1"/>
  <c r="B25" i="6" s="1"/>
  <c r="E31" i="6" a="1"/>
  <c r="E31" i="6" s="1"/>
  <c r="D33" i="6" a="1"/>
  <c r="D33" i="6" s="1"/>
  <c r="E38" i="6" a="1"/>
  <c r="E38" i="6" s="1"/>
  <c r="C43" i="6" a="1"/>
  <c r="C43" i="6" s="1"/>
  <c r="B45" i="6" a="1"/>
  <c r="B45" i="6" s="1"/>
  <c r="E49" i="6" a="1"/>
  <c r="E49" i="6" s="1"/>
  <c r="E62" i="6" a="1"/>
  <c r="E62" i="6" s="1"/>
  <c r="C75" i="6" a="1"/>
  <c r="C75" i="6" s="1"/>
  <c r="B77" i="6" a="1"/>
  <c r="B77" i="6" s="1"/>
  <c r="D83" i="6" a="1"/>
  <c r="D83" i="6" s="1"/>
  <c r="B87" i="6" a="1"/>
  <c r="B87" i="6" s="1"/>
  <c r="C100" i="6" a="1"/>
  <c r="C100" i="6" s="1"/>
  <c r="F106" i="6" a="1"/>
  <c r="F106" i="6" s="1"/>
  <c r="D108" i="6" a="1"/>
  <c r="D108" i="6" s="1"/>
  <c r="B114" i="6" a="1"/>
  <c r="B114" i="6" s="1"/>
  <c r="C122" i="6" a="1"/>
  <c r="C122" i="6" s="1"/>
  <c r="C124" i="6" a="1"/>
  <c r="C124" i="6" s="1"/>
  <c r="D126" i="6" a="1"/>
  <c r="D126" i="6" s="1"/>
  <c r="D128" i="6" a="1"/>
  <c r="D128" i="6" s="1"/>
  <c r="F134" i="6" a="1"/>
  <c r="F134" i="6" s="1"/>
  <c r="F142" i="6" a="1"/>
  <c r="F142" i="6" s="1"/>
  <c r="F150" i="6" a="1"/>
  <c r="F150" i="6" s="1"/>
  <c r="F158" i="6" a="1"/>
  <c r="F158" i="6" s="1"/>
  <c r="C3" i="6" a="1"/>
  <c r="C3" i="6" s="1"/>
  <c r="F5" i="6" a="1"/>
  <c r="F5" i="6" s="1"/>
  <c r="F6" i="6" a="1"/>
  <c r="F6" i="6" s="1"/>
  <c r="D21" i="6" a="1"/>
  <c r="D21" i="6" s="1"/>
  <c r="C25" i="6" a="1"/>
  <c r="C25" i="6" s="1"/>
  <c r="C30" i="6" a="1"/>
  <c r="C30" i="6" s="1"/>
  <c r="E43" i="6" a="1"/>
  <c r="E43" i="6" s="1"/>
  <c r="C45" i="6" a="1"/>
  <c r="C45" i="6" s="1"/>
  <c r="E75" i="6" a="1"/>
  <c r="E75" i="6" s="1"/>
  <c r="D87" i="6" a="1"/>
  <c r="D87" i="6" s="1"/>
  <c r="E100" i="6" a="1"/>
  <c r="E100" i="6" s="1"/>
  <c r="C114" i="6" a="1"/>
  <c r="C114" i="6" s="1"/>
  <c r="F122" i="6" a="1"/>
  <c r="F122" i="6" s="1"/>
  <c r="D124" i="6" a="1"/>
  <c r="D124" i="6" s="1"/>
  <c r="D10" i="6" a="1"/>
  <c r="D10" i="6" s="1"/>
  <c r="D37" i="6" a="1"/>
  <c r="D37" i="6" s="1"/>
  <c r="C37" i="6" a="1"/>
  <c r="C37" i="6" s="1"/>
  <c r="C41" i="6" a="1"/>
  <c r="C41" i="6" s="1"/>
  <c r="F41" i="6" a="1"/>
  <c r="F41" i="6" s="1"/>
  <c r="B41" i="6" a="1"/>
  <c r="B41" i="6" s="1"/>
  <c r="C2" i="6" a="1"/>
  <c r="C2" i="6" s="1"/>
  <c r="F2" i="6" a="1"/>
  <c r="F2" i="6" s="1"/>
  <c r="E3" i="6" a="1"/>
  <c r="E3" i="6" s="1"/>
  <c r="D5" i="6" a="1"/>
  <c r="D5" i="6" s="1"/>
  <c r="E6" i="6" a="1"/>
  <c r="E6" i="6" s="1"/>
  <c r="C7" i="6" a="1"/>
  <c r="C7" i="6" s="1"/>
  <c r="B9" i="6" a="1"/>
  <c r="B9" i="6" s="1"/>
  <c r="B10" i="6" a="1"/>
  <c r="B10" i="6" s="1"/>
  <c r="D14" i="6" a="1"/>
  <c r="D14" i="6" s="1"/>
  <c r="F17" i="6" a="1"/>
  <c r="F17" i="6" s="1"/>
  <c r="C18" i="6" a="1"/>
  <c r="C18" i="6" s="1"/>
  <c r="C19" i="6" a="1"/>
  <c r="C19" i="6" s="1"/>
  <c r="E21" i="6" a="1"/>
  <c r="E21" i="6" s="1"/>
  <c r="D25" i="6" a="1"/>
  <c r="D25" i="6" s="1"/>
  <c r="F27" i="6" a="1"/>
  <c r="F27" i="6" s="1"/>
  <c r="E27" i="6" a="1"/>
  <c r="E27" i="6" s="1"/>
  <c r="C27" i="6" a="1"/>
  <c r="C27" i="6" s="1"/>
  <c r="F35" i="6" a="1"/>
  <c r="F35" i="6" s="1"/>
  <c r="E35" i="6" a="1"/>
  <c r="E35" i="6" s="1"/>
  <c r="B37" i="6" a="1"/>
  <c r="B37" i="6" s="1"/>
  <c r="D41" i="6" a="1"/>
  <c r="D41" i="6" s="1"/>
  <c r="D69" i="6" a="1"/>
  <c r="D69" i="6" s="1"/>
  <c r="C69" i="6" a="1"/>
  <c r="C69" i="6" s="1"/>
  <c r="F69" i="6" a="1"/>
  <c r="F69" i="6" s="1"/>
  <c r="B69" i="6" a="1"/>
  <c r="B69" i="6" s="1"/>
  <c r="E95" i="6" a="1"/>
  <c r="E95" i="6" s="1"/>
  <c r="F95" i="6" a="1"/>
  <c r="F95" i="6" s="1"/>
  <c r="D95" i="6" a="1"/>
  <c r="D95" i="6" s="1"/>
  <c r="B95" i="6" a="1"/>
  <c r="B95" i="6" s="1"/>
  <c r="D104" i="6" a="1"/>
  <c r="D104" i="6" s="1"/>
  <c r="C104" i="6" a="1"/>
  <c r="C104" i="6" s="1"/>
  <c r="F104" i="6" a="1"/>
  <c r="F104" i="6" s="1"/>
  <c r="B104" i="6" a="1"/>
  <c r="B104" i="6" s="1"/>
  <c r="D132" i="6" a="1"/>
  <c r="D132" i="6" s="1"/>
  <c r="E132" i="6" a="1"/>
  <c r="E132" i="6" s="1"/>
  <c r="B132" i="6" a="1"/>
  <c r="B132" i="6" s="1"/>
  <c r="D2" i="6" a="1"/>
  <c r="D2" i="6" s="1"/>
  <c r="E7" i="6" a="1"/>
  <c r="E7" i="6" s="1"/>
  <c r="D9" i="6" a="1"/>
  <c r="D9" i="6" s="1"/>
  <c r="E10" i="6" a="1"/>
  <c r="E10" i="6" s="1"/>
  <c r="E18" i="6" a="1"/>
  <c r="E18" i="6" s="1"/>
  <c r="E37" i="6" a="1"/>
  <c r="E37" i="6" s="1"/>
  <c r="F39" i="6" a="1"/>
  <c r="F39" i="6" s="1"/>
  <c r="E39" i="6" a="1"/>
  <c r="E39" i="6" s="1"/>
  <c r="C39" i="6" a="1"/>
  <c r="C39" i="6" s="1"/>
  <c r="E41" i="6" a="1"/>
  <c r="E41" i="6" s="1"/>
  <c r="F46" i="6" a="1"/>
  <c r="F46" i="6" s="1"/>
  <c r="E46" i="6" a="1"/>
  <c r="E46" i="6" s="1"/>
  <c r="C46" i="6" a="1"/>
  <c r="C46" i="6" s="1"/>
  <c r="D49" i="6" a="1"/>
  <c r="D49" i="6" s="1"/>
  <c r="C49" i="6" a="1"/>
  <c r="C49" i="6" s="1"/>
  <c r="F66" i="6" a="1"/>
  <c r="F66" i="6" s="1"/>
  <c r="E66" i="6" a="1"/>
  <c r="E66" i="6" s="1"/>
  <c r="C66" i="6" a="1"/>
  <c r="C66" i="6" s="1"/>
  <c r="E79" i="6" a="1"/>
  <c r="E79" i="6" s="1"/>
  <c r="F79" i="6" a="1"/>
  <c r="F79" i="6" s="1"/>
  <c r="D79" i="6" a="1"/>
  <c r="D79" i="6" s="1"/>
  <c r="B79" i="6" a="1"/>
  <c r="B79" i="6" s="1"/>
  <c r="F96" i="6" a="1"/>
  <c r="F96" i="6" s="1"/>
  <c r="E96" i="6" a="1"/>
  <c r="E96" i="6" s="1"/>
  <c r="C96" i="6" a="1"/>
  <c r="C96" i="6" s="1"/>
  <c r="D130" i="6" a="1"/>
  <c r="D130" i="6" s="1"/>
  <c r="C130" i="6" a="1"/>
  <c r="C130" i="6" s="1"/>
  <c r="F130" i="6" a="1"/>
  <c r="F130" i="6" s="1"/>
  <c r="B130" i="6" a="1"/>
  <c r="B130" i="6" s="1"/>
  <c r="F54" i="6" a="1"/>
  <c r="F54" i="6" s="1"/>
  <c r="E54" i="6" a="1"/>
  <c r="E54" i="6" s="1"/>
  <c r="F88" i="6" a="1"/>
  <c r="F88" i="6" s="1"/>
  <c r="C88" i="6" a="1"/>
  <c r="C88" i="6" s="1"/>
  <c r="B88" i="6" a="1"/>
  <c r="B88" i="6" s="1"/>
  <c r="D112" i="6" a="1"/>
  <c r="D112" i="6" s="1"/>
  <c r="C112" i="6" a="1"/>
  <c r="C112" i="6" s="1"/>
  <c r="F112" i="6" a="1"/>
  <c r="F112" i="6" s="1"/>
  <c r="B112" i="6" a="1"/>
  <c r="B112" i="6" s="1"/>
  <c r="F9" i="6" a="1"/>
  <c r="F9" i="6" s="1"/>
  <c r="C10" i="6" a="1"/>
  <c r="C10" i="6" s="1"/>
  <c r="E11" i="6" a="1"/>
  <c r="E11" i="6" s="1"/>
  <c r="D13" i="6" a="1"/>
  <c r="D13" i="6" s="1"/>
  <c r="C15" i="6" a="1"/>
  <c r="C15" i="6" s="1"/>
  <c r="B17" i="6" a="1"/>
  <c r="B17" i="6" s="1"/>
  <c r="B24" i="6" a="1"/>
  <c r="B24" i="6" s="1"/>
  <c r="F26" i="6" a="1"/>
  <c r="F26" i="6" s="1"/>
  <c r="E26" i="6" a="1"/>
  <c r="E26" i="6" s="1"/>
  <c r="C26" i="6" a="1"/>
  <c r="C26" i="6" s="1"/>
  <c r="C29" i="6" a="1"/>
  <c r="C29" i="6" s="1"/>
  <c r="F29" i="6" a="1"/>
  <c r="F29" i="6" s="1"/>
  <c r="B29" i="6" a="1"/>
  <c r="B29" i="6" s="1"/>
  <c r="F34" i="6" a="1"/>
  <c r="F34" i="6" s="1"/>
  <c r="E34" i="6" a="1"/>
  <c r="E34" i="6" s="1"/>
  <c r="F37" i="6" a="1"/>
  <c r="F37" i="6" s="1"/>
  <c r="F47" i="6" a="1"/>
  <c r="F47" i="6" s="1"/>
  <c r="E47" i="6" a="1"/>
  <c r="E47" i="6" s="1"/>
  <c r="B49" i="6" a="1"/>
  <c r="B49" i="6" s="1"/>
  <c r="F67" i="6" a="1"/>
  <c r="F67" i="6" s="1"/>
  <c r="E67" i="6" a="1"/>
  <c r="E67" i="6" s="1"/>
  <c r="C67" i="6" a="1"/>
  <c r="C67" i="6" s="1"/>
  <c r="F80" i="6" a="1"/>
  <c r="F80" i="6" s="1"/>
  <c r="C80" i="6" a="1"/>
  <c r="C80" i="6" s="1"/>
  <c r="B80" i="6" a="1"/>
  <c r="B80" i="6" s="1"/>
  <c r="F93" i="6" a="1"/>
  <c r="F93" i="6" s="1"/>
  <c r="E93" i="6" a="1"/>
  <c r="E93" i="6" s="1"/>
  <c r="C93" i="6" a="1"/>
  <c r="C93" i="6" s="1"/>
  <c r="D120" i="6" a="1"/>
  <c r="D120" i="6" s="1"/>
  <c r="C120" i="6" a="1"/>
  <c r="C120" i="6" s="1"/>
  <c r="F120" i="6" a="1"/>
  <c r="F120" i="6" s="1"/>
  <c r="B120" i="6" a="1"/>
  <c r="B120" i="6" s="1"/>
  <c r="E130" i="6" a="1"/>
  <c r="E130" i="6" s="1"/>
  <c r="E61" i="6" a="1"/>
  <c r="E61" i="6" s="1"/>
  <c r="E73" i="6" a="1"/>
  <c r="E73" i="6" s="1"/>
  <c r="E110" i="6" a="1"/>
  <c r="E110" i="6" s="1"/>
  <c r="E118" i="6" a="1"/>
  <c r="E118" i="6" s="1"/>
  <c r="E126" i="6" a="1"/>
  <c r="E126" i="6" s="1"/>
  <c r="E128" i="6" a="1"/>
  <c r="E128" i="6" s="1"/>
  <c r="E33" i="6" a="1"/>
  <c r="E33" i="6" s="1"/>
  <c r="D45" i="6" a="1"/>
  <c r="D45" i="6" s="1"/>
  <c r="E53" i="6" a="1"/>
  <c r="E53" i="6" s="1"/>
  <c r="D57" i="6" a="1"/>
  <c r="D57" i="6" s="1"/>
  <c r="C58" i="6" a="1"/>
  <c r="C58" i="6" s="1"/>
  <c r="C59" i="6" a="1"/>
  <c r="C59" i="6" s="1"/>
  <c r="B61" i="6" a="1"/>
  <c r="B61" i="6" s="1"/>
  <c r="F61" i="6" a="1"/>
  <c r="F61" i="6" s="1"/>
  <c r="E65" i="6" a="1"/>
  <c r="E65" i="6" s="1"/>
  <c r="C71" i="6" a="1"/>
  <c r="C71" i="6" s="1"/>
  <c r="B73" i="6" a="1"/>
  <c r="B73" i="6" s="1"/>
  <c r="F73" i="6" a="1"/>
  <c r="F73" i="6" s="1"/>
  <c r="F83" i="6" a="1"/>
  <c r="F83" i="6" s="1"/>
  <c r="B91" i="6" a="1"/>
  <c r="B91" i="6" s="1"/>
  <c r="C92" i="6" a="1"/>
  <c r="C92" i="6" s="1"/>
  <c r="F99" i="6" a="1"/>
  <c r="F99" i="6" s="1"/>
  <c r="D106" i="6" a="1"/>
  <c r="D106" i="6" s="1"/>
  <c r="E108" i="6" a="1"/>
  <c r="E108" i="6" s="1"/>
  <c r="B110" i="6" a="1"/>
  <c r="B110" i="6" s="1"/>
  <c r="F110" i="6" a="1"/>
  <c r="F110" i="6" s="1"/>
  <c r="D114" i="6" a="1"/>
  <c r="D114" i="6" s="1"/>
  <c r="E116" i="6" a="1"/>
  <c r="E116" i="6" s="1"/>
  <c r="B118" i="6" a="1"/>
  <c r="B118" i="6" s="1"/>
  <c r="F118" i="6" a="1"/>
  <c r="F118" i="6" s="1"/>
  <c r="D122" i="6" a="1"/>
  <c r="D122" i="6" s="1"/>
  <c r="E124" i="6" a="1"/>
  <c r="E124" i="6" s="1"/>
  <c r="B126" i="6" a="1"/>
  <c r="B126" i="6" s="1"/>
  <c r="F126" i="6" a="1"/>
  <c r="F126" i="6" s="1"/>
  <c r="B128" i="6" a="1"/>
  <c r="B128" i="6" s="1"/>
  <c r="F128" i="6" a="1"/>
  <c r="F128" i="6" s="1"/>
  <c r="D134" i="6" a="1"/>
  <c r="D134" i="6" s="1"/>
  <c r="C139" i="6" a="1"/>
  <c r="C139" i="6" s="1"/>
  <c r="C140" i="6" a="1"/>
  <c r="C140" i="6" s="1"/>
  <c r="B142" i="6" a="1"/>
  <c r="B142" i="6" s="1"/>
  <c r="C143" i="6" a="1"/>
  <c r="C143" i="6" s="1"/>
  <c r="C144" i="6" a="1"/>
  <c r="C144" i="6" s="1"/>
  <c r="B146" i="6" a="1"/>
  <c r="B146" i="6" s="1"/>
  <c r="C147" i="6" a="1"/>
  <c r="C147" i="6" s="1"/>
  <c r="C148" i="6" a="1"/>
  <c r="C148" i="6" s="1"/>
  <c r="B150" i="6" a="1"/>
  <c r="B150" i="6" s="1"/>
  <c r="C151" i="6" a="1"/>
  <c r="C151" i="6" s="1"/>
  <c r="C152" i="6" a="1"/>
  <c r="C152" i="6" s="1"/>
  <c r="B154" i="6" a="1"/>
  <c r="B154" i="6" s="1"/>
  <c r="C155" i="6" a="1"/>
  <c r="C155" i="6" s="1"/>
  <c r="C156" i="6" a="1"/>
  <c r="C156" i="6" s="1"/>
  <c r="B158" i="6" a="1"/>
  <c r="B158" i="6" s="1"/>
  <c r="C159" i="6" a="1"/>
  <c r="C159" i="6" s="1"/>
  <c r="C160" i="6" a="1"/>
  <c r="C160" i="6" s="1"/>
  <c r="B162" i="6" a="1"/>
  <c r="B162" i="6" s="1"/>
  <c r="C163" i="6" a="1"/>
  <c r="C163" i="6" s="1"/>
  <c r="C164" i="6" a="1"/>
  <c r="C164" i="6" s="1"/>
  <c r="C31" i="6" a="1"/>
  <c r="C31" i="6" s="1"/>
  <c r="B33" i="6" a="1"/>
  <c r="B33" i="6" s="1"/>
  <c r="C38" i="6" a="1"/>
  <c r="C38" i="6" s="1"/>
  <c r="C50" i="6" a="1"/>
  <c r="C50" i="6" s="1"/>
  <c r="B53" i="6" a="1"/>
  <c r="B53" i="6" s="1"/>
  <c r="E58" i="6" a="1"/>
  <c r="E58" i="6" s="1"/>
  <c r="E59" i="6" a="1"/>
  <c r="E59" i="6" s="1"/>
  <c r="B65" i="6" a="1"/>
  <c r="B65" i="6" s="1"/>
  <c r="E71" i="6" a="1"/>
  <c r="E71" i="6" s="1"/>
  <c r="F87" i="6" a="1"/>
  <c r="F87" i="6" s="1"/>
  <c r="D91" i="6" a="1"/>
  <c r="D91" i="6" s="1"/>
  <c r="E92" i="6" a="1"/>
  <c r="E92" i="6" s="1"/>
  <c r="C101" i="6" a="1"/>
  <c r="C101" i="6" s="1"/>
  <c r="B103" i="6" a="1"/>
  <c r="B103" i="6" s="1"/>
  <c r="B108" i="6" a="1"/>
  <c r="B108" i="6" s="1"/>
  <c r="B116" i="6" a="1"/>
  <c r="B116" i="6" s="1"/>
  <c r="B124" i="6" a="1"/>
  <c r="B124" i="6" s="1"/>
  <c r="E131" i="6" a="1"/>
  <c r="E131" i="6" s="1"/>
  <c r="C135" i="6" a="1"/>
  <c r="C135" i="6" s="1"/>
  <c r="B138" i="6" a="1"/>
  <c r="B138" i="6" s="1"/>
  <c r="F138" i="6" a="1"/>
  <c r="F138" i="6" s="1"/>
  <c r="E139" i="6" a="1"/>
  <c r="E139" i="6" s="1"/>
  <c r="E140" i="6" a="1"/>
  <c r="E140" i="6" s="1"/>
  <c r="D142" i="6" a="1"/>
  <c r="D142" i="6" s="1"/>
  <c r="E143" i="6" a="1"/>
  <c r="E143" i="6" s="1"/>
  <c r="E144" i="6" a="1"/>
  <c r="E144" i="6" s="1"/>
  <c r="D146" i="6" a="1"/>
  <c r="D146" i="6" s="1"/>
  <c r="E147" i="6" a="1"/>
  <c r="E147" i="6" s="1"/>
  <c r="E148" i="6" a="1"/>
  <c r="E148" i="6" s="1"/>
  <c r="D150" i="6" a="1"/>
  <c r="D150" i="6" s="1"/>
  <c r="E151" i="6" a="1"/>
  <c r="E151" i="6" s="1"/>
  <c r="E152" i="6" a="1"/>
  <c r="E152" i="6" s="1"/>
  <c r="D154" i="6" a="1"/>
  <c r="D154" i="6" s="1"/>
  <c r="E155" i="6" a="1"/>
  <c r="E155" i="6" s="1"/>
  <c r="E156" i="6" a="1"/>
  <c r="E156" i="6" s="1"/>
  <c r="D158" i="6" a="1"/>
  <c r="D158" i="6" s="1"/>
  <c r="E159" i="6" a="1"/>
  <c r="E159" i="6" s="1"/>
  <c r="E160" i="6" a="1"/>
  <c r="E160" i="6" s="1"/>
  <c r="D162" i="6" a="1"/>
  <c r="D162" i="6" s="1"/>
  <c r="E163" i="6" a="1"/>
  <c r="E163" i="6" s="1"/>
  <c r="E164" i="6" a="1"/>
  <c r="E164" i="6" s="1"/>
  <c r="B4" i="6" a="1"/>
  <c r="B4" i="6" s="1"/>
  <c r="D4" i="6" a="1"/>
  <c r="D4" i="6" s="1"/>
  <c r="F4" i="6" a="1"/>
  <c r="F4" i="6" s="1"/>
  <c r="B8" i="6" a="1"/>
  <c r="B8" i="6" s="1"/>
  <c r="D8" i="6" a="1"/>
  <c r="D8" i="6" s="1"/>
  <c r="F8" i="6" a="1"/>
  <c r="F8" i="6" s="1"/>
  <c r="B12" i="6" a="1"/>
  <c r="B12" i="6" s="1"/>
  <c r="D12" i="6" a="1"/>
  <c r="D12" i="6" s="1"/>
  <c r="F12" i="6" a="1"/>
  <c r="F12" i="6" s="1"/>
  <c r="B16" i="6" a="1"/>
  <c r="B16" i="6" s="1"/>
  <c r="D16" i="6" a="1"/>
  <c r="D16" i="6" s="1"/>
  <c r="F16" i="6" a="1"/>
  <c r="F16" i="6" s="1"/>
  <c r="F22" i="6" a="1"/>
  <c r="F22" i="6" s="1"/>
  <c r="D22" i="6" a="1"/>
  <c r="D22" i="6" s="1"/>
  <c r="B22" i="6" a="1"/>
  <c r="B22" i="6" s="1"/>
  <c r="F23" i="6" a="1"/>
  <c r="F23" i="6" s="1"/>
  <c r="D23" i="6" a="1"/>
  <c r="D23" i="6" s="1"/>
  <c r="E23" i="6" a="1"/>
  <c r="E23" i="6" s="1"/>
  <c r="E32" i="6" a="1"/>
  <c r="E32" i="6" s="1"/>
  <c r="C32" i="6" a="1"/>
  <c r="C32" i="6" s="1"/>
  <c r="F32" i="6" a="1"/>
  <c r="F32" i="6" s="1"/>
  <c r="D32" i="6" a="1"/>
  <c r="D32" i="6" s="1"/>
  <c r="B32" i="6" a="1"/>
  <c r="B32" i="6" s="1"/>
  <c r="E40" i="6" a="1"/>
  <c r="E40" i="6" s="1"/>
  <c r="C40" i="6" a="1"/>
  <c r="C40" i="6" s="1"/>
  <c r="F40" i="6" a="1"/>
  <c r="F40" i="6" s="1"/>
  <c r="D40" i="6" a="1"/>
  <c r="D40" i="6" s="1"/>
  <c r="B40" i="6" a="1"/>
  <c r="B40" i="6" s="1"/>
  <c r="E48" i="6" a="1"/>
  <c r="E48" i="6" s="1"/>
  <c r="C48" i="6" a="1"/>
  <c r="C48" i="6" s="1"/>
  <c r="F48" i="6" a="1"/>
  <c r="F48" i="6" s="1"/>
  <c r="D48" i="6" a="1"/>
  <c r="D48" i="6" s="1"/>
  <c r="B48" i="6" a="1"/>
  <c r="B48" i="6" s="1"/>
  <c r="E56" i="6" a="1"/>
  <c r="E56" i="6" s="1"/>
  <c r="C56" i="6" a="1"/>
  <c r="C56" i="6" s="1"/>
  <c r="F56" i="6" a="1"/>
  <c r="F56" i="6" s="1"/>
  <c r="D56" i="6" a="1"/>
  <c r="D56" i="6" s="1"/>
  <c r="B56" i="6" a="1"/>
  <c r="B56" i="6" s="1"/>
  <c r="E64" i="6" a="1"/>
  <c r="E64" i="6" s="1"/>
  <c r="C64" i="6" a="1"/>
  <c r="C64" i="6" s="1"/>
  <c r="F64" i="6" a="1"/>
  <c r="F64" i="6" s="1"/>
  <c r="D64" i="6" a="1"/>
  <c r="D64" i="6" s="1"/>
  <c r="B64" i="6" a="1"/>
  <c r="B64" i="6" s="1"/>
  <c r="E72" i="6" a="1"/>
  <c r="E72" i="6" s="1"/>
  <c r="C72" i="6" a="1"/>
  <c r="C72" i="6" s="1"/>
  <c r="F72" i="6" a="1"/>
  <c r="F72" i="6" s="1"/>
  <c r="D72" i="6" a="1"/>
  <c r="D72" i="6" s="1"/>
  <c r="B72" i="6" a="1"/>
  <c r="B72" i="6" s="1"/>
  <c r="B3" i="6" a="1"/>
  <c r="B3" i="6" s="1"/>
  <c r="D3" i="6" a="1"/>
  <c r="D3" i="6" s="1"/>
  <c r="C5" i="6" a="1"/>
  <c r="C5" i="6" s="1"/>
  <c r="B7" i="6" a="1"/>
  <c r="B7" i="6" s="1"/>
  <c r="D7" i="6" a="1"/>
  <c r="D7" i="6" s="1"/>
  <c r="C9" i="6" a="1"/>
  <c r="C9" i="6" s="1"/>
  <c r="B11" i="6" a="1"/>
  <c r="B11" i="6" s="1"/>
  <c r="D11" i="6" a="1"/>
  <c r="D11" i="6" s="1"/>
  <c r="C13" i="6" a="1"/>
  <c r="C13" i="6" s="1"/>
  <c r="B15" i="6" a="1"/>
  <c r="B15" i="6" s="1"/>
  <c r="D15" i="6" a="1"/>
  <c r="D15" i="6" s="1"/>
  <c r="C17" i="6" a="1"/>
  <c r="C17" i="6" s="1"/>
  <c r="F18" i="6" a="1"/>
  <c r="F18" i="6" s="1"/>
  <c r="D18" i="6" a="1"/>
  <c r="D18" i="6" s="1"/>
  <c r="F19" i="6" a="1"/>
  <c r="F19" i="6" s="1"/>
  <c r="E22" i="6" a="1"/>
  <c r="E22" i="6" s="1"/>
  <c r="B23" i="6" a="1"/>
  <c r="B23" i="6" s="1"/>
  <c r="C4" i="6" a="1"/>
  <c r="C4" i="6" s="1"/>
  <c r="C8" i="6" a="1"/>
  <c r="C8" i="6" s="1"/>
  <c r="C12" i="6" a="1"/>
  <c r="C12" i="6" s="1"/>
  <c r="C16" i="6" a="1"/>
  <c r="C16" i="6" s="1"/>
  <c r="E20" i="6" a="1"/>
  <c r="E20" i="6" s="1"/>
  <c r="C20" i="6" a="1"/>
  <c r="C20" i="6" s="1"/>
  <c r="D20" i="6" a="1"/>
  <c r="D20" i="6" s="1"/>
  <c r="C22" i="6" a="1"/>
  <c r="C22" i="6" s="1"/>
  <c r="C23" i="6" a="1"/>
  <c r="C23" i="6" s="1"/>
  <c r="E24" i="6" a="1"/>
  <c r="E24" i="6" s="1"/>
  <c r="C24" i="6" a="1"/>
  <c r="C24" i="6" s="1"/>
  <c r="E28" i="6" a="1"/>
  <c r="E28" i="6" s="1"/>
  <c r="C28" i="6" a="1"/>
  <c r="C28" i="6" s="1"/>
  <c r="F28" i="6" a="1"/>
  <c r="F28" i="6" s="1"/>
  <c r="D28" i="6" a="1"/>
  <c r="D28" i="6" s="1"/>
  <c r="B28" i="6" a="1"/>
  <c r="B28" i="6" s="1"/>
  <c r="E36" i="6" a="1"/>
  <c r="E36" i="6" s="1"/>
  <c r="C36" i="6" a="1"/>
  <c r="C36" i="6" s="1"/>
  <c r="F36" i="6" a="1"/>
  <c r="F36" i="6" s="1"/>
  <c r="D36" i="6" a="1"/>
  <c r="D36" i="6" s="1"/>
  <c r="B36" i="6" a="1"/>
  <c r="B36" i="6" s="1"/>
  <c r="E44" i="6" a="1"/>
  <c r="E44" i="6" s="1"/>
  <c r="C44" i="6" a="1"/>
  <c r="C44" i="6" s="1"/>
  <c r="F44" i="6" a="1"/>
  <c r="F44" i="6" s="1"/>
  <c r="D44" i="6" a="1"/>
  <c r="D44" i="6" s="1"/>
  <c r="B44" i="6" a="1"/>
  <c r="B44" i="6" s="1"/>
  <c r="E52" i="6" a="1"/>
  <c r="E52" i="6" s="1"/>
  <c r="C52" i="6" a="1"/>
  <c r="C52" i="6" s="1"/>
  <c r="F52" i="6" a="1"/>
  <c r="F52" i="6" s="1"/>
  <c r="D52" i="6" a="1"/>
  <c r="D52" i="6" s="1"/>
  <c r="B52" i="6" a="1"/>
  <c r="B52" i="6" s="1"/>
  <c r="E60" i="6" a="1"/>
  <c r="E60" i="6" s="1"/>
  <c r="C60" i="6" a="1"/>
  <c r="C60" i="6" s="1"/>
  <c r="F60" i="6" a="1"/>
  <c r="F60" i="6" s="1"/>
  <c r="D60" i="6" a="1"/>
  <c r="D60" i="6" s="1"/>
  <c r="B60" i="6" a="1"/>
  <c r="B60" i="6" s="1"/>
  <c r="E68" i="6" a="1"/>
  <c r="E68" i="6" s="1"/>
  <c r="C68" i="6" a="1"/>
  <c r="C68" i="6" s="1"/>
  <c r="F68" i="6" a="1"/>
  <c r="F68" i="6" s="1"/>
  <c r="D68" i="6" a="1"/>
  <c r="D68" i="6" s="1"/>
  <c r="B68" i="6" a="1"/>
  <c r="B68" i="6" s="1"/>
  <c r="E76" i="6" a="1"/>
  <c r="E76" i="6" s="1"/>
  <c r="C76" i="6" a="1"/>
  <c r="C76" i="6" s="1"/>
  <c r="F76" i="6" a="1"/>
  <c r="F76" i="6" s="1"/>
  <c r="D76" i="6" a="1"/>
  <c r="D76" i="6" s="1"/>
  <c r="B76" i="6" a="1"/>
  <c r="B76" i="6" s="1"/>
  <c r="E78" i="6" a="1"/>
  <c r="E78" i="6" s="1"/>
  <c r="C78" i="6" a="1"/>
  <c r="C78" i="6" s="1"/>
  <c r="F81" i="6" a="1"/>
  <c r="F81" i="6" s="1"/>
  <c r="D81" i="6" a="1"/>
  <c r="D81" i="6" s="1"/>
  <c r="B81" i="6" a="1"/>
  <c r="B81" i="6" s="1"/>
  <c r="F85" i="6" a="1"/>
  <c r="F85" i="6" s="1"/>
  <c r="D85" i="6" a="1"/>
  <c r="D85" i="6" s="1"/>
  <c r="B85" i="6" a="1"/>
  <c r="B85" i="6" s="1"/>
  <c r="E129" i="6" a="1"/>
  <c r="E129" i="6" s="1"/>
  <c r="C129" i="6" a="1"/>
  <c r="C129" i="6" s="1"/>
  <c r="F129" i="6" a="1"/>
  <c r="F129" i="6" s="1"/>
  <c r="D129" i="6" a="1"/>
  <c r="D129" i="6" s="1"/>
  <c r="B129" i="6" a="1"/>
  <c r="B129" i="6" s="1"/>
  <c r="B27" i="6" a="1"/>
  <c r="B27" i="6" s="1"/>
  <c r="D27" i="6" a="1"/>
  <c r="D27" i="6" s="1"/>
  <c r="B31" i="6" a="1"/>
  <c r="B31" i="6" s="1"/>
  <c r="D31" i="6" a="1"/>
  <c r="D31" i="6" s="1"/>
  <c r="B35" i="6" a="1"/>
  <c r="B35" i="6" s="1"/>
  <c r="D35" i="6" a="1"/>
  <c r="D35" i="6" s="1"/>
  <c r="B39" i="6" a="1"/>
  <c r="B39" i="6" s="1"/>
  <c r="D39" i="6" a="1"/>
  <c r="D39" i="6" s="1"/>
  <c r="B43" i="6" a="1"/>
  <c r="B43" i="6" s="1"/>
  <c r="D43" i="6" a="1"/>
  <c r="D43" i="6" s="1"/>
  <c r="B47" i="6" a="1"/>
  <c r="B47" i="6" s="1"/>
  <c r="D47" i="6" a="1"/>
  <c r="D47" i="6" s="1"/>
  <c r="B51" i="6" a="1"/>
  <c r="B51" i="6" s="1"/>
  <c r="D51" i="6" a="1"/>
  <c r="D51" i="6" s="1"/>
  <c r="B55" i="6" a="1"/>
  <c r="B55" i="6" s="1"/>
  <c r="D55" i="6" a="1"/>
  <c r="D55" i="6" s="1"/>
  <c r="B59" i="6" a="1"/>
  <c r="B59" i="6" s="1"/>
  <c r="D59" i="6" a="1"/>
  <c r="D59" i="6" s="1"/>
  <c r="B63" i="6" a="1"/>
  <c r="B63" i="6" s="1"/>
  <c r="D63" i="6" a="1"/>
  <c r="D63" i="6" s="1"/>
  <c r="B67" i="6" a="1"/>
  <c r="B67" i="6" s="1"/>
  <c r="D67" i="6" a="1"/>
  <c r="D67" i="6" s="1"/>
  <c r="B71" i="6" a="1"/>
  <c r="B71" i="6" s="1"/>
  <c r="D71" i="6" a="1"/>
  <c r="D71" i="6" s="1"/>
  <c r="B75" i="6" a="1"/>
  <c r="B75" i="6" s="1"/>
  <c r="D75" i="6" a="1"/>
  <c r="D75" i="6" s="1"/>
  <c r="B78" i="6" a="1"/>
  <c r="B78" i="6" s="1"/>
  <c r="F78" i="6" a="1"/>
  <c r="F78" i="6" s="1"/>
  <c r="C81" i="6" a="1"/>
  <c r="C81" i="6" s="1"/>
  <c r="E82" i="6" a="1"/>
  <c r="E82" i="6" s="1"/>
  <c r="C82" i="6" a="1"/>
  <c r="C82" i="6" s="1"/>
  <c r="C85" i="6" a="1"/>
  <c r="C85" i="6" s="1"/>
  <c r="E86" i="6" a="1"/>
  <c r="E86" i="6" s="1"/>
  <c r="C86" i="6" a="1"/>
  <c r="C86" i="6" s="1"/>
  <c r="F89" i="6" a="1"/>
  <c r="F89" i="6" s="1"/>
  <c r="D89" i="6" a="1"/>
  <c r="D89" i="6" s="1"/>
  <c r="B89" i="6" a="1"/>
  <c r="B89" i="6" s="1"/>
  <c r="E90" i="6" a="1"/>
  <c r="E90" i="6" s="1"/>
  <c r="C90" i="6" a="1"/>
  <c r="C90" i="6" s="1"/>
  <c r="F90" i="6" a="1"/>
  <c r="F90" i="6" s="1"/>
  <c r="D90" i="6" a="1"/>
  <c r="D90" i="6" s="1"/>
  <c r="B90" i="6" a="1"/>
  <c r="B90" i="6" s="1"/>
  <c r="E94" i="6" a="1"/>
  <c r="E94" i="6" s="1"/>
  <c r="C94" i="6" a="1"/>
  <c r="C94" i="6" s="1"/>
  <c r="F94" i="6" a="1"/>
  <c r="F94" i="6" s="1"/>
  <c r="D94" i="6" a="1"/>
  <c r="D94" i="6" s="1"/>
  <c r="B94" i="6" a="1"/>
  <c r="B94" i="6" s="1"/>
  <c r="E98" i="6" a="1"/>
  <c r="E98" i="6" s="1"/>
  <c r="C98" i="6" a="1"/>
  <c r="C98" i="6" s="1"/>
  <c r="F98" i="6" a="1"/>
  <c r="F98" i="6" s="1"/>
  <c r="D98" i="6" a="1"/>
  <c r="D98" i="6" s="1"/>
  <c r="B98" i="6" a="1"/>
  <c r="B98" i="6" s="1"/>
  <c r="E102" i="6" a="1"/>
  <c r="E102" i="6" s="1"/>
  <c r="C102" i="6" a="1"/>
  <c r="C102" i="6" s="1"/>
  <c r="F102" i="6" a="1"/>
  <c r="F102" i="6" s="1"/>
  <c r="D102" i="6" a="1"/>
  <c r="D102" i="6" s="1"/>
  <c r="B102" i="6" a="1"/>
  <c r="B102" i="6" s="1"/>
  <c r="B26" i="6" a="1"/>
  <c r="B26" i="6" s="1"/>
  <c r="D26" i="6" a="1"/>
  <c r="D26" i="6" s="1"/>
  <c r="B30" i="6" a="1"/>
  <c r="B30" i="6" s="1"/>
  <c r="D30" i="6" a="1"/>
  <c r="D30" i="6" s="1"/>
  <c r="B34" i="6" a="1"/>
  <c r="B34" i="6" s="1"/>
  <c r="D34" i="6" a="1"/>
  <c r="D34" i="6" s="1"/>
  <c r="B38" i="6" a="1"/>
  <c r="B38" i="6" s="1"/>
  <c r="D38" i="6" a="1"/>
  <c r="D38" i="6" s="1"/>
  <c r="B42" i="6" a="1"/>
  <c r="B42" i="6" s="1"/>
  <c r="D42" i="6" a="1"/>
  <c r="D42" i="6" s="1"/>
  <c r="B46" i="6" a="1"/>
  <c r="B46" i="6" s="1"/>
  <c r="D46" i="6" a="1"/>
  <c r="D46" i="6" s="1"/>
  <c r="B50" i="6" a="1"/>
  <c r="B50" i="6" s="1"/>
  <c r="D50" i="6" a="1"/>
  <c r="D50" i="6" s="1"/>
  <c r="B54" i="6" a="1"/>
  <c r="B54" i="6" s="1"/>
  <c r="D54" i="6" a="1"/>
  <c r="D54" i="6" s="1"/>
  <c r="B58" i="6" a="1"/>
  <c r="B58" i="6" s="1"/>
  <c r="D58" i="6" a="1"/>
  <c r="D58" i="6" s="1"/>
  <c r="B62" i="6" a="1"/>
  <c r="B62" i="6" s="1"/>
  <c r="D62" i="6" a="1"/>
  <c r="D62" i="6" s="1"/>
  <c r="B66" i="6" a="1"/>
  <c r="B66" i="6" s="1"/>
  <c r="D66" i="6" a="1"/>
  <c r="D66" i="6" s="1"/>
  <c r="B70" i="6" a="1"/>
  <c r="B70" i="6" s="1"/>
  <c r="D70" i="6" a="1"/>
  <c r="D70" i="6" s="1"/>
  <c r="B74" i="6" a="1"/>
  <c r="B74" i="6" s="1"/>
  <c r="D74" i="6" a="1"/>
  <c r="D74" i="6" s="1"/>
  <c r="F77" i="6" a="1"/>
  <c r="F77" i="6" s="1"/>
  <c r="D77" i="6" a="1"/>
  <c r="D77" i="6" s="1"/>
  <c r="E77" i="6" a="1"/>
  <c r="E77" i="6" s="1"/>
  <c r="B82" i="6" a="1"/>
  <c r="B82" i="6" s="1"/>
  <c r="F82" i="6" a="1"/>
  <c r="F82" i="6" s="1"/>
  <c r="B86" i="6" a="1"/>
  <c r="B86" i="6" s="1"/>
  <c r="F86" i="6" a="1"/>
  <c r="F86" i="6" s="1"/>
  <c r="C89" i="6" a="1"/>
  <c r="C89" i="6" s="1"/>
  <c r="E149" i="6" a="1"/>
  <c r="E149" i="6" s="1"/>
  <c r="C149" i="6" a="1"/>
  <c r="C149" i="6" s="1"/>
  <c r="F149" i="6" a="1"/>
  <c r="F149" i="6" s="1"/>
  <c r="D149" i="6" a="1"/>
  <c r="D149" i="6" s="1"/>
  <c r="B149" i="6" a="1"/>
  <c r="B149" i="6" s="1"/>
  <c r="E105" i="6" a="1"/>
  <c r="E105" i="6" s="1"/>
  <c r="C105" i="6" a="1"/>
  <c r="C105" i="6" s="1"/>
  <c r="F105" i="6" a="1"/>
  <c r="F105" i="6" s="1"/>
  <c r="D105" i="6" a="1"/>
  <c r="D105" i="6" s="1"/>
  <c r="B105" i="6" a="1"/>
  <c r="B105" i="6" s="1"/>
  <c r="F107" i="6" a="1"/>
  <c r="F107" i="6" s="1"/>
  <c r="D107" i="6" a="1"/>
  <c r="D107" i="6" s="1"/>
  <c r="B107" i="6" a="1"/>
  <c r="B107" i="6" s="1"/>
  <c r="E107" i="6" a="1"/>
  <c r="E107" i="6" s="1"/>
  <c r="C107" i="6" a="1"/>
  <c r="C107" i="6" s="1"/>
  <c r="E109" i="6" a="1"/>
  <c r="E109" i="6" s="1"/>
  <c r="C109" i="6" a="1"/>
  <c r="C109" i="6" s="1"/>
  <c r="F109" i="6" a="1"/>
  <c r="F109" i="6" s="1"/>
  <c r="D109" i="6" a="1"/>
  <c r="D109" i="6" s="1"/>
  <c r="B109" i="6" a="1"/>
  <c r="B109" i="6" s="1"/>
  <c r="F111" i="6" a="1"/>
  <c r="F111" i="6" s="1"/>
  <c r="D111" i="6" a="1"/>
  <c r="D111" i="6" s="1"/>
  <c r="B111" i="6" a="1"/>
  <c r="B111" i="6" s="1"/>
  <c r="E111" i="6" a="1"/>
  <c r="E111" i="6" s="1"/>
  <c r="C111" i="6" a="1"/>
  <c r="C111" i="6" s="1"/>
  <c r="E113" i="6" a="1"/>
  <c r="E113" i="6" s="1"/>
  <c r="C113" i="6" a="1"/>
  <c r="C113" i="6" s="1"/>
  <c r="F113" i="6" a="1"/>
  <c r="F113" i="6" s="1"/>
  <c r="D113" i="6" a="1"/>
  <c r="D113" i="6" s="1"/>
  <c r="B113" i="6" a="1"/>
  <c r="B113" i="6" s="1"/>
  <c r="F115" i="6" a="1"/>
  <c r="F115" i="6" s="1"/>
  <c r="D115" i="6" a="1"/>
  <c r="D115" i="6" s="1"/>
  <c r="B115" i="6" a="1"/>
  <c r="B115" i="6" s="1"/>
  <c r="E115" i="6" a="1"/>
  <c r="E115" i="6" s="1"/>
  <c r="C115" i="6" a="1"/>
  <c r="C115" i="6" s="1"/>
  <c r="E125" i="6" a="1"/>
  <c r="E125" i="6" s="1"/>
  <c r="C125" i="6" a="1"/>
  <c r="C125" i="6" s="1"/>
  <c r="F125" i="6" a="1"/>
  <c r="F125" i="6" s="1"/>
  <c r="D125" i="6" a="1"/>
  <c r="D125" i="6" s="1"/>
  <c r="B125" i="6" a="1"/>
  <c r="B125" i="6" s="1"/>
  <c r="E153" i="6" a="1"/>
  <c r="E153" i="6" s="1"/>
  <c r="C153" i="6" a="1"/>
  <c r="C153" i="6" s="1"/>
  <c r="F153" i="6" a="1"/>
  <c r="F153" i="6" s="1"/>
  <c r="D153" i="6" a="1"/>
  <c r="D153" i="6" s="1"/>
  <c r="B153" i="6" a="1"/>
  <c r="B153" i="6" s="1"/>
  <c r="C79" i="6" a="1"/>
  <c r="C79" i="6" s="1"/>
  <c r="C83" i="6" a="1"/>
  <c r="C83" i="6" s="1"/>
  <c r="C87" i="6" a="1"/>
  <c r="C87" i="6" s="1"/>
  <c r="C91" i="6" a="1"/>
  <c r="C91" i="6" s="1"/>
  <c r="B93" i="6" a="1"/>
  <c r="B93" i="6" s="1"/>
  <c r="D93" i="6" a="1"/>
  <c r="D93" i="6" s="1"/>
  <c r="C95" i="6" a="1"/>
  <c r="C95" i="6" s="1"/>
  <c r="B97" i="6" a="1"/>
  <c r="B97" i="6" s="1"/>
  <c r="D97" i="6" a="1"/>
  <c r="D97" i="6" s="1"/>
  <c r="C99" i="6" a="1"/>
  <c r="C99" i="6" s="1"/>
  <c r="B101" i="6" a="1"/>
  <c r="B101" i="6" s="1"/>
  <c r="D101" i="6" a="1"/>
  <c r="D101" i="6" s="1"/>
  <c r="E121" i="6" a="1"/>
  <c r="E121" i="6" s="1"/>
  <c r="C121" i="6" a="1"/>
  <c r="C121" i="6" s="1"/>
  <c r="F121" i="6" a="1"/>
  <c r="F121" i="6" s="1"/>
  <c r="D121" i="6" a="1"/>
  <c r="D121" i="6" s="1"/>
  <c r="B121" i="6" a="1"/>
  <c r="B121" i="6" s="1"/>
  <c r="F136" i="6" a="1"/>
  <c r="F136" i="6" s="1"/>
  <c r="D136" i="6" a="1"/>
  <c r="D136" i="6" s="1"/>
  <c r="B136" i="6" a="1"/>
  <c r="B136" i="6" s="1"/>
  <c r="E136" i="6" a="1"/>
  <c r="E136" i="6" s="1"/>
  <c r="C136" i="6" a="1"/>
  <c r="C136" i="6" s="1"/>
  <c r="E141" i="6" a="1"/>
  <c r="E141" i="6" s="1"/>
  <c r="C141" i="6" a="1"/>
  <c r="C141" i="6" s="1"/>
  <c r="F141" i="6" a="1"/>
  <c r="F141" i="6" s="1"/>
  <c r="D141" i="6" a="1"/>
  <c r="D141" i="6" s="1"/>
  <c r="B141" i="6" a="1"/>
  <c r="B141" i="6" s="1"/>
  <c r="E157" i="6" a="1"/>
  <c r="E157" i="6" s="1"/>
  <c r="C157" i="6" a="1"/>
  <c r="C157" i="6" s="1"/>
  <c r="F157" i="6" a="1"/>
  <c r="F157" i="6" s="1"/>
  <c r="D157" i="6" a="1"/>
  <c r="D157" i="6" s="1"/>
  <c r="B157" i="6" a="1"/>
  <c r="B157" i="6" s="1"/>
  <c r="D80" i="6" a="1"/>
  <c r="D80" i="6" s="1"/>
  <c r="B84" i="6" a="1"/>
  <c r="B84" i="6" s="1"/>
  <c r="D84" i="6" a="1"/>
  <c r="D84" i="6" s="1"/>
  <c r="D88" i="6" a="1"/>
  <c r="D88" i="6" s="1"/>
  <c r="B92" i="6" a="1"/>
  <c r="B92" i="6" s="1"/>
  <c r="D92" i="6" a="1"/>
  <c r="D92" i="6" s="1"/>
  <c r="B96" i="6" a="1"/>
  <c r="B96" i="6" s="1"/>
  <c r="D96" i="6" a="1"/>
  <c r="D96" i="6" s="1"/>
  <c r="B100" i="6" a="1"/>
  <c r="B100" i="6" s="1"/>
  <c r="D100" i="6" a="1"/>
  <c r="D100" i="6" s="1"/>
  <c r="F103" i="6" a="1"/>
  <c r="F103" i="6" s="1"/>
  <c r="D103" i="6" a="1"/>
  <c r="D103" i="6" s="1"/>
  <c r="E103" i="6" a="1"/>
  <c r="E103" i="6" s="1"/>
  <c r="E117" i="6" a="1"/>
  <c r="E117" i="6" s="1"/>
  <c r="C117" i="6" a="1"/>
  <c r="C117" i="6" s="1"/>
  <c r="F117" i="6" a="1"/>
  <c r="F117" i="6" s="1"/>
  <c r="D117" i="6" a="1"/>
  <c r="D117" i="6" s="1"/>
  <c r="B117" i="6" a="1"/>
  <c r="B117" i="6" s="1"/>
  <c r="E145" i="6" a="1"/>
  <c r="E145" i="6" s="1"/>
  <c r="C145" i="6" a="1"/>
  <c r="C145" i="6" s="1"/>
  <c r="F145" i="6" a="1"/>
  <c r="F145" i="6" s="1"/>
  <c r="D145" i="6" a="1"/>
  <c r="D145" i="6" s="1"/>
  <c r="B145" i="6" a="1"/>
  <c r="B145" i="6" s="1"/>
  <c r="E161" i="6" a="1"/>
  <c r="E161" i="6" s="1"/>
  <c r="C161" i="6" a="1"/>
  <c r="C161" i="6" s="1"/>
  <c r="F161" i="6" a="1"/>
  <c r="F161" i="6" s="1"/>
  <c r="D161" i="6" a="1"/>
  <c r="D161" i="6" s="1"/>
  <c r="B161" i="6" a="1"/>
  <c r="B161" i="6" s="1"/>
  <c r="C119" i="6" a="1"/>
  <c r="C119" i="6" s="1"/>
  <c r="E119" i="6" a="1"/>
  <c r="E119" i="6" s="1"/>
  <c r="C123" i="6" a="1"/>
  <c r="C123" i="6" s="1"/>
  <c r="E123" i="6" a="1"/>
  <c r="E123" i="6" s="1"/>
  <c r="C127" i="6" a="1"/>
  <c r="C127" i="6" s="1"/>
  <c r="E127" i="6" a="1"/>
  <c r="E127" i="6" s="1"/>
  <c r="C132" i="6" a="1"/>
  <c r="C132" i="6" s="1"/>
  <c r="E137" i="6" a="1"/>
  <c r="E137" i="6" s="1"/>
  <c r="C137" i="6" a="1"/>
  <c r="C137" i="6" s="1"/>
  <c r="F131" i="6" a="1"/>
  <c r="F131" i="6" s="1"/>
  <c r="D131" i="6" a="1"/>
  <c r="D131" i="6" s="1"/>
  <c r="F132" i="6" a="1"/>
  <c r="F132" i="6" s="1"/>
  <c r="F137" i="6" a="1"/>
  <c r="F137" i="6" s="1"/>
  <c r="B119" i="6" a="1"/>
  <c r="B119" i="6" s="1"/>
  <c r="D119" i="6" a="1"/>
  <c r="D119" i="6" s="1"/>
  <c r="B123" i="6" a="1"/>
  <c r="B123" i="6" s="1"/>
  <c r="D123" i="6" a="1"/>
  <c r="D123" i="6" s="1"/>
  <c r="B127" i="6" a="1"/>
  <c r="B127" i="6" s="1"/>
  <c r="D127" i="6" a="1"/>
  <c r="D127" i="6" s="1"/>
  <c r="B131" i="6" a="1"/>
  <c r="B131" i="6" s="1"/>
  <c r="E133" i="6" a="1"/>
  <c r="E133" i="6" s="1"/>
  <c r="C133" i="6" a="1"/>
  <c r="C133" i="6" s="1"/>
  <c r="B140" i="6" a="1"/>
  <c r="B140" i="6" s="1"/>
  <c r="D140" i="6" a="1"/>
  <c r="D140" i="6" s="1"/>
  <c r="C142" i="6" a="1"/>
  <c r="C142" i="6" s="1"/>
  <c r="B144" i="6" a="1"/>
  <c r="B144" i="6" s="1"/>
  <c r="D144" i="6" a="1"/>
  <c r="D144" i="6" s="1"/>
  <c r="C146" i="6" a="1"/>
  <c r="C146" i="6" s="1"/>
  <c r="B148" i="6" a="1"/>
  <c r="B148" i="6" s="1"/>
  <c r="D148" i="6" a="1"/>
  <c r="D148" i="6" s="1"/>
  <c r="C150" i="6" a="1"/>
  <c r="C150" i="6" s="1"/>
  <c r="B152" i="6" a="1"/>
  <c r="B152" i="6" s="1"/>
  <c r="D152" i="6" a="1"/>
  <c r="D152" i="6" s="1"/>
  <c r="C154" i="6" a="1"/>
  <c r="C154" i="6" s="1"/>
  <c r="B156" i="6" a="1"/>
  <c r="B156" i="6" s="1"/>
  <c r="D156" i="6" a="1"/>
  <c r="D156" i="6" s="1"/>
  <c r="C158" i="6" a="1"/>
  <c r="C158" i="6" s="1"/>
  <c r="B160" i="6" a="1"/>
  <c r="B160" i="6" s="1"/>
  <c r="D160" i="6" a="1"/>
  <c r="D160" i="6" s="1"/>
  <c r="C162" i="6" a="1"/>
  <c r="C162" i="6" s="1"/>
  <c r="B164" i="6" a="1"/>
  <c r="B164" i="6" s="1"/>
  <c r="D164" i="6" a="1"/>
  <c r="D164" i="6" s="1"/>
  <c r="B135" i="6" a="1"/>
  <c r="B135" i="6" s="1"/>
  <c r="D135" i="6" a="1"/>
  <c r="D135" i="6" s="1"/>
  <c r="B139" i="6" a="1"/>
  <c r="B139" i="6" s="1"/>
  <c r="D139" i="6" a="1"/>
  <c r="D139" i="6" s="1"/>
  <c r="B143" i="6" a="1"/>
  <c r="B143" i="6" s="1"/>
  <c r="D143" i="6" a="1"/>
  <c r="D143" i="6" s="1"/>
  <c r="B147" i="6" a="1"/>
  <c r="B147" i="6" s="1"/>
  <c r="D147" i="6" a="1"/>
  <c r="D147" i="6" s="1"/>
  <c r="B151" i="6" a="1"/>
  <c r="B151" i="6" s="1"/>
  <c r="D151" i="6" a="1"/>
  <c r="D151" i="6" s="1"/>
  <c r="B155" i="6" a="1"/>
  <c r="B155" i="6" s="1"/>
  <c r="D155" i="6" a="1"/>
  <c r="D155" i="6" s="1"/>
  <c r="B159" i="6" a="1"/>
  <c r="B159" i="6" s="1"/>
  <c r="D159" i="6" a="1"/>
  <c r="D159" i="6" s="1"/>
  <c r="B163" i="6" a="1"/>
  <c r="B163" i="6" s="1"/>
  <c r="D163" i="6" a="1"/>
  <c r="D163" i="6" s="1"/>
  <c r="T170" i="5" a="1"/>
  <c r="T170" i="5" s="1"/>
  <c r="U190" i="5" s="1"/>
  <c r="V190" i="5" s="1"/>
  <c r="U191" i="5"/>
  <c r="V191" i="5" s="1"/>
  <c r="U189" i="5"/>
  <c r="U172" i="5"/>
  <c r="V172" i="5" s="1"/>
  <c r="P190" i="5"/>
  <c r="P173" i="5"/>
  <c r="P171" i="5"/>
  <c r="P182" i="5"/>
  <c r="Q182" i="5" s="1"/>
  <c r="P181" i="5"/>
  <c r="P180" i="5"/>
  <c r="P191" i="5"/>
  <c r="P189" i="5"/>
  <c r="P172" i="5"/>
  <c r="Q172" i="5" s="1"/>
  <c r="K190" i="5"/>
  <c r="K173" i="5"/>
  <c r="K180" i="5"/>
  <c r="K181" i="5"/>
  <c r="K182" i="5"/>
  <c r="K191" i="5"/>
  <c r="K189" i="5"/>
  <c r="K172" i="5"/>
  <c r="E170" i="5" a="1"/>
  <c r="E170" i="5" s="1"/>
  <c r="F191" i="5" s="1" a="1"/>
  <c r="F191" i="5" s="1"/>
  <c r="G191" i="5" s="1"/>
  <c r="G169" i="5"/>
  <c r="F180" i="5" a="1"/>
  <c r="F180" i="5" s="1"/>
  <c r="G180" i="5" s="1"/>
  <c r="F189" i="5" a="1"/>
  <c r="F189" i="5" s="1"/>
  <c r="G189" i="5" s="1"/>
  <c r="P5" i="5"/>
  <c r="F171" i="5"/>
  <c r="G171" i="5" s="1"/>
  <c r="F172" i="5"/>
  <c r="G172" i="5" s="1"/>
  <c r="F190" i="5" a="1"/>
  <c r="F190" i="5" s="1"/>
  <c r="G190" i="5" s="1"/>
  <c r="F182" i="5" a="1"/>
  <c r="F182" i="5" s="1"/>
  <c r="G182" i="5" s="1"/>
  <c r="F173" i="5" a="1"/>
  <c r="F173" i="5" s="1"/>
  <c r="G173" i="5" s="1"/>
  <c r="E152" i="5" a="1"/>
  <c r="E152" i="5" s="1"/>
  <c r="C150" i="5" a="1"/>
  <c r="C150" i="5" s="1"/>
  <c r="D55" i="5" a="1"/>
  <c r="D55" i="5" s="1"/>
  <c r="D144" i="5" a="1"/>
  <c r="D144" i="5" s="1"/>
  <c r="D150" i="5" a="1"/>
  <c r="D150" i="5" s="1"/>
  <c r="C12" i="5" a="1"/>
  <c r="C12" i="5" s="1"/>
  <c r="E33" i="5" a="1"/>
  <c r="E33" i="5" s="1"/>
  <c r="E36" i="5" a="1"/>
  <c r="E36" i="5" s="1"/>
  <c r="E106" i="5" a="1"/>
  <c r="E106" i="5" s="1"/>
  <c r="C109" i="5" a="1"/>
  <c r="C109" i="5" s="1"/>
  <c r="C134" i="5" a="1"/>
  <c r="C134" i="5" s="1"/>
  <c r="D12" i="5" a="1"/>
  <c r="D12" i="5" s="1"/>
  <c r="B31" i="5" a="1"/>
  <c r="B31" i="5" s="1"/>
  <c r="B72" i="5" a="1"/>
  <c r="B72" i="5" s="1"/>
  <c r="C129" i="5" a="1"/>
  <c r="C129" i="5" s="1"/>
  <c r="E41" i="5" a="1"/>
  <c r="E41" i="5" s="1"/>
  <c r="E44" i="5" a="1"/>
  <c r="E44" i="5" s="1"/>
  <c r="D47" i="5" a="1"/>
  <c r="D47" i="5" s="1"/>
  <c r="E129" i="5" a="1"/>
  <c r="E129" i="5" s="1"/>
  <c r="E60" i="5" a="1"/>
  <c r="E60" i="5" s="1"/>
  <c r="B88" i="5" a="1"/>
  <c r="B88" i="5" s="1"/>
  <c r="D142" i="5" a="1"/>
  <c r="D142" i="5" s="1"/>
  <c r="D92" i="5" a="1"/>
  <c r="D92" i="5" s="1"/>
  <c r="D112" i="5" a="1"/>
  <c r="D112" i="5" s="1"/>
  <c r="C29" i="5" a="1"/>
  <c r="C29" i="5" s="1"/>
  <c r="D31" i="5" a="1"/>
  <c r="D31" i="5" s="1"/>
  <c r="E53" i="5" a="1"/>
  <c r="E53" i="5" s="1"/>
  <c r="F55" i="5" a="1"/>
  <c r="F55" i="5" s="1"/>
  <c r="C65" i="5" a="1"/>
  <c r="C65" i="5" s="1"/>
  <c r="B68" i="5" a="1"/>
  <c r="B68" i="5" s="1"/>
  <c r="C104" i="5" a="1"/>
  <c r="C104" i="5" s="1"/>
  <c r="B24" i="5" a="1"/>
  <c r="B24" i="5" s="1"/>
  <c r="C162" i="5" a="1"/>
  <c r="C162" i="5" s="1"/>
  <c r="B20" i="5" a="1"/>
  <c r="B20" i="5" s="1"/>
  <c r="B22" i="5" a="1"/>
  <c r="B22" i="5" s="1"/>
  <c r="C24" i="5" a="1"/>
  <c r="C24" i="5" s="1"/>
  <c r="D35" i="5" a="1"/>
  <c r="D35" i="5" s="1"/>
  <c r="C37" i="5" a="1"/>
  <c r="C37" i="5" s="1"/>
  <c r="E40" i="5" a="1"/>
  <c r="E40" i="5" s="1"/>
  <c r="C48" i="5" a="1"/>
  <c r="C48" i="5" s="1"/>
  <c r="E56" i="5" a="1"/>
  <c r="E56" i="5" s="1"/>
  <c r="D59" i="5" a="1"/>
  <c r="D59" i="5" s="1"/>
  <c r="E61" i="5" a="1"/>
  <c r="E61" i="5" s="1"/>
  <c r="B67" i="5" a="1"/>
  <c r="B67" i="5" s="1"/>
  <c r="C69" i="5" a="1"/>
  <c r="C69" i="5" s="1"/>
  <c r="C80" i="5" a="1"/>
  <c r="C80" i="5" s="1"/>
  <c r="C82" i="5" a="1"/>
  <c r="C82" i="5" s="1"/>
  <c r="D84" i="5" a="1"/>
  <c r="D84" i="5" s="1"/>
  <c r="C100" i="5" a="1"/>
  <c r="C100" i="5" s="1"/>
  <c r="C113" i="5" a="1"/>
  <c r="C113" i="5" s="1"/>
  <c r="C138" i="5" a="1"/>
  <c r="C138" i="5" s="1"/>
  <c r="E160" i="5" a="1"/>
  <c r="E160" i="5" s="1"/>
  <c r="B71" i="5" a="1"/>
  <c r="B71" i="5" s="1"/>
  <c r="B80" i="5" a="1"/>
  <c r="B80" i="5" s="1"/>
  <c r="B100" i="5" a="1"/>
  <c r="B100" i="5" s="1"/>
  <c r="E105" i="5" a="1"/>
  <c r="E105" i="5" s="1"/>
  <c r="C140" i="5" a="1"/>
  <c r="C140" i="5" s="1"/>
  <c r="C6" i="5" a="1"/>
  <c r="C6" i="5" s="1"/>
  <c r="B12" i="5" a="1"/>
  <c r="B12" i="5" s="1"/>
  <c r="C20" i="5" a="1"/>
  <c r="C20" i="5" s="1"/>
  <c r="F80" i="5" a="1"/>
  <c r="F80" i="5" s="1"/>
  <c r="D82" i="5" a="1"/>
  <c r="D82" i="5" s="1"/>
  <c r="E130" i="5" a="1"/>
  <c r="E130" i="5" s="1"/>
  <c r="B150" i="5" a="1"/>
  <c r="B150" i="5" s="1"/>
  <c r="C154" i="5" a="1"/>
  <c r="C154" i="5" s="1"/>
  <c r="C4" i="5" a="1"/>
  <c r="C4" i="5" s="1"/>
  <c r="C88" i="5" a="1"/>
  <c r="C88" i="5" s="1"/>
  <c r="B90" i="5" a="1"/>
  <c r="B90" i="5" s="1"/>
  <c r="B98" i="5" a="1"/>
  <c r="B98" i="5" s="1"/>
  <c r="D100" i="5" a="1"/>
  <c r="D100" i="5" s="1"/>
  <c r="E102" i="5" a="1"/>
  <c r="E102" i="5" s="1"/>
  <c r="F104" i="5" a="1"/>
  <c r="F104" i="5" s="1"/>
  <c r="D108" i="5" a="1"/>
  <c r="D108" i="5" s="1"/>
  <c r="E110" i="5" a="1"/>
  <c r="E110" i="5" s="1"/>
  <c r="F112" i="5" a="1"/>
  <c r="F112" i="5" s="1"/>
  <c r="E125" i="5" a="1"/>
  <c r="E125" i="5" s="1"/>
  <c r="D128" i="5" a="1"/>
  <c r="D128" i="5" s="1"/>
  <c r="E134" i="5" a="1"/>
  <c r="E134" i="5" s="1"/>
  <c r="F138" i="5" a="1"/>
  <c r="F138" i="5" s="1"/>
  <c r="D140" i="5" a="1"/>
  <c r="D140" i="5" s="1"/>
  <c r="B148" i="5" a="1"/>
  <c r="B148" i="5" s="1"/>
  <c r="F150" i="5" a="1"/>
  <c r="F150" i="5" s="1"/>
  <c r="D154" i="5" a="1"/>
  <c r="D154" i="5" s="1"/>
  <c r="C156" i="5" a="1"/>
  <c r="C156" i="5" s="1"/>
  <c r="B158" i="5" a="1"/>
  <c r="B158" i="5" s="1"/>
  <c r="F162" i="5" a="1"/>
  <c r="F162" i="5" s="1"/>
  <c r="F4" i="5" a="1"/>
  <c r="F4" i="5" s="1"/>
  <c r="D6" i="5" a="1"/>
  <c r="D6" i="5" s="1"/>
  <c r="F12" i="5" a="1"/>
  <c r="F12" i="5" s="1"/>
  <c r="B23" i="5" a="1"/>
  <c r="B23" i="5" s="1"/>
  <c r="C28" i="5" a="1"/>
  <c r="C28" i="5" s="1"/>
  <c r="B39" i="5" a="1"/>
  <c r="B39" i="5" s="1"/>
  <c r="D43" i="5" a="1"/>
  <c r="D43" i="5" s="1"/>
  <c r="E45" i="5" a="1"/>
  <c r="E45" i="5" s="1"/>
  <c r="F47" i="5" a="1"/>
  <c r="F47" i="5" s="1"/>
  <c r="C49" i="5" a="1"/>
  <c r="C49" i="5" s="1"/>
  <c r="B51" i="5" a="1"/>
  <c r="B51" i="5" s="1"/>
  <c r="C52" i="5" a="1"/>
  <c r="C52" i="5" s="1"/>
  <c r="B63" i="5" a="1"/>
  <c r="B63" i="5" s="1"/>
  <c r="C64" i="5" a="1"/>
  <c r="C64" i="5" s="1"/>
  <c r="E65" i="5" a="1"/>
  <c r="E65" i="5" s="1"/>
  <c r="D67" i="5" a="1"/>
  <c r="D67" i="5" s="1"/>
  <c r="E69" i="5" a="1"/>
  <c r="E69" i="5" s="1"/>
  <c r="D71" i="5" a="1"/>
  <c r="D71" i="5" s="1"/>
  <c r="F88" i="5" a="1"/>
  <c r="F88" i="5" s="1"/>
  <c r="C90" i="5" a="1"/>
  <c r="C90" i="5" s="1"/>
  <c r="C98" i="5" a="1"/>
  <c r="C98" i="5" s="1"/>
  <c r="F100" i="5" a="1"/>
  <c r="F100" i="5" s="1"/>
  <c r="F134" i="5" a="1"/>
  <c r="F134" i="5" s="1"/>
  <c r="C148" i="5" a="1"/>
  <c r="C148" i="5" s="1"/>
  <c r="F154" i="5" a="1"/>
  <c r="F154" i="5" s="1"/>
  <c r="E156" i="5" a="1"/>
  <c r="E156" i="5" s="1"/>
  <c r="C158" i="5" a="1"/>
  <c r="C158" i="5" s="1"/>
  <c r="D39" i="5" a="1"/>
  <c r="D39" i="5" s="1"/>
  <c r="E49" i="5" a="1"/>
  <c r="E49" i="5" s="1"/>
  <c r="D51" i="5" a="1"/>
  <c r="D51" i="5" s="1"/>
  <c r="E52" i="5" a="1"/>
  <c r="E52" i="5" s="1"/>
  <c r="C63" i="5" a="1"/>
  <c r="C63" i="5" s="1"/>
  <c r="E64" i="5" a="1"/>
  <c r="E64" i="5" s="1"/>
  <c r="F67" i="5" a="1"/>
  <c r="F67" i="5" s="1"/>
  <c r="C68" i="5" a="1"/>
  <c r="C68" i="5" s="1"/>
  <c r="D90" i="5" a="1"/>
  <c r="D90" i="5" s="1"/>
  <c r="D98" i="5" a="1"/>
  <c r="D98" i="5" s="1"/>
  <c r="B138" i="5" a="1"/>
  <c r="B138" i="5" s="1"/>
  <c r="F148" i="5" a="1"/>
  <c r="F148" i="5" s="1"/>
  <c r="B154" i="5" a="1"/>
  <c r="B154" i="5" s="1"/>
  <c r="D158" i="5" a="1"/>
  <c r="D158" i="5" s="1"/>
  <c r="C160" i="5" a="1"/>
  <c r="C160" i="5" s="1"/>
  <c r="B162" i="5" a="1"/>
  <c r="B162" i="5" s="1"/>
  <c r="B4" i="5" a="1"/>
  <c r="B4" i="5" s="1"/>
  <c r="C10" i="5" a="1"/>
  <c r="C10" i="5" s="1"/>
  <c r="E17" i="5" a="1"/>
  <c r="E17" i="5" s="1"/>
  <c r="F51" i="5" a="1"/>
  <c r="F51" i="5" s="1"/>
  <c r="D63" i="5" a="1"/>
  <c r="D63" i="5" s="1"/>
  <c r="F98" i="5" a="1"/>
  <c r="F98" i="5" s="1"/>
  <c r="F158" i="5" a="1"/>
  <c r="F158" i="5" s="1"/>
  <c r="E2" i="5" a="1"/>
  <c r="E2" i="5" s="1"/>
  <c r="E25" i="5" a="1"/>
  <c r="E25" i="5" s="1"/>
  <c r="C25" i="5" a="1"/>
  <c r="C25" i="5" s="1"/>
  <c r="E75" i="5" a="1"/>
  <c r="E75" i="5" s="1"/>
  <c r="F75" i="5" a="1"/>
  <c r="F75" i="5" s="1"/>
  <c r="D75" i="5" a="1"/>
  <c r="D75" i="5" s="1"/>
  <c r="B75" i="5" a="1"/>
  <c r="B75" i="5" s="1"/>
  <c r="F114" i="5" a="1"/>
  <c r="F114" i="5" s="1"/>
  <c r="E114" i="5" a="1"/>
  <c r="E114" i="5" s="1"/>
  <c r="C114" i="5" a="1"/>
  <c r="C114" i="5" s="1"/>
  <c r="F118" i="5" a="1"/>
  <c r="F118" i="5" s="1"/>
  <c r="E118" i="5" a="1"/>
  <c r="E118" i="5" s="1"/>
  <c r="C118" i="5" a="1"/>
  <c r="C118" i="5" s="1"/>
  <c r="D146" i="5" a="1"/>
  <c r="D146" i="5" s="1"/>
  <c r="C146" i="5" a="1"/>
  <c r="C146" i="5" s="1"/>
  <c r="F146" i="5" a="1"/>
  <c r="F146" i="5" s="1"/>
  <c r="B146" i="5" a="1"/>
  <c r="B146" i="5" s="1"/>
  <c r="B2" i="5" a="1"/>
  <c r="B2" i="5" s="1"/>
  <c r="F2" i="5" a="1"/>
  <c r="F2" i="5" s="1"/>
  <c r="D8" i="5" a="1"/>
  <c r="D8" i="5" s="1"/>
  <c r="C8" i="5" a="1"/>
  <c r="C8" i="5" s="1"/>
  <c r="F16" i="5" a="1"/>
  <c r="F16" i="5" s="1"/>
  <c r="C16" i="5" a="1"/>
  <c r="C16" i="5" s="1"/>
  <c r="B16" i="5" a="1"/>
  <c r="B16" i="5" s="1"/>
  <c r="F32" i="5" a="1"/>
  <c r="F32" i="5" s="1"/>
  <c r="C32" i="5" a="1"/>
  <c r="C32" i="5" s="1"/>
  <c r="B32" i="5" a="1"/>
  <c r="B32" i="5" s="1"/>
  <c r="F76" i="5" a="1"/>
  <c r="F76" i="5" s="1"/>
  <c r="E76" i="5" a="1"/>
  <c r="E76" i="5" s="1"/>
  <c r="C76" i="5" a="1"/>
  <c r="C76" i="5" s="1"/>
  <c r="D96" i="5" a="1"/>
  <c r="D96" i="5" s="1"/>
  <c r="C96" i="5" a="1"/>
  <c r="C96" i="5" s="1"/>
  <c r="F96" i="5" a="1"/>
  <c r="F96" i="5" s="1"/>
  <c r="B96" i="5" a="1"/>
  <c r="B96" i="5" s="1"/>
  <c r="F122" i="5" a="1"/>
  <c r="F122" i="5" s="1"/>
  <c r="E122" i="5" a="1"/>
  <c r="E122" i="5" s="1"/>
  <c r="C122" i="5" a="1"/>
  <c r="C122" i="5" s="1"/>
  <c r="D136" i="5" a="1"/>
  <c r="D136" i="5" s="1"/>
  <c r="C136" i="5" a="1"/>
  <c r="C136" i="5" s="1"/>
  <c r="F136" i="5" a="1"/>
  <c r="F136" i="5" s="1"/>
  <c r="B136" i="5" a="1"/>
  <c r="B136" i="5" s="1"/>
  <c r="E146" i="5" a="1"/>
  <c r="E146" i="5" s="1"/>
  <c r="E15" i="5" a="1"/>
  <c r="E15" i="5" s="1"/>
  <c r="F15" i="5" a="1"/>
  <c r="F15" i="5" s="1"/>
  <c r="D15" i="5" a="1"/>
  <c r="D15" i="5" s="1"/>
  <c r="B15" i="5" a="1"/>
  <c r="B15" i="5" s="1"/>
  <c r="F159" i="5" a="1"/>
  <c r="F159" i="5" s="1"/>
  <c r="E159" i="5" a="1"/>
  <c r="E159" i="5" s="1"/>
  <c r="C159" i="5" a="1"/>
  <c r="C159" i="5" s="1"/>
  <c r="C2" i="5" a="1"/>
  <c r="C2" i="5" s="1"/>
  <c r="D4" i="5" a="1"/>
  <c r="D4" i="5" s="1"/>
  <c r="E6" i="5" a="1"/>
  <c r="E6" i="5" s="1"/>
  <c r="B8" i="5" a="1"/>
  <c r="B8" i="5" s="1"/>
  <c r="E16" i="5" a="1"/>
  <c r="E16" i="5" s="1"/>
  <c r="E27" i="5" a="1"/>
  <c r="E27" i="5" s="1"/>
  <c r="D27" i="5" a="1"/>
  <c r="D27" i="5" s="1"/>
  <c r="F27" i="5" a="1"/>
  <c r="F27" i="5" s="1"/>
  <c r="B27" i="5" a="1"/>
  <c r="B27" i="5" s="1"/>
  <c r="E32" i="5" a="1"/>
  <c r="E32" i="5" s="1"/>
  <c r="F73" i="5" a="1"/>
  <c r="F73" i="5" s="1"/>
  <c r="E73" i="5" a="1"/>
  <c r="E73" i="5" s="1"/>
  <c r="C73" i="5" a="1"/>
  <c r="C73" i="5" s="1"/>
  <c r="D86" i="5" a="1"/>
  <c r="D86" i="5" s="1"/>
  <c r="C86" i="5" a="1"/>
  <c r="C86" i="5" s="1"/>
  <c r="F86" i="5" a="1"/>
  <c r="F86" i="5" s="1"/>
  <c r="B86" i="5" a="1"/>
  <c r="B86" i="5" s="1"/>
  <c r="D94" i="5" a="1"/>
  <c r="D94" i="5" s="1"/>
  <c r="C94" i="5" a="1"/>
  <c r="C94" i="5" s="1"/>
  <c r="F94" i="5" a="1"/>
  <c r="F94" i="5" s="1"/>
  <c r="B94" i="5" a="1"/>
  <c r="B94" i="5" s="1"/>
  <c r="E96" i="5" a="1"/>
  <c r="E96" i="5" s="1"/>
  <c r="E116" i="5" a="1"/>
  <c r="E116" i="5" s="1"/>
  <c r="F116" i="5" a="1"/>
  <c r="F116" i="5" s="1"/>
  <c r="D116" i="5" a="1"/>
  <c r="D116" i="5" s="1"/>
  <c r="B116" i="5" a="1"/>
  <c r="B116" i="5" s="1"/>
  <c r="E120" i="5" a="1"/>
  <c r="E120" i="5" s="1"/>
  <c r="D120" i="5" a="1"/>
  <c r="D120" i="5" s="1"/>
  <c r="C120" i="5" a="1"/>
  <c r="C120" i="5" s="1"/>
  <c r="B120" i="5" a="1"/>
  <c r="B120" i="5" s="1"/>
  <c r="E136" i="5" a="1"/>
  <c r="E136" i="5" s="1"/>
  <c r="F155" i="5" a="1"/>
  <c r="F155" i="5" s="1"/>
  <c r="C155" i="5" a="1"/>
  <c r="C155" i="5" s="1"/>
  <c r="B6" i="5" a="1"/>
  <c r="B6" i="5" s="1"/>
  <c r="E8" i="5" a="1"/>
  <c r="E8" i="5" s="1"/>
  <c r="F14" i="5" a="1"/>
  <c r="F14" i="5" s="1"/>
  <c r="D14" i="5" a="1"/>
  <c r="D14" i="5" s="1"/>
  <c r="B14" i="5" a="1"/>
  <c r="B14" i="5" s="1"/>
  <c r="D78" i="5" a="1"/>
  <c r="D78" i="5" s="1"/>
  <c r="C78" i="5" a="1"/>
  <c r="C78" i="5" s="1"/>
  <c r="F78" i="5" a="1"/>
  <c r="F78" i="5" s="1"/>
  <c r="B78" i="5" a="1"/>
  <c r="B78" i="5" s="1"/>
  <c r="E86" i="5" a="1"/>
  <c r="E86" i="5" s="1"/>
  <c r="E94" i="5" a="1"/>
  <c r="E94" i="5" s="1"/>
  <c r="F117" i="5" a="1"/>
  <c r="F117" i="5" s="1"/>
  <c r="E117" i="5" a="1"/>
  <c r="E117" i="5" s="1"/>
  <c r="C117" i="5" a="1"/>
  <c r="C117" i="5" s="1"/>
  <c r="F120" i="5" a="1"/>
  <c r="F120" i="5" s="1"/>
  <c r="D124" i="5" a="1"/>
  <c r="D124" i="5" s="1"/>
  <c r="C124" i="5" a="1"/>
  <c r="C124" i="5" s="1"/>
  <c r="F124" i="5" a="1"/>
  <c r="F124" i="5" s="1"/>
  <c r="B124" i="5" a="1"/>
  <c r="B124" i="5" s="1"/>
  <c r="D10" i="5" a="1"/>
  <c r="D10" i="5" s="1"/>
  <c r="D19" i="5" a="1"/>
  <c r="D19" i="5" s="1"/>
  <c r="E20" i="5" a="1"/>
  <c r="E20" i="5" s="1"/>
  <c r="D22" i="5" a="1"/>
  <c r="D22" i="5" s="1"/>
  <c r="D23" i="5" a="1"/>
  <c r="D23" i="5" s="1"/>
  <c r="E28" i="5" a="1"/>
  <c r="E28" i="5" s="1"/>
  <c r="F35" i="5" a="1"/>
  <c r="F35" i="5" s="1"/>
  <c r="F39" i="5" a="1"/>
  <c r="F39" i="5" s="1"/>
  <c r="F43" i="5" a="1"/>
  <c r="F43" i="5" s="1"/>
  <c r="F59" i="5" a="1"/>
  <c r="F59" i="5" s="1"/>
  <c r="E84" i="5" a="1"/>
  <c r="E84" i="5" s="1"/>
  <c r="E92" i="5" a="1"/>
  <c r="E92" i="5" s="1"/>
  <c r="E109" i="5" a="1"/>
  <c r="E109" i="5" s="1"/>
  <c r="E128" i="5" a="1"/>
  <c r="E128" i="5" s="1"/>
  <c r="E142" i="5" a="1"/>
  <c r="E142" i="5" s="1"/>
  <c r="E144" i="5" a="1"/>
  <c r="E144" i="5" s="1"/>
  <c r="E10" i="5" a="1"/>
  <c r="E10" i="5" s="1"/>
  <c r="F23" i="5" a="1"/>
  <c r="F23" i="5" s="1"/>
  <c r="E48" i="5" a="1"/>
  <c r="E48" i="5" s="1"/>
  <c r="C57" i="5" a="1"/>
  <c r="C57" i="5" s="1"/>
  <c r="B59" i="5" a="1"/>
  <c r="B59" i="5" s="1"/>
  <c r="F63" i="5" a="1"/>
  <c r="F63" i="5" s="1"/>
  <c r="E68" i="5" a="1"/>
  <c r="E68" i="5" s="1"/>
  <c r="F71" i="5" a="1"/>
  <c r="F71" i="5" s="1"/>
  <c r="C72" i="5" a="1"/>
  <c r="C72" i="5" s="1"/>
  <c r="D80" i="5" a="1"/>
  <c r="D80" i="5" s="1"/>
  <c r="E82" i="5" a="1"/>
  <c r="E82" i="5" s="1"/>
  <c r="B84" i="5" a="1"/>
  <c r="B84" i="5" s="1"/>
  <c r="F84" i="5" a="1"/>
  <c r="F84" i="5" s="1"/>
  <c r="D88" i="5" a="1"/>
  <c r="D88" i="5" s="1"/>
  <c r="E90" i="5" a="1"/>
  <c r="E90" i="5" s="1"/>
  <c r="B92" i="5" a="1"/>
  <c r="B92" i="5" s="1"/>
  <c r="F92" i="5" a="1"/>
  <c r="F92" i="5" s="1"/>
  <c r="D104" i="5" a="1"/>
  <c r="D104" i="5" s="1"/>
  <c r="B109" i="5" a="1"/>
  <c r="B109" i="5" s="1"/>
  <c r="E113" i="5" a="1"/>
  <c r="E113" i="5" s="1"/>
  <c r="C121" i="5" a="1"/>
  <c r="C121" i="5" s="1"/>
  <c r="C126" i="5" a="1"/>
  <c r="C126" i="5" s="1"/>
  <c r="B128" i="5" a="1"/>
  <c r="B128" i="5" s="1"/>
  <c r="F128" i="5" a="1"/>
  <c r="F128" i="5" s="1"/>
  <c r="D134" i="5" a="1"/>
  <c r="D134" i="5" s="1"/>
  <c r="D138" i="5" a="1"/>
  <c r="D138" i="5" s="1"/>
  <c r="E140" i="5" a="1"/>
  <c r="E140" i="5" s="1"/>
  <c r="B142" i="5" a="1"/>
  <c r="B142" i="5" s="1"/>
  <c r="F142" i="5" a="1"/>
  <c r="F142" i="5" s="1"/>
  <c r="B144" i="5" a="1"/>
  <c r="B144" i="5" s="1"/>
  <c r="F144" i="5" a="1"/>
  <c r="F144" i="5" s="1"/>
  <c r="D148" i="5" a="1"/>
  <c r="D148" i="5" s="1"/>
  <c r="B152" i="5" a="1"/>
  <c r="B152" i="5" s="1"/>
  <c r="D162" i="5" a="1"/>
  <c r="D162" i="5" s="1"/>
  <c r="C163" i="5" a="1"/>
  <c r="C163" i="5" s="1"/>
  <c r="C164" i="5" a="1"/>
  <c r="C164" i="5" s="1"/>
  <c r="B10" i="5" a="1"/>
  <c r="B10" i="5" s="1"/>
  <c r="B19" i="5" a="1"/>
  <c r="B19" i="5" s="1"/>
  <c r="F19" i="5" a="1"/>
  <c r="F19" i="5" s="1"/>
  <c r="E24" i="5" a="1"/>
  <c r="E24" i="5" s="1"/>
  <c r="F31" i="5" a="1"/>
  <c r="F31" i="5" s="1"/>
  <c r="C33" i="5" a="1"/>
  <c r="C33" i="5" s="1"/>
  <c r="B35" i="5" a="1"/>
  <c r="B35" i="5" s="1"/>
  <c r="C36" i="5" a="1"/>
  <c r="C36" i="5" s="1"/>
  <c r="E37" i="5" a="1"/>
  <c r="E37" i="5" s="1"/>
  <c r="C39" i="5" a="1"/>
  <c r="C39" i="5" s="1"/>
  <c r="C40" i="5" a="1"/>
  <c r="C40" i="5" s="1"/>
  <c r="C41" i="5" a="1"/>
  <c r="C41" i="5" s="1"/>
  <c r="B43" i="5" a="1"/>
  <c r="B43" i="5" s="1"/>
  <c r="C44" i="5" a="1"/>
  <c r="C44" i="5" s="1"/>
  <c r="C45" i="5" a="1"/>
  <c r="C45" i="5" s="1"/>
  <c r="B47" i="5" a="1"/>
  <c r="B47" i="5" s="1"/>
  <c r="B48" i="5" a="1"/>
  <c r="B48" i="5" s="1"/>
  <c r="C53" i="5" a="1"/>
  <c r="C53" i="5" s="1"/>
  <c r="B55" i="5" a="1"/>
  <c r="B55" i="5" s="1"/>
  <c r="C56" i="5" a="1"/>
  <c r="C56" i="5" s="1"/>
  <c r="E57" i="5" a="1"/>
  <c r="E57" i="5" s="1"/>
  <c r="C59" i="5" a="1"/>
  <c r="C59" i="5" s="1"/>
  <c r="C60" i="5" a="1"/>
  <c r="C60" i="5" s="1"/>
  <c r="C61" i="5" a="1"/>
  <c r="C61" i="5" s="1"/>
  <c r="E72" i="5" a="1"/>
  <c r="E72" i="5" s="1"/>
  <c r="B82" i="5" a="1"/>
  <c r="B82" i="5" s="1"/>
  <c r="B104" i="5" a="1"/>
  <c r="B104" i="5" s="1"/>
  <c r="C105" i="5" a="1"/>
  <c r="C105" i="5" s="1"/>
  <c r="B108" i="5" a="1"/>
  <c r="B108" i="5" s="1"/>
  <c r="F108" i="5" a="1"/>
  <c r="F108" i="5" s="1"/>
  <c r="C110" i="5" a="1"/>
  <c r="C110" i="5" s="1"/>
  <c r="B112" i="5" a="1"/>
  <c r="B112" i="5" s="1"/>
  <c r="B113" i="5" a="1"/>
  <c r="B113" i="5" s="1"/>
  <c r="E121" i="5" a="1"/>
  <c r="E121" i="5" s="1"/>
  <c r="C125" i="5" a="1"/>
  <c r="C125" i="5" s="1"/>
  <c r="E126" i="5" a="1"/>
  <c r="E126" i="5" s="1"/>
  <c r="C130" i="5" a="1"/>
  <c r="C130" i="5" s="1"/>
  <c r="F132" i="5" a="1"/>
  <c r="F132" i="5" s="1"/>
  <c r="B140" i="5" a="1"/>
  <c r="B140" i="5" s="1"/>
  <c r="C152" i="5" a="1"/>
  <c r="C152" i="5" s="1"/>
  <c r="E163" i="5" a="1"/>
  <c r="E163" i="5" s="1"/>
  <c r="E164" i="5" a="1"/>
  <c r="E164" i="5" s="1"/>
  <c r="E26" i="5" a="1"/>
  <c r="E26" i="5" s="1"/>
  <c r="C26" i="5" a="1"/>
  <c r="C26" i="5" s="1"/>
  <c r="E62" i="5" a="1"/>
  <c r="E62" i="5" s="1"/>
  <c r="C62" i="5" a="1"/>
  <c r="C62" i="5" s="1"/>
  <c r="F62" i="5" a="1"/>
  <c r="F62" i="5" s="1"/>
  <c r="D62" i="5" a="1"/>
  <c r="D62" i="5" s="1"/>
  <c r="B62" i="5" a="1"/>
  <c r="B62" i="5" s="1"/>
  <c r="E97" i="5" a="1"/>
  <c r="E97" i="5" s="1"/>
  <c r="C97" i="5" a="1"/>
  <c r="C97" i="5" s="1"/>
  <c r="F97" i="5" a="1"/>
  <c r="F97" i="5" s="1"/>
  <c r="D97" i="5" a="1"/>
  <c r="D97" i="5" s="1"/>
  <c r="B97" i="5" a="1"/>
  <c r="B97" i="5" s="1"/>
  <c r="C3" i="5" a="1"/>
  <c r="C3" i="5" s="1"/>
  <c r="E3" i="5" a="1"/>
  <c r="E3" i="5" s="1"/>
  <c r="B5" i="5" a="1"/>
  <c r="B5" i="5" s="1"/>
  <c r="D5" i="5" a="1"/>
  <c r="D5" i="5" s="1"/>
  <c r="F5" i="5" a="1"/>
  <c r="F5" i="5" s="1"/>
  <c r="C7" i="5" a="1"/>
  <c r="C7" i="5" s="1"/>
  <c r="E7" i="5" a="1"/>
  <c r="E7" i="5" s="1"/>
  <c r="B9" i="5" a="1"/>
  <c r="B9" i="5" s="1"/>
  <c r="D9" i="5" a="1"/>
  <c r="D9" i="5" s="1"/>
  <c r="F9" i="5" a="1"/>
  <c r="F9" i="5" s="1"/>
  <c r="C11" i="5" a="1"/>
  <c r="C11" i="5" s="1"/>
  <c r="E11" i="5" a="1"/>
  <c r="E11" i="5" s="1"/>
  <c r="B13" i="5" a="1"/>
  <c r="B13" i="5" s="1"/>
  <c r="D13" i="5" a="1"/>
  <c r="D13" i="5" s="1"/>
  <c r="E14" i="5" a="1"/>
  <c r="E14" i="5" s="1"/>
  <c r="C14" i="5" a="1"/>
  <c r="C14" i="5" s="1"/>
  <c r="F17" i="5" a="1"/>
  <c r="F17" i="5" s="1"/>
  <c r="D17" i="5" a="1"/>
  <c r="D17" i="5" s="1"/>
  <c r="B17" i="5" a="1"/>
  <c r="B17" i="5" s="1"/>
  <c r="B26" i="5" a="1"/>
  <c r="B26" i="5" s="1"/>
  <c r="F26" i="5" a="1"/>
  <c r="F26" i="5" s="1"/>
  <c r="B30" i="5" a="1"/>
  <c r="B30" i="5" s="1"/>
  <c r="E34" i="5" a="1"/>
  <c r="E34" i="5" s="1"/>
  <c r="C34" i="5" a="1"/>
  <c r="C34" i="5" s="1"/>
  <c r="F34" i="5" a="1"/>
  <c r="F34" i="5" s="1"/>
  <c r="D34" i="5" a="1"/>
  <c r="D34" i="5" s="1"/>
  <c r="B34" i="5" a="1"/>
  <c r="B34" i="5" s="1"/>
  <c r="E38" i="5" a="1"/>
  <c r="E38" i="5" s="1"/>
  <c r="C38" i="5" a="1"/>
  <c r="C38" i="5" s="1"/>
  <c r="F38" i="5" a="1"/>
  <c r="F38" i="5" s="1"/>
  <c r="D38" i="5" a="1"/>
  <c r="D38" i="5" s="1"/>
  <c r="B38" i="5" a="1"/>
  <c r="B38" i="5" s="1"/>
  <c r="E66" i="5" a="1"/>
  <c r="E66" i="5" s="1"/>
  <c r="C66" i="5" a="1"/>
  <c r="C66" i="5" s="1"/>
  <c r="F66" i="5" a="1"/>
  <c r="F66" i="5" s="1"/>
  <c r="D66" i="5" a="1"/>
  <c r="D66" i="5" s="1"/>
  <c r="B66" i="5" a="1"/>
  <c r="B66" i="5" s="1"/>
  <c r="F139" i="5" a="1"/>
  <c r="F139" i="5" s="1"/>
  <c r="D139" i="5" a="1"/>
  <c r="D139" i="5" s="1"/>
  <c r="B139" i="5" a="1"/>
  <c r="B139" i="5" s="1"/>
  <c r="E139" i="5" a="1"/>
  <c r="E139" i="5" s="1"/>
  <c r="C139" i="5" a="1"/>
  <c r="C139" i="5" s="1"/>
  <c r="E18" i="5" a="1"/>
  <c r="E18" i="5" s="1"/>
  <c r="C18" i="5" a="1"/>
  <c r="C18" i="5" s="1"/>
  <c r="F21" i="5" a="1"/>
  <c r="F21" i="5" s="1"/>
  <c r="D21" i="5" a="1"/>
  <c r="D21" i="5" s="1"/>
  <c r="B21" i="5" a="1"/>
  <c r="B21" i="5" s="1"/>
  <c r="E42" i="5" a="1"/>
  <c r="E42" i="5" s="1"/>
  <c r="C42" i="5" a="1"/>
  <c r="C42" i="5" s="1"/>
  <c r="F42" i="5" a="1"/>
  <c r="F42" i="5" s="1"/>
  <c r="D42" i="5" a="1"/>
  <c r="D42" i="5" s="1"/>
  <c r="B42" i="5" a="1"/>
  <c r="B42" i="5" s="1"/>
  <c r="E46" i="5" a="1"/>
  <c r="E46" i="5" s="1"/>
  <c r="C46" i="5" a="1"/>
  <c r="C46" i="5" s="1"/>
  <c r="F46" i="5" a="1"/>
  <c r="F46" i="5" s="1"/>
  <c r="D46" i="5" a="1"/>
  <c r="D46" i="5" s="1"/>
  <c r="B46" i="5" a="1"/>
  <c r="B46" i="5" s="1"/>
  <c r="E70" i="5" a="1"/>
  <c r="E70" i="5" s="1"/>
  <c r="C70" i="5" a="1"/>
  <c r="C70" i="5" s="1"/>
  <c r="F70" i="5" a="1"/>
  <c r="F70" i="5" s="1"/>
  <c r="D70" i="5" a="1"/>
  <c r="D70" i="5" s="1"/>
  <c r="B70" i="5" a="1"/>
  <c r="B70" i="5" s="1"/>
  <c r="E30" i="5" a="1"/>
  <c r="E30" i="5" s="1"/>
  <c r="C30" i="5" a="1"/>
  <c r="C30" i="5" s="1"/>
  <c r="B3" i="5" a="1"/>
  <c r="B3" i="5" s="1"/>
  <c r="D3" i="5" a="1"/>
  <c r="D3" i="5" s="1"/>
  <c r="C5" i="5" a="1"/>
  <c r="C5" i="5" s="1"/>
  <c r="B7" i="5" a="1"/>
  <c r="B7" i="5" s="1"/>
  <c r="D7" i="5" a="1"/>
  <c r="D7" i="5" s="1"/>
  <c r="C9" i="5" a="1"/>
  <c r="C9" i="5" s="1"/>
  <c r="B11" i="5" a="1"/>
  <c r="B11" i="5" s="1"/>
  <c r="D11" i="5" a="1"/>
  <c r="D11" i="5" s="1"/>
  <c r="C13" i="5" a="1"/>
  <c r="C13" i="5" s="1"/>
  <c r="E13" i="5" a="1"/>
  <c r="E13" i="5" s="1"/>
  <c r="B18" i="5" a="1"/>
  <c r="B18" i="5" s="1"/>
  <c r="F18" i="5" a="1"/>
  <c r="F18" i="5" s="1"/>
  <c r="C21" i="5" a="1"/>
  <c r="C21" i="5" s="1"/>
  <c r="E22" i="5" a="1"/>
  <c r="E22" i="5" s="1"/>
  <c r="C22" i="5" a="1"/>
  <c r="C22" i="5" s="1"/>
  <c r="F25" i="5" a="1"/>
  <c r="F25" i="5" s="1"/>
  <c r="D25" i="5" a="1"/>
  <c r="D25" i="5" s="1"/>
  <c r="B25" i="5" a="1"/>
  <c r="B25" i="5" s="1"/>
  <c r="D26" i="5" a="1"/>
  <c r="D26" i="5" s="1"/>
  <c r="F29" i="5" a="1"/>
  <c r="F29" i="5" s="1"/>
  <c r="D29" i="5" a="1"/>
  <c r="D29" i="5" s="1"/>
  <c r="B29" i="5" a="1"/>
  <c r="B29" i="5" s="1"/>
  <c r="D30" i="5" a="1"/>
  <c r="D30" i="5" s="1"/>
  <c r="E50" i="5" a="1"/>
  <c r="E50" i="5" s="1"/>
  <c r="C50" i="5" a="1"/>
  <c r="C50" i="5" s="1"/>
  <c r="F50" i="5" a="1"/>
  <c r="F50" i="5" s="1"/>
  <c r="D50" i="5" a="1"/>
  <c r="D50" i="5" s="1"/>
  <c r="B50" i="5" a="1"/>
  <c r="B50" i="5" s="1"/>
  <c r="E54" i="5" a="1"/>
  <c r="E54" i="5" s="1"/>
  <c r="C54" i="5" a="1"/>
  <c r="C54" i="5" s="1"/>
  <c r="F54" i="5" a="1"/>
  <c r="F54" i="5" s="1"/>
  <c r="D54" i="5" a="1"/>
  <c r="D54" i="5" s="1"/>
  <c r="B54" i="5" a="1"/>
  <c r="B54" i="5" s="1"/>
  <c r="E58" i="5" a="1"/>
  <c r="E58" i="5" s="1"/>
  <c r="C58" i="5" a="1"/>
  <c r="C58" i="5" s="1"/>
  <c r="F58" i="5" a="1"/>
  <c r="F58" i="5" s="1"/>
  <c r="D58" i="5" a="1"/>
  <c r="D58" i="5" s="1"/>
  <c r="B58" i="5" a="1"/>
  <c r="B58" i="5" s="1"/>
  <c r="E74" i="5" a="1"/>
  <c r="E74" i="5" s="1"/>
  <c r="C74" i="5" a="1"/>
  <c r="C74" i="5" s="1"/>
  <c r="F74" i="5" a="1"/>
  <c r="F74" i="5" s="1"/>
  <c r="D74" i="5" a="1"/>
  <c r="D74" i="5" s="1"/>
  <c r="B74" i="5" a="1"/>
  <c r="B74" i="5" s="1"/>
  <c r="E119" i="5" a="1"/>
  <c r="E119" i="5" s="1"/>
  <c r="C119" i="5" a="1"/>
  <c r="C119" i="5" s="1"/>
  <c r="F119" i="5" a="1"/>
  <c r="F119" i="5" s="1"/>
  <c r="D119" i="5" a="1"/>
  <c r="D119" i="5" s="1"/>
  <c r="B119" i="5" a="1"/>
  <c r="B119" i="5" s="1"/>
  <c r="E77" i="5" a="1"/>
  <c r="E77" i="5" s="1"/>
  <c r="C77" i="5" a="1"/>
  <c r="C77" i="5" s="1"/>
  <c r="F77" i="5" a="1"/>
  <c r="F77" i="5" s="1"/>
  <c r="D77" i="5" a="1"/>
  <c r="D77" i="5" s="1"/>
  <c r="E93" i="5" a="1"/>
  <c r="E93" i="5" s="1"/>
  <c r="C93" i="5" a="1"/>
  <c r="C93" i="5" s="1"/>
  <c r="F93" i="5" a="1"/>
  <c r="F93" i="5" s="1"/>
  <c r="D93" i="5" a="1"/>
  <c r="D93" i="5" s="1"/>
  <c r="B93" i="5" a="1"/>
  <c r="B93" i="5" s="1"/>
  <c r="E137" i="5" a="1"/>
  <c r="E137" i="5" s="1"/>
  <c r="C137" i="5" a="1"/>
  <c r="C137" i="5" s="1"/>
  <c r="F137" i="5" a="1"/>
  <c r="F137" i="5" s="1"/>
  <c r="D137" i="5" a="1"/>
  <c r="D137" i="5" s="1"/>
  <c r="B137" i="5" a="1"/>
  <c r="B137" i="5" s="1"/>
  <c r="C15" i="5" a="1"/>
  <c r="C15" i="5" s="1"/>
  <c r="C19" i="5" a="1"/>
  <c r="C19" i="5" s="1"/>
  <c r="C23" i="5" a="1"/>
  <c r="C23" i="5" s="1"/>
  <c r="C27" i="5" a="1"/>
  <c r="C27" i="5" s="1"/>
  <c r="C31" i="5" a="1"/>
  <c r="C31" i="5" s="1"/>
  <c r="B33" i="5" a="1"/>
  <c r="B33" i="5" s="1"/>
  <c r="D33" i="5" a="1"/>
  <c r="D33" i="5" s="1"/>
  <c r="C35" i="5" a="1"/>
  <c r="C35" i="5" s="1"/>
  <c r="B37" i="5" a="1"/>
  <c r="B37" i="5" s="1"/>
  <c r="D37" i="5" a="1"/>
  <c r="D37" i="5" s="1"/>
  <c r="B41" i="5" a="1"/>
  <c r="B41" i="5" s="1"/>
  <c r="D41" i="5" a="1"/>
  <c r="D41" i="5" s="1"/>
  <c r="C43" i="5" a="1"/>
  <c r="C43" i="5" s="1"/>
  <c r="B45" i="5" a="1"/>
  <c r="B45" i="5" s="1"/>
  <c r="D45" i="5" a="1"/>
  <c r="D45" i="5" s="1"/>
  <c r="C47" i="5" a="1"/>
  <c r="C47" i="5" s="1"/>
  <c r="B49" i="5" a="1"/>
  <c r="B49" i="5" s="1"/>
  <c r="D49" i="5" a="1"/>
  <c r="D49" i="5" s="1"/>
  <c r="C51" i="5" a="1"/>
  <c r="C51" i="5" s="1"/>
  <c r="B53" i="5" a="1"/>
  <c r="B53" i="5" s="1"/>
  <c r="D53" i="5" a="1"/>
  <c r="D53" i="5" s="1"/>
  <c r="C55" i="5" a="1"/>
  <c r="C55" i="5" s="1"/>
  <c r="B57" i="5" a="1"/>
  <c r="B57" i="5" s="1"/>
  <c r="D57" i="5" a="1"/>
  <c r="D57" i="5" s="1"/>
  <c r="B61" i="5" a="1"/>
  <c r="B61" i="5" s="1"/>
  <c r="D61" i="5" a="1"/>
  <c r="D61" i="5" s="1"/>
  <c r="B65" i="5" a="1"/>
  <c r="B65" i="5" s="1"/>
  <c r="D65" i="5" a="1"/>
  <c r="D65" i="5" s="1"/>
  <c r="C67" i="5" a="1"/>
  <c r="C67" i="5" s="1"/>
  <c r="B69" i="5" a="1"/>
  <c r="B69" i="5" s="1"/>
  <c r="D69" i="5" a="1"/>
  <c r="D69" i="5" s="1"/>
  <c r="C71" i="5" a="1"/>
  <c r="C71" i="5" s="1"/>
  <c r="B73" i="5" a="1"/>
  <c r="B73" i="5" s="1"/>
  <c r="D73" i="5" a="1"/>
  <c r="D73" i="5" s="1"/>
  <c r="C75" i="5" a="1"/>
  <c r="C75" i="5" s="1"/>
  <c r="B77" i="5" a="1"/>
  <c r="B77" i="5" s="1"/>
  <c r="F79" i="5" a="1"/>
  <c r="F79" i="5" s="1"/>
  <c r="D79" i="5" a="1"/>
  <c r="D79" i="5" s="1"/>
  <c r="B79" i="5" a="1"/>
  <c r="B79" i="5" s="1"/>
  <c r="E79" i="5" a="1"/>
  <c r="E79" i="5" s="1"/>
  <c r="C79" i="5" a="1"/>
  <c r="C79" i="5" s="1"/>
  <c r="E81" i="5" a="1"/>
  <c r="E81" i="5" s="1"/>
  <c r="C81" i="5" a="1"/>
  <c r="C81" i="5" s="1"/>
  <c r="F81" i="5" a="1"/>
  <c r="F81" i="5" s="1"/>
  <c r="D81" i="5" a="1"/>
  <c r="D81" i="5" s="1"/>
  <c r="B81" i="5" a="1"/>
  <c r="B81" i="5" s="1"/>
  <c r="F83" i="5" a="1"/>
  <c r="F83" i="5" s="1"/>
  <c r="D83" i="5" a="1"/>
  <c r="D83" i="5" s="1"/>
  <c r="B83" i="5" a="1"/>
  <c r="B83" i="5" s="1"/>
  <c r="E83" i="5" a="1"/>
  <c r="E83" i="5" s="1"/>
  <c r="C83" i="5" a="1"/>
  <c r="C83" i="5" s="1"/>
  <c r="E85" i="5" a="1"/>
  <c r="E85" i="5" s="1"/>
  <c r="C85" i="5" a="1"/>
  <c r="C85" i="5" s="1"/>
  <c r="F85" i="5" a="1"/>
  <c r="F85" i="5" s="1"/>
  <c r="D85" i="5" a="1"/>
  <c r="D85" i="5" s="1"/>
  <c r="B85" i="5" a="1"/>
  <c r="B85" i="5" s="1"/>
  <c r="F87" i="5" a="1"/>
  <c r="F87" i="5" s="1"/>
  <c r="D87" i="5" a="1"/>
  <c r="D87" i="5" s="1"/>
  <c r="B87" i="5" a="1"/>
  <c r="B87" i="5" s="1"/>
  <c r="E87" i="5" a="1"/>
  <c r="E87" i="5" s="1"/>
  <c r="C87" i="5" a="1"/>
  <c r="C87" i="5" s="1"/>
  <c r="E89" i="5" a="1"/>
  <c r="E89" i="5" s="1"/>
  <c r="C89" i="5" a="1"/>
  <c r="C89" i="5" s="1"/>
  <c r="F89" i="5" a="1"/>
  <c r="F89" i="5" s="1"/>
  <c r="D89" i="5" a="1"/>
  <c r="D89" i="5" s="1"/>
  <c r="B89" i="5" a="1"/>
  <c r="B89" i="5" s="1"/>
  <c r="D16" i="5" a="1"/>
  <c r="D16" i="5" s="1"/>
  <c r="D20" i="5" a="1"/>
  <c r="D20" i="5" s="1"/>
  <c r="D24" i="5" a="1"/>
  <c r="D24" i="5" s="1"/>
  <c r="B28" i="5" a="1"/>
  <c r="B28" i="5" s="1"/>
  <c r="D28" i="5" a="1"/>
  <c r="D28" i="5" s="1"/>
  <c r="D32" i="5" a="1"/>
  <c r="D32" i="5" s="1"/>
  <c r="B36" i="5" a="1"/>
  <c r="B36" i="5" s="1"/>
  <c r="D36" i="5" a="1"/>
  <c r="D36" i="5" s="1"/>
  <c r="B40" i="5" a="1"/>
  <c r="B40" i="5" s="1"/>
  <c r="D40" i="5" a="1"/>
  <c r="D40" i="5" s="1"/>
  <c r="B44" i="5" a="1"/>
  <c r="B44" i="5" s="1"/>
  <c r="D44" i="5" a="1"/>
  <c r="D44" i="5" s="1"/>
  <c r="D48" i="5" a="1"/>
  <c r="D48" i="5" s="1"/>
  <c r="B52" i="5" a="1"/>
  <c r="B52" i="5" s="1"/>
  <c r="D52" i="5" a="1"/>
  <c r="D52" i="5" s="1"/>
  <c r="B56" i="5" a="1"/>
  <c r="B56" i="5" s="1"/>
  <c r="D56" i="5" a="1"/>
  <c r="D56" i="5" s="1"/>
  <c r="B60" i="5" a="1"/>
  <c r="B60" i="5" s="1"/>
  <c r="D60" i="5" a="1"/>
  <c r="D60" i="5" s="1"/>
  <c r="B64" i="5" a="1"/>
  <c r="B64" i="5" s="1"/>
  <c r="D64" i="5" a="1"/>
  <c r="D64" i="5" s="1"/>
  <c r="D68" i="5" a="1"/>
  <c r="D68" i="5" s="1"/>
  <c r="D72" i="5" a="1"/>
  <c r="D72" i="5" s="1"/>
  <c r="B76" i="5" a="1"/>
  <c r="B76" i="5" s="1"/>
  <c r="D76" i="5" a="1"/>
  <c r="D76" i="5" s="1"/>
  <c r="F101" i="5" a="1"/>
  <c r="F101" i="5" s="1"/>
  <c r="D101" i="5" a="1"/>
  <c r="D101" i="5" s="1"/>
  <c r="C101" i="5" a="1"/>
  <c r="C101" i="5" s="1"/>
  <c r="E101" i="5" a="1"/>
  <c r="E101" i="5" s="1"/>
  <c r="B101" i="5" a="1"/>
  <c r="B101" i="5" s="1"/>
  <c r="E107" i="5" a="1"/>
  <c r="E107" i="5" s="1"/>
  <c r="C107" i="5" a="1"/>
  <c r="C107" i="5" s="1"/>
  <c r="D107" i="5" a="1"/>
  <c r="D107" i="5" s="1"/>
  <c r="F107" i="5" a="1"/>
  <c r="F107" i="5" s="1"/>
  <c r="B107" i="5" a="1"/>
  <c r="B107" i="5" s="1"/>
  <c r="E115" i="5" a="1"/>
  <c r="E115" i="5" s="1"/>
  <c r="C115" i="5" a="1"/>
  <c r="C115" i="5" s="1"/>
  <c r="F115" i="5" a="1"/>
  <c r="F115" i="5" s="1"/>
  <c r="D115" i="5" a="1"/>
  <c r="D115" i="5" s="1"/>
  <c r="B115" i="5" a="1"/>
  <c r="B115" i="5" s="1"/>
  <c r="E141" i="5" a="1"/>
  <c r="E141" i="5" s="1"/>
  <c r="C141" i="5" a="1"/>
  <c r="C141" i="5" s="1"/>
  <c r="F141" i="5" a="1"/>
  <c r="F141" i="5" s="1"/>
  <c r="D141" i="5" a="1"/>
  <c r="D141" i="5" s="1"/>
  <c r="B141" i="5" a="1"/>
  <c r="B141" i="5" s="1"/>
  <c r="C91" i="5" a="1"/>
  <c r="C91" i="5" s="1"/>
  <c r="E91" i="5" a="1"/>
  <c r="E91" i="5" s="1"/>
  <c r="C95" i="5" a="1"/>
  <c r="C95" i="5" s="1"/>
  <c r="E95" i="5" a="1"/>
  <c r="E95" i="5" s="1"/>
  <c r="C99" i="5" a="1"/>
  <c r="C99" i="5" s="1"/>
  <c r="E99" i="5" a="1"/>
  <c r="E99" i="5" s="1"/>
  <c r="F102" i="5" a="1"/>
  <c r="F102" i="5" s="1"/>
  <c r="D102" i="5" a="1"/>
  <c r="D102" i="5" s="1"/>
  <c r="B102" i="5" a="1"/>
  <c r="B102" i="5" s="1"/>
  <c r="E123" i="5" a="1"/>
  <c r="E123" i="5" s="1"/>
  <c r="C123" i="5" a="1"/>
  <c r="C123" i="5" s="1"/>
  <c r="F123" i="5" a="1"/>
  <c r="F123" i="5" s="1"/>
  <c r="D123" i="5" a="1"/>
  <c r="D123" i="5" s="1"/>
  <c r="B123" i="5" a="1"/>
  <c r="B123" i="5" s="1"/>
  <c r="F131" i="5" a="1"/>
  <c r="F131" i="5" s="1"/>
  <c r="D131" i="5" a="1"/>
  <c r="D131" i="5" s="1"/>
  <c r="C131" i="5" a="1"/>
  <c r="C131" i="5" s="1"/>
  <c r="E131" i="5" a="1"/>
  <c r="E131" i="5" s="1"/>
  <c r="B131" i="5" a="1"/>
  <c r="B131" i="5" s="1"/>
  <c r="E103" i="5" a="1"/>
  <c r="E103" i="5" s="1"/>
  <c r="C103" i="5" a="1"/>
  <c r="C103" i="5" s="1"/>
  <c r="E157" i="5" a="1"/>
  <c r="E157" i="5" s="1"/>
  <c r="C157" i="5" a="1"/>
  <c r="C157" i="5" s="1"/>
  <c r="F157" i="5" a="1"/>
  <c r="F157" i="5" s="1"/>
  <c r="D157" i="5" a="1"/>
  <c r="D157" i="5" s="1"/>
  <c r="B157" i="5" a="1"/>
  <c r="B157" i="5" s="1"/>
  <c r="B91" i="5" a="1"/>
  <c r="B91" i="5" s="1"/>
  <c r="D91" i="5" a="1"/>
  <c r="D91" i="5" s="1"/>
  <c r="B95" i="5" a="1"/>
  <c r="B95" i="5" s="1"/>
  <c r="D95" i="5" a="1"/>
  <c r="D95" i="5" s="1"/>
  <c r="B99" i="5" a="1"/>
  <c r="B99" i="5" s="1"/>
  <c r="D99" i="5" a="1"/>
  <c r="D99" i="5" s="1"/>
  <c r="B103" i="5" a="1"/>
  <c r="B103" i="5" s="1"/>
  <c r="F103" i="5" a="1"/>
  <c r="F103" i="5" s="1"/>
  <c r="F106" i="5" a="1"/>
  <c r="F106" i="5" s="1"/>
  <c r="D106" i="5" a="1"/>
  <c r="D106" i="5" s="1"/>
  <c r="B106" i="5" a="1"/>
  <c r="B106" i="5" s="1"/>
  <c r="E111" i="5" a="1"/>
  <c r="E111" i="5" s="1"/>
  <c r="C111" i="5" a="1"/>
  <c r="C111" i="5" s="1"/>
  <c r="F111" i="5" a="1"/>
  <c r="F111" i="5" s="1"/>
  <c r="D111" i="5" a="1"/>
  <c r="D111" i="5" s="1"/>
  <c r="B111" i="5" a="1"/>
  <c r="B111" i="5" s="1"/>
  <c r="E127" i="5" a="1"/>
  <c r="E127" i="5" s="1"/>
  <c r="C127" i="5" a="1"/>
  <c r="C127" i="5" s="1"/>
  <c r="F127" i="5" a="1"/>
  <c r="F127" i="5" s="1"/>
  <c r="D127" i="5" a="1"/>
  <c r="D127" i="5" s="1"/>
  <c r="B127" i="5" a="1"/>
  <c r="B127" i="5" s="1"/>
  <c r="D132" i="5" a="1"/>
  <c r="D132" i="5" s="1"/>
  <c r="E133" i="5" a="1"/>
  <c r="E133" i="5" s="1"/>
  <c r="C133" i="5" a="1"/>
  <c r="C133" i="5" s="1"/>
  <c r="D133" i="5" a="1"/>
  <c r="D133" i="5" s="1"/>
  <c r="C108" i="5" a="1"/>
  <c r="C108" i="5" s="1"/>
  <c r="B110" i="5" a="1"/>
  <c r="B110" i="5" s="1"/>
  <c r="D110" i="5" a="1"/>
  <c r="D110" i="5" s="1"/>
  <c r="C112" i="5" a="1"/>
  <c r="C112" i="5" s="1"/>
  <c r="B114" i="5" a="1"/>
  <c r="B114" i="5" s="1"/>
  <c r="D114" i="5" a="1"/>
  <c r="D114" i="5" s="1"/>
  <c r="C116" i="5" a="1"/>
  <c r="C116" i="5" s="1"/>
  <c r="B118" i="5" a="1"/>
  <c r="B118" i="5" s="1"/>
  <c r="D118" i="5" a="1"/>
  <c r="D118" i="5" s="1"/>
  <c r="B122" i="5" a="1"/>
  <c r="B122" i="5" s="1"/>
  <c r="D122" i="5" a="1"/>
  <c r="D122" i="5" s="1"/>
  <c r="B126" i="5" a="1"/>
  <c r="B126" i="5" s="1"/>
  <c r="D126" i="5" a="1"/>
  <c r="D126" i="5" s="1"/>
  <c r="B130" i="5" a="1"/>
  <c r="B130" i="5" s="1"/>
  <c r="D130" i="5" a="1"/>
  <c r="D130" i="5" s="1"/>
  <c r="B132" i="5" a="1"/>
  <c r="B132" i="5" s="1"/>
  <c r="E132" i="5" a="1"/>
  <c r="E132" i="5" s="1"/>
  <c r="B133" i="5" a="1"/>
  <c r="B133" i="5" s="1"/>
  <c r="E149" i="5" a="1"/>
  <c r="E149" i="5" s="1"/>
  <c r="C149" i="5" a="1"/>
  <c r="C149" i="5" s="1"/>
  <c r="F149" i="5" a="1"/>
  <c r="F149" i="5" s="1"/>
  <c r="D149" i="5" a="1"/>
  <c r="D149" i="5" s="1"/>
  <c r="B149" i="5" a="1"/>
  <c r="B149" i="5" s="1"/>
  <c r="E161" i="5" a="1"/>
  <c r="E161" i="5" s="1"/>
  <c r="C161" i="5" a="1"/>
  <c r="C161" i="5" s="1"/>
  <c r="F161" i="5" a="1"/>
  <c r="F161" i="5" s="1"/>
  <c r="D161" i="5" a="1"/>
  <c r="D161" i="5" s="1"/>
  <c r="B161" i="5" a="1"/>
  <c r="B161" i="5" s="1"/>
  <c r="B105" i="5" a="1"/>
  <c r="B105" i="5" s="1"/>
  <c r="D105" i="5" a="1"/>
  <c r="D105" i="5" s="1"/>
  <c r="D109" i="5" a="1"/>
  <c r="D109" i="5" s="1"/>
  <c r="D113" i="5" a="1"/>
  <c r="D113" i="5" s="1"/>
  <c r="B117" i="5" a="1"/>
  <c r="B117" i="5" s="1"/>
  <c r="D117" i="5" a="1"/>
  <c r="D117" i="5" s="1"/>
  <c r="B121" i="5" a="1"/>
  <c r="B121" i="5" s="1"/>
  <c r="D121" i="5" a="1"/>
  <c r="D121" i="5" s="1"/>
  <c r="B125" i="5" a="1"/>
  <c r="B125" i="5" s="1"/>
  <c r="D125" i="5" a="1"/>
  <c r="D125" i="5" s="1"/>
  <c r="B129" i="5" a="1"/>
  <c r="B129" i="5" s="1"/>
  <c r="D129" i="5" a="1"/>
  <c r="D129" i="5" s="1"/>
  <c r="F135" i="5" a="1"/>
  <c r="F135" i="5" s="1"/>
  <c r="D135" i="5" a="1"/>
  <c r="D135" i="5" s="1"/>
  <c r="B135" i="5" a="1"/>
  <c r="B135" i="5" s="1"/>
  <c r="E135" i="5" a="1"/>
  <c r="E135" i="5" s="1"/>
  <c r="E145" i="5" a="1"/>
  <c r="E145" i="5" s="1"/>
  <c r="C145" i="5" a="1"/>
  <c r="C145" i="5" s="1"/>
  <c r="F145" i="5" a="1"/>
  <c r="F145" i="5" s="1"/>
  <c r="D145" i="5" a="1"/>
  <c r="D145" i="5" s="1"/>
  <c r="B145" i="5" a="1"/>
  <c r="B145" i="5" s="1"/>
  <c r="E153" i="5" a="1"/>
  <c r="E153" i="5" s="1"/>
  <c r="C153" i="5" a="1"/>
  <c r="C153" i="5" s="1"/>
  <c r="F153" i="5" a="1"/>
  <c r="F153" i="5" s="1"/>
  <c r="D153" i="5" a="1"/>
  <c r="D153" i="5" s="1"/>
  <c r="B153" i="5" a="1"/>
  <c r="B153" i="5" s="1"/>
  <c r="C143" i="5" a="1"/>
  <c r="C143" i="5" s="1"/>
  <c r="E143" i="5" a="1"/>
  <c r="E143" i="5" s="1"/>
  <c r="C147" i="5" a="1"/>
  <c r="C147" i="5" s="1"/>
  <c r="E147" i="5" a="1"/>
  <c r="E147" i="5" s="1"/>
  <c r="C151" i="5" a="1"/>
  <c r="C151" i="5" s="1"/>
  <c r="E151" i="5" a="1"/>
  <c r="E151" i="5" s="1"/>
  <c r="E155" i="5" a="1"/>
  <c r="E155" i="5" s="1"/>
  <c r="D152" i="5" a="1"/>
  <c r="D152" i="5" s="1"/>
  <c r="B156" i="5" a="1"/>
  <c r="B156" i="5" s="1"/>
  <c r="D156" i="5" a="1"/>
  <c r="D156" i="5" s="1"/>
  <c r="B160" i="5" a="1"/>
  <c r="B160" i="5" s="1"/>
  <c r="D160" i="5" a="1"/>
  <c r="D160" i="5" s="1"/>
  <c r="B164" i="5" a="1"/>
  <c r="B164" i="5" s="1"/>
  <c r="D164" i="5" a="1"/>
  <c r="D164" i="5" s="1"/>
  <c r="B143" i="5" a="1"/>
  <c r="B143" i="5" s="1"/>
  <c r="D143" i="5" a="1"/>
  <c r="D143" i="5" s="1"/>
  <c r="B147" i="5" a="1"/>
  <c r="B147" i="5" s="1"/>
  <c r="D147" i="5" a="1"/>
  <c r="D147" i="5" s="1"/>
  <c r="B151" i="5" a="1"/>
  <c r="B151" i="5" s="1"/>
  <c r="D151" i="5" a="1"/>
  <c r="D151" i="5" s="1"/>
  <c r="B155" i="5" a="1"/>
  <c r="B155" i="5" s="1"/>
  <c r="D155" i="5" a="1"/>
  <c r="D155" i="5" s="1"/>
  <c r="B159" i="5" a="1"/>
  <c r="B159" i="5" s="1"/>
  <c r="D159" i="5" a="1"/>
  <c r="D159" i="5" s="1"/>
  <c r="B163" i="5" a="1"/>
  <c r="B163" i="5" s="1"/>
  <c r="D163" i="5" a="1"/>
  <c r="D163" i="5" s="1"/>
  <c r="T170" i="4" a="1"/>
  <c r="T170" i="4" s="1"/>
  <c r="U190" i="4" s="1"/>
  <c r="P190" i="4"/>
  <c r="P171" i="4"/>
  <c r="P191" i="4"/>
  <c r="P189" i="4"/>
  <c r="P172" i="4"/>
  <c r="K169" i="4"/>
  <c r="J170" i="4" s="1" a="1"/>
  <c r="J170" i="4" s="1"/>
  <c r="K191" i="4" s="1"/>
  <c r="L191" i="4" s="1"/>
  <c r="G169" i="4"/>
  <c r="E170" i="4" s="1" a="1"/>
  <c r="E170" i="4" s="1"/>
  <c r="P5" i="4"/>
  <c r="K173" i="4"/>
  <c r="L173" i="4" s="1"/>
  <c r="D24" i="4" a="1"/>
  <c r="D24" i="4" s="1"/>
  <c r="C6" i="4" a="1"/>
  <c r="C6" i="4" s="1"/>
  <c r="B120" i="4" a="1"/>
  <c r="B120" i="4" s="1"/>
  <c r="F138" i="4" a="1"/>
  <c r="F138" i="4" s="1"/>
  <c r="F62" i="4" a="1"/>
  <c r="F62" i="4" s="1"/>
  <c r="F154" i="4" a="1"/>
  <c r="F154" i="4" s="1"/>
  <c r="D56" i="4" a="1"/>
  <c r="D56" i="4" s="1"/>
  <c r="C152" i="4" a="1"/>
  <c r="C152" i="4" s="1"/>
  <c r="C99" i="4" a="1"/>
  <c r="C99" i="4" s="1"/>
  <c r="B147" i="4" a="1"/>
  <c r="B147" i="4" s="1"/>
  <c r="D150" i="4" a="1"/>
  <c r="D150" i="4" s="1"/>
  <c r="F12" i="4" a="1"/>
  <c r="F12" i="4" s="1"/>
  <c r="B81" i="4" a="1"/>
  <c r="B81" i="4" s="1"/>
  <c r="B119" i="4" a="1"/>
  <c r="B119" i="4" s="1"/>
  <c r="E148" i="4" a="1"/>
  <c r="E148" i="4" s="1"/>
  <c r="B40" i="4" a="1"/>
  <c r="B40" i="4" s="1"/>
  <c r="B85" i="4" a="1"/>
  <c r="B85" i="4" s="1"/>
  <c r="C91" i="4" a="1"/>
  <c r="C91" i="4" s="1"/>
  <c r="F119" i="4" a="1"/>
  <c r="F119" i="4" s="1"/>
  <c r="F139" i="4" a="1"/>
  <c r="F139" i="4" s="1"/>
  <c r="B154" i="4" a="1"/>
  <c r="B154" i="4" s="1"/>
  <c r="B155" i="4" a="1"/>
  <c r="B155" i="4" s="1"/>
  <c r="D60" i="4" a="1"/>
  <c r="D60" i="4" s="1"/>
  <c r="B91" i="4" a="1"/>
  <c r="B91" i="4" s="1"/>
  <c r="C34" i="4" a="1"/>
  <c r="C34" i="4" s="1"/>
  <c r="B56" i="4" a="1"/>
  <c r="B56" i="4" s="1"/>
  <c r="F72" i="4" a="1"/>
  <c r="F72" i="4" s="1"/>
  <c r="B99" i="4" a="1"/>
  <c r="B99" i="4" s="1"/>
  <c r="D154" i="4" a="1"/>
  <c r="D154" i="4" s="1"/>
  <c r="C155" i="4" a="1"/>
  <c r="C155" i="4" s="1"/>
  <c r="B8" i="4" a="1"/>
  <c r="B8" i="4" s="1"/>
  <c r="B20" i="4" a="1"/>
  <c r="B20" i="4" s="1"/>
  <c r="B30" i="4" a="1"/>
  <c r="B30" i="4" s="1"/>
  <c r="C32" i="4" a="1"/>
  <c r="C32" i="4" s="1"/>
  <c r="B44" i="4" a="1"/>
  <c r="B44" i="4" s="1"/>
  <c r="D46" i="4" a="1"/>
  <c r="D46" i="4" s="1"/>
  <c r="B52" i="4" a="1"/>
  <c r="B52" i="4" s="1"/>
  <c r="C89" i="4" a="1"/>
  <c r="C89" i="4" s="1"/>
  <c r="C109" i="4" a="1"/>
  <c r="C109" i="4" s="1"/>
  <c r="E131" i="4" a="1"/>
  <c r="E131" i="4" s="1"/>
  <c r="B137" i="4" a="1"/>
  <c r="B137" i="4" s="1"/>
  <c r="F155" i="4" a="1"/>
  <c r="F155" i="4" s="1"/>
  <c r="D162" i="4" a="1"/>
  <c r="D162" i="4" s="1"/>
  <c r="C20" i="4" a="1"/>
  <c r="C20" i="4" s="1"/>
  <c r="B22" i="4" a="1"/>
  <c r="B22" i="4" s="1"/>
  <c r="D30" i="4" a="1"/>
  <c r="D30" i="4" s="1"/>
  <c r="F46" i="4" a="1"/>
  <c r="F46" i="4" s="1"/>
  <c r="C52" i="4" a="1"/>
  <c r="C52" i="4" s="1"/>
  <c r="B60" i="4" a="1"/>
  <c r="B60" i="4" s="1"/>
  <c r="C74" i="4" a="1"/>
  <c r="C74" i="4" s="1"/>
  <c r="B77" i="4" a="1"/>
  <c r="B77" i="4" s="1"/>
  <c r="B95" i="4" a="1"/>
  <c r="B95" i="4" s="1"/>
  <c r="D99" i="4" a="1"/>
  <c r="D99" i="4" s="1"/>
  <c r="C121" i="4" a="1"/>
  <c r="C121" i="4" s="1"/>
  <c r="C124" i="4" a="1"/>
  <c r="C124" i="4" s="1"/>
  <c r="B127" i="4" a="1"/>
  <c r="B127" i="4" s="1"/>
  <c r="C129" i="4" a="1"/>
  <c r="C129" i="4" s="1"/>
  <c r="D135" i="4" a="1"/>
  <c r="D135" i="4" s="1"/>
  <c r="B139" i="4" a="1"/>
  <c r="B139" i="4" s="1"/>
  <c r="C144" i="4" a="1"/>
  <c r="C144" i="4" s="1"/>
  <c r="C9" i="4" a="1"/>
  <c r="C9" i="4" s="1"/>
  <c r="D12" i="4" a="1"/>
  <c r="D12" i="4" s="1"/>
  <c r="F20" i="4" a="1"/>
  <c r="F20" i="4" s="1"/>
  <c r="C22" i="4" a="1"/>
  <c r="C22" i="4" s="1"/>
  <c r="B36" i="4" a="1"/>
  <c r="B36" i="4" s="1"/>
  <c r="D52" i="4" a="1"/>
  <c r="D52" i="4" s="1"/>
  <c r="C60" i="4" a="1"/>
  <c r="C60" i="4" s="1"/>
  <c r="D95" i="4" a="1"/>
  <c r="D95" i="4" s="1"/>
  <c r="F127" i="4" a="1"/>
  <c r="F127" i="4" s="1"/>
  <c r="B138" i="4" a="1"/>
  <c r="B138" i="4" s="1"/>
  <c r="C139" i="4" a="1"/>
  <c r="C139" i="4" s="1"/>
  <c r="E152" i="4" a="1"/>
  <c r="E152" i="4" s="1"/>
  <c r="F68" i="4" a="1"/>
  <c r="F68" i="4" s="1"/>
  <c r="E6" i="4" a="1"/>
  <c r="E6" i="4" s="1"/>
  <c r="D8" i="4" a="1"/>
  <c r="D8" i="4" s="1"/>
  <c r="E9" i="4" a="1"/>
  <c r="E9" i="4" s="1"/>
  <c r="E13" i="4" a="1"/>
  <c r="E13" i="4" s="1"/>
  <c r="D16" i="4" a="1"/>
  <c r="D16" i="4" s="1"/>
  <c r="D22" i="4" a="1"/>
  <c r="D22" i="4" s="1"/>
  <c r="B28" i="4" a="1"/>
  <c r="B28" i="4" s="1"/>
  <c r="F30" i="4" a="1"/>
  <c r="F30" i="4" s="1"/>
  <c r="C36" i="4" a="1"/>
  <c r="C36" i="4" s="1"/>
  <c r="D40" i="4" a="1"/>
  <c r="D40" i="4" s="1"/>
  <c r="D44" i="4" a="1"/>
  <c r="D44" i="4" s="1"/>
  <c r="C54" i="4" a="1"/>
  <c r="C54" i="4" s="1"/>
  <c r="B68" i="4" a="1"/>
  <c r="B68" i="4" s="1"/>
  <c r="B72" i="4" a="1"/>
  <c r="B72" i="4" s="1"/>
  <c r="D77" i="4" a="1"/>
  <c r="D77" i="4" s="1"/>
  <c r="C79" i="4" a="1"/>
  <c r="C79" i="4" s="1"/>
  <c r="D81" i="4" a="1"/>
  <c r="D81" i="4" s="1"/>
  <c r="D85" i="4" a="1"/>
  <c r="D85" i="4" s="1"/>
  <c r="C87" i="4" a="1"/>
  <c r="C87" i="4" s="1"/>
  <c r="D91" i="4" a="1"/>
  <c r="D91" i="4" s="1"/>
  <c r="C97" i="4" a="1"/>
  <c r="C97" i="4" s="1"/>
  <c r="D107" i="4" a="1"/>
  <c r="D107" i="4" s="1"/>
  <c r="B123" i="4" a="1"/>
  <c r="B123" i="4" s="1"/>
  <c r="C128" i="4" a="1"/>
  <c r="C128" i="4" s="1"/>
  <c r="F135" i="4" a="1"/>
  <c r="F135" i="4" s="1"/>
  <c r="F137" i="4" a="1"/>
  <c r="F137" i="4" s="1"/>
  <c r="B146" i="4" a="1"/>
  <c r="B146" i="4" s="1"/>
  <c r="C147" i="4" a="1"/>
  <c r="C147" i="4" s="1"/>
  <c r="E151" i="4" a="1"/>
  <c r="E151" i="4" s="1"/>
  <c r="E160" i="4" a="1"/>
  <c r="E160" i="4" s="1"/>
  <c r="F8" i="4" a="1"/>
  <c r="F8" i="4" s="1"/>
  <c r="C28" i="4" a="1"/>
  <c r="C28" i="4" s="1"/>
  <c r="D36" i="4" a="1"/>
  <c r="D36" i="4" s="1"/>
  <c r="F40" i="4" a="1"/>
  <c r="F40" i="4" s="1"/>
  <c r="F44" i="4" a="1"/>
  <c r="F44" i="4" s="1"/>
  <c r="B46" i="4" a="1"/>
  <c r="B46" i="4" s="1"/>
  <c r="F52" i="4" a="1"/>
  <c r="F52" i="4" s="1"/>
  <c r="F56" i="4" a="1"/>
  <c r="F56" i="4" s="1"/>
  <c r="F60" i="4" a="1"/>
  <c r="F60" i="4" s="1"/>
  <c r="B62" i="4" a="1"/>
  <c r="B62" i="4" s="1"/>
  <c r="C66" i="4" a="1"/>
  <c r="C66" i="4" s="1"/>
  <c r="C68" i="4" a="1"/>
  <c r="C68" i="4" s="1"/>
  <c r="C72" i="4" a="1"/>
  <c r="C72" i="4" s="1"/>
  <c r="F77" i="4" a="1"/>
  <c r="F77" i="4" s="1"/>
  <c r="F81" i="4" a="1"/>
  <c r="F81" i="4" s="1"/>
  <c r="F85" i="4" a="1"/>
  <c r="F85" i="4" s="1"/>
  <c r="F91" i="4" a="1"/>
  <c r="F91" i="4" s="1"/>
  <c r="F95" i="4" a="1"/>
  <c r="F95" i="4" s="1"/>
  <c r="C117" i="4" a="1"/>
  <c r="C117" i="4" s="1"/>
  <c r="F123" i="4" a="1"/>
  <c r="F123" i="4" s="1"/>
  <c r="F146" i="4" a="1"/>
  <c r="F146" i="4" s="1"/>
  <c r="F147" i="4" a="1"/>
  <c r="F147" i="4" s="1"/>
  <c r="E155" i="4" a="1"/>
  <c r="E155" i="4" s="1"/>
  <c r="E10" i="4" a="1"/>
  <c r="E10" i="4" s="1"/>
  <c r="D28" i="4" a="1"/>
  <c r="D28" i="4" s="1"/>
  <c r="F36" i="4" a="1"/>
  <c r="F36" i="4" s="1"/>
  <c r="D62" i="4" a="1"/>
  <c r="D62" i="4" s="1"/>
  <c r="C64" i="4" a="1"/>
  <c r="C64" i="4" s="1"/>
  <c r="D68" i="4" a="1"/>
  <c r="D68" i="4" s="1"/>
  <c r="D72" i="4" a="1"/>
  <c r="D72" i="4" s="1"/>
  <c r="F99" i="4" a="1"/>
  <c r="F99" i="4" s="1"/>
  <c r="D106" i="4" a="1"/>
  <c r="D106" i="4" s="1"/>
  <c r="D111" i="4" a="1"/>
  <c r="D111" i="4" s="1"/>
  <c r="E117" i="4" a="1"/>
  <c r="E117" i="4" s="1"/>
  <c r="D119" i="4" a="1"/>
  <c r="D119" i="4" s="1"/>
  <c r="C120" i="4" a="1"/>
  <c r="C120" i="4" s="1"/>
  <c r="C125" i="4" a="1"/>
  <c r="C125" i="4" s="1"/>
  <c r="B131" i="4" a="1"/>
  <c r="B131" i="4" s="1"/>
  <c r="B135" i="4" a="1"/>
  <c r="B135" i="4" s="1"/>
  <c r="D50" i="4" a="1"/>
  <c r="D50" i="4" s="1"/>
  <c r="C50" i="4" a="1"/>
  <c r="C50" i="4" s="1"/>
  <c r="F50" i="4" a="1"/>
  <c r="F50" i="4" s="1"/>
  <c r="B50" i="4" a="1"/>
  <c r="B50" i="4" s="1"/>
  <c r="D70" i="4" a="1"/>
  <c r="D70" i="4" s="1"/>
  <c r="C70" i="4" a="1"/>
  <c r="C70" i="4" s="1"/>
  <c r="F70" i="4" a="1"/>
  <c r="F70" i="4" s="1"/>
  <c r="B70" i="4" a="1"/>
  <c r="B70" i="4" s="1"/>
  <c r="D101" i="4" a="1"/>
  <c r="D101" i="4" s="1"/>
  <c r="C101" i="4" a="1"/>
  <c r="C101" i="4" s="1"/>
  <c r="F101" i="4" a="1"/>
  <c r="F101" i="4" s="1"/>
  <c r="B101" i="4" a="1"/>
  <c r="B101" i="4" s="1"/>
  <c r="F104" i="4" a="1"/>
  <c r="F104" i="4" s="1"/>
  <c r="C104" i="4" a="1"/>
  <c r="C104" i="4" s="1"/>
  <c r="B104" i="4" a="1"/>
  <c r="B104" i="4" s="1"/>
  <c r="C2" i="4" a="1"/>
  <c r="C2" i="4" s="1"/>
  <c r="B4" i="4" a="1"/>
  <c r="B4" i="4" s="1"/>
  <c r="C5" i="4" a="1"/>
  <c r="C5" i="4" s="1"/>
  <c r="E16" i="4" a="1"/>
  <c r="E16" i="4" s="1"/>
  <c r="B18" i="4" a="1"/>
  <c r="B18" i="4" s="1"/>
  <c r="F18" i="4" a="1"/>
  <c r="F18" i="4" s="1"/>
  <c r="E24" i="4" a="1"/>
  <c r="E24" i="4" s="1"/>
  <c r="B26" i="4" a="1"/>
  <c r="B26" i="4" s="1"/>
  <c r="F26" i="4" a="1"/>
  <c r="F26" i="4" s="1"/>
  <c r="D38" i="4" a="1"/>
  <c r="D38" i="4" s="1"/>
  <c r="F38" i="4" a="1"/>
  <c r="F38" i="4" s="1"/>
  <c r="B38" i="4" a="1"/>
  <c r="B38" i="4" s="1"/>
  <c r="D48" i="4" a="1"/>
  <c r="D48" i="4" s="1"/>
  <c r="C48" i="4" a="1"/>
  <c r="C48" i="4" s="1"/>
  <c r="F48" i="4" a="1"/>
  <c r="F48" i="4" s="1"/>
  <c r="B48" i="4" a="1"/>
  <c r="B48" i="4" s="1"/>
  <c r="E50" i="4" a="1"/>
  <c r="E50" i="4" s="1"/>
  <c r="D58" i="4" a="1"/>
  <c r="D58" i="4" s="1"/>
  <c r="C58" i="4" a="1"/>
  <c r="C58" i="4" s="1"/>
  <c r="F58" i="4" a="1"/>
  <c r="F58" i="4" s="1"/>
  <c r="B58" i="4" a="1"/>
  <c r="B58" i="4" s="1"/>
  <c r="E70" i="4" a="1"/>
  <c r="E70" i="4" s="1"/>
  <c r="E101" i="4" a="1"/>
  <c r="E101" i="4" s="1"/>
  <c r="E104" i="4" a="1"/>
  <c r="E104" i="4" s="1"/>
  <c r="F140" i="4" a="1"/>
  <c r="F140" i="4" s="1"/>
  <c r="E140" i="4" a="1"/>
  <c r="E140" i="4" s="1"/>
  <c r="C140" i="4" a="1"/>
  <c r="C140" i="4" s="1"/>
  <c r="E158" i="4" a="1"/>
  <c r="E158" i="4" s="1"/>
  <c r="F158" i="4" a="1"/>
  <c r="F158" i="4" s="1"/>
  <c r="D158" i="4" a="1"/>
  <c r="D158" i="4" s="1"/>
  <c r="B158" i="4" a="1"/>
  <c r="B158" i="4" s="1"/>
  <c r="E2" i="4" a="1"/>
  <c r="E2" i="4" s="1"/>
  <c r="D4" i="4" a="1"/>
  <c r="D4" i="4" s="1"/>
  <c r="E5" i="4" a="1"/>
  <c r="E5" i="4" s="1"/>
  <c r="C14" i="4" a="1"/>
  <c r="C14" i="4" s="1"/>
  <c r="B16" i="4" a="1"/>
  <c r="B16" i="4" s="1"/>
  <c r="F16" i="4" a="1"/>
  <c r="F16" i="4" s="1"/>
  <c r="C18" i="4" a="1"/>
  <c r="C18" i="4" s="1"/>
  <c r="D20" i="4" a="1"/>
  <c r="D20" i="4" s="1"/>
  <c r="E22" i="4" a="1"/>
  <c r="E22" i="4" s="1"/>
  <c r="B24" i="4" a="1"/>
  <c r="B24" i="4" s="1"/>
  <c r="F24" i="4" a="1"/>
  <c r="F24" i="4" s="1"/>
  <c r="C26" i="4" a="1"/>
  <c r="C26" i="4" s="1"/>
  <c r="C38" i="4" a="1"/>
  <c r="C38" i="4" s="1"/>
  <c r="F42" i="4" a="1"/>
  <c r="F42" i="4" s="1"/>
  <c r="B42" i="4" a="1"/>
  <c r="B42" i="4" s="1"/>
  <c r="D42" i="4" a="1"/>
  <c r="D42" i="4" s="1"/>
  <c r="E48" i="4" a="1"/>
  <c r="E48" i="4" s="1"/>
  <c r="E58" i="4" a="1"/>
  <c r="E58" i="4" s="1"/>
  <c r="E115" i="4" a="1"/>
  <c r="E115" i="4" s="1"/>
  <c r="F115" i="4" a="1"/>
  <c r="F115" i="4" s="1"/>
  <c r="D115" i="4" a="1"/>
  <c r="D115" i="4" s="1"/>
  <c r="B115" i="4" a="1"/>
  <c r="B115" i="4" s="1"/>
  <c r="F159" i="4" a="1"/>
  <c r="F159" i="4" s="1"/>
  <c r="C159" i="4" a="1"/>
  <c r="C159" i="4" s="1"/>
  <c r="B159" i="4" a="1"/>
  <c r="B159" i="4" s="1"/>
  <c r="E18" i="4" a="1"/>
  <c r="E18" i="4" s="1"/>
  <c r="E26" i="4" a="1"/>
  <c r="E26" i="4" s="1"/>
  <c r="F113" i="4" a="1"/>
  <c r="F113" i="4" s="1"/>
  <c r="E113" i="4" a="1"/>
  <c r="E113" i="4" s="1"/>
  <c r="C113" i="4" a="1"/>
  <c r="C113" i="4" s="1"/>
  <c r="F143" i="4" a="1"/>
  <c r="F143" i="4" s="1"/>
  <c r="C143" i="4" a="1"/>
  <c r="C143" i="4" s="1"/>
  <c r="E143" i="4" a="1"/>
  <c r="E143" i="4" s="1"/>
  <c r="B143" i="4" a="1"/>
  <c r="B143" i="4" s="1"/>
  <c r="F4" i="4" a="1"/>
  <c r="F4" i="4" s="1"/>
  <c r="C10" i="4" a="1"/>
  <c r="C10" i="4" s="1"/>
  <c r="B12" i="4" a="1"/>
  <c r="B12" i="4" s="1"/>
  <c r="C13" i="4" a="1"/>
  <c r="C13" i="4" s="1"/>
  <c r="F14" i="4" a="1"/>
  <c r="F14" i="4" s="1"/>
  <c r="F28" i="4" a="1"/>
  <c r="F28" i="4" s="1"/>
  <c r="F32" i="4" a="1"/>
  <c r="F32" i="4" s="1"/>
  <c r="B32" i="4" a="1"/>
  <c r="B32" i="4" s="1"/>
  <c r="D32" i="4" a="1"/>
  <c r="D32" i="4" s="1"/>
  <c r="F34" i="4" a="1"/>
  <c r="F34" i="4" s="1"/>
  <c r="B34" i="4" a="1"/>
  <c r="B34" i="4" s="1"/>
  <c r="D34" i="4" a="1"/>
  <c r="D34" i="4" s="1"/>
  <c r="E38" i="4" a="1"/>
  <c r="E38" i="4" s="1"/>
  <c r="C42" i="4" a="1"/>
  <c r="C42" i="4" s="1"/>
  <c r="D75" i="4" a="1"/>
  <c r="D75" i="4" s="1"/>
  <c r="C75" i="4" a="1"/>
  <c r="C75" i="4" s="1"/>
  <c r="F75" i="4" a="1"/>
  <c r="F75" i="4" s="1"/>
  <c r="B75" i="4" a="1"/>
  <c r="B75" i="4" s="1"/>
  <c r="D83" i="4" a="1"/>
  <c r="D83" i="4" s="1"/>
  <c r="C83" i="4" a="1"/>
  <c r="C83" i="4" s="1"/>
  <c r="F83" i="4" a="1"/>
  <c r="F83" i="4" s="1"/>
  <c r="B83" i="4" a="1"/>
  <c r="B83" i="4" s="1"/>
  <c r="D93" i="4" a="1"/>
  <c r="D93" i="4" s="1"/>
  <c r="C93" i="4" a="1"/>
  <c r="C93" i="4" s="1"/>
  <c r="F93" i="4" a="1"/>
  <c r="F93" i="4" s="1"/>
  <c r="B93" i="4" a="1"/>
  <c r="B93" i="4" s="1"/>
  <c r="F116" i="4" a="1"/>
  <c r="F116" i="4" s="1"/>
  <c r="E116" i="4" a="1"/>
  <c r="E116" i="4" s="1"/>
  <c r="C116" i="4" a="1"/>
  <c r="C116" i="4" s="1"/>
  <c r="E142" i="4" a="1"/>
  <c r="E142" i="4" s="1"/>
  <c r="F142" i="4" a="1"/>
  <c r="F142" i="4" s="1"/>
  <c r="D142" i="4" a="1"/>
  <c r="D142" i="4" s="1"/>
  <c r="B142" i="4" a="1"/>
  <c r="B142" i="4" s="1"/>
  <c r="F156" i="4" a="1"/>
  <c r="F156" i="4" s="1"/>
  <c r="E156" i="4" a="1"/>
  <c r="E156" i="4" s="1"/>
  <c r="C156" i="4" a="1"/>
  <c r="C156" i="4" s="1"/>
  <c r="E159" i="4" a="1"/>
  <c r="E159" i="4" s="1"/>
  <c r="C30" i="4" a="1"/>
  <c r="C30" i="4" s="1"/>
  <c r="C40" i="4" a="1"/>
  <c r="C40" i="4" s="1"/>
  <c r="E44" i="4" a="1"/>
  <c r="E44" i="4" s="1"/>
  <c r="E46" i="4" a="1"/>
  <c r="E46" i="4" s="1"/>
  <c r="D54" i="4" a="1"/>
  <c r="D54" i="4" s="1"/>
  <c r="E56" i="4" a="1"/>
  <c r="E56" i="4" s="1"/>
  <c r="C62" i="4" a="1"/>
  <c r="C62" i="4" s="1"/>
  <c r="D64" i="4" a="1"/>
  <c r="D64" i="4" s="1"/>
  <c r="D66" i="4" a="1"/>
  <c r="D66" i="4" s="1"/>
  <c r="D74" i="4" a="1"/>
  <c r="D74" i="4" s="1"/>
  <c r="C77" i="4" a="1"/>
  <c r="C77" i="4" s="1"/>
  <c r="D79" i="4" a="1"/>
  <c r="D79" i="4" s="1"/>
  <c r="E81" i="4" a="1"/>
  <c r="E81" i="4" s="1"/>
  <c r="C85" i="4" a="1"/>
  <c r="C85" i="4" s="1"/>
  <c r="D87" i="4" a="1"/>
  <c r="D87" i="4" s="1"/>
  <c r="D89" i="4" a="1"/>
  <c r="D89" i="4" s="1"/>
  <c r="C95" i="4" a="1"/>
  <c r="C95" i="4" s="1"/>
  <c r="D97" i="4" a="1"/>
  <c r="D97" i="4" s="1"/>
  <c r="F106" i="4" a="1"/>
  <c r="F106" i="4" s="1"/>
  <c r="F107" i="4" a="1"/>
  <c r="F107" i="4" s="1"/>
  <c r="C108" i="4" a="1"/>
  <c r="C108" i="4" s="1"/>
  <c r="F111" i="4" a="1"/>
  <c r="F111" i="4" s="1"/>
  <c r="C112" i="4" a="1"/>
  <c r="C112" i="4" s="1"/>
  <c r="F131" i="4" a="1"/>
  <c r="F131" i="4" s="1"/>
  <c r="C135" i="4" a="1"/>
  <c r="C135" i="4" s="1"/>
  <c r="D138" i="4" a="1"/>
  <c r="D138" i="4" s="1"/>
  <c r="E139" i="4" a="1"/>
  <c r="E139" i="4" s="1"/>
  <c r="D147" i="4" a="1"/>
  <c r="D147" i="4" s="1"/>
  <c r="F150" i="4" a="1"/>
  <c r="F150" i="4" s="1"/>
  <c r="C151" i="4" a="1"/>
  <c r="C151" i="4" s="1"/>
  <c r="F151" i="4" a="1"/>
  <c r="F151" i="4" s="1"/>
  <c r="F162" i="4" a="1"/>
  <c r="F162" i="4" s="1"/>
  <c r="E54" i="4" a="1"/>
  <c r="E54" i="4" s="1"/>
  <c r="E64" i="4" a="1"/>
  <c r="E64" i="4" s="1"/>
  <c r="E66" i="4" a="1"/>
  <c r="E66" i="4" s="1"/>
  <c r="E74" i="4" a="1"/>
  <c r="E74" i="4" s="1"/>
  <c r="E79" i="4" a="1"/>
  <c r="E79" i="4" s="1"/>
  <c r="E87" i="4" a="1"/>
  <c r="E87" i="4" s="1"/>
  <c r="E89" i="4" a="1"/>
  <c r="E89" i="4" s="1"/>
  <c r="E97" i="4" a="1"/>
  <c r="E97" i="4" s="1"/>
  <c r="E108" i="4" a="1"/>
  <c r="E108" i="4" s="1"/>
  <c r="E112" i="4" a="1"/>
  <c r="E112" i="4" s="1"/>
  <c r="D151" i="4" a="1"/>
  <c r="D151" i="4" s="1"/>
  <c r="C164" i="4" a="1"/>
  <c r="C164" i="4" s="1"/>
  <c r="B54" i="4" a="1"/>
  <c r="B54" i="4" s="1"/>
  <c r="B64" i="4" a="1"/>
  <c r="B64" i="4" s="1"/>
  <c r="B66" i="4" a="1"/>
  <c r="B66" i="4" s="1"/>
  <c r="B74" i="4" a="1"/>
  <c r="B74" i="4" s="1"/>
  <c r="B79" i="4" a="1"/>
  <c r="B79" i="4" s="1"/>
  <c r="B87" i="4" a="1"/>
  <c r="B87" i="4" s="1"/>
  <c r="B89" i="4" a="1"/>
  <c r="B89" i="4" s="1"/>
  <c r="B97" i="4" a="1"/>
  <c r="B97" i="4" s="1"/>
  <c r="B107" i="4" a="1"/>
  <c r="B107" i="4" s="1"/>
  <c r="B108" i="4" a="1"/>
  <c r="B108" i="4" s="1"/>
  <c r="B111" i="4" a="1"/>
  <c r="B111" i="4" s="1"/>
  <c r="B112" i="4" a="1"/>
  <c r="B112" i="4" s="1"/>
  <c r="E120" i="4" a="1"/>
  <c r="E120" i="4" s="1"/>
  <c r="E121" i="4" a="1"/>
  <c r="E121" i="4" s="1"/>
  <c r="D123" i="4" a="1"/>
  <c r="D123" i="4" s="1"/>
  <c r="E124" i="4" a="1"/>
  <c r="E124" i="4" s="1"/>
  <c r="E125" i="4" a="1"/>
  <c r="E125" i="4" s="1"/>
  <c r="D127" i="4" a="1"/>
  <c r="D127" i="4" s="1"/>
  <c r="E128" i="4" a="1"/>
  <c r="E128" i="4" s="1"/>
  <c r="E129" i="4" a="1"/>
  <c r="E129" i="4" s="1"/>
  <c r="C131" i="4" a="1"/>
  <c r="C131" i="4" s="1"/>
  <c r="E144" i="4" a="1"/>
  <c r="E144" i="4" s="1"/>
  <c r="D146" i="4" a="1"/>
  <c r="D146" i="4" s="1"/>
  <c r="C148" i="4" a="1"/>
  <c r="C148" i="4" s="1"/>
  <c r="B150" i="4" a="1"/>
  <c r="B150" i="4" s="1"/>
  <c r="C160" i="4" a="1"/>
  <c r="C160" i="4" s="1"/>
  <c r="B162" i="4" a="1"/>
  <c r="B162" i="4" s="1"/>
  <c r="C163" i="4" a="1"/>
  <c r="C163" i="4" s="1"/>
  <c r="E164" i="4" a="1"/>
  <c r="E164" i="4" s="1"/>
  <c r="B3" i="4" a="1"/>
  <c r="B3" i="4" s="1"/>
  <c r="D3" i="4" a="1"/>
  <c r="D3" i="4" s="1"/>
  <c r="F3" i="4" a="1"/>
  <c r="F3" i="4" s="1"/>
  <c r="B7" i="4" a="1"/>
  <c r="B7" i="4" s="1"/>
  <c r="D7" i="4" a="1"/>
  <c r="D7" i="4" s="1"/>
  <c r="F7" i="4" a="1"/>
  <c r="F7" i="4" s="1"/>
  <c r="B11" i="4" a="1"/>
  <c r="B11" i="4" s="1"/>
  <c r="D11" i="4" a="1"/>
  <c r="D11" i="4" s="1"/>
  <c r="F11" i="4" a="1"/>
  <c r="F11" i="4" s="1"/>
  <c r="D14" i="4" a="1"/>
  <c r="D14" i="4" s="1"/>
  <c r="E15" i="4" a="1"/>
  <c r="E15" i="4" s="1"/>
  <c r="C15" i="4" a="1"/>
  <c r="C15" i="4" s="1"/>
  <c r="F15" i="4" a="1"/>
  <c r="F15" i="4" s="1"/>
  <c r="D15" i="4" a="1"/>
  <c r="D15" i="4" s="1"/>
  <c r="B15" i="4" a="1"/>
  <c r="B15" i="4" s="1"/>
  <c r="F17" i="4" a="1"/>
  <c r="F17" i="4" s="1"/>
  <c r="D17" i="4" a="1"/>
  <c r="D17" i="4" s="1"/>
  <c r="B17" i="4" a="1"/>
  <c r="B17" i="4" s="1"/>
  <c r="E17" i="4" a="1"/>
  <c r="E17" i="4" s="1"/>
  <c r="C17" i="4" a="1"/>
  <c r="C17" i="4" s="1"/>
  <c r="E19" i="4" a="1"/>
  <c r="E19" i="4" s="1"/>
  <c r="C19" i="4" a="1"/>
  <c r="C19" i="4" s="1"/>
  <c r="F19" i="4" a="1"/>
  <c r="F19" i="4" s="1"/>
  <c r="D19" i="4" a="1"/>
  <c r="D19" i="4" s="1"/>
  <c r="B19" i="4" a="1"/>
  <c r="B19" i="4" s="1"/>
  <c r="F21" i="4" a="1"/>
  <c r="F21" i="4" s="1"/>
  <c r="D21" i="4" a="1"/>
  <c r="D21" i="4" s="1"/>
  <c r="B21" i="4" a="1"/>
  <c r="B21" i="4" s="1"/>
  <c r="E21" i="4" a="1"/>
  <c r="E21" i="4" s="1"/>
  <c r="C21" i="4" a="1"/>
  <c r="C21" i="4" s="1"/>
  <c r="E23" i="4" a="1"/>
  <c r="E23" i="4" s="1"/>
  <c r="C23" i="4" a="1"/>
  <c r="C23" i="4" s="1"/>
  <c r="F23" i="4" a="1"/>
  <c r="F23" i="4" s="1"/>
  <c r="D23" i="4" a="1"/>
  <c r="D23" i="4" s="1"/>
  <c r="B23" i="4" a="1"/>
  <c r="B23" i="4" s="1"/>
  <c r="F25" i="4" a="1"/>
  <c r="F25" i="4" s="1"/>
  <c r="D25" i="4" a="1"/>
  <c r="D25" i="4" s="1"/>
  <c r="B25" i="4" a="1"/>
  <c r="B25" i="4" s="1"/>
  <c r="E25" i="4" a="1"/>
  <c r="E25" i="4" s="1"/>
  <c r="C25" i="4" a="1"/>
  <c r="C25" i="4" s="1"/>
  <c r="E27" i="4" a="1"/>
  <c r="E27" i="4" s="1"/>
  <c r="C27" i="4" a="1"/>
  <c r="C27" i="4" s="1"/>
  <c r="F27" i="4" a="1"/>
  <c r="F27" i="4" s="1"/>
  <c r="D27" i="4" a="1"/>
  <c r="D27" i="4" s="1"/>
  <c r="B27" i="4" a="1"/>
  <c r="B27" i="4" s="1"/>
  <c r="E43" i="4" a="1"/>
  <c r="E43" i="4" s="1"/>
  <c r="C43" i="4" a="1"/>
  <c r="C43" i="4" s="1"/>
  <c r="F43" i="4" a="1"/>
  <c r="F43" i="4" s="1"/>
  <c r="D43" i="4" a="1"/>
  <c r="D43" i="4" s="1"/>
  <c r="B43" i="4" a="1"/>
  <c r="B43" i="4" s="1"/>
  <c r="E59" i="4" a="1"/>
  <c r="E59" i="4" s="1"/>
  <c r="C59" i="4" a="1"/>
  <c r="C59" i="4" s="1"/>
  <c r="F59" i="4" a="1"/>
  <c r="F59" i="4" s="1"/>
  <c r="D59" i="4" a="1"/>
  <c r="D59" i="4" s="1"/>
  <c r="B59" i="4" a="1"/>
  <c r="B59" i="4" s="1"/>
  <c r="F102" i="4" a="1"/>
  <c r="F102" i="4" s="1"/>
  <c r="C102" i="4" a="1"/>
  <c r="C102" i="4" s="1"/>
  <c r="E102" i="4" a="1"/>
  <c r="E102" i="4" s="1"/>
  <c r="B102" i="4" a="1"/>
  <c r="B102" i="4" s="1"/>
  <c r="D102" i="4" a="1"/>
  <c r="D102" i="4" s="1"/>
  <c r="B2" i="4" a="1"/>
  <c r="B2" i="4" s="1"/>
  <c r="D2" i="4" a="1"/>
  <c r="D2" i="4" s="1"/>
  <c r="C4" i="4" a="1"/>
  <c r="C4" i="4" s="1"/>
  <c r="B6" i="4" a="1"/>
  <c r="B6" i="4" s="1"/>
  <c r="D6" i="4" a="1"/>
  <c r="D6" i="4" s="1"/>
  <c r="C8" i="4" a="1"/>
  <c r="C8" i="4" s="1"/>
  <c r="B10" i="4" a="1"/>
  <c r="B10" i="4" s="1"/>
  <c r="D10" i="4" a="1"/>
  <c r="D10" i="4" s="1"/>
  <c r="C12" i="4" a="1"/>
  <c r="C12" i="4" s="1"/>
  <c r="B14" i="4" a="1"/>
  <c r="B14" i="4" s="1"/>
  <c r="E39" i="4" a="1"/>
  <c r="E39" i="4" s="1"/>
  <c r="C39" i="4" a="1"/>
  <c r="C39" i="4" s="1"/>
  <c r="F39" i="4" a="1"/>
  <c r="F39" i="4" s="1"/>
  <c r="D39" i="4" a="1"/>
  <c r="D39" i="4" s="1"/>
  <c r="B39" i="4" a="1"/>
  <c r="B39" i="4" s="1"/>
  <c r="E55" i="4" a="1"/>
  <c r="E55" i="4" s="1"/>
  <c r="C55" i="4" a="1"/>
  <c r="C55" i="4" s="1"/>
  <c r="F55" i="4" a="1"/>
  <c r="F55" i="4" s="1"/>
  <c r="D55" i="4" a="1"/>
  <c r="D55" i="4" s="1"/>
  <c r="B55" i="4" a="1"/>
  <c r="B55" i="4" s="1"/>
  <c r="E71" i="4" a="1"/>
  <c r="E71" i="4" s="1"/>
  <c r="C71" i="4" a="1"/>
  <c r="C71" i="4" s="1"/>
  <c r="F71" i="4" a="1"/>
  <c r="F71" i="4" s="1"/>
  <c r="D71" i="4" a="1"/>
  <c r="D71" i="4" s="1"/>
  <c r="B71" i="4" a="1"/>
  <c r="B71" i="4" s="1"/>
  <c r="E31" i="4" a="1"/>
  <c r="E31" i="4" s="1"/>
  <c r="C31" i="4" a="1"/>
  <c r="C31" i="4" s="1"/>
  <c r="F31" i="4" a="1"/>
  <c r="F31" i="4" s="1"/>
  <c r="D31" i="4" a="1"/>
  <c r="D31" i="4" s="1"/>
  <c r="B31" i="4" a="1"/>
  <c r="B31" i="4" s="1"/>
  <c r="E47" i="4" a="1"/>
  <c r="E47" i="4" s="1"/>
  <c r="C47" i="4" a="1"/>
  <c r="C47" i="4" s="1"/>
  <c r="F47" i="4" a="1"/>
  <c r="F47" i="4" s="1"/>
  <c r="D47" i="4" a="1"/>
  <c r="D47" i="4" s="1"/>
  <c r="B47" i="4" a="1"/>
  <c r="B47" i="4" s="1"/>
  <c r="E63" i="4" a="1"/>
  <c r="E63" i="4" s="1"/>
  <c r="C63" i="4" a="1"/>
  <c r="C63" i="4" s="1"/>
  <c r="F63" i="4" a="1"/>
  <c r="F63" i="4" s="1"/>
  <c r="D63" i="4" a="1"/>
  <c r="D63" i="4" s="1"/>
  <c r="B63" i="4" a="1"/>
  <c r="B63" i="4" s="1"/>
  <c r="C3" i="4" a="1"/>
  <c r="C3" i="4" s="1"/>
  <c r="B5" i="4" a="1"/>
  <c r="B5" i="4" s="1"/>
  <c r="D5" i="4" a="1"/>
  <c r="D5" i="4" s="1"/>
  <c r="C7" i="4" a="1"/>
  <c r="C7" i="4" s="1"/>
  <c r="B9" i="4" a="1"/>
  <c r="B9" i="4" s="1"/>
  <c r="D9" i="4" a="1"/>
  <c r="D9" i="4" s="1"/>
  <c r="C11" i="4" a="1"/>
  <c r="C11" i="4" s="1"/>
  <c r="B13" i="4" a="1"/>
  <c r="B13" i="4" s="1"/>
  <c r="D13" i="4" a="1"/>
  <c r="D13" i="4" s="1"/>
  <c r="E35" i="4" a="1"/>
  <c r="E35" i="4" s="1"/>
  <c r="C35" i="4" a="1"/>
  <c r="C35" i="4" s="1"/>
  <c r="F35" i="4" a="1"/>
  <c r="F35" i="4" s="1"/>
  <c r="D35" i="4" a="1"/>
  <c r="D35" i="4" s="1"/>
  <c r="B35" i="4" a="1"/>
  <c r="B35" i="4" s="1"/>
  <c r="E51" i="4" a="1"/>
  <c r="E51" i="4" s="1"/>
  <c r="C51" i="4" a="1"/>
  <c r="C51" i="4" s="1"/>
  <c r="F51" i="4" a="1"/>
  <c r="F51" i="4" s="1"/>
  <c r="D51" i="4" a="1"/>
  <c r="D51" i="4" s="1"/>
  <c r="B51" i="4" a="1"/>
  <c r="B51" i="4" s="1"/>
  <c r="E67" i="4" a="1"/>
  <c r="E67" i="4" s="1"/>
  <c r="C67" i="4" a="1"/>
  <c r="C67" i="4" s="1"/>
  <c r="F67" i="4" a="1"/>
  <c r="F67" i="4" s="1"/>
  <c r="D67" i="4" a="1"/>
  <c r="D67" i="4" s="1"/>
  <c r="B67" i="4" a="1"/>
  <c r="B67" i="4" s="1"/>
  <c r="E86" i="4" a="1"/>
  <c r="E86" i="4" s="1"/>
  <c r="C86" i="4" a="1"/>
  <c r="C86" i="4" s="1"/>
  <c r="F86" i="4" a="1"/>
  <c r="F86" i="4" s="1"/>
  <c r="D86" i="4" a="1"/>
  <c r="D86" i="4" s="1"/>
  <c r="B86" i="4" a="1"/>
  <c r="B86" i="4" s="1"/>
  <c r="C29" i="4" a="1"/>
  <c r="C29" i="4" s="1"/>
  <c r="E29" i="4" a="1"/>
  <c r="E29" i="4" s="1"/>
  <c r="C33" i="4" a="1"/>
  <c r="C33" i="4" s="1"/>
  <c r="E33" i="4" a="1"/>
  <c r="E33" i="4" s="1"/>
  <c r="C37" i="4" a="1"/>
  <c r="C37" i="4" s="1"/>
  <c r="E37" i="4" a="1"/>
  <c r="E37" i="4" s="1"/>
  <c r="C41" i="4" a="1"/>
  <c r="C41" i="4" s="1"/>
  <c r="E41" i="4" a="1"/>
  <c r="E41" i="4" s="1"/>
  <c r="C45" i="4" a="1"/>
  <c r="C45" i="4" s="1"/>
  <c r="E45" i="4" a="1"/>
  <c r="E45" i="4" s="1"/>
  <c r="C49" i="4" a="1"/>
  <c r="C49" i="4" s="1"/>
  <c r="E49" i="4" a="1"/>
  <c r="E49" i="4" s="1"/>
  <c r="C53" i="4" a="1"/>
  <c r="C53" i="4" s="1"/>
  <c r="E53" i="4" a="1"/>
  <c r="E53" i="4" s="1"/>
  <c r="C57" i="4" a="1"/>
  <c r="C57" i="4" s="1"/>
  <c r="E57" i="4" a="1"/>
  <c r="E57" i="4" s="1"/>
  <c r="C61" i="4" a="1"/>
  <c r="C61" i="4" s="1"/>
  <c r="E61" i="4" a="1"/>
  <c r="E61" i="4" s="1"/>
  <c r="C65" i="4" a="1"/>
  <c r="C65" i="4" s="1"/>
  <c r="E65" i="4" a="1"/>
  <c r="E65" i="4" s="1"/>
  <c r="C69" i="4" a="1"/>
  <c r="C69" i="4" s="1"/>
  <c r="E69" i="4" a="1"/>
  <c r="E69" i="4" s="1"/>
  <c r="C73" i="4" a="1"/>
  <c r="C73" i="4" s="1"/>
  <c r="E73" i="4" a="1"/>
  <c r="E73" i="4" s="1"/>
  <c r="E98" i="4" a="1"/>
  <c r="E98" i="4" s="1"/>
  <c r="C98" i="4" a="1"/>
  <c r="C98" i="4" s="1"/>
  <c r="F98" i="4" a="1"/>
  <c r="F98" i="4" s="1"/>
  <c r="D98" i="4" a="1"/>
  <c r="D98" i="4" s="1"/>
  <c r="B98" i="4" a="1"/>
  <c r="B98" i="4" s="1"/>
  <c r="E122" i="4" a="1"/>
  <c r="E122" i="4" s="1"/>
  <c r="C122" i="4" a="1"/>
  <c r="C122" i="4" s="1"/>
  <c r="F122" i="4" a="1"/>
  <c r="F122" i="4" s="1"/>
  <c r="D122" i="4" a="1"/>
  <c r="D122" i="4" s="1"/>
  <c r="B122" i="4" a="1"/>
  <c r="B122" i="4" s="1"/>
  <c r="F76" i="4" a="1"/>
  <c r="F76" i="4" s="1"/>
  <c r="D76" i="4" a="1"/>
  <c r="D76" i="4" s="1"/>
  <c r="B76" i="4" a="1"/>
  <c r="B76" i="4" s="1"/>
  <c r="E76" i="4" a="1"/>
  <c r="E76" i="4" s="1"/>
  <c r="C76" i="4" a="1"/>
  <c r="C76" i="4" s="1"/>
  <c r="E78" i="4" a="1"/>
  <c r="E78" i="4" s="1"/>
  <c r="C78" i="4" a="1"/>
  <c r="C78" i="4" s="1"/>
  <c r="F78" i="4" a="1"/>
  <c r="F78" i="4" s="1"/>
  <c r="D78" i="4" a="1"/>
  <c r="D78" i="4" s="1"/>
  <c r="B78" i="4" a="1"/>
  <c r="B78" i="4" s="1"/>
  <c r="F80" i="4" a="1"/>
  <c r="F80" i="4" s="1"/>
  <c r="D80" i="4" a="1"/>
  <c r="D80" i="4" s="1"/>
  <c r="B80" i="4" a="1"/>
  <c r="B80" i="4" s="1"/>
  <c r="E80" i="4" a="1"/>
  <c r="E80" i="4" s="1"/>
  <c r="C80" i="4" a="1"/>
  <c r="C80" i="4" s="1"/>
  <c r="E82" i="4" a="1"/>
  <c r="E82" i="4" s="1"/>
  <c r="C82" i="4" a="1"/>
  <c r="C82" i="4" s="1"/>
  <c r="F82" i="4" a="1"/>
  <c r="F82" i="4" s="1"/>
  <c r="D82" i="4" a="1"/>
  <c r="D82" i="4" s="1"/>
  <c r="B82" i="4" a="1"/>
  <c r="B82" i="4" s="1"/>
  <c r="E94" i="4" a="1"/>
  <c r="E94" i="4" s="1"/>
  <c r="C94" i="4" a="1"/>
  <c r="C94" i="4" s="1"/>
  <c r="F94" i="4" a="1"/>
  <c r="F94" i="4" s="1"/>
  <c r="D94" i="4" a="1"/>
  <c r="D94" i="4" s="1"/>
  <c r="B94" i="4" a="1"/>
  <c r="B94" i="4" s="1"/>
  <c r="E103" i="4" a="1"/>
  <c r="E103" i="4" s="1"/>
  <c r="C103" i="4" a="1"/>
  <c r="C103" i="4" s="1"/>
  <c r="D103" i="4" a="1"/>
  <c r="D103" i="4" s="1"/>
  <c r="F103" i="4" a="1"/>
  <c r="F103" i="4" s="1"/>
  <c r="B103" i="4" a="1"/>
  <c r="B103" i="4" s="1"/>
  <c r="E126" i="4" a="1"/>
  <c r="E126" i="4" s="1"/>
  <c r="C126" i="4" a="1"/>
  <c r="C126" i="4" s="1"/>
  <c r="F126" i="4" a="1"/>
  <c r="F126" i="4" s="1"/>
  <c r="D126" i="4" a="1"/>
  <c r="D126" i="4" s="1"/>
  <c r="B126" i="4" a="1"/>
  <c r="B126" i="4" s="1"/>
  <c r="B29" i="4" a="1"/>
  <c r="B29" i="4" s="1"/>
  <c r="D29" i="4" a="1"/>
  <c r="D29" i="4" s="1"/>
  <c r="B33" i="4" a="1"/>
  <c r="B33" i="4" s="1"/>
  <c r="D33" i="4" a="1"/>
  <c r="D33" i="4" s="1"/>
  <c r="B37" i="4" a="1"/>
  <c r="B37" i="4" s="1"/>
  <c r="D37" i="4" a="1"/>
  <c r="D37" i="4" s="1"/>
  <c r="B41" i="4" a="1"/>
  <c r="B41" i="4" s="1"/>
  <c r="D41" i="4" a="1"/>
  <c r="D41" i="4" s="1"/>
  <c r="B45" i="4" a="1"/>
  <c r="B45" i="4" s="1"/>
  <c r="D45" i="4" a="1"/>
  <c r="D45" i="4" s="1"/>
  <c r="B49" i="4" a="1"/>
  <c r="B49" i="4" s="1"/>
  <c r="D49" i="4" a="1"/>
  <c r="D49" i="4" s="1"/>
  <c r="B53" i="4" a="1"/>
  <c r="B53" i="4" s="1"/>
  <c r="D53" i="4" a="1"/>
  <c r="D53" i="4" s="1"/>
  <c r="B57" i="4" a="1"/>
  <c r="B57" i="4" s="1"/>
  <c r="D57" i="4" a="1"/>
  <c r="D57" i="4" s="1"/>
  <c r="B61" i="4" a="1"/>
  <c r="B61" i="4" s="1"/>
  <c r="D61" i="4" a="1"/>
  <c r="D61" i="4" s="1"/>
  <c r="B65" i="4" a="1"/>
  <c r="B65" i="4" s="1"/>
  <c r="D65" i="4" a="1"/>
  <c r="D65" i="4" s="1"/>
  <c r="B69" i="4" a="1"/>
  <c r="B69" i="4" s="1"/>
  <c r="D69" i="4" a="1"/>
  <c r="D69" i="4" s="1"/>
  <c r="B73" i="4" a="1"/>
  <c r="B73" i="4" s="1"/>
  <c r="D73" i="4" a="1"/>
  <c r="D73" i="4" s="1"/>
  <c r="E90" i="4" a="1"/>
  <c r="E90" i="4" s="1"/>
  <c r="C90" i="4" a="1"/>
  <c r="C90" i="4" s="1"/>
  <c r="F90" i="4" a="1"/>
  <c r="F90" i="4" s="1"/>
  <c r="D90" i="4" a="1"/>
  <c r="D90" i="4" s="1"/>
  <c r="B90" i="4" a="1"/>
  <c r="B90" i="4" s="1"/>
  <c r="E130" i="4" a="1"/>
  <c r="E130" i="4" s="1"/>
  <c r="C130" i="4" a="1"/>
  <c r="C130" i="4" s="1"/>
  <c r="F130" i="4" a="1"/>
  <c r="F130" i="4" s="1"/>
  <c r="D130" i="4" a="1"/>
  <c r="D130" i="4" s="1"/>
  <c r="B130" i="4" a="1"/>
  <c r="B130" i="4" s="1"/>
  <c r="C84" i="4" a="1"/>
  <c r="C84" i="4" s="1"/>
  <c r="E84" i="4" a="1"/>
  <c r="E84" i="4" s="1"/>
  <c r="C88" i="4" a="1"/>
  <c r="C88" i="4" s="1"/>
  <c r="E88" i="4" a="1"/>
  <c r="E88" i="4" s="1"/>
  <c r="C92" i="4" a="1"/>
  <c r="C92" i="4" s="1"/>
  <c r="E92" i="4" a="1"/>
  <c r="E92" i="4" s="1"/>
  <c r="C96" i="4" a="1"/>
  <c r="C96" i="4" s="1"/>
  <c r="E96" i="4" a="1"/>
  <c r="E96" i="4" s="1"/>
  <c r="C100" i="4" a="1"/>
  <c r="C100" i="4" s="1"/>
  <c r="E100" i="4" a="1"/>
  <c r="E100" i="4" s="1"/>
  <c r="F132" i="4" a="1"/>
  <c r="F132" i="4" s="1"/>
  <c r="D132" i="4" a="1"/>
  <c r="D132" i="4" s="1"/>
  <c r="B132" i="4" a="1"/>
  <c r="B132" i="4" s="1"/>
  <c r="C132" i="4" a="1"/>
  <c r="C132" i="4" s="1"/>
  <c r="E132" i="4" a="1"/>
  <c r="E132" i="4" s="1"/>
  <c r="E134" i="4" a="1"/>
  <c r="E134" i="4" s="1"/>
  <c r="C134" i="4" a="1"/>
  <c r="C134" i="4" s="1"/>
  <c r="F134" i="4" a="1"/>
  <c r="F134" i="4" s="1"/>
  <c r="B134" i="4" a="1"/>
  <c r="B134" i="4" s="1"/>
  <c r="E141" i="4" a="1"/>
  <c r="E141" i="4" s="1"/>
  <c r="C141" i="4" a="1"/>
  <c r="C141" i="4" s="1"/>
  <c r="F141" i="4" a="1"/>
  <c r="F141" i="4" s="1"/>
  <c r="D141" i="4" a="1"/>
  <c r="D141" i="4" s="1"/>
  <c r="B141" i="4" a="1"/>
  <c r="B141" i="4" s="1"/>
  <c r="F105" i="4" a="1"/>
  <c r="F105" i="4" s="1"/>
  <c r="D105" i="4" a="1"/>
  <c r="D105" i="4" s="1"/>
  <c r="B105" i="4" a="1"/>
  <c r="B105" i="4" s="1"/>
  <c r="E110" i="4" a="1"/>
  <c r="E110" i="4" s="1"/>
  <c r="C110" i="4" a="1"/>
  <c r="C110" i="4" s="1"/>
  <c r="F110" i="4" a="1"/>
  <c r="F110" i="4" s="1"/>
  <c r="D110" i="4" a="1"/>
  <c r="D110" i="4" s="1"/>
  <c r="B110" i="4" a="1"/>
  <c r="B110" i="4" s="1"/>
  <c r="B84" i="4" a="1"/>
  <c r="B84" i="4" s="1"/>
  <c r="D84" i="4" a="1"/>
  <c r="D84" i="4" s="1"/>
  <c r="B88" i="4" a="1"/>
  <c r="B88" i="4" s="1"/>
  <c r="D88" i="4" a="1"/>
  <c r="D88" i="4" s="1"/>
  <c r="B92" i="4" a="1"/>
  <c r="B92" i="4" s="1"/>
  <c r="D92" i="4" a="1"/>
  <c r="D92" i="4" s="1"/>
  <c r="B96" i="4" a="1"/>
  <c r="B96" i="4" s="1"/>
  <c r="D96" i="4" a="1"/>
  <c r="D96" i="4" s="1"/>
  <c r="B100" i="4" a="1"/>
  <c r="B100" i="4" s="1"/>
  <c r="D100" i="4" a="1"/>
  <c r="D100" i="4" s="1"/>
  <c r="C105" i="4" a="1"/>
  <c r="C105" i="4" s="1"/>
  <c r="E106" i="4" a="1"/>
  <c r="E106" i="4" s="1"/>
  <c r="C106" i="4" a="1"/>
  <c r="C106" i="4" s="1"/>
  <c r="F109" i="4" a="1"/>
  <c r="F109" i="4" s="1"/>
  <c r="D109" i="4" a="1"/>
  <c r="D109" i="4" s="1"/>
  <c r="B109" i="4" a="1"/>
  <c r="B109" i="4" s="1"/>
  <c r="E114" i="4" a="1"/>
  <c r="E114" i="4" s="1"/>
  <c r="C114" i="4" a="1"/>
  <c r="C114" i="4" s="1"/>
  <c r="F114" i="4" a="1"/>
  <c r="F114" i="4" s="1"/>
  <c r="D114" i="4" a="1"/>
  <c r="D114" i="4" s="1"/>
  <c r="B114" i="4" a="1"/>
  <c r="B114" i="4" s="1"/>
  <c r="E118" i="4" a="1"/>
  <c r="E118" i="4" s="1"/>
  <c r="C118" i="4" a="1"/>
  <c r="C118" i="4" s="1"/>
  <c r="F118" i="4" a="1"/>
  <c r="F118" i="4" s="1"/>
  <c r="D118" i="4" a="1"/>
  <c r="D118" i="4" s="1"/>
  <c r="B118" i="4" a="1"/>
  <c r="B118" i="4" s="1"/>
  <c r="F133" i="4" a="1"/>
  <c r="F133" i="4" s="1"/>
  <c r="C133" i="4" a="1"/>
  <c r="C133" i="4" s="1"/>
  <c r="E133" i="4" a="1"/>
  <c r="E133" i="4" s="1"/>
  <c r="B133" i="4" a="1"/>
  <c r="B133" i="4" s="1"/>
  <c r="E157" i="4" a="1"/>
  <c r="E157" i="4" s="1"/>
  <c r="C157" i="4" a="1"/>
  <c r="C157" i="4" s="1"/>
  <c r="F157" i="4" a="1"/>
  <c r="F157" i="4" s="1"/>
  <c r="D157" i="4" a="1"/>
  <c r="D157" i="4" s="1"/>
  <c r="B157" i="4" a="1"/>
  <c r="B157" i="4" s="1"/>
  <c r="E153" i="4" a="1"/>
  <c r="E153" i="4" s="1"/>
  <c r="C153" i="4" a="1"/>
  <c r="C153" i="4" s="1"/>
  <c r="F153" i="4" a="1"/>
  <c r="F153" i="4" s="1"/>
  <c r="D153" i="4" a="1"/>
  <c r="D153" i="4" s="1"/>
  <c r="B153" i="4" a="1"/>
  <c r="B153" i="4" s="1"/>
  <c r="E161" i="4" a="1"/>
  <c r="E161" i="4" s="1"/>
  <c r="C161" i="4" a="1"/>
  <c r="C161" i="4" s="1"/>
  <c r="F161" i="4" a="1"/>
  <c r="F161" i="4" s="1"/>
  <c r="D161" i="4" a="1"/>
  <c r="D161" i="4" s="1"/>
  <c r="B161" i="4" a="1"/>
  <c r="B161" i="4" s="1"/>
  <c r="C107" i="4" a="1"/>
  <c r="C107" i="4" s="1"/>
  <c r="C111" i="4" a="1"/>
  <c r="C111" i="4" s="1"/>
  <c r="B113" i="4" a="1"/>
  <c r="B113" i="4" s="1"/>
  <c r="D113" i="4" a="1"/>
  <c r="D113" i="4" s="1"/>
  <c r="C115" i="4" a="1"/>
  <c r="C115" i="4" s="1"/>
  <c r="B117" i="4" a="1"/>
  <c r="B117" i="4" s="1"/>
  <c r="D117" i="4" a="1"/>
  <c r="D117" i="4" s="1"/>
  <c r="C119" i="4" a="1"/>
  <c r="C119" i="4" s="1"/>
  <c r="B121" i="4" a="1"/>
  <c r="B121" i="4" s="1"/>
  <c r="D121" i="4" a="1"/>
  <c r="D121" i="4" s="1"/>
  <c r="C123" i="4" a="1"/>
  <c r="C123" i="4" s="1"/>
  <c r="B125" i="4" a="1"/>
  <c r="B125" i="4" s="1"/>
  <c r="D125" i="4" a="1"/>
  <c r="D125" i="4" s="1"/>
  <c r="C127" i="4" a="1"/>
  <c r="C127" i="4" s="1"/>
  <c r="B129" i="4" a="1"/>
  <c r="B129" i="4" s="1"/>
  <c r="D129" i="4" a="1"/>
  <c r="D129" i="4" s="1"/>
  <c r="F136" i="4" a="1"/>
  <c r="F136" i="4" s="1"/>
  <c r="D136" i="4" a="1"/>
  <c r="D136" i="4" s="1"/>
  <c r="B136" i="4" a="1"/>
  <c r="B136" i="4" s="1"/>
  <c r="E149" i="4" a="1"/>
  <c r="E149" i="4" s="1"/>
  <c r="C149" i="4" a="1"/>
  <c r="C149" i="4" s="1"/>
  <c r="F149" i="4" a="1"/>
  <c r="F149" i="4" s="1"/>
  <c r="D149" i="4" a="1"/>
  <c r="D149" i="4" s="1"/>
  <c r="B149" i="4" a="1"/>
  <c r="B149" i="4" s="1"/>
  <c r="D104" i="4" a="1"/>
  <c r="D104" i="4" s="1"/>
  <c r="D108" i="4" a="1"/>
  <c r="D108" i="4" s="1"/>
  <c r="D112" i="4" a="1"/>
  <c r="D112" i="4" s="1"/>
  <c r="B116" i="4" a="1"/>
  <c r="B116" i="4" s="1"/>
  <c r="D116" i="4" a="1"/>
  <c r="D116" i="4" s="1"/>
  <c r="D120" i="4" a="1"/>
  <c r="D120" i="4" s="1"/>
  <c r="B124" i="4" a="1"/>
  <c r="B124" i="4" s="1"/>
  <c r="D124" i="4" a="1"/>
  <c r="D124" i="4" s="1"/>
  <c r="B128" i="4" a="1"/>
  <c r="B128" i="4" s="1"/>
  <c r="D128" i="4" a="1"/>
  <c r="D128" i="4" s="1"/>
  <c r="C136" i="4" a="1"/>
  <c r="C136" i="4" s="1"/>
  <c r="E137" i="4" a="1"/>
  <c r="E137" i="4" s="1"/>
  <c r="C137" i="4" a="1"/>
  <c r="C137" i="4" s="1"/>
  <c r="E145" i="4" a="1"/>
  <c r="E145" i="4" s="1"/>
  <c r="C145" i="4" a="1"/>
  <c r="C145" i="4" s="1"/>
  <c r="F145" i="4" a="1"/>
  <c r="F145" i="4" s="1"/>
  <c r="D145" i="4" a="1"/>
  <c r="D145" i="4" s="1"/>
  <c r="B145" i="4" a="1"/>
  <c r="B145" i="4" s="1"/>
  <c r="E163" i="4" a="1"/>
  <c r="E163" i="4" s="1"/>
  <c r="C138" i="4" a="1"/>
  <c r="C138" i="4" s="1"/>
  <c r="B140" i="4" a="1"/>
  <c r="B140" i="4" s="1"/>
  <c r="D140" i="4" a="1"/>
  <c r="D140" i="4" s="1"/>
  <c r="C142" i="4" a="1"/>
  <c r="C142" i="4" s="1"/>
  <c r="B144" i="4" a="1"/>
  <c r="B144" i="4" s="1"/>
  <c r="D144" i="4" a="1"/>
  <c r="D144" i="4" s="1"/>
  <c r="C146" i="4" a="1"/>
  <c r="C146" i="4" s="1"/>
  <c r="B148" i="4" a="1"/>
  <c r="B148" i="4" s="1"/>
  <c r="D148" i="4" a="1"/>
  <c r="D148" i="4" s="1"/>
  <c r="C150" i="4" a="1"/>
  <c r="C150" i="4" s="1"/>
  <c r="B152" i="4" a="1"/>
  <c r="B152" i="4" s="1"/>
  <c r="D152" i="4" a="1"/>
  <c r="D152" i="4" s="1"/>
  <c r="C154" i="4" a="1"/>
  <c r="C154" i="4" s="1"/>
  <c r="B156" i="4" a="1"/>
  <c r="B156" i="4" s="1"/>
  <c r="D156" i="4" a="1"/>
  <c r="D156" i="4" s="1"/>
  <c r="C158" i="4" a="1"/>
  <c r="C158" i="4" s="1"/>
  <c r="B160" i="4" a="1"/>
  <c r="B160" i="4" s="1"/>
  <c r="D160" i="4" a="1"/>
  <c r="D160" i="4" s="1"/>
  <c r="C162" i="4" a="1"/>
  <c r="C162" i="4" s="1"/>
  <c r="B164" i="4" a="1"/>
  <c r="B164" i="4" s="1"/>
  <c r="D164" i="4" a="1"/>
  <c r="D164" i="4" s="1"/>
  <c r="D159" i="4" a="1"/>
  <c r="D159" i="4" s="1"/>
  <c r="B163" i="4" a="1"/>
  <c r="B163" i="4" s="1"/>
  <c r="D163" i="4" a="1"/>
  <c r="D163" i="4" s="1"/>
  <c r="D86" i="2" a="1"/>
  <c r="D86" i="2" s="1"/>
  <c r="E137" i="2" a="1"/>
  <c r="E137" i="2" s="1"/>
  <c r="B144" i="2" a="1"/>
  <c r="B144" i="2" s="1"/>
  <c r="C33" i="2" a="1"/>
  <c r="C33" i="2" s="1"/>
  <c r="F36" i="2" a="1"/>
  <c r="F36" i="2" s="1"/>
  <c r="C148" i="2" a="1"/>
  <c r="C148" i="2" s="1"/>
  <c r="C25" i="2" a="1"/>
  <c r="C25" i="2" s="1"/>
  <c r="C144" i="2" a="1"/>
  <c r="C144" i="2" s="1"/>
  <c r="B152" i="2" a="1"/>
  <c r="B152" i="2" s="1"/>
  <c r="D150" i="2" a="1"/>
  <c r="D150" i="2" s="1"/>
  <c r="Q169" i="2"/>
  <c r="O170" i="2" s="1" a="1"/>
  <c r="O170" i="2" s="1"/>
  <c r="T170" i="2" a="1"/>
  <c r="T170" i="2" s="1"/>
  <c r="F6" i="2" a="1"/>
  <c r="F6" i="2" s="1"/>
  <c r="E77" i="2" a="1"/>
  <c r="E77" i="2" s="1"/>
  <c r="B122" i="2" a="1"/>
  <c r="B122" i="2" s="1"/>
  <c r="F131" i="2" a="1"/>
  <c r="F131" i="2" s="1"/>
  <c r="B157" i="2" a="1"/>
  <c r="B157" i="2" s="1"/>
  <c r="B160" i="2" a="1"/>
  <c r="B160" i="2" s="1"/>
  <c r="C57" i="2" a="1"/>
  <c r="C57" i="2" s="1"/>
  <c r="C75" i="2" a="1"/>
  <c r="C75" i="2" s="1"/>
  <c r="F10" i="2" a="1"/>
  <c r="F10" i="2" s="1"/>
  <c r="F44" i="2" a="1"/>
  <c r="F44" i="2" s="1"/>
  <c r="C69" i="2" a="1"/>
  <c r="C69" i="2" s="1"/>
  <c r="B71" i="2" a="1"/>
  <c r="B71" i="2" s="1"/>
  <c r="D74" i="2" a="1"/>
  <c r="D74" i="2" s="1"/>
  <c r="D120" i="2" a="1"/>
  <c r="D120" i="2" s="1"/>
  <c r="C130" i="2" a="1"/>
  <c r="C130" i="2" s="1"/>
  <c r="B150" i="2" a="1"/>
  <c r="B150" i="2" s="1"/>
  <c r="D130" i="2" a="1"/>
  <c r="D130" i="2" s="1"/>
  <c r="C150" i="2" a="1"/>
  <c r="C150" i="2" s="1"/>
  <c r="C17" i="2" a="1"/>
  <c r="C17" i="2" s="1"/>
  <c r="E97" i="2" a="1"/>
  <c r="E97" i="2" s="1"/>
  <c r="F14" i="2" a="1"/>
  <c r="F14" i="2" s="1"/>
  <c r="F28" i="2" a="1"/>
  <c r="F28" i="2" s="1"/>
  <c r="F60" i="2" a="1"/>
  <c r="F60" i="2" s="1"/>
  <c r="B101" i="2" a="1"/>
  <c r="B101" i="2" s="1"/>
  <c r="C109" i="2" a="1"/>
  <c r="C109" i="2" s="1"/>
  <c r="D129" i="2" a="1"/>
  <c r="D129" i="2" s="1"/>
  <c r="B136" i="2" a="1"/>
  <c r="B136" i="2" s="1"/>
  <c r="B140" i="2" a="1"/>
  <c r="B140" i="2" s="1"/>
  <c r="F142" i="2" a="1"/>
  <c r="F142" i="2" s="1"/>
  <c r="B156" i="2" a="1"/>
  <c r="B156" i="2" s="1"/>
  <c r="E161" i="2" a="1"/>
  <c r="E161" i="2" s="1"/>
  <c r="B164" i="2" a="1"/>
  <c r="B164" i="2" s="1"/>
  <c r="F20" i="2" a="1"/>
  <c r="F20" i="2" s="1"/>
  <c r="C41" i="2" a="1"/>
  <c r="C41" i="2" s="1"/>
  <c r="F52" i="2" a="1"/>
  <c r="F52" i="2" s="1"/>
  <c r="D68" i="2" a="1"/>
  <c r="D68" i="2" s="1"/>
  <c r="B79" i="2" a="1"/>
  <c r="B79" i="2" s="1"/>
  <c r="E82" i="2" a="1"/>
  <c r="E82" i="2" s="1"/>
  <c r="C96" i="2" a="1"/>
  <c r="C96" i="2" s="1"/>
  <c r="C100" i="2" a="1"/>
  <c r="C100" i="2" s="1"/>
  <c r="E101" i="2" a="1"/>
  <c r="E101" i="2" s="1"/>
  <c r="C104" i="2" a="1"/>
  <c r="C104" i="2" s="1"/>
  <c r="E107" i="2" a="1"/>
  <c r="E107" i="2" s="1"/>
  <c r="D117" i="2" a="1"/>
  <c r="D117" i="2" s="1"/>
  <c r="B120" i="2" a="1"/>
  <c r="B120" i="2" s="1"/>
  <c r="D128" i="2" a="1"/>
  <c r="D128" i="2" s="1"/>
  <c r="E129" i="2" a="1"/>
  <c r="E129" i="2" s="1"/>
  <c r="B139" i="2" a="1"/>
  <c r="B139" i="2" s="1"/>
  <c r="C140" i="2" a="1"/>
  <c r="C140" i="2" s="1"/>
  <c r="F144" i="2" a="1"/>
  <c r="F144" i="2" s="1"/>
  <c r="C49" i="2" a="1"/>
  <c r="C49" i="2" s="1"/>
  <c r="E100" i="2" a="1"/>
  <c r="E100" i="2" s="1"/>
  <c r="C120" i="2" a="1"/>
  <c r="C120" i="2" s="1"/>
  <c r="F128" i="2" a="1"/>
  <c r="F128" i="2" s="1"/>
  <c r="E139" i="2" a="1"/>
  <c r="E139" i="2" s="1"/>
  <c r="C7" i="2" a="1"/>
  <c r="C7" i="2" s="1"/>
  <c r="C11" i="2" a="1"/>
  <c r="C11" i="2" s="1"/>
  <c r="C15" i="2" a="1"/>
  <c r="C15" i="2" s="1"/>
  <c r="D17" i="2" a="1"/>
  <c r="D17" i="2" s="1"/>
  <c r="C21" i="2" a="1"/>
  <c r="C21" i="2" s="1"/>
  <c r="C29" i="2" a="1"/>
  <c r="C29" i="2" s="1"/>
  <c r="C31" i="2" a="1"/>
  <c r="C31" i="2" s="1"/>
  <c r="C37" i="2" a="1"/>
  <c r="C37" i="2" s="1"/>
  <c r="C39" i="2" a="1"/>
  <c r="C39" i="2" s="1"/>
  <c r="C45" i="2" a="1"/>
  <c r="C45" i="2" s="1"/>
  <c r="C47" i="2" a="1"/>
  <c r="C47" i="2" s="1"/>
  <c r="C53" i="2" a="1"/>
  <c r="C53" i="2" s="1"/>
  <c r="C55" i="2" a="1"/>
  <c r="C55" i="2" s="1"/>
  <c r="D57" i="2" a="1"/>
  <c r="D57" i="2" s="1"/>
  <c r="C61" i="2" a="1"/>
  <c r="C61" i="2" s="1"/>
  <c r="C67" i="2" a="1"/>
  <c r="C67" i="2" s="1"/>
  <c r="E68" i="2" a="1"/>
  <c r="E68" i="2" s="1"/>
  <c r="C83" i="2" a="1"/>
  <c r="C83" i="2" s="1"/>
  <c r="C91" i="2" a="1"/>
  <c r="C91" i="2" s="1"/>
  <c r="B113" i="2" a="1"/>
  <c r="B113" i="2" s="1"/>
  <c r="B118" i="2" a="1"/>
  <c r="B118" i="2" s="1"/>
  <c r="B119" i="2" a="1"/>
  <c r="B119" i="2" s="1"/>
  <c r="C122" i="2" a="1"/>
  <c r="C122" i="2" s="1"/>
  <c r="B125" i="2" a="1"/>
  <c r="B125" i="2" s="1"/>
  <c r="B126" i="2" a="1"/>
  <c r="B126" i="2" s="1"/>
  <c r="B132" i="2" a="1"/>
  <c r="B132" i="2" s="1"/>
  <c r="C136" i="2" a="1"/>
  <c r="C136" i="2" s="1"/>
  <c r="D140" i="2" a="1"/>
  <c r="D140" i="2" s="1"/>
  <c r="B146" i="2" a="1"/>
  <c r="B146" i="2" s="1"/>
  <c r="D152" i="2" a="1"/>
  <c r="D152" i="2" s="1"/>
  <c r="B154" i="2" a="1"/>
  <c r="B154" i="2" s="1"/>
  <c r="B155" i="2" a="1"/>
  <c r="B155" i="2" s="1"/>
  <c r="C156" i="2" a="1"/>
  <c r="C156" i="2" s="1"/>
  <c r="C160" i="2" a="1"/>
  <c r="C160" i="2" s="1"/>
  <c r="D164" i="2" a="1"/>
  <c r="D164" i="2" s="1"/>
  <c r="B6" i="2" a="1"/>
  <c r="B6" i="2" s="1"/>
  <c r="D7" i="2" a="1"/>
  <c r="D7" i="2" s="1"/>
  <c r="B10" i="2" a="1"/>
  <c r="B10" i="2" s="1"/>
  <c r="B14" i="2" a="1"/>
  <c r="B14" i="2" s="1"/>
  <c r="B20" i="2" a="1"/>
  <c r="B20" i="2" s="1"/>
  <c r="D21" i="2" a="1"/>
  <c r="D21" i="2" s="1"/>
  <c r="B28" i="2" a="1"/>
  <c r="B28" i="2" s="1"/>
  <c r="B36" i="2" a="1"/>
  <c r="B36" i="2" s="1"/>
  <c r="D37" i="2" a="1"/>
  <c r="D37" i="2" s="1"/>
  <c r="B44" i="2" a="1"/>
  <c r="B44" i="2" s="1"/>
  <c r="D45" i="2" a="1"/>
  <c r="D45" i="2" s="1"/>
  <c r="B52" i="2" a="1"/>
  <c r="B52" i="2" s="1"/>
  <c r="D53" i="2" a="1"/>
  <c r="D53" i="2" s="1"/>
  <c r="B60" i="2" a="1"/>
  <c r="B60" i="2" s="1"/>
  <c r="B117" i="2" a="1"/>
  <c r="B117" i="2" s="1"/>
  <c r="C118" i="2" a="1"/>
  <c r="C118" i="2" s="1"/>
  <c r="D125" i="2" a="1"/>
  <c r="D125" i="2" s="1"/>
  <c r="C126" i="2" a="1"/>
  <c r="C126" i="2" s="1"/>
  <c r="C128" i="2" a="1"/>
  <c r="C128" i="2" s="1"/>
  <c r="B130" i="2" a="1"/>
  <c r="B130" i="2" s="1"/>
  <c r="C132" i="2" a="1"/>
  <c r="C132" i="2" s="1"/>
  <c r="D136" i="2" a="1"/>
  <c r="D136" i="2" s="1"/>
  <c r="C146" i="2" a="1"/>
  <c r="C146" i="2" s="1"/>
  <c r="B148" i="2" a="1"/>
  <c r="B148" i="2" s="1"/>
  <c r="F152" i="2" a="1"/>
  <c r="F152" i="2" s="1"/>
  <c r="C154" i="2" a="1"/>
  <c r="C154" i="2" s="1"/>
  <c r="E155" i="2" a="1"/>
  <c r="E155" i="2" s="1"/>
  <c r="F156" i="2" a="1"/>
  <c r="F156" i="2" s="1"/>
  <c r="F160" i="2" a="1"/>
  <c r="F160" i="2" s="1"/>
  <c r="E125" i="2" a="1"/>
  <c r="E125" i="2" s="1"/>
  <c r="D126" i="2" a="1"/>
  <c r="D126" i="2" s="1"/>
  <c r="D132" i="2" a="1"/>
  <c r="D132" i="2" s="1"/>
  <c r="D146" i="2" a="1"/>
  <c r="D146" i="2" s="1"/>
  <c r="D154" i="2" a="1"/>
  <c r="D154" i="2" s="1"/>
  <c r="C9" i="2" a="1"/>
  <c r="C9" i="2" s="1"/>
  <c r="C13" i="2" a="1"/>
  <c r="C13" i="2" s="1"/>
  <c r="B16" i="2" a="1"/>
  <c r="B16" i="2" s="1"/>
  <c r="C19" i="2" a="1"/>
  <c r="C19" i="2" s="1"/>
  <c r="B24" i="2" a="1"/>
  <c r="B24" i="2" s="1"/>
  <c r="C27" i="2" a="1"/>
  <c r="C27" i="2" s="1"/>
  <c r="B32" i="2" a="1"/>
  <c r="B32" i="2" s="1"/>
  <c r="C35" i="2" a="1"/>
  <c r="C35" i="2" s="1"/>
  <c r="B40" i="2" a="1"/>
  <c r="B40" i="2" s="1"/>
  <c r="C43" i="2" a="1"/>
  <c r="C43" i="2" s="1"/>
  <c r="B48" i="2" a="1"/>
  <c r="B48" i="2" s="1"/>
  <c r="C51" i="2" a="1"/>
  <c r="C51" i="2" s="1"/>
  <c r="B56" i="2" a="1"/>
  <c r="B56" i="2" s="1"/>
  <c r="C59" i="2" a="1"/>
  <c r="C59" i="2" s="1"/>
  <c r="D76" i="2" a="1"/>
  <c r="D76" i="2" s="1"/>
  <c r="B95" i="2" a="1"/>
  <c r="B95" i="2" s="1"/>
  <c r="E106" i="2" a="1"/>
  <c r="E106" i="2" s="1"/>
  <c r="C108" i="2" a="1"/>
  <c r="C108" i="2" s="1"/>
  <c r="B121" i="2" a="1"/>
  <c r="B121" i="2" s="1"/>
  <c r="B134" i="2" a="1"/>
  <c r="B134" i="2" s="1"/>
  <c r="B135" i="2" a="1"/>
  <c r="B135" i="2" s="1"/>
  <c r="C138" i="2" a="1"/>
  <c r="C138" i="2" s="1"/>
  <c r="B147" i="2" a="1"/>
  <c r="B147" i="2" s="1"/>
  <c r="B158" i="2" a="1"/>
  <c r="B158" i="2" s="1"/>
  <c r="B8" i="2" a="1"/>
  <c r="B8" i="2" s="1"/>
  <c r="D9" i="2" a="1"/>
  <c r="D9" i="2" s="1"/>
  <c r="B12" i="2" a="1"/>
  <c r="B12" i="2" s="1"/>
  <c r="F16" i="2" a="1"/>
  <c r="F16" i="2" s="1"/>
  <c r="D18" i="2" a="1"/>
  <c r="D18" i="2" s="1"/>
  <c r="B18" i="2" a="1"/>
  <c r="B18" i="2" s="1"/>
  <c r="F23" i="2" a="1"/>
  <c r="F23" i="2" s="1"/>
  <c r="D23" i="2" a="1"/>
  <c r="D23" i="2" s="1"/>
  <c r="F24" i="2" a="1"/>
  <c r="F24" i="2" s="1"/>
  <c r="D26" i="2" a="1"/>
  <c r="D26" i="2" s="1"/>
  <c r="B26" i="2" a="1"/>
  <c r="B26" i="2" s="1"/>
  <c r="F32" i="2" a="1"/>
  <c r="F32" i="2" s="1"/>
  <c r="D34" i="2" a="1"/>
  <c r="D34" i="2" s="1"/>
  <c r="B34" i="2" a="1"/>
  <c r="B34" i="2" s="1"/>
  <c r="F40" i="2" a="1"/>
  <c r="F40" i="2" s="1"/>
  <c r="D42" i="2" a="1"/>
  <c r="D42" i="2" s="1"/>
  <c r="B42" i="2" a="1"/>
  <c r="B42" i="2" s="1"/>
  <c r="F48" i="2" a="1"/>
  <c r="F48" i="2" s="1"/>
  <c r="E50" i="2" a="1"/>
  <c r="E50" i="2" s="1"/>
  <c r="B50" i="2" a="1"/>
  <c r="B50" i="2" s="1"/>
  <c r="F56" i="2" a="1"/>
  <c r="F56" i="2" s="1"/>
  <c r="D58" i="2" a="1"/>
  <c r="D58" i="2" s="1"/>
  <c r="B58" i="2" a="1"/>
  <c r="B58" i="2" s="1"/>
  <c r="B63" i="2" a="1"/>
  <c r="B63" i="2" s="1"/>
  <c r="D66" i="2" a="1"/>
  <c r="D66" i="2" s="1"/>
  <c r="D69" i="2" a="1"/>
  <c r="D69" i="2" s="1"/>
  <c r="B69" i="2" a="1"/>
  <c r="B69" i="2" s="1"/>
  <c r="E76" i="2" a="1"/>
  <c r="E76" i="2" s="1"/>
  <c r="E78" i="2" a="1"/>
  <c r="E78" i="2" s="1"/>
  <c r="C78" i="2" a="1"/>
  <c r="C78" i="2" s="1"/>
  <c r="D84" i="2" a="1"/>
  <c r="D84" i="2" s="1"/>
  <c r="C87" i="2" a="1"/>
  <c r="C87" i="2" s="1"/>
  <c r="D92" i="2" a="1"/>
  <c r="D92" i="2" s="1"/>
  <c r="C95" i="2" a="1"/>
  <c r="C95" i="2" s="1"/>
  <c r="F103" i="2" a="1"/>
  <c r="F103" i="2" s="1"/>
  <c r="B103" i="2" a="1"/>
  <c r="B103" i="2" s="1"/>
  <c r="E105" i="2" a="1"/>
  <c r="E105" i="2" s="1"/>
  <c r="D108" i="2" a="1"/>
  <c r="D108" i="2" s="1"/>
  <c r="C115" i="2" a="1"/>
  <c r="C115" i="2" s="1"/>
  <c r="D116" i="2" a="1"/>
  <c r="D116" i="2" s="1"/>
  <c r="E118" i="2" a="1"/>
  <c r="E118" i="2" s="1"/>
  <c r="D118" i="2" a="1"/>
  <c r="D118" i="2" s="1"/>
  <c r="D121" i="2" a="1"/>
  <c r="D121" i="2" s="1"/>
  <c r="D124" i="2" a="1"/>
  <c r="D124" i="2" s="1"/>
  <c r="B133" i="2" a="1"/>
  <c r="B133" i="2" s="1"/>
  <c r="E147" i="2" a="1"/>
  <c r="E147" i="2" s="1"/>
  <c r="F148" i="2" a="1"/>
  <c r="F148" i="2" s="1"/>
  <c r="F163" i="2" a="1"/>
  <c r="F163" i="2" s="1"/>
  <c r="D22" i="2" a="1"/>
  <c r="D22" i="2" s="1"/>
  <c r="B22" i="2" a="1"/>
  <c r="B22" i="2" s="1"/>
  <c r="D30" i="2" a="1"/>
  <c r="D30" i="2" s="1"/>
  <c r="B30" i="2" a="1"/>
  <c r="B30" i="2" s="1"/>
  <c r="D38" i="2" a="1"/>
  <c r="D38" i="2" s="1"/>
  <c r="B38" i="2" a="1"/>
  <c r="B38" i="2" s="1"/>
  <c r="D46" i="2" a="1"/>
  <c r="D46" i="2" s="1"/>
  <c r="B46" i="2" a="1"/>
  <c r="B46" i="2" s="1"/>
  <c r="D54" i="2" a="1"/>
  <c r="D54" i="2" s="1"/>
  <c r="B54" i="2" a="1"/>
  <c r="B54" i="2" s="1"/>
  <c r="E62" i="2" a="1"/>
  <c r="E62" i="2" s="1"/>
  <c r="C62" i="2" a="1"/>
  <c r="C62" i="2" s="1"/>
  <c r="D85" i="2" a="1"/>
  <c r="D85" i="2" s="1"/>
  <c r="B85" i="2" a="1"/>
  <c r="B85" i="2" s="1"/>
  <c r="D93" i="2" a="1"/>
  <c r="D93" i="2" s="1"/>
  <c r="B93" i="2" a="1"/>
  <c r="B93" i="2" s="1"/>
  <c r="E114" i="2" a="1"/>
  <c r="E114" i="2" s="1"/>
  <c r="D114" i="2" a="1"/>
  <c r="D114" i="2" s="1"/>
  <c r="E134" i="2" a="1"/>
  <c r="E134" i="2" s="1"/>
  <c r="D134" i="2" a="1"/>
  <c r="D134" i="2" s="1"/>
  <c r="E138" i="2" a="1"/>
  <c r="E138" i="2" s="1"/>
  <c r="B138" i="2" a="1"/>
  <c r="B138" i="2" s="1"/>
  <c r="E158" i="2" a="1"/>
  <c r="E158" i="2" s="1"/>
  <c r="D158" i="2" a="1"/>
  <c r="D158" i="2" s="1"/>
  <c r="E162" i="2" a="1"/>
  <c r="E162" i="2" s="1"/>
  <c r="D162" i="2" a="1"/>
  <c r="D162" i="2" s="1"/>
  <c r="F22" i="2" a="1"/>
  <c r="F22" i="2" s="1"/>
  <c r="F30" i="2" a="1"/>
  <c r="F30" i="2" s="1"/>
  <c r="E70" i="2" a="1"/>
  <c r="E70" i="2" s="1"/>
  <c r="C70" i="2" a="1"/>
  <c r="C70" i="2" s="1"/>
  <c r="C85" i="2" a="1"/>
  <c r="C85" i="2" s="1"/>
  <c r="C93" i="2" a="1"/>
  <c r="C93" i="2" s="1"/>
  <c r="C116" i="2" a="1"/>
  <c r="C116" i="2" s="1"/>
  <c r="C124" i="2" a="1"/>
  <c r="C124" i="2" s="1"/>
  <c r="E142" i="2" a="1"/>
  <c r="E142" i="2" s="1"/>
  <c r="C142" i="2" a="1"/>
  <c r="C142" i="2" s="1"/>
  <c r="B159" i="2" a="1"/>
  <c r="B159" i="2" s="1"/>
  <c r="B162" i="2" a="1"/>
  <c r="B162" i="2" s="1"/>
  <c r="B163" i="2" a="1"/>
  <c r="B163" i="2" s="1"/>
  <c r="F8" i="2" a="1"/>
  <c r="F8" i="2" s="1"/>
  <c r="F12" i="2" a="1"/>
  <c r="F12" i="2" s="1"/>
  <c r="D77" i="2" a="1"/>
  <c r="D77" i="2" s="1"/>
  <c r="B77" i="2" a="1"/>
  <c r="B77" i="2" s="1"/>
  <c r="E84" i="2" a="1"/>
  <c r="E84" i="2" s="1"/>
  <c r="E92" i="2" a="1"/>
  <c r="E92" i="2" s="1"/>
  <c r="D94" i="2" a="1"/>
  <c r="D94" i="2" s="1"/>
  <c r="C94" i="2" a="1"/>
  <c r="C94" i="2" s="1"/>
  <c r="F105" i="2" a="1"/>
  <c r="F105" i="2" s="1"/>
  <c r="D109" i="2" a="1"/>
  <c r="D109" i="2" s="1"/>
  <c r="E109" i="2" a="1"/>
  <c r="E109" i="2" s="1"/>
  <c r="E115" i="2" a="1"/>
  <c r="E115" i="2" s="1"/>
  <c r="E122" i="2" a="1"/>
  <c r="E122" i="2" s="1"/>
  <c r="D122" i="2" a="1"/>
  <c r="D122" i="2" s="1"/>
  <c r="F124" i="2" a="1"/>
  <c r="F124" i="2" s="1"/>
  <c r="D133" i="2" a="1"/>
  <c r="D133" i="2" s="1"/>
  <c r="F134" i="2" a="1"/>
  <c r="F134" i="2" s="1"/>
  <c r="F138" i="2" a="1"/>
  <c r="F138" i="2" s="1"/>
  <c r="D142" i="2" a="1"/>
  <c r="D142" i="2" s="1"/>
  <c r="F158" i="2" a="1"/>
  <c r="F158" i="2" s="1"/>
  <c r="F162" i="2" a="1"/>
  <c r="F162" i="2" s="1"/>
  <c r="F120" i="2" a="1"/>
  <c r="F120" i="2" s="1"/>
  <c r="F126" i="2" a="1"/>
  <c r="F126" i="2" s="1"/>
  <c r="F130" i="2" a="1"/>
  <c r="F130" i="2" s="1"/>
  <c r="F146" i="2" a="1"/>
  <c r="F146" i="2" s="1"/>
  <c r="F150" i="2" a="1"/>
  <c r="F150" i="2" s="1"/>
  <c r="F154" i="2" a="1"/>
  <c r="F154" i="2" s="1"/>
  <c r="E2" i="2" a="1"/>
  <c r="E2" i="2" s="1"/>
  <c r="E3" i="2" a="1"/>
  <c r="E3" i="2" s="1"/>
  <c r="E4" i="2" a="1"/>
  <c r="E4" i="2" s="1"/>
  <c r="E5" i="2" a="1"/>
  <c r="E5" i="2" s="1"/>
  <c r="D65" i="2" a="1"/>
  <c r="D65" i="2" s="1"/>
  <c r="F80" i="2" a="1"/>
  <c r="F80" i="2" s="1"/>
  <c r="B80" i="2" a="1"/>
  <c r="B80" i="2" s="1"/>
  <c r="F81" i="2" a="1"/>
  <c r="F81" i="2" s="1"/>
  <c r="F112" i="2" a="1"/>
  <c r="F112" i="2" s="1"/>
  <c r="B112" i="2" a="1"/>
  <c r="B112" i="2" s="1"/>
  <c r="D112" i="2" a="1"/>
  <c r="D112" i="2" s="1"/>
  <c r="B2" i="2" a="1"/>
  <c r="B2" i="2" s="1"/>
  <c r="B3" i="2" a="1"/>
  <c r="B3" i="2" s="1"/>
  <c r="B4" i="2" a="1"/>
  <c r="B4" i="2" s="1"/>
  <c r="B5" i="2" a="1"/>
  <c r="B5" i="2" s="1"/>
  <c r="C6" i="2" a="1"/>
  <c r="C6" i="2" s="1"/>
  <c r="E7" i="2" a="1"/>
  <c r="E7" i="2" s="1"/>
  <c r="C8" i="2" a="1"/>
  <c r="C8" i="2" s="1"/>
  <c r="E9" i="2" a="1"/>
  <c r="E9" i="2" s="1"/>
  <c r="C10" i="2" a="1"/>
  <c r="C10" i="2" s="1"/>
  <c r="E11" i="2" a="1"/>
  <c r="E11" i="2" s="1"/>
  <c r="C12" i="2" a="1"/>
  <c r="C12" i="2" s="1"/>
  <c r="E13" i="2" a="1"/>
  <c r="E13" i="2" s="1"/>
  <c r="C14" i="2" a="1"/>
  <c r="C14" i="2" s="1"/>
  <c r="E15" i="2" a="1"/>
  <c r="E15" i="2" s="1"/>
  <c r="C16" i="2" a="1"/>
  <c r="C16" i="2" s="1"/>
  <c r="E17" i="2" a="1"/>
  <c r="E17" i="2" s="1"/>
  <c r="C18" i="2" a="1"/>
  <c r="C18" i="2" s="1"/>
  <c r="E19" i="2" a="1"/>
  <c r="E19" i="2" s="1"/>
  <c r="C20" i="2" a="1"/>
  <c r="C20" i="2" s="1"/>
  <c r="E21" i="2" a="1"/>
  <c r="E21" i="2" s="1"/>
  <c r="C22" i="2" a="1"/>
  <c r="C22" i="2" s="1"/>
  <c r="E23" i="2" a="1"/>
  <c r="E23" i="2" s="1"/>
  <c r="C24" i="2" a="1"/>
  <c r="C24" i="2" s="1"/>
  <c r="E25" i="2" a="1"/>
  <c r="E25" i="2" s="1"/>
  <c r="C26" i="2" a="1"/>
  <c r="C26" i="2" s="1"/>
  <c r="E27" i="2" a="1"/>
  <c r="E27" i="2" s="1"/>
  <c r="C28" i="2" a="1"/>
  <c r="C28" i="2" s="1"/>
  <c r="E29" i="2" a="1"/>
  <c r="E29" i="2" s="1"/>
  <c r="C30" i="2" a="1"/>
  <c r="C30" i="2" s="1"/>
  <c r="E31" i="2" a="1"/>
  <c r="E31" i="2" s="1"/>
  <c r="C32" i="2" a="1"/>
  <c r="C32" i="2" s="1"/>
  <c r="E33" i="2" a="1"/>
  <c r="E33" i="2" s="1"/>
  <c r="C34" i="2" a="1"/>
  <c r="C34" i="2" s="1"/>
  <c r="E35" i="2" a="1"/>
  <c r="E35" i="2" s="1"/>
  <c r="C36" i="2" a="1"/>
  <c r="C36" i="2" s="1"/>
  <c r="E37" i="2" a="1"/>
  <c r="E37" i="2" s="1"/>
  <c r="C38" i="2" a="1"/>
  <c r="C38" i="2" s="1"/>
  <c r="E39" i="2" a="1"/>
  <c r="E39" i="2" s="1"/>
  <c r="C40" i="2" a="1"/>
  <c r="C40" i="2" s="1"/>
  <c r="E41" i="2" a="1"/>
  <c r="E41" i="2" s="1"/>
  <c r="C42" i="2" a="1"/>
  <c r="C42" i="2" s="1"/>
  <c r="E43" i="2" a="1"/>
  <c r="E43" i="2" s="1"/>
  <c r="C44" i="2" a="1"/>
  <c r="C44" i="2" s="1"/>
  <c r="E45" i="2" a="1"/>
  <c r="E45" i="2" s="1"/>
  <c r="C46" i="2" a="1"/>
  <c r="C46" i="2" s="1"/>
  <c r="E47" i="2" a="1"/>
  <c r="E47" i="2" s="1"/>
  <c r="C48" i="2" a="1"/>
  <c r="C48" i="2" s="1"/>
  <c r="E49" i="2" a="1"/>
  <c r="E49" i="2" s="1"/>
  <c r="C50" i="2" a="1"/>
  <c r="C50" i="2" s="1"/>
  <c r="E51" i="2" a="1"/>
  <c r="E51" i="2" s="1"/>
  <c r="C52" i="2" a="1"/>
  <c r="C52" i="2" s="1"/>
  <c r="E53" i="2" a="1"/>
  <c r="E53" i="2" s="1"/>
  <c r="C54" i="2" a="1"/>
  <c r="C54" i="2" s="1"/>
  <c r="E55" i="2" a="1"/>
  <c r="E55" i="2" s="1"/>
  <c r="C56" i="2" a="1"/>
  <c r="C56" i="2" s="1"/>
  <c r="E57" i="2" a="1"/>
  <c r="E57" i="2" s="1"/>
  <c r="C58" i="2" a="1"/>
  <c r="C58" i="2" s="1"/>
  <c r="E59" i="2" a="1"/>
  <c r="E59" i="2" s="1"/>
  <c r="C60" i="2" a="1"/>
  <c r="C60" i="2" s="1"/>
  <c r="E61" i="2" a="1"/>
  <c r="E61" i="2" s="1"/>
  <c r="D62" i="2" a="1"/>
  <c r="D62" i="2" s="1"/>
  <c r="C63" i="2" a="1"/>
  <c r="C63" i="2" s="1"/>
  <c r="C64" i="2" a="1"/>
  <c r="C64" i="2" s="1"/>
  <c r="B65" i="2" a="1"/>
  <c r="B65" i="2" s="1"/>
  <c r="E66" i="2"/>
  <c r="F66" i="2" a="1"/>
  <c r="F66" i="2" s="1"/>
  <c r="B66" i="2" a="1"/>
  <c r="B66" i="2" s="1"/>
  <c r="D67" i="2" a="1"/>
  <c r="D67" i="2" s="1"/>
  <c r="F67" i="2" a="1"/>
  <c r="F67" i="2" s="1"/>
  <c r="D70" i="2" a="1"/>
  <c r="D70" i="2" s="1"/>
  <c r="C71" i="2" a="1"/>
  <c r="C71" i="2" s="1"/>
  <c r="C72" i="2" a="1"/>
  <c r="C72" i="2" s="1"/>
  <c r="B73" i="2" a="1"/>
  <c r="B73" i="2" s="1"/>
  <c r="E74" i="2"/>
  <c r="F74" i="2" a="1"/>
  <c r="F74" i="2" s="1"/>
  <c r="B74" i="2" a="1"/>
  <c r="B74" i="2" s="1"/>
  <c r="D75" i="2" a="1"/>
  <c r="D75" i="2" s="1"/>
  <c r="F75" i="2" a="1"/>
  <c r="F75" i="2" s="1"/>
  <c r="D78" i="2" a="1"/>
  <c r="D78" i="2" s="1"/>
  <c r="C79" i="2" a="1"/>
  <c r="C79" i="2" s="1"/>
  <c r="C80" i="2" a="1"/>
  <c r="C80" i="2" s="1"/>
  <c r="F82" i="2" a="1"/>
  <c r="F82" i="2" s="1"/>
  <c r="B82" i="2" a="1"/>
  <c r="B82" i="2" s="1"/>
  <c r="D83" i="2" a="1"/>
  <c r="D83" i="2" s="1"/>
  <c r="F83" i="2" a="1"/>
  <c r="F83" i="2" s="1"/>
  <c r="D87" i="2" a="1"/>
  <c r="D87" i="2" s="1"/>
  <c r="E87" i="2" a="1"/>
  <c r="E87" i="2" s="1"/>
  <c r="F88" i="2" a="1"/>
  <c r="F88" i="2" s="1"/>
  <c r="B88" i="2" a="1"/>
  <c r="B88" i="2" s="1"/>
  <c r="D88" i="2" a="1"/>
  <c r="D88" i="2" s="1"/>
  <c r="B89" i="2" a="1"/>
  <c r="B89" i="2" s="1"/>
  <c r="E91" i="2" a="1"/>
  <c r="E91" i="2" s="1"/>
  <c r="D97" i="2" a="1"/>
  <c r="D97" i="2" s="1"/>
  <c r="C97" i="2" a="1"/>
  <c r="C97" i="2" s="1"/>
  <c r="E98" i="2"/>
  <c r="F98" i="2" a="1"/>
  <c r="F98" i="2" s="1"/>
  <c r="B98" i="2" a="1"/>
  <c r="B98" i="2" s="1"/>
  <c r="C98" i="2" a="1"/>
  <c r="C98" i="2" s="1"/>
  <c r="C103" i="2" a="1"/>
  <c r="C103" i="2" s="1"/>
  <c r="D107" i="2" a="1"/>
  <c r="D107" i="2" s="1"/>
  <c r="B107" i="2" a="1"/>
  <c r="B107" i="2" s="1"/>
  <c r="F110" i="2" a="1"/>
  <c r="F110" i="2" s="1"/>
  <c r="B110" i="2" a="1"/>
  <c r="B110" i="2" s="1"/>
  <c r="E110" i="2" a="1"/>
  <c r="E110" i="2" s="1"/>
  <c r="C112" i="2" a="1"/>
  <c r="C112" i="2" s="1"/>
  <c r="E113" i="2" a="1"/>
  <c r="E113" i="2" s="1"/>
  <c r="C127" i="2" a="1"/>
  <c r="C127" i="2" s="1"/>
  <c r="D127" i="2" a="1"/>
  <c r="D127" i="2" s="1"/>
  <c r="F127" i="2" a="1"/>
  <c r="F127" i="2" s="1"/>
  <c r="D151" i="2" a="1"/>
  <c r="D151" i="2" s="1"/>
  <c r="C151" i="2" a="1"/>
  <c r="C151" i="2" s="1"/>
  <c r="E151" i="2" a="1"/>
  <c r="E151" i="2" s="1"/>
  <c r="B151" i="2" a="1"/>
  <c r="B151" i="2" s="1"/>
  <c r="L169" i="2"/>
  <c r="F4" i="2"/>
  <c r="F5" i="2"/>
  <c r="F65" i="2" a="1"/>
  <c r="F65" i="2" s="1"/>
  <c r="D81" i="2" a="1"/>
  <c r="D81" i="2" s="1"/>
  <c r="F90" i="2" a="1"/>
  <c r="F90" i="2" s="1"/>
  <c r="B90" i="2" a="1"/>
  <c r="B90" i="2" s="1"/>
  <c r="C90" i="2" a="1"/>
  <c r="C90" i="2" s="1"/>
  <c r="D99" i="2" a="1"/>
  <c r="D99" i="2" s="1"/>
  <c r="B99" i="2" a="1"/>
  <c r="B99" i="2" s="1"/>
  <c r="F102" i="2" a="1"/>
  <c r="F102" i="2" s="1"/>
  <c r="B102" i="2" a="1"/>
  <c r="B102" i="2" s="1"/>
  <c r="E102" i="2" a="1"/>
  <c r="E102" i="2" s="1"/>
  <c r="D111" i="2" a="1"/>
  <c r="D111" i="2" s="1"/>
  <c r="E111" i="2" a="1"/>
  <c r="E111" i="2" s="1"/>
  <c r="C123" i="2" a="1"/>
  <c r="C123" i="2" s="1"/>
  <c r="D123" i="2" a="1"/>
  <c r="D123" i="2" s="1"/>
  <c r="B123" i="2" a="1"/>
  <c r="B123" i="2" s="1"/>
  <c r="D141" i="2" a="1"/>
  <c r="D141" i="2" s="1"/>
  <c r="C141" i="2" a="1"/>
  <c r="C141" i="2" s="1"/>
  <c r="F141" i="2" a="1"/>
  <c r="F141" i="2" s="1"/>
  <c r="E141" i="2" a="1"/>
  <c r="E141" i="2" s="1"/>
  <c r="D153" i="2" a="1"/>
  <c r="D153" i="2" s="1"/>
  <c r="C153" i="2" a="1"/>
  <c r="C153" i="2" s="1"/>
  <c r="B153" i="2" a="1"/>
  <c r="B153" i="2" s="1"/>
  <c r="E153" i="2" a="1"/>
  <c r="E153" i="2" s="1"/>
  <c r="C2" i="2" a="1"/>
  <c r="C2" i="2" s="1"/>
  <c r="C3" i="2" a="1"/>
  <c r="C3" i="2" s="1"/>
  <c r="C4" i="2" a="1"/>
  <c r="C4" i="2" s="1"/>
  <c r="C5" i="2" a="1"/>
  <c r="C5" i="2" s="1"/>
  <c r="B7" i="2" a="1"/>
  <c r="B7" i="2" s="1"/>
  <c r="B9" i="2" a="1"/>
  <c r="B9" i="2" s="1"/>
  <c r="B11" i="2" a="1"/>
  <c r="B11" i="2" s="1"/>
  <c r="F11" i="2" a="1"/>
  <c r="F11" i="2" s="1"/>
  <c r="B13" i="2" a="1"/>
  <c r="B13" i="2" s="1"/>
  <c r="F13" i="2" a="1"/>
  <c r="F13" i="2" s="1"/>
  <c r="B15" i="2" a="1"/>
  <c r="B15" i="2" s="1"/>
  <c r="F15" i="2" a="1"/>
  <c r="F15" i="2" s="1"/>
  <c r="D16" i="2" a="1"/>
  <c r="D16" i="2" s="1"/>
  <c r="B17" i="2" a="1"/>
  <c r="B17" i="2" s="1"/>
  <c r="B19" i="2" a="1"/>
  <c r="B19" i="2" s="1"/>
  <c r="F19" i="2" a="1"/>
  <c r="F19" i="2" s="1"/>
  <c r="B21" i="2" a="1"/>
  <c r="B21" i="2" s="1"/>
  <c r="B23" i="2" a="1"/>
  <c r="B23" i="2" s="1"/>
  <c r="D24" i="2" a="1"/>
  <c r="D24" i="2" s="1"/>
  <c r="B25" i="2" a="1"/>
  <c r="B25" i="2" s="1"/>
  <c r="F25" i="2" a="1"/>
  <c r="F25" i="2" s="1"/>
  <c r="B27" i="2" a="1"/>
  <c r="B27" i="2" s="1"/>
  <c r="F27" i="2" a="1"/>
  <c r="F27" i="2" s="1"/>
  <c r="B29" i="2" a="1"/>
  <c r="B29" i="2" s="1"/>
  <c r="F29" i="2" a="1"/>
  <c r="F29" i="2" s="1"/>
  <c r="B31" i="2" a="1"/>
  <c r="B31" i="2" s="1"/>
  <c r="F31" i="2" a="1"/>
  <c r="F31" i="2" s="1"/>
  <c r="B33" i="2" a="1"/>
  <c r="B33" i="2" s="1"/>
  <c r="F33" i="2" a="1"/>
  <c r="F33" i="2" s="1"/>
  <c r="B35" i="2" a="1"/>
  <c r="B35" i="2" s="1"/>
  <c r="F35" i="2" a="1"/>
  <c r="F35" i="2" s="1"/>
  <c r="B37" i="2" a="1"/>
  <c r="B37" i="2" s="1"/>
  <c r="B39" i="2" a="1"/>
  <c r="B39" i="2" s="1"/>
  <c r="F39" i="2" a="1"/>
  <c r="F39" i="2" s="1"/>
  <c r="B41" i="2" a="1"/>
  <c r="B41" i="2" s="1"/>
  <c r="F41" i="2" a="1"/>
  <c r="F41" i="2" s="1"/>
  <c r="B43" i="2" a="1"/>
  <c r="B43" i="2" s="1"/>
  <c r="F43" i="2" a="1"/>
  <c r="F43" i="2" s="1"/>
  <c r="D44" i="2" a="1"/>
  <c r="D44" i="2" s="1"/>
  <c r="B45" i="2" a="1"/>
  <c r="B45" i="2" s="1"/>
  <c r="B47" i="2" a="1"/>
  <c r="B47" i="2" s="1"/>
  <c r="F47" i="2" a="1"/>
  <c r="F47" i="2" s="1"/>
  <c r="B49" i="2" a="1"/>
  <c r="B49" i="2" s="1"/>
  <c r="F49" i="2" a="1"/>
  <c r="F49" i="2" s="1"/>
  <c r="D50" i="2" a="1"/>
  <c r="D50" i="2" s="1"/>
  <c r="B51" i="2" a="1"/>
  <c r="B51" i="2" s="1"/>
  <c r="F51" i="2" a="1"/>
  <c r="F51" i="2" s="1"/>
  <c r="B53" i="2" a="1"/>
  <c r="B53" i="2" s="1"/>
  <c r="B55" i="2" a="1"/>
  <c r="B55" i="2" s="1"/>
  <c r="F55" i="2" a="1"/>
  <c r="F55" i="2" s="1"/>
  <c r="B57" i="2" a="1"/>
  <c r="B57" i="2" s="1"/>
  <c r="B59" i="2" a="1"/>
  <c r="B59" i="2" s="1"/>
  <c r="F59" i="2" a="1"/>
  <c r="F59" i="2" s="1"/>
  <c r="B61" i="2" a="1"/>
  <c r="B61" i="2" s="1"/>
  <c r="F61" i="2" a="1"/>
  <c r="F61" i="2" s="1"/>
  <c r="C65" i="2" a="1"/>
  <c r="C65" i="2" s="1"/>
  <c r="C66" i="2" a="1"/>
  <c r="C66" i="2" s="1"/>
  <c r="B67" i="2" a="1"/>
  <c r="B67" i="2" s="1"/>
  <c r="F68" i="2" a="1"/>
  <c r="F68" i="2" s="1"/>
  <c r="B68" i="2" a="1"/>
  <c r="B68" i="2" s="1"/>
  <c r="F69" i="2" a="1"/>
  <c r="F69" i="2" s="1"/>
  <c r="E71" i="2" a="1"/>
  <c r="E71" i="2" s="1"/>
  <c r="C73" i="2" a="1"/>
  <c r="C73" i="2" s="1"/>
  <c r="C74" i="2" a="1"/>
  <c r="C74" i="2" s="1"/>
  <c r="B75" i="2" a="1"/>
  <c r="B75" i="2" s="1"/>
  <c r="F76" i="2" a="1"/>
  <c r="F76" i="2" s="1"/>
  <c r="B76" i="2" a="1"/>
  <c r="B76" i="2" s="1"/>
  <c r="F77" i="2" a="1"/>
  <c r="F77" i="2" s="1"/>
  <c r="D80" i="2" a="1"/>
  <c r="D80" i="2" s="1"/>
  <c r="C81" i="2" a="1"/>
  <c r="C81" i="2" s="1"/>
  <c r="C82" i="2" a="1"/>
  <c r="C82" i="2" s="1"/>
  <c r="B83" i="2" a="1"/>
  <c r="B83" i="2" s="1"/>
  <c r="F84" i="2" a="1"/>
  <c r="F84" i="2" s="1"/>
  <c r="B84" i="2" a="1"/>
  <c r="B84" i="2" s="1"/>
  <c r="F86" i="2" a="1"/>
  <c r="F86" i="2" s="1"/>
  <c r="B86" i="2" a="1"/>
  <c r="B86" i="2" s="1"/>
  <c r="E86" i="2" a="1"/>
  <c r="E86" i="2" s="1"/>
  <c r="B87" i="2" a="1"/>
  <c r="B87" i="2" s="1"/>
  <c r="C88" i="2" a="1"/>
  <c r="C88" i="2" s="1"/>
  <c r="E90" i="2" a="1"/>
  <c r="E90" i="2" s="1"/>
  <c r="F95" i="2"/>
  <c r="D95" i="2" a="1"/>
  <c r="D95" i="2" s="1"/>
  <c r="E95" i="2" a="1"/>
  <c r="E95" i="2" s="1"/>
  <c r="F96" i="2" a="1"/>
  <c r="F96" i="2" s="1"/>
  <c r="B96" i="2" a="1"/>
  <c r="B96" i="2" s="1"/>
  <c r="D96" i="2" a="1"/>
  <c r="D96" i="2" s="1"/>
  <c r="B97" i="2" a="1"/>
  <c r="B97" i="2" s="1"/>
  <c r="D98" i="2" a="1"/>
  <c r="D98" i="2" s="1"/>
  <c r="E99" i="2" a="1"/>
  <c r="E99" i="2" s="1"/>
  <c r="D102" i="2" a="1"/>
  <c r="D102" i="2" s="1"/>
  <c r="D105" i="2" a="1"/>
  <c r="D105" i="2" s="1"/>
  <c r="C105" i="2" a="1"/>
  <c r="C105" i="2" s="1"/>
  <c r="F106" i="2" a="1"/>
  <c r="F106" i="2" s="1"/>
  <c r="B106" i="2" a="1"/>
  <c r="B106" i="2" s="1"/>
  <c r="C106" i="2" a="1"/>
  <c r="C106" i="2" s="1"/>
  <c r="C107" i="2" a="1"/>
  <c r="C107" i="2" s="1"/>
  <c r="C110" i="2" a="1"/>
  <c r="C110" i="2" s="1"/>
  <c r="C111" i="2" a="1"/>
  <c r="C111" i="2" s="1"/>
  <c r="E112" i="2" a="1"/>
  <c r="E112" i="2" s="1"/>
  <c r="F115" i="2"/>
  <c r="D115" i="2" a="1"/>
  <c r="D115" i="2" s="1"/>
  <c r="B115" i="2" a="1"/>
  <c r="B115" i="2" s="1"/>
  <c r="F123" i="2" a="1"/>
  <c r="F123" i="2" s="1"/>
  <c r="B127" i="2" a="1"/>
  <c r="B127" i="2" s="1"/>
  <c r="C131" i="2" a="1"/>
  <c r="C131" i="2" s="1"/>
  <c r="D131" i="2" a="1"/>
  <c r="D131" i="2" s="1"/>
  <c r="B131" i="2" a="1"/>
  <c r="B131" i="2" s="1"/>
  <c r="D145" i="2" a="1"/>
  <c r="D145" i="2" s="1"/>
  <c r="C145" i="2" a="1"/>
  <c r="C145" i="2" s="1"/>
  <c r="B145" i="2" a="1"/>
  <c r="B145" i="2" s="1"/>
  <c r="F145" i="2" a="1"/>
  <c r="F145" i="2" s="1"/>
  <c r="D149" i="2" a="1"/>
  <c r="D149" i="2" s="1"/>
  <c r="C149" i="2" a="1"/>
  <c r="C149" i="2" s="1"/>
  <c r="F149" i="2" a="1"/>
  <c r="F149" i="2" s="1"/>
  <c r="B149" i="2" a="1"/>
  <c r="B149" i="2" s="1"/>
  <c r="F151" i="2" a="1"/>
  <c r="F151" i="2" s="1"/>
  <c r="F64" i="2" a="1"/>
  <c r="F64" i="2" s="1"/>
  <c r="B64" i="2" a="1"/>
  <c r="B64" i="2" s="1"/>
  <c r="F72" i="2" a="1"/>
  <c r="F72" i="2" s="1"/>
  <c r="B72" i="2" a="1"/>
  <c r="B72" i="2" s="1"/>
  <c r="F73" i="2" a="1"/>
  <c r="F73" i="2" s="1"/>
  <c r="D89" i="2" a="1"/>
  <c r="D89" i="2" s="1"/>
  <c r="C89" i="2" a="1"/>
  <c r="C89" i="2" s="1"/>
  <c r="D2" i="2" a="1"/>
  <c r="D2" i="2" s="1"/>
  <c r="D3" i="2" a="1"/>
  <c r="D3" i="2" s="1"/>
  <c r="D4" i="2" a="1"/>
  <c r="D4" i="2" s="1"/>
  <c r="D5" i="2" a="1"/>
  <c r="D5" i="2" s="1"/>
  <c r="E6" i="2" a="1"/>
  <c r="E6" i="2" s="1"/>
  <c r="D8" i="2"/>
  <c r="E8" i="2" a="1"/>
  <c r="E8" i="2" s="1"/>
  <c r="E10" i="2" a="1"/>
  <c r="E10" i="2" s="1"/>
  <c r="E12" i="2" a="1"/>
  <c r="E12" i="2" s="1"/>
  <c r="E14" i="2" a="1"/>
  <c r="E14" i="2" s="1"/>
  <c r="F18" i="2"/>
  <c r="E18" i="2" a="1"/>
  <c r="E18" i="2" s="1"/>
  <c r="E20" i="2" a="1"/>
  <c r="E20" i="2" s="1"/>
  <c r="E22" i="2" a="1"/>
  <c r="E22" i="2" s="1"/>
  <c r="E26" i="2" a="1"/>
  <c r="E26" i="2" s="1"/>
  <c r="E28" i="2" a="1"/>
  <c r="E28" i="2" s="1"/>
  <c r="E30" i="2" a="1"/>
  <c r="E30" i="2" s="1"/>
  <c r="D32" i="2"/>
  <c r="E32" i="2" a="1"/>
  <c r="E32" i="2" s="1"/>
  <c r="E34" i="2" a="1"/>
  <c r="E34" i="2" s="1"/>
  <c r="E36" i="2" a="1"/>
  <c r="E36" i="2" s="1"/>
  <c r="F38" i="2"/>
  <c r="E38" i="2" a="1"/>
  <c r="E38" i="2" s="1"/>
  <c r="E40" i="2" a="1"/>
  <c r="E40" i="2" s="1"/>
  <c r="E42" i="2" a="1"/>
  <c r="E42" i="2" s="1"/>
  <c r="E46" i="2" a="1"/>
  <c r="E46" i="2" s="1"/>
  <c r="E48" i="2" a="1"/>
  <c r="E48" i="2" s="1"/>
  <c r="E52" i="2" a="1"/>
  <c r="E52" i="2" s="1"/>
  <c r="F54" i="2"/>
  <c r="E54" i="2" a="1"/>
  <c r="E54" i="2" s="1"/>
  <c r="E56" i="2" a="1"/>
  <c r="E56" i="2" s="1"/>
  <c r="E58" i="2" a="1"/>
  <c r="E58" i="2" s="1"/>
  <c r="D60" i="2"/>
  <c r="E60" i="2" a="1"/>
  <c r="E60" i="2" s="1"/>
  <c r="F62" i="2" a="1"/>
  <c r="F62" i="2" s="1"/>
  <c r="B62" i="2" a="1"/>
  <c r="B62" i="2" s="1"/>
  <c r="D63" i="2" a="1"/>
  <c r="D63" i="2" s="1"/>
  <c r="F63" i="2" a="1"/>
  <c r="F63" i="2" s="1"/>
  <c r="E64" i="2" a="1"/>
  <c r="E64" i="2" s="1"/>
  <c r="E65" i="2" a="1"/>
  <c r="E65" i="2" s="1"/>
  <c r="F70" i="2" a="1"/>
  <c r="F70" i="2" s="1"/>
  <c r="B70" i="2" a="1"/>
  <c r="B70" i="2" s="1"/>
  <c r="F71" i="2" a="1"/>
  <c r="F71" i="2" s="1"/>
  <c r="E72" i="2" a="1"/>
  <c r="E72" i="2" s="1"/>
  <c r="E73" i="2" a="1"/>
  <c r="E73" i="2" s="1"/>
  <c r="F78" i="2" a="1"/>
  <c r="F78" i="2" s="1"/>
  <c r="B78" i="2" a="1"/>
  <c r="B78" i="2" s="1"/>
  <c r="D79" i="2" a="1"/>
  <c r="D79" i="2" s="1"/>
  <c r="F79" i="2" a="1"/>
  <c r="F79" i="2" s="1"/>
  <c r="E80" i="2" a="1"/>
  <c r="E80" i="2" s="1"/>
  <c r="E81" i="2" a="1"/>
  <c r="E81" i="2" s="1"/>
  <c r="F89" i="2" a="1"/>
  <c r="F89" i="2" s="1"/>
  <c r="D91" i="2" a="1"/>
  <c r="D91" i="2" s="1"/>
  <c r="B91" i="2" a="1"/>
  <c r="B91" i="2" s="1"/>
  <c r="F94" i="2" a="1"/>
  <c r="F94" i="2" s="1"/>
  <c r="B94" i="2" a="1"/>
  <c r="B94" i="2" s="1"/>
  <c r="E94" i="2" a="1"/>
  <c r="E94" i="2" s="1"/>
  <c r="F99" i="2" a="1"/>
  <c r="F99" i="2" s="1"/>
  <c r="D103" i="2" a="1"/>
  <c r="D103" i="2" s="1"/>
  <c r="E103" i="2" a="1"/>
  <c r="E103" i="2" s="1"/>
  <c r="F104" i="2" a="1"/>
  <c r="F104" i="2" s="1"/>
  <c r="B104" i="2" a="1"/>
  <c r="B104" i="2" s="1"/>
  <c r="D104" i="2" a="1"/>
  <c r="D104" i="2" s="1"/>
  <c r="F111" i="2" a="1"/>
  <c r="F111" i="2" s="1"/>
  <c r="D113" i="2" a="1"/>
  <c r="D113" i="2" s="1"/>
  <c r="C113" i="2" a="1"/>
  <c r="C113" i="2" s="1"/>
  <c r="F114" i="2" a="1"/>
  <c r="F114" i="2" s="1"/>
  <c r="B114" i="2" a="1"/>
  <c r="B114" i="2" s="1"/>
  <c r="C114" i="2" a="1"/>
  <c r="C114" i="2" s="1"/>
  <c r="C119" i="2" a="1"/>
  <c r="C119" i="2" s="1"/>
  <c r="D119" i="2" a="1"/>
  <c r="D119" i="2" s="1"/>
  <c r="F119" i="2" a="1"/>
  <c r="F119" i="2" s="1"/>
  <c r="F135" i="2"/>
  <c r="D135" i="2" a="1"/>
  <c r="D135" i="2" s="1"/>
  <c r="C135" i="2" a="1"/>
  <c r="C135" i="2" s="1"/>
  <c r="E135" i="2" a="1"/>
  <c r="E135" i="2" s="1"/>
  <c r="D137" i="2" a="1"/>
  <c r="D137" i="2" s="1"/>
  <c r="C137" i="2" a="1"/>
  <c r="C137" i="2" s="1"/>
  <c r="B137" i="2" a="1"/>
  <c r="B137" i="2" s="1"/>
  <c r="D143" i="2" a="1"/>
  <c r="D143" i="2" s="1"/>
  <c r="C143" i="2" a="1"/>
  <c r="C143" i="2" s="1"/>
  <c r="E143" i="2" a="1"/>
  <c r="E143" i="2" s="1"/>
  <c r="F143" i="2" a="1"/>
  <c r="F143" i="2" s="1"/>
  <c r="F85" i="2" a="1"/>
  <c r="F85" i="2" s="1"/>
  <c r="C92" i="2"/>
  <c r="F92" i="2" a="1"/>
  <c r="F92" i="2" s="1"/>
  <c r="B92" i="2" a="1"/>
  <c r="B92" i="2" s="1"/>
  <c r="F93" i="2" a="1"/>
  <c r="F93" i="2" s="1"/>
  <c r="F100" i="2" a="1"/>
  <c r="F100" i="2" s="1"/>
  <c r="B100" i="2" a="1"/>
  <c r="B100" i="2" s="1"/>
  <c r="C101" i="2"/>
  <c r="D101" i="2" a="1"/>
  <c r="D101" i="2" s="1"/>
  <c r="F101" i="2" a="1"/>
  <c r="F101" i="2" s="1"/>
  <c r="E108" i="2"/>
  <c r="F108" i="2" a="1"/>
  <c r="F108" i="2" s="1"/>
  <c r="B108" i="2" a="1"/>
  <c r="B108" i="2" s="1"/>
  <c r="F109" i="2" a="1"/>
  <c r="F109" i="2" s="1"/>
  <c r="E116" i="2" a="1"/>
  <c r="E116" i="2" s="1"/>
  <c r="B116" i="2" a="1"/>
  <c r="B116" i="2" s="1"/>
  <c r="D157" i="2" a="1"/>
  <c r="D157" i="2" s="1"/>
  <c r="C157" i="2" a="1"/>
  <c r="C157" i="2" s="1"/>
  <c r="F157" i="2" a="1"/>
  <c r="F157" i="2" s="1"/>
  <c r="F159" i="2"/>
  <c r="D159" i="2" a="1"/>
  <c r="D159" i="2" s="1"/>
  <c r="C159" i="2" a="1"/>
  <c r="C159" i="2" s="1"/>
  <c r="E159" i="2" a="1"/>
  <c r="E159" i="2" s="1"/>
  <c r="D161" i="2" a="1"/>
  <c r="D161" i="2" s="1"/>
  <c r="C161" i="2" a="1"/>
  <c r="C161" i="2" s="1"/>
  <c r="B161" i="2" a="1"/>
  <c r="B161" i="2" s="1"/>
  <c r="C117" i="2" a="1"/>
  <c r="C117" i="2" s="1"/>
  <c r="F117" i="2" a="1"/>
  <c r="F117" i="2" s="1"/>
  <c r="C121" i="2" a="1"/>
  <c r="C121" i="2" s="1"/>
  <c r="F121" i="2" a="1"/>
  <c r="F121" i="2" s="1"/>
  <c r="F125" i="2" a="1"/>
  <c r="F125" i="2" s="1"/>
  <c r="C129" i="2" a="1"/>
  <c r="C129" i="2" s="1"/>
  <c r="F129" i="2" a="1"/>
  <c r="F129" i="2" s="1"/>
  <c r="C133" i="2" a="1"/>
  <c r="C133" i="2" s="1"/>
  <c r="F133" i="2" a="1"/>
  <c r="F133" i="2" s="1"/>
  <c r="F139" i="2"/>
  <c r="D139" i="2" a="1"/>
  <c r="D139" i="2" s="1"/>
  <c r="C139" i="2" a="1"/>
  <c r="C139" i="2" s="1"/>
  <c r="F147" i="2"/>
  <c r="D147" i="2" a="1"/>
  <c r="D147" i="2" s="1"/>
  <c r="C147" i="2" a="1"/>
  <c r="C147" i="2" s="1"/>
  <c r="F155" i="2"/>
  <c r="D155" i="2" a="1"/>
  <c r="D155" i="2" s="1"/>
  <c r="C155" i="2" a="1"/>
  <c r="C155" i="2" s="1"/>
  <c r="D163" i="2" a="1"/>
  <c r="D163" i="2" s="1"/>
  <c r="C163" i="2" a="1"/>
  <c r="C163" i="2" s="1"/>
  <c r="F180" i="2" a="1"/>
  <c r="F180" i="2" s="1"/>
  <c r="E124" i="2" a="1"/>
  <c r="E124" i="2" s="1"/>
  <c r="E128" i="2" a="1"/>
  <c r="E128" i="2" s="1"/>
  <c r="E132" i="2" a="1"/>
  <c r="E132" i="2" s="1"/>
  <c r="F136" i="2"/>
  <c r="E136" i="2" a="1"/>
  <c r="E136" i="2" s="1"/>
  <c r="E140" i="2" a="1"/>
  <c r="E140" i="2" s="1"/>
  <c r="E144" i="2" a="1"/>
  <c r="E144" i="2" s="1"/>
  <c r="E148" i="2" a="1"/>
  <c r="E148" i="2" s="1"/>
  <c r="E152" i="2" a="1"/>
  <c r="E152" i="2" s="1"/>
  <c r="E156" i="2" a="1"/>
  <c r="E156" i="2" s="1"/>
  <c r="E160" i="2" a="1"/>
  <c r="E160" i="2" s="1"/>
  <c r="C164" i="2"/>
  <c r="E164" i="2" a="1"/>
  <c r="E164" i="2" s="1"/>
  <c r="F164" i="2" a="1"/>
  <c r="F164" i="2" s="1"/>
  <c r="F46" i="2"/>
  <c r="F140" i="2"/>
  <c r="F3" i="2"/>
  <c r="D160" i="2"/>
  <c r="B128" i="2"/>
  <c r="D148" i="2"/>
  <c r="C152" i="2"/>
  <c r="E16" i="2"/>
  <c r="E44" i="2"/>
  <c r="E88" i="2"/>
  <c r="E104" i="2"/>
  <c r="F116" i="2"/>
  <c r="E24" i="2"/>
  <c r="F50" i="2"/>
  <c r="C77" i="2"/>
  <c r="E120" i="2"/>
  <c r="C68" i="2"/>
  <c r="C3" i="19"/>
  <c r="D48" i="2"/>
  <c r="D56" i="2"/>
  <c r="F132" i="2"/>
  <c r="D156" i="2"/>
  <c r="D12" i="2"/>
  <c r="C76" i="2"/>
  <c r="E96" i="2"/>
  <c r="B124" i="2"/>
  <c r="D144" i="2"/>
  <c r="D52" i="2"/>
  <c r="E157" i="2"/>
  <c r="F34" i="2"/>
  <c r="D14" i="2"/>
  <c r="D40" i="2"/>
  <c r="D64" i="2"/>
  <c r="D72" i="2"/>
  <c r="D100" i="2"/>
  <c r="F137" i="2"/>
  <c r="F113" i="2"/>
  <c r="E145" i="2"/>
  <c r="F161" i="2"/>
  <c r="D20" i="2"/>
  <c r="D28" i="2"/>
  <c r="E121" i="2"/>
  <c r="F153" i="2"/>
  <c r="D36" i="2"/>
  <c r="D82" i="2"/>
  <c r="C84" i="2"/>
  <c r="C86" i="2"/>
  <c r="C102" i="2"/>
  <c r="E117" i="2"/>
  <c r="C125" i="2"/>
  <c r="E133" i="2"/>
  <c r="E149" i="2"/>
  <c r="D39" i="2"/>
  <c r="D55" i="2"/>
  <c r="D71" i="2"/>
  <c r="B109" i="2"/>
  <c r="F9" i="2"/>
  <c r="C23" i="2"/>
  <c r="F57" i="2"/>
  <c r="D73" i="2"/>
  <c r="D110" i="2"/>
  <c r="D10" i="2"/>
  <c r="D19" i="2"/>
  <c r="F21" i="2"/>
  <c r="F26" i="2"/>
  <c r="D35" i="2"/>
  <c r="F37" i="2"/>
  <c r="F42" i="2"/>
  <c r="D51" i="2"/>
  <c r="F53" i="2"/>
  <c r="F58" i="2"/>
  <c r="E67" i="2"/>
  <c r="E83" i="2"/>
  <c r="E89" i="2"/>
  <c r="D90" i="2"/>
  <c r="E93" i="2"/>
  <c r="B105" i="2"/>
  <c r="F118" i="2"/>
  <c r="E119" i="2"/>
  <c r="F122" i="2"/>
  <c r="E123" i="2"/>
  <c r="E127" i="2"/>
  <c r="E131" i="2"/>
  <c r="D138" i="2"/>
  <c r="B142" i="2"/>
  <c r="E163" i="2"/>
  <c r="D25" i="2"/>
  <c r="D41" i="2"/>
  <c r="C4" i="19"/>
  <c r="D6" i="2"/>
  <c r="D15" i="2"/>
  <c r="F17" i="2"/>
  <c r="D31" i="2"/>
  <c r="D33" i="2"/>
  <c r="D47" i="2"/>
  <c r="D49" i="2"/>
  <c r="E63" i="2"/>
  <c r="E69" i="2"/>
  <c r="E79" i="2"/>
  <c r="B81" i="2"/>
  <c r="E85" i="2"/>
  <c r="F91" i="2"/>
  <c r="C99" i="2"/>
  <c r="D106" i="2"/>
  <c r="B111" i="2"/>
  <c r="E126" i="2"/>
  <c r="E130" i="2"/>
  <c r="B143" i="2"/>
  <c r="E146" i="2"/>
  <c r="E150" i="2"/>
  <c r="E154" i="2"/>
  <c r="F2" i="2"/>
  <c r="F7" i="2"/>
  <c r="D11" i="2"/>
  <c r="D13" i="2"/>
  <c r="D27" i="2"/>
  <c r="D29" i="2"/>
  <c r="D43" i="2"/>
  <c r="F45" i="2"/>
  <c r="D59" i="2"/>
  <c r="D61" i="2"/>
  <c r="E75" i="2"/>
  <c r="F87" i="2"/>
  <c r="F97" i="2"/>
  <c r="F107" i="2"/>
  <c r="C134" i="2"/>
  <c r="C158" i="2"/>
  <c r="C162" i="2"/>
  <c r="B129" i="2"/>
  <c r="B141" i="2"/>
  <c r="I110" i="24" l="1"/>
  <c r="I95" i="24"/>
  <c r="I46" i="24"/>
  <c r="I153" i="24"/>
  <c r="I58" i="24"/>
  <c r="I176" i="24"/>
  <c r="I7" i="24"/>
  <c r="I165" i="24"/>
  <c r="I138" i="24"/>
  <c r="I123" i="24"/>
  <c r="I191" i="24"/>
  <c r="I82" i="24"/>
  <c r="I69" i="24"/>
  <c r="I31" i="24"/>
  <c r="I18" i="24"/>
  <c r="U182" i="39"/>
  <c r="V182" i="39" s="1"/>
  <c r="U172" i="39"/>
  <c r="V172" i="39" s="1"/>
  <c r="U171" i="39"/>
  <c r="U191" i="39"/>
  <c r="V191" i="39" s="1"/>
  <c r="U181" i="39"/>
  <c r="V181" i="39" s="1"/>
  <c r="U173" i="39"/>
  <c r="V173" i="39" s="1"/>
  <c r="U189" i="39"/>
  <c r="U180" i="39"/>
  <c r="U190" i="39"/>
  <c r="V190" i="39" s="1"/>
  <c r="F191" i="39" a="1"/>
  <c r="F191" i="39" s="1"/>
  <c r="F181" i="39" a="1"/>
  <c r="F181" i="39" s="1"/>
  <c r="F190" i="39" a="1"/>
  <c r="F190" i="39" s="1"/>
  <c r="F180" i="39" a="1"/>
  <c r="F180" i="39" s="1"/>
  <c r="F173" i="39" a="1"/>
  <c r="F173" i="39" s="1"/>
  <c r="F172" i="39"/>
  <c r="F182" i="39" a="1"/>
  <c r="F182" i="39" s="1"/>
  <c r="F171" i="39"/>
  <c r="F189" i="39" a="1"/>
  <c r="F189" i="39" s="1"/>
  <c r="Q192" i="39"/>
  <c r="Q193" i="39"/>
  <c r="K182" i="39"/>
  <c r="K172" i="39"/>
  <c r="K191" i="39"/>
  <c r="K181" i="39"/>
  <c r="K171" i="39" a="1"/>
  <c r="K171" i="39" s="1"/>
  <c r="K190" i="39"/>
  <c r="K180" i="39"/>
  <c r="K189" i="39"/>
  <c r="K173" i="39"/>
  <c r="Q184" i="39"/>
  <c r="Q183" i="39"/>
  <c r="Q171" i="39"/>
  <c r="Q174" i="39" s="1"/>
  <c r="Q176" i="39" s="1"/>
  <c r="Q175" i="39"/>
  <c r="F191" i="38" a="1"/>
  <c r="F191" i="38" s="1"/>
  <c r="F173" i="38" a="1"/>
  <c r="F173" i="38" s="1"/>
  <c r="F189" i="38" a="1"/>
  <c r="F189" i="38" s="1"/>
  <c r="F180" i="38" a="1"/>
  <c r="F180" i="38" s="1"/>
  <c r="G183" i="38" s="1"/>
  <c r="G185" i="38" s="1"/>
  <c r="F181" i="38" a="1"/>
  <c r="F181" i="38" s="1"/>
  <c r="F172" i="38"/>
  <c r="F190" i="38" a="1"/>
  <c r="F190" i="38" s="1"/>
  <c r="F182" i="38" a="1"/>
  <c r="F182" i="38" s="1"/>
  <c r="F171" i="38"/>
  <c r="P182" i="38"/>
  <c r="P171" i="38"/>
  <c r="U189" i="38"/>
  <c r="U190" i="38"/>
  <c r="V190" i="38" s="1"/>
  <c r="U180" i="38"/>
  <c r="G184" i="38"/>
  <c r="Q184" i="38"/>
  <c r="Q183" i="38"/>
  <c r="Q185" i="38" s="1"/>
  <c r="K182" i="38"/>
  <c r="K172" i="38"/>
  <c r="K191" i="38"/>
  <c r="K181" i="38"/>
  <c r="K171" i="38" a="1"/>
  <c r="K171" i="38" s="1"/>
  <c r="K190" i="38"/>
  <c r="K180" i="38"/>
  <c r="K189" i="38"/>
  <c r="K173" i="38"/>
  <c r="Q192" i="38"/>
  <c r="Q194" i="38" s="1"/>
  <c r="Q193" i="38"/>
  <c r="G175" i="38"/>
  <c r="G174" i="38"/>
  <c r="G176" i="38" s="1"/>
  <c r="Q174" i="38"/>
  <c r="Q175" i="38"/>
  <c r="V175" i="38"/>
  <c r="V171" i="38"/>
  <c r="V174" i="38" s="1"/>
  <c r="G192" i="38"/>
  <c r="G193" i="38"/>
  <c r="K173" i="37"/>
  <c r="K181" i="37"/>
  <c r="K180" i="37"/>
  <c r="K191" i="37"/>
  <c r="K190" i="37"/>
  <c r="F191" i="37" a="1"/>
  <c r="F191" i="37" s="1"/>
  <c r="F181" i="37" a="1"/>
  <c r="F181" i="37" s="1"/>
  <c r="F190" i="37" a="1"/>
  <c r="F190" i="37" s="1"/>
  <c r="F180" i="37" a="1"/>
  <c r="F180" i="37" s="1"/>
  <c r="F189" i="37" a="1"/>
  <c r="F189" i="37" s="1"/>
  <c r="F173" i="37" a="1"/>
  <c r="F173" i="37" s="1"/>
  <c r="F172" i="37"/>
  <c r="F182" i="37" a="1"/>
  <c r="F182" i="37" s="1"/>
  <c r="F171" i="37"/>
  <c r="P190" i="37"/>
  <c r="P180" i="37"/>
  <c r="P189" i="37"/>
  <c r="P173" i="37"/>
  <c r="P182" i="37"/>
  <c r="P172" i="37"/>
  <c r="P171" i="37"/>
  <c r="P191" i="37"/>
  <c r="P181" i="37"/>
  <c r="L193" i="37"/>
  <c r="L192" i="37"/>
  <c r="L194" i="37" s="1"/>
  <c r="L175" i="37"/>
  <c r="L174" i="37"/>
  <c r="L176" i="37" s="1"/>
  <c r="L184" i="37"/>
  <c r="L183" i="37"/>
  <c r="L185" i="37" s="1"/>
  <c r="U182" i="37"/>
  <c r="V182" i="37" s="1"/>
  <c r="U172" i="37"/>
  <c r="V172" i="37" s="1"/>
  <c r="U171" i="37"/>
  <c r="U191" i="37"/>
  <c r="V191" i="37" s="1"/>
  <c r="U181" i="37"/>
  <c r="V181" i="37" s="1"/>
  <c r="U190" i="37"/>
  <c r="V190" i="37" s="1"/>
  <c r="U180" i="37"/>
  <c r="U173" i="37"/>
  <c r="V173" i="37" s="1"/>
  <c r="U189" i="37"/>
  <c r="K190" i="36"/>
  <c r="K172" i="36"/>
  <c r="K180" i="36"/>
  <c r="K189" i="36"/>
  <c r="K171" i="36" a="1"/>
  <c r="K171" i="36" s="1"/>
  <c r="L175" i="36" s="1"/>
  <c r="K182" i="36"/>
  <c r="K191" i="36"/>
  <c r="K173" i="36"/>
  <c r="U182" i="36"/>
  <c r="V182" i="36" s="1"/>
  <c r="U172" i="36"/>
  <c r="V172" i="36" s="1"/>
  <c r="U171" i="36"/>
  <c r="U191" i="36"/>
  <c r="V191" i="36" s="1"/>
  <c r="U181" i="36"/>
  <c r="V181" i="36" s="1"/>
  <c r="U190" i="36"/>
  <c r="V190" i="36" s="1"/>
  <c r="U180" i="36"/>
  <c r="U173" i="36"/>
  <c r="V173" i="36" s="1"/>
  <c r="U189" i="36"/>
  <c r="L193" i="36"/>
  <c r="L192" i="36"/>
  <c r="L174" i="36"/>
  <c r="F191" i="36" a="1"/>
  <c r="F191" i="36" s="1"/>
  <c r="F181" i="36" a="1"/>
  <c r="F181" i="36" s="1"/>
  <c r="F190" i="36" a="1"/>
  <c r="F190" i="36" s="1"/>
  <c r="F180" i="36" a="1"/>
  <c r="F180" i="36" s="1"/>
  <c r="F189" i="36" a="1"/>
  <c r="F189" i="36" s="1"/>
  <c r="F173" i="36" a="1"/>
  <c r="F173" i="36" s="1"/>
  <c r="F172" i="36"/>
  <c r="F182" i="36" a="1"/>
  <c r="F182" i="36" s="1"/>
  <c r="F171" i="36"/>
  <c r="P190" i="36"/>
  <c r="P180" i="36"/>
  <c r="P189" i="36"/>
  <c r="P182" i="36"/>
  <c r="P191" i="36"/>
  <c r="L184" i="36"/>
  <c r="L183" i="36"/>
  <c r="F191" i="35" a="1"/>
  <c r="F191" i="35" s="1"/>
  <c r="F189" i="35" a="1"/>
  <c r="F189" i="35" s="1"/>
  <c r="F171" i="35"/>
  <c r="G175" i="35" s="1"/>
  <c r="F181" i="35" a="1"/>
  <c r="F181" i="35" s="1"/>
  <c r="G181" i="35" s="1"/>
  <c r="F173" i="35" a="1"/>
  <c r="F173" i="35" s="1"/>
  <c r="F190" i="35" a="1"/>
  <c r="F190" i="35" s="1"/>
  <c r="F172" i="35"/>
  <c r="F180" i="35" a="1"/>
  <c r="F180" i="35" s="1"/>
  <c r="G184" i="35" s="1"/>
  <c r="F182" i="35" a="1"/>
  <c r="F182" i="35" s="1"/>
  <c r="G182" i="35" s="1"/>
  <c r="K180" i="35"/>
  <c r="K191" i="35"/>
  <c r="K190" i="35"/>
  <c r="G192" i="35"/>
  <c r="G193" i="35"/>
  <c r="L175" i="35"/>
  <c r="L174" i="35"/>
  <c r="U182" i="35"/>
  <c r="V182" i="35" s="1"/>
  <c r="U172" i="35"/>
  <c r="V172" i="35" s="1"/>
  <c r="U171" i="35"/>
  <c r="U191" i="35"/>
  <c r="V191" i="35" s="1"/>
  <c r="U181" i="35"/>
  <c r="V181" i="35" s="1"/>
  <c r="U190" i="35"/>
  <c r="V190" i="35" s="1"/>
  <c r="U180" i="35"/>
  <c r="U173" i="35"/>
  <c r="V173" i="35" s="1"/>
  <c r="U189" i="35"/>
  <c r="O170" i="35" a="1"/>
  <c r="O170" i="35" s="1"/>
  <c r="L184" i="35"/>
  <c r="L183" i="35"/>
  <c r="L185" i="35" s="1"/>
  <c r="J170" i="34" a="1"/>
  <c r="J170" i="34" s="1"/>
  <c r="K191" i="34" s="1"/>
  <c r="Q174" i="34"/>
  <c r="Q176" i="34" s="1"/>
  <c r="Q175" i="34"/>
  <c r="K172" i="34"/>
  <c r="K190" i="34"/>
  <c r="F191" i="34" a="1"/>
  <c r="F191" i="34" s="1"/>
  <c r="F181" i="34" a="1"/>
  <c r="F181" i="34" s="1"/>
  <c r="F190" i="34" a="1"/>
  <c r="F190" i="34" s="1"/>
  <c r="F180" i="34" a="1"/>
  <c r="F180" i="34" s="1"/>
  <c r="F173" i="34" a="1"/>
  <c r="F173" i="34" s="1"/>
  <c r="F172" i="34"/>
  <c r="F182" i="34" a="1"/>
  <c r="F182" i="34" s="1"/>
  <c r="F189" i="34" a="1"/>
  <c r="F189" i="34" s="1"/>
  <c r="U182" i="34"/>
  <c r="V182" i="34" s="1"/>
  <c r="U172" i="34"/>
  <c r="V172" i="34" s="1"/>
  <c r="U171" i="34"/>
  <c r="U191" i="34"/>
  <c r="V191" i="34" s="1"/>
  <c r="U181" i="34"/>
  <c r="V181" i="34" s="1"/>
  <c r="U173" i="34"/>
  <c r="V173" i="34" s="1"/>
  <c r="U189" i="34"/>
  <c r="U180" i="34"/>
  <c r="U190" i="34"/>
  <c r="V190" i="34" s="1"/>
  <c r="Q192" i="34"/>
  <c r="Q193" i="34"/>
  <c r="Q184" i="34"/>
  <c r="Q183" i="34"/>
  <c r="K180" i="33"/>
  <c r="U182" i="33"/>
  <c r="V182" i="33" s="1"/>
  <c r="U172" i="33"/>
  <c r="V172" i="33" s="1"/>
  <c r="U171" i="33"/>
  <c r="U191" i="33"/>
  <c r="V191" i="33" s="1"/>
  <c r="U181" i="33"/>
  <c r="V181" i="33" s="1"/>
  <c r="U190" i="33"/>
  <c r="V190" i="33" s="1"/>
  <c r="U180" i="33"/>
  <c r="U173" i="33"/>
  <c r="V173" i="33" s="1"/>
  <c r="U189" i="33"/>
  <c r="P190" i="33"/>
  <c r="P189" i="33"/>
  <c r="P173" i="33"/>
  <c r="P182" i="33"/>
  <c r="P172" i="33"/>
  <c r="P171" i="33"/>
  <c r="P191" i="33"/>
  <c r="P181" i="33"/>
  <c r="L193" i="33"/>
  <c r="L192" i="33"/>
  <c r="L194" i="33" s="1"/>
  <c r="L175" i="33"/>
  <c r="L174" i="33"/>
  <c r="L176" i="33" s="1"/>
  <c r="F191" i="33" a="1"/>
  <c r="F191" i="33" s="1"/>
  <c r="G191" i="33" s="1"/>
  <c r="F181" i="33" a="1"/>
  <c r="F181" i="33" s="1"/>
  <c r="F190" i="33" a="1"/>
  <c r="F190" i="33" s="1"/>
  <c r="G190" i="33" s="1"/>
  <c r="F180" i="33" a="1"/>
  <c r="F180" i="33" s="1"/>
  <c r="F189" i="33" a="1"/>
  <c r="F189" i="33" s="1"/>
  <c r="F173" i="33" a="1"/>
  <c r="F173" i="33" s="1"/>
  <c r="F172" i="33"/>
  <c r="F182" i="33" a="1"/>
  <c r="F182" i="33" s="1"/>
  <c r="F171" i="33"/>
  <c r="L184" i="33"/>
  <c r="L183" i="33"/>
  <c r="K180" i="32"/>
  <c r="L184" i="32" s="1"/>
  <c r="U182" i="32"/>
  <c r="V182" i="32" s="1"/>
  <c r="U172" i="32"/>
  <c r="V172" i="32" s="1"/>
  <c r="U171" i="32"/>
  <c r="U191" i="32"/>
  <c r="V191" i="32" s="1"/>
  <c r="U181" i="32"/>
  <c r="V181" i="32" s="1"/>
  <c r="U190" i="32"/>
  <c r="V190" i="32" s="1"/>
  <c r="U180" i="32"/>
  <c r="U173" i="32"/>
  <c r="V173" i="32" s="1"/>
  <c r="U189" i="32"/>
  <c r="L193" i="32"/>
  <c r="L192" i="32"/>
  <c r="L175" i="32"/>
  <c r="L174" i="32"/>
  <c r="L176" i="32" s="1"/>
  <c r="F191" i="32" a="1"/>
  <c r="F191" i="32" s="1"/>
  <c r="G191" i="32" s="1"/>
  <c r="F181" i="32" a="1"/>
  <c r="F181" i="32" s="1"/>
  <c r="F190" i="32" a="1"/>
  <c r="F190" i="32" s="1"/>
  <c r="G190" i="32" s="1"/>
  <c r="F180" i="32" a="1"/>
  <c r="F180" i="32" s="1"/>
  <c r="F189" i="32" a="1"/>
  <c r="F189" i="32" s="1"/>
  <c r="F173" i="32" a="1"/>
  <c r="F173" i="32" s="1"/>
  <c r="F172" i="32"/>
  <c r="F182" i="32" a="1"/>
  <c r="F182" i="32" s="1"/>
  <c r="F171" i="32"/>
  <c r="P190" i="32"/>
  <c r="P180" i="32"/>
  <c r="P189" i="32"/>
  <c r="P173" i="32"/>
  <c r="P182" i="32"/>
  <c r="P172" i="32"/>
  <c r="P171" i="32"/>
  <c r="P191" i="32"/>
  <c r="P181" i="32"/>
  <c r="F173" i="31" a="1"/>
  <c r="F173" i="31" s="1"/>
  <c r="G173" i="31" s="1"/>
  <c r="F190" i="31" a="1"/>
  <c r="F190" i="31" s="1"/>
  <c r="F171" i="31"/>
  <c r="O170" i="31" a="1"/>
  <c r="O170" i="31" s="1"/>
  <c r="P190" i="31" s="1"/>
  <c r="F182" i="31" a="1"/>
  <c r="F182" i="31" s="1"/>
  <c r="F181" i="31" a="1"/>
  <c r="F181" i="31" s="1"/>
  <c r="G183" i="31" s="1"/>
  <c r="F189" i="31" a="1"/>
  <c r="F189" i="31" s="1"/>
  <c r="F191" i="31" a="1"/>
  <c r="F191" i="31" s="1"/>
  <c r="V180" i="31"/>
  <c r="V183" i="31" s="1"/>
  <c r="V184" i="31"/>
  <c r="G175" i="31"/>
  <c r="G171" i="31"/>
  <c r="G174" i="31" s="1"/>
  <c r="G176" i="31" s="1"/>
  <c r="V193" i="31"/>
  <c r="V189" i="31"/>
  <c r="V192" i="31" s="1"/>
  <c r="P180" i="31"/>
  <c r="P191" i="31"/>
  <c r="P172" i="31"/>
  <c r="P182" i="31"/>
  <c r="Q182" i="31" s="1"/>
  <c r="K182" i="31"/>
  <c r="K172" i="31"/>
  <c r="K189" i="31"/>
  <c r="K190" i="31"/>
  <c r="K180" i="31"/>
  <c r="K173" i="31"/>
  <c r="K191" i="31"/>
  <c r="K171" i="31" a="1"/>
  <c r="K171" i="31" s="1"/>
  <c r="K181" i="31"/>
  <c r="V175" i="31"/>
  <c r="V174" i="31"/>
  <c r="G184" i="31"/>
  <c r="K191" i="30"/>
  <c r="L191" i="30" s="1"/>
  <c r="K172" i="30"/>
  <c r="K180" i="30"/>
  <c r="L184" i="30" s="1"/>
  <c r="K190" i="30"/>
  <c r="L190" i="30" s="1"/>
  <c r="K189" i="30"/>
  <c r="K171" i="30" a="1"/>
  <c r="K171" i="30" s="1"/>
  <c r="L174" i="30" s="1"/>
  <c r="K182" i="30"/>
  <c r="K173" i="30"/>
  <c r="F191" i="30" a="1"/>
  <c r="F191" i="30" s="1"/>
  <c r="F181" i="30" a="1"/>
  <c r="F181" i="30" s="1"/>
  <c r="F190" i="30" a="1"/>
  <c r="F190" i="30" s="1"/>
  <c r="F180" i="30" a="1"/>
  <c r="F180" i="30" s="1"/>
  <c r="F189" i="30" a="1"/>
  <c r="F189" i="30" s="1"/>
  <c r="F173" i="30" a="1"/>
  <c r="F173" i="30" s="1"/>
  <c r="F172" i="30"/>
  <c r="F182" i="30" a="1"/>
  <c r="F182" i="30" s="1"/>
  <c r="F171" i="30"/>
  <c r="L183" i="30"/>
  <c r="U182" i="30"/>
  <c r="V182" i="30" s="1"/>
  <c r="U172" i="30"/>
  <c r="U171" i="30"/>
  <c r="U191" i="30"/>
  <c r="U181" i="30"/>
  <c r="V181" i="30" s="1"/>
  <c r="U190" i="30"/>
  <c r="U180" i="30"/>
  <c r="U173" i="30"/>
  <c r="U189" i="30"/>
  <c r="P190" i="30"/>
  <c r="P180" i="30"/>
  <c r="P189" i="30"/>
  <c r="P173" i="30"/>
  <c r="P182" i="30"/>
  <c r="P172" i="30"/>
  <c r="P171" i="30"/>
  <c r="P191" i="30"/>
  <c r="P181" i="30"/>
  <c r="L175" i="30"/>
  <c r="K165" i="29"/>
  <c r="P4" i="29"/>
  <c r="Q4" i="29" s="1"/>
  <c r="P2" i="29"/>
  <c r="Q2" i="29" s="1"/>
  <c r="P5" i="29" s="1"/>
  <c r="P3" i="29"/>
  <c r="Q3" i="29" s="1"/>
  <c r="L165" i="29"/>
  <c r="V189" i="6"/>
  <c r="V192" i="6" s="1"/>
  <c r="V194" i="6" s="1"/>
  <c r="V193" i="6"/>
  <c r="V175" i="6"/>
  <c r="V171" i="6"/>
  <c r="V174" i="6" s="1"/>
  <c r="V176" i="6" s="1"/>
  <c r="V184" i="6"/>
  <c r="V180" i="6"/>
  <c r="V183" i="6" s="1"/>
  <c r="V185" i="6" s="1"/>
  <c r="Q175" i="6"/>
  <c r="Q174" i="6"/>
  <c r="Q176" i="6" s="1"/>
  <c r="Q184" i="6"/>
  <c r="Q183" i="6"/>
  <c r="Q185" i="6" s="1"/>
  <c r="Q193" i="6"/>
  <c r="Q192" i="6"/>
  <c r="Q194" i="6" s="1"/>
  <c r="L192" i="6"/>
  <c r="L194" i="6" s="1"/>
  <c r="L193" i="6"/>
  <c r="L175" i="6"/>
  <c r="L174" i="6"/>
  <c r="L176" i="6" s="1"/>
  <c r="L184" i="6"/>
  <c r="L183" i="6"/>
  <c r="L185" i="6" s="1"/>
  <c r="G184" i="6"/>
  <c r="G183" i="6"/>
  <c r="G185" i="6" s="1"/>
  <c r="G192" i="6"/>
  <c r="G193" i="6"/>
  <c r="G171" i="6"/>
  <c r="G174" i="6" s="1"/>
  <c r="G176" i="6" s="1"/>
  <c r="G175" i="6"/>
  <c r="U181" i="5"/>
  <c r="V181" i="5" s="1"/>
  <c r="U173" i="5"/>
  <c r="V173" i="5" s="1"/>
  <c r="U180" i="5"/>
  <c r="V184" i="5" s="1"/>
  <c r="U182" i="5"/>
  <c r="V182" i="5" s="1"/>
  <c r="V189" i="5"/>
  <c r="V192" i="5" s="1"/>
  <c r="V193" i="5"/>
  <c r="V175" i="5"/>
  <c r="V174" i="5"/>
  <c r="V176" i="5" s="1"/>
  <c r="Q175" i="5"/>
  <c r="Q171" i="5"/>
  <c r="Q174" i="5" s="1"/>
  <c r="Q176" i="5" s="1"/>
  <c r="Q184" i="5"/>
  <c r="Q183" i="5"/>
  <c r="Q185" i="5" s="1"/>
  <c r="Q192" i="5"/>
  <c r="Q193" i="5"/>
  <c r="L184" i="5"/>
  <c r="L183" i="5"/>
  <c r="L185" i="5" s="1"/>
  <c r="L193" i="5"/>
  <c r="L192" i="5"/>
  <c r="L194" i="5" s="1"/>
  <c r="L175" i="5"/>
  <c r="L174" i="5"/>
  <c r="L176" i="5" s="1"/>
  <c r="F181" i="5" a="1"/>
  <c r="F181" i="5" s="1"/>
  <c r="G181" i="5" s="1"/>
  <c r="G192" i="5"/>
  <c r="G193" i="5"/>
  <c r="G183" i="5"/>
  <c r="G175" i="5"/>
  <c r="G174" i="5"/>
  <c r="U191" i="4"/>
  <c r="U181" i="4"/>
  <c r="V181" i="4" s="1"/>
  <c r="U172" i="4"/>
  <c r="U189" i="4"/>
  <c r="U173" i="4"/>
  <c r="U182" i="4"/>
  <c r="V182" i="4" s="1"/>
  <c r="U180" i="4"/>
  <c r="V180" i="4" s="1"/>
  <c r="V183" i="4" s="1"/>
  <c r="U182" i="2"/>
  <c r="U172" i="2"/>
  <c r="U191" i="2"/>
  <c r="U181" i="2"/>
  <c r="V181" i="2" s="1"/>
  <c r="U171" i="2"/>
  <c r="U189" i="2"/>
  <c r="U190" i="2"/>
  <c r="V193" i="2" s="1"/>
  <c r="U180" i="2"/>
  <c r="V183" i="2" s="1"/>
  <c r="U173" i="2"/>
  <c r="V192" i="4"/>
  <c r="V193" i="4"/>
  <c r="P181" i="4"/>
  <c r="P173" i="4"/>
  <c r="P182" i="4"/>
  <c r="Q184" i="4"/>
  <c r="Q193" i="4"/>
  <c r="Q192" i="4"/>
  <c r="Q194" i="4" s="1"/>
  <c r="Q174" i="4"/>
  <c r="Q175" i="4"/>
  <c r="F171" i="4"/>
  <c r="G171" i="4" s="1"/>
  <c r="F180" i="4" a="1"/>
  <c r="F180" i="4" s="1"/>
  <c r="G180" i="4" s="1"/>
  <c r="F173" i="4" a="1"/>
  <c r="F173" i="4" s="1"/>
  <c r="G173" i="4" s="1"/>
  <c r="F189" i="4" a="1"/>
  <c r="F189" i="4" s="1"/>
  <c r="F190" i="4" a="1"/>
  <c r="F190" i="4" s="1"/>
  <c r="G190" i="4" s="1"/>
  <c r="F172" i="4"/>
  <c r="G172" i="4" s="1"/>
  <c r="F181" i="4" a="1"/>
  <c r="F181" i="4" s="1"/>
  <c r="G181" i="4" s="1"/>
  <c r="F191" i="4" a="1"/>
  <c r="F191" i="4" s="1"/>
  <c r="G191" i="4" s="1"/>
  <c r="F182" i="4" a="1"/>
  <c r="F182" i="4" s="1"/>
  <c r="G182" i="4" s="1"/>
  <c r="K172" i="4"/>
  <c r="L172" i="4" s="1"/>
  <c r="K171" i="4" a="1"/>
  <c r="K171" i="4" s="1"/>
  <c r="L171" i="4" s="1"/>
  <c r="K189" i="4"/>
  <c r="L189" i="4" s="1"/>
  <c r="L192" i="4" s="1"/>
  <c r="K181" i="4"/>
  <c r="L181" i="4" s="1"/>
  <c r="K190" i="4"/>
  <c r="L190" i="4" s="1"/>
  <c r="K180" i="4"/>
  <c r="K182" i="4"/>
  <c r="L182" i="4" s="1"/>
  <c r="L175" i="4"/>
  <c r="L174" i="4"/>
  <c r="L176" i="4" s="1"/>
  <c r="G183" i="4"/>
  <c r="G189" i="4"/>
  <c r="G192" i="4" s="1"/>
  <c r="G175" i="4"/>
  <c r="F172" i="2"/>
  <c r="F182" i="2" a="1"/>
  <c r="F182" i="2" s="1"/>
  <c r="F191" i="2" a="1"/>
  <c r="F191" i="2" s="1"/>
  <c r="F189" i="2" a="1"/>
  <c r="F189" i="2" s="1"/>
  <c r="F190" i="2" a="1"/>
  <c r="F190" i="2" s="1"/>
  <c r="F181" i="2" a="1"/>
  <c r="F181" i="2" s="1"/>
  <c r="F173" i="2" a="1"/>
  <c r="F173" i="2" s="1"/>
  <c r="V182" i="2"/>
  <c r="V175" i="2"/>
  <c r="L192" i="39" l="1"/>
  <c r="L194" i="39" s="1"/>
  <c r="L193" i="39"/>
  <c r="V180" i="39"/>
  <c r="V183" i="39" s="1"/>
  <c r="V184" i="39"/>
  <c r="Q185" i="39"/>
  <c r="L184" i="39"/>
  <c r="L183" i="39"/>
  <c r="L185" i="39" s="1"/>
  <c r="Q194" i="39"/>
  <c r="Q197" i="39" s="1"/>
  <c r="V193" i="39"/>
  <c r="V189" i="39"/>
  <c r="V192" i="39" s="1"/>
  <c r="V175" i="39"/>
  <c r="V171" i="39"/>
  <c r="V174" i="39" s="1"/>
  <c r="G192" i="39"/>
  <c r="G194" i="39" s="1"/>
  <c r="G193" i="39"/>
  <c r="L175" i="39"/>
  <c r="L174" i="39"/>
  <c r="G175" i="39"/>
  <c r="G174" i="39"/>
  <c r="G176" i="39" s="1"/>
  <c r="G183" i="39"/>
  <c r="G184" i="39"/>
  <c r="V193" i="38"/>
  <c r="V189" i="38"/>
  <c r="V192" i="38" s="1"/>
  <c r="V194" i="38" s="1"/>
  <c r="G194" i="38"/>
  <c r="Q176" i="38"/>
  <c r="Q197" i="38" s="1"/>
  <c r="V184" i="38"/>
  <c r="V180" i="38"/>
  <c r="V183" i="38" s="1"/>
  <c r="V185" i="38" s="1"/>
  <c r="L184" i="38"/>
  <c r="L183" i="38"/>
  <c r="V176" i="38"/>
  <c r="G197" i="38"/>
  <c r="F197" i="38"/>
  <c r="L175" i="38"/>
  <c r="L174" i="38"/>
  <c r="L192" i="38"/>
  <c r="L193" i="38"/>
  <c r="G184" i="37"/>
  <c r="G183" i="37"/>
  <c r="V180" i="37"/>
  <c r="V183" i="37" s="1"/>
  <c r="V184" i="37"/>
  <c r="V175" i="37"/>
  <c r="V171" i="37"/>
  <c r="V174" i="37" s="1"/>
  <c r="V176" i="37" s="1"/>
  <c r="Q184" i="37"/>
  <c r="Q180" i="37"/>
  <c r="Q183" i="37" s="1"/>
  <c r="Q185" i="37" s="1"/>
  <c r="Q174" i="37"/>
  <c r="Q175" i="37"/>
  <c r="Q192" i="37"/>
  <c r="Q193" i="37"/>
  <c r="L197" i="37"/>
  <c r="K197" i="37"/>
  <c r="V193" i="37"/>
  <c r="V189" i="37"/>
  <c r="V192" i="37" s="1"/>
  <c r="V194" i="37" s="1"/>
  <c r="G175" i="37"/>
  <c r="G174" i="37"/>
  <c r="G176" i="37" s="1"/>
  <c r="G192" i="37"/>
  <c r="G193" i="37"/>
  <c r="L194" i="36"/>
  <c r="V180" i="36"/>
  <c r="V183" i="36" s="1"/>
  <c r="V185" i="36" s="1"/>
  <c r="V184" i="36"/>
  <c r="V175" i="36"/>
  <c r="V171" i="36"/>
  <c r="V174" i="36" s="1"/>
  <c r="Q184" i="36"/>
  <c r="Q183" i="36"/>
  <c r="G175" i="36"/>
  <c r="G174" i="36"/>
  <c r="G192" i="36"/>
  <c r="G194" i="36" s="1"/>
  <c r="G193" i="36"/>
  <c r="L185" i="36"/>
  <c r="Q174" i="36"/>
  <c r="Q175" i="36"/>
  <c r="Q192" i="36"/>
  <c r="Q193" i="36"/>
  <c r="G184" i="36"/>
  <c r="G183" i="36"/>
  <c r="G185" i="36" s="1"/>
  <c r="L176" i="36"/>
  <c r="V193" i="36"/>
  <c r="V189" i="36"/>
  <c r="V192" i="36" s="1"/>
  <c r="G194" i="35"/>
  <c r="G180" i="35"/>
  <c r="G183" i="35" s="1"/>
  <c r="G185" i="35" s="1"/>
  <c r="L192" i="35"/>
  <c r="L194" i="35" s="1"/>
  <c r="G174" i="35"/>
  <c r="G176" i="35" s="1"/>
  <c r="G197" i="35" s="1"/>
  <c r="L193" i="35"/>
  <c r="P190" i="35"/>
  <c r="P180" i="35"/>
  <c r="P189" i="35"/>
  <c r="P173" i="35"/>
  <c r="P182" i="35"/>
  <c r="P172" i="35"/>
  <c r="P171" i="35"/>
  <c r="P191" i="35"/>
  <c r="P181" i="35"/>
  <c r="L176" i="35"/>
  <c r="V193" i="35"/>
  <c r="V189" i="35"/>
  <c r="V192" i="35" s="1"/>
  <c r="V180" i="35"/>
  <c r="V183" i="35" s="1"/>
  <c r="V185" i="35" s="1"/>
  <c r="V184" i="35"/>
  <c r="V175" i="35"/>
  <c r="V171" i="35"/>
  <c r="V174" i="35" s="1"/>
  <c r="K173" i="34"/>
  <c r="K171" i="34" a="1"/>
  <c r="K171" i="34" s="1"/>
  <c r="L175" i="34" s="1"/>
  <c r="K182" i="34"/>
  <c r="L182" i="34" s="1"/>
  <c r="K189" i="34"/>
  <c r="K181" i="34"/>
  <c r="L181" i="34" s="1"/>
  <c r="K180" i="34"/>
  <c r="L184" i="34" s="1"/>
  <c r="V180" i="34"/>
  <c r="V183" i="34" s="1"/>
  <c r="V184" i="34"/>
  <c r="V193" i="34"/>
  <c r="V189" i="34"/>
  <c r="V192" i="34" s="1"/>
  <c r="V194" i="34" s="1"/>
  <c r="V175" i="34"/>
  <c r="V171" i="34"/>
  <c r="V174" i="34" s="1"/>
  <c r="V176" i="34" s="1"/>
  <c r="G175" i="34"/>
  <c r="G174" i="34"/>
  <c r="G176" i="34" s="1"/>
  <c r="G183" i="34"/>
  <c r="G184" i="34"/>
  <c r="L174" i="34"/>
  <c r="G192" i="34"/>
  <c r="G194" i="34" s="1"/>
  <c r="G193" i="34"/>
  <c r="Q194" i="34"/>
  <c r="Q197" i="34" s="1"/>
  <c r="L192" i="34"/>
  <c r="L194" i="34" s="1"/>
  <c r="L193" i="34"/>
  <c r="Q185" i="34"/>
  <c r="L180" i="34"/>
  <c r="L183" i="34" s="1"/>
  <c r="G175" i="33"/>
  <c r="G174" i="33"/>
  <c r="G176" i="33" s="1"/>
  <c r="G189" i="33"/>
  <c r="G192" i="33" s="1"/>
  <c r="G193" i="33"/>
  <c r="Q184" i="33"/>
  <c r="Q183" i="33"/>
  <c r="Q185" i="33" s="1"/>
  <c r="V180" i="33"/>
  <c r="V183" i="33" s="1"/>
  <c r="V184" i="33"/>
  <c r="V175" i="33"/>
  <c r="V171" i="33"/>
  <c r="V174" i="33" s="1"/>
  <c r="V176" i="33" s="1"/>
  <c r="Q192" i="33"/>
  <c r="Q193" i="33"/>
  <c r="G184" i="33"/>
  <c r="G183" i="33"/>
  <c r="G185" i="33" s="1"/>
  <c r="Q174" i="33"/>
  <c r="Q176" i="33" s="1"/>
  <c r="Q175" i="33"/>
  <c r="L185" i="33"/>
  <c r="K197" i="33" s="1"/>
  <c r="V193" i="33"/>
  <c r="V189" i="33"/>
  <c r="V192" i="33" s="1"/>
  <c r="L183" i="32"/>
  <c r="L185" i="32" s="1"/>
  <c r="G175" i="32"/>
  <c r="G174" i="32"/>
  <c r="G176" i="32" s="1"/>
  <c r="Q192" i="32"/>
  <c r="Q193" i="32"/>
  <c r="G184" i="32"/>
  <c r="G183" i="32"/>
  <c r="G185" i="32" s="1"/>
  <c r="V193" i="32"/>
  <c r="V189" i="32"/>
  <c r="V192" i="32" s="1"/>
  <c r="G189" i="32"/>
  <c r="G192" i="32" s="1"/>
  <c r="G193" i="32"/>
  <c r="Q174" i="32"/>
  <c r="Q176" i="32" s="1"/>
  <c r="Q175" i="32"/>
  <c r="Q184" i="32"/>
  <c r="Q183" i="32"/>
  <c r="Q185" i="32" s="1"/>
  <c r="L194" i="32"/>
  <c r="V180" i="32"/>
  <c r="V183" i="32" s="1"/>
  <c r="V184" i="32"/>
  <c r="V175" i="32"/>
  <c r="V171" i="32"/>
  <c r="V174" i="32" s="1"/>
  <c r="V176" i="32" s="1"/>
  <c r="G192" i="31"/>
  <c r="G194" i="31" s="1"/>
  <c r="G193" i="31"/>
  <c r="P173" i="31"/>
  <c r="P171" i="31"/>
  <c r="Q175" i="31" s="1"/>
  <c r="V185" i="31"/>
  <c r="V176" i="31"/>
  <c r="U197" i="31" s="1"/>
  <c r="P189" i="31"/>
  <c r="Q193" i="31" s="1"/>
  <c r="P181" i="31"/>
  <c r="Q181" i="31" s="1"/>
  <c r="L175" i="31"/>
  <c r="L174" i="31"/>
  <c r="L176" i="31" s="1"/>
  <c r="G185" i="31"/>
  <c r="Q184" i="31"/>
  <c r="Q180" i="31"/>
  <c r="L193" i="31"/>
  <c r="L192" i="31"/>
  <c r="V194" i="31"/>
  <c r="V197" i="31" s="1"/>
  <c r="L183" i="31"/>
  <c r="L184" i="31"/>
  <c r="Q174" i="31"/>
  <c r="L192" i="30"/>
  <c r="L193" i="30"/>
  <c r="L194" i="30"/>
  <c r="V193" i="30"/>
  <c r="V192" i="30"/>
  <c r="V194" i="30" s="1"/>
  <c r="G184" i="30"/>
  <c r="G183" i="30"/>
  <c r="Q174" i="30"/>
  <c r="Q175" i="30"/>
  <c r="Q192" i="30"/>
  <c r="Q193" i="30"/>
  <c r="L185" i="30"/>
  <c r="Q184" i="30"/>
  <c r="Q183" i="30"/>
  <c r="Q185" i="30" s="1"/>
  <c r="V180" i="30"/>
  <c r="V183" i="30" s="1"/>
  <c r="V185" i="30" s="1"/>
  <c r="V184" i="30"/>
  <c r="V175" i="30"/>
  <c r="V174" i="30"/>
  <c r="V176" i="30" s="1"/>
  <c r="L176" i="30"/>
  <c r="G175" i="30"/>
  <c r="G174" i="30"/>
  <c r="G176" i="30" s="1"/>
  <c r="G192" i="30"/>
  <c r="G193" i="30"/>
  <c r="V169" i="29"/>
  <c r="U169" i="29"/>
  <c r="T170" i="29" s="1" a="1"/>
  <c r="T170" i="29" s="1"/>
  <c r="G169" i="29"/>
  <c r="F169" i="29"/>
  <c r="E170" i="29" s="1" a="1"/>
  <c r="E170" i="29" s="1"/>
  <c r="Q169" i="29"/>
  <c r="P169" i="29"/>
  <c r="O170" i="29" s="1" a="1"/>
  <c r="O170" i="29" s="1"/>
  <c r="L169" i="29"/>
  <c r="K169" i="29"/>
  <c r="J170" i="29" s="1" a="1"/>
  <c r="J170" i="29" s="1"/>
  <c r="V197" i="6"/>
  <c r="U197" i="6"/>
  <c r="Q197" i="6"/>
  <c r="P197" i="6"/>
  <c r="L197" i="6"/>
  <c r="K197" i="6"/>
  <c r="G194" i="6"/>
  <c r="G197" i="6" s="1"/>
  <c r="F197" i="6"/>
  <c r="V180" i="5"/>
  <c r="V183" i="5" s="1"/>
  <c r="V185" i="5" s="1"/>
  <c r="V194" i="5"/>
  <c r="V197" i="5"/>
  <c r="U197" i="5"/>
  <c r="Q194" i="5"/>
  <c r="P197" i="5" s="1"/>
  <c r="L197" i="5"/>
  <c r="K197" i="5"/>
  <c r="G184" i="5"/>
  <c r="G185" i="5"/>
  <c r="G194" i="5"/>
  <c r="G176" i="5"/>
  <c r="V184" i="4"/>
  <c r="V194" i="4"/>
  <c r="V174" i="4"/>
  <c r="V175" i="4"/>
  <c r="V184" i="2"/>
  <c r="V185" i="2" s="1"/>
  <c r="V192" i="2"/>
  <c r="V194" i="2" s="1"/>
  <c r="V185" i="4"/>
  <c r="Q183" i="4"/>
  <c r="Q185" i="4" s="1"/>
  <c r="Q197" i="4" s="1"/>
  <c r="Q176" i="4"/>
  <c r="L194" i="4"/>
  <c r="G185" i="4"/>
  <c r="L184" i="4"/>
  <c r="L180" i="4"/>
  <c r="L183" i="4" s="1"/>
  <c r="L185" i="4" s="1"/>
  <c r="G184" i="4"/>
  <c r="G193" i="4"/>
  <c r="G194" i="4" s="1"/>
  <c r="L193" i="4"/>
  <c r="G174" i="4"/>
  <c r="G176" i="4"/>
  <c r="V174" i="2"/>
  <c r="V176" i="2" s="1"/>
  <c r="G193" i="2"/>
  <c r="L176" i="2"/>
  <c r="Q184" i="2"/>
  <c r="L192" i="2"/>
  <c r="L193" i="2"/>
  <c r="G192" i="2"/>
  <c r="Q174" i="2"/>
  <c r="L184" i="2"/>
  <c r="L183" i="2"/>
  <c r="L185" i="2" s="1"/>
  <c r="Q192" i="2"/>
  <c r="Q193" i="2"/>
  <c r="P197" i="39" l="1"/>
  <c r="V185" i="39"/>
  <c r="L176" i="39"/>
  <c r="L197" i="39" s="1"/>
  <c r="G185" i="39"/>
  <c r="F197" i="39" s="1"/>
  <c r="V176" i="39"/>
  <c r="V194" i="39"/>
  <c r="P197" i="38"/>
  <c r="L185" i="38"/>
  <c r="L194" i="38"/>
  <c r="L176" i="38"/>
  <c r="V197" i="38"/>
  <c r="U197" i="38"/>
  <c r="G185" i="37"/>
  <c r="G194" i="37"/>
  <c r="Q194" i="37"/>
  <c r="V185" i="37"/>
  <c r="V197" i="37" s="1"/>
  <c r="Q176" i="37"/>
  <c r="L197" i="36"/>
  <c r="K197" i="36"/>
  <c r="Q194" i="36"/>
  <c r="Q185" i="36"/>
  <c r="V194" i="36"/>
  <c r="Q176" i="36"/>
  <c r="G176" i="36"/>
  <c r="V176" i="36"/>
  <c r="F197" i="35"/>
  <c r="V194" i="35"/>
  <c r="Q174" i="35"/>
  <c r="Q175" i="35"/>
  <c r="Q192" i="35"/>
  <c r="Q194" i="35" s="1"/>
  <c r="Q193" i="35"/>
  <c r="V176" i="35"/>
  <c r="L197" i="35"/>
  <c r="K197" i="35"/>
  <c r="Q184" i="35"/>
  <c r="Q183" i="35"/>
  <c r="Q185" i="35" s="1"/>
  <c r="P197" i="34"/>
  <c r="G185" i="34"/>
  <c r="F197" i="34" s="1"/>
  <c r="V185" i="34"/>
  <c r="L185" i="34"/>
  <c r="L176" i="34"/>
  <c r="L197" i="34" s="1"/>
  <c r="G197" i="34"/>
  <c r="V197" i="34"/>
  <c r="U197" i="34"/>
  <c r="V194" i="33"/>
  <c r="L197" i="33"/>
  <c r="Q194" i="33"/>
  <c r="P197" i="33" s="1"/>
  <c r="V185" i="33"/>
  <c r="U197" i="33" s="1"/>
  <c r="G194" i="33"/>
  <c r="G197" i="33" s="1"/>
  <c r="F197" i="33"/>
  <c r="K197" i="32"/>
  <c r="L197" i="32"/>
  <c r="Q194" i="32"/>
  <c r="Q197" i="32" s="1"/>
  <c r="G194" i="32"/>
  <c r="F197" i="32" s="1"/>
  <c r="G197" i="32"/>
  <c r="V185" i="32"/>
  <c r="V194" i="32"/>
  <c r="V197" i="32" s="1"/>
  <c r="G197" i="31"/>
  <c r="F197" i="31"/>
  <c r="Q192" i="31"/>
  <c r="Q194" i="31" s="1"/>
  <c r="Q176" i="31"/>
  <c r="Q183" i="31"/>
  <c r="Q185" i="31" s="1"/>
  <c r="L185" i="31"/>
  <c r="L194" i="31"/>
  <c r="L197" i="31" s="1"/>
  <c r="K197" i="31"/>
  <c r="G185" i="30"/>
  <c r="G194" i="30"/>
  <c r="V197" i="30"/>
  <c r="U197" i="30"/>
  <c r="Q194" i="30"/>
  <c r="L197" i="30"/>
  <c r="K197" i="30"/>
  <c r="G197" i="30"/>
  <c r="Q176" i="30"/>
  <c r="F190" i="29" a="1"/>
  <c r="F190" i="29" s="1"/>
  <c r="F172" i="29"/>
  <c r="G172" i="29" s="1"/>
  <c r="F181" i="29" a="1"/>
  <c r="F181" i="29" s="1"/>
  <c r="F180" i="29" a="1"/>
  <c r="F180" i="29" s="1"/>
  <c r="F182" i="29" a="1"/>
  <c r="F182" i="29" s="1"/>
  <c r="F173" i="29" a="1"/>
  <c r="F173" i="29" s="1"/>
  <c r="G173" i="29" s="1"/>
  <c r="F191" i="29" a="1"/>
  <c r="F191" i="29" s="1"/>
  <c r="F189" i="29" a="1"/>
  <c r="F189" i="29" s="1"/>
  <c r="K191" i="29"/>
  <c r="K180" i="29"/>
  <c r="K181" i="29"/>
  <c r="K173" i="29"/>
  <c r="K172" i="29"/>
  <c r="K182" i="29"/>
  <c r="K171" i="29" a="1"/>
  <c r="K171" i="29" s="1"/>
  <c r="K189" i="29"/>
  <c r="K190" i="29"/>
  <c r="P180" i="29"/>
  <c r="P172" i="29"/>
  <c r="P190" i="29"/>
  <c r="P181" i="29"/>
  <c r="P189" i="29"/>
  <c r="P171" i="29"/>
  <c r="P182" i="29"/>
  <c r="P173" i="29"/>
  <c r="P191" i="29"/>
  <c r="U172" i="29"/>
  <c r="U190" i="29"/>
  <c r="U182" i="29"/>
  <c r="V182" i="29" s="1"/>
  <c r="U189" i="29"/>
  <c r="U171" i="29"/>
  <c r="U180" i="29"/>
  <c r="U191" i="29"/>
  <c r="U173" i="29"/>
  <c r="U181" i="29"/>
  <c r="V181" i="29" s="1"/>
  <c r="Q197" i="5"/>
  <c r="G197" i="5"/>
  <c r="F197" i="5"/>
  <c r="V176" i="4"/>
  <c r="V197" i="4" s="1"/>
  <c r="P197" i="4"/>
  <c r="L197" i="4"/>
  <c r="K197" i="4"/>
  <c r="G197" i="4"/>
  <c r="F197" i="4"/>
  <c r="L194" i="2"/>
  <c r="K197" i="2" s="1"/>
  <c r="G194" i="2"/>
  <c r="Q185" i="2"/>
  <c r="Q194" i="2"/>
  <c r="V197" i="2"/>
  <c r="U197" i="2"/>
  <c r="K197" i="39" l="1"/>
  <c r="G197" i="39"/>
  <c r="V197" i="39"/>
  <c r="U197" i="39"/>
  <c r="L197" i="38"/>
  <c r="K197" i="38"/>
  <c r="F197" i="37"/>
  <c r="U197" i="37"/>
  <c r="G197" i="37"/>
  <c r="Q197" i="37"/>
  <c r="P197" i="37"/>
  <c r="G197" i="36"/>
  <c r="F197" i="36"/>
  <c r="Q197" i="36"/>
  <c r="P197" i="36"/>
  <c r="V197" i="36"/>
  <c r="U197" i="36"/>
  <c r="Q176" i="35"/>
  <c r="V197" i="35"/>
  <c r="U197" i="35"/>
  <c r="Q197" i="35"/>
  <c r="P197" i="35"/>
  <c r="K197" i="34"/>
  <c r="Q197" i="33"/>
  <c r="V197" i="33"/>
  <c r="U197" i="32"/>
  <c r="P197" i="32"/>
  <c r="Q197" i="31"/>
  <c r="P197" i="31"/>
  <c r="F197" i="30"/>
  <c r="Q197" i="30"/>
  <c r="P197" i="30"/>
  <c r="G184" i="29"/>
  <c r="G183" i="29"/>
  <c r="G185" i="29" s="1"/>
  <c r="V193" i="29"/>
  <c r="V192" i="29"/>
  <c r="V194" i="29" s="1"/>
  <c r="Q192" i="29"/>
  <c r="Q193" i="29"/>
  <c r="Q183" i="29"/>
  <c r="Q184" i="29"/>
  <c r="L184" i="29"/>
  <c r="L183" i="29"/>
  <c r="V174" i="29"/>
  <c r="V175" i="29"/>
  <c r="Q175" i="29"/>
  <c r="Q174" i="29"/>
  <c r="Q176" i="29" s="1"/>
  <c r="G193" i="29"/>
  <c r="G192" i="29"/>
  <c r="G194" i="29" s="1"/>
  <c r="L175" i="29"/>
  <c r="L174" i="29"/>
  <c r="L176" i="29" s="1"/>
  <c r="V180" i="29"/>
  <c r="V183" i="29" s="1"/>
  <c r="V184" i="29"/>
  <c r="L193" i="29"/>
  <c r="L192" i="29"/>
  <c r="L194" i="29" s="1"/>
  <c r="G175" i="29"/>
  <c r="G174" i="29"/>
  <c r="G176" i="29" s="1"/>
  <c r="U197" i="4"/>
  <c r="L197" i="2"/>
  <c r="Q197" i="2"/>
  <c r="F197" i="2"/>
  <c r="G197" i="2"/>
  <c r="P197" i="2"/>
  <c r="Q194" i="29" l="1"/>
  <c r="V185" i="29"/>
  <c r="V176" i="29"/>
  <c r="Q185" i="29"/>
  <c r="L185" i="29"/>
  <c r="L197" i="29" s="1"/>
  <c r="G197" i="29"/>
  <c r="F197" i="29"/>
  <c r="K197" i="29"/>
  <c r="Q197" i="29" l="1"/>
  <c r="P197" i="29"/>
  <c r="V197" i="29"/>
  <c r="U197" i="2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<sst xmlns="http://schemas.openxmlformats.org/spreadsheetml/2006/main" count="1394" uniqueCount="289">
  <si>
    <t>Nama</t>
  </si>
  <si>
    <t>Usia</t>
  </si>
  <si>
    <t>Lama Rawat Inap</t>
  </si>
  <si>
    <t>Jumlah Kasus Perbulan</t>
  </si>
  <si>
    <t>Jenis Kelamin</t>
  </si>
  <si>
    <t>Tingkat Resiko</t>
  </si>
  <si>
    <t>Neni Sumetria</t>
  </si>
  <si>
    <t>Sedang</t>
  </si>
  <si>
    <t>Malki Amron</t>
  </si>
  <si>
    <t>Arifa Qyaratul</t>
  </si>
  <si>
    <t>Rezki Mhd</t>
  </si>
  <si>
    <t>Selfiolla</t>
  </si>
  <si>
    <t xml:space="preserve">M.Albiruni </t>
  </si>
  <si>
    <t>Yurika Azarine</t>
  </si>
  <si>
    <t>Rahmad Ihtiar</t>
  </si>
  <si>
    <t>Tiara Endiwa</t>
  </si>
  <si>
    <t>Boby</t>
  </si>
  <si>
    <t>Defi Putri</t>
  </si>
  <si>
    <t>Nini Efriza</t>
  </si>
  <si>
    <t>Novi Agus</t>
  </si>
  <si>
    <t>Rendah</t>
  </si>
  <si>
    <t>Siska Rahmadani</t>
  </si>
  <si>
    <t>Kalmani</t>
  </si>
  <si>
    <t>Nayra Dhika</t>
  </si>
  <si>
    <t>Andri Naldi</t>
  </si>
  <si>
    <t>Qhanita Nur</t>
  </si>
  <si>
    <t>Shecillia Hanifah</t>
  </si>
  <si>
    <t>Haziq Arsyad</t>
  </si>
  <si>
    <t>Naira Giska</t>
  </si>
  <si>
    <t>Eko Ady</t>
  </si>
  <si>
    <t>Suwarni</t>
  </si>
  <si>
    <t>Mayang</t>
  </si>
  <si>
    <t>Janibar</t>
  </si>
  <si>
    <t>Hendra Wadi</t>
  </si>
  <si>
    <t>Heru Pratama</t>
  </si>
  <si>
    <t>Ade Sepriyanto</t>
  </si>
  <si>
    <t>Diendri Barakta</t>
  </si>
  <si>
    <t>2,8</t>
  </si>
  <si>
    <t>Suwardi</t>
  </si>
  <si>
    <t>Emelya Nora</t>
  </si>
  <si>
    <t>Eosel Rizkia</t>
  </si>
  <si>
    <t>Warmaneti</t>
  </si>
  <si>
    <t>Yandril</t>
  </si>
  <si>
    <t>Romy Herina</t>
  </si>
  <si>
    <t>Ilham Saputra</t>
  </si>
  <si>
    <t>Berli Simanjuntak</t>
  </si>
  <si>
    <t>M. Hafiz</t>
  </si>
  <si>
    <t>Yusril</t>
  </si>
  <si>
    <t>Anggifa Fitria</t>
  </si>
  <si>
    <t>Abdul Fikri</t>
  </si>
  <si>
    <t>Refa Anggraini</t>
  </si>
  <si>
    <t>Dosil Abdul</t>
  </si>
  <si>
    <t>Zulkifli</t>
  </si>
  <si>
    <t>Nurhayati</t>
  </si>
  <si>
    <t>Muhara Mulya</t>
  </si>
  <si>
    <t>Basri</t>
  </si>
  <si>
    <t>Yuharni</t>
  </si>
  <si>
    <t>Tiara Putri</t>
  </si>
  <si>
    <t>Afria Puspa</t>
  </si>
  <si>
    <t>Zeinal Efendi</t>
  </si>
  <si>
    <t>David Eka Putra</t>
  </si>
  <si>
    <t>Khaira Umamah</t>
  </si>
  <si>
    <t>Yusuf Andrian</t>
  </si>
  <si>
    <t>Riva Afrilliana</t>
  </si>
  <si>
    <t>Rizal Putra</t>
  </si>
  <si>
    <t>Olivia Kirana</t>
  </si>
  <si>
    <t>Fitri Novita</t>
  </si>
  <si>
    <t>Elianti</t>
  </si>
  <si>
    <t>Reza Refninda</t>
  </si>
  <si>
    <t>Fauzan</t>
  </si>
  <si>
    <t xml:space="preserve"> El Alisa Putri</t>
  </si>
  <si>
    <t>Sirat</t>
  </si>
  <si>
    <t>Emi</t>
  </si>
  <si>
    <t>Rezky</t>
  </si>
  <si>
    <t>Mhd Rivaldo</t>
  </si>
  <si>
    <t>Sri Suhermi</t>
  </si>
  <si>
    <t>Syaifullah</t>
  </si>
  <si>
    <t>Riwanto</t>
  </si>
  <si>
    <t xml:space="preserve">Yunizar </t>
  </si>
  <si>
    <t>Aqlan Havizh</t>
  </si>
  <si>
    <t>Dzacky Claresta</t>
  </si>
  <si>
    <t>Arumi Putri</t>
  </si>
  <si>
    <t>Ibnu Sadri</t>
  </si>
  <si>
    <t>Deliana</t>
  </si>
  <si>
    <t>Zakra</t>
  </si>
  <si>
    <t>Ulfa Oktavia</t>
  </si>
  <si>
    <t>Nafilsa Abdul</t>
  </si>
  <si>
    <t>Mulyadi</t>
  </si>
  <si>
    <t>Fadli Kurniawan</t>
  </si>
  <si>
    <t>Oktavianus</t>
  </si>
  <si>
    <t>Nipralaini</t>
  </si>
  <si>
    <t>Marzoni</t>
  </si>
  <si>
    <t>Putri Maylia</t>
  </si>
  <si>
    <t>Muthi Navisa</t>
  </si>
  <si>
    <t xml:space="preserve">Mutia Diva </t>
  </si>
  <si>
    <t>Anugrah Illahi</t>
  </si>
  <si>
    <t>Mon Sri</t>
  </si>
  <si>
    <t>Surya Masalfi</t>
  </si>
  <si>
    <t>Tinggi</t>
  </si>
  <si>
    <t>Aat Kusmayadi</t>
  </si>
  <si>
    <t>Fitria Anita</t>
  </si>
  <si>
    <t>Rosavita</t>
  </si>
  <si>
    <t>Jauza Jahira</t>
  </si>
  <si>
    <t>Menzo Khaira</t>
  </si>
  <si>
    <t>Zulfa Yenti</t>
  </si>
  <si>
    <t>Syahlan Yuanda</t>
  </si>
  <si>
    <t>Kenzi Romanja</t>
  </si>
  <si>
    <t>Abdurrahman As Saoli</t>
  </si>
  <si>
    <t>Aisyah Difani</t>
  </si>
  <si>
    <t>Rosli Asamara</t>
  </si>
  <si>
    <t>Lisma Erni</t>
  </si>
  <si>
    <t>Rahmi</t>
  </si>
  <si>
    <t>Eki Hendra</t>
  </si>
  <si>
    <t>Yusbardar</t>
  </si>
  <si>
    <t>Aris Lucky</t>
  </si>
  <si>
    <t>Murniaty</t>
  </si>
  <si>
    <t>Agus</t>
  </si>
  <si>
    <t>Indra Melvi</t>
  </si>
  <si>
    <t>Musliadi</t>
  </si>
  <si>
    <t>Ulfa Alifia</t>
  </si>
  <si>
    <t>Martias</t>
  </si>
  <si>
    <t>Masri</t>
  </si>
  <si>
    <t>Dzikra Maulana</t>
  </si>
  <si>
    <t>Indra Mastari</t>
  </si>
  <si>
    <t>Budi Kargo</t>
  </si>
  <si>
    <t>Adril Yusuf</t>
  </si>
  <si>
    <t>M. Fatih</t>
  </si>
  <si>
    <t>Nila Purnama Sari</t>
  </si>
  <si>
    <t>Edo Madani</t>
  </si>
  <si>
    <t>Idris</t>
  </si>
  <si>
    <t>Randi</t>
  </si>
  <si>
    <t>Destia Izani</t>
  </si>
  <si>
    <t>M. Raihan</t>
  </si>
  <si>
    <t>Widya Anggraini</t>
  </si>
  <si>
    <t>Misrita Indra</t>
  </si>
  <si>
    <t>Sintia</t>
  </si>
  <si>
    <t>Irmalinda</t>
  </si>
  <si>
    <t>Andini Putri</t>
  </si>
  <si>
    <t>Siti Aisyah</t>
  </si>
  <si>
    <t>Naura Salsabila</t>
  </si>
  <si>
    <t>Reza Chaniago</t>
  </si>
  <si>
    <t>Humaira Denifa</t>
  </si>
  <si>
    <t>Azzam</t>
  </si>
  <si>
    <t>Adha Lestari</t>
  </si>
  <si>
    <t>Nadira Puti</t>
  </si>
  <si>
    <t>Reza Andriansyah</t>
  </si>
  <si>
    <t>Rafael Sebastian</t>
  </si>
  <si>
    <t>Yulia Neri</t>
  </si>
  <si>
    <t>Rajab</t>
  </si>
  <si>
    <t>Widya Mayang</t>
  </si>
  <si>
    <t>Rahmat Fitra</t>
  </si>
  <si>
    <t>Alvin Noradilla</t>
  </si>
  <si>
    <t>Zhaya</t>
  </si>
  <si>
    <t>Ahmad Faizin</t>
  </si>
  <si>
    <t xml:space="preserve">Asrizal </t>
  </si>
  <si>
    <t>Yunaldi</t>
  </si>
  <si>
    <t>Yanti Devina</t>
  </si>
  <si>
    <t>Syafrizal</t>
  </si>
  <si>
    <t>Weri Oktavia</t>
  </si>
  <si>
    <t>Zulkarnain</t>
  </si>
  <si>
    <t>Zainal Abidin</t>
  </si>
  <si>
    <t>Kendi Cahya</t>
  </si>
  <si>
    <t>Budiyono</t>
  </si>
  <si>
    <t>Najwa</t>
  </si>
  <si>
    <t>Abdul Aziz</t>
  </si>
  <si>
    <t>Hanifa Puti</t>
  </si>
  <si>
    <t>Celsi Sapira</t>
  </si>
  <si>
    <t>Anita Puspita</t>
  </si>
  <si>
    <t>Diffa Cayriful</t>
  </si>
  <si>
    <t>Febrianto Angger</t>
  </si>
  <si>
    <t>Desrizal</t>
  </si>
  <si>
    <t>Aprillia Khairunnisa</t>
  </si>
  <si>
    <t>Random Sampling Data</t>
  </si>
  <si>
    <t>Jumlah Kasus Per Bulan</t>
  </si>
  <si>
    <t>No</t>
  </si>
  <si>
    <t>Perhitungan root</t>
  </si>
  <si>
    <t>Entropy Root</t>
  </si>
  <si>
    <t xml:space="preserve">Prediksi Sampel 1 </t>
  </si>
  <si>
    <t>Aktual(Jumlah Kasus Per Bulan)</t>
  </si>
  <si>
    <t>|Yi − Ŷi|</t>
  </si>
  <si>
    <t>(Yi − Ŷi)²</t>
  </si>
  <si>
    <t>ȳ</t>
  </si>
  <si>
    <t>ȳ²</t>
  </si>
  <si>
    <t>Rata-Rata</t>
  </si>
  <si>
    <t>MAE</t>
  </si>
  <si>
    <t>MSE</t>
  </si>
  <si>
    <t>RMSE</t>
  </si>
  <si>
    <t>R2</t>
  </si>
  <si>
    <t>USIA</t>
  </si>
  <si>
    <t>LAMA RAWAT INAP</t>
  </si>
  <si>
    <t>JUMLAH KASUS PER BULAN</t>
  </si>
  <si>
    <t>JENIS KELAMIN</t>
  </si>
  <si>
    <t>Lama rawat inap</t>
  </si>
  <si>
    <t>Jumlah kasus perbulan</t>
  </si>
  <si>
    <t>Jenis kelamin</t>
  </si>
  <si>
    <t>Kanan &gt; 1</t>
  </si>
  <si>
    <t>Entropy</t>
  </si>
  <si>
    <t>Kiri&lt;0</t>
  </si>
  <si>
    <t>Tengah</t>
  </si>
  <si>
    <t>IG</t>
  </si>
  <si>
    <t>Kanan &gt; 4.74</t>
  </si>
  <si>
    <t>Kanan &gt; 4.68</t>
  </si>
  <si>
    <t>Kiri&lt;2.47</t>
  </si>
  <si>
    <t>Sampel Pohon 1</t>
  </si>
  <si>
    <t>Sampel Pohon 2</t>
  </si>
  <si>
    <t xml:space="preserve">Prediksi Sampel 2 </t>
  </si>
  <si>
    <t>Sampel Pohon 3</t>
  </si>
  <si>
    <t xml:space="preserve">Prediksi Sampel 3 </t>
  </si>
  <si>
    <t>Sampel Pohon 4</t>
  </si>
  <si>
    <t xml:space="preserve">Prediksi Sampel 4 </t>
  </si>
  <si>
    <t>Sampel Pohon 5</t>
  </si>
  <si>
    <t>Prediksi Sampel 5</t>
  </si>
  <si>
    <t>Aktual (Jumlah Kasus Per Bulan)</t>
  </si>
  <si>
    <t>Sampel Pohon 6</t>
  </si>
  <si>
    <t>Prediksi Sampel 6</t>
  </si>
  <si>
    <t>Sampel Pohon 7</t>
  </si>
  <si>
    <t>Prediksi Sampel 7</t>
  </si>
  <si>
    <t>Sampel Pohon 8</t>
  </si>
  <si>
    <t>Prediksi Sampel 8</t>
  </si>
  <si>
    <t>Aktual</t>
  </si>
  <si>
    <t>Sampel Pohon 9</t>
  </si>
  <si>
    <t>Prediksi Sampel 9</t>
  </si>
  <si>
    <t>(Jumlah Kasus Perbulan)</t>
  </si>
  <si>
    <t>Sampel Pohon 10</t>
  </si>
  <si>
    <t>Prediksi Sampel 10</t>
  </si>
  <si>
    <t xml:space="preserve"> </t>
  </si>
  <si>
    <t>Sampel Pohon 11</t>
  </si>
  <si>
    <t>Prediksi Sampel 11</t>
  </si>
  <si>
    <t>Sampel Pohon 12</t>
  </si>
  <si>
    <t>Prediksi Sampel 12</t>
  </si>
  <si>
    <t>Sampel Pohon 13</t>
  </si>
  <si>
    <t>Prediksi Sampel 13</t>
  </si>
  <si>
    <t>Sampel Pohon 14</t>
  </si>
  <si>
    <t>Prediksi Sampel 14</t>
  </si>
  <si>
    <t>Sampel Pohon 15</t>
  </si>
  <si>
    <t>Prediksi Sampel 15</t>
  </si>
  <si>
    <t>Sampel Pohon</t>
  </si>
  <si>
    <t>Sampel 1</t>
  </si>
  <si>
    <t>Sampel 2</t>
  </si>
  <si>
    <t>Sampel 3</t>
  </si>
  <si>
    <t>Sampel 4</t>
  </si>
  <si>
    <t>Sampel 5</t>
  </si>
  <si>
    <t>Sampel 6</t>
  </si>
  <si>
    <t>Sampel 7</t>
  </si>
  <si>
    <t>Sampel 8</t>
  </si>
  <si>
    <t>Sampel 9</t>
  </si>
  <si>
    <t>Sampel 10</t>
  </si>
  <si>
    <t>Sampel 11</t>
  </si>
  <si>
    <t>Sampel 12</t>
  </si>
  <si>
    <t>Sampel 13</t>
  </si>
  <si>
    <t>Sampel 14</t>
  </si>
  <si>
    <t>Sampel 15</t>
  </si>
  <si>
    <t>Nilai Aktual (Yi)</t>
  </si>
  <si>
    <t>Nilai Prediksi (Ŷi)</t>
  </si>
  <si>
    <t>Jumlah</t>
  </si>
  <si>
    <t>Terdeteksi</t>
  </si>
  <si>
    <t>Ket</t>
  </si>
  <si>
    <t>1=Rendah</t>
  </si>
  <si>
    <t>2 = Sedang</t>
  </si>
  <si>
    <t>3 = Tinggi</t>
  </si>
  <si>
    <t>Kanan &gt; 50.7</t>
  </si>
  <si>
    <t>Kiri&lt;16.8</t>
  </si>
  <si>
    <t>Kanan &gt; 29.6</t>
  </si>
  <si>
    <t>Kiri&lt;13.7</t>
  </si>
  <si>
    <t>Kanan &gt; 53</t>
  </si>
  <si>
    <t>Kiri&lt;16.9</t>
  </si>
  <si>
    <t>Kiri&lt;2.58</t>
  </si>
  <si>
    <t>Kanan &gt; 30.1</t>
  </si>
  <si>
    <t>Kiri&lt;13</t>
  </si>
  <si>
    <t>Kanan &gt; 50</t>
  </si>
  <si>
    <t>Kiri&lt;17.3</t>
  </si>
  <si>
    <t>Kanan &gt; 4.52</t>
  </si>
  <si>
    <t>Kiri&lt;2.51</t>
  </si>
  <si>
    <t>Kanan &gt; 28.2</t>
  </si>
  <si>
    <t>Kanan &gt; 25.6</t>
  </si>
  <si>
    <t>Kiri&lt;11.9</t>
  </si>
  <si>
    <t>Kanan &gt; 24.7</t>
  </si>
  <si>
    <t>Kiri&lt;11</t>
  </si>
  <si>
    <t>Kanan &gt; 25.2</t>
  </si>
  <si>
    <t>Kanan &gt; 26.5</t>
  </si>
  <si>
    <t>Kanan &gt; 26.2</t>
  </si>
  <si>
    <t>Kiri&lt;12</t>
  </si>
  <si>
    <t>Kanan &gt; 27.4</t>
  </si>
  <si>
    <t>Kanan &gt; 26.6</t>
  </si>
  <si>
    <t>Kanan &gt; 24</t>
  </si>
  <si>
    <t>Kanan &gt; 27</t>
  </si>
  <si>
    <t>Kanan &gt; 25</t>
  </si>
  <si>
    <t>Aktual (Jumlah Kasus Perbulan)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</si>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</sst>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charset val="134"/>
    </font>
    <font>
      <b/>
      <sz val="12"/>
      <color theme="1"/>
      <name val="Times New Roman"/>
      <charset val="134"/>
    </font>
    <font>
      <sz val="11"/>
      <color theme="1"/>
      <name val="Cambria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1"/>
      <color theme="1"/>
      <name val="Calibri"/>
      <charset val="134"/>
      <scheme val="minor"/>
    </font>
    <font>
      <u/>
      <sz val="12"/>
      <color theme="1"/>
      <name val="Times New Roman"/>
      <charset val="134"/>
    </font>
    <font>
      <b/>
      <sz val="1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6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2" borderId="5" xfId="0" applyFont="1" applyFill="1" applyBorder="1"/>
    <xf numFmtId="0" fontId="0" fillId="2" borderId="5" xfId="0" applyFill="1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3" fontId="8" fillId="3" borderId="4" xfId="0" applyNumberFormat="1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6" fillId="0" borderId="0" xfId="0" applyFont="1"/>
    <xf numFmtId="3" fontId="8" fillId="0" borderId="4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0" xfId="0" applyBorder="1"/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5" borderId="0" xfId="0" applyFill="1"/>
    <xf numFmtId="0" fontId="0" fillId="2" borderId="5" xfId="0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0" xfId="0" applyFont="1"/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0" xfId="0" applyFont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317658</xdr:colOff>
      <xdr:row>64</xdr:row>
      <xdr:rowOff>0</xdr:rowOff>
    </xdr:from>
    <xdr:to>
      <xdr:col>19</xdr:col>
      <xdr:colOff>762000</xdr:colOff>
      <xdr:row>68</xdr:row>
      <xdr:rowOff>7793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7605375" y="12192000"/>
          <a:ext cx="2025650" cy="79819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JUMLAH</a:t>
          </a:r>
          <a:r>
            <a:rPr lang="en-US" sz="1100" baseline="0"/>
            <a:t> KASUS PER BULAN</a:t>
          </a:r>
          <a:endParaRPr lang="en-US" sz="1100"/>
        </a:p>
      </xdr:txBody>
    </xdr:sp>
    <xdr:clientData/>
  </xdr:twoCellAnchor>
  <xdr:twoCellAnchor>
    <xdr:from>
      <xdr:col>16</xdr:col>
      <xdr:colOff>928687</xdr:colOff>
      <xdr:row>67</xdr:row>
      <xdr:rowOff>85559</xdr:rowOff>
    </xdr:from>
    <xdr:to>
      <xdr:col>17</xdr:col>
      <xdr:colOff>557093</xdr:colOff>
      <xdr:row>70</xdr:row>
      <xdr:rowOff>11906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>
          <a:stCxn id="2" idx="3"/>
        </xdr:cNvCxnSpPr>
      </xdr:nvCxnSpPr>
      <xdr:spPr>
        <a:xfrm flipH="1">
          <a:off x="17035145" y="12867640"/>
          <a:ext cx="809625" cy="52641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282370</xdr:colOff>
      <xdr:row>68</xdr:row>
      <xdr:rowOff>4413</xdr:rowOff>
    </xdr:from>
    <xdr:to>
      <xdr:col>18</xdr:col>
      <xdr:colOff>336424</xdr:colOff>
      <xdr:row>71</xdr:row>
      <xdr:rowOff>94952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 flipH="1">
          <a:off x="18564225" y="13267719"/>
          <a:ext cx="54054" cy="70505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518380</xdr:colOff>
      <xdr:row>67</xdr:row>
      <xdr:rowOff>85559</xdr:rowOff>
    </xdr:from>
    <xdr:to>
      <xdr:col>19</xdr:col>
      <xdr:colOff>1085850</xdr:colOff>
      <xdr:row>70</xdr:row>
      <xdr:rowOff>7794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2" idx="5"/>
        </xdr:cNvCxnSpPr>
      </xdr:nvCxnSpPr>
      <xdr:spPr>
        <a:xfrm>
          <a:off x="19387185" y="12867640"/>
          <a:ext cx="567690" cy="5226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392907</xdr:colOff>
      <xdr:row>70</xdr:row>
      <xdr:rowOff>7793</xdr:rowOff>
    </xdr:from>
    <xdr:to>
      <xdr:col>17</xdr:col>
      <xdr:colOff>178594</xdr:colOff>
      <xdr:row>72</xdr:row>
      <xdr:rowOff>103044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6499205" y="13390245"/>
          <a:ext cx="967105" cy="495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6 Rendah</a:t>
          </a:r>
        </a:p>
        <a:p>
          <a:pPr algn="l"/>
          <a:r>
            <a:rPr lang="en-US" sz="1100"/>
            <a:t>42 Sedang</a:t>
          </a:r>
        </a:p>
      </xdr:txBody>
    </xdr:sp>
    <xdr:clientData/>
  </xdr:twoCellAnchor>
  <xdr:oneCellAnchor>
    <xdr:from>
      <xdr:col>16</xdr:col>
      <xdr:colOff>821531</xdr:colOff>
      <xdr:row>67</xdr:row>
      <xdr:rowOff>148288</xdr:rowOff>
    </xdr:from>
    <xdr:ext cx="66675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16927830" y="12930505"/>
          <a:ext cx="666750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&lt;13.7</a:t>
          </a:r>
          <a:endParaRPr lang="en-US">
            <a:effectLst/>
          </a:endParaRPr>
        </a:p>
      </xdr:txBody>
    </xdr:sp>
    <xdr:clientData/>
  </xdr:oneCellAnchor>
  <xdr:oneCellAnchor>
    <xdr:from>
      <xdr:col>17</xdr:col>
      <xdr:colOff>785865</xdr:colOff>
      <xdr:row>69</xdr:row>
      <xdr:rowOff>8715</xdr:rowOff>
    </xdr:from>
    <xdr:ext cx="116205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400-000008000000}"/>
                </a:ext>
              </a:extLst>
            </xdr:cNvPr>
            <xdr:cNvSpPr txBox="1"/>
          </xdr:nvSpPr>
          <xdr:spPr>
            <a:xfrm>
              <a:off x="18084494" y="13476860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sz="1100"/>
                <a:t>13.7 - &gt; 29.6</a:t>
              </a:r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400-000008000000}"/>
                </a:ext>
              </a:extLst>
            </xdr:cNvPr>
            <xdr:cNvSpPr txBox="1"/>
          </xdr:nvSpPr>
          <xdr:spPr>
            <a:xfrm>
              <a:off x="18084494" y="13476860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n-US" sz="1100"/>
                <a:t>13.7 - &gt; 29.6</a:t>
              </a:r>
            </a:p>
          </xdr:txBody>
        </xdr:sp>
      </mc:Fallback>
    </mc:AlternateContent>
    <xdr:clientData/>
  </xdr:oneCellAnchor>
  <xdr:twoCellAnchor>
    <xdr:from>
      <xdr:col>17</xdr:col>
      <xdr:colOff>845779</xdr:colOff>
      <xdr:row>71</xdr:row>
      <xdr:rowOff>64943</xdr:rowOff>
    </xdr:from>
    <xdr:to>
      <xdr:col>19</xdr:col>
      <xdr:colOff>157828</xdr:colOff>
      <xdr:row>73</xdr:row>
      <xdr:rowOff>141144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8144408" y="13942766"/>
          <a:ext cx="899549" cy="48587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39 Sedang</a:t>
          </a:r>
        </a:p>
        <a:p>
          <a:pPr algn="l"/>
          <a:r>
            <a:rPr lang="en-US" sz="1100" baseline="0"/>
            <a:t>38 Tinggi</a:t>
          </a:r>
        </a:p>
      </xdr:txBody>
    </xdr:sp>
    <xdr:clientData/>
  </xdr:twoCellAnchor>
  <xdr:twoCellAnchor>
    <xdr:from>
      <xdr:col>19</xdr:col>
      <xdr:colOff>695326</xdr:colOff>
      <xdr:row>70</xdr:row>
      <xdr:rowOff>7794</xdr:rowOff>
    </xdr:from>
    <xdr:to>
      <xdr:col>19</xdr:col>
      <xdr:colOff>1533526</xdr:colOff>
      <xdr:row>71</xdr:row>
      <xdr:rowOff>160194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9564350" y="13390245"/>
          <a:ext cx="838200" cy="3524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38 </a:t>
          </a:r>
          <a:r>
            <a:rPr lang="en-US" sz="1100"/>
            <a:t>Tinggi</a:t>
          </a:r>
        </a:p>
      </xdr:txBody>
    </xdr:sp>
    <xdr:clientData/>
  </xdr:twoCellAnchor>
  <xdr:oneCellAnchor>
    <xdr:from>
      <xdr:col>19</xdr:col>
      <xdr:colOff>742950</xdr:colOff>
      <xdr:row>67</xdr:row>
      <xdr:rowOff>104775</xdr:rowOff>
    </xdr:from>
    <xdr:ext cx="66675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19629079" y="13163243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&gt;29.6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302474</xdr:colOff>
      <xdr:row>139</xdr:row>
      <xdr:rowOff>0</xdr:rowOff>
    </xdr:from>
    <xdr:to>
      <xdr:col>19</xdr:col>
      <xdr:colOff>191191</xdr:colOff>
      <xdr:row>143</xdr:row>
      <xdr:rowOff>54905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D8F4701-68D6-43D1-8ED2-2D9FDC252358}"/>
            </a:ext>
          </a:extLst>
        </xdr:cNvPr>
        <xdr:cNvSpPr/>
      </xdr:nvSpPr>
      <xdr:spPr>
        <a:xfrm>
          <a:off x="15009074" y="26479500"/>
          <a:ext cx="2031842" cy="81690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JUMLAH</a:t>
          </a:r>
          <a:r>
            <a:rPr lang="en-US" sz="1100" baseline="0"/>
            <a:t> KASUS PER BULAN</a:t>
          </a:r>
          <a:endParaRPr lang="en-US" sz="1100"/>
        </a:p>
      </xdr:txBody>
    </xdr:sp>
    <xdr:clientData/>
  </xdr:twoCellAnchor>
  <xdr:twoCellAnchor>
    <xdr:from>
      <xdr:col>15</xdr:col>
      <xdr:colOff>535780</xdr:colOff>
      <xdr:row>142</xdr:row>
      <xdr:rowOff>118333</xdr:rowOff>
    </xdr:from>
    <xdr:to>
      <xdr:col>16</xdr:col>
      <xdr:colOff>541909</xdr:colOff>
      <xdr:row>145</xdr:row>
      <xdr:rowOff>87696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A1A8287-84E1-4C04-8A21-2552059B9431}"/>
            </a:ext>
          </a:extLst>
        </xdr:cNvPr>
        <xdr:cNvCxnSpPr>
          <a:stCxn id="12" idx="3"/>
        </xdr:cNvCxnSpPr>
      </xdr:nvCxnSpPr>
      <xdr:spPr>
        <a:xfrm flipH="1">
          <a:off x="14442280" y="27169333"/>
          <a:ext cx="806229" cy="5408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491792</xdr:colOff>
      <xdr:row>143</xdr:row>
      <xdr:rowOff>31042</xdr:rowOff>
    </xdr:from>
    <xdr:to>
      <xdr:col>17</xdr:col>
      <xdr:colOff>545846</xdr:colOff>
      <xdr:row>146</xdr:row>
      <xdr:rowOff>164598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F4CC7A68-5535-4F7C-9835-D7A0DD94292D}"/>
            </a:ext>
          </a:extLst>
        </xdr:cNvPr>
        <xdr:cNvCxnSpPr/>
      </xdr:nvCxnSpPr>
      <xdr:spPr>
        <a:xfrm flipH="1">
          <a:off x="16141367" y="27272542"/>
          <a:ext cx="54054" cy="70505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547646</xdr:colOff>
      <xdr:row>142</xdr:row>
      <xdr:rowOff>118333</xdr:rowOff>
    </xdr:from>
    <xdr:to>
      <xdr:col>19</xdr:col>
      <xdr:colOff>515041</xdr:colOff>
      <xdr:row>145</xdr:row>
      <xdr:rowOff>83584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D4C78F6B-545C-4AAB-8E6D-49138FFBB7A9}"/>
            </a:ext>
          </a:extLst>
        </xdr:cNvPr>
        <xdr:cNvCxnSpPr>
          <a:stCxn id="12" idx="5"/>
        </xdr:cNvCxnSpPr>
      </xdr:nvCxnSpPr>
      <xdr:spPr>
        <a:xfrm>
          <a:off x="16797296" y="27169333"/>
          <a:ext cx="567470" cy="5367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145</xdr:row>
      <xdr:rowOff>83583</xdr:rowOff>
    </xdr:from>
    <xdr:to>
      <xdr:col>16</xdr:col>
      <xdr:colOff>163410</xdr:colOff>
      <xdr:row>148</xdr:row>
      <xdr:rowOff>17011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851E5F4-E3E7-4217-BF60-DE3D7B29AF4D}"/>
            </a:ext>
          </a:extLst>
        </xdr:cNvPr>
        <xdr:cNvSpPr/>
      </xdr:nvSpPr>
      <xdr:spPr>
        <a:xfrm>
          <a:off x="13906500" y="27706083"/>
          <a:ext cx="963510" cy="50492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10 Rendah</a:t>
          </a:r>
        </a:p>
        <a:p>
          <a:pPr algn="l"/>
          <a:r>
            <a:rPr lang="en-US" sz="1100"/>
            <a:t>55 Sedang</a:t>
          </a:r>
        </a:p>
      </xdr:txBody>
    </xdr:sp>
    <xdr:clientData/>
  </xdr:twoCellAnchor>
  <xdr:oneCellAnchor>
    <xdr:from>
      <xdr:col>15</xdr:col>
      <xdr:colOff>428624</xdr:colOff>
      <xdr:row>142</xdr:row>
      <xdr:rowOff>181062</xdr:rowOff>
    </xdr:from>
    <xdr:ext cx="666750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59AB693-8CA2-4645-8ED1-46E5658B46A9}"/>
            </a:ext>
          </a:extLst>
        </xdr:cNvPr>
        <xdr:cNvSpPr txBox="1"/>
      </xdr:nvSpPr>
      <xdr:spPr>
        <a:xfrm>
          <a:off x="14335124" y="27232062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&lt;13</a:t>
          </a:r>
          <a:endParaRPr lang="en-US">
            <a:effectLst/>
          </a:endParaRPr>
        </a:p>
      </xdr:txBody>
    </xdr:sp>
    <xdr:clientData/>
  </xdr:oneCellAnchor>
  <xdr:oneCellAnchor>
    <xdr:from>
      <xdr:col>16</xdr:col>
      <xdr:colOff>565841</xdr:colOff>
      <xdr:row>143</xdr:row>
      <xdr:rowOff>178731</xdr:rowOff>
    </xdr:from>
    <xdr:ext cx="116205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F8EE3C-EA40-482A-8CA8-661982DE14E2}"/>
                </a:ext>
              </a:extLst>
            </xdr:cNvPr>
            <xdr:cNvSpPr txBox="1"/>
          </xdr:nvSpPr>
          <xdr:spPr>
            <a:xfrm>
              <a:off x="15272441" y="27420231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sz="1100"/>
                <a:t>13 - &gt; 30.1</a:t>
              </a:r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F8EE3C-EA40-482A-8CA8-661982DE14E2}"/>
                </a:ext>
              </a:extLst>
            </xdr:cNvPr>
            <xdr:cNvSpPr txBox="1"/>
          </xdr:nvSpPr>
          <xdr:spPr>
            <a:xfrm>
              <a:off x="15272441" y="27420231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n-US" sz="1100"/>
                <a:t>13 - &gt; 30.1</a:t>
              </a:r>
            </a:p>
          </xdr:txBody>
        </xdr:sp>
      </mc:Fallback>
    </mc:AlternateContent>
    <xdr:clientData/>
  </xdr:oneCellAnchor>
  <xdr:twoCellAnchor>
    <xdr:from>
      <xdr:col>17</xdr:col>
      <xdr:colOff>82217</xdr:colOff>
      <xdr:row>146</xdr:row>
      <xdr:rowOff>155072</xdr:rowOff>
    </xdr:from>
    <xdr:to>
      <xdr:col>18</xdr:col>
      <xdr:colOff>381691</xdr:colOff>
      <xdr:row>149</xdr:row>
      <xdr:rowOff>69450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491961B-4084-4638-9CFA-635C2D915F5B}"/>
            </a:ext>
          </a:extLst>
        </xdr:cNvPr>
        <xdr:cNvSpPr/>
      </xdr:nvSpPr>
      <xdr:spPr>
        <a:xfrm>
          <a:off x="15731792" y="27968072"/>
          <a:ext cx="899549" cy="48587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25 Sedang</a:t>
          </a:r>
        </a:p>
        <a:p>
          <a:pPr algn="l"/>
          <a:r>
            <a:rPr lang="en-US" sz="1100" baseline="0"/>
            <a:t>32 Tinggi</a:t>
          </a:r>
        </a:p>
      </xdr:txBody>
    </xdr:sp>
    <xdr:clientData/>
  </xdr:twoCellAnchor>
  <xdr:twoCellAnchor>
    <xdr:from>
      <xdr:col>19</xdr:col>
      <xdr:colOff>124517</xdr:colOff>
      <xdr:row>145</xdr:row>
      <xdr:rowOff>83584</xdr:rowOff>
    </xdr:from>
    <xdr:to>
      <xdr:col>20</xdr:col>
      <xdr:colOff>10217</xdr:colOff>
      <xdr:row>147</xdr:row>
      <xdr:rowOff>59823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4FD4AFC-8E51-4A66-96AD-CECE8A8860EA}"/>
            </a:ext>
          </a:extLst>
        </xdr:cNvPr>
        <xdr:cNvSpPr/>
      </xdr:nvSpPr>
      <xdr:spPr>
        <a:xfrm>
          <a:off x="16974242" y="27706084"/>
          <a:ext cx="838200" cy="35723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41 Tinggi</a:t>
          </a:r>
        </a:p>
      </xdr:txBody>
    </xdr:sp>
    <xdr:clientData/>
  </xdr:twoCellAnchor>
  <xdr:oneCellAnchor>
    <xdr:from>
      <xdr:col>19</xdr:col>
      <xdr:colOff>172141</xdr:colOff>
      <xdr:row>142</xdr:row>
      <xdr:rowOff>137549</xdr:rowOff>
    </xdr:from>
    <xdr:ext cx="66675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2EF84F7-20F2-4E09-AC7A-EE691995296A}"/>
            </a:ext>
          </a:extLst>
        </xdr:cNvPr>
        <xdr:cNvSpPr txBox="1"/>
      </xdr:nvSpPr>
      <xdr:spPr>
        <a:xfrm>
          <a:off x="17021866" y="27188549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&gt;30.1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315304</xdr:colOff>
      <xdr:row>143</xdr:row>
      <xdr:rowOff>0</xdr:rowOff>
    </xdr:from>
    <xdr:to>
      <xdr:col>19</xdr:col>
      <xdr:colOff>539340</xdr:colOff>
      <xdr:row>147</xdr:row>
      <xdr:rowOff>39354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52E5AFB-0002-4CBB-AF65-2C9AAFEEA7E8}"/>
            </a:ext>
          </a:extLst>
        </xdr:cNvPr>
        <xdr:cNvSpPr/>
      </xdr:nvSpPr>
      <xdr:spPr>
        <a:xfrm>
          <a:off x="15331758" y="27797449"/>
          <a:ext cx="2031842" cy="81690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JUMLAH</a:t>
          </a:r>
          <a:r>
            <a:rPr lang="en-US" sz="1100" baseline="0"/>
            <a:t> KASUS PER BULAN</a:t>
          </a:r>
          <a:endParaRPr lang="en-US" sz="1100"/>
        </a:p>
      </xdr:txBody>
    </xdr:sp>
    <xdr:clientData/>
  </xdr:twoCellAnchor>
  <xdr:twoCellAnchor>
    <xdr:from>
      <xdr:col>15</xdr:col>
      <xdr:colOff>564938</xdr:colOff>
      <xdr:row>146</xdr:row>
      <xdr:rowOff>106670</xdr:rowOff>
    </xdr:from>
    <xdr:to>
      <xdr:col>16</xdr:col>
      <xdr:colOff>554739</xdr:colOff>
      <xdr:row>149</xdr:row>
      <xdr:rowOff>64369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9C748B9-CE11-41B4-82D0-D6FACF773A50}"/>
            </a:ext>
          </a:extLst>
        </xdr:cNvPr>
        <xdr:cNvCxnSpPr>
          <a:stCxn id="12" idx="3"/>
        </xdr:cNvCxnSpPr>
      </xdr:nvCxnSpPr>
      <xdr:spPr>
        <a:xfrm flipH="1">
          <a:off x="14764964" y="28487282"/>
          <a:ext cx="806229" cy="5408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242393</xdr:colOff>
      <xdr:row>147</xdr:row>
      <xdr:rowOff>15491</xdr:rowOff>
    </xdr:from>
    <xdr:to>
      <xdr:col>18</xdr:col>
      <xdr:colOff>296447</xdr:colOff>
      <xdr:row>150</xdr:row>
      <xdr:rowOff>137384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A654923D-60D9-4B6B-8E2C-BEDC01502D5A}"/>
            </a:ext>
          </a:extLst>
        </xdr:cNvPr>
        <xdr:cNvCxnSpPr/>
      </xdr:nvCxnSpPr>
      <xdr:spPr>
        <a:xfrm flipH="1">
          <a:off x="16464051" y="28590491"/>
          <a:ext cx="54054" cy="70505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295720</xdr:colOff>
      <xdr:row>146</xdr:row>
      <xdr:rowOff>106670</xdr:rowOff>
    </xdr:from>
    <xdr:to>
      <xdr:col>19</xdr:col>
      <xdr:colOff>863190</xdr:colOff>
      <xdr:row>149</xdr:row>
      <xdr:rowOff>60257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19BF8F4-A8FD-4B62-B6E8-14741ABA1B6F}"/>
            </a:ext>
          </a:extLst>
        </xdr:cNvPr>
        <xdr:cNvCxnSpPr>
          <a:stCxn id="12" idx="5"/>
        </xdr:cNvCxnSpPr>
      </xdr:nvCxnSpPr>
      <xdr:spPr>
        <a:xfrm>
          <a:off x="17119980" y="28487282"/>
          <a:ext cx="567470" cy="5367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29158</xdr:colOff>
      <xdr:row>149</xdr:row>
      <xdr:rowOff>60256</xdr:rowOff>
    </xdr:from>
    <xdr:to>
      <xdr:col>16</xdr:col>
      <xdr:colOff>176240</xdr:colOff>
      <xdr:row>151</xdr:row>
      <xdr:rowOff>176409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1842ACB-7732-40E3-B82F-0DFD27E3EB52}"/>
            </a:ext>
          </a:extLst>
        </xdr:cNvPr>
        <xdr:cNvSpPr/>
      </xdr:nvSpPr>
      <xdr:spPr>
        <a:xfrm>
          <a:off x="14229184" y="29024032"/>
          <a:ext cx="963510" cy="50492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16 Rendah</a:t>
          </a:r>
        </a:p>
        <a:p>
          <a:pPr algn="l"/>
          <a:r>
            <a:rPr lang="en-US" sz="1100"/>
            <a:t>7 Tinggi</a:t>
          </a:r>
        </a:p>
      </xdr:txBody>
    </xdr:sp>
    <xdr:clientData/>
  </xdr:twoCellAnchor>
  <xdr:oneCellAnchor>
    <xdr:from>
      <xdr:col>15</xdr:col>
      <xdr:colOff>457782</xdr:colOff>
      <xdr:row>146</xdr:row>
      <xdr:rowOff>169399</xdr:rowOff>
    </xdr:from>
    <xdr:ext cx="666750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FDC5617-630C-431B-A646-6B937D4328D7}"/>
            </a:ext>
          </a:extLst>
        </xdr:cNvPr>
        <xdr:cNvSpPr txBox="1"/>
      </xdr:nvSpPr>
      <xdr:spPr>
        <a:xfrm>
          <a:off x="14657808" y="28550011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&lt;11.9</a:t>
          </a:r>
        </a:p>
      </xdr:txBody>
    </xdr:sp>
    <xdr:clientData/>
  </xdr:oneCellAnchor>
  <xdr:oneCellAnchor>
    <xdr:from>
      <xdr:col>16</xdr:col>
      <xdr:colOff>578671</xdr:colOff>
      <xdr:row>147</xdr:row>
      <xdr:rowOff>163180</xdr:rowOff>
    </xdr:from>
    <xdr:ext cx="116205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34B79E7-C6BF-4FE0-A5BB-6F7AF41A0DD1}"/>
                </a:ext>
              </a:extLst>
            </xdr:cNvPr>
            <xdr:cNvSpPr txBox="1"/>
          </xdr:nvSpPr>
          <xdr:spPr>
            <a:xfrm>
              <a:off x="15595125" y="28738180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  <m:r>
                    <a:rPr lang="en-US" sz="1100" b="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11.9</m:t>
                  </m:r>
                </m:oMath>
              </a14:m>
              <a:r>
                <a:rPr lang="en-US" sz="1100"/>
                <a:t> - &gt; 25.6</a:t>
              </a:r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34B79E7-C6BF-4FE0-A5BB-6F7AF41A0DD1}"/>
                </a:ext>
              </a:extLst>
            </xdr:cNvPr>
            <xdr:cNvSpPr txBox="1"/>
          </xdr:nvSpPr>
          <xdr:spPr>
            <a:xfrm>
              <a:off x="15595125" y="28738180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11.9</a:t>
              </a:r>
              <a:r>
                <a:rPr lang="en-US" sz="1100"/>
                <a:t> - &gt; 25.6</a:t>
              </a:r>
            </a:p>
          </xdr:txBody>
        </xdr:sp>
      </mc:Fallback>
    </mc:AlternateContent>
    <xdr:clientData/>
  </xdr:oneCellAnchor>
  <xdr:twoCellAnchor>
    <xdr:from>
      <xdr:col>17</xdr:col>
      <xdr:colOff>435420</xdr:colOff>
      <xdr:row>150</xdr:row>
      <xdr:rowOff>127858</xdr:rowOff>
    </xdr:from>
    <xdr:to>
      <xdr:col>19</xdr:col>
      <xdr:colOff>129765</xdr:colOff>
      <xdr:row>153</xdr:row>
      <xdr:rowOff>30572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33740AA-F768-4644-A4AE-5B3A2257CB61}"/>
            </a:ext>
          </a:extLst>
        </xdr:cNvPr>
        <xdr:cNvSpPr/>
      </xdr:nvSpPr>
      <xdr:spPr>
        <a:xfrm>
          <a:off x="16054476" y="29286021"/>
          <a:ext cx="899549" cy="48587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71 Sedang</a:t>
          </a:r>
        </a:p>
        <a:p>
          <a:pPr algn="l"/>
          <a:r>
            <a:rPr lang="en-US" sz="1100" baseline="0"/>
            <a:t>38 Tinggi</a:t>
          </a:r>
        </a:p>
      </xdr:txBody>
    </xdr:sp>
    <xdr:clientData/>
  </xdr:twoCellAnchor>
  <xdr:twoCellAnchor>
    <xdr:from>
      <xdr:col>19</xdr:col>
      <xdr:colOff>472666</xdr:colOff>
      <xdr:row>149</xdr:row>
      <xdr:rowOff>60257</xdr:rowOff>
    </xdr:from>
    <xdr:to>
      <xdr:col>20</xdr:col>
      <xdr:colOff>358366</xdr:colOff>
      <xdr:row>151</xdr:row>
      <xdr:rowOff>28721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CB7FE77-2DE8-44E6-AB8C-A292C81032D9}"/>
            </a:ext>
          </a:extLst>
        </xdr:cNvPr>
        <xdr:cNvSpPr/>
      </xdr:nvSpPr>
      <xdr:spPr>
        <a:xfrm>
          <a:off x="17296926" y="29024033"/>
          <a:ext cx="838200" cy="35723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31 Tinggi</a:t>
          </a:r>
        </a:p>
      </xdr:txBody>
    </xdr:sp>
    <xdr:clientData/>
  </xdr:twoCellAnchor>
  <xdr:oneCellAnchor>
    <xdr:from>
      <xdr:col>19</xdr:col>
      <xdr:colOff>491132</xdr:colOff>
      <xdr:row>146</xdr:row>
      <xdr:rowOff>125886</xdr:rowOff>
    </xdr:from>
    <xdr:ext cx="66675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273B62B-8CC8-4CF2-BAD6-180A442C4277}"/>
            </a:ext>
          </a:extLst>
        </xdr:cNvPr>
        <xdr:cNvSpPr txBox="1"/>
      </xdr:nvSpPr>
      <xdr:spPr>
        <a:xfrm>
          <a:off x="17315392" y="28506498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&gt;25.6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242252</xdr:colOff>
      <xdr:row>156</xdr:row>
      <xdr:rowOff>0</xdr:rowOff>
    </xdr:from>
    <xdr:to>
      <xdr:col>19</xdr:col>
      <xdr:colOff>287158</xdr:colOff>
      <xdr:row>160</xdr:row>
      <xdr:rowOff>7792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2B36486-B4CF-471A-AA27-46B4C6ADE018}"/>
            </a:ext>
          </a:extLst>
        </xdr:cNvPr>
        <xdr:cNvSpPr/>
      </xdr:nvSpPr>
      <xdr:spPr>
        <a:xfrm>
          <a:off x="14191768" y="30357097"/>
          <a:ext cx="2031842" cy="81690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JUMLAH</a:t>
          </a:r>
          <a:r>
            <a:rPr lang="en-US" sz="1100" baseline="0"/>
            <a:t> KASUS PER BULAN</a:t>
          </a:r>
          <a:endParaRPr lang="en-US" sz="1100"/>
        </a:p>
      </xdr:txBody>
    </xdr:sp>
    <xdr:clientData/>
  </xdr:twoCellAnchor>
  <xdr:twoCellAnchor>
    <xdr:from>
      <xdr:col>15</xdr:col>
      <xdr:colOff>535780</xdr:colOff>
      <xdr:row>159</xdr:row>
      <xdr:rowOff>85559</xdr:rowOff>
    </xdr:from>
    <xdr:to>
      <xdr:col>16</xdr:col>
      <xdr:colOff>481687</xdr:colOff>
      <xdr:row>162</xdr:row>
      <xdr:rowOff>11906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E5A66CF-332A-4C80-B41A-D3565D92B87A}"/>
            </a:ext>
          </a:extLst>
        </xdr:cNvPr>
        <xdr:cNvCxnSpPr>
          <a:stCxn id="2" idx="3"/>
        </xdr:cNvCxnSpPr>
      </xdr:nvCxnSpPr>
      <xdr:spPr>
        <a:xfrm flipH="1">
          <a:off x="13624974" y="31046930"/>
          <a:ext cx="806229" cy="5408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596158</xdr:colOff>
      <xdr:row>159</xdr:row>
      <xdr:rowOff>188768</xdr:rowOff>
    </xdr:from>
    <xdr:to>
      <xdr:col>18</xdr:col>
      <xdr:colOff>45938</xdr:colOff>
      <xdr:row>163</xdr:row>
      <xdr:rowOff>74469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6DEC20F-563D-41F1-B9C9-9AF3919488D5}"/>
            </a:ext>
          </a:extLst>
        </xdr:cNvPr>
        <xdr:cNvCxnSpPr/>
      </xdr:nvCxnSpPr>
      <xdr:spPr>
        <a:xfrm flipH="1">
          <a:off x="15324061" y="31150139"/>
          <a:ext cx="54054" cy="70505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43538</xdr:colOff>
      <xdr:row>159</xdr:row>
      <xdr:rowOff>85559</xdr:rowOff>
    </xdr:from>
    <xdr:to>
      <xdr:col>19</xdr:col>
      <xdr:colOff>611008</xdr:colOff>
      <xdr:row>162</xdr:row>
      <xdr:rowOff>7794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599ECF0-1FBB-41E5-A4AB-F8183BF1F61A}"/>
            </a:ext>
          </a:extLst>
        </xdr:cNvPr>
        <xdr:cNvCxnSpPr>
          <a:stCxn id="2" idx="5"/>
        </xdr:cNvCxnSpPr>
      </xdr:nvCxnSpPr>
      <xdr:spPr>
        <a:xfrm>
          <a:off x="15979990" y="31046930"/>
          <a:ext cx="567470" cy="5367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162</xdr:row>
      <xdr:rowOff>7793</xdr:rowOff>
    </xdr:from>
    <xdr:to>
      <xdr:col>16</xdr:col>
      <xdr:colOff>103188</xdr:colOff>
      <xdr:row>164</xdr:row>
      <xdr:rowOff>113285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E504ED9-9440-463A-957D-581EB300BFB5}"/>
            </a:ext>
          </a:extLst>
        </xdr:cNvPr>
        <xdr:cNvSpPr/>
      </xdr:nvSpPr>
      <xdr:spPr>
        <a:xfrm>
          <a:off x="13089194" y="31583680"/>
          <a:ext cx="963510" cy="50492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7 Rendah</a:t>
          </a:r>
        </a:p>
        <a:p>
          <a:pPr algn="l"/>
          <a:r>
            <a:rPr lang="en-US" sz="1100"/>
            <a:t>56 Sedang</a:t>
          </a:r>
        </a:p>
        <a:p>
          <a:pPr algn="l"/>
          <a:endParaRPr lang="en-US" sz="1100"/>
        </a:p>
      </xdr:txBody>
    </xdr:sp>
    <xdr:clientData/>
  </xdr:twoCellAnchor>
  <xdr:oneCellAnchor>
    <xdr:from>
      <xdr:col>15</xdr:col>
      <xdr:colOff>428624</xdr:colOff>
      <xdr:row>159</xdr:row>
      <xdr:rowOff>148288</xdr:rowOff>
    </xdr:from>
    <xdr:ext cx="66675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B42B5F4-43DB-40F0-A130-F73BD4AA43A4}"/>
            </a:ext>
          </a:extLst>
        </xdr:cNvPr>
        <xdr:cNvSpPr txBox="1"/>
      </xdr:nvSpPr>
      <xdr:spPr>
        <a:xfrm>
          <a:off x="13517818" y="31109659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&lt;13</a:t>
          </a:r>
          <a:endParaRPr lang="en-US">
            <a:effectLst/>
          </a:endParaRPr>
        </a:p>
      </xdr:txBody>
    </xdr:sp>
    <xdr:clientData/>
  </xdr:oneCellAnchor>
  <xdr:oneCellAnchor>
    <xdr:from>
      <xdr:col>16</xdr:col>
      <xdr:colOff>505619</xdr:colOff>
      <xdr:row>160</xdr:row>
      <xdr:rowOff>131618</xdr:rowOff>
    </xdr:from>
    <xdr:ext cx="116205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85A371F-2F86-4696-8A92-9304F35687A1}"/>
                </a:ext>
              </a:extLst>
            </xdr:cNvPr>
            <xdr:cNvSpPr txBox="1"/>
          </xdr:nvSpPr>
          <xdr:spPr>
            <a:xfrm>
              <a:off x="14455135" y="31297828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sz="1100"/>
                <a:t>13 - &gt; 28.2</a:t>
              </a:r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85A371F-2F86-4696-8A92-9304F35687A1}"/>
                </a:ext>
              </a:extLst>
            </xdr:cNvPr>
            <xdr:cNvSpPr txBox="1"/>
          </xdr:nvSpPr>
          <xdr:spPr>
            <a:xfrm>
              <a:off x="14455135" y="31297828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n-US" sz="1100"/>
                <a:t>13 - &gt; 28.2</a:t>
              </a:r>
            </a:p>
          </xdr:txBody>
        </xdr:sp>
      </mc:Fallback>
    </mc:AlternateContent>
    <xdr:clientData/>
  </xdr:oneCellAnchor>
  <xdr:twoCellAnchor>
    <xdr:from>
      <xdr:col>17</xdr:col>
      <xdr:colOff>186583</xdr:colOff>
      <xdr:row>163</xdr:row>
      <xdr:rowOff>64943</xdr:rowOff>
    </xdr:from>
    <xdr:to>
      <xdr:col>18</xdr:col>
      <xdr:colOff>481858</xdr:colOff>
      <xdr:row>165</xdr:row>
      <xdr:rowOff>161628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44A228C-DE76-4F8B-B2D4-6C468219C4CA}"/>
            </a:ext>
          </a:extLst>
        </xdr:cNvPr>
        <xdr:cNvSpPr/>
      </xdr:nvSpPr>
      <xdr:spPr>
        <a:xfrm>
          <a:off x="14914486" y="31845669"/>
          <a:ext cx="899549" cy="48587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28 Sedang</a:t>
          </a:r>
        </a:p>
        <a:p>
          <a:pPr algn="l"/>
          <a:r>
            <a:rPr lang="en-US" sz="1100" baseline="0"/>
            <a:t>37 Tinggi</a:t>
          </a:r>
        </a:p>
      </xdr:txBody>
    </xdr:sp>
    <xdr:clientData/>
  </xdr:twoCellAnchor>
  <xdr:twoCellAnchor>
    <xdr:from>
      <xdr:col>19</xdr:col>
      <xdr:colOff>220484</xdr:colOff>
      <xdr:row>162</xdr:row>
      <xdr:rowOff>7794</xdr:rowOff>
    </xdr:from>
    <xdr:to>
      <xdr:col>20</xdr:col>
      <xdr:colOff>95942</xdr:colOff>
      <xdr:row>163</xdr:row>
      <xdr:rowOff>160194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81EDB09-D3F7-4193-A4F7-71C15794CDC9}"/>
            </a:ext>
          </a:extLst>
        </xdr:cNvPr>
        <xdr:cNvSpPr/>
      </xdr:nvSpPr>
      <xdr:spPr>
        <a:xfrm>
          <a:off x="16156936" y="31583681"/>
          <a:ext cx="838200" cy="35723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35 Tinggi</a:t>
          </a:r>
        </a:p>
      </xdr:txBody>
    </xdr:sp>
    <xdr:clientData/>
  </xdr:twoCellAnchor>
  <xdr:oneCellAnchor>
    <xdr:from>
      <xdr:col>19</xdr:col>
      <xdr:colOff>268108</xdr:colOff>
      <xdr:row>159</xdr:row>
      <xdr:rowOff>104775</xdr:rowOff>
    </xdr:from>
    <xdr:ext cx="666750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E5024E8-722D-4F9B-9080-5628322B274F}"/>
            </a:ext>
          </a:extLst>
        </xdr:cNvPr>
        <xdr:cNvSpPr txBox="1"/>
      </xdr:nvSpPr>
      <xdr:spPr>
        <a:xfrm>
          <a:off x="16204560" y="31066146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&gt;28.2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242252</xdr:colOff>
      <xdr:row>156</xdr:row>
      <xdr:rowOff>0</xdr:rowOff>
    </xdr:from>
    <xdr:to>
      <xdr:col>19</xdr:col>
      <xdr:colOff>287158</xdr:colOff>
      <xdr:row>160</xdr:row>
      <xdr:rowOff>7792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E2332CA-2EC8-49B0-9A7F-677DCE552454}"/>
            </a:ext>
          </a:extLst>
        </xdr:cNvPr>
        <xdr:cNvSpPr/>
      </xdr:nvSpPr>
      <xdr:spPr>
        <a:xfrm>
          <a:off x="14167802" y="29718000"/>
          <a:ext cx="2026106" cy="7983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JUMLAH</a:t>
          </a:r>
          <a:r>
            <a:rPr lang="en-US" sz="1100" baseline="0"/>
            <a:t> KASUS PER BULAN</a:t>
          </a:r>
          <a:endParaRPr lang="en-US" sz="1100"/>
        </a:p>
      </xdr:txBody>
    </xdr:sp>
    <xdr:clientData/>
  </xdr:twoCellAnchor>
  <xdr:twoCellAnchor>
    <xdr:from>
      <xdr:col>15</xdr:col>
      <xdr:colOff>535780</xdr:colOff>
      <xdr:row>159</xdr:row>
      <xdr:rowOff>85559</xdr:rowOff>
    </xdr:from>
    <xdr:to>
      <xdr:col>16</xdr:col>
      <xdr:colOff>481687</xdr:colOff>
      <xdr:row>162</xdr:row>
      <xdr:rowOff>11906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B125BEC-7B8C-4104-B1DE-B128FA1B1263}"/>
            </a:ext>
          </a:extLst>
        </xdr:cNvPr>
        <xdr:cNvCxnSpPr>
          <a:stCxn id="2" idx="3"/>
        </xdr:cNvCxnSpPr>
      </xdr:nvCxnSpPr>
      <xdr:spPr>
        <a:xfrm flipH="1">
          <a:off x="13604080" y="30394109"/>
          <a:ext cx="803157" cy="5264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596158</xdr:colOff>
      <xdr:row>159</xdr:row>
      <xdr:rowOff>188768</xdr:rowOff>
    </xdr:from>
    <xdr:to>
      <xdr:col>18</xdr:col>
      <xdr:colOff>45938</xdr:colOff>
      <xdr:row>163</xdr:row>
      <xdr:rowOff>74469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FDC0C34-D683-4AFF-A2BB-58B64074BA73}"/>
            </a:ext>
          </a:extLst>
        </xdr:cNvPr>
        <xdr:cNvCxnSpPr/>
      </xdr:nvCxnSpPr>
      <xdr:spPr>
        <a:xfrm flipH="1">
          <a:off x="15302758" y="30497318"/>
          <a:ext cx="49855" cy="6858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43538</xdr:colOff>
      <xdr:row>159</xdr:row>
      <xdr:rowOff>85559</xdr:rowOff>
    </xdr:from>
    <xdr:to>
      <xdr:col>19</xdr:col>
      <xdr:colOff>611008</xdr:colOff>
      <xdr:row>162</xdr:row>
      <xdr:rowOff>7794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250F99A-8A45-49C7-9E8C-DDA087CD76E8}"/>
            </a:ext>
          </a:extLst>
        </xdr:cNvPr>
        <xdr:cNvCxnSpPr>
          <a:stCxn id="2" idx="5"/>
        </xdr:cNvCxnSpPr>
      </xdr:nvCxnSpPr>
      <xdr:spPr>
        <a:xfrm>
          <a:off x="15950288" y="30394109"/>
          <a:ext cx="567470" cy="5223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162</xdr:row>
      <xdr:rowOff>7793</xdr:rowOff>
    </xdr:from>
    <xdr:to>
      <xdr:col>16</xdr:col>
      <xdr:colOff>103188</xdr:colOff>
      <xdr:row>164</xdr:row>
      <xdr:rowOff>113285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4A1002C-3AE2-48F5-8E4D-2E905C153C55}"/>
            </a:ext>
          </a:extLst>
        </xdr:cNvPr>
        <xdr:cNvSpPr/>
      </xdr:nvSpPr>
      <xdr:spPr>
        <a:xfrm>
          <a:off x="13068300" y="30916418"/>
          <a:ext cx="960438" cy="4960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14 Rendah</a:t>
          </a:r>
        </a:p>
        <a:p>
          <a:pPr algn="l"/>
          <a:r>
            <a:rPr lang="en-US" sz="1100"/>
            <a:t>18 Sedang</a:t>
          </a:r>
        </a:p>
        <a:p>
          <a:pPr algn="l"/>
          <a:endParaRPr lang="en-US" sz="1100"/>
        </a:p>
      </xdr:txBody>
    </xdr:sp>
    <xdr:clientData/>
  </xdr:twoCellAnchor>
  <xdr:oneCellAnchor>
    <xdr:from>
      <xdr:col>15</xdr:col>
      <xdr:colOff>428624</xdr:colOff>
      <xdr:row>159</xdr:row>
      <xdr:rowOff>148288</xdr:rowOff>
    </xdr:from>
    <xdr:ext cx="66675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8F41201-9BAF-4A40-A8AC-E383D25AA545}"/>
            </a:ext>
          </a:extLst>
        </xdr:cNvPr>
        <xdr:cNvSpPr txBox="1"/>
      </xdr:nvSpPr>
      <xdr:spPr>
        <a:xfrm>
          <a:off x="13496924" y="30456838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&lt;13</a:t>
          </a:r>
          <a:endParaRPr lang="en-US">
            <a:effectLst/>
          </a:endParaRPr>
        </a:p>
      </xdr:txBody>
    </xdr:sp>
    <xdr:clientData/>
  </xdr:oneCellAnchor>
  <xdr:oneCellAnchor>
    <xdr:from>
      <xdr:col>16</xdr:col>
      <xdr:colOff>505619</xdr:colOff>
      <xdr:row>160</xdr:row>
      <xdr:rowOff>131618</xdr:rowOff>
    </xdr:from>
    <xdr:ext cx="116205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91B41E2-9C55-4636-8223-43DA80D46F6A}"/>
                </a:ext>
              </a:extLst>
            </xdr:cNvPr>
            <xdr:cNvSpPr txBox="1"/>
          </xdr:nvSpPr>
          <xdr:spPr>
            <a:xfrm>
              <a:off x="14431169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sz="1100"/>
                <a:t>13 - &gt; 28.2</a:t>
              </a:r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91B41E2-9C55-4636-8223-43DA80D46F6A}"/>
                </a:ext>
              </a:extLst>
            </xdr:cNvPr>
            <xdr:cNvSpPr txBox="1"/>
          </xdr:nvSpPr>
          <xdr:spPr>
            <a:xfrm>
              <a:off x="14431169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n-US" sz="1100"/>
                <a:t>13 - &gt; 28.2</a:t>
              </a:r>
            </a:p>
          </xdr:txBody>
        </xdr:sp>
      </mc:Fallback>
    </mc:AlternateContent>
    <xdr:clientData/>
  </xdr:oneCellAnchor>
  <xdr:twoCellAnchor>
    <xdr:from>
      <xdr:col>17</xdr:col>
      <xdr:colOff>186583</xdr:colOff>
      <xdr:row>163</xdr:row>
      <xdr:rowOff>64943</xdr:rowOff>
    </xdr:from>
    <xdr:to>
      <xdr:col>18</xdr:col>
      <xdr:colOff>481858</xdr:colOff>
      <xdr:row>165</xdr:row>
      <xdr:rowOff>161628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04982A3-01AA-4F15-8A4A-9B490E8FC00F}"/>
            </a:ext>
          </a:extLst>
        </xdr:cNvPr>
        <xdr:cNvSpPr/>
      </xdr:nvSpPr>
      <xdr:spPr>
        <a:xfrm>
          <a:off x="14893183" y="31173593"/>
          <a:ext cx="895350" cy="4776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66 Sedang</a:t>
          </a:r>
        </a:p>
        <a:p>
          <a:pPr algn="l"/>
          <a:r>
            <a:rPr lang="en-US" sz="1100" baseline="0"/>
            <a:t>34 Tinggi</a:t>
          </a:r>
        </a:p>
      </xdr:txBody>
    </xdr:sp>
    <xdr:clientData/>
  </xdr:twoCellAnchor>
  <xdr:twoCellAnchor>
    <xdr:from>
      <xdr:col>19</xdr:col>
      <xdr:colOff>220484</xdr:colOff>
      <xdr:row>162</xdr:row>
      <xdr:rowOff>7794</xdr:rowOff>
    </xdr:from>
    <xdr:to>
      <xdr:col>20</xdr:col>
      <xdr:colOff>95942</xdr:colOff>
      <xdr:row>163</xdr:row>
      <xdr:rowOff>160194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CA64755-B980-465D-B860-599EAEEE9F64}"/>
            </a:ext>
          </a:extLst>
        </xdr:cNvPr>
        <xdr:cNvSpPr/>
      </xdr:nvSpPr>
      <xdr:spPr>
        <a:xfrm>
          <a:off x="16127234" y="30916419"/>
          <a:ext cx="837483" cy="3524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31 Tinggi</a:t>
          </a:r>
        </a:p>
      </xdr:txBody>
    </xdr:sp>
    <xdr:clientData/>
  </xdr:twoCellAnchor>
  <xdr:oneCellAnchor>
    <xdr:from>
      <xdr:col>19</xdr:col>
      <xdr:colOff>268108</xdr:colOff>
      <xdr:row>159</xdr:row>
      <xdr:rowOff>104775</xdr:rowOff>
    </xdr:from>
    <xdr:ext cx="66675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7EC2B52-B0E0-483F-97AE-39BBAA8DA444}"/>
            </a:ext>
          </a:extLst>
        </xdr:cNvPr>
        <xdr:cNvSpPr txBox="1"/>
      </xdr:nvSpPr>
      <xdr:spPr>
        <a:xfrm>
          <a:off x="16174858" y="30413325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&gt;28.2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242252</xdr:colOff>
      <xdr:row>156</xdr:row>
      <xdr:rowOff>0</xdr:rowOff>
    </xdr:from>
    <xdr:to>
      <xdr:col>19</xdr:col>
      <xdr:colOff>287158</xdr:colOff>
      <xdr:row>160</xdr:row>
      <xdr:rowOff>7792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E21612D-D39C-4FF5-A7C4-BECAD50AD3A1}"/>
            </a:ext>
          </a:extLst>
        </xdr:cNvPr>
        <xdr:cNvSpPr/>
      </xdr:nvSpPr>
      <xdr:spPr>
        <a:xfrm>
          <a:off x="14167802" y="29718000"/>
          <a:ext cx="2026106" cy="7983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JUMLAH</a:t>
          </a:r>
          <a:r>
            <a:rPr lang="en-US" sz="1100" baseline="0"/>
            <a:t> KASUS PER BULAN</a:t>
          </a:r>
          <a:endParaRPr lang="en-US" sz="1100"/>
        </a:p>
      </xdr:txBody>
    </xdr:sp>
    <xdr:clientData/>
  </xdr:twoCellAnchor>
  <xdr:twoCellAnchor>
    <xdr:from>
      <xdr:col>15</xdr:col>
      <xdr:colOff>535780</xdr:colOff>
      <xdr:row>159</xdr:row>
      <xdr:rowOff>85559</xdr:rowOff>
    </xdr:from>
    <xdr:to>
      <xdr:col>16</xdr:col>
      <xdr:colOff>481687</xdr:colOff>
      <xdr:row>162</xdr:row>
      <xdr:rowOff>11906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95485BA-D053-4CE2-98FE-6D0FDF37DBFA}"/>
            </a:ext>
          </a:extLst>
        </xdr:cNvPr>
        <xdr:cNvCxnSpPr>
          <a:stCxn id="2" idx="3"/>
        </xdr:cNvCxnSpPr>
      </xdr:nvCxnSpPr>
      <xdr:spPr>
        <a:xfrm flipH="1">
          <a:off x="13604080" y="30394109"/>
          <a:ext cx="803157" cy="5264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596158</xdr:colOff>
      <xdr:row>159</xdr:row>
      <xdr:rowOff>188768</xdr:rowOff>
    </xdr:from>
    <xdr:to>
      <xdr:col>18</xdr:col>
      <xdr:colOff>45938</xdr:colOff>
      <xdr:row>163</xdr:row>
      <xdr:rowOff>74469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D757A1E-B7FC-485B-96BE-9628B3BA5369}"/>
            </a:ext>
          </a:extLst>
        </xdr:cNvPr>
        <xdr:cNvCxnSpPr/>
      </xdr:nvCxnSpPr>
      <xdr:spPr>
        <a:xfrm flipH="1">
          <a:off x="15302758" y="30497318"/>
          <a:ext cx="49855" cy="6858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43538</xdr:colOff>
      <xdr:row>159</xdr:row>
      <xdr:rowOff>85559</xdr:rowOff>
    </xdr:from>
    <xdr:to>
      <xdr:col>19</xdr:col>
      <xdr:colOff>611008</xdr:colOff>
      <xdr:row>162</xdr:row>
      <xdr:rowOff>7794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44E9116-93C6-4A4B-AA8C-AC2120E7FA4D}"/>
            </a:ext>
          </a:extLst>
        </xdr:cNvPr>
        <xdr:cNvCxnSpPr>
          <a:stCxn id="2" idx="5"/>
        </xdr:cNvCxnSpPr>
      </xdr:nvCxnSpPr>
      <xdr:spPr>
        <a:xfrm>
          <a:off x="15950288" y="30394109"/>
          <a:ext cx="567470" cy="5223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162</xdr:row>
      <xdr:rowOff>7793</xdr:rowOff>
    </xdr:from>
    <xdr:to>
      <xdr:col>16</xdr:col>
      <xdr:colOff>103188</xdr:colOff>
      <xdr:row>164</xdr:row>
      <xdr:rowOff>113285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E681582-874B-4C5D-A033-4AF6F02FF188}"/>
            </a:ext>
          </a:extLst>
        </xdr:cNvPr>
        <xdr:cNvSpPr/>
      </xdr:nvSpPr>
      <xdr:spPr>
        <a:xfrm>
          <a:off x="13068300" y="30916418"/>
          <a:ext cx="960438" cy="4960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16 Rendah</a:t>
          </a:r>
        </a:p>
        <a:p>
          <a:pPr algn="l"/>
          <a:r>
            <a:rPr lang="en-US" sz="1100"/>
            <a:t>13 Sedang</a:t>
          </a:r>
        </a:p>
        <a:p>
          <a:pPr algn="l"/>
          <a:endParaRPr lang="en-US" sz="1100"/>
        </a:p>
      </xdr:txBody>
    </xdr:sp>
    <xdr:clientData/>
  </xdr:twoCellAnchor>
  <xdr:oneCellAnchor>
    <xdr:from>
      <xdr:col>15</xdr:col>
      <xdr:colOff>428624</xdr:colOff>
      <xdr:row>159</xdr:row>
      <xdr:rowOff>148288</xdr:rowOff>
    </xdr:from>
    <xdr:ext cx="66675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181308-0B3F-49F2-B0E0-9A1A55AE670A}"/>
            </a:ext>
          </a:extLst>
        </xdr:cNvPr>
        <xdr:cNvSpPr txBox="1"/>
      </xdr:nvSpPr>
      <xdr:spPr>
        <a:xfrm>
          <a:off x="13496924" y="30456838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&lt;11</a:t>
          </a:r>
          <a:endParaRPr lang="en-US">
            <a:effectLst/>
          </a:endParaRPr>
        </a:p>
      </xdr:txBody>
    </xdr:sp>
    <xdr:clientData/>
  </xdr:oneCellAnchor>
  <xdr:oneCellAnchor>
    <xdr:from>
      <xdr:col>16</xdr:col>
      <xdr:colOff>505619</xdr:colOff>
      <xdr:row>160</xdr:row>
      <xdr:rowOff>131618</xdr:rowOff>
    </xdr:from>
    <xdr:ext cx="116205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EBF9E83-1C38-4347-8A01-A7AF03D826C5}"/>
                </a:ext>
              </a:extLst>
            </xdr:cNvPr>
            <xdr:cNvSpPr txBox="1"/>
          </xdr:nvSpPr>
          <xdr:spPr>
            <a:xfrm>
              <a:off x="14431169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sz="1100"/>
                <a:t>11 - &gt; 24.7</a:t>
              </a:r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EBF9E83-1C38-4347-8A01-A7AF03D826C5}"/>
                </a:ext>
              </a:extLst>
            </xdr:cNvPr>
            <xdr:cNvSpPr txBox="1"/>
          </xdr:nvSpPr>
          <xdr:spPr>
            <a:xfrm>
              <a:off x="14431169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n-US" sz="1100"/>
                <a:t>11 - &gt; 24.7</a:t>
              </a:r>
            </a:p>
          </xdr:txBody>
        </xdr:sp>
      </mc:Fallback>
    </mc:AlternateContent>
    <xdr:clientData/>
  </xdr:oneCellAnchor>
  <xdr:twoCellAnchor>
    <xdr:from>
      <xdr:col>17</xdr:col>
      <xdr:colOff>186583</xdr:colOff>
      <xdr:row>163</xdr:row>
      <xdr:rowOff>64943</xdr:rowOff>
    </xdr:from>
    <xdr:to>
      <xdr:col>18</xdr:col>
      <xdr:colOff>481858</xdr:colOff>
      <xdr:row>165</xdr:row>
      <xdr:rowOff>161628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0E8DE9B-5DEF-4044-B92F-FC26858B0343}"/>
            </a:ext>
          </a:extLst>
        </xdr:cNvPr>
        <xdr:cNvSpPr/>
      </xdr:nvSpPr>
      <xdr:spPr>
        <a:xfrm>
          <a:off x="14893183" y="31173593"/>
          <a:ext cx="895350" cy="4776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55 Sedang</a:t>
          </a:r>
        </a:p>
        <a:p>
          <a:pPr algn="l"/>
          <a:r>
            <a:rPr lang="en-US" sz="1100" baseline="0"/>
            <a:t>49 Tinggi</a:t>
          </a:r>
        </a:p>
      </xdr:txBody>
    </xdr:sp>
    <xdr:clientData/>
  </xdr:twoCellAnchor>
  <xdr:twoCellAnchor>
    <xdr:from>
      <xdr:col>19</xdr:col>
      <xdr:colOff>220484</xdr:colOff>
      <xdr:row>162</xdr:row>
      <xdr:rowOff>7794</xdr:rowOff>
    </xdr:from>
    <xdr:to>
      <xdr:col>20</xdr:col>
      <xdr:colOff>95942</xdr:colOff>
      <xdr:row>163</xdr:row>
      <xdr:rowOff>160194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3C9F4EC-1364-4C79-8475-7AE5BA8F48E1}"/>
            </a:ext>
          </a:extLst>
        </xdr:cNvPr>
        <xdr:cNvSpPr/>
      </xdr:nvSpPr>
      <xdr:spPr>
        <a:xfrm>
          <a:off x="16127234" y="30916419"/>
          <a:ext cx="837483" cy="3524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30 Tinggi</a:t>
          </a:r>
        </a:p>
      </xdr:txBody>
    </xdr:sp>
    <xdr:clientData/>
  </xdr:twoCellAnchor>
  <xdr:oneCellAnchor>
    <xdr:from>
      <xdr:col>19</xdr:col>
      <xdr:colOff>268108</xdr:colOff>
      <xdr:row>159</xdr:row>
      <xdr:rowOff>104775</xdr:rowOff>
    </xdr:from>
    <xdr:ext cx="66675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DDA57C4-E134-4BAC-A013-E8065BD8DE06}"/>
            </a:ext>
          </a:extLst>
        </xdr:cNvPr>
        <xdr:cNvSpPr txBox="1"/>
      </xdr:nvSpPr>
      <xdr:spPr>
        <a:xfrm>
          <a:off x="16174858" y="30413325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&gt;24.7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242252</xdr:colOff>
      <xdr:row>156</xdr:row>
      <xdr:rowOff>0</xdr:rowOff>
    </xdr:from>
    <xdr:to>
      <xdr:col>19</xdr:col>
      <xdr:colOff>287158</xdr:colOff>
      <xdr:row>160</xdr:row>
      <xdr:rowOff>7792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A53A7302-49FE-472B-9BD1-73FB7DACC06D}"/>
            </a:ext>
          </a:extLst>
        </xdr:cNvPr>
        <xdr:cNvSpPr/>
      </xdr:nvSpPr>
      <xdr:spPr>
        <a:xfrm>
          <a:off x="14167802" y="29718000"/>
          <a:ext cx="2026106" cy="7983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JUMLAH</a:t>
          </a:r>
          <a:r>
            <a:rPr lang="en-US" sz="1100" baseline="0"/>
            <a:t> KASUS PER BULAN</a:t>
          </a:r>
          <a:endParaRPr lang="en-US" sz="1100"/>
        </a:p>
      </xdr:txBody>
    </xdr:sp>
    <xdr:clientData/>
  </xdr:twoCellAnchor>
  <xdr:twoCellAnchor>
    <xdr:from>
      <xdr:col>15</xdr:col>
      <xdr:colOff>535780</xdr:colOff>
      <xdr:row>159</xdr:row>
      <xdr:rowOff>85559</xdr:rowOff>
    </xdr:from>
    <xdr:to>
      <xdr:col>16</xdr:col>
      <xdr:colOff>481687</xdr:colOff>
      <xdr:row>162</xdr:row>
      <xdr:rowOff>11906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3720573-66E9-40BA-A8AB-C0427400712D}"/>
            </a:ext>
          </a:extLst>
        </xdr:cNvPr>
        <xdr:cNvCxnSpPr>
          <a:stCxn id="2" idx="3"/>
        </xdr:cNvCxnSpPr>
      </xdr:nvCxnSpPr>
      <xdr:spPr>
        <a:xfrm flipH="1">
          <a:off x="13604080" y="30394109"/>
          <a:ext cx="803157" cy="5264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596158</xdr:colOff>
      <xdr:row>159</xdr:row>
      <xdr:rowOff>188768</xdr:rowOff>
    </xdr:from>
    <xdr:to>
      <xdr:col>18</xdr:col>
      <xdr:colOff>45938</xdr:colOff>
      <xdr:row>163</xdr:row>
      <xdr:rowOff>74469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C3ED14F-6E2C-414F-A99C-3CE6A744CDFC}"/>
            </a:ext>
          </a:extLst>
        </xdr:cNvPr>
        <xdr:cNvCxnSpPr/>
      </xdr:nvCxnSpPr>
      <xdr:spPr>
        <a:xfrm flipH="1">
          <a:off x="15302758" y="30497318"/>
          <a:ext cx="49855" cy="6858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43538</xdr:colOff>
      <xdr:row>159</xdr:row>
      <xdr:rowOff>85559</xdr:rowOff>
    </xdr:from>
    <xdr:to>
      <xdr:col>19</xdr:col>
      <xdr:colOff>611008</xdr:colOff>
      <xdr:row>162</xdr:row>
      <xdr:rowOff>7794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EDE2756-A706-48E8-BB31-BA8CC7A8814D}"/>
            </a:ext>
          </a:extLst>
        </xdr:cNvPr>
        <xdr:cNvCxnSpPr>
          <a:stCxn id="2" idx="5"/>
        </xdr:cNvCxnSpPr>
      </xdr:nvCxnSpPr>
      <xdr:spPr>
        <a:xfrm>
          <a:off x="15950288" y="30394109"/>
          <a:ext cx="567470" cy="5223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162</xdr:row>
      <xdr:rowOff>7793</xdr:rowOff>
    </xdr:from>
    <xdr:to>
      <xdr:col>16</xdr:col>
      <xdr:colOff>103188</xdr:colOff>
      <xdr:row>164</xdr:row>
      <xdr:rowOff>113285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3192985-6A38-4078-A2D4-CCABF7D3E664}"/>
            </a:ext>
          </a:extLst>
        </xdr:cNvPr>
        <xdr:cNvSpPr/>
      </xdr:nvSpPr>
      <xdr:spPr>
        <a:xfrm>
          <a:off x="13068300" y="30916418"/>
          <a:ext cx="960438" cy="4960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17 Rendah</a:t>
          </a:r>
        </a:p>
        <a:p>
          <a:pPr algn="l"/>
          <a:r>
            <a:rPr lang="en-US" sz="1100"/>
            <a:t>12 Sedang</a:t>
          </a:r>
        </a:p>
        <a:p>
          <a:pPr algn="l"/>
          <a:endParaRPr lang="en-US" sz="1100"/>
        </a:p>
      </xdr:txBody>
    </xdr:sp>
    <xdr:clientData/>
  </xdr:twoCellAnchor>
  <xdr:oneCellAnchor>
    <xdr:from>
      <xdr:col>15</xdr:col>
      <xdr:colOff>428624</xdr:colOff>
      <xdr:row>159</xdr:row>
      <xdr:rowOff>148288</xdr:rowOff>
    </xdr:from>
    <xdr:ext cx="66675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3D613C-5124-4989-9F62-6E25A47F5117}"/>
            </a:ext>
          </a:extLst>
        </xdr:cNvPr>
        <xdr:cNvSpPr txBox="1"/>
      </xdr:nvSpPr>
      <xdr:spPr>
        <a:xfrm>
          <a:off x="13496924" y="30456838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&lt;11</a:t>
          </a:r>
          <a:endParaRPr lang="en-US">
            <a:effectLst/>
          </a:endParaRPr>
        </a:p>
      </xdr:txBody>
    </xdr:sp>
    <xdr:clientData/>
  </xdr:oneCellAnchor>
  <xdr:oneCellAnchor>
    <xdr:from>
      <xdr:col>16</xdr:col>
      <xdr:colOff>505619</xdr:colOff>
      <xdr:row>160</xdr:row>
      <xdr:rowOff>131618</xdr:rowOff>
    </xdr:from>
    <xdr:ext cx="116205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539A021-6192-4F66-A958-0178150B8DFC}"/>
                </a:ext>
              </a:extLst>
            </xdr:cNvPr>
            <xdr:cNvSpPr txBox="1"/>
          </xdr:nvSpPr>
          <xdr:spPr>
            <a:xfrm>
              <a:off x="14431169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sz="1100"/>
                <a:t>11 - &gt; 25.2</a:t>
              </a:r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539A021-6192-4F66-A958-0178150B8DFC}"/>
                </a:ext>
              </a:extLst>
            </xdr:cNvPr>
            <xdr:cNvSpPr txBox="1"/>
          </xdr:nvSpPr>
          <xdr:spPr>
            <a:xfrm>
              <a:off x="14431169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n-US" sz="1100"/>
                <a:t>11 - &gt; 25.2</a:t>
              </a:r>
            </a:p>
          </xdr:txBody>
        </xdr:sp>
      </mc:Fallback>
    </mc:AlternateContent>
    <xdr:clientData/>
  </xdr:oneCellAnchor>
  <xdr:twoCellAnchor>
    <xdr:from>
      <xdr:col>17</xdr:col>
      <xdr:colOff>186583</xdr:colOff>
      <xdr:row>163</xdr:row>
      <xdr:rowOff>64943</xdr:rowOff>
    </xdr:from>
    <xdr:to>
      <xdr:col>18</xdr:col>
      <xdr:colOff>481858</xdr:colOff>
      <xdr:row>165</xdr:row>
      <xdr:rowOff>161628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5DDE3C4-0490-4E4D-8CCC-A1779C35C16B}"/>
            </a:ext>
          </a:extLst>
        </xdr:cNvPr>
        <xdr:cNvSpPr/>
      </xdr:nvSpPr>
      <xdr:spPr>
        <a:xfrm>
          <a:off x="14893183" y="31173593"/>
          <a:ext cx="895350" cy="4776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65 Sedang</a:t>
          </a:r>
        </a:p>
        <a:p>
          <a:pPr algn="l"/>
          <a:r>
            <a:rPr lang="en-US" sz="1100" baseline="0"/>
            <a:t>42 Tinggi</a:t>
          </a:r>
        </a:p>
      </xdr:txBody>
    </xdr:sp>
    <xdr:clientData/>
  </xdr:twoCellAnchor>
  <xdr:twoCellAnchor>
    <xdr:from>
      <xdr:col>19</xdr:col>
      <xdr:colOff>220484</xdr:colOff>
      <xdr:row>162</xdr:row>
      <xdr:rowOff>7794</xdr:rowOff>
    </xdr:from>
    <xdr:to>
      <xdr:col>20</xdr:col>
      <xdr:colOff>95942</xdr:colOff>
      <xdr:row>163</xdr:row>
      <xdr:rowOff>160194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1C7C04C-9F0B-4312-A425-FD38C229E555}"/>
            </a:ext>
          </a:extLst>
        </xdr:cNvPr>
        <xdr:cNvSpPr/>
      </xdr:nvSpPr>
      <xdr:spPr>
        <a:xfrm>
          <a:off x="16127234" y="30916419"/>
          <a:ext cx="837483" cy="3524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27 Tinggi</a:t>
          </a:r>
        </a:p>
      </xdr:txBody>
    </xdr:sp>
    <xdr:clientData/>
  </xdr:twoCellAnchor>
  <xdr:oneCellAnchor>
    <xdr:from>
      <xdr:col>19</xdr:col>
      <xdr:colOff>268108</xdr:colOff>
      <xdr:row>159</xdr:row>
      <xdr:rowOff>104775</xdr:rowOff>
    </xdr:from>
    <xdr:ext cx="66675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895DFF5-C7F6-49B5-8507-13E067759EF1}"/>
            </a:ext>
          </a:extLst>
        </xdr:cNvPr>
        <xdr:cNvSpPr txBox="1"/>
      </xdr:nvSpPr>
      <xdr:spPr>
        <a:xfrm>
          <a:off x="16174858" y="30413325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&gt;25.2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242252</xdr:colOff>
      <xdr:row>156</xdr:row>
      <xdr:rowOff>0</xdr:rowOff>
    </xdr:from>
    <xdr:to>
      <xdr:col>19</xdr:col>
      <xdr:colOff>287158</xdr:colOff>
      <xdr:row>160</xdr:row>
      <xdr:rowOff>7792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4242067-9136-49C9-9DD6-8A7C944CD821}"/>
            </a:ext>
          </a:extLst>
        </xdr:cNvPr>
        <xdr:cNvSpPr/>
      </xdr:nvSpPr>
      <xdr:spPr>
        <a:xfrm>
          <a:off x="15034577" y="29718000"/>
          <a:ext cx="2026106" cy="7983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JUMLAH</a:t>
          </a:r>
          <a:r>
            <a:rPr lang="en-US" sz="1100" baseline="0"/>
            <a:t> KASUS PER BULAN</a:t>
          </a:r>
          <a:endParaRPr lang="en-US" sz="1100"/>
        </a:p>
      </xdr:txBody>
    </xdr:sp>
    <xdr:clientData/>
  </xdr:twoCellAnchor>
  <xdr:twoCellAnchor>
    <xdr:from>
      <xdr:col>15</xdr:col>
      <xdr:colOff>535780</xdr:colOff>
      <xdr:row>159</xdr:row>
      <xdr:rowOff>85559</xdr:rowOff>
    </xdr:from>
    <xdr:to>
      <xdr:col>16</xdr:col>
      <xdr:colOff>481687</xdr:colOff>
      <xdr:row>162</xdr:row>
      <xdr:rowOff>11906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F9E32FF-9984-4A92-B127-35CB39F864AB}"/>
            </a:ext>
          </a:extLst>
        </xdr:cNvPr>
        <xdr:cNvCxnSpPr>
          <a:stCxn id="2" idx="3"/>
        </xdr:cNvCxnSpPr>
      </xdr:nvCxnSpPr>
      <xdr:spPr>
        <a:xfrm flipH="1">
          <a:off x="14470855" y="30394109"/>
          <a:ext cx="803157" cy="5264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596158</xdr:colOff>
      <xdr:row>159</xdr:row>
      <xdr:rowOff>188768</xdr:rowOff>
    </xdr:from>
    <xdr:to>
      <xdr:col>18</xdr:col>
      <xdr:colOff>45938</xdr:colOff>
      <xdr:row>163</xdr:row>
      <xdr:rowOff>74469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9CFE5AB-229A-4616-98DD-7B24ABE230DD}"/>
            </a:ext>
          </a:extLst>
        </xdr:cNvPr>
        <xdr:cNvCxnSpPr/>
      </xdr:nvCxnSpPr>
      <xdr:spPr>
        <a:xfrm flipH="1">
          <a:off x="16169533" y="30497318"/>
          <a:ext cx="49855" cy="6858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43538</xdr:colOff>
      <xdr:row>159</xdr:row>
      <xdr:rowOff>85559</xdr:rowOff>
    </xdr:from>
    <xdr:to>
      <xdr:col>19</xdr:col>
      <xdr:colOff>611008</xdr:colOff>
      <xdr:row>162</xdr:row>
      <xdr:rowOff>7794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8FF51A3-1D65-4981-B883-F14B2C72DA37}"/>
            </a:ext>
          </a:extLst>
        </xdr:cNvPr>
        <xdr:cNvCxnSpPr>
          <a:stCxn id="2" idx="5"/>
        </xdr:cNvCxnSpPr>
      </xdr:nvCxnSpPr>
      <xdr:spPr>
        <a:xfrm>
          <a:off x="16817063" y="30394109"/>
          <a:ext cx="567470" cy="5223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162</xdr:row>
      <xdr:rowOff>7793</xdr:rowOff>
    </xdr:from>
    <xdr:to>
      <xdr:col>16</xdr:col>
      <xdr:colOff>103188</xdr:colOff>
      <xdr:row>164</xdr:row>
      <xdr:rowOff>113285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30F7EB1-486A-49C3-B55E-6877C0F2C78C}"/>
            </a:ext>
          </a:extLst>
        </xdr:cNvPr>
        <xdr:cNvSpPr/>
      </xdr:nvSpPr>
      <xdr:spPr>
        <a:xfrm>
          <a:off x="13935075" y="30916418"/>
          <a:ext cx="960438" cy="4960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18 Rendah</a:t>
          </a:r>
        </a:p>
        <a:p>
          <a:pPr algn="l"/>
          <a:r>
            <a:rPr lang="en-US" sz="1100"/>
            <a:t>14 Sedang</a:t>
          </a:r>
        </a:p>
        <a:p>
          <a:pPr algn="l"/>
          <a:endParaRPr lang="en-US" sz="1100"/>
        </a:p>
      </xdr:txBody>
    </xdr:sp>
    <xdr:clientData/>
  </xdr:twoCellAnchor>
  <xdr:oneCellAnchor>
    <xdr:from>
      <xdr:col>15</xdr:col>
      <xdr:colOff>428624</xdr:colOff>
      <xdr:row>159</xdr:row>
      <xdr:rowOff>148288</xdr:rowOff>
    </xdr:from>
    <xdr:ext cx="66675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B84246F-BDA3-4DB8-9DEE-60F28AF442E4}"/>
            </a:ext>
          </a:extLst>
        </xdr:cNvPr>
        <xdr:cNvSpPr txBox="1"/>
      </xdr:nvSpPr>
      <xdr:spPr>
        <a:xfrm>
          <a:off x="14363699" y="30456838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&lt;11</a:t>
          </a:r>
          <a:endParaRPr lang="en-US">
            <a:effectLst/>
          </a:endParaRPr>
        </a:p>
      </xdr:txBody>
    </xdr:sp>
    <xdr:clientData/>
  </xdr:oneCellAnchor>
  <xdr:oneCellAnchor>
    <xdr:from>
      <xdr:col>16</xdr:col>
      <xdr:colOff>505619</xdr:colOff>
      <xdr:row>160</xdr:row>
      <xdr:rowOff>131618</xdr:rowOff>
    </xdr:from>
    <xdr:ext cx="116205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6E7D488-D22F-49DD-A6ED-CECFFBC9D425}"/>
                </a:ext>
              </a:extLst>
            </xdr:cNvPr>
            <xdr:cNvSpPr txBox="1"/>
          </xdr:nvSpPr>
          <xdr:spPr>
            <a:xfrm>
              <a:off x="15297944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sz="1100"/>
                <a:t>11 - &gt; 26.5</a:t>
              </a:r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6E7D488-D22F-49DD-A6ED-CECFFBC9D425}"/>
                </a:ext>
              </a:extLst>
            </xdr:cNvPr>
            <xdr:cNvSpPr txBox="1"/>
          </xdr:nvSpPr>
          <xdr:spPr>
            <a:xfrm>
              <a:off x="15297944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n-US" sz="1100"/>
                <a:t>11 - &gt; 26.5</a:t>
              </a:r>
            </a:p>
          </xdr:txBody>
        </xdr:sp>
      </mc:Fallback>
    </mc:AlternateContent>
    <xdr:clientData/>
  </xdr:oneCellAnchor>
  <xdr:twoCellAnchor>
    <xdr:from>
      <xdr:col>17</xdr:col>
      <xdr:colOff>186583</xdr:colOff>
      <xdr:row>163</xdr:row>
      <xdr:rowOff>64943</xdr:rowOff>
    </xdr:from>
    <xdr:to>
      <xdr:col>18</xdr:col>
      <xdr:colOff>481858</xdr:colOff>
      <xdr:row>165</xdr:row>
      <xdr:rowOff>161628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A6BBE9A-351C-42DF-A1F8-7AB72F4282FE}"/>
            </a:ext>
          </a:extLst>
        </xdr:cNvPr>
        <xdr:cNvSpPr/>
      </xdr:nvSpPr>
      <xdr:spPr>
        <a:xfrm>
          <a:off x="15759958" y="31173593"/>
          <a:ext cx="895350" cy="4776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68 Sedang</a:t>
          </a:r>
        </a:p>
        <a:p>
          <a:pPr algn="l"/>
          <a:r>
            <a:rPr lang="en-US" sz="1100" baseline="0"/>
            <a:t>31 Tinggi</a:t>
          </a:r>
        </a:p>
      </xdr:txBody>
    </xdr:sp>
    <xdr:clientData/>
  </xdr:twoCellAnchor>
  <xdr:twoCellAnchor>
    <xdr:from>
      <xdr:col>19</xdr:col>
      <xdr:colOff>220484</xdr:colOff>
      <xdr:row>162</xdr:row>
      <xdr:rowOff>7794</xdr:rowOff>
    </xdr:from>
    <xdr:to>
      <xdr:col>20</xdr:col>
      <xdr:colOff>95942</xdr:colOff>
      <xdr:row>163</xdr:row>
      <xdr:rowOff>160194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0925EE0-5664-450C-82ED-8064CF5807A3}"/>
            </a:ext>
          </a:extLst>
        </xdr:cNvPr>
        <xdr:cNvSpPr/>
      </xdr:nvSpPr>
      <xdr:spPr>
        <a:xfrm>
          <a:off x="16994009" y="30916419"/>
          <a:ext cx="837483" cy="3524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32 Tinggi</a:t>
          </a:r>
        </a:p>
      </xdr:txBody>
    </xdr:sp>
    <xdr:clientData/>
  </xdr:twoCellAnchor>
  <xdr:oneCellAnchor>
    <xdr:from>
      <xdr:col>19</xdr:col>
      <xdr:colOff>268108</xdr:colOff>
      <xdr:row>159</xdr:row>
      <xdr:rowOff>104775</xdr:rowOff>
    </xdr:from>
    <xdr:ext cx="66675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0EDB582-7453-444D-AAD6-939E1A244428}"/>
            </a:ext>
          </a:extLst>
        </xdr:cNvPr>
        <xdr:cNvSpPr txBox="1"/>
      </xdr:nvSpPr>
      <xdr:spPr>
        <a:xfrm>
          <a:off x="17041633" y="30413325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&gt;26.5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242252</xdr:colOff>
      <xdr:row>156</xdr:row>
      <xdr:rowOff>0</xdr:rowOff>
    </xdr:from>
    <xdr:to>
      <xdr:col>19</xdr:col>
      <xdr:colOff>287158</xdr:colOff>
      <xdr:row>160</xdr:row>
      <xdr:rowOff>7792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6FB0ECC-A6DC-46E7-BCA8-6F567D507B11}"/>
            </a:ext>
          </a:extLst>
        </xdr:cNvPr>
        <xdr:cNvSpPr/>
      </xdr:nvSpPr>
      <xdr:spPr>
        <a:xfrm>
          <a:off x="15034577" y="29718000"/>
          <a:ext cx="2026106" cy="7983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JUMLAH</a:t>
          </a:r>
          <a:r>
            <a:rPr lang="en-US" sz="1100" baseline="0"/>
            <a:t> KASUS PER BULAN</a:t>
          </a:r>
          <a:endParaRPr lang="en-US" sz="1100"/>
        </a:p>
      </xdr:txBody>
    </xdr:sp>
    <xdr:clientData/>
  </xdr:twoCellAnchor>
  <xdr:twoCellAnchor>
    <xdr:from>
      <xdr:col>15</xdr:col>
      <xdr:colOff>535780</xdr:colOff>
      <xdr:row>159</xdr:row>
      <xdr:rowOff>85559</xdr:rowOff>
    </xdr:from>
    <xdr:to>
      <xdr:col>16</xdr:col>
      <xdr:colOff>481687</xdr:colOff>
      <xdr:row>162</xdr:row>
      <xdr:rowOff>11906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EE77EA6-23C9-481B-BE0F-8822029F3C6A}"/>
            </a:ext>
          </a:extLst>
        </xdr:cNvPr>
        <xdr:cNvCxnSpPr>
          <a:stCxn id="2" idx="3"/>
        </xdr:cNvCxnSpPr>
      </xdr:nvCxnSpPr>
      <xdr:spPr>
        <a:xfrm flipH="1">
          <a:off x="14470855" y="30394109"/>
          <a:ext cx="803157" cy="5264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596158</xdr:colOff>
      <xdr:row>159</xdr:row>
      <xdr:rowOff>188768</xdr:rowOff>
    </xdr:from>
    <xdr:to>
      <xdr:col>18</xdr:col>
      <xdr:colOff>45938</xdr:colOff>
      <xdr:row>163</xdr:row>
      <xdr:rowOff>74469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9FEB285-EFDD-4313-978D-C9C5D67B9A87}"/>
            </a:ext>
          </a:extLst>
        </xdr:cNvPr>
        <xdr:cNvCxnSpPr/>
      </xdr:nvCxnSpPr>
      <xdr:spPr>
        <a:xfrm flipH="1">
          <a:off x="16169533" y="30497318"/>
          <a:ext cx="49855" cy="6858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43538</xdr:colOff>
      <xdr:row>159</xdr:row>
      <xdr:rowOff>85559</xdr:rowOff>
    </xdr:from>
    <xdr:to>
      <xdr:col>19</xdr:col>
      <xdr:colOff>611008</xdr:colOff>
      <xdr:row>162</xdr:row>
      <xdr:rowOff>7794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677D8E4-4055-4797-A9FE-9239964B2E02}"/>
            </a:ext>
          </a:extLst>
        </xdr:cNvPr>
        <xdr:cNvCxnSpPr>
          <a:stCxn id="2" idx="5"/>
        </xdr:cNvCxnSpPr>
      </xdr:nvCxnSpPr>
      <xdr:spPr>
        <a:xfrm>
          <a:off x="16817063" y="30394109"/>
          <a:ext cx="567470" cy="5223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162</xdr:row>
      <xdr:rowOff>7793</xdr:rowOff>
    </xdr:from>
    <xdr:to>
      <xdr:col>16</xdr:col>
      <xdr:colOff>103188</xdr:colOff>
      <xdr:row>164</xdr:row>
      <xdr:rowOff>113285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19F67C6-028F-47FA-9B55-3921C0DF43B2}"/>
            </a:ext>
          </a:extLst>
        </xdr:cNvPr>
        <xdr:cNvSpPr/>
      </xdr:nvSpPr>
      <xdr:spPr>
        <a:xfrm>
          <a:off x="13935075" y="30916418"/>
          <a:ext cx="960438" cy="4960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15 Rendah</a:t>
          </a:r>
        </a:p>
        <a:p>
          <a:pPr algn="l"/>
          <a:r>
            <a:rPr lang="en-US" sz="1100"/>
            <a:t>20 Sedang</a:t>
          </a:r>
        </a:p>
        <a:p>
          <a:pPr algn="l"/>
          <a:endParaRPr lang="en-US" sz="1100"/>
        </a:p>
      </xdr:txBody>
    </xdr:sp>
    <xdr:clientData/>
  </xdr:twoCellAnchor>
  <xdr:oneCellAnchor>
    <xdr:from>
      <xdr:col>15</xdr:col>
      <xdr:colOff>428624</xdr:colOff>
      <xdr:row>159</xdr:row>
      <xdr:rowOff>148288</xdr:rowOff>
    </xdr:from>
    <xdr:ext cx="66675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2BEFBE-FB6D-47BC-8FA6-2F0901324676}"/>
            </a:ext>
          </a:extLst>
        </xdr:cNvPr>
        <xdr:cNvSpPr txBox="1"/>
      </xdr:nvSpPr>
      <xdr:spPr>
        <a:xfrm>
          <a:off x="14363699" y="30456838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&lt;12</a:t>
          </a:r>
          <a:endParaRPr lang="en-US">
            <a:effectLst/>
          </a:endParaRPr>
        </a:p>
      </xdr:txBody>
    </xdr:sp>
    <xdr:clientData/>
  </xdr:oneCellAnchor>
  <xdr:oneCellAnchor>
    <xdr:from>
      <xdr:col>16</xdr:col>
      <xdr:colOff>505619</xdr:colOff>
      <xdr:row>160</xdr:row>
      <xdr:rowOff>131618</xdr:rowOff>
    </xdr:from>
    <xdr:ext cx="116205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E756CD3-F03B-4230-BE9D-90EB09EEEBD4}"/>
                </a:ext>
              </a:extLst>
            </xdr:cNvPr>
            <xdr:cNvSpPr txBox="1"/>
          </xdr:nvSpPr>
          <xdr:spPr>
            <a:xfrm>
              <a:off x="15297944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sz="1100"/>
                <a:t>12 - &gt; 26.2</a:t>
              </a:r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E756CD3-F03B-4230-BE9D-90EB09EEEBD4}"/>
                </a:ext>
              </a:extLst>
            </xdr:cNvPr>
            <xdr:cNvSpPr txBox="1"/>
          </xdr:nvSpPr>
          <xdr:spPr>
            <a:xfrm>
              <a:off x="15297944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n-US" sz="1100"/>
                <a:t>12 - &gt; 26.2</a:t>
              </a:r>
            </a:p>
          </xdr:txBody>
        </xdr:sp>
      </mc:Fallback>
    </mc:AlternateContent>
    <xdr:clientData/>
  </xdr:oneCellAnchor>
  <xdr:twoCellAnchor>
    <xdr:from>
      <xdr:col>17</xdr:col>
      <xdr:colOff>186583</xdr:colOff>
      <xdr:row>163</xdr:row>
      <xdr:rowOff>64943</xdr:rowOff>
    </xdr:from>
    <xdr:to>
      <xdr:col>18</xdr:col>
      <xdr:colOff>481858</xdr:colOff>
      <xdr:row>165</xdr:row>
      <xdr:rowOff>161628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590AC85-14E9-407B-821E-20D305A42BEF}"/>
            </a:ext>
          </a:extLst>
        </xdr:cNvPr>
        <xdr:cNvSpPr/>
      </xdr:nvSpPr>
      <xdr:spPr>
        <a:xfrm>
          <a:off x="15759958" y="31173593"/>
          <a:ext cx="895350" cy="4776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67 Sedang</a:t>
          </a:r>
        </a:p>
        <a:p>
          <a:pPr algn="l"/>
          <a:r>
            <a:rPr lang="en-US" sz="1100" baseline="0"/>
            <a:t>31 Tinggi</a:t>
          </a:r>
        </a:p>
      </xdr:txBody>
    </xdr:sp>
    <xdr:clientData/>
  </xdr:twoCellAnchor>
  <xdr:twoCellAnchor>
    <xdr:from>
      <xdr:col>19</xdr:col>
      <xdr:colOff>220484</xdr:colOff>
      <xdr:row>162</xdr:row>
      <xdr:rowOff>7794</xdr:rowOff>
    </xdr:from>
    <xdr:to>
      <xdr:col>20</xdr:col>
      <xdr:colOff>95942</xdr:colOff>
      <xdr:row>163</xdr:row>
      <xdr:rowOff>160194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C4E4A51-162A-45DD-97E9-6BB89AD42471}"/>
            </a:ext>
          </a:extLst>
        </xdr:cNvPr>
        <xdr:cNvSpPr/>
      </xdr:nvSpPr>
      <xdr:spPr>
        <a:xfrm>
          <a:off x="16994009" y="30916419"/>
          <a:ext cx="837483" cy="3524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30 Tinggi</a:t>
          </a:r>
        </a:p>
      </xdr:txBody>
    </xdr:sp>
    <xdr:clientData/>
  </xdr:twoCellAnchor>
  <xdr:oneCellAnchor>
    <xdr:from>
      <xdr:col>19</xdr:col>
      <xdr:colOff>268108</xdr:colOff>
      <xdr:row>159</xdr:row>
      <xdr:rowOff>104775</xdr:rowOff>
    </xdr:from>
    <xdr:ext cx="66675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C793E63-A164-4B0D-94F1-9EC3C04CD5F7}"/>
            </a:ext>
          </a:extLst>
        </xdr:cNvPr>
        <xdr:cNvSpPr txBox="1"/>
      </xdr:nvSpPr>
      <xdr:spPr>
        <a:xfrm>
          <a:off x="17041633" y="30413325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&gt;26.2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242252</xdr:colOff>
      <xdr:row>156</xdr:row>
      <xdr:rowOff>0</xdr:rowOff>
    </xdr:from>
    <xdr:to>
      <xdr:col>19</xdr:col>
      <xdr:colOff>287158</xdr:colOff>
      <xdr:row>160</xdr:row>
      <xdr:rowOff>7792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3997B77-0E21-4E25-9B5C-76C89884CC2F}"/>
            </a:ext>
          </a:extLst>
        </xdr:cNvPr>
        <xdr:cNvSpPr/>
      </xdr:nvSpPr>
      <xdr:spPr>
        <a:xfrm>
          <a:off x="15034577" y="29718000"/>
          <a:ext cx="2026106" cy="7983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JUMLAH</a:t>
          </a:r>
          <a:r>
            <a:rPr lang="en-US" sz="1100" baseline="0"/>
            <a:t> KASUS PER BULAN</a:t>
          </a:r>
          <a:endParaRPr lang="en-US" sz="1100"/>
        </a:p>
      </xdr:txBody>
    </xdr:sp>
    <xdr:clientData/>
  </xdr:twoCellAnchor>
  <xdr:twoCellAnchor>
    <xdr:from>
      <xdr:col>15</xdr:col>
      <xdr:colOff>535780</xdr:colOff>
      <xdr:row>159</xdr:row>
      <xdr:rowOff>85559</xdr:rowOff>
    </xdr:from>
    <xdr:to>
      <xdr:col>16</xdr:col>
      <xdr:colOff>481687</xdr:colOff>
      <xdr:row>162</xdr:row>
      <xdr:rowOff>11906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4D1AE65-E79B-4233-8D27-C0BD29E14BBD}"/>
            </a:ext>
          </a:extLst>
        </xdr:cNvPr>
        <xdr:cNvCxnSpPr>
          <a:stCxn id="2" idx="3"/>
        </xdr:cNvCxnSpPr>
      </xdr:nvCxnSpPr>
      <xdr:spPr>
        <a:xfrm flipH="1">
          <a:off x="14470855" y="30394109"/>
          <a:ext cx="803157" cy="5264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596158</xdr:colOff>
      <xdr:row>159</xdr:row>
      <xdr:rowOff>188768</xdr:rowOff>
    </xdr:from>
    <xdr:to>
      <xdr:col>18</xdr:col>
      <xdr:colOff>45938</xdr:colOff>
      <xdr:row>163</xdr:row>
      <xdr:rowOff>74469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EA211E8-BBBE-44D5-ADB7-7C26D8407892}"/>
            </a:ext>
          </a:extLst>
        </xdr:cNvPr>
        <xdr:cNvCxnSpPr/>
      </xdr:nvCxnSpPr>
      <xdr:spPr>
        <a:xfrm flipH="1">
          <a:off x="16169533" y="30497318"/>
          <a:ext cx="49855" cy="6858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43538</xdr:colOff>
      <xdr:row>159</xdr:row>
      <xdr:rowOff>85559</xdr:rowOff>
    </xdr:from>
    <xdr:to>
      <xdr:col>19</xdr:col>
      <xdr:colOff>611008</xdr:colOff>
      <xdr:row>162</xdr:row>
      <xdr:rowOff>7794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9DC13CB-4BD1-4AA5-BF5E-B6810B4EAAF0}"/>
            </a:ext>
          </a:extLst>
        </xdr:cNvPr>
        <xdr:cNvCxnSpPr>
          <a:stCxn id="2" idx="5"/>
        </xdr:cNvCxnSpPr>
      </xdr:nvCxnSpPr>
      <xdr:spPr>
        <a:xfrm>
          <a:off x="16817063" y="30394109"/>
          <a:ext cx="567470" cy="5223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162</xdr:row>
      <xdr:rowOff>7793</xdr:rowOff>
    </xdr:from>
    <xdr:to>
      <xdr:col>16</xdr:col>
      <xdr:colOff>103188</xdr:colOff>
      <xdr:row>164</xdr:row>
      <xdr:rowOff>113285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A4590E2-077C-479E-8257-046A5B79D66B}"/>
            </a:ext>
          </a:extLst>
        </xdr:cNvPr>
        <xdr:cNvSpPr/>
      </xdr:nvSpPr>
      <xdr:spPr>
        <a:xfrm>
          <a:off x="13935075" y="30916418"/>
          <a:ext cx="960438" cy="4960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12 Rendah</a:t>
          </a:r>
        </a:p>
        <a:p>
          <a:pPr algn="l"/>
          <a:r>
            <a:rPr lang="en-US" sz="1100"/>
            <a:t>39 Sedang</a:t>
          </a:r>
        </a:p>
        <a:p>
          <a:pPr algn="l"/>
          <a:endParaRPr lang="en-US" sz="1100"/>
        </a:p>
      </xdr:txBody>
    </xdr:sp>
    <xdr:clientData/>
  </xdr:twoCellAnchor>
  <xdr:oneCellAnchor>
    <xdr:from>
      <xdr:col>15</xdr:col>
      <xdr:colOff>428624</xdr:colOff>
      <xdr:row>159</xdr:row>
      <xdr:rowOff>148288</xdr:rowOff>
    </xdr:from>
    <xdr:ext cx="66675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FC0DEF-F0DE-4541-BC79-6A4317E0BAD8}"/>
            </a:ext>
          </a:extLst>
        </xdr:cNvPr>
        <xdr:cNvSpPr txBox="1"/>
      </xdr:nvSpPr>
      <xdr:spPr>
        <a:xfrm>
          <a:off x="14363699" y="30456838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&lt;13</a:t>
          </a:r>
          <a:endParaRPr lang="en-US">
            <a:effectLst/>
          </a:endParaRPr>
        </a:p>
      </xdr:txBody>
    </xdr:sp>
    <xdr:clientData/>
  </xdr:oneCellAnchor>
  <xdr:oneCellAnchor>
    <xdr:from>
      <xdr:col>16</xdr:col>
      <xdr:colOff>505619</xdr:colOff>
      <xdr:row>160</xdr:row>
      <xdr:rowOff>131618</xdr:rowOff>
    </xdr:from>
    <xdr:ext cx="116205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1816458-D6F3-4D01-B3B4-64425D65F5A3}"/>
                </a:ext>
              </a:extLst>
            </xdr:cNvPr>
            <xdr:cNvSpPr txBox="1"/>
          </xdr:nvSpPr>
          <xdr:spPr>
            <a:xfrm>
              <a:off x="15297944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sz="1100"/>
                <a:t>13 - &gt; 27.4</a:t>
              </a:r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1816458-D6F3-4D01-B3B4-64425D65F5A3}"/>
                </a:ext>
              </a:extLst>
            </xdr:cNvPr>
            <xdr:cNvSpPr txBox="1"/>
          </xdr:nvSpPr>
          <xdr:spPr>
            <a:xfrm>
              <a:off x="15297944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n-US" sz="1100"/>
                <a:t>13 - &gt; 27.4</a:t>
              </a:r>
            </a:p>
          </xdr:txBody>
        </xdr:sp>
      </mc:Fallback>
    </mc:AlternateContent>
    <xdr:clientData/>
  </xdr:oneCellAnchor>
  <xdr:twoCellAnchor>
    <xdr:from>
      <xdr:col>17</xdr:col>
      <xdr:colOff>186583</xdr:colOff>
      <xdr:row>163</xdr:row>
      <xdr:rowOff>64943</xdr:rowOff>
    </xdr:from>
    <xdr:to>
      <xdr:col>18</xdr:col>
      <xdr:colOff>481858</xdr:colOff>
      <xdr:row>165</xdr:row>
      <xdr:rowOff>161628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937EF6E-B526-4A4F-9F2E-D61EB4FF9200}"/>
            </a:ext>
          </a:extLst>
        </xdr:cNvPr>
        <xdr:cNvSpPr/>
      </xdr:nvSpPr>
      <xdr:spPr>
        <a:xfrm>
          <a:off x="15759958" y="31173593"/>
          <a:ext cx="895350" cy="4776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34 Sedang</a:t>
          </a:r>
        </a:p>
        <a:p>
          <a:pPr algn="l"/>
          <a:r>
            <a:rPr lang="en-US" sz="1100" baseline="0"/>
            <a:t>44 Tinggi</a:t>
          </a:r>
        </a:p>
      </xdr:txBody>
    </xdr:sp>
    <xdr:clientData/>
  </xdr:twoCellAnchor>
  <xdr:twoCellAnchor>
    <xdr:from>
      <xdr:col>19</xdr:col>
      <xdr:colOff>220484</xdr:colOff>
      <xdr:row>162</xdr:row>
      <xdr:rowOff>7794</xdr:rowOff>
    </xdr:from>
    <xdr:to>
      <xdr:col>20</xdr:col>
      <xdr:colOff>95942</xdr:colOff>
      <xdr:row>163</xdr:row>
      <xdr:rowOff>160194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1E679AD-F29E-4B32-9211-2C8A16A905F3}"/>
            </a:ext>
          </a:extLst>
        </xdr:cNvPr>
        <xdr:cNvSpPr/>
      </xdr:nvSpPr>
      <xdr:spPr>
        <a:xfrm>
          <a:off x="16994009" y="30916419"/>
          <a:ext cx="837483" cy="3524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34 Tinggi</a:t>
          </a:r>
        </a:p>
      </xdr:txBody>
    </xdr:sp>
    <xdr:clientData/>
  </xdr:twoCellAnchor>
  <xdr:oneCellAnchor>
    <xdr:from>
      <xdr:col>19</xdr:col>
      <xdr:colOff>268108</xdr:colOff>
      <xdr:row>159</xdr:row>
      <xdr:rowOff>104775</xdr:rowOff>
    </xdr:from>
    <xdr:ext cx="66675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B71377A-DE3D-433E-A5E5-90E8B05D8AC6}"/>
            </a:ext>
          </a:extLst>
        </xdr:cNvPr>
        <xdr:cNvSpPr txBox="1"/>
      </xdr:nvSpPr>
      <xdr:spPr>
        <a:xfrm>
          <a:off x="17041633" y="30413325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&gt;27.4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242252</xdr:colOff>
      <xdr:row>156</xdr:row>
      <xdr:rowOff>0</xdr:rowOff>
    </xdr:from>
    <xdr:to>
      <xdr:col>19</xdr:col>
      <xdr:colOff>287158</xdr:colOff>
      <xdr:row>160</xdr:row>
      <xdr:rowOff>7792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22F182EE-3B12-441D-B2DC-751D719CB7BA}"/>
            </a:ext>
          </a:extLst>
        </xdr:cNvPr>
        <xdr:cNvSpPr/>
      </xdr:nvSpPr>
      <xdr:spPr>
        <a:xfrm>
          <a:off x="15034577" y="29718000"/>
          <a:ext cx="2026106" cy="7983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JUMLAH</a:t>
          </a:r>
          <a:r>
            <a:rPr lang="en-US" sz="1100" baseline="0"/>
            <a:t> KASUS PER BULAN</a:t>
          </a:r>
          <a:endParaRPr lang="en-US" sz="1100"/>
        </a:p>
      </xdr:txBody>
    </xdr:sp>
    <xdr:clientData/>
  </xdr:twoCellAnchor>
  <xdr:twoCellAnchor>
    <xdr:from>
      <xdr:col>15</xdr:col>
      <xdr:colOff>535780</xdr:colOff>
      <xdr:row>159</xdr:row>
      <xdr:rowOff>85559</xdr:rowOff>
    </xdr:from>
    <xdr:to>
      <xdr:col>16</xdr:col>
      <xdr:colOff>481687</xdr:colOff>
      <xdr:row>162</xdr:row>
      <xdr:rowOff>11906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438292B-3EAC-4B10-A363-E995ECF53A47}"/>
            </a:ext>
          </a:extLst>
        </xdr:cNvPr>
        <xdr:cNvCxnSpPr>
          <a:stCxn id="2" idx="3"/>
        </xdr:cNvCxnSpPr>
      </xdr:nvCxnSpPr>
      <xdr:spPr>
        <a:xfrm flipH="1">
          <a:off x="14470855" y="30394109"/>
          <a:ext cx="803157" cy="5264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596158</xdr:colOff>
      <xdr:row>159</xdr:row>
      <xdr:rowOff>188768</xdr:rowOff>
    </xdr:from>
    <xdr:to>
      <xdr:col>18</xdr:col>
      <xdr:colOff>45938</xdr:colOff>
      <xdr:row>163</xdr:row>
      <xdr:rowOff>74469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D9431F6-ACE0-412A-A024-DA6E889D99C7}"/>
            </a:ext>
          </a:extLst>
        </xdr:cNvPr>
        <xdr:cNvCxnSpPr/>
      </xdr:nvCxnSpPr>
      <xdr:spPr>
        <a:xfrm flipH="1">
          <a:off x="16169533" y="30497318"/>
          <a:ext cx="49855" cy="6858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43538</xdr:colOff>
      <xdr:row>159</xdr:row>
      <xdr:rowOff>85559</xdr:rowOff>
    </xdr:from>
    <xdr:to>
      <xdr:col>19</xdr:col>
      <xdr:colOff>611008</xdr:colOff>
      <xdr:row>162</xdr:row>
      <xdr:rowOff>7794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EE27F32-687B-45D7-A9B7-85B9AFBF25CC}"/>
            </a:ext>
          </a:extLst>
        </xdr:cNvPr>
        <xdr:cNvCxnSpPr>
          <a:stCxn id="2" idx="5"/>
        </xdr:cNvCxnSpPr>
      </xdr:nvCxnSpPr>
      <xdr:spPr>
        <a:xfrm>
          <a:off x="16817063" y="30394109"/>
          <a:ext cx="567470" cy="5223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162</xdr:row>
      <xdr:rowOff>7793</xdr:rowOff>
    </xdr:from>
    <xdr:to>
      <xdr:col>16</xdr:col>
      <xdr:colOff>103188</xdr:colOff>
      <xdr:row>164</xdr:row>
      <xdr:rowOff>113285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C8963E0-DE07-4772-9367-A08F53F2F6EB}"/>
            </a:ext>
          </a:extLst>
        </xdr:cNvPr>
        <xdr:cNvSpPr/>
      </xdr:nvSpPr>
      <xdr:spPr>
        <a:xfrm>
          <a:off x="13935075" y="30916418"/>
          <a:ext cx="960438" cy="4960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11 Rendah</a:t>
          </a:r>
        </a:p>
        <a:p>
          <a:pPr algn="l"/>
          <a:r>
            <a:rPr lang="en-US" sz="1100"/>
            <a:t>37 Sedang</a:t>
          </a:r>
        </a:p>
        <a:p>
          <a:pPr algn="l"/>
          <a:endParaRPr lang="en-US" sz="1100"/>
        </a:p>
      </xdr:txBody>
    </xdr:sp>
    <xdr:clientData/>
  </xdr:twoCellAnchor>
  <xdr:oneCellAnchor>
    <xdr:from>
      <xdr:col>15</xdr:col>
      <xdr:colOff>428624</xdr:colOff>
      <xdr:row>159</xdr:row>
      <xdr:rowOff>148288</xdr:rowOff>
    </xdr:from>
    <xdr:ext cx="66675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BB922E-890D-4FAF-8232-CC6604A2E1AD}"/>
            </a:ext>
          </a:extLst>
        </xdr:cNvPr>
        <xdr:cNvSpPr txBox="1"/>
      </xdr:nvSpPr>
      <xdr:spPr>
        <a:xfrm>
          <a:off x="14363699" y="30456838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&lt;13</a:t>
          </a:r>
          <a:endParaRPr lang="en-US">
            <a:effectLst/>
          </a:endParaRPr>
        </a:p>
      </xdr:txBody>
    </xdr:sp>
    <xdr:clientData/>
  </xdr:oneCellAnchor>
  <xdr:oneCellAnchor>
    <xdr:from>
      <xdr:col>16</xdr:col>
      <xdr:colOff>505619</xdr:colOff>
      <xdr:row>160</xdr:row>
      <xdr:rowOff>131618</xdr:rowOff>
    </xdr:from>
    <xdr:ext cx="116205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1E5CECB-A42B-4E72-94F3-A57869C91093}"/>
                </a:ext>
              </a:extLst>
            </xdr:cNvPr>
            <xdr:cNvSpPr txBox="1"/>
          </xdr:nvSpPr>
          <xdr:spPr>
            <a:xfrm>
              <a:off x="15297944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sz="1100"/>
                <a:t>13 - &gt; 26.6</a:t>
              </a:r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1E5CECB-A42B-4E72-94F3-A57869C91093}"/>
                </a:ext>
              </a:extLst>
            </xdr:cNvPr>
            <xdr:cNvSpPr txBox="1"/>
          </xdr:nvSpPr>
          <xdr:spPr>
            <a:xfrm>
              <a:off x="15297944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n-US" sz="1100"/>
                <a:t>13 - &gt; 26.6</a:t>
              </a:r>
            </a:p>
          </xdr:txBody>
        </xdr:sp>
      </mc:Fallback>
    </mc:AlternateContent>
    <xdr:clientData/>
  </xdr:oneCellAnchor>
  <xdr:twoCellAnchor>
    <xdr:from>
      <xdr:col>17</xdr:col>
      <xdr:colOff>186583</xdr:colOff>
      <xdr:row>163</xdr:row>
      <xdr:rowOff>64943</xdr:rowOff>
    </xdr:from>
    <xdr:to>
      <xdr:col>18</xdr:col>
      <xdr:colOff>481858</xdr:colOff>
      <xdr:row>165</xdr:row>
      <xdr:rowOff>161628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2AB9A6E-1E72-4FB1-9219-62913B06FAC7}"/>
            </a:ext>
          </a:extLst>
        </xdr:cNvPr>
        <xdr:cNvSpPr/>
      </xdr:nvSpPr>
      <xdr:spPr>
        <a:xfrm>
          <a:off x="15759958" y="31173593"/>
          <a:ext cx="895350" cy="4776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30 Sedang</a:t>
          </a:r>
        </a:p>
        <a:p>
          <a:pPr algn="l"/>
          <a:r>
            <a:rPr lang="en-US" sz="1100" baseline="0"/>
            <a:t>57 Tinggi</a:t>
          </a:r>
        </a:p>
      </xdr:txBody>
    </xdr:sp>
    <xdr:clientData/>
  </xdr:twoCellAnchor>
  <xdr:twoCellAnchor>
    <xdr:from>
      <xdr:col>19</xdr:col>
      <xdr:colOff>220484</xdr:colOff>
      <xdr:row>162</xdr:row>
      <xdr:rowOff>7794</xdr:rowOff>
    </xdr:from>
    <xdr:to>
      <xdr:col>20</xdr:col>
      <xdr:colOff>95942</xdr:colOff>
      <xdr:row>163</xdr:row>
      <xdr:rowOff>160194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34EC85A-3E45-43CF-A4AF-18149F8A44F7}"/>
            </a:ext>
          </a:extLst>
        </xdr:cNvPr>
        <xdr:cNvSpPr/>
      </xdr:nvSpPr>
      <xdr:spPr>
        <a:xfrm>
          <a:off x="16994009" y="30916419"/>
          <a:ext cx="837483" cy="3524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28 Tinggi</a:t>
          </a:r>
        </a:p>
      </xdr:txBody>
    </xdr:sp>
    <xdr:clientData/>
  </xdr:twoCellAnchor>
  <xdr:oneCellAnchor>
    <xdr:from>
      <xdr:col>19</xdr:col>
      <xdr:colOff>268108</xdr:colOff>
      <xdr:row>159</xdr:row>
      <xdr:rowOff>104775</xdr:rowOff>
    </xdr:from>
    <xdr:ext cx="66675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08B4327-CDD5-4ED2-A83C-133E4F42150C}"/>
            </a:ext>
          </a:extLst>
        </xdr:cNvPr>
        <xdr:cNvSpPr txBox="1"/>
      </xdr:nvSpPr>
      <xdr:spPr>
        <a:xfrm>
          <a:off x="17041633" y="30413325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&gt;26.6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242252</xdr:colOff>
      <xdr:row>156</xdr:row>
      <xdr:rowOff>0</xdr:rowOff>
    </xdr:from>
    <xdr:to>
      <xdr:col>19</xdr:col>
      <xdr:colOff>287158</xdr:colOff>
      <xdr:row>160</xdr:row>
      <xdr:rowOff>7792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8E0F2C9-5FDA-442D-97C0-C272CC305990}"/>
            </a:ext>
          </a:extLst>
        </xdr:cNvPr>
        <xdr:cNvSpPr/>
      </xdr:nvSpPr>
      <xdr:spPr>
        <a:xfrm>
          <a:off x="15034577" y="29718000"/>
          <a:ext cx="2026106" cy="7983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JUMLAH</a:t>
          </a:r>
          <a:r>
            <a:rPr lang="en-US" sz="1100" baseline="0"/>
            <a:t> KASUS PER BULAN</a:t>
          </a:r>
          <a:endParaRPr lang="en-US" sz="1100"/>
        </a:p>
      </xdr:txBody>
    </xdr:sp>
    <xdr:clientData/>
  </xdr:twoCellAnchor>
  <xdr:twoCellAnchor>
    <xdr:from>
      <xdr:col>15</xdr:col>
      <xdr:colOff>535780</xdr:colOff>
      <xdr:row>159</xdr:row>
      <xdr:rowOff>85559</xdr:rowOff>
    </xdr:from>
    <xdr:to>
      <xdr:col>16</xdr:col>
      <xdr:colOff>481687</xdr:colOff>
      <xdr:row>162</xdr:row>
      <xdr:rowOff>11906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BF96E2E-4F73-470C-8820-66CE8923DDAA}"/>
            </a:ext>
          </a:extLst>
        </xdr:cNvPr>
        <xdr:cNvCxnSpPr>
          <a:stCxn id="2" idx="3"/>
        </xdr:cNvCxnSpPr>
      </xdr:nvCxnSpPr>
      <xdr:spPr>
        <a:xfrm flipH="1">
          <a:off x="14470855" y="30394109"/>
          <a:ext cx="803157" cy="5264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596158</xdr:colOff>
      <xdr:row>159</xdr:row>
      <xdr:rowOff>188768</xdr:rowOff>
    </xdr:from>
    <xdr:to>
      <xdr:col>18</xdr:col>
      <xdr:colOff>45938</xdr:colOff>
      <xdr:row>163</xdr:row>
      <xdr:rowOff>74469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1216CB6-03BB-40F7-979E-364810757038}"/>
            </a:ext>
          </a:extLst>
        </xdr:cNvPr>
        <xdr:cNvCxnSpPr/>
      </xdr:nvCxnSpPr>
      <xdr:spPr>
        <a:xfrm flipH="1">
          <a:off x="16169533" y="30497318"/>
          <a:ext cx="49855" cy="6858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43538</xdr:colOff>
      <xdr:row>159</xdr:row>
      <xdr:rowOff>85559</xdr:rowOff>
    </xdr:from>
    <xdr:to>
      <xdr:col>19</xdr:col>
      <xdr:colOff>611008</xdr:colOff>
      <xdr:row>162</xdr:row>
      <xdr:rowOff>7794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E5EBB24-8C8D-4AD6-9EC1-28DD8B0C8740}"/>
            </a:ext>
          </a:extLst>
        </xdr:cNvPr>
        <xdr:cNvCxnSpPr>
          <a:stCxn id="2" idx="5"/>
        </xdr:cNvCxnSpPr>
      </xdr:nvCxnSpPr>
      <xdr:spPr>
        <a:xfrm>
          <a:off x="16817063" y="30394109"/>
          <a:ext cx="567470" cy="5223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162</xdr:row>
      <xdr:rowOff>7793</xdr:rowOff>
    </xdr:from>
    <xdr:to>
      <xdr:col>16</xdr:col>
      <xdr:colOff>103188</xdr:colOff>
      <xdr:row>164</xdr:row>
      <xdr:rowOff>113285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13CE309-992D-4E3C-A7BB-022772EC275D}"/>
            </a:ext>
          </a:extLst>
        </xdr:cNvPr>
        <xdr:cNvSpPr/>
      </xdr:nvSpPr>
      <xdr:spPr>
        <a:xfrm>
          <a:off x="13935075" y="30916418"/>
          <a:ext cx="960438" cy="4960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18 Rendah</a:t>
          </a:r>
        </a:p>
        <a:p>
          <a:pPr algn="l"/>
          <a:r>
            <a:rPr lang="en-US" sz="1100"/>
            <a:t>6 Sedang</a:t>
          </a:r>
        </a:p>
        <a:p>
          <a:pPr algn="l"/>
          <a:endParaRPr lang="en-US" sz="1100"/>
        </a:p>
      </xdr:txBody>
    </xdr:sp>
    <xdr:clientData/>
  </xdr:twoCellAnchor>
  <xdr:oneCellAnchor>
    <xdr:from>
      <xdr:col>15</xdr:col>
      <xdr:colOff>428624</xdr:colOff>
      <xdr:row>159</xdr:row>
      <xdr:rowOff>148288</xdr:rowOff>
    </xdr:from>
    <xdr:ext cx="66675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D0DA42B-B7E5-4D1A-A699-835FAC80A397}"/>
            </a:ext>
          </a:extLst>
        </xdr:cNvPr>
        <xdr:cNvSpPr txBox="1"/>
      </xdr:nvSpPr>
      <xdr:spPr>
        <a:xfrm>
          <a:off x="14363699" y="30456838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&lt;11</a:t>
          </a:r>
          <a:endParaRPr lang="en-US">
            <a:effectLst/>
          </a:endParaRPr>
        </a:p>
      </xdr:txBody>
    </xdr:sp>
    <xdr:clientData/>
  </xdr:oneCellAnchor>
  <xdr:oneCellAnchor>
    <xdr:from>
      <xdr:col>16</xdr:col>
      <xdr:colOff>505619</xdr:colOff>
      <xdr:row>160</xdr:row>
      <xdr:rowOff>131618</xdr:rowOff>
    </xdr:from>
    <xdr:ext cx="116205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72F29F1-34F3-4C20-8B97-BDFE07F1656D}"/>
                </a:ext>
              </a:extLst>
            </xdr:cNvPr>
            <xdr:cNvSpPr txBox="1"/>
          </xdr:nvSpPr>
          <xdr:spPr>
            <a:xfrm>
              <a:off x="15297944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sz="1100"/>
                <a:t>11 - &gt; 24</a:t>
              </a:r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72F29F1-34F3-4C20-8B97-BDFE07F1656D}"/>
                </a:ext>
              </a:extLst>
            </xdr:cNvPr>
            <xdr:cNvSpPr txBox="1"/>
          </xdr:nvSpPr>
          <xdr:spPr>
            <a:xfrm>
              <a:off x="15297944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n-US" sz="1100"/>
                <a:t>11 - &gt; 24</a:t>
              </a:r>
            </a:p>
          </xdr:txBody>
        </xdr:sp>
      </mc:Fallback>
    </mc:AlternateContent>
    <xdr:clientData/>
  </xdr:oneCellAnchor>
  <xdr:twoCellAnchor>
    <xdr:from>
      <xdr:col>17</xdr:col>
      <xdr:colOff>186583</xdr:colOff>
      <xdr:row>163</xdr:row>
      <xdr:rowOff>64943</xdr:rowOff>
    </xdr:from>
    <xdr:to>
      <xdr:col>18</xdr:col>
      <xdr:colOff>481858</xdr:colOff>
      <xdr:row>165</xdr:row>
      <xdr:rowOff>161628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BA885B3-D080-4272-B658-69B6E8C6FD89}"/>
            </a:ext>
          </a:extLst>
        </xdr:cNvPr>
        <xdr:cNvSpPr/>
      </xdr:nvSpPr>
      <xdr:spPr>
        <a:xfrm>
          <a:off x="15759958" y="31173593"/>
          <a:ext cx="895350" cy="4776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65 Sedang</a:t>
          </a:r>
        </a:p>
        <a:p>
          <a:pPr algn="l"/>
          <a:r>
            <a:rPr lang="en-US" sz="1100" baseline="0"/>
            <a:t>48 Tinggi</a:t>
          </a:r>
        </a:p>
      </xdr:txBody>
    </xdr:sp>
    <xdr:clientData/>
  </xdr:twoCellAnchor>
  <xdr:twoCellAnchor>
    <xdr:from>
      <xdr:col>19</xdr:col>
      <xdr:colOff>220484</xdr:colOff>
      <xdr:row>162</xdr:row>
      <xdr:rowOff>7794</xdr:rowOff>
    </xdr:from>
    <xdr:to>
      <xdr:col>20</xdr:col>
      <xdr:colOff>95942</xdr:colOff>
      <xdr:row>163</xdr:row>
      <xdr:rowOff>160194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7BAD26A-7CC4-4BD0-A9FE-DC56A3354F62}"/>
            </a:ext>
          </a:extLst>
        </xdr:cNvPr>
        <xdr:cNvSpPr/>
      </xdr:nvSpPr>
      <xdr:spPr>
        <a:xfrm>
          <a:off x="16994009" y="30916419"/>
          <a:ext cx="837483" cy="3524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26 Tinggi</a:t>
          </a:r>
        </a:p>
      </xdr:txBody>
    </xdr:sp>
    <xdr:clientData/>
  </xdr:twoCellAnchor>
  <xdr:oneCellAnchor>
    <xdr:from>
      <xdr:col>19</xdr:col>
      <xdr:colOff>268108</xdr:colOff>
      <xdr:row>159</xdr:row>
      <xdr:rowOff>104775</xdr:rowOff>
    </xdr:from>
    <xdr:ext cx="66675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7BB2127-18C7-4FFD-A6C4-C80C1968A8EE}"/>
            </a:ext>
          </a:extLst>
        </xdr:cNvPr>
        <xdr:cNvSpPr txBox="1"/>
      </xdr:nvSpPr>
      <xdr:spPr>
        <a:xfrm>
          <a:off x="17041633" y="30413325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&gt;24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242252</xdr:colOff>
      <xdr:row>156</xdr:row>
      <xdr:rowOff>0</xdr:rowOff>
    </xdr:from>
    <xdr:to>
      <xdr:col>19</xdr:col>
      <xdr:colOff>287158</xdr:colOff>
      <xdr:row>160</xdr:row>
      <xdr:rowOff>7792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304D18E-C3F1-40B1-B464-98E32A6D5D00}"/>
            </a:ext>
          </a:extLst>
        </xdr:cNvPr>
        <xdr:cNvSpPr/>
      </xdr:nvSpPr>
      <xdr:spPr>
        <a:xfrm>
          <a:off x="15034577" y="29718000"/>
          <a:ext cx="2026106" cy="7983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JUMLAH</a:t>
          </a:r>
          <a:r>
            <a:rPr lang="en-US" sz="1100" baseline="0"/>
            <a:t> KASUS PER BULAN</a:t>
          </a:r>
          <a:endParaRPr lang="en-US" sz="1100"/>
        </a:p>
      </xdr:txBody>
    </xdr:sp>
    <xdr:clientData/>
  </xdr:twoCellAnchor>
  <xdr:twoCellAnchor>
    <xdr:from>
      <xdr:col>15</xdr:col>
      <xdr:colOff>535780</xdr:colOff>
      <xdr:row>159</xdr:row>
      <xdr:rowOff>85559</xdr:rowOff>
    </xdr:from>
    <xdr:to>
      <xdr:col>16</xdr:col>
      <xdr:colOff>481687</xdr:colOff>
      <xdr:row>162</xdr:row>
      <xdr:rowOff>11906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FE11B05-3E7B-4581-8FDB-BEFA7C8BA901}"/>
            </a:ext>
          </a:extLst>
        </xdr:cNvPr>
        <xdr:cNvCxnSpPr>
          <a:stCxn id="2" idx="3"/>
        </xdr:cNvCxnSpPr>
      </xdr:nvCxnSpPr>
      <xdr:spPr>
        <a:xfrm flipH="1">
          <a:off x="14470855" y="30394109"/>
          <a:ext cx="803157" cy="5264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596158</xdr:colOff>
      <xdr:row>159</xdr:row>
      <xdr:rowOff>188768</xdr:rowOff>
    </xdr:from>
    <xdr:to>
      <xdr:col>18</xdr:col>
      <xdr:colOff>45938</xdr:colOff>
      <xdr:row>163</xdr:row>
      <xdr:rowOff>74469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21361F4-39A0-4EF2-83BF-08C1507DB590}"/>
            </a:ext>
          </a:extLst>
        </xdr:cNvPr>
        <xdr:cNvCxnSpPr/>
      </xdr:nvCxnSpPr>
      <xdr:spPr>
        <a:xfrm flipH="1">
          <a:off x="16169533" y="30497318"/>
          <a:ext cx="49855" cy="6858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43538</xdr:colOff>
      <xdr:row>159</xdr:row>
      <xdr:rowOff>85559</xdr:rowOff>
    </xdr:from>
    <xdr:to>
      <xdr:col>19</xdr:col>
      <xdr:colOff>611008</xdr:colOff>
      <xdr:row>162</xdr:row>
      <xdr:rowOff>7794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6CF9FEE-5E44-4294-BAD8-66AD2F48C13E}"/>
            </a:ext>
          </a:extLst>
        </xdr:cNvPr>
        <xdr:cNvCxnSpPr>
          <a:stCxn id="2" idx="5"/>
        </xdr:cNvCxnSpPr>
      </xdr:nvCxnSpPr>
      <xdr:spPr>
        <a:xfrm>
          <a:off x="16817063" y="30394109"/>
          <a:ext cx="567470" cy="5223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162</xdr:row>
      <xdr:rowOff>7793</xdr:rowOff>
    </xdr:from>
    <xdr:to>
      <xdr:col>16</xdr:col>
      <xdr:colOff>103188</xdr:colOff>
      <xdr:row>164</xdr:row>
      <xdr:rowOff>113285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4837B8F-9A18-4D65-9690-364B5A2F3512}"/>
            </a:ext>
          </a:extLst>
        </xdr:cNvPr>
        <xdr:cNvSpPr/>
      </xdr:nvSpPr>
      <xdr:spPr>
        <a:xfrm>
          <a:off x="13935075" y="30916418"/>
          <a:ext cx="960438" cy="4960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8 Rendah</a:t>
          </a:r>
        </a:p>
        <a:p>
          <a:pPr algn="l"/>
          <a:r>
            <a:rPr lang="en-US" sz="1100"/>
            <a:t>26 Sedang</a:t>
          </a:r>
        </a:p>
        <a:p>
          <a:pPr algn="l"/>
          <a:endParaRPr lang="en-US" sz="1100"/>
        </a:p>
      </xdr:txBody>
    </xdr:sp>
    <xdr:clientData/>
  </xdr:twoCellAnchor>
  <xdr:oneCellAnchor>
    <xdr:from>
      <xdr:col>15</xdr:col>
      <xdr:colOff>428624</xdr:colOff>
      <xdr:row>159</xdr:row>
      <xdr:rowOff>148288</xdr:rowOff>
    </xdr:from>
    <xdr:ext cx="66675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1A73E45-E695-4E22-B815-B95F9EBA5A36}"/>
            </a:ext>
          </a:extLst>
        </xdr:cNvPr>
        <xdr:cNvSpPr txBox="1"/>
      </xdr:nvSpPr>
      <xdr:spPr>
        <a:xfrm>
          <a:off x="14363699" y="30456838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&lt;11</a:t>
          </a:r>
          <a:endParaRPr lang="en-US">
            <a:effectLst/>
          </a:endParaRPr>
        </a:p>
      </xdr:txBody>
    </xdr:sp>
    <xdr:clientData/>
  </xdr:oneCellAnchor>
  <xdr:oneCellAnchor>
    <xdr:from>
      <xdr:col>16</xdr:col>
      <xdr:colOff>505619</xdr:colOff>
      <xdr:row>160</xdr:row>
      <xdr:rowOff>131618</xdr:rowOff>
    </xdr:from>
    <xdr:ext cx="116205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1338E58-E3A1-49E4-8645-A34E38CEB73D}"/>
                </a:ext>
              </a:extLst>
            </xdr:cNvPr>
            <xdr:cNvSpPr txBox="1"/>
          </xdr:nvSpPr>
          <xdr:spPr>
            <a:xfrm>
              <a:off x="15297944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sz="1100"/>
                <a:t>11 - &gt; 24</a:t>
              </a:r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1338E58-E3A1-49E4-8645-A34E38CEB73D}"/>
                </a:ext>
              </a:extLst>
            </xdr:cNvPr>
            <xdr:cNvSpPr txBox="1"/>
          </xdr:nvSpPr>
          <xdr:spPr>
            <a:xfrm>
              <a:off x="15297944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n-US" sz="1100"/>
                <a:t>11 - &gt; 24</a:t>
              </a:r>
            </a:p>
          </xdr:txBody>
        </xdr:sp>
      </mc:Fallback>
    </mc:AlternateContent>
    <xdr:clientData/>
  </xdr:oneCellAnchor>
  <xdr:twoCellAnchor>
    <xdr:from>
      <xdr:col>17</xdr:col>
      <xdr:colOff>186583</xdr:colOff>
      <xdr:row>163</xdr:row>
      <xdr:rowOff>64943</xdr:rowOff>
    </xdr:from>
    <xdr:to>
      <xdr:col>18</xdr:col>
      <xdr:colOff>481858</xdr:colOff>
      <xdr:row>165</xdr:row>
      <xdr:rowOff>161628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40B6F4E-2752-4120-BE73-6C66CB40BD15}"/>
            </a:ext>
          </a:extLst>
        </xdr:cNvPr>
        <xdr:cNvSpPr/>
      </xdr:nvSpPr>
      <xdr:spPr>
        <a:xfrm>
          <a:off x="15759958" y="31173593"/>
          <a:ext cx="895350" cy="4776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65 Sedang</a:t>
          </a:r>
        </a:p>
        <a:p>
          <a:pPr algn="l"/>
          <a:r>
            <a:rPr lang="en-US" sz="1100" baseline="0"/>
            <a:t>39 Tinggi</a:t>
          </a:r>
        </a:p>
      </xdr:txBody>
    </xdr:sp>
    <xdr:clientData/>
  </xdr:twoCellAnchor>
  <xdr:twoCellAnchor>
    <xdr:from>
      <xdr:col>19</xdr:col>
      <xdr:colOff>220484</xdr:colOff>
      <xdr:row>162</xdr:row>
      <xdr:rowOff>7794</xdr:rowOff>
    </xdr:from>
    <xdr:to>
      <xdr:col>20</xdr:col>
      <xdr:colOff>95942</xdr:colOff>
      <xdr:row>163</xdr:row>
      <xdr:rowOff>160194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CCBA97E-1051-434F-AFD4-44ED2A872FF9}"/>
            </a:ext>
          </a:extLst>
        </xdr:cNvPr>
        <xdr:cNvSpPr/>
      </xdr:nvSpPr>
      <xdr:spPr>
        <a:xfrm>
          <a:off x="16994009" y="30916419"/>
          <a:ext cx="837483" cy="3524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25 Tinggi</a:t>
          </a:r>
        </a:p>
      </xdr:txBody>
    </xdr:sp>
    <xdr:clientData/>
  </xdr:twoCellAnchor>
  <xdr:oneCellAnchor>
    <xdr:from>
      <xdr:col>19</xdr:col>
      <xdr:colOff>268108</xdr:colOff>
      <xdr:row>159</xdr:row>
      <xdr:rowOff>104775</xdr:rowOff>
    </xdr:from>
    <xdr:ext cx="66675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36AB6DF-3BEE-43D5-9404-7C0DD509613E}"/>
            </a:ext>
          </a:extLst>
        </xdr:cNvPr>
        <xdr:cNvSpPr txBox="1"/>
      </xdr:nvSpPr>
      <xdr:spPr>
        <a:xfrm>
          <a:off x="17041633" y="30413325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&gt;24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242252</xdr:colOff>
      <xdr:row>155</xdr:row>
      <xdr:rowOff>165229</xdr:rowOff>
    </xdr:from>
    <xdr:to>
      <xdr:col>19</xdr:col>
      <xdr:colOff>287158</xdr:colOff>
      <xdr:row>159</xdr:row>
      <xdr:rowOff>182740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D7F6D8B-150C-498B-9FAB-0661D2C3F4BF}"/>
            </a:ext>
          </a:extLst>
        </xdr:cNvPr>
        <xdr:cNvSpPr/>
      </xdr:nvSpPr>
      <xdr:spPr>
        <a:xfrm>
          <a:off x="15044880" y="30295331"/>
          <a:ext cx="2027661" cy="81450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JUMLAH</a:t>
          </a:r>
          <a:r>
            <a:rPr lang="en-US" sz="1100" baseline="0"/>
            <a:t> KASUS PER BULAN</a:t>
          </a:r>
          <a:endParaRPr lang="en-US" sz="1100"/>
        </a:p>
      </xdr:txBody>
    </xdr:sp>
    <xdr:clientData/>
  </xdr:twoCellAnchor>
  <xdr:twoCellAnchor>
    <xdr:from>
      <xdr:col>15</xdr:col>
      <xdr:colOff>535780</xdr:colOff>
      <xdr:row>159</xdr:row>
      <xdr:rowOff>56400</xdr:rowOff>
    </xdr:from>
    <xdr:to>
      <xdr:col>16</xdr:col>
      <xdr:colOff>481687</xdr:colOff>
      <xdr:row>161</xdr:row>
      <xdr:rowOff>186854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042876F-3148-4A3A-99DD-507365C946E7}"/>
            </a:ext>
          </a:extLst>
        </xdr:cNvPr>
        <xdr:cNvCxnSpPr>
          <a:stCxn id="2" idx="3"/>
        </xdr:cNvCxnSpPr>
      </xdr:nvCxnSpPr>
      <xdr:spPr>
        <a:xfrm flipH="1">
          <a:off x="14483101" y="30983492"/>
          <a:ext cx="801214" cy="53866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596158</xdr:colOff>
      <xdr:row>159</xdr:row>
      <xdr:rowOff>159609</xdr:rowOff>
    </xdr:from>
    <xdr:to>
      <xdr:col>18</xdr:col>
      <xdr:colOff>45938</xdr:colOff>
      <xdr:row>163</xdr:row>
      <xdr:rowOff>45310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BD64CEB-872C-42DC-B09F-67139273210C}"/>
            </a:ext>
          </a:extLst>
        </xdr:cNvPr>
        <xdr:cNvCxnSpPr/>
      </xdr:nvCxnSpPr>
      <xdr:spPr>
        <a:xfrm flipH="1">
          <a:off x="16176337" y="31086701"/>
          <a:ext cx="52382" cy="7021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43538</xdr:colOff>
      <xdr:row>159</xdr:row>
      <xdr:rowOff>56400</xdr:rowOff>
    </xdr:from>
    <xdr:to>
      <xdr:col>19</xdr:col>
      <xdr:colOff>611008</xdr:colOff>
      <xdr:row>161</xdr:row>
      <xdr:rowOff>182742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DE858D5-7EE2-4B69-AF09-B559F7205F5A}"/>
            </a:ext>
          </a:extLst>
        </xdr:cNvPr>
        <xdr:cNvCxnSpPr>
          <a:stCxn id="2" idx="5"/>
        </xdr:cNvCxnSpPr>
      </xdr:nvCxnSpPr>
      <xdr:spPr>
        <a:xfrm>
          <a:off x="16828921" y="30983492"/>
          <a:ext cx="567470" cy="53455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161</xdr:row>
      <xdr:rowOff>182741</xdr:rowOff>
    </xdr:from>
    <xdr:to>
      <xdr:col>16</xdr:col>
      <xdr:colOff>103188</xdr:colOff>
      <xdr:row>164</xdr:row>
      <xdr:rowOff>84126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F22CED3-0A41-4F3E-8248-C7073C56B899}"/>
            </a:ext>
          </a:extLst>
        </xdr:cNvPr>
        <xdr:cNvSpPr/>
      </xdr:nvSpPr>
      <xdr:spPr>
        <a:xfrm>
          <a:off x="13947321" y="31518047"/>
          <a:ext cx="958495" cy="50398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12 Rendah</a:t>
          </a:r>
        </a:p>
        <a:p>
          <a:pPr algn="l"/>
          <a:r>
            <a:rPr lang="en-US" sz="1100"/>
            <a:t>45 Sedang</a:t>
          </a:r>
        </a:p>
        <a:p>
          <a:pPr algn="l"/>
          <a:endParaRPr lang="en-US" sz="1100"/>
        </a:p>
      </xdr:txBody>
    </xdr:sp>
    <xdr:clientData/>
  </xdr:twoCellAnchor>
  <xdr:oneCellAnchor>
    <xdr:from>
      <xdr:col>15</xdr:col>
      <xdr:colOff>428624</xdr:colOff>
      <xdr:row>159</xdr:row>
      <xdr:rowOff>119129</xdr:rowOff>
    </xdr:from>
    <xdr:ext cx="66675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89F4707-CDDD-4E02-8D48-039E98565425}"/>
            </a:ext>
          </a:extLst>
        </xdr:cNvPr>
        <xdr:cNvSpPr txBox="1"/>
      </xdr:nvSpPr>
      <xdr:spPr>
        <a:xfrm>
          <a:off x="14375945" y="31046221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&lt;13</a:t>
          </a:r>
          <a:endParaRPr lang="en-US">
            <a:effectLst/>
          </a:endParaRPr>
        </a:p>
      </xdr:txBody>
    </xdr:sp>
    <xdr:clientData/>
  </xdr:oneCellAnchor>
  <xdr:oneCellAnchor>
    <xdr:from>
      <xdr:col>16</xdr:col>
      <xdr:colOff>505619</xdr:colOff>
      <xdr:row>160</xdr:row>
      <xdr:rowOff>102459</xdr:rowOff>
    </xdr:from>
    <xdr:ext cx="116205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54BCC8A-9DC2-44FC-9670-39C2B4F92DD4}"/>
                </a:ext>
              </a:extLst>
            </xdr:cNvPr>
            <xdr:cNvSpPr txBox="1"/>
          </xdr:nvSpPr>
          <xdr:spPr>
            <a:xfrm>
              <a:off x="15308247" y="31233658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sz="1100"/>
                <a:t>11 - &gt; 27</a:t>
              </a:r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54BCC8A-9DC2-44FC-9670-39C2B4F92DD4}"/>
                </a:ext>
              </a:extLst>
            </xdr:cNvPr>
            <xdr:cNvSpPr txBox="1"/>
          </xdr:nvSpPr>
          <xdr:spPr>
            <a:xfrm>
              <a:off x="15308247" y="31233658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n-US" sz="1100"/>
                <a:t>11 - &gt; 27</a:t>
              </a:r>
            </a:p>
          </xdr:txBody>
        </xdr:sp>
      </mc:Fallback>
    </mc:AlternateContent>
    <xdr:clientData/>
  </xdr:oneCellAnchor>
  <xdr:twoCellAnchor>
    <xdr:from>
      <xdr:col>17</xdr:col>
      <xdr:colOff>186583</xdr:colOff>
      <xdr:row>163</xdr:row>
      <xdr:rowOff>35784</xdr:rowOff>
    </xdr:from>
    <xdr:to>
      <xdr:col>18</xdr:col>
      <xdr:colOff>481858</xdr:colOff>
      <xdr:row>165</xdr:row>
      <xdr:rowOff>132469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F0DB8F5-327A-4043-AA32-F6AC78BB79CE}"/>
            </a:ext>
          </a:extLst>
        </xdr:cNvPr>
        <xdr:cNvSpPr/>
      </xdr:nvSpPr>
      <xdr:spPr>
        <a:xfrm>
          <a:off x="15766762" y="31779304"/>
          <a:ext cx="897877" cy="4854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30 Sedang</a:t>
          </a:r>
        </a:p>
        <a:p>
          <a:pPr algn="l"/>
          <a:r>
            <a:rPr lang="en-US" sz="1100" baseline="0"/>
            <a:t>47 Tinggi</a:t>
          </a:r>
        </a:p>
      </xdr:txBody>
    </xdr:sp>
    <xdr:clientData/>
  </xdr:twoCellAnchor>
  <xdr:twoCellAnchor>
    <xdr:from>
      <xdr:col>19</xdr:col>
      <xdr:colOff>220484</xdr:colOff>
      <xdr:row>162</xdr:row>
      <xdr:rowOff>7794</xdr:rowOff>
    </xdr:from>
    <xdr:to>
      <xdr:col>20</xdr:col>
      <xdr:colOff>95942</xdr:colOff>
      <xdr:row>163</xdr:row>
      <xdr:rowOff>160194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588EDB-76FB-4B0E-895B-076B73E6FF3C}"/>
            </a:ext>
          </a:extLst>
        </xdr:cNvPr>
        <xdr:cNvSpPr/>
      </xdr:nvSpPr>
      <xdr:spPr>
        <a:xfrm>
          <a:off x="16994009" y="30916419"/>
          <a:ext cx="837483" cy="3524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29 Tinggi</a:t>
          </a:r>
        </a:p>
      </xdr:txBody>
    </xdr:sp>
    <xdr:clientData/>
  </xdr:twoCellAnchor>
  <xdr:oneCellAnchor>
    <xdr:from>
      <xdr:col>19</xdr:col>
      <xdr:colOff>268108</xdr:colOff>
      <xdr:row>159</xdr:row>
      <xdr:rowOff>104775</xdr:rowOff>
    </xdr:from>
    <xdr:ext cx="66675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58F5918-EBC3-4AD2-96E4-021086899DE0}"/>
            </a:ext>
          </a:extLst>
        </xdr:cNvPr>
        <xdr:cNvSpPr txBox="1"/>
      </xdr:nvSpPr>
      <xdr:spPr>
        <a:xfrm>
          <a:off x="17041633" y="30413325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&gt;27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242252</xdr:colOff>
      <xdr:row>156</xdr:row>
      <xdr:rowOff>0</xdr:rowOff>
    </xdr:from>
    <xdr:to>
      <xdr:col>19</xdr:col>
      <xdr:colOff>287158</xdr:colOff>
      <xdr:row>160</xdr:row>
      <xdr:rowOff>7792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25EB65F-A5C8-4440-A892-6210901D2F15}"/>
            </a:ext>
          </a:extLst>
        </xdr:cNvPr>
        <xdr:cNvSpPr/>
      </xdr:nvSpPr>
      <xdr:spPr>
        <a:xfrm>
          <a:off x="15034577" y="29718000"/>
          <a:ext cx="2026106" cy="798367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JUMLAH</a:t>
          </a:r>
          <a:r>
            <a:rPr lang="en-US" sz="1100" baseline="0"/>
            <a:t> KASUS PER BULAN</a:t>
          </a:r>
          <a:endParaRPr lang="en-US" sz="1100"/>
        </a:p>
      </xdr:txBody>
    </xdr:sp>
    <xdr:clientData/>
  </xdr:twoCellAnchor>
  <xdr:twoCellAnchor>
    <xdr:from>
      <xdr:col>15</xdr:col>
      <xdr:colOff>535780</xdr:colOff>
      <xdr:row>159</xdr:row>
      <xdr:rowOff>85559</xdr:rowOff>
    </xdr:from>
    <xdr:to>
      <xdr:col>16</xdr:col>
      <xdr:colOff>481687</xdr:colOff>
      <xdr:row>162</xdr:row>
      <xdr:rowOff>11906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778D869-A6FD-44EB-8A44-9FC44D18DDC3}"/>
            </a:ext>
          </a:extLst>
        </xdr:cNvPr>
        <xdr:cNvCxnSpPr>
          <a:stCxn id="2" idx="3"/>
        </xdr:cNvCxnSpPr>
      </xdr:nvCxnSpPr>
      <xdr:spPr>
        <a:xfrm flipH="1">
          <a:off x="14470855" y="30394109"/>
          <a:ext cx="803157" cy="5264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596158</xdr:colOff>
      <xdr:row>159</xdr:row>
      <xdr:rowOff>188768</xdr:rowOff>
    </xdr:from>
    <xdr:to>
      <xdr:col>18</xdr:col>
      <xdr:colOff>45938</xdr:colOff>
      <xdr:row>163</xdr:row>
      <xdr:rowOff>74469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AEE904B-618F-4A5D-8C42-067FC659778F}"/>
            </a:ext>
          </a:extLst>
        </xdr:cNvPr>
        <xdr:cNvCxnSpPr/>
      </xdr:nvCxnSpPr>
      <xdr:spPr>
        <a:xfrm flipH="1">
          <a:off x="16169533" y="30497318"/>
          <a:ext cx="49855" cy="6858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43538</xdr:colOff>
      <xdr:row>159</xdr:row>
      <xdr:rowOff>85559</xdr:rowOff>
    </xdr:from>
    <xdr:to>
      <xdr:col>19</xdr:col>
      <xdr:colOff>611008</xdr:colOff>
      <xdr:row>162</xdr:row>
      <xdr:rowOff>7794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903CCC8-9529-49C4-A272-1DD93E5AC78E}"/>
            </a:ext>
          </a:extLst>
        </xdr:cNvPr>
        <xdr:cNvCxnSpPr>
          <a:stCxn id="2" idx="5"/>
        </xdr:cNvCxnSpPr>
      </xdr:nvCxnSpPr>
      <xdr:spPr>
        <a:xfrm>
          <a:off x="16817063" y="30394109"/>
          <a:ext cx="567470" cy="5223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162</xdr:row>
      <xdr:rowOff>7793</xdr:rowOff>
    </xdr:from>
    <xdr:to>
      <xdr:col>16</xdr:col>
      <xdr:colOff>103188</xdr:colOff>
      <xdr:row>164</xdr:row>
      <xdr:rowOff>113285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8D22539-0D2F-432F-94D9-4769183973CA}"/>
            </a:ext>
          </a:extLst>
        </xdr:cNvPr>
        <xdr:cNvSpPr/>
      </xdr:nvSpPr>
      <xdr:spPr>
        <a:xfrm>
          <a:off x="13935075" y="30916418"/>
          <a:ext cx="960438" cy="4960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11 Rendah</a:t>
          </a:r>
        </a:p>
        <a:p>
          <a:pPr algn="l"/>
          <a:r>
            <a:rPr lang="en-US" sz="1100"/>
            <a:t>24 Sedang</a:t>
          </a:r>
        </a:p>
        <a:p>
          <a:pPr algn="l"/>
          <a:endParaRPr lang="en-US" sz="1100"/>
        </a:p>
      </xdr:txBody>
    </xdr:sp>
    <xdr:clientData/>
  </xdr:twoCellAnchor>
  <xdr:oneCellAnchor>
    <xdr:from>
      <xdr:col>15</xdr:col>
      <xdr:colOff>428624</xdr:colOff>
      <xdr:row>159</xdr:row>
      <xdr:rowOff>148288</xdr:rowOff>
    </xdr:from>
    <xdr:ext cx="66675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5EEEDA6-F164-4B9B-A222-2648EB325C88}"/>
            </a:ext>
          </a:extLst>
        </xdr:cNvPr>
        <xdr:cNvSpPr txBox="1"/>
      </xdr:nvSpPr>
      <xdr:spPr>
        <a:xfrm>
          <a:off x="14363699" y="30456838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&lt;13</a:t>
          </a:r>
          <a:endParaRPr lang="en-US">
            <a:effectLst/>
          </a:endParaRPr>
        </a:p>
      </xdr:txBody>
    </xdr:sp>
    <xdr:clientData/>
  </xdr:oneCellAnchor>
  <xdr:oneCellAnchor>
    <xdr:from>
      <xdr:col>16</xdr:col>
      <xdr:colOff>505619</xdr:colOff>
      <xdr:row>160</xdr:row>
      <xdr:rowOff>131618</xdr:rowOff>
    </xdr:from>
    <xdr:ext cx="116205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6143993-11B4-47CB-963A-44D5829A6302}"/>
                </a:ext>
              </a:extLst>
            </xdr:cNvPr>
            <xdr:cNvSpPr txBox="1"/>
          </xdr:nvSpPr>
          <xdr:spPr>
            <a:xfrm>
              <a:off x="15297944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≤</m:t>
                  </m:r>
                </m:oMath>
              </a14:m>
              <a:r>
                <a:rPr lang="en-US" sz="1100"/>
                <a:t>11 - &gt; 25</a:t>
              </a:r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6143993-11B4-47CB-963A-44D5829A6302}"/>
                </a:ext>
              </a:extLst>
            </xdr:cNvPr>
            <xdr:cNvSpPr txBox="1"/>
          </xdr:nvSpPr>
          <xdr:spPr>
            <a:xfrm>
              <a:off x="15297944" y="30640193"/>
              <a:ext cx="116205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n-US" sz="1100"/>
                <a:t>11 - &gt; 25</a:t>
              </a:r>
            </a:p>
          </xdr:txBody>
        </xdr:sp>
      </mc:Fallback>
    </mc:AlternateContent>
    <xdr:clientData/>
  </xdr:oneCellAnchor>
  <xdr:twoCellAnchor>
    <xdr:from>
      <xdr:col>17</xdr:col>
      <xdr:colOff>186583</xdr:colOff>
      <xdr:row>163</xdr:row>
      <xdr:rowOff>64943</xdr:rowOff>
    </xdr:from>
    <xdr:to>
      <xdr:col>18</xdr:col>
      <xdr:colOff>481858</xdr:colOff>
      <xdr:row>165</xdr:row>
      <xdr:rowOff>161628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A06B9B2-DFFB-4970-9ACA-EC2404C1A31C}"/>
            </a:ext>
          </a:extLst>
        </xdr:cNvPr>
        <xdr:cNvSpPr/>
      </xdr:nvSpPr>
      <xdr:spPr>
        <a:xfrm>
          <a:off x="15759958" y="31173593"/>
          <a:ext cx="895350" cy="4776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59 Sedang</a:t>
          </a:r>
        </a:p>
        <a:p>
          <a:pPr algn="l"/>
          <a:r>
            <a:rPr lang="en-US" sz="1100" baseline="0"/>
            <a:t>40 Tinggi</a:t>
          </a:r>
        </a:p>
      </xdr:txBody>
    </xdr:sp>
    <xdr:clientData/>
  </xdr:twoCellAnchor>
  <xdr:twoCellAnchor>
    <xdr:from>
      <xdr:col>19</xdr:col>
      <xdr:colOff>220484</xdr:colOff>
      <xdr:row>162</xdr:row>
      <xdr:rowOff>7794</xdr:rowOff>
    </xdr:from>
    <xdr:to>
      <xdr:col>20</xdr:col>
      <xdr:colOff>95942</xdr:colOff>
      <xdr:row>163</xdr:row>
      <xdr:rowOff>160194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D36DD5E-A602-4292-AEA9-1B54F61E6C3E}"/>
            </a:ext>
          </a:extLst>
        </xdr:cNvPr>
        <xdr:cNvSpPr/>
      </xdr:nvSpPr>
      <xdr:spPr>
        <a:xfrm>
          <a:off x="16994009" y="30916419"/>
          <a:ext cx="837483" cy="3524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29 Tinggi</a:t>
          </a:r>
        </a:p>
      </xdr:txBody>
    </xdr:sp>
    <xdr:clientData/>
  </xdr:twoCellAnchor>
  <xdr:oneCellAnchor>
    <xdr:from>
      <xdr:col>19</xdr:col>
      <xdr:colOff>268108</xdr:colOff>
      <xdr:row>159</xdr:row>
      <xdr:rowOff>104775</xdr:rowOff>
    </xdr:from>
    <xdr:ext cx="66675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B313B4A-A1A7-44F7-8C10-6E0651B1EF39}"/>
            </a:ext>
          </a:extLst>
        </xdr:cNvPr>
        <xdr:cNvSpPr txBox="1"/>
      </xdr:nvSpPr>
      <xdr:spPr>
        <a:xfrm>
          <a:off x="17041633" y="30413325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&gt;25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"/>
  <sheetViews>
    <sheetView tabSelected="1" topLeftCell="A79" zoomScaleNormal="100" workbookViewId="0">
      <selection activeCell="D158" sqref="D158"/>
    </sheetView>
  </sheetViews>
  <sheetFormatPr defaultColWidth="9" defaultRowHeight="15"/>
  <cols>
    <col min="1" max="1" width="20.7109375" customWidth="1"/>
    <col min="3" max="3" width="15.85546875" customWidth="1"/>
    <col min="4" max="4" width="21.5703125" customWidth="1"/>
    <col min="5" max="5" width="13.28515625" customWidth="1"/>
    <col min="6" max="6" width="16" customWidth="1"/>
  </cols>
  <sheetData>
    <row r="1" spans="1:6" ht="15.7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5" t="s">
        <v>255</v>
      </c>
    </row>
    <row r="2" spans="1:6" ht="15.75">
      <c r="A2" s="49" t="s">
        <v>6</v>
      </c>
      <c r="B2" s="49">
        <v>34</v>
      </c>
      <c r="C2" s="49">
        <v>3</v>
      </c>
      <c r="D2" s="49">
        <v>12</v>
      </c>
      <c r="E2" s="49">
        <v>0</v>
      </c>
      <c r="F2" s="47">
        <v>2</v>
      </c>
    </row>
    <row r="3" spans="1:6" ht="15.75">
      <c r="A3" s="49" t="s">
        <v>8</v>
      </c>
      <c r="B3" s="49">
        <v>43</v>
      </c>
      <c r="C3" s="49">
        <v>3</v>
      </c>
      <c r="D3" s="49">
        <v>12</v>
      </c>
      <c r="E3" s="49">
        <v>1</v>
      </c>
      <c r="F3" s="47">
        <v>2</v>
      </c>
    </row>
    <row r="4" spans="1:6" ht="15.75">
      <c r="A4" s="49" t="s">
        <v>9</v>
      </c>
      <c r="B4" s="49">
        <v>23</v>
      </c>
      <c r="C4" s="49">
        <v>5</v>
      </c>
      <c r="D4" s="49">
        <v>12</v>
      </c>
      <c r="E4" s="49">
        <v>0</v>
      </c>
      <c r="F4" s="47">
        <v>2</v>
      </c>
    </row>
    <row r="5" spans="1:6" ht="15.75">
      <c r="A5" s="49" t="s">
        <v>10</v>
      </c>
      <c r="B5" s="49">
        <v>18</v>
      </c>
      <c r="C5" s="49">
        <v>2</v>
      </c>
      <c r="D5" s="49">
        <v>12</v>
      </c>
      <c r="E5" s="49">
        <v>1</v>
      </c>
      <c r="F5" s="47">
        <v>2</v>
      </c>
    </row>
    <row r="6" spans="1:6" ht="15.75">
      <c r="A6" s="49" t="s">
        <v>11</v>
      </c>
      <c r="B6" s="49">
        <v>14</v>
      </c>
      <c r="C6" s="49">
        <v>4</v>
      </c>
      <c r="D6" s="49">
        <v>12</v>
      </c>
      <c r="E6" s="49">
        <v>0</v>
      </c>
      <c r="F6" s="47">
        <v>2</v>
      </c>
    </row>
    <row r="7" spans="1:6" ht="15.75">
      <c r="A7" s="49" t="s">
        <v>12</v>
      </c>
      <c r="B7" s="49">
        <v>12</v>
      </c>
      <c r="C7" s="49">
        <v>1</v>
      </c>
      <c r="D7" s="49">
        <v>12</v>
      </c>
      <c r="E7" s="49">
        <v>1</v>
      </c>
      <c r="F7" s="47">
        <v>2</v>
      </c>
    </row>
    <row r="8" spans="1:6" ht="15.75">
      <c r="A8" s="49" t="s">
        <v>13</v>
      </c>
      <c r="B8" s="49">
        <v>4</v>
      </c>
      <c r="C8" s="49">
        <v>2</v>
      </c>
      <c r="D8" s="49">
        <v>12</v>
      </c>
      <c r="E8" s="49">
        <v>0</v>
      </c>
      <c r="F8" s="47">
        <v>2</v>
      </c>
    </row>
    <row r="9" spans="1:6" ht="15.75">
      <c r="A9" s="49" t="s">
        <v>14</v>
      </c>
      <c r="B9" s="49">
        <v>16</v>
      </c>
      <c r="C9" s="49">
        <v>6</v>
      </c>
      <c r="D9" s="49">
        <v>12</v>
      </c>
      <c r="E9" s="49">
        <v>1</v>
      </c>
      <c r="F9" s="47">
        <v>2</v>
      </c>
    </row>
    <row r="10" spans="1:6" ht="15.75">
      <c r="A10" s="49" t="s">
        <v>15</v>
      </c>
      <c r="B10" s="49">
        <v>18</v>
      </c>
      <c r="C10" s="49">
        <v>5</v>
      </c>
      <c r="D10" s="49">
        <v>12</v>
      </c>
      <c r="E10" s="49">
        <v>0</v>
      </c>
      <c r="F10" s="47">
        <v>2</v>
      </c>
    </row>
    <row r="11" spans="1:6" ht="15.75">
      <c r="A11" s="49" t="s">
        <v>16</v>
      </c>
      <c r="B11" s="49">
        <v>24</v>
      </c>
      <c r="C11" s="49">
        <v>5</v>
      </c>
      <c r="D11" s="49">
        <v>12</v>
      </c>
      <c r="E11" s="49">
        <v>1</v>
      </c>
      <c r="F11" s="47">
        <v>2</v>
      </c>
    </row>
    <row r="12" spans="1:6" ht="15.75">
      <c r="A12" s="49" t="s">
        <v>17</v>
      </c>
      <c r="B12" s="49">
        <v>23</v>
      </c>
      <c r="C12" s="49">
        <v>3</v>
      </c>
      <c r="D12" s="49">
        <v>12</v>
      </c>
      <c r="E12" s="49">
        <v>0</v>
      </c>
      <c r="F12" s="47">
        <v>2</v>
      </c>
    </row>
    <row r="13" spans="1:6" ht="15.75">
      <c r="A13" s="49" t="s">
        <v>18</v>
      </c>
      <c r="B13" s="49">
        <v>47</v>
      </c>
      <c r="C13" s="49">
        <v>2</v>
      </c>
      <c r="D13" s="49">
        <v>12</v>
      </c>
      <c r="E13" s="49">
        <v>0</v>
      </c>
      <c r="F13" s="47">
        <v>2</v>
      </c>
    </row>
    <row r="14" spans="1:6" ht="15.75">
      <c r="A14" s="49" t="s">
        <v>19</v>
      </c>
      <c r="B14" s="49">
        <v>49</v>
      </c>
      <c r="C14" s="49">
        <v>4</v>
      </c>
      <c r="D14" s="49">
        <v>7</v>
      </c>
      <c r="E14" s="49">
        <v>1</v>
      </c>
      <c r="F14" s="47">
        <v>1</v>
      </c>
    </row>
    <row r="15" spans="1:6" ht="15.75">
      <c r="A15" s="49" t="s">
        <v>21</v>
      </c>
      <c r="B15" s="49">
        <v>21</v>
      </c>
      <c r="C15" s="49">
        <v>2</v>
      </c>
      <c r="D15" s="49">
        <v>7</v>
      </c>
      <c r="E15" s="49">
        <v>0</v>
      </c>
      <c r="F15" s="47">
        <v>1</v>
      </c>
    </row>
    <row r="16" spans="1:6" ht="15.75">
      <c r="A16" s="49" t="s">
        <v>22</v>
      </c>
      <c r="B16" s="49">
        <v>66</v>
      </c>
      <c r="C16" s="49">
        <v>5</v>
      </c>
      <c r="D16" s="49">
        <v>7</v>
      </c>
      <c r="E16" s="49">
        <v>1</v>
      </c>
      <c r="F16" s="47">
        <v>1</v>
      </c>
    </row>
    <row r="17" spans="1:6" ht="15.75">
      <c r="A17" s="49" t="s">
        <v>23</v>
      </c>
      <c r="B17" s="49">
        <v>2</v>
      </c>
      <c r="C17" s="49">
        <v>3</v>
      </c>
      <c r="D17" s="49">
        <v>7</v>
      </c>
      <c r="E17" s="49">
        <v>0</v>
      </c>
      <c r="F17" s="47">
        <v>1</v>
      </c>
    </row>
    <row r="18" spans="1:6" ht="15.75">
      <c r="A18" s="49" t="s">
        <v>24</v>
      </c>
      <c r="B18" s="49">
        <v>49</v>
      </c>
      <c r="C18" s="49">
        <v>4</v>
      </c>
      <c r="D18" s="49">
        <v>7</v>
      </c>
      <c r="E18" s="49">
        <v>1</v>
      </c>
      <c r="F18" s="47">
        <v>1</v>
      </c>
    </row>
    <row r="19" spans="1:6" ht="15.75">
      <c r="A19" s="49" t="s">
        <v>25</v>
      </c>
      <c r="B19" s="49">
        <v>8</v>
      </c>
      <c r="C19" s="49">
        <v>4</v>
      </c>
      <c r="D19" s="49">
        <v>7</v>
      </c>
      <c r="E19" s="49">
        <v>0</v>
      </c>
      <c r="F19" s="47">
        <v>1</v>
      </c>
    </row>
    <row r="20" spans="1:6" ht="15.75">
      <c r="A20" s="49" t="s">
        <v>26</v>
      </c>
      <c r="B20" s="49">
        <v>15</v>
      </c>
      <c r="C20" s="49">
        <v>5</v>
      </c>
      <c r="D20" s="49">
        <v>7</v>
      </c>
      <c r="E20" s="49">
        <v>0</v>
      </c>
      <c r="F20" s="47">
        <v>1</v>
      </c>
    </row>
    <row r="21" spans="1:6" ht="15.75">
      <c r="A21" s="49" t="s">
        <v>27</v>
      </c>
      <c r="B21" s="49">
        <v>10</v>
      </c>
      <c r="C21" s="49">
        <v>5</v>
      </c>
      <c r="D21" s="49">
        <v>14</v>
      </c>
      <c r="E21" s="49">
        <v>1</v>
      </c>
      <c r="F21" s="47">
        <v>2</v>
      </c>
    </row>
    <row r="22" spans="1:6" ht="15.75">
      <c r="A22" s="49" t="s">
        <v>28</v>
      </c>
      <c r="B22" s="49">
        <v>6</v>
      </c>
      <c r="C22" s="49">
        <v>3</v>
      </c>
      <c r="D22" s="49">
        <v>14</v>
      </c>
      <c r="E22" s="49">
        <v>0</v>
      </c>
      <c r="F22" s="47">
        <v>2</v>
      </c>
    </row>
    <row r="23" spans="1:6" ht="15.75">
      <c r="A23" s="49" t="s">
        <v>29</v>
      </c>
      <c r="B23" s="49">
        <v>28</v>
      </c>
      <c r="C23" s="49">
        <v>4</v>
      </c>
      <c r="D23" s="49">
        <v>14</v>
      </c>
      <c r="E23" s="49">
        <v>1</v>
      </c>
      <c r="F23" s="47">
        <v>2</v>
      </c>
    </row>
    <row r="24" spans="1:6" ht="15.75">
      <c r="A24" s="49" t="s">
        <v>30</v>
      </c>
      <c r="B24" s="49">
        <v>60</v>
      </c>
      <c r="C24" s="49">
        <v>4</v>
      </c>
      <c r="D24" s="49">
        <v>14</v>
      </c>
      <c r="E24" s="49">
        <v>0</v>
      </c>
      <c r="F24" s="47">
        <v>2</v>
      </c>
    </row>
    <row r="25" spans="1:6" ht="15.75">
      <c r="A25" s="49" t="s">
        <v>31</v>
      </c>
      <c r="B25" s="49">
        <v>81</v>
      </c>
      <c r="C25" s="49">
        <v>5</v>
      </c>
      <c r="D25" s="49">
        <v>14</v>
      </c>
      <c r="E25" s="49">
        <v>0</v>
      </c>
      <c r="F25" s="47">
        <v>2</v>
      </c>
    </row>
    <row r="26" spans="1:6" ht="15.75">
      <c r="A26" s="49" t="s">
        <v>32</v>
      </c>
      <c r="B26" s="49">
        <v>75</v>
      </c>
      <c r="C26" s="49">
        <v>4</v>
      </c>
      <c r="D26" s="49">
        <v>14</v>
      </c>
      <c r="E26" s="49">
        <v>1</v>
      </c>
      <c r="F26" s="47">
        <v>2</v>
      </c>
    </row>
    <row r="27" spans="1:6" ht="15.75">
      <c r="A27" s="49" t="s">
        <v>33</v>
      </c>
      <c r="B27" s="49">
        <v>37</v>
      </c>
      <c r="C27" s="49">
        <v>4</v>
      </c>
      <c r="D27" s="49">
        <v>14</v>
      </c>
      <c r="E27" s="49">
        <v>1</v>
      </c>
      <c r="F27" s="47">
        <v>2</v>
      </c>
    </row>
    <row r="28" spans="1:6" ht="15.75">
      <c r="A28" s="49" t="s">
        <v>34</v>
      </c>
      <c r="B28" s="49">
        <v>22</v>
      </c>
      <c r="C28" s="49">
        <v>2</v>
      </c>
      <c r="D28" s="49">
        <v>14</v>
      </c>
      <c r="E28" s="49">
        <v>1</v>
      </c>
      <c r="F28" s="47">
        <v>2</v>
      </c>
    </row>
    <row r="29" spans="1:6" ht="15.75">
      <c r="A29" s="49" t="s">
        <v>35</v>
      </c>
      <c r="B29" s="49">
        <v>19</v>
      </c>
      <c r="C29" s="49">
        <v>2</v>
      </c>
      <c r="D29" s="49">
        <v>14</v>
      </c>
      <c r="E29" s="49">
        <v>1</v>
      </c>
      <c r="F29" s="47">
        <v>2</v>
      </c>
    </row>
    <row r="30" spans="1:6" ht="15.75">
      <c r="A30" s="49" t="s">
        <v>36</v>
      </c>
      <c r="B30" s="49" t="s">
        <v>37</v>
      </c>
      <c r="C30" s="49">
        <v>2</v>
      </c>
      <c r="D30" s="49">
        <v>14</v>
      </c>
      <c r="E30" s="49">
        <v>1</v>
      </c>
      <c r="F30" s="47">
        <v>2</v>
      </c>
    </row>
    <row r="31" spans="1:6" ht="15.75">
      <c r="A31" s="49" t="s">
        <v>38</v>
      </c>
      <c r="B31" s="49">
        <v>64</v>
      </c>
      <c r="C31" s="49">
        <v>4</v>
      </c>
      <c r="D31" s="49">
        <v>14</v>
      </c>
      <c r="E31" s="49">
        <v>1</v>
      </c>
      <c r="F31" s="47">
        <v>2</v>
      </c>
    </row>
    <row r="32" spans="1:6" ht="15.75">
      <c r="A32" s="49" t="s">
        <v>39</v>
      </c>
      <c r="B32" s="49">
        <v>54</v>
      </c>
      <c r="C32" s="49">
        <v>4</v>
      </c>
      <c r="D32" s="49">
        <v>14</v>
      </c>
      <c r="E32" s="49">
        <v>0</v>
      </c>
      <c r="F32" s="47">
        <v>2</v>
      </c>
    </row>
    <row r="33" spans="1:6" ht="15.75">
      <c r="A33" s="49" t="s">
        <v>40</v>
      </c>
      <c r="B33" s="49">
        <v>19</v>
      </c>
      <c r="C33" s="49">
        <v>4</v>
      </c>
      <c r="D33" s="49">
        <v>14</v>
      </c>
      <c r="E33" s="49">
        <v>1</v>
      </c>
      <c r="F33" s="47">
        <v>2</v>
      </c>
    </row>
    <row r="34" spans="1:6" ht="15.75">
      <c r="A34" s="49" t="s">
        <v>41</v>
      </c>
      <c r="B34" s="49">
        <v>55</v>
      </c>
      <c r="C34" s="49">
        <v>3</v>
      </c>
      <c r="D34" s="49">
        <v>14</v>
      </c>
      <c r="E34" s="49">
        <v>0</v>
      </c>
      <c r="F34" s="47">
        <v>2</v>
      </c>
    </row>
    <row r="35" spans="1:6" ht="15.75">
      <c r="A35" s="49" t="s">
        <v>42</v>
      </c>
      <c r="B35" s="49">
        <v>40</v>
      </c>
      <c r="C35" s="49">
        <v>3</v>
      </c>
      <c r="D35" s="49">
        <v>4</v>
      </c>
      <c r="E35" s="49">
        <v>1</v>
      </c>
      <c r="F35" s="47">
        <v>1</v>
      </c>
    </row>
    <row r="36" spans="1:6" ht="15.75">
      <c r="A36" s="49" t="s">
        <v>43</v>
      </c>
      <c r="B36" s="49">
        <v>27</v>
      </c>
      <c r="C36" s="49">
        <v>1</v>
      </c>
      <c r="D36" s="49">
        <v>4</v>
      </c>
      <c r="E36" s="49">
        <v>1</v>
      </c>
      <c r="F36" s="47">
        <v>1</v>
      </c>
    </row>
    <row r="37" spans="1:6" ht="15.75">
      <c r="A37" s="49" t="s">
        <v>44</v>
      </c>
      <c r="B37" s="49">
        <v>28</v>
      </c>
      <c r="C37" s="49">
        <v>4</v>
      </c>
      <c r="D37" s="49">
        <v>4</v>
      </c>
      <c r="E37" s="49">
        <v>1</v>
      </c>
      <c r="F37" s="47">
        <v>1</v>
      </c>
    </row>
    <row r="38" spans="1:6" ht="15.75">
      <c r="A38" s="49" t="s">
        <v>45</v>
      </c>
      <c r="B38" s="49">
        <v>52</v>
      </c>
      <c r="C38" s="49">
        <v>3</v>
      </c>
      <c r="D38" s="49">
        <v>4</v>
      </c>
      <c r="E38" s="49">
        <v>1</v>
      </c>
      <c r="F38" s="47">
        <v>1</v>
      </c>
    </row>
    <row r="39" spans="1:6" ht="15.75">
      <c r="A39" s="49" t="s">
        <v>46</v>
      </c>
      <c r="B39" s="49">
        <v>12</v>
      </c>
      <c r="C39" s="49">
        <v>5</v>
      </c>
      <c r="D39" s="49">
        <v>13</v>
      </c>
      <c r="E39" s="49">
        <v>1</v>
      </c>
      <c r="F39" s="47">
        <v>2</v>
      </c>
    </row>
    <row r="40" spans="1:6" ht="15.75">
      <c r="A40" s="49" t="s">
        <v>47</v>
      </c>
      <c r="B40" s="49">
        <v>65</v>
      </c>
      <c r="C40" s="49">
        <v>3</v>
      </c>
      <c r="D40" s="49">
        <v>13</v>
      </c>
      <c r="E40" s="49">
        <v>1</v>
      </c>
      <c r="F40" s="47">
        <v>2</v>
      </c>
    </row>
    <row r="41" spans="1:6" ht="15.75">
      <c r="A41" s="49" t="s">
        <v>48</v>
      </c>
      <c r="B41" s="49">
        <v>8</v>
      </c>
      <c r="C41" s="49">
        <v>4</v>
      </c>
      <c r="D41" s="49">
        <v>13</v>
      </c>
      <c r="E41" s="49">
        <v>0</v>
      </c>
      <c r="F41" s="47">
        <v>2</v>
      </c>
    </row>
    <row r="42" spans="1:6" ht="15.75">
      <c r="A42" s="49" t="s">
        <v>49</v>
      </c>
      <c r="B42" s="49">
        <v>21</v>
      </c>
      <c r="C42" s="49">
        <v>5</v>
      </c>
      <c r="D42" s="49">
        <v>13</v>
      </c>
      <c r="E42" s="49">
        <v>1</v>
      </c>
      <c r="F42" s="47">
        <v>2</v>
      </c>
    </row>
    <row r="43" spans="1:6" ht="15.75">
      <c r="A43" s="49" t="s">
        <v>50</v>
      </c>
      <c r="B43" s="49">
        <v>15</v>
      </c>
      <c r="C43" s="49">
        <v>4</v>
      </c>
      <c r="D43" s="49">
        <v>13</v>
      </c>
      <c r="E43" s="49">
        <v>0</v>
      </c>
      <c r="F43" s="47">
        <v>2</v>
      </c>
    </row>
    <row r="44" spans="1:6" ht="15.75">
      <c r="A44" s="49" t="s">
        <v>51</v>
      </c>
      <c r="B44" s="49">
        <v>28</v>
      </c>
      <c r="C44" s="49">
        <v>5</v>
      </c>
      <c r="D44" s="49">
        <v>13</v>
      </c>
      <c r="E44" s="49">
        <v>1</v>
      </c>
      <c r="F44" s="47">
        <v>2</v>
      </c>
    </row>
    <row r="45" spans="1:6" ht="15.75">
      <c r="A45" s="49" t="s">
        <v>52</v>
      </c>
      <c r="B45" s="49">
        <v>75</v>
      </c>
      <c r="C45" s="49">
        <v>3</v>
      </c>
      <c r="D45" s="49">
        <v>13</v>
      </c>
      <c r="E45" s="49">
        <v>1</v>
      </c>
      <c r="F45" s="47">
        <v>2</v>
      </c>
    </row>
    <row r="46" spans="1:6" ht="15.75">
      <c r="A46" s="49" t="s">
        <v>53</v>
      </c>
      <c r="B46" s="49">
        <v>62</v>
      </c>
      <c r="C46" s="49">
        <v>2</v>
      </c>
      <c r="D46" s="49">
        <v>13</v>
      </c>
      <c r="E46" s="49">
        <v>0</v>
      </c>
      <c r="F46" s="47">
        <v>2</v>
      </c>
    </row>
    <row r="47" spans="1:6" ht="15.75">
      <c r="A47" s="49" t="s">
        <v>54</v>
      </c>
      <c r="B47" s="49">
        <v>19</v>
      </c>
      <c r="C47" s="49">
        <v>2</v>
      </c>
      <c r="D47" s="49">
        <v>13</v>
      </c>
      <c r="E47" s="49">
        <v>0</v>
      </c>
      <c r="F47" s="47">
        <v>2</v>
      </c>
    </row>
    <row r="48" spans="1:6" ht="15.75">
      <c r="A48" s="49" t="s">
        <v>55</v>
      </c>
      <c r="B48" s="49">
        <v>50</v>
      </c>
      <c r="C48" s="49">
        <v>5</v>
      </c>
      <c r="D48" s="49">
        <v>13</v>
      </c>
      <c r="E48" s="49">
        <v>1</v>
      </c>
      <c r="F48" s="47">
        <v>2</v>
      </c>
    </row>
    <row r="49" spans="1:6" ht="15.75">
      <c r="A49" s="49" t="s">
        <v>56</v>
      </c>
      <c r="B49" s="49">
        <v>64</v>
      </c>
      <c r="C49" s="49">
        <v>5</v>
      </c>
      <c r="D49" s="49">
        <v>13</v>
      </c>
      <c r="E49" s="49">
        <v>0</v>
      </c>
      <c r="F49" s="47">
        <v>2</v>
      </c>
    </row>
    <row r="50" spans="1:6" ht="15.75">
      <c r="A50" s="49" t="s">
        <v>57</v>
      </c>
      <c r="B50" s="49">
        <v>19</v>
      </c>
      <c r="C50" s="49">
        <v>5</v>
      </c>
      <c r="D50" s="49">
        <v>13</v>
      </c>
      <c r="E50" s="49">
        <v>0</v>
      </c>
      <c r="F50" s="47">
        <v>2</v>
      </c>
    </row>
    <row r="51" spans="1:6" ht="15.75">
      <c r="A51" s="49" t="s">
        <v>58</v>
      </c>
      <c r="B51" s="49">
        <v>48</v>
      </c>
      <c r="C51" s="49">
        <v>4</v>
      </c>
      <c r="D51" s="49">
        <v>13</v>
      </c>
      <c r="E51" s="49">
        <v>0</v>
      </c>
      <c r="F51" s="47">
        <v>2</v>
      </c>
    </row>
    <row r="52" spans="1:6" ht="15.75">
      <c r="A52" s="49" t="s">
        <v>59</v>
      </c>
      <c r="B52" s="49">
        <v>59</v>
      </c>
      <c r="C52" s="49">
        <v>4</v>
      </c>
      <c r="D52" s="49">
        <v>15</v>
      </c>
      <c r="E52" s="49">
        <v>1</v>
      </c>
      <c r="F52" s="47">
        <v>2</v>
      </c>
    </row>
    <row r="53" spans="1:6" ht="15.75">
      <c r="A53" s="49" t="s">
        <v>60</v>
      </c>
      <c r="B53" s="49">
        <v>35</v>
      </c>
      <c r="C53" s="49">
        <v>4</v>
      </c>
      <c r="D53" s="49">
        <v>15</v>
      </c>
      <c r="E53" s="49">
        <v>1</v>
      </c>
      <c r="F53" s="47">
        <v>2</v>
      </c>
    </row>
    <row r="54" spans="1:6" ht="15.75">
      <c r="A54" s="49" t="s">
        <v>61</v>
      </c>
      <c r="B54" s="49">
        <v>7</v>
      </c>
      <c r="C54" s="49">
        <v>3</v>
      </c>
      <c r="D54" s="49">
        <v>15</v>
      </c>
      <c r="E54" s="49">
        <v>0</v>
      </c>
      <c r="F54" s="47">
        <v>2</v>
      </c>
    </row>
    <row r="55" spans="1:6" ht="15.75">
      <c r="A55" s="49" t="s">
        <v>62</v>
      </c>
      <c r="B55" s="49">
        <v>7</v>
      </c>
      <c r="C55" s="49">
        <v>4</v>
      </c>
      <c r="D55" s="49">
        <v>15</v>
      </c>
      <c r="E55" s="49">
        <v>1</v>
      </c>
      <c r="F55" s="47">
        <v>2</v>
      </c>
    </row>
    <row r="56" spans="1:6" ht="15.75">
      <c r="A56" s="49" t="s">
        <v>63</v>
      </c>
      <c r="B56" s="49">
        <v>4</v>
      </c>
      <c r="C56" s="49">
        <v>3</v>
      </c>
      <c r="D56" s="49">
        <v>15</v>
      </c>
      <c r="E56" s="49">
        <v>0</v>
      </c>
      <c r="F56" s="47">
        <v>2</v>
      </c>
    </row>
    <row r="57" spans="1:6" ht="15.75">
      <c r="A57" s="49" t="s">
        <v>64</v>
      </c>
      <c r="B57" s="49">
        <v>2</v>
      </c>
      <c r="C57" s="49">
        <v>2</v>
      </c>
      <c r="D57" s="49">
        <v>15</v>
      </c>
      <c r="E57" s="49">
        <v>1</v>
      </c>
      <c r="F57" s="47">
        <v>2</v>
      </c>
    </row>
    <row r="58" spans="1:6" ht="15.75">
      <c r="A58" s="49" t="s">
        <v>65</v>
      </c>
      <c r="B58" s="49">
        <v>17</v>
      </c>
      <c r="C58" s="49">
        <v>3</v>
      </c>
      <c r="D58" s="49">
        <v>15</v>
      </c>
      <c r="E58" s="49">
        <v>0</v>
      </c>
      <c r="F58" s="47">
        <v>2</v>
      </c>
    </row>
    <row r="59" spans="1:6" ht="15.75">
      <c r="A59" s="49" t="s">
        <v>66</v>
      </c>
      <c r="B59" s="49">
        <v>28</v>
      </c>
      <c r="C59" s="49">
        <v>4</v>
      </c>
      <c r="D59" s="49">
        <v>15</v>
      </c>
      <c r="E59" s="49">
        <v>0</v>
      </c>
      <c r="F59" s="47">
        <v>2</v>
      </c>
    </row>
    <row r="60" spans="1:6" ht="15.75">
      <c r="A60" s="49" t="s">
        <v>67</v>
      </c>
      <c r="B60" s="49">
        <v>68</v>
      </c>
      <c r="C60" s="49">
        <v>4</v>
      </c>
      <c r="D60" s="49">
        <v>15</v>
      </c>
      <c r="E60" s="49">
        <v>0</v>
      </c>
      <c r="F60" s="47">
        <v>2</v>
      </c>
    </row>
    <row r="61" spans="1:6" ht="15.75">
      <c r="A61" s="49" t="s">
        <v>68</v>
      </c>
      <c r="B61" s="49">
        <v>29</v>
      </c>
      <c r="C61" s="49">
        <v>3</v>
      </c>
      <c r="D61" s="49">
        <v>15</v>
      </c>
      <c r="E61" s="49">
        <v>1</v>
      </c>
      <c r="F61" s="47">
        <v>2</v>
      </c>
    </row>
    <row r="62" spans="1:6" ht="15.75">
      <c r="A62" s="49" t="s">
        <v>69</v>
      </c>
      <c r="B62" s="49">
        <v>43</v>
      </c>
      <c r="C62" s="49">
        <v>4</v>
      </c>
      <c r="D62" s="49">
        <v>15</v>
      </c>
      <c r="E62" s="49">
        <v>1</v>
      </c>
      <c r="F62" s="47">
        <v>2</v>
      </c>
    </row>
    <row r="63" spans="1:6" ht="15.75">
      <c r="A63" s="49" t="s">
        <v>70</v>
      </c>
      <c r="B63" s="49">
        <v>25</v>
      </c>
      <c r="C63" s="49">
        <v>3</v>
      </c>
      <c r="D63" s="49">
        <v>15</v>
      </c>
      <c r="E63" s="49">
        <v>0</v>
      </c>
      <c r="F63" s="47">
        <v>2</v>
      </c>
    </row>
    <row r="64" spans="1:6" ht="15.75">
      <c r="A64" s="49" t="s">
        <v>71</v>
      </c>
      <c r="B64" s="49">
        <v>35</v>
      </c>
      <c r="C64" s="49">
        <v>1</v>
      </c>
      <c r="D64" s="49">
        <v>15</v>
      </c>
      <c r="E64" s="49">
        <v>0</v>
      </c>
      <c r="F64" s="47">
        <v>2</v>
      </c>
    </row>
    <row r="65" spans="1:6" ht="15.75">
      <c r="A65" s="49" t="s">
        <v>72</v>
      </c>
      <c r="B65" s="49">
        <v>49</v>
      </c>
      <c r="C65" s="49">
        <v>3</v>
      </c>
      <c r="D65" s="49">
        <v>15</v>
      </c>
      <c r="E65" s="49">
        <v>0</v>
      </c>
      <c r="F65" s="47">
        <v>2</v>
      </c>
    </row>
    <row r="66" spans="1:6" ht="15.75">
      <c r="A66" s="49" t="s">
        <v>73</v>
      </c>
      <c r="B66" s="49">
        <v>21</v>
      </c>
      <c r="C66" s="49">
        <v>5</v>
      </c>
      <c r="D66" s="49">
        <v>15</v>
      </c>
      <c r="E66" s="49">
        <v>1</v>
      </c>
      <c r="F66" s="47">
        <v>2</v>
      </c>
    </row>
    <row r="67" spans="1:6" ht="15.75">
      <c r="A67" s="49" t="s">
        <v>74</v>
      </c>
      <c r="B67" s="49">
        <v>21</v>
      </c>
      <c r="C67" s="49">
        <v>3</v>
      </c>
      <c r="D67" s="49">
        <v>10</v>
      </c>
      <c r="E67" s="49">
        <v>1</v>
      </c>
      <c r="F67" s="47">
        <v>2</v>
      </c>
    </row>
    <row r="68" spans="1:6" ht="15.75">
      <c r="A68" s="49" t="s">
        <v>75</v>
      </c>
      <c r="B68" s="49">
        <v>44</v>
      </c>
      <c r="C68" s="49">
        <v>5</v>
      </c>
      <c r="D68" s="49">
        <v>10</v>
      </c>
      <c r="E68" s="49">
        <v>0</v>
      </c>
      <c r="F68" s="47">
        <v>2</v>
      </c>
    </row>
    <row r="69" spans="1:6" ht="15.75">
      <c r="A69" s="49" t="s">
        <v>76</v>
      </c>
      <c r="B69" s="49">
        <v>24</v>
      </c>
      <c r="C69" s="49">
        <v>4</v>
      </c>
      <c r="D69" s="49">
        <v>10</v>
      </c>
      <c r="E69" s="49">
        <v>1</v>
      </c>
      <c r="F69" s="47">
        <v>2</v>
      </c>
    </row>
    <row r="70" spans="1:6" ht="15.75">
      <c r="A70" s="49" t="s">
        <v>77</v>
      </c>
      <c r="B70" s="49">
        <v>26</v>
      </c>
      <c r="C70" s="49">
        <v>3</v>
      </c>
      <c r="D70" s="49">
        <v>10</v>
      </c>
      <c r="E70" s="49">
        <v>1</v>
      </c>
      <c r="F70" s="47">
        <v>2</v>
      </c>
    </row>
    <row r="71" spans="1:6" ht="15.75">
      <c r="A71" s="49" t="s">
        <v>78</v>
      </c>
      <c r="B71" s="49">
        <v>84</v>
      </c>
      <c r="C71" s="49">
        <v>3</v>
      </c>
      <c r="D71" s="49">
        <v>10</v>
      </c>
      <c r="E71" s="49">
        <v>0</v>
      </c>
      <c r="F71" s="47">
        <v>2</v>
      </c>
    </row>
    <row r="72" spans="1:6" ht="15.75">
      <c r="A72" s="49" t="s">
        <v>79</v>
      </c>
      <c r="B72" s="49">
        <v>3</v>
      </c>
      <c r="C72" s="49">
        <v>5</v>
      </c>
      <c r="D72" s="49">
        <v>10</v>
      </c>
      <c r="E72" s="49">
        <v>1</v>
      </c>
      <c r="F72" s="47">
        <v>2</v>
      </c>
    </row>
    <row r="73" spans="1:6" ht="15.75">
      <c r="A73" s="49" t="s">
        <v>80</v>
      </c>
      <c r="B73" s="49">
        <v>15</v>
      </c>
      <c r="C73" s="49">
        <v>3</v>
      </c>
      <c r="D73" s="49">
        <v>10</v>
      </c>
      <c r="E73" s="49">
        <v>1</v>
      </c>
      <c r="F73" s="47">
        <v>2</v>
      </c>
    </row>
    <row r="74" spans="1:6" ht="15.75">
      <c r="A74" s="49" t="s">
        <v>81</v>
      </c>
      <c r="B74" s="49">
        <v>9</v>
      </c>
      <c r="C74" s="49">
        <v>4</v>
      </c>
      <c r="D74" s="49">
        <v>10</v>
      </c>
      <c r="E74" s="49">
        <v>0</v>
      </c>
      <c r="F74" s="47">
        <v>2</v>
      </c>
    </row>
    <row r="75" spans="1:6" ht="15.75">
      <c r="A75" s="49" t="s">
        <v>82</v>
      </c>
      <c r="B75" s="49">
        <v>2</v>
      </c>
      <c r="C75" s="49">
        <v>2</v>
      </c>
      <c r="D75" s="49">
        <v>10</v>
      </c>
      <c r="E75" s="49">
        <v>1</v>
      </c>
      <c r="F75" s="47">
        <v>2</v>
      </c>
    </row>
    <row r="76" spans="1:6" ht="15.75">
      <c r="A76" s="49" t="s">
        <v>83</v>
      </c>
      <c r="B76" s="49">
        <v>70</v>
      </c>
      <c r="C76" s="49">
        <v>2</v>
      </c>
      <c r="D76" s="49">
        <v>10</v>
      </c>
      <c r="E76" s="49">
        <v>0</v>
      </c>
      <c r="F76" s="47">
        <v>2</v>
      </c>
    </row>
    <row r="77" spans="1:6" ht="15.75">
      <c r="A77" s="49" t="s">
        <v>84</v>
      </c>
      <c r="B77" s="49">
        <v>16</v>
      </c>
      <c r="C77" s="49">
        <v>4</v>
      </c>
      <c r="D77" s="49">
        <v>13</v>
      </c>
      <c r="E77" s="49">
        <v>1</v>
      </c>
      <c r="F77" s="47">
        <v>2</v>
      </c>
    </row>
    <row r="78" spans="1:6" ht="15.75">
      <c r="A78" s="49" t="s">
        <v>85</v>
      </c>
      <c r="B78" s="49">
        <v>6</v>
      </c>
      <c r="C78" s="49">
        <v>3</v>
      </c>
      <c r="D78" s="49">
        <v>13</v>
      </c>
      <c r="E78" s="49">
        <v>0</v>
      </c>
      <c r="F78" s="47">
        <v>2</v>
      </c>
    </row>
    <row r="79" spans="1:6" ht="15.75">
      <c r="A79" s="49" t="s">
        <v>86</v>
      </c>
      <c r="B79" s="49">
        <v>29</v>
      </c>
      <c r="C79" s="49">
        <v>3</v>
      </c>
      <c r="D79" s="49">
        <v>13</v>
      </c>
      <c r="E79" s="49">
        <v>0</v>
      </c>
      <c r="F79" s="47">
        <v>2</v>
      </c>
    </row>
    <row r="80" spans="1:6" ht="15.75">
      <c r="A80" s="49" t="s">
        <v>87</v>
      </c>
      <c r="B80" s="49">
        <v>27</v>
      </c>
      <c r="C80" s="49">
        <v>3</v>
      </c>
      <c r="D80" s="49">
        <v>13</v>
      </c>
      <c r="E80" s="49">
        <v>1</v>
      </c>
      <c r="F80" s="47">
        <v>2</v>
      </c>
    </row>
    <row r="81" spans="1:6" ht="15.75">
      <c r="A81" s="49" t="s">
        <v>88</v>
      </c>
      <c r="B81" s="49">
        <v>23</v>
      </c>
      <c r="C81" s="49">
        <v>5</v>
      </c>
      <c r="D81" s="49">
        <v>13</v>
      </c>
      <c r="E81" s="49">
        <v>1</v>
      </c>
      <c r="F81" s="47">
        <v>2</v>
      </c>
    </row>
    <row r="82" spans="1:6" ht="15.75">
      <c r="A82" s="49" t="s">
        <v>89</v>
      </c>
      <c r="B82" s="49">
        <v>28</v>
      </c>
      <c r="C82" s="49">
        <v>3</v>
      </c>
      <c r="D82" s="49">
        <v>13</v>
      </c>
      <c r="E82" s="49">
        <v>1</v>
      </c>
      <c r="F82" s="47">
        <v>2</v>
      </c>
    </row>
    <row r="83" spans="1:6" ht="15.75">
      <c r="A83" s="49" t="s">
        <v>90</v>
      </c>
      <c r="B83" s="49">
        <v>50</v>
      </c>
      <c r="C83" s="49">
        <v>3</v>
      </c>
      <c r="D83" s="49">
        <v>13</v>
      </c>
      <c r="E83" s="49">
        <v>0</v>
      </c>
      <c r="F83" s="47">
        <v>2</v>
      </c>
    </row>
    <row r="84" spans="1:6" ht="15.75">
      <c r="A84" s="49" t="s">
        <v>91</v>
      </c>
      <c r="B84" s="49">
        <v>42</v>
      </c>
      <c r="C84" s="49">
        <v>4</v>
      </c>
      <c r="D84" s="49">
        <v>13</v>
      </c>
      <c r="E84" s="49">
        <v>1</v>
      </c>
      <c r="F84" s="47">
        <v>2</v>
      </c>
    </row>
    <row r="85" spans="1:6" ht="15.75">
      <c r="A85" s="49" t="s">
        <v>92</v>
      </c>
      <c r="B85" s="49">
        <v>27</v>
      </c>
      <c r="C85" s="49">
        <v>9</v>
      </c>
      <c r="D85" s="49">
        <v>13</v>
      </c>
      <c r="E85" s="49">
        <v>0</v>
      </c>
      <c r="F85" s="47">
        <v>2</v>
      </c>
    </row>
    <row r="86" spans="1:6" ht="15.75">
      <c r="A86" s="49" t="s">
        <v>93</v>
      </c>
      <c r="B86" s="49">
        <v>23</v>
      </c>
      <c r="C86" s="49">
        <v>3</v>
      </c>
      <c r="D86" s="49">
        <v>13</v>
      </c>
      <c r="E86" s="49">
        <v>0</v>
      </c>
      <c r="F86" s="47">
        <v>2</v>
      </c>
    </row>
    <row r="87" spans="1:6" ht="15.75">
      <c r="A87" s="49" t="s">
        <v>94</v>
      </c>
      <c r="B87" s="49">
        <v>21</v>
      </c>
      <c r="C87" s="49">
        <v>3</v>
      </c>
      <c r="D87" s="49">
        <v>13</v>
      </c>
      <c r="E87" s="49">
        <v>0</v>
      </c>
      <c r="F87" s="47">
        <v>2</v>
      </c>
    </row>
    <row r="88" spans="1:6" ht="15.75">
      <c r="A88" s="49" t="s">
        <v>95</v>
      </c>
      <c r="B88" s="49">
        <v>20</v>
      </c>
      <c r="C88" s="49">
        <v>4</v>
      </c>
      <c r="D88" s="49">
        <v>13</v>
      </c>
      <c r="E88" s="49">
        <v>1</v>
      </c>
      <c r="F88" s="47">
        <v>2</v>
      </c>
    </row>
    <row r="89" spans="1:6" ht="15.75">
      <c r="A89" s="49" t="s">
        <v>96</v>
      </c>
      <c r="B89" s="49">
        <v>32</v>
      </c>
      <c r="C89" s="49">
        <v>4</v>
      </c>
      <c r="D89" s="49">
        <v>13</v>
      </c>
      <c r="E89" s="49">
        <v>0</v>
      </c>
      <c r="F89" s="47">
        <v>2</v>
      </c>
    </row>
    <row r="90" spans="1:6" ht="15.75">
      <c r="A90" s="49" t="s">
        <v>97</v>
      </c>
      <c r="B90" s="49">
        <v>47</v>
      </c>
      <c r="C90" s="49">
        <v>3</v>
      </c>
      <c r="D90" s="49">
        <v>18</v>
      </c>
      <c r="E90" s="49">
        <v>0</v>
      </c>
      <c r="F90" s="47">
        <v>3</v>
      </c>
    </row>
    <row r="91" spans="1:6" ht="15.75">
      <c r="A91" s="49" t="s">
        <v>99</v>
      </c>
      <c r="B91" s="49">
        <v>35</v>
      </c>
      <c r="C91" s="49">
        <v>1</v>
      </c>
      <c r="D91" s="49">
        <v>18</v>
      </c>
      <c r="E91" s="49">
        <v>1</v>
      </c>
      <c r="F91" s="47">
        <v>3</v>
      </c>
    </row>
    <row r="92" spans="1:6" ht="15.75">
      <c r="A92" s="49" t="s">
        <v>100</v>
      </c>
      <c r="B92" s="49">
        <v>55</v>
      </c>
      <c r="C92" s="49">
        <v>7</v>
      </c>
      <c r="D92" s="49">
        <v>18</v>
      </c>
      <c r="E92" s="49">
        <v>0</v>
      </c>
      <c r="F92" s="47">
        <v>3</v>
      </c>
    </row>
    <row r="93" spans="1:6" ht="15.75">
      <c r="A93" s="49" t="s">
        <v>101</v>
      </c>
      <c r="B93" s="49">
        <v>65</v>
      </c>
      <c r="C93" s="49">
        <v>4</v>
      </c>
      <c r="D93" s="49">
        <v>18</v>
      </c>
      <c r="E93" s="49">
        <v>0</v>
      </c>
      <c r="F93" s="47">
        <v>3</v>
      </c>
    </row>
    <row r="94" spans="1:6" ht="15.75">
      <c r="A94" s="49" t="s">
        <v>102</v>
      </c>
      <c r="B94" s="49">
        <v>12</v>
      </c>
      <c r="C94" s="49">
        <v>4</v>
      </c>
      <c r="D94" s="49">
        <v>18</v>
      </c>
      <c r="E94" s="49">
        <v>0</v>
      </c>
      <c r="F94" s="47">
        <v>3</v>
      </c>
    </row>
    <row r="95" spans="1:6" ht="15.75">
      <c r="A95" s="49" t="s">
        <v>103</v>
      </c>
      <c r="B95" s="49">
        <v>11</v>
      </c>
      <c r="C95" s="49">
        <v>3</v>
      </c>
      <c r="D95" s="49">
        <v>18</v>
      </c>
      <c r="E95" s="49">
        <v>1</v>
      </c>
      <c r="F95" s="47">
        <v>3</v>
      </c>
    </row>
    <row r="96" spans="1:6" ht="15.75">
      <c r="A96" s="49" t="s">
        <v>104</v>
      </c>
      <c r="B96" s="49">
        <v>56</v>
      </c>
      <c r="C96" s="49">
        <v>4</v>
      </c>
      <c r="D96" s="49">
        <v>18</v>
      </c>
      <c r="E96" s="49">
        <v>0</v>
      </c>
      <c r="F96" s="47">
        <v>3</v>
      </c>
    </row>
    <row r="97" spans="1:6" ht="15.75">
      <c r="A97" s="49" t="s">
        <v>105</v>
      </c>
      <c r="B97" s="49">
        <v>16</v>
      </c>
      <c r="C97" s="49">
        <v>2</v>
      </c>
      <c r="D97" s="49">
        <v>18</v>
      </c>
      <c r="E97" s="49">
        <v>1</v>
      </c>
      <c r="F97" s="47">
        <v>3</v>
      </c>
    </row>
    <row r="98" spans="1:6" ht="15.75">
      <c r="A98" s="49" t="s">
        <v>106</v>
      </c>
      <c r="B98" s="49">
        <v>16</v>
      </c>
      <c r="C98" s="49">
        <v>2</v>
      </c>
      <c r="D98" s="49">
        <v>18</v>
      </c>
      <c r="E98" s="49">
        <v>1</v>
      </c>
      <c r="F98" s="47">
        <v>3</v>
      </c>
    </row>
    <row r="99" spans="1:6" ht="15.75">
      <c r="A99" s="49" t="s">
        <v>107</v>
      </c>
      <c r="B99" s="49">
        <v>4</v>
      </c>
      <c r="C99" s="49">
        <v>2</v>
      </c>
      <c r="D99" s="49">
        <v>18</v>
      </c>
      <c r="E99" s="49">
        <v>1</v>
      </c>
      <c r="F99" s="47">
        <v>3</v>
      </c>
    </row>
    <row r="100" spans="1:6" ht="15.75">
      <c r="A100" s="49" t="s">
        <v>108</v>
      </c>
      <c r="B100" s="49">
        <v>19</v>
      </c>
      <c r="C100" s="49">
        <v>6</v>
      </c>
      <c r="D100" s="49">
        <v>18</v>
      </c>
      <c r="E100" s="49">
        <v>0</v>
      </c>
      <c r="F100" s="47">
        <v>3</v>
      </c>
    </row>
    <row r="101" spans="1:6" ht="15.75">
      <c r="A101" s="49" t="s">
        <v>109</v>
      </c>
      <c r="B101" s="49">
        <v>42</v>
      </c>
      <c r="C101" s="49">
        <v>5</v>
      </c>
      <c r="D101" s="49">
        <v>18</v>
      </c>
      <c r="E101" s="49">
        <v>0</v>
      </c>
      <c r="F101" s="47">
        <v>3</v>
      </c>
    </row>
    <row r="102" spans="1:6" ht="15.75">
      <c r="A102" s="49" t="s">
        <v>110</v>
      </c>
      <c r="B102" s="49">
        <v>41</v>
      </c>
      <c r="C102" s="49">
        <v>4</v>
      </c>
      <c r="D102" s="49">
        <v>18</v>
      </c>
      <c r="E102" s="49">
        <v>0</v>
      </c>
      <c r="F102" s="47">
        <v>3</v>
      </c>
    </row>
    <row r="103" spans="1:6" ht="15.75">
      <c r="A103" s="49" t="s">
        <v>111</v>
      </c>
      <c r="B103" s="49">
        <v>22</v>
      </c>
      <c r="C103" s="49">
        <v>5</v>
      </c>
      <c r="D103" s="49">
        <v>18</v>
      </c>
      <c r="E103" s="49">
        <v>0</v>
      </c>
      <c r="F103" s="47">
        <v>3</v>
      </c>
    </row>
    <row r="104" spans="1:6" ht="15.75">
      <c r="A104" s="49" t="s">
        <v>112</v>
      </c>
      <c r="B104" s="49">
        <v>37</v>
      </c>
      <c r="C104" s="49">
        <v>4</v>
      </c>
      <c r="D104" s="49">
        <v>18</v>
      </c>
      <c r="E104" s="49">
        <v>1</v>
      </c>
      <c r="F104" s="47">
        <v>3</v>
      </c>
    </row>
    <row r="105" spans="1:6" ht="15.75">
      <c r="A105" s="49" t="s">
        <v>113</v>
      </c>
      <c r="B105" s="49">
        <v>61</v>
      </c>
      <c r="C105" s="49">
        <v>3</v>
      </c>
      <c r="D105" s="49">
        <v>18</v>
      </c>
      <c r="E105" s="49">
        <v>1</v>
      </c>
      <c r="F105" s="47">
        <v>3</v>
      </c>
    </row>
    <row r="106" spans="1:6" ht="15.75">
      <c r="A106" s="49" t="s">
        <v>114</v>
      </c>
      <c r="B106" s="49">
        <v>23</v>
      </c>
      <c r="C106" s="49">
        <v>3</v>
      </c>
      <c r="D106" s="49">
        <v>18</v>
      </c>
      <c r="E106" s="49">
        <v>1</v>
      </c>
      <c r="F106" s="47">
        <v>3</v>
      </c>
    </row>
    <row r="107" spans="1:6" ht="15.75">
      <c r="A107" s="49" t="s">
        <v>115</v>
      </c>
      <c r="B107" s="49">
        <v>48</v>
      </c>
      <c r="C107" s="49">
        <v>5</v>
      </c>
      <c r="D107" s="49">
        <v>18</v>
      </c>
      <c r="E107" s="49">
        <v>0</v>
      </c>
      <c r="F107" s="47">
        <v>3</v>
      </c>
    </row>
    <row r="108" spans="1:6" ht="15.75">
      <c r="A108" s="49" t="s">
        <v>116</v>
      </c>
      <c r="B108" s="49">
        <v>69</v>
      </c>
      <c r="C108" s="49">
        <v>7</v>
      </c>
      <c r="D108" s="49">
        <v>33</v>
      </c>
      <c r="E108" s="49">
        <v>1</v>
      </c>
      <c r="F108" s="47">
        <v>3</v>
      </c>
    </row>
    <row r="109" spans="1:6" ht="15.75">
      <c r="A109" s="49" t="s">
        <v>117</v>
      </c>
      <c r="B109" s="49">
        <v>40</v>
      </c>
      <c r="C109" s="49">
        <v>3</v>
      </c>
      <c r="D109" s="49">
        <v>33</v>
      </c>
      <c r="E109" s="49">
        <v>1</v>
      </c>
      <c r="F109" s="47">
        <v>3</v>
      </c>
    </row>
    <row r="110" spans="1:6" ht="15.75">
      <c r="A110" s="49" t="s">
        <v>118</v>
      </c>
      <c r="B110" s="49">
        <v>42</v>
      </c>
      <c r="C110" s="49">
        <v>2</v>
      </c>
      <c r="D110" s="49">
        <v>33</v>
      </c>
      <c r="E110" s="49">
        <v>1</v>
      </c>
      <c r="F110" s="47">
        <v>3</v>
      </c>
    </row>
    <row r="111" spans="1:6" ht="15.75">
      <c r="A111" s="49" t="s">
        <v>119</v>
      </c>
      <c r="B111" s="49">
        <v>25</v>
      </c>
      <c r="C111" s="49">
        <v>4</v>
      </c>
      <c r="D111" s="49">
        <v>33</v>
      </c>
      <c r="E111" s="49">
        <v>0</v>
      </c>
      <c r="F111" s="47">
        <v>3</v>
      </c>
    </row>
    <row r="112" spans="1:6" ht="15.75">
      <c r="A112" s="49" t="s">
        <v>120</v>
      </c>
      <c r="B112" s="49">
        <v>61</v>
      </c>
      <c r="C112" s="49">
        <v>3</v>
      </c>
      <c r="D112" s="49">
        <v>33</v>
      </c>
      <c r="E112" s="49">
        <v>1</v>
      </c>
      <c r="F112" s="47">
        <v>3</v>
      </c>
    </row>
    <row r="113" spans="1:6" ht="15.75">
      <c r="A113" s="49" t="s">
        <v>121</v>
      </c>
      <c r="B113" s="49">
        <v>69</v>
      </c>
      <c r="C113" s="49">
        <v>1</v>
      </c>
      <c r="D113" s="49">
        <v>33</v>
      </c>
      <c r="E113" s="49">
        <v>1</v>
      </c>
      <c r="F113" s="47">
        <v>3</v>
      </c>
    </row>
    <row r="114" spans="1:6" ht="15.75">
      <c r="A114" s="49" t="s">
        <v>122</v>
      </c>
      <c r="B114" s="49">
        <v>14</v>
      </c>
      <c r="C114" s="49">
        <v>2</v>
      </c>
      <c r="D114" s="49">
        <v>33</v>
      </c>
      <c r="E114" s="49">
        <v>1</v>
      </c>
      <c r="F114" s="47">
        <v>3</v>
      </c>
    </row>
    <row r="115" spans="1:6" ht="15.75">
      <c r="A115" s="49" t="s">
        <v>123</v>
      </c>
      <c r="B115" s="49">
        <v>52</v>
      </c>
      <c r="C115" s="49">
        <v>3</v>
      </c>
      <c r="D115" s="49">
        <v>33</v>
      </c>
      <c r="E115" s="49">
        <v>1</v>
      </c>
      <c r="F115" s="47">
        <v>3</v>
      </c>
    </row>
    <row r="116" spans="1:6" ht="15.75">
      <c r="A116" s="49" t="s">
        <v>124</v>
      </c>
      <c r="B116" s="49">
        <v>32</v>
      </c>
      <c r="C116" s="49">
        <v>4</v>
      </c>
      <c r="D116" s="49">
        <v>33</v>
      </c>
      <c r="E116" s="49">
        <v>1</v>
      </c>
      <c r="F116" s="47">
        <v>3</v>
      </c>
    </row>
    <row r="117" spans="1:6" ht="15.75">
      <c r="A117" s="49" t="s">
        <v>125</v>
      </c>
      <c r="B117" s="49">
        <v>49</v>
      </c>
      <c r="C117" s="49">
        <v>4</v>
      </c>
      <c r="D117" s="49">
        <v>33</v>
      </c>
      <c r="E117" s="49">
        <v>1</v>
      </c>
      <c r="F117" s="47">
        <v>3</v>
      </c>
    </row>
    <row r="118" spans="1:6" ht="15.75">
      <c r="A118" s="49" t="s">
        <v>126</v>
      </c>
      <c r="B118" s="49">
        <v>67</v>
      </c>
      <c r="C118" s="49">
        <v>4</v>
      </c>
      <c r="D118" s="49">
        <v>33</v>
      </c>
      <c r="E118" s="49">
        <v>1</v>
      </c>
      <c r="F118" s="47">
        <v>3</v>
      </c>
    </row>
    <row r="119" spans="1:6" ht="15.75">
      <c r="A119" s="49" t="s">
        <v>127</v>
      </c>
      <c r="B119" s="49">
        <v>30</v>
      </c>
      <c r="C119" s="49">
        <v>7</v>
      </c>
      <c r="D119" s="49">
        <v>33</v>
      </c>
      <c r="E119" s="49">
        <v>0</v>
      </c>
      <c r="F119" s="47">
        <v>3</v>
      </c>
    </row>
    <row r="120" spans="1:6" ht="15.75">
      <c r="A120" s="49" t="s">
        <v>128</v>
      </c>
      <c r="B120" s="49">
        <v>26</v>
      </c>
      <c r="C120" s="49">
        <v>4</v>
      </c>
      <c r="D120" s="49">
        <v>33</v>
      </c>
      <c r="E120" s="49">
        <v>1</v>
      </c>
      <c r="F120" s="47">
        <v>3</v>
      </c>
    </row>
    <row r="121" spans="1:6" ht="15.75">
      <c r="A121" s="49" t="s">
        <v>129</v>
      </c>
      <c r="B121" s="49">
        <v>82</v>
      </c>
      <c r="C121" s="49">
        <v>5</v>
      </c>
      <c r="D121" s="49">
        <v>33</v>
      </c>
      <c r="E121" s="49">
        <v>1</v>
      </c>
      <c r="F121" s="47">
        <v>3</v>
      </c>
    </row>
    <row r="122" spans="1:6" ht="15.75">
      <c r="A122" s="49" t="s">
        <v>130</v>
      </c>
      <c r="B122" s="49">
        <v>28</v>
      </c>
      <c r="C122" s="49">
        <v>3</v>
      </c>
      <c r="D122" s="49">
        <v>33</v>
      </c>
      <c r="E122" s="49">
        <v>1</v>
      </c>
      <c r="F122" s="47">
        <v>3</v>
      </c>
    </row>
    <row r="123" spans="1:6" ht="15.75">
      <c r="A123" s="49" t="s">
        <v>131</v>
      </c>
      <c r="B123" s="49">
        <v>22</v>
      </c>
      <c r="C123" s="49">
        <v>4</v>
      </c>
      <c r="D123" s="49">
        <v>33</v>
      </c>
      <c r="E123" s="49">
        <v>0</v>
      </c>
      <c r="F123" s="47">
        <v>3</v>
      </c>
    </row>
    <row r="124" spans="1:6" ht="15.75">
      <c r="A124" s="49" t="s">
        <v>132</v>
      </c>
      <c r="B124" s="49">
        <v>24</v>
      </c>
      <c r="C124" s="49">
        <v>3</v>
      </c>
      <c r="D124" s="49">
        <v>33</v>
      </c>
      <c r="E124" s="49">
        <v>1</v>
      </c>
      <c r="F124" s="47">
        <v>3</v>
      </c>
    </row>
    <row r="125" spans="1:6" ht="15.75">
      <c r="A125" s="49" t="s">
        <v>133</v>
      </c>
      <c r="B125" s="49">
        <v>39</v>
      </c>
      <c r="C125" s="49">
        <v>4</v>
      </c>
      <c r="D125" s="49">
        <v>33</v>
      </c>
      <c r="E125" s="49">
        <v>0</v>
      </c>
      <c r="F125" s="47">
        <v>3</v>
      </c>
    </row>
    <row r="126" spans="1:6" ht="15.75">
      <c r="A126" s="49" t="s">
        <v>134</v>
      </c>
      <c r="B126" s="49">
        <v>51</v>
      </c>
      <c r="C126" s="49">
        <v>3</v>
      </c>
      <c r="D126" s="49">
        <v>33</v>
      </c>
      <c r="E126" s="49">
        <v>1</v>
      </c>
      <c r="F126" s="47">
        <v>3</v>
      </c>
    </row>
    <row r="127" spans="1:6" ht="15.75">
      <c r="A127" s="49" t="s">
        <v>135</v>
      </c>
      <c r="B127" s="49">
        <v>21</v>
      </c>
      <c r="C127" s="49">
        <v>2</v>
      </c>
      <c r="D127" s="49">
        <v>33</v>
      </c>
      <c r="E127" s="49">
        <v>0</v>
      </c>
      <c r="F127" s="47">
        <v>3</v>
      </c>
    </row>
    <row r="128" spans="1:6" ht="15.75">
      <c r="A128" s="49" t="s">
        <v>136</v>
      </c>
      <c r="B128" s="49">
        <v>38</v>
      </c>
      <c r="C128" s="49">
        <v>2</v>
      </c>
      <c r="D128" s="49">
        <v>33</v>
      </c>
      <c r="E128" s="49">
        <v>0</v>
      </c>
      <c r="F128" s="47">
        <v>3</v>
      </c>
    </row>
    <row r="129" spans="1:6" ht="15.75">
      <c r="A129" s="49" t="s">
        <v>137</v>
      </c>
      <c r="B129" s="49">
        <v>4.5</v>
      </c>
      <c r="C129" s="49">
        <v>3</v>
      </c>
      <c r="D129" s="49">
        <v>33</v>
      </c>
      <c r="E129" s="49">
        <v>0</v>
      </c>
      <c r="F129" s="47">
        <v>3</v>
      </c>
    </row>
    <row r="130" spans="1:6" ht="15.75">
      <c r="A130" s="49" t="s">
        <v>138</v>
      </c>
      <c r="B130" s="49">
        <v>12</v>
      </c>
      <c r="C130" s="49">
        <v>4</v>
      </c>
      <c r="D130" s="49">
        <v>33</v>
      </c>
      <c r="E130" s="49">
        <v>0</v>
      </c>
      <c r="F130" s="47">
        <v>3</v>
      </c>
    </row>
    <row r="131" spans="1:6" ht="15.75">
      <c r="A131" s="49" t="s">
        <v>139</v>
      </c>
      <c r="B131" s="49">
        <v>10</v>
      </c>
      <c r="C131" s="49">
        <v>2</v>
      </c>
      <c r="D131" s="49">
        <v>33</v>
      </c>
      <c r="E131" s="49">
        <v>0</v>
      </c>
      <c r="F131" s="47">
        <v>3</v>
      </c>
    </row>
    <row r="132" spans="1:6" ht="15.75">
      <c r="A132" s="49" t="s">
        <v>140</v>
      </c>
      <c r="B132" s="49">
        <v>10</v>
      </c>
      <c r="C132" s="49">
        <v>3</v>
      </c>
      <c r="D132" s="49">
        <v>33</v>
      </c>
      <c r="E132" s="49">
        <v>1</v>
      </c>
      <c r="F132" s="47">
        <v>3</v>
      </c>
    </row>
    <row r="133" spans="1:6" ht="15.75">
      <c r="A133" s="49" t="s">
        <v>141</v>
      </c>
      <c r="B133" s="49">
        <v>6</v>
      </c>
      <c r="C133" s="49">
        <v>4</v>
      </c>
      <c r="D133" s="49">
        <v>33</v>
      </c>
      <c r="E133" s="49">
        <v>0</v>
      </c>
      <c r="F133" s="47">
        <v>3</v>
      </c>
    </row>
    <row r="134" spans="1:6" ht="15.75">
      <c r="A134" s="49" t="s">
        <v>142</v>
      </c>
      <c r="B134" s="49">
        <v>4</v>
      </c>
      <c r="C134" s="49">
        <v>2</v>
      </c>
      <c r="D134" s="49">
        <v>33</v>
      </c>
      <c r="E134" s="49">
        <v>1</v>
      </c>
      <c r="F134" s="47">
        <v>3</v>
      </c>
    </row>
    <row r="135" spans="1:6" ht="15.75">
      <c r="A135" s="49" t="s">
        <v>143</v>
      </c>
      <c r="B135" s="49">
        <v>10</v>
      </c>
      <c r="C135" s="49">
        <v>2</v>
      </c>
      <c r="D135" s="49">
        <v>33</v>
      </c>
      <c r="E135" s="49">
        <v>0</v>
      </c>
      <c r="F135" s="47">
        <v>3</v>
      </c>
    </row>
    <row r="136" spans="1:6" ht="15.75">
      <c r="A136" s="49" t="s">
        <v>144</v>
      </c>
      <c r="B136" s="49">
        <v>6</v>
      </c>
      <c r="C136" s="49">
        <v>2</v>
      </c>
      <c r="D136" s="49">
        <v>33</v>
      </c>
      <c r="E136" s="49">
        <v>0</v>
      </c>
      <c r="F136" s="47">
        <v>3</v>
      </c>
    </row>
    <row r="137" spans="1:6" ht="15.75">
      <c r="A137" s="49" t="s">
        <v>145</v>
      </c>
      <c r="B137" s="49">
        <v>3.5</v>
      </c>
      <c r="C137" s="49">
        <v>1</v>
      </c>
      <c r="D137" s="49">
        <v>33</v>
      </c>
      <c r="E137" s="49">
        <v>1</v>
      </c>
      <c r="F137" s="47">
        <v>3</v>
      </c>
    </row>
    <row r="138" spans="1:6" ht="15.75">
      <c r="A138" s="49" t="s">
        <v>146</v>
      </c>
      <c r="B138" s="49">
        <v>13</v>
      </c>
      <c r="C138" s="49">
        <v>3</v>
      </c>
      <c r="D138" s="49">
        <v>33</v>
      </c>
      <c r="E138" s="49">
        <v>1</v>
      </c>
      <c r="F138" s="47">
        <v>3</v>
      </c>
    </row>
    <row r="139" spans="1:6" ht="15.75">
      <c r="A139" s="49" t="s">
        <v>147</v>
      </c>
      <c r="B139" s="49">
        <v>52</v>
      </c>
      <c r="C139" s="49">
        <v>7</v>
      </c>
      <c r="D139" s="49">
        <v>21</v>
      </c>
      <c r="E139" s="49">
        <v>0</v>
      </c>
      <c r="F139" s="47">
        <v>3</v>
      </c>
    </row>
    <row r="140" spans="1:6" ht="15.75">
      <c r="A140" s="49" t="s">
        <v>148</v>
      </c>
      <c r="B140" s="49">
        <v>74</v>
      </c>
      <c r="C140" s="49">
        <v>5</v>
      </c>
      <c r="D140" s="49">
        <v>21</v>
      </c>
      <c r="E140" s="49">
        <v>1</v>
      </c>
      <c r="F140" s="47">
        <v>3</v>
      </c>
    </row>
    <row r="141" spans="1:6" ht="15.75">
      <c r="A141" s="49" t="s">
        <v>149</v>
      </c>
      <c r="B141" s="49">
        <v>36</v>
      </c>
      <c r="C141" s="49">
        <v>2</v>
      </c>
      <c r="D141" s="49">
        <v>21</v>
      </c>
      <c r="E141" s="49">
        <v>0</v>
      </c>
      <c r="F141" s="47">
        <v>3</v>
      </c>
    </row>
    <row r="142" spans="1:6" ht="15.75">
      <c r="A142" s="49" t="s">
        <v>150</v>
      </c>
      <c r="B142" s="49">
        <v>39</v>
      </c>
      <c r="C142" s="49">
        <v>2</v>
      </c>
      <c r="D142" s="49">
        <v>21</v>
      </c>
      <c r="E142" s="49">
        <v>1</v>
      </c>
      <c r="F142" s="47">
        <v>3</v>
      </c>
    </row>
    <row r="143" spans="1:6" ht="15.75">
      <c r="A143" s="49" t="s">
        <v>151</v>
      </c>
      <c r="B143" s="49">
        <v>20</v>
      </c>
      <c r="C143" s="49">
        <v>4</v>
      </c>
      <c r="D143" s="49">
        <v>21</v>
      </c>
      <c r="E143" s="49">
        <v>1</v>
      </c>
      <c r="F143" s="47">
        <v>3</v>
      </c>
    </row>
    <row r="144" spans="1:6" ht="15.75">
      <c r="A144" s="49" t="s">
        <v>120</v>
      </c>
      <c r="B144" s="49">
        <v>61</v>
      </c>
      <c r="C144" s="49">
        <v>4</v>
      </c>
      <c r="D144" s="49">
        <v>21</v>
      </c>
      <c r="E144" s="49">
        <v>1</v>
      </c>
      <c r="F144" s="47">
        <v>3</v>
      </c>
    </row>
    <row r="145" spans="1:6" ht="15.75">
      <c r="A145" s="49" t="s">
        <v>152</v>
      </c>
      <c r="B145" s="49">
        <v>28</v>
      </c>
      <c r="C145" s="49">
        <v>4</v>
      </c>
      <c r="D145" s="49">
        <v>21</v>
      </c>
      <c r="E145" s="49">
        <v>1</v>
      </c>
      <c r="F145" s="47">
        <v>3</v>
      </c>
    </row>
    <row r="146" spans="1:6" ht="15.75">
      <c r="A146" s="49" t="s">
        <v>153</v>
      </c>
      <c r="B146" s="49">
        <v>34</v>
      </c>
      <c r="C146" s="49">
        <v>2</v>
      </c>
      <c r="D146" s="49">
        <v>21</v>
      </c>
      <c r="E146" s="49">
        <v>1</v>
      </c>
      <c r="F146" s="47">
        <v>3</v>
      </c>
    </row>
    <row r="147" spans="1:6" ht="15.75">
      <c r="A147" s="49" t="s">
        <v>154</v>
      </c>
      <c r="B147" s="49">
        <v>66</v>
      </c>
      <c r="C147" s="49">
        <v>10</v>
      </c>
      <c r="D147" s="49">
        <v>21</v>
      </c>
      <c r="E147" s="49">
        <v>1</v>
      </c>
      <c r="F147" s="47">
        <v>3</v>
      </c>
    </row>
    <row r="148" spans="1:6" ht="15.75">
      <c r="A148" s="49" t="s">
        <v>155</v>
      </c>
      <c r="B148" s="49">
        <v>55</v>
      </c>
      <c r="C148" s="49">
        <v>3</v>
      </c>
      <c r="D148" s="49">
        <v>21</v>
      </c>
      <c r="E148" s="49">
        <v>1</v>
      </c>
      <c r="F148" s="47">
        <v>3</v>
      </c>
    </row>
    <row r="149" spans="1:6" ht="15.75">
      <c r="A149" s="49" t="s">
        <v>156</v>
      </c>
      <c r="B149" s="49">
        <v>19</v>
      </c>
      <c r="C149" s="49">
        <v>5</v>
      </c>
      <c r="D149" s="49">
        <v>21</v>
      </c>
      <c r="E149" s="49">
        <v>0</v>
      </c>
      <c r="F149" s="47">
        <v>3</v>
      </c>
    </row>
    <row r="150" spans="1:6" ht="15.75">
      <c r="A150" s="49" t="s">
        <v>157</v>
      </c>
      <c r="B150" s="49">
        <v>61</v>
      </c>
      <c r="C150" s="49">
        <v>5</v>
      </c>
      <c r="D150" s="49">
        <v>21</v>
      </c>
      <c r="E150" s="49">
        <v>1</v>
      </c>
      <c r="F150" s="47">
        <v>3</v>
      </c>
    </row>
    <row r="151" spans="1:6" ht="15.75">
      <c r="A151" s="49" t="s">
        <v>158</v>
      </c>
      <c r="B151" s="49">
        <v>24</v>
      </c>
      <c r="C151" s="49">
        <v>3</v>
      </c>
      <c r="D151" s="49">
        <v>21</v>
      </c>
      <c r="E151" s="49">
        <v>0</v>
      </c>
      <c r="F151" s="47">
        <v>3</v>
      </c>
    </row>
    <row r="152" spans="1:6" ht="15.75">
      <c r="A152" s="49" t="s">
        <v>159</v>
      </c>
      <c r="B152" s="49">
        <v>47</v>
      </c>
      <c r="C152" s="49">
        <v>3</v>
      </c>
      <c r="D152" s="49">
        <v>21</v>
      </c>
      <c r="E152" s="49">
        <v>1</v>
      </c>
      <c r="F152" s="47">
        <v>3</v>
      </c>
    </row>
    <row r="153" spans="1:6" ht="15.75">
      <c r="A153" s="49" t="s">
        <v>160</v>
      </c>
      <c r="B153" s="49">
        <v>73</v>
      </c>
      <c r="C153" s="49">
        <v>7</v>
      </c>
      <c r="D153" s="49">
        <v>21</v>
      </c>
      <c r="E153" s="49">
        <v>1</v>
      </c>
      <c r="F153" s="47">
        <v>3</v>
      </c>
    </row>
    <row r="154" spans="1:6" ht="15.75">
      <c r="A154" s="49" t="s">
        <v>161</v>
      </c>
      <c r="B154" s="49">
        <v>18</v>
      </c>
      <c r="C154" s="49">
        <v>5</v>
      </c>
      <c r="D154" s="49">
        <v>21</v>
      </c>
      <c r="E154" s="49">
        <v>1</v>
      </c>
      <c r="F154" s="47">
        <v>3</v>
      </c>
    </row>
    <row r="155" spans="1:6" ht="15.75">
      <c r="A155" s="49" t="s">
        <v>162</v>
      </c>
      <c r="B155" s="49">
        <v>19</v>
      </c>
      <c r="C155" s="49">
        <v>5</v>
      </c>
      <c r="D155" s="49">
        <v>21</v>
      </c>
      <c r="E155" s="49">
        <v>1</v>
      </c>
      <c r="F155" s="47">
        <v>3</v>
      </c>
    </row>
    <row r="156" spans="1:6" ht="15.75">
      <c r="A156" s="49" t="s">
        <v>163</v>
      </c>
      <c r="B156" s="49">
        <v>5</v>
      </c>
      <c r="C156" s="49">
        <v>2</v>
      </c>
      <c r="D156" s="49">
        <v>21</v>
      </c>
      <c r="E156" s="49">
        <v>0</v>
      </c>
      <c r="F156" s="47">
        <v>3</v>
      </c>
    </row>
    <row r="157" spans="1:6" ht="15.75">
      <c r="A157" s="49" t="s">
        <v>164</v>
      </c>
      <c r="B157" s="49">
        <v>15</v>
      </c>
      <c r="C157" s="49">
        <v>4</v>
      </c>
      <c r="D157" s="49">
        <v>21</v>
      </c>
      <c r="E157" s="49">
        <v>1</v>
      </c>
      <c r="F157" s="47">
        <v>3</v>
      </c>
    </row>
    <row r="158" spans="1:6" ht="15.75">
      <c r="A158" s="49" t="s">
        <v>165</v>
      </c>
      <c r="B158" s="49">
        <v>5</v>
      </c>
      <c r="C158" s="49">
        <v>2</v>
      </c>
      <c r="D158" s="49">
        <v>21</v>
      </c>
      <c r="E158" s="49">
        <v>0</v>
      </c>
      <c r="F158" s="47">
        <v>3</v>
      </c>
    </row>
    <row r="159" spans="1:6" ht="15.75">
      <c r="A159" s="49" t="s">
        <v>166</v>
      </c>
      <c r="B159" s="49">
        <v>17</v>
      </c>
      <c r="C159" s="49">
        <v>2</v>
      </c>
      <c r="D159" s="49">
        <v>21</v>
      </c>
      <c r="E159" s="49">
        <v>0</v>
      </c>
      <c r="F159" s="47">
        <v>3</v>
      </c>
    </row>
    <row r="160" spans="1:6" ht="15.75">
      <c r="A160" s="49" t="s">
        <v>167</v>
      </c>
      <c r="B160" s="49">
        <v>16</v>
      </c>
      <c r="C160" s="49">
        <v>3</v>
      </c>
      <c r="D160" s="49">
        <v>21</v>
      </c>
      <c r="E160" s="49">
        <v>0</v>
      </c>
      <c r="F160" s="47">
        <v>3</v>
      </c>
    </row>
    <row r="161" spans="1:6" ht="15.75">
      <c r="A161" s="49" t="s">
        <v>168</v>
      </c>
      <c r="B161" s="49">
        <v>12</v>
      </c>
      <c r="C161" s="49">
        <v>3</v>
      </c>
      <c r="D161" s="49">
        <v>21</v>
      </c>
      <c r="E161" s="49">
        <v>1</v>
      </c>
      <c r="F161" s="47">
        <v>3</v>
      </c>
    </row>
    <row r="162" spans="1:6" ht="15.75">
      <c r="A162" s="49" t="s">
        <v>169</v>
      </c>
      <c r="B162" s="49">
        <v>22</v>
      </c>
      <c r="C162" s="49">
        <v>3</v>
      </c>
      <c r="D162" s="49">
        <v>3</v>
      </c>
      <c r="E162" s="49">
        <v>1</v>
      </c>
      <c r="F162" s="47">
        <v>1</v>
      </c>
    </row>
    <row r="163" spans="1:6" ht="15.75">
      <c r="A163" s="49" t="s">
        <v>170</v>
      </c>
      <c r="B163" s="49">
        <v>34</v>
      </c>
      <c r="C163" s="49">
        <v>4</v>
      </c>
      <c r="D163" s="49">
        <v>3</v>
      </c>
      <c r="E163" s="49">
        <v>1</v>
      </c>
      <c r="F163" s="47">
        <v>1</v>
      </c>
    </row>
    <row r="164" spans="1:6" ht="15.75">
      <c r="A164" s="49" t="s">
        <v>171</v>
      </c>
      <c r="B164" s="49">
        <v>10</v>
      </c>
      <c r="C164" s="49">
        <v>6</v>
      </c>
      <c r="D164" s="49">
        <v>3</v>
      </c>
      <c r="E164" s="49">
        <v>0</v>
      </c>
      <c r="F164" s="4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C3" sqref="C3"/>
    </sheetView>
  </sheetViews>
  <sheetFormatPr defaultColWidth="9" defaultRowHeight="15"/>
  <cols>
    <col min="1" max="1" width="21.7109375" customWidth="1"/>
    <col min="2" max="2" width="20.42578125" customWidth="1"/>
  </cols>
  <sheetData>
    <row r="1" spans="1:4">
      <c r="A1" s="20" t="s">
        <v>172</v>
      </c>
    </row>
    <row r="3" spans="1:4">
      <c r="A3" s="31" t="s">
        <v>1</v>
      </c>
      <c r="B3" s="31">
        <f ca="1">RAND()</f>
        <v>0.60426064701203419</v>
      </c>
      <c r="C3" t="str">
        <f ca="1">INDEX($A$3:$A$6,MATCH(LARGE($B$3:$B$6,ROW(Y1)),$B$3:$B$6,0))</f>
        <v>Usia</v>
      </c>
    </row>
    <row r="4" spans="1:4">
      <c r="A4" s="31" t="s">
        <v>2</v>
      </c>
      <c r="B4" s="31">
        <f ca="1">RAND()</f>
        <v>0.17187701944288136</v>
      </c>
      <c r="C4" t="str">
        <f ca="1">INDEX($A$3:$A$6,MATCH(LARGE($B$3:$B$6,ROW(Y2)),$B$3:$B$6,0))</f>
        <v>Jumlah Kasus Per Bulan</v>
      </c>
    </row>
    <row r="5" spans="1:4">
      <c r="A5" s="31" t="s">
        <v>4</v>
      </c>
      <c r="B5" s="31">
        <f ca="1">RAND()</f>
        <v>0.16804878551636437</v>
      </c>
    </row>
    <row r="6" spans="1:4">
      <c r="A6" s="31" t="s">
        <v>173</v>
      </c>
      <c r="B6" s="31">
        <f ca="1">RAND()</f>
        <v>0.51980343460473211</v>
      </c>
      <c r="D6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J12" sqref="J12"/>
    </sheetView>
  </sheetViews>
  <sheetFormatPr defaultColWidth="9" defaultRowHeight="15"/>
  <cols>
    <col min="2" max="2" width="24.28515625" customWidth="1"/>
    <col min="3" max="3" width="29.140625" customWidth="1"/>
    <col min="4" max="4" width="16.42578125" customWidth="1"/>
    <col min="5" max="5" width="24" customWidth="1"/>
  </cols>
  <sheetData>
    <row r="1" spans="1:5" ht="15.75">
      <c r="A1" s="44" t="s">
        <v>1</v>
      </c>
      <c r="B1" s="45" t="s">
        <v>2</v>
      </c>
      <c r="C1" s="45" t="s">
        <v>3</v>
      </c>
      <c r="D1" s="45" t="s">
        <v>4</v>
      </c>
      <c r="E1" s="45" t="s">
        <v>5</v>
      </c>
    </row>
    <row r="2" spans="1:5" ht="15.75">
      <c r="A2" s="46">
        <v>34</v>
      </c>
      <c r="B2" s="47">
        <v>3</v>
      </c>
      <c r="C2" s="47">
        <v>12</v>
      </c>
      <c r="D2" s="47">
        <v>0</v>
      </c>
      <c r="E2" s="47">
        <v>2</v>
      </c>
    </row>
    <row r="3" spans="1:5" ht="15.75">
      <c r="A3" s="46">
        <v>43</v>
      </c>
      <c r="B3" s="47">
        <v>3</v>
      </c>
      <c r="C3" s="47">
        <v>12</v>
      </c>
      <c r="D3" s="47">
        <v>1</v>
      </c>
      <c r="E3" s="47">
        <v>2</v>
      </c>
    </row>
    <row r="4" spans="1:5" ht="15.75">
      <c r="A4" s="46">
        <v>49</v>
      </c>
      <c r="B4" s="47">
        <v>4</v>
      </c>
      <c r="C4" s="47">
        <v>7</v>
      </c>
      <c r="D4" s="47">
        <v>1</v>
      </c>
      <c r="E4" s="47">
        <v>1</v>
      </c>
    </row>
    <row r="5" spans="1:5" ht="15.75">
      <c r="A5" s="46">
        <v>21</v>
      </c>
      <c r="B5" s="47">
        <v>2</v>
      </c>
      <c r="C5" s="47">
        <v>7</v>
      </c>
      <c r="D5" s="47">
        <v>0</v>
      </c>
      <c r="E5" s="47">
        <v>1</v>
      </c>
    </row>
    <row r="6" spans="1:5" ht="15.75">
      <c r="A6" s="46">
        <v>16</v>
      </c>
      <c r="B6" s="47">
        <v>2</v>
      </c>
      <c r="C6" s="47">
        <v>18</v>
      </c>
      <c r="D6" s="47">
        <v>1</v>
      </c>
      <c r="E6" s="47">
        <v>3</v>
      </c>
    </row>
    <row r="7" spans="1:5" ht="15.75">
      <c r="A7" s="46">
        <v>16</v>
      </c>
      <c r="B7" s="47">
        <v>2</v>
      </c>
      <c r="C7" s="47">
        <v>18</v>
      </c>
      <c r="D7" s="47">
        <v>1</v>
      </c>
      <c r="E7" s="47">
        <v>3</v>
      </c>
    </row>
    <row r="8" spans="1:5" ht="15.75">
      <c r="A8" s="46">
        <v>4</v>
      </c>
      <c r="B8" s="47">
        <v>2</v>
      </c>
      <c r="C8" s="47">
        <v>18</v>
      </c>
      <c r="D8" s="47">
        <v>1</v>
      </c>
      <c r="E8" s="47">
        <v>3</v>
      </c>
    </row>
    <row r="9" spans="1:5" ht="15.75">
      <c r="A9" s="46">
        <v>19</v>
      </c>
      <c r="B9" s="47">
        <v>6</v>
      </c>
      <c r="C9" s="47">
        <v>18</v>
      </c>
      <c r="D9" s="47">
        <v>0</v>
      </c>
      <c r="E9" s="47">
        <v>3</v>
      </c>
    </row>
    <row r="10" spans="1:5" ht="15.75">
      <c r="A10" s="46">
        <v>12</v>
      </c>
      <c r="B10" s="47">
        <v>3</v>
      </c>
      <c r="C10" s="47">
        <v>21</v>
      </c>
      <c r="D10" s="47">
        <v>1</v>
      </c>
      <c r="E10" s="47">
        <v>3</v>
      </c>
    </row>
    <row r="11" spans="1:5" ht="15.75">
      <c r="A11" s="46">
        <v>22</v>
      </c>
      <c r="B11" s="47">
        <v>3</v>
      </c>
      <c r="C11" s="47">
        <v>3</v>
      </c>
      <c r="D11" s="47">
        <v>1</v>
      </c>
      <c r="E11" s="4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4"/>
  <sheetViews>
    <sheetView topLeftCell="A157" workbookViewId="0">
      <selection activeCell="E1" sqref="E1:E53"/>
    </sheetView>
  </sheetViews>
  <sheetFormatPr defaultColWidth="9" defaultRowHeight="15"/>
  <cols>
    <col min="2" max="2" width="23.5703125" customWidth="1"/>
    <col min="3" max="3" width="22" customWidth="1"/>
    <col min="4" max="4" width="17.5703125" customWidth="1"/>
    <col min="5" max="5" width="22" customWidth="1"/>
  </cols>
  <sheetData>
    <row r="1" spans="1:5">
      <c r="A1" s="30" t="s">
        <v>1</v>
      </c>
      <c r="B1" s="30" t="s">
        <v>2</v>
      </c>
      <c r="C1" s="30" t="s">
        <v>173</v>
      </c>
      <c r="D1" s="30" t="s">
        <v>4</v>
      </c>
      <c r="E1" s="30" t="s">
        <v>5</v>
      </c>
    </row>
    <row r="2" spans="1:5">
      <c r="A2" s="32">
        <v>21</v>
      </c>
      <c r="B2" s="32">
        <v>5</v>
      </c>
      <c r="C2" s="32">
        <v>13</v>
      </c>
      <c r="D2" s="32">
        <v>1</v>
      </c>
      <c r="E2" s="32" t="s">
        <v>7</v>
      </c>
    </row>
    <row r="3" spans="1:5">
      <c r="A3" s="32">
        <v>19</v>
      </c>
      <c r="B3" s="32">
        <v>2</v>
      </c>
      <c r="C3" s="32">
        <v>13</v>
      </c>
      <c r="D3" s="32">
        <v>0</v>
      </c>
      <c r="E3" s="32" t="s">
        <v>7</v>
      </c>
    </row>
    <row r="4" spans="1:5">
      <c r="A4" s="32">
        <v>22</v>
      </c>
      <c r="B4" s="32">
        <v>4</v>
      </c>
      <c r="C4" s="32">
        <v>33</v>
      </c>
      <c r="D4" s="32">
        <v>0</v>
      </c>
      <c r="E4" s="32" t="s">
        <v>98</v>
      </c>
    </row>
    <row r="5" spans="1:5">
      <c r="A5" s="32">
        <v>59</v>
      </c>
      <c r="B5" s="32">
        <v>4</v>
      </c>
      <c r="C5" s="32">
        <v>15</v>
      </c>
      <c r="D5" s="32">
        <v>1</v>
      </c>
      <c r="E5" s="32" t="s">
        <v>7</v>
      </c>
    </row>
    <row r="6" spans="1:5">
      <c r="A6" s="32">
        <v>25</v>
      </c>
      <c r="B6" s="32">
        <v>4</v>
      </c>
      <c r="C6" s="32">
        <v>33</v>
      </c>
      <c r="D6" s="32">
        <v>0</v>
      </c>
      <c r="E6" s="32" t="s">
        <v>98</v>
      </c>
    </row>
    <row r="7" spans="1:5">
      <c r="A7" s="32">
        <v>5</v>
      </c>
      <c r="B7" s="32">
        <v>2</v>
      </c>
      <c r="C7" s="32">
        <v>21</v>
      </c>
      <c r="D7" s="32">
        <v>0</v>
      </c>
      <c r="E7" s="32" t="s">
        <v>98</v>
      </c>
    </row>
    <row r="8" spans="1:5">
      <c r="A8" s="32">
        <v>35</v>
      </c>
      <c r="B8" s="32">
        <v>1</v>
      </c>
      <c r="C8" s="32">
        <v>15</v>
      </c>
      <c r="D8" s="32">
        <v>0</v>
      </c>
      <c r="E8" s="32" t="s">
        <v>7</v>
      </c>
    </row>
    <row r="9" spans="1:5">
      <c r="A9" s="32">
        <v>16</v>
      </c>
      <c r="B9" s="32">
        <v>3</v>
      </c>
      <c r="C9" s="32">
        <v>21</v>
      </c>
      <c r="D9" s="32">
        <v>0</v>
      </c>
      <c r="E9" s="32" t="s">
        <v>98</v>
      </c>
    </row>
    <row r="10" spans="1:5">
      <c r="A10" s="32">
        <v>28</v>
      </c>
      <c r="B10" s="32">
        <v>3</v>
      </c>
      <c r="C10" s="32">
        <v>13</v>
      </c>
      <c r="D10" s="32">
        <v>1</v>
      </c>
      <c r="E10" s="32" t="s">
        <v>7</v>
      </c>
    </row>
    <row r="11" spans="1:5">
      <c r="A11" s="32">
        <v>14</v>
      </c>
      <c r="B11" s="32">
        <v>4</v>
      </c>
      <c r="C11" s="32">
        <v>12</v>
      </c>
      <c r="D11" s="32">
        <v>0</v>
      </c>
      <c r="E11" s="32" t="s">
        <v>7</v>
      </c>
    </row>
    <row r="12" spans="1:5">
      <c r="A12" s="32">
        <v>82</v>
      </c>
      <c r="B12" s="32">
        <v>5</v>
      </c>
      <c r="C12" s="32">
        <v>33</v>
      </c>
      <c r="D12" s="32">
        <v>1</v>
      </c>
      <c r="E12" s="32" t="s">
        <v>98</v>
      </c>
    </row>
    <row r="13" spans="1:5">
      <c r="A13" s="32">
        <v>13</v>
      </c>
      <c r="B13" s="32">
        <v>3</v>
      </c>
      <c r="C13" s="32">
        <v>33</v>
      </c>
      <c r="D13" s="32">
        <v>1</v>
      </c>
      <c r="E13" s="32" t="s">
        <v>98</v>
      </c>
    </row>
    <row r="14" spans="1:5">
      <c r="A14" s="32">
        <v>28</v>
      </c>
      <c r="B14" s="32">
        <v>3</v>
      </c>
      <c r="C14" s="32">
        <v>33</v>
      </c>
      <c r="D14" s="32">
        <v>1</v>
      </c>
      <c r="E14" s="32" t="s">
        <v>98</v>
      </c>
    </row>
    <row r="15" spans="1:5">
      <c r="A15" s="32">
        <v>18</v>
      </c>
      <c r="B15" s="32">
        <v>5</v>
      </c>
      <c r="C15" s="32">
        <v>12</v>
      </c>
      <c r="D15" s="32">
        <v>0</v>
      </c>
      <c r="E15" s="32" t="s">
        <v>7</v>
      </c>
    </row>
    <row r="16" spans="1:5">
      <c r="A16" s="32">
        <v>84</v>
      </c>
      <c r="B16" s="32">
        <v>3</v>
      </c>
      <c r="C16" s="32">
        <v>10</v>
      </c>
      <c r="D16" s="32">
        <v>0</v>
      </c>
      <c r="E16" s="32" t="s">
        <v>7</v>
      </c>
    </row>
    <row r="17" spans="1:5">
      <c r="A17" s="32">
        <v>38</v>
      </c>
      <c r="B17" s="32">
        <v>2</v>
      </c>
      <c r="C17" s="32">
        <v>33</v>
      </c>
      <c r="D17" s="32">
        <v>0</v>
      </c>
      <c r="E17" s="32" t="s">
        <v>98</v>
      </c>
    </row>
    <row r="18" spans="1:5">
      <c r="A18" s="32">
        <v>66</v>
      </c>
      <c r="B18" s="32">
        <v>10</v>
      </c>
      <c r="C18" s="32">
        <v>21</v>
      </c>
      <c r="D18" s="32">
        <v>1</v>
      </c>
      <c r="E18" s="32" t="s">
        <v>98</v>
      </c>
    </row>
    <row r="19" spans="1:5">
      <c r="A19" s="32">
        <v>21</v>
      </c>
      <c r="B19" s="32">
        <v>2</v>
      </c>
      <c r="C19" s="32">
        <v>7</v>
      </c>
      <c r="D19" s="32">
        <v>0</v>
      </c>
      <c r="E19" s="32" t="s">
        <v>20</v>
      </c>
    </row>
    <row r="20" spans="1:5">
      <c r="A20" s="32">
        <v>24</v>
      </c>
      <c r="B20" s="32">
        <v>3</v>
      </c>
      <c r="C20" s="32">
        <v>21</v>
      </c>
      <c r="D20" s="32">
        <v>0</v>
      </c>
      <c r="E20" s="32" t="s">
        <v>98</v>
      </c>
    </row>
    <row r="21" spans="1:5">
      <c r="A21" s="32">
        <v>28</v>
      </c>
      <c r="B21" s="32">
        <v>4</v>
      </c>
      <c r="C21" s="32">
        <v>4</v>
      </c>
      <c r="D21" s="32">
        <v>1</v>
      </c>
      <c r="E21" s="32" t="s">
        <v>20</v>
      </c>
    </row>
    <row r="22" spans="1:5">
      <c r="A22" s="32">
        <v>23</v>
      </c>
      <c r="B22" s="32">
        <v>3</v>
      </c>
      <c r="C22" s="32">
        <v>18</v>
      </c>
      <c r="D22" s="32">
        <v>1</v>
      </c>
      <c r="E22" s="32" t="s">
        <v>98</v>
      </c>
    </row>
    <row r="23" spans="1:5">
      <c r="A23" s="32">
        <v>68</v>
      </c>
      <c r="B23" s="32">
        <v>4</v>
      </c>
      <c r="C23" s="32">
        <v>15</v>
      </c>
      <c r="D23" s="32">
        <v>0</v>
      </c>
      <c r="E23" s="32" t="s">
        <v>7</v>
      </c>
    </row>
    <row r="24" spans="1:5">
      <c r="A24" s="32">
        <v>8</v>
      </c>
      <c r="B24" s="32">
        <v>4</v>
      </c>
      <c r="C24" s="32">
        <v>13</v>
      </c>
      <c r="D24" s="32">
        <v>0</v>
      </c>
      <c r="E24" s="32" t="s">
        <v>7</v>
      </c>
    </row>
    <row r="25" spans="1:5">
      <c r="A25" s="32">
        <v>21</v>
      </c>
      <c r="B25" s="32">
        <v>2</v>
      </c>
      <c r="C25" s="32">
        <v>33</v>
      </c>
      <c r="D25" s="32">
        <v>0</v>
      </c>
      <c r="E25" s="32" t="s">
        <v>98</v>
      </c>
    </row>
    <row r="26" spans="1:5">
      <c r="A26" s="32">
        <v>61</v>
      </c>
      <c r="B26" s="32">
        <v>3</v>
      </c>
      <c r="C26" s="32">
        <v>18</v>
      </c>
      <c r="D26" s="32">
        <v>1</v>
      </c>
      <c r="E26" s="32" t="s">
        <v>98</v>
      </c>
    </row>
    <row r="27" spans="1:5">
      <c r="A27" s="32">
        <v>54</v>
      </c>
      <c r="B27" s="32">
        <v>4</v>
      </c>
      <c r="C27" s="32">
        <v>14</v>
      </c>
      <c r="D27" s="32">
        <v>0</v>
      </c>
      <c r="E27" s="32" t="s">
        <v>7</v>
      </c>
    </row>
    <row r="28" spans="1:5">
      <c r="A28" s="32">
        <v>4</v>
      </c>
      <c r="B28" s="32">
        <v>3</v>
      </c>
      <c r="C28" s="32">
        <v>15</v>
      </c>
      <c r="D28" s="32">
        <v>0</v>
      </c>
      <c r="E28" s="32" t="s">
        <v>7</v>
      </c>
    </row>
    <row r="29" spans="1:5">
      <c r="A29" s="32">
        <v>52</v>
      </c>
      <c r="B29" s="32">
        <v>7</v>
      </c>
      <c r="C29" s="32">
        <v>21</v>
      </c>
      <c r="D29" s="32">
        <v>0</v>
      </c>
      <c r="E29" s="32" t="s">
        <v>98</v>
      </c>
    </row>
    <row r="30" spans="1:5">
      <c r="A30" s="32">
        <v>23</v>
      </c>
      <c r="B30" s="32">
        <v>3</v>
      </c>
      <c r="C30" s="32">
        <v>18</v>
      </c>
      <c r="D30" s="32">
        <v>1</v>
      </c>
      <c r="E30" s="32" t="s">
        <v>98</v>
      </c>
    </row>
    <row r="31" spans="1:5">
      <c r="A31" s="32">
        <v>69</v>
      </c>
      <c r="B31" s="32">
        <v>7</v>
      </c>
      <c r="C31" s="32">
        <v>33</v>
      </c>
      <c r="D31" s="32">
        <v>1</v>
      </c>
      <c r="E31" s="32" t="s">
        <v>98</v>
      </c>
    </row>
    <row r="32" spans="1:5">
      <c r="A32" s="32">
        <v>17</v>
      </c>
      <c r="B32" s="32">
        <v>3</v>
      </c>
      <c r="C32" s="32">
        <v>15</v>
      </c>
      <c r="D32" s="32">
        <v>0</v>
      </c>
      <c r="E32" s="32" t="s">
        <v>7</v>
      </c>
    </row>
    <row r="33" spans="1:5">
      <c r="A33" s="32">
        <v>10</v>
      </c>
      <c r="B33" s="32">
        <v>5</v>
      </c>
      <c r="C33" s="32">
        <v>14</v>
      </c>
      <c r="D33" s="32">
        <v>1</v>
      </c>
      <c r="E33" s="32" t="s">
        <v>7</v>
      </c>
    </row>
    <row r="34" spans="1:5">
      <c r="A34" s="32">
        <v>23</v>
      </c>
      <c r="B34" s="32">
        <v>3</v>
      </c>
      <c r="C34" s="32">
        <v>18</v>
      </c>
      <c r="D34" s="32">
        <v>1</v>
      </c>
      <c r="E34" s="32" t="s">
        <v>98</v>
      </c>
    </row>
    <row r="35" spans="1:5">
      <c r="A35" s="32">
        <v>42</v>
      </c>
      <c r="B35" s="32">
        <v>4</v>
      </c>
      <c r="C35" s="32">
        <v>13</v>
      </c>
      <c r="D35" s="32">
        <v>1</v>
      </c>
      <c r="E35" s="32" t="s">
        <v>7</v>
      </c>
    </row>
    <row r="36" spans="1:5">
      <c r="A36" s="32">
        <v>50</v>
      </c>
      <c r="B36" s="32">
        <v>3</v>
      </c>
      <c r="C36" s="32">
        <v>13</v>
      </c>
      <c r="D36" s="32">
        <v>0</v>
      </c>
      <c r="E36" s="32" t="s">
        <v>7</v>
      </c>
    </row>
    <row r="37" spans="1:5">
      <c r="A37" s="32">
        <v>55</v>
      </c>
      <c r="B37" s="32">
        <v>3</v>
      </c>
      <c r="C37" s="32">
        <v>21</v>
      </c>
      <c r="D37" s="32">
        <v>1</v>
      </c>
      <c r="E37" s="32" t="s">
        <v>98</v>
      </c>
    </row>
    <row r="38" spans="1:5">
      <c r="A38" s="32">
        <v>15</v>
      </c>
      <c r="B38" s="32">
        <v>5</v>
      </c>
      <c r="C38" s="32">
        <v>7</v>
      </c>
      <c r="D38" s="32">
        <v>0</v>
      </c>
      <c r="E38" s="32" t="s">
        <v>20</v>
      </c>
    </row>
    <row r="39" spans="1:5">
      <c r="A39" s="32">
        <v>4</v>
      </c>
      <c r="B39" s="32">
        <v>3</v>
      </c>
      <c r="C39" s="32">
        <v>15</v>
      </c>
      <c r="D39" s="32">
        <v>0</v>
      </c>
      <c r="E39" s="32" t="s">
        <v>7</v>
      </c>
    </row>
    <row r="40" spans="1:5">
      <c r="A40" s="32">
        <v>61</v>
      </c>
      <c r="B40" s="32">
        <v>4</v>
      </c>
      <c r="C40" s="32">
        <v>21</v>
      </c>
      <c r="D40" s="32">
        <v>1</v>
      </c>
      <c r="E40" s="32" t="s">
        <v>98</v>
      </c>
    </row>
    <row r="41" spans="1:5">
      <c r="A41" s="32">
        <v>10</v>
      </c>
      <c r="B41" s="32">
        <v>2</v>
      </c>
      <c r="C41" s="32">
        <v>33</v>
      </c>
      <c r="D41" s="32">
        <v>0</v>
      </c>
      <c r="E41" s="32" t="s">
        <v>98</v>
      </c>
    </row>
    <row r="42" spans="1:5">
      <c r="A42" s="32">
        <v>61</v>
      </c>
      <c r="B42" s="32">
        <v>3</v>
      </c>
      <c r="C42" s="32">
        <v>33</v>
      </c>
      <c r="D42" s="32">
        <v>1</v>
      </c>
      <c r="E42" s="32" t="s">
        <v>98</v>
      </c>
    </row>
    <row r="43" spans="1:5">
      <c r="A43" s="32">
        <v>29</v>
      </c>
      <c r="B43" s="32">
        <v>3</v>
      </c>
      <c r="C43" s="32">
        <v>15</v>
      </c>
      <c r="D43" s="32">
        <v>1</v>
      </c>
      <c r="E43" s="32" t="s">
        <v>7</v>
      </c>
    </row>
    <row r="44" spans="1:5">
      <c r="A44" s="32">
        <v>65</v>
      </c>
      <c r="B44" s="32">
        <v>4</v>
      </c>
      <c r="C44" s="32">
        <v>18</v>
      </c>
      <c r="D44" s="32">
        <v>0</v>
      </c>
      <c r="E44" s="32" t="s">
        <v>98</v>
      </c>
    </row>
    <row r="45" spans="1:5">
      <c r="A45" s="32">
        <v>5</v>
      </c>
      <c r="B45" s="32">
        <v>2</v>
      </c>
      <c r="C45" s="32">
        <v>21</v>
      </c>
      <c r="D45" s="32">
        <v>0</v>
      </c>
      <c r="E45" s="32" t="s">
        <v>98</v>
      </c>
    </row>
    <row r="46" spans="1:5">
      <c r="A46" s="32">
        <v>30</v>
      </c>
      <c r="B46" s="32">
        <v>7</v>
      </c>
      <c r="C46" s="32">
        <v>33</v>
      </c>
      <c r="D46" s="32">
        <v>0</v>
      </c>
      <c r="E46" s="32" t="s">
        <v>98</v>
      </c>
    </row>
    <row r="47" spans="1:5">
      <c r="A47" s="32">
        <v>61</v>
      </c>
      <c r="B47" s="32">
        <v>3</v>
      </c>
      <c r="C47" s="32">
        <v>18</v>
      </c>
      <c r="D47" s="32">
        <v>1</v>
      </c>
      <c r="E47" s="32" t="s">
        <v>98</v>
      </c>
    </row>
    <row r="48" spans="1:5">
      <c r="A48" s="32">
        <v>75</v>
      </c>
      <c r="B48" s="32">
        <v>4</v>
      </c>
      <c r="C48" s="32">
        <v>14</v>
      </c>
      <c r="D48" s="32">
        <v>1</v>
      </c>
      <c r="E48" s="32" t="s">
        <v>7</v>
      </c>
    </row>
    <row r="49" spans="1:5">
      <c r="A49" s="32">
        <v>24</v>
      </c>
      <c r="B49" s="32">
        <v>3</v>
      </c>
      <c r="C49" s="32">
        <v>33</v>
      </c>
      <c r="D49" s="32">
        <v>1</v>
      </c>
      <c r="E49" s="32" t="s">
        <v>98</v>
      </c>
    </row>
    <row r="50" spans="1:5">
      <c r="A50" s="32">
        <v>21</v>
      </c>
      <c r="B50" s="32">
        <v>2</v>
      </c>
      <c r="C50" s="32">
        <v>7</v>
      </c>
      <c r="D50" s="32">
        <v>0</v>
      </c>
      <c r="E50" s="32" t="s">
        <v>20</v>
      </c>
    </row>
    <row r="51" spans="1:5">
      <c r="A51" s="32">
        <v>43</v>
      </c>
      <c r="B51" s="32">
        <v>3</v>
      </c>
      <c r="C51" s="32">
        <v>12</v>
      </c>
      <c r="D51" s="32">
        <v>1</v>
      </c>
      <c r="E51" s="32" t="s">
        <v>7</v>
      </c>
    </row>
    <row r="52" spans="1:5">
      <c r="A52" s="32">
        <v>18</v>
      </c>
      <c r="B52" s="32">
        <v>5</v>
      </c>
      <c r="C52" s="32">
        <v>12</v>
      </c>
      <c r="D52" s="32">
        <v>0</v>
      </c>
      <c r="E52" s="32" t="s">
        <v>7</v>
      </c>
    </row>
    <row r="53" spans="1:5">
      <c r="A53" s="32">
        <v>28</v>
      </c>
      <c r="B53" s="32">
        <v>4</v>
      </c>
      <c r="C53" s="32">
        <v>4</v>
      </c>
      <c r="D53" s="32">
        <v>1</v>
      </c>
      <c r="E53" s="32" t="s">
        <v>20</v>
      </c>
    </row>
    <row r="54" spans="1:5">
      <c r="A54" s="32">
        <v>12</v>
      </c>
      <c r="B54" s="32">
        <v>3</v>
      </c>
      <c r="C54" s="32">
        <v>21</v>
      </c>
      <c r="D54" s="32">
        <v>1</v>
      </c>
      <c r="E54" s="32" t="s">
        <v>98</v>
      </c>
    </row>
    <row r="55" spans="1:5">
      <c r="A55" s="32">
        <v>75</v>
      </c>
      <c r="B55" s="32">
        <v>3</v>
      </c>
      <c r="C55" s="32">
        <v>13</v>
      </c>
      <c r="D55" s="32">
        <v>1</v>
      </c>
      <c r="E55" s="32" t="s">
        <v>7</v>
      </c>
    </row>
    <row r="56" spans="1:5">
      <c r="A56" s="32">
        <v>24</v>
      </c>
      <c r="B56" s="32">
        <v>3</v>
      </c>
      <c r="C56" s="32">
        <v>21</v>
      </c>
      <c r="D56" s="32">
        <v>0</v>
      </c>
      <c r="E56" s="32" t="s">
        <v>98</v>
      </c>
    </row>
    <row r="57" spans="1:5">
      <c r="A57" s="32">
        <v>4</v>
      </c>
      <c r="B57" s="32">
        <v>3</v>
      </c>
      <c r="C57" s="32">
        <v>15</v>
      </c>
      <c r="D57" s="32">
        <v>0</v>
      </c>
      <c r="E57" s="32" t="s">
        <v>7</v>
      </c>
    </row>
    <row r="58" spans="1:5">
      <c r="A58" s="32">
        <v>54</v>
      </c>
      <c r="B58" s="32">
        <v>4</v>
      </c>
      <c r="C58" s="32">
        <v>14</v>
      </c>
      <c r="D58" s="32">
        <v>0</v>
      </c>
      <c r="E58" s="32" t="s">
        <v>7</v>
      </c>
    </row>
    <row r="59" spans="1:5">
      <c r="A59" s="32">
        <v>28</v>
      </c>
      <c r="B59" s="32">
        <v>4</v>
      </c>
      <c r="C59" s="32">
        <v>14</v>
      </c>
      <c r="D59" s="32">
        <v>1</v>
      </c>
      <c r="E59" s="32" t="s">
        <v>7</v>
      </c>
    </row>
    <row r="60" spans="1:5">
      <c r="A60" s="32">
        <v>21</v>
      </c>
      <c r="B60" s="32">
        <v>5</v>
      </c>
      <c r="C60" s="32">
        <v>15</v>
      </c>
      <c r="D60" s="32">
        <v>1</v>
      </c>
      <c r="E60" s="32" t="s">
        <v>7</v>
      </c>
    </row>
    <row r="61" spans="1:5">
      <c r="A61" s="32">
        <v>61</v>
      </c>
      <c r="B61" s="32">
        <v>3</v>
      </c>
      <c r="C61" s="32">
        <v>18</v>
      </c>
      <c r="D61" s="32">
        <v>1</v>
      </c>
      <c r="E61" s="32" t="s">
        <v>98</v>
      </c>
    </row>
    <row r="62" spans="1:5">
      <c r="A62" s="32">
        <v>15</v>
      </c>
      <c r="B62" s="32">
        <v>4</v>
      </c>
      <c r="C62" s="32">
        <v>21</v>
      </c>
      <c r="D62" s="32">
        <v>1</v>
      </c>
      <c r="E62" s="32" t="s">
        <v>98</v>
      </c>
    </row>
    <row r="63" spans="1:5">
      <c r="A63" s="32">
        <v>4</v>
      </c>
      <c r="B63" s="32">
        <v>2</v>
      </c>
      <c r="C63" s="32">
        <v>18</v>
      </c>
      <c r="D63" s="32">
        <v>1</v>
      </c>
      <c r="E63" s="32" t="s">
        <v>98</v>
      </c>
    </row>
    <row r="64" spans="1:5">
      <c r="A64" s="32">
        <v>68</v>
      </c>
      <c r="B64" s="32">
        <v>4</v>
      </c>
      <c r="C64" s="32">
        <v>15</v>
      </c>
      <c r="D64" s="32">
        <v>0</v>
      </c>
      <c r="E64" s="32" t="s">
        <v>7</v>
      </c>
    </row>
    <row r="65" spans="1:5">
      <c r="A65" s="32">
        <v>36</v>
      </c>
      <c r="B65" s="32">
        <v>2</v>
      </c>
      <c r="C65" s="32">
        <v>21</v>
      </c>
      <c r="D65" s="32">
        <v>0</v>
      </c>
      <c r="E65" s="32" t="s">
        <v>98</v>
      </c>
    </row>
    <row r="66" spans="1:5">
      <c r="A66" s="32">
        <v>38</v>
      </c>
      <c r="B66" s="32">
        <v>2</v>
      </c>
      <c r="C66" s="32">
        <v>33</v>
      </c>
      <c r="D66" s="32">
        <v>0</v>
      </c>
      <c r="E66" s="32" t="s">
        <v>98</v>
      </c>
    </row>
    <row r="67" spans="1:5">
      <c r="A67" s="32">
        <v>32</v>
      </c>
      <c r="B67" s="32">
        <v>4</v>
      </c>
      <c r="C67" s="32">
        <v>13</v>
      </c>
      <c r="D67" s="32">
        <v>0</v>
      </c>
      <c r="E67" s="32" t="s">
        <v>7</v>
      </c>
    </row>
    <row r="68" spans="1:5">
      <c r="A68" s="32">
        <v>24</v>
      </c>
      <c r="B68" s="32">
        <v>5</v>
      </c>
      <c r="C68" s="32">
        <v>12</v>
      </c>
      <c r="D68" s="32">
        <v>1</v>
      </c>
      <c r="E68" s="32" t="s">
        <v>7</v>
      </c>
    </row>
    <row r="69" spans="1:5">
      <c r="A69" s="32">
        <v>29</v>
      </c>
      <c r="B69" s="32">
        <v>3</v>
      </c>
      <c r="C69" s="32">
        <v>13</v>
      </c>
      <c r="D69" s="32">
        <v>0</v>
      </c>
      <c r="E69" s="32" t="s">
        <v>7</v>
      </c>
    </row>
    <row r="70" spans="1:5">
      <c r="A70" s="32">
        <v>6</v>
      </c>
      <c r="B70" s="32">
        <v>4</v>
      </c>
      <c r="C70" s="32">
        <v>33</v>
      </c>
      <c r="D70" s="32">
        <v>0</v>
      </c>
      <c r="E70" s="32" t="s">
        <v>98</v>
      </c>
    </row>
    <row r="71" spans="1:5">
      <c r="A71" s="32">
        <v>6</v>
      </c>
      <c r="B71" s="32">
        <v>4</v>
      </c>
      <c r="C71" s="32">
        <v>33</v>
      </c>
      <c r="D71" s="32">
        <v>0</v>
      </c>
      <c r="E71" s="32" t="s">
        <v>98</v>
      </c>
    </row>
    <row r="72" spans="1:5">
      <c r="A72" s="32">
        <v>12</v>
      </c>
      <c r="B72" s="32">
        <v>4</v>
      </c>
      <c r="C72" s="32">
        <v>18</v>
      </c>
      <c r="D72" s="32">
        <v>0</v>
      </c>
      <c r="E72" s="32" t="s">
        <v>98</v>
      </c>
    </row>
    <row r="73" spans="1:5">
      <c r="A73" s="32">
        <v>42</v>
      </c>
      <c r="B73" s="32">
        <v>4</v>
      </c>
      <c r="C73" s="32">
        <v>13</v>
      </c>
      <c r="D73" s="32">
        <v>1</v>
      </c>
      <c r="E73" s="32" t="s">
        <v>7</v>
      </c>
    </row>
    <row r="74" spans="1:5">
      <c r="A74" s="32">
        <v>19</v>
      </c>
      <c r="B74" s="32">
        <v>4</v>
      </c>
      <c r="C74" s="32">
        <v>14</v>
      </c>
      <c r="D74" s="32">
        <v>1</v>
      </c>
      <c r="E74" s="32" t="s">
        <v>7</v>
      </c>
    </row>
    <row r="75" spans="1:5">
      <c r="A75" s="32">
        <v>14</v>
      </c>
      <c r="B75" s="32">
        <v>2</v>
      </c>
      <c r="C75" s="32">
        <v>33</v>
      </c>
      <c r="D75" s="32">
        <v>1</v>
      </c>
      <c r="E75" s="32" t="s">
        <v>98</v>
      </c>
    </row>
    <row r="76" spans="1:5">
      <c r="A76" s="32">
        <v>16</v>
      </c>
      <c r="B76" s="32">
        <v>4</v>
      </c>
      <c r="C76" s="32">
        <v>13</v>
      </c>
      <c r="D76" s="32">
        <v>1</v>
      </c>
      <c r="E76" s="32" t="s">
        <v>7</v>
      </c>
    </row>
    <row r="77" spans="1:5">
      <c r="A77" s="32">
        <v>14</v>
      </c>
      <c r="B77" s="32">
        <v>2</v>
      </c>
      <c r="C77" s="32">
        <v>33</v>
      </c>
      <c r="D77" s="32">
        <v>1</v>
      </c>
      <c r="E77" s="32" t="s">
        <v>98</v>
      </c>
    </row>
    <row r="78" spans="1:5">
      <c r="A78" s="32">
        <v>41</v>
      </c>
      <c r="B78" s="32">
        <v>4</v>
      </c>
      <c r="C78" s="32">
        <v>18</v>
      </c>
      <c r="D78" s="32">
        <v>0</v>
      </c>
      <c r="E78" s="32" t="s">
        <v>98</v>
      </c>
    </row>
    <row r="79" spans="1:5">
      <c r="A79" s="32">
        <v>43</v>
      </c>
      <c r="B79" s="32">
        <v>3</v>
      </c>
      <c r="C79" s="32">
        <v>12</v>
      </c>
      <c r="D79" s="32">
        <v>1</v>
      </c>
      <c r="E79" s="32" t="s">
        <v>7</v>
      </c>
    </row>
    <row r="80" spans="1:5">
      <c r="A80" s="32">
        <v>3</v>
      </c>
      <c r="B80" s="32">
        <v>5</v>
      </c>
      <c r="C80" s="32">
        <v>10</v>
      </c>
      <c r="D80" s="32">
        <v>1</v>
      </c>
      <c r="E80" s="32" t="s">
        <v>7</v>
      </c>
    </row>
    <row r="81" spans="1:5">
      <c r="A81" s="32">
        <v>55</v>
      </c>
      <c r="B81" s="32">
        <v>7</v>
      </c>
      <c r="C81" s="32">
        <v>18</v>
      </c>
      <c r="D81" s="32">
        <v>0</v>
      </c>
      <c r="E81" s="32" t="s">
        <v>98</v>
      </c>
    </row>
    <row r="82" spans="1:5">
      <c r="A82" s="32">
        <v>49</v>
      </c>
      <c r="B82" s="32">
        <v>3</v>
      </c>
      <c r="C82" s="32">
        <v>15</v>
      </c>
      <c r="D82" s="32">
        <v>0</v>
      </c>
      <c r="E82" s="32" t="s">
        <v>7</v>
      </c>
    </row>
    <row r="83" spans="1:5">
      <c r="A83" s="32">
        <v>47</v>
      </c>
      <c r="B83" s="32">
        <v>3</v>
      </c>
      <c r="C83" s="32">
        <v>18</v>
      </c>
      <c r="D83" s="32">
        <v>0</v>
      </c>
      <c r="E83" s="32" t="s">
        <v>98</v>
      </c>
    </row>
    <row r="84" spans="1:5">
      <c r="A84" s="32">
        <v>65</v>
      </c>
      <c r="B84" s="32">
        <v>4</v>
      </c>
      <c r="C84" s="32">
        <v>18</v>
      </c>
      <c r="D84" s="32">
        <v>0</v>
      </c>
      <c r="E84" s="32" t="s">
        <v>98</v>
      </c>
    </row>
    <row r="85" spans="1:5">
      <c r="A85" s="32">
        <v>66</v>
      </c>
      <c r="B85" s="32">
        <v>5</v>
      </c>
      <c r="C85" s="32">
        <v>7</v>
      </c>
      <c r="D85" s="32">
        <v>1</v>
      </c>
      <c r="E85" s="32" t="s">
        <v>20</v>
      </c>
    </row>
    <row r="86" spans="1:5">
      <c r="A86" s="32">
        <v>34</v>
      </c>
      <c r="B86" s="32">
        <v>2</v>
      </c>
      <c r="C86" s="32">
        <v>21</v>
      </c>
      <c r="D86" s="32">
        <v>1</v>
      </c>
      <c r="E86" s="32" t="s">
        <v>98</v>
      </c>
    </row>
    <row r="87" spans="1:5">
      <c r="A87" s="32">
        <v>18</v>
      </c>
      <c r="B87" s="32">
        <v>5</v>
      </c>
      <c r="C87" s="32">
        <v>12</v>
      </c>
      <c r="D87" s="32">
        <v>0</v>
      </c>
      <c r="E87" s="32" t="s">
        <v>7</v>
      </c>
    </row>
    <row r="88" spans="1:5">
      <c r="A88" s="32">
        <v>32</v>
      </c>
      <c r="B88" s="32">
        <v>4</v>
      </c>
      <c r="C88" s="32">
        <v>33</v>
      </c>
      <c r="D88" s="32">
        <v>1</v>
      </c>
      <c r="E88" s="32" t="s">
        <v>98</v>
      </c>
    </row>
    <row r="89" spans="1:5">
      <c r="A89" s="32">
        <v>61</v>
      </c>
      <c r="B89" s="32">
        <v>4</v>
      </c>
      <c r="C89" s="32">
        <v>21</v>
      </c>
      <c r="D89" s="32">
        <v>1</v>
      </c>
      <c r="E89" s="32" t="s">
        <v>98</v>
      </c>
    </row>
    <row r="90" spans="1:5">
      <c r="A90" s="32">
        <v>75</v>
      </c>
      <c r="B90" s="32">
        <v>3</v>
      </c>
      <c r="C90" s="32">
        <v>13</v>
      </c>
      <c r="D90" s="32">
        <v>1</v>
      </c>
      <c r="E90" s="32" t="s">
        <v>7</v>
      </c>
    </row>
    <row r="91" spans="1:5">
      <c r="A91" s="32">
        <v>21</v>
      </c>
      <c r="B91" s="32">
        <v>5</v>
      </c>
      <c r="C91" s="32">
        <v>15</v>
      </c>
      <c r="D91" s="32">
        <v>1</v>
      </c>
      <c r="E91" s="32" t="s">
        <v>7</v>
      </c>
    </row>
    <row r="92" spans="1:5">
      <c r="A92" s="32">
        <v>8</v>
      </c>
      <c r="B92" s="32">
        <v>4</v>
      </c>
      <c r="C92" s="32">
        <v>13</v>
      </c>
      <c r="D92" s="32">
        <v>0</v>
      </c>
      <c r="E92" s="32" t="s">
        <v>7</v>
      </c>
    </row>
    <row r="93" spans="1:5">
      <c r="A93" s="32">
        <v>50</v>
      </c>
      <c r="B93" s="32">
        <v>3</v>
      </c>
      <c r="C93" s="32">
        <v>13</v>
      </c>
      <c r="D93" s="32">
        <v>0</v>
      </c>
      <c r="E93" s="32" t="s">
        <v>7</v>
      </c>
    </row>
    <row r="94" spans="1:5">
      <c r="A94" s="32">
        <v>28</v>
      </c>
      <c r="B94" s="32">
        <v>3</v>
      </c>
      <c r="C94" s="32">
        <v>13</v>
      </c>
      <c r="D94" s="32">
        <v>1</v>
      </c>
      <c r="E94" s="32" t="s">
        <v>7</v>
      </c>
    </row>
    <row r="95" spans="1:5">
      <c r="A95" s="32">
        <v>82</v>
      </c>
      <c r="B95" s="32">
        <v>5</v>
      </c>
      <c r="C95" s="32">
        <v>33</v>
      </c>
      <c r="D95" s="32">
        <v>1</v>
      </c>
      <c r="E95" s="32" t="s">
        <v>98</v>
      </c>
    </row>
    <row r="96" spans="1:5">
      <c r="A96" s="32">
        <v>48</v>
      </c>
      <c r="B96" s="32">
        <v>4</v>
      </c>
      <c r="C96" s="32">
        <v>13</v>
      </c>
      <c r="D96" s="32">
        <v>0</v>
      </c>
      <c r="E96" s="32" t="s">
        <v>7</v>
      </c>
    </row>
    <row r="97" spans="1:5">
      <c r="A97" s="32">
        <v>51</v>
      </c>
      <c r="B97" s="32">
        <v>3</v>
      </c>
      <c r="C97" s="32">
        <v>33</v>
      </c>
      <c r="D97" s="32">
        <v>1</v>
      </c>
      <c r="E97" s="32" t="s">
        <v>98</v>
      </c>
    </row>
    <row r="98" spans="1:5">
      <c r="A98" s="32">
        <v>39</v>
      </c>
      <c r="B98" s="32">
        <v>4</v>
      </c>
      <c r="C98" s="32">
        <v>33</v>
      </c>
      <c r="D98" s="32">
        <v>0</v>
      </c>
      <c r="E98" s="32" t="s">
        <v>98</v>
      </c>
    </row>
    <row r="99" spans="1:5">
      <c r="A99" s="32">
        <v>12</v>
      </c>
      <c r="B99" s="32">
        <v>5</v>
      </c>
      <c r="C99" s="32">
        <v>13</v>
      </c>
      <c r="D99" s="32">
        <v>1</v>
      </c>
      <c r="E99" s="32" t="s">
        <v>7</v>
      </c>
    </row>
    <row r="100" spans="1:5">
      <c r="A100" s="32">
        <v>4</v>
      </c>
      <c r="B100" s="32">
        <v>2</v>
      </c>
      <c r="C100" s="32">
        <v>12</v>
      </c>
      <c r="D100" s="32">
        <v>0</v>
      </c>
      <c r="E100" s="32" t="s">
        <v>7</v>
      </c>
    </row>
    <row r="101" spans="1:5">
      <c r="A101" s="32">
        <v>49</v>
      </c>
      <c r="B101" s="32">
        <v>4</v>
      </c>
      <c r="C101" s="32">
        <v>7</v>
      </c>
      <c r="D101" s="32">
        <v>1</v>
      </c>
      <c r="E101" s="32" t="s">
        <v>20</v>
      </c>
    </row>
    <row r="102" spans="1:5">
      <c r="A102" s="32">
        <v>10</v>
      </c>
      <c r="B102" s="32">
        <v>2</v>
      </c>
      <c r="C102" s="32">
        <v>33</v>
      </c>
      <c r="D102" s="32">
        <v>0</v>
      </c>
      <c r="E102" s="32" t="s">
        <v>98</v>
      </c>
    </row>
    <row r="103" spans="1:5">
      <c r="A103" s="32">
        <v>27</v>
      </c>
      <c r="B103" s="32">
        <v>3</v>
      </c>
      <c r="C103" s="32">
        <v>13</v>
      </c>
      <c r="D103" s="32">
        <v>1</v>
      </c>
      <c r="E103" s="32" t="s">
        <v>7</v>
      </c>
    </row>
    <row r="104" spans="1:5">
      <c r="A104" s="32">
        <v>35</v>
      </c>
      <c r="B104" s="32">
        <v>4</v>
      </c>
      <c r="C104" s="32">
        <v>15</v>
      </c>
      <c r="D104" s="32">
        <v>1</v>
      </c>
      <c r="E104" s="32" t="s">
        <v>7</v>
      </c>
    </row>
    <row r="105" spans="1:5">
      <c r="A105" s="32">
        <v>42</v>
      </c>
      <c r="B105" s="32">
        <v>4</v>
      </c>
      <c r="C105" s="32">
        <v>13</v>
      </c>
      <c r="D105" s="32">
        <v>1</v>
      </c>
      <c r="E105" s="32" t="s">
        <v>7</v>
      </c>
    </row>
    <row r="106" spans="1:5">
      <c r="A106" s="32">
        <v>23</v>
      </c>
      <c r="B106" s="32">
        <v>5</v>
      </c>
      <c r="C106" s="32">
        <v>13</v>
      </c>
      <c r="D106" s="32">
        <v>1</v>
      </c>
      <c r="E106" s="32" t="s">
        <v>7</v>
      </c>
    </row>
    <row r="107" spans="1:5">
      <c r="A107" s="32">
        <v>23</v>
      </c>
      <c r="B107" s="32">
        <v>3</v>
      </c>
      <c r="C107" s="32">
        <v>12</v>
      </c>
      <c r="D107" s="32">
        <v>0</v>
      </c>
      <c r="E107" s="32" t="s">
        <v>7</v>
      </c>
    </row>
    <row r="108" spans="1:5">
      <c r="A108" s="32">
        <v>52</v>
      </c>
      <c r="B108" s="32">
        <v>3</v>
      </c>
      <c r="C108" s="32">
        <v>33</v>
      </c>
      <c r="D108" s="32">
        <v>1</v>
      </c>
      <c r="E108" s="32" t="s">
        <v>98</v>
      </c>
    </row>
    <row r="109" spans="1:5">
      <c r="A109" s="32">
        <v>48</v>
      </c>
      <c r="B109" s="32">
        <v>5</v>
      </c>
      <c r="C109" s="32">
        <v>18</v>
      </c>
      <c r="D109" s="32">
        <v>0</v>
      </c>
      <c r="E109" s="32" t="s">
        <v>98</v>
      </c>
    </row>
    <row r="110" spans="1:5">
      <c r="A110" s="32">
        <v>70</v>
      </c>
      <c r="B110" s="32">
        <v>2</v>
      </c>
      <c r="C110" s="32">
        <v>10</v>
      </c>
      <c r="D110" s="32">
        <v>0</v>
      </c>
      <c r="E110" s="32" t="s">
        <v>7</v>
      </c>
    </row>
    <row r="111" spans="1:5">
      <c r="A111" s="32">
        <v>42</v>
      </c>
      <c r="B111" s="32">
        <v>4</v>
      </c>
      <c r="C111" s="32">
        <v>13</v>
      </c>
      <c r="D111" s="32">
        <v>1</v>
      </c>
      <c r="E111" s="32" t="s">
        <v>7</v>
      </c>
    </row>
    <row r="112" spans="1:5">
      <c r="A112" s="32">
        <v>68</v>
      </c>
      <c r="B112" s="32">
        <v>4</v>
      </c>
      <c r="C112" s="32">
        <v>15</v>
      </c>
      <c r="D112" s="32">
        <v>0</v>
      </c>
      <c r="E112" s="32" t="s">
        <v>7</v>
      </c>
    </row>
    <row r="113" spans="1:5">
      <c r="A113" s="32">
        <v>23</v>
      </c>
      <c r="B113" s="32">
        <v>3</v>
      </c>
      <c r="C113" s="32">
        <v>13</v>
      </c>
      <c r="D113" s="32">
        <v>0</v>
      </c>
      <c r="E113" s="32" t="s">
        <v>7</v>
      </c>
    </row>
    <row r="114" spans="1:5">
      <c r="A114" s="32">
        <v>4</v>
      </c>
      <c r="B114" s="32">
        <v>2</v>
      </c>
      <c r="C114" s="32">
        <v>33</v>
      </c>
      <c r="D114" s="32">
        <v>1</v>
      </c>
      <c r="E114" s="32" t="s">
        <v>98</v>
      </c>
    </row>
    <row r="115" spans="1:5">
      <c r="A115" s="32">
        <v>34</v>
      </c>
      <c r="B115" s="32">
        <v>4</v>
      </c>
      <c r="C115" s="32">
        <v>3</v>
      </c>
      <c r="D115" s="32">
        <v>1</v>
      </c>
      <c r="E115" s="32" t="s">
        <v>20</v>
      </c>
    </row>
    <row r="116" spans="1:5">
      <c r="A116" s="32">
        <v>52</v>
      </c>
      <c r="B116" s="32">
        <v>3</v>
      </c>
      <c r="C116" s="32">
        <v>33</v>
      </c>
      <c r="D116" s="32">
        <v>1</v>
      </c>
      <c r="E116" s="32" t="s">
        <v>98</v>
      </c>
    </row>
    <row r="117" spans="1:5">
      <c r="A117" s="32">
        <v>10</v>
      </c>
      <c r="B117" s="32">
        <v>5</v>
      </c>
      <c r="C117" s="32">
        <v>14</v>
      </c>
      <c r="D117" s="32">
        <v>1</v>
      </c>
      <c r="E117" s="32" t="s">
        <v>7</v>
      </c>
    </row>
    <row r="118" spans="1:5">
      <c r="A118" s="32">
        <v>28</v>
      </c>
      <c r="B118" s="32">
        <v>4</v>
      </c>
      <c r="C118" s="32">
        <v>21</v>
      </c>
      <c r="D118" s="32">
        <v>1</v>
      </c>
      <c r="E118" s="32" t="s">
        <v>98</v>
      </c>
    </row>
    <row r="119" spans="1:5">
      <c r="A119" s="32">
        <v>49</v>
      </c>
      <c r="B119" s="32">
        <v>4</v>
      </c>
      <c r="C119" s="32">
        <v>33</v>
      </c>
      <c r="D119" s="32">
        <v>1</v>
      </c>
      <c r="E119" s="32" t="s">
        <v>98</v>
      </c>
    </row>
    <row r="120" spans="1:5">
      <c r="A120" s="32">
        <v>65</v>
      </c>
      <c r="B120" s="32">
        <v>4</v>
      </c>
      <c r="C120" s="32">
        <v>18</v>
      </c>
      <c r="D120" s="32">
        <v>0</v>
      </c>
      <c r="E120" s="32" t="s">
        <v>98</v>
      </c>
    </row>
    <row r="121" spans="1:5">
      <c r="A121" s="32">
        <v>6</v>
      </c>
      <c r="B121" s="32">
        <v>3</v>
      </c>
      <c r="C121" s="32">
        <v>13</v>
      </c>
      <c r="D121" s="32">
        <v>0</v>
      </c>
      <c r="E121" s="32" t="s">
        <v>7</v>
      </c>
    </row>
    <row r="122" spans="1:5">
      <c r="A122" s="32">
        <v>37</v>
      </c>
      <c r="B122" s="32">
        <v>4</v>
      </c>
      <c r="C122" s="32">
        <v>14</v>
      </c>
      <c r="D122" s="32">
        <v>1</v>
      </c>
      <c r="E122" s="32" t="s">
        <v>7</v>
      </c>
    </row>
    <row r="123" spans="1:5">
      <c r="A123" s="32">
        <v>29</v>
      </c>
      <c r="B123" s="32">
        <v>3</v>
      </c>
      <c r="C123" s="32">
        <v>13</v>
      </c>
      <c r="D123" s="32">
        <v>0</v>
      </c>
      <c r="E123" s="32" t="s">
        <v>7</v>
      </c>
    </row>
    <row r="124" spans="1:5">
      <c r="A124" s="32">
        <v>34</v>
      </c>
      <c r="B124" s="32">
        <v>3</v>
      </c>
      <c r="C124" s="32">
        <v>12</v>
      </c>
      <c r="D124" s="32">
        <v>0</v>
      </c>
      <c r="E124" s="32" t="s">
        <v>7</v>
      </c>
    </row>
    <row r="125" spans="1:5">
      <c r="A125" s="32">
        <v>61</v>
      </c>
      <c r="B125" s="32">
        <v>3</v>
      </c>
      <c r="C125" s="32">
        <v>33</v>
      </c>
      <c r="D125" s="32">
        <v>1</v>
      </c>
      <c r="E125" s="32" t="s">
        <v>98</v>
      </c>
    </row>
    <row r="126" spans="1:5">
      <c r="A126" s="32">
        <v>23</v>
      </c>
      <c r="B126" s="32">
        <v>3</v>
      </c>
      <c r="C126" s="32">
        <v>13</v>
      </c>
      <c r="D126" s="32">
        <v>0</v>
      </c>
      <c r="E126" s="32" t="s">
        <v>7</v>
      </c>
    </row>
    <row r="127" spans="1:5">
      <c r="A127" s="32">
        <v>84</v>
      </c>
      <c r="B127" s="32">
        <v>3</v>
      </c>
      <c r="C127" s="32">
        <v>10</v>
      </c>
      <c r="D127" s="32">
        <v>0</v>
      </c>
      <c r="E127" s="32" t="s">
        <v>7</v>
      </c>
    </row>
    <row r="128" spans="1:5">
      <c r="A128" s="32">
        <v>55</v>
      </c>
      <c r="B128" s="32">
        <v>3</v>
      </c>
      <c r="C128" s="32">
        <v>21</v>
      </c>
      <c r="D128" s="32">
        <v>1</v>
      </c>
      <c r="E128" s="32" t="s">
        <v>98</v>
      </c>
    </row>
    <row r="129" spans="1:5">
      <c r="A129" s="32">
        <v>42</v>
      </c>
      <c r="B129" s="32">
        <v>2</v>
      </c>
      <c r="C129" s="32">
        <v>33</v>
      </c>
      <c r="D129" s="32">
        <v>1</v>
      </c>
      <c r="E129" s="32" t="s">
        <v>98</v>
      </c>
    </row>
    <row r="130" spans="1:5">
      <c r="A130" s="32">
        <v>16</v>
      </c>
      <c r="B130" s="32">
        <v>2</v>
      </c>
      <c r="C130" s="32">
        <v>18</v>
      </c>
      <c r="D130" s="32">
        <v>1</v>
      </c>
      <c r="E130" s="32" t="s">
        <v>98</v>
      </c>
    </row>
    <row r="131" spans="1:5">
      <c r="A131" s="32">
        <v>32</v>
      </c>
      <c r="B131" s="32">
        <v>4</v>
      </c>
      <c r="C131" s="32">
        <v>33</v>
      </c>
      <c r="D131" s="32">
        <v>1</v>
      </c>
      <c r="E131" s="32" t="s">
        <v>98</v>
      </c>
    </row>
    <row r="132" spans="1:5">
      <c r="A132" s="32">
        <v>4</v>
      </c>
      <c r="B132" s="32">
        <v>3</v>
      </c>
      <c r="C132" s="32">
        <v>15</v>
      </c>
      <c r="D132" s="32">
        <v>0</v>
      </c>
      <c r="E132" s="32" t="s">
        <v>7</v>
      </c>
    </row>
    <row r="133" spans="1:5">
      <c r="A133" s="32">
        <v>6</v>
      </c>
      <c r="B133" s="32">
        <v>3</v>
      </c>
      <c r="C133" s="32">
        <v>14</v>
      </c>
      <c r="D133" s="32">
        <v>0</v>
      </c>
      <c r="E133" s="32" t="s">
        <v>7</v>
      </c>
    </row>
    <row r="134" spans="1:5">
      <c r="A134" s="32">
        <v>43</v>
      </c>
      <c r="B134" s="32">
        <v>4</v>
      </c>
      <c r="C134" s="32">
        <v>15</v>
      </c>
      <c r="D134" s="32">
        <v>1</v>
      </c>
      <c r="E134" s="32" t="s">
        <v>7</v>
      </c>
    </row>
    <row r="135" spans="1:5">
      <c r="A135" s="32">
        <v>32</v>
      </c>
      <c r="B135" s="32">
        <v>4</v>
      </c>
      <c r="C135" s="32">
        <v>13</v>
      </c>
      <c r="D135" s="32">
        <v>0</v>
      </c>
      <c r="E135" s="32" t="s">
        <v>7</v>
      </c>
    </row>
    <row r="136" spans="1:5">
      <c r="A136" s="32">
        <v>64</v>
      </c>
      <c r="B136" s="32">
        <v>4</v>
      </c>
      <c r="C136" s="32">
        <v>14</v>
      </c>
      <c r="D136" s="32">
        <v>1</v>
      </c>
      <c r="E136" s="32" t="s">
        <v>7</v>
      </c>
    </row>
    <row r="137" spans="1:5">
      <c r="A137" s="32">
        <v>61</v>
      </c>
      <c r="B137" s="32">
        <v>3</v>
      </c>
      <c r="C137" s="32">
        <v>33</v>
      </c>
      <c r="D137" s="32">
        <v>1</v>
      </c>
      <c r="E137" s="32" t="s">
        <v>98</v>
      </c>
    </row>
    <row r="138" spans="1:5">
      <c r="A138" s="32">
        <v>47</v>
      </c>
      <c r="B138" s="32">
        <v>3</v>
      </c>
      <c r="C138" s="32">
        <v>21</v>
      </c>
      <c r="D138" s="32">
        <v>1</v>
      </c>
      <c r="E138" s="32" t="s">
        <v>98</v>
      </c>
    </row>
    <row r="139" spans="1:5">
      <c r="A139" s="32">
        <v>54</v>
      </c>
      <c r="B139" s="32">
        <v>4</v>
      </c>
      <c r="C139" s="32">
        <v>14</v>
      </c>
      <c r="D139" s="32">
        <v>0</v>
      </c>
      <c r="E139" s="32" t="s">
        <v>7</v>
      </c>
    </row>
    <row r="140" spans="1:5">
      <c r="A140" s="32">
        <v>2</v>
      </c>
      <c r="B140" s="32">
        <v>3</v>
      </c>
      <c r="C140" s="32">
        <v>7</v>
      </c>
      <c r="D140" s="32">
        <v>0</v>
      </c>
      <c r="E140" s="32" t="s">
        <v>20</v>
      </c>
    </row>
    <row r="141" spans="1:5">
      <c r="A141" s="32">
        <v>2</v>
      </c>
      <c r="B141" s="32">
        <v>2</v>
      </c>
      <c r="C141" s="32">
        <v>10</v>
      </c>
      <c r="D141" s="32">
        <v>1</v>
      </c>
      <c r="E141" s="32" t="s">
        <v>7</v>
      </c>
    </row>
    <row r="142" spans="1:5">
      <c r="A142" s="32">
        <v>27</v>
      </c>
      <c r="B142" s="32">
        <v>1</v>
      </c>
      <c r="C142" s="32">
        <v>4</v>
      </c>
      <c r="D142" s="32">
        <v>1</v>
      </c>
      <c r="E142" s="32" t="s">
        <v>20</v>
      </c>
    </row>
    <row r="143" spans="1:5">
      <c r="A143" s="32">
        <v>22</v>
      </c>
      <c r="B143" s="32">
        <v>3</v>
      </c>
      <c r="C143" s="32">
        <v>3</v>
      </c>
      <c r="D143" s="32">
        <v>1</v>
      </c>
      <c r="E143" s="32" t="s">
        <v>20</v>
      </c>
    </row>
    <row r="144" spans="1:5">
      <c r="A144" s="32">
        <v>42</v>
      </c>
      <c r="B144" s="32">
        <v>5</v>
      </c>
      <c r="C144" s="32">
        <v>18</v>
      </c>
      <c r="D144" s="32">
        <v>0</v>
      </c>
      <c r="E144" s="32" t="s">
        <v>98</v>
      </c>
    </row>
    <row r="145" spans="1:5">
      <c r="A145" s="32">
        <v>61</v>
      </c>
      <c r="B145" s="32">
        <v>4</v>
      </c>
      <c r="C145" s="32">
        <v>21</v>
      </c>
      <c r="D145" s="32">
        <v>1</v>
      </c>
      <c r="E145" s="32" t="s">
        <v>98</v>
      </c>
    </row>
    <row r="146" spans="1:5">
      <c r="A146" s="32">
        <v>65</v>
      </c>
      <c r="B146" s="32">
        <v>4</v>
      </c>
      <c r="C146" s="32">
        <v>18</v>
      </c>
      <c r="D146" s="32">
        <v>0</v>
      </c>
      <c r="E146" s="32" t="s">
        <v>98</v>
      </c>
    </row>
    <row r="147" spans="1:5">
      <c r="A147" s="32">
        <v>7</v>
      </c>
      <c r="B147" s="32">
        <v>3</v>
      </c>
      <c r="C147" s="32">
        <v>15</v>
      </c>
      <c r="D147" s="32">
        <v>0</v>
      </c>
      <c r="E147" s="32" t="s">
        <v>7</v>
      </c>
    </row>
    <row r="148" spans="1:5">
      <c r="A148" s="32">
        <v>19</v>
      </c>
      <c r="B148" s="32">
        <v>4</v>
      </c>
      <c r="C148" s="32">
        <v>14</v>
      </c>
      <c r="D148" s="32">
        <v>1</v>
      </c>
      <c r="E148" s="32" t="s">
        <v>7</v>
      </c>
    </row>
    <row r="149" spans="1:5">
      <c r="A149" s="32">
        <v>42</v>
      </c>
      <c r="B149" s="32">
        <v>5</v>
      </c>
      <c r="C149" s="32">
        <v>18</v>
      </c>
      <c r="D149" s="32">
        <v>0</v>
      </c>
      <c r="E149" s="32" t="s">
        <v>98</v>
      </c>
    </row>
    <row r="150" spans="1:5">
      <c r="A150" s="32">
        <v>49</v>
      </c>
      <c r="B150" s="32">
        <v>4</v>
      </c>
      <c r="C150" s="32">
        <v>33</v>
      </c>
      <c r="D150" s="32">
        <v>1</v>
      </c>
      <c r="E150" s="32" t="s">
        <v>98</v>
      </c>
    </row>
    <row r="151" spans="1:5">
      <c r="A151" s="32">
        <v>18</v>
      </c>
      <c r="B151" s="32">
        <v>2</v>
      </c>
      <c r="C151" s="32">
        <v>12</v>
      </c>
      <c r="D151" s="32">
        <v>1</v>
      </c>
      <c r="E151" s="32" t="s">
        <v>7</v>
      </c>
    </row>
    <row r="152" spans="1:5">
      <c r="A152" s="32">
        <v>6</v>
      </c>
      <c r="B152" s="32">
        <v>4</v>
      </c>
      <c r="C152" s="32">
        <v>33</v>
      </c>
      <c r="D152" s="32">
        <v>0</v>
      </c>
      <c r="E152" s="32" t="s">
        <v>98</v>
      </c>
    </row>
    <row r="153" spans="1:5">
      <c r="A153" s="32">
        <v>60</v>
      </c>
      <c r="B153" s="32">
        <v>4</v>
      </c>
      <c r="C153" s="32">
        <v>14</v>
      </c>
      <c r="D153" s="32">
        <v>0</v>
      </c>
      <c r="E153" s="32" t="s">
        <v>7</v>
      </c>
    </row>
    <row r="154" spans="1:5">
      <c r="A154" s="32">
        <v>7</v>
      </c>
      <c r="B154" s="32">
        <v>4</v>
      </c>
      <c r="C154" s="32">
        <v>15</v>
      </c>
      <c r="D154" s="32">
        <v>1</v>
      </c>
      <c r="E154" s="32" t="s">
        <v>7</v>
      </c>
    </row>
    <row r="155" spans="1:5">
      <c r="A155" s="32">
        <v>16</v>
      </c>
      <c r="B155" s="32">
        <v>4</v>
      </c>
      <c r="C155" s="32">
        <v>13</v>
      </c>
      <c r="D155" s="32">
        <v>1</v>
      </c>
      <c r="E155" s="32" t="s">
        <v>7</v>
      </c>
    </row>
    <row r="156" spans="1:5">
      <c r="A156" s="32">
        <v>55</v>
      </c>
      <c r="B156" s="32">
        <v>7</v>
      </c>
      <c r="C156" s="32">
        <v>18</v>
      </c>
      <c r="D156" s="32">
        <v>0</v>
      </c>
      <c r="E156" s="32" t="s">
        <v>98</v>
      </c>
    </row>
    <row r="157" spans="1:5">
      <c r="A157" s="32">
        <v>64</v>
      </c>
      <c r="B157" s="32">
        <v>4</v>
      </c>
      <c r="C157" s="32">
        <v>14</v>
      </c>
      <c r="D157" s="32">
        <v>1</v>
      </c>
      <c r="E157" s="32" t="s">
        <v>7</v>
      </c>
    </row>
    <row r="158" spans="1:5">
      <c r="A158" s="32">
        <v>52</v>
      </c>
      <c r="B158" s="32">
        <v>3</v>
      </c>
      <c r="C158" s="32">
        <v>33</v>
      </c>
      <c r="D158" s="32">
        <v>1</v>
      </c>
      <c r="E158" s="32" t="s">
        <v>98</v>
      </c>
    </row>
    <row r="159" spans="1:5">
      <c r="A159" s="32">
        <v>12</v>
      </c>
      <c r="B159" s="32">
        <v>5</v>
      </c>
      <c r="C159" s="32">
        <v>13</v>
      </c>
      <c r="D159" s="32">
        <v>1</v>
      </c>
      <c r="E159" s="32" t="s">
        <v>7</v>
      </c>
    </row>
    <row r="160" spans="1:5">
      <c r="A160" s="32">
        <v>17</v>
      </c>
      <c r="B160" s="32">
        <v>3</v>
      </c>
      <c r="C160" s="32">
        <v>15</v>
      </c>
      <c r="D160" s="32">
        <v>0</v>
      </c>
      <c r="E160" s="32" t="s">
        <v>7</v>
      </c>
    </row>
    <row r="161" spans="1:5">
      <c r="A161" s="32">
        <v>34</v>
      </c>
      <c r="B161" s="32">
        <v>2</v>
      </c>
      <c r="C161" s="32">
        <v>21</v>
      </c>
      <c r="D161" s="32">
        <v>1</v>
      </c>
      <c r="E161" s="32" t="s">
        <v>98</v>
      </c>
    </row>
    <row r="162" spans="1:5">
      <c r="A162" s="32">
        <v>61</v>
      </c>
      <c r="B162" s="32">
        <v>4</v>
      </c>
      <c r="C162" s="32">
        <v>21</v>
      </c>
      <c r="D162" s="32">
        <v>1</v>
      </c>
      <c r="E162" s="32" t="s">
        <v>98</v>
      </c>
    </row>
    <row r="163" spans="1:5">
      <c r="A163" s="32">
        <v>23</v>
      </c>
      <c r="B163" s="32">
        <v>5</v>
      </c>
      <c r="C163" s="32">
        <v>12</v>
      </c>
      <c r="D163" s="32">
        <v>0</v>
      </c>
      <c r="E163" s="32" t="s">
        <v>7</v>
      </c>
    </row>
    <row r="164" spans="1:5">
      <c r="A164" s="32">
        <v>24</v>
      </c>
      <c r="B164" s="32">
        <v>4</v>
      </c>
      <c r="C164" s="32">
        <v>10</v>
      </c>
      <c r="D164" s="32">
        <v>1</v>
      </c>
      <c r="E164" s="32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32"/>
  <sheetViews>
    <sheetView topLeftCell="M184" zoomScale="93" zoomScaleNormal="93" workbookViewId="0">
      <selection activeCell="U68" sqref="U68"/>
    </sheetView>
  </sheetViews>
  <sheetFormatPr defaultColWidth="9" defaultRowHeight="15"/>
  <cols>
    <col min="2" max="2" width="8.7109375"/>
    <col min="3" max="3" width="15.85546875" customWidth="1"/>
    <col min="4" max="4" width="22" customWidth="1"/>
    <col min="5" max="5" width="13.28515625" customWidth="1"/>
    <col min="6" max="6" width="13.85546875" customWidth="1"/>
    <col min="7" max="7" width="12.42578125" customWidth="1"/>
    <col min="10" max="11" width="22.42578125" customWidth="1"/>
    <col min="12" max="12" width="16.140625" customWidth="1"/>
    <col min="13" max="13" width="19.28515625" customWidth="1"/>
    <col min="15" max="15" width="26.42578125" customWidth="1"/>
    <col min="16" max="16" width="12.7109375" customWidth="1"/>
    <col min="17" max="17" width="17.7109375" customWidth="1"/>
    <col min="18" max="18" width="14.7109375" customWidth="1"/>
    <col min="20" max="20" width="24.85546875" customWidth="1"/>
    <col min="21" max="21" width="12.7109375" customWidth="1"/>
    <col min="22" max="22" width="12" customWidth="1"/>
  </cols>
  <sheetData>
    <row r="1" spans="1:20">
      <c r="A1" s="57" t="s">
        <v>174</v>
      </c>
      <c r="B1" s="30" t="s">
        <v>1</v>
      </c>
      <c r="C1" s="30" t="s">
        <v>2</v>
      </c>
      <c r="D1" s="30" t="s">
        <v>173</v>
      </c>
      <c r="E1" s="30" t="s">
        <v>4</v>
      </c>
      <c r="F1" s="30" t="s">
        <v>5</v>
      </c>
      <c r="H1" s="30" t="s">
        <v>174</v>
      </c>
      <c r="I1" s="30" t="s">
        <v>1</v>
      </c>
      <c r="J1" s="30" t="s">
        <v>2</v>
      </c>
      <c r="K1" s="30" t="s">
        <v>173</v>
      </c>
      <c r="L1" s="30" t="s">
        <v>4</v>
      </c>
      <c r="M1" s="30" t="s">
        <v>5</v>
      </c>
      <c r="O1" s="30" t="s">
        <v>175</v>
      </c>
      <c r="P1" s="31"/>
      <c r="Q1" s="31"/>
    </row>
    <row r="2" spans="1:20">
      <c r="A2" s="32">
        <f ca="1">RANDBETWEEN(2,164)</f>
        <v>72</v>
      </c>
      <c r="B2" s="32" cm="1">
        <f t="array" aca="1" ref="B2" ca="1">INDEX(Data_DBD!$B:$B,$A2)</f>
        <v>3</v>
      </c>
      <c r="C2" s="32" cm="1">
        <f t="array" aca="1" ref="C2" ca="1">INDEX(Data_DBD!$C:$C,$A2)</f>
        <v>5</v>
      </c>
      <c r="D2" s="32" cm="1">
        <f t="array" aca="1" ref="D2" ca="1">INDEX(Data_DBD!$D:$D,$A2)</f>
        <v>10</v>
      </c>
      <c r="E2" s="32" cm="1">
        <f t="array" aca="1" ref="E2" ca="1">INDEX(Data_DBD!$E:$E,$A2)</f>
        <v>1</v>
      </c>
      <c r="F2" s="32" cm="1">
        <f t="array" aca="1" ref="F2" ca="1">INDEX(Data_DBD!$F:$F,$A2)</f>
        <v>2</v>
      </c>
      <c r="H2" s="32">
        <v>39</v>
      </c>
      <c r="I2" s="32">
        <v>12</v>
      </c>
      <c r="J2" s="32">
        <v>5</v>
      </c>
      <c r="K2" s="32">
        <v>13</v>
      </c>
      <c r="L2" s="32">
        <v>1</v>
      </c>
      <c r="M2" s="32">
        <v>2</v>
      </c>
      <c r="O2" s="54">
        <v>1</v>
      </c>
      <c r="P2" s="31">
        <f>COUNTIF(M2:M164,"1")</f>
        <v>6</v>
      </c>
      <c r="Q2" s="31">
        <f>P2/163</f>
        <v>3.6809815950920248E-2</v>
      </c>
      <c r="S2" s="53" t="s">
        <v>256</v>
      </c>
      <c r="T2" s="53" t="s">
        <v>257</v>
      </c>
    </row>
    <row r="3" spans="1:20">
      <c r="A3" s="32">
        <f t="shared" ref="A3:A66" ca="1" si="0">RANDBETWEEN(2,164)</f>
        <v>73</v>
      </c>
      <c r="B3" s="32" cm="1">
        <f t="array" aca="1" ref="B3" ca="1">INDEX(Data_DBD!$B:$B,$A3)</f>
        <v>15</v>
      </c>
      <c r="C3" s="32" cm="1">
        <f t="array" aca="1" ref="C3" ca="1">INDEX(Data_DBD!$C:$C,$A3)</f>
        <v>3</v>
      </c>
      <c r="D3" s="32" cm="1">
        <f t="array" aca="1" ref="D3" ca="1">INDEX(Data_DBD!$D:$D,$A3)</f>
        <v>10</v>
      </c>
      <c r="E3" s="32" cm="1">
        <f t="array" aca="1" ref="E3" ca="1">INDEX(Data_DBD!$E:$E,$A3)</f>
        <v>1</v>
      </c>
      <c r="F3" s="32" cm="1">
        <f t="array" aca="1" ref="F3" ca="1">INDEX(Data_DBD!$F:$F,$A3)</f>
        <v>2</v>
      </c>
      <c r="H3" s="32">
        <v>72</v>
      </c>
      <c r="I3" s="32">
        <v>3</v>
      </c>
      <c r="J3" s="32">
        <v>5</v>
      </c>
      <c r="K3" s="32">
        <v>10</v>
      </c>
      <c r="L3" s="32">
        <v>1</v>
      </c>
      <c r="M3" s="32">
        <v>2</v>
      </c>
      <c r="O3" s="31">
        <v>2</v>
      </c>
      <c r="P3" s="31">
        <f>COUNTIF(M2:M164,"2")</f>
        <v>81</v>
      </c>
      <c r="Q3" s="31">
        <f>P3/163</f>
        <v>0.49693251533742333</v>
      </c>
      <c r="T3" s="53" t="s">
        <v>258</v>
      </c>
    </row>
    <row r="4" spans="1:20">
      <c r="A4" s="32">
        <f t="shared" ca="1" si="0"/>
        <v>57</v>
      </c>
      <c r="B4" s="32" cm="1">
        <f t="array" aca="1" ref="B4" ca="1">INDEX(Data_DBD!$B:$B,$A4)</f>
        <v>2</v>
      </c>
      <c r="C4" s="32" cm="1">
        <f t="array" aca="1" ref="C4" ca="1">INDEX(Data_DBD!$C:$C,$A4)</f>
        <v>2</v>
      </c>
      <c r="D4" s="32" cm="1">
        <f t="array" aca="1" ref="D4" ca="1">INDEX(Data_DBD!$D:$D,$A4)</f>
        <v>15</v>
      </c>
      <c r="E4" s="32" cm="1">
        <f t="array" aca="1" ref="E4" ca="1">INDEX(Data_DBD!$E:$E,$A4)</f>
        <v>1</v>
      </c>
      <c r="F4" s="32" cm="1">
        <f t="array" aca="1" ref="F4" ca="1">INDEX(Data_DBD!$F:$F,$A4)</f>
        <v>2</v>
      </c>
      <c r="H4" s="32">
        <v>135</v>
      </c>
      <c r="I4" s="32">
        <v>10</v>
      </c>
      <c r="J4" s="32">
        <v>2</v>
      </c>
      <c r="K4" s="32">
        <v>33</v>
      </c>
      <c r="L4" s="32">
        <v>0</v>
      </c>
      <c r="M4" s="32">
        <v>3</v>
      </c>
      <c r="O4" s="31">
        <v>3</v>
      </c>
      <c r="P4" s="31">
        <f>COUNTIF(M2:M164,"3")</f>
        <v>76</v>
      </c>
      <c r="Q4" s="31">
        <f>P4/163</f>
        <v>0.46625766871165641</v>
      </c>
      <c r="T4" s="53" t="s">
        <v>259</v>
      </c>
    </row>
    <row r="5" spans="1:20">
      <c r="A5" s="32">
        <f t="shared" ca="1" si="0"/>
        <v>125</v>
      </c>
      <c r="B5" s="32" cm="1">
        <f t="array" aca="1" ref="B5" ca="1">INDEX(Data_DBD!$B:$B,$A5)</f>
        <v>39</v>
      </c>
      <c r="C5" s="32" cm="1">
        <f t="array" aca="1" ref="C5" ca="1">INDEX(Data_DBD!$C:$C,$A5)</f>
        <v>4</v>
      </c>
      <c r="D5" s="32" cm="1">
        <f t="array" aca="1" ref="D5" ca="1">INDEX(Data_DBD!$D:$D,$A5)</f>
        <v>33</v>
      </c>
      <c r="E5" s="32" cm="1">
        <f t="array" aca="1" ref="E5" ca="1">INDEX(Data_DBD!$E:$E,$A5)</f>
        <v>0</v>
      </c>
      <c r="F5" s="32" cm="1">
        <f t="array" aca="1" ref="F5" ca="1">INDEX(Data_DBD!$F:$F,$A5)</f>
        <v>3</v>
      </c>
      <c r="H5" s="32">
        <v>74</v>
      </c>
      <c r="I5" s="32">
        <v>9</v>
      </c>
      <c r="J5" s="32">
        <v>4</v>
      </c>
      <c r="K5" s="32">
        <v>10</v>
      </c>
      <c r="L5" s="32">
        <v>0</v>
      </c>
      <c r="M5" s="32">
        <v>2</v>
      </c>
      <c r="O5" s="34" t="s">
        <v>176</v>
      </c>
      <c r="P5">
        <f>-(IFERROR(Q2*LOG(Q2,2),0)+IFERROR(Q3*LOG(Q3,2),0)+IFERROR(Q4*LOG(Q4,2),0))</f>
        <v>1.1899544348464515</v>
      </c>
    </row>
    <row r="6" spans="1:20">
      <c r="A6" s="32">
        <f t="shared" ca="1" si="0"/>
        <v>16</v>
      </c>
      <c r="B6" s="32" cm="1">
        <f t="array" aca="1" ref="B6" ca="1">INDEX(Data_DBD!$B:$B,$A6)</f>
        <v>66</v>
      </c>
      <c r="C6" s="32" cm="1">
        <f t="array" aca="1" ref="C6" ca="1">INDEX(Data_DBD!$C:$C,$A6)</f>
        <v>5</v>
      </c>
      <c r="D6" s="32" cm="1">
        <f t="array" aca="1" ref="D6" ca="1">INDEX(Data_DBD!$D:$D,$A6)</f>
        <v>7</v>
      </c>
      <c r="E6" s="32" cm="1">
        <f t="array" aca="1" ref="E6" ca="1">INDEX(Data_DBD!$E:$E,$A6)</f>
        <v>1</v>
      </c>
      <c r="F6" s="32" cm="1">
        <f t="array" aca="1" ref="F6" ca="1">INDEX(Data_DBD!$F:$F,$A6)</f>
        <v>1</v>
      </c>
      <c r="H6" s="32">
        <v>78</v>
      </c>
      <c r="I6" s="32">
        <v>6</v>
      </c>
      <c r="J6" s="32">
        <v>3</v>
      </c>
      <c r="K6" s="32">
        <v>13</v>
      </c>
      <c r="L6" s="32">
        <v>0</v>
      </c>
      <c r="M6" s="32">
        <v>2</v>
      </c>
    </row>
    <row r="7" spans="1:20">
      <c r="A7" s="32">
        <f t="shared" ca="1" si="0"/>
        <v>49</v>
      </c>
      <c r="B7" s="32" cm="1">
        <f t="array" aca="1" ref="B7" ca="1">INDEX(Data_DBD!$B:$B,$A7)</f>
        <v>64</v>
      </c>
      <c r="C7" s="32" cm="1">
        <f t="array" aca="1" ref="C7" ca="1">INDEX(Data_DBD!$C:$C,$A7)</f>
        <v>5</v>
      </c>
      <c r="D7" s="32" cm="1">
        <f t="array" aca="1" ref="D7" ca="1">INDEX(Data_DBD!$D:$D,$A7)</f>
        <v>13</v>
      </c>
      <c r="E7" s="32" cm="1">
        <f t="array" aca="1" ref="E7" ca="1">INDEX(Data_DBD!$E:$E,$A7)</f>
        <v>0</v>
      </c>
      <c r="F7" s="32" cm="1">
        <f t="array" aca="1" ref="F7" ca="1">INDEX(Data_DBD!$F:$F,$A7)</f>
        <v>2</v>
      </c>
      <c r="H7" s="32">
        <v>94</v>
      </c>
      <c r="I7" s="32">
        <v>12</v>
      </c>
      <c r="J7" s="32">
        <v>4</v>
      </c>
      <c r="K7" s="32">
        <v>18</v>
      </c>
      <c r="L7" s="32">
        <v>0</v>
      </c>
      <c r="M7" s="32">
        <v>3</v>
      </c>
    </row>
    <row r="8" spans="1:20">
      <c r="A8" s="32">
        <f t="shared" ca="1" si="0"/>
        <v>14</v>
      </c>
      <c r="B8" s="32" cm="1">
        <f t="array" aca="1" ref="B8" ca="1">INDEX(Data_DBD!$B:$B,$A8)</f>
        <v>49</v>
      </c>
      <c r="C8" s="32" cm="1">
        <f t="array" aca="1" ref="C8" ca="1">INDEX(Data_DBD!$C:$C,$A8)</f>
        <v>4</v>
      </c>
      <c r="D8" s="32" cm="1">
        <f t="array" aca="1" ref="D8" ca="1">INDEX(Data_DBD!$D:$D,$A8)</f>
        <v>7</v>
      </c>
      <c r="E8" s="32" cm="1">
        <f t="array" aca="1" ref="E8" ca="1">INDEX(Data_DBD!$E:$E,$A8)</f>
        <v>1</v>
      </c>
      <c r="F8" s="32" cm="1">
        <f t="array" aca="1" ref="F8" ca="1">INDEX(Data_DBD!$F:$F,$A8)</f>
        <v>1</v>
      </c>
      <c r="H8" s="32">
        <v>124</v>
      </c>
      <c r="I8" s="32">
        <v>24</v>
      </c>
      <c r="J8" s="32">
        <v>3</v>
      </c>
      <c r="K8" s="32">
        <v>33</v>
      </c>
      <c r="L8" s="32">
        <v>1</v>
      </c>
      <c r="M8" s="32">
        <v>3</v>
      </c>
    </row>
    <row r="9" spans="1:20">
      <c r="A9" s="32">
        <f t="shared" ca="1" si="0"/>
        <v>157</v>
      </c>
      <c r="B9" s="32" cm="1">
        <f t="array" aca="1" ref="B9" ca="1">INDEX(Data_DBD!$B:$B,$A9)</f>
        <v>15</v>
      </c>
      <c r="C9" s="32" cm="1">
        <f t="array" aca="1" ref="C9" ca="1">INDEX(Data_DBD!$C:$C,$A9)</f>
        <v>4</v>
      </c>
      <c r="D9" s="32" cm="1">
        <f t="array" aca="1" ref="D9" ca="1">INDEX(Data_DBD!$D:$D,$A9)</f>
        <v>21</v>
      </c>
      <c r="E9" s="32" cm="1">
        <f t="array" aca="1" ref="E9" ca="1">INDEX(Data_DBD!$E:$E,$A9)</f>
        <v>1</v>
      </c>
      <c r="F9" s="32" cm="1">
        <f t="array" aca="1" ref="F9" ca="1">INDEX(Data_DBD!$F:$F,$A9)</f>
        <v>3</v>
      </c>
      <c r="H9" s="32">
        <v>63</v>
      </c>
      <c r="I9" s="32">
        <v>25</v>
      </c>
      <c r="J9" s="32">
        <v>3</v>
      </c>
      <c r="K9" s="32">
        <v>15</v>
      </c>
      <c r="L9" s="32">
        <v>0</v>
      </c>
      <c r="M9" s="32">
        <v>2</v>
      </c>
    </row>
    <row r="10" spans="1:20">
      <c r="A10" s="32">
        <f t="shared" ca="1" si="0"/>
        <v>40</v>
      </c>
      <c r="B10" s="32" cm="1">
        <f t="array" aca="1" ref="B10" ca="1">INDEX(Data_DBD!$B:$B,$A10)</f>
        <v>65</v>
      </c>
      <c r="C10" s="32" cm="1">
        <f t="array" aca="1" ref="C10" ca="1">INDEX(Data_DBD!$C:$C,$A10)</f>
        <v>3</v>
      </c>
      <c r="D10" s="32" cm="1">
        <f t="array" aca="1" ref="D10" ca="1">INDEX(Data_DBD!$D:$D,$A10)</f>
        <v>13</v>
      </c>
      <c r="E10" s="32" cm="1">
        <f t="array" aca="1" ref="E10" ca="1">INDEX(Data_DBD!$E:$E,$A10)</f>
        <v>1</v>
      </c>
      <c r="F10" s="32" cm="1">
        <f t="array" aca="1" ref="F10" ca="1">INDEX(Data_DBD!$F:$F,$A10)</f>
        <v>2</v>
      </c>
      <c r="G10" s="53" t="s">
        <v>288</v>
      </c>
      <c r="H10" s="32">
        <v>70</v>
      </c>
      <c r="I10" s="32">
        <v>26</v>
      </c>
      <c r="J10" s="32">
        <v>3</v>
      </c>
      <c r="K10" s="32">
        <v>10</v>
      </c>
      <c r="L10" s="32">
        <v>1</v>
      </c>
      <c r="M10" s="32">
        <v>2</v>
      </c>
    </row>
    <row r="11" spans="1:20">
      <c r="A11" s="32">
        <f t="shared" ca="1" si="0"/>
        <v>74</v>
      </c>
      <c r="B11" s="32" cm="1">
        <f t="array" aca="1" ref="B11" ca="1">INDEX(Data_DBD!$B:$B,$A11)</f>
        <v>9</v>
      </c>
      <c r="C11" s="32" cm="1">
        <f t="array" aca="1" ref="C11" ca="1">INDEX(Data_DBD!$C:$C,$A11)</f>
        <v>4</v>
      </c>
      <c r="D11" s="32" cm="1">
        <f t="array" aca="1" ref="D11" ca="1">INDEX(Data_DBD!$D:$D,$A11)</f>
        <v>10</v>
      </c>
      <c r="E11" s="32" cm="1">
        <f t="array" aca="1" ref="E11" ca="1">INDEX(Data_DBD!$E:$E,$A11)</f>
        <v>0</v>
      </c>
      <c r="F11" s="32" cm="1">
        <f t="array" aca="1" ref="F11" ca="1">INDEX(Data_DBD!$F:$F,$A11)</f>
        <v>2</v>
      </c>
      <c r="H11" s="32">
        <v>29</v>
      </c>
      <c r="I11" s="32">
        <v>19</v>
      </c>
      <c r="J11" s="32">
        <v>2</v>
      </c>
      <c r="K11" s="32">
        <v>14</v>
      </c>
      <c r="L11" s="32">
        <v>1</v>
      </c>
      <c r="M11" s="32">
        <v>2</v>
      </c>
    </row>
    <row r="12" spans="1:20">
      <c r="A12" s="32">
        <f t="shared" ca="1" si="0"/>
        <v>163</v>
      </c>
      <c r="B12" s="32" cm="1">
        <f t="array" aca="1" ref="B12" ca="1">INDEX(Data_DBD!$B:$B,$A12)</f>
        <v>34</v>
      </c>
      <c r="C12" s="32" cm="1">
        <f t="array" aca="1" ref="C12" ca="1">INDEX(Data_DBD!$C:$C,$A12)</f>
        <v>4</v>
      </c>
      <c r="D12" s="32" cm="1">
        <f t="array" aca="1" ref="D12" ca="1">INDEX(Data_DBD!$D:$D,$A12)</f>
        <v>3</v>
      </c>
      <c r="E12" s="32" cm="1">
        <f t="array" aca="1" ref="E12" ca="1">INDEX(Data_DBD!$E:$E,$A12)</f>
        <v>1</v>
      </c>
      <c r="F12" s="32" cm="1">
        <f t="array" aca="1" ref="F12" ca="1">INDEX(Data_DBD!$F:$F,$A12)</f>
        <v>1</v>
      </c>
      <c r="H12" s="32">
        <v>146</v>
      </c>
      <c r="I12" s="32">
        <v>34</v>
      </c>
      <c r="J12" s="32">
        <v>2</v>
      </c>
      <c r="K12" s="32">
        <v>21</v>
      </c>
      <c r="L12" s="32">
        <v>1</v>
      </c>
      <c r="M12" s="32">
        <v>3</v>
      </c>
    </row>
    <row r="13" spans="1:20">
      <c r="A13" s="32">
        <f t="shared" ca="1" si="0"/>
        <v>51</v>
      </c>
      <c r="B13" s="32" cm="1">
        <f t="array" aca="1" ref="B13" ca="1">INDEX(Data_DBD!$B:$B,$A13)</f>
        <v>48</v>
      </c>
      <c r="C13" s="32" cm="1">
        <f t="array" aca="1" ref="C13" ca="1">INDEX(Data_DBD!$C:$C,$A13)</f>
        <v>4</v>
      </c>
      <c r="D13" s="32" cm="1">
        <f t="array" aca="1" ref="D13" ca="1">INDEX(Data_DBD!$D:$D,$A13)</f>
        <v>13</v>
      </c>
      <c r="E13" s="32" cm="1">
        <f t="array" aca="1" ref="E13" ca="1">INDEX(Data_DBD!$E:$E,$A13)</f>
        <v>0</v>
      </c>
      <c r="F13" s="32" cm="1">
        <f t="array" aca="1" ref="F13" ca="1">INDEX(Data_DBD!$F:$F,$A13)</f>
        <v>2</v>
      </c>
      <c r="H13" s="32">
        <v>4</v>
      </c>
      <c r="I13" s="32">
        <v>23</v>
      </c>
      <c r="J13" s="32">
        <v>5</v>
      </c>
      <c r="K13" s="32">
        <v>12</v>
      </c>
      <c r="L13" s="32">
        <v>0</v>
      </c>
      <c r="M13" s="32">
        <v>2</v>
      </c>
    </row>
    <row r="14" spans="1:20">
      <c r="A14" s="32">
        <f t="shared" ca="1" si="0"/>
        <v>52</v>
      </c>
      <c r="B14" s="32" cm="1">
        <f t="array" aca="1" ref="B14" ca="1">INDEX(Data_DBD!$B:$B,$A14)</f>
        <v>59</v>
      </c>
      <c r="C14" s="32" cm="1">
        <f t="array" aca="1" ref="C14" ca="1">INDEX(Data_DBD!$C:$C,$A14)</f>
        <v>4</v>
      </c>
      <c r="D14" s="32" cm="1">
        <f t="array" aca="1" ref="D14" ca="1">INDEX(Data_DBD!$D:$D,$A14)</f>
        <v>15</v>
      </c>
      <c r="E14" s="32" cm="1">
        <f t="array" aca="1" ref="E14" ca="1">INDEX(Data_DBD!$E:$E,$A14)</f>
        <v>1</v>
      </c>
      <c r="F14" s="32" cm="1">
        <f t="array" aca="1" ref="F14" ca="1">INDEX(Data_DBD!$F:$F,$A14)</f>
        <v>2</v>
      </c>
      <c r="H14" s="32">
        <v>121</v>
      </c>
      <c r="I14" s="32">
        <v>82</v>
      </c>
      <c r="J14" s="32">
        <v>5</v>
      </c>
      <c r="K14" s="32">
        <v>33</v>
      </c>
      <c r="L14" s="32">
        <v>1</v>
      </c>
      <c r="M14" s="32">
        <v>3</v>
      </c>
    </row>
    <row r="15" spans="1:20">
      <c r="A15" s="32">
        <f t="shared" ca="1" si="0"/>
        <v>98</v>
      </c>
      <c r="B15" s="32" cm="1">
        <f t="array" aca="1" ref="B15" ca="1">INDEX(Data_DBD!$B:$B,$A15)</f>
        <v>16</v>
      </c>
      <c r="C15" s="32" cm="1">
        <f t="array" aca="1" ref="C15" ca="1">INDEX(Data_DBD!$C:$C,$A15)</f>
        <v>2</v>
      </c>
      <c r="D15" s="32" cm="1">
        <f t="array" aca="1" ref="D15" ca="1">INDEX(Data_DBD!$D:$D,$A15)</f>
        <v>18</v>
      </c>
      <c r="E15" s="32" cm="1">
        <f t="array" aca="1" ref="E15" ca="1">INDEX(Data_DBD!$E:$E,$A15)</f>
        <v>1</v>
      </c>
      <c r="F15" s="32" cm="1">
        <f t="array" aca="1" ref="F15" ca="1">INDEX(Data_DBD!$F:$F,$A15)</f>
        <v>3</v>
      </c>
      <c r="H15" s="32">
        <v>53</v>
      </c>
      <c r="I15" s="32">
        <v>35</v>
      </c>
      <c r="J15" s="32">
        <v>4</v>
      </c>
      <c r="K15" s="32">
        <v>15</v>
      </c>
      <c r="L15" s="32">
        <v>1</v>
      </c>
      <c r="M15" s="32">
        <v>2</v>
      </c>
    </row>
    <row r="16" spans="1:20">
      <c r="A16" s="32">
        <f t="shared" ca="1" si="0"/>
        <v>119</v>
      </c>
      <c r="B16" s="32" cm="1">
        <f t="array" aca="1" ref="B16" ca="1">INDEX(Data_DBD!$B:$B,$A16)</f>
        <v>30</v>
      </c>
      <c r="C16" s="32" cm="1">
        <f t="array" aca="1" ref="C16" ca="1">INDEX(Data_DBD!$C:$C,$A16)</f>
        <v>7</v>
      </c>
      <c r="D16" s="32" cm="1">
        <f t="array" aca="1" ref="D16" ca="1">INDEX(Data_DBD!$D:$D,$A16)</f>
        <v>33</v>
      </c>
      <c r="E16" s="32" cm="1">
        <f t="array" aca="1" ref="E16" ca="1">INDEX(Data_DBD!$E:$E,$A16)</f>
        <v>0</v>
      </c>
      <c r="F16" s="32" cm="1">
        <f t="array" aca="1" ref="F16" ca="1">INDEX(Data_DBD!$F:$F,$A16)</f>
        <v>3</v>
      </c>
      <c r="H16" s="32">
        <v>127</v>
      </c>
      <c r="I16" s="32">
        <v>21</v>
      </c>
      <c r="J16" s="32">
        <v>2</v>
      </c>
      <c r="K16" s="32">
        <v>33</v>
      </c>
      <c r="L16" s="32">
        <v>0</v>
      </c>
      <c r="M16" s="32">
        <v>3</v>
      </c>
    </row>
    <row r="17" spans="1:13">
      <c r="A17" s="32">
        <f t="shared" ca="1" si="0"/>
        <v>133</v>
      </c>
      <c r="B17" s="32" cm="1">
        <f t="array" aca="1" ref="B17" ca="1">INDEX(Data_DBD!$B:$B,$A17)</f>
        <v>6</v>
      </c>
      <c r="C17" s="32" cm="1">
        <f t="array" aca="1" ref="C17" ca="1">INDEX(Data_DBD!$C:$C,$A17)</f>
        <v>4</v>
      </c>
      <c r="D17" s="32" cm="1">
        <f t="array" aca="1" ref="D17" ca="1">INDEX(Data_DBD!$D:$D,$A17)</f>
        <v>33</v>
      </c>
      <c r="E17" s="32" cm="1">
        <f t="array" aca="1" ref="E17" ca="1">INDEX(Data_DBD!$E:$E,$A17)</f>
        <v>0</v>
      </c>
      <c r="F17" s="32" cm="1">
        <f t="array" aca="1" ref="F17" ca="1">INDEX(Data_DBD!$F:$F,$A17)</f>
        <v>3</v>
      </c>
      <c r="H17" s="32">
        <v>52</v>
      </c>
      <c r="I17" s="32">
        <v>59</v>
      </c>
      <c r="J17" s="32">
        <v>4</v>
      </c>
      <c r="K17" s="32">
        <v>15</v>
      </c>
      <c r="L17" s="32">
        <v>1</v>
      </c>
      <c r="M17" s="32">
        <v>2</v>
      </c>
    </row>
    <row r="18" spans="1:13">
      <c r="A18" s="32">
        <f t="shared" ca="1" si="0"/>
        <v>123</v>
      </c>
      <c r="B18" s="32" cm="1">
        <f t="array" aca="1" ref="B18" ca="1">INDEX(Data_DBD!$B:$B,$A18)</f>
        <v>22</v>
      </c>
      <c r="C18" s="32" cm="1">
        <f t="array" aca="1" ref="C18" ca="1">INDEX(Data_DBD!$C:$C,$A18)</f>
        <v>4</v>
      </c>
      <c r="D18" s="32" cm="1">
        <f t="array" aca="1" ref="D18" ca="1">INDEX(Data_DBD!$D:$D,$A18)</f>
        <v>33</v>
      </c>
      <c r="E18" s="32" cm="1">
        <f t="array" aca="1" ref="E18" ca="1">INDEX(Data_DBD!$E:$E,$A18)</f>
        <v>0</v>
      </c>
      <c r="F18" s="32" cm="1">
        <f t="array" aca="1" ref="F18" ca="1">INDEX(Data_DBD!$F:$F,$A18)</f>
        <v>3</v>
      </c>
      <c r="H18" s="32">
        <v>88</v>
      </c>
      <c r="I18" s="32">
        <v>20</v>
      </c>
      <c r="J18" s="32">
        <v>4</v>
      </c>
      <c r="K18" s="32">
        <v>13</v>
      </c>
      <c r="L18" s="32">
        <v>1</v>
      </c>
      <c r="M18" s="32">
        <v>2</v>
      </c>
    </row>
    <row r="19" spans="1:13">
      <c r="A19" s="32">
        <f t="shared" ca="1" si="0"/>
        <v>114</v>
      </c>
      <c r="B19" s="32" cm="1">
        <f t="array" aca="1" ref="B19" ca="1">INDEX(Data_DBD!$B:$B,$A19)</f>
        <v>14</v>
      </c>
      <c r="C19" s="32" cm="1">
        <f t="array" aca="1" ref="C19" ca="1">INDEX(Data_DBD!$C:$C,$A19)</f>
        <v>2</v>
      </c>
      <c r="D19" s="32" cm="1">
        <f t="array" aca="1" ref="D19" ca="1">INDEX(Data_DBD!$D:$D,$A19)</f>
        <v>33</v>
      </c>
      <c r="E19" s="32" cm="1">
        <f t="array" aca="1" ref="E19" ca="1">INDEX(Data_DBD!$E:$E,$A19)</f>
        <v>1</v>
      </c>
      <c r="F19" s="32" cm="1">
        <f t="array" aca="1" ref="F19" ca="1">INDEX(Data_DBD!$F:$F,$A19)</f>
        <v>3</v>
      </c>
      <c r="H19" s="32">
        <v>86</v>
      </c>
      <c r="I19" s="32">
        <v>23</v>
      </c>
      <c r="J19" s="32">
        <v>3</v>
      </c>
      <c r="K19" s="32">
        <v>13</v>
      </c>
      <c r="L19" s="32">
        <v>0</v>
      </c>
      <c r="M19" s="32">
        <v>2</v>
      </c>
    </row>
    <row r="20" spans="1:13">
      <c r="A20" s="32">
        <f t="shared" ca="1" si="0"/>
        <v>12</v>
      </c>
      <c r="B20" s="32" cm="1">
        <f t="array" aca="1" ref="B20" ca="1">INDEX(Data_DBD!$B:$B,$A20)</f>
        <v>23</v>
      </c>
      <c r="C20" s="32" cm="1">
        <f t="array" aca="1" ref="C20" ca="1">INDEX(Data_DBD!$C:$C,$A20)</f>
        <v>3</v>
      </c>
      <c r="D20" s="32" cm="1">
        <f t="array" aca="1" ref="D20" ca="1">INDEX(Data_DBD!$D:$D,$A20)</f>
        <v>12</v>
      </c>
      <c r="E20" s="32" cm="1">
        <f t="array" aca="1" ref="E20" ca="1">INDEX(Data_DBD!$E:$E,$A20)</f>
        <v>0</v>
      </c>
      <c r="F20" s="32" cm="1">
        <f t="array" aca="1" ref="F20" ca="1">INDEX(Data_DBD!$F:$F,$A20)</f>
        <v>2</v>
      </c>
      <c r="H20" s="32">
        <v>56</v>
      </c>
      <c r="I20" s="32">
        <v>4</v>
      </c>
      <c r="J20" s="32">
        <v>3</v>
      </c>
      <c r="K20" s="32">
        <v>15</v>
      </c>
      <c r="L20" s="32">
        <v>0</v>
      </c>
      <c r="M20" s="32">
        <v>2</v>
      </c>
    </row>
    <row r="21" spans="1:13">
      <c r="A21" s="32">
        <f t="shared" ca="1" si="0"/>
        <v>132</v>
      </c>
      <c r="B21" s="32" cm="1">
        <f t="array" aca="1" ref="B21" ca="1">INDEX(Data_DBD!$B:$B,$A21)</f>
        <v>10</v>
      </c>
      <c r="C21" s="32" cm="1">
        <f t="array" aca="1" ref="C21" ca="1">INDEX(Data_DBD!$C:$C,$A21)</f>
        <v>3</v>
      </c>
      <c r="D21" s="32" cm="1">
        <f t="array" aca="1" ref="D21" ca="1">INDEX(Data_DBD!$D:$D,$A21)</f>
        <v>33</v>
      </c>
      <c r="E21" s="32" cm="1">
        <f t="array" aca="1" ref="E21" ca="1">INDEX(Data_DBD!$E:$E,$A21)</f>
        <v>1</v>
      </c>
      <c r="F21" s="32" cm="1">
        <f t="array" aca="1" ref="F21" ca="1">INDEX(Data_DBD!$F:$F,$A21)</f>
        <v>3</v>
      </c>
      <c r="H21" s="32">
        <v>114</v>
      </c>
      <c r="I21" s="32">
        <v>14</v>
      </c>
      <c r="J21" s="32">
        <v>2</v>
      </c>
      <c r="K21" s="32">
        <v>33</v>
      </c>
      <c r="L21" s="32">
        <v>1</v>
      </c>
      <c r="M21" s="32">
        <v>3</v>
      </c>
    </row>
    <row r="22" spans="1:13">
      <c r="A22" s="32">
        <f t="shared" ca="1" si="0"/>
        <v>77</v>
      </c>
      <c r="B22" s="32" cm="1">
        <f t="array" aca="1" ref="B22" ca="1">INDEX(Data_DBD!$B:$B,$A22)</f>
        <v>16</v>
      </c>
      <c r="C22" s="32" cm="1">
        <f t="array" aca="1" ref="C22" ca="1">INDEX(Data_DBD!$C:$C,$A22)</f>
        <v>4</v>
      </c>
      <c r="D22" s="32" cm="1">
        <f t="array" aca="1" ref="D22" ca="1">INDEX(Data_DBD!$D:$D,$A22)</f>
        <v>13</v>
      </c>
      <c r="E22" s="32" cm="1">
        <f t="array" aca="1" ref="E22" ca="1">INDEX(Data_DBD!$E:$E,$A22)</f>
        <v>1</v>
      </c>
      <c r="F22" s="32" cm="1">
        <f t="array" aca="1" ref="F22" ca="1">INDEX(Data_DBD!$F:$F,$A22)</f>
        <v>2</v>
      </c>
      <c r="H22" s="32">
        <v>103</v>
      </c>
      <c r="I22" s="32">
        <v>22</v>
      </c>
      <c r="J22" s="32">
        <v>5</v>
      </c>
      <c r="K22" s="32">
        <v>18</v>
      </c>
      <c r="L22" s="32">
        <v>0</v>
      </c>
      <c r="M22" s="32">
        <v>3</v>
      </c>
    </row>
    <row r="23" spans="1:13">
      <c r="A23" s="32">
        <f t="shared" ca="1" si="0"/>
        <v>120</v>
      </c>
      <c r="B23" s="32" cm="1">
        <f t="array" aca="1" ref="B23" ca="1">INDEX(Data_DBD!$B:$B,$A23)</f>
        <v>26</v>
      </c>
      <c r="C23" s="32" cm="1">
        <f t="array" aca="1" ref="C23" ca="1">INDEX(Data_DBD!$C:$C,$A23)</f>
        <v>4</v>
      </c>
      <c r="D23" s="32" cm="1">
        <f t="array" aca="1" ref="D23" ca="1">INDEX(Data_DBD!$D:$D,$A23)</f>
        <v>33</v>
      </c>
      <c r="E23" s="32" cm="1">
        <f t="array" aca="1" ref="E23" ca="1">INDEX(Data_DBD!$E:$E,$A23)</f>
        <v>1</v>
      </c>
      <c r="F23" s="32" cm="1">
        <f t="array" aca="1" ref="F23" ca="1">INDEX(Data_DBD!$F:$F,$A23)</f>
        <v>3</v>
      </c>
      <c r="H23" s="32">
        <v>128</v>
      </c>
      <c r="I23" s="32">
        <v>38</v>
      </c>
      <c r="J23" s="32">
        <v>2</v>
      </c>
      <c r="K23" s="32">
        <v>33</v>
      </c>
      <c r="L23" s="32">
        <v>0</v>
      </c>
      <c r="M23" s="32">
        <v>3</v>
      </c>
    </row>
    <row r="24" spans="1:13">
      <c r="A24" s="32">
        <f t="shared" ca="1" si="0"/>
        <v>88</v>
      </c>
      <c r="B24" s="32" cm="1">
        <f t="array" aca="1" ref="B24" ca="1">INDEX(Data_DBD!$B:$B,$A24)</f>
        <v>20</v>
      </c>
      <c r="C24" s="32" cm="1">
        <f t="array" aca="1" ref="C24" ca="1">INDEX(Data_DBD!$C:$C,$A24)</f>
        <v>4</v>
      </c>
      <c r="D24" s="32" cm="1">
        <f t="array" aca="1" ref="D24" ca="1">INDEX(Data_DBD!$D:$D,$A24)</f>
        <v>13</v>
      </c>
      <c r="E24" s="32" cm="1">
        <f t="array" aca="1" ref="E24" ca="1">INDEX(Data_DBD!$E:$E,$A24)</f>
        <v>1</v>
      </c>
      <c r="F24" s="32" cm="1">
        <f t="array" aca="1" ref="F24" ca="1">INDEX(Data_DBD!$F:$F,$A24)</f>
        <v>2</v>
      </c>
      <c r="H24" s="32">
        <v>130</v>
      </c>
      <c r="I24" s="32">
        <v>12</v>
      </c>
      <c r="J24" s="32">
        <v>4</v>
      </c>
      <c r="K24" s="32">
        <v>33</v>
      </c>
      <c r="L24" s="32">
        <v>0</v>
      </c>
      <c r="M24" s="32">
        <v>3</v>
      </c>
    </row>
    <row r="25" spans="1:13">
      <c r="A25" s="32">
        <f t="shared" ca="1" si="0"/>
        <v>75</v>
      </c>
      <c r="B25" s="32" cm="1">
        <f t="array" aca="1" ref="B25" ca="1">INDEX(Data_DBD!$B:$B,$A25)</f>
        <v>2</v>
      </c>
      <c r="C25" s="32" cm="1">
        <f t="array" aca="1" ref="C25" ca="1">INDEX(Data_DBD!$C:$C,$A25)</f>
        <v>2</v>
      </c>
      <c r="D25" s="32" cm="1">
        <f t="array" aca="1" ref="D25" ca="1">INDEX(Data_DBD!$D:$D,$A25)</f>
        <v>10</v>
      </c>
      <c r="E25" s="32" cm="1">
        <f t="array" aca="1" ref="E25" ca="1">INDEX(Data_DBD!$E:$E,$A25)</f>
        <v>1</v>
      </c>
      <c r="F25" s="32" cm="1">
        <f t="array" aca="1" ref="F25" ca="1">INDEX(Data_DBD!$F:$F,$A25)</f>
        <v>2</v>
      </c>
      <c r="H25" s="32">
        <v>11</v>
      </c>
      <c r="I25" s="32">
        <v>24</v>
      </c>
      <c r="J25" s="32">
        <v>5</v>
      </c>
      <c r="K25" s="32">
        <v>12</v>
      </c>
      <c r="L25" s="32">
        <v>1</v>
      </c>
      <c r="M25" s="32">
        <v>2</v>
      </c>
    </row>
    <row r="26" spans="1:13">
      <c r="A26" s="32">
        <f t="shared" ca="1" si="0"/>
        <v>56</v>
      </c>
      <c r="B26" s="32" cm="1">
        <f t="array" aca="1" ref="B26" ca="1">INDEX(Data_DBD!$B:$B,$A26)</f>
        <v>4</v>
      </c>
      <c r="C26" s="32" cm="1">
        <f t="array" aca="1" ref="C26" ca="1">INDEX(Data_DBD!$C:$C,$A26)</f>
        <v>3</v>
      </c>
      <c r="D26" s="32" cm="1">
        <f t="array" aca="1" ref="D26" ca="1">INDEX(Data_DBD!$D:$D,$A26)</f>
        <v>15</v>
      </c>
      <c r="E26" s="32" cm="1">
        <f t="array" aca="1" ref="E26" ca="1">INDEX(Data_DBD!$E:$E,$A26)</f>
        <v>0</v>
      </c>
      <c r="F26" s="32" cm="1">
        <f t="array" aca="1" ref="F26" ca="1">INDEX(Data_DBD!$F:$F,$A26)</f>
        <v>2</v>
      </c>
      <c r="H26" s="32">
        <v>24</v>
      </c>
      <c r="I26" s="32">
        <v>60</v>
      </c>
      <c r="J26" s="32">
        <v>4</v>
      </c>
      <c r="K26" s="32">
        <v>14</v>
      </c>
      <c r="L26" s="32">
        <v>0</v>
      </c>
      <c r="M26" s="32">
        <v>2</v>
      </c>
    </row>
    <row r="27" spans="1:13">
      <c r="A27" s="32">
        <f t="shared" ca="1" si="0"/>
        <v>132</v>
      </c>
      <c r="B27" s="32" cm="1">
        <f t="array" aca="1" ref="B27" ca="1">INDEX(Data_DBD!$B:$B,$A27)</f>
        <v>10</v>
      </c>
      <c r="C27" s="32" cm="1">
        <f t="array" aca="1" ref="C27" ca="1">INDEX(Data_DBD!$C:$C,$A27)</f>
        <v>3</v>
      </c>
      <c r="D27" s="32" cm="1">
        <f t="array" aca="1" ref="D27" ca="1">INDEX(Data_DBD!$D:$D,$A27)</f>
        <v>33</v>
      </c>
      <c r="E27" s="32" cm="1">
        <f t="array" aca="1" ref="E27" ca="1">INDEX(Data_DBD!$E:$E,$A27)</f>
        <v>1</v>
      </c>
      <c r="F27" s="32" cm="1">
        <f t="array" aca="1" ref="F27" ca="1">INDEX(Data_DBD!$F:$F,$A27)</f>
        <v>3</v>
      </c>
      <c r="H27" s="32">
        <v>40</v>
      </c>
      <c r="I27" s="32">
        <v>65</v>
      </c>
      <c r="J27" s="32">
        <v>3</v>
      </c>
      <c r="K27" s="32">
        <v>13</v>
      </c>
      <c r="L27" s="32">
        <v>1</v>
      </c>
      <c r="M27" s="32">
        <v>2</v>
      </c>
    </row>
    <row r="28" spans="1:13">
      <c r="A28" s="32">
        <f t="shared" ca="1" si="0"/>
        <v>94</v>
      </c>
      <c r="B28" s="32" cm="1">
        <f t="array" aca="1" ref="B28" ca="1">INDEX(Data_DBD!$B:$B,$A28)</f>
        <v>12</v>
      </c>
      <c r="C28" s="32" cm="1">
        <f t="array" aca="1" ref="C28" ca="1">INDEX(Data_DBD!$C:$C,$A28)</f>
        <v>4</v>
      </c>
      <c r="D28" s="32" cm="1">
        <f t="array" aca="1" ref="D28" ca="1">INDEX(Data_DBD!$D:$D,$A28)</f>
        <v>18</v>
      </c>
      <c r="E28" s="32" cm="1">
        <f t="array" aca="1" ref="E28" ca="1">INDEX(Data_DBD!$E:$E,$A28)</f>
        <v>0</v>
      </c>
      <c r="F28" s="32" cm="1">
        <f t="array" aca="1" ref="F28" ca="1">INDEX(Data_DBD!$F:$F,$A28)</f>
        <v>3</v>
      </c>
      <c r="H28" s="32">
        <v>5</v>
      </c>
      <c r="I28" s="32">
        <v>18</v>
      </c>
      <c r="J28" s="32">
        <v>2</v>
      </c>
      <c r="K28" s="32">
        <v>12</v>
      </c>
      <c r="L28" s="32">
        <v>1</v>
      </c>
      <c r="M28" s="32">
        <v>2</v>
      </c>
    </row>
    <row r="29" spans="1:13">
      <c r="A29" s="32">
        <f t="shared" ca="1" si="0"/>
        <v>129</v>
      </c>
      <c r="B29" s="32" cm="1">
        <f t="array" aca="1" ref="B29" ca="1">INDEX(Data_DBD!$B:$B,$A29)</f>
        <v>4.5</v>
      </c>
      <c r="C29" s="32" cm="1">
        <f t="array" aca="1" ref="C29" ca="1">INDEX(Data_DBD!$C:$C,$A29)</f>
        <v>3</v>
      </c>
      <c r="D29" s="32" cm="1">
        <f t="array" aca="1" ref="D29" ca="1">INDEX(Data_DBD!$D:$D,$A29)</f>
        <v>33</v>
      </c>
      <c r="E29" s="32" cm="1">
        <f t="array" aca="1" ref="E29" ca="1">INDEX(Data_DBD!$E:$E,$A29)</f>
        <v>0</v>
      </c>
      <c r="F29" s="32" cm="1">
        <f t="array" aca="1" ref="F29" ca="1">INDEX(Data_DBD!$F:$F,$A29)</f>
        <v>3</v>
      </c>
      <c r="H29" s="32">
        <v>31</v>
      </c>
      <c r="I29" s="32">
        <v>64</v>
      </c>
      <c r="J29" s="32">
        <v>4</v>
      </c>
      <c r="K29" s="32">
        <v>14</v>
      </c>
      <c r="L29" s="32">
        <v>1</v>
      </c>
      <c r="M29" s="32">
        <v>2</v>
      </c>
    </row>
    <row r="30" spans="1:13">
      <c r="A30" s="32">
        <f t="shared" ca="1" si="0"/>
        <v>110</v>
      </c>
      <c r="B30" s="32" cm="1">
        <f t="array" aca="1" ref="B30" ca="1">INDEX(Data_DBD!$B:$B,$A30)</f>
        <v>42</v>
      </c>
      <c r="C30" s="32" cm="1">
        <f t="array" aca="1" ref="C30" ca="1">INDEX(Data_DBD!$C:$C,$A30)</f>
        <v>2</v>
      </c>
      <c r="D30" s="32" cm="1">
        <f t="array" aca="1" ref="D30" ca="1">INDEX(Data_DBD!$D:$D,$A30)</f>
        <v>33</v>
      </c>
      <c r="E30" s="32" cm="1">
        <f t="array" aca="1" ref="E30" ca="1">INDEX(Data_DBD!$E:$E,$A30)</f>
        <v>1</v>
      </c>
      <c r="F30" s="32" cm="1">
        <f t="array" aca="1" ref="F30" ca="1">INDEX(Data_DBD!$F:$F,$A30)</f>
        <v>3</v>
      </c>
      <c r="H30" s="32">
        <v>146</v>
      </c>
      <c r="I30" s="32">
        <v>34</v>
      </c>
      <c r="J30" s="32">
        <v>2</v>
      </c>
      <c r="K30" s="32">
        <v>21</v>
      </c>
      <c r="L30" s="32">
        <v>1</v>
      </c>
      <c r="M30" s="32">
        <v>3</v>
      </c>
    </row>
    <row r="31" spans="1:13">
      <c r="A31" s="32">
        <f t="shared" ca="1" si="0"/>
        <v>20</v>
      </c>
      <c r="B31" s="32" cm="1">
        <f t="array" aca="1" ref="B31" ca="1">INDEX(Data_DBD!$B:$B,$A31)</f>
        <v>15</v>
      </c>
      <c r="C31" s="32" cm="1">
        <f t="array" aca="1" ref="C31" ca="1">INDEX(Data_DBD!$C:$C,$A31)</f>
        <v>5</v>
      </c>
      <c r="D31" s="32" cm="1">
        <f t="array" aca="1" ref="D31" ca="1">INDEX(Data_DBD!$D:$D,$A31)</f>
        <v>7</v>
      </c>
      <c r="E31" s="32" cm="1">
        <f t="array" aca="1" ref="E31" ca="1">INDEX(Data_DBD!$E:$E,$A31)</f>
        <v>0</v>
      </c>
      <c r="F31" s="32" cm="1">
        <f t="array" aca="1" ref="F31" ca="1">INDEX(Data_DBD!$F:$F,$A31)</f>
        <v>1</v>
      </c>
      <c r="H31" s="32">
        <v>82</v>
      </c>
      <c r="I31" s="32">
        <v>28</v>
      </c>
      <c r="J31" s="32">
        <v>3</v>
      </c>
      <c r="K31" s="32">
        <v>13</v>
      </c>
      <c r="L31" s="32">
        <v>1</v>
      </c>
      <c r="M31" s="32">
        <v>2</v>
      </c>
    </row>
    <row r="32" spans="1:13">
      <c r="A32" s="32">
        <f t="shared" ca="1" si="0"/>
        <v>98</v>
      </c>
      <c r="B32" s="32" cm="1">
        <f t="array" aca="1" ref="B32" ca="1">INDEX(Data_DBD!$B:$B,$A32)</f>
        <v>16</v>
      </c>
      <c r="C32" s="32" cm="1">
        <f t="array" aca="1" ref="C32" ca="1">INDEX(Data_DBD!$C:$C,$A32)</f>
        <v>2</v>
      </c>
      <c r="D32" s="32" cm="1">
        <f t="array" aca="1" ref="D32" ca="1">INDEX(Data_DBD!$D:$D,$A32)</f>
        <v>18</v>
      </c>
      <c r="E32" s="32" cm="1">
        <f t="array" aca="1" ref="E32" ca="1">INDEX(Data_DBD!$E:$E,$A32)</f>
        <v>1</v>
      </c>
      <c r="F32" s="32" cm="1">
        <f t="array" aca="1" ref="F32" ca="1">INDEX(Data_DBD!$F:$F,$A32)</f>
        <v>3</v>
      </c>
      <c r="H32" s="32">
        <v>109</v>
      </c>
      <c r="I32" s="32">
        <v>40</v>
      </c>
      <c r="J32" s="32">
        <v>3</v>
      </c>
      <c r="K32" s="32">
        <v>33</v>
      </c>
      <c r="L32" s="32">
        <v>1</v>
      </c>
      <c r="M32" s="32">
        <v>3</v>
      </c>
    </row>
    <row r="33" spans="1:13">
      <c r="A33" s="32">
        <f t="shared" ca="1" si="0"/>
        <v>129</v>
      </c>
      <c r="B33" s="32" cm="1">
        <f t="array" aca="1" ref="B33" ca="1">INDEX(Data_DBD!$B:$B,$A33)</f>
        <v>4.5</v>
      </c>
      <c r="C33" s="32" cm="1">
        <f t="array" aca="1" ref="C33" ca="1">INDEX(Data_DBD!$C:$C,$A33)</f>
        <v>3</v>
      </c>
      <c r="D33" s="32" cm="1">
        <f t="array" aca="1" ref="D33" ca="1">INDEX(Data_DBD!$D:$D,$A33)</f>
        <v>33</v>
      </c>
      <c r="E33" s="32" cm="1">
        <f t="array" aca="1" ref="E33" ca="1">INDEX(Data_DBD!$E:$E,$A33)</f>
        <v>0</v>
      </c>
      <c r="F33" s="32" cm="1">
        <f t="array" aca="1" ref="F33" ca="1">INDEX(Data_DBD!$F:$F,$A33)</f>
        <v>3</v>
      </c>
      <c r="H33" s="32">
        <v>102</v>
      </c>
      <c r="I33" s="32">
        <v>41</v>
      </c>
      <c r="J33" s="32">
        <v>4</v>
      </c>
      <c r="K33" s="32">
        <v>18</v>
      </c>
      <c r="L33" s="32">
        <v>0</v>
      </c>
      <c r="M33" s="32">
        <v>3</v>
      </c>
    </row>
    <row r="34" spans="1:13">
      <c r="A34" s="32">
        <f t="shared" ca="1" si="0"/>
        <v>103</v>
      </c>
      <c r="B34" s="32" cm="1">
        <f t="array" aca="1" ref="B34" ca="1">INDEX(Data_DBD!$B:$B,$A34)</f>
        <v>22</v>
      </c>
      <c r="C34" s="32" cm="1">
        <f t="array" aca="1" ref="C34" ca="1">INDEX(Data_DBD!$C:$C,$A34)</f>
        <v>5</v>
      </c>
      <c r="D34" s="32" cm="1">
        <f t="array" aca="1" ref="D34" ca="1">INDEX(Data_DBD!$D:$D,$A34)</f>
        <v>18</v>
      </c>
      <c r="E34" s="32" cm="1">
        <f t="array" aca="1" ref="E34" ca="1">INDEX(Data_DBD!$E:$E,$A34)</f>
        <v>0</v>
      </c>
      <c r="F34" s="32" cm="1">
        <f t="array" aca="1" ref="F34" ca="1">INDEX(Data_DBD!$F:$F,$A34)</f>
        <v>3</v>
      </c>
      <c r="H34" s="32">
        <v>159</v>
      </c>
      <c r="I34" s="32">
        <v>17</v>
      </c>
      <c r="J34" s="32">
        <v>2</v>
      </c>
      <c r="K34" s="32">
        <v>21</v>
      </c>
      <c r="L34" s="32">
        <v>0</v>
      </c>
      <c r="M34" s="32">
        <v>3</v>
      </c>
    </row>
    <row r="35" spans="1:13">
      <c r="A35" s="32">
        <f t="shared" ca="1" si="0"/>
        <v>151</v>
      </c>
      <c r="B35" s="32" cm="1">
        <f t="array" aca="1" ref="B35" ca="1">INDEX(Data_DBD!$B:$B,$A35)</f>
        <v>24</v>
      </c>
      <c r="C35" s="32" cm="1">
        <f t="array" aca="1" ref="C35" ca="1">INDEX(Data_DBD!$C:$C,$A35)</f>
        <v>3</v>
      </c>
      <c r="D35" s="32" cm="1">
        <f t="array" aca="1" ref="D35" ca="1">INDEX(Data_DBD!$D:$D,$A35)</f>
        <v>21</v>
      </c>
      <c r="E35" s="32" cm="1">
        <f t="array" aca="1" ref="E35" ca="1">INDEX(Data_DBD!$E:$E,$A35)</f>
        <v>0</v>
      </c>
      <c r="F35" s="32" cm="1">
        <f t="array" aca="1" ref="F35" ca="1">INDEX(Data_DBD!$F:$F,$A35)</f>
        <v>3</v>
      </c>
      <c r="H35" s="32">
        <v>154</v>
      </c>
      <c r="I35" s="32">
        <v>18</v>
      </c>
      <c r="J35" s="32">
        <v>5</v>
      </c>
      <c r="K35" s="32">
        <v>21</v>
      </c>
      <c r="L35" s="32">
        <v>1</v>
      </c>
      <c r="M35" s="32">
        <v>3</v>
      </c>
    </row>
    <row r="36" spans="1:13">
      <c r="A36" s="32">
        <f t="shared" ca="1" si="0"/>
        <v>7</v>
      </c>
      <c r="B36" s="32" cm="1">
        <f t="array" aca="1" ref="B36" ca="1">INDEX(Data_DBD!$B:$B,$A36)</f>
        <v>12</v>
      </c>
      <c r="C36" s="32" cm="1">
        <f t="array" aca="1" ref="C36" ca="1">INDEX(Data_DBD!$C:$C,$A36)</f>
        <v>1</v>
      </c>
      <c r="D36" s="32" cm="1">
        <f t="array" aca="1" ref="D36" ca="1">INDEX(Data_DBD!$D:$D,$A36)</f>
        <v>12</v>
      </c>
      <c r="E36" s="32" cm="1">
        <f t="array" aca="1" ref="E36" ca="1">INDEX(Data_DBD!$E:$E,$A36)</f>
        <v>1</v>
      </c>
      <c r="F36" s="32" cm="1">
        <f t="array" aca="1" ref="F36" ca="1">INDEX(Data_DBD!$F:$F,$A36)</f>
        <v>2</v>
      </c>
      <c r="H36" s="32">
        <v>67</v>
      </c>
      <c r="I36" s="32">
        <v>21</v>
      </c>
      <c r="J36" s="32">
        <v>3</v>
      </c>
      <c r="K36" s="32">
        <v>10</v>
      </c>
      <c r="L36" s="32">
        <v>1</v>
      </c>
      <c r="M36" s="32">
        <v>2</v>
      </c>
    </row>
    <row r="37" spans="1:13">
      <c r="A37" s="32">
        <f t="shared" ca="1" si="0"/>
        <v>116</v>
      </c>
      <c r="B37" s="32" cm="1">
        <f t="array" aca="1" ref="B37" ca="1">INDEX(Data_DBD!$B:$B,$A37)</f>
        <v>32</v>
      </c>
      <c r="C37" s="32" cm="1">
        <f t="array" aca="1" ref="C37" ca="1">INDEX(Data_DBD!$C:$C,$A37)</f>
        <v>4</v>
      </c>
      <c r="D37" s="32" cm="1">
        <f t="array" aca="1" ref="D37" ca="1">INDEX(Data_DBD!$D:$D,$A37)</f>
        <v>33</v>
      </c>
      <c r="E37" s="32" cm="1">
        <f t="array" aca="1" ref="E37" ca="1">INDEX(Data_DBD!$E:$E,$A37)</f>
        <v>1</v>
      </c>
      <c r="F37" s="32" cm="1">
        <f t="array" aca="1" ref="F37" ca="1">INDEX(Data_DBD!$F:$F,$A37)</f>
        <v>3</v>
      </c>
      <c r="H37" s="32">
        <v>8</v>
      </c>
      <c r="I37" s="32">
        <v>4</v>
      </c>
      <c r="J37" s="32">
        <v>2</v>
      </c>
      <c r="K37" s="32">
        <v>12</v>
      </c>
      <c r="L37" s="32">
        <v>0</v>
      </c>
      <c r="M37" s="32">
        <v>2</v>
      </c>
    </row>
    <row r="38" spans="1:13">
      <c r="A38" s="32">
        <f t="shared" ca="1" si="0"/>
        <v>104</v>
      </c>
      <c r="B38" s="32" cm="1">
        <f t="array" aca="1" ref="B38" ca="1">INDEX(Data_DBD!$B:$B,$A38)</f>
        <v>37</v>
      </c>
      <c r="C38" s="32" cm="1">
        <f t="array" aca="1" ref="C38" ca="1">INDEX(Data_DBD!$C:$C,$A38)</f>
        <v>4</v>
      </c>
      <c r="D38" s="32" cm="1">
        <f t="array" aca="1" ref="D38" ca="1">INDEX(Data_DBD!$D:$D,$A38)</f>
        <v>18</v>
      </c>
      <c r="E38" s="32" cm="1">
        <f t="array" aca="1" ref="E38" ca="1">INDEX(Data_DBD!$E:$E,$A38)</f>
        <v>1</v>
      </c>
      <c r="F38" s="32" cm="1">
        <f t="array" aca="1" ref="F38" ca="1">INDEX(Data_DBD!$F:$F,$A38)</f>
        <v>3</v>
      </c>
      <c r="H38" s="32">
        <v>99</v>
      </c>
      <c r="I38" s="32">
        <v>4</v>
      </c>
      <c r="J38" s="32">
        <v>2</v>
      </c>
      <c r="K38" s="32">
        <v>18</v>
      </c>
      <c r="L38" s="32">
        <v>1</v>
      </c>
      <c r="M38" s="32">
        <v>3</v>
      </c>
    </row>
    <row r="39" spans="1:13">
      <c r="A39" s="32">
        <f t="shared" ca="1" si="0"/>
        <v>76</v>
      </c>
      <c r="B39" s="32" cm="1">
        <f t="array" aca="1" ref="B39" ca="1">INDEX(Data_DBD!$B:$B,$A39)</f>
        <v>70</v>
      </c>
      <c r="C39" s="32" cm="1">
        <f t="array" aca="1" ref="C39" ca="1">INDEX(Data_DBD!$C:$C,$A39)</f>
        <v>2</v>
      </c>
      <c r="D39" s="32" cm="1">
        <f t="array" aca="1" ref="D39" ca="1">INDEX(Data_DBD!$D:$D,$A39)</f>
        <v>10</v>
      </c>
      <c r="E39" s="32" cm="1">
        <f t="array" aca="1" ref="E39" ca="1">INDEX(Data_DBD!$E:$E,$A39)</f>
        <v>0</v>
      </c>
      <c r="F39" s="32" cm="1">
        <f t="array" aca="1" ref="F39" ca="1">INDEX(Data_DBD!$F:$F,$A39)</f>
        <v>2</v>
      </c>
      <c r="H39" s="32">
        <v>114</v>
      </c>
      <c r="I39" s="32">
        <v>14</v>
      </c>
      <c r="J39" s="32">
        <v>2</v>
      </c>
      <c r="K39" s="32">
        <v>33</v>
      </c>
      <c r="L39" s="32">
        <v>1</v>
      </c>
      <c r="M39" s="32">
        <v>3</v>
      </c>
    </row>
    <row r="40" spans="1:13">
      <c r="A40" s="32">
        <f t="shared" ca="1" si="0"/>
        <v>136</v>
      </c>
      <c r="B40" s="32" cm="1">
        <f t="array" aca="1" ref="B40" ca="1">INDEX(Data_DBD!$B:$B,$A40)</f>
        <v>6</v>
      </c>
      <c r="C40" s="32" cm="1">
        <f t="array" aca="1" ref="C40" ca="1">INDEX(Data_DBD!$C:$C,$A40)</f>
        <v>2</v>
      </c>
      <c r="D40" s="32" cm="1">
        <f t="array" aca="1" ref="D40" ca="1">INDEX(Data_DBD!$D:$D,$A40)</f>
        <v>33</v>
      </c>
      <c r="E40" s="32" cm="1">
        <f t="array" aca="1" ref="E40" ca="1">INDEX(Data_DBD!$E:$E,$A40)</f>
        <v>0</v>
      </c>
      <c r="F40" s="32" cm="1">
        <f t="array" aca="1" ref="F40" ca="1">INDEX(Data_DBD!$F:$F,$A40)</f>
        <v>3</v>
      </c>
      <c r="H40" s="32">
        <v>147</v>
      </c>
      <c r="I40" s="32">
        <v>66</v>
      </c>
      <c r="J40" s="32">
        <v>10</v>
      </c>
      <c r="K40" s="32">
        <v>21</v>
      </c>
      <c r="L40" s="32">
        <v>1</v>
      </c>
      <c r="M40" s="32">
        <v>3</v>
      </c>
    </row>
    <row r="41" spans="1:13">
      <c r="A41" s="32">
        <f t="shared" ca="1" si="0"/>
        <v>164</v>
      </c>
      <c r="B41" s="32" cm="1">
        <f t="array" aca="1" ref="B41" ca="1">INDEX(Data_DBD!$B:$B,$A41)</f>
        <v>10</v>
      </c>
      <c r="C41" s="32" cm="1">
        <f t="array" aca="1" ref="C41" ca="1">INDEX(Data_DBD!$C:$C,$A41)</f>
        <v>6</v>
      </c>
      <c r="D41" s="32" cm="1">
        <f t="array" aca="1" ref="D41" ca="1">INDEX(Data_DBD!$D:$D,$A41)</f>
        <v>3</v>
      </c>
      <c r="E41" s="32" cm="1">
        <f t="array" aca="1" ref="E41" ca="1">INDEX(Data_DBD!$E:$E,$A41)</f>
        <v>0</v>
      </c>
      <c r="F41" s="32" cm="1">
        <f t="array" aca="1" ref="F41" ca="1">INDEX(Data_DBD!$F:$F,$A41)</f>
        <v>1</v>
      </c>
      <c r="H41" s="32">
        <v>32</v>
      </c>
      <c r="I41" s="32">
        <v>54</v>
      </c>
      <c r="J41" s="32">
        <v>4</v>
      </c>
      <c r="K41" s="32">
        <v>14</v>
      </c>
      <c r="L41" s="32">
        <v>0</v>
      </c>
      <c r="M41" s="32">
        <v>2</v>
      </c>
    </row>
    <row r="42" spans="1:13">
      <c r="A42" s="32">
        <f t="shared" ca="1" si="0"/>
        <v>21</v>
      </c>
      <c r="B42" s="32" cm="1">
        <f t="array" aca="1" ref="B42" ca="1">INDEX(Data_DBD!$B:$B,$A42)</f>
        <v>10</v>
      </c>
      <c r="C42" s="32" cm="1">
        <f t="array" aca="1" ref="C42" ca="1">INDEX(Data_DBD!$C:$C,$A42)</f>
        <v>5</v>
      </c>
      <c r="D42" s="32" cm="1">
        <f t="array" aca="1" ref="D42" ca="1">INDEX(Data_DBD!$D:$D,$A42)</f>
        <v>14</v>
      </c>
      <c r="E42" s="32" cm="1">
        <f t="array" aca="1" ref="E42" ca="1">INDEX(Data_DBD!$E:$E,$A42)</f>
        <v>1</v>
      </c>
      <c r="F42" s="32" cm="1">
        <f t="array" aca="1" ref="F42" ca="1">INDEX(Data_DBD!$F:$F,$A42)</f>
        <v>2</v>
      </c>
      <c r="H42" s="32">
        <v>134</v>
      </c>
      <c r="I42" s="32">
        <v>4</v>
      </c>
      <c r="J42" s="32">
        <v>2</v>
      </c>
      <c r="K42" s="32">
        <v>33</v>
      </c>
      <c r="L42" s="32">
        <v>1</v>
      </c>
      <c r="M42" s="32">
        <v>3</v>
      </c>
    </row>
    <row r="43" spans="1:13">
      <c r="A43" s="32">
        <f t="shared" ca="1" si="0"/>
        <v>40</v>
      </c>
      <c r="B43" s="32" cm="1">
        <f t="array" aca="1" ref="B43" ca="1">INDEX(Data_DBD!$B:$B,$A43)</f>
        <v>65</v>
      </c>
      <c r="C43" s="32" cm="1">
        <f t="array" aca="1" ref="C43" ca="1">INDEX(Data_DBD!$C:$C,$A43)</f>
        <v>3</v>
      </c>
      <c r="D43" s="32" cm="1">
        <f t="array" aca="1" ref="D43" ca="1">INDEX(Data_DBD!$D:$D,$A43)</f>
        <v>13</v>
      </c>
      <c r="E43" s="32" cm="1">
        <f t="array" aca="1" ref="E43" ca="1">INDEX(Data_DBD!$E:$E,$A43)</f>
        <v>1</v>
      </c>
      <c r="F43" s="32" cm="1">
        <f t="array" aca="1" ref="F43" ca="1">INDEX(Data_DBD!$F:$F,$A43)</f>
        <v>2</v>
      </c>
      <c r="H43" s="32">
        <v>135</v>
      </c>
      <c r="I43" s="32">
        <v>10</v>
      </c>
      <c r="J43" s="32">
        <v>2</v>
      </c>
      <c r="K43" s="32">
        <v>33</v>
      </c>
      <c r="L43" s="32">
        <v>0</v>
      </c>
      <c r="M43" s="32">
        <v>3</v>
      </c>
    </row>
    <row r="44" spans="1:13">
      <c r="A44" s="32">
        <f t="shared" ca="1" si="0"/>
        <v>35</v>
      </c>
      <c r="B44" s="32" cm="1">
        <f t="array" aca="1" ref="B44" ca="1">INDEX(Data_DBD!$B:$B,$A44)</f>
        <v>40</v>
      </c>
      <c r="C44" s="32" cm="1">
        <f t="array" aca="1" ref="C44" ca="1">INDEX(Data_DBD!$C:$C,$A44)</f>
        <v>3</v>
      </c>
      <c r="D44" s="32" cm="1">
        <f t="array" aca="1" ref="D44" ca="1">INDEX(Data_DBD!$D:$D,$A44)</f>
        <v>4</v>
      </c>
      <c r="E44" s="32" cm="1">
        <f t="array" aca="1" ref="E44" ca="1">INDEX(Data_DBD!$E:$E,$A44)</f>
        <v>1</v>
      </c>
      <c r="F44" s="32" cm="1">
        <f t="array" aca="1" ref="F44" ca="1">INDEX(Data_DBD!$F:$F,$A44)</f>
        <v>1</v>
      </c>
      <c r="H44" s="32">
        <v>7</v>
      </c>
      <c r="I44" s="32">
        <v>12</v>
      </c>
      <c r="J44" s="32">
        <v>1</v>
      </c>
      <c r="K44" s="32">
        <v>12</v>
      </c>
      <c r="L44" s="32">
        <v>1</v>
      </c>
      <c r="M44" s="32">
        <v>2</v>
      </c>
    </row>
    <row r="45" spans="1:13">
      <c r="A45" s="32">
        <f t="shared" ca="1" si="0"/>
        <v>20</v>
      </c>
      <c r="B45" s="32" cm="1">
        <f t="array" aca="1" ref="B45" ca="1">INDEX(Data_DBD!$B:$B,$A45)</f>
        <v>15</v>
      </c>
      <c r="C45" s="32" cm="1">
        <f t="array" aca="1" ref="C45" ca="1">INDEX(Data_DBD!$C:$C,$A45)</f>
        <v>5</v>
      </c>
      <c r="D45" s="32" cm="1">
        <f t="array" aca="1" ref="D45" ca="1">INDEX(Data_DBD!$D:$D,$A45)</f>
        <v>7</v>
      </c>
      <c r="E45" s="32" cm="1">
        <f t="array" aca="1" ref="E45" ca="1">INDEX(Data_DBD!$E:$E,$A45)</f>
        <v>0</v>
      </c>
      <c r="F45" s="32" cm="1">
        <f t="array" aca="1" ref="F45" ca="1">INDEX(Data_DBD!$F:$F,$A45)</f>
        <v>1</v>
      </c>
      <c r="H45" s="32">
        <v>154</v>
      </c>
      <c r="I45" s="32">
        <v>18</v>
      </c>
      <c r="J45" s="32">
        <v>5</v>
      </c>
      <c r="K45" s="32">
        <v>21</v>
      </c>
      <c r="L45" s="32">
        <v>1</v>
      </c>
      <c r="M45" s="32">
        <v>3</v>
      </c>
    </row>
    <row r="46" spans="1:13">
      <c r="A46" s="32">
        <f t="shared" ca="1" si="0"/>
        <v>38</v>
      </c>
      <c r="B46" s="32" cm="1">
        <f t="array" aca="1" ref="B46" ca="1">INDEX(Data_DBD!$B:$B,$A46)</f>
        <v>52</v>
      </c>
      <c r="C46" s="32" cm="1">
        <f t="array" aca="1" ref="C46" ca="1">INDEX(Data_DBD!$C:$C,$A46)</f>
        <v>3</v>
      </c>
      <c r="D46" s="32" cm="1">
        <f t="array" aca="1" ref="D46" ca="1">INDEX(Data_DBD!$D:$D,$A46)</f>
        <v>4</v>
      </c>
      <c r="E46" s="32" cm="1">
        <f t="array" aca="1" ref="E46" ca="1">INDEX(Data_DBD!$E:$E,$A46)</f>
        <v>1</v>
      </c>
      <c r="F46" s="32" cm="1">
        <f t="array" aca="1" ref="F46" ca="1">INDEX(Data_DBD!$F:$F,$A46)</f>
        <v>1</v>
      </c>
      <c r="H46" s="32">
        <v>107</v>
      </c>
      <c r="I46" s="32">
        <v>48</v>
      </c>
      <c r="J46" s="32">
        <v>5</v>
      </c>
      <c r="K46" s="32">
        <v>18</v>
      </c>
      <c r="L46" s="32">
        <v>0</v>
      </c>
      <c r="M46" s="32">
        <v>3</v>
      </c>
    </row>
    <row r="47" spans="1:13">
      <c r="A47" s="32">
        <f t="shared" ca="1" si="0"/>
        <v>97</v>
      </c>
      <c r="B47" s="32" cm="1">
        <f t="array" aca="1" ref="B47" ca="1">INDEX(Data_DBD!$B:$B,$A47)</f>
        <v>16</v>
      </c>
      <c r="C47" s="32" cm="1">
        <f t="array" aca="1" ref="C47" ca="1">INDEX(Data_DBD!$C:$C,$A47)</f>
        <v>2</v>
      </c>
      <c r="D47" s="32" cm="1">
        <f t="array" aca="1" ref="D47" ca="1">INDEX(Data_DBD!$D:$D,$A47)</f>
        <v>18</v>
      </c>
      <c r="E47" s="32" cm="1">
        <f t="array" aca="1" ref="E47" ca="1">INDEX(Data_DBD!$E:$E,$A47)</f>
        <v>1</v>
      </c>
      <c r="F47" s="32" cm="1">
        <f t="array" aca="1" ref="F47" ca="1">INDEX(Data_DBD!$F:$F,$A47)</f>
        <v>3</v>
      </c>
      <c r="H47" s="32">
        <v>107</v>
      </c>
      <c r="I47" s="32">
        <v>48</v>
      </c>
      <c r="J47" s="32">
        <v>5</v>
      </c>
      <c r="K47" s="32">
        <v>18</v>
      </c>
      <c r="L47" s="32">
        <v>0</v>
      </c>
      <c r="M47" s="32">
        <v>3</v>
      </c>
    </row>
    <row r="48" spans="1:13">
      <c r="A48" s="32">
        <f t="shared" ca="1" si="0"/>
        <v>79</v>
      </c>
      <c r="B48" s="32" cm="1">
        <f t="array" aca="1" ref="B48" ca="1">INDEX(Data_DBD!$B:$B,$A48)</f>
        <v>29</v>
      </c>
      <c r="C48" s="32" cm="1">
        <f t="array" aca="1" ref="C48" ca="1">INDEX(Data_DBD!$C:$C,$A48)</f>
        <v>3</v>
      </c>
      <c r="D48" s="32" cm="1">
        <f t="array" aca="1" ref="D48" ca="1">INDEX(Data_DBD!$D:$D,$A48)</f>
        <v>13</v>
      </c>
      <c r="E48" s="32" cm="1">
        <f t="array" aca="1" ref="E48" ca="1">INDEX(Data_DBD!$E:$E,$A48)</f>
        <v>0</v>
      </c>
      <c r="F48" s="32" cm="1">
        <f t="array" aca="1" ref="F48" ca="1">INDEX(Data_DBD!$F:$F,$A48)</f>
        <v>2</v>
      </c>
      <c r="H48" s="32">
        <v>112</v>
      </c>
      <c r="I48" s="32">
        <v>61</v>
      </c>
      <c r="J48" s="32">
        <v>3</v>
      </c>
      <c r="K48" s="32">
        <v>33</v>
      </c>
      <c r="L48" s="32">
        <v>1</v>
      </c>
      <c r="M48" s="32">
        <v>3</v>
      </c>
    </row>
    <row r="49" spans="1:13">
      <c r="A49" s="32">
        <f t="shared" ca="1" si="0"/>
        <v>144</v>
      </c>
      <c r="B49" s="32" cm="1">
        <f t="array" aca="1" ref="B49" ca="1">INDEX(Data_DBD!$B:$B,$A49)</f>
        <v>61</v>
      </c>
      <c r="C49" s="32" cm="1">
        <f t="array" aca="1" ref="C49" ca="1">INDEX(Data_DBD!$C:$C,$A49)</f>
        <v>4</v>
      </c>
      <c r="D49" s="32" cm="1">
        <f t="array" aca="1" ref="D49" ca="1">INDEX(Data_DBD!$D:$D,$A49)</f>
        <v>21</v>
      </c>
      <c r="E49" s="32" cm="1">
        <f t="array" aca="1" ref="E49" ca="1">INDEX(Data_DBD!$E:$E,$A49)</f>
        <v>1</v>
      </c>
      <c r="F49" s="32" cm="1">
        <f t="array" aca="1" ref="F49" ca="1">INDEX(Data_DBD!$F:$F,$A49)</f>
        <v>3</v>
      </c>
      <c r="H49" s="32">
        <v>34</v>
      </c>
      <c r="I49" s="32">
        <v>55</v>
      </c>
      <c r="J49" s="32">
        <v>3</v>
      </c>
      <c r="K49" s="32">
        <v>14</v>
      </c>
      <c r="L49" s="32">
        <v>0</v>
      </c>
      <c r="M49" s="32">
        <v>2</v>
      </c>
    </row>
    <row r="50" spans="1:13">
      <c r="A50" s="32">
        <f t="shared" ca="1" si="0"/>
        <v>121</v>
      </c>
      <c r="B50" s="32" cm="1">
        <f t="array" aca="1" ref="B50" ca="1">INDEX(Data_DBD!$B:$B,$A50)</f>
        <v>82</v>
      </c>
      <c r="C50" s="32" cm="1">
        <f t="array" aca="1" ref="C50" ca="1">INDEX(Data_DBD!$C:$C,$A50)</f>
        <v>5</v>
      </c>
      <c r="D50" s="32" cm="1">
        <f t="array" aca="1" ref="D50" ca="1">INDEX(Data_DBD!$D:$D,$A50)</f>
        <v>33</v>
      </c>
      <c r="E50" s="32" cm="1">
        <f t="array" aca="1" ref="E50" ca="1">INDEX(Data_DBD!$E:$E,$A50)</f>
        <v>1</v>
      </c>
      <c r="F50" s="32" cm="1">
        <f t="array" aca="1" ref="F50" ca="1">INDEX(Data_DBD!$F:$F,$A50)</f>
        <v>3</v>
      </c>
      <c r="H50" s="32">
        <v>30</v>
      </c>
      <c r="I50" s="32" t="s">
        <v>37</v>
      </c>
      <c r="J50" s="32">
        <v>2</v>
      </c>
      <c r="K50" s="32">
        <v>14</v>
      </c>
      <c r="L50" s="32">
        <v>1</v>
      </c>
      <c r="M50" s="32">
        <v>2</v>
      </c>
    </row>
    <row r="51" spans="1:13">
      <c r="A51" s="32">
        <f t="shared" ca="1" si="0"/>
        <v>61</v>
      </c>
      <c r="B51" s="32" cm="1">
        <f t="array" aca="1" ref="B51" ca="1">INDEX(Data_DBD!$B:$B,$A51)</f>
        <v>29</v>
      </c>
      <c r="C51" s="32" cm="1">
        <f t="array" aca="1" ref="C51" ca="1">INDEX(Data_DBD!$C:$C,$A51)</f>
        <v>3</v>
      </c>
      <c r="D51" s="32" cm="1">
        <f t="array" aca="1" ref="D51" ca="1">INDEX(Data_DBD!$D:$D,$A51)</f>
        <v>15</v>
      </c>
      <c r="E51" s="32" cm="1">
        <f t="array" aca="1" ref="E51" ca="1">INDEX(Data_DBD!$E:$E,$A51)</f>
        <v>1</v>
      </c>
      <c r="F51" s="32" cm="1">
        <f t="array" aca="1" ref="F51" ca="1">INDEX(Data_DBD!$F:$F,$A51)</f>
        <v>2</v>
      </c>
      <c r="H51" s="32">
        <v>65</v>
      </c>
      <c r="I51" s="32">
        <v>49</v>
      </c>
      <c r="J51" s="32">
        <v>3</v>
      </c>
      <c r="K51" s="32">
        <v>15</v>
      </c>
      <c r="L51" s="32">
        <v>0</v>
      </c>
      <c r="M51" s="32">
        <v>2</v>
      </c>
    </row>
    <row r="52" spans="1:13">
      <c r="A52" s="32">
        <f t="shared" ca="1" si="0"/>
        <v>22</v>
      </c>
      <c r="B52" s="32" cm="1">
        <f t="array" aca="1" ref="B52" ca="1">INDEX(Data_DBD!$B:$B,$A52)</f>
        <v>6</v>
      </c>
      <c r="C52" s="32" cm="1">
        <f t="array" aca="1" ref="C52" ca="1">INDEX(Data_DBD!$C:$C,$A52)</f>
        <v>3</v>
      </c>
      <c r="D52" s="32" cm="1">
        <f t="array" aca="1" ref="D52" ca="1">INDEX(Data_DBD!$D:$D,$A52)</f>
        <v>14</v>
      </c>
      <c r="E52" s="32" cm="1">
        <f t="array" aca="1" ref="E52" ca="1">INDEX(Data_DBD!$E:$E,$A52)</f>
        <v>0</v>
      </c>
      <c r="F52" s="32" cm="1">
        <f t="array" aca="1" ref="F52" ca="1">INDEX(Data_DBD!$F:$F,$A52)</f>
        <v>2</v>
      </c>
      <c r="H52" s="32">
        <v>34</v>
      </c>
      <c r="I52" s="32">
        <v>55</v>
      </c>
      <c r="J52" s="32">
        <v>3</v>
      </c>
      <c r="K52" s="32">
        <v>14</v>
      </c>
      <c r="L52" s="32">
        <v>0</v>
      </c>
      <c r="M52" s="32">
        <v>2</v>
      </c>
    </row>
    <row r="53" spans="1:13">
      <c r="A53" s="32">
        <f t="shared" ca="1" si="0"/>
        <v>75</v>
      </c>
      <c r="B53" s="32" cm="1">
        <f t="array" aca="1" ref="B53" ca="1">INDEX(Data_DBD!$B:$B,$A53)</f>
        <v>2</v>
      </c>
      <c r="C53" s="32" cm="1">
        <f t="array" aca="1" ref="C53" ca="1">INDEX(Data_DBD!$C:$C,$A53)</f>
        <v>2</v>
      </c>
      <c r="D53" s="32" cm="1">
        <f t="array" aca="1" ref="D53" ca="1">INDEX(Data_DBD!$D:$D,$A53)</f>
        <v>10</v>
      </c>
      <c r="E53" s="32" cm="1">
        <f t="array" aca="1" ref="E53" ca="1">INDEX(Data_DBD!$E:$E,$A53)</f>
        <v>1</v>
      </c>
      <c r="F53" s="32" cm="1">
        <f t="array" aca="1" ref="F53" ca="1">INDEX(Data_DBD!$F:$F,$A53)</f>
        <v>2</v>
      </c>
      <c r="H53" s="32">
        <v>109</v>
      </c>
      <c r="I53" s="32">
        <v>40</v>
      </c>
      <c r="J53" s="32">
        <v>3</v>
      </c>
      <c r="K53" s="32">
        <v>33</v>
      </c>
      <c r="L53" s="32">
        <v>1</v>
      </c>
      <c r="M53" s="32">
        <v>3</v>
      </c>
    </row>
    <row r="54" spans="1:13">
      <c r="A54" s="32">
        <f t="shared" ca="1" si="0"/>
        <v>66</v>
      </c>
      <c r="B54" s="32" cm="1">
        <f t="array" aca="1" ref="B54" ca="1">INDEX(Data_DBD!$B:$B,$A54)</f>
        <v>21</v>
      </c>
      <c r="C54" s="32" cm="1">
        <f t="array" aca="1" ref="C54" ca="1">INDEX(Data_DBD!$C:$C,$A54)</f>
        <v>5</v>
      </c>
      <c r="D54" s="32" cm="1">
        <f t="array" aca="1" ref="D54" ca="1">INDEX(Data_DBD!$D:$D,$A54)</f>
        <v>15</v>
      </c>
      <c r="E54" s="32" cm="1">
        <f t="array" aca="1" ref="E54" ca="1">INDEX(Data_DBD!$E:$E,$A54)</f>
        <v>1</v>
      </c>
      <c r="F54" s="32" cm="1">
        <f t="array" aca="1" ref="F54" ca="1">INDEX(Data_DBD!$F:$F,$A54)</f>
        <v>2</v>
      </c>
      <c r="H54" s="32">
        <v>101</v>
      </c>
      <c r="I54" s="32">
        <v>42</v>
      </c>
      <c r="J54" s="32">
        <v>5</v>
      </c>
      <c r="K54" s="32">
        <v>18</v>
      </c>
      <c r="L54" s="32">
        <v>0</v>
      </c>
      <c r="M54" s="32">
        <v>3</v>
      </c>
    </row>
    <row r="55" spans="1:13">
      <c r="A55" s="32">
        <f t="shared" ca="1" si="0"/>
        <v>44</v>
      </c>
      <c r="B55" s="32" cm="1">
        <f t="array" aca="1" ref="B55" ca="1">INDEX(Data_DBD!$B:$B,$A55)</f>
        <v>28</v>
      </c>
      <c r="C55" s="32" cm="1">
        <f t="array" aca="1" ref="C55" ca="1">INDEX(Data_DBD!$C:$C,$A55)</f>
        <v>5</v>
      </c>
      <c r="D55" s="32" cm="1">
        <f t="array" aca="1" ref="D55" ca="1">INDEX(Data_DBD!$D:$D,$A55)</f>
        <v>13</v>
      </c>
      <c r="E55" s="32" cm="1">
        <f t="array" aca="1" ref="E55" ca="1">INDEX(Data_DBD!$E:$E,$A55)</f>
        <v>1</v>
      </c>
      <c r="F55" s="32" cm="1">
        <f t="array" aca="1" ref="F55" ca="1">INDEX(Data_DBD!$F:$F,$A55)</f>
        <v>2</v>
      </c>
      <c r="H55" s="32">
        <v>146</v>
      </c>
      <c r="I55" s="32">
        <v>34</v>
      </c>
      <c r="J55" s="32">
        <v>2</v>
      </c>
      <c r="K55" s="32">
        <v>21</v>
      </c>
      <c r="L55" s="32">
        <v>1</v>
      </c>
      <c r="M55" s="32">
        <v>3</v>
      </c>
    </row>
    <row r="56" spans="1:13">
      <c r="A56" s="32">
        <f t="shared" ca="1" si="0"/>
        <v>108</v>
      </c>
      <c r="B56" s="32" cm="1">
        <f t="array" aca="1" ref="B56" ca="1">INDEX(Data_DBD!$B:$B,$A56)</f>
        <v>69</v>
      </c>
      <c r="C56" s="32" cm="1">
        <f t="array" aca="1" ref="C56" ca="1">INDEX(Data_DBD!$C:$C,$A56)</f>
        <v>7</v>
      </c>
      <c r="D56" s="32" cm="1">
        <f t="array" aca="1" ref="D56" ca="1">INDEX(Data_DBD!$D:$D,$A56)</f>
        <v>33</v>
      </c>
      <c r="E56" s="32" cm="1">
        <f t="array" aca="1" ref="E56" ca="1">INDEX(Data_DBD!$E:$E,$A56)</f>
        <v>1</v>
      </c>
      <c r="F56" s="32" cm="1">
        <f t="array" aca="1" ref="F56" ca="1">INDEX(Data_DBD!$F:$F,$A56)</f>
        <v>3</v>
      </c>
      <c r="H56" s="32">
        <v>127</v>
      </c>
      <c r="I56" s="32">
        <v>21</v>
      </c>
      <c r="J56" s="32">
        <v>2</v>
      </c>
      <c r="K56" s="32">
        <v>33</v>
      </c>
      <c r="L56" s="32">
        <v>0</v>
      </c>
      <c r="M56" s="32">
        <v>3</v>
      </c>
    </row>
    <row r="57" spans="1:13">
      <c r="A57" s="32">
        <f t="shared" ca="1" si="0"/>
        <v>37</v>
      </c>
      <c r="B57" s="32" cm="1">
        <f t="array" aca="1" ref="B57" ca="1">INDEX(Data_DBD!$B:$B,$A57)</f>
        <v>28</v>
      </c>
      <c r="C57" s="32" cm="1">
        <f t="array" aca="1" ref="C57" ca="1">INDEX(Data_DBD!$C:$C,$A57)</f>
        <v>4</v>
      </c>
      <c r="D57" s="32" cm="1">
        <f t="array" aca="1" ref="D57" ca="1">INDEX(Data_DBD!$D:$D,$A57)</f>
        <v>4</v>
      </c>
      <c r="E57" s="32" cm="1">
        <f t="array" aca="1" ref="E57" ca="1">INDEX(Data_DBD!$E:$E,$A57)</f>
        <v>1</v>
      </c>
      <c r="F57" s="32" cm="1">
        <f t="array" aca="1" ref="F57" ca="1">INDEX(Data_DBD!$F:$F,$A57)</f>
        <v>1</v>
      </c>
      <c r="H57" s="32">
        <v>59</v>
      </c>
      <c r="I57" s="32">
        <v>28</v>
      </c>
      <c r="J57" s="32">
        <v>4</v>
      </c>
      <c r="K57" s="32">
        <v>15</v>
      </c>
      <c r="L57" s="32">
        <v>0</v>
      </c>
      <c r="M57" s="32">
        <v>2</v>
      </c>
    </row>
    <row r="58" spans="1:13">
      <c r="A58" s="32">
        <f t="shared" ca="1" si="0"/>
        <v>62</v>
      </c>
      <c r="B58" s="32" cm="1">
        <f t="array" aca="1" ref="B58" ca="1">INDEX(Data_DBD!$B:$B,$A58)</f>
        <v>43</v>
      </c>
      <c r="C58" s="32" cm="1">
        <f t="array" aca="1" ref="C58" ca="1">INDEX(Data_DBD!$C:$C,$A58)</f>
        <v>4</v>
      </c>
      <c r="D58" s="32" cm="1">
        <f t="array" aca="1" ref="D58" ca="1">INDEX(Data_DBD!$D:$D,$A58)</f>
        <v>15</v>
      </c>
      <c r="E58" s="32" cm="1">
        <f t="array" aca="1" ref="E58" ca="1">INDEX(Data_DBD!$E:$E,$A58)</f>
        <v>1</v>
      </c>
      <c r="F58" s="32" cm="1">
        <f t="array" aca="1" ref="F58" ca="1">INDEX(Data_DBD!$F:$F,$A58)</f>
        <v>2</v>
      </c>
      <c r="H58" s="32">
        <v>13</v>
      </c>
      <c r="I58" s="32">
        <v>47</v>
      </c>
      <c r="J58" s="32">
        <v>2</v>
      </c>
      <c r="K58" s="32">
        <v>12</v>
      </c>
      <c r="L58" s="32">
        <v>0</v>
      </c>
      <c r="M58" s="32">
        <v>2</v>
      </c>
    </row>
    <row r="59" spans="1:13">
      <c r="A59" s="32">
        <f t="shared" ca="1" si="0"/>
        <v>123</v>
      </c>
      <c r="B59" s="32" cm="1">
        <f t="array" aca="1" ref="B59" ca="1">INDEX(Data_DBD!$B:$B,$A59)</f>
        <v>22</v>
      </c>
      <c r="C59" s="32" cm="1">
        <f t="array" aca="1" ref="C59" ca="1">INDEX(Data_DBD!$C:$C,$A59)</f>
        <v>4</v>
      </c>
      <c r="D59" s="32" cm="1">
        <f t="array" aca="1" ref="D59" ca="1">INDEX(Data_DBD!$D:$D,$A59)</f>
        <v>33</v>
      </c>
      <c r="E59" s="32" cm="1">
        <f t="array" aca="1" ref="E59" ca="1">INDEX(Data_DBD!$E:$E,$A59)</f>
        <v>0</v>
      </c>
      <c r="F59" s="32" cm="1">
        <f t="array" aca="1" ref="F59" ca="1">INDEX(Data_DBD!$F:$F,$A59)</f>
        <v>3</v>
      </c>
      <c r="H59" s="32">
        <v>9</v>
      </c>
      <c r="I59" s="32">
        <v>16</v>
      </c>
      <c r="J59" s="32">
        <v>6</v>
      </c>
      <c r="K59" s="32">
        <v>12</v>
      </c>
      <c r="L59" s="32">
        <v>1</v>
      </c>
      <c r="M59" s="32">
        <v>2</v>
      </c>
    </row>
    <row r="60" spans="1:13">
      <c r="A60" s="32">
        <f t="shared" ca="1" si="0"/>
        <v>120</v>
      </c>
      <c r="B60" s="32" cm="1">
        <f t="array" aca="1" ref="B60" ca="1">INDEX(Data_DBD!$B:$B,$A60)</f>
        <v>26</v>
      </c>
      <c r="C60" s="32" cm="1">
        <f t="array" aca="1" ref="C60" ca="1">INDEX(Data_DBD!$C:$C,$A60)</f>
        <v>4</v>
      </c>
      <c r="D60" s="32" cm="1">
        <f t="array" aca="1" ref="D60" ca="1">INDEX(Data_DBD!$D:$D,$A60)</f>
        <v>33</v>
      </c>
      <c r="E60" s="32" cm="1">
        <f t="array" aca="1" ref="E60" ca="1">INDEX(Data_DBD!$E:$E,$A60)</f>
        <v>1</v>
      </c>
      <c r="F60" s="32" cm="1">
        <f t="array" aca="1" ref="F60" ca="1">INDEX(Data_DBD!$F:$F,$A60)</f>
        <v>3</v>
      </c>
      <c r="H60" s="32">
        <v>126</v>
      </c>
      <c r="I60" s="32">
        <v>51</v>
      </c>
      <c r="J60" s="32">
        <v>3</v>
      </c>
      <c r="K60" s="32">
        <v>33</v>
      </c>
      <c r="L60" s="32">
        <v>1</v>
      </c>
      <c r="M60" s="32">
        <v>3</v>
      </c>
    </row>
    <row r="61" spans="1:13">
      <c r="A61" s="32">
        <f t="shared" ca="1" si="0"/>
        <v>62</v>
      </c>
      <c r="B61" s="32" cm="1">
        <f t="array" aca="1" ref="B61" ca="1">INDEX(Data_DBD!$B:$B,$A61)</f>
        <v>43</v>
      </c>
      <c r="C61" s="32" cm="1">
        <f t="array" aca="1" ref="C61" ca="1">INDEX(Data_DBD!$C:$C,$A61)</f>
        <v>4</v>
      </c>
      <c r="D61" s="32" cm="1">
        <f t="array" aca="1" ref="D61" ca="1">INDEX(Data_DBD!$D:$D,$A61)</f>
        <v>15</v>
      </c>
      <c r="E61" s="32" cm="1">
        <f t="array" aca="1" ref="E61" ca="1">INDEX(Data_DBD!$E:$E,$A61)</f>
        <v>1</v>
      </c>
      <c r="F61" s="32" cm="1">
        <f t="array" aca="1" ref="F61" ca="1">INDEX(Data_DBD!$F:$F,$A61)</f>
        <v>2</v>
      </c>
      <c r="H61" s="32">
        <v>128</v>
      </c>
      <c r="I61" s="32">
        <v>38</v>
      </c>
      <c r="J61" s="32">
        <v>2</v>
      </c>
      <c r="K61" s="32">
        <v>33</v>
      </c>
      <c r="L61" s="32">
        <v>0</v>
      </c>
      <c r="M61" s="32">
        <v>3</v>
      </c>
    </row>
    <row r="62" spans="1:13">
      <c r="A62" s="32">
        <f t="shared" ca="1" si="0"/>
        <v>54</v>
      </c>
      <c r="B62" s="32" cm="1">
        <f t="array" aca="1" ref="B62" ca="1">INDEX(Data_DBD!$B:$B,$A62)</f>
        <v>7</v>
      </c>
      <c r="C62" s="32" cm="1">
        <f t="array" aca="1" ref="C62" ca="1">INDEX(Data_DBD!$C:$C,$A62)</f>
        <v>3</v>
      </c>
      <c r="D62" s="32" cm="1">
        <f t="array" aca="1" ref="D62" ca="1">INDEX(Data_DBD!$D:$D,$A62)</f>
        <v>15</v>
      </c>
      <c r="E62" s="32" cm="1">
        <f t="array" aca="1" ref="E62" ca="1">INDEX(Data_DBD!$E:$E,$A62)</f>
        <v>0</v>
      </c>
      <c r="F62" s="32" cm="1">
        <f t="array" aca="1" ref="F62" ca="1">INDEX(Data_DBD!$F:$F,$A62)</f>
        <v>2</v>
      </c>
      <c r="H62" s="32">
        <v>103</v>
      </c>
      <c r="I62" s="32">
        <v>22</v>
      </c>
      <c r="J62" s="32">
        <v>5</v>
      </c>
      <c r="K62" s="32">
        <v>18</v>
      </c>
      <c r="L62" s="32">
        <v>0</v>
      </c>
      <c r="M62" s="32">
        <v>3</v>
      </c>
    </row>
    <row r="63" spans="1:13">
      <c r="A63" s="32">
        <f t="shared" ca="1" si="0"/>
        <v>136</v>
      </c>
      <c r="B63" s="32" cm="1">
        <f t="array" aca="1" ref="B63" ca="1">INDEX(Data_DBD!$B:$B,$A63)</f>
        <v>6</v>
      </c>
      <c r="C63" s="32" cm="1">
        <f t="array" aca="1" ref="C63" ca="1">INDEX(Data_DBD!$C:$C,$A63)</f>
        <v>2</v>
      </c>
      <c r="D63" s="32" cm="1">
        <f t="array" aca="1" ref="D63" ca="1">INDEX(Data_DBD!$D:$D,$A63)</f>
        <v>33</v>
      </c>
      <c r="E63" s="32" cm="1">
        <f t="array" aca="1" ref="E63" ca="1">INDEX(Data_DBD!$E:$E,$A63)</f>
        <v>0</v>
      </c>
      <c r="F63" s="32" cm="1">
        <f t="array" aca="1" ref="F63" ca="1">INDEX(Data_DBD!$F:$F,$A63)</f>
        <v>3</v>
      </c>
      <c r="H63" s="32">
        <v>65</v>
      </c>
      <c r="I63" s="32">
        <v>49</v>
      </c>
      <c r="J63" s="32">
        <v>3</v>
      </c>
      <c r="K63" s="32">
        <v>15</v>
      </c>
      <c r="L63" s="32">
        <v>0</v>
      </c>
      <c r="M63" s="32">
        <v>2</v>
      </c>
    </row>
    <row r="64" spans="1:13">
      <c r="A64" s="32">
        <f t="shared" ca="1" si="0"/>
        <v>44</v>
      </c>
      <c r="B64" s="32" cm="1">
        <f t="array" aca="1" ref="B64" ca="1">INDEX(Data_DBD!$B:$B,$A64)</f>
        <v>28</v>
      </c>
      <c r="C64" s="32" cm="1">
        <f t="array" aca="1" ref="C64" ca="1">INDEX(Data_DBD!$C:$C,$A64)</f>
        <v>5</v>
      </c>
      <c r="D64" s="32" cm="1">
        <f t="array" aca="1" ref="D64" ca="1">INDEX(Data_DBD!$D:$D,$A64)</f>
        <v>13</v>
      </c>
      <c r="E64" s="32" cm="1">
        <f t="array" aca="1" ref="E64" ca="1">INDEX(Data_DBD!$E:$E,$A64)</f>
        <v>1</v>
      </c>
      <c r="F64" s="32" cm="1">
        <f t="array" aca="1" ref="F64" ca="1">INDEX(Data_DBD!$F:$F,$A64)</f>
        <v>2</v>
      </c>
      <c r="H64" s="32">
        <v>73</v>
      </c>
      <c r="I64" s="32">
        <v>15</v>
      </c>
      <c r="J64" s="32">
        <v>3</v>
      </c>
      <c r="K64" s="32">
        <v>10</v>
      </c>
      <c r="L64" s="32">
        <v>1</v>
      </c>
      <c r="M64" s="32">
        <v>2</v>
      </c>
    </row>
    <row r="65" spans="1:21">
      <c r="A65" s="32">
        <f t="shared" ca="1" si="0"/>
        <v>17</v>
      </c>
      <c r="B65" s="32" cm="1">
        <f t="array" aca="1" ref="B65" ca="1">INDEX(Data_DBD!$B:$B,$A65)</f>
        <v>2</v>
      </c>
      <c r="C65" s="32" cm="1">
        <f t="array" aca="1" ref="C65" ca="1">INDEX(Data_DBD!$C:$C,$A65)</f>
        <v>3</v>
      </c>
      <c r="D65" s="32" cm="1">
        <f t="array" aca="1" ref="D65" ca="1">INDEX(Data_DBD!$D:$D,$A65)</f>
        <v>7</v>
      </c>
      <c r="E65" s="32" cm="1">
        <f t="array" aca="1" ref="E65" ca="1">INDEX(Data_DBD!$E:$E,$A65)</f>
        <v>0</v>
      </c>
      <c r="F65" s="32" cm="1">
        <f t="array" aca="1" ref="F65" ca="1">INDEX(Data_DBD!$F:$F,$A65)</f>
        <v>1</v>
      </c>
      <c r="H65" s="32">
        <v>23</v>
      </c>
      <c r="I65" s="32">
        <v>28</v>
      </c>
      <c r="J65" s="32">
        <v>4</v>
      </c>
      <c r="K65" s="32">
        <v>14</v>
      </c>
      <c r="L65" s="32">
        <v>1</v>
      </c>
      <c r="M65" s="32">
        <v>2</v>
      </c>
    </row>
    <row r="66" spans="1:21" ht="15.75">
      <c r="A66" s="32">
        <f t="shared" ca="1" si="0"/>
        <v>9</v>
      </c>
      <c r="B66" s="32" cm="1">
        <f t="array" aca="1" ref="B66" ca="1">INDEX(Data_DBD!$B:$B,$A66)</f>
        <v>16</v>
      </c>
      <c r="C66" s="32" cm="1">
        <f t="array" aca="1" ref="C66" ca="1">INDEX(Data_DBD!$C:$C,$A66)</f>
        <v>6</v>
      </c>
      <c r="D66" s="32" cm="1">
        <f t="array" aca="1" ref="D66" ca="1">INDEX(Data_DBD!$D:$D,$A66)</f>
        <v>12</v>
      </c>
      <c r="E66" s="32" cm="1">
        <f t="array" aca="1" ref="E66" ca="1">INDEX(Data_DBD!$E:$E,$A66)</f>
        <v>1</v>
      </c>
      <c r="F66" s="32" cm="1">
        <f t="array" aca="1" ref="F66" ca="1">INDEX(Data_DBD!$F:$F,$A66)</f>
        <v>2</v>
      </c>
      <c r="H66" s="32">
        <v>56</v>
      </c>
      <c r="I66" s="32">
        <v>4</v>
      </c>
      <c r="J66" s="32">
        <v>3</v>
      </c>
      <c r="K66" s="32">
        <v>15</v>
      </c>
      <c r="L66" s="32">
        <v>0</v>
      </c>
      <c r="M66" s="32">
        <v>2</v>
      </c>
      <c r="U66" s="35"/>
    </row>
    <row r="67" spans="1:21" ht="15.75">
      <c r="A67" s="32">
        <f t="shared" ref="A67:A130" ca="1" si="1">RANDBETWEEN(2,164)</f>
        <v>36</v>
      </c>
      <c r="B67" s="32" cm="1">
        <f t="array" aca="1" ref="B67" ca="1">INDEX(Data_DBD!$B:$B,$A67)</f>
        <v>27</v>
      </c>
      <c r="C67" s="32" cm="1">
        <f t="array" aca="1" ref="C67" ca="1">INDEX(Data_DBD!$C:$C,$A67)</f>
        <v>1</v>
      </c>
      <c r="D67" s="32" cm="1">
        <f t="array" aca="1" ref="D67" ca="1">INDEX(Data_DBD!$D:$D,$A67)</f>
        <v>4</v>
      </c>
      <c r="E67" s="32" cm="1">
        <f t="array" aca="1" ref="E67" ca="1">INDEX(Data_DBD!$E:$E,$A67)</f>
        <v>1</v>
      </c>
      <c r="F67" s="32" cm="1">
        <f t="array" aca="1" ref="F67" ca="1">INDEX(Data_DBD!$F:$F,$A67)</f>
        <v>1</v>
      </c>
      <c r="H67" s="32">
        <v>86</v>
      </c>
      <c r="I67" s="32">
        <v>23</v>
      </c>
      <c r="J67" s="32">
        <v>3</v>
      </c>
      <c r="K67" s="32">
        <v>13</v>
      </c>
      <c r="L67" s="32">
        <v>0</v>
      </c>
      <c r="M67" s="32">
        <v>2</v>
      </c>
      <c r="U67" s="36"/>
    </row>
    <row r="68" spans="1:21" ht="15.75">
      <c r="A68" s="32">
        <f t="shared" ca="1" si="1"/>
        <v>163</v>
      </c>
      <c r="B68" s="32" cm="1">
        <f t="array" aca="1" ref="B68" ca="1">INDEX(Data_DBD!$B:$B,$A68)</f>
        <v>34</v>
      </c>
      <c r="C68" s="32" cm="1">
        <f t="array" aca="1" ref="C68" ca="1">INDEX(Data_DBD!$C:$C,$A68)</f>
        <v>4</v>
      </c>
      <c r="D68" s="32" cm="1">
        <f t="array" aca="1" ref="D68" ca="1">INDEX(Data_DBD!$D:$D,$A68)</f>
        <v>3</v>
      </c>
      <c r="E68" s="32" cm="1">
        <f t="array" aca="1" ref="E68" ca="1">INDEX(Data_DBD!$E:$E,$A68)</f>
        <v>1</v>
      </c>
      <c r="F68" s="32" cm="1">
        <f t="array" aca="1" ref="F68" ca="1">INDEX(Data_DBD!$F:$F,$A68)</f>
        <v>1</v>
      </c>
      <c r="H68" s="32">
        <v>72</v>
      </c>
      <c r="I68" s="32">
        <v>3</v>
      </c>
      <c r="J68" s="32">
        <v>5</v>
      </c>
      <c r="K68" s="32">
        <v>10</v>
      </c>
      <c r="L68" s="32">
        <v>1</v>
      </c>
      <c r="M68" s="32">
        <v>2</v>
      </c>
      <c r="U68" s="37"/>
    </row>
    <row r="69" spans="1:21" ht="15.75">
      <c r="A69" s="32">
        <f t="shared" ca="1" si="1"/>
        <v>54</v>
      </c>
      <c r="B69" s="32" cm="1">
        <f t="array" aca="1" ref="B69" ca="1">INDEX(Data_DBD!$B:$B,$A69)</f>
        <v>7</v>
      </c>
      <c r="C69" s="32" cm="1">
        <f t="array" aca="1" ref="C69" ca="1">INDEX(Data_DBD!$C:$C,$A69)</f>
        <v>3</v>
      </c>
      <c r="D69" s="32" cm="1">
        <f t="array" aca="1" ref="D69" ca="1">INDEX(Data_DBD!$D:$D,$A69)</f>
        <v>15</v>
      </c>
      <c r="E69" s="32" cm="1">
        <f t="array" aca="1" ref="E69" ca="1">INDEX(Data_DBD!$E:$E,$A69)</f>
        <v>0</v>
      </c>
      <c r="F69" s="32" cm="1">
        <f t="array" aca="1" ref="F69" ca="1">INDEX(Data_DBD!$F:$F,$A69)</f>
        <v>2</v>
      </c>
      <c r="H69" s="32">
        <v>92</v>
      </c>
      <c r="I69" s="32">
        <v>55</v>
      </c>
      <c r="J69" s="32">
        <v>7</v>
      </c>
      <c r="K69" s="32">
        <v>18</v>
      </c>
      <c r="L69" s="32">
        <v>0</v>
      </c>
      <c r="M69" s="32">
        <v>3</v>
      </c>
      <c r="U69" s="37"/>
    </row>
    <row r="70" spans="1:21" ht="15.75">
      <c r="A70" s="32">
        <f t="shared" ca="1" si="1"/>
        <v>126</v>
      </c>
      <c r="B70" s="32" cm="1">
        <f t="array" aca="1" ref="B70" ca="1">INDEX(Data_DBD!$B:$B,$A70)</f>
        <v>51</v>
      </c>
      <c r="C70" s="32" cm="1">
        <f t="array" aca="1" ref="C70" ca="1">INDEX(Data_DBD!$C:$C,$A70)</f>
        <v>3</v>
      </c>
      <c r="D70" s="32" cm="1">
        <f t="array" aca="1" ref="D70" ca="1">INDEX(Data_DBD!$D:$D,$A70)</f>
        <v>33</v>
      </c>
      <c r="E70" s="32" cm="1">
        <f t="array" aca="1" ref="E70" ca="1">INDEX(Data_DBD!$E:$E,$A70)</f>
        <v>1</v>
      </c>
      <c r="F70" s="32" cm="1">
        <f t="array" aca="1" ref="F70" ca="1">INDEX(Data_DBD!$F:$F,$A70)</f>
        <v>3</v>
      </c>
      <c r="H70" s="32">
        <v>34</v>
      </c>
      <c r="I70" s="32">
        <v>55</v>
      </c>
      <c r="J70" s="32">
        <v>3</v>
      </c>
      <c r="K70" s="32">
        <v>14</v>
      </c>
      <c r="L70" s="32">
        <v>0</v>
      </c>
      <c r="M70" s="32">
        <v>2</v>
      </c>
      <c r="U70" s="36"/>
    </row>
    <row r="71" spans="1:21" ht="15.75">
      <c r="A71" s="32">
        <f t="shared" ca="1" si="1"/>
        <v>13</v>
      </c>
      <c r="B71" s="32" cm="1">
        <f t="array" aca="1" ref="B71" ca="1">INDEX(Data_DBD!$B:$B,$A71)</f>
        <v>47</v>
      </c>
      <c r="C71" s="32" cm="1">
        <f t="array" aca="1" ref="C71" ca="1">INDEX(Data_DBD!$C:$C,$A71)</f>
        <v>2</v>
      </c>
      <c r="D71" s="32" cm="1">
        <f t="array" aca="1" ref="D71" ca="1">INDEX(Data_DBD!$D:$D,$A71)</f>
        <v>12</v>
      </c>
      <c r="E71" s="32" cm="1">
        <f t="array" aca="1" ref="E71" ca="1">INDEX(Data_DBD!$E:$E,$A71)</f>
        <v>0</v>
      </c>
      <c r="F71" s="32" cm="1">
        <f t="array" aca="1" ref="F71" ca="1">INDEX(Data_DBD!$F:$F,$A71)</f>
        <v>2</v>
      </c>
      <c r="H71" s="32">
        <v>78</v>
      </c>
      <c r="I71" s="32">
        <v>6</v>
      </c>
      <c r="J71" s="32">
        <v>3</v>
      </c>
      <c r="K71" s="32">
        <v>13</v>
      </c>
      <c r="L71" s="32">
        <v>0</v>
      </c>
      <c r="M71" s="32">
        <v>2</v>
      </c>
      <c r="U71" s="37"/>
    </row>
    <row r="72" spans="1:21" ht="15.75">
      <c r="A72" s="32">
        <f t="shared" ca="1" si="1"/>
        <v>58</v>
      </c>
      <c r="B72" s="32" cm="1">
        <f t="array" aca="1" ref="B72" ca="1">INDEX(Data_DBD!$B:$B,$A72)</f>
        <v>17</v>
      </c>
      <c r="C72" s="32" cm="1">
        <f t="array" aca="1" ref="C72" ca="1">INDEX(Data_DBD!$C:$C,$A72)</f>
        <v>3</v>
      </c>
      <c r="D72" s="32" cm="1">
        <f t="array" aca="1" ref="D72" ca="1">INDEX(Data_DBD!$D:$D,$A72)</f>
        <v>15</v>
      </c>
      <c r="E72" s="32" cm="1">
        <f t="array" aca="1" ref="E72" ca="1">INDEX(Data_DBD!$E:$E,$A72)</f>
        <v>0</v>
      </c>
      <c r="F72" s="32" cm="1">
        <f t="array" aca="1" ref="F72" ca="1">INDEX(Data_DBD!$F:$F,$A72)</f>
        <v>2</v>
      </c>
      <c r="H72" s="32">
        <v>34</v>
      </c>
      <c r="I72" s="32">
        <v>55</v>
      </c>
      <c r="J72" s="32">
        <v>3</v>
      </c>
      <c r="K72" s="32">
        <v>14</v>
      </c>
      <c r="L72" s="32">
        <v>0</v>
      </c>
      <c r="M72" s="32">
        <v>2</v>
      </c>
      <c r="U72" s="37"/>
    </row>
    <row r="73" spans="1:21" ht="15.75">
      <c r="A73" s="32">
        <f t="shared" ca="1" si="1"/>
        <v>122</v>
      </c>
      <c r="B73" s="32" cm="1">
        <f t="array" aca="1" ref="B73" ca="1">INDEX(Data_DBD!$B:$B,$A73)</f>
        <v>28</v>
      </c>
      <c r="C73" s="32" cm="1">
        <f t="array" aca="1" ref="C73" ca="1">INDEX(Data_DBD!$C:$C,$A73)</f>
        <v>3</v>
      </c>
      <c r="D73" s="32" cm="1">
        <f t="array" aca="1" ref="D73" ca="1">INDEX(Data_DBD!$D:$D,$A73)</f>
        <v>33</v>
      </c>
      <c r="E73" s="32" cm="1">
        <f t="array" aca="1" ref="E73" ca="1">INDEX(Data_DBD!$E:$E,$A73)</f>
        <v>1</v>
      </c>
      <c r="F73" s="32" cm="1">
        <f t="array" aca="1" ref="F73" ca="1">INDEX(Data_DBD!$F:$F,$A73)</f>
        <v>3</v>
      </c>
      <c r="H73" s="32">
        <v>96</v>
      </c>
      <c r="I73" s="32">
        <v>56</v>
      </c>
      <c r="J73" s="32">
        <v>4</v>
      </c>
      <c r="K73" s="32">
        <v>18</v>
      </c>
      <c r="L73" s="32">
        <v>0</v>
      </c>
      <c r="M73" s="32">
        <v>3</v>
      </c>
      <c r="U73" s="36"/>
    </row>
    <row r="74" spans="1:21" ht="15.75">
      <c r="A74" s="32">
        <f t="shared" ca="1" si="1"/>
        <v>44</v>
      </c>
      <c r="B74" s="32" cm="1">
        <f t="array" aca="1" ref="B74" ca="1">INDEX(Data_DBD!$B:$B,$A74)</f>
        <v>28</v>
      </c>
      <c r="C74" s="32" cm="1">
        <f t="array" aca="1" ref="C74" ca="1">INDEX(Data_DBD!$C:$C,$A74)</f>
        <v>5</v>
      </c>
      <c r="D74" s="32" cm="1">
        <f t="array" aca="1" ref="D74" ca="1">INDEX(Data_DBD!$D:$D,$A74)</f>
        <v>13</v>
      </c>
      <c r="E74" s="32" cm="1">
        <f t="array" aca="1" ref="E74" ca="1">INDEX(Data_DBD!$E:$E,$A74)</f>
        <v>1</v>
      </c>
      <c r="F74" s="32" cm="1">
        <f t="array" aca="1" ref="F74" ca="1">INDEX(Data_DBD!$F:$F,$A74)</f>
        <v>2</v>
      </c>
      <c r="H74" s="32">
        <v>83</v>
      </c>
      <c r="I74" s="32">
        <v>50</v>
      </c>
      <c r="J74" s="32">
        <v>3</v>
      </c>
      <c r="K74" s="32">
        <v>13</v>
      </c>
      <c r="L74" s="32">
        <v>0</v>
      </c>
      <c r="M74" s="32">
        <v>2</v>
      </c>
      <c r="U74" s="37"/>
    </row>
    <row r="75" spans="1:21">
      <c r="A75" s="32">
        <f t="shared" ca="1" si="1"/>
        <v>13</v>
      </c>
      <c r="B75" s="32" cm="1">
        <f t="array" aca="1" ref="B75" ca="1">INDEX(Data_DBD!$B:$B,$A75)</f>
        <v>47</v>
      </c>
      <c r="C75" s="32" cm="1">
        <f t="array" aca="1" ref="C75" ca="1">INDEX(Data_DBD!$C:$C,$A75)</f>
        <v>2</v>
      </c>
      <c r="D75" s="32" cm="1">
        <f t="array" aca="1" ref="D75" ca="1">INDEX(Data_DBD!$D:$D,$A75)</f>
        <v>12</v>
      </c>
      <c r="E75" s="32" cm="1">
        <f t="array" aca="1" ref="E75" ca="1">INDEX(Data_DBD!$E:$E,$A75)</f>
        <v>0</v>
      </c>
      <c r="F75" s="32" cm="1">
        <f t="array" aca="1" ref="F75" ca="1">INDEX(Data_DBD!$F:$F,$A75)</f>
        <v>2</v>
      </c>
      <c r="H75" s="32">
        <v>108</v>
      </c>
      <c r="I75" s="32">
        <v>69</v>
      </c>
      <c r="J75" s="32">
        <v>7</v>
      </c>
      <c r="K75" s="32">
        <v>33</v>
      </c>
      <c r="L75" s="32">
        <v>1</v>
      </c>
      <c r="M75" s="32">
        <v>3</v>
      </c>
    </row>
    <row r="76" spans="1:21">
      <c r="A76" s="32">
        <f t="shared" ca="1" si="1"/>
        <v>37</v>
      </c>
      <c r="B76" s="32" cm="1">
        <f t="array" aca="1" ref="B76" ca="1">INDEX(Data_DBD!$B:$B,$A76)</f>
        <v>28</v>
      </c>
      <c r="C76" s="32" cm="1">
        <f t="array" aca="1" ref="C76" ca="1">INDEX(Data_DBD!$C:$C,$A76)</f>
        <v>4</v>
      </c>
      <c r="D76" s="32" cm="1">
        <f t="array" aca="1" ref="D76" ca="1">INDEX(Data_DBD!$D:$D,$A76)</f>
        <v>4</v>
      </c>
      <c r="E76" s="32" cm="1">
        <f t="array" aca="1" ref="E76" ca="1">INDEX(Data_DBD!$E:$E,$A76)</f>
        <v>1</v>
      </c>
      <c r="F76" s="32" cm="1">
        <f t="array" aca="1" ref="F76" ca="1">INDEX(Data_DBD!$F:$F,$A76)</f>
        <v>1</v>
      </c>
      <c r="H76" s="32">
        <v>69</v>
      </c>
      <c r="I76" s="32">
        <v>24</v>
      </c>
      <c r="J76" s="32">
        <v>4</v>
      </c>
      <c r="K76" s="32">
        <v>10</v>
      </c>
      <c r="L76" s="32">
        <v>1</v>
      </c>
      <c r="M76" s="32">
        <v>2</v>
      </c>
    </row>
    <row r="77" spans="1:21">
      <c r="A77" s="32">
        <f t="shared" ca="1" si="1"/>
        <v>21</v>
      </c>
      <c r="B77" s="32" cm="1">
        <f t="array" aca="1" ref="B77" ca="1">INDEX(Data_DBD!$B:$B,$A77)</f>
        <v>10</v>
      </c>
      <c r="C77" s="32" cm="1">
        <f t="array" aca="1" ref="C77" ca="1">INDEX(Data_DBD!$C:$C,$A77)</f>
        <v>5</v>
      </c>
      <c r="D77" s="32" cm="1">
        <f t="array" aca="1" ref="D77" ca="1">INDEX(Data_DBD!$D:$D,$A77)</f>
        <v>14</v>
      </c>
      <c r="E77" s="32" cm="1">
        <f t="array" aca="1" ref="E77" ca="1">INDEX(Data_DBD!$E:$E,$A77)</f>
        <v>1</v>
      </c>
      <c r="F77" s="32" cm="1">
        <f t="array" aca="1" ref="F77" ca="1">INDEX(Data_DBD!$F:$F,$A77)</f>
        <v>2</v>
      </c>
      <c r="H77" s="32">
        <v>123</v>
      </c>
      <c r="I77" s="32">
        <v>22</v>
      </c>
      <c r="J77" s="32">
        <v>4</v>
      </c>
      <c r="K77" s="32">
        <v>33</v>
      </c>
      <c r="L77" s="32">
        <v>0</v>
      </c>
      <c r="M77" s="32">
        <v>3</v>
      </c>
    </row>
    <row r="78" spans="1:21">
      <c r="A78" s="32">
        <f t="shared" ca="1" si="1"/>
        <v>112</v>
      </c>
      <c r="B78" s="32" cm="1">
        <f t="array" aca="1" ref="B78" ca="1">INDEX(Data_DBD!$B:$B,$A78)</f>
        <v>61</v>
      </c>
      <c r="C78" s="32" cm="1">
        <f t="array" aca="1" ref="C78" ca="1">INDEX(Data_DBD!$C:$C,$A78)</f>
        <v>3</v>
      </c>
      <c r="D78" s="32" cm="1">
        <f t="array" aca="1" ref="D78" ca="1">INDEX(Data_DBD!$D:$D,$A78)</f>
        <v>33</v>
      </c>
      <c r="E78" s="32" cm="1">
        <f t="array" aca="1" ref="E78" ca="1">INDEX(Data_DBD!$E:$E,$A78)</f>
        <v>1</v>
      </c>
      <c r="F78" s="32" cm="1">
        <f t="array" aca="1" ref="F78" ca="1">INDEX(Data_DBD!$F:$F,$A78)</f>
        <v>3</v>
      </c>
      <c r="H78" s="32">
        <v>62</v>
      </c>
      <c r="I78" s="32">
        <v>43</v>
      </c>
      <c r="J78" s="32">
        <v>4</v>
      </c>
      <c r="K78" s="32">
        <v>15</v>
      </c>
      <c r="L78" s="32">
        <v>1</v>
      </c>
      <c r="M78" s="32">
        <v>2</v>
      </c>
    </row>
    <row r="79" spans="1:21">
      <c r="A79" s="32">
        <f t="shared" ca="1" si="1"/>
        <v>59</v>
      </c>
      <c r="B79" s="32" cm="1">
        <f t="array" aca="1" ref="B79" ca="1">INDEX(Data_DBD!$B:$B,$A79)</f>
        <v>28</v>
      </c>
      <c r="C79" s="32" cm="1">
        <f t="array" aca="1" ref="C79" ca="1">INDEX(Data_DBD!$C:$C,$A79)</f>
        <v>4</v>
      </c>
      <c r="D79" s="32" cm="1">
        <f t="array" aca="1" ref="D79" ca="1">INDEX(Data_DBD!$D:$D,$A79)</f>
        <v>15</v>
      </c>
      <c r="E79" s="32" cm="1">
        <f t="array" aca="1" ref="E79" ca="1">INDEX(Data_DBD!$E:$E,$A79)</f>
        <v>0</v>
      </c>
      <c r="F79" s="32" cm="1">
        <f t="array" aca="1" ref="F79" ca="1">INDEX(Data_DBD!$F:$F,$A79)</f>
        <v>2</v>
      </c>
      <c r="H79" s="32">
        <v>116</v>
      </c>
      <c r="I79" s="32">
        <v>32</v>
      </c>
      <c r="J79" s="32">
        <v>4</v>
      </c>
      <c r="K79" s="32">
        <v>33</v>
      </c>
      <c r="L79" s="32">
        <v>1</v>
      </c>
      <c r="M79" s="32">
        <v>3</v>
      </c>
    </row>
    <row r="80" spans="1:21">
      <c r="A80" s="32">
        <f t="shared" ca="1" si="1"/>
        <v>67</v>
      </c>
      <c r="B80" s="32" cm="1">
        <f t="array" aca="1" ref="B80" ca="1">INDEX(Data_DBD!$B:$B,$A80)</f>
        <v>21</v>
      </c>
      <c r="C80" s="32" cm="1">
        <f t="array" aca="1" ref="C80" ca="1">INDEX(Data_DBD!$C:$C,$A80)</f>
        <v>3</v>
      </c>
      <c r="D80" s="32" cm="1">
        <f t="array" aca="1" ref="D80" ca="1">INDEX(Data_DBD!$D:$D,$A80)</f>
        <v>10</v>
      </c>
      <c r="E80" s="32" cm="1">
        <f t="array" aca="1" ref="E80" ca="1">INDEX(Data_DBD!$E:$E,$A80)</f>
        <v>1</v>
      </c>
      <c r="F80" s="32" cm="1">
        <f t="array" aca="1" ref="F80" ca="1">INDEX(Data_DBD!$F:$F,$A80)</f>
        <v>2</v>
      </c>
      <c r="H80" s="32">
        <v>112</v>
      </c>
      <c r="I80" s="32">
        <v>61</v>
      </c>
      <c r="J80" s="32">
        <v>3</v>
      </c>
      <c r="K80" s="32">
        <v>33</v>
      </c>
      <c r="L80" s="32">
        <v>1</v>
      </c>
      <c r="M80" s="32">
        <v>3</v>
      </c>
    </row>
    <row r="81" spans="1:13">
      <c r="A81" s="32">
        <f t="shared" ca="1" si="1"/>
        <v>113</v>
      </c>
      <c r="B81" s="32" cm="1">
        <f t="array" aca="1" ref="B81" ca="1">INDEX(Data_DBD!$B:$B,$A81)</f>
        <v>69</v>
      </c>
      <c r="C81" s="32" cm="1">
        <f t="array" aca="1" ref="C81" ca="1">INDEX(Data_DBD!$C:$C,$A81)</f>
        <v>1</v>
      </c>
      <c r="D81" s="32" cm="1">
        <f t="array" aca="1" ref="D81" ca="1">INDEX(Data_DBD!$D:$D,$A81)</f>
        <v>33</v>
      </c>
      <c r="E81" s="32" cm="1">
        <f t="array" aca="1" ref="E81" ca="1">INDEX(Data_DBD!$E:$E,$A81)</f>
        <v>1</v>
      </c>
      <c r="F81" s="32" cm="1">
        <f t="array" aca="1" ref="F81" ca="1">INDEX(Data_DBD!$F:$F,$A81)</f>
        <v>3</v>
      </c>
      <c r="H81" s="32">
        <v>101</v>
      </c>
      <c r="I81" s="32">
        <v>42</v>
      </c>
      <c r="J81" s="32">
        <v>5</v>
      </c>
      <c r="K81" s="32">
        <v>18</v>
      </c>
      <c r="L81" s="32">
        <v>0</v>
      </c>
      <c r="M81" s="32">
        <v>3</v>
      </c>
    </row>
    <row r="82" spans="1:13">
      <c r="A82" s="32">
        <f t="shared" ca="1" si="1"/>
        <v>136</v>
      </c>
      <c r="B82" s="32" cm="1">
        <f t="array" aca="1" ref="B82" ca="1">INDEX(Data_DBD!$B:$B,$A82)</f>
        <v>6</v>
      </c>
      <c r="C82" s="32" cm="1">
        <f t="array" aca="1" ref="C82" ca="1">INDEX(Data_DBD!$C:$C,$A82)</f>
        <v>2</v>
      </c>
      <c r="D82" s="32" cm="1">
        <f t="array" aca="1" ref="D82" ca="1">INDEX(Data_DBD!$D:$D,$A82)</f>
        <v>33</v>
      </c>
      <c r="E82" s="32" cm="1">
        <f t="array" aca="1" ref="E82" ca="1">INDEX(Data_DBD!$E:$E,$A82)</f>
        <v>0</v>
      </c>
      <c r="F82" s="32" cm="1">
        <f t="array" aca="1" ref="F82" ca="1">INDEX(Data_DBD!$F:$F,$A82)</f>
        <v>3</v>
      </c>
      <c r="H82" s="32">
        <v>28</v>
      </c>
      <c r="I82" s="32">
        <v>22</v>
      </c>
      <c r="J82" s="32">
        <v>2</v>
      </c>
      <c r="K82" s="32">
        <v>14</v>
      </c>
      <c r="L82" s="32">
        <v>1</v>
      </c>
      <c r="M82" s="32">
        <v>2</v>
      </c>
    </row>
    <row r="83" spans="1:13">
      <c r="A83" s="32">
        <f t="shared" ca="1" si="1"/>
        <v>35</v>
      </c>
      <c r="B83" s="32" cm="1">
        <f t="array" aca="1" ref="B83" ca="1">INDEX(Data_DBD!$B:$B,$A83)</f>
        <v>40</v>
      </c>
      <c r="C83" s="32" cm="1">
        <f t="array" aca="1" ref="C83" ca="1">INDEX(Data_DBD!$C:$C,$A83)</f>
        <v>3</v>
      </c>
      <c r="D83" s="32" cm="1">
        <f t="array" aca="1" ref="D83" ca="1">INDEX(Data_DBD!$D:$D,$A83)</f>
        <v>4</v>
      </c>
      <c r="E83" s="32" cm="1">
        <f t="array" aca="1" ref="E83" ca="1">INDEX(Data_DBD!$E:$E,$A83)</f>
        <v>1</v>
      </c>
      <c r="F83" s="32" cm="1">
        <f t="array" aca="1" ref="F83" ca="1">INDEX(Data_DBD!$F:$F,$A83)</f>
        <v>1</v>
      </c>
      <c r="H83" s="32">
        <v>27</v>
      </c>
      <c r="I83" s="32">
        <v>37</v>
      </c>
      <c r="J83" s="32">
        <v>4</v>
      </c>
      <c r="K83" s="32">
        <v>14</v>
      </c>
      <c r="L83" s="32">
        <v>1</v>
      </c>
      <c r="M83" s="32">
        <v>2</v>
      </c>
    </row>
    <row r="84" spans="1:13">
      <c r="A84" s="32">
        <f t="shared" ca="1" si="1"/>
        <v>41</v>
      </c>
      <c r="B84" s="32" cm="1">
        <f t="array" aca="1" ref="B84" ca="1">INDEX(Data_DBD!$B:$B,$A84)</f>
        <v>8</v>
      </c>
      <c r="C84" s="32" cm="1">
        <f t="array" aca="1" ref="C84" ca="1">INDEX(Data_DBD!$C:$C,$A84)</f>
        <v>4</v>
      </c>
      <c r="D84" s="32" cm="1">
        <f t="array" aca="1" ref="D84" ca="1">INDEX(Data_DBD!$D:$D,$A84)</f>
        <v>13</v>
      </c>
      <c r="E84" s="32" cm="1">
        <f t="array" aca="1" ref="E84" ca="1">INDEX(Data_DBD!$E:$E,$A84)</f>
        <v>0</v>
      </c>
      <c r="F84" s="32" cm="1">
        <f t="array" aca="1" ref="F84" ca="1">INDEX(Data_DBD!$F:$F,$A84)</f>
        <v>2</v>
      </c>
      <c r="H84" s="32">
        <v>101</v>
      </c>
      <c r="I84" s="32">
        <v>42</v>
      </c>
      <c r="J84" s="32">
        <v>5</v>
      </c>
      <c r="K84" s="32">
        <v>18</v>
      </c>
      <c r="L84" s="32">
        <v>0</v>
      </c>
      <c r="M84" s="32">
        <v>3</v>
      </c>
    </row>
    <row r="85" spans="1:13">
      <c r="A85" s="32">
        <f t="shared" ca="1" si="1"/>
        <v>113</v>
      </c>
      <c r="B85" s="32" cm="1">
        <f t="array" aca="1" ref="B85" ca="1">INDEX(Data_DBD!$B:$B,$A85)</f>
        <v>69</v>
      </c>
      <c r="C85" s="32" cm="1">
        <f t="array" aca="1" ref="C85" ca="1">INDEX(Data_DBD!$C:$C,$A85)</f>
        <v>1</v>
      </c>
      <c r="D85" s="32" cm="1">
        <f t="array" aca="1" ref="D85" ca="1">INDEX(Data_DBD!$D:$D,$A85)</f>
        <v>33</v>
      </c>
      <c r="E85" s="32" cm="1">
        <f t="array" aca="1" ref="E85" ca="1">INDEX(Data_DBD!$E:$E,$A85)</f>
        <v>1</v>
      </c>
      <c r="F85" s="32" cm="1">
        <f t="array" aca="1" ref="F85" ca="1">INDEX(Data_DBD!$F:$F,$A85)</f>
        <v>3</v>
      </c>
      <c r="H85" s="32">
        <v>119</v>
      </c>
      <c r="I85" s="32">
        <v>30</v>
      </c>
      <c r="J85" s="32">
        <v>7</v>
      </c>
      <c r="K85" s="32">
        <v>33</v>
      </c>
      <c r="L85" s="32">
        <v>0</v>
      </c>
      <c r="M85" s="32">
        <v>3</v>
      </c>
    </row>
    <row r="86" spans="1:13">
      <c r="A86" s="32">
        <f t="shared" ca="1" si="1"/>
        <v>138</v>
      </c>
      <c r="B86" s="32" cm="1">
        <f t="array" aca="1" ref="B86" ca="1">INDEX(Data_DBD!$B:$B,$A86)</f>
        <v>13</v>
      </c>
      <c r="C86" s="32" cm="1">
        <f t="array" aca="1" ref="C86" ca="1">INDEX(Data_DBD!$C:$C,$A86)</f>
        <v>3</v>
      </c>
      <c r="D86" s="32" cm="1">
        <f t="array" aca="1" ref="D86" ca="1">INDEX(Data_DBD!$D:$D,$A86)</f>
        <v>33</v>
      </c>
      <c r="E86" s="32" cm="1">
        <f t="array" aca="1" ref="E86" ca="1">INDEX(Data_DBD!$E:$E,$A86)</f>
        <v>1</v>
      </c>
      <c r="F86" s="32" cm="1">
        <f t="array" aca="1" ref="F86" ca="1">INDEX(Data_DBD!$F:$F,$A86)</f>
        <v>3</v>
      </c>
      <c r="H86" s="32">
        <v>93</v>
      </c>
      <c r="I86" s="32">
        <v>65</v>
      </c>
      <c r="J86" s="32">
        <v>4</v>
      </c>
      <c r="K86" s="32">
        <v>18</v>
      </c>
      <c r="L86" s="32">
        <v>0</v>
      </c>
      <c r="M86" s="32">
        <v>3</v>
      </c>
    </row>
    <row r="87" spans="1:13">
      <c r="A87" s="32">
        <f t="shared" ca="1" si="1"/>
        <v>52</v>
      </c>
      <c r="B87" s="32" cm="1">
        <f t="array" aca="1" ref="B87" ca="1">INDEX(Data_DBD!$B:$B,$A87)</f>
        <v>59</v>
      </c>
      <c r="C87" s="32" cm="1">
        <f t="array" aca="1" ref="C87" ca="1">INDEX(Data_DBD!$C:$C,$A87)</f>
        <v>4</v>
      </c>
      <c r="D87" s="32" cm="1">
        <f t="array" aca="1" ref="D87" ca="1">INDEX(Data_DBD!$D:$D,$A87)</f>
        <v>15</v>
      </c>
      <c r="E87" s="32" cm="1">
        <f t="array" aca="1" ref="E87" ca="1">INDEX(Data_DBD!$E:$E,$A87)</f>
        <v>1</v>
      </c>
      <c r="F87" s="32" cm="1">
        <f t="array" aca="1" ref="F87" ca="1">INDEX(Data_DBD!$F:$F,$A87)</f>
        <v>2</v>
      </c>
      <c r="H87" s="32">
        <v>66</v>
      </c>
      <c r="I87" s="32">
        <v>21</v>
      </c>
      <c r="J87" s="32">
        <v>5</v>
      </c>
      <c r="K87" s="32">
        <v>15</v>
      </c>
      <c r="L87" s="32">
        <v>1</v>
      </c>
      <c r="M87" s="32">
        <v>2</v>
      </c>
    </row>
    <row r="88" spans="1:13">
      <c r="A88" s="32">
        <f t="shared" ca="1" si="1"/>
        <v>38</v>
      </c>
      <c r="B88" s="32" cm="1">
        <f t="array" aca="1" ref="B88" ca="1">INDEX(Data_DBD!$B:$B,$A88)</f>
        <v>52</v>
      </c>
      <c r="C88" s="32" cm="1">
        <f t="array" aca="1" ref="C88" ca="1">INDEX(Data_DBD!$C:$C,$A88)</f>
        <v>3</v>
      </c>
      <c r="D88" s="32" cm="1">
        <f t="array" aca="1" ref="D88" ca="1">INDEX(Data_DBD!$D:$D,$A88)</f>
        <v>4</v>
      </c>
      <c r="E88" s="32" cm="1">
        <f t="array" aca="1" ref="E88" ca="1">INDEX(Data_DBD!$E:$E,$A88)</f>
        <v>1</v>
      </c>
      <c r="F88" s="32" cm="1">
        <f t="array" aca="1" ref="F88" ca="1">INDEX(Data_DBD!$F:$F,$A88)</f>
        <v>1</v>
      </c>
      <c r="H88" s="32">
        <v>74</v>
      </c>
      <c r="I88" s="32">
        <v>9</v>
      </c>
      <c r="J88" s="32">
        <v>4</v>
      </c>
      <c r="K88" s="32">
        <v>10</v>
      </c>
      <c r="L88" s="32">
        <v>0</v>
      </c>
      <c r="M88" s="32">
        <v>2</v>
      </c>
    </row>
    <row r="89" spans="1:13">
      <c r="A89" s="32">
        <f t="shared" ca="1" si="1"/>
        <v>131</v>
      </c>
      <c r="B89" s="32" cm="1">
        <f t="array" aca="1" ref="B89" ca="1">INDEX(Data_DBD!$B:$B,$A89)</f>
        <v>10</v>
      </c>
      <c r="C89" s="32" cm="1">
        <f t="array" aca="1" ref="C89" ca="1">INDEX(Data_DBD!$C:$C,$A89)</f>
        <v>2</v>
      </c>
      <c r="D89" s="32" cm="1">
        <f t="array" aca="1" ref="D89" ca="1">INDEX(Data_DBD!$D:$D,$A89)</f>
        <v>33</v>
      </c>
      <c r="E89" s="32" cm="1">
        <f t="array" aca="1" ref="E89" ca="1">INDEX(Data_DBD!$E:$E,$A89)</f>
        <v>0</v>
      </c>
      <c r="F89" s="32" cm="1">
        <f t="array" aca="1" ref="F89" ca="1">INDEX(Data_DBD!$F:$F,$A89)</f>
        <v>3</v>
      </c>
      <c r="H89" s="32">
        <v>102</v>
      </c>
      <c r="I89" s="32">
        <v>41</v>
      </c>
      <c r="J89" s="32">
        <v>4</v>
      </c>
      <c r="K89" s="32">
        <v>18</v>
      </c>
      <c r="L89" s="32">
        <v>0</v>
      </c>
      <c r="M89" s="32">
        <v>3</v>
      </c>
    </row>
    <row r="90" spans="1:13">
      <c r="A90" s="32">
        <f t="shared" ca="1" si="1"/>
        <v>80</v>
      </c>
      <c r="B90" s="32" cm="1">
        <f t="array" aca="1" ref="B90" ca="1">INDEX(Data_DBD!$B:$B,$A90)</f>
        <v>27</v>
      </c>
      <c r="C90" s="32" cm="1">
        <f t="array" aca="1" ref="C90" ca="1">INDEX(Data_DBD!$C:$C,$A90)</f>
        <v>3</v>
      </c>
      <c r="D90" s="32" cm="1">
        <f t="array" aca="1" ref="D90" ca="1">INDEX(Data_DBD!$D:$D,$A90)</f>
        <v>13</v>
      </c>
      <c r="E90" s="32" cm="1">
        <f t="array" aca="1" ref="E90" ca="1">INDEX(Data_DBD!$E:$E,$A90)</f>
        <v>1</v>
      </c>
      <c r="F90" s="32" cm="1">
        <f t="array" aca="1" ref="F90" ca="1">INDEX(Data_DBD!$F:$F,$A90)</f>
        <v>2</v>
      </c>
      <c r="H90" s="32">
        <v>103</v>
      </c>
      <c r="I90" s="32">
        <v>22</v>
      </c>
      <c r="J90" s="32">
        <v>5</v>
      </c>
      <c r="K90" s="32">
        <v>18</v>
      </c>
      <c r="L90" s="32">
        <v>0</v>
      </c>
      <c r="M90" s="32">
        <v>3</v>
      </c>
    </row>
    <row r="91" spans="1:13">
      <c r="A91" s="32">
        <f t="shared" ca="1" si="1"/>
        <v>12</v>
      </c>
      <c r="B91" s="32" cm="1">
        <f t="array" aca="1" ref="B91" ca="1">INDEX(Data_DBD!$B:$B,$A91)</f>
        <v>23</v>
      </c>
      <c r="C91" s="32" cm="1">
        <f t="array" aca="1" ref="C91" ca="1">INDEX(Data_DBD!$C:$C,$A91)</f>
        <v>3</v>
      </c>
      <c r="D91" s="32" cm="1">
        <f t="array" aca="1" ref="D91" ca="1">INDEX(Data_DBD!$D:$D,$A91)</f>
        <v>12</v>
      </c>
      <c r="E91" s="32" cm="1">
        <f t="array" aca="1" ref="E91" ca="1">INDEX(Data_DBD!$E:$E,$A91)</f>
        <v>0</v>
      </c>
      <c r="F91" s="32" cm="1">
        <f t="array" aca="1" ref="F91" ca="1">INDEX(Data_DBD!$F:$F,$A91)</f>
        <v>2</v>
      </c>
      <c r="H91" s="32">
        <v>52</v>
      </c>
      <c r="I91" s="32">
        <v>59</v>
      </c>
      <c r="J91" s="32">
        <v>4</v>
      </c>
      <c r="K91" s="32">
        <v>15</v>
      </c>
      <c r="L91" s="32">
        <v>1</v>
      </c>
      <c r="M91" s="32">
        <v>2</v>
      </c>
    </row>
    <row r="92" spans="1:13">
      <c r="A92" s="32">
        <f t="shared" ca="1" si="1"/>
        <v>47</v>
      </c>
      <c r="B92" s="32" cm="1">
        <f t="array" aca="1" ref="B92" ca="1">INDEX(Data_DBD!$B:$B,$A92)</f>
        <v>19</v>
      </c>
      <c r="C92" s="32" cm="1">
        <f t="array" aca="1" ref="C92" ca="1">INDEX(Data_DBD!$C:$C,$A92)</f>
        <v>2</v>
      </c>
      <c r="D92" s="32" cm="1">
        <f t="array" aca="1" ref="D92" ca="1">INDEX(Data_DBD!$D:$D,$A92)</f>
        <v>13</v>
      </c>
      <c r="E92" s="32" cm="1">
        <f t="array" aca="1" ref="E92" ca="1">INDEX(Data_DBD!$E:$E,$A92)</f>
        <v>0</v>
      </c>
      <c r="F92" s="32" cm="1">
        <f t="array" aca="1" ref="F92" ca="1">INDEX(Data_DBD!$F:$F,$A92)</f>
        <v>2</v>
      </c>
      <c r="H92" s="32">
        <v>81</v>
      </c>
      <c r="I92" s="32">
        <v>23</v>
      </c>
      <c r="J92" s="32">
        <v>5</v>
      </c>
      <c r="K92" s="32">
        <v>13</v>
      </c>
      <c r="L92" s="32">
        <v>1</v>
      </c>
      <c r="M92" s="32">
        <v>2</v>
      </c>
    </row>
    <row r="93" spans="1:13">
      <c r="A93" s="32">
        <f t="shared" ca="1" si="1"/>
        <v>122</v>
      </c>
      <c r="B93" s="32" cm="1">
        <f t="array" aca="1" ref="B93" ca="1">INDEX(Data_DBD!$B:$B,$A93)</f>
        <v>28</v>
      </c>
      <c r="C93" s="32" cm="1">
        <f t="array" aca="1" ref="C93" ca="1">INDEX(Data_DBD!$C:$C,$A93)</f>
        <v>3</v>
      </c>
      <c r="D93" s="32" cm="1">
        <f t="array" aca="1" ref="D93" ca="1">INDEX(Data_DBD!$D:$D,$A93)</f>
        <v>33</v>
      </c>
      <c r="E93" s="32" cm="1">
        <f t="array" aca="1" ref="E93" ca="1">INDEX(Data_DBD!$E:$E,$A93)</f>
        <v>1</v>
      </c>
      <c r="F93" s="32" cm="1">
        <f t="array" aca="1" ref="F93" ca="1">INDEX(Data_DBD!$F:$F,$A93)</f>
        <v>3</v>
      </c>
      <c r="H93" s="32">
        <v>108</v>
      </c>
      <c r="I93" s="32">
        <v>69</v>
      </c>
      <c r="J93" s="32">
        <v>7</v>
      </c>
      <c r="K93" s="32">
        <v>33</v>
      </c>
      <c r="L93" s="32">
        <v>1</v>
      </c>
      <c r="M93" s="32">
        <v>3</v>
      </c>
    </row>
    <row r="94" spans="1:13">
      <c r="A94" s="32">
        <f t="shared" ca="1" si="1"/>
        <v>38</v>
      </c>
      <c r="B94" s="32" cm="1">
        <f t="array" aca="1" ref="B94" ca="1">INDEX(Data_DBD!$B:$B,$A94)</f>
        <v>52</v>
      </c>
      <c r="C94" s="32" cm="1">
        <f t="array" aca="1" ref="C94" ca="1">INDEX(Data_DBD!$C:$C,$A94)</f>
        <v>3</v>
      </c>
      <c r="D94" s="32" cm="1">
        <f t="array" aca="1" ref="D94" ca="1">INDEX(Data_DBD!$D:$D,$A94)</f>
        <v>4</v>
      </c>
      <c r="E94" s="32" cm="1">
        <f t="array" aca="1" ref="E94" ca="1">INDEX(Data_DBD!$E:$E,$A94)</f>
        <v>1</v>
      </c>
      <c r="F94" s="32" cm="1">
        <f t="array" aca="1" ref="F94" ca="1">INDEX(Data_DBD!$F:$F,$A94)</f>
        <v>1</v>
      </c>
      <c r="H94" s="32">
        <v>68</v>
      </c>
      <c r="I94" s="32">
        <v>44</v>
      </c>
      <c r="J94" s="32">
        <v>5</v>
      </c>
      <c r="K94" s="32">
        <v>10</v>
      </c>
      <c r="L94" s="32">
        <v>0</v>
      </c>
      <c r="M94" s="32">
        <v>2</v>
      </c>
    </row>
    <row r="95" spans="1:13">
      <c r="A95" s="32">
        <f t="shared" ca="1" si="1"/>
        <v>93</v>
      </c>
      <c r="B95" s="32" cm="1">
        <f t="array" aca="1" ref="B95" ca="1">INDEX(Data_DBD!$B:$B,$A95)</f>
        <v>65</v>
      </c>
      <c r="C95" s="32" cm="1">
        <f t="array" aca="1" ref="C95" ca="1">INDEX(Data_DBD!$C:$C,$A95)</f>
        <v>4</v>
      </c>
      <c r="D95" s="32" cm="1">
        <f t="array" aca="1" ref="D95" ca="1">INDEX(Data_DBD!$D:$D,$A95)</f>
        <v>18</v>
      </c>
      <c r="E95" s="32" cm="1">
        <f t="array" aca="1" ref="E95" ca="1">INDEX(Data_DBD!$E:$E,$A95)</f>
        <v>0</v>
      </c>
      <c r="F95" s="32" cm="1">
        <f t="array" aca="1" ref="F95" ca="1">INDEX(Data_DBD!$F:$F,$A95)</f>
        <v>3</v>
      </c>
      <c r="H95" s="32">
        <v>12</v>
      </c>
      <c r="I95" s="32">
        <v>23</v>
      </c>
      <c r="J95" s="32">
        <v>3</v>
      </c>
      <c r="K95" s="32">
        <v>12</v>
      </c>
      <c r="L95" s="32">
        <v>0</v>
      </c>
      <c r="M95" s="32">
        <v>2</v>
      </c>
    </row>
    <row r="96" spans="1:13">
      <c r="A96" s="32">
        <f t="shared" ca="1" si="1"/>
        <v>112</v>
      </c>
      <c r="B96" s="32" cm="1">
        <f t="array" aca="1" ref="B96" ca="1">INDEX(Data_DBD!$B:$B,$A96)</f>
        <v>61</v>
      </c>
      <c r="C96" s="32" cm="1">
        <f t="array" aca="1" ref="C96" ca="1">INDEX(Data_DBD!$C:$C,$A96)</f>
        <v>3</v>
      </c>
      <c r="D96" s="32" cm="1">
        <f t="array" aca="1" ref="D96" ca="1">INDEX(Data_DBD!$D:$D,$A96)</f>
        <v>33</v>
      </c>
      <c r="E96" s="32" cm="1">
        <f t="array" aca="1" ref="E96" ca="1">INDEX(Data_DBD!$E:$E,$A96)</f>
        <v>1</v>
      </c>
      <c r="F96" s="32" cm="1">
        <f t="array" aca="1" ref="F96" ca="1">INDEX(Data_DBD!$F:$F,$A96)</f>
        <v>3</v>
      </c>
      <c r="H96" s="32">
        <v>33</v>
      </c>
      <c r="I96" s="32">
        <v>19</v>
      </c>
      <c r="J96" s="32">
        <v>4</v>
      </c>
      <c r="K96" s="32">
        <v>14</v>
      </c>
      <c r="L96" s="32">
        <v>1</v>
      </c>
      <c r="M96" s="32">
        <v>2</v>
      </c>
    </row>
    <row r="97" spans="1:13">
      <c r="A97" s="32">
        <f t="shared" ca="1" si="1"/>
        <v>66</v>
      </c>
      <c r="B97" s="32" cm="1">
        <f t="array" aca="1" ref="B97" ca="1">INDEX(Data_DBD!$B:$B,$A97)</f>
        <v>21</v>
      </c>
      <c r="C97" s="32" cm="1">
        <f t="array" aca="1" ref="C97" ca="1">INDEX(Data_DBD!$C:$C,$A97)</f>
        <v>5</v>
      </c>
      <c r="D97" s="32" cm="1">
        <f t="array" aca="1" ref="D97" ca="1">INDEX(Data_DBD!$D:$D,$A97)</f>
        <v>15</v>
      </c>
      <c r="E97" s="32" cm="1">
        <f t="array" aca="1" ref="E97" ca="1">INDEX(Data_DBD!$E:$E,$A97)</f>
        <v>1</v>
      </c>
      <c r="F97" s="32" cm="1">
        <f t="array" aca="1" ref="F97" ca="1">INDEX(Data_DBD!$F:$F,$A97)</f>
        <v>2</v>
      </c>
      <c r="H97" s="32">
        <v>124</v>
      </c>
      <c r="I97" s="32">
        <v>24</v>
      </c>
      <c r="J97" s="32">
        <v>3</v>
      </c>
      <c r="K97" s="32">
        <v>33</v>
      </c>
      <c r="L97" s="32">
        <v>1</v>
      </c>
      <c r="M97" s="32">
        <v>3</v>
      </c>
    </row>
    <row r="98" spans="1:13">
      <c r="A98" s="32">
        <f t="shared" ca="1" si="1"/>
        <v>91</v>
      </c>
      <c r="B98" s="32" cm="1">
        <f t="array" aca="1" ref="B98" ca="1">INDEX(Data_DBD!$B:$B,$A98)</f>
        <v>35</v>
      </c>
      <c r="C98" s="32" cm="1">
        <f t="array" aca="1" ref="C98" ca="1">INDEX(Data_DBD!$C:$C,$A98)</f>
        <v>1</v>
      </c>
      <c r="D98" s="32" cm="1">
        <f t="array" aca="1" ref="D98" ca="1">INDEX(Data_DBD!$D:$D,$A98)</f>
        <v>18</v>
      </c>
      <c r="E98" s="32" cm="1">
        <f t="array" aca="1" ref="E98" ca="1">INDEX(Data_DBD!$E:$E,$A98)</f>
        <v>1</v>
      </c>
      <c r="F98" s="32" cm="1">
        <f t="array" aca="1" ref="F98" ca="1">INDEX(Data_DBD!$F:$F,$A98)</f>
        <v>3</v>
      </c>
      <c r="H98" s="32">
        <v>121</v>
      </c>
      <c r="I98" s="32">
        <v>82</v>
      </c>
      <c r="J98" s="32">
        <v>5</v>
      </c>
      <c r="K98" s="32">
        <v>33</v>
      </c>
      <c r="L98" s="32">
        <v>1</v>
      </c>
      <c r="M98" s="32">
        <v>3</v>
      </c>
    </row>
    <row r="99" spans="1:13">
      <c r="A99" s="32">
        <f t="shared" ca="1" si="1"/>
        <v>35</v>
      </c>
      <c r="B99" s="32" cm="1">
        <f t="array" aca="1" ref="B99" ca="1">INDEX(Data_DBD!$B:$B,$A99)</f>
        <v>40</v>
      </c>
      <c r="C99" s="32" cm="1">
        <f t="array" aca="1" ref="C99" ca="1">INDEX(Data_DBD!$C:$C,$A99)</f>
        <v>3</v>
      </c>
      <c r="D99" s="32" cm="1">
        <f t="array" aca="1" ref="D99" ca="1">INDEX(Data_DBD!$D:$D,$A99)</f>
        <v>4</v>
      </c>
      <c r="E99" s="32" cm="1">
        <f t="array" aca="1" ref="E99" ca="1">INDEX(Data_DBD!$E:$E,$A99)</f>
        <v>1</v>
      </c>
      <c r="F99" s="32" cm="1">
        <f t="array" aca="1" ref="F99" ca="1">INDEX(Data_DBD!$F:$F,$A99)</f>
        <v>1</v>
      </c>
      <c r="H99" s="32">
        <v>143</v>
      </c>
      <c r="I99" s="32">
        <v>20</v>
      </c>
      <c r="J99" s="32">
        <v>4</v>
      </c>
      <c r="K99" s="32">
        <v>21</v>
      </c>
      <c r="L99" s="32">
        <v>1</v>
      </c>
      <c r="M99" s="32">
        <v>3</v>
      </c>
    </row>
    <row r="100" spans="1:13">
      <c r="A100" s="32">
        <f t="shared" ca="1" si="1"/>
        <v>95</v>
      </c>
      <c r="B100" s="32" cm="1">
        <f t="array" aca="1" ref="B100" ca="1">INDEX(Data_DBD!$B:$B,$A100)</f>
        <v>11</v>
      </c>
      <c r="C100" s="32" cm="1">
        <f t="array" aca="1" ref="C100" ca="1">INDEX(Data_DBD!$C:$C,$A100)</f>
        <v>3</v>
      </c>
      <c r="D100" s="32" cm="1">
        <f t="array" aca="1" ref="D100" ca="1">INDEX(Data_DBD!$D:$D,$A100)</f>
        <v>18</v>
      </c>
      <c r="E100" s="32" cm="1">
        <f t="array" aca="1" ref="E100" ca="1">INDEX(Data_DBD!$E:$E,$A100)</f>
        <v>1</v>
      </c>
      <c r="F100" s="32" cm="1">
        <f t="array" aca="1" ref="F100" ca="1">INDEX(Data_DBD!$F:$F,$A100)</f>
        <v>3</v>
      </c>
      <c r="H100" s="32">
        <v>119</v>
      </c>
      <c r="I100" s="32">
        <v>30</v>
      </c>
      <c r="J100" s="32">
        <v>7</v>
      </c>
      <c r="K100" s="32">
        <v>33</v>
      </c>
      <c r="L100" s="32">
        <v>0</v>
      </c>
      <c r="M100" s="32">
        <v>3</v>
      </c>
    </row>
    <row r="101" spans="1:13">
      <c r="A101" s="32">
        <f t="shared" ca="1" si="1"/>
        <v>130</v>
      </c>
      <c r="B101" s="32" cm="1">
        <f t="array" aca="1" ref="B101" ca="1">INDEX(Data_DBD!$B:$B,$A101)</f>
        <v>12</v>
      </c>
      <c r="C101" s="32" cm="1">
        <f t="array" aca="1" ref="C101" ca="1">INDEX(Data_DBD!$C:$C,$A101)</f>
        <v>4</v>
      </c>
      <c r="D101" s="32" cm="1">
        <f t="array" aca="1" ref="D101" ca="1">INDEX(Data_DBD!$D:$D,$A101)</f>
        <v>33</v>
      </c>
      <c r="E101" s="32" cm="1">
        <f t="array" aca="1" ref="E101" ca="1">INDEX(Data_DBD!$E:$E,$A101)</f>
        <v>0</v>
      </c>
      <c r="F101" s="32" cm="1">
        <f t="array" aca="1" ref="F101" ca="1">INDEX(Data_DBD!$F:$F,$A101)</f>
        <v>3</v>
      </c>
      <c r="H101" s="32">
        <v>69</v>
      </c>
      <c r="I101" s="32">
        <v>24</v>
      </c>
      <c r="J101" s="32">
        <v>4</v>
      </c>
      <c r="K101" s="32">
        <v>10</v>
      </c>
      <c r="L101" s="32">
        <v>1</v>
      </c>
      <c r="M101" s="32">
        <v>2</v>
      </c>
    </row>
    <row r="102" spans="1:13">
      <c r="A102" s="32">
        <f t="shared" ca="1" si="1"/>
        <v>150</v>
      </c>
      <c r="B102" s="32" cm="1">
        <f t="array" aca="1" ref="B102" ca="1">INDEX(Data_DBD!$B:$B,$A102)</f>
        <v>61</v>
      </c>
      <c r="C102" s="32" cm="1">
        <f t="array" aca="1" ref="C102" ca="1">INDEX(Data_DBD!$C:$C,$A102)</f>
        <v>5</v>
      </c>
      <c r="D102" s="32" cm="1">
        <f t="array" aca="1" ref="D102" ca="1">INDEX(Data_DBD!$D:$D,$A102)</f>
        <v>21</v>
      </c>
      <c r="E102" s="32" cm="1">
        <f t="array" aca="1" ref="E102" ca="1">INDEX(Data_DBD!$E:$E,$A102)</f>
        <v>1</v>
      </c>
      <c r="F102" s="32" cm="1">
        <f t="array" aca="1" ref="F102" ca="1">INDEX(Data_DBD!$F:$F,$A102)</f>
        <v>3</v>
      </c>
      <c r="H102" s="32">
        <v>27</v>
      </c>
      <c r="I102" s="32">
        <v>37</v>
      </c>
      <c r="J102" s="32">
        <v>4</v>
      </c>
      <c r="K102" s="32">
        <v>14</v>
      </c>
      <c r="L102" s="32">
        <v>1</v>
      </c>
      <c r="M102" s="32">
        <v>2</v>
      </c>
    </row>
    <row r="103" spans="1:13">
      <c r="A103" s="32">
        <f t="shared" ca="1" si="1"/>
        <v>60</v>
      </c>
      <c r="B103" s="32" cm="1">
        <f t="array" aca="1" ref="B103" ca="1">INDEX(Data_DBD!$B:$B,$A103)</f>
        <v>68</v>
      </c>
      <c r="C103" s="32" cm="1">
        <f t="array" aca="1" ref="C103" ca="1">INDEX(Data_DBD!$C:$C,$A103)</f>
        <v>4</v>
      </c>
      <c r="D103" s="32" cm="1">
        <f t="array" aca="1" ref="D103" ca="1">INDEX(Data_DBD!$D:$D,$A103)</f>
        <v>15</v>
      </c>
      <c r="E103" s="32" cm="1">
        <f t="array" aca="1" ref="E103" ca="1">INDEX(Data_DBD!$E:$E,$A103)</f>
        <v>0</v>
      </c>
      <c r="F103" s="32" cm="1">
        <f t="array" aca="1" ref="F103" ca="1">INDEX(Data_DBD!$F:$F,$A103)</f>
        <v>2</v>
      </c>
      <c r="H103" s="32">
        <v>51</v>
      </c>
      <c r="I103" s="32">
        <v>48</v>
      </c>
      <c r="J103" s="32">
        <v>4</v>
      </c>
      <c r="K103" s="32">
        <v>13</v>
      </c>
      <c r="L103" s="32">
        <v>0</v>
      </c>
      <c r="M103" s="32">
        <v>2</v>
      </c>
    </row>
    <row r="104" spans="1:13">
      <c r="A104" s="32">
        <f t="shared" ca="1" si="1"/>
        <v>157</v>
      </c>
      <c r="B104" s="32" cm="1">
        <f t="array" aca="1" ref="B104" ca="1">INDEX(Data_DBD!$B:$B,$A104)</f>
        <v>15</v>
      </c>
      <c r="C104" s="32" cm="1">
        <f t="array" aca="1" ref="C104" ca="1">INDEX(Data_DBD!$C:$C,$A104)</f>
        <v>4</v>
      </c>
      <c r="D104" s="32" cm="1">
        <f t="array" aca="1" ref="D104" ca="1">INDEX(Data_DBD!$D:$D,$A104)</f>
        <v>21</v>
      </c>
      <c r="E104" s="32" cm="1">
        <f t="array" aca="1" ref="E104" ca="1">INDEX(Data_DBD!$E:$E,$A104)</f>
        <v>1</v>
      </c>
      <c r="F104" s="32" cm="1">
        <f t="array" aca="1" ref="F104" ca="1">INDEX(Data_DBD!$F:$F,$A104)</f>
        <v>3</v>
      </c>
      <c r="H104" s="32">
        <v>107</v>
      </c>
      <c r="I104" s="32">
        <v>48</v>
      </c>
      <c r="J104" s="32">
        <v>5</v>
      </c>
      <c r="K104" s="32">
        <v>18</v>
      </c>
      <c r="L104" s="32">
        <v>0</v>
      </c>
      <c r="M104" s="32">
        <v>3</v>
      </c>
    </row>
    <row r="105" spans="1:13">
      <c r="A105" s="32">
        <f t="shared" ca="1" si="1"/>
        <v>150</v>
      </c>
      <c r="B105" s="32" cm="1">
        <f t="array" aca="1" ref="B105" ca="1">INDEX(Data_DBD!$B:$B,$A105)</f>
        <v>61</v>
      </c>
      <c r="C105" s="32" cm="1">
        <f t="array" aca="1" ref="C105" ca="1">INDEX(Data_DBD!$C:$C,$A105)</f>
        <v>5</v>
      </c>
      <c r="D105" s="32" cm="1">
        <f t="array" aca="1" ref="D105" ca="1">INDEX(Data_DBD!$D:$D,$A105)</f>
        <v>21</v>
      </c>
      <c r="E105" s="32" cm="1">
        <f t="array" aca="1" ref="E105" ca="1">INDEX(Data_DBD!$E:$E,$A105)</f>
        <v>1</v>
      </c>
      <c r="F105" s="32" cm="1">
        <f t="array" aca="1" ref="F105" ca="1">INDEX(Data_DBD!$F:$F,$A105)</f>
        <v>3</v>
      </c>
      <c r="H105" s="32">
        <v>29</v>
      </c>
      <c r="I105" s="32">
        <v>19</v>
      </c>
      <c r="J105" s="32">
        <v>2</v>
      </c>
      <c r="K105" s="32">
        <v>14</v>
      </c>
      <c r="L105" s="32">
        <v>1</v>
      </c>
      <c r="M105" s="32">
        <v>2</v>
      </c>
    </row>
    <row r="106" spans="1:13">
      <c r="A106" s="32">
        <f t="shared" ca="1" si="1"/>
        <v>77</v>
      </c>
      <c r="B106" s="32" cm="1">
        <f t="array" aca="1" ref="B106" ca="1">INDEX(Data_DBD!$B:$B,$A106)</f>
        <v>16</v>
      </c>
      <c r="C106" s="32" cm="1">
        <f t="array" aca="1" ref="C106" ca="1">INDEX(Data_DBD!$C:$C,$A106)</f>
        <v>4</v>
      </c>
      <c r="D106" s="32" cm="1">
        <f t="array" aca="1" ref="D106" ca="1">INDEX(Data_DBD!$D:$D,$A106)</f>
        <v>13</v>
      </c>
      <c r="E106" s="32" cm="1">
        <f t="array" aca="1" ref="E106" ca="1">INDEX(Data_DBD!$E:$E,$A106)</f>
        <v>1</v>
      </c>
      <c r="F106" s="32" cm="1">
        <f t="array" aca="1" ref="F106" ca="1">INDEX(Data_DBD!$F:$F,$A106)</f>
        <v>2</v>
      </c>
      <c r="H106" s="32">
        <v>16</v>
      </c>
      <c r="I106" s="32">
        <v>66</v>
      </c>
      <c r="J106" s="32">
        <v>5</v>
      </c>
      <c r="K106" s="32">
        <v>7</v>
      </c>
      <c r="L106" s="32">
        <v>1</v>
      </c>
      <c r="M106" s="32">
        <v>1</v>
      </c>
    </row>
    <row r="107" spans="1:13">
      <c r="A107" s="32">
        <f t="shared" ca="1" si="1"/>
        <v>44</v>
      </c>
      <c r="B107" s="32" cm="1">
        <f t="array" aca="1" ref="B107" ca="1">INDEX(Data_DBD!$B:$B,$A107)</f>
        <v>28</v>
      </c>
      <c r="C107" s="32" cm="1">
        <f t="array" aca="1" ref="C107" ca="1">INDEX(Data_DBD!$C:$C,$A107)</f>
        <v>5</v>
      </c>
      <c r="D107" s="32" cm="1">
        <f t="array" aca="1" ref="D107" ca="1">INDEX(Data_DBD!$D:$D,$A107)</f>
        <v>13</v>
      </c>
      <c r="E107" s="32" cm="1">
        <f t="array" aca="1" ref="E107" ca="1">INDEX(Data_DBD!$E:$E,$A107)</f>
        <v>1</v>
      </c>
      <c r="F107" s="32" cm="1">
        <f t="array" aca="1" ref="F107" ca="1">INDEX(Data_DBD!$F:$F,$A107)</f>
        <v>2</v>
      </c>
      <c r="H107" s="32">
        <v>46</v>
      </c>
      <c r="I107" s="32">
        <v>62</v>
      </c>
      <c r="J107" s="32">
        <v>2</v>
      </c>
      <c r="K107" s="32">
        <v>13</v>
      </c>
      <c r="L107" s="32">
        <v>0</v>
      </c>
      <c r="M107" s="32">
        <v>2</v>
      </c>
    </row>
    <row r="108" spans="1:13">
      <c r="A108" s="32">
        <f t="shared" ca="1" si="1"/>
        <v>128</v>
      </c>
      <c r="B108" s="32" cm="1">
        <f t="array" aca="1" ref="B108" ca="1">INDEX(Data_DBD!$B:$B,$A108)</f>
        <v>38</v>
      </c>
      <c r="C108" s="32" cm="1">
        <f t="array" aca="1" ref="C108" ca="1">INDEX(Data_DBD!$C:$C,$A108)</f>
        <v>2</v>
      </c>
      <c r="D108" s="32" cm="1">
        <f t="array" aca="1" ref="D108" ca="1">INDEX(Data_DBD!$D:$D,$A108)</f>
        <v>33</v>
      </c>
      <c r="E108" s="32" cm="1">
        <f t="array" aca="1" ref="E108" ca="1">INDEX(Data_DBD!$E:$E,$A108)</f>
        <v>0</v>
      </c>
      <c r="F108" s="32" cm="1">
        <f t="array" aca="1" ref="F108" ca="1">INDEX(Data_DBD!$F:$F,$A108)</f>
        <v>3</v>
      </c>
      <c r="H108" s="32">
        <v>98</v>
      </c>
      <c r="I108" s="32">
        <v>16</v>
      </c>
      <c r="J108" s="32">
        <v>2</v>
      </c>
      <c r="K108" s="32">
        <v>18</v>
      </c>
      <c r="L108" s="32">
        <v>1</v>
      </c>
      <c r="M108" s="32">
        <v>3</v>
      </c>
    </row>
    <row r="109" spans="1:13">
      <c r="A109" s="32">
        <f t="shared" ca="1" si="1"/>
        <v>144</v>
      </c>
      <c r="B109" s="32" cm="1">
        <f t="array" aca="1" ref="B109" ca="1">INDEX(Data_DBD!$B:$B,$A109)</f>
        <v>61</v>
      </c>
      <c r="C109" s="32" cm="1">
        <f t="array" aca="1" ref="C109" ca="1">INDEX(Data_DBD!$C:$C,$A109)</f>
        <v>4</v>
      </c>
      <c r="D109" s="32" cm="1">
        <f t="array" aca="1" ref="D109" ca="1">INDEX(Data_DBD!$D:$D,$A109)</f>
        <v>21</v>
      </c>
      <c r="E109" s="32" cm="1">
        <f t="array" aca="1" ref="E109" ca="1">INDEX(Data_DBD!$E:$E,$A109)</f>
        <v>1</v>
      </c>
      <c r="F109" s="32" cm="1">
        <f t="array" aca="1" ref="F109" ca="1">INDEX(Data_DBD!$F:$F,$A109)</f>
        <v>3</v>
      </c>
      <c r="H109" s="32">
        <v>109</v>
      </c>
      <c r="I109" s="32">
        <v>40</v>
      </c>
      <c r="J109" s="32">
        <v>3</v>
      </c>
      <c r="K109" s="32">
        <v>33</v>
      </c>
      <c r="L109" s="32">
        <v>1</v>
      </c>
      <c r="M109" s="32">
        <v>3</v>
      </c>
    </row>
    <row r="110" spans="1:13">
      <c r="A110" s="32">
        <f t="shared" ca="1" si="1"/>
        <v>53</v>
      </c>
      <c r="B110" s="32" cm="1">
        <f t="array" aca="1" ref="B110" ca="1">INDEX(Data_DBD!$B:$B,$A110)</f>
        <v>35</v>
      </c>
      <c r="C110" s="32" cm="1">
        <f t="array" aca="1" ref="C110" ca="1">INDEX(Data_DBD!$C:$C,$A110)</f>
        <v>4</v>
      </c>
      <c r="D110" s="32" cm="1">
        <f t="array" aca="1" ref="D110" ca="1">INDEX(Data_DBD!$D:$D,$A110)</f>
        <v>15</v>
      </c>
      <c r="E110" s="32" cm="1">
        <f t="array" aca="1" ref="E110" ca="1">INDEX(Data_DBD!$E:$E,$A110)</f>
        <v>1</v>
      </c>
      <c r="F110" s="32" cm="1">
        <f t="array" aca="1" ref="F110" ca="1">INDEX(Data_DBD!$F:$F,$A110)</f>
        <v>2</v>
      </c>
      <c r="H110" s="32">
        <v>55</v>
      </c>
      <c r="I110" s="32">
        <v>7</v>
      </c>
      <c r="J110" s="32">
        <v>4</v>
      </c>
      <c r="K110" s="32">
        <v>15</v>
      </c>
      <c r="L110" s="32">
        <v>1</v>
      </c>
      <c r="M110" s="32">
        <v>2</v>
      </c>
    </row>
    <row r="111" spans="1:13">
      <c r="A111" s="32">
        <f t="shared" ca="1" si="1"/>
        <v>158</v>
      </c>
      <c r="B111" s="32" cm="1">
        <f t="array" aca="1" ref="B111" ca="1">INDEX(Data_DBD!$B:$B,$A111)</f>
        <v>5</v>
      </c>
      <c r="C111" s="32" cm="1">
        <f t="array" aca="1" ref="C111" ca="1">INDEX(Data_DBD!$C:$C,$A111)</f>
        <v>2</v>
      </c>
      <c r="D111" s="32" cm="1">
        <f t="array" aca="1" ref="D111" ca="1">INDEX(Data_DBD!$D:$D,$A111)</f>
        <v>21</v>
      </c>
      <c r="E111" s="32" cm="1">
        <f t="array" aca="1" ref="E111" ca="1">INDEX(Data_DBD!$E:$E,$A111)</f>
        <v>0</v>
      </c>
      <c r="F111" s="32" cm="1">
        <f t="array" aca="1" ref="F111" ca="1">INDEX(Data_DBD!$F:$F,$A111)</f>
        <v>3</v>
      </c>
      <c r="H111" s="32">
        <v>158</v>
      </c>
      <c r="I111" s="32">
        <v>5</v>
      </c>
      <c r="J111" s="32">
        <v>2</v>
      </c>
      <c r="K111" s="32">
        <v>21</v>
      </c>
      <c r="L111" s="32">
        <v>0</v>
      </c>
      <c r="M111" s="32">
        <v>3</v>
      </c>
    </row>
    <row r="112" spans="1:13">
      <c r="A112" s="32">
        <f t="shared" ca="1" si="1"/>
        <v>144</v>
      </c>
      <c r="B112" s="32" cm="1">
        <f t="array" aca="1" ref="B112" ca="1">INDEX(Data_DBD!$B:$B,$A112)</f>
        <v>61</v>
      </c>
      <c r="C112" s="32" cm="1">
        <f t="array" aca="1" ref="C112" ca="1">INDEX(Data_DBD!$C:$C,$A112)</f>
        <v>4</v>
      </c>
      <c r="D112" s="32" cm="1">
        <f t="array" aca="1" ref="D112" ca="1">INDEX(Data_DBD!$D:$D,$A112)</f>
        <v>21</v>
      </c>
      <c r="E112" s="32" cm="1">
        <f t="array" aca="1" ref="E112" ca="1">INDEX(Data_DBD!$E:$E,$A112)</f>
        <v>1</v>
      </c>
      <c r="F112" s="32" cm="1">
        <f t="array" aca="1" ref="F112" ca="1">INDEX(Data_DBD!$F:$F,$A112)</f>
        <v>3</v>
      </c>
      <c r="H112" s="32">
        <v>63</v>
      </c>
      <c r="I112" s="32">
        <v>25</v>
      </c>
      <c r="J112" s="32">
        <v>3</v>
      </c>
      <c r="K112" s="32">
        <v>15</v>
      </c>
      <c r="L112" s="32">
        <v>0</v>
      </c>
      <c r="M112" s="32">
        <v>2</v>
      </c>
    </row>
    <row r="113" spans="1:13">
      <c r="A113" s="32">
        <f t="shared" ca="1" si="1"/>
        <v>96</v>
      </c>
      <c r="B113" s="32" cm="1">
        <f t="array" aca="1" ref="B113" ca="1">INDEX(Data_DBD!$B:$B,$A113)</f>
        <v>56</v>
      </c>
      <c r="C113" s="32" cm="1">
        <f t="array" aca="1" ref="C113" ca="1">INDEX(Data_DBD!$C:$C,$A113)</f>
        <v>4</v>
      </c>
      <c r="D113" s="32" cm="1">
        <f t="array" aca="1" ref="D113" ca="1">INDEX(Data_DBD!$D:$D,$A113)</f>
        <v>18</v>
      </c>
      <c r="E113" s="32" cm="1">
        <f t="array" aca="1" ref="E113" ca="1">INDEX(Data_DBD!$E:$E,$A113)</f>
        <v>0</v>
      </c>
      <c r="F113" s="32" cm="1">
        <f t="array" aca="1" ref="F113" ca="1">INDEX(Data_DBD!$F:$F,$A113)</f>
        <v>3</v>
      </c>
      <c r="H113" s="32">
        <v>17</v>
      </c>
      <c r="I113" s="32">
        <v>2</v>
      </c>
      <c r="J113" s="32">
        <v>3</v>
      </c>
      <c r="K113" s="32">
        <v>7</v>
      </c>
      <c r="L113" s="32">
        <v>0</v>
      </c>
      <c r="M113" s="32">
        <v>1</v>
      </c>
    </row>
    <row r="114" spans="1:13">
      <c r="A114" s="32">
        <f t="shared" ca="1" si="1"/>
        <v>117</v>
      </c>
      <c r="B114" s="32" cm="1">
        <f t="array" aca="1" ref="B114" ca="1">INDEX(Data_DBD!$B:$B,$A114)</f>
        <v>49</v>
      </c>
      <c r="C114" s="32" cm="1">
        <f t="array" aca="1" ref="C114" ca="1">INDEX(Data_DBD!$C:$C,$A114)</f>
        <v>4</v>
      </c>
      <c r="D114" s="32" cm="1">
        <f t="array" aca="1" ref="D114" ca="1">INDEX(Data_DBD!$D:$D,$A114)</f>
        <v>33</v>
      </c>
      <c r="E114" s="32" cm="1">
        <f t="array" aca="1" ref="E114" ca="1">INDEX(Data_DBD!$E:$E,$A114)</f>
        <v>1</v>
      </c>
      <c r="F114" s="32" cm="1">
        <f t="array" aca="1" ref="F114" ca="1">INDEX(Data_DBD!$F:$F,$A114)</f>
        <v>3</v>
      </c>
      <c r="H114" s="32">
        <v>112</v>
      </c>
      <c r="I114" s="32">
        <v>61</v>
      </c>
      <c r="J114" s="32">
        <v>3</v>
      </c>
      <c r="K114" s="32">
        <v>33</v>
      </c>
      <c r="L114" s="32">
        <v>1</v>
      </c>
      <c r="M114" s="32">
        <v>3</v>
      </c>
    </row>
    <row r="115" spans="1:13">
      <c r="A115" s="32">
        <f t="shared" ca="1" si="1"/>
        <v>99</v>
      </c>
      <c r="B115" s="32" cm="1">
        <f t="array" aca="1" ref="B115" ca="1">INDEX(Data_DBD!$B:$B,$A115)</f>
        <v>4</v>
      </c>
      <c r="C115" s="32" cm="1">
        <f t="array" aca="1" ref="C115" ca="1">INDEX(Data_DBD!$C:$C,$A115)</f>
        <v>2</v>
      </c>
      <c r="D115" s="32" cm="1">
        <f t="array" aca="1" ref="D115" ca="1">INDEX(Data_DBD!$D:$D,$A115)</f>
        <v>18</v>
      </c>
      <c r="E115" s="32" cm="1">
        <f t="array" aca="1" ref="E115" ca="1">INDEX(Data_DBD!$E:$E,$A115)</f>
        <v>1</v>
      </c>
      <c r="F115" s="32" cm="1">
        <f t="array" aca="1" ref="F115" ca="1">INDEX(Data_DBD!$F:$F,$A115)</f>
        <v>3</v>
      </c>
      <c r="H115" s="32">
        <v>41</v>
      </c>
      <c r="I115" s="32">
        <v>8</v>
      </c>
      <c r="J115" s="32">
        <v>4</v>
      </c>
      <c r="K115" s="32">
        <v>13</v>
      </c>
      <c r="L115" s="32">
        <v>0</v>
      </c>
      <c r="M115" s="32">
        <v>2</v>
      </c>
    </row>
    <row r="116" spans="1:13">
      <c r="A116" s="32">
        <f t="shared" ca="1" si="1"/>
        <v>23</v>
      </c>
      <c r="B116" s="32" cm="1">
        <f t="array" aca="1" ref="B116" ca="1">INDEX(Data_DBD!$B:$B,$A116)</f>
        <v>28</v>
      </c>
      <c r="C116" s="32" cm="1">
        <f t="array" aca="1" ref="C116" ca="1">INDEX(Data_DBD!$C:$C,$A116)</f>
        <v>4</v>
      </c>
      <c r="D116" s="32" cm="1">
        <f t="array" aca="1" ref="D116" ca="1">INDEX(Data_DBD!$D:$D,$A116)</f>
        <v>14</v>
      </c>
      <c r="E116" s="32" cm="1">
        <f t="array" aca="1" ref="E116" ca="1">INDEX(Data_DBD!$E:$E,$A116)</f>
        <v>1</v>
      </c>
      <c r="F116" s="32" cm="1">
        <f t="array" aca="1" ref="F116" ca="1">INDEX(Data_DBD!$F:$F,$A116)</f>
        <v>2</v>
      </c>
      <c r="H116" s="32">
        <v>100</v>
      </c>
      <c r="I116" s="32">
        <v>19</v>
      </c>
      <c r="J116" s="32">
        <v>6</v>
      </c>
      <c r="K116" s="32">
        <v>18</v>
      </c>
      <c r="L116" s="32">
        <v>0</v>
      </c>
      <c r="M116" s="32">
        <v>3</v>
      </c>
    </row>
    <row r="117" spans="1:13">
      <c r="A117" s="32">
        <f t="shared" ca="1" si="1"/>
        <v>50</v>
      </c>
      <c r="B117" s="32" cm="1">
        <f t="array" aca="1" ref="B117" ca="1">INDEX(Data_DBD!$B:$B,$A117)</f>
        <v>19</v>
      </c>
      <c r="C117" s="32" cm="1">
        <f t="array" aca="1" ref="C117" ca="1">INDEX(Data_DBD!$C:$C,$A117)</f>
        <v>5</v>
      </c>
      <c r="D117" s="32" cm="1">
        <f t="array" aca="1" ref="D117" ca="1">INDEX(Data_DBD!$D:$D,$A117)</f>
        <v>13</v>
      </c>
      <c r="E117" s="32" cm="1">
        <f t="array" aca="1" ref="E117" ca="1">INDEX(Data_DBD!$E:$E,$A117)</f>
        <v>0</v>
      </c>
      <c r="F117" s="32" cm="1">
        <f t="array" aca="1" ref="F117" ca="1">INDEX(Data_DBD!$F:$F,$A117)</f>
        <v>2</v>
      </c>
      <c r="H117" s="32">
        <v>135</v>
      </c>
      <c r="I117" s="32">
        <v>10</v>
      </c>
      <c r="J117" s="32">
        <v>2</v>
      </c>
      <c r="K117" s="32">
        <v>33</v>
      </c>
      <c r="L117" s="32">
        <v>0</v>
      </c>
      <c r="M117" s="32">
        <v>3</v>
      </c>
    </row>
    <row r="118" spans="1:13">
      <c r="A118" s="32">
        <f t="shared" ca="1" si="1"/>
        <v>162</v>
      </c>
      <c r="B118" s="32" cm="1">
        <f t="array" aca="1" ref="B118" ca="1">INDEX(Data_DBD!$B:$B,$A118)</f>
        <v>22</v>
      </c>
      <c r="C118" s="32" cm="1">
        <f t="array" aca="1" ref="C118" ca="1">INDEX(Data_DBD!$C:$C,$A118)</f>
        <v>3</v>
      </c>
      <c r="D118" s="32" cm="1">
        <f t="array" aca="1" ref="D118" ca="1">INDEX(Data_DBD!$D:$D,$A118)</f>
        <v>3</v>
      </c>
      <c r="E118" s="32" cm="1">
        <f t="array" aca="1" ref="E118" ca="1">INDEX(Data_DBD!$E:$E,$A118)</f>
        <v>1</v>
      </c>
      <c r="F118" s="32" cm="1">
        <f t="array" aca="1" ref="F118" ca="1">INDEX(Data_DBD!$F:$F,$A118)</f>
        <v>1</v>
      </c>
      <c r="H118" s="32">
        <v>6</v>
      </c>
      <c r="I118" s="32">
        <v>14</v>
      </c>
      <c r="J118" s="32">
        <v>4</v>
      </c>
      <c r="K118" s="32">
        <v>12</v>
      </c>
      <c r="L118" s="32">
        <v>0</v>
      </c>
      <c r="M118" s="32">
        <v>2</v>
      </c>
    </row>
    <row r="119" spans="1:13">
      <c r="A119" s="32">
        <f t="shared" ca="1" si="1"/>
        <v>111</v>
      </c>
      <c r="B119" s="32" cm="1">
        <f t="array" aca="1" ref="B119" ca="1">INDEX(Data_DBD!$B:$B,$A119)</f>
        <v>25</v>
      </c>
      <c r="C119" s="32" cm="1">
        <f t="array" aca="1" ref="C119" ca="1">INDEX(Data_DBD!$C:$C,$A119)</f>
        <v>4</v>
      </c>
      <c r="D119" s="32" cm="1">
        <f t="array" aca="1" ref="D119" ca="1">INDEX(Data_DBD!$D:$D,$A119)</f>
        <v>33</v>
      </c>
      <c r="E119" s="32" cm="1">
        <f t="array" aca="1" ref="E119" ca="1">INDEX(Data_DBD!$E:$E,$A119)</f>
        <v>0</v>
      </c>
      <c r="F119" s="32" cm="1">
        <f t="array" aca="1" ref="F119" ca="1">INDEX(Data_DBD!$F:$F,$A119)</f>
        <v>3</v>
      </c>
      <c r="H119" s="32">
        <v>112</v>
      </c>
      <c r="I119" s="32">
        <v>61</v>
      </c>
      <c r="J119" s="32">
        <v>3</v>
      </c>
      <c r="K119" s="32">
        <v>33</v>
      </c>
      <c r="L119" s="32">
        <v>1</v>
      </c>
      <c r="M119" s="32">
        <v>3</v>
      </c>
    </row>
    <row r="120" spans="1:13">
      <c r="A120" s="32">
        <f t="shared" ca="1" si="1"/>
        <v>39</v>
      </c>
      <c r="B120" s="32" cm="1">
        <f t="array" aca="1" ref="B120" ca="1">INDEX(Data_DBD!$B:$B,$A120)</f>
        <v>12</v>
      </c>
      <c r="C120" s="32" cm="1">
        <f t="array" aca="1" ref="C120" ca="1">INDEX(Data_DBD!$C:$C,$A120)</f>
        <v>5</v>
      </c>
      <c r="D120" s="32" cm="1">
        <f t="array" aca="1" ref="D120" ca="1">INDEX(Data_DBD!$D:$D,$A120)</f>
        <v>13</v>
      </c>
      <c r="E120" s="32" cm="1">
        <f t="array" aca="1" ref="E120" ca="1">INDEX(Data_DBD!$E:$E,$A120)</f>
        <v>1</v>
      </c>
      <c r="F120" s="32" cm="1">
        <f t="array" aca="1" ref="F120" ca="1">INDEX(Data_DBD!$F:$F,$A120)</f>
        <v>2</v>
      </c>
      <c r="H120" s="32">
        <v>80</v>
      </c>
      <c r="I120" s="32">
        <v>27</v>
      </c>
      <c r="J120" s="32">
        <v>3</v>
      </c>
      <c r="K120" s="32">
        <v>13</v>
      </c>
      <c r="L120" s="32">
        <v>1</v>
      </c>
      <c r="M120" s="32">
        <v>2</v>
      </c>
    </row>
    <row r="121" spans="1:13">
      <c r="A121" s="32">
        <f t="shared" ca="1" si="1"/>
        <v>94</v>
      </c>
      <c r="B121" s="32" cm="1">
        <f t="array" aca="1" ref="B121" ca="1">INDEX(Data_DBD!$B:$B,$A121)</f>
        <v>12</v>
      </c>
      <c r="C121" s="32" cm="1">
        <f t="array" aca="1" ref="C121" ca="1">INDEX(Data_DBD!$C:$C,$A121)</f>
        <v>4</v>
      </c>
      <c r="D121" s="32" cm="1">
        <f t="array" aca="1" ref="D121" ca="1">INDEX(Data_DBD!$D:$D,$A121)</f>
        <v>18</v>
      </c>
      <c r="E121" s="32" cm="1">
        <f t="array" aca="1" ref="E121" ca="1">INDEX(Data_DBD!$E:$E,$A121)</f>
        <v>0</v>
      </c>
      <c r="F121" s="32" cm="1">
        <f t="array" aca="1" ref="F121" ca="1">INDEX(Data_DBD!$F:$F,$A121)</f>
        <v>3</v>
      </c>
      <c r="H121" s="32">
        <v>64</v>
      </c>
      <c r="I121" s="32">
        <v>35</v>
      </c>
      <c r="J121" s="32">
        <v>1</v>
      </c>
      <c r="K121" s="32">
        <v>15</v>
      </c>
      <c r="L121" s="32">
        <v>0</v>
      </c>
      <c r="M121" s="32">
        <v>2</v>
      </c>
    </row>
    <row r="122" spans="1:13">
      <c r="A122" s="32">
        <f t="shared" ca="1" si="1"/>
        <v>20</v>
      </c>
      <c r="B122" s="32" cm="1">
        <f t="array" aca="1" ref="B122" ca="1">INDEX(Data_DBD!$B:$B,$A122)</f>
        <v>15</v>
      </c>
      <c r="C122" s="32" cm="1">
        <f t="array" aca="1" ref="C122" ca="1">INDEX(Data_DBD!$C:$C,$A122)</f>
        <v>5</v>
      </c>
      <c r="D122" s="32" cm="1">
        <f t="array" aca="1" ref="D122" ca="1">INDEX(Data_DBD!$D:$D,$A122)</f>
        <v>7</v>
      </c>
      <c r="E122" s="32" cm="1">
        <f t="array" aca="1" ref="E122" ca="1">INDEX(Data_DBD!$E:$E,$A122)</f>
        <v>0</v>
      </c>
      <c r="F122" s="32" cm="1">
        <f t="array" aca="1" ref="F122" ca="1">INDEX(Data_DBD!$F:$F,$A122)</f>
        <v>1</v>
      </c>
      <c r="H122" s="32">
        <v>105</v>
      </c>
      <c r="I122" s="32">
        <v>61</v>
      </c>
      <c r="J122" s="32">
        <v>3</v>
      </c>
      <c r="K122" s="32">
        <v>18</v>
      </c>
      <c r="L122" s="32">
        <v>1</v>
      </c>
      <c r="M122" s="32">
        <v>3</v>
      </c>
    </row>
    <row r="123" spans="1:13">
      <c r="A123" s="32">
        <f t="shared" ca="1" si="1"/>
        <v>42</v>
      </c>
      <c r="B123" s="32" cm="1">
        <f t="array" aca="1" ref="B123" ca="1">INDEX(Data_DBD!$B:$B,$A123)</f>
        <v>21</v>
      </c>
      <c r="C123" s="32" cm="1">
        <f t="array" aca="1" ref="C123" ca="1">INDEX(Data_DBD!$C:$C,$A123)</f>
        <v>5</v>
      </c>
      <c r="D123" s="32" cm="1">
        <f t="array" aca="1" ref="D123" ca="1">INDEX(Data_DBD!$D:$D,$A123)</f>
        <v>13</v>
      </c>
      <c r="E123" s="32" cm="1">
        <f t="array" aca="1" ref="E123" ca="1">INDEX(Data_DBD!$E:$E,$A123)</f>
        <v>1</v>
      </c>
      <c r="F123" s="32" cm="1">
        <f t="array" aca="1" ref="F123" ca="1">INDEX(Data_DBD!$F:$F,$A123)</f>
        <v>2</v>
      </c>
      <c r="H123" s="32">
        <v>21</v>
      </c>
      <c r="I123" s="32">
        <v>10</v>
      </c>
      <c r="J123" s="32">
        <v>5</v>
      </c>
      <c r="K123" s="32">
        <v>14</v>
      </c>
      <c r="L123" s="32">
        <v>1</v>
      </c>
      <c r="M123" s="32">
        <v>2</v>
      </c>
    </row>
    <row r="124" spans="1:13">
      <c r="A124" s="32">
        <f t="shared" ca="1" si="1"/>
        <v>85</v>
      </c>
      <c r="B124" s="32" cm="1">
        <f t="array" aca="1" ref="B124" ca="1">INDEX(Data_DBD!$B:$B,$A124)</f>
        <v>27</v>
      </c>
      <c r="C124" s="32" cm="1">
        <f t="array" aca="1" ref="C124" ca="1">INDEX(Data_DBD!$C:$C,$A124)</f>
        <v>9</v>
      </c>
      <c r="D124" s="32" cm="1">
        <f t="array" aca="1" ref="D124" ca="1">INDEX(Data_DBD!$D:$D,$A124)</f>
        <v>13</v>
      </c>
      <c r="E124" s="32" cm="1">
        <f t="array" aca="1" ref="E124" ca="1">INDEX(Data_DBD!$E:$E,$A124)</f>
        <v>0</v>
      </c>
      <c r="F124" s="32" cm="1">
        <f t="array" aca="1" ref="F124" ca="1">INDEX(Data_DBD!$F:$F,$A124)</f>
        <v>2</v>
      </c>
      <c r="H124" s="32">
        <v>70</v>
      </c>
      <c r="I124" s="32">
        <v>26</v>
      </c>
      <c r="J124" s="32">
        <v>3</v>
      </c>
      <c r="K124" s="32">
        <v>10</v>
      </c>
      <c r="L124" s="32">
        <v>1</v>
      </c>
      <c r="M124" s="32">
        <v>2</v>
      </c>
    </row>
    <row r="125" spans="1:13">
      <c r="A125" s="32">
        <f t="shared" ca="1" si="1"/>
        <v>107</v>
      </c>
      <c r="B125" s="32" cm="1">
        <f t="array" aca="1" ref="B125" ca="1">INDEX(Data_DBD!$B:$B,$A125)</f>
        <v>48</v>
      </c>
      <c r="C125" s="32" cm="1">
        <f t="array" aca="1" ref="C125" ca="1">INDEX(Data_DBD!$C:$C,$A125)</f>
        <v>5</v>
      </c>
      <c r="D125" s="32" cm="1">
        <f t="array" aca="1" ref="D125" ca="1">INDEX(Data_DBD!$D:$D,$A125)</f>
        <v>18</v>
      </c>
      <c r="E125" s="32" cm="1">
        <f t="array" aca="1" ref="E125" ca="1">INDEX(Data_DBD!$E:$E,$A125)</f>
        <v>0</v>
      </c>
      <c r="F125" s="32" cm="1">
        <f t="array" aca="1" ref="F125" ca="1">INDEX(Data_DBD!$F:$F,$A125)</f>
        <v>3</v>
      </c>
      <c r="H125" s="32">
        <v>108</v>
      </c>
      <c r="I125" s="32">
        <v>69</v>
      </c>
      <c r="J125" s="32">
        <v>7</v>
      </c>
      <c r="K125" s="32">
        <v>33</v>
      </c>
      <c r="L125" s="32">
        <v>1</v>
      </c>
      <c r="M125" s="32">
        <v>3</v>
      </c>
    </row>
    <row r="126" spans="1:13">
      <c r="A126" s="32">
        <f t="shared" ca="1" si="1"/>
        <v>78</v>
      </c>
      <c r="B126" s="32" cm="1">
        <f t="array" aca="1" ref="B126" ca="1">INDEX(Data_DBD!$B:$B,$A126)</f>
        <v>6</v>
      </c>
      <c r="C126" s="32" cm="1">
        <f t="array" aca="1" ref="C126" ca="1">INDEX(Data_DBD!$C:$C,$A126)</f>
        <v>3</v>
      </c>
      <c r="D126" s="32" cm="1">
        <f t="array" aca="1" ref="D126" ca="1">INDEX(Data_DBD!$D:$D,$A126)</f>
        <v>13</v>
      </c>
      <c r="E126" s="32" cm="1">
        <f t="array" aca="1" ref="E126" ca="1">INDEX(Data_DBD!$E:$E,$A126)</f>
        <v>0</v>
      </c>
      <c r="F126" s="32" cm="1">
        <f t="array" aca="1" ref="F126" ca="1">INDEX(Data_DBD!$F:$F,$A126)</f>
        <v>2</v>
      </c>
      <c r="H126" s="32">
        <v>29</v>
      </c>
      <c r="I126" s="32">
        <v>19</v>
      </c>
      <c r="J126" s="32">
        <v>2</v>
      </c>
      <c r="K126" s="32">
        <v>14</v>
      </c>
      <c r="L126" s="32">
        <v>1</v>
      </c>
      <c r="M126" s="32">
        <v>2</v>
      </c>
    </row>
    <row r="127" spans="1:13">
      <c r="A127" s="32">
        <f t="shared" ca="1" si="1"/>
        <v>152</v>
      </c>
      <c r="B127" s="32" cm="1">
        <f t="array" aca="1" ref="B127" ca="1">INDEX(Data_DBD!$B:$B,$A127)</f>
        <v>47</v>
      </c>
      <c r="C127" s="32" cm="1">
        <f t="array" aca="1" ref="C127" ca="1">INDEX(Data_DBD!$C:$C,$A127)</f>
        <v>3</v>
      </c>
      <c r="D127" s="32" cm="1">
        <f t="array" aca="1" ref="D127" ca="1">INDEX(Data_DBD!$D:$D,$A127)</f>
        <v>21</v>
      </c>
      <c r="E127" s="32" cm="1">
        <f t="array" aca="1" ref="E127" ca="1">INDEX(Data_DBD!$E:$E,$A127)</f>
        <v>1</v>
      </c>
      <c r="F127" s="32" cm="1">
        <f t="array" aca="1" ref="F127" ca="1">INDEX(Data_DBD!$F:$F,$A127)</f>
        <v>3</v>
      </c>
      <c r="H127" s="32">
        <v>143</v>
      </c>
      <c r="I127" s="32">
        <v>20</v>
      </c>
      <c r="J127" s="32">
        <v>4</v>
      </c>
      <c r="K127" s="32">
        <v>21</v>
      </c>
      <c r="L127" s="32">
        <v>1</v>
      </c>
      <c r="M127" s="32">
        <v>3</v>
      </c>
    </row>
    <row r="128" spans="1:13">
      <c r="A128" s="32">
        <f t="shared" ca="1" si="1"/>
        <v>133</v>
      </c>
      <c r="B128" s="32" cm="1">
        <f t="array" aca="1" ref="B128" ca="1">INDEX(Data_DBD!$B:$B,$A128)</f>
        <v>6</v>
      </c>
      <c r="C128" s="32" cm="1">
        <f t="array" aca="1" ref="C128" ca="1">INDEX(Data_DBD!$C:$C,$A128)</f>
        <v>4</v>
      </c>
      <c r="D128" s="32" cm="1">
        <f t="array" aca="1" ref="D128" ca="1">INDEX(Data_DBD!$D:$D,$A128)</f>
        <v>33</v>
      </c>
      <c r="E128" s="32" cm="1">
        <f t="array" aca="1" ref="E128" ca="1">INDEX(Data_DBD!$E:$E,$A128)</f>
        <v>0</v>
      </c>
      <c r="F128" s="32" cm="1">
        <f t="array" aca="1" ref="F128" ca="1">INDEX(Data_DBD!$F:$F,$A128)</f>
        <v>3</v>
      </c>
      <c r="H128" s="32">
        <v>69</v>
      </c>
      <c r="I128" s="32">
        <v>24</v>
      </c>
      <c r="J128" s="32">
        <v>4</v>
      </c>
      <c r="K128" s="32">
        <v>10</v>
      </c>
      <c r="L128" s="32">
        <v>1</v>
      </c>
      <c r="M128" s="32">
        <v>2</v>
      </c>
    </row>
    <row r="129" spans="1:13">
      <c r="A129" s="32">
        <f t="shared" ca="1" si="1"/>
        <v>56</v>
      </c>
      <c r="B129" s="32" cm="1">
        <f t="array" aca="1" ref="B129" ca="1">INDEX(Data_DBD!$B:$B,$A129)</f>
        <v>4</v>
      </c>
      <c r="C129" s="32" cm="1">
        <f t="array" aca="1" ref="C129" ca="1">INDEX(Data_DBD!$C:$C,$A129)</f>
        <v>3</v>
      </c>
      <c r="D129" s="32" cm="1">
        <f t="array" aca="1" ref="D129" ca="1">INDEX(Data_DBD!$D:$D,$A129)</f>
        <v>15</v>
      </c>
      <c r="E129" s="32" cm="1">
        <f t="array" aca="1" ref="E129" ca="1">INDEX(Data_DBD!$E:$E,$A129)</f>
        <v>0</v>
      </c>
      <c r="F129" s="32" cm="1">
        <f t="array" aca="1" ref="F129" ca="1">INDEX(Data_DBD!$F:$F,$A129)</f>
        <v>2</v>
      </c>
      <c r="H129" s="32">
        <v>59</v>
      </c>
      <c r="I129" s="32">
        <v>28</v>
      </c>
      <c r="J129" s="32">
        <v>4</v>
      </c>
      <c r="K129" s="32">
        <v>15</v>
      </c>
      <c r="L129" s="32">
        <v>0</v>
      </c>
      <c r="M129" s="32">
        <v>2</v>
      </c>
    </row>
    <row r="130" spans="1:13">
      <c r="A130" s="32">
        <f t="shared" ca="1" si="1"/>
        <v>62</v>
      </c>
      <c r="B130" s="32" cm="1">
        <f t="array" aca="1" ref="B130" ca="1">INDEX(Data_DBD!$B:$B,$A130)</f>
        <v>43</v>
      </c>
      <c r="C130" s="32" cm="1">
        <f t="array" aca="1" ref="C130" ca="1">INDEX(Data_DBD!$C:$C,$A130)</f>
        <v>4</v>
      </c>
      <c r="D130" s="32" cm="1">
        <f t="array" aca="1" ref="D130" ca="1">INDEX(Data_DBD!$D:$D,$A130)</f>
        <v>15</v>
      </c>
      <c r="E130" s="32" cm="1">
        <f t="array" aca="1" ref="E130" ca="1">INDEX(Data_DBD!$E:$E,$A130)</f>
        <v>1</v>
      </c>
      <c r="F130" s="32" cm="1">
        <f t="array" aca="1" ref="F130" ca="1">INDEX(Data_DBD!$F:$F,$A130)</f>
        <v>2</v>
      </c>
      <c r="H130" s="32">
        <v>7</v>
      </c>
      <c r="I130" s="32">
        <v>12</v>
      </c>
      <c r="J130" s="32">
        <v>1</v>
      </c>
      <c r="K130" s="32">
        <v>12</v>
      </c>
      <c r="L130" s="32">
        <v>1</v>
      </c>
      <c r="M130" s="32">
        <v>2</v>
      </c>
    </row>
    <row r="131" spans="1:13">
      <c r="A131" s="32">
        <f t="shared" ref="A131:A164" ca="1" si="2">RANDBETWEEN(2,164)</f>
        <v>128</v>
      </c>
      <c r="B131" s="32" cm="1">
        <f t="array" aca="1" ref="B131" ca="1">INDEX(Data_DBD!$B:$B,$A131)</f>
        <v>38</v>
      </c>
      <c r="C131" s="32" cm="1">
        <f t="array" aca="1" ref="C131" ca="1">INDEX(Data_DBD!$C:$C,$A131)</f>
        <v>2</v>
      </c>
      <c r="D131" s="32" cm="1">
        <f t="array" aca="1" ref="D131" ca="1">INDEX(Data_DBD!$D:$D,$A131)</f>
        <v>33</v>
      </c>
      <c r="E131" s="32" cm="1">
        <f t="array" aca="1" ref="E131" ca="1">INDEX(Data_DBD!$E:$E,$A131)</f>
        <v>0</v>
      </c>
      <c r="F131" s="32" cm="1">
        <f t="array" aca="1" ref="F131" ca="1">INDEX(Data_DBD!$F:$F,$A131)</f>
        <v>3</v>
      </c>
      <c r="H131" s="32">
        <v>6</v>
      </c>
      <c r="I131" s="32">
        <v>14</v>
      </c>
      <c r="J131" s="32">
        <v>4</v>
      </c>
      <c r="K131" s="32">
        <v>12</v>
      </c>
      <c r="L131" s="32">
        <v>0</v>
      </c>
      <c r="M131" s="32">
        <v>2</v>
      </c>
    </row>
    <row r="132" spans="1:13">
      <c r="A132" s="32">
        <f t="shared" ca="1" si="2"/>
        <v>97</v>
      </c>
      <c r="B132" s="32" cm="1">
        <f t="array" aca="1" ref="B132" ca="1">INDEX(Data_DBD!$B:$B,$A132)</f>
        <v>16</v>
      </c>
      <c r="C132" s="32" cm="1">
        <f t="array" aca="1" ref="C132" ca="1">INDEX(Data_DBD!$C:$C,$A132)</f>
        <v>2</v>
      </c>
      <c r="D132" s="32" cm="1">
        <f t="array" aca="1" ref="D132" ca="1">INDEX(Data_DBD!$D:$D,$A132)</f>
        <v>18</v>
      </c>
      <c r="E132" s="32" cm="1">
        <f t="array" aca="1" ref="E132" ca="1">INDEX(Data_DBD!$E:$E,$A132)</f>
        <v>1</v>
      </c>
      <c r="F132" s="32" cm="1">
        <f t="array" aca="1" ref="F132" ca="1">INDEX(Data_DBD!$F:$F,$A132)</f>
        <v>3</v>
      </c>
      <c r="H132" s="32">
        <v>83</v>
      </c>
      <c r="I132" s="32">
        <v>50</v>
      </c>
      <c r="J132" s="32">
        <v>3</v>
      </c>
      <c r="K132" s="32">
        <v>13</v>
      </c>
      <c r="L132" s="32">
        <v>0</v>
      </c>
      <c r="M132" s="32">
        <v>2</v>
      </c>
    </row>
    <row r="133" spans="1:13">
      <c r="A133" s="32">
        <f t="shared" ca="1" si="2"/>
        <v>119</v>
      </c>
      <c r="B133" s="32" cm="1">
        <f t="array" aca="1" ref="B133" ca="1">INDEX(Data_DBD!$B:$B,$A133)</f>
        <v>30</v>
      </c>
      <c r="C133" s="32" cm="1">
        <f t="array" aca="1" ref="C133" ca="1">INDEX(Data_DBD!$C:$C,$A133)</f>
        <v>7</v>
      </c>
      <c r="D133" s="32" cm="1">
        <f t="array" aca="1" ref="D133" ca="1">INDEX(Data_DBD!$D:$D,$A133)</f>
        <v>33</v>
      </c>
      <c r="E133" s="32" cm="1">
        <f t="array" aca="1" ref="E133" ca="1">INDEX(Data_DBD!$E:$E,$A133)</f>
        <v>0</v>
      </c>
      <c r="F133" s="32" cm="1">
        <f t="array" aca="1" ref="F133" ca="1">INDEX(Data_DBD!$F:$F,$A133)</f>
        <v>3</v>
      </c>
      <c r="H133" s="32">
        <v>10</v>
      </c>
      <c r="I133" s="32">
        <v>18</v>
      </c>
      <c r="J133" s="32">
        <v>5</v>
      </c>
      <c r="K133" s="32">
        <v>12</v>
      </c>
      <c r="L133" s="32">
        <v>0</v>
      </c>
      <c r="M133" s="32">
        <v>2</v>
      </c>
    </row>
    <row r="134" spans="1:13">
      <c r="A134" s="32">
        <f t="shared" ca="1" si="2"/>
        <v>137</v>
      </c>
      <c r="B134" s="32" cm="1">
        <f t="array" aca="1" ref="B134" ca="1">INDEX(Data_DBD!$B:$B,$A134)</f>
        <v>3.5</v>
      </c>
      <c r="C134" s="32" cm="1">
        <f t="array" aca="1" ref="C134" ca="1">INDEX(Data_DBD!$C:$C,$A134)</f>
        <v>1</v>
      </c>
      <c r="D134" s="32" cm="1">
        <f t="array" aca="1" ref="D134" ca="1">INDEX(Data_DBD!$D:$D,$A134)</f>
        <v>33</v>
      </c>
      <c r="E134" s="32" cm="1">
        <f t="array" aca="1" ref="E134" ca="1">INDEX(Data_DBD!$E:$E,$A134)</f>
        <v>1</v>
      </c>
      <c r="F134" s="32" cm="1">
        <f t="array" aca="1" ref="F134" ca="1">INDEX(Data_DBD!$F:$F,$A134)</f>
        <v>3</v>
      </c>
      <c r="H134" s="32">
        <v>122</v>
      </c>
      <c r="I134" s="32">
        <v>28</v>
      </c>
      <c r="J134" s="32">
        <v>3</v>
      </c>
      <c r="K134" s="32">
        <v>33</v>
      </c>
      <c r="L134" s="32">
        <v>1</v>
      </c>
      <c r="M134" s="32">
        <v>3</v>
      </c>
    </row>
    <row r="135" spans="1:13">
      <c r="A135" s="32">
        <f t="shared" ca="1" si="2"/>
        <v>23</v>
      </c>
      <c r="B135" s="32" cm="1">
        <f t="array" aca="1" ref="B135" ca="1">INDEX(Data_DBD!$B:$B,$A135)</f>
        <v>28</v>
      </c>
      <c r="C135" s="32" cm="1">
        <f t="array" aca="1" ref="C135" ca="1">INDEX(Data_DBD!$C:$C,$A135)</f>
        <v>4</v>
      </c>
      <c r="D135" s="32" cm="1">
        <f t="array" aca="1" ref="D135" ca="1">INDEX(Data_DBD!$D:$D,$A135)</f>
        <v>14</v>
      </c>
      <c r="E135" s="32" cm="1">
        <f t="array" aca="1" ref="E135" ca="1">INDEX(Data_DBD!$E:$E,$A135)</f>
        <v>1</v>
      </c>
      <c r="F135" s="32" cm="1">
        <f t="array" aca="1" ref="F135" ca="1">INDEX(Data_DBD!$F:$F,$A135)</f>
        <v>2</v>
      </c>
      <c r="H135" s="32">
        <v>18</v>
      </c>
      <c r="I135" s="32">
        <v>49</v>
      </c>
      <c r="J135" s="32">
        <v>4</v>
      </c>
      <c r="K135" s="32">
        <v>7</v>
      </c>
      <c r="L135" s="32">
        <v>1</v>
      </c>
      <c r="M135" s="32">
        <v>1</v>
      </c>
    </row>
    <row r="136" spans="1:13">
      <c r="A136" s="32">
        <f t="shared" ca="1" si="2"/>
        <v>36</v>
      </c>
      <c r="B136" s="32" cm="1">
        <f t="array" aca="1" ref="B136" ca="1">INDEX(Data_DBD!$B:$B,$A136)</f>
        <v>27</v>
      </c>
      <c r="C136" s="32" cm="1">
        <f t="array" aca="1" ref="C136" ca="1">INDEX(Data_DBD!$C:$C,$A136)</f>
        <v>1</v>
      </c>
      <c r="D136" s="32" cm="1">
        <f t="array" aca="1" ref="D136" ca="1">INDEX(Data_DBD!$D:$D,$A136)</f>
        <v>4</v>
      </c>
      <c r="E136" s="32" cm="1">
        <f t="array" aca="1" ref="E136" ca="1">INDEX(Data_DBD!$E:$E,$A136)</f>
        <v>1</v>
      </c>
      <c r="F136" s="32" cm="1">
        <f t="array" aca="1" ref="F136" ca="1">INDEX(Data_DBD!$F:$F,$A136)</f>
        <v>1</v>
      </c>
      <c r="H136" s="32">
        <v>36</v>
      </c>
      <c r="I136" s="32">
        <v>27</v>
      </c>
      <c r="J136" s="32">
        <v>1</v>
      </c>
      <c r="K136" s="32">
        <v>4</v>
      </c>
      <c r="L136" s="32">
        <v>1</v>
      </c>
      <c r="M136" s="32">
        <v>1</v>
      </c>
    </row>
    <row r="137" spans="1:13">
      <c r="A137" s="32">
        <f t="shared" ca="1" si="2"/>
        <v>59</v>
      </c>
      <c r="B137" s="32" cm="1">
        <f t="array" aca="1" ref="B137" ca="1">INDEX(Data_DBD!$B:$B,$A137)</f>
        <v>28</v>
      </c>
      <c r="C137" s="32" cm="1">
        <f t="array" aca="1" ref="C137" ca="1">INDEX(Data_DBD!$C:$C,$A137)</f>
        <v>4</v>
      </c>
      <c r="D137" s="32" cm="1">
        <f t="array" aca="1" ref="D137" ca="1">INDEX(Data_DBD!$D:$D,$A137)</f>
        <v>15</v>
      </c>
      <c r="E137" s="32" cm="1">
        <f t="array" aca="1" ref="E137" ca="1">INDEX(Data_DBD!$E:$E,$A137)</f>
        <v>0</v>
      </c>
      <c r="F137" s="32" cm="1">
        <f t="array" aca="1" ref="F137" ca="1">INDEX(Data_DBD!$F:$F,$A137)</f>
        <v>2</v>
      </c>
      <c r="H137" s="32">
        <v>152</v>
      </c>
      <c r="I137" s="32">
        <v>47</v>
      </c>
      <c r="J137" s="32">
        <v>3</v>
      </c>
      <c r="K137" s="32">
        <v>21</v>
      </c>
      <c r="L137" s="32">
        <v>1</v>
      </c>
      <c r="M137" s="32">
        <v>3</v>
      </c>
    </row>
    <row r="138" spans="1:13">
      <c r="A138" s="32">
        <f t="shared" ca="1" si="2"/>
        <v>137</v>
      </c>
      <c r="B138" s="32" cm="1">
        <f t="array" aca="1" ref="B138" ca="1">INDEX(Data_DBD!$B:$B,$A138)</f>
        <v>3.5</v>
      </c>
      <c r="C138" s="32" cm="1">
        <f t="array" aca="1" ref="C138" ca="1">INDEX(Data_DBD!$C:$C,$A138)</f>
        <v>1</v>
      </c>
      <c r="D138" s="32" cm="1">
        <f t="array" aca="1" ref="D138" ca="1">INDEX(Data_DBD!$D:$D,$A138)</f>
        <v>33</v>
      </c>
      <c r="E138" s="32" cm="1">
        <f t="array" aca="1" ref="E138" ca="1">INDEX(Data_DBD!$E:$E,$A138)</f>
        <v>1</v>
      </c>
      <c r="F138" s="32" cm="1">
        <f t="array" aca="1" ref="F138" ca="1">INDEX(Data_DBD!$F:$F,$A138)</f>
        <v>3</v>
      </c>
      <c r="H138" s="32">
        <v>21</v>
      </c>
      <c r="I138" s="32">
        <v>10</v>
      </c>
      <c r="J138" s="32">
        <v>5</v>
      </c>
      <c r="K138" s="32">
        <v>14</v>
      </c>
      <c r="L138" s="32">
        <v>1</v>
      </c>
      <c r="M138" s="32">
        <v>2</v>
      </c>
    </row>
    <row r="139" spans="1:13">
      <c r="A139" s="32">
        <f t="shared" ca="1" si="2"/>
        <v>66</v>
      </c>
      <c r="B139" s="32" cm="1">
        <f t="array" aca="1" ref="B139" ca="1">INDEX(Data_DBD!$B:$B,$A139)</f>
        <v>21</v>
      </c>
      <c r="C139" s="32" cm="1">
        <f t="array" aca="1" ref="C139" ca="1">INDEX(Data_DBD!$C:$C,$A139)</f>
        <v>5</v>
      </c>
      <c r="D139" s="32" cm="1">
        <f t="array" aca="1" ref="D139" ca="1">INDEX(Data_DBD!$D:$D,$A139)</f>
        <v>15</v>
      </c>
      <c r="E139" s="32" cm="1">
        <f t="array" aca="1" ref="E139" ca="1">INDEX(Data_DBD!$E:$E,$A139)</f>
        <v>1</v>
      </c>
      <c r="F139" s="32" cm="1">
        <f t="array" aca="1" ref="F139" ca="1">INDEX(Data_DBD!$F:$F,$A139)</f>
        <v>2</v>
      </c>
      <c r="H139" s="32">
        <v>108</v>
      </c>
      <c r="I139" s="32">
        <v>69</v>
      </c>
      <c r="J139" s="32">
        <v>7</v>
      </c>
      <c r="K139" s="32">
        <v>33</v>
      </c>
      <c r="L139" s="32">
        <v>1</v>
      </c>
      <c r="M139" s="32">
        <v>3</v>
      </c>
    </row>
    <row r="140" spans="1:13">
      <c r="A140" s="32">
        <f t="shared" ca="1" si="2"/>
        <v>152</v>
      </c>
      <c r="B140" s="32" cm="1">
        <f t="array" aca="1" ref="B140" ca="1">INDEX(Data_DBD!$B:$B,$A140)</f>
        <v>47</v>
      </c>
      <c r="C140" s="32" cm="1">
        <f t="array" aca="1" ref="C140" ca="1">INDEX(Data_DBD!$C:$C,$A140)</f>
        <v>3</v>
      </c>
      <c r="D140" s="32" cm="1">
        <f t="array" aca="1" ref="D140" ca="1">INDEX(Data_DBD!$D:$D,$A140)</f>
        <v>21</v>
      </c>
      <c r="E140" s="32" cm="1">
        <f t="array" aca="1" ref="E140" ca="1">INDEX(Data_DBD!$E:$E,$A140)</f>
        <v>1</v>
      </c>
      <c r="F140" s="32" cm="1">
        <f t="array" aca="1" ref="F140" ca="1">INDEX(Data_DBD!$F:$F,$A140)</f>
        <v>3</v>
      </c>
      <c r="H140" s="32">
        <v>139</v>
      </c>
      <c r="I140" s="32">
        <v>52</v>
      </c>
      <c r="J140" s="32">
        <v>7</v>
      </c>
      <c r="K140" s="32">
        <v>21</v>
      </c>
      <c r="L140" s="32">
        <v>0</v>
      </c>
      <c r="M140" s="32">
        <v>3</v>
      </c>
    </row>
    <row r="141" spans="1:13">
      <c r="A141" s="32">
        <f t="shared" ca="1" si="2"/>
        <v>16</v>
      </c>
      <c r="B141" s="32" cm="1">
        <f t="array" aca="1" ref="B141" ca="1">INDEX(Data_DBD!$B:$B,$A141)</f>
        <v>66</v>
      </c>
      <c r="C141" s="32" cm="1">
        <f t="array" aca="1" ref="C141" ca="1">INDEX(Data_DBD!$C:$C,$A141)</f>
        <v>5</v>
      </c>
      <c r="D141" s="32" cm="1">
        <f t="array" aca="1" ref="D141" ca="1">INDEX(Data_DBD!$D:$D,$A141)</f>
        <v>7</v>
      </c>
      <c r="E141" s="32" cm="1">
        <f t="array" aca="1" ref="E141" ca="1">INDEX(Data_DBD!$E:$E,$A141)</f>
        <v>1</v>
      </c>
      <c r="F141" s="32" cm="1">
        <f t="array" aca="1" ref="F141" ca="1">INDEX(Data_DBD!$F:$F,$A141)</f>
        <v>1</v>
      </c>
      <c r="H141" s="32">
        <v>5</v>
      </c>
      <c r="I141" s="32">
        <v>18</v>
      </c>
      <c r="J141" s="32">
        <v>2</v>
      </c>
      <c r="K141" s="32">
        <v>12</v>
      </c>
      <c r="L141" s="32">
        <v>1</v>
      </c>
      <c r="M141" s="32">
        <v>2</v>
      </c>
    </row>
    <row r="142" spans="1:13">
      <c r="A142" s="32">
        <f t="shared" ca="1" si="2"/>
        <v>105</v>
      </c>
      <c r="B142" s="32" cm="1">
        <f t="array" aca="1" ref="B142" ca="1">INDEX(Data_DBD!$B:$B,$A142)</f>
        <v>61</v>
      </c>
      <c r="C142" s="32" cm="1">
        <f t="array" aca="1" ref="C142" ca="1">INDEX(Data_DBD!$C:$C,$A142)</f>
        <v>3</v>
      </c>
      <c r="D142" s="32" cm="1">
        <f t="array" aca="1" ref="D142" ca="1">INDEX(Data_DBD!$D:$D,$A142)</f>
        <v>18</v>
      </c>
      <c r="E142" s="32" cm="1">
        <f t="array" aca="1" ref="E142" ca="1">INDEX(Data_DBD!$E:$E,$A142)</f>
        <v>1</v>
      </c>
      <c r="F142" s="32" cm="1">
        <f t="array" aca="1" ref="F142" ca="1">INDEX(Data_DBD!$F:$F,$A142)</f>
        <v>3</v>
      </c>
      <c r="H142" s="32">
        <v>30</v>
      </c>
      <c r="I142" s="32" t="s">
        <v>37</v>
      </c>
      <c r="J142" s="32">
        <v>2</v>
      </c>
      <c r="K142" s="32">
        <v>14</v>
      </c>
      <c r="L142" s="32">
        <v>1</v>
      </c>
      <c r="M142" s="32">
        <v>2</v>
      </c>
    </row>
    <row r="143" spans="1:13">
      <c r="A143" s="32">
        <f t="shared" ca="1" si="2"/>
        <v>9</v>
      </c>
      <c r="B143" s="32" cm="1">
        <f t="array" aca="1" ref="B143" ca="1">INDEX(Data_DBD!$B:$B,$A143)</f>
        <v>16</v>
      </c>
      <c r="C143" s="32" cm="1">
        <f t="array" aca="1" ref="C143" ca="1">INDEX(Data_DBD!$C:$C,$A143)</f>
        <v>6</v>
      </c>
      <c r="D143" s="32" cm="1">
        <f t="array" aca="1" ref="D143" ca="1">INDEX(Data_DBD!$D:$D,$A143)</f>
        <v>12</v>
      </c>
      <c r="E143" s="32" cm="1">
        <f t="array" aca="1" ref="E143" ca="1">INDEX(Data_DBD!$E:$E,$A143)</f>
        <v>1</v>
      </c>
      <c r="F143" s="32" cm="1">
        <f t="array" aca="1" ref="F143" ca="1">INDEX(Data_DBD!$F:$F,$A143)</f>
        <v>2</v>
      </c>
      <c r="H143" s="32">
        <v>72</v>
      </c>
      <c r="I143" s="32">
        <v>3</v>
      </c>
      <c r="J143" s="32">
        <v>5</v>
      </c>
      <c r="K143" s="32">
        <v>10</v>
      </c>
      <c r="L143" s="32">
        <v>1</v>
      </c>
      <c r="M143" s="32">
        <v>2</v>
      </c>
    </row>
    <row r="144" spans="1:13">
      <c r="A144" s="32">
        <f t="shared" ca="1" si="2"/>
        <v>158</v>
      </c>
      <c r="B144" s="32" cm="1">
        <f t="array" aca="1" ref="B144" ca="1">INDEX(Data_DBD!$B:$B,$A144)</f>
        <v>5</v>
      </c>
      <c r="C144" s="32" cm="1">
        <f t="array" aca="1" ref="C144" ca="1">INDEX(Data_DBD!$C:$C,$A144)</f>
        <v>2</v>
      </c>
      <c r="D144" s="32" cm="1">
        <f t="array" aca="1" ref="D144" ca="1">INDEX(Data_DBD!$D:$D,$A144)</f>
        <v>21</v>
      </c>
      <c r="E144" s="32" cm="1">
        <f t="array" aca="1" ref="E144" ca="1">INDEX(Data_DBD!$E:$E,$A144)</f>
        <v>0</v>
      </c>
      <c r="F144" s="32" cm="1">
        <f t="array" aca="1" ref="F144" ca="1">INDEX(Data_DBD!$F:$F,$A144)</f>
        <v>3</v>
      </c>
      <c r="H144" s="32">
        <v>155</v>
      </c>
      <c r="I144" s="32">
        <v>19</v>
      </c>
      <c r="J144" s="32">
        <v>5</v>
      </c>
      <c r="K144" s="32">
        <v>21</v>
      </c>
      <c r="L144" s="32">
        <v>1</v>
      </c>
      <c r="M144" s="32">
        <v>3</v>
      </c>
    </row>
    <row r="145" spans="1:13">
      <c r="A145" s="32">
        <f t="shared" ca="1" si="2"/>
        <v>130</v>
      </c>
      <c r="B145" s="32" cm="1">
        <f t="array" aca="1" ref="B145" ca="1">INDEX(Data_DBD!$B:$B,$A145)</f>
        <v>12</v>
      </c>
      <c r="C145" s="32" cm="1">
        <f t="array" aca="1" ref="C145" ca="1">INDEX(Data_DBD!$C:$C,$A145)</f>
        <v>4</v>
      </c>
      <c r="D145" s="32" cm="1">
        <f t="array" aca="1" ref="D145" ca="1">INDEX(Data_DBD!$D:$D,$A145)</f>
        <v>33</v>
      </c>
      <c r="E145" s="32" cm="1">
        <f t="array" aca="1" ref="E145" ca="1">INDEX(Data_DBD!$E:$E,$A145)</f>
        <v>0</v>
      </c>
      <c r="F145" s="32" cm="1">
        <f t="array" aca="1" ref="F145" ca="1">INDEX(Data_DBD!$F:$F,$A145)</f>
        <v>3</v>
      </c>
      <c r="H145" s="32">
        <v>66</v>
      </c>
      <c r="I145" s="32">
        <v>21</v>
      </c>
      <c r="J145" s="32">
        <v>5</v>
      </c>
      <c r="K145" s="32">
        <v>15</v>
      </c>
      <c r="L145" s="32">
        <v>1</v>
      </c>
      <c r="M145" s="32">
        <v>2</v>
      </c>
    </row>
    <row r="146" spans="1:13">
      <c r="A146" s="32">
        <f t="shared" ca="1" si="2"/>
        <v>63</v>
      </c>
      <c r="B146" s="32" cm="1">
        <f t="array" aca="1" ref="B146" ca="1">INDEX(Data_DBD!$B:$B,$A146)</f>
        <v>25</v>
      </c>
      <c r="C146" s="32" cm="1">
        <f t="array" aca="1" ref="C146" ca="1">INDEX(Data_DBD!$C:$C,$A146)</f>
        <v>3</v>
      </c>
      <c r="D146" s="32" cm="1">
        <f t="array" aca="1" ref="D146" ca="1">INDEX(Data_DBD!$D:$D,$A146)</f>
        <v>15</v>
      </c>
      <c r="E146" s="32" cm="1">
        <f t="array" aca="1" ref="E146" ca="1">INDEX(Data_DBD!$E:$E,$A146)</f>
        <v>0</v>
      </c>
      <c r="F146" s="32" cm="1">
        <f t="array" aca="1" ref="F146" ca="1">INDEX(Data_DBD!$F:$F,$A146)</f>
        <v>2</v>
      </c>
      <c r="H146" s="32">
        <v>163</v>
      </c>
      <c r="I146" s="32">
        <v>34</v>
      </c>
      <c r="J146" s="32">
        <v>4</v>
      </c>
      <c r="K146" s="32">
        <v>3</v>
      </c>
      <c r="L146" s="32">
        <v>1</v>
      </c>
      <c r="M146" s="32">
        <v>1</v>
      </c>
    </row>
    <row r="147" spans="1:13">
      <c r="A147" s="32">
        <f t="shared" ca="1" si="2"/>
        <v>135</v>
      </c>
      <c r="B147" s="32" cm="1">
        <f t="array" aca="1" ref="B147" ca="1">INDEX(Data_DBD!$B:$B,$A147)</f>
        <v>10</v>
      </c>
      <c r="C147" s="32" cm="1">
        <f t="array" aca="1" ref="C147" ca="1">INDEX(Data_DBD!$C:$C,$A147)</f>
        <v>2</v>
      </c>
      <c r="D147" s="32" cm="1">
        <f t="array" aca="1" ref="D147" ca="1">INDEX(Data_DBD!$D:$D,$A147)</f>
        <v>33</v>
      </c>
      <c r="E147" s="32" cm="1">
        <f t="array" aca="1" ref="E147" ca="1">INDEX(Data_DBD!$E:$E,$A147)</f>
        <v>0</v>
      </c>
      <c r="F147" s="32" cm="1">
        <f t="array" aca="1" ref="F147" ca="1">INDEX(Data_DBD!$F:$F,$A147)</f>
        <v>3</v>
      </c>
      <c r="H147" s="32">
        <v>55</v>
      </c>
      <c r="I147" s="32">
        <v>7</v>
      </c>
      <c r="J147" s="32">
        <v>4</v>
      </c>
      <c r="K147" s="32">
        <v>15</v>
      </c>
      <c r="L147" s="32">
        <v>1</v>
      </c>
      <c r="M147" s="32">
        <v>2</v>
      </c>
    </row>
    <row r="148" spans="1:13">
      <c r="A148" s="32">
        <f t="shared" ca="1" si="2"/>
        <v>54</v>
      </c>
      <c r="B148" s="32" cm="1">
        <f t="array" aca="1" ref="B148" ca="1">INDEX(Data_DBD!$B:$B,$A148)</f>
        <v>7</v>
      </c>
      <c r="C148" s="32" cm="1">
        <f t="array" aca="1" ref="C148" ca="1">INDEX(Data_DBD!$C:$C,$A148)</f>
        <v>3</v>
      </c>
      <c r="D148" s="32" cm="1">
        <f t="array" aca="1" ref="D148" ca="1">INDEX(Data_DBD!$D:$D,$A148)</f>
        <v>15</v>
      </c>
      <c r="E148" s="32" cm="1">
        <f t="array" aca="1" ref="E148" ca="1">INDEX(Data_DBD!$E:$E,$A148)</f>
        <v>0</v>
      </c>
      <c r="F148" s="32" cm="1">
        <f t="array" aca="1" ref="F148" ca="1">INDEX(Data_DBD!$F:$F,$A148)</f>
        <v>2</v>
      </c>
      <c r="H148" s="32">
        <v>97</v>
      </c>
      <c r="I148" s="32">
        <v>16</v>
      </c>
      <c r="J148" s="32">
        <v>2</v>
      </c>
      <c r="K148" s="32">
        <v>18</v>
      </c>
      <c r="L148" s="32">
        <v>1</v>
      </c>
      <c r="M148" s="32">
        <v>3</v>
      </c>
    </row>
    <row r="149" spans="1:13">
      <c r="A149" s="32">
        <f t="shared" ca="1" si="2"/>
        <v>164</v>
      </c>
      <c r="B149" s="32" cm="1">
        <f t="array" aca="1" ref="B149" ca="1">INDEX(Data_DBD!$B:$B,$A149)</f>
        <v>10</v>
      </c>
      <c r="C149" s="32" cm="1">
        <f t="array" aca="1" ref="C149" ca="1">INDEX(Data_DBD!$C:$C,$A149)</f>
        <v>6</v>
      </c>
      <c r="D149" s="32" cm="1">
        <f t="array" aca="1" ref="D149" ca="1">INDEX(Data_DBD!$D:$D,$A149)</f>
        <v>3</v>
      </c>
      <c r="E149" s="32" cm="1">
        <f t="array" aca="1" ref="E149" ca="1">INDEX(Data_DBD!$E:$E,$A149)</f>
        <v>0</v>
      </c>
      <c r="F149" s="32" cm="1">
        <f t="array" aca="1" ref="F149" ca="1">INDEX(Data_DBD!$F:$F,$A149)</f>
        <v>1</v>
      </c>
      <c r="H149" s="32">
        <v>161</v>
      </c>
      <c r="I149" s="32">
        <v>12</v>
      </c>
      <c r="J149" s="32">
        <v>3</v>
      </c>
      <c r="K149" s="32">
        <v>21</v>
      </c>
      <c r="L149" s="32">
        <v>1</v>
      </c>
      <c r="M149" s="32">
        <v>3</v>
      </c>
    </row>
    <row r="150" spans="1:13">
      <c r="A150" s="32">
        <f t="shared" ca="1" si="2"/>
        <v>77</v>
      </c>
      <c r="B150" s="32" cm="1">
        <f t="array" aca="1" ref="B150" ca="1">INDEX(Data_DBD!$B:$B,$A150)</f>
        <v>16</v>
      </c>
      <c r="C150" s="32" cm="1">
        <f t="array" aca="1" ref="C150" ca="1">INDEX(Data_DBD!$C:$C,$A150)</f>
        <v>4</v>
      </c>
      <c r="D150" s="32" cm="1">
        <f t="array" aca="1" ref="D150" ca="1">INDEX(Data_DBD!$D:$D,$A150)</f>
        <v>13</v>
      </c>
      <c r="E150" s="32" cm="1">
        <f t="array" aca="1" ref="E150" ca="1">INDEX(Data_DBD!$E:$E,$A150)</f>
        <v>1</v>
      </c>
      <c r="F150" s="32" cm="1">
        <f t="array" aca="1" ref="F150" ca="1">INDEX(Data_DBD!$F:$F,$A150)</f>
        <v>2</v>
      </c>
      <c r="H150" s="32">
        <v>97</v>
      </c>
      <c r="I150" s="32">
        <v>16</v>
      </c>
      <c r="J150" s="32">
        <v>2</v>
      </c>
      <c r="K150" s="32">
        <v>18</v>
      </c>
      <c r="L150" s="32">
        <v>1</v>
      </c>
      <c r="M150" s="32">
        <v>3</v>
      </c>
    </row>
    <row r="151" spans="1:13">
      <c r="A151" s="32">
        <f t="shared" ca="1" si="2"/>
        <v>30</v>
      </c>
      <c r="B151" s="32" t="str" cm="1">
        <f t="array" aca="1" ref="B151" ca="1">INDEX(Data_DBD!$B:$B,$A151)</f>
        <v>2,8</v>
      </c>
      <c r="C151" s="32" cm="1">
        <f t="array" aca="1" ref="C151" ca="1">INDEX(Data_DBD!$C:$C,$A151)</f>
        <v>2</v>
      </c>
      <c r="D151" s="32" cm="1">
        <f t="array" aca="1" ref="D151" ca="1">INDEX(Data_DBD!$D:$D,$A151)</f>
        <v>14</v>
      </c>
      <c r="E151" s="32" cm="1">
        <f t="array" aca="1" ref="E151" ca="1">INDEX(Data_DBD!$E:$E,$A151)</f>
        <v>1</v>
      </c>
      <c r="F151" s="32" cm="1">
        <f t="array" aca="1" ref="F151" ca="1">INDEX(Data_DBD!$F:$F,$A151)</f>
        <v>2</v>
      </c>
      <c r="H151" s="32">
        <v>127</v>
      </c>
      <c r="I151" s="32">
        <v>21</v>
      </c>
      <c r="J151" s="32">
        <v>2</v>
      </c>
      <c r="K151" s="32">
        <v>33</v>
      </c>
      <c r="L151" s="32">
        <v>0</v>
      </c>
      <c r="M151" s="32">
        <v>3</v>
      </c>
    </row>
    <row r="152" spans="1:13">
      <c r="A152" s="32">
        <f t="shared" ca="1" si="2"/>
        <v>58</v>
      </c>
      <c r="B152" s="32" cm="1">
        <f t="array" aca="1" ref="B152" ca="1">INDEX(Data_DBD!$B:$B,$A152)</f>
        <v>17</v>
      </c>
      <c r="C152" s="32" cm="1">
        <f t="array" aca="1" ref="C152" ca="1">INDEX(Data_DBD!$C:$C,$A152)</f>
        <v>3</v>
      </c>
      <c r="D152" s="32" cm="1">
        <f t="array" aca="1" ref="D152" ca="1">INDEX(Data_DBD!$D:$D,$A152)</f>
        <v>15</v>
      </c>
      <c r="E152" s="32" cm="1">
        <f t="array" aca="1" ref="E152" ca="1">INDEX(Data_DBD!$E:$E,$A152)</f>
        <v>0</v>
      </c>
      <c r="F152" s="32" cm="1">
        <f t="array" aca="1" ref="F152" ca="1">INDEX(Data_DBD!$F:$F,$A152)</f>
        <v>2</v>
      </c>
      <c r="H152" s="32">
        <v>123</v>
      </c>
      <c r="I152" s="32">
        <v>22</v>
      </c>
      <c r="J152" s="32">
        <v>4</v>
      </c>
      <c r="K152" s="32">
        <v>33</v>
      </c>
      <c r="L152" s="32">
        <v>0</v>
      </c>
      <c r="M152" s="32">
        <v>3</v>
      </c>
    </row>
    <row r="153" spans="1:13">
      <c r="A153" s="32">
        <f t="shared" ca="1" si="2"/>
        <v>17</v>
      </c>
      <c r="B153" s="32" cm="1">
        <f t="array" aca="1" ref="B153" ca="1">INDEX(Data_DBD!$B:$B,$A153)</f>
        <v>2</v>
      </c>
      <c r="C153" s="32" cm="1">
        <f t="array" aca="1" ref="C153" ca="1">INDEX(Data_DBD!$C:$C,$A153)</f>
        <v>3</v>
      </c>
      <c r="D153" s="32" cm="1">
        <f t="array" aca="1" ref="D153" ca="1">INDEX(Data_DBD!$D:$D,$A153)</f>
        <v>7</v>
      </c>
      <c r="E153" s="32" cm="1">
        <f t="array" aca="1" ref="E153" ca="1">INDEX(Data_DBD!$E:$E,$A153)</f>
        <v>0</v>
      </c>
      <c r="F153" s="32" cm="1">
        <f t="array" aca="1" ref="F153" ca="1">INDEX(Data_DBD!$F:$F,$A153)</f>
        <v>1</v>
      </c>
      <c r="H153" s="32">
        <v>27</v>
      </c>
      <c r="I153" s="32">
        <v>37</v>
      </c>
      <c r="J153" s="32">
        <v>4</v>
      </c>
      <c r="K153" s="32">
        <v>14</v>
      </c>
      <c r="L153" s="32">
        <v>1</v>
      </c>
      <c r="M153" s="32">
        <v>2</v>
      </c>
    </row>
    <row r="154" spans="1:13">
      <c r="A154" s="32">
        <f t="shared" ca="1" si="2"/>
        <v>56</v>
      </c>
      <c r="B154" s="32" cm="1">
        <f t="array" aca="1" ref="B154" ca="1">INDEX(Data_DBD!$B:$B,$A154)</f>
        <v>4</v>
      </c>
      <c r="C154" s="32" cm="1">
        <f t="array" aca="1" ref="C154" ca="1">INDEX(Data_DBD!$C:$C,$A154)</f>
        <v>3</v>
      </c>
      <c r="D154" s="32" cm="1">
        <f t="array" aca="1" ref="D154" ca="1">INDEX(Data_DBD!$D:$D,$A154)</f>
        <v>15</v>
      </c>
      <c r="E154" s="32" cm="1">
        <f t="array" aca="1" ref="E154" ca="1">INDEX(Data_DBD!$E:$E,$A154)</f>
        <v>0</v>
      </c>
      <c r="F154" s="32" cm="1">
        <f t="array" aca="1" ref="F154" ca="1">INDEX(Data_DBD!$F:$F,$A154)</f>
        <v>2</v>
      </c>
      <c r="H154" s="32">
        <v>125</v>
      </c>
      <c r="I154" s="32">
        <v>39</v>
      </c>
      <c r="J154" s="32">
        <v>4</v>
      </c>
      <c r="K154" s="32">
        <v>33</v>
      </c>
      <c r="L154" s="32">
        <v>0</v>
      </c>
      <c r="M154" s="32">
        <v>3</v>
      </c>
    </row>
    <row r="155" spans="1:13">
      <c r="A155" s="32">
        <f t="shared" ca="1" si="2"/>
        <v>92</v>
      </c>
      <c r="B155" s="32" cm="1">
        <f t="array" aca="1" ref="B155" ca="1">INDEX(Data_DBD!$B:$B,$A155)</f>
        <v>55</v>
      </c>
      <c r="C155" s="32" cm="1">
        <f t="array" aca="1" ref="C155" ca="1">INDEX(Data_DBD!$C:$C,$A155)</f>
        <v>7</v>
      </c>
      <c r="D155" s="32" cm="1">
        <f t="array" aca="1" ref="D155" ca="1">INDEX(Data_DBD!$D:$D,$A155)</f>
        <v>18</v>
      </c>
      <c r="E155" s="32" cm="1">
        <f t="array" aca="1" ref="E155" ca="1">INDEX(Data_DBD!$E:$E,$A155)</f>
        <v>0</v>
      </c>
      <c r="F155" s="32" cm="1">
        <f t="array" aca="1" ref="F155" ca="1">INDEX(Data_DBD!$F:$F,$A155)</f>
        <v>3</v>
      </c>
      <c r="H155" s="32">
        <v>17</v>
      </c>
      <c r="I155" s="32">
        <v>2</v>
      </c>
      <c r="J155" s="32">
        <v>3</v>
      </c>
      <c r="K155" s="32">
        <v>7</v>
      </c>
      <c r="L155" s="32">
        <v>0</v>
      </c>
      <c r="M155" s="32">
        <v>1</v>
      </c>
    </row>
    <row r="156" spans="1:13">
      <c r="A156" s="32">
        <f t="shared" ca="1" si="2"/>
        <v>96</v>
      </c>
      <c r="B156" s="32" cm="1">
        <f t="array" aca="1" ref="B156" ca="1">INDEX(Data_DBD!$B:$B,$A156)</f>
        <v>56</v>
      </c>
      <c r="C156" s="32" cm="1">
        <f t="array" aca="1" ref="C156" ca="1">INDEX(Data_DBD!$C:$C,$A156)</f>
        <v>4</v>
      </c>
      <c r="D156" s="32" cm="1">
        <f t="array" aca="1" ref="D156" ca="1">INDEX(Data_DBD!$D:$D,$A156)</f>
        <v>18</v>
      </c>
      <c r="E156" s="32" cm="1">
        <f t="array" aca="1" ref="E156" ca="1">INDEX(Data_DBD!$E:$E,$A156)</f>
        <v>0</v>
      </c>
      <c r="F156" s="32" cm="1">
        <f t="array" aca="1" ref="F156" ca="1">INDEX(Data_DBD!$F:$F,$A156)</f>
        <v>3</v>
      </c>
      <c r="H156" s="32">
        <v>123</v>
      </c>
      <c r="I156" s="32">
        <v>22</v>
      </c>
      <c r="J156" s="32">
        <v>4</v>
      </c>
      <c r="K156" s="32">
        <v>33</v>
      </c>
      <c r="L156" s="32">
        <v>0</v>
      </c>
      <c r="M156" s="32">
        <v>3</v>
      </c>
    </row>
    <row r="157" spans="1:13">
      <c r="A157" s="32">
        <f t="shared" ca="1" si="2"/>
        <v>106</v>
      </c>
      <c r="B157" s="32" cm="1">
        <f t="array" aca="1" ref="B157" ca="1">INDEX(Data_DBD!$B:$B,$A157)</f>
        <v>23</v>
      </c>
      <c r="C157" s="32" cm="1">
        <f t="array" aca="1" ref="C157" ca="1">INDEX(Data_DBD!$C:$C,$A157)</f>
        <v>3</v>
      </c>
      <c r="D157" s="32" cm="1">
        <f t="array" aca="1" ref="D157" ca="1">INDEX(Data_DBD!$D:$D,$A157)</f>
        <v>18</v>
      </c>
      <c r="E157" s="32" cm="1">
        <f t="array" aca="1" ref="E157" ca="1">INDEX(Data_DBD!$E:$E,$A157)</f>
        <v>1</v>
      </c>
      <c r="F157" s="32" cm="1">
        <f t="array" aca="1" ref="F157" ca="1">INDEX(Data_DBD!$F:$F,$A157)</f>
        <v>3</v>
      </c>
      <c r="H157" s="32">
        <v>137</v>
      </c>
      <c r="I157" s="32">
        <v>3.5</v>
      </c>
      <c r="J157" s="32">
        <v>1</v>
      </c>
      <c r="K157" s="32">
        <v>33</v>
      </c>
      <c r="L157" s="32">
        <v>1</v>
      </c>
      <c r="M157" s="32">
        <v>3</v>
      </c>
    </row>
    <row r="158" spans="1:13">
      <c r="A158" s="32">
        <f t="shared" ca="1" si="2"/>
        <v>5</v>
      </c>
      <c r="B158" s="32" cm="1">
        <f t="array" aca="1" ref="B158" ca="1">INDEX(Data_DBD!$B:$B,$A158)</f>
        <v>18</v>
      </c>
      <c r="C158" s="32" cm="1">
        <f t="array" aca="1" ref="C158" ca="1">INDEX(Data_DBD!$C:$C,$A158)</f>
        <v>2</v>
      </c>
      <c r="D158" s="32" cm="1">
        <f t="array" aca="1" ref="D158" ca="1">INDEX(Data_DBD!$D:$D,$A158)</f>
        <v>12</v>
      </c>
      <c r="E158" s="32" cm="1">
        <f t="array" aca="1" ref="E158" ca="1">INDEX(Data_DBD!$E:$E,$A158)</f>
        <v>1</v>
      </c>
      <c r="F158" s="32" cm="1">
        <f t="array" aca="1" ref="F158" ca="1">INDEX(Data_DBD!$F:$F,$A158)</f>
        <v>2</v>
      </c>
      <c r="H158" s="32">
        <v>65</v>
      </c>
      <c r="I158" s="32">
        <v>49</v>
      </c>
      <c r="J158" s="32">
        <v>3</v>
      </c>
      <c r="K158" s="32">
        <v>15</v>
      </c>
      <c r="L158" s="32">
        <v>0</v>
      </c>
      <c r="M158" s="32">
        <v>2</v>
      </c>
    </row>
    <row r="159" spans="1:13">
      <c r="A159" s="32">
        <f t="shared" ca="1" si="2"/>
        <v>104</v>
      </c>
      <c r="B159" s="32" cm="1">
        <f t="array" aca="1" ref="B159" ca="1">INDEX(Data_DBD!$B:$B,$A159)</f>
        <v>37</v>
      </c>
      <c r="C159" s="32" cm="1">
        <f t="array" aca="1" ref="C159" ca="1">INDEX(Data_DBD!$C:$C,$A159)</f>
        <v>4</v>
      </c>
      <c r="D159" s="32" cm="1">
        <f t="array" aca="1" ref="D159" ca="1">INDEX(Data_DBD!$D:$D,$A159)</f>
        <v>18</v>
      </c>
      <c r="E159" s="32" cm="1">
        <f t="array" aca="1" ref="E159" ca="1">INDEX(Data_DBD!$E:$E,$A159)</f>
        <v>1</v>
      </c>
      <c r="F159" s="32" cm="1">
        <f t="array" aca="1" ref="F159" ca="1">INDEX(Data_DBD!$F:$F,$A159)</f>
        <v>3</v>
      </c>
      <c r="H159" s="32">
        <v>32</v>
      </c>
      <c r="I159" s="32">
        <v>54</v>
      </c>
      <c r="J159" s="32">
        <v>4</v>
      </c>
      <c r="K159" s="32">
        <v>14</v>
      </c>
      <c r="L159" s="32">
        <v>0</v>
      </c>
      <c r="M159" s="32">
        <v>2</v>
      </c>
    </row>
    <row r="160" spans="1:13">
      <c r="A160" s="32">
        <f t="shared" ca="1" si="2"/>
        <v>10</v>
      </c>
      <c r="B160" s="32" cm="1">
        <f t="array" aca="1" ref="B160" ca="1">INDEX(Data_DBD!$B:$B,$A160)</f>
        <v>18</v>
      </c>
      <c r="C160" s="32" cm="1">
        <f t="array" aca="1" ref="C160" ca="1">INDEX(Data_DBD!$C:$C,$A160)</f>
        <v>5</v>
      </c>
      <c r="D160" s="32" cm="1">
        <f t="array" aca="1" ref="D160" ca="1">INDEX(Data_DBD!$D:$D,$A160)</f>
        <v>12</v>
      </c>
      <c r="E160" s="32" cm="1">
        <f t="array" aca="1" ref="E160" ca="1">INDEX(Data_DBD!$E:$E,$A160)</f>
        <v>0</v>
      </c>
      <c r="F160" s="32" cm="1">
        <f t="array" aca="1" ref="F160" ca="1">INDEX(Data_DBD!$F:$F,$A160)</f>
        <v>2</v>
      </c>
      <c r="H160" s="32">
        <v>143</v>
      </c>
      <c r="I160" s="32">
        <v>20</v>
      </c>
      <c r="J160" s="32">
        <v>4</v>
      </c>
      <c r="K160" s="32">
        <v>21</v>
      </c>
      <c r="L160" s="32">
        <v>1</v>
      </c>
      <c r="M160" s="32">
        <v>3</v>
      </c>
    </row>
    <row r="161" spans="1:22">
      <c r="A161" s="32">
        <f t="shared" ca="1" si="2"/>
        <v>156</v>
      </c>
      <c r="B161" s="32" cm="1">
        <f t="array" aca="1" ref="B161" ca="1">INDEX(Data_DBD!$B:$B,$A161)</f>
        <v>5</v>
      </c>
      <c r="C161" s="32" cm="1">
        <f t="array" aca="1" ref="C161" ca="1">INDEX(Data_DBD!$C:$C,$A161)</f>
        <v>2</v>
      </c>
      <c r="D161" s="32" cm="1">
        <f t="array" aca="1" ref="D161" ca="1">INDEX(Data_DBD!$D:$D,$A161)</f>
        <v>21</v>
      </c>
      <c r="E161" s="32" cm="1">
        <f t="array" aca="1" ref="E161" ca="1">INDEX(Data_DBD!$E:$E,$A161)</f>
        <v>0</v>
      </c>
      <c r="F161" s="32" cm="1">
        <f t="array" aca="1" ref="F161" ca="1">INDEX(Data_DBD!$F:$F,$A161)</f>
        <v>3</v>
      </c>
      <c r="H161" s="32">
        <v>89</v>
      </c>
      <c r="I161" s="32">
        <v>32</v>
      </c>
      <c r="J161" s="32">
        <v>4</v>
      </c>
      <c r="K161" s="32">
        <v>13</v>
      </c>
      <c r="L161" s="32">
        <v>0</v>
      </c>
      <c r="M161" s="32">
        <v>2</v>
      </c>
    </row>
    <row r="162" spans="1:22">
      <c r="A162" s="32">
        <f t="shared" ca="1" si="2"/>
        <v>19</v>
      </c>
      <c r="B162" s="32" cm="1">
        <f t="array" aca="1" ref="B162" ca="1">INDEX(Data_DBD!$B:$B,$A162)</f>
        <v>8</v>
      </c>
      <c r="C162" s="32" cm="1">
        <f t="array" aca="1" ref="C162" ca="1">INDEX(Data_DBD!$C:$C,$A162)</f>
        <v>4</v>
      </c>
      <c r="D162" s="32" cm="1">
        <f t="array" aca="1" ref="D162" ca="1">INDEX(Data_DBD!$D:$D,$A162)</f>
        <v>7</v>
      </c>
      <c r="E162" s="32" cm="1">
        <f t="array" aca="1" ref="E162" ca="1">INDEX(Data_DBD!$E:$E,$A162)</f>
        <v>0</v>
      </c>
      <c r="F162" s="32" cm="1">
        <f t="array" aca="1" ref="F162" ca="1">INDEX(Data_DBD!$F:$F,$A162)</f>
        <v>1</v>
      </c>
      <c r="H162" s="32">
        <v>101</v>
      </c>
      <c r="I162" s="32">
        <v>42</v>
      </c>
      <c r="J162" s="32">
        <v>5</v>
      </c>
      <c r="K162" s="32">
        <v>18</v>
      </c>
      <c r="L162" s="32">
        <v>0</v>
      </c>
      <c r="M162" s="32">
        <v>3</v>
      </c>
    </row>
    <row r="163" spans="1:22">
      <c r="A163" s="32">
        <f t="shared" ca="1" si="2"/>
        <v>115</v>
      </c>
      <c r="B163" s="32" cm="1">
        <f t="array" aca="1" ref="B163" ca="1">INDEX(Data_DBD!$B:$B,$A163)</f>
        <v>52</v>
      </c>
      <c r="C163" s="32" cm="1">
        <f t="array" aca="1" ref="C163" ca="1">INDEX(Data_DBD!$C:$C,$A163)</f>
        <v>3</v>
      </c>
      <c r="D163" s="32" cm="1">
        <f t="array" aca="1" ref="D163" ca="1">INDEX(Data_DBD!$D:$D,$A163)</f>
        <v>33</v>
      </c>
      <c r="E163" s="32" cm="1">
        <f t="array" aca="1" ref="E163" ca="1">INDEX(Data_DBD!$E:$E,$A163)</f>
        <v>1</v>
      </c>
      <c r="F163" s="32" cm="1">
        <f t="array" aca="1" ref="F163" ca="1">INDEX(Data_DBD!$F:$F,$A163)</f>
        <v>3</v>
      </c>
      <c r="H163" s="32">
        <v>126</v>
      </c>
      <c r="I163" s="32">
        <v>51</v>
      </c>
      <c r="J163" s="32">
        <v>3</v>
      </c>
      <c r="K163" s="32">
        <v>33</v>
      </c>
      <c r="L163" s="32">
        <v>1</v>
      </c>
      <c r="M163" s="32">
        <v>3</v>
      </c>
    </row>
    <row r="164" spans="1:22">
      <c r="A164" s="32">
        <f t="shared" ca="1" si="2"/>
        <v>12</v>
      </c>
      <c r="B164" s="32" cm="1">
        <f t="array" aca="1" ref="B164" ca="1">INDEX(Data_DBD!$B:$B,$A164)</f>
        <v>23</v>
      </c>
      <c r="C164" s="32" cm="1">
        <f t="array" aca="1" ref="C164" ca="1">INDEX(Data_DBD!$C:$C,$A164)</f>
        <v>3</v>
      </c>
      <c r="D164" s="32" cm="1">
        <f t="array" aca="1" ref="D164" ca="1">INDEX(Data_DBD!$D:$D,$A164)</f>
        <v>12</v>
      </c>
      <c r="E164" s="32" cm="1">
        <f t="array" aca="1" ref="E164" ca="1">INDEX(Data_DBD!$E:$E,$A164)</f>
        <v>0</v>
      </c>
      <c r="F164" s="32" cm="1">
        <f t="array" aca="1" ref="F164" ca="1">INDEX(Data_DBD!$F:$F,$A164)</f>
        <v>2</v>
      </c>
      <c r="H164" s="32">
        <v>93</v>
      </c>
      <c r="I164" s="32">
        <v>65</v>
      </c>
      <c r="J164" s="32">
        <v>4</v>
      </c>
      <c r="K164" s="32">
        <v>18</v>
      </c>
      <c r="L164" s="32">
        <v>0</v>
      </c>
      <c r="M164" s="32">
        <v>3</v>
      </c>
    </row>
    <row r="165" spans="1:22">
      <c r="I165" s="42">
        <f>AVERAGE(I2:I164)</f>
        <v>31.369565217391305</v>
      </c>
      <c r="J165" s="42">
        <f>AVERAGE(J2:J164)</f>
        <v>3.6564417177914113</v>
      </c>
      <c r="K165" s="42">
        <f>AVERAGE(K2:K164)</f>
        <v>18.871165644171779</v>
      </c>
      <c r="L165" s="42">
        <f>AVERAGE(L2:L164)</f>
        <v>0.53987730061349692</v>
      </c>
    </row>
    <row r="166" spans="1:22">
      <c r="I166">
        <f>SUM(I2:I164)</f>
        <v>5050.5</v>
      </c>
      <c r="J166">
        <f>SUM(J2:J164)</f>
        <v>596</v>
      </c>
      <c r="K166">
        <f>SUM(K2:K164)</f>
        <v>3076</v>
      </c>
      <c r="L166" s="56">
        <f>SUM(L2:L164)</f>
        <v>88</v>
      </c>
    </row>
    <row r="167" spans="1:22">
      <c r="B167">
        <v>8</v>
      </c>
    </row>
    <row r="168" spans="1:22">
      <c r="E168" s="38" t="s">
        <v>188</v>
      </c>
      <c r="J168" s="38" t="s">
        <v>189</v>
      </c>
      <c r="O168" s="38" t="s">
        <v>190</v>
      </c>
      <c r="T168" s="38" t="s">
        <v>191</v>
      </c>
    </row>
    <row r="169" spans="1:22">
      <c r="E169" s="32" t="s">
        <v>1</v>
      </c>
      <c r="F169" s="32">
        <f>AVERAGEIF($I$2:$I$164,"&lt;="&amp;$I$165)</f>
        <v>16.809782608695652</v>
      </c>
      <c r="G169" s="32">
        <f>AVERAGEIF($I$2:$I$164,"&gt;"&amp;$I$165)</f>
        <v>50.782608695652172</v>
      </c>
      <c r="J169" s="32" t="s">
        <v>192</v>
      </c>
      <c r="K169" s="32">
        <f>AVERAGEIF($J$2:$J$164,"&lt;="&amp;$J$165)</f>
        <v>2.4743589743589745</v>
      </c>
      <c r="L169" s="32">
        <f>AVERAGEIF($J$2:$J$164,"&gt;"&amp;$J$165)</f>
        <v>4.7411764705882353</v>
      </c>
      <c r="O169" s="32" t="s">
        <v>193</v>
      </c>
      <c r="P169" s="32">
        <f>AVERAGEIF($K$2:$K$164,"&lt;="&amp;$K$165)</f>
        <v>13.7</v>
      </c>
      <c r="Q169" s="32">
        <f>AVERAGEIF($K$2:$K$164,"&gt;"&amp;$K$165)</f>
        <v>29.60377358490566</v>
      </c>
      <c r="T169" s="32" t="s">
        <v>194</v>
      </c>
      <c r="U169" s="32">
        <f>AVERAGEIF($L$2:$L$164,"&lt;="&amp;$L$165)</f>
        <v>0</v>
      </c>
      <c r="V169" s="32">
        <f>AVERAGEIF($L$2:$L$164,"&gt;"&amp;$L$165)</f>
        <v>1</v>
      </c>
    </row>
    <row r="170" spans="1:22">
      <c r="E170" s="32" t="str" cm="1">
        <f t="array" ref="E170:E332">IF($I$2:$I$164&lt;$F$169,"kiri",IF($I$2:$I$164&lt;$G$169,"tengah","kanan"))</f>
        <v>kiri</v>
      </c>
      <c r="F170" s="55" t="s">
        <v>260</v>
      </c>
      <c r="G170" s="32"/>
      <c r="J170" s="32" t="str" cm="1">
        <f t="array" ref="J170:J332">IF($J$2:$J$164&lt;$K$169,"kiri",IF($J$2:$J$164&lt;$L$169,"tengah","kanan"))</f>
        <v>kanan</v>
      </c>
      <c r="K170" s="55" t="s">
        <v>200</v>
      </c>
      <c r="L170" s="32"/>
      <c r="O170" s="32" t="str" cm="1">
        <f t="array" ref="O170:O332">IF($K$2:$K$164&lt;$P$169,"kiri",IF($K$2:$K$164&lt;$Q$169,"tengah","kanan"))</f>
        <v>kiri</v>
      </c>
      <c r="P170" s="55" t="s">
        <v>262</v>
      </c>
      <c r="Q170" s="32"/>
      <c r="T170" s="32" t="str" cm="1">
        <f t="array" ref="T170:T332">IF($L$2:$L$164&lt;$U$169,"kiri",IF($L$2:$L$164&lt;$V$169,"tengah","kanan"))</f>
        <v>kanan</v>
      </c>
      <c r="U170" s="32" t="s">
        <v>195</v>
      </c>
      <c r="V170" s="32"/>
    </row>
    <row r="171" spans="1:22">
      <c r="E171" s="32" t="str">
        <v>kiri</v>
      </c>
      <c r="F171" s="32">
        <f>COUNTIFS($E$170:$E$332,"Kanan",$M$2:$M$164,"1")</f>
        <v>1</v>
      </c>
      <c r="G171" s="32">
        <f>F171/34</f>
        <v>2.9411764705882353E-2</v>
      </c>
      <c r="J171" s="32" t="str">
        <v>kanan</v>
      </c>
      <c r="K171" s="32" cm="1">
        <f t="array" ref="K171">SUMPRODUCT((J170:J332="Kanan")*(M2:M164=1))</f>
        <v>1</v>
      </c>
      <c r="L171" s="32">
        <f>K171/40</f>
        <v>2.5000000000000001E-2</v>
      </c>
      <c r="O171" s="32" t="str">
        <v>kiri</v>
      </c>
      <c r="P171" s="32">
        <f>COUNTIFS($O$170:$O$332,"Kanan",$M$2:$M$164,"1")</f>
        <v>0</v>
      </c>
      <c r="Q171" s="32">
        <f>P171/38</f>
        <v>0</v>
      </c>
      <c r="T171" s="32" t="str">
        <v>kanan</v>
      </c>
      <c r="U171" s="32">
        <f>COUNTIFS($T$170:$T$332,"Kanan",$M$2:$M$164,"1")</f>
        <v>4</v>
      </c>
      <c r="V171" s="32">
        <f>U171/88</f>
        <v>4.5454545454545456E-2</v>
      </c>
    </row>
    <row r="172" spans="1:22">
      <c r="E172" s="32" t="str">
        <v>kiri</v>
      </c>
      <c r="F172" s="32">
        <f>COUNTIFS($E$170:$E$332,"Kanan",$M$2:$M$164,"2")</f>
        <v>14</v>
      </c>
      <c r="G172" s="32">
        <f t="shared" ref="G172:G173" si="3">F172/34</f>
        <v>0.41176470588235292</v>
      </c>
      <c r="J172" s="32" t="str">
        <v>kiri</v>
      </c>
      <c r="K172" s="32">
        <f>COUNTIFS($J$170:$J$332,"Kanan",$M$2:$M$164,"2")</f>
        <v>14</v>
      </c>
      <c r="L172" s="32">
        <f t="shared" ref="L172:L173" si="4">K172/40</f>
        <v>0.35</v>
      </c>
      <c r="O172" s="32" t="str">
        <v>kanan</v>
      </c>
      <c r="P172" s="32">
        <f>COUNTIFS($O$170:$O$332,"Kanan",$M$2:$M$164,"2")</f>
        <v>0</v>
      </c>
      <c r="Q172" s="32">
        <f t="shared" ref="Q172:Q173" si="5">P172/38</f>
        <v>0</v>
      </c>
      <c r="T172" s="32" t="str">
        <v>tengah</v>
      </c>
      <c r="U172" s="32">
        <f>COUNTIFS($T$170:$T$332,"Kanan",$M$2:$M$164,"2")</f>
        <v>44</v>
      </c>
      <c r="V172" s="32">
        <f t="shared" ref="V172:V173" si="6">U172/88</f>
        <v>0.5</v>
      </c>
    </row>
    <row r="173" spans="1:22">
      <c r="E173" s="32" t="str">
        <v>kiri</v>
      </c>
      <c r="F173" s="32" cm="1">
        <f t="array" ref="F173">SUMPRODUCT((E170:E332="KANAN")*(M2:M164=3))</f>
        <v>19</v>
      </c>
      <c r="G173" s="32">
        <f t="shared" si="3"/>
        <v>0.55882352941176472</v>
      </c>
      <c r="J173" s="32" t="str">
        <v>tengah</v>
      </c>
      <c r="K173" s="32">
        <f>COUNTIFS($J$170:$J$332,"Kanan",$M$2:$M$164,"3")</f>
        <v>25</v>
      </c>
      <c r="L173" s="32">
        <f t="shared" si="4"/>
        <v>0.625</v>
      </c>
      <c r="O173" s="32" t="str">
        <v>kiri</v>
      </c>
      <c r="P173" s="32">
        <f>COUNTIFS($O$170:$O$332,"Kanan",$M$2:$M$164,"3")</f>
        <v>38</v>
      </c>
      <c r="Q173" s="32">
        <f t="shared" si="5"/>
        <v>1</v>
      </c>
      <c r="T173" s="32" t="str">
        <v>tengah</v>
      </c>
      <c r="U173" s="32">
        <f>COUNTIFS($T$170:$T$332,"Kanan",$M$2:$M$164,"3")</f>
        <v>40</v>
      </c>
      <c r="V173" s="32">
        <f t="shared" si="6"/>
        <v>0.45454545454545453</v>
      </c>
    </row>
    <row r="174" spans="1:22">
      <c r="E174" s="32" t="str">
        <v>kiri</v>
      </c>
      <c r="F174" s="32" t="s">
        <v>196</v>
      </c>
      <c r="G174" s="32">
        <f>-(IFERROR(G171*LOG(G171,2),0)+IFERROR(G172*LOG(G172,2),0)+IFERROR(G173*LOG(G173,2),0))</f>
        <v>1.1458866158316752</v>
      </c>
      <c r="J174" s="32" t="str">
        <v>tengah</v>
      </c>
      <c r="K174" s="32" t="s">
        <v>196</v>
      </c>
      <c r="L174" s="32">
        <f>-(IFERROR(L171*LOG(L171,2),0)+IFERROR(L172*LOG(L172,2),0)+IFERROR(L173*LOG(L173,2),0))</f>
        <v>1.086943753557998</v>
      </c>
      <c r="O174" s="32" t="str">
        <v>kiri</v>
      </c>
      <c r="P174" s="32" t="s">
        <v>196</v>
      </c>
      <c r="Q174" s="32">
        <f>-(IFERROR(Q171*LOG(Q171,2),0)+IFERROR(Q172*LOG(Q172,2),0)+IFERROR(Q173*LOG(Q173,2),0))</f>
        <v>0</v>
      </c>
      <c r="T174" s="32" t="str">
        <v>tengah</v>
      </c>
      <c r="U174" s="32" t="s">
        <v>196</v>
      </c>
      <c r="V174" s="32">
        <f>-(IFERROR(V171*LOG(V171,2),0)+IFERROR(V172*LOG(V172,2),0)+IFERROR(V173*LOG(V173,2),0))</f>
        <v>1.2197484934607568</v>
      </c>
    </row>
    <row r="175" spans="1:22">
      <c r="E175" s="32" t="str">
        <v>kiri</v>
      </c>
      <c r="F175" s="32"/>
      <c r="G175" s="32">
        <f>SUM(F171:F173)/163</f>
        <v>0.20858895705521471</v>
      </c>
      <c r="J175" s="32" t="str">
        <v>tengah</v>
      </c>
      <c r="K175" s="32"/>
      <c r="L175" s="32">
        <f>SUM(K171:K173)/163</f>
        <v>0.24539877300613497</v>
      </c>
      <c r="O175" s="32" t="str">
        <v>tengah</v>
      </c>
      <c r="P175" s="32"/>
      <c r="Q175" s="32">
        <f>SUM(P171:P173)/163</f>
        <v>0.23312883435582821</v>
      </c>
      <c r="T175" s="32" t="str">
        <v>tengah</v>
      </c>
      <c r="U175" s="32"/>
      <c r="V175" s="32">
        <f>SUM(U171:U173)/163</f>
        <v>0.53987730061349692</v>
      </c>
    </row>
    <row r="176" spans="1:22">
      <c r="E176" s="32" t="str">
        <v>tengah</v>
      </c>
      <c r="F176" s="32"/>
      <c r="G176" s="39">
        <f>G174*G175</f>
        <v>0.23901929409985861</v>
      </c>
      <c r="J176" s="32" t="str">
        <v>tengah</v>
      </c>
      <c r="K176" s="32"/>
      <c r="L176" s="39">
        <f>L174*L175</f>
        <v>0.26673466344981545</v>
      </c>
      <c r="O176" s="32" t="str">
        <v>kanan</v>
      </c>
      <c r="P176" s="32"/>
      <c r="Q176" s="39">
        <f>Q174*Q175</f>
        <v>0</v>
      </c>
      <c r="T176" s="32" t="str">
        <v>kanan</v>
      </c>
      <c r="U176" s="32"/>
      <c r="V176" s="39">
        <f>V174*V175</f>
        <v>0.65851452407697297</v>
      </c>
    </row>
    <row r="177" spans="5:22">
      <c r="E177" s="32" t="str">
        <v>tengah</v>
      </c>
      <c r="F177" s="32"/>
      <c r="G177" s="32"/>
      <c r="J177" s="32" t="str">
        <v>tengah</v>
      </c>
      <c r="K177" s="32"/>
      <c r="L177" s="32"/>
      <c r="O177" s="32" t="str">
        <v>tengah</v>
      </c>
      <c r="P177" s="32"/>
      <c r="Q177" s="32"/>
      <c r="T177" s="32" t="str">
        <v>tengah</v>
      </c>
      <c r="U177" s="32"/>
      <c r="V177" s="32"/>
    </row>
    <row r="178" spans="5:22">
      <c r="E178" s="32" t="str">
        <v>tengah</v>
      </c>
      <c r="F178" s="32"/>
      <c r="G178" s="32"/>
      <c r="J178" s="32" t="str">
        <v>tengah</v>
      </c>
      <c r="K178" s="32"/>
      <c r="L178" s="32"/>
      <c r="O178" s="32" t="str">
        <v>kiri</v>
      </c>
      <c r="P178" s="32"/>
      <c r="Q178" s="32"/>
      <c r="T178" s="32" t="str">
        <v>kanan</v>
      </c>
      <c r="U178" s="32"/>
      <c r="V178" s="32"/>
    </row>
    <row r="179" spans="5:22">
      <c r="E179" s="32" t="str">
        <v>tengah</v>
      </c>
      <c r="F179" s="55" t="s">
        <v>261</v>
      </c>
      <c r="G179" s="32"/>
      <c r="J179" s="32" t="str">
        <v>kiri</v>
      </c>
      <c r="K179" s="55" t="s">
        <v>202</v>
      </c>
      <c r="L179" s="32"/>
      <c r="O179" s="32" t="str">
        <v>tengah</v>
      </c>
      <c r="P179" s="55" t="s">
        <v>263</v>
      </c>
      <c r="Q179" s="32"/>
      <c r="T179" s="32" t="str">
        <v>kanan</v>
      </c>
      <c r="U179" s="32" t="s">
        <v>197</v>
      </c>
      <c r="V179" s="32"/>
    </row>
    <row r="180" spans="5:22">
      <c r="E180" s="32" t="str">
        <v>tengah</v>
      </c>
      <c r="F180" s="32" cm="1">
        <f t="array" ref="F180">SUMPRODUCT((E170:E332="kiri")*(M2:M164=1))</f>
        <v>2</v>
      </c>
      <c r="G180" s="32">
        <f>F180/39</f>
        <v>5.128205128205128E-2</v>
      </c>
      <c r="J180" s="32" t="str">
        <v>kiri</v>
      </c>
      <c r="K180" s="32">
        <f>COUNTIFS($J$170:$J$332,"Kiri",$M$2:$M$164,"1")</f>
        <v>1</v>
      </c>
      <c r="L180" s="32">
        <f>K180/36</f>
        <v>2.7777777777777776E-2</v>
      </c>
      <c r="O180" s="32" t="str">
        <v>tengah</v>
      </c>
      <c r="P180" s="32">
        <f>COUNTIFS($O$170:$O$332,"Kiri",$M$2:$M$164,"1")</f>
        <v>6</v>
      </c>
      <c r="Q180" s="32">
        <f>P180/48</f>
        <v>0.125</v>
      </c>
      <c r="T180" s="32" t="str">
        <v>kanan</v>
      </c>
      <c r="U180" s="32">
        <f>COUNTIFS($T$170:$T$332,"Kiri",$M$2:$M$164,"1")</f>
        <v>0</v>
      </c>
      <c r="V180" s="32">
        <f>U180/57</f>
        <v>0</v>
      </c>
    </row>
    <row r="181" spans="5:22">
      <c r="E181" s="32" t="str">
        <v>tengah</v>
      </c>
      <c r="F181" s="32" cm="1">
        <f t="array" ref="F181">SUMPRODUCT((E170:E332="kiri")*(M2:M164=2))</f>
        <v>22</v>
      </c>
      <c r="G181" s="32">
        <f>F181/39</f>
        <v>0.5641025641025641</v>
      </c>
      <c r="J181" s="32" t="str">
        <v>kanan</v>
      </c>
      <c r="K181" s="32">
        <f>COUNTIFS($J$170:$J$332,"Kiri",$M$2:$M$164,"2")</f>
        <v>14</v>
      </c>
      <c r="L181" s="32">
        <f t="shared" ref="L181:L182" si="7">K181/36</f>
        <v>0.3888888888888889</v>
      </c>
      <c r="O181" s="32" t="str">
        <v>kiri</v>
      </c>
      <c r="P181" s="32">
        <f>COUNTIFS($O$170:$O$332,"Kiri",$M$2:$M$164,"2")</f>
        <v>42</v>
      </c>
      <c r="Q181" s="32">
        <f t="shared" ref="Q181:Q182" si="8">P181/48</f>
        <v>0.875</v>
      </c>
      <c r="T181" s="32" t="str">
        <v>tengah</v>
      </c>
      <c r="U181" s="32">
        <f>COUNTIFS($T$170:$T$332,"Kiri",$M$2:$M$164,"2")</f>
        <v>0</v>
      </c>
      <c r="V181" s="32">
        <f>U181/57</f>
        <v>0</v>
      </c>
    </row>
    <row r="182" spans="5:22">
      <c r="E182" s="32" t="str">
        <v>kanan</v>
      </c>
      <c r="F182" s="32" cm="1">
        <f t="array" ref="F182">SUMPRODUCT((E170:E332="kiri")*(M2:M164=3))</f>
        <v>15</v>
      </c>
      <c r="G182" s="32">
        <f>F182/39</f>
        <v>0.38461538461538464</v>
      </c>
      <c r="J182" s="32" t="str">
        <v>kanan</v>
      </c>
      <c r="K182" s="32">
        <f>COUNTIFS($J$170:$J$332,"Kiri",$M$2:$M$164,"3")</f>
        <v>21</v>
      </c>
      <c r="L182" s="32">
        <f t="shared" si="7"/>
        <v>0.58333333333333337</v>
      </c>
      <c r="O182" s="32" t="str">
        <v>kanan</v>
      </c>
      <c r="P182" s="32">
        <f>COUNTIFS($O$170:$O$332,"Kiri",$M$2:$M$164,"3")</f>
        <v>0</v>
      </c>
      <c r="Q182" s="32">
        <f t="shared" si="8"/>
        <v>0</v>
      </c>
      <c r="T182" s="32" t="str">
        <v>kanan</v>
      </c>
      <c r="U182" s="32">
        <f>COUNTIFS($T$170:$T$332,"Kiri",$M$2:$M$164,"3")</f>
        <v>0</v>
      </c>
      <c r="V182" s="32">
        <f>U182/57</f>
        <v>0</v>
      </c>
    </row>
    <row r="183" spans="5:22">
      <c r="E183" s="32" t="str">
        <v>tengah</v>
      </c>
      <c r="F183" s="32" t="s">
        <v>196</v>
      </c>
      <c r="G183" s="32">
        <f>-(IFERROR(G180*LOG(G180,2),0)+IFERROR(G181*LOG(G181,2),0)+IFERROR(G182*LOG(G182,2),0))</f>
        <v>1.2158931279866505</v>
      </c>
      <c r="J183" s="32" t="str">
        <v>tengah</v>
      </c>
      <c r="K183" s="32" t="s">
        <v>196</v>
      </c>
      <c r="L183" s="32">
        <f>-(IFERROR(L180*LOG(L180,2),0)+IFERROR(L181*LOG(L181,2),0)+IFERROR(L182*LOG(L182,2),0))</f>
        <v>1.1271018129100785</v>
      </c>
      <c r="O183" s="32" t="str">
        <v>tengah</v>
      </c>
      <c r="P183" s="32" t="s">
        <v>196</v>
      </c>
      <c r="Q183" s="32">
        <f>-(IFERROR(Q180*LOG(Q180,2),0)+IFERROR(Q181*LOG(Q181,2),0)+IFERROR(Q182*LOG(Q182,2),0))</f>
        <v>0.5435644431995964</v>
      </c>
      <c r="T183" s="32" t="str">
        <v>kanan</v>
      </c>
      <c r="U183" s="32" t="s">
        <v>196</v>
      </c>
      <c r="V183" s="32">
        <f>-(IFERROR(V180*LOG(V180,2),0)+IFERROR(V181*LOG(V181,2),0)+IFERROR(V182*LOG(V182,2),0))</f>
        <v>0</v>
      </c>
    </row>
    <row r="184" spans="5:22">
      <c r="E184" s="32" t="str">
        <v>tengah</v>
      </c>
      <c r="F184" s="32"/>
      <c r="G184" s="32">
        <f>SUM(F180:F182)/163</f>
        <v>0.2392638036809816</v>
      </c>
      <c r="J184" s="32" t="str">
        <v>kiri</v>
      </c>
      <c r="K184" s="32"/>
      <c r="L184" s="32">
        <f>SUM(K180:K182)/163</f>
        <v>0.22085889570552147</v>
      </c>
      <c r="O184" s="32" t="str">
        <v>kanan</v>
      </c>
      <c r="P184" s="32"/>
      <c r="Q184" s="32">
        <f>SUM(P180:P182)/163</f>
        <v>0.29447852760736198</v>
      </c>
      <c r="T184" s="32" t="str">
        <v>tengah</v>
      </c>
      <c r="U184" s="32"/>
      <c r="V184" s="32">
        <f>SUM(U180:U182)/163</f>
        <v>0</v>
      </c>
    </row>
    <row r="185" spans="5:22">
      <c r="E185" s="32" t="str">
        <v>kanan</v>
      </c>
      <c r="F185" s="32"/>
      <c r="G185" s="39">
        <f>G183*G184</f>
        <v>0.2909192146716526</v>
      </c>
      <c r="J185" s="32" t="str">
        <v>tengah</v>
      </c>
      <c r="K185" s="32"/>
      <c r="L185" s="39">
        <f>L183*L184</f>
        <v>0.24893046174701119</v>
      </c>
      <c r="O185" s="32" t="str">
        <v>tengah</v>
      </c>
      <c r="P185" s="32"/>
      <c r="Q185" s="39">
        <f>Q183*Q184</f>
        <v>0.16006805689313269</v>
      </c>
      <c r="T185" s="32" t="str">
        <v>kanan</v>
      </c>
      <c r="U185" s="32"/>
      <c r="V185" s="39">
        <f>V183*V184</f>
        <v>0</v>
      </c>
    </row>
    <row r="186" spans="5:22">
      <c r="E186" s="32" t="str">
        <v>tengah</v>
      </c>
      <c r="F186" s="32"/>
      <c r="G186" s="32"/>
      <c r="J186" s="32" t="str">
        <v>tengah</v>
      </c>
      <c r="K186" s="32"/>
      <c r="L186" s="32"/>
      <c r="O186" s="32" t="str">
        <v>kiri</v>
      </c>
      <c r="P186" s="32"/>
      <c r="Q186" s="32"/>
      <c r="T186" s="32" t="str">
        <v>kanan</v>
      </c>
      <c r="U186" s="32"/>
      <c r="V186" s="32"/>
    </row>
    <row r="187" spans="5:22">
      <c r="E187" s="32" t="str">
        <v>tengah</v>
      </c>
      <c r="F187" s="32"/>
      <c r="G187" s="32"/>
      <c r="J187" s="32" t="str">
        <v>tengah</v>
      </c>
      <c r="K187" s="32"/>
      <c r="L187" s="32"/>
      <c r="O187" s="32" t="str">
        <v>kiri</v>
      </c>
      <c r="P187" s="32"/>
      <c r="Q187" s="32"/>
      <c r="T187" s="32" t="str">
        <v>tengah</v>
      </c>
      <c r="U187" s="32"/>
      <c r="V187" s="32"/>
    </row>
    <row r="188" spans="5:22">
      <c r="E188" s="32" t="str">
        <v>kiri</v>
      </c>
      <c r="F188" s="32" t="s">
        <v>198</v>
      </c>
      <c r="G188" s="32"/>
      <c r="J188" s="32" t="str">
        <v>tengah</v>
      </c>
      <c r="K188" s="32" t="s">
        <v>198</v>
      </c>
      <c r="L188" s="32"/>
      <c r="O188" s="32" t="str">
        <v>tengah</v>
      </c>
      <c r="P188" s="32" t="s">
        <v>198</v>
      </c>
      <c r="Q188" s="32"/>
      <c r="T188" s="32" t="str">
        <v>tengah</v>
      </c>
      <c r="U188" s="32" t="s">
        <v>198</v>
      </c>
      <c r="V188" s="32"/>
    </row>
    <row r="189" spans="5:22">
      <c r="E189" s="32" t="str">
        <v>kiri</v>
      </c>
      <c r="F189" s="32" cm="1">
        <f t="array" ref="F189">SUMPRODUCT((E170:E332="tengah")*(M2:M164=1))</f>
        <v>3</v>
      </c>
      <c r="G189" s="32">
        <f>F189/90</f>
        <v>3.3333333333333333E-2</v>
      </c>
      <c r="J189" s="32" t="str">
        <v>kiri</v>
      </c>
      <c r="K189" s="32">
        <f>COUNTIFS($J$170:$J$332,"Tengah",$M$2:$M$164,"1")</f>
        <v>4</v>
      </c>
      <c r="L189" s="32">
        <f>K189/87</f>
        <v>4.5977011494252873E-2</v>
      </c>
      <c r="O189" s="32" t="str">
        <v>kanan</v>
      </c>
      <c r="P189" s="32">
        <f>COUNTIFS($O$170:$O$332,"Tengah",$M$2:$M$164,"1")</f>
        <v>0</v>
      </c>
      <c r="Q189" s="32">
        <f>P189/77</f>
        <v>0</v>
      </c>
      <c r="T189" s="32" t="str">
        <v>kanan</v>
      </c>
      <c r="U189" s="32">
        <f>COUNTIFS($T$170:$T$332,"Tengah",$M$2:$M$164,"1")</f>
        <v>2</v>
      </c>
      <c r="V189" s="32">
        <f>U189/75</f>
        <v>2.6666666666666668E-2</v>
      </c>
    </row>
    <row r="190" spans="5:22">
      <c r="E190" s="32" t="str">
        <v>tengah</v>
      </c>
      <c r="F190" s="32" cm="1">
        <f t="array" ref="F190">SUMPRODUCT((E170:E332="tengah")*(M2:M164=2))</f>
        <v>45</v>
      </c>
      <c r="G190" s="32">
        <f t="shared" ref="G190:G191" si="9">F190/90</f>
        <v>0.5</v>
      </c>
      <c r="J190" s="32" t="str">
        <v>kanan</v>
      </c>
      <c r="K190" s="32">
        <f>COUNTIFS($J$170:$J$332,"Tengah",$M$2:$M$164,"2")</f>
        <v>53</v>
      </c>
      <c r="L190" s="32">
        <f t="shared" ref="L190:L191" si="10">K190/87</f>
        <v>0.60919540229885061</v>
      </c>
      <c r="O190" s="32" t="str">
        <v>tengah</v>
      </c>
      <c r="P190" s="32">
        <f>COUNTIFS($O$170:$O$332,"Tengah",$M$2:$M$164,"2")</f>
        <v>39</v>
      </c>
      <c r="Q190" s="32">
        <f t="shared" ref="Q190:Q191" si="11">P190/77</f>
        <v>0.50649350649350644</v>
      </c>
      <c r="T190" s="32" t="str">
        <v>tengah</v>
      </c>
      <c r="U190" s="32">
        <f>COUNTIFS($T$170:$T$332,"Tengah",$M$2:$M$164,"2")</f>
        <v>37</v>
      </c>
      <c r="V190" s="32">
        <f t="shared" ref="V190:V191" si="12">U190/75</f>
        <v>0.49333333333333335</v>
      </c>
    </row>
    <row r="191" spans="5:22">
      <c r="E191" s="32" t="str">
        <v>tengah</v>
      </c>
      <c r="F191" s="32" cm="1">
        <f t="array" ref="F191">SUMPRODUCT((E170:E332="tengah")*(M2:M164=3))</f>
        <v>42</v>
      </c>
      <c r="G191" s="32">
        <f t="shared" si="9"/>
        <v>0.46666666666666667</v>
      </c>
      <c r="J191" s="32" t="str">
        <v>kiri</v>
      </c>
      <c r="K191" s="32">
        <f>COUNTIFS($J$170:$J$332,"Tengah",$M$2:$M$164,"3")</f>
        <v>30</v>
      </c>
      <c r="L191" s="32">
        <f t="shared" si="10"/>
        <v>0.34482758620689657</v>
      </c>
      <c r="O191" s="32" t="str">
        <v>kanan</v>
      </c>
      <c r="P191" s="32">
        <f>COUNTIFS($O$170:$O$332,"Tengah",$M$2:$M$164,"3")</f>
        <v>38</v>
      </c>
      <c r="Q191" s="32">
        <f t="shared" si="11"/>
        <v>0.4935064935064935</v>
      </c>
      <c r="T191" s="32" t="str">
        <v>tengah</v>
      </c>
      <c r="U191" s="32">
        <f>COUNTIFS($T$170:$T$332,"Tengah",$M$2:$M$164,"3")</f>
        <v>36</v>
      </c>
      <c r="V191" s="32">
        <f t="shared" si="12"/>
        <v>0.48</v>
      </c>
    </row>
    <row r="192" spans="5:22">
      <c r="E192" s="32" t="str">
        <v>kiri</v>
      </c>
      <c r="F192" s="32" t="s">
        <v>196</v>
      </c>
      <c r="G192" s="32">
        <f>-(IFERROR(G189*LOG(G189,2),0)+IFERROR(G190*LOG(G190,2),0)+IFERROR(G191*LOG(G191,2),0))</f>
        <v>1.1766796675107107</v>
      </c>
      <c r="J192" s="32" t="str">
        <v>tengah</v>
      </c>
      <c r="K192" s="32" t="s">
        <v>196</v>
      </c>
      <c r="L192" s="32">
        <f>-(IFERROR(L189*LOG(L189,2),0)+IFERROR(L190*LOG(L190,2),0)+IFERROR(L191*LOG(L191,2),0))</f>
        <v>1.1695354273417728</v>
      </c>
      <c r="O192" s="32" t="str">
        <v>kanan</v>
      </c>
      <c r="P192" s="32" t="s">
        <v>196</v>
      </c>
      <c r="Q192" s="32">
        <f>-(IFERROR(Q189*LOG(Q189,2),0)+IFERROR(Q190*LOG(Q190,2),0)+IFERROR(Q191*LOG(Q191,2),0))</f>
        <v>0.99987833229900613</v>
      </c>
      <c r="T192" s="32" t="str">
        <v>tengah</v>
      </c>
      <c r="U192" s="32" t="s">
        <v>196</v>
      </c>
      <c r="V192" s="32">
        <f>-(IFERROR(V189*LOG(V189,2),0)+IFERROR(V190*LOG(V190,2),0)+IFERROR(V191*LOG(V191,2),0))</f>
        <v>1.1505910294266224</v>
      </c>
    </row>
    <row r="193" spans="5:22">
      <c r="E193" s="32" t="str">
        <v>tengah</v>
      </c>
      <c r="F193" s="32"/>
      <c r="G193" s="32">
        <f>SUM(F189:F191)/163</f>
        <v>0.55214723926380371</v>
      </c>
      <c r="J193" s="32" t="str">
        <v>kanan</v>
      </c>
      <c r="K193" s="32"/>
      <c r="L193" s="32">
        <f>SUM(K189:K191)/163</f>
        <v>0.53374233128834359</v>
      </c>
      <c r="O193" s="32" t="str">
        <v>kiri</v>
      </c>
      <c r="P193" s="32"/>
      <c r="Q193" s="32">
        <f>SUM(P189:P191)/163</f>
        <v>0.47239263803680981</v>
      </c>
      <c r="T193" s="32" t="str">
        <v>kanan</v>
      </c>
      <c r="U193" s="32"/>
      <c r="V193" s="32">
        <f>SUM(U189:U191)/163</f>
        <v>0.46012269938650308</v>
      </c>
    </row>
    <row r="194" spans="5:22">
      <c r="E194" s="32" t="str">
        <v>kanan</v>
      </c>
      <c r="F194" s="32"/>
      <c r="G194" s="39">
        <f>G192*G193</f>
        <v>0.64970042991388943</v>
      </c>
      <c r="J194" s="32" t="str">
        <v>tengah</v>
      </c>
      <c r="K194" s="32"/>
      <c r="L194" s="39">
        <f>L192*L193</f>
        <v>0.62423056551370704</v>
      </c>
      <c r="O194" s="32" t="str">
        <v>tengah</v>
      </c>
      <c r="P194" s="32"/>
      <c r="Q194" s="39">
        <f>Q192*Q193</f>
        <v>0.47233516311057344</v>
      </c>
      <c r="T194" s="32" t="str">
        <v>tengah</v>
      </c>
      <c r="U194" s="32"/>
      <c r="V194" s="39">
        <f>V192*V193</f>
        <v>0.5294130503496729</v>
      </c>
    </row>
    <row r="195" spans="5:22">
      <c r="E195" s="32" t="str">
        <v>kanan</v>
      </c>
      <c r="F195" s="32"/>
      <c r="G195" s="32"/>
      <c r="J195" s="32" t="str">
        <v>tengah</v>
      </c>
      <c r="K195" s="32"/>
      <c r="L195" s="32"/>
      <c r="O195" s="32" t="str">
        <v>kiri</v>
      </c>
      <c r="P195" s="32"/>
      <c r="Q195" s="32"/>
      <c r="T195" s="32" t="str">
        <v>kanan</v>
      </c>
      <c r="U195" s="32"/>
      <c r="V195" s="32"/>
    </row>
    <row r="196" spans="5:22">
      <c r="E196" s="32" t="str">
        <v>tengah</v>
      </c>
      <c r="F196" s="32" t="s">
        <v>199</v>
      </c>
      <c r="G196" s="40" t="s">
        <v>196</v>
      </c>
      <c r="J196" s="32" t="str">
        <v>kiri</v>
      </c>
      <c r="K196" s="32" t="s">
        <v>199</v>
      </c>
      <c r="L196" s="40" t="s">
        <v>196</v>
      </c>
      <c r="O196" s="32" t="str">
        <v>kiri</v>
      </c>
      <c r="P196" s="32" t="s">
        <v>199</v>
      </c>
      <c r="Q196" s="40" t="s">
        <v>196</v>
      </c>
      <c r="T196" s="32" t="str">
        <v>kanan</v>
      </c>
      <c r="U196" s="32" t="s">
        <v>199</v>
      </c>
      <c r="V196" s="40" t="s">
        <v>196</v>
      </c>
    </row>
    <row r="197" spans="5:22">
      <c r="E197" s="32" t="str">
        <v>kanan</v>
      </c>
      <c r="F197" s="41">
        <f>P5-(G176+G185+G194)</f>
        <v>1.0315496161050763E-2</v>
      </c>
      <c r="G197" s="39">
        <f>(G176+G185+G194)</f>
        <v>1.1796389386854007</v>
      </c>
      <c r="J197" s="32" t="str">
        <v>tengah</v>
      </c>
      <c r="K197" s="41">
        <f>P5-(L176+L185+L194)</f>
        <v>5.005874413591771E-2</v>
      </c>
      <c r="L197" s="39">
        <f>(L176+L185+L194)</f>
        <v>1.1398956907105338</v>
      </c>
      <c r="O197" s="32" t="str">
        <v>tengah</v>
      </c>
      <c r="P197" s="41">
        <f>P5-(Q176+Q185+Q194)</f>
        <v>0.55755121484274528</v>
      </c>
      <c r="Q197" s="39">
        <f>(Q176+Q185+Q194)</f>
        <v>0.63240322000370619</v>
      </c>
      <c r="T197" s="32" t="str">
        <v>kanan</v>
      </c>
      <c r="U197" s="41">
        <f>P5-(V176+V185+V194)</f>
        <v>2.0268604198054874E-3</v>
      </c>
      <c r="V197" s="39">
        <f>(V176+V185+V194)</f>
        <v>1.187927574426646</v>
      </c>
    </row>
    <row r="198" spans="5:22">
      <c r="E198" s="32" t="str">
        <v>tengah</v>
      </c>
      <c r="F198" s="32"/>
      <c r="G198" s="32"/>
      <c r="J198" s="32" t="str">
        <v>kiri</v>
      </c>
      <c r="K198" s="32"/>
      <c r="L198" s="32"/>
      <c r="O198" s="32" t="str">
        <v>tengah</v>
      </c>
      <c r="P198" s="32"/>
      <c r="Q198" s="32"/>
      <c r="T198" s="32" t="str">
        <v>kanan</v>
      </c>
      <c r="U198" s="32"/>
      <c r="V198" s="32"/>
    </row>
    <row r="199" spans="5:22">
      <c r="E199" s="32" t="str">
        <v>tengah</v>
      </c>
      <c r="F199" s="32"/>
      <c r="G199" s="32"/>
      <c r="J199" s="32" t="str">
        <v>tengah</v>
      </c>
      <c r="K199" s="32"/>
      <c r="L199" s="32"/>
      <c r="O199" s="32" t="str">
        <v>kiri</v>
      </c>
      <c r="P199" s="32"/>
      <c r="Q199" s="32"/>
      <c r="T199" s="32" t="str">
        <v>kanan</v>
      </c>
      <c r="U199" s="32"/>
      <c r="V199" s="32"/>
    </row>
    <row r="200" spans="5:22">
      <c r="E200" s="32" t="str">
        <v>tengah</v>
      </c>
      <c r="F200" s="32"/>
      <c r="G200" s="32"/>
      <c r="J200" s="32" t="str">
        <v>tengah</v>
      </c>
      <c r="K200" s="32"/>
      <c r="L200" s="32"/>
      <c r="O200" s="32" t="str">
        <v>kanan</v>
      </c>
      <c r="P200" s="32"/>
      <c r="Q200" s="32"/>
      <c r="T200" s="32" t="str">
        <v>kanan</v>
      </c>
      <c r="U200" s="32"/>
      <c r="V200" s="32"/>
    </row>
    <row r="201" spans="5:22">
      <c r="E201" s="32" t="str">
        <v>tengah</v>
      </c>
      <c r="F201" s="32"/>
      <c r="G201" s="32"/>
      <c r="J201" s="32" t="str">
        <v>tengah</v>
      </c>
      <c r="K201" s="32"/>
      <c r="L201" s="32"/>
      <c r="O201" s="32" t="str">
        <v>tengah</v>
      </c>
      <c r="P201" s="32"/>
      <c r="Q201" s="32"/>
      <c r="T201" s="32" t="str">
        <v>tengah</v>
      </c>
      <c r="U201" s="32"/>
      <c r="V201" s="32"/>
    </row>
    <row r="202" spans="5:22">
      <c r="E202" s="32" t="str">
        <v>tengah</v>
      </c>
      <c r="F202" s="32"/>
      <c r="G202" s="32"/>
      <c r="J202" s="32" t="str">
        <v>kiri</v>
      </c>
      <c r="K202" s="32"/>
      <c r="L202" s="32"/>
      <c r="O202" s="32" t="str">
        <v>tengah</v>
      </c>
      <c r="P202" s="32"/>
      <c r="Q202" s="32"/>
      <c r="T202" s="32" t="str">
        <v>tengah</v>
      </c>
      <c r="U202" s="32"/>
      <c r="V202" s="32"/>
    </row>
    <row r="203" spans="5:22">
      <c r="E203" s="32" t="str">
        <v>tengah</v>
      </c>
      <c r="F203" s="32"/>
      <c r="G203" s="32"/>
      <c r="J203" s="32" t="str">
        <v>kanan</v>
      </c>
      <c r="K203" s="32"/>
      <c r="L203" s="32"/>
      <c r="O203" s="32" t="str">
        <v>tengah</v>
      </c>
      <c r="P203" s="32"/>
      <c r="Q203" s="32"/>
      <c r="T203" s="32" t="str">
        <v>kanan</v>
      </c>
      <c r="U203" s="32"/>
      <c r="V203" s="32"/>
    </row>
    <row r="204" spans="5:22">
      <c r="E204" s="32" t="str">
        <v>tengah</v>
      </c>
      <c r="F204" s="32"/>
      <c r="G204" s="32"/>
      <c r="J204" s="32" t="str">
        <v>tengah</v>
      </c>
      <c r="K204" s="32"/>
      <c r="L204" s="32"/>
      <c r="O204" s="32" t="str">
        <v>kiri</v>
      </c>
      <c r="P204" s="32"/>
      <c r="Q204" s="32"/>
      <c r="T204" s="32" t="str">
        <v>kanan</v>
      </c>
      <c r="U204" s="32"/>
      <c r="V204" s="32"/>
    </row>
    <row r="205" spans="5:22">
      <c r="E205" s="32" t="str">
        <v>kiri</v>
      </c>
      <c r="F205" s="32"/>
      <c r="G205" s="32"/>
      <c r="J205" s="32" t="str">
        <v>kiri</v>
      </c>
      <c r="K205" s="32"/>
      <c r="L205" s="32"/>
      <c r="O205" s="32" t="str">
        <v>kiri</v>
      </c>
      <c r="P205" s="32"/>
      <c r="Q205" s="32"/>
      <c r="T205" s="32" t="str">
        <v>tengah</v>
      </c>
      <c r="U205" s="32"/>
      <c r="V205" s="32"/>
    </row>
    <row r="206" spans="5:22">
      <c r="E206" s="32" t="str">
        <v>kiri</v>
      </c>
      <c r="F206" s="32"/>
      <c r="G206" s="32"/>
      <c r="J206" s="32" t="str">
        <v>kiri</v>
      </c>
      <c r="K206" s="32"/>
      <c r="L206" s="32"/>
      <c r="O206" s="32" t="str">
        <v>tengah</v>
      </c>
      <c r="P206" s="32"/>
      <c r="Q206" s="32"/>
      <c r="T206" s="32" t="str">
        <v>kanan</v>
      </c>
      <c r="U206" s="32"/>
      <c r="V206" s="32"/>
    </row>
    <row r="207" spans="5:22">
      <c r="E207" s="32" t="str">
        <v>kiri</v>
      </c>
      <c r="F207" s="32"/>
      <c r="G207" s="32"/>
      <c r="J207" s="32" t="str">
        <v>kiri</v>
      </c>
      <c r="K207" s="32"/>
      <c r="L207" s="32"/>
      <c r="O207" s="32" t="str">
        <v>kanan</v>
      </c>
      <c r="P207" s="32"/>
      <c r="Q207" s="32"/>
      <c r="T207" s="32" t="str">
        <v>kanan</v>
      </c>
      <c r="U207" s="32"/>
      <c r="V207" s="32"/>
    </row>
    <row r="208" spans="5:22">
      <c r="E208" s="32" t="str">
        <v>kanan</v>
      </c>
      <c r="F208" s="32"/>
      <c r="G208" s="32"/>
      <c r="J208" s="32" t="str">
        <v>kanan</v>
      </c>
      <c r="K208" s="32"/>
      <c r="L208" s="32"/>
      <c r="O208" s="32" t="str">
        <v>tengah</v>
      </c>
      <c r="P208" s="32"/>
      <c r="Q208" s="32"/>
      <c r="T208" s="32" t="str">
        <v>kanan</v>
      </c>
      <c r="U208" s="32"/>
      <c r="V208" s="32"/>
    </row>
    <row r="209" spans="5:22">
      <c r="E209" s="32" t="str">
        <v>kanan</v>
      </c>
      <c r="F209" s="32"/>
      <c r="G209" s="32"/>
      <c r="J209" s="32" t="str">
        <v>tengah</v>
      </c>
      <c r="K209" s="32"/>
      <c r="L209" s="32"/>
      <c r="O209" s="32" t="str">
        <v>tengah</v>
      </c>
      <c r="P209" s="32"/>
      <c r="Q209" s="32"/>
      <c r="T209" s="32" t="str">
        <v>tengah</v>
      </c>
      <c r="U209" s="32"/>
      <c r="V209" s="32"/>
    </row>
    <row r="210" spans="5:22">
      <c r="E210" s="32" t="str">
        <v>kiri</v>
      </c>
      <c r="F210" s="32"/>
      <c r="G210" s="32"/>
      <c r="J210" s="32" t="str">
        <v>kiri</v>
      </c>
      <c r="K210" s="32"/>
      <c r="L210" s="32"/>
      <c r="O210" s="32" t="str">
        <v>kanan</v>
      </c>
      <c r="P210" s="32"/>
      <c r="Q210" s="32"/>
      <c r="T210" s="32" t="str">
        <v>kanan</v>
      </c>
      <c r="U210" s="32"/>
      <c r="V210" s="32"/>
    </row>
    <row r="211" spans="5:22">
      <c r="E211" s="32" t="str">
        <v>kiri</v>
      </c>
      <c r="F211" s="32"/>
      <c r="G211" s="32"/>
      <c r="J211" s="32" t="str">
        <v>kiri</v>
      </c>
      <c r="K211" s="32"/>
      <c r="L211" s="32"/>
      <c r="O211" s="32" t="str">
        <v>kanan</v>
      </c>
      <c r="P211" s="32"/>
      <c r="Q211" s="32"/>
      <c r="T211" s="32" t="str">
        <v>tengah</v>
      </c>
      <c r="U211" s="32"/>
      <c r="V211" s="32"/>
    </row>
    <row r="212" spans="5:22">
      <c r="E212" s="32" t="str">
        <v>kiri</v>
      </c>
      <c r="F212" s="32"/>
      <c r="G212" s="32"/>
      <c r="J212" s="32" t="str">
        <v>kiri</v>
      </c>
      <c r="K212" s="32"/>
      <c r="L212" s="32"/>
      <c r="O212" s="32" t="str">
        <v>kiri</v>
      </c>
      <c r="P212" s="32"/>
      <c r="Q212" s="32"/>
      <c r="T212" s="32" t="str">
        <v>kanan</v>
      </c>
      <c r="U212" s="32"/>
      <c r="V212" s="32"/>
    </row>
    <row r="213" spans="5:22">
      <c r="E213" s="32" t="str">
        <v>tengah</v>
      </c>
      <c r="F213" s="32"/>
      <c r="G213" s="32"/>
      <c r="J213" s="32" t="str">
        <v>kanan</v>
      </c>
      <c r="K213" s="32"/>
      <c r="L213" s="32"/>
      <c r="O213" s="32" t="str">
        <v>tengah</v>
      </c>
      <c r="P213" s="32"/>
      <c r="Q213" s="32"/>
      <c r="T213" s="32" t="str">
        <v>kanan</v>
      </c>
      <c r="U213" s="32"/>
      <c r="V213" s="32"/>
    </row>
    <row r="214" spans="5:22">
      <c r="E214" s="32" t="str">
        <v>tengah</v>
      </c>
      <c r="F214" s="32"/>
      <c r="G214" s="32"/>
      <c r="J214" s="32" t="str">
        <v>kanan</v>
      </c>
      <c r="K214" s="32"/>
      <c r="L214" s="32"/>
      <c r="O214" s="32" t="str">
        <v>tengah</v>
      </c>
      <c r="P214" s="32"/>
      <c r="Q214" s="32"/>
      <c r="T214" s="32" t="str">
        <v>tengah</v>
      </c>
      <c r="U214" s="32"/>
      <c r="V214" s="32"/>
    </row>
    <row r="215" spans="5:22">
      <c r="E215" s="32" t="str">
        <v>tengah</v>
      </c>
      <c r="F215" s="32"/>
      <c r="G215" s="32"/>
      <c r="J215" s="32" t="str">
        <v>kanan</v>
      </c>
      <c r="K215" s="32"/>
      <c r="L215" s="32"/>
      <c r="O215" s="32" t="str">
        <v>tengah</v>
      </c>
      <c r="P215" s="32"/>
      <c r="Q215" s="32"/>
      <c r="T215" s="32" t="str">
        <v>tengah</v>
      </c>
      <c r="U215" s="32"/>
      <c r="V215" s="32"/>
    </row>
    <row r="216" spans="5:22">
      <c r="E216" s="32" t="str">
        <v>kanan</v>
      </c>
      <c r="F216" s="32"/>
      <c r="G216" s="32"/>
      <c r="J216" s="32" t="str">
        <v>tengah</v>
      </c>
      <c r="K216" s="32"/>
      <c r="L216" s="32"/>
      <c r="O216" s="32" t="str">
        <v>kanan</v>
      </c>
      <c r="P216" s="32"/>
      <c r="Q216" s="32"/>
      <c r="T216" s="32" t="str">
        <v>kanan</v>
      </c>
      <c r="U216" s="32"/>
      <c r="V216" s="32"/>
    </row>
    <row r="217" spans="5:22">
      <c r="E217" s="32" t="str">
        <v>kanan</v>
      </c>
      <c r="F217" s="32"/>
      <c r="G217" s="32"/>
      <c r="J217" s="32" t="str">
        <v>tengah</v>
      </c>
      <c r="K217" s="32"/>
      <c r="L217" s="32"/>
      <c r="O217" s="32" t="str">
        <v>tengah</v>
      </c>
      <c r="P217" s="32"/>
      <c r="Q217" s="32"/>
      <c r="T217" s="32" t="str">
        <v>tengah</v>
      </c>
      <c r="U217" s="32"/>
      <c r="V217" s="32"/>
    </row>
    <row r="218" spans="5:22">
      <c r="E218" s="32" t="str">
        <v>kanan</v>
      </c>
      <c r="F218" s="32"/>
      <c r="G218" s="32"/>
      <c r="J218" s="32" t="str">
        <v>kiri</v>
      </c>
      <c r="K218" s="32"/>
      <c r="L218" s="32"/>
      <c r="O218" s="32" t="str">
        <v>tengah</v>
      </c>
      <c r="P218" s="32"/>
      <c r="Q218" s="32"/>
      <c r="T218" s="32" t="str">
        <v>kanan</v>
      </c>
      <c r="U218" s="32"/>
      <c r="V218" s="32"/>
    </row>
    <row r="219" spans="5:22">
      <c r="E219" s="32" t="str">
        <v>tengah</v>
      </c>
      <c r="F219" s="32"/>
      <c r="G219" s="32"/>
      <c r="J219" s="32" t="str">
        <v>tengah</v>
      </c>
      <c r="K219" s="32"/>
      <c r="L219" s="32"/>
      <c r="O219" s="32" t="str">
        <v>tengah</v>
      </c>
      <c r="P219" s="32"/>
      <c r="Q219" s="32"/>
      <c r="T219" s="32" t="str">
        <v>tengah</v>
      </c>
      <c r="U219" s="32"/>
      <c r="V219" s="32"/>
    </row>
    <row r="220" spans="5:22">
      <c r="E220" s="32" t="str">
        <v>kanan</v>
      </c>
      <c r="F220" s="32"/>
      <c r="G220" s="32"/>
      <c r="J220" s="32" t="str">
        <v>tengah</v>
      </c>
      <c r="K220" s="32"/>
      <c r="L220" s="32"/>
      <c r="O220" s="32" t="str">
        <v>tengah</v>
      </c>
      <c r="P220" s="32"/>
      <c r="Q220" s="32"/>
      <c r="T220" s="32" t="str">
        <v>tengah</v>
      </c>
      <c r="U220" s="32"/>
      <c r="V220" s="32"/>
    </row>
    <row r="221" spans="5:22">
      <c r="E221" s="32" t="str">
        <v>tengah</v>
      </c>
      <c r="F221" s="32"/>
      <c r="G221" s="32"/>
      <c r="J221" s="32" t="str">
        <v>tengah</v>
      </c>
      <c r="K221" s="32"/>
      <c r="L221" s="32"/>
      <c r="O221" s="32" t="str">
        <v>kanan</v>
      </c>
      <c r="P221" s="32"/>
      <c r="Q221" s="32"/>
      <c r="T221" s="32" t="str">
        <v>kanan</v>
      </c>
      <c r="U221" s="32"/>
      <c r="V221" s="32"/>
    </row>
    <row r="222" spans="5:22">
      <c r="E222" s="32" t="str">
        <v>tengah</v>
      </c>
      <c r="F222" s="32"/>
      <c r="G222" s="32"/>
      <c r="J222" s="32" t="str">
        <v>kanan</v>
      </c>
      <c r="K222" s="32"/>
      <c r="L222" s="32"/>
      <c r="O222" s="32" t="str">
        <v>tengah</v>
      </c>
      <c r="P222" s="32"/>
      <c r="Q222" s="32"/>
      <c r="T222" s="32" t="str">
        <v>tengah</v>
      </c>
      <c r="U222" s="32"/>
      <c r="V222" s="32"/>
    </row>
    <row r="223" spans="5:22">
      <c r="E223" s="32" t="str">
        <v>tengah</v>
      </c>
      <c r="F223" s="32"/>
      <c r="G223" s="32"/>
      <c r="J223" s="32" t="str">
        <v>kiri</v>
      </c>
      <c r="K223" s="32"/>
      <c r="L223" s="32"/>
      <c r="O223" s="32" t="str">
        <v>tengah</v>
      </c>
      <c r="P223" s="32"/>
      <c r="Q223" s="32"/>
      <c r="T223" s="32" t="str">
        <v>kanan</v>
      </c>
      <c r="U223" s="32"/>
      <c r="V223" s="32"/>
    </row>
    <row r="224" spans="5:22">
      <c r="E224" s="32" t="str">
        <v>tengah</v>
      </c>
      <c r="F224" s="32"/>
      <c r="G224" s="32"/>
      <c r="J224" s="32" t="str">
        <v>kiri</v>
      </c>
      <c r="K224" s="32"/>
      <c r="L224" s="32"/>
      <c r="O224" s="32" t="str">
        <v>kanan</v>
      </c>
      <c r="P224" s="32"/>
      <c r="Q224" s="32"/>
      <c r="T224" s="32" t="str">
        <v>tengah</v>
      </c>
      <c r="U224" s="32"/>
      <c r="V224" s="32"/>
    </row>
    <row r="225" spans="5:22">
      <c r="E225" s="32" t="str">
        <v>tengah</v>
      </c>
      <c r="F225" s="32"/>
      <c r="G225" s="32"/>
      <c r="J225" s="32" t="str">
        <v>tengah</v>
      </c>
      <c r="K225" s="32"/>
      <c r="L225" s="32"/>
      <c r="O225" s="32" t="str">
        <v>tengah</v>
      </c>
      <c r="P225" s="32"/>
      <c r="Q225" s="32"/>
      <c r="T225" s="32" t="str">
        <v>tengah</v>
      </c>
      <c r="U225" s="32"/>
      <c r="V225" s="32"/>
    </row>
    <row r="226" spans="5:22">
      <c r="E226" s="32" t="str">
        <v>tengah</v>
      </c>
      <c r="F226" s="32"/>
      <c r="G226" s="32"/>
      <c r="J226" s="32" t="str">
        <v>kiri</v>
      </c>
      <c r="K226" s="32"/>
      <c r="L226" s="32"/>
      <c r="O226" s="32" t="str">
        <v>kiri</v>
      </c>
      <c r="P226" s="32"/>
      <c r="Q226" s="32"/>
      <c r="T226" s="32" t="str">
        <v>tengah</v>
      </c>
      <c r="U226" s="32"/>
      <c r="V226" s="32"/>
    </row>
    <row r="227" spans="5:22">
      <c r="E227" s="32" t="str">
        <v>kiri</v>
      </c>
      <c r="F227" s="32"/>
      <c r="G227" s="32"/>
      <c r="J227" s="32" t="str">
        <v>kanan</v>
      </c>
      <c r="K227" s="32"/>
      <c r="L227" s="32"/>
      <c r="O227" s="32" t="str">
        <v>kiri</v>
      </c>
      <c r="P227" s="32"/>
      <c r="Q227" s="32"/>
      <c r="T227" s="32" t="str">
        <v>kanan</v>
      </c>
      <c r="U227" s="32"/>
      <c r="V227" s="32"/>
    </row>
    <row r="228" spans="5:22">
      <c r="E228" s="32" t="str">
        <v>kanan</v>
      </c>
      <c r="F228" s="32"/>
      <c r="G228" s="32"/>
      <c r="J228" s="32" t="str">
        <v>tengah</v>
      </c>
      <c r="K228" s="32"/>
      <c r="L228" s="32"/>
      <c r="O228" s="32" t="str">
        <v>kanan</v>
      </c>
      <c r="P228" s="32"/>
      <c r="Q228" s="32"/>
      <c r="T228" s="32" t="str">
        <v>kanan</v>
      </c>
      <c r="U228" s="32"/>
      <c r="V228" s="32"/>
    </row>
    <row r="229" spans="5:22">
      <c r="E229" s="32" t="str">
        <v>tengah</v>
      </c>
      <c r="F229" s="32"/>
      <c r="G229" s="32"/>
      <c r="J229" s="32" t="str">
        <v>kiri</v>
      </c>
      <c r="K229" s="32"/>
      <c r="L229" s="32"/>
      <c r="O229" s="32" t="str">
        <v>kanan</v>
      </c>
      <c r="P229" s="32"/>
      <c r="Q229" s="32"/>
      <c r="T229" s="32" t="str">
        <v>tengah</v>
      </c>
      <c r="U229" s="32"/>
      <c r="V229" s="32"/>
    </row>
    <row r="230" spans="5:22">
      <c r="E230" s="32" t="str">
        <v>tengah</v>
      </c>
      <c r="F230" s="32"/>
      <c r="G230" s="32"/>
      <c r="J230" s="32" t="str">
        <v>kanan</v>
      </c>
      <c r="K230" s="32"/>
      <c r="L230" s="32"/>
      <c r="O230" s="32" t="str">
        <v>tengah</v>
      </c>
      <c r="P230" s="32"/>
      <c r="Q230" s="32"/>
      <c r="T230" s="32" t="str">
        <v>tengah</v>
      </c>
      <c r="U230" s="32"/>
      <c r="V230" s="32"/>
    </row>
    <row r="231" spans="5:22">
      <c r="E231" s="32" t="str">
        <v>tengah</v>
      </c>
      <c r="F231" s="32"/>
      <c r="G231" s="32"/>
      <c r="J231" s="32" t="str">
        <v>tengah</v>
      </c>
      <c r="K231" s="32"/>
      <c r="L231" s="32"/>
      <c r="O231" s="32" t="str">
        <v>tengah</v>
      </c>
      <c r="P231" s="32"/>
      <c r="Q231" s="32"/>
      <c r="T231" s="32" t="str">
        <v>tengah</v>
      </c>
      <c r="U231" s="32"/>
      <c r="V231" s="32"/>
    </row>
    <row r="232" spans="5:22">
      <c r="E232" s="32" t="str">
        <v>kiri</v>
      </c>
      <c r="F232" s="32"/>
      <c r="G232" s="32"/>
      <c r="J232" s="32" t="str">
        <v>tengah</v>
      </c>
      <c r="K232" s="32"/>
      <c r="L232" s="32"/>
      <c r="O232" s="32" t="str">
        <v>kiri</v>
      </c>
      <c r="P232" s="32"/>
      <c r="Q232" s="32"/>
      <c r="T232" s="32" t="str">
        <v>kanan</v>
      </c>
      <c r="U232" s="32"/>
      <c r="V232" s="32"/>
    </row>
    <row r="233" spans="5:22">
      <c r="E233" s="32" t="str">
        <v>tengah</v>
      </c>
      <c r="F233" s="32"/>
      <c r="G233" s="32"/>
      <c r="J233" s="32" t="str">
        <v>tengah</v>
      </c>
      <c r="K233" s="32"/>
      <c r="L233" s="32"/>
      <c r="O233" s="32" t="str">
        <v>tengah</v>
      </c>
      <c r="P233" s="32"/>
      <c r="Q233" s="32"/>
      <c r="T233" s="32" t="str">
        <v>kanan</v>
      </c>
      <c r="U233" s="32"/>
      <c r="V233" s="32"/>
    </row>
    <row r="234" spans="5:22">
      <c r="E234" s="32" t="str">
        <v>kiri</v>
      </c>
      <c r="F234" s="32"/>
      <c r="G234" s="32"/>
      <c r="J234" s="32" t="str">
        <v>tengah</v>
      </c>
      <c r="K234" s="32"/>
      <c r="L234" s="32"/>
      <c r="O234" s="32" t="str">
        <v>tengah</v>
      </c>
      <c r="P234" s="32"/>
      <c r="Q234" s="32"/>
      <c r="T234" s="32" t="str">
        <v>tengah</v>
      </c>
      <c r="U234" s="32"/>
      <c r="V234" s="32"/>
    </row>
    <row r="235" spans="5:22">
      <c r="E235" s="32" t="str">
        <v>tengah</v>
      </c>
      <c r="F235" s="32"/>
      <c r="G235" s="32"/>
      <c r="J235" s="32" t="str">
        <v>tengah</v>
      </c>
      <c r="K235" s="32"/>
      <c r="L235" s="32"/>
      <c r="O235" s="32" t="str">
        <v>kiri</v>
      </c>
      <c r="P235" s="32"/>
      <c r="Q235" s="32"/>
      <c r="T235" s="32" t="str">
        <v>tengah</v>
      </c>
      <c r="U235" s="32"/>
      <c r="V235" s="32"/>
    </row>
    <row r="236" spans="5:22">
      <c r="E236" s="32" t="str">
        <v>kiri</v>
      </c>
      <c r="F236" s="32"/>
      <c r="G236" s="32"/>
      <c r="J236" s="32" t="str">
        <v>kanan</v>
      </c>
      <c r="K236" s="32"/>
      <c r="L236" s="32"/>
      <c r="O236" s="32" t="str">
        <v>kiri</v>
      </c>
      <c r="P236" s="32"/>
      <c r="Q236" s="32"/>
      <c r="T236" s="32" t="str">
        <v>kanan</v>
      </c>
      <c r="U236" s="32"/>
      <c r="V236" s="32"/>
    </row>
    <row r="237" spans="5:22">
      <c r="E237" s="32" t="str">
        <v>kanan</v>
      </c>
      <c r="F237" s="32"/>
      <c r="G237" s="32"/>
      <c r="J237" s="32" t="str">
        <v>kanan</v>
      </c>
      <c r="K237" s="32"/>
      <c r="L237" s="32"/>
      <c r="O237" s="32" t="str">
        <v>tengah</v>
      </c>
      <c r="P237" s="32"/>
      <c r="Q237" s="32"/>
      <c r="T237" s="32" t="str">
        <v>tengah</v>
      </c>
      <c r="U237" s="32"/>
      <c r="V237" s="32"/>
    </row>
    <row r="238" spans="5:22">
      <c r="E238" s="32" t="str">
        <v>kanan</v>
      </c>
      <c r="F238" s="32"/>
      <c r="G238" s="32"/>
      <c r="J238" s="32" t="str">
        <v>tengah</v>
      </c>
      <c r="K238" s="32"/>
      <c r="L238" s="32"/>
      <c r="O238" s="32" t="str">
        <v>tengah</v>
      </c>
      <c r="P238" s="32"/>
      <c r="Q238" s="32"/>
      <c r="T238" s="32" t="str">
        <v>tengah</v>
      </c>
      <c r="U238" s="32"/>
      <c r="V238" s="32"/>
    </row>
    <row r="239" spans="5:22">
      <c r="E239" s="32" t="str">
        <v>kiri</v>
      </c>
      <c r="F239" s="32"/>
      <c r="G239" s="32"/>
      <c r="J239" s="32" t="str">
        <v>tengah</v>
      </c>
      <c r="K239" s="32"/>
      <c r="L239" s="32"/>
      <c r="O239" s="32" t="str">
        <v>kiri</v>
      </c>
      <c r="P239" s="32"/>
      <c r="Q239" s="32"/>
      <c r="T239" s="32" t="str">
        <v>tengah</v>
      </c>
      <c r="U239" s="32"/>
      <c r="V239" s="32"/>
    </row>
    <row r="240" spans="5:22">
      <c r="E240" s="32" t="str">
        <v>kanan</v>
      </c>
      <c r="F240" s="32"/>
      <c r="G240" s="32"/>
      <c r="J240" s="32" t="str">
        <v>tengah</v>
      </c>
      <c r="K240" s="32"/>
      <c r="L240" s="32"/>
      <c r="O240" s="32" t="str">
        <v>tengah</v>
      </c>
      <c r="P240" s="32"/>
      <c r="Q240" s="32"/>
      <c r="T240" s="32" t="str">
        <v>tengah</v>
      </c>
      <c r="U240" s="32"/>
      <c r="V240" s="32"/>
    </row>
    <row r="241" spans="5:22">
      <c r="E241" s="32" t="str">
        <v>kanan</v>
      </c>
      <c r="F241" s="32"/>
      <c r="G241" s="32"/>
      <c r="J241" s="32" t="str">
        <v>tengah</v>
      </c>
      <c r="K241" s="32"/>
      <c r="L241" s="32"/>
      <c r="O241" s="32" t="str">
        <v>tengah</v>
      </c>
      <c r="P241" s="32"/>
      <c r="Q241" s="32"/>
      <c r="T241" s="32" t="str">
        <v>tengah</v>
      </c>
      <c r="U241" s="32"/>
      <c r="V241" s="32"/>
    </row>
    <row r="242" spans="5:22">
      <c r="E242" s="32" t="str">
        <v>tengah</v>
      </c>
      <c r="F242" s="32"/>
      <c r="G242" s="32"/>
      <c r="J242" s="32" t="str">
        <v>tengah</v>
      </c>
      <c r="K242" s="32"/>
      <c r="L242" s="32"/>
      <c r="O242" s="32" t="str">
        <v>kiri</v>
      </c>
      <c r="P242" s="32"/>
      <c r="Q242" s="32"/>
      <c r="T242" s="32" t="str">
        <v>tengah</v>
      </c>
      <c r="U242" s="32"/>
      <c r="V242" s="32"/>
    </row>
    <row r="243" spans="5:22">
      <c r="E243" s="32" t="str">
        <v>kanan</v>
      </c>
      <c r="F243" s="32"/>
      <c r="G243" s="32"/>
      <c r="J243" s="32" t="str">
        <v>kanan</v>
      </c>
      <c r="K243" s="32"/>
      <c r="L243" s="32"/>
      <c r="O243" s="32" t="str">
        <v>kanan</v>
      </c>
      <c r="P243" s="32"/>
      <c r="Q243" s="32"/>
      <c r="T243" s="32" t="str">
        <v>kanan</v>
      </c>
      <c r="U243" s="32"/>
      <c r="V243" s="32"/>
    </row>
    <row r="244" spans="5:22">
      <c r="E244" s="32" t="str">
        <v>tengah</v>
      </c>
      <c r="F244" s="32"/>
      <c r="G244" s="32"/>
      <c r="J244" s="32" t="str">
        <v>tengah</v>
      </c>
      <c r="K244" s="32"/>
      <c r="L244" s="32"/>
      <c r="O244" s="32" t="str">
        <v>kiri</v>
      </c>
      <c r="P244" s="32"/>
      <c r="Q244" s="32"/>
      <c r="T244" s="32" t="str">
        <v>kanan</v>
      </c>
      <c r="U244" s="32"/>
      <c r="V244" s="32"/>
    </row>
    <row r="245" spans="5:22">
      <c r="E245" s="32" t="str">
        <v>tengah</v>
      </c>
      <c r="F245" s="32"/>
      <c r="G245" s="32"/>
      <c r="J245" s="32" t="str">
        <v>tengah</v>
      </c>
      <c r="K245" s="32"/>
      <c r="L245" s="32"/>
      <c r="O245" s="32" t="str">
        <v>kanan</v>
      </c>
      <c r="P245" s="32"/>
      <c r="Q245" s="32"/>
      <c r="T245" s="32" t="str">
        <v>tengah</v>
      </c>
      <c r="U245" s="32"/>
      <c r="V245" s="32"/>
    </row>
    <row r="246" spans="5:22">
      <c r="E246" s="32" t="str">
        <v>tengah</v>
      </c>
      <c r="F246" s="32"/>
      <c r="G246" s="32"/>
      <c r="J246" s="32" t="str">
        <v>tengah</v>
      </c>
      <c r="K246" s="32"/>
      <c r="L246" s="32"/>
      <c r="O246" s="32" t="str">
        <v>tengah</v>
      </c>
      <c r="P246" s="32"/>
      <c r="Q246" s="32"/>
      <c r="T246" s="32" t="str">
        <v>kanan</v>
      </c>
      <c r="U246" s="32"/>
      <c r="V246" s="32"/>
    </row>
    <row r="247" spans="5:22">
      <c r="E247" s="32" t="str">
        <v>tengah</v>
      </c>
      <c r="F247" s="32"/>
      <c r="G247" s="32"/>
      <c r="J247" s="32" t="str">
        <v>tengah</v>
      </c>
      <c r="K247" s="32"/>
      <c r="L247" s="32"/>
      <c r="O247" s="32" t="str">
        <v>kanan</v>
      </c>
      <c r="P247" s="32"/>
      <c r="Q247" s="32"/>
      <c r="T247" s="32" t="str">
        <v>kanan</v>
      </c>
      <c r="U247" s="32"/>
      <c r="V247" s="32"/>
    </row>
    <row r="248" spans="5:22">
      <c r="E248" s="32" t="str">
        <v>kanan</v>
      </c>
      <c r="F248" s="32"/>
      <c r="G248" s="32"/>
      <c r="J248" s="32" t="str">
        <v>tengah</v>
      </c>
      <c r="K248" s="32"/>
      <c r="L248" s="32"/>
      <c r="O248" s="32" t="str">
        <v>kanan</v>
      </c>
      <c r="P248" s="32"/>
      <c r="Q248" s="32"/>
      <c r="T248" s="32" t="str">
        <v>kanan</v>
      </c>
      <c r="U248" s="32"/>
      <c r="V248" s="32"/>
    </row>
    <row r="249" spans="5:22">
      <c r="E249" s="32" t="str">
        <v>tengah</v>
      </c>
      <c r="F249" s="32"/>
      <c r="G249" s="32"/>
      <c r="J249" s="32" t="str">
        <v>kanan</v>
      </c>
      <c r="K249" s="32"/>
      <c r="L249" s="32"/>
      <c r="O249" s="32" t="str">
        <v>tengah</v>
      </c>
      <c r="P249" s="32"/>
      <c r="Q249" s="32"/>
      <c r="T249" s="32" t="str">
        <v>tengah</v>
      </c>
      <c r="U249" s="32"/>
      <c r="V249" s="32"/>
    </row>
    <row r="250" spans="5:22">
      <c r="E250" s="32" t="str">
        <v>tengah</v>
      </c>
      <c r="F250" s="32"/>
      <c r="G250" s="32"/>
      <c r="J250" s="32" t="str">
        <v>kiri</v>
      </c>
      <c r="K250" s="32"/>
      <c r="L250" s="32"/>
      <c r="O250" s="32" t="str">
        <v>tengah</v>
      </c>
      <c r="P250" s="32"/>
      <c r="Q250" s="32"/>
      <c r="T250" s="32" t="str">
        <v>kanan</v>
      </c>
      <c r="U250" s="32"/>
      <c r="V250" s="32"/>
    </row>
    <row r="251" spans="5:22">
      <c r="E251" s="32" t="str">
        <v>tengah</v>
      </c>
      <c r="F251" s="32"/>
      <c r="G251" s="32"/>
      <c r="J251" s="32" t="str">
        <v>tengah</v>
      </c>
      <c r="K251" s="32"/>
      <c r="L251" s="32"/>
      <c r="O251" s="32" t="str">
        <v>tengah</v>
      </c>
      <c r="P251" s="32"/>
      <c r="Q251" s="32"/>
      <c r="T251" s="32" t="str">
        <v>kanan</v>
      </c>
      <c r="U251" s="32"/>
      <c r="V251" s="32"/>
    </row>
    <row r="252" spans="5:22">
      <c r="E252" s="32" t="str">
        <v>tengah</v>
      </c>
      <c r="F252" s="32"/>
      <c r="G252" s="32"/>
      <c r="J252" s="32" t="str">
        <v>kanan</v>
      </c>
      <c r="K252" s="32"/>
      <c r="L252" s="32"/>
      <c r="O252" s="32" t="str">
        <v>tengah</v>
      </c>
      <c r="P252" s="32"/>
      <c r="Q252" s="32"/>
      <c r="T252" s="32" t="str">
        <v>tengah</v>
      </c>
      <c r="U252" s="32"/>
      <c r="V252" s="32"/>
    </row>
    <row r="253" spans="5:22">
      <c r="E253" s="32" t="str">
        <v>tengah</v>
      </c>
      <c r="F253" s="32"/>
      <c r="G253" s="32"/>
      <c r="J253" s="32" t="str">
        <v>kanan</v>
      </c>
      <c r="K253" s="32"/>
      <c r="L253" s="32"/>
      <c r="O253" s="32" t="str">
        <v>kanan</v>
      </c>
      <c r="P253" s="32"/>
      <c r="Q253" s="32"/>
      <c r="T253" s="32" t="str">
        <v>tengah</v>
      </c>
      <c r="U253" s="32"/>
      <c r="V253" s="32"/>
    </row>
    <row r="254" spans="5:22">
      <c r="E254" s="32" t="str">
        <v>kanan</v>
      </c>
      <c r="F254" s="32"/>
      <c r="G254" s="32"/>
      <c r="J254" s="32" t="str">
        <v>tengah</v>
      </c>
      <c r="K254" s="32"/>
      <c r="L254" s="32"/>
      <c r="O254" s="32" t="str">
        <v>tengah</v>
      </c>
      <c r="P254" s="32"/>
      <c r="Q254" s="32"/>
      <c r="T254" s="32" t="str">
        <v>tengah</v>
      </c>
      <c r="U254" s="32"/>
      <c r="V254" s="32"/>
    </row>
    <row r="255" spans="5:22">
      <c r="E255" s="32" t="str">
        <v>tengah</v>
      </c>
      <c r="F255" s="32"/>
      <c r="G255" s="32"/>
      <c r="J255" s="32" t="str">
        <v>kanan</v>
      </c>
      <c r="K255" s="32"/>
      <c r="L255" s="32"/>
      <c r="O255" s="32" t="str">
        <v>tengah</v>
      </c>
      <c r="P255" s="32"/>
      <c r="Q255" s="32"/>
      <c r="T255" s="32" t="str">
        <v>kanan</v>
      </c>
      <c r="U255" s="32"/>
      <c r="V255" s="32"/>
    </row>
    <row r="256" spans="5:22">
      <c r="E256" s="32" t="str">
        <v>kiri</v>
      </c>
      <c r="F256" s="32"/>
      <c r="G256" s="32"/>
      <c r="J256" s="32" t="str">
        <v>tengah</v>
      </c>
      <c r="K256" s="32"/>
      <c r="L256" s="32"/>
      <c r="O256" s="32" t="str">
        <v>kiri</v>
      </c>
      <c r="P256" s="32"/>
      <c r="Q256" s="32"/>
      <c r="T256" s="32" t="str">
        <v>tengah</v>
      </c>
      <c r="U256" s="32"/>
      <c r="V256" s="32"/>
    </row>
    <row r="257" spans="5:22">
      <c r="E257" s="32" t="str">
        <v>tengah</v>
      </c>
      <c r="F257" s="32"/>
      <c r="G257" s="32"/>
      <c r="J257" s="32" t="str">
        <v>tengah</v>
      </c>
      <c r="K257" s="32"/>
      <c r="L257" s="32"/>
      <c r="O257" s="32" t="str">
        <v>tengah</v>
      </c>
      <c r="P257" s="32"/>
      <c r="Q257" s="32"/>
      <c r="T257" s="32" t="str">
        <v>tengah</v>
      </c>
      <c r="U257" s="32"/>
      <c r="V257" s="32"/>
    </row>
    <row r="258" spans="5:22">
      <c r="E258" s="32" t="str">
        <v>tengah</v>
      </c>
      <c r="F258" s="32"/>
      <c r="G258" s="32"/>
      <c r="J258" s="32" t="str">
        <v>kanan</v>
      </c>
      <c r="K258" s="32"/>
      <c r="L258" s="32"/>
      <c r="O258" s="32" t="str">
        <v>tengah</v>
      </c>
      <c r="P258" s="32"/>
      <c r="Q258" s="32"/>
      <c r="T258" s="32" t="str">
        <v>tengah</v>
      </c>
      <c r="U258" s="32"/>
      <c r="V258" s="32"/>
    </row>
    <row r="259" spans="5:22">
      <c r="E259" s="32" t="str">
        <v>kanan</v>
      </c>
      <c r="F259" s="32"/>
      <c r="G259" s="32"/>
      <c r="J259" s="32" t="str">
        <v>tengah</v>
      </c>
      <c r="K259" s="32"/>
      <c r="L259" s="32"/>
      <c r="O259" s="32" t="str">
        <v>tengah</v>
      </c>
      <c r="P259" s="32"/>
      <c r="Q259" s="32"/>
      <c r="T259" s="32" t="str">
        <v>kanan</v>
      </c>
      <c r="U259" s="32"/>
      <c r="V259" s="32"/>
    </row>
    <row r="260" spans="5:22">
      <c r="E260" s="32" t="str">
        <v>tengah</v>
      </c>
      <c r="F260" s="32"/>
      <c r="G260" s="32"/>
      <c r="J260" s="32" t="str">
        <v>kanan</v>
      </c>
      <c r="K260" s="32"/>
      <c r="L260" s="32"/>
      <c r="O260" s="32" t="str">
        <v>kiri</v>
      </c>
      <c r="P260" s="32"/>
      <c r="Q260" s="32"/>
      <c r="T260" s="32" t="str">
        <v>kanan</v>
      </c>
      <c r="U260" s="32"/>
      <c r="V260" s="32"/>
    </row>
    <row r="261" spans="5:22">
      <c r="E261" s="32" t="str">
        <v>kanan</v>
      </c>
      <c r="F261" s="32"/>
      <c r="G261" s="32"/>
      <c r="J261" s="32" t="str">
        <v>kanan</v>
      </c>
      <c r="K261" s="32"/>
      <c r="L261" s="32"/>
      <c r="O261" s="32" t="str">
        <v>kanan</v>
      </c>
      <c r="P261" s="32"/>
      <c r="Q261" s="32"/>
      <c r="T261" s="32" t="str">
        <v>kanan</v>
      </c>
      <c r="U261" s="32"/>
      <c r="V261" s="32"/>
    </row>
    <row r="262" spans="5:22">
      <c r="E262" s="32" t="str">
        <v>tengah</v>
      </c>
      <c r="F262" s="32"/>
      <c r="G262" s="32"/>
      <c r="J262" s="32" t="str">
        <v>kanan</v>
      </c>
      <c r="K262" s="32"/>
      <c r="L262" s="32"/>
      <c r="O262" s="32" t="str">
        <v>kiri</v>
      </c>
      <c r="P262" s="32"/>
      <c r="Q262" s="32"/>
      <c r="T262" s="32" t="str">
        <v>tengah</v>
      </c>
      <c r="U262" s="32"/>
      <c r="V262" s="32"/>
    </row>
    <row r="263" spans="5:22">
      <c r="E263" s="32" t="str">
        <v>tengah</v>
      </c>
      <c r="F263" s="32"/>
      <c r="G263" s="32"/>
      <c r="J263" s="32" t="str">
        <v>tengah</v>
      </c>
      <c r="K263" s="32"/>
      <c r="L263" s="32"/>
      <c r="O263" s="32" t="str">
        <v>kiri</v>
      </c>
      <c r="P263" s="32"/>
      <c r="Q263" s="32"/>
      <c r="T263" s="32" t="str">
        <v>tengah</v>
      </c>
      <c r="U263" s="32"/>
      <c r="V263" s="32"/>
    </row>
    <row r="264" spans="5:22">
      <c r="E264" s="32" t="str">
        <v>tengah</v>
      </c>
      <c r="F264" s="32"/>
      <c r="G264" s="32"/>
      <c r="J264" s="32" t="str">
        <v>tengah</v>
      </c>
      <c r="K264" s="32"/>
      <c r="L264" s="32"/>
      <c r="O264" s="32" t="str">
        <v>tengah</v>
      </c>
      <c r="P264" s="32"/>
      <c r="Q264" s="32"/>
      <c r="T264" s="32" t="str">
        <v>kanan</v>
      </c>
      <c r="U264" s="32"/>
      <c r="V264" s="32"/>
    </row>
    <row r="265" spans="5:22">
      <c r="E265" s="32" t="str">
        <v>tengah</v>
      </c>
      <c r="F265" s="32"/>
      <c r="G265" s="32"/>
      <c r="J265" s="32" t="str">
        <v>tengah</v>
      </c>
      <c r="K265" s="32"/>
      <c r="L265" s="32"/>
      <c r="O265" s="32" t="str">
        <v>kanan</v>
      </c>
      <c r="P265" s="32"/>
      <c r="Q265" s="32"/>
      <c r="T265" s="32" t="str">
        <v>kanan</v>
      </c>
      <c r="U265" s="32"/>
      <c r="V265" s="32"/>
    </row>
    <row r="266" spans="5:22">
      <c r="E266" s="32" t="str">
        <v>kanan</v>
      </c>
      <c r="F266" s="32"/>
      <c r="G266" s="32"/>
      <c r="J266" s="32" t="str">
        <v>kanan</v>
      </c>
      <c r="K266" s="32"/>
      <c r="L266" s="32"/>
      <c r="O266" s="32" t="str">
        <v>kanan</v>
      </c>
      <c r="P266" s="32"/>
      <c r="Q266" s="32"/>
      <c r="T266" s="32" t="str">
        <v>kanan</v>
      </c>
      <c r="U266" s="32"/>
      <c r="V266" s="32"/>
    </row>
    <row r="267" spans="5:22">
      <c r="E267" s="32" t="str">
        <v>tengah</v>
      </c>
      <c r="F267" s="32"/>
      <c r="G267" s="32"/>
      <c r="J267" s="32" t="str">
        <v>tengah</v>
      </c>
      <c r="K267" s="32"/>
      <c r="L267" s="32"/>
      <c r="O267" s="32" t="str">
        <v>tengah</v>
      </c>
      <c r="P267" s="32"/>
      <c r="Q267" s="32"/>
      <c r="T267" s="32" t="str">
        <v>kanan</v>
      </c>
      <c r="U267" s="32"/>
      <c r="V267" s="32"/>
    </row>
    <row r="268" spans="5:22">
      <c r="E268" s="32" t="str">
        <v>tengah</v>
      </c>
      <c r="F268" s="32"/>
      <c r="G268" s="32"/>
      <c r="J268" s="32" t="str">
        <v>kanan</v>
      </c>
      <c r="K268" s="32"/>
      <c r="L268" s="32"/>
      <c r="O268" s="32" t="str">
        <v>kanan</v>
      </c>
      <c r="P268" s="32"/>
      <c r="Q268" s="32"/>
      <c r="T268" s="32" t="str">
        <v>tengah</v>
      </c>
      <c r="U268" s="32"/>
      <c r="V268" s="32"/>
    </row>
    <row r="269" spans="5:22">
      <c r="E269" s="32" t="str">
        <v>tengah</v>
      </c>
      <c r="F269" s="32"/>
      <c r="G269" s="32"/>
      <c r="J269" s="32" t="str">
        <v>tengah</v>
      </c>
      <c r="K269" s="32"/>
      <c r="L269" s="32"/>
      <c r="O269" s="32" t="str">
        <v>kiri</v>
      </c>
      <c r="P269" s="32"/>
      <c r="Q269" s="32"/>
      <c r="T269" s="32" t="str">
        <v>kanan</v>
      </c>
      <c r="U269" s="32"/>
      <c r="V269" s="32"/>
    </row>
    <row r="270" spans="5:22">
      <c r="E270" s="32" t="str">
        <v>tengah</v>
      </c>
      <c r="F270" s="32"/>
      <c r="G270" s="32"/>
      <c r="J270" s="32" t="str">
        <v>tengah</v>
      </c>
      <c r="K270" s="32"/>
      <c r="L270" s="32"/>
      <c r="O270" s="32" t="str">
        <v>tengah</v>
      </c>
      <c r="P270" s="32"/>
      <c r="Q270" s="32"/>
      <c r="T270" s="32" t="str">
        <v>kanan</v>
      </c>
      <c r="U270" s="32"/>
      <c r="V270" s="32"/>
    </row>
    <row r="271" spans="5:22">
      <c r="E271" s="32" t="str">
        <v>tengah</v>
      </c>
      <c r="F271" s="32"/>
      <c r="G271" s="32"/>
      <c r="J271" s="32" t="str">
        <v>tengah</v>
      </c>
      <c r="K271" s="32"/>
      <c r="L271" s="32"/>
      <c r="O271" s="32" t="str">
        <v>kiri</v>
      </c>
      <c r="P271" s="32"/>
      <c r="Q271" s="32"/>
      <c r="T271" s="32" t="str">
        <v>tengah</v>
      </c>
      <c r="U271" s="32"/>
      <c r="V271" s="32"/>
    </row>
    <row r="272" spans="5:22">
      <c r="E272" s="32" t="str">
        <v>tengah</v>
      </c>
      <c r="F272" s="32"/>
      <c r="G272" s="32"/>
      <c r="J272" s="32" t="str">
        <v>kanan</v>
      </c>
      <c r="K272" s="32"/>
      <c r="L272" s="32"/>
      <c r="O272" s="32" t="str">
        <v>tengah</v>
      </c>
      <c r="P272" s="32"/>
      <c r="Q272" s="32"/>
      <c r="T272" s="32" t="str">
        <v>tengah</v>
      </c>
      <c r="U272" s="32"/>
      <c r="V272" s="32"/>
    </row>
    <row r="273" spans="5:22">
      <c r="E273" s="32" t="str">
        <v>tengah</v>
      </c>
      <c r="F273" s="32"/>
      <c r="G273" s="32"/>
      <c r="J273" s="32" t="str">
        <v>kiri</v>
      </c>
      <c r="K273" s="32"/>
      <c r="L273" s="32"/>
      <c r="O273" s="32" t="str">
        <v>tengah</v>
      </c>
      <c r="P273" s="32"/>
      <c r="Q273" s="32"/>
      <c r="T273" s="32" t="str">
        <v>kanan</v>
      </c>
      <c r="U273" s="32"/>
      <c r="V273" s="32"/>
    </row>
    <row r="274" spans="5:22">
      <c r="E274" s="32" t="str">
        <v>kanan</v>
      </c>
      <c r="F274" s="32"/>
      <c r="G274" s="32"/>
      <c r="J274" s="32" t="str">
        <v>kanan</v>
      </c>
      <c r="K274" s="32"/>
      <c r="L274" s="32"/>
      <c r="O274" s="32" t="str">
        <v>kiri</v>
      </c>
      <c r="P274" s="32"/>
      <c r="Q274" s="32"/>
      <c r="T274" s="32" t="str">
        <v>kanan</v>
      </c>
      <c r="U274" s="32"/>
      <c r="V274" s="32"/>
    </row>
    <row r="275" spans="5:22">
      <c r="E275" s="32" t="str">
        <v>kanan</v>
      </c>
      <c r="F275" s="32"/>
      <c r="G275" s="32"/>
      <c r="J275" s="32" t="str">
        <v>kiri</v>
      </c>
      <c r="K275" s="32"/>
      <c r="L275" s="32"/>
      <c r="O275" s="32" t="str">
        <v>kiri</v>
      </c>
      <c r="P275" s="32"/>
      <c r="Q275" s="32"/>
      <c r="T275" s="32" t="str">
        <v>tengah</v>
      </c>
      <c r="U275" s="32"/>
      <c r="V275" s="32"/>
    </row>
    <row r="276" spans="5:22">
      <c r="E276" s="32" t="str">
        <v>kiri</v>
      </c>
      <c r="F276" s="32"/>
      <c r="G276" s="32"/>
      <c r="J276" s="32" t="str">
        <v>kiri</v>
      </c>
      <c r="K276" s="32"/>
      <c r="L276" s="32"/>
      <c r="O276" s="32" t="str">
        <v>tengah</v>
      </c>
      <c r="P276" s="32"/>
      <c r="Q276" s="32"/>
      <c r="T276" s="32" t="str">
        <v>kanan</v>
      </c>
      <c r="U276" s="32"/>
      <c r="V276" s="32"/>
    </row>
    <row r="277" spans="5:22">
      <c r="E277" s="32" t="str">
        <v>tengah</v>
      </c>
      <c r="F277" s="32"/>
      <c r="G277" s="32"/>
      <c r="J277" s="32" t="str">
        <v>tengah</v>
      </c>
      <c r="K277" s="32"/>
      <c r="L277" s="32"/>
      <c r="O277" s="32" t="str">
        <v>kanan</v>
      </c>
      <c r="P277" s="32"/>
      <c r="Q277" s="32"/>
      <c r="T277" s="32" t="str">
        <v>kanan</v>
      </c>
      <c r="U277" s="32"/>
      <c r="V277" s="32"/>
    </row>
    <row r="278" spans="5:22">
      <c r="E278" s="32" t="str">
        <v>kiri</v>
      </c>
      <c r="F278" s="32"/>
      <c r="G278" s="32"/>
      <c r="J278" s="32" t="str">
        <v>tengah</v>
      </c>
      <c r="K278" s="32"/>
      <c r="L278" s="32"/>
      <c r="O278" s="32" t="str">
        <v>tengah</v>
      </c>
      <c r="P278" s="32"/>
      <c r="Q278" s="32"/>
      <c r="T278" s="32" t="str">
        <v>kanan</v>
      </c>
      <c r="U278" s="32"/>
      <c r="V278" s="32"/>
    </row>
    <row r="279" spans="5:22">
      <c r="E279" s="32" t="str">
        <v>kiri</v>
      </c>
      <c r="F279" s="32"/>
      <c r="G279" s="32"/>
      <c r="J279" s="32" t="str">
        <v>kiri</v>
      </c>
      <c r="K279" s="32"/>
      <c r="L279" s="32"/>
      <c r="O279" s="32" t="str">
        <v>tengah</v>
      </c>
      <c r="P279" s="32"/>
      <c r="Q279" s="32"/>
      <c r="T279" s="32" t="str">
        <v>tengah</v>
      </c>
      <c r="U279" s="32"/>
      <c r="V279" s="32"/>
    </row>
    <row r="280" spans="5:22">
      <c r="E280" s="32" t="str">
        <v>tengah</v>
      </c>
      <c r="F280" s="32"/>
      <c r="G280" s="32"/>
      <c r="J280" s="32" t="str">
        <v>tengah</v>
      </c>
      <c r="K280" s="32"/>
      <c r="L280" s="32"/>
      <c r="O280" s="32" t="str">
        <v>tengah</v>
      </c>
      <c r="P280" s="32"/>
      <c r="Q280" s="32"/>
      <c r="T280" s="32" t="str">
        <v>tengah</v>
      </c>
      <c r="U280" s="32"/>
      <c r="V280" s="32"/>
    </row>
    <row r="281" spans="5:22">
      <c r="E281" s="32" t="str">
        <v>kiri</v>
      </c>
      <c r="F281" s="32"/>
      <c r="G281" s="32"/>
      <c r="J281" s="32" t="str">
        <v>tengah</v>
      </c>
      <c r="K281" s="32"/>
      <c r="L281" s="32"/>
      <c r="O281" s="32" t="str">
        <v>kiri</v>
      </c>
      <c r="P281" s="32"/>
      <c r="Q281" s="32"/>
      <c r="T281" s="32" t="str">
        <v>tengah</v>
      </c>
      <c r="U281" s="32"/>
      <c r="V281" s="32"/>
    </row>
    <row r="282" spans="5:22">
      <c r="E282" s="32" t="str">
        <v>kanan</v>
      </c>
      <c r="F282" s="32"/>
      <c r="G282" s="32"/>
      <c r="J282" s="32" t="str">
        <v>tengah</v>
      </c>
      <c r="K282" s="32"/>
      <c r="L282" s="32"/>
      <c r="O282" s="32" t="str">
        <v>kanan</v>
      </c>
      <c r="P282" s="32"/>
      <c r="Q282" s="32"/>
      <c r="T282" s="32" t="str">
        <v>kanan</v>
      </c>
      <c r="U282" s="32"/>
      <c r="V282" s="32"/>
    </row>
    <row r="283" spans="5:22">
      <c r="E283" s="32" t="str">
        <v>kiri</v>
      </c>
      <c r="F283" s="32"/>
      <c r="G283" s="32"/>
      <c r="J283" s="32" t="str">
        <v>tengah</v>
      </c>
      <c r="K283" s="32"/>
      <c r="L283" s="32"/>
      <c r="O283" s="32" t="str">
        <v>kiri</v>
      </c>
      <c r="P283" s="32"/>
      <c r="Q283" s="32"/>
      <c r="T283" s="32" t="str">
        <v>tengah</v>
      </c>
      <c r="U283" s="32"/>
      <c r="V283" s="32"/>
    </row>
    <row r="284" spans="5:22">
      <c r="E284" s="32" t="str">
        <v>tengah</v>
      </c>
      <c r="F284" s="32"/>
      <c r="G284" s="32"/>
      <c r="J284" s="32" t="str">
        <v>kanan</v>
      </c>
      <c r="K284" s="32"/>
      <c r="L284" s="32"/>
      <c r="O284" s="32" t="str">
        <v>tengah</v>
      </c>
      <c r="P284" s="32"/>
      <c r="Q284" s="32"/>
      <c r="T284" s="32" t="str">
        <v>tengah</v>
      </c>
      <c r="U284" s="32"/>
      <c r="V284" s="32"/>
    </row>
    <row r="285" spans="5:22">
      <c r="E285" s="32" t="str">
        <v>kiri</v>
      </c>
      <c r="F285" s="32"/>
      <c r="G285" s="32"/>
      <c r="J285" s="32" t="str">
        <v>kiri</v>
      </c>
      <c r="K285" s="32"/>
      <c r="L285" s="32"/>
      <c r="O285" s="32" t="str">
        <v>kanan</v>
      </c>
      <c r="P285" s="32"/>
      <c r="Q285" s="32"/>
      <c r="T285" s="32" t="str">
        <v>tengah</v>
      </c>
      <c r="U285" s="32"/>
      <c r="V285" s="32"/>
    </row>
    <row r="286" spans="5:22">
      <c r="E286" s="32" t="str">
        <v>kiri</v>
      </c>
      <c r="F286" s="32"/>
      <c r="G286" s="32"/>
      <c r="J286" s="32" t="str">
        <v>tengah</v>
      </c>
      <c r="K286" s="32"/>
      <c r="L286" s="32"/>
      <c r="O286" s="32" t="str">
        <v>kiri</v>
      </c>
      <c r="P286" s="32"/>
      <c r="Q286" s="32"/>
      <c r="T286" s="32" t="str">
        <v>tengah</v>
      </c>
      <c r="U286" s="32"/>
      <c r="V286" s="32"/>
    </row>
    <row r="287" spans="5:22">
      <c r="E287" s="32" t="str">
        <v>kanan</v>
      </c>
      <c r="F287" s="32"/>
      <c r="G287" s="32"/>
      <c r="J287" s="32" t="str">
        <v>tengah</v>
      </c>
      <c r="K287" s="32"/>
      <c r="L287" s="32"/>
      <c r="O287" s="32" t="str">
        <v>kanan</v>
      </c>
      <c r="P287" s="32"/>
      <c r="Q287" s="32"/>
      <c r="T287" s="32" t="str">
        <v>kanan</v>
      </c>
      <c r="U287" s="32"/>
      <c r="V287" s="32"/>
    </row>
    <row r="288" spans="5:22">
      <c r="E288" s="32" t="str">
        <v>tengah</v>
      </c>
      <c r="F288" s="32"/>
      <c r="G288" s="32"/>
      <c r="J288" s="32" t="str">
        <v>tengah</v>
      </c>
      <c r="K288" s="32"/>
      <c r="L288" s="32"/>
      <c r="O288" s="32" t="str">
        <v>kiri</v>
      </c>
      <c r="P288" s="32"/>
      <c r="Q288" s="32"/>
      <c r="T288" s="32" t="str">
        <v>kanan</v>
      </c>
      <c r="U288" s="32"/>
      <c r="V288" s="32"/>
    </row>
    <row r="289" spans="5:22">
      <c r="E289" s="32" t="str">
        <v>tengah</v>
      </c>
      <c r="F289" s="32"/>
      <c r="G289" s="32"/>
      <c r="J289" s="32" t="str">
        <v>kiri</v>
      </c>
      <c r="K289" s="32"/>
      <c r="L289" s="32"/>
      <c r="O289" s="32" t="str">
        <v>tengah</v>
      </c>
      <c r="P289" s="32"/>
      <c r="Q289" s="32"/>
      <c r="T289" s="32" t="str">
        <v>tengah</v>
      </c>
      <c r="U289" s="32"/>
      <c r="V289" s="32"/>
    </row>
    <row r="290" spans="5:22">
      <c r="E290" s="32" t="str">
        <v>kanan</v>
      </c>
      <c r="F290" s="32"/>
      <c r="G290" s="32"/>
      <c r="J290" s="32" t="str">
        <v>tengah</v>
      </c>
      <c r="K290" s="32"/>
      <c r="L290" s="32"/>
      <c r="O290" s="32" t="str">
        <v>tengah</v>
      </c>
      <c r="P290" s="32"/>
      <c r="Q290" s="32"/>
      <c r="T290" s="32" t="str">
        <v>kanan</v>
      </c>
      <c r="U290" s="32"/>
      <c r="V290" s="32"/>
    </row>
    <row r="291" spans="5:22">
      <c r="E291" s="32" t="str">
        <v>kiri</v>
      </c>
      <c r="F291" s="32"/>
      <c r="G291" s="32"/>
      <c r="J291" s="32" t="str">
        <v>kanan</v>
      </c>
      <c r="K291" s="32"/>
      <c r="L291" s="32"/>
      <c r="O291" s="32" t="str">
        <v>tengah</v>
      </c>
      <c r="P291" s="32"/>
      <c r="Q291" s="32"/>
      <c r="T291" s="32" t="str">
        <v>kanan</v>
      </c>
      <c r="U291" s="32"/>
      <c r="V291" s="32"/>
    </row>
    <row r="292" spans="5:22">
      <c r="E292" s="32" t="str">
        <v>tengah</v>
      </c>
      <c r="F292" s="32"/>
      <c r="G292" s="32"/>
      <c r="J292" s="32" t="str">
        <v>tengah</v>
      </c>
      <c r="K292" s="32"/>
      <c r="L292" s="32"/>
      <c r="O292" s="32" t="str">
        <v>kiri</v>
      </c>
      <c r="P292" s="32"/>
      <c r="Q292" s="32"/>
      <c r="T292" s="32" t="str">
        <v>kanan</v>
      </c>
      <c r="U292" s="32"/>
      <c r="V292" s="32"/>
    </row>
    <row r="293" spans="5:22">
      <c r="E293" s="32" t="str">
        <v>kanan</v>
      </c>
      <c r="F293" s="32"/>
      <c r="G293" s="32"/>
      <c r="J293" s="32" t="str">
        <v>kanan</v>
      </c>
      <c r="K293" s="32"/>
      <c r="L293" s="32"/>
      <c r="O293" s="32" t="str">
        <v>kanan</v>
      </c>
      <c r="P293" s="32"/>
      <c r="Q293" s="32"/>
      <c r="T293" s="32" t="str">
        <v>kanan</v>
      </c>
      <c r="U293" s="32"/>
      <c r="V293" s="32"/>
    </row>
    <row r="294" spans="5:22">
      <c r="E294" s="32" t="str">
        <v>tengah</v>
      </c>
      <c r="F294" s="32"/>
      <c r="G294" s="32"/>
      <c r="J294" s="32" t="str">
        <v>kiri</v>
      </c>
      <c r="K294" s="32"/>
      <c r="L294" s="32"/>
      <c r="O294" s="32" t="str">
        <v>tengah</v>
      </c>
      <c r="P294" s="32"/>
      <c r="Q294" s="32"/>
      <c r="T294" s="32" t="str">
        <v>kanan</v>
      </c>
      <c r="U294" s="32"/>
      <c r="V294" s="32"/>
    </row>
    <row r="295" spans="5:22">
      <c r="E295" s="32" t="str">
        <v>tengah</v>
      </c>
      <c r="F295" s="32"/>
      <c r="G295" s="32"/>
      <c r="J295" s="32" t="str">
        <v>tengah</v>
      </c>
      <c r="K295" s="32"/>
      <c r="L295" s="32"/>
      <c r="O295" s="32" t="str">
        <v>tengah</v>
      </c>
      <c r="P295" s="32"/>
      <c r="Q295" s="32"/>
      <c r="T295" s="32" t="str">
        <v>kanan</v>
      </c>
      <c r="U295" s="32"/>
      <c r="V295" s="32"/>
    </row>
    <row r="296" spans="5:22">
      <c r="E296" s="32" t="str">
        <v>tengah</v>
      </c>
      <c r="F296" s="32"/>
      <c r="G296" s="32"/>
      <c r="J296" s="32" t="str">
        <v>tengah</v>
      </c>
      <c r="K296" s="32"/>
      <c r="L296" s="32"/>
      <c r="O296" s="32" t="str">
        <v>kiri</v>
      </c>
      <c r="P296" s="32"/>
      <c r="Q296" s="32"/>
      <c r="T296" s="32" t="str">
        <v>kanan</v>
      </c>
      <c r="U296" s="32"/>
      <c r="V296" s="32"/>
    </row>
    <row r="297" spans="5:22">
      <c r="E297" s="32" t="str">
        <v>tengah</v>
      </c>
      <c r="F297" s="32"/>
      <c r="G297" s="32"/>
      <c r="J297" s="32" t="str">
        <v>tengah</v>
      </c>
      <c r="K297" s="32"/>
      <c r="L297" s="32"/>
      <c r="O297" s="32" t="str">
        <v>tengah</v>
      </c>
      <c r="P297" s="32"/>
      <c r="Q297" s="32"/>
      <c r="T297" s="32" t="str">
        <v>tengah</v>
      </c>
      <c r="U297" s="32"/>
      <c r="V297" s="32"/>
    </row>
    <row r="298" spans="5:22">
      <c r="E298" s="32" t="str">
        <v>kiri</v>
      </c>
      <c r="F298" s="32"/>
      <c r="G298" s="32"/>
      <c r="J298" s="32" t="str">
        <v>kiri</v>
      </c>
      <c r="K298" s="32"/>
      <c r="L298" s="32"/>
      <c r="O298" s="32" t="str">
        <v>kiri</v>
      </c>
      <c r="P298" s="32"/>
      <c r="Q298" s="32"/>
      <c r="T298" s="32" t="str">
        <v>kanan</v>
      </c>
      <c r="U298" s="32"/>
      <c r="V298" s="32"/>
    </row>
    <row r="299" spans="5:22">
      <c r="E299" s="32" t="str">
        <v>kiri</v>
      </c>
      <c r="F299" s="32"/>
      <c r="G299" s="32"/>
      <c r="J299" s="32" t="str">
        <v>tengah</v>
      </c>
      <c r="K299" s="32"/>
      <c r="L299" s="32"/>
      <c r="O299" s="32" t="str">
        <v>kiri</v>
      </c>
      <c r="P299" s="32"/>
      <c r="Q299" s="32"/>
      <c r="T299" s="32" t="str">
        <v>tengah</v>
      </c>
      <c r="U299" s="32"/>
      <c r="V299" s="32"/>
    </row>
    <row r="300" spans="5:22">
      <c r="E300" s="32" t="str">
        <v>tengah</v>
      </c>
      <c r="F300" s="32"/>
      <c r="G300" s="32"/>
      <c r="J300" s="32" t="str">
        <v>tengah</v>
      </c>
      <c r="K300" s="32"/>
      <c r="L300" s="32"/>
      <c r="O300" s="32" t="str">
        <v>kiri</v>
      </c>
      <c r="P300" s="32"/>
      <c r="Q300" s="32"/>
      <c r="T300" s="32" t="str">
        <v>tengah</v>
      </c>
      <c r="U300" s="32"/>
      <c r="V300" s="32"/>
    </row>
    <row r="301" spans="5:22">
      <c r="E301" s="32" t="str">
        <v>tengah</v>
      </c>
      <c r="F301" s="32"/>
      <c r="G301" s="32"/>
      <c r="J301" s="32" t="str">
        <v>kanan</v>
      </c>
      <c r="K301" s="32"/>
      <c r="L301" s="32"/>
      <c r="O301" s="32" t="str">
        <v>kiri</v>
      </c>
      <c r="P301" s="32"/>
      <c r="Q301" s="32"/>
      <c r="T301" s="32" t="str">
        <v>tengah</v>
      </c>
      <c r="U301" s="32"/>
      <c r="V301" s="32"/>
    </row>
    <row r="302" spans="5:22">
      <c r="E302" s="32" t="str">
        <v>tengah</v>
      </c>
      <c r="F302" s="32"/>
      <c r="G302" s="32"/>
      <c r="J302" s="32" t="str">
        <v>tengah</v>
      </c>
      <c r="K302" s="32"/>
      <c r="L302" s="32"/>
      <c r="O302" s="32" t="str">
        <v>kanan</v>
      </c>
      <c r="P302" s="32"/>
      <c r="Q302" s="32"/>
      <c r="T302" s="32" t="str">
        <v>kanan</v>
      </c>
      <c r="U302" s="32"/>
      <c r="V302" s="32"/>
    </row>
    <row r="303" spans="5:22">
      <c r="E303" s="32" t="str">
        <v>tengah</v>
      </c>
      <c r="F303" s="32"/>
      <c r="G303" s="32"/>
      <c r="J303" s="32" t="str">
        <v>tengah</v>
      </c>
      <c r="K303" s="32"/>
      <c r="L303" s="32"/>
      <c r="O303" s="32" t="str">
        <v>kiri</v>
      </c>
      <c r="P303" s="32"/>
      <c r="Q303" s="32"/>
      <c r="T303" s="32" t="str">
        <v>kanan</v>
      </c>
      <c r="U303" s="32"/>
      <c r="V303" s="32"/>
    </row>
    <row r="304" spans="5:22">
      <c r="E304" s="32" t="str">
        <v>tengah</v>
      </c>
      <c r="F304" s="32"/>
      <c r="G304" s="32"/>
      <c r="J304" s="32" t="str">
        <v>kiri</v>
      </c>
      <c r="K304" s="32"/>
      <c r="L304" s="32"/>
      <c r="O304" s="32" t="str">
        <v>kiri</v>
      </c>
      <c r="P304" s="32"/>
      <c r="Q304" s="32"/>
      <c r="T304" s="32" t="str">
        <v>kanan</v>
      </c>
      <c r="U304" s="32"/>
      <c r="V304" s="32"/>
    </row>
    <row r="305" spans="5:22">
      <c r="E305" s="32" t="str">
        <v>tengah</v>
      </c>
      <c r="F305" s="32"/>
      <c r="G305" s="32"/>
      <c r="J305" s="32" t="str">
        <v>tengah</v>
      </c>
      <c r="K305" s="32"/>
      <c r="L305" s="32"/>
      <c r="O305" s="32" t="str">
        <v>tengah</v>
      </c>
      <c r="P305" s="32"/>
      <c r="Q305" s="32"/>
      <c r="T305" s="32" t="str">
        <v>kanan</v>
      </c>
      <c r="U305" s="32"/>
      <c r="V305" s="32"/>
    </row>
    <row r="306" spans="5:22">
      <c r="E306" s="32" t="str">
        <v>kiri</v>
      </c>
      <c r="F306" s="32"/>
      <c r="G306" s="32"/>
      <c r="J306" s="32" t="str">
        <v>kanan</v>
      </c>
      <c r="K306" s="32"/>
      <c r="L306" s="32"/>
      <c r="O306" s="32" t="str">
        <v>tengah</v>
      </c>
      <c r="P306" s="32"/>
      <c r="Q306" s="32"/>
      <c r="T306" s="32" t="str">
        <v>kanan</v>
      </c>
      <c r="U306" s="32"/>
      <c r="V306" s="32"/>
    </row>
    <row r="307" spans="5:22">
      <c r="E307" s="32" t="str">
        <v>kanan</v>
      </c>
      <c r="F307" s="32"/>
      <c r="G307" s="32"/>
      <c r="J307" s="32" t="str">
        <v>kanan</v>
      </c>
      <c r="K307" s="32"/>
      <c r="L307" s="32"/>
      <c r="O307" s="32" t="str">
        <v>kanan</v>
      </c>
      <c r="P307" s="32"/>
      <c r="Q307" s="32"/>
      <c r="T307" s="32" t="str">
        <v>kanan</v>
      </c>
      <c r="U307" s="32"/>
      <c r="V307" s="32"/>
    </row>
    <row r="308" spans="5:22">
      <c r="E308" s="32" t="str">
        <v>kanan</v>
      </c>
      <c r="F308" s="32"/>
      <c r="G308" s="32"/>
      <c r="J308" s="32" t="str">
        <v>kanan</v>
      </c>
      <c r="K308" s="32"/>
      <c r="L308" s="32"/>
      <c r="O308" s="32" t="str">
        <v>tengah</v>
      </c>
      <c r="P308" s="32"/>
      <c r="Q308" s="32"/>
      <c r="T308" s="32" t="str">
        <v>tengah</v>
      </c>
      <c r="U308" s="32"/>
      <c r="V308" s="32"/>
    </row>
    <row r="309" spans="5:22">
      <c r="E309" s="32" t="str">
        <v>tengah</v>
      </c>
      <c r="F309" s="32"/>
      <c r="G309" s="32"/>
      <c r="J309" s="32" t="str">
        <v>kiri</v>
      </c>
      <c r="K309" s="32"/>
      <c r="L309" s="32"/>
      <c r="O309" s="32" t="str">
        <v>kiri</v>
      </c>
      <c r="P309" s="32"/>
      <c r="Q309" s="32"/>
      <c r="T309" s="32" t="str">
        <v>kanan</v>
      </c>
      <c r="U309" s="32"/>
      <c r="V309" s="32"/>
    </row>
    <row r="310" spans="5:22">
      <c r="E310" s="32" t="str">
        <v>kanan</v>
      </c>
      <c r="F310" s="32"/>
      <c r="G310" s="32"/>
      <c r="J310" s="32" t="str">
        <v>kiri</v>
      </c>
      <c r="K310" s="32"/>
      <c r="L310" s="32"/>
      <c r="O310" s="32" t="str">
        <v>tengah</v>
      </c>
      <c r="P310" s="32"/>
      <c r="Q310" s="32"/>
      <c r="T310" s="32" t="str">
        <v>kanan</v>
      </c>
      <c r="U310" s="32"/>
      <c r="V310" s="32"/>
    </row>
    <row r="311" spans="5:22">
      <c r="E311" s="32" t="str">
        <v>kiri</v>
      </c>
      <c r="F311" s="32"/>
      <c r="G311" s="32"/>
      <c r="J311" s="32" t="str">
        <v>kanan</v>
      </c>
      <c r="K311" s="32"/>
      <c r="L311" s="32"/>
      <c r="O311" s="32" t="str">
        <v>kiri</v>
      </c>
      <c r="P311" s="32"/>
      <c r="Q311" s="32"/>
      <c r="T311" s="32" t="str">
        <v>kanan</v>
      </c>
      <c r="U311" s="32"/>
      <c r="V311" s="32"/>
    </row>
    <row r="312" spans="5:22">
      <c r="E312" s="32" t="str">
        <v>tengah</v>
      </c>
      <c r="F312" s="32"/>
      <c r="G312" s="32"/>
      <c r="J312" s="32" t="str">
        <v>kanan</v>
      </c>
      <c r="K312" s="32"/>
      <c r="L312" s="32"/>
      <c r="O312" s="32" t="str">
        <v>tengah</v>
      </c>
      <c r="P312" s="32"/>
      <c r="Q312" s="32"/>
      <c r="T312" s="32" t="str">
        <v>kanan</v>
      </c>
      <c r="U312" s="32"/>
      <c r="V312" s="32"/>
    </row>
    <row r="313" spans="5:22">
      <c r="E313" s="32" t="str">
        <v>tengah</v>
      </c>
      <c r="F313" s="32"/>
      <c r="G313" s="32"/>
      <c r="J313" s="32" t="str">
        <v>kanan</v>
      </c>
      <c r="K313" s="32"/>
      <c r="L313" s="32"/>
      <c r="O313" s="32" t="str">
        <v>tengah</v>
      </c>
      <c r="P313" s="32"/>
      <c r="Q313" s="32"/>
      <c r="T313" s="32" t="str">
        <v>kanan</v>
      </c>
      <c r="U313" s="32"/>
      <c r="V313" s="32"/>
    </row>
    <row r="314" spans="5:22">
      <c r="E314" s="32" t="str">
        <v>tengah</v>
      </c>
      <c r="F314" s="32"/>
      <c r="G314" s="32"/>
      <c r="J314" s="32" t="str">
        <v>tengah</v>
      </c>
      <c r="K314" s="32"/>
      <c r="L314" s="32"/>
      <c r="O314" s="32" t="str">
        <v>kiri</v>
      </c>
      <c r="P314" s="32"/>
      <c r="Q314" s="32"/>
      <c r="T314" s="32" t="str">
        <v>kanan</v>
      </c>
      <c r="U314" s="32"/>
      <c r="V314" s="32"/>
    </row>
    <row r="315" spans="5:22">
      <c r="E315" s="32" t="str">
        <v>kiri</v>
      </c>
      <c r="F315" s="32"/>
      <c r="G315" s="32"/>
      <c r="J315" s="32" t="str">
        <v>tengah</v>
      </c>
      <c r="K315" s="32"/>
      <c r="L315" s="32"/>
      <c r="O315" s="32" t="str">
        <v>tengah</v>
      </c>
      <c r="P315" s="32"/>
      <c r="Q315" s="32"/>
      <c r="T315" s="32" t="str">
        <v>kanan</v>
      </c>
      <c r="U315" s="32"/>
      <c r="V315" s="32"/>
    </row>
    <row r="316" spans="5:22">
      <c r="E316" s="32" t="str">
        <v>kiri</v>
      </c>
      <c r="F316" s="32"/>
      <c r="G316" s="32"/>
      <c r="J316" s="32" t="str">
        <v>kiri</v>
      </c>
      <c r="K316" s="32"/>
      <c r="L316" s="32"/>
      <c r="O316" s="32" t="str">
        <v>tengah</v>
      </c>
      <c r="P316" s="32"/>
      <c r="Q316" s="32"/>
      <c r="T316" s="32" t="str">
        <v>kanan</v>
      </c>
      <c r="U316" s="32"/>
      <c r="V316" s="32"/>
    </row>
    <row r="317" spans="5:22">
      <c r="E317" s="32" t="str">
        <v>kiri</v>
      </c>
      <c r="F317" s="32"/>
      <c r="G317" s="32"/>
      <c r="J317" s="32" t="str">
        <v>tengah</v>
      </c>
      <c r="K317" s="32"/>
      <c r="L317" s="32"/>
      <c r="O317" s="32" t="str">
        <v>tengah</v>
      </c>
      <c r="P317" s="32"/>
      <c r="Q317" s="32"/>
      <c r="T317" s="32" t="str">
        <v>kanan</v>
      </c>
      <c r="U317" s="32"/>
      <c r="V317" s="32"/>
    </row>
    <row r="318" spans="5:22">
      <c r="E318" s="32" t="str">
        <v>kiri</v>
      </c>
      <c r="F318" s="32"/>
      <c r="G318" s="32"/>
      <c r="J318" s="32" t="str">
        <v>kiri</v>
      </c>
      <c r="K318" s="32"/>
      <c r="L318" s="32"/>
      <c r="O318" s="32" t="str">
        <v>tengah</v>
      </c>
      <c r="P318" s="32"/>
      <c r="Q318" s="32"/>
      <c r="T318" s="32" t="str">
        <v>kanan</v>
      </c>
      <c r="U318" s="32"/>
      <c r="V318" s="32"/>
    </row>
    <row r="319" spans="5:22">
      <c r="E319" s="32" t="str">
        <v>tengah</v>
      </c>
      <c r="F319" s="32"/>
      <c r="G319" s="32"/>
      <c r="J319" s="32" t="str">
        <v>kiri</v>
      </c>
      <c r="K319" s="32"/>
      <c r="L319" s="32"/>
      <c r="O319" s="32" t="str">
        <v>kanan</v>
      </c>
      <c r="P319" s="32"/>
      <c r="Q319" s="32"/>
      <c r="T319" s="32" t="str">
        <v>tengah</v>
      </c>
      <c r="U319" s="32"/>
      <c r="V319" s="32"/>
    </row>
    <row r="320" spans="5:22">
      <c r="E320" s="32" t="str">
        <v>tengah</v>
      </c>
      <c r="F320" s="32"/>
      <c r="G320" s="32"/>
      <c r="J320" s="32" t="str">
        <v>tengah</v>
      </c>
      <c r="K320" s="32"/>
      <c r="L320" s="32"/>
      <c r="O320" s="32" t="str">
        <v>kanan</v>
      </c>
      <c r="P320" s="32"/>
      <c r="Q320" s="32"/>
      <c r="T320" s="32" t="str">
        <v>tengah</v>
      </c>
      <c r="U320" s="32"/>
      <c r="V320" s="32"/>
    </row>
    <row r="321" spans="5:22">
      <c r="E321" s="32" t="str">
        <v>tengah</v>
      </c>
      <c r="F321" s="32"/>
      <c r="G321" s="32"/>
      <c r="J321" s="32" t="str">
        <v>tengah</v>
      </c>
      <c r="K321" s="32"/>
      <c r="L321" s="32"/>
      <c r="O321" s="32" t="str">
        <v>tengah</v>
      </c>
      <c r="P321" s="32"/>
      <c r="Q321" s="32"/>
      <c r="T321" s="32" t="str">
        <v>kanan</v>
      </c>
      <c r="U321" s="32"/>
      <c r="V321" s="32"/>
    </row>
    <row r="322" spans="5:22">
      <c r="E322" s="32" t="str">
        <v>tengah</v>
      </c>
      <c r="F322" s="32"/>
      <c r="G322" s="32"/>
      <c r="J322" s="32" t="str">
        <v>tengah</v>
      </c>
      <c r="K322" s="32"/>
      <c r="L322" s="32"/>
      <c r="O322" s="32" t="str">
        <v>kanan</v>
      </c>
      <c r="P322" s="32"/>
      <c r="Q322" s="32"/>
      <c r="T322" s="32" t="str">
        <v>tengah</v>
      </c>
      <c r="U322" s="32"/>
      <c r="V322" s="32"/>
    </row>
    <row r="323" spans="5:22">
      <c r="E323" s="32" t="str">
        <v>kiri</v>
      </c>
      <c r="F323" s="32"/>
      <c r="G323" s="32"/>
      <c r="J323" s="32" t="str">
        <v>tengah</v>
      </c>
      <c r="K323" s="32"/>
      <c r="L323" s="32"/>
      <c r="O323" s="32" t="str">
        <v>kiri</v>
      </c>
      <c r="P323" s="32"/>
      <c r="Q323" s="32"/>
      <c r="T323" s="32" t="str">
        <v>tengah</v>
      </c>
      <c r="U323" s="32"/>
      <c r="V323" s="32"/>
    </row>
    <row r="324" spans="5:22">
      <c r="E324" s="32" t="str">
        <v>tengah</v>
      </c>
      <c r="F324" s="32"/>
      <c r="G324" s="32"/>
      <c r="J324" s="32" t="str">
        <v>tengah</v>
      </c>
      <c r="K324" s="32"/>
      <c r="L324" s="32"/>
      <c r="O324" s="32" t="str">
        <v>kanan</v>
      </c>
      <c r="P324" s="32"/>
      <c r="Q324" s="32"/>
      <c r="T324" s="32" t="str">
        <v>tengah</v>
      </c>
      <c r="U324" s="32"/>
      <c r="V324" s="32"/>
    </row>
    <row r="325" spans="5:22">
      <c r="E325" s="32" t="str">
        <v>kiri</v>
      </c>
      <c r="F325" s="32"/>
      <c r="G325" s="32"/>
      <c r="J325" s="32" t="str">
        <v>kiri</v>
      </c>
      <c r="K325" s="32"/>
      <c r="L325" s="32"/>
      <c r="O325" s="32" t="str">
        <v>kanan</v>
      </c>
      <c r="P325" s="32"/>
      <c r="Q325" s="32"/>
      <c r="T325" s="32" t="str">
        <v>kanan</v>
      </c>
      <c r="U325" s="32"/>
      <c r="V325" s="32"/>
    </row>
    <row r="326" spans="5:22">
      <c r="E326" s="32" t="str">
        <v>tengah</v>
      </c>
      <c r="F326" s="32"/>
      <c r="G326" s="32"/>
      <c r="J326" s="32" t="str">
        <v>tengah</v>
      </c>
      <c r="K326" s="32"/>
      <c r="L326" s="32"/>
      <c r="O326" s="32" t="str">
        <v>tengah</v>
      </c>
      <c r="P326" s="32"/>
      <c r="Q326" s="32"/>
      <c r="T326" s="32" t="str">
        <v>tengah</v>
      </c>
      <c r="U326" s="32"/>
      <c r="V326" s="32"/>
    </row>
    <row r="327" spans="5:22">
      <c r="E327" s="32" t="str">
        <v>kanan</v>
      </c>
      <c r="F327" s="32"/>
      <c r="G327" s="32"/>
      <c r="J327" s="32" t="str">
        <v>tengah</v>
      </c>
      <c r="K327" s="32"/>
      <c r="L327" s="32"/>
      <c r="O327" s="32" t="str">
        <v>tengah</v>
      </c>
      <c r="P327" s="32"/>
      <c r="Q327" s="32"/>
      <c r="T327" s="32" t="str">
        <v>tengah</v>
      </c>
      <c r="U327" s="32"/>
      <c r="V327" s="32"/>
    </row>
    <row r="328" spans="5:22">
      <c r="E328" s="32" t="str">
        <v>tengah</v>
      </c>
      <c r="F328" s="32"/>
      <c r="G328" s="32"/>
      <c r="J328" s="32" t="str">
        <v>tengah</v>
      </c>
      <c r="K328" s="32"/>
      <c r="L328" s="32"/>
      <c r="O328" s="32" t="str">
        <v>tengah</v>
      </c>
      <c r="P328" s="32"/>
      <c r="Q328" s="32"/>
      <c r="T328" s="32" t="str">
        <v>kanan</v>
      </c>
      <c r="U328" s="32"/>
      <c r="V328" s="32"/>
    </row>
    <row r="329" spans="5:22">
      <c r="E329" s="32" t="str">
        <v>tengah</v>
      </c>
      <c r="F329" s="32"/>
      <c r="G329" s="32"/>
      <c r="J329" s="32" t="str">
        <v>tengah</v>
      </c>
      <c r="K329" s="32"/>
      <c r="L329" s="32"/>
      <c r="O329" s="32" t="str">
        <v>kiri</v>
      </c>
      <c r="P329" s="32"/>
      <c r="Q329" s="32"/>
      <c r="T329" s="32" t="str">
        <v>tengah</v>
      </c>
      <c r="U329" s="32"/>
      <c r="V329" s="32"/>
    </row>
    <row r="330" spans="5:22">
      <c r="E330" s="32" t="str">
        <v>tengah</v>
      </c>
      <c r="F330" s="32"/>
      <c r="G330" s="32"/>
      <c r="J330" s="32" t="str">
        <v>kanan</v>
      </c>
      <c r="K330" s="32"/>
      <c r="L330" s="32"/>
      <c r="O330" s="32" t="str">
        <v>tengah</v>
      </c>
      <c r="P330" s="32"/>
      <c r="Q330" s="32"/>
      <c r="T330" s="32" t="str">
        <v>tengah</v>
      </c>
      <c r="U330" s="32"/>
      <c r="V330" s="32"/>
    </row>
    <row r="331" spans="5:22">
      <c r="E331" s="32" t="str">
        <v>kanan</v>
      </c>
      <c r="F331" s="32"/>
      <c r="G331" s="32"/>
      <c r="J331" s="32" t="str">
        <v>tengah</v>
      </c>
      <c r="K331" s="32"/>
      <c r="L331" s="32"/>
      <c r="O331" s="32" t="str">
        <v>kanan</v>
      </c>
      <c r="P331" s="32"/>
      <c r="Q331" s="32"/>
      <c r="T331" s="32" t="str">
        <v>kanan</v>
      </c>
      <c r="U331" s="32"/>
      <c r="V331" s="32"/>
    </row>
    <row r="332" spans="5:22">
      <c r="E332" s="32" t="str">
        <v>kanan</v>
      </c>
      <c r="F332" s="32"/>
      <c r="G332" s="32"/>
      <c r="J332" s="32" t="str">
        <v>tengah</v>
      </c>
      <c r="K332" s="32"/>
      <c r="L332" s="32"/>
      <c r="O332" s="32" t="str">
        <v>tengah</v>
      </c>
      <c r="P332" s="32"/>
      <c r="Q332" s="32"/>
      <c r="T332" s="32" t="str">
        <v>tengah</v>
      </c>
      <c r="U332" s="32"/>
      <c r="V332" s="3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32"/>
  <sheetViews>
    <sheetView topLeftCell="M182" workbookViewId="0">
      <selection activeCell="O147" sqref="O147"/>
    </sheetView>
  </sheetViews>
  <sheetFormatPr defaultColWidth="9" defaultRowHeight="15"/>
  <cols>
    <col min="3" max="3" width="15.85546875" customWidth="1"/>
    <col min="4" max="4" width="22" customWidth="1"/>
    <col min="5" max="5" width="13.28515625" customWidth="1"/>
    <col min="6" max="6" width="13.85546875" customWidth="1"/>
    <col min="7" max="7" width="12" customWidth="1"/>
    <col min="10" max="10" width="15.85546875" customWidth="1"/>
    <col min="11" max="11" width="16.28515625" customWidth="1"/>
    <col min="12" max="12" width="13.85546875" customWidth="1"/>
    <col min="13" max="13" width="15.7109375" customWidth="1"/>
    <col min="15" max="15" width="24.85546875" bestFit="1" customWidth="1"/>
    <col min="16" max="16" width="12" bestFit="1" customWidth="1"/>
    <col min="17" max="17" width="14.140625" customWidth="1"/>
    <col min="20" max="20" width="14.28515625" customWidth="1"/>
  </cols>
  <sheetData>
    <row r="1" spans="1:17">
      <c r="A1" s="30" t="s">
        <v>174</v>
      </c>
      <c r="B1" s="30" t="s">
        <v>1</v>
      </c>
      <c r="C1" s="30" t="s">
        <v>2</v>
      </c>
      <c r="D1" s="30" t="s">
        <v>173</v>
      </c>
      <c r="E1" s="30" t="s">
        <v>4</v>
      </c>
      <c r="F1" s="30" t="s">
        <v>5</v>
      </c>
      <c r="H1" s="33" t="s">
        <v>174</v>
      </c>
      <c r="I1" s="33" t="s">
        <v>1</v>
      </c>
      <c r="J1" s="33" t="s">
        <v>2</v>
      </c>
      <c r="K1" s="33" t="s">
        <v>173</v>
      </c>
      <c r="L1" s="33" t="s">
        <v>4</v>
      </c>
      <c r="M1" s="33" t="s">
        <v>5</v>
      </c>
      <c r="O1" s="30" t="s">
        <v>175</v>
      </c>
      <c r="P1" s="31"/>
      <c r="Q1" s="31"/>
    </row>
    <row r="2" spans="1:17">
      <c r="A2" s="32">
        <f ca="1">RANDBETWEEN(2,164)</f>
        <v>135</v>
      </c>
      <c r="B2" s="32" cm="1">
        <f t="array" aca="1" ref="B2" ca="1">INDEX(Data_DBD!$B:$B,$A2)</f>
        <v>10</v>
      </c>
      <c r="C2" s="32" cm="1">
        <f t="array" aca="1" ref="C2" ca="1">INDEX(Data_DBD!$C:$C,$A2)</f>
        <v>2</v>
      </c>
      <c r="D2" s="32" cm="1">
        <f t="array" aca="1" ref="D2" ca="1">INDEX(Data_DBD!$D:$D,$A2)</f>
        <v>33</v>
      </c>
      <c r="E2" s="32" cm="1">
        <f t="array" aca="1" ref="E2" ca="1">INDEX(Data_DBD!$E:$E,$A2)</f>
        <v>0</v>
      </c>
      <c r="F2" s="32" cm="1">
        <f t="array" aca="1" ref="F2" ca="1">INDEX(Data_DBD!$F:$F,$A2)</f>
        <v>3</v>
      </c>
      <c r="H2" s="33">
        <v>57</v>
      </c>
      <c r="I2" s="33">
        <v>2</v>
      </c>
      <c r="J2" s="33">
        <v>2</v>
      </c>
      <c r="K2" s="33">
        <v>15</v>
      </c>
      <c r="L2" s="33">
        <v>1</v>
      </c>
      <c r="M2" s="33">
        <v>2</v>
      </c>
      <c r="O2" s="54">
        <v>1</v>
      </c>
      <c r="P2" s="31">
        <f>COUNTIF(M2:M164,"1")</f>
        <v>10</v>
      </c>
      <c r="Q2" s="31">
        <f>P2/163</f>
        <v>6.1349693251533742E-2</v>
      </c>
    </row>
    <row r="3" spans="1:17">
      <c r="A3" s="32">
        <f t="shared" ref="A3:A66" ca="1" si="0">RANDBETWEEN(2,164)</f>
        <v>79</v>
      </c>
      <c r="B3" s="32" cm="1">
        <f t="array" aca="1" ref="B3" ca="1">INDEX(Data_DBD!$B:$B,$A3)</f>
        <v>29</v>
      </c>
      <c r="C3" s="32" cm="1">
        <f t="array" aca="1" ref="C3" ca="1">INDEX(Data_DBD!$C:$C,$A3)</f>
        <v>3</v>
      </c>
      <c r="D3" s="32" cm="1">
        <f t="array" aca="1" ref="D3" ca="1">INDEX(Data_DBD!$D:$D,$A3)</f>
        <v>13</v>
      </c>
      <c r="E3" s="32" cm="1">
        <f t="array" aca="1" ref="E3" ca="1">INDEX(Data_DBD!$E:$E,$A3)</f>
        <v>0</v>
      </c>
      <c r="F3" s="32" cm="1">
        <f t="array" aca="1" ref="F3" ca="1">INDEX(Data_DBD!$F:$F,$A3)</f>
        <v>2</v>
      </c>
      <c r="H3" s="33">
        <v>52</v>
      </c>
      <c r="I3" s="33">
        <v>59</v>
      </c>
      <c r="J3" s="33">
        <v>4</v>
      </c>
      <c r="K3" s="33">
        <v>15</v>
      </c>
      <c r="L3" s="33">
        <v>1</v>
      </c>
      <c r="M3" s="33">
        <v>2</v>
      </c>
      <c r="O3" s="31">
        <v>2</v>
      </c>
      <c r="P3" s="31">
        <f>COUNTIF(M2:M164,"2")</f>
        <v>80</v>
      </c>
      <c r="Q3" s="31">
        <f>P3/163</f>
        <v>0.49079754601226994</v>
      </c>
    </row>
    <row r="4" spans="1:17">
      <c r="A4" s="32">
        <f t="shared" ca="1" si="0"/>
        <v>27</v>
      </c>
      <c r="B4" s="32" cm="1">
        <f t="array" aca="1" ref="B4" ca="1">INDEX(Data_DBD!$B:$B,$A4)</f>
        <v>37</v>
      </c>
      <c r="C4" s="32" cm="1">
        <f t="array" aca="1" ref="C4" ca="1">INDEX(Data_DBD!$C:$C,$A4)</f>
        <v>4</v>
      </c>
      <c r="D4" s="32" cm="1">
        <f t="array" aca="1" ref="D4" ca="1">INDEX(Data_DBD!$D:$D,$A4)</f>
        <v>14</v>
      </c>
      <c r="E4" s="32" cm="1">
        <f t="array" aca="1" ref="E4" ca="1">INDEX(Data_DBD!$E:$E,$A4)</f>
        <v>1</v>
      </c>
      <c r="F4" s="32" cm="1">
        <f t="array" aca="1" ref="F4" ca="1">INDEX(Data_DBD!$F:$F,$A4)</f>
        <v>2</v>
      </c>
      <c r="H4" s="33">
        <v>91</v>
      </c>
      <c r="I4" s="33">
        <v>35</v>
      </c>
      <c r="J4" s="33">
        <v>1</v>
      </c>
      <c r="K4" s="33">
        <v>18</v>
      </c>
      <c r="L4" s="33">
        <v>1</v>
      </c>
      <c r="M4" s="33">
        <v>3</v>
      </c>
      <c r="O4" s="31">
        <v>3</v>
      </c>
      <c r="P4" s="31">
        <f>COUNTIF(M2:M164,"3")</f>
        <v>73</v>
      </c>
      <c r="Q4" s="31">
        <f>P4/163</f>
        <v>0.44785276073619634</v>
      </c>
    </row>
    <row r="5" spans="1:17">
      <c r="A5" s="32">
        <f t="shared" ca="1" si="0"/>
        <v>96</v>
      </c>
      <c r="B5" s="32" cm="1">
        <f t="array" aca="1" ref="B5" ca="1">INDEX(Data_DBD!$B:$B,$A5)</f>
        <v>56</v>
      </c>
      <c r="C5" s="32" cm="1">
        <f t="array" aca="1" ref="C5" ca="1">INDEX(Data_DBD!$C:$C,$A5)</f>
        <v>4</v>
      </c>
      <c r="D5" s="32" cm="1">
        <f t="array" aca="1" ref="D5" ca="1">INDEX(Data_DBD!$D:$D,$A5)</f>
        <v>18</v>
      </c>
      <c r="E5" s="32" cm="1">
        <f t="array" aca="1" ref="E5" ca="1">INDEX(Data_DBD!$E:$E,$A5)</f>
        <v>0</v>
      </c>
      <c r="F5" s="32" cm="1">
        <f t="array" aca="1" ref="F5" ca="1">INDEX(Data_DBD!$F:$F,$A5)</f>
        <v>3</v>
      </c>
      <c r="H5" s="33">
        <v>45</v>
      </c>
      <c r="I5" s="33">
        <v>75</v>
      </c>
      <c r="J5" s="33">
        <v>3</v>
      </c>
      <c r="K5" s="33">
        <v>13</v>
      </c>
      <c r="L5" s="33">
        <v>1</v>
      </c>
      <c r="M5" s="33">
        <v>2</v>
      </c>
      <c r="O5" s="34" t="s">
        <v>176</v>
      </c>
      <c r="P5">
        <f>-(IFERROR(Q2*LOG(Q2,2),0)+IFERROR(Q3*LOG(Q3,2),0)+IFERROR(Q4*LOG(Q4,2),0))</f>
        <v>1.2700120724022195</v>
      </c>
    </row>
    <row r="6" spans="1:17">
      <c r="A6" s="32">
        <f t="shared" ca="1" si="0"/>
        <v>56</v>
      </c>
      <c r="B6" s="32" cm="1">
        <f t="array" aca="1" ref="B6" ca="1">INDEX(Data_DBD!$B:$B,$A6)</f>
        <v>4</v>
      </c>
      <c r="C6" s="32" cm="1">
        <f t="array" aca="1" ref="C6" ca="1">INDEX(Data_DBD!$C:$C,$A6)</f>
        <v>3</v>
      </c>
      <c r="D6" s="32" cm="1">
        <f t="array" aca="1" ref="D6" ca="1">INDEX(Data_DBD!$D:$D,$A6)</f>
        <v>15</v>
      </c>
      <c r="E6" s="32" cm="1">
        <f t="array" aca="1" ref="E6" ca="1">INDEX(Data_DBD!$E:$E,$A6)</f>
        <v>0</v>
      </c>
      <c r="F6" s="32" cm="1">
        <f t="array" aca="1" ref="F6" ca="1">INDEX(Data_DBD!$F:$F,$A6)</f>
        <v>2</v>
      </c>
      <c r="H6" s="33">
        <v>76</v>
      </c>
      <c r="I6" s="33">
        <v>70</v>
      </c>
      <c r="J6" s="33">
        <v>2</v>
      </c>
      <c r="K6" s="33">
        <v>10</v>
      </c>
      <c r="L6" s="33">
        <v>0</v>
      </c>
      <c r="M6" s="33">
        <v>2</v>
      </c>
    </row>
    <row r="7" spans="1:17">
      <c r="A7" s="32">
        <f t="shared" ca="1" si="0"/>
        <v>83</v>
      </c>
      <c r="B7" s="32" cm="1">
        <f t="array" aca="1" ref="B7" ca="1">INDEX(Data_DBD!$B:$B,$A7)</f>
        <v>50</v>
      </c>
      <c r="C7" s="32" cm="1">
        <f t="array" aca="1" ref="C7" ca="1">INDEX(Data_DBD!$C:$C,$A7)</f>
        <v>3</v>
      </c>
      <c r="D7" s="32" cm="1">
        <f t="array" aca="1" ref="D7" ca="1">INDEX(Data_DBD!$D:$D,$A7)</f>
        <v>13</v>
      </c>
      <c r="E7" s="32" cm="1">
        <f t="array" aca="1" ref="E7" ca="1">INDEX(Data_DBD!$E:$E,$A7)</f>
        <v>0</v>
      </c>
      <c r="F7" s="32" cm="1">
        <f t="array" aca="1" ref="F7" ca="1">INDEX(Data_DBD!$F:$F,$A7)</f>
        <v>2</v>
      </c>
      <c r="H7" s="33">
        <v>131</v>
      </c>
      <c r="I7" s="33">
        <v>10</v>
      </c>
      <c r="J7" s="33">
        <v>2</v>
      </c>
      <c r="K7" s="33">
        <v>33</v>
      </c>
      <c r="L7" s="33">
        <v>0</v>
      </c>
      <c r="M7" s="33">
        <v>3</v>
      </c>
    </row>
    <row r="8" spans="1:17">
      <c r="A8" s="32">
        <f t="shared" ca="1" si="0"/>
        <v>15</v>
      </c>
      <c r="B8" s="32" cm="1">
        <f t="array" aca="1" ref="B8" ca="1">INDEX(Data_DBD!$B:$B,$A8)</f>
        <v>21</v>
      </c>
      <c r="C8" s="32" cm="1">
        <f t="array" aca="1" ref="C8" ca="1">INDEX(Data_DBD!$C:$C,$A8)</f>
        <v>2</v>
      </c>
      <c r="D8" s="32" cm="1">
        <f t="array" aca="1" ref="D8" ca="1">INDEX(Data_DBD!$D:$D,$A8)</f>
        <v>7</v>
      </c>
      <c r="E8" s="32" cm="1">
        <f t="array" aca="1" ref="E8" ca="1">INDEX(Data_DBD!$E:$E,$A8)</f>
        <v>0</v>
      </c>
      <c r="F8" s="32" cm="1">
        <f t="array" aca="1" ref="F8" ca="1">INDEX(Data_DBD!$F:$F,$A8)</f>
        <v>1</v>
      </c>
      <c r="H8" s="33">
        <v>133</v>
      </c>
      <c r="I8" s="33">
        <v>6</v>
      </c>
      <c r="J8" s="33">
        <v>4</v>
      </c>
      <c r="K8" s="33">
        <v>33</v>
      </c>
      <c r="L8" s="33">
        <v>0</v>
      </c>
      <c r="M8" s="33">
        <v>3</v>
      </c>
    </row>
    <row r="9" spans="1:17">
      <c r="A9" s="32">
        <f t="shared" ca="1" si="0"/>
        <v>85</v>
      </c>
      <c r="B9" s="32" cm="1">
        <f t="array" aca="1" ref="B9" ca="1">INDEX(Data_DBD!$B:$B,$A9)</f>
        <v>27</v>
      </c>
      <c r="C9" s="32" cm="1">
        <f t="array" aca="1" ref="C9" ca="1">INDEX(Data_DBD!$C:$C,$A9)</f>
        <v>9</v>
      </c>
      <c r="D9" s="32" cm="1">
        <f t="array" aca="1" ref="D9" ca="1">INDEX(Data_DBD!$D:$D,$A9)</f>
        <v>13</v>
      </c>
      <c r="E9" s="32" cm="1">
        <f t="array" aca="1" ref="E9" ca="1">INDEX(Data_DBD!$E:$E,$A9)</f>
        <v>0</v>
      </c>
      <c r="F9" s="32" cm="1">
        <f t="array" aca="1" ref="F9" ca="1">INDEX(Data_DBD!$F:$F,$A9)</f>
        <v>2</v>
      </c>
      <c r="H9" s="33">
        <v>114</v>
      </c>
      <c r="I9" s="33">
        <v>14</v>
      </c>
      <c r="J9" s="33">
        <v>2</v>
      </c>
      <c r="K9" s="33">
        <v>33</v>
      </c>
      <c r="L9" s="33">
        <v>1</v>
      </c>
      <c r="M9" s="33">
        <v>3</v>
      </c>
    </row>
    <row r="10" spans="1:17">
      <c r="A10" s="32">
        <f t="shared" ca="1" si="0"/>
        <v>13</v>
      </c>
      <c r="B10" s="32" cm="1">
        <f t="array" aca="1" ref="B10" ca="1">INDEX(Data_DBD!$B:$B,$A10)</f>
        <v>47</v>
      </c>
      <c r="C10" s="32" cm="1">
        <f t="array" aca="1" ref="C10" ca="1">INDEX(Data_DBD!$C:$C,$A10)</f>
        <v>2</v>
      </c>
      <c r="D10" s="32" cm="1">
        <f t="array" aca="1" ref="D10" ca="1">INDEX(Data_DBD!$D:$D,$A10)</f>
        <v>12</v>
      </c>
      <c r="E10" s="32" cm="1">
        <f t="array" aca="1" ref="E10" ca="1">INDEX(Data_DBD!$E:$E,$A10)</f>
        <v>0</v>
      </c>
      <c r="F10" s="32" cm="1">
        <f t="array" aca="1" ref="F10" ca="1">INDEX(Data_DBD!$F:$F,$A10)</f>
        <v>2</v>
      </c>
      <c r="H10" s="33">
        <v>50</v>
      </c>
      <c r="I10" s="33">
        <v>19</v>
      </c>
      <c r="J10" s="33">
        <v>5</v>
      </c>
      <c r="K10" s="33">
        <v>13</v>
      </c>
      <c r="L10" s="33">
        <v>0</v>
      </c>
      <c r="M10" s="33">
        <v>2</v>
      </c>
    </row>
    <row r="11" spans="1:17">
      <c r="A11" s="32">
        <f t="shared" ca="1" si="0"/>
        <v>74</v>
      </c>
      <c r="B11" s="32" cm="1">
        <f t="array" aca="1" ref="B11" ca="1">INDEX(Data_DBD!$B:$B,$A11)</f>
        <v>9</v>
      </c>
      <c r="C11" s="32" cm="1">
        <f t="array" aca="1" ref="C11" ca="1">INDEX(Data_DBD!$C:$C,$A11)</f>
        <v>4</v>
      </c>
      <c r="D11" s="32" cm="1">
        <f t="array" aca="1" ref="D11" ca="1">INDEX(Data_DBD!$D:$D,$A11)</f>
        <v>10</v>
      </c>
      <c r="E11" s="32" cm="1">
        <f t="array" aca="1" ref="E11" ca="1">INDEX(Data_DBD!$E:$E,$A11)</f>
        <v>0</v>
      </c>
      <c r="F11" s="32" cm="1">
        <f t="array" aca="1" ref="F11" ca="1">INDEX(Data_DBD!$F:$F,$A11)</f>
        <v>2</v>
      </c>
      <c r="H11" s="33">
        <v>124</v>
      </c>
      <c r="I11" s="33">
        <v>24</v>
      </c>
      <c r="J11" s="33">
        <v>3</v>
      </c>
      <c r="K11" s="33">
        <v>33</v>
      </c>
      <c r="L11" s="33">
        <v>1</v>
      </c>
      <c r="M11" s="33">
        <v>3</v>
      </c>
    </row>
    <row r="12" spans="1:17">
      <c r="A12" s="32">
        <f t="shared" ca="1" si="0"/>
        <v>12</v>
      </c>
      <c r="B12" s="32" cm="1">
        <f t="array" aca="1" ref="B12" ca="1">INDEX(Data_DBD!$B:$B,$A12)</f>
        <v>23</v>
      </c>
      <c r="C12" s="32" cm="1">
        <f t="array" aca="1" ref="C12" ca="1">INDEX(Data_DBD!$C:$C,$A12)</f>
        <v>3</v>
      </c>
      <c r="D12" s="32" cm="1">
        <f t="array" aca="1" ref="D12" ca="1">INDEX(Data_DBD!$D:$D,$A12)</f>
        <v>12</v>
      </c>
      <c r="E12" s="32" cm="1">
        <f t="array" aca="1" ref="E12" ca="1">INDEX(Data_DBD!$E:$E,$A12)</f>
        <v>0</v>
      </c>
      <c r="F12" s="32" cm="1">
        <f t="array" aca="1" ref="F12" ca="1">INDEX(Data_DBD!$F:$F,$A12)</f>
        <v>2</v>
      </c>
      <c r="H12" s="33">
        <v>89</v>
      </c>
      <c r="I12" s="33">
        <v>32</v>
      </c>
      <c r="J12" s="33">
        <v>4</v>
      </c>
      <c r="K12" s="33">
        <v>13</v>
      </c>
      <c r="L12" s="33">
        <v>0</v>
      </c>
      <c r="M12" s="33">
        <v>2</v>
      </c>
    </row>
    <row r="13" spans="1:17">
      <c r="A13" s="32">
        <f t="shared" ca="1" si="0"/>
        <v>59</v>
      </c>
      <c r="B13" s="32" cm="1">
        <f t="array" aca="1" ref="B13" ca="1">INDEX(Data_DBD!$B:$B,$A13)</f>
        <v>28</v>
      </c>
      <c r="C13" s="32" cm="1">
        <f t="array" aca="1" ref="C13" ca="1">INDEX(Data_DBD!$C:$C,$A13)</f>
        <v>4</v>
      </c>
      <c r="D13" s="32" cm="1">
        <f t="array" aca="1" ref="D13" ca="1">INDEX(Data_DBD!$D:$D,$A13)</f>
        <v>15</v>
      </c>
      <c r="E13" s="32" cm="1">
        <f t="array" aca="1" ref="E13" ca="1">INDEX(Data_DBD!$E:$E,$A13)</f>
        <v>0</v>
      </c>
      <c r="F13" s="32" cm="1">
        <f t="array" aca="1" ref="F13" ca="1">INDEX(Data_DBD!$F:$F,$A13)</f>
        <v>2</v>
      </c>
      <c r="H13" s="33">
        <v>89</v>
      </c>
      <c r="I13" s="33">
        <v>32</v>
      </c>
      <c r="J13" s="33">
        <v>4</v>
      </c>
      <c r="K13" s="33">
        <v>13</v>
      </c>
      <c r="L13" s="33">
        <v>0</v>
      </c>
      <c r="M13" s="33">
        <v>2</v>
      </c>
    </row>
    <row r="14" spans="1:17">
      <c r="A14" s="32">
        <f t="shared" ca="1" si="0"/>
        <v>52</v>
      </c>
      <c r="B14" s="32" cm="1">
        <f t="array" aca="1" ref="B14" ca="1">INDEX(Data_DBD!$B:$B,$A14)</f>
        <v>59</v>
      </c>
      <c r="C14" s="32" cm="1">
        <f t="array" aca="1" ref="C14" ca="1">INDEX(Data_DBD!$C:$C,$A14)</f>
        <v>4</v>
      </c>
      <c r="D14" s="32" cm="1">
        <f t="array" aca="1" ref="D14" ca="1">INDEX(Data_DBD!$D:$D,$A14)</f>
        <v>15</v>
      </c>
      <c r="E14" s="32" cm="1">
        <f t="array" aca="1" ref="E14" ca="1">INDEX(Data_DBD!$E:$E,$A14)</f>
        <v>1</v>
      </c>
      <c r="F14" s="32" cm="1">
        <f t="array" aca="1" ref="F14" ca="1">INDEX(Data_DBD!$F:$F,$A14)</f>
        <v>2</v>
      </c>
      <c r="H14" s="33">
        <v>119</v>
      </c>
      <c r="I14" s="33">
        <v>30</v>
      </c>
      <c r="J14" s="33">
        <v>7</v>
      </c>
      <c r="K14" s="33">
        <v>33</v>
      </c>
      <c r="L14" s="33">
        <v>0</v>
      </c>
      <c r="M14" s="33">
        <v>3</v>
      </c>
    </row>
    <row r="15" spans="1:17">
      <c r="A15" s="32">
        <f t="shared" ca="1" si="0"/>
        <v>89</v>
      </c>
      <c r="B15" s="32" cm="1">
        <f t="array" aca="1" ref="B15" ca="1">INDEX(Data_DBD!$B:$B,$A15)</f>
        <v>32</v>
      </c>
      <c r="C15" s="32" cm="1">
        <f t="array" aca="1" ref="C15" ca="1">INDEX(Data_DBD!$C:$C,$A15)</f>
        <v>4</v>
      </c>
      <c r="D15" s="32" cm="1">
        <f t="array" aca="1" ref="D15" ca="1">INDEX(Data_DBD!$D:$D,$A15)</f>
        <v>13</v>
      </c>
      <c r="E15" s="32" cm="1">
        <f t="array" aca="1" ref="E15" ca="1">INDEX(Data_DBD!$E:$E,$A15)</f>
        <v>0</v>
      </c>
      <c r="F15" s="32" cm="1">
        <f t="array" aca="1" ref="F15" ca="1">INDEX(Data_DBD!$F:$F,$A15)</f>
        <v>2</v>
      </c>
      <c r="H15" s="33">
        <v>112</v>
      </c>
      <c r="I15" s="33">
        <v>61</v>
      </c>
      <c r="J15" s="33">
        <v>3</v>
      </c>
      <c r="K15" s="33">
        <v>33</v>
      </c>
      <c r="L15" s="33">
        <v>1</v>
      </c>
      <c r="M15" s="33">
        <v>3</v>
      </c>
    </row>
    <row r="16" spans="1:17">
      <c r="A16" s="32">
        <f t="shared" ca="1" si="0"/>
        <v>6</v>
      </c>
      <c r="B16" s="32" cm="1">
        <f t="array" aca="1" ref="B16" ca="1">INDEX(Data_DBD!$B:$B,$A16)</f>
        <v>14</v>
      </c>
      <c r="C16" s="32" cm="1">
        <f t="array" aca="1" ref="C16" ca="1">INDEX(Data_DBD!$C:$C,$A16)</f>
        <v>4</v>
      </c>
      <c r="D16" s="32" cm="1">
        <f t="array" aca="1" ref="D16" ca="1">INDEX(Data_DBD!$D:$D,$A16)</f>
        <v>12</v>
      </c>
      <c r="E16" s="32" cm="1">
        <f t="array" aca="1" ref="E16" ca="1">INDEX(Data_DBD!$E:$E,$A16)</f>
        <v>0</v>
      </c>
      <c r="F16" s="32" cm="1">
        <f t="array" aca="1" ref="F16" ca="1">INDEX(Data_DBD!$F:$F,$A16)</f>
        <v>2</v>
      </c>
      <c r="H16" s="33">
        <v>39</v>
      </c>
      <c r="I16" s="33">
        <v>12</v>
      </c>
      <c r="J16" s="33">
        <v>5</v>
      </c>
      <c r="K16" s="33">
        <v>13</v>
      </c>
      <c r="L16" s="33">
        <v>1</v>
      </c>
      <c r="M16" s="33">
        <v>2</v>
      </c>
    </row>
    <row r="17" spans="1:13">
      <c r="A17" s="32">
        <f t="shared" ca="1" si="0"/>
        <v>148</v>
      </c>
      <c r="B17" s="32" cm="1">
        <f t="array" aca="1" ref="B17" ca="1">INDEX(Data_DBD!$B:$B,$A17)</f>
        <v>55</v>
      </c>
      <c r="C17" s="32" cm="1">
        <f t="array" aca="1" ref="C17" ca="1">INDEX(Data_DBD!$C:$C,$A17)</f>
        <v>3</v>
      </c>
      <c r="D17" s="32" cm="1">
        <f t="array" aca="1" ref="D17" ca="1">INDEX(Data_DBD!$D:$D,$A17)</f>
        <v>21</v>
      </c>
      <c r="E17" s="32" cm="1">
        <f t="array" aca="1" ref="E17" ca="1">INDEX(Data_DBD!$E:$E,$A17)</f>
        <v>1</v>
      </c>
      <c r="F17" s="32" cm="1">
        <f t="array" aca="1" ref="F17" ca="1">INDEX(Data_DBD!$F:$F,$A17)</f>
        <v>3</v>
      </c>
      <c r="H17" s="33">
        <v>5</v>
      </c>
      <c r="I17" s="33">
        <v>18</v>
      </c>
      <c r="J17" s="33">
        <v>2</v>
      </c>
      <c r="K17" s="33">
        <v>12</v>
      </c>
      <c r="L17" s="33">
        <v>1</v>
      </c>
      <c r="M17" s="33">
        <v>2</v>
      </c>
    </row>
    <row r="18" spans="1:13">
      <c r="A18" s="32">
        <f t="shared" ca="1" si="0"/>
        <v>24</v>
      </c>
      <c r="B18" s="32" cm="1">
        <f t="array" aca="1" ref="B18" ca="1">INDEX(Data_DBD!$B:$B,$A18)</f>
        <v>60</v>
      </c>
      <c r="C18" s="32" cm="1">
        <f t="array" aca="1" ref="C18" ca="1">INDEX(Data_DBD!$C:$C,$A18)</f>
        <v>4</v>
      </c>
      <c r="D18" s="32" cm="1">
        <f t="array" aca="1" ref="D18" ca="1">INDEX(Data_DBD!$D:$D,$A18)</f>
        <v>14</v>
      </c>
      <c r="E18" s="32" cm="1">
        <f t="array" aca="1" ref="E18" ca="1">INDEX(Data_DBD!$E:$E,$A18)</f>
        <v>0</v>
      </c>
      <c r="F18" s="32" cm="1">
        <f t="array" aca="1" ref="F18" ca="1">INDEX(Data_DBD!$F:$F,$A18)</f>
        <v>2</v>
      </c>
      <c r="H18" s="33">
        <v>164</v>
      </c>
      <c r="I18" s="33">
        <v>10</v>
      </c>
      <c r="J18" s="33">
        <v>6</v>
      </c>
      <c r="K18" s="33">
        <v>3</v>
      </c>
      <c r="L18" s="33">
        <v>0</v>
      </c>
      <c r="M18" s="33">
        <v>1</v>
      </c>
    </row>
    <row r="19" spans="1:13">
      <c r="A19" s="32">
        <f t="shared" ca="1" si="0"/>
        <v>19</v>
      </c>
      <c r="B19" s="32" cm="1">
        <f t="array" aca="1" ref="B19" ca="1">INDEX(Data_DBD!$B:$B,$A19)</f>
        <v>8</v>
      </c>
      <c r="C19" s="32" cm="1">
        <f t="array" aca="1" ref="C19" ca="1">INDEX(Data_DBD!$C:$C,$A19)</f>
        <v>4</v>
      </c>
      <c r="D19" s="32" cm="1">
        <f t="array" aca="1" ref="D19" ca="1">INDEX(Data_DBD!$D:$D,$A19)</f>
        <v>7</v>
      </c>
      <c r="E19" s="32" cm="1">
        <f t="array" aca="1" ref="E19" ca="1">INDEX(Data_DBD!$E:$E,$A19)</f>
        <v>0</v>
      </c>
      <c r="F19" s="32" cm="1">
        <f t="array" aca="1" ref="F19" ca="1">INDEX(Data_DBD!$F:$F,$A19)</f>
        <v>1</v>
      </c>
      <c r="H19" s="33">
        <v>87</v>
      </c>
      <c r="I19" s="33">
        <v>21</v>
      </c>
      <c r="J19" s="33">
        <v>3</v>
      </c>
      <c r="K19" s="33">
        <v>13</v>
      </c>
      <c r="L19" s="33">
        <v>0</v>
      </c>
      <c r="M19" s="33">
        <v>2</v>
      </c>
    </row>
    <row r="20" spans="1:13">
      <c r="A20" s="32">
        <f t="shared" ca="1" si="0"/>
        <v>28</v>
      </c>
      <c r="B20" s="32" cm="1">
        <f t="array" aca="1" ref="B20" ca="1">INDEX(Data_DBD!$B:$B,$A20)</f>
        <v>22</v>
      </c>
      <c r="C20" s="32" cm="1">
        <f t="array" aca="1" ref="C20" ca="1">INDEX(Data_DBD!$C:$C,$A20)</f>
        <v>2</v>
      </c>
      <c r="D20" s="32" cm="1">
        <f t="array" aca="1" ref="D20" ca="1">INDEX(Data_DBD!$D:$D,$A20)</f>
        <v>14</v>
      </c>
      <c r="E20" s="32" cm="1">
        <f t="array" aca="1" ref="E20" ca="1">INDEX(Data_DBD!$E:$E,$A20)</f>
        <v>1</v>
      </c>
      <c r="F20" s="32" cm="1">
        <f t="array" aca="1" ref="F20" ca="1">INDEX(Data_DBD!$F:$F,$A20)</f>
        <v>2</v>
      </c>
      <c r="H20" s="33">
        <v>141</v>
      </c>
      <c r="I20" s="33">
        <v>36</v>
      </c>
      <c r="J20" s="33">
        <v>2</v>
      </c>
      <c r="K20" s="33">
        <v>21</v>
      </c>
      <c r="L20" s="33">
        <v>0</v>
      </c>
      <c r="M20" s="33">
        <v>3</v>
      </c>
    </row>
    <row r="21" spans="1:13">
      <c r="A21" s="32">
        <f t="shared" ca="1" si="0"/>
        <v>6</v>
      </c>
      <c r="B21" s="32" cm="1">
        <f t="array" aca="1" ref="B21" ca="1">INDEX(Data_DBD!$B:$B,$A21)</f>
        <v>14</v>
      </c>
      <c r="C21" s="32" cm="1">
        <f t="array" aca="1" ref="C21" ca="1">INDEX(Data_DBD!$C:$C,$A21)</f>
        <v>4</v>
      </c>
      <c r="D21" s="32" cm="1">
        <f t="array" aca="1" ref="D21" ca="1">INDEX(Data_DBD!$D:$D,$A21)</f>
        <v>12</v>
      </c>
      <c r="E21" s="32" cm="1">
        <f t="array" aca="1" ref="E21" ca="1">INDEX(Data_DBD!$E:$E,$A21)</f>
        <v>0</v>
      </c>
      <c r="F21" s="32" cm="1">
        <f t="array" aca="1" ref="F21" ca="1">INDEX(Data_DBD!$F:$F,$A21)</f>
        <v>2</v>
      </c>
      <c r="H21" s="33">
        <v>31</v>
      </c>
      <c r="I21" s="33">
        <v>64</v>
      </c>
      <c r="J21" s="33">
        <v>4</v>
      </c>
      <c r="K21" s="33">
        <v>14</v>
      </c>
      <c r="L21" s="33">
        <v>1</v>
      </c>
      <c r="M21" s="33">
        <v>2</v>
      </c>
    </row>
    <row r="22" spans="1:13">
      <c r="A22" s="32">
        <f t="shared" ca="1" si="0"/>
        <v>121</v>
      </c>
      <c r="B22" s="32" cm="1">
        <f t="array" aca="1" ref="B22" ca="1">INDEX(Data_DBD!$B:$B,$A22)</f>
        <v>82</v>
      </c>
      <c r="C22" s="32" cm="1">
        <f t="array" aca="1" ref="C22" ca="1">INDEX(Data_DBD!$C:$C,$A22)</f>
        <v>5</v>
      </c>
      <c r="D22" s="32" cm="1">
        <f t="array" aca="1" ref="D22" ca="1">INDEX(Data_DBD!$D:$D,$A22)</f>
        <v>33</v>
      </c>
      <c r="E22" s="32" cm="1">
        <f t="array" aca="1" ref="E22" ca="1">INDEX(Data_DBD!$E:$E,$A22)</f>
        <v>1</v>
      </c>
      <c r="F22" s="32" cm="1">
        <f t="array" aca="1" ref="F22" ca="1">INDEX(Data_DBD!$F:$F,$A22)</f>
        <v>3</v>
      </c>
      <c r="H22" s="33">
        <v>66</v>
      </c>
      <c r="I22" s="33">
        <v>21</v>
      </c>
      <c r="J22" s="33">
        <v>5</v>
      </c>
      <c r="K22" s="33">
        <v>15</v>
      </c>
      <c r="L22" s="33">
        <v>1</v>
      </c>
      <c r="M22" s="33">
        <v>2</v>
      </c>
    </row>
    <row r="23" spans="1:13">
      <c r="A23" s="32">
        <f t="shared" ca="1" si="0"/>
        <v>136</v>
      </c>
      <c r="B23" s="32" cm="1">
        <f t="array" aca="1" ref="B23" ca="1">INDEX(Data_DBD!$B:$B,$A23)</f>
        <v>6</v>
      </c>
      <c r="C23" s="32" cm="1">
        <f t="array" aca="1" ref="C23" ca="1">INDEX(Data_DBD!$C:$C,$A23)</f>
        <v>2</v>
      </c>
      <c r="D23" s="32" cm="1">
        <f t="array" aca="1" ref="D23" ca="1">INDEX(Data_DBD!$D:$D,$A23)</f>
        <v>33</v>
      </c>
      <c r="E23" s="32" cm="1">
        <f t="array" aca="1" ref="E23" ca="1">INDEX(Data_DBD!$E:$E,$A23)</f>
        <v>0</v>
      </c>
      <c r="F23" s="32" cm="1">
        <f t="array" aca="1" ref="F23" ca="1">INDEX(Data_DBD!$F:$F,$A23)</f>
        <v>3</v>
      </c>
      <c r="H23" s="33">
        <v>82</v>
      </c>
      <c r="I23" s="33">
        <v>28</v>
      </c>
      <c r="J23" s="33">
        <v>3</v>
      </c>
      <c r="K23" s="33">
        <v>13</v>
      </c>
      <c r="L23" s="33">
        <v>1</v>
      </c>
      <c r="M23" s="33">
        <v>2</v>
      </c>
    </row>
    <row r="24" spans="1:13">
      <c r="A24" s="32">
        <f t="shared" ca="1" si="0"/>
        <v>21</v>
      </c>
      <c r="B24" s="32" cm="1">
        <f t="array" aca="1" ref="B24" ca="1">INDEX(Data_DBD!$B:$B,$A24)</f>
        <v>10</v>
      </c>
      <c r="C24" s="32" cm="1">
        <f t="array" aca="1" ref="C24" ca="1">INDEX(Data_DBD!$C:$C,$A24)</f>
        <v>5</v>
      </c>
      <c r="D24" s="32" cm="1">
        <f t="array" aca="1" ref="D24" ca="1">INDEX(Data_DBD!$D:$D,$A24)</f>
        <v>14</v>
      </c>
      <c r="E24" s="32" cm="1">
        <f t="array" aca="1" ref="E24" ca="1">INDEX(Data_DBD!$E:$E,$A24)</f>
        <v>1</v>
      </c>
      <c r="F24" s="32" cm="1">
        <f t="array" aca="1" ref="F24" ca="1">INDEX(Data_DBD!$F:$F,$A24)</f>
        <v>2</v>
      </c>
      <c r="H24" s="33">
        <v>11</v>
      </c>
      <c r="I24" s="33">
        <v>24</v>
      </c>
      <c r="J24" s="33">
        <v>5</v>
      </c>
      <c r="K24" s="33">
        <v>12</v>
      </c>
      <c r="L24" s="33">
        <v>1</v>
      </c>
      <c r="M24" s="33">
        <v>2</v>
      </c>
    </row>
    <row r="25" spans="1:13">
      <c r="A25" s="32">
        <f t="shared" ca="1" si="0"/>
        <v>127</v>
      </c>
      <c r="B25" s="32" cm="1">
        <f t="array" aca="1" ref="B25" ca="1">INDEX(Data_DBD!$B:$B,$A25)</f>
        <v>21</v>
      </c>
      <c r="C25" s="32" cm="1">
        <f t="array" aca="1" ref="C25" ca="1">INDEX(Data_DBD!$C:$C,$A25)</f>
        <v>2</v>
      </c>
      <c r="D25" s="32" cm="1">
        <f t="array" aca="1" ref="D25" ca="1">INDEX(Data_DBD!$D:$D,$A25)</f>
        <v>33</v>
      </c>
      <c r="E25" s="32" cm="1">
        <f t="array" aca="1" ref="E25" ca="1">INDEX(Data_DBD!$E:$E,$A25)</f>
        <v>0</v>
      </c>
      <c r="F25" s="32" cm="1">
        <f t="array" aca="1" ref="F25" ca="1">INDEX(Data_DBD!$F:$F,$A25)</f>
        <v>3</v>
      </c>
      <c r="H25" s="33">
        <v>68</v>
      </c>
      <c r="I25" s="33">
        <v>44</v>
      </c>
      <c r="J25" s="33">
        <v>5</v>
      </c>
      <c r="K25" s="33">
        <v>10</v>
      </c>
      <c r="L25" s="33">
        <v>0</v>
      </c>
      <c r="M25" s="33">
        <v>2</v>
      </c>
    </row>
    <row r="26" spans="1:13">
      <c r="A26" s="32">
        <f t="shared" ca="1" si="0"/>
        <v>68</v>
      </c>
      <c r="B26" s="32" cm="1">
        <f t="array" aca="1" ref="B26" ca="1">INDEX(Data_DBD!$B:$B,$A26)</f>
        <v>44</v>
      </c>
      <c r="C26" s="32" cm="1">
        <f t="array" aca="1" ref="C26" ca="1">INDEX(Data_DBD!$C:$C,$A26)</f>
        <v>5</v>
      </c>
      <c r="D26" s="32" cm="1">
        <f t="array" aca="1" ref="D26" ca="1">INDEX(Data_DBD!$D:$D,$A26)</f>
        <v>10</v>
      </c>
      <c r="E26" s="32" cm="1">
        <f t="array" aca="1" ref="E26" ca="1">INDEX(Data_DBD!$E:$E,$A26)</f>
        <v>0</v>
      </c>
      <c r="F26" s="32" cm="1">
        <f t="array" aca="1" ref="F26" ca="1">INDEX(Data_DBD!$F:$F,$A26)</f>
        <v>2</v>
      </c>
      <c r="H26" s="33">
        <v>47</v>
      </c>
      <c r="I26" s="33">
        <v>19</v>
      </c>
      <c r="J26" s="33">
        <v>2</v>
      </c>
      <c r="K26" s="33">
        <v>13</v>
      </c>
      <c r="L26" s="33">
        <v>0</v>
      </c>
      <c r="M26" s="33">
        <v>2</v>
      </c>
    </row>
    <row r="27" spans="1:13">
      <c r="A27" s="32">
        <f t="shared" ca="1" si="0"/>
        <v>28</v>
      </c>
      <c r="B27" s="32" cm="1">
        <f t="array" aca="1" ref="B27" ca="1">INDEX(Data_DBD!$B:$B,$A27)</f>
        <v>22</v>
      </c>
      <c r="C27" s="32" cm="1">
        <f t="array" aca="1" ref="C27" ca="1">INDEX(Data_DBD!$C:$C,$A27)</f>
        <v>2</v>
      </c>
      <c r="D27" s="32" cm="1">
        <f t="array" aca="1" ref="D27" ca="1">INDEX(Data_DBD!$D:$D,$A27)</f>
        <v>14</v>
      </c>
      <c r="E27" s="32" cm="1">
        <f t="array" aca="1" ref="E27" ca="1">INDEX(Data_DBD!$E:$E,$A27)</f>
        <v>1</v>
      </c>
      <c r="F27" s="32" cm="1">
        <f t="array" aca="1" ref="F27" ca="1">INDEX(Data_DBD!$F:$F,$A27)</f>
        <v>2</v>
      </c>
      <c r="H27" s="33">
        <v>132</v>
      </c>
      <c r="I27" s="33">
        <v>10</v>
      </c>
      <c r="J27" s="33">
        <v>3</v>
      </c>
      <c r="K27" s="33">
        <v>33</v>
      </c>
      <c r="L27" s="33">
        <v>1</v>
      </c>
      <c r="M27" s="33">
        <v>3</v>
      </c>
    </row>
    <row r="28" spans="1:13">
      <c r="A28" s="32">
        <f t="shared" ca="1" si="0"/>
        <v>85</v>
      </c>
      <c r="B28" s="32" cm="1">
        <f t="array" aca="1" ref="B28" ca="1">INDEX(Data_DBD!$B:$B,$A28)</f>
        <v>27</v>
      </c>
      <c r="C28" s="32" cm="1">
        <f t="array" aca="1" ref="C28" ca="1">INDEX(Data_DBD!$C:$C,$A28)</f>
        <v>9</v>
      </c>
      <c r="D28" s="32" cm="1">
        <f t="array" aca="1" ref="D28" ca="1">INDEX(Data_DBD!$D:$D,$A28)</f>
        <v>13</v>
      </c>
      <c r="E28" s="32" cm="1">
        <f t="array" aca="1" ref="E28" ca="1">INDEX(Data_DBD!$E:$E,$A28)</f>
        <v>0</v>
      </c>
      <c r="F28" s="32" cm="1">
        <f t="array" aca="1" ref="F28" ca="1">INDEX(Data_DBD!$F:$F,$A28)</f>
        <v>2</v>
      </c>
      <c r="H28" s="33">
        <v>9</v>
      </c>
      <c r="I28" s="33">
        <v>16</v>
      </c>
      <c r="J28" s="33">
        <v>6</v>
      </c>
      <c r="K28" s="33">
        <v>12</v>
      </c>
      <c r="L28" s="33">
        <v>1</v>
      </c>
      <c r="M28" s="33">
        <v>2</v>
      </c>
    </row>
    <row r="29" spans="1:13">
      <c r="A29" s="32">
        <f t="shared" ca="1" si="0"/>
        <v>132</v>
      </c>
      <c r="B29" s="32" cm="1">
        <f t="array" aca="1" ref="B29" ca="1">INDEX(Data_DBD!$B:$B,$A29)</f>
        <v>10</v>
      </c>
      <c r="C29" s="32" cm="1">
        <f t="array" aca="1" ref="C29" ca="1">INDEX(Data_DBD!$C:$C,$A29)</f>
        <v>3</v>
      </c>
      <c r="D29" s="32" cm="1">
        <f t="array" aca="1" ref="D29" ca="1">INDEX(Data_DBD!$D:$D,$A29)</f>
        <v>33</v>
      </c>
      <c r="E29" s="32" cm="1">
        <f t="array" aca="1" ref="E29" ca="1">INDEX(Data_DBD!$E:$E,$A29)</f>
        <v>1</v>
      </c>
      <c r="F29" s="32" cm="1">
        <f t="array" aca="1" ref="F29" ca="1">INDEX(Data_DBD!$F:$F,$A29)</f>
        <v>3</v>
      </c>
      <c r="H29" s="33">
        <v>126</v>
      </c>
      <c r="I29" s="33">
        <v>51</v>
      </c>
      <c r="J29" s="33">
        <v>3</v>
      </c>
      <c r="K29" s="33">
        <v>33</v>
      </c>
      <c r="L29" s="33">
        <v>1</v>
      </c>
      <c r="M29" s="33">
        <v>3</v>
      </c>
    </row>
    <row r="30" spans="1:13">
      <c r="A30" s="32">
        <f t="shared" ca="1" si="0"/>
        <v>89</v>
      </c>
      <c r="B30" s="32" cm="1">
        <f t="array" aca="1" ref="B30" ca="1">INDEX(Data_DBD!$B:$B,$A30)</f>
        <v>32</v>
      </c>
      <c r="C30" s="32" cm="1">
        <f t="array" aca="1" ref="C30" ca="1">INDEX(Data_DBD!$C:$C,$A30)</f>
        <v>4</v>
      </c>
      <c r="D30" s="32" cm="1">
        <f t="array" aca="1" ref="D30" ca="1">INDEX(Data_DBD!$D:$D,$A30)</f>
        <v>13</v>
      </c>
      <c r="E30" s="32" cm="1">
        <f t="array" aca="1" ref="E30" ca="1">INDEX(Data_DBD!$E:$E,$A30)</f>
        <v>0</v>
      </c>
      <c r="F30" s="32" cm="1">
        <f t="array" aca="1" ref="F30" ca="1">INDEX(Data_DBD!$F:$F,$A30)</f>
        <v>2</v>
      </c>
      <c r="H30" s="33">
        <v>121</v>
      </c>
      <c r="I30" s="33">
        <v>82</v>
      </c>
      <c r="J30" s="33">
        <v>5</v>
      </c>
      <c r="K30" s="33">
        <v>33</v>
      </c>
      <c r="L30" s="33">
        <v>1</v>
      </c>
      <c r="M30" s="33">
        <v>3</v>
      </c>
    </row>
    <row r="31" spans="1:13">
      <c r="A31" s="32">
        <f t="shared" ca="1" si="0"/>
        <v>77</v>
      </c>
      <c r="B31" s="32" cm="1">
        <f t="array" aca="1" ref="B31" ca="1">INDEX(Data_DBD!$B:$B,$A31)</f>
        <v>16</v>
      </c>
      <c r="C31" s="32" cm="1">
        <f t="array" aca="1" ref="C31" ca="1">INDEX(Data_DBD!$C:$C,$A31)</f>
        <v>4</v>
      </c>
      <c r="D31" s="32" cm="1">
        <f t="array" aca="1" ref="D31" ca="1">INDEX(Data_DBD!$D:$D,$A31)</f>
        <v>13</v>
      </c>
      <c r="E31" s="32" cm="1">
        <f t="array" aca="1" ref="E31" ca="1">INDEX(Data_DBD!$E:$E,$A31)</f>
        <v>1</v>
      </c>
      <c r="F31" s="32" cm="1">
        <f t="array" aca="1" ref="F31" ca="1">INDEX(Data_DBD!$F:$F,$A31)</f>
        <v>2</v>
      </c>
      <c r="H31" s="33">
        <v>50</v>
      </c>
      <c r="I31" s="33">
        <v>19</v>
      </c>
      <c r="J31" s="33">
        <v>5</v>
      </c>
      <c r="K31" s="33">
        <v>13</v>
      </c>
      <c r="L31" s="33">
        <v>0</v>
      </c>
      <c r="M31" s="33">
        <v>2</v>
      </c>
    </row>
    <row r="32" spans="1:13">
      <c r="A32" s="32">
        <f t="shared" ca="1" si="0"/>
        <v>33</v>
      </c>
      <c r="B32" s="32" cm="1">
        <f t="array" aca="1" ref="B32" ca="1">INDEX(Data_DBD!$B:$B,$A32)</f>
        <v>19</v>
      </c>
      <c r="C32" s="32" cm="1">
        <f t="array" aca="1" ref="C32" ca="1">INDEX(Data_DBD!$C:$C,$A32)</f>
        <v>4</v>
      </c>
      <c r="D32" s="32" cm="1">
        <f t="array" aca="1" ref="D32" ca="1">INDEX(Data_DBD!$D:$D,$A32)</f>
        <v>14</v>
      </c>
      <c r="E32" s="32" cm="1">
        <f t="array" aca="1" ref="E32" ca="1">INDEX(Data_DBD!$E:$E,$A32)</f>
        <v>1</v>
      </c>
      <c r="F32" s="32" cm="1">
        <f t="array" aca="1" ref="F32" ca="1">INDEX(Data_DBD!$F:$F,$A32)</f>
        <v>2</v>
      </c>
      <c r="H32" s="33">
        <v>30</v>
      </c>
      <c r="I32" s="33" t="s">
        <v>37</v>
      </c>
      <c r="J32" s="33">
        <v>2</v>
      </c>
      <c r="K32" s="33">
        <v>14</v>
      </c>
      <c r="L32" s="33">
        <v>1</v>
      </c>
      <c r="M32" s="33">
        <v>2</v>
      </c>
    </row>
    <row r="33" spans="1:13">
      <c r="A33" s="32">
        <f t="shared" ca="1" si="0"/>
        <v>20</v>
      </c>
      <c r="B33" s="32" cm="1">
        <f t="array" aca="1" ref="B33" ca="1">INDEX(Data_DBD!$B:$B,$A33)</f>
        <v>15</v>
      </c>
      <c r="C33" s="32" cm="1">
        <f t="array" aca="1" ref="C33" ca="1">INDEX(Data_DBD!$C:$C,$A33)</f>
        <v>5</v>
      </c>
      <c r="D33" s="32" cm="1">
        <f t="array" aca="1" ref="D33" ca="1">INDEX(Data_DBD!$D:$D,$A33)</f>
        <v>7</v>
      </c>
      <c r="E33" s="32" cm="1">
        <f t="array" aca="1" ref="E33" ca="1">INDEX(Data_DBD!$E:$E,$A33)</f>
        <v>0</v>
      </c>
      <c r="F33" s="32" cm="1">
        <f t="array" aca="1" ref="F33" ca="1">INDEX(Data_DBD!$F:$F,$A33)</f>
        <v>1</v>
      </c>
      <c r="H33" s="33">
        <v>96</v>
      </c>
      <c r="I33" s="33">
        <v>56</v>
      </c>
      <c r="J33" s="33">
        <v>4</v>
      </c>
      <c r="K33" s="33">
        <v>18</v>
      </c>
      <c r="L33" s="33">
        <v>0</v>
      </c>
      <c r="M33" s="33">
        <v>3</v>
      </c>
    </row>
    <row r="34" spans="1:13">
      <c r="A34" s="32">
        <f t="shared" ca="1" si="0"/>
        <v>115</v>
      </c>
      <c r="B34" s="32" cm="1">
        <f t="array" aca="1" ref="B34" ca="1">INDEX(Data_DBD!$B:$B,$A34)</f>
        <v>52</v>
      </c>
      <c r="C34" s="32" cm="1">
        <f t="array" aca="1" ref="C34" ca="1">INDEX(Data_DBD!$C:$C,$A34)</f>
        <v>3</v>
      </c>
      <c r="D34" s="32" cm="1">
        <f t="array" aca="1" ref="D34" ca="1">INDEX(Data_DBD!$D:$D,$A34)</f>
        <v>33</v>
      </c>
      <c r="E34" s="32" cm="1">
        <f t="array" aca="1" ref="E34" ca="1">INDEX(Data_DBD!$E:$E,$A34)</f>
        <v>1</v>
      </c>
      <c r="F34" s="32" cm="1">
        <f t="array" aca="1" ref="F34" ca="1">INDEX(Data_DBD!$F:$F,$A34)</f>
        <v>3</v>
      </c>
      <c r="H34" s="33">
        <v>118</v>
      </c>
      <c r="I34" s="33">
        <v>67</v>
      </c>
      <c r="J34" s="33">
        <v>4</v>
      </c>
      <c r="K34" s="33">
        <v>33</v>
      </c>
      <c r="L34" s="33">
        <v>1</v>
      </c>
      <c r="M34" s="33">
        <v>3</v>
      </c>
    </row>
    <row r="35" spans="1:13">
      <c r="A35" s="32">
        <f t="shared" ca="1" si="0"/>
        <v>74</v>
      </c>
      <c r="B35" s="32" cm="1">
        <f t="array" aca="1" ref="B35" ca="1">INDEX(Data_DBD!$B:$B,$A35)</f>
        <v>9</v>
      </c>
      <c r="C35" s="32" cm="1">
        <f t="array" aca="1" ref="C35" ca="1">INDEX(Data_DBD!$C:$C,$A35)</f>
        <v>4</v>
      </c>
      <c r="D35" s="32" cm="1">
        <f t="array" aca="1" ref="D35" ca="1">INDEX(Data_DBD!$D:$D,$A35)</f>
        <v>10</v>
      </c>
      <c r="E35" s="32" cm="1">
        <f t="array" aca="1" ref="E35" ca="1">INDEX(Data_DBD!$E:$E,$A35)</f>
        <v>0</v>
      </c>
      <c r="F35" s="32" cm="1">
        <f t="array" aca="1" ref="F35" ca="1">INDEX(Data_DBD!$F:$F,$A35)</f>
        <v>2</v>
      </c>
      <c r="H35" s="33">
        <v>19</v>
      </c>
      <c r="I35" s="33">
        <v>8</v>
      </c>
      <c r="J35" s="33">
        <v>4</v>
      </c>
      <c r="K35" s="33">
        <v>7</v>
      </c>
      <c r="L35" s="33">
        <v>0</v>
      </c>
      <c r="M35" s="33">
        <v>1</v>
      </c>
    </row>
    <row r="36" spans="1:13">
      <c r="A36" s="32">
        <f t="shared" ca="1" si="0"/>
        <v>6</v>
      </c>
      <c r="B36" s="32" cm="1">
        <f t="array" aca="1" ref="B36" ca="1">INDEX(Data_DBD!$B:$B,$A36)</f>
        <v>14</v>
      </c>
      <c r="C36" s="32" cm="1">
        <f t="array" aca="1" ref="C36" ca="1">INDEX(Data_DBD!$C:$C,$A36)</f>
        <v>4</v>
      </c>
      <c r="D36" s="32" cm="1">
        <f t="array" aca="1" ref="D36" ca="1">INDEX(Data_DBD!$D:$D,$A36)</f>
        <v>12</v>
      </c>
      <c r="E36" s="32" cm="1">
        <f t="array" aca="1" ref="E36" ca="1">INDEX(Data_DBD!$E:$E,$A36)</f>
        <v>0</v>
      </c>
      <c r="F36" s="32" cm="1">
        <f t="array" aca="1" ref="F36" ca="1">INDEX(Data_DBD!$F:$F,$A36)</f>
        <v>2</v>
      </c>
      <c r="H36" s="33">
        <v>51</v>
      </c>
      <c r="I36" s="33">
        <v>48</v>
      </c>
      <c r="J36" s="33">
        <v>4</v>
      </c>
      <c r="K36" s="33">
        <v>13</v>
      </c>
      <c r="L36" s="33">
        <v>0</v>
      </c>
      <c r="M36" s="33">
        <v>2</v>
      </c>
    </row>
    <row r="37" spans="1:13">
      <c r="A37" s="32">
        <f t="shared" ca="1" si="0"/>
        <v>111</v>
      </c>
      <c r="B37" s="32" cm="1">
        <f t="array" aca="1" ref="B37" ca="1">INDEX(Data_DBD!$B:$B,$A37)</f>
        <v>25</v>
      </c>
      <c r="C37" s="32" cm="1">
        <f t="array" aca="1" ref="C37" ca="1">INDEX(Data_DBD!$C:$C,$A37)</f>
        <v>4</v>
      </c>
      <c r="D37" s="32" cm="1">
        <f t="array" aca="1" ref="D37" ca="1">INDEX(Data_DBD!$D:$D,$A37)</f>
        <v>33</v>
      </c>
      <c r="E37" s="32" cm="1">
        <f t="array" aca="1" ref="E37" ca="1">INDEX(Data_DBD!$E:$E,$A37)</f>
        <v>0</v>
      </c>
      <c r="F37" s="32" cm="1">
        <f t="array" aca="1" ref="F37" ca="1">INDEX(Data_DBD!$F:$F,$A37)</f>
        <v>3</v>
      </c>
      <c r="H37" s="33">
        <v>136</v>
      </c>
      <c r="I37" s="33">
        <v>6</v>
      </c>
      <c r="J37" s="33">
        <v>2</v>
      </c>
      <c r="K37" s="33">
        <v>33</v>
      </c>
      <c r="L37" s="33">
        <v>0</v>
      </c>
      <c r="M37" s="33">
        <v>3</v>
      </c>
    </row>
    <row r="38" spans="1:13">
      <c r="A38" s="32">
        <f t="shared" ca="1" si="0"/>
        <v>157</v>
      </c>
      <c r="B38" s="32" cm="1">
        <f t="array" aca="1" ref="B38" ca="1">INDEX(Data_DBD!$B:$B,$A38)</f>
        <v>15</v>
      </c>
      <c r="C38" s="32" cm="1">
        <f t="array" aca="1" ref="C38" ca="1">INDEX(Data_DBD!$C:$C,$A38)</f>
        <v>4</v>
      </c>
      <c r="D38" s="32" cm="1">
        <f t="array" aca="1" ref="D38" ca="1">INDEX(Data_DBD!$D:$D,$A38)</f>
        <v>21</v>
      </c>
      <c r="E38" s="32" cm="1">
        <f t="array" aca="1" ref="E38" ca="1">INDEX(Data_DBD!$E:$E,$A38)</f>
        <v>1</v>
      </c>
      <c r="F38" s="32" cm="1">
        <f t="array" aca="1" ref="F38" ca="1">INDEX(Data_DBD!$F:$F,$A38)</f>
        <v>3</v>
      </c>
      <c r="H38" s="33">
        <v>164</v>
      </c>
      <c r="I38" s="33">
        <v>10</v>
      </c>
      <c r="J38" s="33">
        <v>6</v>
      </c>
      <c r="K38" s="33">
        <v>3</v>
      </c>
      <c r="L38" s="33">
        <v>0</v>
      </c>
      <c r="M38" s="33">
        <v>1</v>
      </c>
    </row>
    <row r="39" spans="1:13">
      <c r="A39" s="32">
        <f t="shared" ca="1" si="0"/>
        <v>41</v>
      </c>
      <c r="B39" s="32" cm="1">
        <f t="array" aca="1" ref="B39" ca="1">INDEX(Data_DBD!$B:$B,$A39)</f>
        <v>8</v>
      </c>
      <c r="C39" s="32" cm="1">
        <f t="array" aca="1" ref="C39" ca="1">INDEX(Data_DBD!$C:$C,$A39)</f>
        <v>4</v>
      </c>
      <c r="D39" s="32" cm="1">
        <f t="array" aca="1" ref="D39" ca="1">INDEX(Data_DBD!$D:$D,$A39)</f>
        <v>13</v>
      </c>
      <c r="E39" s="32" cm="1">
        <f t="array" aca="1" ref="E39" ca="1">INDEX(Data_DBD!$E:$E,$A39)</f>
        <v>0</v>
      </c>
      <c r="F39" s="32" cm="1">
        <f t="array" aca="1" ref="F39" ca="1">INDEX(Data_DBD!$F:$F,$A39)</f>
        <v>2</v>
      </c>
      <c r="H39" s="33">
        <v>82</v>
      </c>
      <c r="I39" s="33">
        <v>28</v>
      </c>
      <c r="J39" s="33">
        <v>3</v>
      </c>
      <c r="K39" s="33">
        <v>13</v>
      </c>
      <c r="L39" s="33">
        <v>1</v>
      </c>
      <c r="M39" s="33">
        <v>2</v>
      </c>
    </row>
    <row r="40" spans="1:13">
      <c r="A40" s="32">
        <f t="shared" ca="1" si="0"/>
        <v>102</v>
      </c>
      <c r="B40" s="32" cm="1">
        <f t="array" aca="1" ref="B40" ca="1">INDEX(Data_DBD!$B:$B,$A40)</f>
        <v>41</v>
      </c>
      <c r="C40" s="32" cm="1">
        <f t="array" aca="1" ref="C40" ca="1">INDEX(Data_DBD!$C:$C,$A40)</f>
        <v>4</v>
      </c>
      <c r="D40" s="32" cm="1">
        <f t="array" aca="1" ref="D40" ca="1">INDEX(Data_DBD!$D:$D,$A40)</f>
        <v>18</v>
      </c>
      <c r="E40" s="32" cm="1">
        <f t="array" aca="1" ref="E40" ca="1">INDEX(Data_DBD!$E:$E,$A40)</f>
        <v>0</v>
      </c>
      <c r="F40" s="32" cm="1">
        <f t="array" aca="1" ref="F40" ca="1">INDEX(Data_DBD!$F:$F,$A40)</f>
        <v>3</v>
      </c>
      <c r="H40" s="33">
        <v>56</v>
      </c>
      <c r="I40" s="33">
        <v>4</v>
      </c>
      <c r="J40" s="33">
        <v>3</v>
      </c>
      <c r="K40" s="33">
        <v>15</v>
      </c>
      <c r="L40" s="33">
        <v>0</v>
      </c>
      <c r="M40" s="33">
        <v>2</v>
      </c>
    </row>
    <row r="41" spans="1:13">
      <c r="A41" s="32">
        <f t="shared" ca="1" si="0"/>
        <v>91</v>
      </c>
      <c r="B41" s="32" cm="1">
        <f t="array" aca="1" ref="B41" ca="1">INDEX(Data_DBD!$B:$B,$A41)</f>
        <v>35</v>
      </c>
      <c r="C41" s="32" cm="1">
        <f t="array" aca="1" ref="C41" ca="1">INDEX(Data_DBD!$C:$C,$A41)</f>
        <v>1</v>
      </c>
      <c r="D41" s="32" cm="1">
        <f t="array" aca="1" ref="D41" ca="1">INDEX(Data_DBD!$D:$D,$A41)</f>
        <v>18</v>
      </c>
      <c r="E41" s="32" cm="1">
        <f t="array" aca="1" ref="E41" ca="1">INDEX(Data_DBD!$E:$E,$A41)</f>
        <v>1</v>
      </c>
      <c r="F41" s="32" cm="1">
        <f t="array" aca="1" ref="F41" ca="1">INDEX(Data_DBD!$F:$F,$A41)</f>
        <v>3</v>
      </c>
      <c r="H41" s="33">
        <v>131</v>
      </c>
      <c r="I41" s="33">
        <v>10</v>
      </c>
      <c r="J41" s="33">
        <v>2</v>
      </c>
      <c r="K41" s="33">
        <v>33</v>
      </c>
      <c r="L41" s="33">
        <v>0</v>
      </c>
      <c r="M41" s="33">
        <v>3</v>
      </c>
    </row>
    <row r="42" spans="1:13">
      <c r="A42" s="32">
        <f t="shared" ca="1" si="0"/>
        <v>87</v>
      </c>
      <c r="B42" s="32" cm="1">
        <f t="array" aca="1" ref="B42" ca="1">INDEX(Data_DBD!$B:$B,$A42)</f>
        <v>21</v>
      </c>
      <c r="C42" s="32" cm="1">
        <f t="array" aca="1" ref="C42" ca="1">INDEX(Data_DBD!$C:$C,$A42)</f>
        <v>3</v>
      </c>
      <c r="D42" s="32" cm="1">
        <f t="array" aca="1" ref="D42" ca="1">INDEX(Data_DBD!$D:$D,$A42)</f>
        <v>13</v>
      </c>
      <c r="E42" s="32" cm="1">
        <f t="array" aca="1" ref="E42" ca="1">INDEX(Data_DBD!$E:$E,$A42)</f>
        <v>0</v>
      </c>
      <c r="F42" s="32" cm="1">
        <f t="array" aca="1" ref="F42" ca="1">INDEX(Data_DBD!$F:$F,$A42)</f>
        <v>2</v>
      </c>
      <c r="H42" s="33">
        <v>33</v>
      </c>
      <c r="I42" s="33">
        <v>19</v>
      </c>
      <c r="J42" s="33">
        <v>4</v>
      </c>
      <c r="K42" s="33">
        <v>14</v>
      </c>
      <c r="L42" s="33">
        <v>1</v>
      </c>
      <c r="M42" s="33">
        <v>2</v>
      </c>
    </row>
    <row r="43" spans="1:13">
      <c r="A43" s="32">
        <f t="shared" ca="1" si="0"/>
        <v>130</v>
      </c>
      <c r="B43" s="32" cm="1">
        <f t="array" aca="1" ref="B43" ca="1">INDEX(Data_DBD!$B:$B,$A43)</f>
        <v>12</v>
      </c>
      <c r="C43" s="32" cm="1">
        <f t="array" aca="1" ref="C43" ca="1">INDEX(Data_DBD!$C:$C,$A43)</f>
        <v>4</v>
      </c>
      <c r="D43" s="32" cm="1">
        <f t="array" aca="1" ref="D43" ca="1">INDEX(Data_DBD!$D:$D,$A43)</f>
        <v>33</v>
      </c>
      <c r="E43" s="32" cm="1">
        <f t="array" aca="1" ref="E43" ca="1">INDEX(Data_DBD!$E:$E,$A43)</f>
        <v>0</v>
      </c>
      <c r="F43" s="32" cm="1">
        <f t="array" aca="1" ref="F43" ca="1">INDEX(Data_DBD!$F:$F,$A43)</f>
        <v>3</v>
      </c>
      <c r="H43" s="33">
        <v>43</v>
      </c>
      <c r="I43" s="33">
        <v>15</v>
      </c>
      <c r="J43" s="33">
        <v>4</v>
      </c>
      <c r="K43" s="33">
        <v>13</v>
      </c>
      <c r="L43" s="33">
        <v>0</v>
      </c>
      <c r="M43" s="33">
        <v>2</v>
      </c>
    </row>
    <row r="44" spans="1:13">
      <c r="A44" s="32">
        <f t="shared" ca="1" si="0"/>
        <v>6</v>
      </c>
      <c r="B44" s="32" cm="1">
        <f t="array" aca="1" ref="B44" ca="1">INDEX(Data_DBD!$B:$B,$A44)</f>
        <v>14</v>
      </c>
      <c r="C44" s="32" cm="1">
        <f t="array" aca="1" ref="C44" ca="1">INDEX(Data_DBD!$C:$C,$A44)</f>
        <v>4</v>
      </c>
      <c r="D44" s="32" cm="1">
        <f t="array" aca="1" ref="D44" ca="1">INDEX(Data_DBD!$D:$D,$A44)</f>
        <v>12</v>
      </c>
      <c r="E44" s="32" cm="1">
        <f t="array" aca="1" ref="E44" ca="1">INDEX(Data_DBD!$E:$E,$A44)</f>
        <v>0</v>
      </c>
      <c r="F44" s="32" cm="1">
        <f t="array" aca="1" ref="F44" ca="1">INDEX(Data_DBD!$F:$F,$A44)</f>
        <v>2</v>
      </c>
      <c r="H44" s="33">
        <v>18</v>
      </c>
      <c r="I44" s="33">
        <v>49</v>
      </c>
      <c r="J44" s="33">
        <v>4</v>
      </c>
      <c r="K44" s="33">
        <v>7</v>
      </c>
      <c r="L44" s="33">
        <v>1</v>
      </c>
      <c r="M44" s="33">
        <v>1</v>
      </c>
    </row>
    <row r="45" spans="1:13">
      <c r="A45" s="32">
        <f t="shared" ca="1" si="0"/>
        <v>68</v>
      </c>
      <c r="B45" s="32" cm="1">
        <f t="array" aca="1" ref="B45" ca="1">INDEX(Data_DBD!$B:$B,$A45)</f>
        <v>44</v>
      </c>
      <c r="C45" s="32" cm="1">
        <f t="array" aca="1" ref="C45" ca="1">INDEX(Data_DBD!$C:$C,$A45)</f>
        <v>5</v>
      </c>
      <c r="D45" s="32" cm="1">
        <f t="array" aca="1" ref="D45" ca="1">INDEX(Data_DBD!$D:$D,$A45)</f>
        <v>10</v>
      </c>
      <c r="E45" s="32" cm="1">
        <f t="array" aca="1" ref="E45" ca="1">INDEX(Data_DBD!$E:$E,$A45)</f>
        <v>0</v>
      </c>
      <c r="F45" s="32" cm="1">
        <f t="array" aca="1" ref="F45" ca="1">INDEX(Data_DBD!$F:$F,$A45)</f>
        <v>2</v>
      </c>
      <c r="H45" s="33">
        <v>161</v>
      </c>
      <c r="I45" s="33">
        <v>12</v>
      </c>
      <c r="J45" s="33">
        <v>3</v>
      </c>
      <c r="K45" s="33">
        <v>21</v>
      </c>
      <c r="L45" s="33">
        <v>1</v>
      </c>
      <c r="M45" s="33">
        <v>3</v>
      </c>
    </row>
    <row r="46" spans="1:13">
      <c r="A46" s="32">
        <f t="shared" ca="1" si="0"/>
        <v>72</v>
      </c>
      <c r="B46" s="32" cm="1">
        <f t="array" aca="1" ref="B46" ca="1">INDEX(Data_DBD!$B:$B,$A46)</f>
        <v>3</v>
      </c>
      <c r="C46" s="32" cm="1">
        <f t="array" aca="1" ref="C46" ca="1">INDEX(Data_DBD!$C:$C,$A46)</f>
        <v>5</v>
      </c>
      <c r="D46" s="32" cm="1">
        <f t="array" aca="1" ref="D46" ca="1">INDEX(Data_DBD!$D:$D,$A46)</f>
        <v>10</v>
      </c>
      <c r="E46" s="32" cm="1">
        <f t="array" aca="1" ref="E46" ca="1">INDEX(Data_DBD!$E:$E,$A46)</f>
        <v>1</v>
      </c>
      <c r="F46" s="32" cm="1">
        <f t="array" aca="1" ref="F46" ca="1">INDEX(Data_DBD!$F:$F,$A46)</f>
        <v>2</v>
      </c>
      <c r="H46" s="33">
        <v>142</v>
      </c>
      <c r="I46" s="33">
        <v>39</v>
      </c>
      <c r="J46" s="33">
        <v>2</v>
      </c>
      <c r="K46" s="33">
        <v>21</v>
      </c>
      <c r="L46" s="33">
        <v>1</v>
      </c>
      <c r="M46" s="33">
        <v>3</v>
      </c>
    </row>
    <row r="47" spans="1:13">
      <c r="A47" s="32">
        <f t="shared" ca="1" si="0"/>
        <v>142</v>
      </c>
      <c r="B47" s="32" cm="1">
        <f t="array" aca="1" ref="B47" ca="1">INDEX(Data_DBD!$B:$B,$A47)</f>
        <v>39</v>
      </c>
      <c r="C47" s="32" cm="1">
        <f t="array" aca="1" ref="C47" ca="1">INDEX(Data_DBD!$C:$C,$A47)</f>
        <v>2</v>
      </c>
      <c r="D47" s="32" cm="1">
        <f t="array" aca="1" ref="D47" ca="1">INDEX(Data_DBD!$D:$D,$A47)</f>
        <v>21</v>
      </c>
      <c r="E47" s="32" cm="1">
        <f t="array" aca="1" ref="E47" ca="1">INDEX(Data_DBD!$E:$E,$A47)</f>
        <v>1</v>
      </c>
      <c r="F47" s="32" cm="1">
        <f t="array" aca="1" ref="F47" ca="1">INDEX(Data_DBD!$F:$F,$A47)</f>
        <v>3</v>
      </c>
      <c r="H47" s="33">
        <v>59</v>
      </c>
      <c r="I47" s="33">
        <v>28</v>
      </c>
      <c r="J47" s="33">
        <v>4</v>
      </c>
      <c r="K47" s="33">
        <v>15</v>
      </c>
      <c r="L47" s="33">
        <v>0</v>
      </c>
      <c r="M47" s="33">
        <v>2</v>
      </c>
    </row>
    <row r="48" spans="1:13">
      <c r="A48" s="32">
        <f t="shared" ca="1" si="0"/>
        <v>6</v>
      </c>
      <c r="B48" s="32" cm="1">
        <f t="array" aca="1" ref="B48" ca="1">INDEX(Data_DBD!$B:$B,$A48)</f>
        <v>14</v>
      </c>
      <c r="C48" s="32" cm="1">
        <f t="array" aca="1" ref="C48" ca="1">INDEX(Data_DBD!$C:$C,$A48)</f>
        <v>4</v>
      </c>
      <c r="D48" s="32" cm="1">
        <f t="array" aca="1" ref="D48" ca="1">INDEX(Data_DBD!$D:$D,$A48)</f>
        <v>12</v>
      </c>
      <c r="E48" s="32" cm="1">
        <f t="array" aca="1" ref="E48" ca="1">INDEX(Data_DBD!$E:$E,$A48)</f>
        <v>0</v>
      </c>
      <c r="F48" s="32" cm="1">
        <f t="array" aca="1" ref="F48" ca="1">INDEX(Data_DBD!$F:$F,$A48)</f>
        <v>2</v>
      </c>
      <c r="H48" s="33">
        <v>158</v>
      </c>
      <c r="I48" s="33">
        <v>5</v>
      </c>
      <c r="J48" s="33">
        <v>2</v>
      </c>
      <c r="K48" s="33">
        <v>21</v>
      </c>
      <c r="L48" s="33">
        <v>0</v>
      </c>
      <c r="M48" s="33">
        <v>3</v>
      </c>
    </row>
    <row r="49" spans="1:13">
      <c r="A49" s="32">
        <f t="shared" ca="1" si="0"/>
        <v>74</v>
      </c>
      <c r="B49" s="32" cm="1">
        <f t="array" aca="1" ref="B49" ca="1">INDEX(Data_DBD!$B:$B,$A49)</f>
        <v>9</v>
      </c>
      <c r="C49" s="32" cm="1">
        <f t="array" aca="1" ref="C49" ca="1">INDEX(Data_DBD!$C:$C,$A49)</f>
        <v>4</v>
      </c>
      <c r="D49" s="32" cm="1">
        <f t="array" aca="1" ref="D49" ca="1">INDEX(Data_DBD!$D:$D,$A49)</f>
        <v>10</v>
      </c>
      <c r="E49" s="32" cm="1">
        <f t="array" aca="1" ref="E49" ca="1">INDEX(Data_DBD!$E:$E,$A49)</f>
        <v>0</v>
      </c>
      <c r="F49" s="32" cm="1">
        <f t="array" aca="1" ref="F49" ca="1">INDEX(Data_DBD!$F:$F,$A49)</f>
        <v>2</v>
      </c>
      <c r="H49" s="33">
        <v>119</v>
      </c>
      <c r="I49" s="33">
        <v>30</v>
      </c>
      <c r="J49" s="33">
        <v>7</v>
      </c>
      <c r="K49" s="33">
        <v>33</v>
      </c>
      <c r="L49" s="33">
        <v>0</v>
      </c>
      <c r="M49" s="33">
        <v>3</v>
      </c>
    </row>
    <row r="50" spans="1:13">
      <c r="A50" s="32">
        <f t="shared" ca="1" si="0"/>
        <v>115</v>
      </c>
      <c r="B50" s="32" cm="1">
        <f t="array" aca="1" ref="B50" ca="1">INDEX(Data_DBD!$B:$B,$A50)</f>
        <v>52</v>
      </c>
      <c r="C50" s="32" cm="1">
        <f t="array" aca="1" ref="C50" ca="1">INDEX(Data_DBD!$C:$C,$A50)</f>
        <v>3</v>
      </c>
      <c r="D50" s="32" cm="1">
        <f t="array" aca="1" ref="D50" ca="1">INDEX(Data_DBD!$D:$D,$A50)</f>
        <v>33</v>
      </c>
      <c r="E50" s="32" cm="1">
        <f t="array" aca="1" ref="E50" ca="1">INDEX(Data_DBD!$E:$E,$A50)</f>
        <v>1</v>
      </c>
      <c r="F50" s="32" cm="1">
        <f t="array" aca="1" ref="F50" ca="1">INDEX(Data_DBD!$F:$F,$A50)</f>
        <v>3</v>
      </c>
      <c r="H50" s="33">
        <v>75</v>
      </c>
      <c r="I50" s="33">
        <v>2</v>
      </c>
      <c r="J50" s="33">
        <v>2</v>
      </c>
      <c r="K50" s="33">
        <v>10</v>
      </c>
      <c r="L50" s="33">
        <v>1</v>
      </c>
      <c r="M50" s="33">
        <v>2</v>
      </c>
    </row>
    <row r="51" spans="1:13">
      <c r="A51" s="32">
        <f t="shared" ca="1" si="0"/>
        <v>147</v>
      </c>
      <c r="B51" s="32" cm="1">
        <f t="array" aca="1" ref="B51" ca="1">INDEX(Data_DBD!$B:$B,$A51)</f>
        <v>66</v>
      </c>
      <c r="C51" s="32" cm="1">
        <f t="array" aca="1" ref="C51" ca="1">INDEX(Data_DBD!$C:$C,$A51)</f>
        <v>10</v>
      </c>
      <c r="D51" s="32" cm="1">
        <f t="array" aca="1" ref="D51" ca="1">INDEX(Data_DBD!$D:$D,$A51)</f>
        <v>21</v>
      </c>
      <c r="E51" s="32" cm="1">
        <f t="array" aca="1" ref="E51" ca="1">INDEX(Data_DBD!$E:$E,$A51)</f>
        <v>1</v>
      </c>
      <c r="F51" s="32" cm="1">
        <f t="array" aca="1" ref="F51" ca="1">INDEX(Data_DBD!$F:$F,$A51)</f>
        <v>3</v>
      </c>
      <c r="H51" s="33">
        <v>65</v>
      </c>
      <c r="I51" s="33">
        <v>49</v>
      </c>
      <c r="J51" s="33">
        <v>3</v>
      </c>
      <c r="K51" s="33">
        <v>15</v>
      </c>
      <c r="L51" s="33">
        <v>0</v>
      </c>
      <c r="M51" s="33">
        <v>2</v>
      </c>
    </row>
    <row r="52" spans="1:13">
      <c r="A52" s="32">
        <f t="shared" ca="1" si="0"/>
        <v>36</v>
      </c>
      <c r="B52" s="32" cm="1">
        <f t="array" aca="1" ref="B52" ca="1">INDEX(Data_DBD!$B:$B,$A52)</f>
        <v>27</v>
      </c>
      <c r="C52" s="32" cm="1">
        <f t="array" aca="1" ref="C52" ca="1">INDEX(Data_DBD!$C:$C,$A52)</f>
        <v>1</v>
      </c>
      <c r="D52" s="32" cm="1">
        <f t="array" aca="1" ref="D52" ca="1">INDEX(Data_DBD!$D:$D,$A52)</f>
        <v>4</v>
      </c>
      <c r="E52" s="32" cm="1">
        <f t="array" aca="1" ref="E52" ca="1">INDEX(Data_DBD!$E:$E,$A52)</f>
        <v>1</v>
      </c>
      <c r="F52" s="32" cm="1">
        <f t="array" aca="1" ref="F52" ca="1">INDEX(Data_DBD!$F:$F,$A52)</f>
        <v>1</v>
      </c>
      <c r="H52" s="33">
        <v>39</v>
      </c>
      <c r="I52" s="33">
        <v>12</v>
      </c>
      <c r="J52" s="33">
        <v>5</v>
      </c>
      <c r="K52" s="33">
        <v>13</v>
      </c>
      <c r="L52" s="33">
        <v>1</v>
      </c>
      <c r="M52" s="33">
        <v>2</v>
      </c>
    </row>
    <row r="53" spans="1:13">
      <c r="A53" s="32">
        <f t="shared" ca="1" si="0"/>
        <v>41</v>
      </c>
      <c r="B53" s="32" cm="1">
        <f t="array" aca="1" ref="B53" ca="1">INDEX(Data_DBD!$B:$B,$A53)</f>
        <v>8</v>
      </c>
      <c r="C53" s="32" cm="1">
        <f t="array" aca="1" ref="C53" ca="1">INDEX(Data_DBD!$C:$C,$A53)</f>
        <v>4</v>
      </c>
      <c r="D53" s="32" cm="1">
        <f t="array" aca="1" ref="D53" ca="1">INDEX(Data_DBD!$D:$D,$A53)</f>
        <v>13</v>
      </c>
      <c r="E53" s="32" cm="1">
        <f t="array" aca="1" ref="E53" ca="1">INDEX(Data_DBD!$E:$E,$A53)</f>
        <v>0</v>
      </c>
      <c r="F53" s="32" cm="1">
        <f t="array" aca="1" ref="F53" ca="1">INDEX(Data_DBD!$F:$F,$A53)</f>
        <v>2</v>
      </c>
      <c r="H53" s="33">
        <v>61</v>
      </c>
      <c r="I53" s="33">
        <v>29</v>
      </c>
      <c r="J53" s="33">
        <v>3</v>
      </c>
      <c r="K53" s="33">
        <v>15</v>
      </c>
      <c r="L53" s="33">
        <v>1</v>
      </c>
      <c r="M53" s="33">
        <v>2</v>
      </c>
    </row>
    <row r="54" spans="1:13">
      <c r="A54" s="32">
        <f t="shared" ca="1" si="0"/>
        <v>49</v>
      </c>
      <c r="B54" s="32" cm="1">
        <f t="array" aca="1" ref="B54" ca="1">INDEX(Data_DBD!$B:$B,$A54)</f>
        <v>64</v>
      </c>
      <c r="C54" s="32" cm="1">
        <f t="array" aca="1" ref="C54" ca="1">INDEX(Data_DBD!$C:$C,$A54)</f>
        <v>5</v>
      </c>
      <c r="D54" s="32" cm="1">
        <f t="array" aca="1" ref="D54" ca="1">INDEX(Data_DBD!$D:$D,$A54)</f>
        <v>13</v>
      </c>
      <c r="E54" s="32" cm="1">
        <f t="array" aca="1" ref="E54" ca="1">INDEX(Data_DBD!$E:$E,$A54)</f>
        <v>0</v>
      </c>
      <c r="F54" s="32" cm="1">
        <f t="array" aca="1" ref="F54" ca="1">INDEX(Data_DBD!$F:$F,$A54)</f>
        <v>2</v>
      </c>
      <c r="H54" s="33">
        <v>112</v>
      </c>
      <c r="I54" s="33">
        <v>61</v>
      </c>
      <c r="J54" s="33">
        <v>3</v>
      </c>
      <c r="K54" s="33">
        <v>33</v>
      </c>
      <c r="L54" s="33">
        <v>1</v>
      </c>
      <c r="M54" s="33">
        <v>3</v>
      </c>
    </row>
    <row r="55" spans="1:13">
      <c r="A55" s="32">
        <f t="shared" ca="1" si="0"/>
        <v>117</v>
      </c>
      <c r="B55" s="32" cm="1">
        <f t="array" aca="1" ref="B55" ca="1">INDEX(Data_DBD!$B:$B,$A55)</f>
        <v>49</v>
      </c>
      <c r="C55" s="32" cm="1">
        <f t="array" aca="1" ref="C55" ca="1">INDEX(Data_DBD!$C:$C,$A55)</f>
        <v>4</v>
      </c>
      <c r="D55" s="32" cm="1">
        <f t="array" aca="1" ref="D55" ca="1">INDEX(Data_DBD!$D:$D,$A55)</f>
        <v>33</v>
      </c>
      <c r="E55" s="32" cm="1">
        <f t="array" aca="1" ref="E55" ca="1">INDEX(Data_DBD!$E:$E,$A55)</f>
        <v>1</v>
      </c>
      <c r="F55" s="32" cm="1">
        <f t="array" aca="1" ref="F55" ca="1">INDEX(Data_DBD!$F:$F,$A55)</f>
        <v>3</v>
      </c>
      <c r="H55" s="33">
        <v>12</v>
      </c>
      <c r="I55" s="33">
        <v>23</v>
      </c>
      <c r="J55" s="33">
        <v>3</v>
      </c>
      <c r="K55" s="33">
        <v>12</v>
      </c>
      <c r="L55" s="33">
        <v>0</v>
      </c>
      <c r="M55" s="33">
        <v>2</v>
      </c>
    </row>
    <row r="56" spans="1:13">
      <c r="A56" s="32">
        <f t="shared" ca="1" si="0"/>
        <v>158</v>
      </c>
      <c r="B56" s="32" cm="1">
        <f t="array" aca="1" ref="B56" ca="1">INDEX(Data_DBD!$B:$B,$A56)</f>
        <v>5</v>
      </c>
      <c r="C56" s="32" cm="1">
        <f t="array" aca="1" ref="C56" ca="1">INDEX(Data_DBD!$C:$C,$A56)</f>
        <v>2</v>
      </c>
      <c r="D56" s="32" cm="1">
        <f t="array" aca="1" ref="D56" ca="1">INDEX(Data_DBD!$D:$D,$A56)</f>
        <v>21</v>
      </c>
      <c r="E56" s="32" cm="1">
        <f t="array" aca="1" ref="E56" ca="1">INDEX(Data_DBD!$E:$E,$A56)</f>
        <v>0</v>
      </c>
      <c r="F56" s="32" cm="1">
        <f t="array" aca="1" ref="F56" ca="1">INDEX(Data_DBD!$F:$F,$A56)</f>
        <v>3</v>
      </c>
      <c r="H56" s="33">
        <v>22</v>
      </c>
      <c r="I56" s="33">
        <v>6</v>
      </c>
      <c r="J56" s="33">
        <v>3</v>
      </c>
      <c r="K56" s="33">
        <v>14</v>
      </c>
      <c r="L56" s="33">
        <v>0</v>
      </c>
      <c r="M56" s="33">
        <v>2</v>
      </c>
    </row>
    <row r="57" spans="1:13">
      <c r="A57" s="32">
        <f t="shared" ca="1" si="0"/>
        <v>140</v>
      </c>
      <c r="B57" s="32" cm="1">
        <f t="array" aca="1" ref="B57" ca="1">INDEX(Data_DBD!$B:$B,$A57)</f>
        <v>74</v>
      </c>
      <c r="C57" s="32" cm="1">
        <f t="array" aca="1" ref="C57" ca="1">INDEX(Data_DBD!$C:$C,$A57)</f>
        <v>5</v>
      </c>
      <c r="D57" s="32" cm="1">
        <f t="array" aca="1" ref="D57" ca="1">INDEX(Data_DBD!$D:$D,$A57)</f>
        <v>21</v>
      </c>
      <c r="E57" s="32" cm="1">
        <f t="array" aca="1" ref="E57" ca="1">INDEX(Data_DBD!$E:$E,$A57)</f>
        <v>1</v>
      </c>
      <c r="F57" s="32" cm="1">
        <f t="array" aca="1" ref="F57" ca="1">INDEX(Data_DBD!$F:$F,$A57)</f>
        <v>3</v>
      </c>
      <c r="H57" s="33">
        <v>151</v>
      </c>
      <c r="I57" s="33">
        <v>24</v>
      </c>
      <c r="J57" s="33">
        <v>3</v>
      </c>
      <c r="K57" s="33">
        <v>21</v>
      </c>
      <c r="L57" s="33">
        <v>0</v>
      </c>
      <c r="M57" s="33">
        <v>3</v>
      </c>
    </row>
    <row r="58" spans="1:13">
      <c r="A58" s="32">
        <f t="shared" ca="1" si="0"/>
        <v>159</v>
      </c>
      <c r="B58" s="32" cm="1">
        <f t="array" aca="1" ref="B58" ca="1">INDEX(Data_DBD!$B:$B,$A58)</f>
        <v>17</v>
      </c>
      <c r="C58" s="32" cm="1">
        <f t="array" aca="1" ref="C58" ca="1">INDEX(Data_DBD!$C:$C,$A58)</f>
        <v>2</v>
      </c>
      <c r="D58" s="32" cm="1">
        <f t="array" aca="1" ref="D58" ca="1">INDEX(Data_DBD!$D:$D,$A58)</f>
        <v>21</v>
      </c>
      <c r="E58" s="32" cm="1">
        <f t="array" aca="1" ref="E58" ca="1">INDEX(Data_DBD!$E:$E,$A58)</f>
        <v>0</v>
      </c>
      <c r="F58" s="32" cm="1">
        <f t="array" aca="1" ref="F58" ca="1">INDEX(Data_DBD!$F:$F,$A58)</f>
        <v>3</v>
      </c>
      <c r="H58" s="33">
        <v>12</v>
      </c>
      <c r="I58" s="33">
        <v>23</v>
      </c>
      <c r="J58" s="33">
        <v>3</v>
      </c>
      <c r="K58" s="33">
        <v>12</v>
      </c>
      <c r="L58" s="33">
        <v>0</v>
      </c>
      <c r="M58" s="33">
        <v>2</v>
      </c>
    </row>
    <row r="59" spans="1:13">
      <c r="A59" s="32">
        <f t="shared" ca="1" si="0"/>
        <v>78</v>
      </c>
      <c r="B59" s="32" cm="1">
        <f t="array" aca="1" ref="B59" ca="1">INDEX(Data_DBD!$B:$B,$A59)</f>
        <v>6</v>
      </c>
      <c r="C59" s="32" cm="1">
        <f t="array" aca="1" ref="C59" ca="1">INDEX(Data_DBD!$C:$C,$A59)</f>
        <v>3</v>
      </c>
      <c r="D59" s="32" cm="1">
        <f t="array" aca="1" ref="D59" ca="1">INDEX(Data_DBD!$D:$D,$A59)</f>
        <v>13</v>
      </c>
      <c r="E59" s="32" cm="1">
        <f t="array" aca="1" ref="E59" ca="1">INDEX(Data_DBD!$E:$E,$A59)</f>
        <v>0</v>
      </c>
      <c r="F59" s="32" cm="1">
        <f t="array" aca="1" ref="F59" ca="1">INDEX(Data_DBD!$F:$F,$A59)</f>
        <v>2</v>
      </c>
      <c r="H59" s="33">
        <v>63</v>
      </c>
      <c r="I59" s="33">
        <v>25</v>
      </c>
      <c r="J59" s="33">
        <v>3</v>
      </c>
      <c r="K59" s="33">
        <v>15</v>
      </c>
      <c r="L59" s="33">
        <v>0</v>
      </c>
      <c r="M59" s="33">
        <v>2</v>
      </c>
    </row>
    <row r="60" spans="1:13">
      <c r="A60" s="32">
        <f t="shared" ca="1" si="0"/>
        <v>20</v>
      </c>
      <c r="B60" s="32" cm="1">
        <f t="array" aca="1" ref="B60" ca="1">INDEX(Data_DBD!$B:$B,$A60)</f>
        <v>15</v>
      </c>
      <c r="C60" s="32" cm="1">
        <f t="array" aca="1" ref="C60" ca="1">INDEX(Data_DBD!$C:$C,$A60)</f>
        <v>5</v>
      </c>
      <c r="D60" s="32" cm="1">
        <f t="array" aca="1" ref="D60" ca="1">INDEX(Data_DBD!$D:$D,$A60)</f>
        <v>7</v>
      </c>
      <c r="E60" s="32" cm="1">
        <f t="array" aca="1" ref="E60" ca="1">INDEX(Data_DBD!$E:$E,$A60)</f>
        <v>0</v>
      </c>
      <c r="F60" s="32" cm="1">
        <f t="array" aca="1" ref="F60" ca="1">INDEX(Data_DBD!$F:$F,$A60)</f>
        <v>1</v>
      </c>
      <c r="H60" s="33">
        <v>143</v>
      </c>
      <c r="I60" s="33">
        <v>20</v>
      </c>
      <c r="J60" s="33">
        <v>4</v>
      </c>
      <c r="K60" s="33">
        <v>21</v>
      </c>
      <c r="L60" s="33">
        <v>1</v>
      </c>
      <c r="M60" s="33">
        <v>3</v>
      </c>
    </row>
    <row r="61" spans="1:13">
      <c r="A61" s="32">
        <f t="shared" ca="1" si="0"/>
        <v>88</v>
      </c>
      <c r="B61" s="32" cm="1">
        <f t="array" aca="1" ref="B61" ca="1">INDEX(Data_DBD!$B:$B,$A61)</f>
        <v>20</v>
      </c>
      <c r="C61" s="32" cm="1">
        <f t="array" aca="1" ref="C61" ca="1">INDEX(Data_DBD!$C:$C,$A61)</f>
        <v>4</v>
      </c>
      <c r="D61" s="32" cm="1">
        <f t="array" aca="1" ref="D61" ca="1">INDEX(Data_DBD!$D:$D,$A61)</f>
        <v>13</v>
      </c>
      <c r="E61" s="32" cm="1">
        <f t="array" aca="1" ref="E61" ca="1">INDEX(Data_DBD!$E:$E,$A61)</f>
        <v>1</v>
      </c>
      <c r="F61" s="32" cm="1">
        <f t="array" aca="1" ref="F61" ca="1">INDEX(Data_DBD!$F:$F,$A61)</f>
        <v>2</v>
      </c>
      <c r="H61" s="33">
        <v>6</v>
      </c>
      <c r="I61" s="33">
        <v>14</v>
      </c>
      <c r="J61" s="33">
        <v>4</v>
      </c>
      <c r="K61" s="33">
        <v>12</v>
      </c>
      <c r="L61" s="33">
        <v>0</v>
      </c>
      <c r="M61" s="33">
        <v>2</v>
      </c>
    </row>
    <row r="62" spans="1:13">
      <c r="A62" s="32">
        <f t="shared" ca="1" si="0"/>
        <v>61</v>
      </c>
      <c r="B62" s="32" cm="1">
        <f t="array" aca="1" ref="B62" ca="1">INDEX(Data_DBD!$B:$B,$A62)</f>
        <v>29</v>
      </c>
      <c r="C62" s="32" cm="1">
        <f t="array" aca="1" ref="C62" ca="1">INDEX(Data_DBD!$C:$C,$A62)</f>
        <v>3</v>
      </c>
      <c r="D62" s="32" cm="1">
        <f t="array" aca="1" ref="D62" ca="1">INDEX(Data_DBD!$D:$D,$A62)</f>
        <v>15</v>
      </c>
      <c r="E62" s="32" cm="1">
        <f t="array" aca="1" ref="E62" ca="1">INDEX(Data_DBD!$E:$E,$A62)</f>
        <v>1</v>
      </c>
      <c r="F62" s="32" cm="1">
        <f t="array" aca="1" ref="F62" ca="1">INDEX(Data_DBD!$F:$F,$A62)</f>
        <v>2</v>
      </c>
      <c r="H62" s="33">
        <v>17</v>
      </c>
      <c r="I62" s="33">
        <v>2</v>
      </c>
      <c r="J62" s="33">
        <v>3</v>
      </c>
      <c r="K62" s="33">
        <v>7</v>
      </c>
      <c r="L62" s="33">
        <v>0</v>
      </c>
      <c r="M62" s="33">
        <v>1</v>
      </c>
    </row>
    <row r="63" spans="1:13">
      <c r="A63" s="32">
        <f t="shared" ca="1" si="0"/>
        <v>2</v>
      </c>
      <c r="B63" s="32" cm="1">
        <f t="array" aca="1" ref="B63" ca="1">INDEX(Data_DBD!$B:$B,$A63)</f>
        <v>34</v>
      </c>
      <c r="C63" s="32" cm="1">
        <f t="array" aca="1" ref="C63" ca="1">INDEX(Data_DBD!$C:$C,$A63)</f>
        <v>3</v>
      </c>
      <c r="D63" s="32" cm="1">
        <f t="array" aca="1" ref="D63" ca="1">INDEX(Data_DBD!$D:$D,$A63)</f>
        <v>12</v>
      </c>
      <c r="E63" s="32" cm="1">
        <f t="array" aca="1" ref="E63" ca="1">INDEX(Data_DBD!$E:$E,$A63)</f>
        <v>0</v>
      </c>
      <c r="F63" s="32" cm="1">
        <f t="array" aca="1" ref="F63" ca="1">INDEX(Data_DBD!$F:$F,$A63)</f>
        <v>2</v>
      </c>
      <c r="H63" s="33">
        <v>115</v>
      </c>
      <c r="I63" s="33">
        <v>52</v>
      </c>
      <c r="J63" s="33">
        <v>3</v>
      </c>
      <c r="K63" s="33">
        <v>33</v>
      </c>
      <c r="L63" s="33">
        <v>1</v>
      </c>
      <c r="M63" s="33">
        <v>3</v>
      </c>
    </row>
    <row r="64" spans="1:13">
      <c r="A64" s="32">
        <f t="shared" ca="1" si="0"/>
        <v>135</v>
      </c>
      <c r="B64" s="32" cm="1">
        <f t="array" aca="1" ref="B64" ca="1">INDEX(Data_DBD!$B:$B,$A64)</f>
        <v>10</v>
      </c>
      <c r="C64" s="32" cm="1">
        <f t="array" aca="1" ref="C64" ca="1">INDEX(Data_DBD!$C:$C,$A64)</f>
        <v>2</v>
      </c>
      <c r="D64" s="32" cm="1">
        <f t="array" aca="1" ref="D64" ca="1">INDEX(Data_DBD!$D:$D,$A64)</f>
        <v>33</v>
      </c>
      <c r="E64" s="32" cm="1">
        <f t="array" aca="1" ref="E64" ca="1">INDEX(Data_DBD!$E:$E,$A64)</f>
        <v>0</v>
      </c>
      <c r="F64" s="32" cm="1">
        <f t="array" aca="1" ref="F64" ca="1">INDEX(Data_DBD!$F:$F,$A64)</f>
        <v>3</v>
      </c>
      <c r="H64" s="33">
        <v>98</v>
      </c>
      <c r="I64" s="33">
        <v>16</v>
      </c>
      <c r="J64" s="33">
        <v>2</v>
      </c>
      <c r="K64" s="33">
        <v>18</v>
      </c>
      <c r="L64" s="33">
        <v>1</v>
      </c>
      <c r="M64" s="33">
        <v>3</v>
      </c>
    </row>
    <row r="65" spans="1:13">
      <c r="A65" s="32">
        <f t="shared" ca="1" si="0"/>
        <v>82</v>
      </c>
      <c r="B65" s="32" cm="1">
        <f t="array" aca="1" ref="B65" ca="1">INDEX(Data_DBD!$B:$B,$A65)</f>
        <v>28</v>
      </c>
      <c r="C65" s="32" cm="1">
        <f t="array" aca="1" ref="C65" ca="1">INDEX(Data_DBD!$C:$C,$A65)</f>
        <v>3</v>
      </c>
      <c r="D65" s="32" cm="1">
        <f t="array" aca="1" ref="D65" ca="1">INDEX(Data_DBD!$D:$D,$A65)</f>
        <v>13</v>
      </c>
      <c r="E65" s="32" cm="1">
        <f t="array" aca="1" ref="E65" ca="1">INDEX(Data_DBD!$E:$E,$A65)</f>
        <v>1</v>
      </c>
      <c r="F65" s="32" cm="1">
        <f t="array" aca="1" ref="F65" ca="1">INDEX(Data_DBD!$F:$F,$A65)</f>
        <v>2</v>
      </c>
      <c r="H65" s="33">
        <v>71</v>
      </c>
      <c r="I65" s="33">
        <v>84</v>
      </c>
      <c r="J65" s="33">
        <v>3</v>
      </c>
      <c r="K65" s="33">
        <v>10</v>
      </c>
      <c r="L65" s="33">
        <v>0</v>
      </c>
      <c r="M65" s="33">
        <v>2</v>
      </c>
    </row>
    <row r="66" spans="1:13">
      <c r="A66" s="32">
        <f t="shared" ca="1" si="0"/>
        <v>45</v>
      </c>
      <c r="B66" s="32" cm="1">
        <f t="array" aca="1" ref="B66" ca="1">INDEX(Data_DBD!$B:$B,$A66)</f>
        <v>75</v>
      </c>
      <c r="C66" s="32" cm="1">
        <f t="array" aca="1" ref="C66" ca="1">INDEX(Data_DBD!$C:$C,$A66)</f>
        <v>3</v>
      </c>
      <c r="D66" s="32" cm="1">
        <f t="array" aca="1" ref="D66" ca="1">INDEX(Data_DBD!$D:$D,$A66)</f>
        <v>13</v>
      </c>
      <c r="E66" s="32" cm="1">
        <f t="array" aca="1" ref="E66" ca="1">INDEX(Data_DBD!$E:$E,$A66)</f>
        <v>1</v>
      </c>
      <c r="F66" s="32" cm="1">
        <f t="array" aca="1" ref="F66" ca="1">INDEX(Data_DBD!$F:$F,$A66)</f>
        <v>2</v>
      </c>
      <c r="H66" s="33">
        <v>48</v>
      </c>
      <c r="I66" s="33">
        <v>50</v>
      </c>
      <c r="J66" s="33">
        <v>5</v>
      </c>
      <c r="K66" s="33">
        <v>13</v>
      </c>
      <c r="L66" s="33">
        <v>1</v>
      </c>
      <c r="M66" s="33">
        <v>2</v>
      </c>
    </row>
    <row r="67" spans="1:13">
      <c r="A67" s="32">
        <f t="shared" ref="A67:A130" ca="1" si="1">RANDBETWEEN(2,164)</f>
        <v>96</v>
      </c>
      <c r="B67" s="32" cm="1">
        <f t="array" aca="1" ref="B67" ca="1">INDEX(Data_DBD!$B:$B,$A67)</f>
        <v>56</v>
      </c>
      <c r="C67" s="32" cm="1">
        <f t="array" aca="1" ref="C67" ca="1">INDEX(Data_DBD!$C:$C,$A67)</f>
        <v>4</v>
      </c>
      <c r="D67" s="32" cm="1">
        <f t="array" aca="1" ref="D67" ca="1">INDEX(Data_DBD!$D:$D,$A67)</f>
        <v>18</v>
      </c>
      <c r="E67" s="32" cm="1">
        <f t="array" aca="1" ref="E67" ca="1">INDEX(Data_DBD!$E:$E,$A67)</f>
        <v>0</v>
      </c>
      <c r="F67" s="32" cm="1">
        <f t="array" aca="1" ref="F67" ca="1">INDEX(Data_DBD!$F:$F,$A67)</f>
        <v>3</v>
      </c>
      <c r="H67" s="33">
        <v>96</v>
      </c>
      <c r="I67" s="33">
        <v>56</v>
      </c>
      <c r="J67" s="33">
        <v>4</v>
      </c>
      <c r="K67" s="33">
        <v>18</v>
      </c>
      <c r="L67" s="33">
        <v>0</v>
      </c>
      <c r="M67" s="33">
        <v>3</v>
      </c>
    </row>
    <row r="68" spans="1:13">
      <c r="A68" s="32">
        <f t="shared" ca="1" si="1"/>
        <v>29</v>
      </c>
      <c r="B68" s="32" cm="1">
        <f t="array" aca="1" ref="B68" ca="1">INDEX(Data_DBD!$B:$B,$A68)</f>
        <v>19</v>
      </c>
      <c r="C68" s="32" cm="1">
        <f t="array" aca="1" ref="C68" ca="1">INDEX(Data_DBD!$C:$C,$A68)</f>
        <v>2</v>
      </c>
      <c r="D68" s="32" cm="1">
        <f t="array" aca="1" ref="D68" ca="1">INDEX(Data_DBD!$D:$D,$A68)</f>
        <v>14</v>
      </c>
      <c r="E68" s="32" cm="1">
        <f t="array" aca="1" ref="E68" ca="1">INDEX(Data_DBD!$E:$E,$A68)</f>
        <v>1</v>
      </c>
      <c r="F68" s="32" cm="1">
        <f t="array" aca="1" ref="F68" ca="1">INDEX(Data_DBD!$F:$F,$A68)</f>
        <v>2</v>
      </c>
      <c r="H68" s="33">
        <v>66</v>
      </c>
      <c r="I68" s="33">
        <v>21</v>
      </c>
      <c r="J68" s="33">
        <v>5</v>
      </c>
      <c r="K68" s="33">
        <v>15</v>
      </c>
      <c r="L68" s="33">
        <v>1</v>
      </c>
      <c r="M68" s="33">
        <v>2</v>
      </c>
    </row>
    <row r="69" spans="1:13">
      <c r="A69" s="32">
        <f t="shared" ca="1" si="1"/>
        <v>163</v>
      </c>
      <c r="B69" s="32" cm="1">
        <f t="array" aca="1" ref="B69" ca="1">INDEX(Data_DBD!$B:$B,$A69)</f>
        <v>34</v>
      </c>
      <c r="C69" s="32" cm="1">
        <f t="array" aca="1" ref="C69" ca="1">INDEX(Data_DBD!$C:$C,$A69)</f>
        <v>4</v>
      </c>
      <c r="D69" s="32" cm="1">
        <f t="array" aca="1" ref="D69" ca="1">INDEX(Data_DBD!$D:$D,$A69)</f>
        <v>3</v>
      </c>
      <c r="E69" s="32" cm="1">
        <f t="array" aca="1" ref="E69" ca="1">INDEX(Data_DBD!$E:$E,$A69)</f>
        <v>1</v>
      </c>
      <c r="F69" s="32" cm="1">
        <f t="array" aca="1" ref="F69" ca="1">INDEX(Data_DBD!$F:$F,$A69)</f>
        <v>1</v>
      </c>
      <c r="H69" s="33">
        <v>63</v>
      </c>
      <c r="I69" s="33">
        <v>25</v>
      </c>
      <c r="J69" s="33">
        <v>3</v>
      </c>
      <c r="K69" s="33">
        <v>15</v>
      </c>
      <c r="L69" s="33">
        <v>0</v>
      </c>
      <c r="M69" s="33">
        <v>2</v>
      </c>
    </row>
    <row r="70" spans="1:13">
      <c r="A70" s="32">
        <f t="shared" ca="1" si="1"/>
        <v>38</v>
      </c>
      <c r="B70" s="32" cm="1">
        <f t="array" aca="1" ref="B70" ca="1">INDEX(Data_DBD!$B:$B,$A70)</f>
        <v>52</v>
      </c>
      <c r="C70" s="32" cm="1">
        <f t="array" aca="1" ref="C70" ca="1">INDEX(Data_DBD!$C:$C,$A70)</f>
        <v>3</v>
      </c>
      <c r="D70" s="32" cm="1">
        <f t="array" aca="1" ref="D70" ca="1">INDEX(Data_DBD!$D:$D,$A70)</f>
        <v>4</v>
      </c>
      <c r="E70" s="32" cm="1">
        <f t="array" aca="1" ref="E70" ca="1">INDEX(Data_DBD!$E:$E,$A70)</f>
        <v>1</v>
      </c>
      <c r="F70" s="32" cm="1">
        <f t="array" aca="1" ref="F70" ca="1">INDEX(Data_DBD!$F:$F,$A70)</f>
        <v>1</v>
      </c>
      <c r="H70" s="33">
        <v>112</v>
      </c>
      <c r="I70" s="33">
        <v>61</v>
      </c>
      <c r="J70" s="33">
        <v>3</v>
      </c>
      <c r="K70" s="33">
        <v>33</v>
      </c>
      <c r="L70" s="33">
        <v>1</v>
      </c>
      <c r="M70" s="33">
        <v>3</v>
      </c>
    </row>
    <row r="71" spans="1:13">
      <c r="A71" s="32">
        <f t="shared" ca="1" si="1"/>
        <v>155</v>
      </c>
      <c r="B71" s="32" cm="1">
        <f t="array" aca="1" ref="B71" ca="1">INDEX(Data_DBD!$B:$B,$A71)</f>
        <v>19</v>
      </c>
      <c r="C71" s="32" cm="1">
        <f t="array" aca="1" ref="C71" ca="1">INDEX(Data_DBD!$C:$C,$A71)</f>
        <v>5</v>
      </c>
      <c r="D71" s="32" cm="1">
        <f t="array" aca="1" ref="D71" ca="1">INDEX(Data_DBD!$D:$D,$A71)</f>
        <v>21</v>
      </c>
      <c r="E71" s="32" cm="1">
        <f t="array" aca="1" ref="E71" ca="1">INDEX(Data_DBD!$E:$E,$A71)</f>
        <v>1</v>
      </c>
      <c r="F71" s="32" cm="1">
        <f t="array" aca="1" ref="F71" ca="1">INDEX(Data_DBD!$F:$F,$A71)</f>
        <v>3</v>
      </c>
      <c r="H71" s="33">
        <v>109</v>
      </c>
      <c r="I71" s="33">
        <v>40</v>
      </c>
      <c r="J71" s="33">
        <v>3</v>
      </c>
      <c r="K71" s="33">
        <v>33</v>
      </c>
      <c r="L71" s="33">
        <v>1</v>
      </c>
      <c r="M71" s="33">
        <v>3</v>
      </c>
    </row>
    <row r="72" spans="1:13">
      <c r="A72" s="32">
        <f t="shared" ca="1" si="1"/>
        <v>16</v>
      </c>
      <c r="B72" s="32" cm="1">
        <f t="array" aca="1" ref="B72" ca="1">INDEX(Data_DBD!$B:$B,$A72)</f>
        <v>66</v>
      </c>
      <c r="C72" s="32" cm="1">
        <f t="array" aca="1" ref="C72" ca="1">INDEX(Data_DBD!$C:$C,$A72)</f>
        <v>5</v>
      </c>
      <c r="D72" s="32" cm="1">
        <f t="array" aca="1" ref="D72" ca="1">INDEX(Data_DBD!$D:$D,$A72)</f>
        <v>7</v>
      </c>
      <c r="E72" s="32" cm="1">
        <f t="array" aca="1" ref="E72" ca="1">INDEX(Data_DBD!$E:$E,$A72)</f>
        <v>1</v>
      </c>
      <c r="F72" s="32" cm="1">
        <f t="array" aca="1" ref="F72" ca="1">INDEX(Data_DBD!$F:$F,$A72)</f>
        <v>1</v>
      </c>
      <c r="H72" s="33">
        <v>43</v>
      </c>
      <c r="I72" s="33">
        <v>15</v>
      </c>
      <c r="J72" s="33">
        <v>4</v>
      </c>
      <c r="K72" s="33">
        <v>13</v>
      </c>
      <c r="L72" s="33">
        <v>0</v>
      </c>
      <c r="M72" s="33">
        <v>2</v>
      </c>
    </row>
    <row r="73" spans="1:13">
      <c r="A73" s="32">
        <f t="shared" ca="1" si="1"/>
        <v>66</v>
      </c>
      <c r="B73" s="32" cm="1">
        <f t="array" aca="1" ref="B73" ca="1">INDEX(Data_DBD!$B:$B,$A73)</f>
        <v>21</v>
      </c>
      <c r="C73" s="32" cm="1">
        <f t="array" aca="1" ref="C73" ca="1">INDEX(Data_DBD!$C:$C,$A73)</f>
        <v>5</v>
      </c>
      <c r="D73" s="32" cm="1">
        <f t="array" aca="1" ref="D73" ca="1">INDEX(Data_DBD!$D:$D,$A73)</f>
        <v>15</v>
      </c>
      <c r="E73" s="32" cm="1">
        <f t="array" aca="1" ref="E73" ca="1">INDEX(Data_DBD!$E:$E,$A73)</f>
        <v>1</v>
      </c>
      <c r="F73" s="32" cm="1">
        <f t="array" aca="1" ref="F73" ca="1">INDEX(Data_DBD!$F:$F,$A73)</f>
        <v>2</v>
      </c>
      <c r="H73" s="33">
        <v>109</v>
      </c>
      <c r="I73" s="33">
        <v>40</v>
      </c>
      <c r="J73" s="33">
        <v>3</v>
      </c>
      <c r="K73" s="33">
        <v>33</v>
      </c>
      <c r="L73" s="33">
        <v>1</v>
      </c>
      <c r="M73" s="33">
        <v>3</v>
      </c>
    </row>
    <row r="74" spans="1:13">
      <c r="A74" s="32">
        <f t="shared" ca="1" si="1"/>
        <v>23</v>
      </c>
      <c r="B74" s="32" cm="1">
        <f t="array" aca="1" ref="B74" ca="1">INDEX(Data_DBD!$B:$B,$A74)</f>
        <v>28</v>
      </c>
      <c r="C74" s="32" cm="1">
        <f t="array" aca="1" ref="C74" ca="1">INDEX(Data_DBD!$C:$C,$A74)</f>
        <v>4</v>
      </c>
      <c r="D74" s="32" cm="1">
        <f t="array" aca="1" ref="D74" ca="1">INDEX(Data_DBD!$D:$D,$A74)</f>
        <v>14</v>
      </c>
      <c r="E74" s="32" cm="1">
        <f t="array" aca="1" ref="E74" ca="1">INDEX(Data_DBD!$E:$E,$A74)</f>
        <v>1</v>
      </c>
      <c r="F74" s="32" cm="1">
        <f t="array" aca="1" ref="F74" ca="1">INDEX(Data_DBD!$F:$F,$A74)</f>
        <v>2</v>
      </c>
      <c r="H74" s="33">
        <v>158</v>
      </c>
      <c r="I74" s="33">
        <v>5</v>
      </c>
      <c r="J74" s="33">
        <v>2</v>
      </c>
      <c r="K74" s="33">
        <v>21</v>
      </c>
      <c r="L74" s="33">
        <v>0</v>
      </c>
      <c r="M74" s="33">
        <v>3</v>
      </c>
    </row>
    <row r="75" spans="1:13">
      <c r="A75" s="32">
        <f t="shared" ca="1" si="1"/>
        <v>134</v>
      </c>
      <c r="B75" s="32" cm="1">
        <f t="array" aca="1" ref="B75" ca="1">INDEX(Data_DBD!$B:$B,$A75)</f>
        <v>4</v>
      </c>
      <c r="C75" s="32" cm="1">
        <f t="array" aca="1" ref="C75" ca="1">INDEX(Data_DBD!$C:$C,$A75)</f>
        <v>2</v>
      </c>
      <c r="D75" s="32" cm="1">
        <f t="array" aca="1" ref="D75" ca="1">INDEX(Data_DBD!$D:$D,$A75)</f>
        <v>33</v>
      </c>
      <c r="E75" s="32" cm="1">
        <f t="array" aca="1" ref="E75" ca="1">INDEX(Data_DBD!$E:$E,$A75)</f>
        <v>1</v>
      </c>
      <c r="F75" s="32" cm="1">
        <f t="array" aca="1" ref="F75" ca="1">INDEX(Data_DBD!$F:$F,$A75)</f>
        <v>3</v>
      </c>
      <c r="H75" s="33">
        <v>90</v>
      </c>
      <c r="I75" s="33">
        <v>47</v>
      </c>
      <c r="J75" s="33">
        <v>3</v>
      </c>
      <c r="K75" s="33">
        <v>18</v>
      </c>
      <c r="L75" s="33">
        <v>0</v>
      </c>
      <c r="M75" s="33">
        <v>3</v>
      </c>
    </row>
    <row r="76" spans="1:13">
      <c r="A76" s="32">
        <f t="shared" ca="1" si="1"/>
        <v>81</v>
      </c>
      <c r="B76" s="32" cm="1">
        <f t="array" aca="1" ref="B76" ca="1">INDEX(Data_DBD!$B:$B,$A76)</f>
        <v>23</v>
      </c>
      <c r="C76" s="32" cm="1">
        <f t="array" aca="1" ref="C76" ca="1">INDEX(Data_DBD!$C:$C,$A76)</f>
        <v>5</v>
      </c>
      <c r="D76" s="32" cm="1">
        <f t="array" aca="1" ref="D76" ca="1">INDEX(Data_DBD!$D:$D,$A76)</f>
        <v>13</v>
      </c>
      <c r="E76" s="32" cm="1">
        <f t="array" aca="1" ref="E76" ca="1">INDEX(Data_DBD!$E:$E,$A76)</f>
        <v>1</v>
      </c>
      <c r="F76" s="32" cm="1">
        <f t="array" aca="1" ref="F76" ca="1">INDEX(Data_DBD!$F:$F,$A76)</f>
        <v>2</v>
      </c>
      <c r="H76" s="33">
        <v>134</v>
      </c>
      <c r="I76" s="33">
        <v>4</v>
      </c>
      <c r="J76" s="33">
        <v>2</v>
      </c>
      <c r="K76" s="33">
        <v>33</v>
      </c>
      <c r="L76" s="33">
        <v>1</v>
      </c>
      <c r="M76" s="33">
        <v>3</v>
      </c>
    </row>
    <row r="77" spans="1:13">
      <c r="A77" s="32">
        <f t="shared" ca="1" si="1"/>
        <v>66</v>
      </c>
      <c r="B77" s="32" cm="1">
        <f t="array" aca="1" ref="B77" ca="1">INDEX(Data_DBD!$B:$B,$A77)</f>
        <v>21</v>
      </c>
      <c r="C77" s="32" cm="1">
        <f t="array" aca="1" ref="C77" ca="1">INDEX(Data_DBD!$C:$C,$A77)</f>
        <v>5</v>
      </c>
      <c r="D77" s="32" cm="1">
        <f t="array" aca="1" ref="D77" ca="1">INDEX(Data_DBD!$D:$D,$A77)</f>
        <v>15</v>
      </c>
      <c r="E77" s="32" cm="1">
        <f t="array" aca="1" ref="E77" ca="1">INDEX(Data_DBD!$E:$E,$A77)</f>
        <v>1</v>
      </c>
      <c r="F77" s="32" cm="1">
        <f t="array" aca="1" ref="F77" ca="1">INDEX(Data_DBD!$F:$F,$A77)</f>
        <v>2</v>
      </c>
      <c r="H77" s="33">
        <v>2</v>
      </c>
      <c r="I77" s="33">
        <v>34</v>
      </c>
      <c r="J77" s="33">
        <v>3</v>
      </c>
      <c r="K77" s="33">
        <v>12</v>
      </c>
      <c r="L77" s="33">
        <v>0</v>
      </c>
      <c r="M77" s="33">
        <v>2</v>
      </c>
    </row>
    <row r="78" spans="1:13">
      <c r="A78" s="32">
        <f t="shared" ca="1" si="1"/>
        <v>137</v>
      </c>
      <c r="B78" s="32" cm="1">
        <f t="array" aca="1" ref="B78" ca="1">INDEX(Data_DBD!$B:$B,$A78)</f>
        <v>3.5</v>
      </c>
      <c r="C78" s="32" cm="1">
        <f t="array" aca="1" ref="C78" ca="1">INDEX(Data_DBD!$C:$C,$A78)</f>
        <v>1</v>
      </c>
      <c r="D78" s="32" cm="1">
        <f t="array" aca="1" ref="D78" ca="1">INDEX(Data_DBD!$D:$D,$A78)</f>
        <v>33</v>
      </c>
      <c r="E78" s="32" cm="1">
        <f t="array" aca="1" ref="E78" ca="1">INDEX(Data_DBD!$E:$E,$A78)</f>
        <v>1</v>
      </c>
      <c r="F78" s="32" cm="1">
        <f t="array" aca="1" ref="F78" ca="1">INDEX(Data_DBD!$F:$F,$A78)</f>
        <v>3</v>
      </c>
      <c r="H78" s="33">
        <v>120</v>
      </c>
      <c r="I78" s="33">
        <v>26</v>
      </c>
      <c r="J78" s="33">
        <v>4</v>
      </c>
      <c r="K78" s="33">
        <v>33</v>
      </c>
      <c r="L78" s="33">
        <v>1</v>
      </c>
      <c r="M78" s="33">
        <v>3</v>
      </c>
    </row>
    <row r="79" spans="1:13">
      <c r="A79" s="32">
        <f t="shared" ca="1" si="1"/>
        <v>103</v>
      </c>
      <c r="B79" s="32" cm="1">
        <f t="array" aca="1" ref="B79" ca="1">INDEX(Data_DBD!$B:$B,$A79)</f>
        <v>22</v>
      </c>
      <c r="C79" s="32" cm="1">
        <f t="array" aca="1" ref="C79" ca="1">INDEX(Data_DBD!$C:$C,$A79)</f>
        <v>5</v>
      </c>
      <c r="D79" s="32" cm="1">
        <f t="array" aca="1" ref="D79" ca="1">INDEX(Data_DBD!$D:$D,$A79)</f>
        <v>18</v>
      </c>
      <c r="E79" s="32" cm="1">
        <f t="array" aca="1" ref="E79" ca="1">INDEX(Data_DBD!$E:$E,$A79)</f>
        <v>0</v>
      </c>
      <c r="F79" s="32" cm="1">
        <f t="array" aca="1" ref="F79" ca="1">INDEX(Data_DBD!$F:$F,$A79)</f>
        <v>3</v>
      </c>
      <c r="H79" s="33">
        <v>91</v>
      </c>
      <c r="I79" s="33">
        <v>35</v>
      </c>
      <c r="J79" s="33">
        <v>1</v>
      </c>
      <c r="K79" s="33">
        <v>18</v>
      </c>
      <c r="L79" s="33">
        <v>1</v>
      </c>
      <c r="M79" s="33">
        <v>3</v>
      </c>
    </row>
    <row r="80" spans="1:13">
      <c r="A80" s="32">
        <f t="shared" ca="1" si="1"/>
        <v>139</v>
      </c>
      <c r="B80" s="32" cm="1">
        <f t="array" aca="1" ref="B80" ca="1">INDEX(Data_DBD!$B:$B,$A80)</f>
        <v>52</v>
      </c>
      <c r="C80" s="32" cm="1">
        <f t="array" aca="1" ref="C80" ca="1">INDEX(Data_DBD!$C:$C,$A80)</f>
        <v>7</v>
      </c>
      <c r="D80" s="32" cm="1">
        <f t="array" aca="1" ref="D80" ca="1">INDEX(Data_DBD!$D:$D,$A80)</f>
        <v>21</v>
      </c>
      <c r="E80" s="32" cm="1">
        <f t="array" aca="1" ref="E80" ca="1">INDEX(Data_DBD!$E:$E,$A80)</f>
        <v>0</v>
      </c>
      <c r="F80" s="32" cm="1">
        <f t="array" aca="1" ref="F80" ca="1">INDEX(Data_DBD!$F:$F,$A80)</f>
        <v>3</v>
      </c>
      <c r="H80" s="33">
        <v>126</v>
      </c>
      <c r="I80" s="33">
        <v>51</v>
      </c>
      <c r="J80" s="33">
        <v>3</v>
      </c>
      <c r="K80" s="33">
        <v>33</v>
      </c>
      <c r="L80" s="33">
        <v>1</v>
      </c>
      <c r="M80" s="33">
        <v>3</v>
      </c>
    </row>
    <row r="81" spans="1:13">
      <c r="A81" s="32">
        <f t="shared" ca="1" si="1"/>
        <v>62</v>
      </c>
      <c r="B81" s="32" cm="1">
        <f t="array" aca="1" ref="B81" ca="1">INDEX(Data_DBD!$B:$B,$A81)</f>
        <v>43</v>
      </c>
      <c r="C81" s="32" cm="1">
        <f t="array" aca="1" ref="C81" ca="1">INDEX(Data_DBD!$C:$C,$A81)</f>
        <v>4</v>
      </c>
      <c r="D81" s="32" cm="1">
        <f t="array" aca="1" ref="D81" ca="1">INDEX(Data_DBD!$D:$D,$A81)</f>
        <v>15</v>
      </c>
      <c r="E81" s="32" cm="1">
        <f t="array" aca="1" ref="E81" ca="1">INDEX(Data_DBD!$E:$E,$A81)</f>
        <v>1</v>
      </c>
      <c r="F81" s="32" cm="1">
        <f t="array" aca="1" ref="F81" ca="1">INDEX(Data_DBD!$F:$F,$A81)</f>
        <v>2</v>
      </c>
      <c r="H81" s="33">
        <v>100</v>
      </c>
      <c r="I81" s="33">
        <v>19</v>
      </c>
      <c r="J81" s="33">
        <v>6</v>
      </c>
      <c r="K81" s="33">
        <v>18</v>
      </c>
      <c r="L81" s="33">
        <v>0</v>
      </c>
      <c r="M81" s="33">
        <v>3</v>
      </c>
    </row>
    <row r="82" spans="1:13">
      <c r="A82" s="32">
        <f t="shared" ca="1" si="1"/>
        <v>72</v>
      </c>
      <c r="B82" s="32" cm="1">
        <f t="array" aca="1" ref="B82" ca="1">INDEX(Data_DBD!$B:$B,$A82)</f>
        <v>3</v>
      </c>
      <c r="C82" s="32" cm="1">
        <f t="array" aca="1" ref="C82" ca="1">INDEX(Data_DBD!$C:$C,$A82)</f>
        <v>5</v>
      </c>
      <c r="D82" s="32" cm="1">
        <f t="array" aca="1" ref="D82" ca="1">INDEX(Data_DBD!$D:$D,$A82)</f>
        <v>10</v>
      </c>
      <c r="E82" s="32" cm="1">
        <f t="array" aca="1" ref="E82" ca="1">INDEX(Data_DBD!$E:$E,$A82)</f>
        <v>1</v>
      </c>
      <c r="F82" s="32" cm="1">
        <f t="array" aca="1" ref="F82" ca="1">INDEX(Data_DBD!$F:$F,$A82)</f>
        <v>2</v>
      </c>
      <c r="H82" s="33">
        <v>12</v>
      </c>
      <c r="I82" s="33">
        <v>23</v>
      </c>
      <c r="J82" s="33">
        <v>3</v>
      </c>
      <c r="K82" s="33">
        <v>12</v>
      </c>
      <c r="L82" s="33">
        <v>0</v>
      </c>
      <c r="M82" s="33">
        <v>2</v>
      </c>
    </row>
    <row r="83" spans="1:13">
      <c r="A83" s="32">
        <f t="shared" ca="1" si="1"/>
        <v>127</v>
      </c>
      <c r="B83" s="32" cm="1">
        <f t="array" aca="1" ref="B83" ca="1">INDEX(Data_DBD!$B:$B,$A83)</f>
        <v>21</v>
      </c>
      <c r="C83" s="32" cm="1">
        <f t="array" aca="1" ref="C83" ca="1">INDEX(Data_DBD!$C:$C,$A83)</f>
        <v>2</v>
      </c>
      <c r="D83" s="32" cm="1">
        <f t="array" aca="1" ref="D83" ca="1">INDEX(Data_DBD!$D:$D,$A83)</f>
        <v>33</v>
      </c>
      <c r="E83" s="32" cm="1">
        <f t="array" aca="1" ref="E83" ca="1">INDEX(Data_DBD!$E:$E,$A83)</f>
        <v>0</v>
      </c>
      <c r="F83" s="32" cm="1">
        <f t="array" aca="1" ref="F83" ca="1">INDEX(Data_DBD!$F:$F,$A83)</f>
        <v>3</v>
      </c>
      <c r="H83" s="33">
        <v>67</v>
      </c>
      <c r="I83" s="33">
        <v>21</v>
      </c>
      <c r="J83" s="33">
        <v>3</v>
      </c>
      <c r="K83" s="33">
        <v>10</v>
      </c>
      <c r="L83" s="33">
        <v>1</v>
      </c>
      <c r="M83" s="33">
        <v>2</v>
      </c>
    </row>
    <row r="84" spans="1:13">
      <c r="A84" s="32">
        <f t="shared" ca="1" si="1"/>
        <v>8</v>
      </c>
      <c r="B84" s="32" cm="1">
        <f t="array" aca="1" ref="B84" ca="1">INDEX(Data_DBD!$B:$B,$A84)</f>
        <v>4</v>
      </c>
      <c r="C84" s="32" cm="1">
        <f t="array" aca="1" ref="C84" ca="1">INDEX(Data_DBD!$C:$C,$A84)</f>
        <v>2</v>
      </c>
      <c r="D84" s="32" cm="1">
        <f t="array" aca="1" ref="D84" ca="1">INDEX(Data_DBD!$D:$D,$A84)</f>
        <v>12</v>
      </c>
      <c r="E84" s="32" cm="1">
        <f t="array" aca="1" ref="E84" ca="1">INDEX(Data_DBD!$E:$E,$A84)</f>
        <v>0</v>
      </c>
      <c r="F84" s="32" cm="1">
        <f t="array" aca="1" ref="F84" ca="1">INDEX(Data_DBD!$F:$F,$A84)</f>
        <v>2</v>
      </c>
      <c r="H84" s="33">
        <v>38</v>
      </c>
      <c r="I84" s="33">
        <v>52</v>
      </c>
      <c r="J84" s="33">
        <v>3</v>
      </c>
      <c r="K84" s="33">
        <v>4</v>
      </c>
      <c r="L84" s="33">
        <v>1</v>
      </c>
      <c r="M84" s="33">
        <v>1</v>
      </c>
    </row>
    <row r="85" spans="1:13">
      <c r="A85" s="32">
        <f t="shared" ca="1" si="1"/>
        <v>98</v>
      </c>
      <c r="B85" s="32" cm="1">
        <f t="array" aca="1" ref="B85" ca="1">INDEX(Data_DBD!$B:$B,$A85)</f>
        <v>16</v>
      </c>
      <c r="C85" s="32" cm="1">
        <f t="array" aca="1" ref="C85" ca="1">INDEX(Data_DBD!$C:$C,$A85)</f>
        <v>2</v>
      </c>
      <c r="D85" s="32" cm="1">
        <f t="array" aca="1" ref="D85" ca="1">INDEX(Data_DBD!$D:$D,$A85)</f>
        <v>18</v>
      </c>
      <c r="E85" s="32" cm="1">
        <f t="array" aca="1" ref="E85" ca="1">INDEX(Data_DBD!$E:$E,$A85)</f>
        <v>1</v>
      </c>
      <c r="F85" s="32" cm="1">
        <f t="array" aca="1" ref="F85" ca="1">INDEX(Data_DBD!$F:$F,$A85)</f>
        <v>3</v>
      </c>
      <c r="H85" s="33">
        <v>59</v>
      </c>
      <c r="I85" s="33">
        <v>28</v>
      </c>
      <c r="J85" s="33">
        <v>4</v>
      </c>
      <c r="K85" s="33">
        <v>15</v>
      </c>
      <c r="L85" s="33">
        <v>0</v>
      </c>
      <c r="M85" s="33">
        <v>2</v>
      </c>
    </row>
    <row r="86" spans="1:13">
      <c r="A86" s="32">
        <f t="shared" ca="1" si="1"/>
        <v>154</v>
      </c>
      <c r="B86" s="32" cm="1">
        <f t="array" aca="1" ref="B86" ca="1">INDEX(Data_DBD!$B:$B,$A86)</f>
        <v>18</v>
      </c>
      <c r="C86" s="32" cm="1">
        <f t="array" aca="1" ref="C86" ca="1">INDEX(Data_DBD!$C:$C,$A86)</f>
        <v>5</v>
      </c>
      <c r="D86" s="32" cm="1">
        <f t="array" aca="1" ref="D86" ca="1">INDEX(Data_DBD!$D:$D,$A86)</f>
        <v>21</v>
      </c>
      <c r="E86" s="32" cm="1">
        <f t="array" aca="1" ref="E86" ca="1">INDEX(Data_DBD!$E:$E,$A86)</f>
        <v>1</v>
      </c>
      <c r="F86" s="32" cm="1">
        <f t="array" aca="1" ref="F86" ca="1">INDEX(Data_DBD!$F:$F,$A86)</f>
        <v>3</v>
      </c>
      <c r="H86" s="33">
        <v>24</v>
      </c>
      <c r="I86" s="33">
        <v>60</v>
      </c>
      <c r="J86" s="33">
        <v>4</v>
      </c>
      <c r="K86" s="33">
        <v>14</v>
      </c>
      <c r="L86" s="33">
        <v>0</v>
      </c>
      <c r="M86" s="33">
        <v>2</v>
      </c>
    </row>
    <row r="87" spans="1:13">
      <c r="A87" s="32">
        <f t="shared" ca="1" si="1"/>
        <v>85</v>
      </c>
      <c r="B87" s="32" cm="1">
        <f t="array" aca="1" ref="B87" ca="1">INDEX(Data_DBD!$B:$B,$A87)</f>
        <v>27</v>
      </c>
      <c r="C87" s="32" cm="1">
        <f t="array" aca="1" ref="C87" ca="1">INDEX(Data_DBD!$C:$C,$A87)</f>
        <v>9</v>
      </c>
      <c r="D87" s="32" cm="1">
        <f t="array" aca="1" ref="D87" ca="1">INDEX(Data_DBD!$D:$D,$A87)</f>
        <v>13</v>
      </c>
      <c r="E87" s="32" cm="1">
        <f t="array" aca="1" ref="E87" ca="1">INDEX(Data_DBD!$E:$E,$A87)</f>
        <v>0</v>
      </c>
      <c r="F87" s="32" cm="1">
        <f t="array" aca="1" ref="F87" ca="1">INDEX(Data_DBD!$F:$F,$A87)</f>
        <v>2</v>
      </c>
      <c r="H87" s="33">
        <v>89</v>
      </c>
      <c r="I87" s="33">
        <v>32</v>
      </c>
      <c r="J87" s="33">
        <v>4</v>
      </c>
      <c r="K87" s="33">
        <v>13</v>
      </c>
      <c r="L87" s="33">
        <v>0</v>
      </c>
      <c r="M87" s="33">
        <v>2</v>
      </c>
    </row>
    <row r="88" spans="1:13">
      <c r="A88" s="32">
        <f t="shared" ca="1" si="1"/>
        <v>65</v>
      </c>
      <c r="B88" s="32" cm="1">
        <f t="array" aca="1" ref="B88" ca="1">INDEX(Data_DBD!$B:$B,$A88)</f>
        <v>49</v>
      </c>
      <c r="C88" s="32" cm="1">
        <f t="array" aca="1" ref="C88" ca="1">INDEX(Data_DBD!$C:$C,$A88)</f>
        <v>3</v>
      </c>
      <c r="D88" s="32" cm="1">
        <f t="array" aca="1" ref="D88" ca="1">INDEX(Data_DBD!$D:$D,$A88)</f>
        <v>15</v>
      </c>
      <c r="E88" s="32" cm="1">
        <f t="array" aca="1" ref="E88" ca="1">INDEX(Data_DBD!$E:$E,$A88)</f>
        <v>0</v>
      </c>
      <c r="F88" s="32" cm="1">
        <f t="array" aca="1" ref="F88" ca="1">INDEX(Data_DBD!$F:$F,$A88)</f>
        <v>2</v>
      </c>
      <c r="H88" s="33">
        <v>108</v>
      </c>
      <c r="I88" s="33">
        <v>69</v>
      </c>
      <c r="J88" s="33">
        <v>7</v>
      </c>
      <c r="K88" s="33">
        <v>33</v>
      </c>
      <c r="L88" s="33">
        <v>1</v>
      </c>
      <c r="M88" s="33">
        <v>3</v>
      </c>
    </row>
    <row r="89" spans="1:13">
      <c r="A89" s="32">
        <f t="shared" ca="1" si="1"/>
        <v>144</v>
      </c>
      <c r="B89" s="32" cm="1">
        <f t="array" aca="1" ref="B89" ca="1">INDEX(Data_DBD!$B:$B,$A89)</f>
        <v>61</v>
      </c>
      <c r="C89" s="32" cm="1">
        <f t="array" aca="1" ref="C89" ca="1">INDEX(Data_DBD!$C:$C,$A89)</f>
        <v>4</v>
      </c>
      <c r="D89" s="32" cm="1">
        <f t="array" aca="1" ref="D89" ca="1">INDEX(Data_DBD!$D:$D,$A89)</f>
        <v>21</v>
      </c>
      <c r="E89" s="32" cm="1">
        <f t="array" aca="1" ref="E89" ca="1">INDEX(Data_DBD!$E:$E,$A89)</f>
        <v>1</v>
      </c>
      <c r="F89" s="32" cm="1">
        <f t="array" aca="1" ref="F89" ca="1">INDEX(Data_DBD!$F:$F,$A89)</f>
        <v>3</v>
      </c>
      <c r="H89" s="33">
        <v>50</v>
      </c>
      <c r="I89" s="33">
        <v>19</v>
      </c>
      <c r="J89" s="33">
        <v>5</v>
      </c>
      <c r="K89" s="33">
        <v>13</v>
      </c>
      <c r="L89" s="33">
        <v>0</v>
      </c>
      <c r="M89" s="33">
        <v>2</v>
      </c>
    </row>
    <row r="90" spans="1:13">
      <c r="A90" s="32">
        <f t="shared" ca="1" si="1"/>
        <v>147</v>
      </c>
      <c r="B90" s="32" cm="1">
        <f t="array" aca="1" ref="B90" ca="1">INDEX(Data_DBD!$B:$B,$A90)</f>
        <v>66</v>
      </c>
      <c r="C90" s="32" cm="1">
        <f t="array" aca="1" ref="C90" ca="1">INDEX(Data_DBD!$C:$C,$A90)</f>
        <v>10</v>
      </c>
      <c r="D90" s="32" cm="1">
        <f t="array" aca="1" ref="D90" ca="1">INDEX(Data_DBD!$D:$D,$A90)</f>
        <v>21</v>
      </c>
      <c r="E90" s="32" cm="1">
        <f t="array" aca="1" ref="E90" ca="1">INDEX(Data_DBD!$E:$E,$A90)</f>
        <v>1</v>
      </c>
      <c r="F90" s="32" cm="1">
        <f t="array" aca="1" ref="F90" ca="1">INDEX(Data_DBD!$F:$F,$A90)</f>
        <v>3</v>
      </c>
      <c r="H90" s="33">
        <v>99</v>
      </c>
      <c r="I90" s="33">
        <v>4</v>
      </c>
      <c r="J90" s="33">
        <v>2</v>
      </c>
      <c r="K90" s="33">
        <v>18</v>
      </c>
      <c r="L90" s="33">
        <v>1</v>
      </c>
      <c r="M90" s="33">
        <v>3</v>
      </c>
    </row>
    <row r="91" spans="1:13">
      <c r="A91" s="32">
        <f t="shared" ca="1" si="1"/>
        <v>159</v>
      </c>
      <c r="B91" s="32" cm="1">
        <f t="array" aca="1" ref="B91" ca="1">INDEX(Data_DBD!$B:$B,$A91)</f>
        <v>17</v>
      </c>
      <c r="C91" s="32" cm="1">
        <f t="array" aca="1" ref="C91" ca="1">INDEX(Data_DBD!$C:$C,$A91)</f>
        <v>2</v>
      </c>
      <c r="D91" s="32" cm="1">
        <f t="array" aca="1" ref="D91" ca="1">INDEX(Data_DBD!$D:$D,$A91)</f>
        <v>21</v>
      </c>
      <c r="E91" s="32" cm="1">
        <f t="array" aca="1" ref="E91" ca="1">INDEX(Data_DBD!$E:$E,$A91)</f>
        <v>0</v>
      </c>
      <c r="F91" s="32" cm="1">
        <f t="array" aca="1" ref="F91" ca="1">INDEX(Data_DBD!$F:$F,$A91)</f>
        <v>3</v>
      </c>
      <c r="H91" s="33">
        <v>31</v>
      </c>
      <c r="I91" s="33">
        <v>64</v>
      </c>
      <c r="J91" s="33">
        <v>4</v>
      </c>
      <c r="K91" s="33">
        <v>14</v>
      </c>
      <c r="L91" s="33">
        <v>1</v>
      </c>
      <c r="M91" s="33">
        <v>2</v>
      </c>
    </row>
    <row r="92" spans="1:13">
      <c r="A92" s="32">
        <f t="shared" ca="1" si="1"/>
        <v>5</v>
      </c>
      <c r="B92" s="32" cm="1">
        <f t="array" aca="1" ref="B92" ca="1">INDEX(Data_DBD!$B:$B,$A92)</f>
        <v>18</v>
      </c>
      <c r="C92" s="32" cm="1">
        <f t="array" aca="1" ref="C92" ca="1">INDEX(Data_DBD!$C:$C,$A92)</f>
        <v>2</v>
      </c>
      <c r="D92" s="32" cm="1">
        <f t="array" aca="1" ref="D92" ca="1">INDEX(Data_DBD!$D:$D,$A92)</f>
        <v>12</v>
      </c>
      <c r="E92" s="32" cm="1">
        <f t="array" aca="1" ref="E92" ca="1">INDEX(Data_DBD!$E:$E,$A92)</f>
        <v>1</v>
      </c>
      <c r="F92" s="32" cm="1">
        <f t="array" aca="1" ref="F92" ca="1">INDEX(Data_DBD!$F:$F,$A92)</f>
        <v>2</v>
      </c>
      <c r="H92" s="33">
        <v>39</v>
      </c>
      <c r="I92" s="33">
        <v>12</v>
      </c>
      <c r="J92" s="33">
        <v>5</v>
      </c>
      <c r="K92" s="33">
        <v>13</v>
      </c>
      <c r="L92" s="33">
        <v>1</v>
      </c>
      <c r="M92" s="33">
        <v>2</v>
      </c>
    </row>
    <row r="93" spans="1:13">
      <c r="A93" s="32">
        <f t="shared" ca="1" si="1"/>
        <v>78</v>
      </c>
      <c r="B93" s="32" cm="1">
        <f t="array" aca="1" ref="B93" ca="1">INDEX(Data_DBD!$B:$B,$A93)</f>
        <v>6</v>
      </c>
      <c r="C93" s="32" cm="1">
        <f t="array" aca="1" ref="C93" ca="1">INDEX(Data_DBD!$C:$C,$A93)</f>
        <v>3</v>
      </c>
      <c r="D93" s="32" cm="1">
        <f t="array" aca="1" ref="D93" ca="1">INDEX(Data_DBD!$D:$D,$A93)</f>
        <v>13</v>
      </c>
      <c r="E93" s="32" cm="1">
        <f t="array" aca="1" ref="E93" ca="1">INDEX(Data_DBD!$E:$E,$A93)</f>
        <v>0</v>
      </c>
      <c r="F93" s="32" cm="1">
        <f t="array" aca="1" ref="F93" ca="1">INDEX(Data_DBD!$F:$F,$A93)</f>
        <v>2</v>
      </c>
      <c r="H93" s="33">
        <v>111</v>
      </c>
      <c r="I93" s="33">
        <v>25</v>
      </c>
      <c r="J93" s="33">
        <v>4</v>
      </c>
      <c r="K93" s="33">
        <v>33</v>
      </c>
      <c r="L93" s="33">
        <v>0</v>
      </c>
      <c r="M93" s="33">
        <v>3</v>
      </c>
    </row>
    <row r="94" spans="1:13">
      <c r="A94" s="32">
        <f t="shared" ca="1" si="1"/>
        <v>144</v>
      </c>
      <c r="B94" s="32" cm="1">
        <f t="array" aca="1" ref="B94" ca="1">INDEX(Data_DBD!$B:$B,$A94)</f>
        <v>61</v>
      </c>
      <c r="C94" s="32" cm="1">
        <f t="array" aca="1" ref="C94" ca="1">INDEX(Data_DBD!$C:$C,$A94)</f>
        <v>4</v>
      </c>
      <c r="D94" s="32" cm="1">
        <f t="array" aca="1" ref="D94" ca="1">INDEX(Data_DBD!$D:$D,$A94)</f>
        <v>21</v>
      </c>
      <c r="E94" s="32" cm="1">
        <f t="array" aca="1" ref="E94" ca="1">INDEX(Data_DBD!$E:$E,$A94)</f>
        <v>1</v>
      </c>
      <c r="F94" s="32" cm="1">
        <f t="array" aca="1" ref="F94" ca="1">INDEX(Data_DBD!$F:$F,$A94)</f>
        <v>3</v>
      </c>
      <c r="H94" s="33">
        <v>65</v>
      </c>
      <c r="I94" s="33">
        <v>49</v>
      </c>
      <c r="J94" s="33">
        <v>3</v>
      </c>
      <c r="K94" s="33">
        <v>15</v>
      </c>
      <c r="L94" s="33">
        <v>0</v>
      </c>
      <c r="M94" s="33">
        <v>2</v>
      </c>
    </row>
    <row r="95" spans="1:13">
      <c r="A95" s="32">
        <f t="shared" ca="1" si="1"/>
        <v>33</v>
      </c>
      <c r="B95" s="32" cm="1">
        <f t="array" aca="1" ref="B95" ca="1">INDEX(Data_DBD!$B:$B,$A95)</f>
        <v>19</v>
      </c>
      <c r="C95" s="32" cm="1">
        <f t="array" aca="1" ref="C95" ca="1">INDEX(Data_DBD!$C:$C,$A95)</f>
        <v>4</v>
      </c>
      <c r="D95" s="32" cm="1">
        <f t="array" aca="1" ref="D95" ca="1">INDEX(Data_DBD!$D:$D,$A95)</f>
        <v>14</v>
      </c>
      <c r="E95" s="32" cm="1">
        <f t="array" aca="1" ref="E95" ca="1">INDEX(Data_DBD!$E:$E,$A95)</f>
        <v>1</v>
      </c>
      <c r="F95" s="32" cm="1">
        <f t="array" aca="1" ref="F95" ca="1">INDEX(Data_DBD!$F:$F,$A95)</f>
        <v>2</v>
      </c>
      <c r="H95" s="33">
        <v>107</v>
      </c>
      <c r="I95" s="33">
        <v>48</v>
      </c>
      <c r="J95" s="33">
        <v>5</v>
      </c>
      <c r="K95" s="33">
        <v>18</v>
      </c>
      <c r="L95" s="33">
        <v>0</v>
      </c>
      <c r="M95" s="33">
        <v>3</v>
      </c>
    </row>
    <row r="96" spans="1:13">
      <c r="A96" s="32">
        <f t="shared" ca="1" si="1"/>
        <v>98</v>
      </c>
      <c r="B96" s="32" cm="1">
        <f t="array" aca="1" ref="B96" ca="1">INDEX(Data_DBD!$B:$B,$A96)</f>
        <v>16</v>
      </c>
      <c r="C96" s="32" cm="1">
        <f t="array" aca="1" ref="C96" ca="1">INDEX(Data_DBD!$C:$C,$A96)</f>
        <v>2</v>
      </c>
      <c r="D96" s="32" cm="1">
        <f t="array" aca="1" ref="D96" ca="1">INDEX(Data_DBD!$D:$D,$A96)</f>
        <v>18</v>
      </c>
      <c r="E96" s="32" cm="1">
        <f t="array" aca="1" ref="E96" ca="1">INDEX(Data_DBD!$E:$E,$A96)</f>
        <v>1</v>
      </c>
      <c r="F96" s="32" cm="1">
        <f t="array" aca="1" ref="F96" ca="1">INDEX(Data_DBD!$F:$F,$A96)</f>
        <v>3</v>
      </c>
      <c r="H96" s="33">
        <v>110</v>
      </c>
      <c r="I96" s="33">
        <v>42</v>
      </c>
      <c r="J96" s="33">
        <v>2</v>
      </c>
      <c r="K96" s="33">
        <v>33</v>
      </c>
      <c r="L96" s="33">
        <v>1</v>
      </c>
      <c r="M96" s="33">
        <v>3</v>
      </c>
    </row>
    <row r="97" spans="1:13">
      <c r="A97" s="32">
        <f t="shared" ca="1" si="1"/>
        <v>101</v>
      </c>
      <c r="B97" s="32" cm="1">
        <f t="array" aca="1" ref="B97" ca="1">INDEX(Data_DBD!$B:$B,$A97)</f>
        <v>42</v>
      </c>
      <c r="C97" s="32" cm="1">
        <f t="array" aca="1" ref="C97" ca="1">INDEX(Data_DBD!$C:$C,$A97)</f>
        <v>5</v>
      </c>
      <c r="D97" s="32" cm="1">
        <f t="array" aca="1" ref="D97" ca="1">INDEX(Data_DBD!$D:$D,$A97)</f>
        <v>18</v>
      </c>
      <c r="E97" s="32" cm="1">
        <f t="array" aca="1" ref="E97" ca="1">INDEX(Data_DBD!$E:$E,$A97)</f>
        <v>0</v>
      </c>
      <c r="F97" s="32" cm="1">
        <f t="array" aca="1" ref="F97" ca="1">INDEX(Data_DBD!$F:$F,$A97)</f>
        <v>3</v>
      </c>
      <c r="H97" s="33">
        <v>38</v>
      </c>
      <c r="I97" s="33">
        <v>52</v>
      </c>
      <c r="J97" s="33">
        <v>3</v>
      </c>
      <c r="K97" s="33">
        <v>4</v>
      </c>
      <c r="L97" s="33">
        <v>1</v>
      </c>
      <c r="M97" s="33">
        <v>1</v>
      </c>
    </row>
    <row r="98" spans="1:13">
      <c r="A98" s="32">
        <f t="shared" ca="1" si="1"/>
        <v>58</v>
      </c>
      <c r="B98" s="32" cm="1">
        <f t="array" aca="1" ref="B98" ca="1">INDEX(Data_DBD!$B:$B,$A98)</f>
        <v>17</v>
      </c>
      <c r="C98" s="32" cm="1">
        <f t="array" aca="1" ref="C98" ca="1">INDEX(Data_DBD!$C:$C,$A98)</f>
        <v>3</v>
      </c>
      <c r="D98" s="32" cm="1">
        <f t="array" aca="1" ref="D98" ca="1">INDEX(Data_DBD!$D:$D,$A98)</f>
        <v>15</v>
      </c>
      <c r="E98" s="32" cm="1">
        <f t="array" aca="1" ref="E98" ca="1">INDEX(Data_DBD!$E:$E,$A98)</f>
        <v>0</v>
      </c>
      <c r="F98" s="32" cm="1">
        <f t="array" aca="1" ref="F98" ca="1">INDEX(Data_DBD!$F:$F,$A98)</f>
        <v>2</v>
      </c>
      <c r="H98" s="33">
        <v>65</v>
      </c>
      <c r="I98" s="33">
        <v>49</v>
      </c>
      <c r="J98" s="33">
        <v>3</v>
      </c>
      <c r="K98" s="33">
        <v>15</v>
      </c>
      <c r="L98" s="33">
        <v>0</v>
      </c>
      <c r="M98" s="33">
        <v>2</v>
      </c>
    </row>
    <row r="99" spans="1:13">
      <c r="A99" s="32">
        <f t="shared" ca="1" si="1"/>
        <v>99</v>
      </c>
      <c r="B99" s="32" cm="1">
        <f t="array" aca="1" ref="B99" ca="1">INDEX(Data_DBD!$B:$B,$A99)</f>
        <v>4</v>
      </c>
      <c r="C99" s="32" cm="1">
        <f t="array" aca="1" ref="C99" ca="1">INDEX(Data_DBD!$C:$C,$A99)</f>
        <v>2</v>
      </c>
      <c r="D99" s="32" cm="1">
        <f t="array" aca="1" ref="D99" ca="1">INDEX(Data_DBD!$D:$D,$A99)</f>
        <v>18</v>
      </c>
      <c r="E99" s="32" cm="1">
        <f t="array" aca="1" ref="E99" ca="1">INDEX(Data_DBD!$E:$E,$A99)</f>
        <v>1</v>
      </c>
      <c r="F99" s="32" cm="1">
        <f t="array" aca="1" ref="F99" ca="1">INDEX(Data_DBD!$F:$F,$A99)</f>
        <v>3</v>
      </c>
      <c r="H99" s="33">
        <v>144</v>
      </c>
      <c r="I99" s="33">
        <v>61</v>
      </c>
      <c r="J99" s="33">
        <v>4</v>
      </c>
      <c r="K99" s="33">
        <v>21</v>
      </c>
      <c r="L99" s="33">
        <v>1</v>
      </c>
      <c r="M99" s="33">
        <v>3</v>
      </c>
    </row>
    <row r="100" spans="1:13">
      <c r="A100" s="32">
        <f t="shared" ca="1" si="1"/>
        <v>82</v>
      </c>
      <c r="B100" s="32" cm="1">
        <f t="array" aca="1" ref="B100" ca="1">INDEX(Data_DBD!$B:$B,$A100)</f>
        <v>28</v>
      </c>
      <c r="C100" s="32" cm="1">
        <f t="array" aca="1" ref="C100" ca="1">INDEX(Data_DBD!$C:$C,$A100)</f>
        <v>3</v>
      </c>
      <c r="D100" s="32" cm="1">
        <f t="array" aca="1" ref="D100" ca="1">INDEX(Data_DBD!$D:$D,$A100)</f>
        <v>13</v>
      </c>
      <c r="E100" s="32" cm="1">
        <f t="array" aca="1" ref="E100" ca="1">INDEX(Data_DBD!$E:$E,$A100)</f>
        <v>1</v>
      </c>
      <c r="F100" s="32" cm="1">
        <f t="array" aca="1" ref="F100" ca="1">INDEX(Data_DBD!$F:$F,$A100)</f>
        <v>2</v>
      </c>
      <c r="H100" s="33">
        <v>131</v>
      </c>
      <c r="I100" s="33">
        <v>10</v>
      </c>
      <c r="J100" s="33">
        <v>2</v>
      </c>
      <c r="K100" s="33">
        <v>33</v>
      </c>
      <c r="L100" s="33">
        <v>0</v>
      </c>
      <c r="M100" s="33">
        <v>3</v>
      </c>
    </row>
    <row r="101" spans="1:13">
      <c r="A101" s="32">
        <f t="shared" ca="1" si="1"/>
        <v>79</v>
      </c>
      <c r="B101" s="32" cm="1">
        <f t="array" aca="1" ref="B101" ca="1">INDEX(Data_DBD!$B:$B,$A101)</f>
        <v>29</v>
      </c>
      <c r="C101" s="32" cm="1">
        <f t="array" aca="1" ref="C101" ca="1">INDEX(Data_DBD!$C:$C,$A101)</f>
        <v>3</v>
      </c>
      <c r="D101" s="32" cm="1">
        <f t="array" aca="1" ref="D101" ca="1">INDEX(Data_DBD!$D:$D,$A101)</f>
        <v>13</v>
      </c>
      <c r="E101" s="32" cm="1">
        <f t="array" aca="1" ref="E101" ca="1">INDEX(Data_DBD!$E:$E,$A101)</f>
        <v>0</v>
      </c>
      <c r="F101" s="32" cm="1">
        <f t="array" aca="1" ref="F101" ca="1">INDEX(Data_DBD!$F:$F,$A101)</f>
        <v>2</v>
      </c>
      <c r="H101" s="33">
        <v>119</v>
      </c>
      <c r="I101" s="33">
        <v>30</v>
      </c>
      <c r="J101" s="33">
        <v>7</v>
      </c>
      <c r="K101" s="33">
        <v>33</v>
      </c>
      <c r="L101" s="33">
        <v>0</v>
      </c>
      <c r="M101" s="33">
        <v>3</v>
      </c>
    </row>
    <row r="102" spans="1:13">
      <c r="A102" s="32">
        <f t="shared" ca="1" si="1"/>
        <v>121</v>
      </c>
      <c r="B102" s="32" cm="1">
        <f t="array" aca="1" ref="B102" ca="1">INDEX(Data_DBD!$B:$B,$A102)</f>
        <v>82</v>
      </c>
      <c r="C102" s="32" cm="1">
        <f t="array" aca="1" ref="C102" ca="1">INDEX(Data_DBD!$C:$C,$A102)</f>
        <v>5</v>
      </c>
      <c r="D102" s="32" cm="1">
        <f t="array" aca="1" ref="D102" ca="1">INDEX(Data_DBD!$D:$D,$A102)</f>
        <v>33</v>
      </c>
      <c r="E102" s="32" cm="1">
        <f t="array" aca="1" ref="E102" ca="1">INDEX(Data_DBD!$E:$E,$A102)</f>
        <v>1</v>
      </c>
      <c r="F102" s="32" cm="1">
        <f t="array" aca="1" ref="F102" ca="1">INDEX(Data_DBD!$F:$F,$A102)</f>
        <v>3</v>
      </c>
      <c r="H102" s="33">
        <v>107</v>
      </c>
      <c r="I102" s="33">
        <v>48</v>
      </c>
      <c r="J102" s="33">
        <v>5</v>
      </c>
      <c r="K102" s="33">
        <v>18</v>
      </c>
      <c r="L102" s="33">
        <v>0</v>
      </c>
      <c r="M102" s="33">
        <v>3</v>
      </c>
    </row>
    <row r="103" spans="1:13">
      <c r="A103" s="32">
        <f t="shared" ca="1" si="1"/>
        <v>55</v>
      </c>
      <c r="B103" s="32" cm="1">
        <f t="array" aca="1" ref="B103" ca="1">INDEX(Data_DBD!$B:$B,$A103)</f>
        <v>7</v>
      </c>
      <c r="C103" s="32" cm="1">
        <f t="array" aca="1" ref="C103" ca="1">INDEX(Data_DBD!$C:$C,$A103)</f>
        <v>4</v>
      </c>
      <c r="D103" s="32" cm="1">
        <f t="array" aca="1" ref="D103" ca="1">INDEX(Data_DBD!$D:$D,$A103)</f>
        <v>15</v>
      </c>
      <c r="E103" s="32" cm="1">
        <f t="array" aca="1" ref="E103" ca="1">INDEX(Data_DBD!$E:$E,$A103)</f>
        <v>1</v>
      </c>
      <c r="F103" s="32" cm="1">
        <f t="array" aca="1" ref="F103" ca="1">INDEX(Data_DBD!$F:$F,$A103)</f>
        <v>2</v>
      </c>
      <c r="H103" s="33">
        <v>51</v>
      </c>
      <c r="I103" s="33">
        <v>48</v>
      </c>
      <c r="J103" s="33">
        <v>4</v>
      </c>
      <c r="K103" s="33">
        <v>13</v>
      </c>
      <c r="L103" s="33">
        <v>0</v>
      </c>
      <c r="M103" s="33">
        <v>2</v>
      </c>
    </row>
    <row r="104" spans="1:13">
      <c r="A104" s="32">
        <f t="shared" ca="1" si="1"/>
        <v>92</v>
      </c>
      <c r="B104" s="32" cm="1">
        <f t="array" aca="1" ref="B104" ca="1">INDEX(Data_DBD!$B:$B,$A104)</f>
        <v>55</v>
      </c>
      <c r="C104" s="32" cm="1">
        <f t="array" aca="1" ref="C104" ca="1">INDEX(Data_DBD!$C:$C,$A104)</f>
        <v>7</v>
      </c>
      <c r="D104" s="32" cm="1">
        <f t="array" aca="1" ref="D104" ca="1">INDEX(Data_DBD!$D:$D,$A104)</f>
        <v>18</v>
      </c>
      <c r="E104" s="32" cm="1">
        <f t="array" aca="1" ref="E104" ca="1">INDEX(Data_DBD!$E:$E,$A104)</f>
        <v>0</v>
      </c>
      <c r="F104" s="32" cm="1">
        <f t="array" aca="1" ref="F104" ca="1">INDEX(Data_DBD!$F:$F,$A104)</f>
        <v>3</v>
      </c>
      <c r="H104" s="33">
        <v>48</v>
      </c>
      <c r="I104" s="33">
        <v>50</v>
      </c>
      <c r="J104" s="33">
        <v>5</v>
      </c>
      <c r="K104" s="33">
        <v>13</v>
      </c>
      <c r="L104" s="33">
        <v>1</v>
      </c>
      <c r="M104" s="33">
        <v>2</v>
      </c>
    </row>
    <row r="105" spans="1:13">
      <c r="A105" s="32">
        <f t="shared" ca="1" si="1"/>
        <v>163</v>
      </c>
      <c r="B105" s="32" cm="1">
        <f t="array" aca="1" ref="B105" ca="1">INDEX(Data_DBD!$B:$B,$A105)</f>
        <v>34</v>
      </c>
      <c r="C105" s="32" cm="1">
        <f t="array" aca="1" ref="C105" ca="1">INDEX(Data_DBD!$C:$C,$A105)</f>
        <v>4</v>
      </c>
      <c r="D105" s="32" cm="1">
        <f t="array" aca="1" ref="D105" ca="1">INDEX(Data_DBD!$D:$D,$A105)</f>
        <v>3</v>
      </c>
      <c r="E105" s="32" cm="1">
        <f t="array" aca="1" ref="E105" ca="1">INDEX(Data_DBD!$E:$E,$A105)</f>
        <v>1</v>
      </c>
      <c r="F105" s="32" cm="1">
        <f t="array" aca="1" ref="F105" ca="1">INDEX(Data_DBD!$F:$F,$A105)</f>
        <v>1</v>
      </c>
      <c r="H105" s="33">
        <v>6</v>
      </c>
      <c r="I105" s="33">
        <v>14</v>
      </c>
      <c r="J105" s="33">
        <v>4</v>
      </c>
      <c r="K105" s="33">
        <v>12</v>
      </c>
      <c r="L105" s="33">
        <v>0</v>
      </c>
      <c r="M105" s="33">
        <v>2</v>
      </c>
    </row>
    <row r="106" spans="1:13">
      <c r="A106" s="32">
        <f t="shared" ca="1" si="1"/>
        <v>85</v>
      </c>
      <c r="B106" s="32" cm="1">
        <f t="array" aca="1" ref="B106" ca="1">INDEX(Data_DBD!$B:$B,$A106)</f>
        <v>27</v>
      </c>
      <c r="C106" s="32" cm="1">
        <f t="array" aca="1" ref="C106" ca="1">INDEX(Data_DBD!$C:$C,$A106)</f>
        <v>9</v>
      </c>
      <c r="D106" s="32" cm="1">
        <f t="array" aca="1" ref="D106" ca="1">INDEX(Data_DBD!$D:$D,$A106)</f>
        <v>13</v>
      </c>
      <c r="E106" s="32" cm="1">
        <f t="array" aca="1" ref="E106" ca="1">INDEX(Data_DBD!$E:$E,$A106)</f>
        <v>0</v>
      </c>
      <c r="F106" s="32" cm="1">
        <f t="array" aca="1" ref="F106" ca="1">INDEX(Data_DBD!$F:$F,$A106)</f>
        <v>2</v>
      </c>
      <c r="H106" s="33">
        <v>15</v>
      </c>
      <c r="I106" s="33">
        <v>21</v>
      </c>
      <c r="J106" s="33">
        <v>2</v>
      </c>
      <c r="K106" s="33">
        <v>7</v>
      </c>
      <c r="L106" s="33">
        <v>0</v>
      </c>
      <c r="M106" s="33">
        <v>1</v>
      </c>
    </row>
    <row r="107" spans="1:13">
      <c r="A107" s="32">
        <f t="shared" ca="1" si="1"/>
        <v>86</v>
      </c>
      <c r="B107" s="32" cm="1">
        <f t="array" aca="1" ref="B107" ca="1">INDEX(Data_DBD!$B:$B,$A107)</f>
        <v>23</v>
      </c>
      <c r="C107" s="32" cm="1">
        <f t="array" aca="1" ref="C107" ca="1">INDEX(Data_DBD!$C:$C,$A107)</f>
        <v>3</v>
      </c>
      <c r="D107" s="32" cm="1">
        <f t="array" aca="1" ref="D107" ca="1">INDEX(Data_DBD!$D:$D,$A107)</f>
        <v>13</v>
      </c>
      <c r="E107" s="32" cm="1">
        <f t="array" aca="1" ref="E107" ca="1">INDEX(Data_DBD!$E:$E,$A107)</f>
        <v>0</v>
      </c>
      <c r="F107" s="32" cm="1">
        <f t="array" aca="1" ref="F107" ca="1">INDEX(Data_DBD!$F:$F,$A107)</f>
        <v>2</v>
      </c>
      <c r="H107" s="33">
        <v>94</v>
      </c>
      <c r="I107" s="33">
        <v>12</v>
      </c>
      <c r="J107" s="33">
        <v>4</v>
      </c>
      <c r="K107" s="33">
        <v>18</v>
      </c>
      <c r="L107" s="33">
        <v>0</v>
      </c>
      <c r="M107" s="33">
        <v>3</v>
      </c>
    </row>
    <row r="108" spans="1:13">
      <c r="A108" s="32">
        <f t="shared" ca="1" si="1"/>
        <v>125</v>
      </c>
      <c r="B108" s="32" cm="1">
        <f t="array" aca="1" ref="B108" ca="1">INDEX(Data_DBD!$B:$B,$A108)</f>
        <v>39</v>
      </c>
      <c r="C108" s="32" cm="1">
        <f t="array" aca="1" ref="C108" ca="1">INDEX(Data_DBD!$C:$C,$A108)</f>
        <v>4</v>
      </c>
      <c r="D108" s="32" cm="1">
        <f t="array" aca="1" ref="D108" ca="1">INDEX(Data_DBD!$D:$D,$A108)</f>
        <v>33</v>
      </c>
      <c r="E108" s="32" cm="1">
        <f t="array" aca="1" ref="E108" ca="1">INDEX(Data_DBD!$E:$E,$A108)</f>
        <v>0</v>
      </c>
      <c r="F108" s="32" cm="1">
        <f t="array" aca="1" ref="F108" ca="1">INDEX(Data_DBD!$F:$F,$A108)</f>
        <v>3</v>
      </c>
      <c r="H108" s="33">
        <v>94</v>
      </c>
      <c r="I108" s="33">
        <v>12</v>
      </c>
      <c r="J108" s="33">
        <v>4</v>
      </c>
      <c r="K108" s="33">
        <v>18</v>
      </c>
      <c r="L108" s="33">
        <v>0</v>
      </c>
      <c r="M108" s="33">
        <v>3</v>
      </c>
    </row>
    <row r="109" spans="1:13">
      <c r="A109" s="32">
        <f t="shared" ca="1" si="1"/>
        <v>78</v>
      </c>
      <c r="B109" s="32" cm="1">
        <f t="array" aca="1" ref="B109" ca="1">INDEX(Data_DBD!$B:$B,$A109)</f>
        <v>6</v>
      </c>
      <c r="C109" s="32" cm="1">
        <f t="array" aca="1" ref="C109" ca="1">INDEX(Data_DBD!$C:$C,$A109)</f>
        <v>3</v>
      </c>
      <c r="D109" s="32" cm="1">
        <f t="array" aca="1" ref="D109" ca="1">INDEX(Data_DBD!$D:$D,$A109)</f>
        <v>13</v>
      </c>
      <c r="E109" s="32" cm="1">
        <f t="array" aca="1" ref="E109" ca="1">INDEX(Data_DBD!$E:$E,$A109)</f>
        <v>0</v>
      </c>
      <c r="F109" s="32" cm="1">
        <f t="array" aca="1" ref="F109" ca="1">INDEX(Data_DBD!$F:$F,$A109)</f>
        <v>2</v>
      </c>
      <c r="H109" s="33">
        <v>120</v>
      </c>
      <c r="I109" s="33">
        <v>26</v>
      </c>
      <c r="J109" s="33">
        <v>4</v>
      </c>
      <c r="K109" s="33">
        <v>33</v>
      </c>
      <c r="L109" s="33">
        <v>1</v>
      </c>
      <c r="M109" s="33">
        <v>3</v>
      </c>
    </row>
    <row r="110" spans="1:13">
      <c r="A110" s="32">
        <f t="shared" ca="1" si="1"/>
        <v>145</v>
      </c>
      <c r="B110" s="32" cm="1">
        <f t="array" aca="1" ref="B110" ca="1">INDEX(Data_DBD!$B:$B,$A110)</f>
        <v>28</v>
      </c>
      <c r="C110" s="32" cm="1">
        <f t="array" aca="1" ref="C110" ca="1">INDEX(Data_DBD!$C:$C,$A110)</f>
        <v>4</v>
      </c>
      <c r="D110" s="32" cm="1">
        <f t="array" aca="1" ref="D110" ca="1">INDEX(Data_DBD!$D:$D,$A110)</f>
        <v>21</v>
      </c>
      <c r="E110" s="32" cm="1">
        <f t="array" aca="1" ref="E110" ca="1">INDEX(Data_DBD!$E:$E,$A110)</f>
        <v>1</v>
      </c>
      <c r="F110" s="32" cm="1">
        <f t="array" aca="1" ref="F110" ca="1">INDEX(Data_DBD!$F:$F,$A110)</f>
        <v>3</v>
      </c>
      <c r="H110" s="33">
        <v>45</v>
      </c>
      <c r="I110" s="33">
        <v>75</v>
      </c>
      <c r="J110" s="33">
        <v>3</v>
      </c>
      <c r="K110" s="33">
        <v>13</v>
      </c>
      <c r="L110" s="33">
        <v>1</v>
      </c>
      <c r="M110" s="33">
        <v>2</v>
      </c>
    </row>
    <row r="111" spans="1:13">
      <c r="A111" s="32">
        <f t="shared" ca="1" si="1"/>
        <v>95</v>
      </c>
      <c r="B111" s="32" cm="1">
        <f t="array" aca="1" ref="B111" ca="1">INDEX(Data_DBD!$B:$B,$A111)</f>
        <v>11</v>
      </c>
      <c r="C111" s="32" cm="1">
        <f t="array" aca="1" ref="C111" ca="1">INDEX(Data_DBD!$C:$C,$A111)</f>
        <v>3</v>
      </c>
      <c r="D111" s="32" cm="1">
        <f t="array" aca="1" ref="D111" ca="1">INDEX(Data_DBD!$D:$D,$A111)</f>
        <v>18</v>
      </c>
      <c r="E111" s="32" cm="1">
        <f t="array" aca="1" ref="E111" ca="1">INDEX(Data_DBD!$E:$E,$A111)</f>
        <v>1</v>
      </c>
      <c r="F111" s="32" cm="1">
        <f t="array" aca="1" ref="F111" ca="1">INDEX(Data_DBD!$F:$F,$A111)</f>
        <v>3</v>
      </c>
      <c r="H111" s="33">
        <v>90</v>
      </c>
      <c r="I111" s="33">
        <v>47</v>
      </c>
      <c r="J111" s="33">
        <v>3</v>
      </c>
      <c r="K111" s="33">
        <v>18</v>
      </c>
      <c r="L111" s="33">
        <v>0</v>
      </c>
      <c r="M111" s="33">
        <v>3</v>
      </c>
    </row>
    <row r="112" spans="1:13">
      <c r="A112" s="32">
        <f t="shared" ca="1" si="1"/>
        <v>13</v>
      </c>
      <c r="B112" s="32" cm="1">
        <f t="array" aca="1" ref="B112" ca="1">INDEX(Data_DBD!$B:$B,$A112)</f>
        <v>47</v>
      </c>
      <c r="C112" s="32" cm="1">
        <f t="array" aca="1" ref="C112" ca="1">INDEX(Data_DBD!$C:$C,$A112)</f>
        <v>2</v>
      </c>
      <c r="D112" s="32" cm="1">
        <f t="array" aca="1" ref="D112" ca="1">INDEX(Data_DBD!$D:$D,$A112)</f>
        <v>12</v>
      </c>
      <c r="E112" s="32" cm="1">
        <f t="array" aca="1" ref="E112" ca="1">INDEX(Data_DBD!$E:$E,$A112)</f>
        <v>0</v>
      </c>
      <c r="F112" s="32" cm="1">
        <f t="array" aca="1" ref="F112" ca="1">INDEX(Data_DBD!$F:$F,$A112)</f>
        <v>2</v>
      </c>
      <c r="H112" s="33">
        <v>77</v>
      </c>
      <c r="I112" s="33">
        <v>16</v>
      </c>
      <c r="J112" s="33">
        <v>4</v>
      </c>
      <c r="K112" s="33">
        <v>13</v>
      </c>
      <c r="L112" s="33">
        <v>1</v>
      </c>
      <c r="M112" s="33">
        <v>2</v>
      </c>
    </row>
    <row r="113" spans="1:13">
      <c r="A113" s="32">
        <f t="shared" ca="1" si="1"/>
        <v>138</v>
      </c>
      <c r="B113" s="32" cm="1">
        <f t="array" aca="1" ref="B113" ca="1">INDEX(Data_DBD!$B:$B,$A113)</f>
        <v>13</v>
      </c>
      <c r="C113" s="32" cm="1">
        <f t="array" aca="1" ref="C113" ca="1">INDEX(Data_DBD!$C:$C,$A113)</f>
        <v>3</v>
      </c>
      <c r="D113" s="32" cm="1">
        <f t="array" aca="1" ref="D113" ca="1">INDEX(Data_DBD!$D:$D,$A113)</f>
        <v>33</v>
      </c>
      <c r="E113" s="32" cm="1">
        <f t="array" aca="1" ref="E113" ca="1">INDEX(Data_DBD!$E:$E,$A113)</f>
        <v>1</v>
      </c>
      <c r="F113" s="32" cm="1">
        <f t="array" aca="1" ref="F113" ca="1">INDEX(Data_DBD!$F:$F,$A113)</f>
        <v>3</v>
      </c>
      <c r="H113" s="33">
        <v>97</v>
      </c>
      <c r="I113" s="33">
        <v>16</v>
      </c>
      <c r="J113" s="33">
        <v>2</v>
      </c>
      <c r="K113" s="33">
        <v>18</v>
      </c>
      <c r="L113" s="33">
        <v>1</v>
      </c>
      <c r="M113" s="33">
        <v>3</v>
      </c>
    </row>
    <row r="114" spans="1:13">
      <c r="A114" s="32">
        <f t="shared" ca="1" si="1"/>
        <v>57</v>
      </c>
      <c r="B114" s="32" cm="1">
        <f t="array" aca="1" ref="B114" ca="1">INDEX(Data_DBD!$B:$B,$A114)</f>
        <v>2</v>
      </c>
      <c r="C114" s="32" cm="1">
        <f t="array" aca="1" ref="C114" ca="1">INDEX(Data_DBD!$C:$C,$A114)</f>
        <v>2</v>
      </c>
      <c r="D114" s="32" cm="1">
        <f t="array" aca="1" ref="D114" ca="1">INDEX(Data_DBD!$D:$D,$A114)</f>
        <v>15</v>
      </c>
      <c r="E114" s="32" cm="1">
        <f t="array" aca="1" ref="E114" ca="1">INDEX(Data_DBD!$E:$E,$A114)</f>
        <v>1</v>
      </c>
      <c r="F114" s="32" cm="1">
        <f t="array" aca="1" ref="F114" ca="1">INDEX(Data_DBD!$F:$F,$A114)</f>
        <v>2</v>
      </c>
      <c r="H114" s="33">
        <v>81</v>
      </c>
      <c r="I114" s="33">
        <v>23</v>
      </c>
      <c r="J114" s="33">
        <v>5</v>
      </c>
      <c r="K114" s="33">
        <v>13</v>
      </c>
      <c r="L114" s="33">
        <v>1</v>
      </c>
      <c r="M114" s="33">
        <v>2</v>
      </c>
    </row>
    <row r="115" spans="1:13">
      <c r="A115" s="32">
        <f t="shared" ca="1" si="1"/>
        <v>154</v>
      </c>
      <c r="B115" s="32" cm="1">
        <f t="array" aca="1" ref="B115" ca="1">INDEX(Data_DBD!$B:$B,$A115)</f>
        <v>18</v>
      </c>
      <c r="C115" s="32" cm="1">
        <f t="array" aca="1" ref="C115" ca="1">INDEX(Data_DBD!$C:$C,$A115)</f>
        <v>5</v>
      </c>
      <c r="D115" s="32" cm="1">
        <f t="array" aca="1" ref="D115" ca="1">INDEX(Data_DBD!$D:$D,$A115)</f>
        <v>21</v>
      </c>
      <c r="E115" s="32" cm="1">
        <f t="array" aca="1" ref="E115" ca="1">INDEX(Data_DBD!$E:$E,$A115)</f>
        <v>1</v>
      </c>
      <c r="F115" s="32" cm="1">
        <f t="array" aca="1" ref="F115" ca="1">INDEX(Data_DBD!$F:$F,$A115)</f>
        <v>3</v>
      </c>
      <c r="H115" s="33">
        <v>80</v>
      </c>
      <c r="I115" s="33">
        <v>27</v>
      </c>
      <c r="J115" s="33">
        <v>3</v>
      </c>
      <c r="K115" s="33">
        <v>13</v>
      </c>
      <c r="L115" s="33">
        <v>1</v>
      </c>
      <c r="M115" s="33">
        <v>2</v>
      </c>
    </row>
    <row r="116" spans="1:13">
      <c r="A116" s="32">
        <f t="shared" ca="1" si="1"/>
        <v>59</v>
      </c>
      <c r="B116" s="32" cm="1">
        <f t="array" aca="1" ref="B116" ca="1">INDEX(Data_DBD!$B:$B,$A116)</f>
        <v>28</v>
      </c>
      <c r="C116" s="32" cm="1">
        <f t="array" aca="1" ref="C116" ca="1">INDEX(Data_DBD!$C:$C,$A116)</f>
        <v>4</v>
      </c>
      <c r="D116" s="32" cm="1">
        <f t="array" aca="1" ref="D116" ca="1">INDEX(Data_DBD!$D:$D,$A116)</f>
        <v>15</v>
      </c>
      <c r="E116" s="32" cm="1">
        <f t="array" aca="1" ref="E116" ca="1">INDEX(Data_DBD!$E:$E,$A116)</f>
        <v>0</v>
      </c>
      <c r="F116" s="32" cm="1">
        <f t="array" aca="1" ref="F116" ca="1">INDEX(Data_DBD!$F:$F,$A116)</f>
        <v>2</v>
      </c>
      <c r="H116" s="33">
        <v>24</v>
      </c>
      <c r="I116" s="33">
        <v>60</v>
      </c>
      <c r="J116" s="33">
        <v>4</v>
      </c>
      <c r="K116" s="33">
        <v>14</v>
      </c>
      <c r="L116" s="33">
        <v>0</v>
      </c>
      <c r="M116" s="33">
        <v>2</v>
      </c>
    </row>
    <row r="117" spans="1:13">
      <c r="A117" s="32">
        <f t="shared" ca="1" si="1"/>
        <v>124</v>
      </c>
      <c r="B117" s="32" cm="1">
        <f t="array" aca="1" ref="B117" ca="1">INDEX(Data_DBD!$B:$B,$A117)</f>
        <v>24</v>
      </c>
      <c r="C117" s="32" cm="1">
        <f t="array" aca="1" ref="C117" ca="1">INDEX(Data_DBD!$C:$C,$A117)</f>
        <v>3</v>
      </c>
      <c r="D117" s="32" cm="1">
        <f t="array" aca="1" ref="D117" ca="1">INDEX(Data_DBD!$D:$D,$A117)</f>
        <v>33</v>
      </c>
      <c r="E117" s="32" cm="1">
        <f t="array" aca="1" ref="E117" ca="1">INDEX(Data_DBD!$E:$E,$A117)</f>
        <v>1</v>
      </c>
      <c r="F117" s="32" cm="1">
        <f t="array" aca="1" ref="F117" ca="1">INDEX(Data_DBD!$F:$F,$A117)</f>
        <v>3</v>
      </c>
      <c r="H117" s="33">
        <v>122</v>
      </c>
      <c r="I117" s="33">
        <v>28</v>
      </c>
      <c r="J117" s="33">
        <v>3</v>
      </c>
      <c r="K117" s="33">
        <v>33</v>
      </c>
      <c r="L117" s="33">
        <v>1</v>
      </c>
      <c r="M117" s="33">
        <v>3</v>
      </c>
    </row>
    <row r="118" spans="1:13">
      <c r="A118" s="32">
        <f t="shared" ca="1" si="1"/>
        <v>22</v>
      </c>
      <c r="B118" s="32" cm="1">
        <f t="array" aca="1" ref="B118" ca="1">INDEX(Data_DBD!$B:$B,$A118)</f>
        <v>6</v>
      </c>
      <c r="C118" s="32" cm="1">
        <f t="array" aca="1" ref="C118" ca="1">INDEX(Data_DBD!$C:$C,$A118)</f>
        <v>3</v>
      </c>
      <c r="D118" s="32" cm="1">
        <f t="array" aca="1" ref="D118" ca="1">INDEX(Data_DBD!$D:$D,$A118)</f>
        <v>14</v>
      </c>
      <c r="E118" s="32" cm="1">
        <f t="array" aca="1" ref="E118" ca="1">INDEX(Data_DBD!$E:$E,$A118)</f>
        <v>0</v>
      </c>
      <c r="F118" s="32" cm="1">
        <f t="array" aca="1" ref="F118" ca="1">INDEX(Data_DBD!$F:$F,$A118)</f>
        <v>2</v>
      </c>
      <c r="H118" s="33">
        <v>37</v>
      </c>
      <c r="I118" s="33">
        <v>28</v>
      </c>
      <c r="J118" s="33">
        <v>4</v>
      </c>
      <c r="K118" s="33">
        <v>4</v>
      </c>
      <c r="L118" s="33">
        <v>1</v>
      </c>
      <c r="M118" s="33">
        <v>1</v>
      </c>
    </row>
    <row r="119" spans="1:13">
      <c r="A119" s="32">
        <f t="shared" ca="1" si="1"/>
        <v>31</v>
      </c>
      <c r="B119" s="32" cm="1">
        <f t="array" aca="1" ref="B119" ca="1">INDEX(Data_DBD!$B:$B,$A119)</f>
        <v>64</v>
      </c>
      <c r="C119" s="32" cm="1">
        <f t="array" aca="1" ref="C119" ca="1">INDEX(Data_DBD!$C:$C,$A119)</f>
        <v>4</v>
      </c>
      <c r="D119" s="32" cm="1">
        <f t="array" aca="1" ref="D119" ca="1">INDEX(Data_DBD!$D:$D,$A119)</f>
        <v>14</v>
      </c>
      <c r="E119" s="32" cm="1">
        <f t="array" aca="1" ref="E119" ca="1">INDEX(Data_DBD!$E:$E,$A119)</f>
        <v>1</v>
      </c>
      <c r="F119" s="32" cm="1">
        <f t="array" aca="1" ref="F119" ca="1">INDEX(Data_DBD!$F:$F,$A119)</f>
        <v>2</v>
      </c>
      <c r="H119" s="33">
        <v>155</v>
      </c>
      <c r="I119" s="33">
        <v>19</v>
      </c>
      <c r="J119" s="33">
        <v>5</v>
      </c>
      <c r="K119" s="33">
        <v>21</v>
      </c>
      <c r="L119" s="33">
        <v>1</v>
      </c>
      <c r="M119" s="33">
        <v>3</v>
      </c>
    </row>
    <row r="120" spans="1:13">
      <c r="A120" s="32">
        <f t="shared" ca="1" si="1"/>
        <v>146</v>
      </c>
      <c r="B120" s="32" cm="1">
        <f t="array" aca="1" ref="B120" ca="1">INDEX(Data_DBD!$B:$B,$A120)</f>
        <v>34</v>
      </c>
      <c r="C120" s="32" cm="1">
        <f t="array" aca="1" ref="C120" ca="1">INDEX(Data_DBD!$C:$C,$A120)</f>
        <v>2</v>
      </c>
      <c r="D120" s="32" cm="1">
        <f t="array" aca="1" ref="D120" ca="1">INDEX(Data_DBD!$D:$D,$A120)</f>
        <v>21</v>
      </c>
      <c r="E120" s="32" cm="1">
        <f t="array" aca="1" ref="E120" ca="1">INDEX(Data_DBD!$E:$E,$A120)</f>
        <v>1</v>
      </c>
      <c r="F120" s="32" cm="1">
        <f t="array" aca="1" ref="F120" ca="1">INDEX(Data_DBD!$F:$F,$A120)</f>
        <v>3</v>
      </c>
      <c r="H120" s="33">
        <v>58</v>
      </c>
      <c r="I120" s="33">
        <v>17</v>
      </c>
      <c r="J120" s="33">
        <v>3</v>
      </c>
      <c r="K120" s="33">
        <v>15</v>
      </c>
      <c r="L120" s="33">
        <v>0</v>
      </c>
      <c r="M120" s="33">
        <v>2</v>
      </c>
    </row>
    <row r="121" spans="1:13">
      <c r="A121" s="32">
        <f t="shared" ca="1" si="1"/>
        <v>117</v>
      </c>
      <c r="B121" s="32" cm="1">
        <f t="array" aca="1" ref="B121" ca="1">INDEX(Data_DBD!$B:$B,$A121)</f>
        <v>49</v>
      </c>
      <c r="C121" s="32" cm="1">
        <f t="array" aca="1" ref="C121" ca="1">INDEX(Data_DBD!$C:$C,$A121)</f>
        <v>4</v>
      </c>
      <c r="D121" s="32" cm="1">
        <f t="array" aca="1" ref="D121" ca="1">INDEX(Data_DBD!$D:$D,$A121)</f>
        <v>33</v>
      </c>
      <c r="E121" s="32" cm="1">
        <f t="array" aca="1" ref="E121" ca="1">INDEX(Data_DBD!$E:$E,$A121)</f>
        <v>1</v>
      </c>
      <c r="F121" s="32" cm="1">
        <f t="array" aca="1" ref="F121" ca="1">INDEX(Data_DBD!$F:$F,$A121)</f>
        <v>3</v>
      </c>
      <c r="H121" s="33">
        <v>133</v>
      </c>
      <c r="I121" s="33">
        <v>6</v>
      </c>
      <c r="J121" s="33">
        <v>4</v>
      </c>
      <c r="K121" s="33">
        <v>33</v>
      </c>
      <c r="L121" s="33">
        <v>0</v>
      </c>
      <c r="M121" s="33">
        <v>3</v>
      </c>
    </row>
    <row r="122" spans="1:13">
      <c r="A122" s="32">
        <f t="shared" ca="1" si="1"/>
        <v>7</v>
      </c>
      <c r="B122" s="32" cm="1">
        <f t="array" aca="1" ref="B122" ca="1">INDEX(Data_DBD!$B:$B,$A122)</f>
        <v>12</v>
      </c>
      <c r="C122" s="32" cm="1">
        <f t="array" aca="1" ref="C122" ca="1">INDEX(Data_DBD!$C:$C,$A122)</f>
        <v>1</v>
      </c>
      <c r="D122" s="32" cm="1">
        <f t="array" aca="1" ref="D122" ca="1">INDEX(Data_DBD!$D:$D,$A122)</f>
        <v>12</v>
      </c>
      <c r="E122" s="32" cm="1">
        <f t="array" aca="1" ref="E122" ca="1">INDEX(Data_DBD!$E:$E,$A122)</f>
        <v>1</v>
      </c>
      <c r="F122" s="32" cm="1">
        <f t="array" aca="1" ref="F122" ca="1">INDEX(Data_DBD!$F:$F,$A122)</f>
        <v>2</v>
      </c>
      <c r="H122" s="33">
        <v>117</v>
      </c>
      <c r="I122" s="33">
        <v>49</v>
      </c>
      <c r="J122" s="33">
        <v>4</v>
      </c>
      <c r="K122" s="33">
        <v>33</v>
      </c>
      <c r="L122" s="33">
        <v>1</v>
      </c>
      <c r="M122" s="33">
        <v>3</v>
      </c>
    </row>
    <row r="123" spans="1:13">
      <c r="A123" s="32">
        <f t="shared" ca="1" si="1"/>
        <v>149</v>
      </c>
      <c r="B123" s="32" cm="1">
        <f t="array" aca="1" ref="B123" ca="1">INDEX(Data_DBD!$B:$B,$A123)</f>
        <v>19</v>
      </c>
      <c r="C123" s="32" cm="1">
        <f t="array" aca="1" ref="C123" ca="1">INDEX(Data_DBD!$C:$C,$A123)</f>
        <v>5</v>
      </c>
      <c r="D123" s="32" cm="1">
        <f t="array" aca="1" ref="D123" ca="1">INDEX(Data_DBD!$D:$D,$A123)</f>
        <v>21</v>
      </c>
      <c r="E123" s="32" cm="1">
        <f t="array" aca="1" ref="E123" ca="1">INDEX(Data_DBD!$E:$E,$A123)</f>
        <v>0</v>
      </c>
      <c r="F123" s="32" cm="1">
        <f t="array" aca="1" ref="F123" ca="1">INDEX(Data_DBD!$F:$F,$A123)</f>
        <v>3</v>
      </c>
      <c r="H123" s="33">
        <v>132</v>
      </c>
      <c r="I123" s="33">
        <v>10</v>
      </c>
      <c r="J123" s="33">
        <v>3</v>
      </c>
      <c r="K123" s="33">
        <v>33</v>
      </c>
      <c r="L123" s="33">
        <v>1</v>
      </c>
      <c r="M123" s="33">
        <v>3</v>
      </c>
    </row>
    <row r="124" spans="1:13">
      <c r="A124" s="32">
        <f t="shared" ca="1" si="1"/>
        <v>112</v>
      </c>
      <c r="B124" s="32" cm="1">
        <f t="array" aca="1" ref="B124" ca="1">INDEX(Data_DBD!$B:$B,$A124)</f>
        <v>61</v>
      </c>
      <c r="C124" s="32" cm="1">
        <f t="array" aca="1" ref="C124" ca="1">INDEX(Data_DBD!$C:$C,$A124)</f>
        <v>3</v>
      </c>
      <c r="D124" s="32" cm="1">
        <f t="array" aca="1" ref="D124" ca="1">INDEX(Data_DBD!$D:$D,$A124)</f>
        <v>33</v>
      </c>
      <c r="E124" s="32" cm="1">
        <f t="array" aca="1" ref="E124" ca="1">INDEX(Data_DBD!$E:$E,$A124)</f>
        <v>1</v>
      </c>
      <c r="F124" s="32" cm="1">
        <f t="array" aca="1" ref="F124" ca="1">INDEX(Data_DBD!$F:$F,$A124)</f>
        <v>3</v>
      </c>
      <c r="H124" s="33">
        <v>102</v>
      </c>
      <c r="I124" s="33">
        <v>41</v>
      </c>
      <c r="J124" s="33">
        <v>4</v>
      </c>
      <c r="K124" s="33">
        <v>18</v>
      </c>
      <c r="L124" s="33">
        <v>0</v>
      </c>
      <c r="M124" s="33">
        <v>3</v>
      </c>
    </row>
    <row r="125" spans="1:13">
      <c r="A125" s="32">
        <f t="shared" ca="1" si="1"/>
        <v>63</v>
      </c>
      <c r="B125" s="32" cm="1">
        <f t="array" aca="1" ref="B125" ca="1">INDEX(Data_DBD!$B:$B,$A125)</f>
        <v>25</v>
      </c>
      <c r="C125" s="32" cm="1">
        <f t="array" aca="1" ref="C125" ca="1">INDEX(Data_DBD!$C:$C,$A125)</f>
        <v>3</v>
      </c>
      <c r="D125" s="32" cm="1">
        <f t="array" aca="1" ref="D125" ca="1">INDEX(Data_DBD!$D:$D,$A125)</f>
        <v>15</v>
      </c>
      <c r="E125" s="32" cm="1">
        <f t="array" aca="1" ref="E125" ca="1">INDEX(Data_DBD!$E:$E,$A125)</f>
        <v>0</v>
      </c>
      <c r="F125" s="32" cm="1">
        <f t="array" aca="1" ref="F125" ca="1">INDEX(Data_DBD!$F:$F,$A125)</f>
        <v>2</v>
      </c>
      <c r="H125" s="33">
        <v>67</v>
      </c>
      <c r="I125" s="33">
        <v>21</v>
      </c>
      <c r="J125" s="33">
        <v>3</v>
      </c>
      <c r="K125" s="33">
        <v>10</v>
      </c>
      <c r="L125" s="33">
        <v>1</v>
      </c>
      <c r="M125" s="33">
        <v>2</v>
      </c>
    </row>
    <row r="126" spans="1:13">
      <c r="A126" s="32">
        <f t="shared" ca="1" si="1"/>
        <v>55</v>
      </c>
      <c r="B126" s="32" cm="1">
        <f t="array" aca="1" ref="B126" ca="1">INDEX(Data_DBD!$B:$B,$A126)</f>
        <v>7</v>
      </c>
      <c r="C126" s="32" cm="1">
        <f t="array" aca="1" ref="C126" ca="1">INDEX(Data_DBD!$C:$C,$A126)</f>
        <v>4</v>
      </c>
      <c r="D126" s="32" cm="1">
        <f t="array" aca="1" ref="D126" ca="1">INDEX(Data_DBD!$D:$D,$A126)</f>
        <v>15</v>
      </c>
      <c r="E126" s="32" cm="1">
        <f t="array" aca="1" ref="E126" ca="1">INDEX(Data_DBD!$E:$E,$A126)</f>
        <v>1</v>
      </c>
      <c r="F126" s="32" cm="1">
        <f t="array" aca="1" ref="F126" ca="1">INDEX(Data_DBD!$F:$F,$A126)</f>
        <v>2</v>
      </c>
      <c r="H126" s="33">
        <v>108</v>
      </c>
      <c r="I126" s="33">
        <v>69</v>
      </c>
      <c r="J126" s="33">
        <v>7</v>
      </c>
      <c r="K126" s="33">
        <v>33</v>
      </c>
      <c r="L126" s="33">
        <v>1</v>
      </c>
      <c r="M126" s="33">
        <v>3</v>
      </c>
    </row>
    <row r="127" spans="1:13">
      <c r="A127" s="32">
        <f t="shared" ca="1" si="1"/>
        <v>4</v>
      </c>
      <c r="B127" s="32" cm="1">
        <f t="array" aca="1" ref="B127" ca="1">INDEX(Data_DBD!$B:$B,$A127)</f>
        <v>23</v>
      </c>
      <c r="C127" s="32" cm="1">
        <f t="array" aca="1" ref="C127" ca="1">INDEX(Data_DBD!$C:$C,$A127)</f>
        <v>5</v>
      </c>
      <c r="D127" s="32" cm="1">
        <f t="array" aca="1" ref="D127" ca="1">INDEX(Data_DBD!$D:$D,$A127)</f>
        <v>12</v>
      </c>
      <c r="E127" s="32" cm="1">
        <f t="array" aca="1" ref="E127" ca="1">INDEX(Data_DBD!$E:$E,$A127)</f>
        <v>0</v>
      </c>
      <c r="F127" s="32" cm="1">
        <f t="array" aca="1" ref="F127" ca="1">INDEX(Data_DBD!$F:$F,$A127)</f>
        <v>2</v>
      </c>
      <c r="H127" s="33">
        <v>145</v>
      </c>
      <c r="I127" s="33">
        <v>28</v>
      </c>
      <c r="J127" s="33">
        <v>4</v>
      </c>
      <c r="K127" s="33">
        <v>21</v>
      </c>
      <c r="L127" s="33">
        <v>1</v>
      </c>
      <c r="M127" s="33">
        <v>3</v>
      </c>
    </row>
    <row r="128" spans="1:13">
      <c r="A128" s="32">
        <f t="shared" ca="1" si="1"/>
        <v>87</v>
      </c>
      <c r="B128" s="32" cm="1">
        <f t="array" aca="1" ref="B128" ca="1">INDEX(Data_DBD!$B:$B,$A128)</f>
        <v>21</v>
      </c>
      <c r="C128" s="32" cm="1">
        <f t="array" aca="1" ref="C128" ca="1">INDEX(Data_DBD!$C:$C,$A128)</f>
        <v>3</v>
      </c>
      <c r="D128" s="32" cm="1">
        <f t="array" aca="1" ref="D128" ca="1">INDEX(Data_DBD!$D:$D,$A128)</f>
        <v>13</v>
      </c>
      <c r="E128" s="32" cm="1">
        <f t="array" aca="1" ref="E128" ca="1">INDEX(Data_DBD!$E:$E,$A128)</f>
        <v>0</v>
      </c>
      <c r="F128" s="32" cm="1">
        <f t="array" aca="1" ref="F128" ca="1">INDEX(Data_DBD!$F:$F,$A128)</f>
        <v>2</v>
      </c>
      <c r="H128" s="33">
        <v>62</v>
      </c>
      <c r="I128" s="33">
        <v>43</v>
      </c>
      <c r="J128" s="33">
        <v>4</v>
      </c>
      <c r="K128" s="33">
        <v>15</v>
      </c>
      <c r="L128" s="33">
        <v>1</v>
      </c>
      <c r="M128" s="33">
        <v>2</v>
      </c>
    </row>
    <row r="129" spans="1:13">
      <c r="A129" s="32">
        <f t="shared" ca="1" si="1"/>
        <v>91</v>
      </c>
      <c r="B129" s="32" cm="1">
        <f t="array" aca="1" ref="B129" ca="1">INDEX(Data_DBD!$B:$B,$A129)</f>
        <v>35</v>
      </c>
      <c r="C129" s="32" cm="1">
        <f t="array" aca="1" ref="C129" ca="1">INDEX(Data_DBD!$C:$C,$A129)</f>
        <v>1</v>
      </c>
      <c r="D129" s="32" cm="1">
        <f t="array" aca="1" ref="D129" ca="1">INDEX(Data_DBD!$D:$D,$A129)</f>
        <v>18</v>
      </c>
      <c r="E129" s="32" cm="1">
        <f t="array" aca="1" ref="E129" ca="1">INDEX(Data_DBD!$E:$E,$A129)</f>
        <v>1</v>
      </c>
      <c r="F129" s="32" cm="1">
        <f t="array" aca="1" ref="F129" ca="1">INDEX(Data_DBD!$F:$F,$A129)</f>
        <v>3</v>
      </c>
      <c r="H129" s="33">
        <v>45</v>
      </c>
      <c r="I129" s="33">
        <v>75</v>
      </c>
      <c r="J129" s="33">
        <v>3</v>
      </c>
      <c r="K129" s="33">
        <v>13</v>
      </c>
      <c r="L129" s="33">
        <v>1</v>
      </c>
      <c r="M129" s="33">
        <v>2</v>
      </c>
    </row>
    <row r="130" spans="1:13">
      <c r="A130" s="32">
        <f t="shared" ca="1" si="1"/>
        <v>56</v>
      </c>
      <c r="B130" s="32" cm="1">
        <f t="array" aca="1" ref="B130" ca="1">INDEX(Data_DBD!$B:$B,$A130)</f>
        <v>4</v>
      </c>
      <c r="C130" s="32" cm="1">
        <f t="array" aca="1" ref="C130" ca="1">INDEX(Data_DBD!$C:$C,$A130)</f>
        <v>3</v>
      </c>
      <c r="D130" s="32" cm="1">
        <f t="array" aca="1" ref="D130" ca="1">INDEX(Data_DBD!$D:$D,$A130)</f>
        <v>15</v>
      </c>
      <c r="E130" s="32" cm="1">
        <f t="array" aca="1" ref="E130" ca="1">INDEX(Data_DBD!$E:$E,$A130)</f>
        <v>0</v>
      </c>
      <c r="F130" s="32" cm="1">
        <f t="array" aca="1" ref="F130" ca="1">INDEX(Data_DBD!$F:$F,$A130)</f>
        <v>2</v>
      </c>
      <c r="H130" s="33">
        <v>30</v>
      </c>
      <c r="I130" s="33" t="s">
        <v>37</v>
      </c>
      <c r="J130" s="33">
        <v>2</v>
      </c>
      <c r="K130" s="33">
        <v>14</v>
      </c>
      <c r="L130" s="33">
        <v>1</v>
      </c>
      <c r="M130" s="33">
        <v>2</v>
      </c>
    </row>
    <row r="131" spans="1:13">
      <c r="A131" s="32">
        <f t="shared" ref="A131:A164" ca="1" si="2">RANDBETWEEN(2,164)</f>
        <v>150</v>
      </c>
      <c r="B131" s="32" cm="1">
        <f t="array" aca="1" ref="B131" ca="1">INDEX(Data_DBD!$B:$B,$A131)</f>
        <v>61</v>
      </c>
      <c r="C131" s="32" cm="1">
        <f t="array" aca="1" ref="C131" ca="1">INDEX(Data_DBD!$C:$C,$A131)</f>
        <v>5</v>
      </c>
      <c r="D131" s="32" cm="1">
        <f t="array" aca="1" ref="D131" ca="1">INDEX(Data_DBD!$D:$D,$A131)</f>
        <v>21</v>
      </c>
      <c r="E131" s="32" cm="1">
        <f t="array" aca="1" ref="E131" ca="1">INDEX(Data_DBD!$E:$E,$A131)</f>
        <v>1</v>
      </c>
      <c r="F131" s="32" cm="1">
        <f t="array" aca="1" ref="F131" ca="1">INDEX(Data_DBD!$F:$F,$A131)</f>
        <v>3</v>
      </c>
      <c r="H131" s="33">
        <v>126</v>
      </c>
      <c r="I131" s="33">
        <v>51</v>
      </c>
      <c r="J131" s="33">
        <v>3</v>
      </c>
      <c r="K131" s="33">
        <v>33</v>
      </c>
      <c r="L131" s="33">
        <v>1</v>
      </c>
      <c r="M131" s="33">
        <v>3</v>
      </c>
    </row>
    <row r="132" spans="1:13">
      <c r="A132" s="32">
        <f t="shared" ca="1" si="2"/>
        <v>52</v>
      </c>
      <c r="B132" s="32" cm="1">
        <f t="array" aca="1" ref="B132" ca="1">INDEX(Data_DBD!$B:$B,$A132)</f>
        <v>59</v>
      </c>
      <c r="C132" s="32" cm="1">
        <f t="array" aca="1" ref="C132" ca="1">INDEX(Data_DBD!$C:$C,$A132)</f>
        <v>4</v>
      </c>
      <c r="D132" s="32" cm="1">
        <f t="array" aca="1" ref="D132" ca="1">INDEX(Data_DBD!$D:$D,$A132)</f>
        <v>15</v>
      </c>
      <c r="E132" s="32" cm="1">
        <f t="array" aca="1" ref="E132" ca="1">INDEX(Data_DBD!$E:$E,$A132)</f>
        <v>1</v>
      </c>
      <c r="F132" s="32" cm="1">
        <f t="array" aca="1" ref="F132" ca="1">INDEX(Data_DBD!$F:$F,$A132)</f>
        <v>2</v>
      </c>
      <c r="H132" s="33">
        <v>76</v>
      </c>
      <c r="I132" s="33">
        <v>70</v>
      </c>
      <c r="J132" s="33">
        <v>2</v>
      </c>
      <c r="K132" s="33">
        <v>10</v>
      </c>
      <c r="L132" s="33">
        <v>0</v>
      </c>
      <c r="M132" s="33">
        <v>2</v>
      </c>
    </row>
    <row r="133" spans="1:13">
      <c r="A133" s="32">
        <f t="shared" ca="1" si="2"/>
        <v>119</v>
      </c>
      <c r="B133" s="32" cm="1">
        <f t="array" aca="1" ref="B133" ca="1">INDEX(Data_DBD!$B:$B,$A133)</f>
        <v>30</v>
      </c>
      <c r="C133" s="32" cm="1">
        <f t="array" aca="1" ref="C133" ca="1">INDEX(Data_DBD!$C:$C,$A133)</f>
        <v>7</v>
      </c>
      <c r="D133" s="32" cm="1">
        <f t="array" aca="1" ref="D133" ca="1">INDEX(Data_DBD!$D:$D,$A133)</f>
        <v>33</v>
      </c>
      <c r="E133" s="32" cm="1">
        <f t="array" aca="1" ref="E133" ca="1">INDEX(Data_DBD!$E:$E,$A133)</f>
        <v>0</v>
      </c>
      <c r="F133" s="32" cm="1">
        <f t="array" aca="1" ref="F133" ca="1">INDEX(Data_DBD!$F:$F,$A133)</f>
        <v>3</v>
      </c>
      <c r="H133" s="33">
        <v>146</v>
      </c>
      <c r="I133" s="33">
        <v>34</v>
      </c>
      <c r="J133" s="33">
        <v>2</v>
      </c>
      <c r="K133" s="33">
        <v>21</v>
      </c>
      <c r="L133" s="33">
        <v>1</v>
      </c>
      <c r="M133" s="33">
        <v>3</v>
      </c>
    </row>
    <row r="134" spans="1:13">
      <c r="A134" s="32">
        <f t="shared" ca="1" si="2"/>
        <v>18</v>
      </c>
      <c r="B134" s="32" cm="1">
        <f t="array" aca="1" ref="B134" ca="1">INDEX(Data_DBD!$B:$B,$A134)</f>
        <v>49</v>
      </c>
      <c r="C134" s="32" cm="1">
        <f t="array" aca="1" ref="C134" ca="1">INDEX(Data_DBD!$C:$C,$A134)</f>
        <v>4</v>
      </c>
      <c r="D134" s="32" cm="1">
        <f t="array" aca="1" ref="D134" ca="1">INDEX(Data_DBD!$D:$D,$A134)</f>
        <v>7</v>
      </c>
      <c r="E134" s="32" cm="1">
        <f t="array" aca="1" ref="E134" ca="1">INDEX(Data_DBD!$E:$E,$A134)</f>
        <v>1</v>
      </c>
      <c r="F134" s="32" cm="1">
        <f t="array" aca="1" ref="F134" ca="1">INDEX(Data_DBD!$F:$F,$A134)</f>
        <v>1</v>
      </c>
      <c r="H134" s="33">
        <v>71</v>
      </c>
      <c r="I134" s="33">
        <v>84</v>
      </c>
      <c r="J134" s="33">
        <v>3</v>
      </c>
      <c r="K134" s="33">
        <v>10</v>
      </c>
      <c r="L134" s="33">
        <v>0</v>
      </c>
      <c r="M134" s="33">
        <v>2</v>
      </c>
    </row>
    <row r="135" spans="1:13">
      <c r="A135" s="32">
        <f t="shared" ca="1" si="2"/>
        <v>134</v>
      </c>
      <c r="B135" s="32" cm="1">
        <f t="array" aca="1" ref="B135" ca="1">INDEX(Data_DBD!$B:$B,$A135)</f>
        <v>4</v>
      </c>
      <c r="C135" s="32" cm="1">
        <f t="array" aca="1" ref="C135" ca="1">INDEX(Data_DBD!$C:$C,$A135)</f>
        <v>2</v>
      </c>
      <c r="D135" s="32" cm="1">
        <f t="array" aca="1" ref="D135" ca="1">INDEX(Data_DBD!$D:$D,$A135)</f>
        <v>33</v>
      </c>
      <c r="E135" s="32" cm="1">
        <f t="array" aca="1" ref="E135" ca="1">INDEX(Data_DBD!$E:$E,$A135)</f>
        <v>1</v>
      </c>
      <c r="F135" s="32" cm="1">
        <f t="array" aca="1" ref="F135" ca="1">INDEX(Data_DBD!$F:$F,$A135)</f>
        <v>3</v>
      </c>
      <c r="H135" s="33">
        <v>80</v>
      </c>
      <c r="I135" s="33">
        <v>27</v>
      </c>
      <c r="J135" s="33">
        <v>3</v>
      </c>
      <c r="K135" s="33">
        <v>13</v>
      </c>
      <c r="L135" s="33">
        <v>1</v>
      </c>
      <c r="M135" s="33">
        <v>2</v>
      </c>
    </row>
    <row r="136" spans="1:13">
      <c r="A136" s="32">
        <f t="shared" ca="1" si="2"/>
        <v>95</v>
      </c>
      <c r="B136" s="32" cm="1">
        <f t="array" aca="1" ref="B136" ca="1">INDEX(Data_DBD!$B:$B,$A136)</f>
        <v>11</v>
      </c>
      <c r="C136" s="32" cm="1">
        <f t="array" aca="1" ref="C136" ca="1">INDEX(Data_DBD!$C:$C,$A136)</f>
        <v>3</v>
      </c>
      <c r="D136" s="32" cm="1">
        <f t="array" aca="1" ref="D136" ca="1">INDEX(Data_DBD!$D:$D,$A136)</f>
        <v>18</v>
      </c>
      <c r="E136" s="32" cm="1">
        <f t="array" aca="1" ref="E136" ca="1">INDEX(Data_DBD!$E:$E,$A136)</f>
        <v>1</v>
      </c>
      <c r="F136" s="32" cm="1">
        <f t="array" aca="1" ref="F136" ca="1">INDEX(Data_DBD!$F:$F,$A136)</f>
        <v>3</v>
      </c>
      <c r="H136" s="33">
        <v>116</v>
      </c>
      <c r="I136" s="33">
        <v>32</v>
      </c>
      <c r="J136" s="33">
        <v>4</v>
      </c>
      <c r="K136" s="33">
        <v>33</v>
      </c>
      <c r="L136" s="33">
        <v>1</v>
      </c>
      <c r="M136" s="33">
        <v>3</v>
      </c>
    </row>
    <row r="137" spans="1:13">
      <c r="A137" s="32">
        <f t="shared" ca="1" si="2"/>
        <v>98</v>
      </c>
      <c r="B137" s="32" cm="1">
        <f t="array" aca="1" ref="B137" ca="1">INDEX(Data_DBD!$B:$B,$A137)</f>
        <v>16</v>
      </c>
      <c r="C137" s="32" cm="1">
        <f t="array" aca="1" ref="C137" ca="1">INDEX(Data_DBD!$C:$C,$A137)</f>
        <v>2</v>
      </c>
      <c r="D137" s="32" cm="1">
        <f t="array" aca="1" ref="D137" ca="1">INDEX(Data_DBD!$D:$D,$A137)</f>
        <v>18</v>
      </c>
      <c r="E137" s="32" cm="1">
        <f t="array" aca="1" ref="E137" ca="1">INDEX(Data_DBD!$E:$E,$A137)</f>
        <v>1</v>
      </c>
      <c r="F137" s="32" cm="1">
        <f t="array" aca="1" ref="F137" ca="1">INDEX(Data_DBD!$F:$F,$A137)</f>
        <v>3</v>
      </c>
      <c r="H137" s="33">
        <v>73</v>
      </c>
      <c r="I137" s="33">
        <v>15</v>
      </c>
      <c r="J137" s="33">
        <v>3</v>
      </c>
      <c r="K137" s="33">
        <v>10</v>
      </c>
      <c r="L137" s="33">
        <v>1</v>
      </c>
      <c r="M137" s="33">
        <v>2</v>
      </c>
    </row>
    <row r="138" spans="1:13">
      <c r="A138" s="32">
        <f t="shared" ca="1" si="2"/>
        <v>27</v>
      </c>
      <c r="B138" s="32" cm="1">
        <f t="array" aca="1" ref="B138" ca="1">INDEX(Data_DBD!$B:$B,$A138)</f>
        <v>37</v>
      </c>
      <c r="C138" s="32" cm="1">
        <f t="array" aca="1" ref="C138" ca="1">INDEX(Data_DBD!$C:$C,$A138)</f>
        <v>4</v>
      </c>
      <c r="D138" s="32" cm="1">
        <f t="array" aca="1" ref="D138" ca="1">INDEX(Data_DBD!$D:$D,$A138)</f>
        <v>14</v>
      </c>
      <c r="E138" s="32" cm="1">
        <f t="array" aca="1" ref="E138" ca="1">INDEX(Data_DBD!$E:$E,$A138)</f>
        <v>1</v>
      </c>
      <c r="F138" s="32" cm="1">
        <f t="array" aca="1" ref="F138" ca="1">INDEX(Data_DBD!$F:$F,$A138)</f>
        <v>2</v>
      </c>
      <c r="H138" s="33">
        <v>127</v>
      </c>
      <c r="I138" s="33">
        <v>21</v>
      </c>
      <c r="J138" s="33">
        <v>2</v>
      </c>
      <c r="K138" s="33">
        <v>33</v>
      </c>
      <c r="L138" s="33">
        <v>0</v>
      </c>
      <c r="M138" s="33">
        <v>3</v>
      </c>
    </row>
    <row r="139" spans="1:13">
      <c r="A139" s="32">
        <f t="shared" ca="1" si="2"/>
        <v>79</v>
      </c>
      <c r="B139" s="32" cm="1">
        <f t="array" aca="1" ref="B139" ca="1">INDEX(Data_DBD!$B:$B,$A139)</f>
        <v>29</v>
      </c>
      <c r="C139" s="32" cm="1">
        <f t="array" aca="1" ref="C139" ca="1">INDEX(Data_DBD!$C:$C,$A139)</f>
        <v>3</v>
      </c>
      <c r="D139" s="32" cm="1">
        <f t="array" aca="1" ref="D139" ca="1">INDEX(Data_DBD!$D:$D,$A139)</f>
        <v>13</v>
      </c>
      <c r="E139" s="32" cm="1">
        <f t="array" aca="1" ref="E139" ca="1">INDEX(Data_DBD!$E:$E,$A139)</f>
        <v>0</v>
      </c>
      <c r="F139" s="32" cm="1">
        <f t="array" aca="1" ref="F139" ca="1">INDEX(Data_DBD!$F:$F,$A139)</f>
        <v>2</v>
      </c>
      <c r="H139" s="33">
        <v>86</v>
      </c>
      <c r="I139" s="33">
        <v>23</v>
      </c>
      <c r="J139" s="33">
        <v>3</v>
      </c>
      <c r="K139" s="33">
        <v>13</v>
      </c>
      <c r="L139" s="33">
        <v>0</v>
      </c>
      <c r="M139" s="33">
        <v>2</v>
      </c>
    </row>
    <row r="140" spans="1:13">
      <c r="A140" s="32">
        <f t="shared" ca="1" si="2"/>
        <v>104</v>
      </c>
      <c r="B140" s="32" cm="1">
        <f t="array" aca="1" ref="B140" ca="1">INDEX(Data_DBD!$B:$B,$A140)</f>
        <v>37</v>
      </c>
      <c r="C140" s="32" cm="1">
        <f t="array" aca="1" ref="C140" ca="1">INDEX(Data_DBD!$C:$C,$A140)</f>
        <v>4</v>
      </c>
      <c r="D140" s="32" cm="1">
        <f t="array" aca="1" ref="D140" ca="1">INDEX(Data_DBD!$D:$D,$A140)</f>
        <v>18</v>
      </c>
      <c r="E140" s="32" cm="1">
        <f t="array" aca="1" ref="E140" ca="1">INDEX(Data_DBD!$E:$E,$A140)</f>
        <v>1</v>
      </c>
      <c r="F140" s="32" cm="1">
        <f t="array" aca="1" ref="F140" ca="1">INDEX(Data_DBD!$F:$F,$A140)</f>
        <v>3</v>
      </c>
      <c r="H140" s="33">
        <v>109</v>
      </c>
      <c r="I140" s="33">
        <v>40</v>
      </c>
      <c r="J140" s="33">
        <v>3</v>
      </c>
      <c r="K140" s="33">
        <v>33</v>
      </c>
      <c r="L140" s="33">
        <v>1</v>
      </c>
      <c r="M140" s="33">
        <v>3</v>
      </c>
    </row>
    <row r="141" spans="1:13">
      <c r="A141" s="32">
        <f t="shared" ca="1" si="2"/>
        <v>132</v>
      </c>
      <c r="B141" s="32" cm="1">
        <f t="array" aca="1" ref="B141" ca="1">INDEX(Data_DBD!$B:$B,$A141)</f>
        <v>10</v>
      </c>
      <c r="C141" s="32" cm="1">
        <f t="array" aca="1" ref="C141" ca="1">INDEX(Data_DBD!$C:$C,$A141)</f>
        <v>3</v>
      </c>
      <c r="D141" s="32" cm="1">
        <f t="array" aca="1" ref="D141" ca="1">INDEX(Data_DBD!$D:$D,$A141)</f>
        <v>33</v>
      </c>
      <c r="E141" s="32" cm="1">
        <f t="array" aca="1" ref="E141" ca="1">INDEX(Data_DBD!$E:$E,$A141)</f>
        <v>1</v>
      </c>
      <c r="F141" s="32" cm="1">
        <f t="array" aca="1" ref="F141" ca="1">INDEX(Data_DBD!$F:$F,$A141)</f>
        <v>3</v>
      </c>
      <c r="H141" s="33">
        <v>13</v>
      </c>
      <c r="I141" s="33">
        <v>47</v>
      </c>
      <c r="J141" s="33">
        <v>2</v>
      </c>
      <c r="K141" s="33">
        <v>12</v>
      </c>
      <c r="L141" s="33">
        <v>0</v>
      </c>
      <c r="M141" s="33">
        <v>2</v>
      </c>
    </row>
    <row r="142" spans="1:13">
      <c r="A142" s="32">
        <f t="shared" ca="1" si="2"/>
        <v>99</v>
      </c>
      <c r="B142" s="32" cm="1">
        <f t="array" aca="1" ref="B142" ca="1">INDEX(Data_DBD!$B:$B,$A142)</f>
        <v>4</v>
      </c>
      <c r="C142" s="32" cm="1">
        <f t="array" aca="1" ref="C142" ca="1">INDEX(Data_DBD!$C:$C,$A142)</f>
        <v>2</v>
      </c>
      <c r="D142" s="32" cm="1">
        <f t="array" aca="1" ref="D142" ca="1">INDEX(Data_DBD!$D:$D,$A142)</f>
        <v>18</v>
      </c>
      <c r="E142" s="32" cm="1">
        <f t="array" aca="1" ref="E142" ca="1">INDEX(Data_DBD!$E:$E,$A142)</f>
        <v>1</v>
      </c>
      <c r="F142" s="32" cm="1">
        <f t="array" aca="1" ref="F142" ca="1">INDEX(Data_DBD!$F:$F,$A142)</f>
        <v>3</v>
      </c>
      <c r="H142" s="33">
        <v>7</v>
      </c>
      <c r="I142" s="33">
        <v>12</v>
      </c>
      <c r="J142" s="33">
        <v>1</v>
      </c>
      <c r="K142" s="33">
        <v>12</v>
      </c>
      <c r="L142" s="33">
        <v>1</v>
      </c>
      <c r="M142" s="33">
        <v>2</v>
      </c>
    </row>
    <row r="143" spans="1:13">
      <c r="A143" s="32">
        <f t="shared" ca="1" si="2"/>
        <v>70</v>
      </c>
      <c r="B143" s="32" cm="1">
        <f t="array" aca="1" ref="B143" ca="1">INDEX(Data_DBD!$B:$B,$A143)</f>
        <v>26</v>
      </c>
      <c r="C143" s="32" cm="1">
        <f t="array" aca="1" ref="C143" ca="1">INDEX(Data_DBD!$C:$C,$A143)</f>
        <v>3</v>
      </c>
      <c r="D143" s="32" cm="1">
        <f t="array" aca="1" ref="D143" ca="1">INDEX(Data_DBD!$D:$D,$A143)</f>
        <v>10</v>
      </c>
      <c r="E143" s="32" cm="1">
        <f t="array" aca="1" ref="E143" ca="1">INDEX(Data_DBD!$E:$E,$A143)</f>
        <v>1</v>
      </c>
      <c r="F143" s="32" cm="1">
        <f t="array" aca="1" ref="F143" ca="1">INDEX(Data_DBD!$F:$F,$A143)</f>
        <v>2</v>
      </c>
      <c r="H143" s="33">
        <v>85</v>
      </c>
      <c r="I143" s="33">
        <v>27</v>
      </c>
      <c r="J143" s="33">
        <v>9</v>
      </c>
      <c r="K143" s="33">
        <v>13</v>
      </c>
      <c r="L143" s="33">
        <v>0</v>
      </c>
      <c r="M143" s="33">
        <v>2</v>
      </c>
    </row>
    <row r="144" spans="1:13">
      <c r="A144" s="32">
        <f t="shared" ca="1" si="2"/>
        <v>53</v>
      </c>
      <c r="B144" s="32" cm="1">
        <f t="array" aca="1" ref="B144" ca="1">INDEX(Data_DBD!$B:$B,$A144)</f>
        <v>35</v>
      </c>
      <c r="C144" s="32" cm="1">
        <f t="array" aca="1" ref="C144" ca="1">INDEX(Data_DBD!$C:$C,$A144)</f>
        <v>4</v>
      </c>
      <c r="D144" s="32" cm="1">
        <f t="array" aca="1" ref="D144" ca="1">INDEX(Data_DBD!$D:$D,$A144)</f>
        <v>15</v>
      </c>
      <c r="E144" s="32" cm="1">
        <f t="array" aca="1" ref="E144" ca="1">INDEX(Data_DBD!$E:$E,$A144)</f>
        <v>1</v>
      </c>
      <c r="F144" s="32" cm="1">
        <f t="array" aca="1" ref="F144" ca="1">INDEX(Data_DBD!$F:$F,$A144)</f>
        <v>2</v>
      </c>
      <c r="H144" s="33">
        <v>134</v>
      </c>
      <c r="I144" s="33">
        <v>4</v>
      </c>
      <c r="J144" s="33">
        <v>2</v>
      </c>
      <c r="K144" s="33">
        <v>33</v>
      </c>
      <c r="L144" s="33">
        <v>1</v>
      </c>
      <c r="M144" s="33">
        <v>3</v>
      </c>
    </row>
    <row r="145" spans="1:22">
      <c r="A145" s="32">
        <f t="shared" ca="1" si="2"/>
        <v>5</v>
      </c>
      <c r="B145" s="32" cm="1">
        <f t="array" aca="1" ref="B145" ca="1">INDEX(Data_DBD!$B:$B,$A145)</f>
        <v>18</v>
      </c>
      <c r="C145" s="32" cm="1">
        <f t="array" aca="1" ref="C145" ca="1">INDEX(Data_DBD!$C:$C,$A145)</f>
        <v>2</v>
      </c>
      <c r="D145" s="32" cm="1">
        <f t="array" aca="1" ref="D145" ca="1">INDEX(Data_DBD!$D:$D,$A145)</f>
        <v>12</v>
      </c>
      <c r="E145" s="32" cm="1">
        <f t="array" aca="1" ref="E145" ca="1">INDEX(Data_DBD!$E:$E,$A145)</f>
        <v>1</v>
      </c>
      <c r="F145" s="32" cm="1">
        <f t="array" aca="1" ref="F145" ca="1">INDEX(Data_DBD!$F:$F,$A145)</f>
        <v>2</v>
      </c>
      <c r="H145" s="33">
        <v>140</v>
      </c>
      <c r="I145" s="33">
        <v>74</v>
      </c>
      <c r="J145" s="33">
        <v>5</v>
      </c>
      <c r="K145" s="33">
        <v>21</v>
      </c>
      <c r="L145" s="33">
        <v>1</v>
      </c>
      <c r="M145" s="33">
        <v>3</v>
      </c>
    </row>
    <row r="146" spans="1:22">
      <c r="A146" s="32">
        <f t="shared" ca="1" si="2"/>
        <v>69</v>
      </c>
      <c r="B146" s="32" cm="1">
        <f t="array" aca="1" ref="B146" ca="1">INDEX(Data_DBD!$B:$B,$A146)</f>
        <v>24</v>
      </c>
      <c r="C146" s="32" cm="1">
        <f t="array" aca="1" ref="C146" ca="1">INDEX(Data_DBD!$C:$C,$A146)</f>
        <v>4</v>
      </c>
      <c r="D146" s="32" cm="1">
        <f t="array" aca="1" ref="D146" ca="1">INDEX(Data_DBD!$D:$D,$A146)</f>
        <v>10</v>
      </c>
      <c r="E146" s="32" cm="1">
        <f t="array" aca="1" ref="E146" ca="1">INDEX(Data_DBD!$E:$E,$A146)</f>
        <v>1</v>
      </c>
      <c r="F146" s="32" cm="1">
        <f t="array" aca="1" ref="F146" ca="1">INDEX(Data_DBD!$F:$F,$A146)</f>
        <v>2</v>
      </c>
      <c r="H146" s="33">
        <v>107</v>
      </c>
      <c r="I146" s="33">
        <v>48</v>
      </c>
      <c r="J146" s="33">
        <v>5</v>
      </c>
      <c r="K146" s="33">
        <v>18</v>
      </c>
      <c r="L146" s="33">
        <v>0</v>
      </c>
      <c r="M146" s="33">
        <v>3</v>
      </c>
    </row>
    <row r="147" spans="1:22">
      <c r="A147" s="32">
        <f t="shared" ca="1" si="2"/>
        <v>153</v>
      </c>
      <c r="B147" s="32" cm="1">
        <f t="array" aca="1" ref="B147" ca="1">INDEX(Data_DBD!$B:$B,$A147)</f>
        <v>73</v>
      </c>
      <c r="C147" s="32" cm="1">
        <f t="array" aca="1" ref="C147" ca="1">INDEX(Data_DBD!$C:$C,$A147)</f>
        <v>7</v>
      </c>
      <c r="D147" s="32" cm="1">
        <f t="array" aca="1" ref="D147" ca="1">INDEX(Data_DBD!$D:$D,$A147)</f>
        <v>21</v>
      </c>
      <c r="E147" s="32" cm="1">
        <f t="array" aca="1" ref="E147" ca="1">INDEX(Data_DBD!$E:$E,$A147)</f>
        <v>1</v>
      </c>
      <c r="F147" s="32" cm="1">
        <f t="array" aca="1" ref="F147" ca="1">INDEX(Data_DBD!$F:$F,$A147)</f>
        <v>3</v>
      </c>
      <c r="H147" s="33">
        <v>72</v>
      </c>
      <c r="I147" s="33">
        <v>3</v>
      </c>
      <c r="J147" s="33">
        <v>5</v>
      </c>
      <c r="K147" s="33">
        <v>10</v>
      </c>
      <c r="L147" s="33">
        <v>1</v>
      </c>
      <c r="M147" s="33">
        <v>2</v>
      </c>
    </row>
    <row r="148" spans="1:22">
      <c r="A148" s="32">
        <f t="shared" ca="1" si="2"/>
        <v>16</v>
      </c>
      <c r="B148" s="32" cm="1">
        <f t="array" aca="1" ref="B148" ca="1">INDEX(Data_DBD!$B:$B,$A148)</f>
        <v>66</v>
      </c>
      <c r="C148" s="32" cm="1">
        <f t="array" aca="1" ref="C148" ca="1">INDEX(Data_DBD!$C:$C,$A148)</f>
        <v>5</v>
      </c>
      <c r="D148" s="32" cm="1">
        <f t="array" aca="1" ref="D148" ca="1">INDEX(Data_DBD!$D:$D,$A148)</f>
        <v>7</v>
      </c>
      <c r="E148" s="32" cm="1">
        <f t="array" aca="1" ref="E148" ca="1">INDEX(Data_DBD!$E:$E,$A148)</f>
        <v>1</v>
      </c>
      <c r="F148" s="32" cm="1">
        <f t="array" aca="1" ref="F148" ca="1">INDEX(Data_DBD!$F:$F,$A148)</f>
        <v>1</v>
      </c>
      <c r="H148" s="33">
        <v>69</v>
      </c>
      <c r="I148" s="33">
        <v>24</v>
      </c>
      <c r="J148" s="33">
        <v>4</v>
      </c>
      <c r="K148" s="33">
        <v>10</v>
      </c>
      <c r="L148" s="33">
        <v>1</v>
      </c>
      <c r="M148" s="33">
        <v>2</v>
      </c>
    </row>
    <row r="149" spans="1:22">
      <c r="A149" s="32">
        <f t="shared" ca="1" si="2"/>
        <v>50</v>
      </c>
      <c r="B149" s="32" cm="1">
        <f t="array" aca="1" ref="B149" ca="1">INDEX(Data_DBD!$B:$B,$A149)</f>
        <v>19</v>
      </c>
      <c r="C149" s="32" cm="1">
        <f t="array" aca="1" ref="C149" ca="1">INDEX(Data_DBD!$C:$C,$A149)</f>
        <v>5</v>
      </c>
      <c r="D149" s="32" cm="1">
        <f t="array" aca="1" ref="D149" ca="1">INDEX(Data_DBD!$D:$D,$A149)</f>
        <v>13</v>
      </c>
      <c r="E149" s="32" cm="1">
        <f t="array" aca="1" ref="E149" ca="1">INDEX(Data_DBD!$E:$E,$A149)</f>
        <v>0</v>
      </c>
      <c r="F149" s="32" cm="1">
        <f t="array" aca="1" ref="F149" ca="1">INDEX(Data_DBD!$F:$F,$A149)</f>
        <v>2</v>
      </c>
      <c r="H149" s="33">
        <v>95</v>
      </c>
      <c r="I149" s="33">
        <v>11</v>
      </c>
      <c r="J149" s="33">
        <v>3</v>
      </c>
      <c r="K149" s="33">
        <v>18</v>
      </c>
      <c r="L149" s="33">
        <v>1</v>
      </c>
      <c r="M149" s="33">
        <v>3</v>
      </c>
    </row>
    <row r="150" spans="1:22">
      <c r="A150" s="32">
        <f t="shared" ca="1" si="2"/>
        <v>73</v>
      </c>
      <c r="B150" s="32" cm="1">
        <f t="array" aca="1" ref="B150" ca="1">INDEX(Data_DBD!$B:$B,$A150)</f>
        <v>15</v>
      </c>
      <c r="C150" s="32" cm="1">
        <f t="array" aca="1" ref="C150" ca="1">INDEX(Data_DBD!$C:$C,$A150)</f>
        <v>3</v>
      </c>
      <c r="D150" s="32" cm="1">
        <f t="array" aca="1" ref="D150" ca="1">INDEX(Data_DBD!$D:$D,$A150)</f>
        <v>10</v>
      </c>
      <c r="E150" s="32" cm="1">
        <f t="array" aca="1" ref="E150" ca="1">INDEX(Data_DBD!$E:$E,$A150)</f>
        <v>1</v>
      </c>
      <c r="F150" s="32" cm="1">
        <f t="array" aca="1" ref="F150" ca="1">INDEX(Data_DBD!$F:$F,$A150)</f>
        <v>2</v>
      </c>
      <c r="H150" s="33">
        <v>114</v>
      </c>
      <c r="I150" s="33">
        <v>14</v>
      </c>
      <c r="J150" s="33">
        <v>2</v>
      </c>
      <c r="K150" s="33">
        <v>33</v>
      </c>
      <c r="L150" s="33">
        <v>1</v>
      </c>
      <c r="M150" s="33">
        <v>3</v>
      </c>
    </row>
    <row r="151" spans="1:22">
      <c r="A151" s="32">
        <f t="shared" ca="1" si="2"/>
        <v>4</v>
      </c>
      <c r="B151" s="32" cm="1">
        <f t="array" aca="1" ref="B151" ca="1">INDEX(Data_DBD!$B:$B,$A151)</f>
        <v>23</v>
      </c>
      <c r="C151" s="32" cm="1">
        <f t="array" aca="1" ref="C151" ca="1">INDEX(Data_DBD!$C:$C,$A151)</f>
        <v>5</v>
      </c>
      <c r="D151" s="32" cm="1">
        <f t="array" aca="1" ref="D151" ca="1">INDEX(Data_DBD!$D:$D,$A151)</f>
        <v>12</v>
      </c>
      <c r="E151" s="32" cm="1">
        <f t="array" aca="1" ref="E151" ca="1">INDEX(Data_DBD!$E:$E,$A151)</f>
        <v>0</v>
      </c>
      <c r="F151" s="32" cm="1">
        <f t="array" aca="1" ref="F151" ca="1">INDEX(Data_DBD!$F:$F,$A151)</f>
        <v>2</v>
      </c>
      <c r="H151" s="33">
        <v>88</v>
      </c>
      <c r="I151" s="33">
        <v>20</v>
      </c>
      <c r="J151" s="33">
        <v>4</v>
      </c>
      <c r="K151" s="33">
        <v>13</v>
      </c>
      <c r="L151" s="33">
        <v>1</v>
      </c>
      <c r="M151" s="33">
        <v>2</v>
      </c>
    </row>
    <row r="152" spans="1:22">
      <c r="A152" s="32">
        <f t="shared" ca="1" si="2"/>
        <v>49</v>
      </c>
      <c r="B152" s="32" cm="1">
        <f t="array" aca="1" ref="B152" ca="1">INDEX(Data_DBD!$B:$B,$A152)</f>
        <v>64</v>
      </c>
      <c r="C152" s="32" cm="1">
        <f t="array" aca="1" ref="C152" ca="1">INDEX(Data_DBD!$C:$C,$A152)</f>
        <v>5</v>
      </c>
      <c r="D152" s="32" cm="1">
        <f t="array" aca="1" ref="D152" ca="1">INDEX(Data_DBD!$D:$D,$A152)</f>
        <v>13</v>
      </c>
      <c r="E152" s="32" cm="1">
        <f t="array" aca="1" ref="E152" ca="1">INDEX(Data_DBD!$E:$E,$A152)</f>
        <v>0</v>
      </c>
      <c r="F152" s="32" cm="1">
        <f t="array" aca="1" ref="F152" ca="1">INDEX(Data_DBD!$F:$F,$A152)</f>
        <v>2</v>
      </c>
      <c r="H152" s="33">
        <v>150</v>
      </c>
      <c r="I152" s="33">
        <v>61</v>
      </c>
      <c r="J152" s="33">
        <v>5</v>
      </c>
      <c r="K152" s="33">
        <v>21</v>
      </c>
      <c r="L152" s="33">
        <v>1</v>
      </c>
      <c r="M152" s="33">
        <v>3</v>
      </c>
    </row>
    <row r="153" spans="1:22">
      <c r="A153" s="32">
        <f t="shared" ca="1" si="2"/>
        <v>107</v>
      </c>
      <c r="B153" s="32" cm="1">
        <f t="array" aca="1" ref="B153" ca="1">INDEX(Data_DBD!$B:$B,$A153)</f>
        <v>48</v>
      </c>
      <c r="C153" s="32" cm="1">
        <f t="array" aca="1" ref="C153" ca="1">INDEX(Data_DBD!$C:$C,$A153)</f>
        <v>5</v>
      </c>
      <c r="D153" s="32" cm="1">
        <f t="array" aca="1" ref="D153" ca="1">INDEX(Data_DBD!$D:$D,$A153)</f>
        <v>18</v>
      </c>
      <c r="E153" s="32" cm="1">
        <f t="array" aca="1" ref="E153" ca="1">INDEX(Data_DBD!$E:$E,$A153)</f>
        <v>0</v>
      </c>
      <c r="F153" s="32" cm="1">
        <f t="array" aca="1" ref="F153" ca="1">INDEX(Data_DBD!$F:$F,$A153)</f>
        <v>3</v>
      </c>
      <c r="H153" s="33">
        <v>162</v>
      </c>
      <c r="I153" s="33">
        <v>22</v>
      </c>
      <c r="J153" s="33">
        <v>3</v>
      </c>
      <c r="K153" s="33">
        <v>3</v>
      </c>
      <c r="L153" s="33">
        <v>1</v>
      </c>
      <c r="M153" s="33">
        <v>1</v>
      </c>
    </row>
    <row r="154" spans="1:22" ht="15.75">
      <c r="A154" s="32">
        <f t="shared" ca="1" si="2"/>
        <v>30</v>
      </c>
      <c r="B154" s="32" t="str" cm="1">
        <f t="array" aca="1" ref="B154" ca="1">INDEX(Data_DBD!$B:$B,$A154)</f>
        <v>2,8</v>
      </c>
      <c r="C154" s="32" cm="1">
        <f t="array" aca="1" ref="C154" ca="1">INDEX(Data_DBD!$C:$C,$A154)</f>
        <v>2</v>
      </c>
      <c r="D154" s="32" cm="1">
        <f t="array" aca="1" ref="D154" ca="1">INDEX(Data_DBD!$D:$D,$A154)</f>
        <v>14</v>
      </c>
      <c r="E154" s="32" cm="1">
        <f t="array" aca="1" ref="E154" ca="1">INDEX(Data_DBD!$E:$E,$A154)</f>
        <v>1</v>
      </c>
      <c r="F154" s="32" cm="1">
        <f t="array" aca="1" ref="F154" ca="1">INDEX(Data_DBD!$F:$F,$A154)</f>
        <v>2</v>
      </c>
      <c r="H154" s="33">
        <v>100</v>
      </c>
      <c r="I154" s="33">
        <v>19</v>
      </c>
      <c r="J154" s="33">
        <v>6</v>
      </c>
      <c r="K154" s="33">
        <v>18</v>
      </c>
      <c r="L154" s="33">
        <v>0</v>
      </c>
      <c r="M154" s="33">
        <v>3</v>
      </c>
      <c r="V154" s="35"/>
    </row>
    <row r="155" spans="1:22" ht="15.75">
      <c r="A155" s="32">
        <f t="shared" ca="1" si="2"/>
        <v>54</v>
      </c>
      <c r="B155" s="32" cm="1">
        <f t="array" aca="1" ref="B155" ca="1">INDEX(Data_DBD!$B:$B,$A155)</f>
        <v>7</v>
      </c>
      <c r="C155" s="32" cm="1">
        <f t="array" aca="1" ref="C155" ca="1">INDEX(Data_DBD!$C:$C,$A155)</f>
        <v>3</v>
      </c>
      <c r="D155" s="32" cm="1">
        <f t="array" aca="1" ref="D155" ca="1">INDEX(Data_DBD!$D:$D,$A155)</f>
        <v>15</v>
      </c>
      <c r="E155" s="32" cm="1">
        <f t="array" aca="1" ref="E155" ca="1">INDEX(Data_DBD!$E:$E,$A155)</f>
        <v>0</v>
      </c>
      <c r="F155" s="32" cm="1">
        <f t="array" aca="1" ref="F155" ca="1">INDEX(Data_DBD!$F:$F,$A155)</f>
        <v>2</v>
      </c>
      <c r="H155" s="33">
        <v>4</v>
      </c>
      <c r="I155" s="33">
        <v>23</v>
      </c>
      <c r="J155" s="33">
        <v>5</v>
      </c>
      <c r="K155" s="33">
        <v>12</v>
      </c>
      <c r="L155" s="33">
        <v>0</v>
      </c>
      <c r="M155" s="33">
        <v>2</v>
      </c>
      <c r="V155" s="36"/>
    </row>
    <row r="156" spans="1:22" ht="15.75">
      <c r="A156" s="32">
        <f t="shared" ca="1" si="2"/>
        <v>90</v>
      </c>
      <c r="B156" s="32" cm="1">
        <f t="array" aca="1" ref="B156" ca="1">INDEX(Data_DBD!$B:$B,$A156)</f>
        <v>47</v>
      </c>
      <c r="C156" s="32" cm="1">
        <f t="array" aca="1" ref="C156" ca="1">INDEX(Data_DBD!$C:$C,$A156)</f>
        <v>3</v>
      </c>
      <c r="D156" s="32" cm="1">
        <f t="array" aca="1" ref="D156" ca="1">INDEX(Data_DBD!$D:$D,$A156)</f>
        <v>18</v>
      </c>
      <c r="E156" s="32" cm="1">
        <f t="array" aca="1" ref="E156" ca="1">INDEX(Data_DBD!$E:$E,$A156)</f>
        <v>0</v>
      </c>
      <c r="F156" s="32" cm="1">
        <f t="array" aca="1" ref="F156" ca="1">INDEX(Data_DBD!$F:$F,$A156)</f>
        <v>3</v>
      </c>
      <c r="H156" s="33">
        <v>63</v>
      </c>
      <c r="I156" s="33">
        <v>25</v>
      </c>
      <c r="J156" s="33">
        <v>3</v>
      </c>
      <c r="K156" s="33">
        <v>15</v>
      </c>
      <c r="L156" s="33">
        <v>0</v>
      </c>
      <c r="M156" s="33">
        <v>2</v>
      </c>
      <c r="V156" s="37"/>
    </row>
    <row r="157" spans="1:22" ht="15.75">
      <c r="A157" s="32">
        <f t="shared" ca="1" si="2"/>
        <v>136</v>
      </c>
      <c r="B157" s="32" cm="1">
        <f t="array" aca="1" ref="B157" ca="1">INDEX(Data_DBD!$B:$B,$A157)</f>
        <v>6</v>
      </c>
      <c r="C157" s="32" cm="1">
        <f t="array" aca="1" ref="C157" ca="1">INDEX(Data_DBD!$C:$C,$A157)</f>
        <v>2</v>
      </c>
      <c r="D157" s="32" cm="1">
        <f t="array" aca="1" ref="D157" ca="1">INDEX(Data_DBD!$D:$D,$A157)</f>
        <v>33</v>
      </c>
      <c r="E157" s="32" cm="1">
        <f t="array" aca="1" ref="E157" ca="1">INDEX(Data_DBD!$E:$E,$A157)</f>
        <v>0</v>
      </c>
      <c r="F157" s="32" cm="1">
        <f t="array" aca="1" ref="F157" ca="1">INDEX(Data_DBD!$F:$F,$A157)</f>
        <v>3</v>
      </c>
      <c r="H157" s="33">
        <v>96</v>
      </c>
      <c r="I157" s="33">
        <v>56</v>
      </c>
      <c r="J157" s="33">
        <v>4</v>
      </c>
      <c r="K157" s="33">
        <v>18</v>
      </c>
      <c r="L157" s="33">
        <v>0</v>
      </c>
      <c r="M157" s="33">
        <v>3</v>
      </c>
      <c r="V157" s="37"/>
    </row>
    <row r="158" spans="1:22" ht="15.75">
      <c r="A158" s="32">
        <f t="shared" ca="1" si="2"/>
        <v>56</v>
      </c>
      <c r="B158" s="32" cm="1">
        <f t="array" aca="1" ref="B158" ca="1">INDEX(Data_DBD!$B:$B,$A158)</f>
        <v>4</v>
      </c>
      <c r="C158" s="32" cm="1">
        <f t="array" aca="1" ref="C158" ca="1">INDEX(Data_DBD!$C:$C,$A158)</f>
        <v>3</v>
      </c>
      <c r="D158" s="32" cm="1">
        <f t="array" aca="1" ref="D158" ca="1">INDEX(Data_DBD!$D:$D,$A158)</f>
        <v>15</v>
      </c>
      <c r="E158" s="32" cm="1">
        <f t="array" aca="1" ref="E158" ca="1">INDEX(Data_DBD!$E:$E,$A158)</f>
        <v>0</v>
      </c>
      <c r="F158" s="32" cm="1">
        <f t="array" aca="1" ref="F158" ca="1">INDEX(Data_DBD!$F:$F,$A158)</f>
        <v>2</v>
      </c>
      <c r="H158" s="33">
        <v>126</v>
      </c>
      <c r="I158" s="33">
        <v>51</v>
      </c>
      <c r="J158" s="33">
        <v>3</v>
      </c>
      <c r="K158" s="33">
        <v>33</v>
      </c>
      <c r="L158" s="33">
        <v>1</v>
      </c>
      <c r="M158" s="33">
        <v>3</v>
      </c>
      <c r="V158" s="36"/>
    </row>
    <row r="159" spans="1:22" ht="15.75">
      <c r="A159" s="32">
        <f t="shared" ca="1" si="2"/>
        <v>22</v>
      </c>
      <c r="B159" s="32" cm="1">
        <f t="array" aca="1" ref="B159" ca="1">INDEX(Data_DBD!$B:$B,$A159)</f>
        <v>6</v>
      </c>
      <c r="C159" s="32" cm="1">
        <f t="array" aca="1" ref="C159" ca="1">INDEX(Data_DBD!$C:$C,$A159)</f>
        <v>3</v>
      </c>
      <c r="D159" s="32" cm="1">
        <f t="array" aca="1" ref="D159" ca="1">INDEX(Data_DBD!$D:$D,$A159)</f>
        <v>14</v>
      </c>
      <c r="E159" s="32" cm="1">
        <f t="array" aca="1" ref="E159" ca="1">INDEX(Data_DBD!$E:$E,$A159)</f>
        <v>0</v>
      </c>
      <c r="F159" s="32" cm="1">
        <f t="array" aca="1" ref="F159" ca="1">INDEX(Data_DBD!$F:$F,$A159)</f>
        <v>2</v>
      </c>
      <c r="H159" s="33">
        <v>72</v>
      </c>
      <c r="I159" s="33">
        <v>3</v>
      </c>
      <c r="J159" s="33">
        <v>5</v>
      </c>
      <c r="K159" s="33">
        <v>10</v>
      </c>
      <c r="L159" s="33">
        <v>1</v>
      </c>
      <c r="M159" s="33">
        <v>2</v>
      </c>
      <c r="V159" s="37"/>
    </row>
    <row r="160" spans="1:22" ht="15.75">
      <c r="A160" s="32">
        <f t="shared" ca="1" si="2"/>
        <v>92</v>
      </c>
      <c r="B160" s="32" cm="1">
        <f t="array" aca="1" ref="B160" ca="1">INDEX(Data_DBD!$B:$B,$A160)</f>
        <v>55</v>
      </c>
      <c r="C160" s="32" cm="1">
        <f t="array" aca="1" ref="C160" ca="1">INDEX(Data_DBD!$C:$C,$A160)</f>
        <v>7</v>
      </c>
      <c r="D160" s="32" cm="1">
        <f t="array" aca="1" ref="D160" ca="1">INDEX(Data_DBD!$D:$D,$A160)</f>
        <v>18</v>
      </c>
      <c r="E160" s="32" cm="1">
        <f t="array" aca="1" ref="E160" ca="1">INDEX(Data_DBD!$E:$E,$A160)</f>
        <v>0</v>
      </c>
      <c r="F160" s="32" cm="1">
        <f t="array" aca="1" ref="F160" ca="1">INDEX(Data_DBD!$F:$F,$A160)</f>
        <v>3</v>
      </c>
      <c r="H160" s="33">
        <v>41</v>
      </c>
      <c r="I160" s="33">
        <v>8</v>
      </c>
      <c r="J160" s="33">
        <v>4</v>
      </c>
      <c r="K160" s="33">
        <v>13</v>
      </c>
      <c r="L160" s="33">
        <v>0</v>
      </c>
      <c r="M160" s="33">
        <v>2</v>
      </c>
      <c r="V160" s="37"/>
    </row>
    <row r="161" spans="1:22" ht="15.75">
      <c r="A161" s="32">
        <f t="shared" ca="1" si="2"/>
        <v>65</v>
      </c>
      <c r="B161" s="32" cm="1">
        <f t="array" aca="1" ref="B161" ca="1">INDEX(Data_DBD!$B:$B,$A161)</f>
        <v>49</v>
      </c>
      <c r="C161" s="32" cm="1">
        <f t="array" aca="1" ref="C161" ca="1">INDEX(Data_DBD!$C:$C,$A161)</f>
        <v>3</v>
      </c>
      <c r="D161" s="32" cm="1">
        <f t="array" aca="1" ref="D161" ca="1">INDEX(Data_DBD!$D:$D,$A161)</f>
        <v>15</v>
      </c>
      <c r="E161" s="32" cm="1">
        <f t="array" aca="1" ref="E161" ca="1">INDEX(Data_DBD!$E:$E,$A161)</f>
        <v>0</v>
      </c>
      <c r="F161" s="32" cm="1">
        <f t="array" aca="1" ref="F161" ca="1">INDEX(Data_DBD!$F:$F,$A161)</f>
        <v>2</v>
      </c>
      <c r="H161" s="33">
        <v>129</v>
      </c>
      <c r="I161" s="33">
        <v>4.5</v>
      </c>
      <c r="J161" s="33">
        <v>3</v>
      </c>
      <c r="K161" s="33">
        <v>33</v>
      </c>
      <c r="L161" s="33">
        <v>0</v>
      </c>
      <c r="M161" s="33">
        <v>3</v>
      </c>
      <c r="V161" s="36"/>
    </row>
    <row r="162" spans="1:22" ht="15.75">
      <c r="A162" s="32">
        <f t="shared" ca="1" si="2"/>
        <v>8</v>
      </c>
      <c r="B162" s="32" cm="1">
        <f t="array" aca="1" ref="B162" ca="1">INDEX(Data_DBD!$B:$B,$A162)</f>
        <v>4</v>
      </c>
      <c r="C162" s="32" cm="1">
        <f t="array" aca="1" ref="C162" ca="1">INDEX(Data_DBD!$C:$C,$A162)</f>
        <v>2</v>
      </c>
      <c r="D162" s="32" cm="1">
        <f t="array" aca="1" ref="D162" ca="1">INDEX(Data_DBD!$D:$D,$A162)</f>
        <v>12</v>
      </c>
      <c r="E162" s="32" cm="1">
        <f t="array" aca="1" ref="E162" ca="1">INDEX(Data_DBD!$E:$E,$A162)</f>
        <v>0</v>
      </c>
      <c r="F162" s="32" cm="1">
        <f t="array" aca="1" ref="F162" ca="1">INDEX(Data_DBD!$F:$F,$A162)</f>
        <v>2</v>
      </c>
      <c r="H162" s="33">
        <v>46</v>
      </c>
      <c r="I162" s="33">
        <v>62</v>
      </c>
      <c r="J162" s="33">
        <v>2</v>
      </c>
      <c r="K162" s="33">
        <v>13</v>
      </c>
      <c r="L162" s="33">
        <v>0</v>
      </c>
      <c r="M162" s="33">
        <v>2</v>
      </c>
      <c r="V162" s="37"/>
    </row>
    <row r="163" spans="1:22">
      <c r="A163" s="32">
        <f t="shared" ca="1" si="2"/>
        <v>127</v>
      </c>
      <c r="B163" s="32" cm="1">
        <f t="array" aca="1" ref="B163" ca="1">INDEX(Data_DBD!$B:$B,$A163)</f>
        <v>21</v>
      </c>
      <c r="C163" s="32" cm="1">
        <f t="array" aca="1" ref="C163" ca="1">INDEX(Data_DBD!$C:$C,$A163)</f>
        <v>2</v>
      </c>
      <c r="D163" s="32" cm="1">
        <f t="array" aca="1" ref="D163" ca="1">INDEX(Data_DBD!$D:$D,$A163)</f>
        <v>33</v>
      </c>
      <c r="E163" s="32" cm="1">
        <f t="array" aca="1" ref="E163" ca="1">INDEX(Data_DBD!$E:$E,$A163)</f>
        <v>0</v>
      </c>
      <c r="F163" s="32" cm="1">
        <f t="array" aca="1" ref="F163" ca="1">INDEX(Data_DBD!$F:$F,$A163)</f>
        <v>3</v>
      </c>
      <c r="H163" s="33">
        <v>128</v>
      </c>
      <c r="I163" s="33">
        <v>38</v>
      </c>
      <c r="J163" s="33">
        <v>2</v>
      </c>
      <c r="K163" s="33">
        <v>33</v>
      </c>
      <c r="L163" s="33">
        <v>0</v>
      </c>
      <c r="M163" s="33">
        <v>3</v>
      </c>
    </row>
    <row r="164" spans="1:22">
      <c r="A164" s="32">
        <f t="shared" ca="1" si="2"/>
        <v>87</v>
      </c>
      <c r="B164" s="32" cm="1">
        <f t="array" aca="1" ref="B164" ca="1">INDEX(Data_DBD!$B:$B,$A164)</f>
        <v>21</v>
      </c>
      <c r="C164" s="32" cm="1">
        <f t="array" aca="1" ref="C164" ca="1">INDEX(Data_DBD!$C:$C,$A164)</f>
        <v>3</v>
      </c>
      <c r="D164" s="32" cm="1">
        <f t="array" aca="1" ref="D164" ca="1">INDEX(Data_DBD!$D:$D,$A164)</f>
        <v>13</v>
      </c>
      <c r="E164" s="32" cm="1">
        <f t="array" aca="1" ref="E164" ca="1">INDEX(Data_DBD!$E:$E,$A164)</f>
        <v>0</v>
      </c>
      <c r="F164" s="32" cm="1">
        <f t="array" aca="1" ref="F164" ca="1">INDEX(Data_DBD!$F:$F,$A164)</f>
        <v>2</v>
      </c>
      <c r="H164" s="33">
        <v>24</v>
      </c>
      <c r="I164" s="33">
        <v>60</v>
      </c>
      <c r="J164" s="33">
        <v>4</v>
      </c>
      <c r="K164" s="33">
        <v>14</v>
      </c>
      <c r="L164" s="33">
        <v>0</v>
      </c>
      <c r="M164" s="33">
        <v>2</v>
      </c>
    </row>
    <row r="165" spans="1:22">
      <c r="I165">
        <f>AVERAGE(I2:I164)</f>
        <v>31.934782608695652</v>
      </c>
      <c r="J165">
        <f>AVERAGE(J2:J164)</f>
        <v>3.576687116564417</v>
      </c>
      <c r="K165">
        <f>AVERAGE(K2:K164)</f>
        <v>18.711656441717793</v>
      </c>
      <c r="L165">
        <f>AVERAGE(L2:L164)</f>
        <v>0.5214723926380368</v>
      </c>
    </row>
    <row r="167" spans="1:22">
      <c r="B167">
        <v>3</v>
      </c>
    </row>
    <row r="168" spans="1:22">
      <c r="E168" s="38" t="s">
        <v>188</v>
      </c>
      <c r="J168" s="38" t="s">
        <v>189</v>
      </c>
      <c r="O168" s="38" t="s">
        <v>190</v>
      </c>
      <c r="T168" s="38" t="s">
        <v>191</v>
      </c>
    </row>
    <row r="169" spans="1:22">
      <c r="E169" s="32" t="s">
        <v>1</v>
      </c>
      <c r="F169" s="32">
        <f>AVERAGEIF($I$2:$I$164,"&lt;="&amp;$I$165)</f>
        <v>16.920212765957448</v>
      </c>
      <c r="G169" s="32">
        <f>AVERAGEIF($I$2:$I$164,"&gt;"&amp;$I$165)</f>
        <v>53</v>
      </c>
      <c r="J169" s="32" t="s">
        <v>192</v>
      </c>
      <c r="K169" s="32">
        <f>AVERAGEIF($J$2:$J$164,"&lt;="&amp;$J$165)</f>
        <v>2.5813953488372094</v>
      </c>
      <c r="L169" s="32">
        <f>AVERAGEIF($J$2:$J$164,"&gt;"&amp;$J$165)</f>
        <v>4.6883116883116882</v>
      </c>
      <c r="O169" s="32" t="s">
        <v>193</v>
      </c>
      <c r="P169" s="32">
        <f>AVERAGEIF($K$2:$K$164,"&lt;="&amp;$K$165)</f>
        <v>13.064220183486238</v>
      </c>
      <c r="Q169" s="32">
        <f>AVERAGEIF($K$2:$K$164,"&gt;"&amp;$K$165)</f>
        <v>30.111111111111111</v>
      </c>
      <c r="T169" s="32" t="s">
        <v>194</v>
      </c>
      <c r="U169" s="32">
        <f>AVERAGEIF($L$2:$L$164,"&lt;="&amp;$L$165)</f>
        <v>0</v>
      </c>
      <c r="V169" s="32">
        <f>AVERAGEIF($L$2:$L$164,"&gt;"&amp;$L$165)</f>
        <v>1</v>
      </c>
    </row>
    <row r="170" spans="1:22">
      <c r="E170" s="32" t="str" cm="1">
        <f t="array" ref="E170:E332">IF($I$2:$I$164&lt;$F$169,"kiri",IF($I$2:$I$164&lt;$G$169,"tengah","kanan"))</f>
        <v>kiri</v>
      </c>
      <c r="F170" s="55" t="s">
        <v>264</v>
      </c>
      <c r="G170" s="32"/>
      <c r="J170" s="32" t="str" cm="1">
        <f t="array" ref="J170:J332">IF($J$2:$J$164&lt;$K$169,"kiri",IF($J$2:$J$164&lt;$L$169,"tengah","kanan"))</f>
        <v>kiri</v>
      </c>
      <c r="K170" s="55" t="s">
        <v>201</v>
      </c>
      <c r="L170" s="32"/>
      <c r="O170" s="32" t="str" cm="1">
        <f t="array" ref="O170:O332">IF($K$2:$K$164&lt;$P$169,"kiri",IF($K$2:$K$164&lt;$Q$169,"tengah","kanan"))</f>
        <v>tengah</v>
      </c>
      <c r="P170" s="55" t="s">
        <v>267</v>
      </c>
      <c r="Q170" s="32"/>
      <c r="T170" s="32" t="str" cm="1">
        <f t="array" ref="T170:T332">IF($L$2:$L$164&lt;$U$169,"kiri",IF($L$2:$L$164&lt;$V$169,"tengah","kanan"))</f>
        <v>kanan</v>
      </c>
      <c r="U170" s="32" t="s">
        <v>195</v>
      </c>
      <c r="V170" s="32"/>
    </row>
    <row r="171" spans="1:22">
      <c r="E171" s="32" t="str">
        <v>kanan</v>
      </c>
      <c r="F171" s="32">
        <f>COUNTIFS($E$170:$E$332,"Kanan",$M$2:$M$164,"1")</f>
        <v>0</v>
      </c>
      <c r="G171" s="32">
        <f>F171/29</f>
        <v>0</v>
      </c>
      <c r="J171" s="32" t="str">
        <v>tengah</v>
      </c>
      <c r="K171" s="32" cm="1">
        <f t="array" ref="K171">SUMPRODUCT((J170:J332="Kanan")*(M2:M164=1))</f>
        <v>2</v>
      </c>
      <c r="L171" s="32">
        <f>K171/34</f>
        <v>5.8823529411764705E-2</v>
      </c>
      <c r="O171" s="32" t="str">
        <v>tengah</v>
      </c>
      <c r="P171" s="32">
        <f>COUNTIFS($O$170:$O$332,"Kanan",$M$2:$M$164,"1")</f>
        <v>0</v>
      </c>
      <c r="Q171" s="32">
        <f>P171/41</f>
        <v>0</v>
      </c>
      <c r="T171" s="32" t="str">
        <v>kanan</v>
      </c>
      <c r="U171" s="32">
        <f>COUNTIFS($T$170:$T$332,"Kanan",$M$2:$M$164,"1")</f>
        <v>5</v>
      </c>
      <c r="V171" s="32">
        <f>U171/85</f>
        <v>5.8823529411764705E-2</v>
      </c>
    </row>
    <row r="172" spans="1:22">
      <c r="E172" s="32" t="str">
        <v>tengah</v>
      </c>
      <c r="F172" s="32">
        <f>COUNTIFS($E$170:$E$332,"Kanan",$M$2:$M$164,"2")</f>
        <v>16</v>
      </c>
      <c r="G172" s="32">
        <f>F172/29</f>
        <v>0.55172413793103448</v>
      </c>
      <c r="J172" s="32" t="str">
        <v>kiri</v>
      </c>
      <c r="K172" s="32">
        <f>COUNTIFS($J$170:$J$332,"Kanan",$M$2:$M$164,"2")</f>
        <v>18</v>
      </c>
      <c r="L172" s="32">
        <f t="shared" ref="L172:L173" si="3">K172/34</f>
        <v>0.52941176470588236</v>
      </c>
      <c r="O172" s="32" t="str">
        <v>tengah</v>
      </c>
      <c r="P172" s="32">
        <f>COUNTIFS($O$170:$O$332,"Kanan",$M$2:$M$164,"2")</f>
        <v>0</v>
      </c>
      <c r="Q172" s="32">
        <f t="shared" ref="Q172:Q173" si="4">P172/41</f>
        <v>0</v>
      </c>
      <c r="T172" s="32" t="str">
        <v>kanan</v>
      </c>
      <c r="U172" s="32">
        <f>COUNTIFS($T$170:$T$332,"Kanan",$M$2:$M$164,"2")</f>
        <v>37</v>
      </c>
      <c r="V172" s="32">
        <f t="shared" ref="V172:V173" si="5">U172/85</f>
        <v>0.43529411764705883</v>
      </c>
    </row>
    <row r="173" spans="1:22">
      <c r="E173" s="32" t="str">
        <v>kanan</v>
      </c>
      <c r="F173" s="32" cm="1">
        <f t="array" ref="F173">SUMPRODUCT((E170:E332="KANAN")*(M2:M164=3))</f>
        <v>13</v>
      </c>
      <c r="G173" s="32">
        <f>F173/29</f>
        <v>0.44827586206896552</v>
      </c>
      <c r="J173" s="32" t="str">
        <v>tengah</v>
      </c>
      <c r="K173" s="32">
        <f>COUNTIFS($J$170:$J$332,"Kanan",$M$2:$M$164,"3")</f>
        <v>14</v>
      </c>
      <c r="L173" s="32">
        <f t="shared" si="3"/>
        <v>0.41176470588235292</v>
      </c>
      <c r="O173" s="32" t="str">
        <v>kiri</v>
      </c>
      <c r="P173" s="32">
        <f>COUNTIFS($O$170:$O$332,"Kanan",$M$2:$M$164,"3")</f>
        <v>41</v>
      </c>
      <c r="Q173" s="32">
        <f t="shared" si="4"/>
        <v>1</v>
      </c>
      <c r="T173" s="32" t="str">
        <v>kanan</v>
      </c>
      <c r="U173" s="32">
        <f>COUNTIFS($T$170:$T$332,"Kanan",$M$2:$M$164,"3")</f>
        <v>43</v>
      </c>
      <c r="V173" s="32">
        <f t="shared" si="5"/>
        <v>0.50588235294117645</v>
      </c>
    </row>
    <row r="174" spans="1:22">
      <c r="E174" s="32" t="str">
        <v>kanan</v>
      </c>
      <c r="F174" s="32" t="s">
        <v>196</v>
      </c>
      <c r="G174" s="32">
        <f>-(IFERROR(G171*LOG(G171,2),0)+IFERROR(G172*LOG(G172,2),0)+IFERROR(G173*LOG(G173,2),0))</f>
        <v>0.99226663871949627</v>
      </c>
      <c r="J174" s="32" t="str">
        <v>kiri</v>
      </c>
      <c r="K174" s="32" t="s">
        <v>196</v>
      </c>
      <c r="L174" s="32">
        <f>-(IFERROR(L171*LOG(L171,2),0)+IFERROR(L172*LOG(L172,2),0)+IFERROR(L173*LOG(L173,2),0))</f>
        <v>1.2532975784630431</v>
      </c>
      <c r="O174" s="32" t="str">
        <v>kiri</v>
      </c>
      <c r="P174" s="32" t="s">
        <v>196</v>
      </c>
      <c r="Q174" s="32">
        <f>-(IFERROR(Q171*LOG(Q171,2),0)+IFERROR(Q172*LOG(Q172,2),0)+IFERROR(Q173*LOG(Q173,2),0))</f>
        <v>0</v>
      </c>
      <c r="T174" s="32" t="str">
        <v>tengah</v>
      </c>
      <c r="U174" s="32" t="s">
        <v>196</v>
      </c>
      <c r="V174" s="32">
        <f>-(IFERROR(V171*LOG(V171,2),0)+IFERROR(V172*LOG(V172,2),0)+IFERROR(V173*LOG(V173,2),0))</f>
        <v>1.2601109425506647</v>
      </c>
    </row>
    <row r="175" spans="1:22">
      <c r="E175" s="32" t="str">
        <v>kiri</v>
      </c>
      <c r="F175" s="32"/>
      <c r="G175" s="32">
        <f>SUM(F171:F173)/163</f>
        <v>0.17791411042944785</v>
      </c>
      <c r="J175" s="32" t="str">
        <v>kiri</v>
      </c>
      <c r="K175" s="32"/>
      <c r="L175" s="32">
        <f>SUM(K171:K173)/163</f>
        <v>0.20858895705521471</v>
      </c>
      <c r="O175" s="32" t="str">
        <v>kanan</v>
      </c>
      <c r="P175" s="32"/>
      <c r="Q175" s="32">
        <f>SUM(P171:P173)/163</f>
        <v>0.25153374233128833</v>
      </c>
      <c r="T175" s="32" t="str">
        <v>tengah</v>
      </c>
      <c r="U175" s="32"/>
      <c r="V175" s="32">
        <f>SUM(U171:U173)/163</f>
        <v>0.5214723926380368</v>
      </c>
    </row>
    <row r="176" spans="1:22">
      <c r="E176" s="32" t="str">
        <v>kiri</v>
      </c>
      <c r="F176" s="32"/>
      <c r="G176" s="39">
        <f>G174*G175</f>
        <v>0.17653823633659749</v>
      </c>
      <c r="J176" s="32" t="str">
        <v>tengah</v>
      </c>
      <c r="K176" s="32"/>
      <c r="L176" s="39">
        <f>L174*L175</f>
        <v>0.26142403477143228</v>
      </c>
      <c r="O176" s="32" t="str">
        <v>kanan</v>
      </c>
      <c r="P176" s="32"/>
      <c r="Q176" s="39">
        <f>Q174*Q175</f>
        <v>0</v>
      </c>
      <c r="T176" s="32" t="str">
        <v>tengah</v>
      </c>
      <c r="U176" s="32"/>
      <c r="V176" s="39">
        <f>V174*V175</f>
        <v>0.6571130682012668</v>
      </c>
    </row>
    <row r="177" spans="5:22">
      <c r="E177" s="32" t="str">
        <v>kiri</v>
      </c>
      <c r="F177" s="32"/>
      <c r="G177" s="32"/>
      <c r="J177" s="32" t="str">
        <v>kiri</v>
      </c>
      <c r="K177" s="32"/>
      <c r="L177" s="32"/>
      <c r="O177" s="32" t="str">
        <v>kanan</v>
      </c>
      <c r="P177" s="32"/>
      <c r="Q177" s="32"/>
      <c r="T177" s="32" t="str">
        <v>kanan</v>
      </c>
      <c r="U177" s="32"/>
      <c r="V177" s="32"/>
    </row>
    <row r="178" spans="5:22">
      <c r="E178" s="32" t="str">
        <v>tengah</v>
      </c>
      <c r="F178" s="32"/>
      <c r="G178" s="32"/>
      <c r="J178" s="32" t="str">
        <v>kanan</v>
      </c>
      <c r="K178" s="32"/>
      <c r="L178" s="32"/>
      <c r="O178" s="32" t="str">
        <v>kiri</v>
      </c>
      <c r="P178" s="32"/>
      <c r="Q178" s="32"/>
      <c r="T178" s="32" t="str">
        <v>tengah</v>
      </c>
      <c r="U178" s="32"/>
      <c r="V178" s="32"/>
    </row>
    <row r="179" spans="5:22">
      <c r="E179" s="32" t="str">
        <v>tengah</v>
      </c>
      <c r="F179" s="55" t="s">
        <v>265</v>
      </c>
      <c r="G179" s="32"/>
      <c r="J179" s="32" t="str">
        <v>tengah</v>
      </c>
      <c r="K179" s="55" t="s">
        <v>266</v>
      </c>
      <c r="L179" s="32"/>
      <c r="O179" s="32" t="str">
        <v>kanan</v>
      </c>
      <c r="P179" s="55" t="s">
        <v>268</v>
      </c>
      <c r="Q179" s="32"/>
      <c r="T179" s="32" t="str">
        <v>kanan</v>
      </c>
      <c r="U179" s="32" t="s">
        <v>197</v>
      </c>
      <c r="V179" s="32"/>
    </row>
    <row r="180" spans="5:22">
      <c r="E180" s="32" t="str">
        <v>tengah</v>
      </c>
      <c r="F180" s="32" cm="1">
        <f t="array" ref="F180">SUMPRODUCT((E170:E332="kiri")*(M2:M164=1))</f>
        <v>4</v>
      </c>
      <c r="G180" s="32">
        <f>F180/44</f>
        <v>9.0909090909090912E-2</v>
      </c>
      <c r="J180" s="32" t="str">
        <v>tengah</v>
      </c>
      <c r="K180" s="32">
        <f>COUNTIFS($J$170:$J$332,"Kiri",$M$2:$M$164,"1")</f>
        <v>1</v>
      </c>
      <c r="L180" s="32">
        <f>K180/33</f>
        <v>3.0303030303030304E-2</v>
      </c>
      <c r="O180" s="32" t="str">
        <v>kiri</v>
      </c>
      <c r="P180" s="32">
        <f>COUNTIFS($O$170:$O$332,"Kiri",$M$2:$M$164,"1")</f>
        <v>10</v>
      </c>
      <c r="Q180" s="32">
        <f>P180/65</f>
        <v>0.15384615384615385</v>
      </c>
      <c r="T180" s="32" t="str">
        <v>tengah</v>
      </c>
      <c r="U180" s="32">
        <f>COUNTIFS($T$170:$T$332,"Kiri",$M$2:$M$164,"1")</f>
        <v>0</v>
      </c>
      <c r="V180" s="32">
        <f>U180/57</f>
        <v>0</v>
      </c>
    </row>
    <row r="181" spans="5:22">
      <c r="E181" s="32" t="str">
        <v>tengah</v>
      </c>
      <c r="F181" s="32" cm="1">
        <f t="array" ref="F181">SUMPRODUCT((E170:E332="kiri")*(M2:M164=2))</f>
        <v>18</v>
      </c>
      <c r="G181" s="32">
        <f t="shared" ref="G181:G182" si="6">F181/44</f>
        <v>0.40909090909090912</v>
      </c>
      <c r="J181" s="32" t="str">
        <v>tengah</v>
      </c>
      <c r="K181" s="32">
        <f>COUNTIFS($J$170:$J$332,"Kiri",$M$2:$M$164,"2")</f>
        <v>11</v>
      </c>
      <c r="L181" s="32">
        <f t="shared" ref="L181:L182" si="7">K181/33</f>
        <v>0.33333333333333331</v>
      </c>
      <c r="O181" s="32" t="str">
        <v>kiri</v>
      </c>
      <c r="P181" s="32">
        <f>COUNTIFS($O$170:$O$332,"Kiri",$M$2:$M$164,"2")</f>
        <v>55</v>
      </c>
      <c r="Q181" s="32">
        <f t="shared" ref="Q181:Q182" si="8">P181/65</f>
        <v>0.84615384615384615</v>
      </c>
      <c r="T181" s="32" t="str">
        <v>tengah</v>
      </c>
      <c r="U181" s="32">
        <f>COUNTIFS($T$170:$T$332,"Kiri",$M$2:$M$164,"2")</f>
        <v>0</v>
      </c>
      <c r="V181" s="32">
        <f>U181/57</f>
        <v>0</v>
      </c>
    </row>
    <row r="182" spans="5:22">
      <c r="E182" s="32" t="str">
        <v>tengah</v>
      </c>
      <c r="F182" s="32" cm="1">
        <f t="array" ref="F182">SUMPRODUCT((E170:E332="kiri")*(M2:M164=3))</f>
        <v>22</v>
      </c>
      <c r="G182" s="32">
        <f t="shared" si="6"/>
        <v>0.5</v>
      </c>
      <c r="J182" s="32" t="str">
        <v>kanan</v>
      </c>
      <c r="K182" s="32">
        <f>COUNTIFS($J$170:$J$332,"Kiri",$M$2:$M$164,"3")</f>
        <v>21</v>
      </c>
      <c r="L182" s="32">
        <f t="shared" si="7"/>
        <v>0.63636363636363635</v>
      </c>
      <c r="O182" s="32" t="str">
        <v>kanan</v>
      </c>
      <c r="P182" s="32">
        <f>COUNTIFS($O$170:$O$332,"Kiri",$M$2:$M$164,"3")</f>
        <v>0</v>
      </c>
      <c r="Q182" s="32">
        <f t="shared" si="8"/>
        <v>0</v>
      </c>
      <c r="T182" s="32" t="str">
        <v>tengah</v>
      </c>
      <c r="U182" s="32">
        <f>COUNTIFS($T$170:$T$332,"Kiri",$M$2:$M$164,"3")</f>
        <v>0</v>
      </c>
      <c r="V182" s="32">
        <f>U182/57</f>
        <v>0</v>
      </c>
    </row>
    <row r="183" spans="5:22">
      <c r="E183" s="32" t="str">
        <v>kanan</v>
      </c>
      <c r="F183" s="32" t="s">
        <v>196</v>
      </c>
      <c r="G183" s="32">
        <f>-(IFERROR(G180*LOG(G180,2),0)+IFERROR(G181*LOG(G181,2),0)+IFERROR(G182*LOG(G182,2),0))</f>
        <v>1.3420192178195209</v>
      </c>
      <c r="J183" s="32" t="str">
        <v>tengah</v>
      </c>
      <c r="K183" s="32" t="s">
        <v>196</v>
      </c>
      <c r="L183" s="32">
        <f>-(IFERROR(L180*LOG(L180,2),0)+IFERROR(L181*LOG(L181,2),0)+IFERROR(L182*LOG(L182,2),0))</f>
        <v>1.0961391592565071</v>
      </c>
      <c r="O183" s="32" t="str">
        <v>kanan</v>
      </c>
      <c r="P183" s="32" t="s">
        <v>196</v>
      </c>
      <c r="Q183" s="32">
        <f>-(IFERROR(Q180*LOG(Q180,2),0)+IFERROR(Q181*LOG(Q181,2),0)+IFERROR(Q182*LOG(Q182,2),0))</f>
        <v>0.61938219467876376</v>
      </c>
      <c r="T183" s="32" t="str">
        <v>kanan</v>
      </c>
      <c r="U183" s="32" t="s">
        <v>196</v>
      </c>
      <c r="V183" s="32">
        <f>-(IFERROR(V180*LOG(V180,2),0)+IFERROR(V181*LOG(V181,2),0)+IFERROR(V182*LOG(V182,2),0))</f>
        <v>0</v>
      </c>
    </row>
    <row r="184" spans="5:22">
      <c r="E184" s="32" t="str">
        <v>kiri</v>
      </c>
      <c r="F184" s="32"/>
      <c r="G184" s="32">
        <f>SUM(F180:F182)/163</f>
        <v>0.26993865030674846</v>
      </c>
      <c r="J184" s="32" t="str">
        <v>kanan</v>
      </c>
      <c r="K184" s="32"/>
      <c r="L184" s="32">
        <f>SUM(K180:K182)/163</f>
        <v>0.20245398773006135</v>
      </c>
      <c r="O184" s="32" t="str">
        <v>kiri</v>
      </c>
      <c r="P184" s="32"/>
      <c r="Q184" s="32">
        <f>SUM(P180:P182)/163</f>
        <v>0.3987730061349693</v>
      </c>
      <c r="T184" s="32" t="str">
        <v>kanan</v>
      </c>
      <c r="U184" s="32"/>
      <c r="V184" s="32">
        <f>SUM(U180:U182)/163</f>
        <v>0</v>
      </c>
    </row>
    <row r="185" spans="5:22">
      <c r="E185" s="32" t="str">
        <v>tengah</v>
      </c>
      <c r="F185" s="32"/>
      <c r="G185" s="39">
        <f>G183*G184</f>
        <v>0.36226285634391975</v>
      </c>
      <c r="J185" s="32" t="str">
        <v>kiri</v>
      </c>
      <c r="K185" s="32"/>
      <c r="L185" s="39">
        <f>L183*L184</f>
        <v>0.22191774389855665</v>
      </c>
      <c r="O185" s="32" t="str">
        <v>kiri</v>
      </c>
      <c r="P185" s="32"/>
      <c r="Q185" s="39">
        <f>Q183*Q184</f>
        <v>0.24699289971852542</v>
      </c>
      <c r="T185" s="32" t="str">
        <v>kanan</v>
      </c>
      <c r="U185" s="32"/>
      <c r="V185" s="39">
        <f>V183*V184</f>
        <v>0</v>
      </c>
    </row>
    <row r="186" spans="5:22">
      <c r="E186" s="32" t="str">
        <v>kiri</v>
      </c>
      <c r="F186" s="32"/>
      <c r="G186" s="32"/>
      <c r="J186" s="32" t="str">
        <v>kanan</v>
      </c>
      <c r="K186" s="32"/>
      <c r="L186" s="32"/>
      <c r="O186" s="32" t="str">
        <v>kiri</v>
      </c>
      <c r="P186" s="32"/>
      <c r="Q186" s="32"/>
      <c r="T186" s="32" t="str">
        <v>tengah</v>
      </c>
      <c r="U186" s="32"/>
      <c r="V186" s="32"/>
    </row>
    <row r="187" spans="5:22">
      <c r="E187" s="32" t="str">
        <v>tengah</v>
      </c>
      <c r="F187" s="32"/>
      <c r="G187" s="32"/>
      <c r="J187" s="32" t="str">
        <v>tengah</v>
      </c>
      <c r="K187" s="32"/>
      <c r="L187" s="32"/>
      <c r="O187" s="32" t="str">
        <v>kiri</v>
      </c>
      <c r="P187" s="32"/>
      <c r="Q187" s="32"/>
      <c r="T187" s="32" t="str">
        <v>tengah</v>
      </c>
      <c r="U187" s="32"/>
      <c r="V187" s="32"/>
    </row>
    <row r="188" spans="5:22">
      <c r="E188" s="32" t="str">
        <v>tengah</v>
      </c>
      <c r="F188" s="32" t="s">
        <v>198</v>
      </c>
      <c r="G188" s="32"/>
      <c r="J188" s="32" t="str">
        <v>kiri</v>
      </c>
      <c r="K188" s="32" t="s">
        <v>198</v>
      </c>
      <c r="L188" s="32"/>
      <c r="O188" s="32" t="str">
        <v>tengah</v>
      </c>
      <c r="P188" s="32" t="s">
        <v>198</v>
      </c>
      <c r="Q188" s="32"/>
      <c r="T188" s="32" t="str">
        <v>tengah</v>
      </c>
      <c r="U188" s="32" t="s">
        <v>198</v>
      </c>
      <c r="V188" s="32"/>
    </row>
    <row r="189" spans="5:22">
      <c r="E189" s="32" t="str">
        <v>kanan</v>
      </c>
      <c r="F189" s="32" cm="1">
        <f t="array" ref="F189">SUMPRODUCT((E170:E332="tengah")*(M2:M164=1))</f>
        <v>6</v>
      </c>
      <c r="G189" s="32">
        <f>F189/90</f>
        <v>6.6666666666666666E-2</v>
      </c>
      <c r="J189" s="32" t="str">
        <v>tengah</v>
      </c>
      <c r="K189" s="32">
        <f>COUNTIFS($J$170:$J$332,"Tengah",$M$2:$M$164,"1")</f>
        <v>7</v>
      </c>
      <c r="L189" s="32">
        <f>K189/96</f>
        <v>7.2916666666666671E-2</v>
      </c>
      <c r="O189" s="32" t="str">
        <v>tengah</v>
      </c>
      <c r="P189" s="32">
        <f>COUNTIFS($O$170:$O$332,"Tengah",$M$2:$M$164,"1")</f>
        <v>0</v>
      </c>
      <c r="Q189" s="32">
        <f>P189/57</f>
        <v>0</v>
      </c>
      <c r="T189" s="32" t="str">
        <v>kanan</v>
      </c>
      <c r="U189" s="32">
        <f>COUNTIFS($T$170:$T$332,"Tengah",$M$2:$M$164,"1")</f>
        <v>5</v>
      </c>
      <c r="V189" s="32">
        <f>U189/78</f>
        <v>6.4102564102564097E-2</v>
      </c>
    </row>
    <row r="190" spans="5:22">
      <c r="E190" s="32" t="str">
        <v>tengah</v>
      </c>
      <c r="F190" s="32" cm="1">
        <f t="array" ref="F190">SUMPRODUCT((E170:E332="tengah")*(M2:M164=2))</f>
        <v>46</v>
      </c>
      <c r="G190" s="32">
        <f>F190/90</f>
        <v>0.51111111111111107</v>
      </c>
      <c r="J190" s="32" t="str">
        <v>kanan</v>
      </c>
      <c r="K190" s="32">
        <f>COUNTIFS($J$170:$J$332,"Tengah",$M$2:$M$164,"2")</f>
        <v>51</v>
      </c>
      <c r="L190" s="32">
        <f t="shared" ref="L190:L191" si="9">K190/96</f>
        <v>0.53125</v>
      </c>
      <c r="O190" s="32" t="str">
        <v>tengah</v>
      </c>
      <c r="P190" s="32">
        <f>COUNTIFS($O$170:$O$332,"Tengah",$M$2:$M$164,"2")</f>
        <v>25</v>
      </c>
      <c r="Q190" s="32">
        <f t="shared" ref="Q190:Q191" si="10">P190/57</f>
        <v>0.43859649122807015</v>
      </c>
      <c r="T190" s="32" t="str">
        <v>kanan</v>
      </c>
      <c r="U190" s="32">
        <f>COUNTIFS($T$170:$T$332,"Tengah",$M$2:$M$164,"2")</f>
        <v>43</v>
      </c>
      <c r="V190" s="32">
        <f t="shared" ref="V190:V191" si="11">U190/78</f>
        <v>0.55128205128205132</v>
      </c>
    </row>
    <row r="191" spans="5:22">
      <c r="E191" s="32" t="str">
        <v>tengah</v>
      </c>
      <c r="F191" s="32" cm="1">
        <f t="array" ref="F191">SUMPRODUCT((E170:E332="tengah")*(M2:M164=3))</f>
        <v>38</v>
      </c>
      <c r="G191" s="32">
        <f>F191/90</f>
        <v>0.42222222222222222</v>
      </c>
      <c r="J191" s="32" t="str">
        <v>tengah</v>
      </c>
      <c r="K191" s="32">
        <f>COUNTIFS($J$170:$J$332,"Tengah",$M$2:$M$164,"3")</f>
        <v>38</v>
      </c>
      <c r="L191" s="32">
        <f t="shared" si="9"/>
        <v>0.39583333333333331</v>
      </c>
      <c r="O191" s="32" t="str">
        <v>kiri</v>
      </c>
      <c r="P191" s="32">
        <f>COUNTIFS($O$170:$O$332,"Tengah",$M$2:$M$164,"3")</f>
        <v>32</v>
      </c>
      <c r="Q191" s="32">
        <f t="shared" si="10"/>
        <v>0.56140350877192979</v>
      </c>
      <c r="T191" s="32" t="str">
        <v>kanan</v>
      </c>
      <c r="U191" s="32">
        <f>COUNTIFS($T$170:$T$332,"Tengah",$M$2:$M$164,"3")</f>
        <v>30</v>
      </c>
      <c r="V191" s="32">
        <f t="shared" si="11"/>
        <v>0.38461538461538464</v>
      </c>
    </row>
    <row r="192" spans="5:22">
      <c r="E192" s="32" t="str">
        <v>tengah</v>
      </c>
      <c r="F192" s="32" t="s">
        <v>196</v>
      </c>
      <c r="G192" s="32">
        <f>-(IFERROR(G189*LOG(G189,2),0)+IFERROR(G190*LOG(G190,2),0)+IFERROR(G191*LOG(G191,2),0))</f>
        <v>1.2805767575096105</v>
      </c>
      <c r="J192" s="32" t="str">
        <v>kanan</v>
      </c>
      <c r="K192" s="32" t="s">
        <v>196</v>
      </c>
      <c r="L192" s="32">
        <f>-(IFERROR(L189*LOG(L189,2),0)+IFERROR(L190*LOG(L190,2),0)+IFERROR(L191*LOG(L191,2),0))</f>
        <v>1.2894789339940131</v>
      </c>
      <c r="O192" s="32" t="str">
        <v>kiri</v>
      </c>
      <c r="P192" s="32" t="s">
        <v>196</v>
      </c>
      <c r="Q192" s="32">
        <f>-(IFERROR(Q189*LOG(Q189,2),0)+IFERROR(Q190*LOG(Q190,2),0)+IFERROR(Q191*LOG(Q191,2),0))</f>
        <v>0.98909343970214314</v>
      </c>
      <c r="T192" s="32" t="str">
        <v>kanan</v>
      </c>
      <c r="U192" s="32" t="s">
        <v>196</v>
      </c>
      <c r="V192" s="32">
        <f>-(IFERROR(V189*LOG(V189,2),0)+IFERROR(V190*LOG(V190,2),0)+IFERROR(V191*LOG(V191,2),0))</f>
        <v>1.2578926958509333</v>
      </c>
    </row>
    <row r="193" spans="5:22">
      <c r="E193" s="32" t="str">
        <v>tengah</v>
      </c>
      <c r="F193" s="32"/>
      <c r="G193" s="32">
        <f>SUM(F189:F191)/163</f>
        <v>0.55214723926380371</v>
      </c>
      <c r="J193" s="32" t="str">
        <v>kanan</v>
      </c>
      <c r="K193" s="32"/>
      <c r="L193" s="32">
        <f>SUM(K189:K191)/163</f>
        <v>0.58895705521472397</v>
      </c>
      <c r="O193" s="32" t="str">
        <v>kiri</v>
      </c>
      <c r="P193" s="32"/>
      <c r="Q193" s="32">
        <f>SUM(P189:P191)/163</f>
        <v>0.34969325153374231</v>
      </c>
      <c r="T193" s="32" t="str">
        <v>tengah</v>
      </c>
      <c r="U193" s="32"/>
      <c r="V193" s="32">
        <f>SUM(U189:U191)/163</f>
        <v>0.4785276073619632</v>
      </c>
    </row>
    <row r="194" spans="5:22">
      <c r="E194" s="32" t="str">
        <v>tengah</v>
      </c>
      <c r="F194" s="32"/>
      <c r="G194" s="39">
        <f>G192*G193</f>
        <v>0.70706692132432492</v>
      </c>
      <c r="J194" s="32" t="str">
        <v>kiri</v>
      </c>
      <c r="K194" s="32"/>
      <c r="L194" s="39">
        <f>L192*L193</f>
        <v>0.75944771572653536</v>
      </c>
      <c r="O194" s="32" t="str">
        <v>kiri</v>
      </c>
      <c r="P194" s="32"/>
      <c r="Q194" s="39">
        <f>Q192*Q193</f>
        <v>0.34587930100013592</v>
      </c>
      <c r="T194" s="32" t="str">
        <v>tengah</v>
      </c>
      <c r="U194" s="32"/>
      <c r="V194" s="39">
        <f>V192*V193</f>
        <v>0.60193638206363687</v>
      </c>
    </row>
    <row r="195" spans="5:22">
      <c r="E195" s="32" t="str">
        <v>kiri</v>
      </c>
      <c r="F195" s="32"/>
      <c r="G195" s="32"/>
      <c r="J195" s="32" t="str">
        <v>tengah</v>
      </c>
      <c r="K195" s="32"/>
      <c r="L195" s="32"/>
      <c r="O195" s="32" t="str">
        <v>kanan</v>
      </c>
      <c r="P195" s="32"/>
      <c r="Q195" s="32"/>
      <c r="T195" s="32" t="str">
        <v>kanan</v>
      </c>
      <c r="U195" s="32"/>
      <c r="V195" s="32"/>
    </row>
    <row r="196" spans="5:22">
      <c r="E196" s="32" t="str">
        <v>kiri</v>
      </c>
      <c r="F196" s="32" t="s">
        <v>199</v>
      </c>
      <c r="G196" s="40" t="s">
        <v>196</v>
      </c>
      <c r="J196" s="32" t="str">
        <v>kanan</v>
      </c>
      <c r="K196" s="32" t="s">
        <v>199</v>
      </c>
      <c r="L196" s="40" t="s">
        <v>196</v>
      </c>
      <c r="O196" s="32" t="str">
        <v>kiri</v>
      </c>
      <c r="P196" s="32" t="s">
        <v>199</v>
      </c>
      <c r="Q196" s="40" t="s">
        <v>196</v>
      </c>
      <c r="T196" s="32" t="str">
        <v>kanan</v>
      </c>
      <c r="U196" s="32" t="s">
        <v>199</v>
      </c>
      <c r="V196" s="40" t="s">
        <v>196</v>
      </c>
    </row>
    <row r="197" spans="5:22">
      <c r="E197" s="32" t="str">
        <v>tengah</v>
      </c>
      <c r="F197" s="41">
        <f>P5-(G176+G185+G194)</f>
        <v>2.4144058397377322E-2</v>
      </c>
      <c r="G197" s="39">
        <f>(G176+G185+G194)</f>
        <v>1.2458680140048422</v>
      </c>
      <c r="J197" s="32" t="str">
        <v>tengah</v>
      </c>
      <c r="K197" s="41">
        <f>P5-(L176+L185+L194)</f>
        <v>2.7222578005695164E-2</v>
      </c>
      <c r="L197" s="39">
        <f>(L176+L185+L194)</f>
        <v>1.2427894943965243</v>
      </c>
      <c r="O197" s="32" t="str">
        <v>kanan</v>
      </c>
      <c r="P197" s="41">
        <f>P5-(Q176+Q185+Q194)</f>
        <v>0.67713987168355816</v>
      </c>
      <c r="Q197" s="39">
        <f>(Q176+Q185+Q194)</f>
        <v>0.59287220071866131</v>
      </c>
      <c r="T197" s="32" t="str">
        <v>kanan</v>
      </c>
      <c r="U197" s="41">
        <f>P5-(V176+V185+V194)</f>
        <v>1.0962622137315803E-2</v>
      </c>
      <c r="V197" s="39">
        <f>(V176+V185+V194)</f>
        <v>1.2590494502649037</v>
      </c>
    </row>
    <row r="198" spans="5:22">
      <c r="E198" s="32" t="str">
        <v>kanan</v>
      </c>
      <c r="F198" s="32"/>
      <c r="G198" s="32"/>
      <c r="J198" s="32" t="str">
        <v>kanan</v>
      </c>
      <c r="K198" s="32"/>
      <c r="L198" s="32"/>
      <c r="O198" s="32" t="str">
        <v>kanan</v>
      </c>
      <c r="P198" s="32"/>
      <c r="Q198" s="32"/>
      <c r="T198" s="32" t="str">
        <v>kanan</v>
      </c>
      <c r="U198" s="32"/>
      <c r="V198" s="32"/>
    </row>
    <row r="199" spans="5:22">
      <c r="E199" s="32" t="str">
        <v>tengah</v>
      </c>
      <c r="F199" s="32"/>
      <c r="G199" s="32"/>
      <c r="J199" s="32" t="str">
        <v>kanan</v>
      </c>
      <c r="K199" s="32"/>
      <c r="L199" s="32"/>
      <c r="O199" s="32" t="str">
        <v>kiri</v>
      </c>
      <c r="P199" s="32"/>
      <c r="Q199" s="32"/>
      <c r="T199" s="32" t="str">
        <v>tengah</v>
      </c>
      <c r="U199" s="32"/>
      <c r="V199" s="32"/>
    </row>
    <row r="200" spans="5:22">
      <c r="E200" s="32" t="str">
        <v>kanan</v>
      </c>
      <c r="F200" s="32"/>
      <c r="G200" s="32"/>
      <c r="J200" s="32" t="str">
        <v>kiri</v>
      </c>
      <c r="K200" s="32"/>
      <c r="L200" s="32"/>
      <c r="O200" s="32" t="str">
        <v>tengah</v>
      </c>
      <c r="P200" s="32"/>
      <c r="Q200" s="32"/>
      <c r="T200" s="32" t="str">
        <v>kanan</v>
      </c>
      <c r="U200" s="32"/>
      <c r="V200" s="32"/>
    </row>
    <row r="201" spans="5:22">
      <c r="E201" s="32" t="str">
        <v>kanan</v>
      </c>
      <c r="F201" s="32"/>
      <c r="G201" s="32"/>
      <c r="J201" s="32" t="str">
        <v>tengah</v>
      </c>
      <c r="K201" s="32"/>
      <c r="L201" s="32"/>
      <c r="O201" s="32" t="str">
        <v>tengah</v>
      </c>
      <c r="P201" s="32"/>
      <c r="Q201" s="32"/>
      <c r="T201" s="32" t="str">
        <v>tengah</v>
      </c>
      <c r="U201" s="32"/>
      <c r="V201" s="32"/>
    </row>
    <row r="202" spans="5:22">
      <c r="E202" s="32" t="str">
        <v>kanan</v>
      </c>
      <c r="F202" s="32"/>
      <c r="G202" s="32"/>
      <c r="J202" s="32" t="str">
        <v>tengah</v>
      </c>
      <c r="K202" s="32"/>
      <c r="L202" s="32"/>
      <c r="O202" s="32" t="str">
        <v>kanan</v>
      </c>
      <c r="P202" s="32"/>
      <c r="Q202" s="32"/>
      <c r="T202" s="32" t="str">
        <v>kanan</v>
      </c>
      <c r="U202" s="32"/>
      <c r="V202" s="32"/>
    </row>
    <row r="203" spans="5:22">
      <c r="E203" s="32" t="str">
        <v>kiri</v>
      </c>
      <c r="F203" s="32"/>
      <c r="G203" s="32"/>
      <c r="J203" s="32" t="str">
        <v>tengah</v>
      </c>
      <c r="K203" s="32"/>
      <c r="L203" s="32"/>
      <c r="O203" s="32" t="str">
        <v>kiri</v>
      </c>
      <c r="P203" s="32"/>
      <c r="Q203" s="32"/>
      <c r="T203" s="32" t="str">
        <v>tengah</v>
      </c>
      <c r="U203" s="32"/>
      <c r="V203" s="32"/>
    </row>
    <row r="204" spans="5:22">
      <c r="E204" s="32" t="str">
        <v>tengah</v>
      </c>
      <c r="F204" s="32"/>
      <c r="G204" s="32"/>
      <c r="J204" s="32" t="str">
        <v>tengah</v>
      </c>
      <c r="K204" s="32"/>
      <c r="L204" s="32"/>
      <c r="O204" s="32" t="str">
        <v>kiri</v>
      </c>
      <c r="P204" s="32"/>
      <c r="Q204" s="32"/>
      <c r="T204" s="32" t="str">
        <v>tengah</v>
      </c>
      <c r="U204" s="32"/>
      <c r="V204" s="32"/>
    </row>
    <row r="205" spans="5:22">
      <c r="E205" s="32" t="str">
        <v>kiri</v>
      </c>
      <c r="F205" s="32"/>
      <c r="G205" s="32"/>
      <c r="J205" s="32" t="str">
        <v>kiri</v>
      </c>
      <c r="K205" s="32"/>
      <c r="L205" s="32"/>
      <c r="O205" s="32" t="str">
        <v>kanan</v>
      </c>
      <c r="P205" s="32"/>
      <c r="Q205" s="32"/>
      <c r="T205" s="32" t="str">
        <v>tengah</v>
      </c>
      <c r="U205" s="32"/>
      <c r="V205" s="32"/>
    </row>
    <row r="206" spans="5:22">
      <c r="E206" s="32" t="str">
        <v>kiri</v>
      </c>
      <c r="F206" s="32"/>
      <c r="G206" s="32"/>
      <c r="J206" s="32" t="str">
        <v>kanan</v>
      </c>
      <c r="K206" s="32"/>
      <c r="L206" s="32"/>
      <c r="O206" s="32" t="str">
        <v>kiri</v>
      </c>
      <c r="P206" s="32"/>
      <c r="Q206" s="32"/>
      <c r="T206" s="32" t="str">
        <v>tengah</v>
      </c>
      <c r="U206" s="32"/>
      <c r="V206" s="32"/>
    </row>
    <row r="207" spans="5:22">
      <c r="E207" s="32" t="str">
        <v>tengah</v>
      </c>
      <c r="F207" s="32"/>
      <c r="G207" s="32"/>
      <c r="J207" s="32" t="str">
        <v>tengah</v>
      </c>
      <c r="K207" s="32"/>
      <c r="L207" s="32"/>
      <c r="O207" s="32" t="str">
        <v>kiri</v>
      </c>
      <c r="P207" s="32"/>
      <c r="Q207" s="32"/>
      <c r="T207" s="32" t="str">
        <v>kanan</v>
      </c>
      <c r="U207" s="32"/>
      <c r="V207" s="32"/>
    </row>
    <row r="208" spans="5:22">
      <c r="E208" s="32" t="str">
        <v>kiri</v>
      </c>
      <c r="F208" s="32"/>
      <c r="G208" s="32"/>
      <c r="J208" s="32" t="str">
        <v>tengah</v>
      </c>
      <c r="K208" s="32"/>
      <c r="L208" s="32"/>
      <c r="O208" s="32" t="str">
        <v>tengah</v>
      </c>
      <c r="P208" s="32"/>
      <c r="Q208" s="32"/>
      <c r="T208" s="32" t="str">
        <v>tengah</v>
      </c>
      <c r="U208" s="32"/>
      <c r="V208" s="32"/>
    </row>
    <row r="209" spans="5:22">
      <c r="E209" s="32" t="str">
        <v>kiri</v>
      </c>
      <c r="F209" s="32"/>
      <c r="G209" s="32"/>
      <c r="J209" s="32" t="str">
        <v>kiri</v>
      </c>
      <c r="K209" s="32"/>
      <c r="L209" s="32"/>
      <c r="O209" s="32" t="str">
        <v>kanan</v>
      </c>
      <c r="P209" s="32"/>
      <c r="Q209" s="32"/>
      <c r="T209" s="32" t="str">
        <v>tengah</v>
      </c>
      <c r="U209" s="32"/>
      <c r="V209" s="32"/>
    </row>
    <row r="210" spans="5:22">
      <c r="E210" s="32" t="str">
        <v>tengah</v>
      </c>
      <c r="F210" s="32"/>
      <c r="G210" s="32"/>
      <c r="J210" s="32" t="str">
        <v>tengah</v>
      </c>
      <c r="K210" s="32"/>
      <c r="L210" s="32"/>
      <c r="O210" s="32" t="str">
        <v>tengah</v>
      </c>
      <c r="P210" s="32"/>
      <c r="Q210" s="32"/>
      <c r="T210" s="32" t="str">
        <v>kanan</v>
      </c>
      <c r="U210" s="32"/>
      <c r="V210" s="32"/>
    </row>
    <row r="211" spans="5:22">
      <c r="E211" s="32" t="str">
        <v>kiri</v>
      </c>
      <c r="F211" s="32"/>
      <c r="G211" s="32"/>
      <c r="J211" s="32" t="str">
        <v>tengah</v>
      </c>
      <c r="K211" s="32"/>
      <c r="L211" s="32"/>
      <c r="O211" s="32" t="str">
        <v>kiri</v>
      </c>
      <c r="P211" s="32"/>
      <c r="Q211" s="32"/>
      <c r="T211" s="32" t="str">
        <v>tengah</v>
      </c>
      <c r="U211" s="32"/>
      <c r="V211" s="32"/>
    </row>
    <row r="212" spans="5:22">
      <c r="E212" s="32" t="str">
        <v>tengah</v>
      </c>
      <c r="F212" s="32"/>
      <c r="G212" s="32"/>
      <c r="J212" s="32" t="str">
        <v>tengah</v>
      </c>
      <c r="K212" s="32"/>
      <c r="L212" s="32"/>
      <c r="O212" s="32" t="str">
        <v>kiri</v>
      </c>
      <c r="P212" s="32"/>
      <c r="Q212" s="32"/>
      <c r="T212" s="32" t="str">
        <v>kanan</v>
      </c>
      <c r="U212" s="32"/>
      <c r="V212" s="32"/>
    </row>
    <row r="213" spans="5:22">
      <c r="E213" s="32" t="str">
        <v>kiri</v>
      </c>
      <c r="F213" s="32"/>
      <c r="G213" s="32"/>
      <c r="J213" s="32" t="str">
        <v>tengah</v>
      </c>
      <c r="K213" s="32"/>
      <c r="L213" s="32"/>
      <c r="O213" s="32" t="str">
        <v>tengah</v>
      </c>
      <c r="P213" s="32"/>
      <c r="Q213" s="32"/>
      <c r="T213" s="32" t="str">
        <v>kanan</v>
      </c>
      <c r="U213" s="32"/>
      <c r="V213" s="32"/>
    </row>
    <row r="214" spans="5:22">
      <c r="E214" s="32" t="str">
        <v>tengah</v>
      </c>
      <c r="F214" s="32"/>
      <c r="G214" s="32"/>
      <c r="J214" s="32" t="str">
        <v>kiri</v>
      </c>
      <c r="K214" s="32"/>
      <c r="L214" s="32"/>
      <c r="O214" s="32" t="str">
        <v>tengah</v>
      </c>
      <c r="P214" s="32"/>
      <c r="Q214" s="32"/>
      <c r="T214" s="32" t="str">
        <v>kanan</v>
      </c>
      <c r="U214" s="32"/>
      <c r="V214" s="32"/>
    </row>
    <row r="215" spans="5:22">
      <c r="E215" s="32" t="str">
        <v>tengah</v>
      </c>
      <c r="F215" s="32"/>
      <c r="G215" s="32"/>
      <c r="J215" s="32" t="str">
        <v>tengah</v>
      </c>
      <c r="K215" s="32"/>
      <c r="L215" s="32"/>
      <c r="O215" s="32" t="str">
        <v>tengah</v>
      </c>
      <c r="P215" s="32"/>
      <c r="Q215" s="32"/>
      <c r="T215" s="32" t="str">
        <v>tengah</v>
      </c>
      <c r="U215" s="32"/>
      <c r="V215" s="32"/>
    </row>
    <row r="216" spans="5:22">
      <c r="E216" s="32" t="str">
        <v>kiri</v>
      </c>
      <c r="F216" s="32"/>
      <c r="G216" s="32"/>
      <c r="J216" s="32" t="str">
        <v>kiri</v>
      </c>
      <c r="K216" s="32"/>
      <c r="L216" s="32"/>
      <c r="O216" s="32" t="str">
        <v>tengah</v>
      </c>
      <c r="P216" s="32"/>
      <c r="Q216" s="32"/>
      <c r="T216" s="32" t="str">
        <v>tengah</v>
      </c>
      <c r="U216" s="32"/>
      <c r="V216" s="32"/>
    </row>
    <row r="217" spans="5:22">
      <c r="E217" s="32" t="str">
        <v>tengah</v>
      </c>
      <c r="F217" s="32"/>
      <c r="G217" s="32"/>
      <c r="J217" s="32" t="str">
        <v>kanan</v>
      </c>
      <c r="K217" s="32"/>
      <c r="L217" s="32"/>
      <c r="O217" s="32" t="str">
        <v>kanan</v>
      </c>
      <c r="P217" s="32"/>
      <c r="Q217" s="32"/>
      <c r="T217" s="32" t="str">
        <v>tengah</v>
      </c>
      <c r="U217" s="32"/>
      <c r="V217" s="32"/>
    </row>
    <row r="218" spans="5:22">
      <c r="E218" s="32" t="str">
        <v>kiri</v>
      </c>
      <c r="F218" s="32"/>
      <c r="G218" s="32"/>
      <c r="J218" s="32" t="str">
        <v>kiri</v>
      </c>
      <c r="K218" s="32"/>
      <c r="L218" s="32"/>
      <c r="O218" s="32" t="str">
        <v>kiri</v>
      </c>
      <c r="P218" s="32"/>
      <c r="Q218" s="32"/>
      <c r="T218" s="32" t="str">
        <v>kanan</v>
      </c>
      <c r="U218" s="32"/>
      <c r="V218" s="32"/>
    </row>
    <row r="219" spans="5:22">
      <c r="E219" s="32" t="str">
        <v>tengah</v>
      </c>
      <c r="F219" s="32"/>
      <c r="G219" s="32"/>
      <c r="J219" s="32" t="str">
        <v>tengah</v>
      </c>
      <c r="K219" s="32"/>
      <c r="L219" s="32"/>
      <c r="O219" s="32" t="str">
        <v>tengah</v>
      </c>
      <c r="P219" s="32"/>
      <c r="Q219" s="32"/>
      <c r="T219" s="32" t="str">
        <v>tengah</v>
      </c>
      <c r="U219" s="32"/>
      <c r="V219" s="32"/>
    </row>
    <row r="220" spans="5:22">
      <c r="E220" s="32" t="str">
        <v>kiri</v>
      </c>
      <c r="F220" s="32"/>
      <c r="G220" s="32"/>
      <c r="J220" s="32" t="str">
        <v>kanan</v>
      </c>
      <c r="K220" s="32"/>
      <c r="L220" s="32"/>
      <c r="O220" s="32" t="str">
        <v>kiri</v>
      </c>
      <c r="P220" s="32"/>
      <c r="Q220" s="32"/>
      <c r="T220" s="32" t="str">
        <v>kanan</v>
      </c>
      <c r="U220" s="32"/>
      <c r="V220" s="32"/>
    </row>
    <row r="221" spans="5:22">
      <c r="E221" s="32" t="str">
        <v>tengah</v>
      </c>
      <c r="F221" s="32"/>
      <c r="G221" s="32"/>
      <c r="J221" s="32" t="str">
        <v>tengah</v>
      </c>
      <c r="K221" s="32"/>
      <c r="L221" s="32"/>
      <c r="O221" s="32" t="str">
        <v>tengah</v>
      </c>
      <c r="P221" s="32"/>
      <c r="Q221" s="32"/>
      <c r="T221" s="32" t="str">
        <v>kanan</v>
      </c>
      <c r="U221" s="32"/>
      <c r="V221" s="32"/>
    </row>
    <row r="222" spans="5:22">
      <c r="E222" s="32" t="str">
        <v>kanan</v>
      </c>
      <c r="F222" s="32"/>
      <c r="G222" s="32"/>
      <c r="J222" s="32" t="str">
        <v>tengah</v>
      </c>
      <c r="K222" s="32"/>
      <c r="L222" s="32"/>
      <c r="O222" s="32" t="str">
        <v>kanan</v>
      </c>
      <c r="P222" s="32"/>
      <c r="Q222" s="32"/>
      <c r="T222" s="32" t="str">
        <v>kanan</v>
      </c>
      <c r="U222" s="32"/>
      <c r="V222" s="32"/>
    </row>
    <row r="223" spans="5:22">
      <c r="E223" s="32" t="str">
        <v>tengah</v>
      </c>
      <c r="F223" s="32"/>
      <c r="G223" s="32"/>
      <c r="J223" s="32" t="str">
        <v>tengah</v>
      </c>
      <c r="K223" s="32"/>
      <c r="L223" s="32"/>
      <c r="O223" s="32" t="str">
        <v>kiri</v>
      </c>
      <c r="P223" s="32"/>
      <c r="Q223" s="32"/>
      <c r="T223" s="32" t="str">
        <v>tengah</v>
      </c>
      <c r="U223" s="32"/>
      <c r="V223" s="32"/>
    </row>
    <row r="224" spans="5:22">
      <c r="E224" s="32" t="str">
        <v>kiri</v>
      </c>
      <c r="F224" s="32"/>
      <c r="G224" s="32"/>
      <c r="J224" s="32" t="str">
        <v>tengah</v>
      </c>
      <c r="K224" s="32"/>
      <c r="L224" s="32"/>
      <c r="O224" s="32" t="str">
        <v>tengah</v>
      </c>
      <c r="P224" s="32"/>
      <c r="Q224" s="32"/>
      <c r="T224" s="32" t="str">
        <v>tengah</v>
      </c>
      <c r="U224" s="32"/>
      <c r="V224" s="32"/>
    </row>
    <row r="225" spans="5:22">
      <c r="E225" s="32" t="str">
        <v>tengah</v>
      </c>
      <c r="F225" s="32"/>
      <c r="G225" s="32"/>
      <c r="J225" s="32" t="str">
        <v>tengah</v>
      </c>
      <c r="K225" s="32"/>
      <c r="L225" s="32"/>
      <c r="O225" s="32" t="str">
        <v>tengah</v>
      </c>
      <c r="P225" s="32"/>
      <c r="Q225" s="32"/>
      <c r="T225" s="32" t="str">
        <v>tengah</v>
      </c>
      <c r="U225" s="32"/>
      <c r="V225" s="32"/>
    </row>
    <row r="226" spans="5:22">
      <c r="E226" s="32" t="str">
        <v>tengah</v>
      </c>
      <c r="F226" s="32"/>
      <c r="G226" s="32"/>
      <c r="J226" s="32" t="str">
        <v>tengah</v>
      </c>
      <c r="K226" s="32"/>
      <c r="L226" s="32"/>
      <c r="O226" s="32" t="str">
        <v>kiri</v>
      </c>
      <c r="P226" s="32"/>
      <c r="Q226" s="32"/>
      <c r="T226" s="32" t="str">
        <v>tengah</v>
      </c>
      <c r="U226" s="32"/>
      <c r="V226" s="32"/>
    </row>
    <row r="227" spans="5:22">
      <c r="E227" s="32" t="str">
        <v>tengah</v>
      </c>
      <c r="F227" s="32"/>
      <c r="G227" s="32"/>
      <c r="J227" s="32" t="str">
        <v>tengah</v>
      </c>
      <c r="K227" s="32"/>
      <c r="L227" s="32"/>
      <c r="O227" s="32" t="str">
        <v>tengah</v>
      </c>
      <c r="P227" s="32"/>
      <c r="Q227" s="32"/>
      <c r="T227" s="32" t="str">
        <v>tengah</v>
      </c>
      <c r="U227" s="32"/>
      <c r="V227" s="32"/>
    </row>
    <row r="228" spans="5:22">
      <c r="E228" s="32" t="str">
        <v>tengah</v>
      </c>
      <c r="F228" s="32"/>
      <c r="G228" s="32"/>
      <c r="J228" s="32" t="str">
        <v>tengah</v>
      </c>
      <c r="K228" s="32"/>
      <c r="L228" s="32"/>
      <c r="O228" s="32" t="str">
        <v>tengah</v>
      </c>
      <c r="P228" s="32"/>
      <c r="Q228" s="32"/>
      <c r="T228" s="32" t="str">
        <v>kanan</v>
      </c>
      <c r="U228" s="32"/>
      <c r="V228" s="32"/>
    </row>
    <row r="229" spans="5:22">
      <c r="E229" s="32" t="str">
        <v>kiri</v>
      </c>
      <c r="F229" s="32"/>
      <c r="G229" s="32"/>
      <c r="J229" s="32" t="str">
        <v>tengah</v>
      </c>
      <c r="K229" s="32"/>
      <c r="L229" s="32"/>
      <c r="O229" s="32" t="str">
        <v>kiri</v>
      </c>
      <c r="P229" s="32"/>
      <c r="Q229" s="32"/>
      <c r="T229" s="32" t="str">
        <v>tengah</v>
      </c>
      <c r="U229" s="32"/>
      <c r="V229" s="32"/>
    </row>
    <row r="230" spans="5:22">
      <c r="E230" s="32" t="str">
        <v>kiri</v>
      </c>
      <c r="F230" s="32"/>
      <c r="G230" s="32"/>
      <c r="J230" s="32" t="str">
        <v>tengah</v>
      </c>
      <c r="K230" s="32"/>
      <c r="L230" s="32"/>
      <c r="O230" s="32" t="str">
        <v>kiri</v>
      </c>
      <c r="P230" s="32"/>
      <c r="Q230" s="32"/>
      <c r="T230" s="32" t="str">
        <v>tengah</v>
      </c>
      <c r="U230" s="32"/>
      <c r="V230" s="32"/>
    </row>
    <row r="231" spans="5:22">
      <c r="E231" s="32" t="str">
        <v>tengah</v>
      </c>
      <c r="F231" s="32"/>
      <c r="G231" s="32"/>
      <c r="J231" s="32" t="str">
        <v>tengah</v>
      </c>
      <c r="K231" s="32"/>
      <c r="L231" s="32"/>
      <c r="O231" s="32" t="str">
        <v>kanan</v>
      </c>
      <c r="P231" s="32"/>
      <c r="Q231" s="32"/>
      <c r="T231" s="32" t="str">
        <v>kanan</v>
      </c>
      <c r="U231" s="32"/>
      <c r="V231" s="32"/>
    </row>
    <row r="232" spans="5:22">
      <c r="E232" s="32" t="str">
        <v>kiri</v>
      </c>
      <c r="F232" s="32"/>
      <c r="G232" s="32"/>
      <c r="J232" s="32" t="str">
        <v>kiri</v>
      </c>
      <c r="K232" s="32"/>
      <c r="L232" s="32"/>
      <c r="O232" s="32" t="str">
        <v>tengah</v>
      </c>
      <c r="P232" s="32"/>
      <c r="Q232" s="32"/>
      <c r="T232" s="32" t="str">
        <v>kanan</v>
      </c>
      <c r="U232" s="32"/>
      <c r="V232" s="32"/>
    </row>
    <row r="233" spans="5:22">
      <c r="E233" s="32" t="str">
        <v>kanan</v>
      </c>
      <c r="F233" s="32"/>
      <c r="G233" s="32"/>
      <c r="J233" s="32" t="str">
        <v>tengah</v>
      </c>
      <c r="K233" s="32"/>
      <c r="L233" s="32"/>
      <c r="O233" s="32" t="str">
        <v>kiri</v>
      </c>
      <c r="P233" s="32"/>
      <c r="Q233" s="32"/>
      <c r="T233" s="32" t="str">
        <v>tengah</v>
      </c>
      <c r="U233" s="32"/>
      <c r="V233" s="32"/>
    </row>
    <row r="234" spans="5:22">
      <c r="E234" s="32" t="str">
        <v>tengah</v>
      </c>
      <c r="F234" s="32"/>
      <c r="G234" s="32"/>
      <c r="J234" s="32" t="str">
        <v>kanan</v>
      </c>
      <c r="K234" s="32"/>
      <c r="L234" s="32"/>
      <c r="O234" s="32" t="str">
        <v>kiri</v>
      </c>
      <c r="P234" s="32"/>
      <c r="Q234" s="32"/>
      <c r="T234" s="32" t="str">
        <v>kanan</v>
      </c>
      <c r="U234" s="32"/>
      <c r="V234" s="32"/>
    </row>
    <row r="235" spans="5:22">
      <c r="E235" s="32" t="str">
        <v>kanan</v>
      </c>
      <c r="F235" s="32"/>
      <c r="G235" s="32"/>
      <c r="J235" s="32" t="str">
        <v>tengah</v>
      </c>
      <c r="K235" s="32"/>
      <c r="L235" s="32"/>
      <c r="O235" s="32" t="str">
        <v>tengah</v>
      </c>
      <c r="P235" s="32"/>
      <c r="Q235" s="32"/>
      <c r="T235" s="32" t="str">
        <v>tengah</v>
      </c>
      <c r="U235" s="32"/>
      <c r="V235" s="32"/>
    </row>
    <row r="236" spans="5:22">
      <c r="E236" s="32" t="str">
        <v>tengah</v>
      </c>
      <c r="F236" s="32"/>
      <c r="G236" s="32"/>
      <c r="J236" s="32" t="str">
        <v>kanan</v>
      </c>
      <c r="K236" s="32"/>
      <c r="L236" s="32"/>
      <c r="O236" s="32" t="str">
        <v>tengah</v>
      </c>
      <c r="P236" s="32"/>
      <c r="Q236" s="32"/>
      <c r="T236" s="32" t="str">
        <v>kanan</v>
      </c>
      <c r="U236" s="32"/>
      <c r="V236" s="32"/>
    </row>
    <row r="237" spans="5:22">
      <c r="E237" s="32" t="str">
        <v>tengah</v>
      </c>
      <c r="F237" s="32"/>
      <c r="G237" s="32"/>
      <c r="J237" s="32" t="str">
        <v>tengah</v>
      </c>
      <c r="K237" s="32"/>
      <c r="L237" s="32"/>
      <c r="O237" s="32" t="str">
        <v>tengah</v>
      </c>
      <c r="P237" s="32"/>
      <c r="Q237" s="32"/>
      <c r="T237" s="32" t="str">
        <v>tengah</v>
      </c>
      <c r="U237" s="32"/>
      <c r="V237" s="32"/>
    </row>
    <row r="238" spans="5:22">
      <c r="E238" s="32" t="str">
        <v>kanan</v>
      </c>
      <c r="F238" s="32"/>
      <c r="G238" s="32"/>
      <c r="J238" s="32" t="str">
        <v>tengah</v>
      </c>
      <c r="K238" s="32"/>
      <c r="L238" s="32"/>
      <c r="O238" s="32" t="str">
        <v>kanan</v>
      </c>
      <c r="P238" s="32"/>
      <c r="Q238" s="32"/>
      <c r="T238" s="32" t="str">
        <v>kanan</v>
      </c>
      <c r="U238" s="32"/>
      <c r="V238" s="32"/>
    </row>
    <row r="239" spans="5:22">
      <c r="E239" s="32" t="str">
        <v>tengah</v>
      </c>
      <c r="F239" s="32"/>
      <c r="G239" s="32"/>
      <c r="J239" s="32" t="str">
        <v>tengah</v>
      </c>
      <c r="K239" s="32"/>
      <c r="L239" s="32"/>
      <c r="O239" s="32" t="str">
        <v>kanan</v>
      </c>
      <c r="P239" s="32"/>
      <c r="Q239" s="32"/>
      <c r="T239" s="32" t="str">
        <v>kanan</v>
      </c>
      <c r="U239" s="32"/>
      <c r="V239" s="32"/>
    </row>
    <row r="240" spans="5:22">
      <c r="E240" s="32" t="str">
        <v>kiri</v>
      </c>
      <c r="F240" s="32"/>
      <c r="G240" s="32"/>
      <c r="J240" s="32" t="str">
        <v>tengah</v>
      </c>
      <c r="K240" s="32"/>
      <c r="L240" s="32"/>
      <c r="O240" s="32" t="str">
        <v>kiri</v>
      </c>
      <c r="P240" s="32"/>
      <c r="Q240" s="32"/>
      <c r="T240" s="32" t="str">
        <v>tengah</v>
      </c>
      <c r="U240" s="32"/>
      <c r="V240" s="32"/>
    </row>
    <row r="241" spans="5:22">
      <c r="E241" s="32" t="str">
        <v>tengah</v>
      </c>
      <c r="F241" s="32"/>
      <c r="G241" s="32"/>
      <c r="J241" s="32" t="str">
        <v>tengah</v>
      </c>
      <c r="K241" s="32"/>
      <c r="L241" s="32"/>
      <c r="O241" s="32" t="str">
        <v>kanan</v>
      </c>
      <c r="P241" s="32"/>
      <c r="Q241" s="32"/>
      <c r="T241" s="32" t="str">
        <v>kanan</v>
      </c>
      <c r="U241" s="32"/>
      <c r="V241" s="32"/>
    </row>
    <row r="242" spans="5:22">
      <c r="E242" s="32" t="str">
        <v>kiri</v>
      </c>
      <c r="F242" s="32"/>
      <c r="G242" s="32"/>
      <c r="J242" s="32" t="str">
        <v>kiri</v>
      </c>
      <c r="K242" s="32"/>
      <c r="L242" s="32"/>
      <c r="O242" s="32" t="str">
        <v>tengah</v>
      </c>
      <c r="P242" s="32"/>
      <c r="Q242" s="32"/>
      <c r="T242" s="32" t="str">
        <v>tengah</v>
      </c>
      <c r="U242" s="32"/>
      <c r="V242" s="32"/>
    </row>
    <row r="243" spans="5:22">
      <c r="E243" s="32" t="str">
        <v>tengah</v>
      </c>
      <c r="F243" s="32"/>
      <c r="G243" s="32"/>
      <c r="J243" s="32" t="str">
        <v>tengah</v>
      </c>
      <c r="K243" s="32"/>
      <c r="L243" s="32"/>
      <c r="O243" s="32" t="str">
        <v>tengah</v>
      </c>
      <c r="P243" s="32"/>
      <c r="Q243" s="32"/>
      <c r="T243" s="32" t="str">
        <v>tengah</v>
      </c>
      <c r="U243" s="32"/>
      <c r="V243" s="32"/>
    </row>
    <row r="244" spans="5:22">
      <c r="E244" s="32" t="str">
        <v>kiri</v>
      </c>
      <c r="F244" s="32"/>
      <c r="G244" s="32"/>
      <c r="J244" s="32" t="str">
        <v>kiri</v>
      </c>
      <c r="K244" s="32"/>
      <c r="L244" s="32"/>
      <c r="O244" s="32" t="str">
        <v>kanan</v>
      </c>
      <c r="P244" s="32"/>
      <c r="Q244" s="32"/>
      <c r="T244" s="32" t="str">
        <v>kanan</v>
      </c>
      <c r="U244" s="32"/>
      <c r="V244" s="32"/>
    </row>
    <row r="245" spans="5:22">
      <c r="E245" s="32" t="str">
        <v>tengah</v>
      </c>
      <c r="F245" s="32"/>
      <c r="G245" s="32"/>
      <c r="J245" s="32" t="str">
        <v>tengah</v>
      </c>
      <c r="K245" s="32"/>
      <c r="L245" s="32"/>
      <c r="O245" s="32" t="str">
        <v>kiri</v>
      </c>
      <c r="P245" s="32"/>
      <c r="Q245" s="32"/>
      <c r="T245" s="32" t="str">
        <v>tengah</v>
      </c>
      <c r="U245" s="32"/>
      <c r="V245" s="32"/>
    </row>
    <row r="246" spans="5:22">
      <c r="E246" s="32" t="str">
        <v>tengah</v>
      </c>
      <c r="F246" s="32"/>
      <c r="G246" s="32"/>
      <c r="J246" s="32" t="str">
        <v>tengah</v>
      </c>
      <c r="K246" s="32"/>
      <c r="L246" s="32"/>
      <c r="O246" s="32" t="str">
        <v>kanan</v>
      </c>
      <c r="P246" s="32"/>
      <c r="Q246" s="32"/>
      <c r="T246" s="32" t="str">
        <v>kanan</v>
      </c>
      <c r="U246" s="32"/>
      <c r="V246" s="32"/>
    </row>
    <row r="247" spans="5:22">
      <c r="E247" s="32" t="str">
        <v>tengah</v>
      </c>
      <c r="F247" s="32"/>
      <c r="G247" s="32"/>
      <c r="J247" s="32" t="str">
        <v>kiri</v>
      </c>
      <c r="K247" s="32"/>
      <c r="L247" s="32"/>
      <c r="O247" s="32" t="str">
        <v>tengah</v>
      </c>
      <c r="P247" s="32"/>
      <c r="Q247" s="32"/>
      <c r="T247" s="32" t="str">
        <v>kanan</v>
      </c>
      <c r="U247" s="32"/>
      <c r="V247" s="32"/>
    </row>
    <row r="248" spans="5:22">
      <c r="E248" s="32" t="str">
        <v>tengah</v>
      </c>
      <c r="F248" s="32"/>
      <c r="G248" s="32"/>
      <c r="J248" s="32" t="str">
        <v>tengah</v>
      </c>
      <c r="K248" s="32"/>
      <c r="L248" s="32"/>
      <c r="O248" s="32" t="str">
        <v>kanan</v>
      </c>
      <c r="P248" s="32"/>
      <c r="Q248" s="32"/>
      <c r="T248" s="32" t="str">
        <v>kanan</v>
      </c>
      <c r="U248" s="32"/>
      <c r="V248" s="32"/>
    </row>
    <row r="249" spans="5:22">
      <c r="E249" s="32" t="str">
        <v>tengah</v>
      </c>
      <c r="F249" s="32"/>
      <c r="G249" s="32"/>
      <c r="J249" s="32" t="str">
        <v>kanan</v>
      </c>
      <c r="K249" s="32"/>
      <c r="L249" s="32"/>
      <c r="O249" s="32" t="str">
        <v>tengah</v>
      </c>
      <c r="P249" s="32"/>
      <c r="Q249" s="32"/>
      <c r="T249" s="32" t="str">
        <v>tengah</v>
      </c>
      <c r="U249" s="32"/>
      <c r="V249" s="32"/>
    </row>
    <row r="250" spans="5:22">
      <c r="E250" s="32" t="str">
        <v>tengah</v>
      </c>
      <c r="F250" s="32"/>
      <c r="G250" s="32"/>
      <c r="J250" s="32" t="str">
        <v>tengah</v>
      </c>
      <c r="K250" s="32"/>
      <c r="L250" s="32"/>
      <c r="O250" s="32" t="str">
        <v>kiri</v>
      </c>
      <c r="P250" s="32"/>
      <c r="Q250" s="32"/>
      <c r="T250" s="32" t="str">
        <v>tengah</v>
      </c>
      <c r="U250" s="32"/>
      <c r="V250" s="32"/>
    </row>
    <row r="251" spans="5:22">
      <c r="E251" s="32" t="str">
        <v>tengah</v>
      </c>
      <c r="F251" s="32"/>
      <c r="G251" s="32"/>
      <c r="J251" s="32" t="str">
        <v>tengah</v>
      </c>
      <c r="K251" s="32"/>
      <c r="L251" s="32"/>
      <c r="O251" s="32" t="str">
        <v>kiri</v>
      </c>
      <c r="P251" s="32"/>
      <c r="Q251" s="32"/>
      <c r="T251" s="32" t="str">
        <v>kanan</v>
      </c>
      <c r="U251" s="32"/>
      <c r="V251" s="32"/>
    </row>
    <row r="252" spans="5:22">
      <c r="E252" s="32" t="str">
        <v>tengah</v>
      </c>
      <c r="F252" s="32"/>
      <c r="G252" s="32"/>
      <c r="J252" s="32" t="str">
        <v>tengah</v>
      </c>
      <c r="K252" s="32"/>
      <c r="L252" s="32"/>
      <c r="O252" s="32" t="str">
        <v>kiri</v>
      </c>
      <c r="P252" s="32"/>
      <c r="Q252" s="32"/>
      <c r="T252" s="32" t="str">
        <v>kanan</v>
      </c>
      <c r="U252" s="32"/>
      <c r="V252" s="32"/>
    </row>
    <row r="253" spans="5:22">
      <c r="E253" s="32" t="str">
        <v>tengah</v>
      </c>
      <c r="F253" s="32"/>
      <c r="G253" s="32"/>
      <c r="J253" s="32" t="str">
        <v>tengah</v>
      </c>
      <c r="K253" s="32"/>
      <c r="L253" s="32"/>
      <c r="O253" s="32" t="str">
        <v>tengah</v>
      </c>
      <c r="P253" s="32"/>
      <c r="Q253" s="32"/>
      <c r="T253" s="32" t="str">
        <v>tengah</v>
      </c>
      <c r="U253" s="32"/>
      <c r="V253" s="32"/>
    </row>
    <row r="254" spans="5:22">
      <c r="E254" s="32" t="str">
        <v>kanan</v>
      </c>
      <c r="F254" s="32"/>
      <c r="G254" s="32"/>
      <c r="J254" s="32" t="str">
        <v>tengah</v>
      </c>
      <c r="K254" s="32"/>
      <c r="L254" s="32"/>
      <c r="O254" s="32" t="str">
        <v>tengah</v>
      </c>
      <c r="P254" s="32"/>
      <c r="Q254" s="32"/>
      <c r="T254" s="32" t="str">
        <v>tengah</v>
      </c>
      <c r="U254" s="32"/>
      <c r="V254" s="32"/>
    </row>
    <row r="255" spans="5:22">
      <c r="E255" s="32" t="str">
        <v>tengah</v>
      </c>
      <c r="F255" s="32"/>
      <c r="G255" s="32"/>
      <c r="J255" s="32" t="str">
        <v>tengah</v>
      </c>
      <c r="K255" s="32"/>
      <c r="L255" s="32"/>
      <c r="O255" s="32" t="str">
        <v>kiri</v>
      </c>
      <c r="P255" s="32"/>
      <c r="Q255" s="32"/>
      <c r="T255" s="32" t="str">
        <v>tengah</v>
      </c>
      <c r="U255" s="32"/>
      <c r="V255" s="32"/>
    </row>
    <row r="256" spans="5:22">
      <c r="E256" s="32" t="str">
        <v>kanan</v>
      </c>
      <c r="F256" s="32"/>
      <c r="G256" s="32"/>
      <c r="J256" s="32" t="str">
        <v>kanan</v>
      </c>
      <c r="K256" s="32"/>
      <c r="L256" s="32"/>
      <c r="O256" s="32" t="str">
        <v>kanan</v>
      </c>
      <c r="P256" s="32"/>
      <c r="Q256" s="32"/>
      <c r="T256" s="32" t="str">
        <v>kanan</v>
      </c>
      <c r="U256" s="32"/>
      <c r="V256" s="32"/>
    </row>
    <row r="257" spans="5:22">
      <c r="E257" s="32" t="str">
        <v>tengah</v>
      </c>
      <c r="F257" s="32"/>
      <c r="G257" s="32"/>
      <c r="J257" s="32" t="str">
        <v>kanan</v>
      </c>
      <c r="K257" s="32"/>
      <c r="L257" s="32"/>
      <c r="O257" s="32" t="str">
        <v>kiri</v>
      </c>
      <c r="P257" s="32"/>
      <c r="Q257" s="32"/>
      <c r="T257" s="32" t="str">
        <v>tengah</v>
      </c>
      <c r="U257" s="32"/>
      <c r="V257" s="32"/>
    </row>
    <row r="258" spans="5:22">
      <c r="E258" s="32" t="str">
        <v>kiri</v>
      </c>
      <c r="F258" s="32"/>
      <c r="G258" s="32"/>
      <c r="J258" s="32" t="str">
        <v>kiri</v>
      </c>
      <c r="K258" s="32"/>
      <c r="L258" s="32"/>
      <c r="O258" s="32" t="str">
        <v>tengah</v>
      </c>
      <c r="P258" s="32"/>
      <c r="Q258" s="32"/>
      <c r="T258" s="32" t="str">
        <v>kanan</v>
      </c>
      <c r="U258" s="32"/>
      <c r="V258" s="32"/>
    </row>
    <row r="259" spans="5:22">
      <c r="E259" s="32" t="str">
        <v>kanan</v>
      </c>
      <c r="F259" s="32"/>
      <c r="G259" s="32"/>
      <c r="J259" s="32" t="str">
        <v>tengah</v>
      </c>
      <c r="K259" s="32"/>
      <c r="L259" s="32"/>
      <c r="O259" s="32" t="str">
        <v>tengah</v>
      </c>
      <c r="P259" s="32"/>
      <c r="Q259" s="32"/>
      <c r="T259" s="32" t="str">
        <v>kanan</v>
      </c>
      <c r="U259" s="32"/>
      <c r="V259" s="32"/>
    </row>
    <row r="260" spans="5:22">
      <c r="E260" s="32" t="str">
        <v>kiri</v>
      </c>
      <c r="F260" s="32"/>
      <c r="G260" s="32"/>
      <c r="J260" s="32" t="str">
        <v>kanan</v>
      </c>
      <c r="K260" s="32"/>
      <c r="L260" s="32"/>
      <c r="O260" s="32" t="str">
        <v>kiri</v>
      </c>
      <c r="P260" s="32"/>
      <c r="Q260" s="32"/>
      <c r="T260" s="32" t="str">
        <v>kanan</v>
      </c>
      <c r="U260" s="32"/>
      <c r="V260" s="32"/>
    </row>
    <row r="261" spans="5:22">
      <c r="E261" s="32" t="str">
        <v>tengah</v>
      </c>
      <c r="F261" s="32"/>
      <c r="G261" s="32"/>
      <c r="J261" s="32" t="str">
        <v>tengah</v>
      </c>
      <c r="K261" s="32"/>
      <c r="L261" s="32"/>
      <c r="O261" s="32" t="str">
        <v>kanan</v>
      </c>
      <c r="P261" s="32"/>
      <c r="Q261" s="32"/>
      <c r="T261" s="32" t="str">
        <v>tengah</v>
      </c>
      <c r="U261" s="32"/>
      <c r="V261" s="32"/>
    </row>
    <row r="262" spans="5:22">
      <c r="E262" s="32" t="str">
        <v>tengah</v>
      </c>
      <c r="F262" s="32"/>
      <c r="G262" s="32"/>
      <c r="J262" s="32" t="str">
        <v>tengah</v>
      </c>
      <c r="K262" s="32"/>
      <c r="L262" s="32"/>
      <c r="O262" s="32" t="str">
        <v>tengah</v>
      </c>
      <c r="P262" s="32"/>
      <c r="Q262" s="32"/>
      <c r="T262" s="32" t="str">
        <v>tengah</v>
      </c>
      <c r="U262" s="32"/>
      <c r="V262" s="32"/>
    </row>
    <row r="263" spans="5:22">
      <c r="E263" s="32" t="str">
        <v>tengah</v>
      </c>
      <c r="F263" s="32"/>
      <c r="G263" s="32"/>
      <c r="J263" s="32" t="str">
        <v>kanan</v>
      </c>
      <c r="K263" s="32"/>
      <c r="L263" s="32"/>
      <c r="O263" s="32" t="str">
        <v>tengah</v>
      </c>
      <c r="P263" s="32"/>
      <c r="Q263" s="32"/>
      <c r="T263" s="32" t="str">
        <v>tengah</v>
      </c>
      <c r="U263" s="32"/>
      <c r="V263" s="32"/>
    </row>
    <row r="264" spans="5:22">
      <c r="E264" s="32" t="str">
        <v>tengah</v>
      </c>
      <c r="F264" s="32"/>
      <c r="G264" s="32"/>
      <c r="J264" s="32" t="str">
        <v>kiri</v>
      </c>
      <c r="K264" s="32"/>
      <c r="L264" s="32"/>
      <c r="O264" s="32" t="str">
        <v>kanan</v>
      </c>
      <c r="P264" s="32"/>
      <c r="Q264" s="32"/>
      <c r="T264" s="32" t="str">
        <v>kanan</v>
      </c>
      <c r="U264" s="32"/>
      <c r="V264" s="32"/>
    </row>
    <row r="265" spans="5:22">
      <c r="E265" s="32" t="str">
        <v>tengah</v>
      </c>
      <c r="F265" s="32"/>
      <c r="G265" s="32"/>
      <c r="J265" s="32" t="str">
        <v>tengah</v>
      </c>
      <c r="K265" s="32"/>
      <c r="L265" s="32"/>
      <c r="O265" s="32" t="str">
        <v>kiri</v>
      </c>
      <c r="P265" s="32"/>
      <c r="Q265" s="32"/>
      <c r="T265" s="32" t="str">
        <v>kanan</v>
      </c>
      <c r="U265" s="32"/>
      <c r="V265" s="32"/>
    </row>
    <row r="266" spans="5:22">
      <c r="E266" s="32" t="str">
        <v>tengah</v>
      </c>
      <c r="F266" s="32"/>
      <c r="G266" s="32"/>
      <c r="J266" s="32" t="str">
        <v>tengah</v>
      </c>
      <c r="K266" s="32"/>
      <c r="L266" s="32"/>
      <c r="O266" s="32" t="str">
        <v>tengah</v>
      </c>
      <c r="P266" s="32"/>
      <c r="Q266" s="32"/>
      <c r="T266" s="32" t="str">
        <v>tengah</v>
      </c>
      <c r="U266" s="32"/>
      <c r="V266" s="32"/>
    </row>
    <row r="267" spans="5:22">
      <c r="E267" s="32" t="str">
        <v>kanan</v>
      </c>
      <c r="F267" s="32"/>
      <c r="G267" s="32"/>
      <c r="J267" s="32" t="str">
        <v>tengah</v>
      </c>
      <c r="K267" s="32"/>
      <c r="L267" s="32"/>
      <c r="O267" s="32" t="str">
        <v>tengah</v>
      </c>
      <c r="P267" s="32"/>
      <c r="Q267" s="32"/>
      <c r="T267" s="32" t="str">
        <v>kanan</v>
      </c>
      <c r="U267" s="32"/>
      <c r="V267" s="32"/>
    </row>
    <row r="268" spans="5:22">
      <c r="E268" s="32" t="str">
        <v>kiri</v>
      </c>
      <c r="F268" s="32"/>
      <c r="G268" s="32"/>
      <c r="J268" s="32" t="str">
        <v>kiri</v>
      </c>
      <c r="K268" s="32"/>
      <c r="L268" s="32"/>
      <c r="O268" s="32" t="str">
        <v>kanan</v>
      </c>
      <c r="P268" s="32"/>
      <c r="Q268" s="32"/>
      <c r="T268" s="32" t="str">
        <v>tengah</v>
      </c>
      <c r="U268" s="32"/>
      <c r="V268" s="32"/>
    </row>
    <row r="269" spans="5:22">
      <c r="E269" s="32" t="str">
        <v>tengah</v>
      </c>
      <c r="F269" s="32"/>
      <c r="G269" s="32"/>
      <c r="J269" s="32" t="str">
        <v>kanan</v>
      </c>
      <c r="K269" s="32"/>
      <c r="L269" s="32"/>
      <c r="O269" s="32" t="str">
        <v>kanan</v>
      </c>
      <c r="P269" s="32"/>
      <c r="Q269" s="32"/>
      <c r="T269" s="32" t="str">
        <v>tengah</v>
      </c>
      <c r="U269" s="32"/>
      <c r="V269" s="32"/>
    </row>
    <row r="270" spans="5:22">
      <c r="E270" s="32" t="str">
        <v>tengah</v>
      </c>
      <c r="F270" s="32"/>
      <c r="G270" s="32"/>
      <c r="J270" s="32" t="str">
        <v>kanan</v>
      </c>
      <c r="K270" s="32"/>
      <c r="L270" s="32"/>
      <c r="O270" s="32" t="str">
        <v>tengah</v>
      </c>
      <c r="P270" s="32"/>
      <c r="Q270" s="32"/>
      <c r="T270" s="32" t="str">
        <v>tengah</v>
      </c>
      <c r="U270" s="32"/>
      <c r="V270" s="32"/>
    </row>
    <row r="271" spans="5:22">
      <c r="E271" s="32" t="str">
        <v>tengah</v>
      </c>
      <c r="F271" s="32"/>
      <c r="G271" s="32"/>
      <c r="J271" s="32" t="str">
        <v>tengah</v>
      </c>
      <c r="K271" s="32"/>
      <c r="L271" s="32"/>
      <c r="O271" s="32" t="str">
        <v>kiri</v>
      </c>
      <c r="P271" s="32"/>
      <c r="Q271" s="32"/>
      <c r="T271" s="32" t="str">
        <v>tengah</v>
      </c>
      <c r="U271" s="32"/>
      <c r="V271" s="32"/>
    </row>
    <row r="272" spans="5:22">
      <c r="E272" s="32" t="str">
        <v>tengah</v>
      </c>
      <c r="F272" s="32"/>
      <c r="G272" s="32"/>
      <c r="J272" s="32" t="str">
        <v>kanan</v>
      </c>
      <c r="K272" s="32"/>
      <c r="L272" s="32"/>
      <c r="O272" s="32" t="str">
        <v>kiri</v>
      </c>
      <c r="P272" s="32"/>
      <c r="Q272" s="32"/>
      <c r="T272" s="32" t="str">
        <v>kanan</v>
      </c>
      <c r="U272" s="32"/>
      <c r="V272" s="32"/>
    </row>
    <row r="273" spans="5:22">
      <c r="E273" s="32" t="str">
        <v>kiri</v>
      </c>
      <c r="F273" s="32"/>
      <c r="G273" s="32"/>
      <c r="J273" s="32" t="str">
        <v>tengah</v>
      </c>
      <c r="K273" s="32"/>
      <c r="L273" s="32"/>
      <c r="O273" s="32" t="str">
        <v>kiri</v>
      </c>
      <c r="P273" s="32"/>
      <c r="Q273" s="32"/>
      <c r="T273" s="32" t="str">
        <v>tengah</v>
      </c>
      <c r="U273" s="32"/>
      <c r="V273" s="32"/>
    </row>
    <row r="274" spans="5:22">
      <c r="E274" s="32" t="str">
        <v>tengah</v>
      </c>
      <c r="F274" s="32"/>
      <c r="G274" s="32"/>
      <c r="J274" s="32" t="str">
        <v>kiri</v>
      </c>
      <c r="K274" s="32"/>
      <c r="L274" s="32"/>
      <c r="O274" s="32" t="str">
        <v>kiri</v>
      </c>
      <c r="P274" s="32"/>
      <c r="Q274" s="32"/>
      <c r="T274" s="32" t="str">
        <v>tengah</v>
      </c>
      <c r="U274" s="32"/>
      <c r="V274" s="32"/>
    </row>
    <row r="275" spans="5:22">
      <c r="E275" s="32" t="str">
        <v>kiri</v>
      </c>
      <c r="F275" s="32"/>
      <c r="G275" s="32"/>
      <c r="J275" s="32" t="str">
        <v>tengah</v>
      </c>
      <c r="K275" s="32"/>
      <c r="L275" s="32"/>
      <c r="O275" s="32" t="str">
        <v>tengah</v>
      </c>
      <c r="P275" s="32"/>
      <c r="Q275" s="32"/>
      <c r="T275" s="32" t="str">
        <v>tengah</v>
      </c>
      <c r="U275" s="32"/>
      <c r="V275" s="32"/>
    </row>
    <row r="276" spans="5:22">
      <c r="E276" s="32" t="str">
        <v>kiri</v>
      </c>
      <c r="F276" s="32"/>
      <c r="G276" s="32"/>
      <c r="J276" s="32" t="str">
        <v>tengah</v>
      </c>
      <c r="K276" s="32"/>
      <c r="L276" s="32"/>
      <c r="O276" s="32" t="str">
        <v>tengah</v>
      </c>
      <c r="P276" s="32"/>
      <c r="Q276" s="32"/>
      <c r="T276" s="32" t="str">
        <v>tengah</v>
      </c>
      <c r="U276" s="32"/>
      <c r="V276" s="32"/>
    </row>
    <row r="277" spans="5:22">
      <c r="E277" s="32" t="str">
        <v>tengah</v>
      </c>
      <c r="F277" s="32"/>
      <c r="G277" s="32"/>
      <c r="J277" s="32" t="str">
        <v>tengah</v>
      </c>
      <c r="K277" s="32"/>
      <c r="L277" s="32"/>
      <c r="O277" s="32" t="str">
        <v>kanan</v>
      </c>
      <c r="P277" s="32"/>
      <c r="Q277" s="32"/>
      <c r="T277" s="32" t="str">
        <v>kanan</v>
      </c>
      <c r="U277" s="32"/>
      <c r="V277" s="32"/>
    </row>
    <row r="278" spans="5:22">
      <c r="E278" s="32" t="str">
        <v>kanan</v>
      </c>
      <c r="F278" s="32"/>
      <c r="G278" s="32"/>
      <c r="J278" s="32" t="str">
        <v>tengah</v>
      </c>
      <c r="K278" s="32"/>
      <c r="L278" s="32"/>
      <c r="O278" s="32" t="str">
        <v>kiri</v>
      </c>
      <c r="P278" s="32"/>
      <c r="Q278" s="32"/>
      <c r="T278" s="32" t="str">
        <v>kanan</v>
      </c>
      <c r="U278" s="32"/>
      <c r="V278" s="32"/>
    </row>
    <row r="279" spans="5:22">
      <c r="E279" s="32" t="str">
        <v>tengah</v>
      </c>
      <c r="F279" s="32"/>
      <c r="G279" s="32"/>
      <c r="J279" s="32" t="str">
        <v>tengah</v>
      </c>
      <c r="K279" s="32"/>
      <c r="L279" s="32"/>
      <c r="O279" s="32" t="str">
        <v>tengah</v>
      </c>
      <c r="P279" s="32"/>
      <c r="Q279" s="32"/>
      <c r="T279" s="32" t="str">
        <v>tengah</v>
      </c>
      <c r="U279" s="32"/>
      <c r="V279" s="32"/>
    </row>
    <row r="280" spans="5:22">
      <c r="E280" s="32" t="str">
        <v>kiri</v>
      </c>
      <c r="F280" s="32"/>
      <c r="G280" s="32"/>
      <c r="J280" s="32" t="str">
        <v>tengah</v>
      </c>
      <c r="K280" s="32"/>
      <c r="L280" s="32"/>
      <c r="O280" s="32" t="str">
        <v>kiri</v>
      </c>
      <c r="P280" s="32"/>
      <c r="Q280" s="32"/>
      <c r="T280" s="32" t="str">
        <v>kanan</v>
      </c>
      <c r="U280" s="32"/>
      <c r="V280" s="32"/>
    </row>
    <row r="281" spans="5:22">
      <c r="E281" s="32" t="str">
        <v>kiri</v>
      </c>
      <c r="F281" s="32"/>
      <c r="G281" s="32"/>
      <c r="J281" s="32" t="str">
        <v>kiri</v>
      </c>
      <c r="K281" s="32"/>
      <c r="L281" s="32"/>
      <c r="O281" s="32" t="str">
        <v>tengah</v>
      </c>
      <c r="P281" s="32"/>
      <c r="Q281" s="32"/>
      <c r="T281" s="32" t="str">
        <v>kanan</v>
      </c>
      <c r="U281" s="32"/>
      <c r="V281" s="32"/>
    </row>
    <row r="282" spans="5:22">
      <c r="E282" s="32" t="str">
        <v>tengah</v>
      </c>
      <c r="F282" s="32"/>
      <c r="G282" s="32"/>
      <c r="J282" s="32" t="str">
        <v>kanan</v>
      </c>
      <c r="K282" s="32"/>
      <c r="L282" s="32"/>
      <c r="O282" s="32" t="str">
        <v>kiri</v>
      </c>
      <c r="P282" s="32"/>
      <c r="Q282" s="32"/>
      <c r="T282" s="32" t="str">
        <v>kanan</v>
      </c>
      <c r="U282" s="32"/>
      <c r="V282" s="32"/>
    </row>
    <row r="283" spans="5:22">
      <c r="E283" s="32" t="str">
        <v>tengah</v>
      </c>
      <c r="F283" s="32"/>
      <c r="G283" s="32"/>
      <c r="J283" s="32" t="str">
        <v>tengah</v>
      </c>
      <c r="K283" s="32"/>
      <c r="L283" s="32"/>
      <c r="O283" s="32" t="str">
        <v>kiri</v>
      </c>
      <c r="P283" s="32"/>
      <c r="Q283" s="32"/>
      <c r="T283" s="32" t="str">
        <v>kanan</v>
      </c>
      <c r="U283" s="32"/>
      <c r="V283" s="32"/>
    </row>
    <row r="284" spans="5:22">
      <c r="E284" s="32" t="str">
        <v>kanan</v>
      </c>
      <c r="F284" s="32"/>
      <c r="G284" s="32"/>
      <c r="J284" s="32" t="str">
        <v>tengah</v>
      </c>
      <c r="K284" s="32"/>
      <c r="L284" s="32"/>
      <c r="O284" s="32" t="str">
        <v>tengah</v>
      </c>
      <c r="P284" s="32"/>
      <c r="Q284" s="32"/>
      <c r="T284" s="32" t="str">
        <v>tengah</v>
      </c>
      <c r="U284" s="32"/>
      <c r="V284" s="32"/>
    </row>
    <row r="285" spans="5:22">
      <c r="E285" s="32" t="str">
        <v>tengah</v>
      </c>
      <c r="F285" s="32"/>
      <c r="G285" s="32"/>
      <c r="J285" s="32" t="str">
        <v>tengah</v>
      </c>
      <c r="K285" s="32"/>
      <c r="L285" s="32"/>
      <c r="O285" s="32" t="str">
        <v>kanan</v>
      </c>
      <c r="P285" s="32"/>
      <c r="Q285" s="32"/>
      <c r="T285" s="32" t="str">
        <v>kanan</v>
      </c>
      <c r="U285" s="32"/>
      <c r="V285" s="32"/>
    </row>
    <row r="286" spans="5:22">
      <c r="E286" s="32" t="str">
        <v>tengah</v>
      </c>
      <c r="F286" s="32"/>
      <c r="G286" s="32"/>
      <c r="J286" s="32" t="str">
        <v>tengah</v>
      </c>
      <c r="K286" s="32"/>
      <c r="L286" s="32"/>
      <c r="O286" s="32" t="str">
        <v>kiri</v>
      </c>
      <c r="P286" s="32"/>
      <c r="Q286" s="32"/>
      <c r="T286" s="32" t="str">
        <v>kanan</v>
      </c>
      <c r="U286" s="32"/>
      <c r="V286" s="32"/>
    </row>
    <row r="287" spans="5:22">
      <c r="E287" s="32" t="str">
        <v>tengah</v>
      </c>
      <c r="F287" s="32"/>
      <c r="G287" s="32"/>
      <c r="J287" s="32" t="str">
        <v>kanan</v>
      </c>
      <c r="K287" s="32"/>
      <c r="L287" s="32"/>
      <c r="O287" s="32" t="str">
        <v>tengah</v>
      </c>
      <c r="P287" s="32"/>
      <c r="Q287" s="32"/>
      <c r="T287" s="32" t="str">
        <v>kanan</v>
      </c>
      <c r="U287" s="32"/>
      <c r="V287" s="32"/>
    </row>
    <row r="288" spans="5:22">
      <c r="E288" s="32" t="str">
        <v>tengah</v>
      </c>
      <c r="F288" s="32"/>
      <c r="G288" s="32"/>
      <c r="J288" s="32" t="str">
        <v>tengah</v>
      </c>
      <c r="K288" s="32"/>
      <c r="L288" s="32"/>
      <c r="O288" s="32" t="str">
        <v>tengah</v>
      </c>
      <c r="P288" s="32"/>
      <c r="Q288" s="32"/>
      <c r="T288" s="32" t="str">
        <v>tengah</v>
      </c>
      <c r="U288" s="32"/>
      <c r="V288" s="32"/>
    </row>
    <row r="289" spans="5:22">
      <c r="E289" s="32" t="str">
        <v>kiri</v>
      </c>
      <c r="F289" s="32"/>
      <c r="G289" s="32"/>
      <c r="J289" s="32" t="str">
        <v>tengah</v>
      </c>
      <c r="K289" s="32"/>
      <c r="L289" s="32"/>
      <c r="O289" s="32" t="str">
        <v>kanan</v>
      </c>
      <c r="P289" s="32"/>
      <c r="Q289" s="32"/>
      <c r="T289" s="32" t="str">
        <v>tengah</v>
      </c>
      <c r="U289" s="32"/>
      <c r="V289" s="32"/>
    </row>
    <row r="290" spans="5:22">
      <c r="E290" s="32" t="str">
        <v>tengah</v>
      </c>
      <c r="F290" s="32"/>
      <c r="G290" s="32"/>
      <c r="J290" s="32" t="str">
        <v>tengah</v>
      </c>
      <c r="K290" s="32"/>
      <c r="L290" s="32"/>
      <c r="O290" s="32" t="str">
        <v>kanan</v>
      </c>
      <c r="P290" s="32"/>
      <c r="Q290" s="32"/>
      <c r="T290" s="32" t="str">
        <v>kanan</v>
      </c>
      <c r="U290" s="32"/>
      <c r="V290" s="32"/>
    </row>
    <row r="291" spans="5:22">
      <c r="E291" s="32" t="str">
        <v>kiri</v>
      </c>
      <c r="F291" s="32"/>
      <c r="G291" s="32"/>
      <c r="J291" s="32" t="str">
        <v>tengah</v>
      </c>
      <c r="K291" s="32"/>
      <c r="L291" s="32"/>
      <c r="O291" s="32" t="str">
        <v>kanan</v>
      </c>
      <c r="P291" s="32"/>
      <c r="Q291" s="32"/>
      <c r="T291" s="32" t="str">
        <v>kanan</v>
      </c>
      <c r="U291" s="32"/>
      <c r="V291" s="32"/>
    </row>
    <row r="292" spans="5:22">
      <c r="E292" s="32" t="str">
        <v>tengah</v>
      </c>
      <c r="F292" s="32"/>
      <c r="G292" s="32"/>
      <c r="J292" s="32" t="str">
        <v>tengah</v>
      </c>
      <c r="K292" s="32"/>
      <c r="L292" s="32"/>
      <c r="O292" s="32" t="str">
        <v>tengah</v>
      </c>
      <c r="P292" s="32"/>
      <c r="Q292" s="32"/>
      <c r="T292" s="32" t="str">
        <v>tengah</v>
      </c>
      <c r="U292" s="32"/>
      <c r="V292" s="32"/>
    </row>
    <row r="293" spans="5:22">
      <c r="E293" s="32" t="str">
        <v>tengah</v>
      </c>
      <c r="F293" s="32"/>
      <c r="G293" s="32"/>
      <c r="J293" s="32" t="str">
        <v>tengah</v>
      </c>
      <c r="K293" s="32"/>
      <c r="L293" s="32"/>
      <c r="O293" s="32" t="str">
        <v>kiri</v>
      </c>
      <c r="P293" s="32"/>
      <c r="Q293" s="32"/>
      <c r="T293" s="32" t="str">
        <v>kanan</v>
      </c>
      <c r="U293" s="32"/>
      <c r="V293" s="32"/>
    </row>
    <row r="294" spans="5:22">
      <c r="E294" s="32" t="str">
        <v>kanan</v>
      </c>
      <c r="F294" s="32"/>
      <c r="G294" s="32"/>
      <c r="J294" s="32" t="str">
        <v>kanan</v>
      </c>
      <c r="K294" s="32"/>
      <c r="L294" s="32"/>
      <c r="O294" s="32" t="str">
        <v>kanan</v>
      </c>
      <c r="P294" s="32"/>
      <c r="Q294" s="32"/>
      <c r="T294" s="32" t="str">
        <v>kanan</v>
      </c>
      <c r="U294" s="32"/>
      <c r="V294" s="32"/>
    </row>
    <row r="295" spans="5:22">
      <c r="E295" s="32" t="str">
        <v>tengah</v>
      </c>
      <c r="F295" s="32"/>
      <c r="G295" s="32"/>
      <c r="J295" s="32" t="str">
        <v>tengah</v>
      </c>
      <c r="K295" s="32"/>
      <c r="L295" s="32"/>
      <c r="O295" s="32" t="str">
        <v>tengah</v>
      </c>
      <c r="P295" s="32"/>
      <c r="Q295" s="32"/>
      <c r="T295" s="32" t="str">
        <v>kanan</v>
      </c>
      <c r="U295" s="32"/>
      <c r="V295" s="32"/>
    </row>
    <row r="296" spans="5:22">
      <c r="E296" s="32" t="str">
        <v>tengah</v>
      </c>
      <c r="F296" s="32"/>
      <c r="G296" s="32"/>
      <c r="J296" s="32" t="str">
        <v>tengah</v>
      </c>
      <c r="K296" s="32"/>
      <c r="L296" s="32"/>
      <c r="O296" s="32" t="str">
        <v>tengah</v>
      </c>
      <c r="P296" s="32"/>
      <c r="Q296" s="32"/>
      <c r="T296" s="32" t="str">
        <v>kanan</v>
      </c>
      <c r="U296" s="32"/>
      <c r="V296" s="32"/>
    </row>
    <row r="297" spans="5:22">
      <c r="E297" s="32" t="str">
        <v>kanan</v>
      </c>
      <c r="F297" s="32"/>
      <c r="G297" s="32"/>
      <c r="J297" s="32" t="str">
        <v>tengah</v>
      </c>
      <c r="K297" s="32"/>
      <c r="L297" s="32"/>
      <c r="O297" s="32" t="str">
        <v>kiri</v>
      </c>
      <c r="P297" s="32"/>
      <c r="Q297" s="32"/>
      <c r="T297" s="32" t="str">
        <v>kanan</v>
      </c>
      <c r="U297" s="32"/>
      <c r="V297" s="32"/>
    </row>
    <row r="298" spans="5:22">
      <c r="E298" s="32" t="str">
        <v>kanan</v>
      </c>
      <c r="F298" s="32"/>
      <c r="G298" s="32"/>
      <c r="J298" s="32" t="str">
        <v>kiri</v>
      </c>
      <c r="K298" s="32"/>
      <c r="L298" s="32"/>
      <c r="O298" s="32" t="str">
        <v>tengah</v>
      </c>
      <c r="P298" s="32"/>
      <c r="Q298" s="32"/>
      <c r="T298" s="32" t="str">
        <v>kanan</v>
      </c>
      <c r="U298" s="32"/>
      <c r="V298" s="32"/>
    </row>
    <row r="299" spans="5:22">
      <c r="E299" s="32" t="str">
        <v>tengah</v>
      </c>
      <c r="F299" s="32"/>
      <c r="G299" s="32"/>
      <c r="J299" s="32" t="str">
        <v>tengah</v>
      </c>
      <c r="K299" s="32"/>
      <c r="L299" s="32"/>
      <c r="O299" s="32" t="str">
        <v>kanan</v>
      </c>
      <c r="P299" s="32"/>
      <c r="Q299" s="32"/>
      <c r="T299" s="32" t="str">
        <v>kanan</v>
      </c>
      <c r="U299" s="32"/>
      <c r="V299" s="32"/>
    </row>
    <row r="300" spans="5:22">
      <c r="E300" s="32" t="str">
        <v>kanan</v>
      </c>
      <c r="F300" s="32"/>
      <c r="G300" s="32"/>
      <c r="J300" s="32" t="str">
        <v>kiri</v>
      </c>
      <c r="K300" s="32"/>
      <c r="L300" s="32"/>
      <c r="O300" s="32" t="str">
        <v>kiri</v>
      </c>
      <c r="P300" s="32"/>
      <c r="Q300" s="32"/>
      <c r="T300" s="32" t="str">
        <v>tengah</v>
      </c>
      <c r="U300" s="32"/>
      <c r="V300" s="32"/>
    </row>
    <row r="301" spans="5:22">
      <c r="E301" s="32" t="str">
        <v>tengah</v>
      </c>
      <c r="F301" s="32"/>
      <c r="G301" s="32"/>
      <c r="J301" s="32" t="str">
        <v>kiri</v>
      </c>
      <c r="K301" s="32"/>
      <c r="L301" s="32"/>
      <c r="O301" s="32" t="str">
        <v>tengah</v>
      </c>
      <c r="P301" s="32"/>
      <c r="Q301" s="32"/>
      <c r="T301" s="32" t="str">
        <v>kanan</v>
      </c>
      <c r="U301" s="32"/>
      <c r="V301" s="32"/>
    </row>
    <row r="302" spans="5:22">
      <c r="E302" s="32" t="str">
        <v>kanan</v>
      </c>
      <c r="F302" s="32"/>
      <c r="G302" s="32"/>
      <c r="J302" s="32" t="str">
        <v>tengah</v>
      </c>
      <c r="K302" s="32"/>
      <c r="L302" s="32"/>
      <c r="O302" s="32" t="str">
        <v>kiri</v>
      </c>
      <c r="P302" s="32"/>
      <c r="Q302" s="32"/>
      <c r="T302" s="32" t="str">
        <v>tengah</v>
      </c>
      <c r="U302" s="32"/>
      <c r="V302" s="32"/>
    </row>
    <row r="303" spans="5:22">
      <c r="E303" s="32" t="str">
        <v>tengah</v>
      </c>
      <c r="F303" s="32"/>
      <c r="G303" s="32"/>
      <c r="J303" s="32" t="str">
        <v>tengah</v>
      </c>
      <c r="K303" s="32"/>
      <c r="L303" s="32"/>
      <c r="O303" s="32" t="str">
        <v>kiri</v>
      </c>
      <c r="P303" s="32"/>
      <c r="Q303" s="32"/>
      <c r="T303" s="32" t="str">
        <v>kanan</v>
      </c>
      <c r="U303" s="32"/>
      <c r="V303" s="32"/>
    </row>
    <row r="304" spans="5:22">
      <c r="E304" s="32" t="str">
        <v>tengah</v>
      </c>
      <c r="F304" s="32"/>
      <c r="G304" s="32"/>
      <c r="J304" s="32" t="str">
        <v>tengah</v>
      </c>
      <c r="K304" s="32"/>
      <c r="L304" s="32"/>
      <c r="O304" s="32" t="str">
        <v>kanan</v>
      </c>
      <c r="P304" s="32"/>
      <c r="Q304" s="32"/>
      <c r="T304" s="32" t="str">
        <v>kanan</v>
      </c>
      <c r="U304" s="32"/>
      <c r="V304" s="32"/>
    </row>
    <row r="305" spans="5:22">
      <c r="E305" s="32" t="str">
        <v>kiri</v>
      </c>
      <c r="F305" s="32"/>
      <c r="G305" s="32"/>
      <c r="J305" s="32" t="str">
        <v>tengah</v>
      </c>
      <c r="K305" s="32"/>
      <c r="L305" s="32"/>
      <c r="O305" s="32" t="str">
        <v>kiri</v>
      </c>
      <c r="P305" s="32"/>
      <c r="Q305" s="32"/>
      <c r="T305" s="32" t="str">
        <v>kanan</v>
      </c>
      <c r="U305" s="32"/>
      <c r="V305" s="32"/>
    </row>
    <row r="306" spans="5:22">
      <c r="E306" s="32" t="str">
        <v>tengah</v>
      </c>
      <c r="F306" s="32"/>
      <c r="G306" s="32"/>
      <c r="J306" s="32" t="str">
        <v>kiri</v>
      </c>
      <c r="K306" s="32"/>
      <c r="L306" s="32"/>
      <c r="O306" s="32" t="str">
        <v>kanan</v>
      </c>
      <c r="P306" s="32"/>
      <c r="Q306" s="32"/>
      <c r="T306" s="32" t="str">
        <v>tengah</v>
      </c>
      <c r="U306" s="32"/>
      <c r="V306" s="32"/>
    </row>
    <row r="307" spans="5:22">
      <c r="E307" s="32" t="str">
        <v>tengah</v>
      </c>
      <c r="F307" s="32"/>
      <c r="G307" s="32"/>
      <c r="J307" s="32" t="str">
        <v>tengah</v>
      </c>
      <c r="K307" s="32"/>
      <c r="L307" s="32"/>
      <c r="O307" s="32" t="str">
        <v>kiri</v>
      </c>
      <c r="P307" s="32"/>
      <c r="Q307" s="32"/>
      <c r="T307" s="32" t="str">
        <v>tengah</v>
      </c>
      <c r="U307" s="32"/>
      <c r="V307" s="32"/>
    </row>
    <row r="308" spans="5:22">
      <c r="E308" s="32" t="str">
        <v>tengah</v>
      </c>
      <c r="F308" s="32"/>
      <c r="G308" s="32"/>
      <c r="J308" s="32" t="str">
        <v>tengah</v>
      </c>
      <c r="K308" s="32"/>
      <c r="L308" s="32"/>
      <c r="O308" s="32" t="str">
        <v>kanan</v>
      </c>
      <c r="P308" s="32"/>
      <c r="Q308" s="32"/>
      <c r="T308" s="32" t="str">
        <v>kanan</v>
      </c>
      <c r="U308" s="32"/>
      <c r="V308" s="32"/>
    </row>
    <row r="309" spans="5:22">
      <c r="E309" s="32" t="str">
        <v>tengah</v>
      </c>
      <c r="F309" s="32"/>
      <c r="G309" s="32"/>
      <c r="J309" s="32" t="str">
        <v>kiri</v>
      </c>
      <c r="K309" s="32"/>
      <c r="L309" s="32"/>
      <c r="O309" s="32" t="str">
        <v>kiri</v>
      </c>
      <c r="P309" s="32"/>
      <c r="Q309" s="32"/>
      <c r="T309" s="32" t="str">
        <v>tengah</v>
      </c>
      <c r="U309" s="32"/>
      <c r="V309" s="32"/>
    </row>
    <row r="310" spans="5:22">
      <c r="E310" s="32" t="str">
        <v>kiri</v>
      </c>
      <c r="F310" s="32"/>
      <c r="G310" s="32"/>
      <c r="J310" s="32" t="str">
        <v>kiri</v>
      </c>
      <c r="K310" s="32"/>
      <c r="L310" s="32"/>
      <c r="O310" s="32" t="str">
        <v>kiri</v>
      </c>
      <c r="P310" s="32"/>
      <c r="Q310" s="32"/>
      <c r="T310" s="32" t="str">
        <v>kanan</v>
      </c>
      <c r="U310" s="32"/>
      <c r="V310" s="32"/>
    </row>
    <row r="311" spans="5:22">
      <c r="E311" s="32" t="str">
        <v>tengah</v>
      </c>
      <c r="F311" s="32"/>
      <c r="G311" s="32"/>
      <c r="J311" s="32" t="str">
        <v>kanan</v>
      </c>
      <c r="K311" s="32"/>
      <c r="L311" s="32"/>
      <c r="O311" s="32" t="str">
        <v>kiri</v>
      </c>
      <c r="P311" s="32"/>
      <c r="Q311" s="32"/>
      <c r="T311" s="32" t="str">
        <v>tengah</v>
      </c>
      <c r="U311" s="32"/>
      <c r="V311" s="32"/>
    </row>
    <row r="312" spans="5:22">
      <c r="E312" s="32" t="str">
        <v>kiri</v>
      </c>
      <c r="F312" s="32"/>
      <c r="G312" s="32"/>
      <c r="J312" s="32" t="str">
        <v>kiri</v>
      </c>
      <c r="K312" s="32"/>
      <c r="L312" s="32"/>
      <c r="O312" s="32" t="str">
        <v>kanan</v>
      </c>
      <c r="P312" s="32"/>
      <c r="Q312" s="32"/>
      <c r="T312" s="32" t="str">
        <v>kanan</v>
      </c>
      <c r="U312" s="32"/>
      <c r="V312" s="32"/>
    </row>
    <row r="313" spans="5:22">
      <c r="E313" s="32" t="str">
        <v>kanan</v>
      </c>
      <c r="F313" s="32"/>
      <c r="G313" s="32"/>
      <c r="J313" s="32" t="str">
        <v>kanan</v>
      </c>
      <c r="K313" s="32"/>
      <c r="L313" s="32"/>
      <c r="O313" s="32" t="str">
        <v>tengah</v>
      </c>
      <c r="P313" s="32"/>
      <c r="Q313" s="32"/>
      <c r="T313" s="32" t="str">
        <v>kanan</v>
      </c>
      <c r="U313" s="32"/>
      <c r="V313" s="32"/>
    </row>
    <row r="314" spans="5:22">
      <c r="E314" s="32" t="str">
        <v>tengah</v>
      </c>
      <c r="F314" s="32"/>
      <c r="G314" s="32"/>
      <c r="J314" s="32" t="str">
        <v>kanan</v>
      </c>
      <c r="K314" s="32"/>
      <c r="L314" s="32"/>
      <c r="O314" s="32" t="str">
        <v>tengah</v>
      </c>
      <c r="P314" s="32"/>
      <c r="Q314" s="32"/>
      <c r="T314" s="32" t="str">
        <v>tengah</v>
      </c>
      <c r="U314" s="32"/>
      <c r="V314" s="32"/>
    </row>
    <row r="315" spans="5:22">
      <c r="E315" s="32" t="str">
        <v>kiri</v>
      </c>
      <c r="F315" s="32"/>
      <c r="G315" s="32"/>
      <c r="J315" s="32" t="str">
        <v>kanan</v>
      </c>
      <c r="K315" s="32"/>
      <c r="L315" s="32"/>
      <c r="O315" s="32" t="str">
        <v>kiri</v>
      </c>
      <c r="P315" s="32"/>
      <c r="Q315" s="32"/>
      <c r="T315" s="32" t="str">
        <v>kanan</v>
      </c>
      <c r="U315" s="32"/>
      <c r="V315" s="32"/>
    </row>
    <row r="316" spans="5:22">
      <c r="E316" s="32" t="str">
        <v>tengah</v>
      </c>
      <c r="F316" s="32"/>
      <c r="G316" s="32"/>
      <c r="J316" s="32" t="str">
        <v>tengah</v>
      </c>
      <c r="K316" s="32"/>
      <c r="L316" s="32"/>
      <c r="O316" s="32" t="str">
        <v>kiri</v>
      </c>
      <c r="P316" s="32"/>
      <c r="Q316" s="32"/>
      <c r="T316" s="32" t="str">
        <v>kanan</v>
      </c>
      <c r="U316" s="32"/>
      <c r="V316" s="32"/>
    </row>
    <row r="317" spans="5:22">
      <c r="E317" s="32" t="str">
        <v>kiri</v>
      </c>
      <c r="F317" s="32"/>
      <c r="G317" s="32"/>
      <c r="J317" s="32" t="str">
        <v>tengah</v>
      </c>
      <c r="K317" s="32"/>
      <c r="L317" s="32"/>
      <c r="O317" s="32" t="str">
        <v>tengah</v>
      </c>
      <c r="P317" s="32"/>
      <c r="Q317" s="32"/>
      <c r="T317" s="32" t="str">
        <v>kanan</v>
      </c>
      <c r="U317" s="32"/>
      <c r="V317" s="32"/>
    </row>
    <row r="318" spans="5:22">
      <c r="E318" s="32" t="str">
        <v>kiri</v>
      </c>
      <c r="F318" s="32"/>
      <c r="G318" s="32"/>
      <c r="J318" s="32" t="str">
        <v>kiri</v>
      </c>
      <c r="K318" s="32"/>
      <c r="L318" s="32"/>
      <c r="O318" s="32" t="str">
        <v>kanan</v>
      </c>
      <c r="P318" s="32"/>
      <c r="Q318" s="32"/>
      <c r="T318" s="32" t="str">
        <v>kanan</v>
      </c>
      <c r="U318" s="32"/>
      <c r="V318" s="32"/>
    </row>
    <row r="319" spans="5:22">
      <c r="E319" s="32" t="str">
        <v>tengah</v>
      </c>
      <c r="F319" s="32"/>
      <c r="G319" s="32"/>
      <c r="J319" s="32" t="str">
        <v>tengah</v>
      </c>
      <c r="K319" s="32"/>
      <c r="L319" s="32"/>
      <c r="O319" s="32" t="str">
        <v>kiri</v>
      </c>
      <c r="P319" s="32"/>
      <c r="Q319" s="32"/>
      <c r="T319" s="32" t="str">
        <v>kanan</v>
      </c>
      <c r="U319" s="32"/>
      <c r="V319" s="32"/>
    </row>
    <row r="320" spans="5:22">
      <c r="E320" s="32" t="str">
        <v>kanan</v>
      </c>
      <c r="F320" s="32"/>
      <c r="G320" s="32"/>
      <c r="J320" s="32" t="str">
        <v>kanan</v>
      </c>
      <c r="K320" s="32"/>
      <c r="L320" s="32"/>
      <c r="O320" s="32" t="str">
        <v>tengah</v>
      </c>
      <c r="P320" s="32"/>
      <c r="Q320" s="32"/>
      <c r="T320" s="32" t="str">
        <v>kanan</v>
      </c>
      <c r="U320" s="32"/>
      <c r="V320" s="32"/>
    </row>
    <row r="321" spans="5:22">
      <c r="E321" s="32" t="str">
        <v>tengah</v>
      </c>
      <c r="F321" s="32"/>
      <c r="G321" s="32"/>
      <c r="J321" s="32" t="str">
        <v>tengah</v>
      </c>
      <c r="K321" s="32"/>
      <c r="L321" s="32"/>
      <c r="O321" s="32" t="str">
        <v>kiri</v>
      </c>
      <c r="P321" s="32"/>
      <c r="Q321" s="32"/>
      <c r="T321" s="32" t="str">
        <v>kanan</v>
      </c>
      <c r="U321" s="32"/>
      <c r="V321" s="32"/>
    </row>
    <row r="322" spans="5:22">
      <c r="E322" s="32" t="str">
        <v>tengah</v>
      </c>
      <c r="F322" s="32"/>
      <c r="G322" s="32"/>
      <c r="J322" s="32" t="str">
        <v>kanan</v>
      </c>
      <c r="K322" s="32"/>
      <c r="L322" s="32"/>
      <c r="O322" s="32" t="str">
        <v>tengah</v>
      </c>
      <c r="P322" s="32"/>
      <c r="Q322" s="32"/>
      <c r="T322" s="32" t="str">
        <v>tengah</v>
      </c>
      <c r="U322" s="32"/>
      <c r="V322" s="32"/>
    </row>
    <row r="323" spans="5:22">
      <c r="E323" s="32" t="str">
        <v>tengah</v>
      </c>
      <c r="F323" s="32"/>
      <c r="G323" s="32"/>
      <c r="J323" s="32" t="str">
        <v>kanan</v>
      </c>
      <c r="K323" s="32"/>
      <c r="L323" s="32"/>
      <c r="O323" s="32" t="str">
        <v>kiri</v>
      </c>
      <c r="P323" s="32"/>
      <c r="Q323" s="32"/>
      <c r="T323" s="32" t="str">
        <v>tengah</v>
      </c>
      <c r="U323" s="32"/>
      <c r="V323" s="32"/>
    </row>
    <row r="324" spans="5:22">
      <c r="E324" s="32" t="str">
        <v>tengah</v>
      </c>
      <c r="F324" s="32"/>
      <c r="G324" s="32"/>
      <c r="J324" s="32" t="str">
        <v>tengah</v>
      </c>
      <c r="K324" s="32"/>
      <c r="L324" s="32"/>
      <c r="O324" s="32" t="str">
        <v>tengah</v>
      </c>
      <c r="P324" s="32"/>
      <c r="Q324" s="32"/>
      <c r="T324" s="32" t="str">
        <v>tengah</v>
      </c>
      <c r="U324" s="32"/>
      <c r="V324" s="32"/>
    </row>
    <row r="325" spans="5:22">
      <c r="E325" s="32" t="str">
        <v>kanan</v>
      </c>
      <c r="F325" s="32"/>
      <c r="G325" s="32"/>
      <c r="J325" s="32" t="str">
        <v>tengah</v>
      </c>
      <c r="K325" s="32"/>
      <c r="L325" s="32"/>
      <c r="O325" s="32" t="str">
        <v>tengah</v>
      </c>
      <c r="P325" s="32"/>
      <c r="Q325" s="32"/>
      <c r="T325" s="32" t="str">
        <v>tengah</v>
      </c>
      <c r="U325" s="32"/>
      <c r="V325" s="32"/>
    </row>
    <row r="326" spans="5:22">
      <c r="E326" s="32" t="str">
        <v>tengah</v>
      </c>
      <c r="F326" s="32"/>
      <c r="G326" s="32"/>
      <c r="J326" s="32" t="str">
        <v>tengah</v>
      </c>
      <c r="K326" s="32"/>
      <c r="L326" s="32"/>
      <c r="O326" s="32" t="str">
        <v>kanan</v>
      </c>
      <c r="P326" s="32"/>
      <c r="Q326" s="32"/>
      <c r="T326" s="32" t="str">
        <v>kanan</v>
      </c>
      <c r="U326" s="32"/>
      <c r="V326" s="32"/>
    </row>
    <row r="327" spans="5:22">
      <c r="E327" s="32" t="str">
        <v>kiri</v>
      </c>
      <c r="F327" s="32"/>
      <c r="G327" s="32"/>
      <c r="J327" s="32" t="str">
        <v>kanan</v>
      </c>
      <c r="K327" s="32"/>
      <c r="L327" s="32"/>
      <c r="O327" s="32" t="str">
        <v>kiri</v>
      </c>
      <c r="P327" s="32"/>
      <c r="Q327" s="32"/>
      <c r="T327" s="32" t="str">
        <v>kanan</v>
      </c>
      <c r="U327" s="32"/>
      <c r="V327" s="32"/>
    </row>
    <row r="328" spans="5:22">
      <c r="E328" s="32" t="str">
        <v>kiri</v>
      </c>
      <c r="F328" s="32"/>
      <c r="G328" s="32"/>
      <c r="J328" s="32" t="str">
        <v>tengah</v>
      </c>
      <c r="K328" s="32"/>
      <c r="L328" s="32"/>
      <c r="O328" s="32" t="str">
        <v>kiri</v>
      </c>
      <c r="P328" s="32"/>
      <c r="Q328" s="32"/>
      <c r="T328" s="32" t="str">
        <v>tengah</v>
      </c>
      <c r="U328" s="32"/>
      <c r="V328" s="32"/>
    </row>
    <row r="329" spans="5:22">
      <c r="E329" s="32" t="str">
        <v>kiri</v>
      </c>
      <c r="F329" s="32"/>
      <c r="G329" s="32"/>
      <c r="J329" s="32" t="str">
        <v>tengah</v>
      </c>
      <c r="K329" s="32"/>
      <c r="L329" s="32"/>
      <c r="O329" s="32" t="str">
        <v>kanan</v>
      </c>
      <c r="P329" s="32"/>
      <c r="Q329" s="32"/>
      <c r="T329" s="32" t="str">
        <v>tengah</v>
      </c>
      <c r="U329" s="32"/>
      <c r="V329" s="32"/>
    </row>
    <row r="330" spans="5:22">
      <c r="E330" s="32" t="str">
        <v>kanan</v>
      </c>
      <c r="F330" s="32"/>
      <c r="G330" s="32"/>
      <c r="J330" s="32" t="str">
        <v>kiri</v>
      </c>
      <c r="K330" s="32"/>
      <c r="L330" s="32"/>
      <c r="O330" s="32" t="str">
        <v>kiri</v>
      </c>
      <c r="P330" s="32"/>
      <c r="Q330" s="32"/>
      <c r="T330" s="32" t="str">
        <v>tengah</v>
      </c>
      <c r="U330" s="32"/>
      <c r="V330" s="32"/>
    </row>
    <row r="331" spans="5:22">
      <c r="E331" s="32" t="str">
        <v>tengah</v>
      </c>
      <c r="F331" s="32"/>
      <c r="G331" s="32"/>
      <c r="J331" s="32" t="str">
        <v>kiri</v>
      </c>
      <c r="K331" s="32"/>
      <c r="L331" s="32"/>
      <c r="O331" s="32" t="str">
        <v>kanan</v>
      </c>
      <c r="P331" s="32"/>
      <c r="Q331" s="32"/>
      <c r="T331" s="32" t="str">
        <v>tengah</v>
      </c>
      <c r="U331" s="32"/>
      <c r="V331" s="32"/>
    </row>
    <row r="332" spans="5:22">
      <c r="E332" s="32" t="str">
        <v>kanan</v>
      </c>
      <c r="F332" s="32"/>
      <c r="G332" s="32"/>
      <c r="J332" s="32" t="str">
        <v>tengah</v>
      </c>
      <c r="K332" s="32"/>
      <c r="L332" s="32"/>
      <c r="O332" s="32" t="str">
        <v>tengah</v>
      </c>
      <c r="P332" s="32"/>
      <c r="Q332" s="32"/>
      <c r="T332" s="32" t="str">
        <v>tengah</v>
      </c>
      <c r="U332" s="32"/>
      <c r="V332" s="3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32"/>
  <sheetViews>
    <sheetView topLeftCell="N205" zoomScale="98" zoomScaleNormal="98" workbookViewId="0">
      <selection activeCell="O152" sqref="O152"/>
    </sheetView>
  </sheetViews>
  <sheetFormatPr defaultColWidth="9" defaultRowHeight="15"/>
  <cols>
    <col min="2" max="3" width="15.85546875" customWidth="1"/>
    <col min="4" max="5" width="13.85546875" customWidth="1"/>
    <col min="6" max="6" width="13.85546875" bestFit="1" customWidth="1"/>
    <col min="9" max="9" width="15.85546875" customWidth="1"/>
    <col min="10" max="10" width="18.28515625" bestFit="1" customWidth="1"/>
    <col min="11" max="11" width="13.85546875" customWidth="1"/>
    <col min="12" max="12" width="13.28515625" bestFit="1" customWidth="1"/>
    <col min="13" max="13" width="13.85546875" bestFit="1" customWidth="1"/>
    <col min="14" max="14" width="12.5703125" customWidth="1"/>
    <col min="15" max="15" width="24.85546875" bestFit="1" customWidth="1"/>
    <col min="16" max="16" width="12.28515625" bestFit="1" customWidth="1"/>
    <col min="20" max="20" width="14.28515625" bestFit="1" customWidth="1"/>
  </cols>
  <sheetData>
    <row r="1" spans="1:17">
      <c r="A1" s="30" t="s">
        <v>174</v>
      </c>
      <c r="B1" s="30" t="s">
        <v>1</v>
      </c>
      <c r="C1" s="30" t="s">
        <v>2</v>
      </c>
      <c r="D1" s="30" t="s">
        <v>173</v>
      </c>
      <c r="E1" s="30" t="s">
        <v>4</v>
      </c>
      <c r="F1" s="30" t="s">
        <v>5</v>
      </c>
      <c r="H1" s="30" t="s">
        <v>174</v>
      </c>
      <c r="I1" s="30" t="s">
        <v>1</v>
      </c>
      <c r="J1" s="30" t="s">
        <v>2</v>
      </c>
      <c r="K1" s="30" t="s">
        <v>173</v>
      </c>
      <c r="L1" s="57" t="s">
        <v>4</v>
      </c>
      <c r="M1" s="57" t="s">
        <v>5</v>
      </c>
      <c r="O1" s="30" t="s">
        <v>175</v>
      </c>
      <c r="P1" s="31"/>
      <c r="Q1" s="31"/>
    </row>
    <row r="2" spans="1:17">
      <c r="A2" s="32">
        <f ca="1">RANDBETWEEN(2,164)</f>
        <v>30</v>
      </c>
      <c r="B2" s="32" t="str" cm="1">
        <f t="array" aca="1" ref="B2" ca="1">INDEX(Data_DBD!$B:$B,$A2)</f>
        <v>2,8</v>
      </c>
      <c r="C2" s="32" cm="1">
        <f t="array" aca="1" ref="C2" ca="1">INDEX(Data_DBD!$C:$C,$A2)</f>
        <v>2</v>
      </c>
      <c r="D2" s="32" cm="1">
        <f t="array" aca="1" ref="D2" ca="1">INDEX(Data_DBD!$D:$D,$A2)</f>
        <v>14</v>
      </c>
      <c r="E2" s="32" cm="1">
        <f t="array" aca="1" ref="E2" ca="1">INDEX(Data_DBD!$E:$E,$A2)</f>
        <v>1</v>
      </c>
      <c r="F2" s="32" cm="1">
        <f t="array" aca="1" ref="F2" ca="1">INDEX(Data_DBD!$F:$F,$A2)</f>
        <v>2</v>
      </c>
      <c r="H2" s="33">
        <v>84</v>
      </c>
      <c r="I2" s="33">
        <v>42</v>
      </c>
      <c r="J2" s="33">
        <v>4</v>
      </c>
      <c r="K2" s="33">
        <v>13</v>
      </c>
      <c r="L2" s="33">
        <v>1</v>
      </c>
      <c r="M2" s="33">
        <v>2</v>
      </c>
      <c r="O2" s="54">
        <v>1</v>
      </c>
      <c r="P2" s="31">
        <f>COUNTIF(M2:M164,"1")</f>
        <v>16</v>
      </c>
      <c r="Q2" s="31">
        <f>P2/163</f>
        <v>9.815950920245399E-2</v>
      </c>
    </row>
    <row r="3" spans="1:17">
      <c r="A3" s="32">
        <f t="shared" ref="A3:A66" ca="1" si="0">RANDBETWEEN(2,164)</f>
        <v>73</v>
      </c>
      <c r="B3" s="32" cm="1">
        <f t="array" aca="1" ref="B3" ca="1">INDEX(Data_DBD!$B:$B,$A3)</f>
        <v>15</v>
      </c>
      <c r="C3" s="32" cm="1">
        <f t="array" aca="1" ref="C3" ca="1">INDEX(Data_DBD!$C:$C,$A3)</f>
        <v>3</v>
      </c>
      <c r="D3" s="32" cm="1">
        <f t="array" aca="1" ref="D3" ca="1">INDEX(Data_DBD!$D:$D,$A3)</f>
        <v>10</v>
      </c>
      <c r="E3" s="32" cm="1">
        <f t="array" aca="1" ref="E3" ca="1">INDEX(Data_DBD!$E:$E,$A3)</f>
        <v>1</v>
      </c>
      <c r="F3" s="32" cm="1">
        <f t="array" aca="1" ref="F3" ca="1">INDEX(Data_DBD!$F:$F,$A3)</f>
        <v>2</v>
      </c>
      <c r="H3" s="33">
        <v>87</v>
      </c>
      <c r="I3" s="33">
        <v>21</v>
      </c>
      <c r="J3" s="33">
        <v>3</v>
      </c>
      <c r="K3" s="33">
        <v>13</v>
      </c>
      <c r="L3" s="33">
        <v>0</v>
      </c>
      <c r="M3" s="33">
        <v>2</v>
      </c>
      <c r="O3" s="31">
        <v>2</v>
      </c>
      <c r="P3" s="31">
        <f>COUNTIF(M2:M164,"2")</f>
        <v>78</v>
      </c>
      <c r="Q3" s="31">
        <f>P3/163</f>
        <v>0.4785276073619632</v>
      </c>
    </row>
    <row r="4" spans="1:17">
      <c r="A4" s="32">
        <f t="shared" ca="1" si="0"/>
        <v>58</v>
      </c>
      <c r="B4" s="32" cm="1">
        <f t="array" aca="1" ref="B4" ca="1">INDEX(Data_DBD!$B:$B,$A4)</f>
        <v>17</v>
      </c>
      <c r="C4" s="32" cm="1">
        <f t="array" aca="1" ref="C4" ca="1">INDEX(Data_DBD!$C:$C,$A4)</f>
        <v>3</v>
      </c>
      <c r="D4" s="32" cm="1">
        <f t="array" aca="1" ref="D4" ca="1">INDEX(Data_DBD!$D:$D,$A4)</f>
        <v>15</v>
      </c>
      <c r="E4" s="32" cm="1">
        <f t="array" aca="1" ref="E4" ca="1">INDEX(Data_DBD!$E:$E,$A4)</f>
        <v>0</v>
      </c>
      <c r="F4" s="32" cm="1">
        <f t="array" aca="1" ref="F4" ca="1">INDEX(Data_DBD!$F:$F,$A4)</f>
        <v>2</v>
      </c>
      <c r="H4" s="33">
        <v>116</v>
      </c>
      <c r="I4" s="33">
        <v>32</v>
      </c>
      <c r="J4" s="33">
        <v>4</v>
      </c>
      <c r="K4" s="33">
        <v>33</v>
      </c>
      <c r="L4" s="33">
        <v>1</v>
      </c>
      <c r="M4" s="33">
        <v>3</v>
      </c>
      <c r="O4" s="31">
        <v>3</v>
      </c>
      <c r="P4" s="31">
        <f>COUNTIF(M2:M164,"3")</f>
        <v>69</v>
      </c>
      <c r="Q4" s="31">
        <f>P4/163</f>
        <v>0.42331288343558282</v>
      </c>
    </row>
    <row r="5" spans="1:17">
      <c r="A5" s="32">
        <f t="shared" ca="1" si="0"/>
        <v>144</v>
      </c>
      <c r="B5" s="32" cm="1">
        <f t="array" aca="1" ref="B5" ca="1">INDEX(Data_DBD!$B:$B,$A5)</f>
        <v>61</v>
      </c>
      <c r="C5" s="32" cm="1">
        <f t="array" aca="1" ref="C5" ca="1">INDEX(Data_DBD!$C:$C,$A5)</f>
        <v>4</v>
      </c>
      <c r="D5" s="32" cm="1">
        <f t="array" aca="1" ref="D5" ca="1">INDEX(Data_DBD!$D:$D,$A5)</f>
        <v>21</v>
      </c>
      <c r="E5" s="32" cm="1">
        <f t="array" aca="1" ref="E5" ca="1">INDEX(Data_DBD!$E:$E,$A5)</f>
        <v>1</v>
      </c>
      <c r="F5" s="32" cm="1">
        <f t="array" aca="1" ref="F5" ca="1">INDEX(Data_DBD!$F:$F,$A5)</f>
        <v>3</v>
      </c>
      <c r="H5" s="33">
        <v>101</v>
      </c>
      <c r="I5" s="33">
        <v>42</v>
      </c>
      <c r="J5" s="33">
        <v>5</v>
      </c>
      <c r="K5" s="33">
        <v>18</v>
      </c>
      <c r="L5" s="33">
        <v>0</v>
      </c>
      <c r="M5" s="33">
        <v>3</v>
      </c>
      <c r="O5" s="34" t="s">
        <v>176</v>
      </c>
      <c r="P5">
        <f>-(IFERROR(Q2*LOG(Q2,2),0)+IFERROR(Q3*LOG(Q3,2),0)+IFERROR(Q4*LOG(Q4,2),0))</f>
        <v>1.3625345309859913</v>
      </c>
    </row>
    <row r="6" spans="1:17">
      <c r="A6" s="32">
        <f t="shared" ca="1" si="0"/>
        <v>121</v>
      </c>
      <c r="B6" s="32" cm="1">
        <f t="array" aca="1" ref="B6" ca="1">INDEX(Data_DBD!$B:$B,$A6)</f>
        <v>82</v>
      </c>
      <c r="C6" s="32" cm="1">
        <f t="array" aca="1" ref="C6" ca="1">INDEX(Data_DBD!$C:$C,$A6)</f>
        <v>5</v>
      </c>
      <c r="D6" s="32" cm="1">
        <f t="array" aca="1" ref="D6" ca="1">INDEX(Data_DBD!$D:$D,$A6)</f>
        <v>33</v>
      </c>
      <c r="E6" s="32" cm="1">
        <f t="array" aca="1" ref="E6" ca="1">INDEX(Data_DBD!$E:$E,$A6)</f>
        <v>1</v>
      </c>
      <c r="F6" s="32" cm="1">
        <f t="array" aca="1" ref="F6" ca="1">INDEX(Data_DBD!$F:$F,$A6)</f>
        <v>3</v>
      </c>
      <c r="H6" s="33">
        <v>95</v>
      </c>
      <c r="I6" s="33">
        <v>11</v>
      </c>
      <c r="J6" s="33">
        <v>3</v>
      </c>
      <c r="K6" s="33">
        <v>18</v>
      </c>
      <c r="L6" s="33">
        <v>1</v>
      </c>
      <c r="M6" s="33">
        <v>3</v>
      </c>
    </row>
    <row r="7" spans="1:17">
      <c r="A7" s="32">
        <f t="shared" ca="1" si="0"/>
        <v>115</v>
      </c>
      <c r="B7" s="32" cm="1">
        <f t="array" aca="1" ref="B7" ca="1">INDEX(Data_DBD!$B:$B,$A7)</f>
        <v>52</v>
      </c>
      <c r="C7" s="32" cm="1">
        <f t="array" aca="1" ref="C7" ca="1">INDEX(Data_DBD!$C:$C,$A7)</f>
        <v>3</v>
      </c>
      <c r="D7" s="32" cm="1">
        <f t="array" aca="1" ref="D7" ca="1">INDEX(Data_DBD!$D:$D,$A7)</f>
        <v>33</v>
      </c>
      <c r="E7" s="32" cm="1">
        <f t="array" aca="1" ref="E7" ca="1">INDEX(Data_DBD!$E:$E,$A7)</f>
        <v>1</v>
      </c>
      <c r="F7" s="32" cm="1">
        <f t="array" aca="1" ref="F7" ca="1">INDEX(Data_DBD!$F:$F,$A7)</f>
        <v>3</v>
      </c>
      <c r="H7" s="33">
        <v>31</v>
      </c>
      <c r="I7" s="33">
        <v>64</v>
      </c>
      <c r="J7" s="33">
        <v>4</v>
      </c>
      <c r="K7" s="33">
        <v>14</v>
      </c>
      <c r="L7" s="33">
        <v>1</v>
      </c>
      <c r="M7" s="33">
        <v>2</v>
      </c>
    </row>
    <row r="8" spans="1:17">
      <c r="A8" s="32">
        <f t="shared" ca="1" si="0"/>
        <v>161</v>
      </c>
      <c r="B8" s="32" cm="1">
        <f t="array" aca="1" ref="B8" ca="1">INDEX(Data_DBD!$B:$B,$A8)</f>
        <v>12</v>
      </c>
      <c r="C8" s="32" cm="1">
        <f t="array" aca="1" ref="C8" ca="1">INDEX(Data_DBD!$C:$C,$A8)</f>
        <v>3</v>
      </c>
      <c r="D8" s="32" cm="1">
        <f t="array" aca="1" ref="D8" ca="1">INDEX(Data_DBD!$D:$D,$A8)</f>
        <v>21</v>
      </c>
      <c r="E8" s="32" cm="1">
        <f t="array" aca="1" ref="E8" ca="1">INDEX(Data_DBD!$E:$E,$A8)</f>
        <v>1</v>
      </c>
      <c r="F8" s="32" cm="1">
        <f t="array" aca="1" ref="F8" ca="1">INDEX(Data_DBD!$F:$F,$A8)</f>
        <v>3</v>
      </c>
      <c r="H8" s="33">
        <v>119</v>
      </c>
      <c r="I8" s="33">
        <v>30</v>
      </c>
      <c r="J8" s="33">
        <v>7</v>
      </c>
      <c r="K8" s="33">
        <v>33</v>
      </c>
      <c r="L8" s="33">
        <v>0</v>
      </c>
      <c r="M8" s="33">
        <v>3</v>
      </c>
    </row>
    <row r="9" spans="1:17">
      <c r="A9" s="32">
        <f t="shared" ca="1" si="0"/>
        <v>55</v>
      </c>
      <c r="B9" s="32" cm="1">
        <f t="array" aca="1" ref="B9" ca="1">INDEX(Data_DBD!$B:$B,$A9)</f>
        <v>7</v>
      </c>
      <c r="C9" s="32" cm="1">
        <f t="array" aca="1" ref="C9" ca="1">INDEX(Data_DBD!$C:$C,$A9)</f>
        <v>4</v>
      </c>
      <c r="D9" s="32" cm="1">
        <f t="array" aca="1" ref="D9" ca="1">INDEX(Data_DBD!$D:$D,$A9)</f>
        <v>15</v>
      </c>
      <c r="E9" s="32" cm="1">
        <f t="array" aca="1" ref="E9" ca="1">INDEX(Data_DBD!$E:$E,$A9)</f>
        <v>1</v>
      </c>
      <c r="F9" s="32" cm="1">
        <f t="array" aca="1" ref="F9" ca="1">INDEX(Data_DBD!$F:$F,$A9)</f>
        <v>2</v>
      </c>
      <c r="H9" s="33">
        <v>137</v>
      </c>
      <c r="I9" s="33">
        <v>3.5</v>
      </c>
      <c r="J9" s="33">
        <v>1</v>
      </c>
      <c r="K9" s="33">
        <v>33</v>
      </c>
      <c r="L9" s="33">
        <v>1</v>
      </c>
      <c r="M9" s="33">
        <v>3</v>
      </c>
    </row>
    <row r="10" spans="1:17">
      <c r="A10" s="32">
        <f t="shared" ca="1" si="0"/>
        <v>3</v>
      </c>
      <c r="B10" s="32" cm="1">
        <f t="array" aca="1" ref="B10" ca="1">INDEX(Data_DBD!$B:$B,$A10)</f>
        <v>43</v>
      </c>
      <c r="C10" s="32" cm="1">
        <f t="array" aca="1" ref="C10" ca="1">INDEX(Data_DBD!$C:$C,$A10)</f>
        <v>3</v>
      </c>
      <c r="D10" s="32" cm="1">
        <f t="array" aca="1" ref="D10" ca="1">INDEX(Data_DBD!$D:$D,$A10)</f>
        <v>12</v>
      </c>
      <c r="E10" s="32" cm="1">
        <f t="array" aca="1" ref="E10" ca="1">INDEX(Data_DBD!$E:$E,$A10)</f>
        <v>1</v>
      </c>
      <c r="F10" s="32" cm="1">
        <f t="array" aca="1" ref="F10" ca="1">INDEX(Data_DBD!$F:$F,$A10)</f>
        <v>2</v>
      </c>
      <c r="H10" s="33">
        <v>7</v>
      </c>
      <c r="I10" s="33">
        <v>12</v>
      </c>
      <c r="J10" s="33">
        <v>1</v>
      </c>
      <c r="K10" s="33">
        <v>12</v>
      </c>
      <c r="L10" s="33">
        <v>1</v>
      </c>
      <c r="M10" s="33">
        <v>2</v>
      </c>
    </row>
    <row r="11" spans="1:17">
      <c r="A11" s="32">
        <f t="shared" ca="1" si="0"/>
        <v>37</v>
      </c>
      <c r="B11" s="32" cm="1">
        <f t="array" aca="1" ref="B11" ca="1">INDEX(Data_DBD!$B:$B,$A11)</f>
        <v>28</v>
      </c>
      <c r="C11" s="32" cm="1">
        <f t="array" aca="1" ref="C11" ca="1">INDEX(Data_DBD!$C:$C,$A11)</f>
        <v>4</v>
      </c>
      <c r="D11" s="32" cm="1">
        <f t="array" aca="1" ref="D11" ca="1">INDEX(Data_DBD!$D:$D,$A11)</f>
        <v>4</v>
      </c>
      <c r="E11" s="32" cm="1">
        <f t="array" aca="1" ref="E11" ca="1">INDEX(Data_DBD!$E:$E,$A11)</f>
        <v>1</v>
      </c>
      <c r="F11" s="32" cm="1">
        <f t="array" aca="1" ref="F11" ca="1">INDEX(Data_DBD!$F:$F,$A11)</f>
        <v>1</v>
      </c>
      <c r="H11" s="33">
        <v>95</v>
      </c>
      <c r="I11" s="33">
        <v>11</v>
      </c>
      <c r="J11" s="33">
        <v>3</v>
      </c>
      <c r="K11" s="33">
        <v>18</v>
      </c>
      <c r="L11" s="33">
        <v>1</v>
      </c>
      <c r="M11" s="33">
        <v>3</v>
      </c>
    </row>
    <row r="12" spans="1:17">
      <c r="A12" s="32">
        <f t="shared" ca="1" si="0"/>
        <v>128</v>
      </c>
      <c r="B12" s="32" cm="1">
        <f t="array" aca="1" ref="B12" ca="1">INDEX(Data_DBD!$B:$B,$A12)</f>
        <v>38</v>
      </c>
      <c r="C12" s="32" cm="1">
        <f t="array" aca="1" ref="C12" ca="1">INDEX(Data_DBD!$C:$C,$A12)</f>
        <v>2</v>
      </c>
      <c r="D12" s="32" cm="1">
        <f t="array" aca="1" ref="D12" ca="1">INDEX(Data_DBD!$D:$D,$A12)</f>
        <v>33</v>
      </c>
      <c r="E12" s="32" cm="1">
        <f t="array" aca="1" ref="E12" ca="1">INDEX(Data_DBD!$E:$E,$A12)</f>
        <v>0</v>
      </c>
      <c r="F12" s="32" cm="1">
        <f t="array" aca="1" ref="F12" ca="1">INDEX(Data_DBD!$F:$F,$A12)</f>
        <v>3</v>
      </c>
      <c r="H12" s="33">
        <v>86</v>
      </c>
      <c r="I12" s="33">
        <v>23</v>
      </c>
      <c r="J12" s="33">
        <v>3</v>
      </c>
      <c r="K12" s="33">
        <v>13</v>
      </c>
      <c r="L12" s="33">
        <v>0</v>
      </c>
      <c r="M12" s="33">
        <v>2</v>
      </c>
    </row>
    <row r="13" spans="1:17">
      <c r="A13" s="32">
        <f t="shared" ca="1" si="0"/>
        <v>100</v>
      </c>
      <c r="B13" s="32" cm="1">
        <f t="array" aca="1" ref="B13" ca="1">INDEX(Data_DBD!$B:$B,$A13)</f>
        <v>19</v>
      </c>
      <c r="C13" s="32" cm="1">
        <f t="array" aca="1" ref="C13" ca="1">INDEX(Data_DBD!$C:$C,$A13)</f>
        <v>6</v>
      </c>
      <c r="D13" s="32" cm="1">
        <f t="array" aca="1" ref="D13" ca="1">INDEX(Data_DBD!$D:$D,$A13)</f>
        <v>18</v>
      </c>
      <c r="E13" s="32" cm="1">
        <f t="array" aca="1" ref="E13" ca="1">INDEX(Data_DBD!$E:$E,$A13)</f>
        <v>0</v>
      </c>
      <c r="F13" s="32" cm="1">
        <f t="array" aca="1" ref="F13" ca="1">INDEX(Data_DBD!$F:$F,$A13)</f>
        <v>3</v>
      </c>
      <c r="H13" s="33">
        <v>27</v>
      </c>
      <c r="I13" s="33">
        <v>37</v>
      </c>
      <c r="J13" s="33">
        <v>4</v>
      </c>
      <c r="K13" s="33">
        <v>14</v>
      </c>
      <c r="L13" s="33">
        <v>1</v>
      </c>
      <c r="M13" s="33">
        <v>2</v>
      </c>
    </row>
    <row r="14" spans="1:17">
      <c r="A14" s="32">
        <f t="shared" ca="1" si="0"/>
        <v>60</v>
      </c>
      <c r="B14" s="32" cm="1">
        <f t="array" aca="1" ref="B14" ca="1">INDEX(Data_DBD!$B:$B,$A14)</f>
        <v>68</v>
      </c>
      <c r="C14" s="32" cm="1">
        <f t="array" aca="1" ref="C14" ca="1">INDEX(Data_DBD!$C:$C,$A14)</f>
        <v>4</v>
      </c>
      <c r="D14" s="32" cm="1">
        <f t="array" aca="1" ref="D14" ca="1">INDEX(Data_DBD!$D:$D,$A14)</f>
        <v>15</v>
      </c>
      <c r="E14" s="32" cm="1">
        <f t="array" aca="1" ref="E14" ca="1">INDEX(Data_DBD!$E:$E,$A14)</f>
        <v>0</v>
      </c>
      <c r="F14" s="32" cm="1">
        <f t="array" aca="1" ref="F14" ca="1">INDEX(Data_DBD!$F:$F,$A14)</f>
        <v>2</v>
      </c>
      <c r="H14" s="33">
        <v>11</v>
      </c>
      <c r="I14" s="33">
        <v>24</v>
      </c>
      <c r="J14" s="33">
        <v>5</v>
      </c>
      <c r="K14" s="33">
        <v>12</v>
      </c>
      <c r="L14" s="33">
        <v>1</v>
      </c>
      <c r="M14" s="33">
        <v>2</v>
      </c>
    </row>
    <row r="15" spans="1:17">
      <c r="A15" s="32">
        <f t="shared" ca="1" si="0"/>
        <v>11</v>
      </c>
      <c r="B15" s="32" cm="1">
        <f t="array" aca="1" ref="B15" ca="1">INDEX(Data_DBD!$B:$B,$A15)</f>
        <v>24</v>
      </c>
      <c r="C15" s="32" cm="1">
        <f t="array" aca="1" ref="C15" ca="1">INDEX(Data_DBD!$C:$C,$A15)</f>
        <v>5</v>
      </c>
      <c r="D15" s="32" cm="1">
        <f t="array" aca="1" ref="D15" ca="1">INDEX(Data_DBD!$D:$D,$A15)</f>
        <v>12</v>
      </c>
      <c r="E15" s="32" cm="1">
        <f t="array" aca="1" ref="E15" ca="1">INDEX(Data_DBD!$E:$E,$A15)</f>
        <v>1</v>
      </c>
      <c r="F15" s="32" cm="1">
        <f t="array" aca="1" ref="F15" ca="1">INDEX(Data_DBD!$F:$F,$A15)</f>
        <v>2</v>
      </c>
      <c r="H15" s="33">
        <v>68</v>
      </c>
      <c r="I15" s="33">
        <v>44</v>
      </c>
      <c r="J15" s="33">
        <v>5</v>
      </c>
      <c r="K15" s="33">
        <v>10</v>
      </c>
      <c r="L15" s="33">
        <v>0</v>
      </c>
      <c r="M15" s="33">
        <v>2</v>
      </c>
    </row>
    <row r="16" spans="1:17">
      <c r="A16" s="32">
        <f t="shared" ca="1" si="0"/>
        <v>141</v>
      </c>
      <c r="B16" s="32" cm="1">
        <f t="array" aca="1" ref="B16" ca="1">INDEX(Data_DBD!$B:$B,$A16)</f>
        <v>36</v>
      </c>
      <c r="C16" s="32" cm="1">
        <f t="array" aca="1" ref="C16" ca="1">INDEX(Data_DBD!$C:$C,$A16)</f>
        <v>2</v>
      </c>
      <c r="D16" s="32" cm="1">
        <f t="array" aca="1" ref="D16" ca="1">INDEX(Data_DBD!$D:$D,$A16)</f>
        <v>21</v>
      </c>
      <c r="E16" s="32" cm="1">
        <f t="array" aca="1" ref="E16" ca="1">INDEX(Data_DBD!$E:$E,$A16)</f>
        <v>0</v>
      </c>
      <c r="F16" s="32" cm="1">
        <f t="array" aca="1" ref="F16" ca="1">INDEX(Data_DBD!$F:$F,$A16)</f>
        <v>3</v>
      </c>
      <c r="H16" s="33">
        <v>150</v>
      </c>
      <c r="I16" s="33">
        <v>61</v>
      </c>
      <c r="J16" s="33">
        <v>5</v>
      </c>
      <c r="K16" s="33">
        <v>21</v>
      </c>
      <c r="L16" s="33">
        <v>1</v>
      </c>
      <c r="M16" s="33">
        <v>3</v>
      </c>
    </row>
    <row r="17" spans="1:13">
      <c r="A17" s="32">
        <f t="shared" ca="1" si="0"/>
        <v>9</v>
      </c>
      <c r="B17" s="32" cm="1">
        <f t="array" aca="1" ref="B17" ca="1">INDEX(Data_DBD!$B:$B,$A17)</f>
        <v>16</v>
      </c>
      <c r="C17" s="32" cm="1">
        <f t="array" aca="1" ref="C17" ca="1">INDEX(Data_DBD!$C:$C,$A17)</f>
        <v>6</v>
      </c>
      <c r="D17" s="32" cm="1">
        <f t="array" aca="1" ref="D17" ca="1">INDEX(Data_DBD!$D:$D,$A17)</f>
        <v>12</v>
      </c>
      <c r="E17" s="32" cm="1">
        <f t="array" aca="1" ref="E17" ca="1">INDEX(Data_DBD!$E:$E,$A17)</f>
        <v>1</v>
      </c>
      <c r="F17" s="32" cm="1">
        <f t="array" aca="1" ref="F17" ca="1">INDEX(Data_DBD!$F:$F,$A17)</f>
        <v>2</v>
      </c>
      <c r="H17" s="33">
        <v>160</v>
      </c>
      <c r="I17" s="33">
        <v>16</v>
      </c>
      <c r="J17" s="33">
        <v>3</v>
      </c>
      <c r="K17" s="33">
        <v>21</v>
      </c>
      <c r="L17" s="33">
        <v>0</v>
      </c>
      <c r="M17" s="33">
        <v>3</v>
      </c>
    </row>
    <row r="18" spans="1:13">
      <c r="A18" s="32">
        <f t="shared" ca="1" si="0"/>
        <v>129</v>
      </c>
      <c r="B18" s="32" cm="1">
        <f t="array" aca="1" ref="B18" ca="1">INDEX(Data_DBD!$B:$B,$A18)</f>
        <v>4.5</v>
      </c>
      <c r="C18" s="32" cm="1">
        <f t="array" aca="1" ref="C18" ca="1">INDEX(Data_DBD!$C:$C,$A18)</f>
        <v>3</v>
      </c>
      <c r="D18" s="32" cm="1">
        <f t="array" aca="1" ref="D18" ca="1">INDEX(Data_DBD!$D:$D,$A18)</f>
        <v>33</v>
      </c>
      <c r="E18" s="32" cm="1">
        <f t="array" aca="1" ref="E18" ca="1">INDEX(Data_DBD!$E:$E,$A18)</f>
        <v>0</v>
      </c>
      <c r="F18" s="32" cm="1">
        <f t="array" aca="1" ref="F18" ca="1">INDEX(Data_DBD!$F:$F,$A18)</f>
        <v>3</v>
      </c>
      <c r="H18" s="33">
        <v>90</v>
      </c>
      <c r="I18" s="33">
        <v>47</v>
      </c>
      <c r="J18" s="33">
        <v>3</v>
      </c>
      <c r="K18" s="33">
        <v>18</v>
      </c>
      <c r="L18" s="33">
        <v>0</v>
      </c>
      <c r="M18" s="33">
        <v>3</v>
      </c>
    </row>
    <row r="19" spans="1:13">
      <c r="A19" s="32">
        <f t="shared" ca="1" si="0"/>
        <v>44</v>
      </c>
      <c r="B19" s="32" cm="1">
        <f t="array" aca="1" ref="B19" ca="1">INDEX(Data_DBD!$B:$B,$A19)</f>
        <v>28</v>
      </c>
      <c r="C19" s="32" cm="1">
        <f t="array" aca="1" ref="C19" ca="1">INDEX(Data_DBD!$C:$C,$A19)</f>
        <v>5</v>
      </c>
      <c r="D19" s="32" cm="1">
        <f t="array" aca="1" ref="D19" ca="1">INDEX(Data_DBD!$D:$D,$A19)</f>
        <v>13</v>
      </c>
      <c r="E19" s="32" cm="1">
        <f t="array" aca="1" ref="E19" ca="1">INDEX(Data_DBD!$E:$E,$A19)</f>
        <v>1</v>
      </c>
      <c r="F19" s="32" cm="1">
        <f t="array" aca="1" ref="F19" ca="1">INDEX(Data_DBD!$F:$F,$A19)</f>
        <v>2</v>
      </c>
      <c r="H19" s="33">
        <v>110</v>
      </c>
      <c r="I19" s="33">
        <v>42</v>
      </c>
      <c r="J19" s="33">
        <v>2</v>
      </c>
      <c r="K19" s="33">
        <v>33</v>
      </c>
      <c r="L19" s="33">
        <v>1</v>
      </c>
      <c r="M19" s="33">
        <v>3</v>
      </c>
    </row>
    <row r="20" spans="1:13">
      <c r="A20" s="32">
        <f t="shared" ca="1" si="0"/>
        <v>103</v>
      </c>
      <c r="B20" s="32" cm="1">
        <f t="array" aca="1" ref="B20" ca="1">INDEX(Data_DBD!$B:$B,$A20)</f>
        <v>22</v>
      </c>
      <c r="C20" s="32" cm="1">
        <f t="array" aca="1" ref="C20" ca="1">INDEX(Data_DBD!$C:$C,$A20)</f>
        <v>5</v>
      </c>
      <c r="D20" s="32" cm="1">
        <f t="array" aca="1" ref="D20" ca="1">INDEX(Data_DBD!$D:$D,$A20)</f>
        <v>18</v>
      </c>
      <c r="E20" s="32" cm="1">
        <f t="array" aca="1" ref="E20" ca="1">INDEX(Data_DBD!$E:$E,$A20)</f>
        <v>0</v>
      </c>
      <c r="F20" s="32" cm="1">
        <f t="array" aca="1" ref="F20" ca="1">INDEX(Data_DBD!$F:$F,$A20)</f>
        <v>3</v>
      </c>
      <c r="H20" s="33">
        <v>41</v>
      </c>
      <c r="I20" s="33">
        <v>8</v>
      </c>
      <c r="J20" s="33">
        <v>4</v>
      </c>
      <c r="K20" s="33">
        <v>13</v>
      </c>
      <c r="L20" s="33">
        <v>0</v>
      </c>
      <c r="M20" s="33">
        <v>2</v>
      </c>
    </row>
    <row r="21" spans="1:13">
      <c r="A21" s="32">
        <f t="shared" ca="1" si="0"/>
        <v>46</v>
      </c>
      <c r="B21" s="32" cm="1">
        <f t="array" aca="1" ref="B21" ca="1">INDEX(Data_DBD!$B:$B,$A21)</f>
        <v>62</v>
      </c>
      <c r="C21" s="32" cm="1">
        <f t="array" aca="1" ref="C21" ca="1">INDEX(Data_DBD!$C:$C,$A21)</f>
        <v>2</v>
      </c>
      <c r="D21" s="32" cm="1">
        <f t="array" aca="1" ref="D21" ca="1">INDEX(Data_DBD!$D:$D,$A21)</f>
        <v>13</v>
      </c>
      <c r="E21" s="32" cm="1">
        <f t="array" aca="1" ref="E21" ca="1">INDEX(Data_DBD!$E:$E,$A21)</f>
        <v>0</v>
      </c>
      <c r="F21" s="32" cm="1">
        <f t="array" aca="1" ref="F21" ca="1">INDEX(Data_DBD!$F:$F,$A21)</f>
        <v>2</v>
      </c>
      <c r="H21" s="33">
        <v>91</v>
      </c>
      <c r="I21" s="33">
        <v>35</v>
      </c>
      <c r="J21" s="33">
        <v>1</v>
      </c>
      <c r="K21" s="33">
        <v>18</v>
      </c>
      <c r="L21" s="33">
        <v>1</v>
      </c>
      <c r="M21" s="33">
        <v>3</v>
      </c>
    </row>
    <row r="22" spans="1:13">
      <c r="A22" s="32">
        <f t="shared" ca="1" si="0"/>
        <v>53</v>
      </c>
      <c r="B22" s="32" cm="1">
        <f t="array" aca="1" ref="B22" ca="1">INDEX(Data_DBD!$B:$B,$A22)</f>
        <v>35</v>
      </c>
      <c r="C22" s="32" cm="1">
        <f t="array" aca="1" ref="C22" ca="1">INDEX(Data_DBD!$C:$C,$A22)</f>
        <v>4</v>
      </c>
      <c r="D22" s="32" cm="1">
        <f t="array" aca="1" ref="D22" ca="1">INDEX(Data_DBD!$D:$D,$A22)</f>
        <v>15</v>
      </c>
      <c r="E22" s="32" cm="1">
        <f t="array" aca="1" ref="E22" ca="1">INDEX(Data_DBD!$E:$E,$A22)</f>
        <v>1</v>
      </c>
      <c r="F22" s="32" cm="1">
        <f t="array" aca="1" ref="F22" ca="1">INDEX(Data_DBD!$F:$F,$A22)</f>
        <v>2</v>
      </c>
      <c r="H22" s="33">
        <v>134</v>
      </c>
      <c r="I22" s="33">
        <v>4</v>
      </c>
      <c r="J22" s="33">
        <v>2</v>
      </c>
      <c r="K22" s="33">
        <v>33</v>
      </c>
      <c r="L22" s="33">
        <v>1</v>
      </c>
      <c r="M22" s="33">
        <v>3</v>
      </c>
    </row>
    <row r="23" spans="1:13">
      <c r="A23" s="32">
        <f t="shared" ca="1" si="0"/>
        <v>11</v>
      </c>
      <c r="B23" s="32" cm="1">
        <f t="array" aca="1" ref="B23" ca="1">INDEX(Data_DBD!$B:$B,$A23)</f>
        <v>24</v>
      </c>
      <c r="C23" s="32" cm="1">
        <f t="array" aca="1" ref="C23" ca="1">INDEX(Data_DBD!$C:$C,$A23)</f>
        <v>5</v>
      </c>
      <c r="D23" s="32" cm="1">
        <f t="array" aca="1" ref="D23" ca="1">INDEX(Data_DBD!$D:$D,$A23)</f>
        <v>12</v>
      </c>
      <c r="E23" s="32" cm="1">
        <f t="array" aca="1" ref="E23" ca="1">INDEX(Data_DBD!$E:$E,$A23)</f>
        <v>1</v>
      </c>
      <c r="F23" s="32" cm="1">
        <f t="array" aca="1" ref="F23" ca="1">INDEX(Data_DBD!$F:$F,$A23)</f>
        <v>2</v>
      </c>
      <c r="H23" s="33">
        <v>102</v>
      </c>
      <c r="I23" s="33">
        <v>41</v>
      </c>
      <c r="J23" s="33">
        <v>4</v>
      </c>
      <c r="K23" s="33">
        <v>18</v>
      </c>
      <c r="L23" s="33">
        <v>0</v>
      </c>
      <c r="M23" s="33">
        <v>3</v>
      </c>
    </row>
    <row r="24" spans="1:13">
      <c r="A24" s="32">
        <f t="shared" ca="1" si="0"/>
        <v>48</v>
      </c>
      <c r="B24" s="32" cm="1">
        <f t="array" aca="1" ref="B24" ca="1">INDEX(Data_DBD!$B:$B,$A24)</f>
        <v>50</v>
      </c>
      <c r="C24" s="32" cm="1">
        <f t="array" aca="1" ref="C24" ca="1">INDEX(Data_DBD!$C:$C,$A24)</f>
        <v>5</v>
      </c>
      <c r="D24" s="32" cm="1">
        <f t="array" aca="1" ref="D24" ca="1">INDEX(Data_DBD!$D:$D,$A24)</f>
        <v>13</v>
      </c>
      <c r="E24" s="32" cm="1">
        <f t="array" aca="1" ref="E24" ca="1">INDEX(Data_DBD!$E:$E,$A24)</f>
        <v>1</v>
      </c>
      <c r="F24" s="32" cm="1">
        <f t="array" aca="1" ref="F24" ca="1">INDEX(Data_DBD!$F:$F,$A24)</f>
        <v>2</v>
      </c>
      <c r="H24" s="33">
        <v>130</v>
      </c>
      <c r="I24" s="33">
        <v>12</v>
      </c>
      <c r="J24" s="33">
        <v>4</v>
      </c>
      <c r="K24" s="33">
        <v>33</v>
      </c>
      <c r="L24" s="33">
        <v>0</v>
      </c>
      <c r="M24" s="33">
        <v>3</v>
      </c>
    </row>
    <row r="25" spans="1:13">
      <c r="A25" s="32">
        <f t="shared" ca="1" si="0"/>
        <v>107</v>
      </c>
      <c r="B25" s="32" cm="1">
        <f t="array" aca="1" ref="B25" ca="1">INDEX(Data_DBD!$B:$B,$A25)</f>
        <v>48</v>
      </c>
      <c r="C25" s="32" cm="1">
        <f t="array" aca="1" ref="C25" ca="1">INDEX(Data_DBD!$C:$C,$A25)</f>
        <v>5</v>
      </c>
      <c r="D25" s="32" cm="1">
        <f t="array" aca="1" ref="D25" ca="1">INDEX(Data_DBD!$D:$D,$A25)</f>
        <v>18</v>
      </c>
      <c r="E25" s="32" cm="1">
        <f t="array" aca="1" ref="E25" ca="1">INDEX(Data_DBD!$E:$E,$A25)</f>
        <v>0</v>
      </c>
      <c r="F25" s="32" cm="1">
        <f t="array" aca="1" ref="F25" ca="1">INDEX(Data_DBD!$F:$F,$A25)</f>
        <v>3</v>
      </c>
      <c r="H25" s="33">
        <v>87</v>
      </c>
      <c r="I25" s="33">
        <v>21</v>
      </c>
      <c r="J25" s="33">
        <v>3</v>
      </c>
      <c r="K25" s="33">
        <v>13</v>
      </c>
      <c r="L25" s="33">
        <v>0</v>
      </c>
      <c r="M25" s="33">
        <v>2</v>
      </c>
    </row>
    <row r="26" spans="1:13">
      <c r="A26" s="32">
        <f t="shared" ca="1" si="0"/>
        <v>161</v>
      </c>
      <c r="B26" s="32" cm="1">
        <f t="array" aca="1" ref="B26" ca="1">INDEX(Data_DBD!$B:$B,$A26)</f>
        <v>12</v>
      </c>
      <c r="C26" s="32" cm="1">
        <f t="array" aca="1" ref="C26" ca="1">INDEX(Data_DBD!$C:$C,$A26)</f>
        <v>3</v>
      </c>
      <c r="D26" s="32" cm="1">
        <f t="array" aca="1" ref="D26" ca="1">INDEX(Data_DBD!$D:$D,$A26)</f>
        <v>21</v>
      </c>
      <c r="E26" s="32" cm="1">
        <f t="array" aca="1" ref="E26" ca="1">INDEX(Data_DBD!$E:$E,$A26)</f>
        <v>1</v>
      </c>
      <c r="F26" s="32" cm="1">
        <f t="array" aca="1" ref="F26" ca="1">INDEX(Data_DBD!$F:$F,$A26)</f>
        <v>3</v>
      </c>
      <c r="H26" s="33">
        <v>155</v>
      </c>
      <c r="I26" s="33">
        <v>19</v>
      </c>
      <c r="J26" s="33">
        <v>5</v>
      </c>
      <c r="K26" s="33">
        <v>21</v>
      </c>
      <c r="L26" s="33">
        <v>1</v>
      </c>
      <c r="M26" s="33">
        <v>3</v>
      </c>
    </row>
    <row r="27" spans="1:13">
      <c r="A27" s="32">
        <f t="shared" ca="1" si="0"/>
        <v>136</v>
      </c>
      <c r="B27" s="32" cm="1">
        <f t="array" aca="1" ref="B27" ca="1">INDEX(Data_DBD!$B:$B,$A27)</f>
        <v>6</v>
      </c>
      <c r="C27" s="32" cm="1">
        <f t="array" aca="1" ref="C27" ca="1">INDEX(Data_DBD!$C:$C,$A27)</f>
        <v>2</v>
      </c>
      <c r="D27" s="32" cm="1">
        <f t="array" aca="1" ref="D27" ca="1">INDEX(Data_DBD!$D:$D,$A27)</f>
        <v>33</v>
      </c>
      <c r="E27" s="32" cm="1">
        <f t="array" aca="1" ref="E27" ca="1">INDEX(Data_DBD!$E:$E,$A27)</f>
        <v>0</v>
      </c>
      <c r="F27" s="32" cm="1">
        <f t="array" aca="1" ref="F27" ca="1">INDEX(Data_DBD!$F:$F,$A27)</f>
        <v>3</v>
      </c>
      <c r="H27" s="33">
        <v>152</v>
      </c>
      <c r="I27" s="33">
        <v>47</v>
      </c>
      <c r="J27" s="33">
        <v>3</v>
      </c>
      <c r="K27" s="33">
        <v>21</v>
      </c>
      <c r="L27" s="33">
        <v>1</v>
      </c>
      <c r="M27" s="33">
        <v>3</v>
      </c>
    </row>
    <row r="28" spans="1:13">
      <c r="A28" s="32">
        <f t="shared" ca="1" si="0"/>
        <v>150</v>
      </c>
      <c r="B28" s="32" cm="1">
        <f t="array" aca="1" ref="B28" ca="1">INDEX(Data_DBD!$B:$B,$A28)</f>
        <v>61</v>
      </c>
      <c r="C28" s="32" cm="1">
        <f t="array" aca="1" ref="C28" ca="1">INDEX(Data_DBD!$C:$C,$A28)</f>
        <v>5</v>
      </c>
      <c r="D28" s="32" cm="1">
        <f t="array" aca="1" ref="D28" ca="1">INDEX(Data_DBD!$D:$D,$A28)</f>
        <v>21</v>
      </c>
      <c r="E28" s="32" cm="1">
        <f t="array" aca="1" ref="E28" ca="1">INDEX(Data_DBD!$E:$E,$A28)</f>
        <v>1</v>
      </c>
      <c r="F28" s="32" cm="1">
        <f t="array" aca="1" ref="F28" ca="1">INDEX(Data_DBD!$F:$F,$A28)</f>
        <v>3</v>
      </c>
      <c r="H28" s="33">
        <v>51</v>
      </c>
      <c r="I28" s="33">
        <v>48</v>
      </c>
      <c r="J28" s="33">
        <v>4</v>
      </c>
      <c r="K28" s="33">
        <v>13</v>
      </c>
      <c r="L28" s="33">
        <v>0</v>
      </c>
      <c r="M28" s="33">
        <v>2</v>
      </c>
    </row>
    <row r="29" spans="1:13">
      <c r="A29" s="32">
        <f t="shared" ca="1" si="0"/>
        <v>90</v>
      </c>
      <c r="B29" s="32" cm="1">
        <f t="array" aca="1" ref="B29" ca="1">INDEX(Data_DBD!$B:$B,$A29)</f>
        <v>47</v>
      </c>
      <c r="C29" s="32" cm="1">
        <f t="array" aca="1" ref="C29" ca="1">INDEX(Data_DBD!$C:$C,$A29)</f>
        <v>3</v>
      </c>
      <c r="D29" s="32" cm="1">
        <f t="array" aca="1" ref="D29" ca="1">INDEX(Data_DBD!$D:$D,$A29)</f>
        <v>18</v>
      </c>
      <c r="E29" s="32" cm="1">
        <f t="array" aca="1" ref="E29" ca="1">INDEX(Data_DBD!$E:$E,$A29)</f>
        <v>0</v>
      </c>
      <c r="F29" s="32" cm="1">
        <f t="array" aca="1" ref="F29" ca="1">INDEX(Data_DBD!$F:$F,$A29)</f>
        <v>3</v>
      </c>
      <c r="H29" s="33">
        <v>67</v>
      </c>
      <c r="I29" s="33">
        <v>21</v>
      </c>
      <c r="J29" s="33">
        <v>3</v>
      </c>
      <c r="K29" s="33">
        <v>10</v>
      </c>
      <c r="L29" s="33">
        <v>1</v>
      </c>
      <c r="M29" s="33">
        <v>2</v>
      </c>
    </row>
    <row r="30" spans="1:13">
      <c r="A30" s="32">
        <f t="shared" ca="1" si="0"/>
        <v>147</v>
      </c>
      <c r="B30" s="32" cm="1">
        <f t="array" aca="1" ref="B30" ca="1">INDEX(Data_DBD!$B:$B,$A30)</f>
        <v>66</v>
      </c>
      <c r="C30" s="32" cm="1">
        <f t="array" aca="1" ref="C30" ca="1">INDEX(Data_DBD!$C:$C,$A30)</f>
        <v>10</v>
      </c>
      <c r="D30" s="32" cm="1">
        <f t="array" aca="1" ref="D30" ca="1">INDEX(Data_DBD!$D:$D,$A30)</f>
        <v>21</v>
      </c>
      <c r="E30" s="32" cm="1">
        <f t="array" aca="1" ref="E30" ca="1">INDEX(Data_DBD!$E:$E,$A30)</f>
        <v>1</v>
      </c>
      <c r="F30" s="32" cm="1">
        <f t="array" aca="1" ref="F30" ca="1">INDEX(Data_DBD!$F:$F,$A30)</f>
        <v>3</v>
      </c>
      <c r="H30" s="33">
        <v>150</v>
      </c>
      <c r="I30" s="33">
        <v>61</v>
      </c>
      <c r="J30" s="33">
        <v>5</v>
      </c>
      <c r="K30" s="33">
        <v>21</v>
      </c>
      <c r="L30" s="33">
        <v>1</v>
      </c>
      <c r="M30" s="33">
        <v>3</v>
      </c>
    </row>
    <row r="31" spans="1:13">
      <c r="A31" s="32">
        <f t="shared" ca="1" si="0"/>
        <v>7</v>
      </c>
      <c r="B31" s="32" cm="1">
        <f t="array" aca="1" ref="B31" ca="1">INDEX(Data_DBD!$B:$B,$A31)</f>
        <v>12</v>
      </c>
      <c r="C31" s="32" cm="1">
        <f t="array" aca="1" ref="C31" ca="1">INDEX(Data_DBD!$C:$C,$A31)</f>
        <v>1</v>
      </c>
      <c r="D31" s="32" cm="1">
        <f t="array" aca="1" ref="D31" ca="1">INDEX(Data_DBD!$D:$D,$A31)</f>
        <v>12</v>
      </c>
      <c r="E31" s="32" cm="1">
        <f t="array" aca="1" ref="E31" ca="1">INDEX(Data_DBD!$E:$E,$A31)</f>
        <v>1</v>
      </c>
      <c r="F31" s="32" cm="1">
        <f t="array" aca="1" ref="F31" ca="1">INDEX(Data_DBD!$F:$F,$A31)</f>
        <v>2</v>
      </c>
      <c r="H31" s="33">
        <v>63</v>
      </c>
      <c r="I31" s="33">
        <v>25</v>
      </c>
      <c r="J31" s="33">
        <v>3</v>
      </c>
      <c r="K31" s="33">
        <v>15</v>
      </c>
      <c r="L31" s="33">
        <v>0</v>
      </c>
      <c r="M31" s="33">
        <v>2</v>
      </c>
    </row>
    <row r="32" spans="1:13">
      <c r="A32" s="32">
        <f t="shared" ca="1" si="0"/>
        <v>31</v>
      </c>
      <c r="B32" s="32" cm="1">
        <f t="array" aca="1" ref="B32" ca="1">INDEX(Data_DBD!$B:$B,$A32)</f>
        <v>64</v>
      </c>
      <c r="C32" s="32" cm="1">
        <f t="array" aca="1" ref="C32" ca="1">INDEX(Data_DBD!$C:$C,$A32)</f>
        <v>4</v>
      </c>
      <c r="D32" s="32" cm="1">
        <f t="array" aca="1" ref="D32" ca="1">INDEX(Data_DBD!$D:$D,$A32)</f>
        <v>14</v>
      </c>
      <c r="E32" s="32" cm="1">
        <f t="array" aca="1" ref="E32" ca="1">INDEX(Data_DBD!$E:$E,$A32)</f>
        <v>1</v>
      </c>
      <c r="F32" s="32" cm="1">
        <f t="array" aca="1" ref="F32" ca="1">INDEX(Data_DBD!$F:$F,$A32)</f>
        <v>2</v>
      </c>
      <c r="H32" s="33">
        <v>123</v>
      </c>
      <c r="I32" s="33">
        <v>22</v>
      </c>
      <c r="J32" s="33">
        <v>4</v>
      </c>
      <c r="K32" s="33">
        <v>33</v>
      </c>
      <c r="L32" s="33">
        <v>0</v>
      </c>
      <c r="M32" s="33">
        <v>3</v>
      </c>
    </row>
    <row r="33" spans="1:13">
      <c r="A33" s="32">
        <f t="shared" ca="1" si="0"/>
        <v>94</v>
      </c>
      <c r="B33" s="32" cm="1">
        <f t="array" aca="1" ref="B33" ca="1">INDEX(Data_DBD!$B:$B,$A33)</f>
        <v>12</v>
      </c>
      <c r="C33" s="32" cm="1">
        <f t="array" aca="1" ref="C33" ca="1">INDEX(Data_DBD!$C:$C,$A33)</f>
        <v>4</v>
      </c>
      <c r="D33" s="32" cm="1">
        <f t="array" aca="1" ref="D33" ca="1">INDEX(Data_DBD!$D:$D,$A33)</f>
        <v>18</v>
      </c>
      <c r="E33" s="32" cm="1">
        <f t="array" aca="1" ref="E33" ca="1">INDEX(Data_DBD!$E:$E,$A33)</f>
        <v>0</v>
      </c>
      <c r="F33" s="32" cm="1">
        <f t="array" aca="1" ref="F33" ca="1">INDEX(Data_DBD!$F:$F,$A33)</f>
        <v>3</v>
      </c>
      <c r="H33" s="33">
        <v>130</v>
      </c>
      <c r="I33" s="33">
        <v>12</v>
      </c>
      <c r="J33" s="33">
        <v>4</v>
      </c>
      <c r="K33" s="33">
        <v>33</v>
      </c>
      <c r="L33" s="33">
        <v>0</v>
      </c>
      <c r="M33" s="33">
        <v>3</v>
      </c>
    </row>
    <row r="34" spans="1:13">
      <c r="A34" s="32">
        <f t="shared" ca="1" si="0"/>
        <v>63</v>
      </c>
      <c r="B34" s="32" cm="1">
        <f t="array" aca="1" ref="B34" ca="1">INDEX(Data_DBD!$B:$B,$A34)</f>
        <v>25</v>
      </c>
      <c r="C34" s="32" cm="1">
        <f t="array" aca="1" ref="C34" ca="1">INDEX(Data_DBD!$C:$C,$A34)</f>
        <v>3</v>
      </c>
      <c r="D34" s="32" cm="1">
        <f t="array" aca="1" ref="D34" ca="1">INDEX(Data_DBD!$D:$D,$A34)</f>
        <v>15</v>
      </c>
      <c r="E34" s="32" cm="1">
        <f t="array" aca="1" ref="E34" ca="1">INDEX(Data_DBD!$E:$E,$A34)</f>
        <v>0</v>
      </c>
      <c r="F34" s="32" cm="1">
        <f t="array" aca="1" ref="F34" ca="1">INDEX(Data_DBD!$F:$F,$A34)</f>
        <v>2</v>
      </c>
      <c r="H34" s="33">
        <v>59</v>
      </c>
      <c r="I34" s="33">
        <v>28</v>
      </c>
      <c r="J34" s="33">
        <v>4</v>
      </c>
      <c r="K34" s="33">
        <v>15</v>
      </c>
      <c r="L34" s="33">
        <v>0</v>
      </c>
      <c r="M34" s="33">
        <v>2</v>
      </c>
    </row>
    <row r="35" spans="1:13">
      <c r="A35" s="32">
        <f t="shared" ca="1" si="0"/>
        <v>19</v>
      </c>
      <c r="B35" s="32" cm="1">
        <f t="array" aca="1" ref="B35" ca="1">INDEX(Data_DBD!$B:$B,$A35)</f>
        <v>8</v>
      </c>
      <c r="C35" s="32" cm="1">
        <f t="array" aca="1" ref="C35" ca="1">INDEX(Data_DBD!$C:$C,$A35)</f>
        <v>4</v>
      </c>
      <c r="D35" s="32" cm="1">
        <f t="array" aca="1" ref="D35" ca="1">INDEX(Data_DBD!$D:$D,$A35)</f>
        <v>7</v>
      </c>
      <c r="E35" s="32" cm="1">
        <f t="array" aca="1" ref="E35" ca="1">INDEX(Data_DBD!$E:$E,$A35)</f>
        <v>0</v>
      </c>
      <c r="F35" s="32" cm="1">
        <f t="array" aca="1" ref="F35" ca="1">INDEX(Data_DBD!$F:$F,$A35)</f>
        <v>1</v>
      </c>
      <c r="H35" s="33">
        <v>16</v>
      </c>
      <c r="I35" s="33">
        <v>66</v>
      </c>
      <c r="J35" s="33">
        <v>5</v>
      </c>
      <c r="K35" s="33">
        <v>7</v>
      </c>
      <c r="L35" s="33">
        <v>1</v>
      </c>
      <c r="M35" s="33">
        <v>1</v>
      </c>
    </row>
    <row r="36" spans="1:13">
      <c r="A36" s="32">
        <f t="shared" ca="1" si="0"/>
        <v>74</v>
      </c>
      <c r="B36" s="32" cm="1">
        <f t="array" aca="1" ref="B36" ca="1">INDEX(Data_DBD!$B:$B,$A36)</f>
        <v>9</v>
      </c>
      <c r="C36" s="32" cm="1">
        <f t="array" aca="1" ref="C36" ca="1">INDEX(Data_DBD!$C:$C,$A36)</f>
        <v>4</v>
      </c>
      <c r="D36" s="32" cm="1">
        <f t="array" aca="1" ref="D36" ca="1">INDEX(Data_DBD!$D:$D,$A36)</f>
        <v>10</v>
      </c>
      <c r="E36" s="32" cm="1">
        <f t="array" aca="1" ref="E36" ca="1">INDEX(Data_DBD!$E:$E,$A36)</f>
        <v>0</v>
      </c>
      <c r="F36" s="32" cm="1">
        <f t="array" aca="1" ref="F36" ca="1">INDEX(Data_DBD!$F:$F,$A36)</f>
        <v>2</v>
      </c>
      <c r="H36" s="33">
        <v>83</v>
      </c>
      <c r="I36" s="33">
        <v>50</v>
      </c>
      <c r="J36" s="33">
        <v>3</v>
      </c>
      <c r="K36" s="33">
        <v>13</v>
      </c>
      <c r="L36" s="33">
        <v>0</v>
      </c>
      <c r="M36" s="33">
        <v>2</v>
      </c>
    </row>
    <row r="37" spans="1:13">
      <c r="A37" s="32">
        <f t="shared" ca="1" si="0"/>
        <v>44</v>
      </c>
      <c r="B37" s="32" cm="1">
        <f t="array" aca="1" ref="B37" ca="1">INDEX(Data_DBD!$B:$B,$A37)</f>
        <v>28</v>
      </c>
      <c r="C37" s="32" cm="1">
        <f t="array" aca="1" ref="C37" ca="1">INDEX(Data_DBD!$C:$C,$A37)</f>
        <v>5</v>
      </c>
      <c r="D37" s="32" cm="1">
        <f t="array" aca="1" ref="D37" ca="1">INDEX(Data_DBD!$D:$D,$A37)</f>
        <v>13</v>
      </c>
      <c r="E37" s="32" cm="1">
        <f t="array" aca="1" ref="E37" ca="1">INDEX(Data_DBD!$E:$E,$A37)</f>
        <v>1</v>
      </c>
      <c r="F37" s="32" cm="1">
        <f t="array" aca="1" ref="F37" ca="1">INDEX(Data_DBD!$F:$F,$A37)</f>
        <v>2</v>
      </c>
      <c r="H37" s="33">
        <v>36</v>
      </c>
      <c r="I37" s="33">
        <v>27</v>
      </c>
      <c r="J37" s="33">
        <v>1</v>
      </c>
      <c r="K37" s="33">
        <v>4</v>
      </c>
      <c r="L37" s="33">
        <v>1</v>
      </c>
      <c r="M37" s="33">
        <v>1</v>
      </c>
    </row>
    <row r="38" spans="1:13">
      <c r="A38" s="32">
        <f t="shared" ca="1" si="0"/>
        <v>101</v>
      </c>
      <c r="B38" s="32" cm="1">
        <f t="array" aca="1" ref="B38" ca="1">INDEX(Data_DBD!$B:$B,$A38)</f>
        <v>42</v>
      </c>
      <c r="C38" s="32" cm="1">
        <f t="array" aca="1" ref="C38" ca="1">INDEX(Data_DBD!$C:$C,$A38)</f>
        <v>5</v>
      </c>
      <c r="D38" s="32" cm="1">
        <f t="array" aca="1" ref="D38" ca="1">INDEX(Data_DBD!$D:$D,$A38)</f>
        <v>18</v>
      </c>
      <c r="E38" s="32" cm="1">
        <f t="array" aca="1" ref="E38" ca="1">INDEX(Data_DBD!$E:$E,$A38)</f>
        <v>0</v>
      </c>
      <c r="F38" s="32" cm="1">
        <f t="array" aca="1" ref="F38" ca="1">INDEX(Data_DBD!$F:$F,$A38)</f>
        <v>3</v>
      </c>
      <c r="H38" s="33">
        <v>32</v>
      </c>
      <c r="I38" s="33">
        <v>54</v>
      </c>
      <c r="J38" s="33">
        <v>4</v>
      </c>
      <c r="K38" s="33">
        <v>14</v>
      </c>
      <c r="L38" s="33">
        <v>0</v>
      </c>
      <c r="M38" s="33">
        <v>2</v>
      </c>
    </row>
    <row r="39" spans="1:13">
      <c r="A39" s="32">
        <f t="shared" ca="1" si="0"/>
        <v>74</v>
      </c>
      <c r="B39" s="32" cm="1">
        <f t="array" aca="1" ref="B39" ca="1">INDEX(Data_DBD!$B:$B,$A39)</f>
        <v>9</v>
      </c>
      <c r="C39" s="32" cm="1">
        <f t="array" aca="1" ref="C39" ca="1">INDEX(Data_DBD!$C:$C,$A39)</f>
        <v>4</v>
      </c>
      <c r="D39" s="32" cm="1">
        <f t="array" aca="1" ref="D39" ca="1">INDEX(Data_DBD!$D:$D,$A39)</f>
        <v>10</v>
      </c>
      <c r="E39" s="32" cm="1">
        <f t="array" aca="1" ref="E39" ca="1">INDEX(Data_DBD!$E:$E,$A39)</f>
        <v>0</v>
      </c>
      <c r="F39" s="32" cm="1">
        <f t="array" aca="1" ref="F39" ca="1">INDEX(Data_DBD!$F:$F,$A39)</f>
        <v>2</v>
      </c>
      <c r="H39" s="33">
        <v>27</v>
      </c>
      <c r="I39" s="33">
        <v>37</v>
      </c>
      <c r="J39" s="33">
        <v>4</v>
      </c>
      <c r="K39" s="33">
        <v>14</v>
      </c>
      <c r="L39" s="33">
        <v>1</v>
      </c>
      <c r="M39" s="33">
        <v>2</v>
      </c>
    </row>
    <row r="40" spans="1:13">
      <c r="A40" s="32">
        <f t="shared" ca="1" si="0"/>
        <v>85</v>
      </c>
      <c r="B40" s="32" cm="1">
        <f t="array" aca="1" ref="B40" ca="1">INDEX(Data_DBD!$B:$B,$A40)</f>
        <v>27</v>
      </c>
      <c r="C40" s="32" cm="1">
        <f t="array" aca="1" ref="C40" ca="1">INDEX(Data_DBD!$C:$C,$A40)</f>
        <v>9</v>
      </c>
      <c r="D40" s="32" cm="1">
        <f t="array" aca="1" ref="D40" ca="1">INDEX(Data_DBD!$D:$D,$A40)</f>
        <v>13</v>
      </c>
      <c r="E40" s="32" cm="1">
        <f t="array" aca="1" ref="E40" ca="1">INDEX(Data_DBD!$E:$E,$A40)</f>
        <v>0</v>
      </c>
      <c r="F40" s="32" cm="1">
        <f t="array" aca="1" ref="F40" ca="1">INDEX(Data_DBD!$F:$F,$A40)</f>
        <v>2</v>
      </c>
      <c r="H40" s="33">
        <v>33</v>
      </c>
      <c r="I40" s="33">
        <v>19</v>
      </c>
      <c r="J40" s="33">
        <v>4</v>
      </c>
      <c r="K40" s="33">
        <v>14</v>
      </c>
      <c r="L40" s="33">
        <v>1</v>
      </c>
      <c r="M40" s="33">
        <v>2</v>
      </c>
    </row>
    <row r="41" spans="1:13">
      <c r="A41" s="32">
        <f t="shared" ca="1" si="0"/>
        <v>53</v>
      </c>
      <c r="B41" s="32" cm="1">
        <f t="array" aca="1" ref="B41" ca="1">INDEX(Data_DBD!$B:$B,$A41)</f>
        <v>35</v>
      </c>
      <c r="C41" s="32" cm="1">
        <f t="array" aca="1" ref="C41" ca="1">INDEX(Data_DBD!$C:$C,$A41)</f>
        <v>4</v>
      </c>
      <c r="D41" s="32" cm="1">
        <f t="array" aca="1" ref="D41" ca="1">INDEX(Data_DBD!$D:$D,$A41)</f>
        <v>15</v>
      </c>
      <c r="E41" s="32" cm="1">
        <f t="array" aca="1" ref="E41" ca="1">INDEX(Data_DBD!$E:$E,$A41)</f>
        <v>1</v>
      </c>
      <c r="F41" s="32" cm="1">
        <f t="array" aca="1" ref="F41" ca="1">INDEX(Data_DBD!$F:$F,$A41)</f>
        <v>2</v>
      </c>
      <c r="H41" s="33">
        <v>90</v>
      </c>
      <c r="I41" s="33">
        <v>47</v>
      </c>
      <c r="J41" s="33">
        <v>3</v>
      </c>
      <c r="K41" s="33">
        <v>18</v>
      </c>
      <c r="L41" s="33">
        <v>0</v>
      </c>
      <c r="M41" s="33">
        <v>3</v>
      </c>
    </row>
    <row r="42" spans="1:13">
      <c r="A42" s="32">
        <f t="shared" ca="1" si="0"/>
        <v>95</v>
      </c>
      <c r="B42" s="32" cm="1">
        <f t="array" aca="1" ref="B42" ca="1">INDEX(Data_DBD!$B:$B,$A42)</f>
        <v>11</v>
      </c>
      <c r="C42" s="32" cm="1">
        <f t="array" aca="1" ref="C42" ca="1">INDEX(Data_DBD!$C:$C,$A42)</f>
        <v>3</v>
      </c>
      <c r="D42" s="32" cm="1">
        <f t="array" aca="1" ref="D42" ca="1">INDEX(Data_DBD!$D:$D,$A42)</f>
        <v>18</v>
      </c>
      <c r="E42" s="32" cm="1">
        <f t="array" aca="1" ref="E42" ca="1">INDEX(Data_DBD!$E:$E,$A42)</f>
        <v>1</v>
      </c>
      <c r="F42" s="32" cm="1">
        <f t="array" aca="1" ref="F42" ca="1">INDEX(Data_DBD!$F:$F,$A42)</f>
        <v>3</v>
      </c>
      <c r="H42" s="33">
        <v>68</v>
      </c>
      <c r="I42" s="33">
        <v>44</v>
      </c>
      <c r="J42" s="33">
        <v>5</v>
      </c>
      <c r="K42" s="33">
        <v>10</v>
      </c>
      <c r="L42" s="33">
        <v>0</v>
      </c>
      <c r="M42" s="33">
        <v>2</v>
      </c>
    </row>
    <row r="43" spans="1:13">
      <c r="A43" s="32">
        <f t="shared" ca="1" si="0"/>
        <v>38</v>
      </c>
      <c r="B43" s="32" cm="1">
        <f t="array" aca="1" ref="B43" ca="1">INDEX(Data_DBD!$B:$B,$A43)</f>
        <v>52</v>
      </c>
      <c r="C43" s="32" cm="1">
        <f t="array" aca="1" ref="C43" ca="1">INDEX(Data_DBD!$C:$C,$A43)</f>
        <v>3</v>
      </c>
      <c r="D43" s="32" cm="1">
        <f t="array" aca="1" ref="D43" ca="1">INDEX(Data_DBD!$D:$D,$A43)</f>
        <v>4</v>
      </c>
      <c r="E43" s="32" cm="1">
        <f t="array" aca="1" ref="E43" ca="1">INDEX(Data_DBD!$E:$E,$A43)</f>
        <v>1</v>
      </c>
      <c r="F43" s="32" cm="1">
        <f t="array" aca="1" ref="F43" ca="1">INDEX(Data_DBD!$F:$F,$A43)</f>
        <v>1</v>
      </c>
      <c r="H43" s="33">
        <v>86</v>
      </c>
      <c r="I43" s="33">
        <v>23</v>
      </c>
      <c r="J43" s="33">
        <v>3</v>
      </c>
      <c r="K43" s="33">
        <v>13</v>
      </c>
      <c r="L43" s="33">
        <v>0</v>
      </c>
      <c r="M43" s="33">
        <v>2</v>
      </c>
    </row>
    <row r="44" spans="1:13">
      <c r="A44" s="32">
        <f t="shared" ca="1" si="0"/>
        <v>56</v>
      </c>
      <c r="B44" s="32" cm="1">
        <f t="array" aca="1" ref="B44" ca="1">INDEX(Data_DBD!$B:$B,$A44)</f>
        <v>4</v>
      </c>
      <c r="C44" s="32" cm="1">
        <f t="array" aca="1" ref="C44" ca="1">INDEX(Data_DBD!$C:$C,$A44)</f>
        <v>3</v>
      </c>
      <c r="D44" s="32" cm="1">
        <f t="array" aca="1" ref="D44" ca="1">INDEX(Data_DBD!$D:$D,$A44)</f>
        <v>15</v>
      </c>
      <c r="E44" s="32" cm="1">
        <f t="array" aca="1" ref="E44" ca="1">INDEX(Data_DBD!$E:$E,$A44)</f>
        <v>0</v>
      </c>
      <c r="F44" s="32" cm="1">
        <f t="array" aca="1" ref="F44" ca="1">INDEX(Data_DBD!$F:$F,$A44)</f>
        <v>2</v>
      </c>
      <c r="H44" s="33">
        <v>156</v>
      </c>
      <c r="I44" s="33">
        <v>5</v>
      </c>
      <c r="J44" s="33">
        <v>2</v>
      </c>
      <c r="K44" s="33">
        <v>21</v>
      </c>
      <c r="L44" s="33">
        <v>0</v>
      </c>
      <c r="M44" s="33">
        <v>3</v>
      </c>
    </row>
    <row r="45" spans="1:13">
      <c r="A45" s="32">
        <f t="shared" ca="1" si="0"/>
        <v>39</v>
      </c>
      <c r="B45" s="32" cm="1">
        <f t="array" aca="1" ref="B45" ca="1">INDEX(Data_DBD!$B:$B,$A45)</f>
        <v>12</v>
      </c>
      <c r="C45" s="32" cm="1">
        <f t="array" aca="1" ref="C45" ca="1">INDEX(Data_DBD!$C:$C,$A45)</f>
        <v>5</v>
      </c>
      <c r="D45" s="32" cm="1">
        <f t="array" aca="1" ref="D45" ca="1">INDEX(Data_DBD!$D:$D,$A45)</f>
        <v>13</v>
      </c>
      <c r="E45" s="32" cm="1">
        <f t="array" aca="1" ref="E45" ca="1">INDEX(Data_DBD!$E:$E,$A45)</f>
        <v>1</v>
      </c>
      <c r="F45" s="32" cm="1">
        <f t="array" aca="1" ref="F45" ca="1">INDEX(Data_DBD!$F:$F,$A45)</f>
        <v>2</v>
      </c>
      <c r="H45" s="33">
        <v>60</v>
      </c>
      <c r="I45" s="33">
        <v>68</v>
      </c>
      <c r="J45" s="33">
        <v>4</v>
      </c>
      <c r="K45" s="33">
        <v>15</v>
      </c>
      <c r="L45" s="33">
        <v>0</v>
      </c>
      <c r="M45" s="33">
        <v>2</v>
      </c>
    </row>
    <row r="46" spans="1:13">
      <c r="A46" s="32">
        <f t="shared" ca="1" si="0"/>
        <v>7</v>
      </c>
      <c r="B46" s="32" cm="1">
        <f t="array" aca="1" ref="B46" ca="1">INDEX(Data_DBD!$B:$B,$A46)</f>
        <v>12</v>
      </c>
      <c r="C46" s="32" cm="1">
        <f t="array" aca="1" ref="C46" ca="1">INDEX(Data_DBD!$C:$C,$A46)</f>
        <v>1</v>
      </c>
      <c r="D46" s="32" cm="1">
        <f t="array" aca="1" ref="D46" ca="1">INDEX(Data_DBD!$D:$D,$A46)</f>
        <v>12</v>
      </c>
      <c r="E46" s="32" cm="1">
        <f t="array" aca="1" ref="E46" ca="1">INDEX(Data_DBD!$E:$E,$A46)</f>
        <v>1</v>
      </c>
      <c r="F46" s="32" cm="1">
        <f t="array" aca="1" ref="F46" ca="1">INDEX(Data_DBD!$F:$F,$A46)</f>
        <v>2</v>
      </c>
      <c r="H46" s="33">
        <v>59</v>
      </c>
      <c r="I46" s="33">
        <v>28</v>
      </c>
      <c r="J46" s="33">
        <v>4</v>
      </c>
      <c r="K46" s="33">
        <v>15</v>
      </c>
      <c r="L46" s="33">
        <v>0</v>
      </c>
      <c r="M46" s="33">
        <v>2</v>
      </c>
    </row>
    <row r="47" spans="1:13">
      <c r="A47" s="32">
        <f t="shared" ca="1" si="0"/>
        <v>50</v>
      </c>
      <c r="B47" s="32" cm="1">
        <f t="array" aca="1" ref="B47" ca="1">INDEX(Data_DBD!$B:$B,$A47)</f>
        <v>19</v>
      </c>
      <c r="C47" s="32" cm="1">
        <f t="array" aca="1" ref="C47" ca="1">INDEX(Data_DBD!$C:$C,$A47)</f>
        <v>5</v>
      </c>
      <c r="D47" s="32" cm="1">
        <f t="array" aca="1" ref="D47" ca="1">INDEX(Data_DBD!$D:$D,$A47)</f>
        <v>13</v>
      </c>
      <c r="E47" s="32" cm="1">
        <f t="array" aca="1" ref="E47" ca="1">INDEX(Data_DBD!$E:$E,$A47)</f>
        <v>0</v>
      </c>
      <c r="F47" s="32" cm="1">
        <f t="array" aca="1" ref="F47" ca="1">INDEX(Data_DBD!$F:$F,$A47)</f>
        <v>2</v>
      </c>
      <c r="H47" s="33">
        <v>151</v>
      </c>
      <c r="I47" s="33">
        <v>24</v>
      </c>
      <c r="J47" s="33">
        <v>3</v>
      </c>
      <c r="K47" s="33">
        <v>21</v>
      </c>
      <c r="L47" s="33">
        <v>0</v>
      </c>
      <c r="M47" s="33">
        <v>3</v>
      </c>
    </row>
    <row r="48" spans="1:13">
      <c r="A48" s="32">
        <f t="shared" ca="1" si="0"/>
        <v>4</v>
      </c>
      <c r="B48" s="32" cm="1">
        <f t="array" aca="1" ref="B48" ca="1">INDEX(Data_DBD!$B:$B,$A48)</f>
        <v>23</v>
      </c>
      <c r="C48" s="32" cm="1">
        <f t="array" aca="1" ref="C48" ca="1">INDEX(Data_DBD!$C:$C,$A48)</f>
        <v>5</v>
      </c>
      <c r="D48" s="32" cm="1">
        <f t="array" aca="1" ref="D48" ca="1">INDEX(Data_DBD!$D:$D,$A48)</f>
        <v>12</v>
      </c>
      <c r="E48" s="32" cm="1">
        <f t="array" aca="1" ref="E48" ca="1">INDEX(Data_DBD!$E:$E,$A48)</f>
        <v>0</v>
      </c>
      <c r="F48" s="32" cm="1">
        <f t="array" aca="1" ref="F48" ca="1">INDEX(Data_DBD!$F:$F,$A48)</f>
        <v>2</v>
      </c>
      <c r="H48" s="33">
        <v>3</v>
      </c>
      <c r="I48" s="33">
        <v>43</v>
      </c>
      <c r="J48" s="33">
        <v>3</v>
      </c>
      <c r="K48" s="33">
        <v>12</v>
      </c>
      <c r="L48" s="33">
        <v>1</v>
      </c>
      <c r="M48" s="33">
        <v>2</v>
      </c>
    </row>
    <row r="49" spans="1:13">
      <c r="A49" s="32">
        <f t="shared" ca="1" si="0"/>
        <v>7</v>
      </c>
      <c r="B49" s="32" cm="1">
        <f t="array" aca="1" ref="B49" ca="1">INDEX(Data_DBD!$B:$B,$A49)</f>
        <v>12</v>
      </c>
      <c r="C49" s="32" cm="1">
        <f t="array" aca="1" ref="C49" ca="1">INDEX(Data_DBD!$C:$C,$A49)</f>
        <v>1</v>
      </c>
      <c r="D49" s="32" cm="1">
        <f t="array" aca="1" ref="D49" ca="1">INDEX(Data_DBD!$D:$D,$A49)</f>
        <v>12</v>
      </c>
      <c r="E49" s="32" cm="1">
        <f t="array" aca="1" ref="E49" ca="1">INDEX(Data_DBD!$E:$E,$A49)</f>
        <v>1</v>
      </c>
      <c r="F49" s="32" cm="1">
        <f t="array" aca="1" ref="F49" ca="1">INDEX(Data_DBD!$F:$F,$A49)</f>
        <v>2</v>
      </c>
      <c r="H49" s="33">
        <v>22</v>
      </c>
      <c r="I49" s="33">
        <v>6</v>
      </c>
      <c r="J49" s="33">
        <v>3</v>
      </c>
      <c r="K49" s="33">
        <v>14</v>
      </c>
      <c r="L49" s="33">
        <v>0</v>
      </c>
      <c r="M49" s="33">
        <v>2</v>
      </c>
    </row>
    <row r="50" spans="1:13">
      <c r="A50" s="32">
        <f t="shared" ca="1" si="0"/>
        <v>110</v>
      </c>
      <c r="B50" s="32" cm="1">
        <f t="array" aca="1" ref="B50" ca="1">INDEX(Data_DBD!$B:$B,$A50)</f>
        <v>42</v>
      </c>
      <c r="C50" s="32" cm="1">
        <f t="array" aca="1" ref="C50" ca="1">INDEX(Data_DBD!$C:$C,$A50)</f>
        <v>2</v>
      </c>
      <c r="D50" s="32" cm="1">
        <f t="array" aca="1" ref="D50" ca="1">INDEX(Data_DBD!$D:$D,$A50)</f>
        <v>33</v>
      </c>
      <c r="E50" s="32" cm="1">
        <f t="array" aca="1" ref="E50" ca="1">INDEX(Data_DBD!$E:$E,$A50)</f>
        <v>1</v>
      </c>
      <c r="F50" s="32" cm="1">
        <f t="array" aca="1" ref="F50" ca="1">INDEX(Data_DBD!$F:$F,$A50)</f>
        <v>3</v>
      </c>
      <c r="H50" s="33">
        <v>94</v>
      </c>
      <c r="I50" s="33">
        <v>12</v>
      </c>
      <c r="J50" s="33">
        <v>4</v>
      </c>
      <c r="K50" s="33">
        <v>18</v>
      </c>
      <c r="L50" s="33">
        <v>0</v>
      </c>
      <c r="M50" s="33">
        <v>3</v>
      </c>
    </row>
    <row r="51" spans="1:13">
      <c r="A51" s="32">
        <f t="shared" ca="1" si="0"/>
        <v>120</v>
      </c>
      <c r="B51" s="32" cm="1">
        <f t="array" aca="1" ref="B51" ca="1">INDEX(Data_DBD!$B:$B,$A51)</f>
        <v>26</v>
      </c>
      <c r="C51" s="32" cm="1">
        <f t="array" aca="1" ref="C51" ca="1">INDEX(Data_DBD!$C:$C,$A51)</f>
        <v>4</v>
      </c>
      <c r="D51" s="32" cm="1">
        <f t="array" aca="1" ref="D51" ca="1">INDEX(Data_DBD!$D:$D,$A51)</f>
        <v>33</v>
      </c>
      <c r="E51" s="32" cm="1">
        <f t="array" aca="1" ref="E51" ca="1">INDEX(Data_DBD!$E:$E,$A51)</f>
        <v>1</v>
      </c>
      <c r="F51" s="32" cm="1">
        <f t="array" aca="1" ref="F51" ca="1">INDEX(Data_DBD!$F:$F,$A51)</f>
        <v>3</v>
      </c>
      <c r="H51" s="33">
        <v>53</v>
      </c>
      <c r="I51" s="33">
        <v>35</v>
      </c>
      <c r="J51" s="33">
        <v>4</v>
      </c>
      <c r="K51" s="33">
        <v>15</v>
      </c>
      <c r="L51" s="33">
        <v>1</v>
      </c>
      <c r="M51" s="33">
        <v>2</v>
      </c>
    </row>
    <row r="52" spans="1:13">
      <c r="A52" s="32">
        <f t="shared" ca="1" si="0"/>
        <v>124</v>
      </c>
      <c r="B52" s="32" cm="1">
        <f t="array" aca="1" ref="B52" ca="1">INDEX(Data_DBD!$B:$B,$A52)</f>
        <v>24</v>
      </c>
      <c r="C52" s="32" cm="1">
        <f t="array" aca="1" ref="C52" ca="1">INDEX(Data_DBD!$C:$C,$A52)</f>
        <v>3</v>
      </c>
      <c r="D52" s="32" cm="1">
        <f t="array" aca="1" ref="D52" ca="1">INDEX(Data_DBD!$D:$D,$A52)</f>
        <v>33</v>
      </c>
      <c r="E52" s="32" cm="1">
        <f t="array" aca="1" ref="E52" ca="1">INDEX(Data_DBD!$E:$E,$A52)</f>
        <v>1</v>
      </c>
      <c r="F52" s="32" cm="1">
        <f t="array" aca="1" ref="F52" ca="1">INDEX(Data_DBD!$F:$F,$A52)</f>
        <v>3</v>
      </c>
      <c r="H52" s="33">
        <v>4</v>
      </c>
      <c r="I52" s="33">
        <v>23</v>
      </c>
      <c r="J52" s="33">
        <v>5</v>
      </c>
      <c r="K52" s="33">
        <v>12</v>
      </c>
      <c r="L52" s="33">
        <v>0</v>
      </c>
      <c r="M52" s="33">
        <v>2</v>
      </c>
    </row>
    <row r="53" spans="1:13">
      <c r="A53" s="32">
        <f t="shared" ca="1" si="0"/>
        <v>31</v>
      </c>
      <c r="B53" s="32" cm="1">
        <f t="array" aca="1" ref="B53" ca="1">INDEX(Data_DBD!$B:$B,$A53)</f>
        <v>64</v>
      </c>
      <c r="C53" s="32" cm="1">
        <f t="array" aca="1" ref="C53" ca="1">INDEX(Data_DBD!$C:$C,$A53)</f>
        <v>4</v>
      </c>
      <c r="D53" s="32" cm="1">
        <f t="array" aca="1" ref="D53" ca="1">INDEX(Data_DBD!$D:$D,$A53)</f>
        <v>14</v>
      </c>
      <c r="E53" s="32" cm="1">
        <f t="array" aca="1" ref="E53" ca="1">INDEX(Data_DBD!$E:$E,$A53)</f>
        <v>1</v>
      </c>
      <c r="F53" s="32" cm="1">
        <f t="array" aca="1" ref="F53" ca="1">INDEX(Data_DBD!$F:$F,$A53)</f>
        <v>2</v>
      </c>
      <c r="H53" s="33">
        <v>53</v>
      </c>
      <c r="I53" s="33">
        <v>35</v>
      </c>
      <c r="J53" s="33">
        <v>4</v>
      </c>
      <c r="K53" s="33">
        <v>15</v>
      </c>
      <c r="L53" s="33">
        <v>1</v>
      </c>
      <c r="M53" s="33">
        <v>2</v>
      </c>
    </row>
    <row r="54" spans="1:13">
      <c r="A54" s="32">
        <f t="shared" ca="1" si="0"/>
        <v>33</v>
      </c>
      <c r="B54" s="32" cm="1">
        <f t="array" aca="1" ref="B54" ca="1">INDEX(Data_DBD!$B:$B,$A54)</f>
        <v>19</v>
      </c>
      <c r="C54" s="32" cm="1">
        <f t="array" aca="1" ref="C54" ca="1">INDEX(Data_DBD!$C:$C,$A54)</f>
        <v>4</v>
      </c>
      <c r="D54" s="32" cm="1">
        <f t="array" aca="1" ref="D54" ca="1">INDEX(Data_DBD!$D:$D,$A54)</f>
        <v>14</v>
      </c>
      <c r="E54" s="32" cm="1">
        <f t="array" aca="1" ref="E54" ca="1">INDEX(Data_DBD!$E:$E,$A54)</f>
        <v>1</v>
      </c>
      <c r="F54" s="32" cm="1">
        <f t="array" aca="1" ref="F54" ca="1">INDEX(Data_DBD!$F:$F,$A54)</f>
        <v>2</v>
      </c>
      <c r="H54" s="33">
        <v>114</v>
      </c>
      <c r="I54" s="33">
        <v>14</v>
      </c>
      <c r="J54" s="33">
        <v>2</v>
      </c>
      <c r="K54" s="33">
        <v>33</v>
      </c>
      <c r="L54" s="33">
        <v>1</v>
      </c>
      <c r="M54" s="33">
        <v>3</v>
      </c>
    </row>
    <row r="55" spans="1:13">
      <c r="A55" s="32">
        <f t="shared" ca="1" si="0"/>
        <v>76</v>
      </c>
      <c r="B55" s="32" cm="1">
        <f t="array" aca="1" ref="B55" ca="1">INDEX(Data_DBD!$B:$B,$A55)</f>
        <v>70</v>
      </c>
      <c r="C55" s="32" cm="1">
        <f t="array" aca="1" ref="C55" ca="1">INDEX(Data_DBD!$C:$C,$A55)</f>
        <v>2</v>
      </c>
      <c r="D55" s="32" cm="1">
        <f t="array" aca="1" ref="D55" ca="1">INDEX(Data_DBD!$D:$D,$A55)</f>
        <v>10</v>
      </c>
      <c r="E55" s="32" cm="1">
        <f t="array" aca="1" ref="E55" ca="1">INDEX(Data_DBD!$E:$E,$A55)</f>
        <v>0</v>
      </c>
      <c r="F55" s="32" cm="1">
        <f t="array" aca="1" ref="F55" ca="1">INDEX(Data_DBD!$F:$F,$A55)</f>
        <v>2</v>
      </c>
      <c r="H55" s="33">
        <v>69</v>
      </c>
      <c r="I55" s="33">
        <v>24</v>
      </c>
      <c r="J55" s="33">
        <v>4</v>
      </c>
      <c r="K55" s="33">
        <v>10</v>
      </c>
      <c r="L55" s="33">
        <v>1</v>
      </c>
      <c r="M55" s="33">
        <v>2</v>
      </c>
    </row>
    <row r="56" spans="1:13">
      <c r="A56" s="32">
        <f t="shared" ca="1" si="0"/>
        <v>98</v>
      </c>
      <c r="B56" s="32" cm="1">
        <f t="array" aca="1" ref="B56" ca="1">INDEX(Data_DBD!$B:$B,$A56)</f>
        <v>16</v>
      </c>
      <c r="C56" s="32" cm="1">
        <f t="array" aca="1" ref="C56" ca="1">INDEX(Data_DBD!$C:$C,$A56)</f>
        <v>2</v>
      </c>
      <c r="D56" s="32" cm="1">
        <f t="array" aca="1" ref="D56" ca="1">INDEX(Data_DBD!$D:$D,$A56)</f>
        <v>18</v>
      </c>
      <c r="E56" s="32" cm="1">
        <f t="array" aca="1" ref="E56" ca="1">INDEX(Data_DBD!$E:$E,$A56)</f>
        <v>1</v>
      </c>
      <c r="F56" s="32" cm="1">
        <f t="array" aca="1" ref="F56" ca="1">INDEX(Data_DBD!$F:$F,$A56)</f>
        <v>3</v>
      </c>
      <c r="H56" s="33">
        <v>126</v>
      </c>
      <c r="I56" s="33">
        <v>51</v>
      </c>
      <c r="J56" s="33">
        <v>3</v>
      </c>
      <c r="K56" s="33">
        <v>33</v>
      </c>
      <c r="L56" s="33">
        <v>1</v>
      </c>
      <c r="M56" s="33">
        <v>3</v>
      </c>
    </row>
    <row r="57" spans="1:13">
      <c r="A57" s="32">
        <f t="shared" ca="1" si="0"/>
        <v>60</v>
      </c>
      <c r="B57" s="32" cm="1">
        <f t="array" aca="1" ref="B57" ca="1">INDEX(Data_DBD!$B:$B,$A57)</f>
        <v>68</v>
      </c>
      <c r="C57" s="32" cm="1">
        <f t="array" aca="1" ref="C57" ca="1">INDEX(Data_DBD!$C:$C,$A57)</f>
        <v>4</v>
      </c>
      <c r="D57" s="32" cm="1">
        <f t="array" aca="1" ref="D57" ca="1">INDEX(Data_DBD!$D:$D,$A57)</f>
        <v>15</v>
      </c>
      <c r="E57" s="32" cm="1">
        <f t="array" aca="1" ref="E57" ca="1">INDEX(Data_DBD!$E:$E,$A57)</f>
        <v>0</v>
      </c>
      <c r="F57" s="32" cm="1">
        <f t="array" aca="1" ref="F57" ca="1">INDEX(Data_DBD!$F:$F,$A57)</f>
        <v>2</v>
      </c>
      <c r="H57" s="33">
        <v>81</v>
      </c>
      <c r="I57" s="33">
        <v>23</v>
      </c>
      <c r="J57" s="33">
        <v>5</v>
      </c>
      <c r="K57" s="33">
        <v>13</v>
      </c>
      <c r="L57" s="33">
        <v>1</v>
      </c>
      <c r="M57" s="33">
        <v>2</v>
      </c>
    </row>
    <row r="58" spans="1:13">
      <c r="A58" s="32">
        <f t="shared" ca="1" si="0"/>
        <v>56</v>
      </c>
      <c r="B58" s="32" cm="1">
        <f t="array" aca="1" ref="B58" ca="1">INDEX(Data_DBD!$B:$B,$A58)</f>
        <v>4</v>
      </c>
      <c r="C58" s="32" cm="1">
        <f t="array" aca="1" ref="C58" ca="1">INDEX(Data_DBD!$C:$C,$A58)</f>
        <v>3</v>
      </c>
      <c r="D58" s="32" cm="1">
        <f t="array" aca="1" ref="D58" ca="1">INDEX(Data_DBD!$D:$D,$A58)</f>
        <v>15</v>
      </c>
      <c r="E58" s="32" cm="1">
        <f t="array" aca="1" ref="E58" ca="1">INDEX(Data_DBD!$E:$E,$A58)</f>
        <v>0</v>
      </c>
      <c r="F58" s="32" cm="1">
        <f t="array" aca="1" ref="F58" ca="1">INDEX(Data_DBD!$F:$F,$A58)</f>
        <v>2</v>
      </c>
      <c r="H58" s="33">
        <v>115</v>
      </c>
      <c r="I58" s="33">
        <v>52</v>
      </c>
      <c r="J58" s="33">
        <v>3</v>
      </c>
      <c r="K58" s="33">
        <v>33</v>
      </c>
      <c r="L58" s="33">
        <v>1</v>
      </c>
      <c r="M58" s="33">
        <v>3</v>
      </c>
    </row>
    <row r="59" spans="1:13">
      <c r="A59" s="32">
        <f t="shared" ca="1" si="0"/>
        <v>145</v>
      </c>
      <c r="B59" s="32" cm="1">
        <f t="array" aca="1" ref="B59" ca="1">INDEX(Data_DBD!$B:$B,$A59)</f>
        <v>28</v>
      </c>
      <c r="C59" s="32" cm="1">
        <f t="array" aca="1" ref="C59" ca="1">INDEX(Data_DBD!$C:$C,$A59)</f>
        <v>4</v>
      </c>
      <c r="D59" s="32" cm="1">
        <f t="array" aca="1" ref="D59" ca="1">INDEX(Data_DBD!$D:$D,$A59)</f>
        <v>21</v>
      </c>
      <c r="E59" s="32" cm="1">
        <f t="array" aca="1" ref="E59" ca="1">INDEX(Data_DBD!$E:$E,$A59)</f>
        <v>1</v>
      </c>
      <c r="F59" s="32" cm="1">
        <f t="array" aca="1" ref="F59" ca="1">INDEX(Data_DBD!$F:$F,$A59)</f>
        <v>3</v>
      </c>
      <c r="H59" s="33">
        <v>87</v>
      </c>
      <c r="I59" s="33">
        <v>21</v>
      </c>
      <c r="J59" s="33">
        <v>3</v>
      </c>
      <c r="K59" s="33">
        <v>13</v>
      </c>
      <c r="L59" s="33">
        <v>0</v>
      </c>
      <c r="M59" s="33">
        <v>2</v>
      </c>
    </row>
    <row r="60" spans="1:13">
      <c r="A60" s="32">
        <f t="shared" ca="1" si="0"/>
        <v>161</v>
      </c>
      <c r="B60" s="32" cm="1">
        <f t="array" aca="1" ref="B60" ca="1">INDEX(Data_DBD!$B:$B,$A60)</f>
        <v>12</v>
      </c>
      <c r="C60" s="32" cm="1">
        <f t="array" aca="1" ref="C60" ca="1">INDEX(Data_DBD!$C:$C,$A60)</f>
        <v>3</v>
      </c>
      <c r="D60" s="32" cm="1">
        <f t="array" aca="1" ref="D60" ca="1">INDEX(Data_DBD!$D:$D,$A60)</f>
        <v>21</v>
      </c>
      <c r="E60" s="32" cm="1">
        <f t="array" aca="1" ref="E60" ca="1">INDEX(Data_DBD!$E:$E,$A60)</f>
        <v>1</v>
      </c>
      <c r="F60" s="32" cm="1">
        <f t="array" aca="1" ref="F60" ca="1">INDEX(Data_DBD!$F:$F,$A60)</f>
        <v>3</v>
      </c>
      <c r="H60" s="33">
        <v>53</v>
      </c>
      <c r="I60" s="33">
        <v>35</v>
      </c>
      <c r="J60" s="33">
        <v>4</v>
      </c>
      <c r="K60" s="33">
        <v>15</v>
      </c>
      <c r="L60" s="33">
        <v>1</v>
      </c>
      <c r="M60" s="33">
        <v>2</v>
      </c>
    </row>
    <row r="61" spans="1:13">
      <c r="A61" s="32">
        <f t="shared" ca="1" si="0"/>
        <v>81</v>
      </c>
      <c r="B61" s="32" cm="1">
        <f t="array" aca="1" ref="B61" ca="1">INDEX(Data_DBD!$B:$B,$A61)</f>
        <v>23</v>
      </c>
      <c r="C61" s="32" cm="1">
        <f t="array" aca="1" ref="C61" ca="1">INDEX(Data_DBD!$C:$C,$A61)</f>
        <v>5</v>
      </c>
      <c r="D61" s="32" cm="1">
        <f t="array" aca="1" ref="D61" ca="1">INDEX(Data_DBD!$D:$D,$A61)</f>
        <v>13</v>
      </c>
      <c r="E61" s="32" cm="1">
        <f t="array" aca="1" ref="E61" ca="1">INDEX(Data_DBD!$E:$E,$A61)</f>
        <v>1</v>
      </c>
      <c r="F61" s="32" cm="1">
        <f t="array" aca="1" ref="F61" ca="1">INDEX(Data_DBD!$F:$F,$A61)</f>
        <v>2</v>
      </c>
      <c r="H61" s="33">
        <v>161</v>
      </c>
      <c r="I61" s="33">
        <v>12</v>
      </c>
      <c r="J61" s="33">
        <v>3</v>
      </c>
      <c r="K61" s="33">
        <v>21</v>
      </c>
      <c r="L61" s="33">
        <v>1</v>
      </c>
      <c r="M61" s="33">
        <v>3</v>
      </c>
    </row>
    <row r="62" spans="1:13">
      <c r="A62" s="32">
        <f t="shared" ca="1" si="0"/>
        <v>86</v>
      </c>
      <c r="B62" s="32" cm="1">
        <f t="array" aca="1" ref="B62" ca="1">INDEX(Data_DBD!$B:$B,$A62)</f>
        <v>23</v>
      </c>
      <c r="C62" s="32" cm="1">
        <f t="array" aca="1" ref="C62" ca="1">INDEX(Data_DBD!$C:$C,$A62)</f>
        <v>3</v>
      </c>
      <c r="D62" s="32" cm="1">
        <f t="array" aca="1" ref="D62" ca="1">INDEX(Data_DBD!$D:$D,$A62)</f>
        <v>13</v>
      </c>
      <c r="E62" s="32" cm="1">
        <f t="array" aca="1" ref="E62" ca="1">INDEX(Data_DBD!$E:$E,$A62)</f>
        <v>0</v>
      </c>
      <c r="F62" s="32" cm="1">
        <f t="array" aca="1" ref="F62" ca="1">INDEX(Data_DBD!$F:$F,$A62)</f>
        <v>2</v>
      </c>
      <c r="H62" s="33">
        <v>146</v>
      </c>
      <c r="I62" s="33">
        <v>34</v>
      </c>
      <c r="J62" s="33">
        <v>2</v>
      </c>
      <c r="K62" s="33">
        <v>21</v>
      </c>
      <c r="L62" s="33">
        <v>1</v>
      </c>
      <c r="M62" s="33">
        <v>3</v>
      </c>
    </row>
    <row r="63" spans="1:13">
      <c r="A63" s="32">
        <f t="shared" ca="1" si="0"/>
        <v>73</v>
      </c>
      <c r="B63" s="32" cm="1">
        <f t="array" aca="1" ref="B63" ca="1">INDEX(Data_DBD!$B:$B,$A63)</f>
        <v>15</v>
      </c>
      <c r="C63" s="32" cm="1">
        <f t="array" aca="1" ref="C63" ca="1">INDEX(Data_DBD!$C:$C,$A63)</f>
        <v>3</v>
      </c>
      <c r="D63" s="32" cm="1">
        <f t="array" aca="1" ref="D63" ca="1">INDEX(Data_DBD!$D:$D,$A63)</f>
        <v>10</v>
      </c>
      <c r="E63" s="32" cm="1">
        <f t="array" aca="1" ref="E63" ca="1">INDEX(Data_DBD!$E:$E,$A63)</f>
        <v>1</v>
      </c>
      <c r="F63" s="32" cm="1">
        <f t="array" aca="1" ref="F63" ca="1">INDEX(Data_DBD!$F:$F,$A63)</f>
        <v>2</v>
      </c>
      <c r="H63" s="33">
        <v>16</v>
      </c>
      <c r="I63" s="33">
        <v>66</v>
      </c>
      <c r="J63" s="33">
        <v>5</v>
      </c>
      <c r="K63" s="33">
        <v>7</v>
      </c>
      <c r="L63" s="33">
        <v>1</v>
      </c>
      <c r="M63" s="33">
        <v>1</v>
      </c>
    </row>
    <row r="64" spans="1:13">
      <c r="A64" s="32">
        <f t="shared" ca="1" si="0"/>
        <v>33</v>
      </c>
      <c r="B64" s="32" cm="1">
        <f t="array" aca="1" ref="B64" ca="1">INDEX(Data_DBD!$B:$B,$A64)</f>
        <v>19</v>
      </c>
      <c r="C64" s="32" cm="1">
        <f t="array" aca="1" ref="C64" ca="1">INDEX(Data_DBD!$C:$C,$A64)</f>
        <v>4</v>
      </c>
      <c r="D64" s="32" cm="1">
        <f t="array" aca="1" ref="D64" ca="1">INDEX(Data_DBD!$D:$D,$A64)</f>
        <v>14</v>
      </c>
      <c r="E64" s="32" cm="1">
        <f t="array" aca="1" ref="E64" ca="1">INDEX(Data_DBD!$E:$E,$A64)</f>
        <v>1</v>
      </c>
      <c r="F64" s="32" cm="1">
        <f t="array" aca="1" ref="F64" ca="1">INDEX(Data_DBD!$F:$F,$A64)</f>
        <v>2</v>
      </c>
      <c r="H64" s="33">
        <v>8</v>
      </c>
      <c r="I64" s="33">
        <v>4</v>
      </c>
      <c r="J64" s="33">
        <v>2</v>
      </c>
      <c r="K64" s="33">
        <v>12</v>
      </c>
      <c r="L64" s="33">
        <v>0</v>
      </c>
      <c r="M64" s="33">
        <v>2</v>
      </c>
    </row>
    <row r="65" spans="1:13">
      <c r="A65" s="32">
        <f t="shared" ca="1" si="0"/>
        <v>135</v>
      </c>
      <c r="B65" s="32" cm="1">
        <f t="array" aca="1" ref="B65" ca="1">INDEX(Data_DBD!$B:$B,$A65)</f>
        <v>10</v>
      </c>
      <c r="C65" s="32" cm="1">
        <f t="array" aca="1" ref="C65" ca="1">INDEX(Data_DBD!$C:$C,$A65)</f>
        <v>2</v>
      </c>
      <c r="D65" s="32" cm="1">
        <f t="array" aca="1" ref="D65" ca="1">INDEX(Data_DBD!$D:$D,$A65)</f>
        <v>33</v>
      </c>
      <c r="E65" s="32" cm="1">
        <f t="array" aca="1" ref="E65" ca="1">INDEX(Data_DBD!$E:$E,$A65)</f>
        <v>0</v>
      </c>
      <c r="F65" s="32" cm="1">
        <f t="array" aca="1" ref="F65" ca="1">INDEX(Data_DBD!$F:$F,$A65)</f>
        <v>3</v>
      </c>
      <c r="H65" s="33">
        <v>87</v>
      </c>
      <c r="I65" s="33">
        <v>21</v>
      </c>
      <c r="J65" s="33">
        <v>3</v>
      </c>
      <c r="K65" s="33">
        <v>13</v>
      </c>
      <c r="L65" s="33">
        <v>0</v>
      </c>
      <c r="M65" s="33">
        <v>2</v>
      </c>
    </row>
    <row r="66" spans="1:13">
      <c r="A66" s="32">
        <f t="shared" ca="1" si="0"/>
        <v>35</v>
      </c>
      <c r="B66" s="32" cm="1">
        <f t="array" aca="1" ref="B66" ca="1">INDEX(Data_DBD!$B:$B,$A66)</f>
        <v>40</v>
      </c>
      <c r="C66" s="32" cm="1">
        <f t="array" aca="1" ref="C66" ca="1">INDEX(Data_DBD!$C:$C,$A66)</f>
        <v>3</v>
      </c>
      <c r="D66" s="32" cm="1">
        <f t="array" aca="1" ref="D66" ca="1">INDEX(Data_DBD!$D:$D,$A66)</f>
        <v>4</v>
      </c>
      <c r="E66" s="32" cm="1">
        <f t="array" aca="1" ref="E66" ca="1">INDEX(Data_DBD!$E:$E,$A66)</f>
        <v>1</v>
      </c>
      <c r="F66" s="32" cm="1">
        <f t="array" aca="1" ref="F66" ca="1">INDEX(Data_DBD!$F:$F,$A66)</f>
        <v>1</v>
      </c>
      <c r="H66" s="33">
        <v>50</v>
      </c>
      <c r="I66" s="33">
        <v>19</v>
      </c>
      <c r="J66" s="33">
        <v>5</v>
      </c>
      <c r="K66" s="33">
        <v>13</v>
      </c>
      <c r="L66" s="33">
        <v>0</v>
      </c>
      <c r="M66" s="33">
        <v>2</v>
      </c>
    </row>
    <row r="67" spans="1:13">
      <c r="A67" s="32">
        <f t="shared" ref="A67:A130" ca="1" si="1">RANDBETWEEN(2,164)</f>
        <v>51</v>
      </c>
      <c r="B67" s="32" cm="1">
        <f t="array" aca="1" ref="B67" ca="1">INDEX(Data_DBD!$B:$B,$A67)</f>
        <v>48</v>
      </c>
      <c r="C67" s="32" cm="1">
        <f t="array" aca="1" ref="C67" ca="1">INDEX(Data_DBD!$C:$C,$A67)</f>
        <v>4</v>
      </c>
      <c r="D67" s="32" cm="1">
        <f t="array" aca="1" ref="D67" ca="1">INDEX(Data_DBD!$D:$D,$A67)</f>
        <v>13</v>
      </c>
      <c r="E67" s="32" cm="1">
        <f t="array" aca="1" ref="E67" ca="1">INDEX(Data_DBD!$E:$E,$A67)</f>
        <v>0</v>
      </c>
      <c r="F67" s="32" cm="1">
        <f t="array" aca="1" ref="F67" ca="1">INDEX(Data_DBD!$F:$F,$A67)</f>
        <v>2</v>
      </c>
      <c r="H67" s="33">
        <v>98</v>
      </c>
      <c r="I67" s="33">
        <v>16</v>
      </c>
      <c r="J67" s="33">
        <v>2</v>
      </c>
      <c r="K67" s="33">
        <v>18</v>
      </c>
      <c r="L67" s="33">
        <v>1</v>
      </c>
      <c r="M67" s="33">
        <v>3</v>
      </c>
    </row>
    <row r="68" spans="1:13">
      <c r="A68" s="32">
        <f t="shared" ca="1" si="1"/>
        <v>68</v>
      </c>
      <c r="B68" s="32" cm="1">
        <f t="array" aca="1" ref="B68" ca="1">INDEX(Data_DBD!$B:$B,$A68)</f>
        <v>44</v>
      </c>
      <c r="C68" s="32" cm="1">
        <f t="array" aca="1" ref="C68" ca="1">INDEX(Data_DBD!$C:$C,$A68)</f>
        <v>5</v>
      </c>
      <c r="D68" s="32" cm="1">
        <f t="array" aca="1" ref="D68" ca="1">INDEX(Data_DBD!$D:$D,$A68)</f>
        <v>10</v>
      </c>
      <c r="E68" s="32" cm="1">
        <f t="array" aca="1" ref="E68" ca="1">INDEX(Data_DBD!$E:$E,$A68)</f>
        <v>0</v>
      </c>
      <c r="F68" s="32" cm="1">
        <f t="array" aca="1" ref="F68" ca="1">INDEX(Data_DBD!$F:$F,$A68)</f>
        <v>2</v>
      </c>
      <c r="H68" s="33">
        <v>33</v>
      </c>
      <c r="I68" s="33">
        <v>19</v>
      </c>
      <c r="J68" s="33">
        <v>4</v>
      </c>
      <c r="K68" s="33">
        <v>14</v>
      </c>
      <c r="L68" s="33">
        <v>1</v>
      </c>
      <c r="M68" s="33">
        <v>2</v>
      </c>
    </row>
    <row r="69" spans="1:13">
      <c r="A69" s="32">
        <f t="shared" ca="1" si="1"/>
        <v>23</v>
      </c>
      <c r="B69" s="32" cm="1">
        <f t="array" aca="1" ref="B69" ca="1">INDEX(Data_DBD!$B:$B,$A69)</f>
        <v>28</v>
      </c>
      <c r="C69" s="32" cm="1">
        <f t="array" aca="1" ref="C69" ca="1">INDEX(Data_DBD!$C:$C,$A69)</f>
        <v>4</v>
      </c>
      <c r="D69" s="32" cm="1">
        <f t="array" aca="1" ref="D69" ca="1">INDEX(Data_DBD!$D:$D,$A69)</f>
        <v>14</v>
      </c>
      <c r="E69" s="32" cm="1">
        <f t="array" aca="1" ref="E69" ca="1">INDEX(Data_DBD!$E:$E,$A69)</f>
        <v>1</v>
      </c>
      <c r="F69" s="32" cm="1">
        <f t="array" aca="1" ref="F69" ca="1">INDEX(Data_DBD!$F:$F,$A69)</f>
        <v>2</v>
      </c>
      <c r="H69" s="33">
        <v>24</v>
      </c>
      <c r="I69" s="33">
        <v>60</v>
      </c>
      <c r="J69" s="33">
        <v>4</v>
      </c>
      <c r="K69" s="33">
        <v>14</v>
      </c>
      <c r="L69" s="33">
        <v>0</v>
      </c>
      <c r="M69" s="33">
        <v>2</v>
      </c>
    </row>
    <row r="70" spans="1:13">
      <c r="A70" s="32">
        <f t="shared" ca="1" si="1"/>
        <v>86</v>
      </c>
      <c r="B70" s="32" cm="1">
        <f t="array" aca="1" ref="B70" ca="1">INDEX(Data_DBD!$B:$B,$A70)</f>
        <v>23</v>
      </c>
      <c r="C70" s="32" cm="1">
        <f t="array" aca="1" ref="C70" ca="1">INDEX(Data_DBD!$C:$C,$A70)</f>
        <v>3</v>
      </c>
      <c r="D70" s="32" cm="1">
        <f t="array" aca="1" ref="D70" ca="1">INDEX(Data_DBD!$D:$D,$A70)</f>
        <v>13</v>
      </c>
      <c r="E70" s="32" cm="1">
        <f t="array" aca="1" ref="E70" ca="1">INDEX(Data_DBD!$E:$E,$A70)</f>
        <v>0</v>
      </c>
      <c r="F70" s="32" cm="1">
        <f t="array" aca="1" ref="F70" ca="1">INDEX(Data_DBD!$F:$F,$A70)</f>
        <v>2</v>
      </c>
      <c r="H70" s="33">
        <v>51</v>
      </c>
      <c r="I70" s="33">
        <v>48</v>
      </c>
      <c r="J70" s="33">
        <v>4</v>
      </c>
      <c r="K70" s="33">
        <v>13</v>
      </c>
      <c r="L70" s="33">
        <v>0</v>
      </c>
      <c r="M70" s="33">
        <v>2</v>
      </c>
    </row>
    <row r="71" spans="1:13">
      <c r="A71" s="32">
        <f t="shared" ca="1" si="1"/>
        <v>83</v>
      </c>
      <c r="B71" s="32" cm="1">
        <f t="array" aca="1" ref="B71" ca="1">INDEX(Data_DBD!$B:$B,$A71)</f>
        <v>50</v>
      </c>
      <c r="C71" s="32" cm="1">
        <f t="array" aca="1" ref="C71" ca="1">INDEX(Data_DBD!$C:$C,$A71)</f>
        <v>3</v>
      </c>
      <c r="D71" s="32" cm="1">
        <f t="array" aca="1" ref="D71" ca="1">INDEX(Data_DBD!$D:$D,$A71)</f>
        <v>13</v>
      </c>
      <c r="E71" s="32" cm="1">
        <f t="array" aca="1" ref="E71" ca="1">INDEX(Data_DBD!$E:$E,$A71)</f>
        <v>0</v>
      </c>
      <c r="F71" s="32" cm="1">
        <f t="array" aca="1" ref="F71" ca="1">INDEX(Data_DBD!$F:$F,$A71)</f>
        <v>2</v>
      </c>
      <c r="H71" s="33">
        <v>65</v>
      </c>
      <c r="I71" s="33">
        <v>49</v>
      </c>
      <c r="J71" s="33">
        <v>3</v>
      </c>
      <c r="K71" s="33">
        <v>15</v>
      </c>
      <c r="L71" s="33">
        <v>0</v>
      </c>
      <c r="M71" s="33">
        <v>2</v>
      </c>
    </row>
    <row r="72" spans="1:13">
      <c r="A72" s="32">
        <f t="shared" ca="1" si="1"/>
        <v>6</v>
      </c>
      <c r="B72" s="32" cm="1">
        <f t="array" aca="1" ref="B72" ca="1">INDEX(Data_DBD!$B:$B,$A72)</f>
        <v>14</v>
      </c>
      <c r="C72" s="32" cm="1">
        <f t="array" aca="1" ref="C72" ca="1">INDEX(Data_DBD!$C:$C,$A72)</f>
        <v>4</v>
      </c>
      <c r="D72" s="32" cm="1">
        <f t="array" aca="1" ref="D72" ca="1">INDEX(Data_DBD!$D:$D,$A72)</f>
        <v>12</v>
      </c>
      <c r="E72" s="32" cm="1">
        <f t="array" aca="1" ref="E72" ca="1">INDEX(Data_DBD!$E:$E,$A72)</f>
        <v>0</v>
      </c>
      <c r="F72" s="32" cm="1">
        <f t="array" aca="1" ref="F72" ca="1">INDEX(Data_DBD!$F:$F,$A72)</f>
        <v>2</v>
      </c>
      <c r="H72" s="33">
        <v>13</v>
      </c>
      <c r="I72" s="33">
        <v>47</v>
      </c>
      <c r="J72" s="33">
        <v>2</v>
      </c>
      <c r="K72" s="33">
        <v>12</v>
      </c>
      <c r="L72" s="33">
        <v>0</v>
      </c>
      <c r="M72" s="33">
        <v>2</v>
      </c>
    </row>
    <row r="73" spans="1:13">
      <c r="A73" s="32">
        <f t="shared" ca="1" si="1"/>
        <v>28</v>
      </c>
      <c r="B73" s="32" cm="1">
        <f t="array" aca="1" ref="B73" ca="1">INDEX(Data_DBD!$B:$B,$A73)</f>
        <v>22</v>
      </c>
      <c r="C73" s="32" cm="1">
        <f t="array" aca="1" ref="C73" ca="1">INDEX(Data_DBD!$C:$C,$A73)</f>
        <v>2</v>
      </c>
      <c r="D73" s="32" cm="1">
        <f t="array" aca="1" ref="D73" ca="1">INDEX(Data_DBD!$D:$D,$A73)</f>
        <v>14</v>
      </c>
      <c r="E73" s="32" cm="1">
        <f t="array" aca="1" ref="E73" ca="1">INDEX(Data_DBD!$E:$E,$A73)</f>
        <v>1</v>
      </c>
      <c r="F73" s="32" cm="1">
        <f t="array" aca="1" ref="F73" ca="1">INDEX(Data_DBD!$F:$F,$A73)</f>
        <v>2</v>
      </c>
      <c r="H73" s="33">
        <v>49</v>
      </c>
      <c r="I73" s="33">
        <v>64</v>
      </c>
      <c r="J73" s="33">
        <v>5</v>
      </c>
      <c r="K73" s="33">
        <v>13</v>
      </c>
      <c r="L73" s="33">
        <v>0</v>
      </c>
      <c r="M73" s="33">
        <v>2</v>
      </c>
    </row>
    <row r="74" spans="1:13">
      <c r="A74" s="32">
        <f t="shared" ca="1" si="1"/>
        <v>156</v>
      </c>
      <c r="B74" s="32" cm="1">
        <f t="array" aca="1" ref="B74" ca="1">INDEX(Data_DBD!$B:$B,$A74)</f>
        <v>5</v>
      </c>
      <c r="C74" s="32" cm="1">
        <f t="array" aca="1" ref="C74" ca="1">INDEX(Data_DBD!$C:$C,$A74)</f>
        <v>2</v>
      </c>
      <c r="D74" s="32" cm="1">
        <f t="array" aca="1" ref="D74" ca="1">INDEX(Data_DBD!$D:$D,$A74)</f>
        <v>21</v>
      </c>
      <c r="E74" s="32" cm="1">
        <f t="array" aca="1" ref="E74" ca="1">INDEX(Data_DBD!$E:$E,$A74)</f>
        <v>0</v>
      </c>
      <c r="F74" s="32" cm="1">
        <f t="array" aca="1" ref="F74" ca="1">INDEX(Data_DBD!$F:$F,$A74)</f>
        <v>3</v>
      </c>
      <c r="H74" s="33">
        <v>97</v>
      </c>
      <c r="I74" s="33">
        <v>16</v>
      </c>
      <c r="J74" s="33">
        <v>2</v>
      </c>
      <c r="K74" s="33">
        <v>18</v>
      </c>
      <c r="L74" s="33">
        <v>1</v>
      </c>
      <c r="M74" s="33">
        <v>3</v>
      </c>
    </row>
    <row r="75" spans="1:13">
      <c r="A75" s="32">
        <f t="shared" ca="1" si="1"/>
        <v>58</v>
      </c>
      <c r="B75" s="32" cm="1">
        <f t="array" aca="1" ref="B75" ca="1">INDEX(Data_DBD!$B:$B,$A75)</f>
        <v>17</v>
      </c>
      <c r="C75" s="32" cm="1">
        <f t="array" aca="1" ref="C75" ca="1">INDEX(Data_DBD!$C:$C,$A75)</f>
        <v>3</v>
      </c>
      <c r="D75" s="32" cm="1">
        <f t="array" aca="1" ref="D75" ca="1">INDEX(Data_DBD!$D:$D,$A75)</f>
        <v>15</v>
      </c>
      <c r="E75" s="32" cm="1">
        <f t="array" aca="1" ref="E75" ca="1">INDEX(Data_DBD!$E:$E,$A75)</f>
        <v>0</v>
      </c>
      <c r="F75" s="32" cm="1">
        <f t="array" aca="1" ref="F75" ca="1">INDEX(Data_DBD!$F:$F,$A75)</f>
        <v>2</v>
      </c>
      <c r="H75" s="33">
        <v>6</v>
      </c>
      <c r="I75" s="33">
        <v>14</v>
      </c>
      <c r="J75" s="33">
        <v>4</v>
      </c>
      <c r="K75" s="33">
        <v>12</v>
      </c>
      <c r="L75" s="33">
        <v>0</v>
      </c>
      <c r="M75" s="33">
        <v>2</v>
      </c>
    </row>
    <row r="76" spans="1:13">
      <c r="A76" s="32">
        <f t="shared" ca="1" si="1"/>
        <v>108</v>
      </c>
      <c r="B76" s="32" cm="1">
        <f t="array" aca="1" ref="B76" ca="1">INDEX(Data_DBD!$B:$B,$A76)</f>
        <v>69</v>
      </c>
      <c r="C76" s="32" cm="1">
        <f t="array" aca="1" ref="C76" ca="1">INDEX(Data_DBD!$C:$C,$A76)</f>
        <v>7</v>
      </c>
      <c r="D76" s="32" cm="1">
        <f t="array" aca="1" ref="D76" ca="1">INDEX(Data_DBD!$D:$D,$A76)</f>
        <v>33</v>
      </c>
      <c r="E76" s="32" cm="1">
        <f t="array" aca="1" ref="E76" ca="1">INDEX(Data_DBD!$E:$E,$A76)</f>
        <v>1</v>
      </c>
      <c r="F76" s="32" cm="1">
        <f t="array" aca="1" ref="F76" ca="1">INDEX(Data_DBD!$F:$F,$A76)</f>
        <v>3</v>
      </c>
      <c r="H76" s="33">
        <v>164</v>
      </c>
      <c r="I76" s="33">
        <v>10</v>
      </c>
      <c r="J76" s="33">
        <v>6</v>
      </c>
      <c r="K76" s="33">
        <v>3</v>
      </c>
      <c r="L76" s="33">
        <v>0</v>
      </c>
      <c r="M76" s="33">
        <v>1</v>
      </c>
    </row>
    <row r="77" spans="1:13">
      <c r="A77" s="32">
        <f t="shared" ca="1" si="1"/>
        <v>24</v>
      </c>
      <c r="B77" s="32" cm="1">
        <f t="array" aca="1" ref="B77" ca="1">INDEX(Data_DBD!$B:$B,$A77)</f>
        <v>60</v>
      </c>
      <c r="C77" s="32" cm="1">
        <f t="array" aca="1" ref="C77" ca="1">INDEX(Data_DBD!$C:$C,$A77)</f>
        <v>4</v>
      </c>
      <c r="D77" s="32" cm="1">
        <f t="array" aca="1" ref="D77" ca="1">INDEX(Data_DBD!$D:$D,$A77)</f>
        <v>14</v>
      </c>
      <c r="E77" s="32" cm="1">
        <f t="array" aca="1" ref="E77" ca="1">INDEX(Data_DBD!$E:$E,$A77)</f>
        <v>0</v>
      </c>
      <c r="F77" s="32" cm="1">
        <f t="array" aca="1" ref="F77" ca="1">INDEX(Data_DBD!$F:$F,$A77)</f>
        <v>2</v>
      </c>
      <c r="H77" s="33">
        <v>34</v>
      </c>
      <c r="I77" s="33">
        <v>55</v>
      </c>
      <c r="J77" s="33">
        <v>3</v>
      </c>
      <c r="K77" s="33">
        <v>14</v>
      </c>
      <c r="L77" s="33">
        <v>0</v>
      </c>
      <c r="M77" s="33">
        <v>2</v>
      </c>
    </row>
    <row r="78" spans="1:13">
      <c r="A78" s="32">
        <f t="shared" ca="1" si="1"/>
        <v>120</v>
      </c>
      <c r="B78" s="32" cm="1">
        <f t="array" aca="1" ref="B78" ca="1">INDEX(Data_DBD!$B:$B,$A78)</f>
        <v>26</v>
      </c>
      <c r="C78" s="32" cm="1">
        <f t="array" aca="1" ref="C78" ca="1">INDEX(Data_DBD!$C:$C,$A78)</f>
        <v>4</v>
      </c>
      <c r="D78" s="32" cm="1">
        <f t="array" aca="1" ref="D78" ca="1">INDEX(Data_DBD!$D:$D,$A78)</f>
        <v>33</v>
      </c>
      <c r="E78" s="32" cm="1">
        <f t="array" aca="1" ref="E78" ca="1">INDEX(Data_DBD!$E:$E,$A78)</f>
        <v>1</v>
      </c>
      <c r="F78" s="32" cm="1">
        <f t="array" aca="1" ref="F78" ca="1">INDEX(Data_DBD!$F:$F,$A78)</f>
        <v>3</v>
      </c>
      <c r="H78" s="33">
        <v>31</v>
      </c>
      <c r="I78" s="33">
        <v>64</v>
      </c>
      <c r="J78" s="33">
        <v>4</v>
      </c>
      <c r="K78" s="33">
        <v>14</v>
      </c>
      <c r="L78" s="33">
        <v>1</v>
      </c>
      <c r="M78" s="33">
        <v>2</v>
      </c>
    </row>
    <row r="79" spans="1:13">
      <c r="A79" s="32">
        <f t="shared" ca="1" si="1"/>
        <v>37</v>
      </c>
      <c r="B79" s="32" cm="1">
        <f t="array" aca="1" ref="B79" ca="1">INDEX(Data_DBD!$B:$B,$A79)</f>
        <v>28</v>
      </c>
      <c r="C79" s="32" cm="1">
        <f t="array" aca="1" ref="C79" ca="1">INDEX(Data_DBD!$C:$C,$A79)</f>
        <v>4</v>
      </c>
      <c r="D79" s="32" cm="1">
        <f t="array" aca="1" ref="D79" ca="1">INDEX(Data_DBD!$D:$D,$A79)</f>
        <v>4</v>
      </c>
      <c r="E79" s="32" cm="1">
        <f t="array" aca="1" ref="E79" ca="1">INDEX(Data_DBD!$E:$E,$A79)</f>
        <v>1</v>
      </c>
      <c r="F79" s="32" cm="1">
        <f t="array" aca="1" ref="F79" ca="1">INDEX(Data_DBD!$F:$F,$A79)</f>
        <v>1</v>
      </c>
      <c r="H79" s="33">
        <v>66</v>
      </c>
      <c r="I79" s="33">
        <v>21</v>
      </c>
      <c r="J79" s="33">
        <v>5</v>
      </c>
      <c r="K79" s="33">
        <v>15</v>
      </c>
      <c r="L79" s="33">
        <v>1</v>
      </c>
      <c r="M79" s="33">
        <v>2</v>
      </c>
    </row>
    <row r="80" spans="1:13">
      <c r="A80" s="32">
        <f t="shared" ca="1" si="1"/>
        <v>160</v>
      </c>
      <c r="B80" s="32" cm="1">
        <f t="array" aca="1" ref="B80" ca="1">INDEX(Data_DBD!$B:$B,$A80)</f>
        <v>16</v>
      </c>
      <c r="C80" s="32" cm="1">
        <f t="array" aca="1" ref="C80" ca="1">INDEX(Data_DBD!$C:$C,$A80)</f>
        <v>3</v>
      </c>
      <c r="D80" s="32" cm="1">
        <f t="array" aca="1" ref="D80" ca="1">INDEX(Data_DBD!$D:$D,$A80)</f>
        <v>21</v>
      </c>
      <c r="E80" s="32" cm="1">
        <f t="array" aca="1" ref="E80" ca="1">INDEX(Data_DBD!$E:$E,$A80)</f>
        <v>0</v>
      </c>
      <c r="F80" s="32" cm="1">
        <f t="array" aca="1" ref="F80" ca="1">INDEX(Data_DBD!$F:$F,$A80)</f>
        <v>3</v>
      </c>
      <c r="H80" s="33">
        <v>153</v>
      </c>
      <c r="I80" s="33">
        <v>73</v>
      </c>
      <c r="J80" s="33">
        <v>7</v>
      </c>
      <c r="K80" s="33">
        <v>21</v>
      </c>
      <c r="L80" s="33">
        <v>1</v>
      </c>
      <c r="M80" s="33">
        <v>3</v>
      </c>
    </row>
    <row r="81" spans="1:13">
      <c r="A81" s="32">
        <f t="shared" ca="1" si="1"/>
        <v>68</v>
      </c>
      <c r="B81" s="32" cm="1">
        <f t="array" aca="1" ref="B81" ca="1">INDEX(Data_DBD!$B:$B,$A81)</f>
        <v>44</v>
      </c>
      <c r="C81" s="32" cm="1">
        <f t="array" aca="1" ref="C81" ca="1">INDEX(Data_DBD!$C:$C,$A81)</f>
        <v>5</v>
      </c>
      <c r="D81" s="32" cm="1">
        <f t="array" aca="1" ref="D81" ca="1">INDEX(Data_DBD!$D:$D,$A81)</f>
        <v>10</v>
      </c>
      <c r="E81" s="32" cm="1">
        <f t="array" aca="1" ref="E81" ca="1">INDEX(Data_DBD!$E:$E,$A81)</f>
        <v>0</v>
      </c>
      <c r="F81" s="32" cm="1">
        <f t="array" aca="1" ref="F81" ca="1">INDEX(Data_DBD!$F:$F,$A81)</f>
        <v>2</v>
      </c>
      <c r="H81" s="33">
        <v>19</v>
      </c>
      <c r="I81" s="33">
        <v>8</v>
      </c>
      <c r="J81" s="33">
        <v>4</v>
      </c>
      <c r="K81" s="33">
        <v>7</v>
      </c>
      <c r="L81" s="33">
        <v>0</v>
      </c>
      <c r="M81" s="33">
        <v>1</v>
      </c>
    </row>
    <row r="82" spans="1:13">
      <c r="A82" s="32">
        <f t="shared" ca="1" si="1"/>
        <v>64</v>
      </c>
      <c r="B82" s="32" cm="1">
        <f t="array" aca="1" ref="B82" ca="1">INDEX(Data_DBD!$B:$B,$A82)</f>
        <v>35</v>
      </c>
      <c r="C82" s="32" cm="1">
        <f t="array" aca="1" ref="C82" ca="1">INDEX(Data_DBD!$C:$C,$A82)</f>
        <v>1</v>
      </c>
      <c r="D82" s="32" cm="1">
        <f t="array" aca="1" ref="D82" ca="1">INDEX(Data_DBD!$D:$D,$A82)</f>
        <v>15</v>
      </c>
      <c r="E82" s="32" cm="1">
        <f t="array" aca="1" ref="E82" ca="1">INDEX(Data_DBD!$E:$E,$A82)</f>
        <v>0</v>
      </c>
      <c r="F82" s="32" cm="1">
        <f t="array" aca="1" ref="F82" ca="1">INDEX(Data_DBD!$F:$F,$A82)</f>
        <v>2</v>
      </c>
      <c r="H82" s="33">
        <v>79</v>
      </c>
      <c r="I82" s="33">
        <v>29</v>
      </c>
      <c r="J82" s="33">
        <v>3</v>
      </c>
      <c r="K82" s="33">
        <v>13</v>
      </c>
      <c r="L82" s="33">
        <v>0</v>
      </c>
      <c r="M82" s="33">
        <v>2</v>
      </c>
    </row>
    <row r="83" spans="1:13">
      <c r="A83" s="32">
        <f t="shared" ca="1" si="1"/>
        <v>8</v>
      </c>
      <c r="B83" s="32" cm="1">
        <f t="array" aca="1" ref="B83" ca="1">INDEX(Data_DBD!$B:$B,$A83)</f>
        <v>4</v>
      </c>
      <c r="C83" s="32" cm="1">
        <f t="array" aca="1" ref="C83" ca="1">INDEX(Data_DBD!$C:$C,$A83)</f>
        <v>2</v>
      </c>
      <c r="D83" s="32" cm="1">
        <f t="array" aca="1" ref="D83" ca="1">INDEX(Data_DBD!$D:$D,$A83)</f>
        <v>12</v>
      </c>
      <c r="E83" s="32" cm="1">
        <f t="array" aca="1" ref="E83" ca="1">INDEX(Data_DBD!$E:$E,$A83)</f>
        <v>0</v>
      </c>
      <c r="F83" s="32" cm="1">
        <f t="array" aca="1" ref="F83" ca="1">INDEX(Data_DBD!$F:$F,$A83)</f>
        <v>2</v>
      </c>
      <c r="H83" s="33">
        <v>69</v>
      </c>
      <c r="I83" s="33">
        <v>24</v>
      </c>
      <c r="J83" s="33">
        <v>4</v>
      </c>
      <c r="K83" s="33">
        <v>10</v>
      </c>
      <c r="L83" s="33">
        <v>1</v>
      </c>
      <c r="M83" s="33">
        <v>2</v>
      </c>
    </row>
    <row r="84" spans="1:13">
      <c r="A84" s="32">
        <f t="shared" ca="1" si="1"/>
        <v>113</v>
      </c>
      <c r="B84" s="32" cm="1">
        <f t="array" aca="1" ref="B84" ca="1">INDEX(Data_DBD!$B:$B,$A84)</f>
        <v>69</v>
      </c>
      <c r="C84" s="32" cm="1">
        <f t="array" aca="1" ref="C84" ca="1">INDEX(Data_DBD!$C:$C,$A84)</f>
        <v>1</v>
      </c>
      <c r="D84" s="32" cm="1">
        <f t="array" aca="1" ref="D84" ca="1">INDEX(Data_DBD!$D:$D,$A84)</f>
        <v>33</v>
      </c>
      <c r="E84" s="32" cm="1">
        <f t="array" aca="1" ref="E84" ca="1">INDEX(Data_DBD!$E:$E,$A84)</f>
        <v>1</v>
      </c>
      <c r="F84" s="32" cm="1">
        <f t="array" aca="1" ref="F84" ca="1">INDEX(Data_DBD!$F:$F,$A84)</f>
        <v>3</v>
      </c>
      <c r="H84" s="33">
        <v>157</v>
      </c>
      <c r="I84" s="33">
        <v>15</v>
      </c>
      <c r="J84" s="33">
        <v>4</v>
      </c>
      <c r="K84" s="33">
        <v>21</v>
      </c>
      <c r="L84" s="33">
        <v>1</v>
      </c>
      <c r="M84" s="33">
        <v>3</v>
      </c>
    </row>
    <row r="85" spans="1:13">
      <c r="A85" s="32">
        <f t="shared" ca="1" si="1"/>
        <v>29</v>
      </c>
      <c r="B85" s="32" cm="1">
        <f t="array" aca="1" ref="B85" ca="1">INDEX(Data_DBD!$B:$B,$A85)</f>
        <v>19</v>
      </c>
      <c r="C85" s="32" cm="1">
        <f t="array" aca="1" ref="C85" ca="1">INDEX(Data_DBD!$C:$C,$A85)</f>
        <v>2</v>
      </c>
      <c r="D85" s="32" cm="1">
        <f t="array" aca="1" ref="D85" ca="1">INDEX(Data_DBD!$D:$D,$A85)</f>
        <v>14</v>
      </c>
      <c r="E85" s="32" cm="1">
        <f t="array" aca="1" ref="E85" ca="1">INDEX(Data_DBD!$E:$E,$A85)</f>
        <v>1</v>
      </c>
      <c r="F85" s="32" cm="1">
        <f t="array" aca="1" ref="F85" ca="1">INDEX(Data_DBD!$F:$F,$A85)</f>
        <v>2</v>
      </c>
      <c r="H85" s="33">
        <v>148</v>
      </c>
      <c r="I85" s="33">
        <v>55</v>
      </c>
      <c r="J85" s="33">
        <v>3</v>
      </c>
      <c r="K85" s="33">
        <v>21</v>
      </c>
      <c r="L85" s="33">
        <v>1</v>
      </c>
      <c r="M85" s="33">
        <v>3</v>
      </c>
    </row>
    <row r="86" spans="1:13">
      <c r="A86" s="32">
        <f t="shared" ca="1" si="1"/>
        <v>125</v>
      </c>
      <c r="B86" s="32" cm="1">
        <f t="array" aca="1" ref="B86" ca="1">INDEX(Data_DBD!$B:$B,$A86)</f>
        <v>39</v>
      </c>
      <c r="C86" s="32" cm="1">
        <f t="array" aca="1" ref="C86" ca="1">INDEX(Data_DBD!$C:$C,$A86)</f>
        <v>4</v>
      </c>
      <c r="D86" s="32" cm="1">
        <f t="array" aca="1" ref="D86" ca="1">INDEX(Data_DBD!$D:$D,$A86)</f>
        <v>33</v>
      </c>
      <c r="E86" s="32" cm="1">
        <f t="array" aca="1" ref="E86" ca="1">INDEX(Data_DBD!$E:$E,$A86)</f>
        <v>0</v>
      </c>
      <c r="F86" s="32" cm="1">
        <f t="array" aca="1" ref="F86" ca="1">INDEX(Data_DBD!$F:$F,$A86)</f>
        <v>3</v>
      </c>
      <c r="H86" s="33">
        <v>139</v>
      </c>
      <c r="I86" s="33">
        <v>52</v>
      </c>
      <c r="J86" s="33">
        <v>7</v>
      </c>
      <c r="K86" s="33">
        <v>21</v>
      </c>
      <c r="L86" s="33">
        <v>0</v>
      </c>
      <c r="M86" s="33">
        <v>3</v>
      </c>
    </row>
    <row r="87" spans="1:13">
      <c r="A87" s="32">
        <f t="shared" ca="1" si="1"/>
        <v>36</v>
      </c>
      <c r="B87" s="32" cm="1">
        <f t="array" aca="1" ref="B87" ca="1">INDEX(Data_DBD!$B:$B,$A87)</f>
        <v>27</v>
      </c>
      <c r="C87" s="32" cm="1">
        <f t="array" aca="1" ref="C87" ca="1">INDEX(Data_DBD!$C:$C,$A87)</f>
        <v>1</v>
      </c>
      <c r="D87" s="32" cm="1">
        <f t="array" aca="1" ref="D87" ca="1">INDEX(Data_DBD!$D:$D,$A87)</f>
        <v>4</v>
      </c>
      <c r="E87" s="32" cm="1">
        <f t="array" aca="1" ref="E87" ca="1">INDEX(Data_DBD!$E:$E,$A87)</f>
        <v>1</v>
      </c>
      <c r="F87" s="32" cm="1">
        <f t="array" aca="1" ref="F87" ca="1">INDEX(Data_DBD!$F:$F,$A87)</f>
        <v>1</v>
      </c>
      <c r="H87" s="33">
        <v>115</v>
      </c>
      <c r="I87" s="33">
        <v>52</v>
      </c>
      <c r="J87" s="33">
        <v>3</v>
      </c>
      <c r="K87" s="33">
        <v>33</v>
      </c>
      <c r="L87" s="33">
        <v>1</v>
      </c>
      <c r="M87" s="33">
        <v>3</v>
      </c>
    </row>
    <row r="88" spans="1:13">
      <c r="A88" s="32">
        <f t="shared" ca="1" si="1"/>
        <v>77</v>
      </c>
      <c r="B88" s="32" cm="1">
        <f t="array" aca="1" ref="B88" ca="1">INDEX(Data_DBD!$B:$B,$A88)</f>
        <v>16</v>
      </c>
      <c r="C88" s="32" cm="1">
        <f t="array" aca="1" ref="C88" ca="1">INDEX(Data_DBD!$C:$C,$A88)</f>
        <v>4</v>
      </c>
      <c r="D88" s="32" cm="1">
        <f t="array" aca="1" ref="D88" ca="1">INDEX(Data_DBD!$D:$D,$A88)</f>
        <v>13</v>
      </c>
      <c r="E88" s="32" cm="1">
        <f t="array" aca="1" ref="E88" ca="1">INDEX(Data_DBD!$E:$E,$A88)</f>
        <v>1</v>
      </c>
      <c r="F88" s="32" cm="1">
        <f t="array" aca="1" ref="F88" ca="1">INDEX(Data_DBD!$F:$F,$A88)</f>
        <v>2</v>
      </c>
      <c r="H88" s="33">
        <v>54</v>
      </c>
      <c r="I88" s="33">
        <v>7</v>
      </c>
      <c r="J88" s="33">
        <v>3</v>
      </c>
      <c r="K88" s="33">
        <v>15</v>
      </c>
      <c r="L88" s="33">
        <v>0</v>
      </c>
      <c r="M88" s="33">
        <v>2</v>
      </c>
    </row>
    <row r="89" spans="1:13">
      <c r="A89" s="32">
        <f t="shared" ca="1" si="1"/>
        <v>27</v>
      </c>
      <c r="B89" s="32" cm="1">
        <f t="array" aca="1" ref="B89" ca="1">INDEX(Data_DBD!$B:$B,$A89)</f>
        <v>37</v>
      </c>
      <c r="C89" s="32" cm="1">
        <f t="array" aca="1" ref="C89" ca="1">INDEX(Data_DBD!$C:$C,$A89)</f>
        <v>4</v>
      </c>
      <c r="D89" s="32" cm="1">
        <f t="array" aca="1" ref="D89" ca="1">INDEX(Data_DBD!$D:$D,$A89)</f>
        <v>14</v>
      </c>
      <c r="E89" s="32" cm="1">
        <f t="array" aca="1" ref="E89" ca="1">INDEX(Data_DBD!$E:$E,$A89)</f>
        <v>1</v>
      </c>
      <c r="F89" s="32" cm="1">
        <f t="array" aca="1" ref="F89" ca="1">INDEX(Data_DBD!$F:$F,$A89)</f>
        <v>2</v>
      </c>
      <c r="H89" s="33">
        <v>41</v>
      </c>
      <c r="I89" s="33">
        <v>8</v>
      </c>
      <c r="J89" s="33">
        <v>4</v>
      </c>
      <c r="K89" s="33">
        <v>13</v>
      </c>
      <c r="L89" s="33">
        <v>0</v>
      </c>
      <c r="M89" s="33">
        <v>2</v>
      </c>
    </row>
    <row r="90" spans="1:13">
      <c r="A90" s="32">
        <f t="shared" ca="1" si="1"/>
        <v>137</v>
      </c>
      <c r="B90" s="32" cm="1">
        <f t="array" aca="1" ref="B90" ca="1">INDEX(Data_DBD!$B:$B,$A90)</f>
        <v>3.5</v>
      </c>
      <c r="C90" s="32" cm="1">
        <f t="array" aca="1" ref="C90" ca="1">INDEX(Data_DBD!$C:$C,$A90)</f>
        <v>1</v>
      </c>
      <c r="D90" s="32" cm="1">
        <f t="array" aca="1" ref="D90" ca="1">INDEX(Data_DBD!$D:$D,$A90)</f>
        <v>33</v>
      </c>
      <c r="E90" s="32" cm="1">
        <f t="array" aca="1" ref="E90" ca="1">INDEX(Data_DBD!$E:$E,$A90)</f>
        <v>1</v>
      </c>
      <c r="F90" s="32" cm="1">
        <f t="array" aca="1" ref="F90" ca="1">INDEX(Data_DBD!$F:$F,$A90)</f>
        <v>3</v>
      </c>
      <c r="H90" s="33">
        <v>109</v>
      </c>
      <c r="I90" s="33">
        <v>40</v>
      </c>
      <c r="J90" s="33">
        <v>3</v>
      </c>
      <c r="K90" s="33">
        <v>33</v>
      </c>
      <c r="L90" s="33">
        <v>1</v>
      </c>
      <c r="M90" s="33">
        <v>3</v>
      </c>
    </row>
    <row r="91" spans="1:13">
      <c r="A91" s="32">
        <f t="shared" ca="1" si="1"/>
        <v>45</v>
      </c>
      <c r="B91" s="32" cm="1">
        <f t="array" aca="1" ref="B91" ca="1">INDEX(Data_DBD!$B:$B,$A91)</f>
        <v>75</v>
      </c>
      <c r="C91" s="32" cm="1">
        <f t="array" aca="1" ref="C91" ca="1">INDEX(Data_DBD!$C:$C,$A91)</f>
        <v>3</v>
      </c>
      <c r="D91" s="32" cm="1">
        <f t="array" aca="1" ref="D91" ca="1">INDEX(Data_DBD!$D:$D,$A91)</f>
        <v>13</v>
      </c>
      <c r="E91" s="32" cm="1">
        <f t="array" aca="1" ref="E91" ca="1">INDEX(Data_DBD!$E:$E,$A91)</f>
        <v>1</v>
      </c>
      <c r="F91" s="32" cm="1">
        <f t="array" aca="1" ref="F91" ca="1">INDEX(Data_DBD!$F:$F,$A91)</f>
        <v>2</v>
      </c>
      <c r="H91" s="33">
        <v>67</v>
      </c>
      <c r="I91" s="33">
        <v>21</v>
      </c>
      <c r="J91" s="33">
        <v>3</v>
      </c>
      <c r="K91" s="33">
        <v>10</v>
      </c>
      <c r="L91" s="33">
        <v>1</v>
      </c>
      <c r="M91" s="33">
        <v>2</v>
      </c>
    </row>
    <row r="92" spans="1:13">
      <c r="A92" s="32">
        <f t="shared" ca="1" si="1"/>
        <v>136</v>
      </c>
      <c r="B92" s="32" cm="1">
        <f t="array" aca="1" ref="B92" ca="1">INDEX(Data_DBD!$B:$B,$A92)</f>
        <v>6</v>
      </c>
      <c r="C92" s="32" cm="1">
        <f t="array" aca="1" ref="C92" ca="1">INDEX(Data_DBD!$C:$C,$A92)</f>
        <v>2</v>
      </c>
      <c r="D92" s="32" cm="1">
        <f t="array" aca="1" ref="D92" ca="1">INDEX(Data_DBD!$D:$D,$A92)</f>
        <v>33</v>
      </c>
      <c r="E92" s="32" cm="1">
        <f t="array" aca="1" ref="E92" ca="1">INDEX(Data_DBD!$E:$E,$A92)</f>
        <v>0</v>
      </c>
      <c r="F92" s="32" cm="1">
        <f t="array" aca="1" ref="F92" ca="1">INDEX(Data_DBD!$F:$F,$A92)</f>
        <v>3</v>
      </c>
      <c r="H92" s="33">
        <v>140</v>
      </c>
      <c r="I92" s="33">
        <v>74</v>
      </c>
      <c r="J92" s="33">
        <v>5</v>
      </c>
      <c r="K92" s="33">
        <v>21</v>
      </c>
      <c r="L92" s="33">
        <v>1</v>
      </c>
      <c r="M92" s="33">
        <v>3</v>
      </c>
    </row>
    <row r="93" spans="1:13">
      <c r="A93" s="32">
        <f t="shared" ca="1" si="1"/>
        <v>121</v>
      </c>
      <c r="B93" s="32" cm="1">
        <f t="array" aca="1" ref="B93" ca="1">INDEX(Data_DBD!$B:$B,$A93)</f>
        <v>82</v>
      </c>
      <c r="C93" s="32" cm="1">
        <f t="array" aca="1" ref="C93" ca="1">INDEX(Data_DBD!$C:$C,$A93)</f>
        <v>5</v>
      </c>
      <c r="D93" s="32" cm="1">
        <f t="array" aca="1" ref="D93" ca="1">INDEX(Data_DBD!$D:$D,$A93)</f>
        <v>33</v>
      </c>
      <c r="E93" s="32" cm="1">
        <f t="array" aca="1" ref="E93" ca="1">INDEX(Data_DBD!$E:$E,$A93)</f>
        <v>1</v>
      </c>
      <c r="F93" s="32" cm="1">
        <f t="array" aca="1" ref="F93" ca="1">INDEX(Data_DBD!$F:$F,$A93)</f>
        <v>3</v>
      </c>
      <c r="H93" s="33">
        <v>110</v>
      </c>
      <c r="I93" s="33">
        <v>42</v>
      </c>
      <c r="J93" s="33">
        <v>2</v>
      </c>
      <c r="K93" s="33">
        <v>33</v>
      </c>
      <c r="L93" s="33">
        <v>1</v>
      </c>
      <c r="M93" s="33">
        <v>3</v>
      </c>
    </row>
    <row r="94" spans="1:13">
      <c r="A94" s="32">
        <f t="shared" ca="1" si="1"/>
        <v>116</v>
      </c>
      <c r="B94" s="32" cm="1">
        <f t="array" aca="1" ref="B94" ca="1">INDEX(Data_DBD!$B:$B,$A94)</f>
        <v>32</v>
      </c>
      <c r="C94" s="32" cm="1">
        <f t="array" aca="1" ref="C94" ca="1">INDEX(Data_DBD!$C:$C,$A94)</f>
        <v>4</v>
      </c>
      <c r="D94" s="32" cm="1">
        <f t="array" aca="1" ref="D94" ca="1">INDEX(Data_DBD!$D:$D,$A94)</f>
        <v>33</v>
      </c>
      <c r="E94" s="32" cm="1">
        <f t="array" aca="1" ref="E94" ca="1">INDEX(Data_DBD!$E:$E,$A94)</f>
        <v>1</v>
      </c>
      <c r="F94" s="32" cm="1">
        <f t="array" aca="1" ref="F94" ca="1">INDEX(Data_DBD!$F:$F,$A94)</f>
        <v>3</v>
      </c>
      <c r="H94" s="33">
        <v>16</v>
      </c>
      <c r="I94" s="33">
        <v>66</v>
      </c>
      <c r="J94" s="33">
        <v>5</v>
      </c>
      <c r="K94" s="33">
        <v>7</v>
      </c>
      <c r="L94" s="33">
        <v>1</v>
      </c>
      <c r="M94" s="33">
        <v>1</v>
      </c>
    </row>
    <row r="95" spans="1:13">
      <c r="A95" s="32">
        <f t="shared" ca="1" si="1"/>
        <v>103</v>
      </c>
      <c r="B95" s="32" cm="1">
        <f t="array" aca="1" ref="B95" ca="1">INDEX(Data_DBD!$B:$B,$A95)</f>
        <v>22</v>
      </c>
      <c r="C95" s="32" cm="1">
        <f t="array" aca="1" ref="C95" ca="1">INDEX(Data_DBD!$C:$C,$A95)</f>
        <v>5</v>
      </c>
      <c r="D95" s="32" cm="1">
        <f t="array" aca="1" ref="D95" ca="1">INDEX(Data_DBD!$D:$D,$A95)</f>
        <v>18</v>
      </c>
      <c r="E95" s="32" cm="1">
        <f t="array" aca="1" ref="E95" ca="1">INDEX(Data_DBD!$E:$E,$A95)</f>
        <v>0</v>
      </c>
      <c r="F95" s="32" cm="1">
        <f t="array" aca="1" ref="F95" ca="1">INDEX(Data_DBD!$F:$F,$A95)</f>
        <v>3</v>
      </c>
      <c r="H95" s="33">
        <v>28</v>
      </c>
      <c r="I95" s="33">
        <v>22</v>
      </c>
      <c r="J95" s="33">
        <v>2</v>
      </c>
      <c r="K95" s="33">
        <v>14</v>
      </c>
      <c r="L95" s="33">
        <v>1</v>
      </c>
      <c r="M95" s="33">
        <v>2</v>
      </c>
    </row>
    <row r="96" spans="1:13">
      <c r="A96" s="32">
        <f t="shared" ca="1" si="1"/>
        <v>127</v>
      </c>
      <c r="B96" s="32" cm="1">
        <f t="array" aca="1" ref="B96" ca="1">INDEX(Data_DBD!$B:$B,$A96)</f>
        <v>21</v>
      </c>
      <c r="C96" s="32" cm="1">
        <f t="array" aca="1" ref="C96" ca="1">INDEX(Data_DBD!$C:$C,$A96)</f>
        <v>2</v>
      </c>
      <c r="D96" s="32" cm="1">
        <f t="array" aca="1" ref="D96" ca="1">INDEX(Data_DBD!$D:$D,$A96)</f>
        <v>33</v>
      </c>
      <c r="E96" s="32" cm="1">
        <f t="array" aca="1" ref="E96" ca="1">INDEX(Data_DBD!$E:$E,$A96)</f>
        <v>0</v>
      </c>
      <c r="F96" s="32" cm="1">
        <f t="array" aca="1" ref="F96" ca="1">INDEX(Data_DBD!$F:$F,$A96)</f>
        <v>3</v>
      </c>
      <c r="H96" s="33">
        <v>38</v>
      </c>
      <c r="I96" s="33">
        <v>52</v>
      </c>
      <c r="J96" s="33">
        <v>3</v>
      </c>
      <c r="K96" s="33">
        <v>4</v>
      </c>
      <c r="L96" s="33">
        <v>1</v>
      </c>
      <c r="M96" s="33">
        <v>1</v>
      </c>
    </row>
    <row r="97" spans="1:13">
      <c r="A97" s="32">
        <f t="shared" ca="1" si="1"/>
        <v>67</v>
      </c>
      <c r="B97" s="32" cm="1">
        <f t="array" aca="1" ref="B97" ca="1">INDEX(Data_DBD!$B:$B,$A97)</f>
        <v>21</v>
      </c>
      <c r="C97" s="32" cm="1">
        <f t="array" aca="1" ref="C97" ca="1">INDEX(Data_DBD!$C:$C,$A97)</f>
        <v>3</v>
      </c>
      <c r="D97" s="32" cm="1">
        <f t="array" aca="1" ref="D97" ca="1">INDEX(Data_DBD!$D:$D,$A97)</f>
        <v>10</v>
      </c>
      <c r="E97" s="32" cm="1">
        <f t="array" aca="1" ref="E97" ca="1">INDEX(Data_DBD!$E:$E,$A97)</f>
        <v>1</v>
      </c>
      <c r="F97" s="32" cm="1">
        <f t="array" aca="1" ref="F97" ca="1">INDEX(Data_DBD!$F:$F,$A97)</f>
        <v>2</v>
      </c>
      <c r="H97" s="33">
        <v>19</v>
      </c>
      <c r="I97" s="33">
        <v>8</v>
      </c>
      <c r="J97" s="33">
        <v>4</v>
      </c>
      <c r="K97" s="33">
        <v>7</v>
      </c>
      <c r="L97" s="33">
        <v>0</v>
      </c>
      <c r="M97" s="33">
        <v>1</v>
      </c>
    </row>
    <row r="98" spans="1:13">
      <c r="A98" s="32">
        <f t="shared" ca="1" si="1"/>
        <v>139</v>
      </c>
      <c r="B98" s="32" cm="1">
        <f t="array" aca="1" ref="B98" ca="1">INDEX(Data_DBD!$B:$B,$A98)</f>
        <v>52</v>
      </c>
      <c r="C98" s="32" cm="1">
        <f t="array" aca="1" ref="C98" ca="1">INDEX(Data_DBD!$C:$C,$A98)</f>
        <v>7</v>
      </c>
      <c r="D98" s="32" cm="1">
        <f t="array" aca="1" ref="D98" ca="1">INDEX(Data_DBD!$D:$D,$A98)</f>
        <v>21</v>
      </c>
      <c r="E98" s="32" cm="1">
        <f t="array" aca="1" ref="E98" ca="1">INDEX(Data_DBD!$E:$E,$A98)</f>
        <v>0</v>
      </c>
      <c r="F98" s="32" cm="1">
        <f t="array" aca="1" ref="F98" ca="1">INDEX(Data_DBD!$F:$F,$A98)</f>
        <v>3</v>
      </c>
      <c r="H98" s="33">
        <v>157</v>
      </c>
      <c r="I98" s="33">
        <v>15</v>
      </c>
      <c r="J98" s="33">
        <v>4</v>
      </c>
      <c r="K98" s="33">
        <v>21</v>
      </c>
      <c r="L98" s="33">
        <v>1</v>
      </c>
      <c r="M98" s="33">
        <v>3</v>
      </c>
    </row>
    <row r="99" spans="1:13">
      <c r="A99" s="32">
        <f t="shared" ca="1" si="1"/>
        <v>48</v>
      </c>
      <c r="B99" s="32" cm="1">
        <f t="array" aca="1" ref="B99" ca="1">INDEX(Data_DBD!$B:$B,$A99)</f>
        <v>50</v>
      </c>
      <c r="C99" s="32" cm="1">
        <f t="array" aca="1" ref="C99" ca="1">INDEX(Data_DBD!$C:$C,$A99)</f>
        <v>5</v>
      </c>
      <c r="D99" s="32" cm="1">
        <f t="array" aca="1" ref="D99" ca="1">INDEX(Data_DBD!$D:$D,$A99)</f>
        <v>13</v>
      </c>
      <c r="E99" s="32" cm="1">
        <f t="array" aca="1" ref="E99" ca="1">INDEX(Data_DBD!$E:$E,$A99)</f>
        <v>1</v>
      </c>
      <c r="F99" s="32" cm="1">
        <f t="array" aca="1" ref="F99" ca="1">INDEX(Data_DBD!$F:$F,$A99)</f>
        <v>2</v>
      </c>
      <c r="H99" s="33">
        <v>118</v>
      </c>
      <c r="I99" s="33">
        <v>67</v>
      </c>
      <c r="J99" s="33">
        <v>4</v>
      </c>
      <c r="K99" s="33">
        <v>33</v>
      </c>
      <c r="L99" s="33">
        <v>1</v>
      </c>
      <c r="M99" s="33">
        <v>3</v>
      </c>
    </row>
    <row r="100" spans="1:13">
      <c r="A100" s="32">
        <f t="shared" ca="1" si="1"/>
        <v>152</v>
      </c>
      <c r="B100" s="32" cm="1">
        <f t="array" aca="1" ref="B100" ca="1">INDEX(Data_DBD!$B:$B,$A100)</f>
        <v>47</v>
      </c>
      <c r="C100" s="32" cm="1">
        <f t="array" aca="1" ref="C100" ca="1">INDEX(Data_DBD!$C:$C,$A100)</f>
        <v>3</v>
      </c>
      <c r="D100" s="32" cm="1">
        <f t="array" aca="1" ref="D100" ca="1">INDEX(Data_DBD!$D:$D,$A100)</f>
        <v>21</v>
      </c>
      <c r="E100" s="32" cm="1">
        <f t="array" aca="1" ref="E100" ca="1">INDEX(Data_DBD!$E:$E,$A100)</f>
        <v>1</v>
      </c>
      <c r="F100" s="32" cm="1">
        <f t="array" aca="1" ref="F100" ca="1">INDEX(Data_DBD!$F:$F,$A100)</f>
        <v>3</v>
      </c>
      <c r="H100" s="33">
        <v>160</v>
      </c>
      <c r="I100" s="33">
        <v>16</v>
      </c>
      <c r="J100" s="33">
        <v>3</v>
      </c>
      <c r="K100" s="33">
        <v>21</v>
      </c>
      <c r="L100" s="33">
        <v>0</v>
      </c>
      <c r="M100" s="33">
        <v>3</v>
      </c>
    </row>
    <row r="101" spans="1:13">
      <c r="A101" s="32">
        <f t="shared" ca="1" si="1"/>
        <v>150</v>
      </c>
      <c r="B101" s="32" cm="1">
        <f t="array" aca="1" ref="B101" ca="1">INDEX(Data_DBD!$B:$B,$A101)</f>
        <v>61</v>
      </c>
      <c r="C101" s="32" cm="1">
        <f t="array" aca="1" ref="C101" ca="1">INDEX(Data_DBD!$C:$C,$A101)</f>
        <v>5</v>
      </c>
      <c r="D101" s="32" cm="1">
        <f t="array" aca="1" ref="D101" ca="1">INDEX(Data_DBD!$D:$D,$A101)</f>
        <v>21</v>
      </c>
      <c r="E101" s="32" cm="1">
        <f t="array" aca="1" ref="E101" ca="1">INDEX(Data_DBD!$E:$E,$A101)</f>
        <v>1</v>
      </c>
      <c r="F101" s="32" cm="1">
        <f t="array" aca="1" ref="F101" ca="1">INDEX(Data_DBD!$F:$F,$A101)</f>
        <v>3</v>
      </c>
      <c r="H101" s="33">
        <v>6</v>
      </c>
      <c r="I101" s="33">
        <v>14</v>
      </c>
      <c r="J101" s="33">
        <v>4</v>
      </c>
      <c r="K101" s="33">
        <v>12</v>
      </c>
      <c r="L101" s="33">
        <v>0</v>
      </c>
      <c r="M101" s="33">
        <v>2</v>
      </c>
    </row>
    <row r="102" spans="1:13">
      <c r="A102" s="32">
        <f t="shared" ca="1" si="1"/>
        <v>118</v>
      </c>
      <c r="B102" s="32" cm="1">
        <f t="array" aca="1" ref="B102" ca="1">INDEX(Data_DBD!$B:$B,$A102)</f>
        <v>67</v>
      </c>
      <c r="C102" s="32" cm="1">
        <f t="array" aca="1" ref="C102" ca="1">INDEX(Data_DBD!$C:$C,$A102)</f>
        <v>4</v>
      </c>
      <c r="D102" s="32" cm="1">
        <f t="array" aca="1" ref="D102" ca="1">INDEX(Data_DBD!$D:$D,$A102)</f>
        <v>33</v>
      </c>
      <c r="E102" s="32" cm="1">
        <f t="array" aca="1" ref="E102" ca="1">INDEX(Data_DBD!$E:$E,$A102)</f>
        <v>1</v>
      </c>
      <c r="F102" s="32" cm="1">
        <f t="array" aca="1" ref="F102" ca="1">INDEX(Data_DBD!$F:$F,$A102)</f>
        <v>3</v>
      </c>
      <c r="H102" s="33">
        <v>31</v>
      </c>
      <c r="I102" s="33">
        <v>64</v>
      </c>
      <c r="J102" s="33">
        <v>4</v>
      </c>
      <c r="K102" s="33">
        <v>14</v>
      </c>
      <c r="L102" s="33">
        <v>1</v>
      </c>
      <c r="M102" s="33">
        <v>2</v>
      </c>
    </row>
    <row r="103" spans="1:13">
      <c r="A103" s="32">
        <f t="shared" ca="1" si="1"/>
        <v>164</v>
      </c>
      <c r="B103" s="32" cm="1">
        <f t="array" aca="1" ref="B103" ca="1">INDEX(Data_DBD!$B:$B,$A103)</f>
        <v>10</v>
      </c>
      <c r="C103" s="32" cm="1">
        <f t="array" aca="1" ref="C103" ca="1">INDEX(Data_DBD!$C:$C,$A103)</f>
        <v>6</v>
      </c>
      <c r="D103" s="32" cm="1">
        <f t="array" aca="1" ref="D103" ca="1">INDEX(Data_DBD!$D:$D,$A103)</f>
        <v>3</v>
      </c>
      <c r="E103" s="32" cm="1">
        <f t="array" aca="1" ref="E103" ca="1">INDEX(Data_DBD!$E:$E,$A103)</f>
        <v>0</v>
      </c>
      <c r="F103" s="32" cm="1">
        <f t="array" aca="1" ref="F103" ca="1">INDEX(Data_DBD!$F:$F,$A103)</f>
        <v>1</v>
      </c>
      <c r="H103" s="33">
        <v>47</v>
      </c>
      <c r="I103" s="33">
        <v>19</v>
      </c>
      <c r="J103" s="33">
        <v>2</v>
      </c>
      <c r="K103" s="33">
        <v>13</v>
      </c>
      <c r="L103" s="33">
        <v>0</v>
      </c>
      <c r="M103" s="33">
        <v>2</v>
      </c>
    </row>
    <row r="104" spans="1:13">
      <c r="A104" s="32">
        <f t="shared" ca="1" si="1"/>
        <v>48</v>
      </c>
      <c r="B104" s="32" cm="1">
        <f t="array" aca="1" ref="B104" ca="1">INDEX(Data_DBD!$B:$B,$A104)</f>
        <v>50</v>
      </c>
      <c r="C104" s="32" cm="1">
        <f t="array" aca="1" ref="C104" ca="1">INDEX(Data_DBD!$C:$C,$A104)</f>
        <v>5</v>
      </c>
      <c r="D104" s="32" cm="1">
        <f t="array" aca="1" ref="D104" ca="1">INDEX(Data_DBD!$D:$D,$A104)</f>
        <v>13</v>
      </c>
      <c r="E104" s="32" cm="1">
        <f t="array" aca="1" ref="E104" ca="1">INDEX(Data_DBD!$E:$E,$A104)</f>
        <v>1</v>
      </c>
      <c r="F104" s="32" cm="1">
        <f t="array" aca="1" ref="F104" ca="1">INDEX(Data_DBD!$F:$F,$A104)</f>
        <v>2</v>
      </c>
      <c r="H104" s="33">
        <v>39</v>
      </c>
      <c r="I104" s="33">
        <v>12</v>
      </c>
      <c r="J104" s="33">
        <v>5</v>
      </c>
      <c r="K104" s="33">
        <v>13</v>
      </c>
      <c r="L104" s="33">
        <v>1</v>
      </c>
      <c r="M104" s="33">
        <v>2</v>
      </c>
    </row>
    <row r="105" spans="1:13">
      <c r="A105" s="32">
        <f t="shared" ca="1" si="1"/>
        <v>134</v>
      </c>
      <c r="B105" s="32" cm="1">
        <f t="array" aca="1" ref="B105" ca="1">INDEX(Data_DBD!$B:$B,$A105)</f>
        <v>4</v>
      </c>
      <c r="C105" s="32" cm="1">
        <f t="array" aca="1" ref="C105" ca="1">INDEX(Data_DBD!$C:$C,$A105)</f>
        <v>2</v>
      </c>
      <c r="D105" s="32" cm="1">
        <f t="array" aca="1" ref="D105" ca="1">INDEX(Data_DBD!$D:$D,$A105)</f>
        <v>33</v>
      </c>
      <c r="E105" s="32" cm="1">
        <f t="array" aca="1" ref="E105" ca="1">INDEX(Data_DBD!$E:$E,$A105)</f>
        <v>1</v>
      </c>
      <c r="F105" s="32" cm="1">
        <f t="array" aca="1" ref="F105" ca="1">INDEX(Data_DBD!$F:$F,$A105)</f>
        <v>3</v>
      </c>
      <c r="H105" s="33">
        <v>129</v>
      </c>
      <c r="I105" s="33">
        <v>4.5</v>
      </c>
      <c r="J105" s="33">
        <v>3</v>
      </c>
      <c r="K105" s="33">
        <v>33</v>
      </c>
      <c r="L105" s="33">
        <v>0</v>
      </c>
      <c r="M105" s="33">
        <v>3</v>
      </c>
    </row>
    <row r="106" spans="1:13">
      <c r="A106" s="32">
        <f t="shared" ca="1" si="1"/>
        <v>2</v>
      </c>
      <c r="B106" s="32" cm="1">
        <f t="array" aca="1" ref="B106" ca="1">INDEX(Data_DBD!$B:$B,$A106)</f>
        <v>34</v>
      </c>
      <c r="C106" s="32" cm="1">
        <f t="array" aca="1" ref="C106" ca="1">INDEX(Data_DBD!$C:$C,$A106)</f>
        <v>3</v>
      </c>
      <c r="D106" s="32" cm="1">
        <f t="array" aca="1" ref="D106" ca="1">INDEX(Data_DBD!$D:$D,$A106)</f>
        <v>12</v>
      </c>
      <c r="E106" s="32" cm="1">
        <f t="array" aca="1" ref="E106" ca="1">INDEX(Data_DBD!$E:$E,$A106)</f>
        <v>0</v>
      </c>
      <c r="F106" s="32" cm="1">
        <f t="array" aca="1" ref="F106" ca="1">INDEX(Data_DBD!$F:$F,$A106)</f>
        <v>2</v>
      </c>
      <c r="H106" s="33">
        <v>109</v>
      </c>
      <c r="I106" s="33">
        <v>40</v>
      </c>
      <c r="J106" s="33">
        <v>3</v>
      </c>
      <c r="K106" s="33">
        <v>33</v>
      </c>
      <c r="L106" s="33">
        <v>1</v>
      </c>
      <c r="M106" s="33">
        <v>3</v>
      </c>
    </row>
    <row r="107" spans="1:13">
      <c r="A107" s="32">
        <f t="shared" ca="1" si="1"/>
        <v>23</v>
      </c>
      <c r="B107" s="32" cm="1">
        <f t="array" aca="1" ref="B107" ca="1">INDEX(Data_DBD!$B:$B,$A107)</f>
        <v>28</v>
      </c>
      <c r="C107" s="32" cm="1">
        <f t="array" aca="1" ref="C107" ca="1">INDEX(Data_DBD!$C:$C,$A107)</f>
        <v>4</v>
      </c>
      <c r="D107" s="32" cm="1">
        <f t="array" aca="1" ref="D107" ca="1">INDEX(Data_DBD!$D:$D,$A107)</f>
        <v>14</v>
      </c>
      <c r="E107" s="32" cm="1">
        <f t="array" aca="1" ref="E107" ca="1">INDEX(Data_DBD!$E:$E,$A107)</f>
        <v>1</v>
      </c>
      <c r="F107" s="32" cm="1">
        <f t="array" aca="1" ref="F107" ca="1">INDEX(Data_DBD!$F:$F,$A107)</f>
        <v>2</v>
      </c>
      <c r="H107" s="33">
        <v>142</v>
      </c>
      <c r="I107" s="33">
        <v>39</v>
      </c>
      <c r="J107" s="33">
        <v>2</v>
      </c>
      <c r="K107" s="33">
        <v>21</v>
      </c>
      <c r="L107" s="33">
        <v>1</v>
      </c>
      <c r="M107" s="33">
        <v>3</v>
      </c>
    </row>
    <row r="108" spans="1:13">
      <c r="A108" s="32">
        <f t="shared" ca="1" si="1"/>
        <v>158</v>
      </c>
      <c r="B108" s="32" cm="1">
        <f t="array" aca="1" ref="B108" ca="1">INDEX(Data_DBD!$B:$B,$A108)</f>
        <v>5</v>
      </c>
      <c r="C108" s="32" cm="1">
        <f t="array" aca="1" ref="C108" ca="1">INDEX(Data_DBD!$C:$C,$A108)</f>
        <v>2</v>
      </c>
      <c r="D108" s="32" cm="1">
        <f t="array" aca="1" ref="D108" ca="1">INDEX(Data_DBD!$D:$D,$A108)</f>
        <v>21</v>
      </c>
      <c r="E108" s="32" cm="1">
        <f t="array" aca="1" ref="E108" ca="1">INDEX(Data_DBD!$E:$E,$A108)</f>
        <v>0</v>
      </c>
      <c r="F108" s="32" cm="1">
        <f t="array" aca="1" ref="F108" ca="1">INDEX(Data_DBD!$F:$F,$A108)</f>
        <v>3</v>
      </c>
      <c r="H108" s="33">
        <v>28</v>
      </c>
      <c r="I108" s="33">
        <v>22</v>
      </c>
      <c r="J108" s="33">
        <v>2</v>
      </c>
      <c r="K108" s="33">
        <v>14</v>
      </c>
      <c r="L108" s="33">
        <v>1</v>
      </c>
      <c r="M108" s="33">
        <v>2</v>
      </c>
    </row>
    <row r="109" spans="1:13">
      <c r="A109" s="32">
        <f t="shared" ca="1" si="1"/>
        <v>152</v>
      </c>
      <c r="B109" s="32" cm="1">
        <f t="array" aca="1" ref="B109" ca="1">INDEX(Data_DBD!$B:$B,$A109)</f>
        <v>47</v>
      </c>
      <c r="C109" s="32" cm="1">
        <f t="array" aca="1" ref="C109" ca="1">INDEX(Data_DBD!$C:$C,$A109)</f>
        <v>3</v>
      </c>
      <c r="D109" s="32" cm="1">
        <f t="array" aca="1" ref="D109" ca="1">INDEX(Data_DBD!$D:$D,$A109)</f>
        <v>21</v>
      </c>
      <c r="E109" s="32" cm="1">
        <f t="array" aca="1" ref="E109" ca="1">INDEX(Data_DBD!$E:$E,$A109)</f>
        <v>1</v>
      </c>
      <c r="F109" s="32" cm="1">
        <f t="array" aca="1" ref="F109" ca="1">INDEX(Data_DBD!$F:$F,$A109)</f>
        <v>3</v>
      </c>
      <c r="H109" s="33">
        <v>65</v>
      </c>
      <c r="I109" s="33">
        <v>49</v>
      </c>
      <c r="J109" s="33">
        <v>3</v>
      </c>
      <c r="K109" s="33">
        <v>15</v>
      </c>
      <c r="L109" s="33">
        <v>0</v>
      </c>
      <c r="M109" s="33">
        <v>2</v>
      </c>
    </row>
    <row r="110" spans="1:13">
      <c r="A110" s="32">
        <f t="shared" ca="1" si="1"/>
        <v>16</v>
      </c>
      <c r="B110" s="32" cm="1">
        <f t="array" aca="1" ref="B110" ca="1">INDEX(Data_DBD!$B:$B,$A110)</f>
        <v>66</v>
      </c>
      <c r="C110" s="32" cm="1">
        <f t="array" aca="1" ref="C110" ca="1">INDEX(Data_DBD!$C:$C,$A110)</f>
        <v>5</v>
      </c>
      <c r="D110" s="32" cm="1">
        <f t="array" aca="1" ref="D110" ca="1">INDEX(Data_DBD!$D:$D,$A110)</f>
        <v>7</v>
      </c>
      <c r="E110" s="32" cm="1">
        <f t="array" aca="1" ref="E110" ca="1">INDEX(Data_DBD!$E:$E,$A110)</f>
        <v>1</v>
      </c>
      <c r="F110" s="32" cm="1">
        <f t="array" aca="1" ref="F110" ca="1">INDEX(Data_DBD!$F:$F,$A110)</f>
        <v>1</v>
      </c>
      <c r="H110" s="33">
        <v>110</v>
      </c>
      <c r="I110" s="33">
        <v>42</v>
      </c>
      <c r="J110" s="33">
        <v>2</v>
      </c>
      <c r="K110" s="33">
        <v>33</v>
      </c>
      <c r="L110" s="33">
        <v>1</v>
      </c>
      <c r="M110" s="33">
        <v>3</v>
      </c>
    </row>
    <row r="111" spans="1:13">
      <c r="A111" s="32">
        <f t="shared" ca="1" si="1"/>
        <v>39</v>
      </c>
      <c r="B111" s="32" cm="1">
        <f t="array" aca="1" ref="B111" ca="1">INDEX(Data_DBD!$B:$B,$A111)</f>
        <v>12</v>
      </c>
      <c r="C111" s="32" cm="1">
        <f t="array" aca="1" ref="C111" ca="1">INDEX(Data_DBD!$C:$C,$A111)</f>
        <v>5</v>
      </c>
      <c r="D111" s="32" cm="1">
        <f t="array" aca="1" ref="D111" ca="1">INDEX(Data_DBD!$D:$D,$A111)</f>
        <v>13</v>
      </c>
      <c r="E111" s="32" cm="1">
        <f t="array" aca="1" ref="E111" ca="1">INDEX(Data_DBD!$E:$E,$A111)</f>
        <v>1</v>
      </c>
      <c r="F111" s="32" cm="1">
        <f t="array" aca="1" ref="F111" ca="1">INDEX(Data_DBD!$F:$F,$A111)</f>
        <v>2</v>
      </c>
      <c r="H111" s="33">
        <v>52</v>
      </c>
      <c r="I111" s="33">
        <v>59</v>
      </c>
      <c r="J111" s="33">
        <v>4</v>
      </c>
      <c r="K111" s="33">
        <v>15</v>
      </c>
      <c r="L111" s="33">
        <v>1</v>
      </c>
      <c r="M111" s="33">
        <v>2</v>
      </c>
    </row>
    <row r="112" spans="1:13">
      <c r="A112" s="32">
        <f t="shared" ca="1" si="1"/>
        <v>122</v>
      </c>
      <c r="B112" s="32" cm="1">
        <f t="array" aca="1" ref="B112" ca="1">INDEX(Data_DBD!$B:$B,$A112)</f>
        <v>28</v>
      </c>
      <c r="C112" s="32" cm="1">
        <f t="array" aca="1" ref="C112" ca="1">INDEX(Data_DBD!$C:$C,$A112)</f>
        <v>3</v>
      </c>
      <c r="D112" s="32" cm="1">
        <f t="array" aca="1" ref="D112" ca="1">INDEX(Data_DBD!$D:$D,$A112)</f>
        <v>33</v>
      </c>
      <c r="E112" s="32" cm="1">
        <f t="array" aca="1" ref="E112" ca="1">INDEX(Data_DBD!$E:$E,$A112)</f>
        <v>1</v>
      </c>
      <c r="F112" s="32" cm="1">
        <f t="array" aca="1" ref="F112" ca="1">INDEX(Data_DBD!$F:$F,$A112)</f>
        <v>3</v>
      </c>
      <c r="H112" s="33">
        <v>23</v>
      </c>
      <c r="I112" s="33">
        <v>28</v>
      </c>
      <c r="J112" s="33">
        <v>4</v>
      </c>
      <c r="K112" s="33">
        <v>14</v>
      </c>
      <c r="L112" s="33">
        <v>1</v>
      </c>
      <c r="M112" s="33">
        <v>2</v>
      </c>
    </row>
    <row r="113" spans="1:13">
      <c r="A113" s="32">
        <f t="shared" ca="1" si="1"/>
        <v>4</v>
      </c>
      <c r="B113" s="32" cm="1">
        <f t="array" aca="1" ref="B113" ca="1">INDEX(Data_DBD!$B:$B,$A113)</f>
        <v>23</v>
      </c>
      <c r="C113" s="32" cm="1">
        <f t="array" aca="1" ref="C113" ca="1">INDEX(Data_DBD!$C:$C,$A113)</f>
        <v>5</v>
      </c>
      <c r="D113" s="32" cm="1">
        <f t="array" aca="1" ref="D113" ca="1">INDEX(Data_DBD!$D:$D,$A113)</f>
        <v>12</v>
      </c>
      <c r="E113" s="32" cm="1">
        <f t="array" aca="1" ref="E113" ca="1">INDEX(Data_DBD!$E:$E,$A113)</f>
        <v>0</v>
      </c>
      <c r="F113" s="32" cm="1">
        <f t="array" aca="1" ref="F113" ca="1">INDEX(Data_DBD!$F:$F,$A113)</f>
        <v>2</v>
      </c>
      <c r="H113" s="33">
        <v>56</v>
      </c>
      <c r="I113" s="33">
        <v>4</v>
      </c>
      <c r="J113" s="33">
        <v>3</v>
      </c>
      <c r="K113" s="33">
        <v>15</v>
      </c>
      <c r="L113" s="33">
        <v>0</v>
      </c>
      <c r="M113" s="33">
        <v>2</v>
      </c>
    </row>
    <row r="114" spans="1:13">
      <c r="A114" s="32">
        <f t="shared" ca="1" si="1"/>
        <v>13</v>
      </c>
      <c r="B114" s="32" cm="1">
        <f t="array" aca="1" ref="B114" ca="1">INDEX(Data_DBD!$B:$B,$A114)</f>
        <v>47</v>
      </c>
      <c r="C114" s="32" cm="1">
        <f t="array" aca="1" ref="C114" ca="1">INDEX(Data_DBD!$C:$C,$A114)</f>
        <v>2</v>
      </c>
      <c r="D114" s="32" cm="1">
        <f t="array" aca="1" ref="D114" ca="1">INDEX(Data_DBD!$D:$D,$A114)</f>
        <v>12</v>
      </c>
      <c r="E114" s="32" cm="1">
        <f t="array" aca="1" ref="E114" ca="1">INDEX(Data_DBD!$E:$E,$A114)</f>
        <v>0</v>
      </c>
      <c r="F114" s="32" cm="1">
        <f t="array" aca="1" ref="F114" ca="1">INDEX(Data_DBD!$F:$F,$A114)</f>
        <v>2</v>
      </c>
      <c r="H114" s="33">
        <v>40</v>
      </c>
      <c r="I114" s="33">
        <v>65</v>
      </c>
      <c r="J114" s="33">
        <v>3</v>
      </c>
      <c r="K114" s="33">
        <v>13</v>
      </c>
      <c r="L114" s="33">
        <v>1</v>
      </c>
      <c r="M114" s="33">
        <v>2</v>
      </c>
    </row>
    <row r="115" spans="1:13">
      <c r="A115" s="32">
        <f t="shared" ca="1" si="1"/>
        <v>7</v>
      </c>
      <c r="B115" s="32" cm="1">
        <f t="array" aca="1" ref="B115" ca="1">INDEX(Data_DBD!$B:$B,$A115)</f>
        <v>12</v>
      </c>
      <c r="C115" s="32" cm="1">
        <f t="array" aca="1" ref="C115" ca="1">INDEX(Data_DBD!$C:$C,$A115)</f>
        <v>1</v>
      </c>
      <c r="D115" s="32" cm="1">
        <f t="array" aca="1" ref="D115" ca="1">INDEX(Data_DBD!$D:$D,$A115)</f>
        <v>12</v>
      </c>
      <c r="E115" s="32" cm="1">
        <f t="array" aca="1" ref="E115" ca="1">INDEX(Data_DBD!$E:$E,$A115)</f>
        <v>1</v>
      </c>
      <c r="F115" s="32" cm="1">
        <f t="array" aca="1" ref="F115" ca="1">INDEX(Data_DBD!$F:$F,$A115)</f>
        <v>2</v>
      </c>
      <c r="H115" s="33">
        <v>61</v>
      </c>
      <c r="I115" s="33">
        <v>29</v>
      </c>
      <c r="J115" s="33">
        <v>3</v>
      </c>
      <c r="K115" s="33">
        <v>15</v>
      </c>
      <c r="L115" s="33">
        <v>1</v>
      </c>
      <c r="M115" s="33">
        <v>2</v>
      </c>
    </row>
    <row r="116" spans="1:13">
      <c r="A116" s="32">
        <f t="shared" ca="1" si="1"/>
        <v>59</v>
      </c>
      <c r="B116" s="32" cm="1">
        <f t="array" aca="1" ref="B116" ca="1">INDEX(Data_DBD!$B:$B,$A116)</f>
        <v>28</v>
      </c>
      <c r="C116" s="32" cm="1">
        <f t="array" aca="1" ref="C116" ca="1">INDEX(Data_DBD!$C:$C,$A116)</f>
        <v>4</v>
      </c>
      <c r="D116" s="32" cm="1">
        <f t="array" aca="1" ref="D116" ca="1">INDEX(Data_DBD!$D:$D,$A116)</f>
        <v>15</v>
      </c>
      <c r="E116" s="32" cm="1">
        <f t="array" aca="1" ref="E116" ca="1">INDEX(Data_DBD!$E:$E,$A116)</f>
        <v>0</v>
      </c>
      <c r="F116" s="32" cm="1">
        <f t="array" aca="1" ref="F116" ca="1">INDEX(Data_DBD!$F:$F,$A116)</f>
        <v>2</v>
      </c>
      <c r="H116" s="33">
        <v>51</v>
      </c>
      <c r="I116" s="33">
        <v>48</v>
      </c>
      <c r="J116" s="33">
        <v>4</v>
      </c>
      <c r="K116" s="33">
        <v>13</v>
      </c>
      <c r="L116" s="33">
        <v>0</v>
      </c>
      <c r="M116" s="33">
        <v>2</v>
      </c>
    </row>
    <row r="117" spans="1:13">
      <c r="A117" s="32">
        <f t="shared" ca="1" si="1"/>
        <v>19</v>
      </c>
      <c r="B117" s="32" cm="1">
        <f t="array" aca="1" ref="B117" ca="1">INDEX(Data_DBD!$B:$B,$A117)</f>
        <v>8</v>
      </c>
      <c r="C117" s="32" cm="1">
        <f t="array" aca="1" ref="C117" ca="1">INDEX(Data_DBD!$C:$C,$A117)</f>
        <v>4</v>
      </c>
      <c r="D117" s="32" cm="1">
        <f t="array" aca="1" ref="D117" ca="1">INDEX(Data_DBD!$D:$D,$A117)</f>
        <v>7</v>
      </c>
      <c r="E117" s="32" cm="1">
        <f t="array" aca="1" ref="E117" ca="1">INDEX(Data_DBD!$E:$E,$A117)</f>
        <v>0</v>
      </c>
      <c r="F117" s="32" cm="1">
        <f t="array" aca="1" ref="F117" ca="1">INDEX(Data_DBD!$F:$F,$A117)</f>
        <v>1</v>
      </c>
      <c r="H117" s="33">
        <v>120</v>
      </c>
      <c r="I117" s="33">
        <v>26</v>
      </c>
      <c r="J117" s="33">
        <v>4</v>
      </c>
      <c r="K117" s="33">
        <v>33</v>
      </c>
      <c r="L117" s="33">
        <v>1</v>
      </c>
      <c r="M117" s="33">
        <v>3</v>
      </c>
    </row>
    <row r="118" spans="1:13">
      <c r="A118" s="32">
        <f t="shared" ca="1" si="1"/>
        <v>26</v>
      </c>
      <c r="B118" s="32" cm="1">
        <f t="array" aca="1" ref="B118" ca="1">INDEX(Data_DBD!$B:$B,$A118)</f>
        <v>75</v>
      </c>
      <c r="C118" s="32" cm="1">
        <f t="array" aca="1" ref="C118" ca="1">INDEX(Data_DBD!$C:$C,$A118)</f>
        <v>4</v>
      </c>
      <c r="D118" s="32" cm="1">
        <f t="array" aca="1" ref="D118" ca="1">INDEX(Data_DBD!$D:$D,$A118)</f>
        <v>14</v>
      </c>
      <c r="E118" s="32" cm="1">
        <f t="array" aca="1" ref="E118" ca="1">INDEX(Data_DBD!$E:$E,$A118)</f>
        <v>1</v>
      </c>
      <c r="F118" s="32" cm="1">
        <f t="array" aca="1" ref="F118" ca="1">INDEX(Data_DBD!$F:$F,$A118)</f>
        <v>2</v>
      </c>
      <c r="H118" s="33">
        <v>66</v>
      </c>
      <c r="I118" s="33">
        <v>21</v>
      </c>
      <c r="J118" s="33">
        <v>5</v>
      </c>
      <c r="K118" s="33">
        <v>15</v>
      </c>
      <c r="L118" s="33">
        <v>1</v>
      </c>
      <c r="M118" s="33">
        <v>2</v>
      </c>
    </row>
    <row r="119" spans="1:13">
      <c r="A119" s="32">
        <f t="shared" ca="1" si="1"/>
        <v>12</v>
      </c>
      <c r="B119" s="32" cm="1">
        <f t="array" aca="1" ref="B119" ca="1">INDEX(Data_DBD!$B:$B,$A119)</f>
        <v>23</v>
      </c>
      <c r="C119" s="32" cm="1">
        <f t="array" aca="1" ref="C119" ca="1">INDEX(Data_DBD!$C:$C,$A119)</f>
        <v>3</v>
      </c>
      <c r="D119" s="32" cm="1">
        <f t="array" aca="1" ref="D119" ca="1">INDEX(Data_DBD!$D:$D,$A119)</f>
        <v>12</v>
      </c>
      <c r="E119" s="32" cm="1">
        <f t="array" aca="1" ref="E119" ca="1">INDEX(Data_DBD!$E:$E,$A119)</f>
        <v>0</v>
      </c>
      <c r="F119" s="32" cm="1">
        <f t="array" aca="1" ref="F119" ca="1">INDEX(Data_DBD!$F:$F,$A119)</f>
        <v>2</v>
      </c>
      <c r="H119" s="33">
        <v>107</v>
      </c>
      <c r="I119" s="33">
        <v>48</v>
      </c>
      <c r="J119" s="33">
        <v>5</v>
      </c>
      <c r="K119" s="33">
        <v>18</v>
      </c>
      <c r="L119" s="33">
        <v>0</v>
      </c>
      <c r="M119" s="33">
        <v>3</v>
      </c>
    </row>
    <row r="120" spans="1:13">
      <c r="A120" s="32">
        <f t="shared" ca="1" si="1"/>
        <v>122</v>
      </c>
      <c r="B120" s="32" cm="1">
        <f t="array" aca="1" ref="B120" ca="1">INDEX(Data_DBD!$B:$B,$A120)</f>
        <v>28</v>
      </c>
      <c r="C120" s="32" cm="1">
        <f t="array" aca="1" ref="C120" ca="1">INDEX(Data_DBD!$C:$C,$A120)</f>
        <v>3</v>
      </c>
      <c r="D120" s="32" cm="1">
        <f t="array" aca="1" ref="D120" ca="1">INDEX(Data_DBD!$D:$D,$A120)</f>
        <v>33</v>
      </c>
      <c r="E120" s="32" cm="1">
        <f t="array" aca="1" ref="E120" ca="1">INDEX(Data_DBD!$E:$E,$A120)</f>
        <v>1</v>
      </c>
      <c r="F120" s="32" cm="1">
        <f t="array" aca="1" ref="F120" ca="1">INDEX(Data_DBD!$F:$F,$A120)</f>
        <v>3</v>
      </c>
      <c r="H120" s="33">
        <v>101</v>
      </c>
      <c r="I120" s="33">
        <v>42</v>
      </c>
      <c r="J120" s="33">
        <v>5</v>
      </c>
      <c r="K120" s="33">
        <v>18</v>
      </c>
      <c r="L120" s="33">
        <v>0</v>
      </c>
      <c r="M120" s="33">
        <v>3</v>
      </c>
    </row>
    <row r="121" spans="1:13">
      <c r="A121" s="32">
        <f t="shared" ca="1" si="1"/>
        <v>75</v>
      </c>
      <c r="B121" s="32" cm="1">
        <f t="array" aca="1" ref="B121" ca="1">INDEX(Data_DBD!$B:$B,$A121)</f>
        <v>2</v>
      </c>
      <c r="C121" s="32" cm="1">
        <f t="array" aca="1" ref="C121" ca="1">INDEX(Data_DBD!$C:$C,$A121)</f>
        <v>2</v>
      </c>
      <c r="D121" s="32" cm="1">
        <f t="array" aca="1" ref="D121" ca="1">INDEX(Data_DBD!$D:$D,$A121)</f>
        <v>10</v>
      </c>
      <c r="E121" s="32" cm="1">
        <f t="array" aca="1" ref="E121" ca="1">INDEX(Data_DBD!$E:$E,$A121)</f>
        <v>1</v>
      </c>
      <c r="F121" s="32" cm="1">
        <f t="array" aca="1" ref="F121" ca="1">INDEX(Data_DBD!$F:$F,$A121)</f>
        <v>2</v>
      </c>
      <c r="H121" s="33">
        <v>128</v>
      </c>
      <c r="I121" s="33">
        <v>38</v>
      </c>
      <c r="J121" s="33">
        <v>2</v>
      </c>
      <c r="K121" s="33">
        <v>33</v>
      </c>
      <c r="L121" s="33">
        <v>0</v>
      </c>
      <c r="M121" s="33">
        <v>3</v>
      </c>
    </row>
    <row r="122" spans="1:13">
      <c r="A122" s="32">
        <f t="shared" ca="1" si="1"/>
        <v>93</v>
      </c>
      <c r="B122" s="32" cm="1">
        <f t="array" aca="1" ref="B122" ca="1">INDEX(Data_DBD!$B:$B,$A122)</f>
        <v>65</v>
      </c>
      <c r="C122" s="32" cm="1">
        <f t="array" aca="1" ref="C122" ca="1">INDEX(Data_DBD!$C:$C,$A122)</f>
        <v>4</v>
      </c>
      <c r="D122" s="32" cm="1">
        <f t="array" aca="1" ref="D122" ca="1">INDEX(Data_DBD!$D:$D,$A122)</f>
        <v>18</v>
      </c>
      <c r="E122" s="32" cm="1">
        <f t="array" aca="1" ref="E122" ca="1">INDEX(Data_DBD!$E:$E,$A122)</f>
        <v>0</v>
      </c>
      <c r="F122" s="32" cm="1">
        <f t="array" aca="1" ref="F122" ca="1">INDEX(Data_DBD!$F:$F,$A122)</f>
        <v>3</v>
      </c>
      <c r="H122" s="33">
        <v>130</v>
      </c>
      <c r="I122" s="33">
        <v>12</v>
      </c>
      <c r="J122" s="33">
        <v>4</v>
      </c>
      <c r="K122" s="33">
        <v>33</v>
      </c>
      <c r="L122" s="33">
        <v>0</v>
      </c>
      <c r="M122" s="33">
        <v>3</v>
      </c>
    </row>
    <row r="123" spans="1:13">
      <c r="A123" s="32">
        <f t="shared" ca="1" si="1"/>
        <v>123</v>
      </c>
      <c r="B123" s="32" cm="1">
        <f t="array" aca="1" ref="B123" ca="1">INDEX(Data_DBD!$B:$B,$A123)</f>
        <v>22</v>
      </c>
      <c r="C123" s="32" cm="1">
        <f t="array" aca="1" ref="C123" ca="1">INDEX(Data_DBD!$C:$C,$A123)</f>
        <v>4</v>
      </c>
      <c r="D123" s="32" cm="1">
        <f t="array" aca="1" ref="D123" ca="1">INDEX(Data_DBD!$D:$D,$A123)</f>
        <v>33</v>
      </c>
      <c r="E123" s="32" cm="1">
        <f t="array" aca="1" ref="E123" ca="1">INDEX(Data_DBD!$E:$E,$A123)</f>
        <v>0</v>
      </c>
      <c r="F123" s="32" cm="1">
        <f t="array" aca="1" ref="F123" ca="1">INDEX(Data_DBD!$F:$F,$A123)</f>
        <v>3</v>
      </c>
      <c r="H123" s="33">
        <v>115</v>
      </c>
      <c r="I123" s="33">
        <v>52</v>
      </c>
      <c r="J123" s="33">
        <v>3</v>
      </c>
      <c r="K123" s="33">
        <v>33</v>
      </c>
      <c r="L123" s="33">
        <v>1</v>
      </c>
      <c r="M123" s="33">
        <v>3</v>
      </c>
    </row>
    <row r="124" spans="1:13">
      <c r="A124" s="32">
        <f t="shared" ca="1" si="1"/>
        <v>92</v>
      </c>
      <c r="B124" s="32" cm="1">
        <f t="array" aca="1" ref="B124" ca="1">INDEX(Data_DBD!$B:$B,$A124)</f>
        <v>55</v>
      </c>
      <c r="C124" s="32" cm="1">
        <f t="array" aca="1" ref="C124" ca="1">INDEX(Data_DBD!$C:$C,$A124)</f>
        <v>7</v>
      </c>
      <c r="D124" s="32" cm="1">
        <f t="array" aca="1" ref="D124" ca="1">INDEX(Data_DBD!$D:$D,$A124)</f>
        <v>18</v>
      </c>
      <c r="E124" s="32" cm="1">
        <f t="array" aca="1" ref="E124" ca="1">INDEX(Data_DBD!$E:$E,$A124)</f>
        <v>0</v>
      </c>
      <c r="F124" s="32" cm="1">
        <f t="array" aca="1" ref="F124" ca="1">INDEX(Data_DBD!$F:$F,$A124)</f>
        <v>3</v>
      </c>
      <c r="H124" s="33">
        <v>132</v>
      </c>
      <c r="I124" s="33">
        <v>10</v>
      </c>
      <c r="J124" s="33">
        <v>3</v>
      </c>
      <c r="K124" s="33">
        <v>33</v>
      </c>
      <c r="L124" s="33">
        <v>1</v>
      </c>
      <c r="M124" s="33">
        <v>3</v>
      </c>
    </row>
    <row r="125" spans="1:13">
      <c r="A125" s="32">
        <f t="shared" ca="1" si="1"/>
        <v>44</v>
      </c>
      <c r="B125" s="32" cm="1">
        <f t="array" aca="1" ref="B125" ca="1">INDEX(Data_DBD!$B:$B,$A125)</f>
        <v>28</v>
      </c>
      <c r="C125" s="32" cm="1">
        <f t="array" aca="1" ref="C125" ca="1">INDEX(Data_DBD!$C:$C,$A125)</f>
        <v>5</v>
      </c>
      <c r="D125" s="32" cm="1">
        <f t="array" aca="1" ref="D125" ca="1">INDEX(Data_DBD!$D:$D,$A125)</f>
        <v>13</v>
      </c>
      <c r="E125" s="32" cm="1">
        <f t="array" aca="1" ref="E125" ca="1">INDEX(Data_DBD!$E:$E,$A125)</f>
        <v>1</v>
      </c>
      <c r="F125" s="32" cm="1">
        <f t="array" aca="1" ref="F125" ca="1">INDEX(Data_DBD!$F:$F,$A125)</f>
        <v>2</v>
      </c>
      <c r="H125" s="33">
        <v>153</v>
      </c>
      <c r="I125" s="33">
        <v>73</v>
      </c>
      <c r="J125" s="33">
        <v>7</v>
      </c>
      <c r="K125" s="33">
        <v>21</v>
      </c>
      <c r="L125" s="33">
        <v>1</v>
      </c>
      <c r="M125" s="33">
        <v>3</v>
      </c>
    </row>
    <row r="126" spans="1:13">
      <c r="A126" s="32">
        <f t="shared" ca="1" si="1"/>
        <v>54</v>
      </c>
      <c r="B126" s="32" cm="1">
        <f t="array" aca="1" ref="B126" ca="1">INDEX(Data_DBD!$B:$B,$A126)</f>
        <v>7</v>
      </c>
      <c r="C126" s="32" cm="1">
        <f t="array" aca="1" ref="C126" ca="1">INDEX(Data_DBD!$C:$C,$A126)</f>
        <v>3</v>
      </c>
      <c r="D126" s="32" cm="1">
        <f t="array" aca="1" ref="D126" ca="1">INDEX(Data_DBD!$D:$D,$A126)</f>
        <v>15</v>
      </c>
      <c r="E126" s="32" cm="1">
        <f t="array" aca="1" ref="E126" ca="1">INDEX(Data_DBD!$E:$E,$A126)</f>
        <v>0</v>
      </c>
      <c r="F126" s="32" cm="1">
        <f t="array" aca="1" ref="F126" ca="1">INDEX(Data_DBD!$F:$F,$A126)</f>
        <v>2</v>
      </c>
      <c r="H126" s="33">
        <v>44</v>
      </c>
      <c r="I126" s="33">
        <v>28</v>
      </c>
      <c r="J126" s="33">
        <v>5</v>
      </c>
      <c r="K126" s="33">
        <v>13</v>
      </c>
      <c r="L126" s="33">
        <v>1</v>
      </c>
      <c r="M126" s="33">
        <v>2</v>
      </c>
    </row>
    <row r="127" spans="1:13">
      <c r="A127" s="32">
        <f t="shared" ca="1" si="1"/>
        <v>115</v>
      </c>
      <c r="B127" s="32" cm="1">
        <f t="array" aca="1" ref="B127" ca="1">INDEX(Data_DBD!$B:$B,$A127)</f>
        <v>52</v>
      </c>
      <c r="C127" s="32" cm="1">
        <f t="array" aca="1" ref="C127" ca="1">INDEX(Data_DBD!$C:$C,$A127)</f>
        <v>3</v>
      </c>
      <c r="D127" s="32" cm="1">
        <f t="array" aca="1" ref="D127" ca="1">INDEX(Data_DBD!$D:$D,$A127)</f>
        <v>33</v>
      </c>
      <c r="E127" s="32" cm="1">
        <f t="array" aca="1" ref="E127" ca="1">INDEX(Data_DBD!$E:$E,$A127)</f>
        <v>1</v>
      </c>
      <c r="F127" s="32" cm="1">
        <f t="array" aca="1" ref="F127" ca="1">INDEX(Data_DBD!$F:$F,$A127)</f>
        <v>3</v>
      </c>
      <c r="H127" s="33">
        <v>35</v>
      </c>
      <c r="I127" s="33">
        <v>40</v>
      </c>
      <c r="J127" s="33">
        <v>3</v>
      </c>
      <c r="K127" s="33">
        <v>4</v>
      </c>
      <c r="L127" s="33">
        <v>1</v>
      </c>
      <c r="M127" s="33">
        <v>1</v>
      </c>
    </row>
    <row r="128" spans="1:13">
      <c r="A128" s="32">
        <f t="shared" ca="1" si="1"/>
        <v>148</v>
      </c>
      <c r="B128" s="32" cm="1">
        <f t="array" aca="1" ref="B128" ca="1">INDEX(Data_DBD!$B:$B,$A128)</f>
        <v>55</v>
      </c>
      <c r="C128" s="32" cm="1">
        <f t="array" aca="1" ref="C128" ca="1">INDEX(Data_DBD!$C:$C,$A128)</f>
        <v>3</v>
      </c>
      <c r="D128" s="32" cm="1">
        <f t="array" aca="1" ref="D128" ca="1">INDEX(Data_DBD!$D:$D,$A128)</f>
        <v>21</v>
      </c>
      <c r="E128" s="32" cm="1">
        <f t="array" aca="1" ref="E128" ca="1">INDEX(Data_DBD!$E:$E,$A128)</f>
        <v>1</v>
      </c>
      <c r="F128" s="32" cm="1">
        <f t="array" aca="1" ref="F128" ca="1">INDEX(Data_DBD!$F:$F,$A128)</f>
        <v>3</v>
      </c>
      <c r="H128" s="33">
        <v>53</v>
      </c>
      <c r="I128" s="33">
        <v>35</v>
      </c>
      <c r="J128" s="33">
        <v>4</v>
      </c>
      <c r="K128" s="33">
        <v>15</v>
      </c>
      <c r="L128" s="33">
        <v>1</v>
      </c>
      <c r="M128" s="33">
        <v>2</v>
      </c>
    </row>
    <row r="129" spans="1:13">
      <c r="A129" s="32">
        <f t="shared" ca="1" si="1"/>
        <v>31</v>
      </c>
      <c r="B129" s="32" cm="1">
        <f t="array" aca="1" ref="B129" ca="1">INDEX(Data_DBD!$B:$B,$A129)</f>
        <v>64</v>
      </c>
      <c r="C129" s="32" cm="1">
        <f t="array" aca="1" ref="C129" ca="1">INDEX(Data_DBD!$C:$C,$A129)</f>
        <v>4</v>
      </c>
      <c r="D129" s="32" cm="1">
        <f t="array" aca="1" ref="D129" ca="1">INDEX(Data_DBD!$D:$D,$A129)</f>
        <v>14</v>
      </c>
      <c r="E129" s="32" cm="1">
        <f t="array" aca="1" ref="E129" ca="1">INDEX(Data_DBD!$E:$E,$A129)</f>
        <v>1</v>
      </c>
      <c r="F129" s="32" cm="1">
        <f t="array" aca="1" ref="F129" ca="1">INDEX(Data_DBD!$F:$F,$A129)</f>
        <v>2</v>
      </c>
      <c r="H129" s="33">
        <v>86</v>
      </c>
      <c r="I129" s="33">
        <v>23</v>
      </c>
      <c r="J129" s="33">
        <v>3</v>
      </c>
      <c r="K129" s="33">
        <v>13</v>
      </c>
      <c r="L129" s="33">
        <v>0</v>
      </c>
      <c r="M129" s="33">
        <v>2</v>
      </c>
    </row>
    <row r="130" spans="1:13">
      <c r="A130" s="32">
        <f t="shared" ca="1" si="1"/>
        <v>6</v>
      </c>
      <c r="B130" s="32" cm="1">
        <f t="array" aca="1" ref="B130" ca="1">INDEX(Data_DBD!$B:$B,$A130)</f>
        <v>14</v>
      </c>
      <c r="C130" s="32" cm="1">
        <f t="array" aca="1" ref="C130" ca="1">INDEX(Data_DBD!$C:$C,$A130)</f>
        <v>4</v>
      </c>
      <c r="D130" s="32" cm="1">
        <f t="array" aca="1" ref="D130" ca="1">INDEX(Data_DBD!$D:$D,$A130)</f>
        <v>12</v>
      </c>
      <c r="E130" s="32" cm="1">
        <f t="array" aca="1" ref="E130" ca="1">INDEX(Data_DBD!$E:$E,$A130)</f>
        <v>0</v>
      </c>
      <c r="F130" s="32" cm="1">
        <f t="array" aca="1" ref="F130" ca="1">INDEX(Data_DBD!$F:$F,$A130)</f>
        <v>2</v>
      </c>
      <c r="H130" s="33">
        <v>47</v>
      </c>
      <c r="I130" s="33">
        <v>19</v>
      </c>
      <c r="J130" s="33">
        <v>2</v>
      </c>
      <c r="K130" s="33">
        <v>13</v>
      </c>
      <c r="L130" s="33">
        <v>0</v>
      </c>
      <c r="M130" s="33">
        <v>2</v>
      </c>
    </row>
    <row r="131" spans="1:13">
      <c r="A131" s="32">
        <f t="shared" ref="A131:A164" ca="1" si="2">RANDBETWEEN(2,164)</f>
        <v>132</v>
      </c>
      <c r="B131" s="32" cm="1">
        <f t="array" aca="1" ref="B131" ca="1">INDEX(Data_DBD!$B:$B,$A131)</f>
        <v>10</v>
      </c>
      <c r="C131" s="32" cm="1">
        <f t="array" aca="1" ref="C131" ca="1">INDEX(Data_DBD!$C:$C,$A131)</f>
        <v>3</v>
      </c>
      <c r="D131" s="32" cm="1">
        <f t="array" aca="1" ref="D131" ca="1">INDEX(Data_DBD!$D:$D,$A131)</f>
        <v>33</v>
      </c>
      <c r="E131" s="32" cm="1">
        <f t="array" aca="1" ref="E131" ca="1">INDEX(Data_DBD!$E:$E,$A131)</f>
        <v>1</v>
      </c>
      <c r="F131" s="32" cm="1">
        <f t="array" aca="1" ref="F131" ca="1">INDEX(Data_DBD!$F:$F,$A131)</f>
        <v>3</v>
      </c>
      <c r="H131" s="33">
        <v>113</v>
      </c>
      <c r="I131" s="33">
        <v>69</v>
      </c>
      <c r="J131" s="33">
        <v>1</v>
      </c>
      <c r="K131" s="33">
        <v>33</v>
      </c>
      <c r="L131" s="33">
        <v>1</v>
      </c>
      <c r="M131" s="33">
        <v>3</v>
      </c>
    </row>
    <row r="132" spans="1:13">
      <c r="A132" s="32">
        <f t="shared" ca="1" si="2"/>
        <v>100</v>
      </c>
      <c r="B132" s="32" cm="1">
        <f t="array" aca="1" ref="B132" ca="1">INDEX(Data_DBD!$B:$B,$A132)</f>
        <v>19</v>
      </c>
      <c r="C132" s="32" cm="1">
        <f t="array" aca="1" ref="C132" ca="1">INDEX(Data_DBD!$C:$C,$A132)</f>
        <v>6</v>
      </c>
      <c r="D132" s="32" cm="1">
        <f t="array" aca="1" ref="D132" ca="1">INDEX(Data_DBD!$D:$D,$A132)</f>
        <v>18</v>
      </c>
      <c r="E132" s="32" cm="1">
        <f t="array" aca="1" ref="E132" ca="1">INDEX(Data_DBD!$E:$E,$A132)</f>
        <v>0</v>
      </c>
      <c r="F132" s="32" cm="1">
        <f t="array" aca="1" ref="F132" ca="1">INDEX(Data_DBD!$F:$F,$A132)</f>
        <v>3</v>
      </c>
      <c r="H132" s="33">
        <v>16</v>
      </c>
      <c r="I132" s="33">
        <v>66</v>
      </c>
      <c r="J132" s="33">
        <v>5</v>
      </c>
      <c r="K132" s="33">
        <v>7</v>
      </c>
      <c r="L132" s="33">
        <v>1</v>
      </c>
      <c r="M132" s="33">
        <v>1</v>
      </c>
    </row>
    <row r="133" spans="1:13">
      <c r="A133" s="32">
        <f t="shared" ca="1" si="2"/>
        <v>12</v>
      </c>
      <c r="B133" s="32" cm="1">
        <f t="array" aca="1" ref="B133" ca="1">INDEX(Data_DBD!$B:$B,$A133)</f>
        <v>23</v>
      </c>
      <c r="C133" s="32" cm="1">
        <f t="array" aca="1" ref="C133" ca="1">INDEX(Data_DBD!$C:$C,$A133)</f>
        <v>3</v>
      </c>
      <c r="D133" s="32" cm="1">
        <f t="array" aca="1" ref="D133" ca="1">INDEX(Data_DBD!$D:$D,$A133)</f>
        <v>12</v>
      </c>
      <c r="E133" s="32" cm="1">
        <f t="array" aca="1" ref="E133" ca="1">INDEX(Data_DBD!$E:$E,$A133)</f>
        <v>0</v>
      </c>
      <c r="F133" s="32" cm="1">
        <f t="array" aca="1" ref="F133" ca="1">INDEX(Data_DBD!$F:$F,$A133)</f>
        <v>2</v>
      </c>
      <c r="H133" s="33">
        <v>103</v>
      </c>
      <c r="I133" s="33">
        <v>22</v>
      </c>
      <c r="J133" s="33">
        <v>5</v>
      </c>
      <c r="K133" s="33">
        <v>18</v>
      </c>
      <c r="L133" s="33">
        <v>0</v>
      </c>
      <c r="M133" s="33">
        <v>3</v>
      </c>
    </row>
    <row r="134" spans="1:13">
      <c r="A134" s="32">
        <f t="shared" ca="1" si="2"/>
        <v>100</v>
      </c>
      <c r="B134" s="32" cm="1">
        <f t="array" aca="1" ref="B134" ca="1">INDEX(Data_DBD!$B:$B,$A134)</f>
        <v>19</v>
      </c>
      <c r="C134" s="32" cm="1">
        <f t="array" aca="1" ref="C134" ca="1">INDEX(Data_DBD!$C:$C,$A134)</f>
        <v>6</v>
      </c>
      <c r="D134" s="32" cm="1">
        <f t="array" aca="1" ref="D134" ca="1">INDEX(Data_DBD!$D:$D,$A134)</f>
        <v>18</v>
      </c>
      <c r="E134" s="32" cm="1">
        <f t="array" aca="1" ref="E134" ca="1">INDEX(Data_DBD!$E:$E,$A134)</f>
        <v>0</v>
      </c>
      <c r="F134" s="32" cm="1">
        <f t="array" aca="1" ref="F134" ca="1">INDEX(Data_DBD!$F:$F,$A134)</f>
        <v>3</v>
      </c>
      <c r="H134" s="33">
        <v>77</v>
      </c>
      <c r="I134" s="33">
        <v>16</v>
      </c>
      <c r="J134" s="33">
        <v>4</v>
      </c>
      <c r="K134" s="33">
        <v>13</v>
      </c>
      <c r="L134" s="33">
        <v>1</v>
      </c>
      <c r="M134" s="33">
        <v>2</v>
      </c>
    </row>
    <row r="135" spans="1:13">
      <c r="A135" s="32">
        <f t="shared" ca="1" si="2"/>
        <v>76</v>
      </c>
      <c r="B135" s="32" cm="1">
        <f t="array" aca="1" ref="B135" ca="1">INDEX(Data_DBD!$B:$B,$A135)</f>
        <v>70</v>
      </c>
      <c r="C135" s="32" cm="1">
        <f t="array" aca="1" ref="C135" ca="1">INDEX(Data_DBD!$C:$C,$A135)</f>
        <v>2</v>
      </c>
      <c r="D135" s="32" cm="1">
        <f t="array" aca="1" ref="D135" ca="1">INDEX(Data_DBD!$D:$D,$A135)</f>
        <v>10</v>
      </c>
      <c r="E135" s="32" cm="1">
        <f t="array" aca="1" ref="E135" ca="1">INDEX(Data_DBD!$E:$E,$A135)</f>
        <v>0</v>
      </c>
      <c r="F135" s="32" cm="1">
        <f t="array" aca="1" ref="F135" ca="1">INDEX(Data_DBD!$F:$F,$A135)</f>
        <v>2</v>
      </c>
      <c r="H135" s="33">
        <v>24</v>
      </c>
      <c r="I135" s="33">
        <v>60</v>
      </c>
      <c r="J135" s="33">
        <v>4</v>
      </c>
      <c r="K135" s="33">
        <v>14</v>
      </c>
      <c r="L135" s="33">
        <v>0</v>
      </c>
      <c r="M135" s="33">
        <v>2</v>
      </c>
    </row>
    <row r="136" spans="1:13">
      <c r="A136" s="32">
        <f t="shared" ca="1" si="2"/>
        <v>23</v>
      </c>
      <c r="B136" s="32" cm="1">
        <f t="array" aca="1" ref="B136" ca="1">INDEX(Data_DBD!$B:$B,$A136)</f>
        <v>28</v>
      </c>
      <c r="C136" s="32" cm="1">
        <f t="array" aca="1" ref="C136" ca="1">INDEX(Data_DBD!$C:$C,$A136)</f>
        <v>4</v>
      </c>
      <c r="D136" s="32" cm="1">
        <f t="array" aca="1" ref="D136" ca="1">INDEX(Data_DBD!$D:$D,$A136)</f>
        <v>14</v>
      </c>
      <c r="E136" s="32" cm="1">
        <f t="array" aca="1" ref="E136" ca="1">INDEX(Data_DBD!$E:$E,$A136)</f>
        <v>1</v>
      </c>
      <c r="F136" s="32" cm="1">
        <f t="array" aca="1" ref="F136" ca="1">INDEX(Data_DBD!$F:$F,$A136)</f>
        <v>2</v>
      </c>
      <c r="H136" s="33">
        <v>123</v>
      </c>
      <c r="I136" s="33">
        <v>22</v>
      </c>
      <c r="J136" s="33">
        <v>4</v>
      </c>
      <c r="K136" s="33">
        <v>33</v>
      </c>
      <c r="L136" s="33">
        <v>0</v>
      </c>
      <c r="M136" s="33">
        <v>3</v>
      </c>
    </row>
    <row r="137" spans="1:13">
      <c r="A137" s="32">
        <f t="shared" ca="1" si="2"/>
        <v>10</v>
      </c>
      <c r="B137" s="32" cm="1">
        <f t="array" aca="1" ref="B137" ca="1">INDEX(Data_DBD!$B:$B,$A137)</f>
        <v>18</v>
      </c>
      <c r="C137" s="32" cm="1">
        <f t="array" aca="1" ref="C137" ca="1">INDEX(Data_DBD!$C:$C,$A137)</f>
        <v>5</v>
      </c>
      <c r="D137" s="32" cm="1">
        <f t="array" aca="1" ref="D137" ca="1">INDEX(Data_DBD!$D:$D,$A137)</f>
        <v>12</v>
      </c>
      <c r="E137" s="32" cm="1">
        <f t="array" aca="1" ref="E137" ca="1">INDEX(Data_DBD!$E:$E,$A137)</f>
        <v>0</v>
      </c>
      <c r="F137" s="32" cm="1">
        <f t="array" aca="1" ref="F137" ca="1">INDEX(Data_DBD!$F:$F,$A137)</f>
        <v>2</v>
      </c>
      <c r="H137" s="33">
        <v>15</v>
      </c>
      <c r="I137" s="33">
        <v>21</v>
      </c>
      <c r="J137" s="33">
        <v>2</v>
      </c>
      <c r="K137" s="33">
        <v>7</v>
      </c>
      <c r="L137" s="33">
        <v>0</v>
      </c>
      <c r="M137" s="33">
        <v>1</v>
      </c>
    </row>
    <row r="138" spans="1:13">
      <c r="A138" s="32">
        <f t="shared" ca="1" si="2"/>
        <v>139</v>
      </c>
      <c r="B138" s="32" cm="1">
        <f t="array" aca="1" ref="B138" ca="1">INDEX(Data_DBD!$B:$B,$A138)</f>
        <v>52</v>
      </c>
      <c r="C138" s="32" cm="1">
        <f t="array" aca="1" ref="C138" ca="1">INDEX(Data_DBD!$C:$C,$A138)</f>
        <v>7</v>
      </c>
      <c r="D138" s="32" cm="1">
        <f t="array" aca="1" ref="D138" ca="1">INDEX(Data_DBD!$D:$D,$A138)</f>
        <v>21</v>
      </c>
      <c r="E138" s="32" cm="1">
        <f t="array" aca="1" ref="E138" ca="1">INDEX(Data_DBD!$E:$E,$A138)</f>
        <v>0</v>
      </c>
      <c r="F138" s="32" cm="1">
        <f t="array" aca="1" ref="F138" ca="1">INDEX(Data_DBD!$F:$F,$A138)</f>
        <v>3</v>
      </c>
      <c r="H138" s="33">
        <v>19</v>
      </c>
      <c r="I138" s="33">
        <v>8</v>
      </c>
      <c r="J138" s="33">
        <v>4</v>
      </c>
      <c r="K138" s="33">
        <v>7</v>
      </c>
      <c r="L138" s="33">
        <v>0</v>
      </c>
      <c r="M138" s="33">
        <v>1</v>
      </c>
    </row>
    <row r="139" spans="1:13">
      <c r="A139" s="32">
        <f t="shared" ca="1" si="2"/>
        <v>10</v>
      </c>
      <c r="B139" s="32" cm="1">
        <f t="array" aca="1" ref="B139" ca="1">INDEX(Data_DBD!$B:$B,$A139)</f>
        <v>18</v>
      </c>
      <c r="C139" s="32" cm="1">
        <f t="array" aca="1" ref="C139" ca="1">INDEX(Data_DBD!$C:$C,$A139)</f>
        <v>5</v>
      </c>
      <c r="D139" s="32" cm="1">
        <f t="array" aca="1" ref="D139" ca="1">INDEX(Data_DBD!$D:$D,$A139)</f>
        <v>12</v>
      </c>
      <c r="E139" s="32" cm="1">
        <f t="array" aca="1" ref="E139" ca="1">INDEX(Data_DBD!$E:$E,$A139)</f>
        <v>0</v>
      </c>
      <c r="F139" s="32" cm="1">
        <f t="array" aca="1" ref="F139" ca="1">INDEX(Data_DBD!$F:$F,$A139)</f>
        <v>2</v>
      </c>
      <c r="H139" s="33">
        <v>163</v>
      </c>
      <c r="I139" s="33">
        <v>34</v>
      </c>
      <c r="J139" s="33">
        <v>4</v>
      </c>
      <c r="K139" s="33">
        <v>3</v>
      </c>
      <c r="L139" s="33">
        <v>1</v>
      </c>
      <c r="M139" s="33">
        <v>1</v>
      </c>
    </row>
    <row r="140" spans="1:13">
      <c r="A140" s="32">
        <f t="shared" ca="1" si="2"/>
        <v>53</v>
      </c>
      <c r="B140" s="32" cm="1">
        <f t="array" aca="1" ref="B140" ca="1">INDEX(Data_DBD!$B:$B,$A140)</f>
        <v>35</v>
      </c>
      <c r="C140" s="32" cm="1">
        <f t="array" aca="1" ref="C140" ca="1">INDEX(Data_DBD!$C:$C,$A140)</f>
        <v>4</v>
      </c>
      <c r="D140" s="32" cm="1">
        <f t="array" aca="1" ref="D140" ca="1">INDEX(Data_DBD!$D:$D,$A140)</f>
        <v>15</v>
      </c>
      <c r="E140" s="32" cm="1">
        <f t="array" aca="1" ref="E140" ca="1">INDEX(Data_DBD!$E:$E,$A140)</f>
        <v>1</v>
      </c>
      <c r="F140" s="32" cm="1">
        <f t="array" aca="1" ref="F140" ca="1">INDEX(Data_DBD!$F:$F,$A140)</f>
        <v>2</v>
      </c>
      <c r="H140" s="33">
        <v>68</v>
      </c>
      <c r="I140" s="33">
        <v>44</v>
      </c>
      <c r="J140" s="33">
        <v>5</v>
      </c>
      <c r="K140" s="33">
        <v>10</v>
      </c>
      <c r="L140" s="33">
        <v>0</v>
      </c>
      <c r="M140" s="33">
        <v>2</v>
      </c>
    </row>
    <row r="141" spans="1:13">
      <c r="A141" s="32">
        <f t="shared" ca="1" si="2"/>
        <v>17</v>
      </c>
      <c r="B141" s="32" cm="1">
        <f t="array" aca="1" ref="B141" ca="1">INDEX(Data_DBD!$B:$B,$A141)</f>
        <v>2</v>
      </c>
      <c r="C141" s="32" cm="1">
        <f t="array" aca="1" ref="C141" ca="1">INDEX(Data_DBD!$C:$C,$A141)</f>
        <v>3</v>
      </c>
      <c r="D141" s="32" cm="1">
        <f t="array" aca="1" ref="D141" ca="1">INDEX(Data_DBD!$D:$D,$A141)</f>
        <v>7</v>
      </c>
      <c r="E141" s="32" cm="1">
        <f t="array" aca="1" ref="E141" ca="1">INDEX(Data_DBD!$E:$E,$A141)</f>
        <v>0</v>
      </c>
      <c r="F141" s="32" cm="1">
        <f t="array" aca="1" ref="F141" ca="1">INDEX(Data_DBD!$F:$F,$A141)</f>
        <v>1</v>
      </c>
      <c r="H141" s="33">
        <v>81</v>
      </c>
      <c r="I141" s="33">
        <v>23</v>
      </c>
      <c r="J141" s="33">
        <v>5</v>
      </c>
      <c r="K141" s="33">
        <v>13</v>
      </c>
      <c r="L141" s="33">
        <v>1</v>
      </c>
      <c r="M141" s="33">
        <v>2</v>
      </c>
    </row>
    <row r="142" spans="1:13">
      <c r="A142" s="32">
        <f t="shared" ca="1" si="2"/>
        <v>110</v>
      </c>
      <c r="B142" s="32" cm="1">
        <f t="array" aca="1" ref="B142" ca="1">INDEX(Data_DBD!$B:$B,$A142)</f>
        <v>42</v>
      </c>
      <c r="C142" s="32" cm="1">
        <f t="array" aca="1" ref="C142" ca="1">INDEX(Data_DBD!$C:$C,$A142)</f>
        <v>2</v>
      </c>
      <c r="D142" s="32" cm="1">
        <f t="array" aca="1" ref="D142" ca="1">INDEX(Data_DBD!$D:$D,$A142)</f>
        <v>33</v>
      </c>
      <c r="E142" s="32" cm="1">
        <f t="array" aca="1" ref="E142" ca="1">INDEX(Data_DBD!$E:$E,$A142)</f>
        <v>1</v>
      </c>
      <c r="F142" s="32" cm="1">
        <f t="array" aca="1" ref="F142" ca="1">INDEX(Data_DBD!$F:$F,$A142)</f>
        <v>3</v>
      </c>
      <c r="H142" s="33">
        <v>114</v>
      </c>
      <c r="I142" s="33">
        <v>14</v>
      </c>
      <c r="J142" s="33">
        <v>2</v>
      </c>
      <c r="K142" s="33">
        <v>33</v>
      </c>
      <c r="L142" s="33">
        <v>1</v>
      </c>
      <c r="M142" s="33">
        <v>3</v>
      </c>
    </row>
    <row r="143" spans="1:13">
      <c r="A143" s="32">
        <f t="shared" ca="1" si="2"/>
        <v>147</v>
      </c>
      <c r="B143" s="32" cm="1">
        <f t="array" aca="1" ref="B143" ca="1">INDEX(Data_DBD!$B:$B,$A143)</f>
        <v>66</v>
      </c>
      <c r="C143" s="32" cm="1">
        <f t="array" aca="1" ref="C143" ca="1">INDEX(Data_DBD!$C:$C,$A143)</f>
        <v>10</v>
      </c>
      <c r="D143" s="32" cm="1">
        <f t="array" aca="1" ref="D143" ca="1">INDEX(Data_DBD!$D:$D,$A143)</f>
        <v>21</v>
      </c>
      <c r="E143" s="32" cm="1">
        <f t="array" aca="1" ref="E143" ca="1">INDEX(Data_DBD!$E:$E,$A143)</f>
        <v>1</v>
      </c>
      <c r="F143" s="32" cm="1">
        <f t="array" aca="1" ref="F143" ca="1">INDEX(Data_DBD!$F:$F,$A143)</f>
        <v>3</v>
      </c>
      <c r="H143" s="33">
        <v>141</v>
      </c>
      <c r="I143" s="33">
        <v>36</v>
      </c>
      <c r="J143" s="33">
        <v>2</v>
      </c>
      <c r="K143" s="33">
        <v>21</v>
      </c>
      <c r="L143" s="33">
        <v>0</v>
      </c>
      <c r="M143" s="33">
        <v>3</v>
      </c>
    </row>
    <row r="144" spans="1:13">
      <c r="A144" s="32">
        <f t="shared" ca="1" si="2"/>
        <v>128</v>
      </c>
      <c r="B144" s="32" cm="1">
        <f t="array" aca="1" ref="B144" ca="1">INDEX(Data_DBD!$B:$B,$A144)</f>
        <v>38</v>
      </c>
      <c r="C144" s="32" cm="1">
        <f t="array" aca="1" ref="C144" ca="1">INDEX(Data_DBD!$C:$C,$A144)</f>
        <v>2</v>
      </c>
      <c r="D144" s="32" cm="1">
        <f t="array" aca="1" ref="D144" ca="1">INDEX(Data_DBD!$D:$D,$A144)</f>
        <v>33</v>
      </c>
      <c r="E144" s="32" cm="1">
        <f t="array" aca="1" ref="E144" ca="1">INDEX(Data_DBD!$E:$E,$A144)</f>
        <v>0</v>
      </c>
      <c r="F144" s="32" cm="1">
        <f t="array" aca="1" ref="F144" ca="1">INDEX(Data_DBD!$F:$F,$A144)</f>
        <v>3</v>
      </c>
      <c r="H144" s="33">
        <v>66</v>
      </c>
      <c r="I144" s="33">
        <v>21</v>
      </c>
      <c r="J144" s="33">
        <v>5</v>
      </c>
      <c r="K144" s="33">
        <v>15</v>
      </c>
      <c r="L144" s="33">
        <v>1</v>
      </c>
      <c r="M144" s="33">
        <v>2</v>
      </c>
    </row>
    <row r="145" spans="1:21">
      <c r="A145" s="32">
        <f t="shared" ca="1" si="2"/>
        <v>5</v>
      </c>
      <c r="B145" s="32" cm="1">
        <f t="array" aca="1" ref="B145" ca="1">INDEX(Data_DBD!$B:$B,$A145)</f>
        <v>18</v>
      </c>
      <c r="C145" s="32" cm="1">
        <f t="array" aca="1" ref="C145" ca="1">INDEX(Data_DBD!$C:$C,$A145)</f>
        <v>2</v>
      </c>
      <c r="D145" s="32" cm="1">
        <f t="array" aca="1" ref="D145" ca="1">INDEX(Data_DBD!$D:$D,$A145)</f>
        <v>12</v>
      </c>
      <c r="E145" s="32" cm="1">
        <f t="array" aca="1" ref="E145" ca="1">INDEX(Data_DBD!$E:$E,$A145)</f>
        <v>1</v>
      </c>
      <c r="F145" s="32" cm="1">
        <f t="array" aca="1" ref="F145" ca="1">INDEX(Data_DBD!$F:$F,$A145)</f>
        <v>2</v>
      </c>
      <c r="H145" s="33">
        <v>150</v>
      </c>
      <c r="I145" s="33">
        <v>61</v>
      </c>
      <c r="J145" s="33">
        <v>5</v>
      </c>
      <c r="K145" s="33">
        <v>21</v>
      </c>
      <c r="L145" s="33">
        <v>1</v>
      </c>
      <c r="M145" s="33">
        <v>3</v>
      </c>
    </row>
    <row r="146" spans="1:21">
      <c r="A146" s="32">
        <f t="shared" ca="1" si="2"/>
        <v>147</v>
      </c>
      <c r="B146" s="32" cm="1">
        <f t="array" aca="1" ref="B146" ca="1">INDEX(Data_DBD!$B:$B,$A146)</f>
        <v>66</v>
      </c>
      <c r="C146" s="32" cm="1">
        <f t="array" aca="1" ref="C146" ca="1">INDEX(Data_DBD!$C:$C,$A146)</f>
        <v>10</v>
      </c>
      <c r="D146" s="32" cm="1">
        <f t="array" aca="1" ref="D146" ca="1">INDEX(Data_DBD!$D:$D,$A146)</f>
        <v>21</v>
      </c>
      <c r="E146" s="32" cm="1">
        <f t="array" aca="1" ref="E146" ca="1">INDEX(Data_DBD!$E:$E,$A146)</f>
        <v>1</v>
      </c>
      <c r="F146" s="32" cm="1">
        <f t="array" aca="1" ref="F146" ca="1">INDEX(Data_DBD!$F:$F,$A146)</f>
        <v>3</v>
      </c>
      <c r="H146" s="33">
        <v>18</v>
      </c>
      <c r="I146" s="33">
        <v>49</v>
      </c>
      <c r="J146" s="33">
        <v>4</v>
      </c>
      <c r="K146" s="33">
        <v>7</v>
      </c>
      <c r="L146" s="33">
        <v>1</v>
      </c>
      <c r="M146" s="33">
        <v>1</v>
      </c>
    </row>
    <row r="147" spans="1:21">
      <c r="A147" s="32">
        <f t="shared" ca="1" si="2"/>
        <v>50</v>
      </c>
      <c r="B147" s="32" cm="1">
        <f t="array" aca="1" ref="B147" ca="1">INDEX(Data_DBD!$B:$B,$A147)</f>
        <v>19</v>
      </c>
      <c r="C147" s="32" cm="1">
        <f t="array" aca="1" ref="C147" ca="1">INDEX(Data_DBD!$C:$C,$A147)</f>
        <v>5</v>
      </c>
      <c r="D147" s="32" cm="1">
        <f t="array" aca="1" ref="D147" ca="1">INDEX(Data_DBD!$D:$D,$A147)</f>
        <v>13</v>
      </c>
      <c r="E147" s="32" cm="1">
        <f t="array" aca="1" ref="E147" ca="1">INDEX(Data_DBD!$E:$E,$A147)</f>
        <v>0</v>
      </c>
      <c r="F147" s="32" cm="1">
        <f t="array" aca="1" ref="F147" ca="1">INDEX(Data_DBD!$F:$F,$A147)</f>
        <v>2</v>
      </c>
      <c r="H147" s="33">
        <v>50</v>
      </c>
      <c r="I147" s="33">
        <v>19</v>
      </c>
      <c r="J147" s="33">
        <v>5</v>
      </c>
      <c r="K147" s="33">
        <v>13</v>
      </c>
      <c r="L147" s="33">
        <v>0</v>
      </c>
      <c r="M147" s="33">
        <v>2</v>
      </c>
    </row>
    <row r="148" spans="1:21">
      <c r="A148" s="32">
        <f t="shared" ca="1" si="2"/>
        <v>146</v>
      </c>
      <c r="B148" s="32" cm="1">
        <f t="array" aca="1" ref="B148" ca="1">INDEX(Data_DBD!$B:$B,$A148)</f>
        <v>34</v>
      </c>
      <c r="C148" s="32" cm="1">
        <f t="array" aca="1" ref="C148" ca="1">INDEX(Data_DBD!$C:$C,$A148)</f>
        <v>2</v>
      </c>
      <c r="D148" s="32" cm="1">
        <f t="array" aca="1" ref="D148" ca="1">INDEX(Data_DBD!$D:$D,$A148)</f>
        <v>21</v>
      </c>
      <c r="E148" s="32" cm="1">
        <f t="array" aca="1" ref="E148" ca="1">INDEX(Data_DBD!$E:$E,$A148)</f>
        <v>1</v>
      </c>
      <c r="F148" s="32" cm="1">
        <f t="array" aca="1" ref="F148" ca="1">INDEX(Data_DBD!$F:$F,$A148)</f>
        <v>3</v>
      </c>
      <c r="H148" s="33">
        <v>17</v>
      </c>
      <c r="I148" s="33">
        <v>2</v>
      </c>
      <c r="J148" s="33">
        <v>3</v>
      </c>
      <c r="K148" s="33">
        <v>7</v>
      </c>
      <c r="L148" s="33">
        <v>0</v>
      </c>
      <c r="M148" s="33">
        <v>1</v>
      </c>
    </row>
    <row r="149" spans="1:21">
      <c r="A149" s="32">
        <f t="shared" ca="1" si="2"/>
        <v>13</v>
      </c>
      <c r="B149" s="32" cm="1">
        <f t="array" aca="1" ref="B149" ca="1">INDEX(Data_DBD!$B:$B,$A149)</f>
        <v>47</v>
      </c>
      <c r="C149" s="32" cm="1">
        <f t="array" aca="1" ref="C149" ca="1">INDEX(Data_DBD!$C:$C,$A149)</f>
        <v>2</v>
      </c>
      <c r="D149" s="32" cm="1">
        <f t="array" aca="1" ref="D149" ca="1">INDEX(Data_DBD!$D:$D,$A149)</f>
        <v>12</v>
      </c>
      <c r="E149" s="32" cm="1">
        <f t="array" aca="1" ref="E149" ca="1">INDEX(Data_DBD!$E:$E,$A149)</f>
        <v>0</v>
      </c>
      <c r="F149" s="32" cm="1">
        <f t="array" aca="1" ref="F149" ca="1">INDEX(Data_DBD!$F:$F,$A149)</f>
        <v>2</v>
      </c>
      <c r="H149" s="33">
        <v>91</v>
      </c>
      <c r="I149" s="33">
        <v>35</v>
      </c>
      <c r="J149" s="33">
        <v>1</v>
      </c>
      <c r="K149" s="33">
        <v>18</v>
      </c>
      <c r="L149" s="33">
        <v>1</v>
      </c>
      <c r="M149" s="33">
        <v>3</v>
      </c>
    </row>
    <row r="150" spans="1:21">
      <c r="A150" s="32">
        <f t="shared" ca="1" si="2"/>
        <v>108</v>
      </c>
      <c r="B150" s="32" cm="1">
        <f t="array" aca="1" ref="B150" ca="1">INDEX(Data_DBD!$B:$B,$A150)</f>
        <v>69</v>
      </c>
      <c r="C150" s="32" cm="1">
        <f t="array" aca="1" ref="C150" ca="1">INDEX(Data_DBD!$C:$C,$A150)</f>
        <v>7</v>
      </c>
      <c r="D150" s="32" cm="1">
        <f t="array" aca="1" ref="D150" ca="1">INDEX(Data_DBD!$D:$D,$A150)</f>
        <v>33</v>
      </c>
      <c r="E150" s="32" cm="1">
        <f t="array" aca="1" ref="E150" ca="1">INDEX(Data_DBD!$E:$E,$A150)</f>
        <v>1</v>
      </c>
      <c r="F150" s="32" cm="1">
        <f t="array" aca="1" ref="F150" ca="1">INDEX(Data_DBD!$F:$F,$A150)</f>
        <v>3</v>
      </c>
      <c r="H150" s="33">
        <v>24</v>
      </c>
      <c r="I150" s="33">
        <v>60</v>
      </c>
      <c r="J150" s="33">
        <v>4</v>
      </c>
      <c r="K150" s="33">
        <v>14</v>
      </c>
      <c r="L150" s="33">
        <v>0</v>
      </c>
      <c r="M150" s="33">
        <v>2</v>
      </c>
    </row>
    <row r="151" spans="1:21">
      <c r="A151" s="32">
        <f t="shared" ca="1" si="2"/>
        <v>140</v>
      </c>
      <c r="B151" s="32" cm="1">
        <f t="array" aca="1" ref="B151" ca="1">INDEX(Data_DBD!$B:$B,$A151)</f>
        <v>74</v>
      </c>
      <c r="C151" s="32" cm="1">
        <f t="array" aca="1" ref="C151" ca="1">INDEX(Data_DBD!$C:$C,$A151)</f>
        <v>5</v>
      </c>
      <c r="D151" s="32" cm="1">
        <f t="array" aca="1" ref="D151" ca="1">INDEX(Data_DBD!$D:$D,$A151)</f>
        <v>21</v>
      </c>
      <c r="E151" s="32" cm="1">
        <f t="array" aca="1" ref="E151" ca="1">INDEX(Data_DBD!$E:$E,$A151)</f>
        <v>1</v>
      </c>
      <c r="F151" s="32" cm="1">
        <f t="array" aca="1" ref="F151" ca="1">INDEX(Data_DBD!$F:$F,$A151)</f>
        <v>3</v>
      </c>
      <c r="H151" s="33">
        <v>164</v>
      </c>
      <c r="I151" s="33">
        <v>10</v>
      </c>
      <c r="J151" s="33">
        <v>6</v>
      </c>
      <c r="K151" s="33">
        <v>3</v>
      </c>
      <c r="L151" s="33">
        <v>0</v>
      </c>
      <c r="M151" s="33">
        <v>1</v>
      </c>
    </row>
    <row r="152" spans="1:21">
      <c r="A152" s="32">
        <f t="shared" ca="1" si="2"/>
        <v>29</v>
      </c>
      <c r="B152" s="32" cm="1">
        <f t="array" aca="1" ref="B152" ca="1">INDEX(Data_DBD!$B:$B,$A152)</f>
        <v>19</v>
      </c>
      <c r="C152" s="32" cm="1">
        <f t="array" aca="1" ref="C152" ca="1">INDEX(Data_DBD!$C:$C,$A152)</f>
        <v>2</v>
      </c>
      <c r="D152" s="32" cm="1">
        <f t="array" aca="1" ref="D152" ca="1">INDEX(Data_DBD!$D:$D,$A152)</f>
        <v>14</v>
      </c>
      <c r="E152" s="32" cm="1">
        <f t="array" aca="1" ref="E152" ca="1">INDEX(Data_DBD!$E:$E,$A152)</f>
        <v>1</v>
      </c>
      <c r="F152" s="32" cm="1">
        <f t="array" aca="1" ref="F152" ca="1">INDEX(Data_DBD!$F:$F,$A152)</f>
        <v>2</v>
      </c>
      <c r="H152" s="33">
        <v>111</v>
      </c>
      <c r="I152" s="33">
        <v>25</v>
      </c>
      <c r="J152" s="33">
        <v>4</v>
      </c>
      <c r="K152" s="33">
        <v>33</v>
      </c>
      <c r="L152" s="33">
        <v>0</v>
      </c>
      <c r="M152" s="33">
        <v>3</v>
      </c>
    </row>
    <row r="153" spans="1:21">
      <c r="A153" s="32">
        <f t="shared" ca="1" si="2"/>
        <v>101</v>
      </c>
      <c r="B153" s="32" cm="1">
        <f t="array" aca="1" ref="B153" ca="1">INDEX(Data_DBD!$B:$B,$A153)</f>
        <v>42</v>
      </c>
      <c r="C153" s="32" cm="1">
        <f t="array" aca="1" ref="C153" ca="1">INDEX(Data_DBD!$C:$C,$A153)</f>
        <v>5</v>
      </c>
      <c r="D153" s="32" cm="1">
        <f t="array" aca="1" ref="D153" ca="1">INDEX(Data_DBD!$D:$D,$A153)</f>
        <v>18</v>
      </c>
      <c r="E153" s="32" cm="1">
        <f t="array" aca="1" ref="E153" ca="1">INDEX(Data_DBD!$E:$E,$A153)</f>
        <v>0</v>
      </c>
      <c r="F153" s="32" cm="1">
        <f t="array" aca="1" ref="F153" ca="1">INDEX(Data_DBD!$F:$F,$A153)</f>
        <v>3</v>
      </c>
      <c r="H153" s="33">
        <v>11</v>
      </c>
      <c r="I153" s="33">
        <v>24</v>
      </c>
      <c r="J153" s="33">
        <v>5</v>
      </c>
      <c r="K153" s="33">
        <v>12</v>
      </c>
      <c r="L153" s="33">
        <v>1</v>
      </c>
      <c r="M153" s="33">
        <v>2</v>
      </c>
    </row>
    <row r="154" spans="1:21" ht="15.75">
      <c r="A154" s="32">
        <f t="shared" ca="1" si="2"/>
        <v>10</v>
      </c>
      <c r="B154" s="32" cm="1">
        <f t="array" aca="1" ref="B154" ca="1">INDEX(Data_DBD!$B:$B,$A154)</f>
        <v>18</v>
      </c>
      <c r="C154" s="32" cm="1">
        <f t="array" aca="1" ref="C154" ca="1">INDEX(Data_DBD!$C:$C,$A154)</f>
        <v>5</v>
      </c>
      <c r="D154" s="32" cm="1">
        <f t="array" aca="1" ref="D154" ca="1">INDEX(Data_DBD!$D:$D,$A154)</f>
        <v>12</v>
      </c>
      <c r="E154" s="32" cm="1">
        <f t="array" aca="1" ref="E154" ca="1">INDEX(Data_DBD!$E:$E,$A154)</f>
        <v>0</v>
      </c>
      <c r="F154" s="32" cm="1">
        <f t="array" aca="1" ref="F154" ca="1">INDEX(Data_DBD!$F:$F,$A154)</f>
        <v>2</v>
      </c>
      <c r="H154" s="33">
        <v>79</v>
      </c>
      <c r="I154" s="33">
        <v>29</v>
      </c>
      <c r="J154" s="33">
        <v>3</v>
      </c>
      <c r="K154" s="33">
        <v>13</v>
      </c>
      <c r="L154" s="33">
        <v>0</v>
      </c>
      <c r="M154" s="33">
        <v>2</v>
      </c>
      <c r="U154" s="35"/>
    </row>
    <row r="155" spans="1:21" ht="15.75">
      <c r="A155" s="32">
        <f t="shared" ca="1" si="2"/>
        <v>46</v>
      </c>
      <c r="B155" s="32" cm="1">
        <f t="array" aca="1" ref="B155" ca="1">INDEX(Data_DBD!$B:$B,$A155)</f>
        <v>62</v>
      </c>
      <c r="C155" s="32" cm="1">
        <f t="array" aca="1" ref="C155" ca="1">INDEX(Data_DBD!$C:$C,$A155)</f>
        <v>2</v>
      </c>
      <c r="D155" s="32" cm="1">
        <f t="array" aca="1" ref="D155" ca="1">INDEX(Data_DBD!$D:$D,$A155)</f>
        <v>13</v>
      </c>
      <c r="E155" s="32" cm="1">
        <f t="array" aca="1" ref="E155" ca="1">INDEX(Data_DBD!$E:$E,$A155)</f>
        <v>0</v>
      </c>
      <c r="F155" s="32" cm="1">
        <f t="array" aca="1" ref="F155" ca="1">INDEX(Data_DBD!$F:$F,$A155)</f>
        <v>2</v>
      </c>
      <c r="H155" s="33">
        <v>102</v>
      </c>
      <c r="I155" s="33">
        <v>41</v>
      </c>
      <c r="J155" s="33">
        <v>4</v>
      </c>
      <c r="K155" s="33">
        <v>18</v>
      </c>
      <c r="L155" s="33">
        <v>0</v>
      </c>
      <c r="M155" s="33">
        <v>3</v>
      </c>
      <c r="U155" s="36"/>
    </row>
    <row r="156" spans="1:21" ht="15.75">
      <c r="A156" s="32">
        <f t="shared" ca="1" si="2"/>
        <v>52</v>
      </c>
      <c r="B156" s="32" cm="1">
        <f t="array" aca="1" ref="B156" ca="1">INDEX(Data_DBD!$B:$B,$A156)</f>
        <v>59</v>
      </c>
      <c r="C156" s="32" cm="1">
        <f t="array" aca="1" ref="C156" ca="1">INDEX(Data_DBD!$C:$C,$A156)</f>
        <v>4</v>
      </c>
      <c r="D156" s="32" cm="1">
        <f t="array" aca="1" ref="D156" ca="1">INDEX(Data_DBD!$D:$D,$A156)</f>
        <v>15</v>
      </c>
      <c r="E156" s="32" cm="1">
        <f t="array" aca="1" ref="E156" ca="1">INDEX(Data_DBD!$E:$E,$A156)</f>
        <v>1</v>
      </c>
      <c r="F156" s="32" cm="1">
        <f t="array" aca="1" ref="F156" ca="1">INDEX(Data_DBD!$F:$F,$A156)</f>
        <v>2</v>
      </c>
      <c r="H156" s="33">
        <v>65</v>
      </c>
      <c r="I156" s="33">
        <v>49</v>
      </c>
      <c r="J156" s="33">
        <v>3</v>
      </c>
      <c r="K156" s="33">
        <v>15</v>
      </c>
      <c r="L156" s="33">
        <v>0</v>
      </c>
      <c r="M156" s="33">
        <v>2</v>
      </c>
      <c r="U156" s="37"/>
    </row>
    <row r="157" spans="1:21" ht="15.75">
      <c r="A157" s="32">
        <f t="shared" ca="1" si="2"/>
        <v>155</v>
      </c>
      <c r="B157" s="32" cm="1">
        <f t="array" aca="1" ref="B157" ca="1">INDEX(Data_DBD!$B:$B,$A157)</f>
        <v>19</v>
      </c>
      <c r="C157" s="32" cm="1">
        <f t="array" aca="1" ref="C157" ca="1">INDEX(Data_DBD!$C:$C,$A157)</f>
        <v>5</v>
      </c>
      <c r="D157" s="32" cm="1">
        <f t="array" aca="1" ref="D157" ca="1">INDEX(Data_DBD!$D:$D,$A157)</f>
        <v>21</v>
      </c>
      <c r="E157" s="32" cm="1">
        <f t="array" aca="1" ref="E157" ca="1">INDEX(Data_DBD!$E:$E,$A157)</f>
        <v>1</v>
      </c>
      <c r="F157" s="32" cm="1">
        <f t="array" aca="1" ref="F157" ca="1">INDEX(Data_DBD!$F:$F,$A157)</f>
        <v>3</v>
      </c>
      <c r="H157" s="33">
        <v>123</v>
      </c>
      <c r="I157" s="33">
        <v>22</v>
      </c>
      <c r="J157" s="33">
        <v>4</v>
      </c>
      <c r="K157" s="33">
        <v>33</v>
      </c>
      <c r="L157" s="33">
        <v>0</v>
      </c>
      <c r="M157" s="33">
        <v>3</v>
      </c>
      <c r="U157" s="37"/>
    </row>
    <row r="158" spans="1:21" ht="15.75">
      <c r="A158" s="32">
        <f t="shared" ca="1" si="2"/>
        <v>126</v>
      </c>
      <c r="B158" s="32" cm="1">
        <f t="array" aca="1" ref="B158" ca="1">INDEX(Data_DBD!$B:$B,$A158)</f>
        <v>51</v>
      </c>
      <c r="C158" s="32" cm="1">
        <f t="array" aca="1" ref="C158" ca="1">INDEX(Data_DBD!$C:$C,$A158)</f>
        <v>3</v>
      </c>
      <c r="D158" s="32" cm="1">
        <f t="array" aca="1" ref="D158" ca="1">INDEX(Data_DBD!$D:$D,$A158)</f>
        <v>33</v>
      </c>
      <c r="E158" s="32" cm="1">
        <f t="array" aca="1" ref="E158" ca="1">INDEX(Data_DBD!$E:$E,$A158)</f>
        <v>1</v>
      </c>
      <c r="F158" s="32" cm="1">
        <f t="array" aca="1" ref="F158" ca="1">INDEX(Data_DBD!$F:$F,$A158)</f>
        <v>3</v>
      </c>
      <c r="H158" s="33">
        <v>44</v>
      </c>
      <c r="I158" s="33">
        <v>28</v>
      </c>
      <c r="J158" s="33">
        <v>5</v>
      </c>
      <c r="K158" s="33">
        <v>13</v>
      </c>
      <c r="L158" s="33">
        <v>1</v>
      </c>
      <c r="M158" s="33">
        <v>2</v>
      </c>
      <c r="U158" s="36"/>
    </row>
    <row r="159" spans="1:21" ht="15.75">
      <c r="A159" s="32">
        <f t="shared" ca="1" si="2"/>
        <v>90</v>
      </c>
      <c r="B159" s="32" cm="1">
        <f t="array" aca="1" ref="B159" ca="1">INDEX(Data_DBD!$B:$B,$A159)</f>
        <v>47</v>
      </c>
      <c r="C159" s="32" cm="1">
        <f t="array" aca="1" ref="C159" ca="1">INDEX(Data_DBD!$C:$C,$A159)</f>
        <v>3</v>
      </c>
      <c r="D159" s="32" cm="1">
        <f t="array" aca="1" ref="D159" ca="1">INDEX(Data_DBD!$D:$D,$A159)</f>
        <v>18</v>
      </c>
      <c r="E159" s="32" cm="1">
        <f t="array" aca="1" ref="E159" ca="1">INDEX(Data_DBD!$E:$E,$A159)</f>
        <v>0</v>
      </c>
      <c r="F159" s="32" cm="1">
        <f t="array" aca="1" ref="F159" ca="1">INDEX(Data_DBD!$F:$F,$A159)</f>
        <v>3</v>
      </c>
      <c r="H159" s="33">
        <v>97</v>
      </c>
      <c r="I159" s="33">
        <v>16</v>
      </c>
      <c r="J159" s="33">
        <v>2</v>
      </c>
      <c r="K159" s="33">
        <v>18</v>
      </c>
      <c r="L159" s="33">
        <v>1</v>
      </c>
      <c r="M159" s="33">
        <v>3</v>
      </c>
      <c r="U159" s="37"/>
    </row>
    <row r="160" spans="1:21" ht="15.75">
      <c r="A160" s="32">
        <f t="shared" ca="1" si="2"/>
        <v>66</v>
      </c>
      <c r="B160" s="32" cm="1">
        <f t="array" aca="1" ref="B160" ca="1">INDEX(Data_DBD!$B:$B,$A160)</f>
        <v>21</v>
      </c>
      <c r="C160" s="32" cm="1">
        <f t="array" aca="1" ref="C160" ca="1">INDEX(Data_DBD!$C:$C,$A160)</f>
        <v>5</v>
      </c>
      <c r="D160" s="32" cm="1">
        <f t="array" aca="1" ref="D160" ca="1">INDEX(Data_DBD!$D:$D,$A160)</f>
        <v>15</v>
      </c>
      <c r="E160" s="32" cm="1">
        <f t="array" aca="1" ref="E160" ca="1">INDEX(Data_DBD!$E:$E,$A160)</f>
        <v>1</v>
      </c>
      <c r="F160" s="32" cm="1">
        <f t="array" aca="1" ref="F160" ca="1">INDEX(Data_DBD!$F:$F,$A160)</f>
        <v>2</v>
      </c>
      <c r="H160" s="33">
        <v>150</v>
      </c>
      <c r="I160" s="33">
        <v>61</v>
      </c>
      <c r="J160" s="33">
        <v>5</v>
      </c>
      <c r="K160" s="33">
        <v>21</v>
      </c>
      <c r="L160" s="33">
        <v>1</v>
      </c>
      <c r="M160" s="33">
        <v>3</v>
      </c>
      <c r="U160" s="37"/>
    </row>
    <row r="161" spans="1:22" ht="15.75">
      <c r="A161" s="32">
        <f t="shared" ca="1" si="2"/>
        <v>78</v>
      </c>
      <c r="B161" s="32" cm="1">
        <f t="array" aca="1" ref="B161" ca="1">INDEX(Data_DBD!$B:$B,$A161)</f>
        <v>6</v>
      </c>
      <c r="C161" s="32" cm="1">
        <f t="array" aca="1" ref="C161" ca="1">INDEX(Data_DBD!$C:$C,$A161)</f>
        <v>3</v>
      </c>
      <c r="D161" s="32" cm="1">
        <f t="array" aca="1" ref="D161" ca="1">INDEX(Data_DBD!$D:$D,$A161)</f>
        <v>13</v>
      </c>
      <c r="E161" s="32" cm="1">
        <f t="array" aca="1" ref="E161" ca="1">INDEX(Data_DBD!$E:$E,$A161)</f>
        <v>0</v>
      </c>
      <c r="F161" s="32" cm="1">
        <f t="array" aca="1" ref="F161" ca="1">INDEX(Data_DBD!$F:$F,$A161)</f>
        <v>2</v>
      </c>
      <c r="H161" s="33">
        <v>135</v>
      </c>
      <c r="I161" s="33">
        <v>10</v>
      </c>
      <c r="J161" s="33">
        <v>2</v>
      </c>
      <c r="K161" s="33">
        <v>33</v>
      </c>
      <c r="L161" s="33">
        <v>0</v>
      </c>
      <c r="M161" s="33">
        <v>3</v>
      </c>
      <c r="U161" s="36"/>
    </row>
    <row r="162" spans="1:22" ht="15.75">
      <c r="A162" s="32">
        <f t="shared" ca="1" si="2"/>
        <v>95</v>
      </c>
      <c r="B162" s="32" cm="1">
        <f t="array" aca="1" ref="B162" ca="1">INDEX(Data_DBD!$B:$B,$A162)</f>
        <v>11</v>
      </c>
      <c r="C162" s="32" cm="1">
        <f t="array" aca="1" ref="C162" ca="1">INDEX(Data_DBD!$C:$C,$A162)</f>
        <v>3</v>
      </c>
      <c r="D162" s="32" cm="1">
        <f t="array" aca="1" ref="D162" ca="1">INDEX(Data_DBD!$D:$D,$A162)</f>
        <v>18</v>
      </c>
      <c r="E162" s="32" cm="1">
        <f t="array" aca="1" ref="E162" ca="1">INDEX(Data_DBD!$E:$E,$A162)</f>
        <v>1</v>
      </c>
      <c r="F162" s="32" cm="1">
        <f t="array" aca="1" ref="F162" ca="1">INDEX(Data_DBD!$F:$F,$A162)</f>
        <v>3</v>
      </c>
      <c r="H162" s="33">
        <v>137</v>
      </c>
      <c r="I162" s="33">
        <v>3.5</v>
      </c>
      <c r="J162" s="33">
        <v>1</v>
      </c>
      <c r="K162" s="33">
        <v>33</v>
      </c>
      <c r="L162" s="33">
        <v>1</v>
      </c>
      <c r="M162" s="33">
        <v>3</v>
      </c>
      <c r="U162" s="37"/>
    </row>
    <row r="163" spans="1:22" ht="15.75">
      <c r="A163" s="32">
        <f t="shared" ca="1" si="2"/>
        <v>53</v>
      </c>
      <c r="B163" s="32" cm="1">
        <f t="array" aca="1" ref="B163" ca="1">INDEX(Data_DBD!$B:$B,$A163)</f>
        <v>35</v>
      </c>
      <c r="C163" s="32" cm="1">
        <f t="array" aca="1" ref="C163" ca="1">INDEX(Data_DBD!$C:$C,$A163)</f>
        <v>4</v>
      </c>
      <c r="D163" s="32" cm="1">
        <f t="array" aca="1" ref="D163" ca="1">INDEX(Data_DBD!$D:$D,$A163)</f>
        <v>15</v>
      </c>
      <c r="E163" s="32" cm="1">
        <f t="array" aca="1" ref="E163" ca="1">INDEX(Data_DBD!$E:$E,$A163)</f>
        <v>1</v>
      </c>
      <c r="F163" s="32" cm="1">
        <f t="array" aca="1" ref="F163" ca="1">INDEX(Data_DBD!$F:$F,$A163)</f>
        <v>2</v>
      </c>
      <c r="H163" s="33">
        <v>132</v>
      </c>
      <c r="I163" s="33">
        <v>10</v>
      </c>
      <c r="J163" s="33">
        <v>3</v>
      </c>
      <c r="K163" s="33">
        <v>33</v>
      </c>
      <c r="L163" s="33">
        <v>1</v>
      </c>
      <c r="M163" s="33">
        <v>3</v>
      </c>
      <c r="U163" s="43"/>
    </row>
    <row r="164" spans="1:22">
      <c r="A164" s="32">
        <f t="shared" ca="1" si="2"/>
        <v>38</v>
      </c>
      <c r="B164" s="32" cm="1">
        <f t="array" aca="1" ref="B164" ca="1">INDEX(Data_DBD!$B:$B,$A164)</f>
        <v>52</v>
      </c>
      <c r="C164" s="32" cm="1">
        <f t="array" aca="1" ref="C164" ca="1">INDEX(Data_DBD!$C:$C,$A164)</f>
        <v>3</v>
      </c>
      <c r="D164" s="32" cm="1">
        <f t="array" aca="1" ref="D164" ca="1">INDEX(Data_DBD!$D:$D,$A164)</f>
        <v>4</v>
      </c>
      <c r="E164" s="32" cm="1">
        <f t="array" aca="1" ref="E164" ca="1">INDEX(Data_DBD!$E:$E,$A164)</f>
        <v>1</v>
      </c>
      <c r="F164" s="32" cm="1">
        <f t="array" aca="1" ref="F164" ca="1">INDEX(Data_DBD!$F:$F,$A164)</f>
        <v>1</v>
      </c>
      <c r="H164" s="33">
        <v>157</v>
      </c>
      <c r="I164" s="33">
        <v>15</v>
      </c>
      <c r="J164" s="33">
        <v>4</v>
      </c>
      <c r="K164" s="33">
        <v>21</v>
      </c>
      <c r="L164" s="33">
        <v>1</v>
      </c>
      <c r="M164" s="33">
        <v>3</v>
      </c>
    </row>
    <row r="165" spans="1:22">
      <c r="I165">
        <f>AVERAGE(I2:I164)</f>
        <v>32.199386503067487</v>
      </c>
      <c r="J165">
        <f>AVERAGE(J2:J164)</f>
        <v>3.6134969325153374</v>
      </c>
      <c r="K165">
        <f>AVERAGE(K2:K164)</f>
        <v>17.791411042944784</v>
      </c>
      <c r="L165">
        <f>AVERAGE(L2:L164)</f>
        <v>0.53374233128834359</v>
      </c>
    </row>
    <row r="167" spans="1:22">
      <c r="B167">
        <v>6</v>
      </c>
    </row>
    <row r="168" spans="1:22">
      <c r="E168" s="38" t="s">
        <v>188</v>
      </c>
      <c r="J168" s="38" t="s">
        <v>189</v>
      </c>
      <c r="O168" s="38" t="s">
        <v>190</v>
      </c>
      <c r="T168" s="38" t="s">
        <v>191</v>
      </c>
    </row>
    <row r="169" spans="1:22">
      <c r="E169" s="32" t="s">
        <v>1</v>
      </c>
      <c r="F169" s="32">
        <f>AVERAGEIF($I$2:$I$164,"&lt;="&amp;$I$165)</f>
        <v>17.350000000000001</v>
      </c>
      <c r="G169" s="32">
        <f>AVERAGEIF($I$2:$I$164,"&gt;"&amp;$I$165)</f>
        <v>50.506849315068493</v>
      </c>
      <c r="J169" s="32" t="s">
        <v>192</v>
      </c>
      <c r="K169" s="32">
        <f>AVERAGEIF($J$2:$J$164,"&lt;="&amp;$J$165)</f>
        <v>2.5135135135135136</v>
      </c>
      <c r="L169" s="32">
        <f>AVERAGEIF($J$2:$J$164,"&gt;"&amp;$J$165)</f>
        <v>4.5280898876404496</v>
      </c>
      <c r="O169" s="32" t="s">
        <v>193</v>
      </c>
      <c r="P169" s="32">
        <f>AVERAGEIF($K$2:$K$164,"&lt;="&amp;$K$165)</f>
        <v>11.98936170212766</v>
      </c>
      <c r="Q169" s="32">
        <f>AVERAGEIF($K$2:$K$164,"&gt;"&amp;$K$165)</f>
        <v>25.695652173913043</v>
      </c>
      <c r="T169" s="32" t="s">
        <v>194</v>
      </c>
      <c r="U169" s="32">
        <f>AVERAGEIF($L$2:$L$164,"&lt;="&amp;$L$165)</f>
        <v>0</v>
      </c>
      <c r="V169" s="32">
        <f>AVERAGEIF($L$2:$L$164,"&gt;"&amp;$L$165)</f>
        <v>1</v>
      </c>
    </row>
    <row r="170" spans="1:22">
      <c r="E170" s="32" t="str" cm="1">
        <f t="array" ref="E170:E332">IF($I$2:$I$164&lt;$F$169,"kiri",IF($I$2:$I$164&lt;$G$169,"tengah","kanan"))</f>
        <v>tengah</v>
      </c>
      <c r="F170" s="55" t="s">
        <v>269</v>
      </c>
      <c r="G170" s="32"/>
      <c r="J170" s="32" t="str" cm="1">
        <f t="array" ref="J170:J332">IF($J$2:$J$164&lt;$K$169,"kiri",IF($J$2:$J$164&lt;$L$169,"tengah","kanan"))</f>
        <v>tengah</v>
      </c>
      <c r="K170" s="55" t="s">
        <v>271</v>
      </c>
      <c r="L170" s="32"/>
      <c r="O170" s="32" t="str" cm="1">
        <f t="array" ref="O170:O332">IF($K$2:$K$164&lt;$P$169,"kiri",IF($K$2:$K$164&lt;$Q$169,"tengah","kanan"))</f>
        <v>tengah</v>
      </c>
      <c r="P170" s="55" t="s">
        <v>274</v>
      </c>
      <c r="Q170" s="32"/>
      <c r="T170" s="32" t="str" cm="1">
        <f t="array" ref="T170:T332">IF($L$2:$L$164&lt;$U$169,"kiri",IF($L$2:$L$164&lt;$V$169,"tengah","kanan"))</f>
        <v>kanan</v>
      </c>
      <c r="U170" s="32" t="s">
        <v>195</v>
      </c>
      <c r="V170" s="32"/>
    </row>
    <row r="171" spans="1:22">
      <c r="E171" s="32" t="str">
        <v>tengah</v>
      </c>
      <c r="F171" s="32">
        <f>COUNTIFS($E$170:$E$332,"Kanan",$M$2:$M$164,"1")</f>
        <v>5</v>
      </c>
      <c r="G171" s="32">
        <f>F171/32</f>
        <v>0.15625</v>
      </c>
      <c r="J171" s="32" t="str">
        <v>tengah</v>
      </c>
      <c r="K171" s="32" cm="1">
        <f t="array" ref="K171">SUMPRODUCT((J170:J332="Kanan")*(M2:M164=1))</f>
        <v>6</v>
      </c>
      <c r="L171" s="32">
        <f>K171/37</f>
        <v>0.16216216216216217</v>
      </c>
      <c r="O171" s="32" t="str">
        <v>tengah</v>
      </c>
      <c r="P171" s="32">
        <f>COUNTIFS($O$170:$O$332,"Kanan",$M$2:$M$164,"1")</f>
        <v>0</v>
      </c>
      <c r="Q171" s="32">
        <f>P171/41</f>
        <v>0</v>
      </c>
      <c r="T171" s="32" t="str">
        <v>tengah</v>
      </c>
      <c r="U171" s="32">
        <f>COUNTIFS($T$170:$T$332,"Kanan",$M$2:$M$164,"1")</f>
        <v>9</v>
      </c>
      <c r="V171" s="32">
        <f>U171/85</f>
        <v>0.10588235294117647</v>
      </c>
    </row>
    <row r="172" spans="1:22">
      <c r="E172" s="32" t="str">
        <v>tengah</v>
      </c>
      <c r="F172" s="32">
        <f>COUNTIFS($E$170:$E$332,"Kanan",$M$2:$M$164,"2")</f>
        <v>12</v>
      </c>
      <c r="G172" s="32">
        <f t="shared" ref="G172:G173" si="3">F172/32</f>
        <v>0.375</v>
      </c>
      <c r="J172" s="32" t="str">
        <v>tengah</v>
      </c>
      <c r="K172" s="32">
        <f>COUNTIFS($J$170:$J$332,"Kanan",$M$2:$M$164,"2")</f>
        <v>17</v>
      </c>
      <c r="L172" s="32">
        <f t="shared" ref="L172:L173" si="4">K172/37</f>
        <v>0.45945945945945948</v>
      </c>
      <c r="O172" s="32" t="str">
        <v>kanan</v>
      </c>
      <c r="P172" s="32">
        <f>COUNTIFS($O$170:$O$332,"Kanan",$M$2:$M$164,"2")</f>
        <v>0</v>
      </c>
      <c r="Q172" s="32">
        <f t="shared" ref="Q172:Q173" si="5">P172/41</f>
        <v>0</v>
      </c>
      <c r="T172" s="32" t="str">
        <v>kanan</v>
      </c>
      <c r="U172" s="32">
        <f>COUNTIFS($T$170:$T$332,"Kanan",$M$2:$M$164,"2")</f>
        <v>35</v>
      </c>
      <c r="V172" s="32">
        <f t="shared" ref="V172:V173" si="6">U172/85</f>
        <v>0.41176470588235292</v>
      </c>
    </row>
    <row r="173" spans="1:22">
      <c r="E173" s="32" t="str">
        <v>tengah</v>
      </c>
      <c r="F173" s="32" cm="1">
        <f t="array" ref="F173">SUMPRODUCT((E170:E332="KANAN")*(M2:M164=3))</f>
        <v>15</v>
      </c>
      <c r="G173" s="32">
        <f t="shared" si="3"/>
        <v>0.46875</v>
      </c>
      <c r="J173" s="32" t="str">
        <v>kanan</v>
      </c>
      <c r="K173" s="32">
        <f>COUNTIFS($J$170:$J$332,"Kanan",$M$2:$M$164,"3")</f>
        <v>14</v>
      </c>
      <c r="L173" s="32">
        <f t="shared" si="4"/>
        <v>0.3783783783783784</v>
      </c>
      <c r="O173" s="32" t="str">
        <v>tengah</v>
      </c>
      <c r="P173" s="32">
        <f>COUNTIFS($O$170:$O$332,"Kanan",$M$2:$M$164,"3")</f>
        <v>31</v>
      </c>
      <c r="Q173" s="32">
        <f>P173/31</f>
        <v>1</v>
      </c>
      <c r="T173" s="32" t="str">
        <v>tengah</v>
      </c>
      <c r="U173" s="32">
        <f>COUNTIFS($T$170:$T$332,"Kanan",$M$2:$M$164,"3")</f>
        <v>43</v>
      </c>
      <c r="V173" s="32">
        <f t="shared" si="6"/>
        <v>0.50588235294117645</v>
      </c>
    </row>
    <row r="174" spans="1:22">
      <c r="E174" s="32" t="str">
        <v>kiri</v>
      </c>
      <c r="F174" s="32" t="s">
        <v>196</v>
      </c>
      <c r="G174" s="32">
        <f>-(IFERROR(G171*LOG(G171,2),0)+IFERROR(G172*LOG(G172,2),0)+IFERROR(G173*LOG(G173,2),0))</f>
        <v>1.461482830711923</v>
      </c>
      <c r="J174" s="32" t="str">
        <v>tengah</v>
      </c>
      <c r="K174" s="32" t="s">
        <v>196</v>
      </c>
      <c r="L174" s="32">
        <f>-(IFERROR(L171*LOG(L171,2),0)+IFERROR(L172*LOG(L172,2),0)+IFERROR(L173*LOG(L173,2),0))</f>
        <v>1.4716260084832968</v>
      </c>
      <c r="O174" s="32" t="str">
        <v>tengah</v>
      </c>
      <c r="P174" s="32" t="s">
        <v>196</v>
      </c>
      <c r="Q174" s="32">
        <f>-(IFERROR(Q171*LOG(Q171,2),0)+IFERROR(Q172*LOG(Q172,2),0)+IFERROR(Q173*LOG(Q173,2),0))</f>
        <v>0</v>
      </c>
      <c r="T174" s="32" t="str">
        <v>kanan</v>
      </c>
      <c r="U174" s="32" t="s">
        <v>196</v>
      </c>
      <c r="V174" s="32">
        <f>-(IFERROR(V171*LOG(V171,2),0)+IFERROR(V172*LOG(V172,2),0)+IFERROR(V173*LOG(V173,2),0))</f>
        <v>1.3674517221851201</v>
      </c>
    </row>
    <row r="175" spans="1:22">
      <c r="E175" s="32" t="str">
        <v>kanan</v>
      </c>
      <c r="F175" s="32"/>
      <c r="G175" s="32">
        <f>SUM(F171:F173)/163</f>
        <v>0.19631901840490798</v>
      </c>
      <c r="J175" s="32" t="str">
        <v>tengah</v>
      </c>
      <c r="K175" s="32"/>
      <c r="L175" s="32">
        <f>SUM(K171:K173)/163</f>
        <v>0.22699386503067484</v>
      </c>
      <c r="O175" s="32" t="str">
        <v>tengah</v>
      </c>
      <c r="P175" s="32"/>
      <c r="Q175" s="32">
        <f>SUM(P171:P173)/163</f>
        <v>0.19018404907975461</v>
      </c>
      <c r="T175" s="32" t="str">
        <v>kanan</v>
      </c>
      <c r="U175" s="32"/>
      <c r="V175" s="32">
        <f>SUM(U171:U173)/163</f>
        <v>0.53374233128834359</v>
      </c>
    </row>
    <row r="176" spans="1:22">
      <c r="E176" s="32" t="str">
        <v>tengah</v>
      </c>
      <c r="F176" s="32"/>
      <c r="G176" s="39">
        <f>G174*G175</f>
        <v>0.28691687474099103</v>
      </c>
      <c r="J176" s="32" t="str">
        <v>kanan</v>
      </c>
      <c r="K176" s="32"/>
      <c r="L176" s="39">
        <f>L174*L175</f>
        <v>0.33405007554528821</v>
      </c>
      <c r="O176" s="32" t="str">
        <v>kanan</v>
      </c>
      <c r="P176" s="32"/>
      <c r="Q176" s="39">
        <f>Q174*Q175</f>
        <v>0</v>
      </c>
      <c r="T176" s="32" t="str">
        <v>tengah</v>
      </c>
      <c r="U176" s="32"/>
      <c r="V176" s="39">
        <f>V174*V175</f>
        <v>0.72986687012334639</v>
      </c>
    </row>
    <row r="177" spans="5:22">
      <c r="E177" s="32" t="str">
        <v>kiri</v>
      </c>
      <c r="F177" s="32"/>
      <c r="G177" s="32"/>
      <c r="J177" s="32" t="str">
        <v>kiri</v>
      </c>
      <c r="K177" s="32"/>
      <c r="L177" s="32"/>
      <c r="O177" s="32" t="str">
        <v>kanan</v>
      </c>
      <c r="P177" s="32"/>
      <c r="Q177" s="32"/>
      <c r="T177" s="32" t="str">
        <v>kanan</v>
      </c>
      <c r="U177" s="32"/>
      <c r="V177" s="32"/>
    </row>
    <row r="178" spans="5:22">
      <c r="E178" s="32" t="str">
        <v>kiri</v>
      </c>
      <c r="F178" s="32"/>
      <c r="G178" s="32"/>
      <c r="J178" s="32" t="str">
        <v>kiri</v>
      </c>
      <c r="K178" s="32"/>
      <c r="L178" s="32"/>
      <c r="O178" s="32" t="str">
        <v>tengah</v>
      </c>
      <c r="P178" s="32"/>
      <c r="Q178" s="32"/>
      <c r="T178" s="32" t="str">
        <v>kanan</v>
      </c>
      <c r="U178" s="32"/>
      <c r="V178" s="32"/>
    </row>
    <row r="179" spans="5:22">
      <c r="E179" s="32" t="str">
        <v>kiri</v>
      </c>
      <c r="F179" s="55" t="s">
        <v>270</v>
      </c>
      <c r="G179" s="32"/>
      <c r="J179" s="32" t="str">
        <v>tengah</v>
      </c>
      <c r="K179" s="55" t="s">
        <v>272</v>
      </c>
      <c r="L179" s="32"/>
      <c r="O179" s="32" t="str">
        <v>tengah</v>
      </c>
      <c r="P179" s="55" t="s">
        <v>275</v>
      </c>
      <c r="Q179" s="32"/>
      <c r="T179" s="32" t="str">
        <v>kanan</v>
      </c>
      <c r="U179" s="32" t="s">
        <v>197</v>
      </c>
      <c r="V179" s="32"/>
    </row>
    <row r="180" spans="5:22">
      <c r="E180" s="32" t="str">
        <v>tengah</v>
      </c>
      <c r="F180" s="32" cm="1">
        <f t="array" ref="F180">SUMPRODUCT((E170:E332="kiri")*(M2:M164=1))</f>
        <v>6</v>
      </c>
      <c r="G180" s="32">
        <f>F180/42</f>
        <v>0.14285714285714285</v>
      </c>
      <c r="J180" s="32" t="str">
        <v>tengah</v>
      </c>
      <c r="K180" s="32">
        <f>COUNTIFS($J$170:$J$332,"Kiri",$M$2:$M$164,"1")</f>
        <v>2</v>
      </c>
      <c r="L180" s="32">
        <f>K180/29</f>
        <v>6.8965517241379309E-2</v>
      </c>
      <c r="O180" s="32" t="str">
        <v>tengah</v>
      </c>
      <c r="P180" s="32">
        <f>COUNTIFS($O$170:$O$332,"Kiri",$M$2:$M$164,"1")</f>
        <v>16</v>
      </c>
      <c r="Q180" s="32">
        <f>P180/33</f>
        <v>0.48484848484848486</v>
      </c>
      <c r="T180" s="32" t="str">
        <v>tengah</v>
      </c>
      <c r="U180" s="32">
        <f>COUNTIFS($T$170:$T$332,"Kiri",$M$2:$M$164,"1")</f>
        <v>0</v>
      </c>
      <c r="V180" s="32">
        <f>U180/57</f>
        <v>0</v>
      </c>
    </row>
    <row r="181" spans="5:22">
      <c r="E181" s="32" t="str">
        <v>tengah</v>
      </c>
      <c r="F181" s="32" cm="1">
        <f t="array" ref="F181">SUMPRODUCT((E170:E332="kiri")*(M2:M164=2))</f>
        <v>11</v>
      </c>
      <c r="G181" s="32">
        <f t="shared" ref="G181:G182" si="7">F181/42</f>
        <v>0.26190476190476192</v>
      </c>
      <c r="J181" s="32" t="str">
        <v>tengah</v>
      </c>
      <c r="K181" s="32">
        <f>COUNTIFS($J$170:$J$332,"Kiri",$M$2:$M$164,"2")</f>
        <v>7</v>
      </c>
      <c r="L181" s="32">
        <f t="shared" ref="L181:L182" si="8">K181/29</f>
        <v>0.2413793103448276</v>
      </c>
      <c r="O181" s="32" t="str">
        <v>tengah</v>
      </c>
      <c r="P181" s="32">
        <f>COUNTIFS($O$170:$O$332,"Kiri",$M$2:$M$164,"2")</f>
        <v>7</v>
      </c>
      <c r="Q181" s="32">
        <f>P181/33</f>
        <v>0.21212121212121213</v>
      </c>
      <c r="T181" s="32" t="str">
        <v>kanan</v>
      </c>
      <c r="U181" s="32">
        <f>COUNTIFS($T$170:$T$332,"Kiri",$M$2:$M$164,"2")</f>
        <v>0</v>
      </c>
      <c r="V181" s="32">
        <f>U181/57</f>
        <v>0</v>
      </c>
    </row>
    <row r="182" spans="5:22">
      <c r="E182" s="32" t="str">
        <v>tengah</v>
      </c>
      <c r="F182" s="32" cm="1">
        <f t="array" ref="F182">SUMPRODUCT((E170:E332="kiri")*(M2:M164=3))</f>
        <v>25</v>
      </c>
      <c r="G182" s="32">
        <f t="shared" si="7"/>
        <v>0.59523809523809523</v>
      </c>
      <c r="J182" s="32" t="str">
        <v>kanan</v>
      </c>
      <c r="K182" s="32">
        <f>COUNTIFS($J$170:$J$332,"Kiri",$M$2:$M$164,"3")</f>
        <v>20</v>
      </c>
      <c r="L182" s="32">
        <f t="shared" si="8"/>
        <v>0.68965517241379315</v>
      </c>
      <c r="O182" s="32" t="str">
        <v>tengah</v>
      </c>
      <c r="P182" s="32">
        <f>COUNTIFS($O$170:$O$332,"Kiri",$M$2:$M$164,"3")</f>
        <v>0</v>
      </c>
      <c r="Q182" s="32">
        <f t="shared" ref="Q181:Q182" si="9">P182/65</f>
        <v>0</v>
      </c>
      <c r="T182" s="32" t="str">
        <v>kanan</v>
      </c>
      <c r="U182" s="32">
        <f>COUNTIFS($T$170:$T$332,"Kiri",$M$2:$M$164,"3")</f>
        <v>0</v>
      </c>
      <c r="V182" s="32">
        <f>U182/57</f>
        <v>0</v>
      </c>
    </row>
    <row r="183" spans="5:22">
      <c r="E183" s="32" t="str">
        <v>tengah</v>
      </c>
      <c r="F183" s="32" t="s">
        <v>196</v>
      </c>
      <c r="G183" s="32">
        <f>-(IFERROR(G180*LOG(G180,2),0)+IFERROR(G181*LOG(G181,2),0)+IFERROR(G182*LOG(G182,2),0))</f>
        <v>1.3527953381667288</v>
      </c>
      <c r="J183" s="32" t="str">
        <v>kanan</v>
      </c>
      <c r="K183" s="32" t="s">
        <v>196</v>
      </c>
      <c r="L183" s="32">
        <f>-(IFERROR(L180*LOG(L180,2),0)+IFERROR(L181*LOG(L181,2),0)+IFERROR(L182*LOG(L182,2),0))</f>
        <v>1.1307380174672108</v>
      </c>
      <c r="O183" s="32" t="str">
        <v>kiri</v>
      </c>
      <c r="P183" s="32" t="s">
        <v>196</v>
      </c>
      <c r="Q183" s="32">
        <f>-(IFERROR(Q180*LOG(Q180,2),0)+IFERROR(Q181*LOG(Q181,2),0)+IFERROR(Q182*LOG(Q182,2),0))</f>
        <v>0.98089637244973349</v>
      </c>
      <c r="T183" s="32" t="str">
        <v>tengah</v>
      </c>
      <c r="U183" s="32" t="s">
        <v>196</v>
      </c>
      <c r="V183" s="32">
        <f>-(IFERROR(V180*LOG(V180,2),0)+IFERROR(V181*LOG(V181,2),0)+IFERROR(V182*LOG(V182,2),0))</f>
        <v>0</v>
      </c>
    </row>
    <row r="184" spans="5:22">
      <c r="E184" s="32" t="str">
        <v>kanan</v>
      </c>
      <c r="F184" s="32"/>
      <c r="G184" s="32">
        <f>SUM(F180:F182)/163</f>
        <v>0.25766871165644173</v>
      </c>
      <c r="J184" s="32" t="str">
        <v>kanan</v>
      </c>
      <c r="K184" s="32"/>
      <c r="L184" s="32">
        <f>SUM(K180:K182)/163</f>
        <v>0.17791411042944785</v>
      </c>
      <c r="O184" s="32" t="str">
        <v>tengah</v>
      </c>
      <c r="P184" s="32"/>
      <c r="Q184" s="32">
        <f>SUM(P180:P182)/163</f>
        <v>0.1411042944785276</v>
      </c>
      <c r="T184" s="32" t="str">
        <v>kanan</v>
      </c>
      <c r="U184" s="32"/>
      <c r="V184" s="32">
        <f>SUM(U180:U182)/163</f>
        <v>0</v>
      </c>
    </row>
    <row r="185" spans="5:22">
      <c r="E185" s="32" t="str">
        <v>kiri</v>
      </c>
      <c r="F185" s="32"/>
      <c r="G185" s="39">
        <f>G183*G184</f>
        <v>0.3485730319202614</v>
      </c>
      <c r="J185" s="32" t="str">
        <v>tengah</v>
      </c>
      <c r="K185" s="32"/>
      <c r="L185" s="39">
        <f>L183*L184</f>
        <v>0.20117424850643628</v>
      </c>
      <c r="O185" s="32" t="str">
        <v>tengah</v>
      </c>
      <c r="P185" s="32"/>
      <c r="Q185" s="39">
        <f>Q183*Q184</f>
        <v>0.13840869059106667</v>
      </c>
      <c r="T185" s="32" t="str">
        <v>tengah</v>
      </c>
      <c r="U185" s="32"/>
      <c r="V185" s="39">
        <f>V183*V184</f>
        <v>0</v>
      </c>
    </row>
    <row r="186" spans="5:22">
      <c r="E186" s="32" t="str">
        <v>tengah</v>
      </c>
      <c r="F186" s="32"/>
      <c r="G186" s="32"/>
      <c r="J186" s="32" t="str">
        <v>tengah</v>
      </c>
      <c r="K186" s="32"/>
      <c r="L186" s="32"/>
      <c r="O186" s="32" t="str">
        <v>tengah</v>
      </c>
      <c r="P186" s="32"/>
      <c r="Q186" s="32"/>
      <c r="T186" s="32" t="str">
        <v>tengah</v>
      </c>
      <c r="U186" s="32"/>
      <c r="V186" s="32"/>
    </row>
    <row r="187" spans="5:22">
      <c r="E187" s="32" t="str">
        <v>tengah</v>
      </c>
      <c r="F187" s="32"/>
      <c r="G187" s="32"/>
      <c r="J187" s="32" t="str">
        <v>kiri</v>
      </c>
      <c r="K187" s="32"/>
      <c r="L187" s="32"/>
      <c r="O187" s="32" t="str">
        <v>kanan</v>
      </c>
      <c r="P187" s="32"/>
      <c r="Q187" s="32"/>
      <c r="T187" s="32" t="str">
        <v>kanan</v>
      </c>
      <c r="U187" s="32"/>
      <c r="V187" s="32"/>
    </row>
    <row r="188" spans="5:22">
      <c r="E188" s="32" t="str">
        <v>kiri</v>
      </c>
      <c r="F188" s="32" t="s">
        <v>198</v>
      </c>
      <c r="G188" s="32"/>
      <c r="J188" s="32" t="str">
        <v>tengah</v>
      </c>
      <c r="K188" s="32" t="s">
        <v>198</v>
      </c>
      <c r="L188" s="32"/>
      <c r="O188" s="32" t="str">
        <v>tengah</v>
      </c>
      <c r="P188" s="32" t="s">
        <v>198</v>
      </c>
      <c r="Q188" s="32"/>
      <c r="T188" s="32" t="str">
        <v>tengah</v>
      </c>
      <c r="U188" s="32" t="s">
        <v>198</v>
      </c>
      <c r="V188" s="32"/>
    </row>
    <row r="189" spans="5:22">
      <c r="E189" s="32" t="str">
        <v>tengah</v>
      </c>
      <c r="F189" s="32" cm="1">
        <f t="array" ref="F189">SUMPRODUCT((E170:E332="tengah")*(M2:M164=1))</f>
        <v>5</v>
      </c>
      <c r="G189" s="32">
        <f>F189/89</f>
        <v>5.6179775280898875E-2</v>
      </c>
      <c r="J189" s="32" t="str">
        <v>kiri</v>
      </c>
      <c r="K189" s="32">
        <f>COUNTIFS($J$170:$J$332,"Tengah",$M$2:$M$164,"1")</f>
        <v>8</v>
      </c>
      <c r="L189" s="32">
        <f>K189/97</f>
        <v>8.247422680412371E-2</v>
      </c>
      <c r="O189" s="32" t="str">
        <v>tengah</v>
      </c>
      <c r="P189" s="32">
        <f>COUNTIFS($O$170:$O$332,"Tengah",$M$2:$M$164,"1")</f>
        <v>0</v>
      </c>
      <c r="Q189" s="32">
        <f>P189/109</f>
        <v>0</v>
      </c>
      <c r="T189" s="32" t="str">
        <v>kanan</v>
      </c>
      <c r="U189" s="32">
        <f>COUNTIFS($T$170:$T$332,"Tengah",$M$2:$M$164,"1")</f>
        <v>7</v>
      </c>
      <c r="V189" s="32">
        <f>U189/78</f>
        <v>8.9743589743589744E-2</v>
      </c>
    </row>
    <row r="190" spans="5:22">
      <c r="E190" s="32" t="str">
        <v>kiri</v>
      </c>
      <c r="F190" s="32" cm="1">
        <f t="array" ref="F190">SUMPRODUCT((E170:E332="tengah")*(M2:M164=2))</f>
        <v>55</v>
      </c>
      <c r="G190" s="32">
        <f t="shared" ref="G190:G191" si="10">F190/89</f>
        <v>0.6179775280898876</v>
      </c>
      <c r="J190" s="32" t="str">
        <v>kiri</v>
      </c>
      <c r="K190" s="32">
        <f>COUNTIFS($J$170:$J$332,"Tengah",$M$2:$M$164,"2")</f>
        <v>54</v>
      </c>
      <c r="L190" s="32">
        <f t="shared" ref="L190:L191" si="11">K190/97</f>
        <v>0.55670103092783507</v>
      </c>
      <c r="O190" s="32" t="str">
        <v>kanan</v>
      </c>
      <c r="P190" s="32">
        <f>COUNTIFS($O$170:$O$332,"Tengah",$M$2:$M$164,"2")</f>
        <v>71</v>
      </c>
      <c r="Q190" s="32">
        <f t="shared" ref="Q190:Q191" si="12">P190/109</f>
        <v>0.65137614678899081</v>
      </c>
      <c r="T190" s="32" t="str">
        <v>kanan</v>
      </c>
      <c r="U190" s="32">
        <f>COUNTIFS($T$170:$T$332,"Tengah",$M$2:$M$164,"2")</f>
        <v>43</v>
      </c>
      <c r="V190" s="32">
        <f t="shared" ref="V190:V191" si="13">U190/78</f>
        <v>0.55128205128205132</v>
      </c>
    </row>
    <row r="191" spans="5:22">
      <c r="E191" s="32" t="str">
        <v>tengah</v>
      </c>
      <c r="F191" s="32" cm="1">
        <f t="array" ref="F191">SUMPRODUCT((E170:E332="tengah")*(M2:M164=3))</f>
        <v>29</v>
      </c>
      <c r="G191" s="32">
        <f t="shared" si="10"/>
        <v>0.3258426966292135</v>
      </c>
      <c r="J191" s="32" t="str">
        <v>tengah</v>
      </c>
      <c r="K191" s="32">
        <f>COUNTIFS($J$170:$J$332,"Tengah",$M$2:$M$164,"3")</f>
        <v>35</v>
      </c>
      <c r="L191" s="32">
        <f t="shared" si="11"/>
        <v>0.36082474226804123</v>
      </c>
      <c r="O191" s="32" t="str">
        <v>tengah</v>
      </c>
      <c r="P191" s="32">
        <f>COUNTIFS($O$170:$O$332,"Tengah",$M$2:$M$164,"3")</f>
        <v>38</v>
      </c>
      <c r="Q191" s="32">
        <f t="shared" si="12"/>
        <v>0.34862385321100919</v>
      </c>
      <c r="T191" s="32" t="str">
        <v>tengah</v>
      </c>
      <c r="U191" s="32">
        <f>COUNTIFS($T$170:$T$332,"Tengah",$M$2:$M$164,"3")</f>
        <v>26</v>
      </c>
      <c r="V191" s="32">
        <f t="shared" si="13"/>
        <v>0.33333333333333331</v>
      </c>
    </row>
    <row r="192" spans="5:22">
      <c r="E192" s="32" t="str">
        <v>kiri</v>
      </c>
      <c r="F192" s="32" t="s">
        <v>196</v>
      </c>
      <c r="G192" s="32">
        <f>-(IFERROR(G189*LOG(G189,2),0)+IFERROR(G190*LOG(G190,2),0)+IFERROR(G191*LOG(G191,2),0))</f>
        <v>1.189600019988952</v>
      </c>
      <c r="J192" s="32" t="str">
        <v>tengah</v>
      </c>
      <c r="K192" s="32" t="s">
        <v>196</v>
      </c>
      <c r="L192" s="32">
        <f>-(IFERROR(L189*LOG(L189,2),0)+IFERROR(L190*LOG(L190,2),0)+IFERROR(L191*LOG(L191,2),0))</f>
        <v>1.2979661338376314</v>
      </c>
      <c r="O192" s="32" t="str">
        <v>kanan</v>
      </c>
      <c r="P192" s="32" t="s">
        <v>196</v>
      </c>
      <c r="Q192" s="32">
        <f>-(IFERROR(Q189*LOG(Q189,2),0)+IFERROR(Q190*LOG(Q190,2),0)+IFERROR(Q191*LOG(Q191,2),0))</f>
        <v>0.93283303123849826</v>
      </c>
      <c r="T192" s="32" t="str">
        <v>tengah</v>
      </c>
      <c r="U192" s="32" t="s">
        <v>196</v>
      </c>
      <c r="V192" s="32">
        <f>-(IFERROR(V189*LOG(V189,2),0)+IFERROR(V190*LOG(V190,2),0)+IFERROR(V191*LOG(V191,2),0))</f>
        <v>1.3140803468624234</v>
      </c>
    </row>
    <row r="193" spans="5:22">
      <c r="E193" s="32" t="str">
        <v>tengah</v>
      </c>
      <c r="F193" s="32"/>
      <c r="G193" s="32">
        <f>SUM(F189:F191)/163</f>
        <v>0.54601226993865026</v>
      </c>
      <c r="J193" s="32" t="str">
        <v>tengah</v>
      </c>
      <c r="K193" s="32"/>
      <c r="L193" s="32">
        <f>SUM(K189:K191)/163</f>
        <v>0.59509202453987731</v>
      </c>
      <c r="O193" s="32" t="str">
        <v>tengah</v>
      </c>
      <c r="P193" s="32"/>
      <c r="Q193" s="32">
        <f>SUM(P189:P191)/163</f>
        <v>0.66871165644171782</v>
      </c>
      <c r="T193" s="32" t="str">
        <v>tengah</v>
      </c>
      <c r="U193" s="32"/>
      <c r="V193" s="32">
        <f>SUM(U189:U191)/163</f>
        <v>0.46625766871165641</v>
      </c>
    </row>
    <row r="194" spans="5:22">
      <c r="E194" s="32" t="str">
        <v>tengah</v>
      </c>
      <c r="F194" s="32"/>
      <c r="G194" s="39">
        <f>G192*G193</f>
        <v>0.64953620723323147</v>
      </c>
      <c r="J194" s="32" t="str">
        <v>kanan</v>
      </c>
      <c r="K194" s="32"/>
      <c r="L194" s="39">
        <f>L192*L193</f>
        <v>0.77240929436963335</v>
      </c>
      <c r="O194" s="32" t="str">
        <v>tengah</v>
      </c>
      <c r="P194" s="32"/>
      <c r="Q194" s="39">
        <f>Q192*Q193</f>
        <v>0.62379632150304487</v>
      </c>
      <c r="T194" s="32" t="str">
        <v>kanan</v>
      </c>
      <c r="U194" s="32"/>
      <c r="V194" s="39">
        <f>V192*V193</f>
        <v>0.6127000390278784</v>
      </c>
    </row>
    <row r="195" spans="5:22">
      <c r="E195" s="32" t="str">
        <v>tengah</v>
      </c>
      <c r="F195" s="32"/>
      <c r="G195" s="32"/>
      <c r="J195" s="32" t="str">
        <v>tengah</v>
      </c>
      <c r="K195" s="32"/>
      <c r="L195" s="32"/>
      <c r="O195" s="32" t="str">
        <v>tengah</v>
      </c>
      <c r="P195" s="32"/>
      <c r="Q195" s="32"/>
      <c r="T195" s="32" t="str">
        <v>kanan</v>
      </c>
      <c r="U195" s="32"/>
      <c r="V195" s="32"/>
    </row>
    <row r="196" spans="5:22">
      <c r="E196" s="32" t="str">
        <v>tengah</v>
      </c>
      <c r="F196" s="32" t="s">
        <v>199</v>
      </c>
      <c r="G196" s="40" t="s">
        <v>196</v>
      </c>
      <c r="J196" s="32" t="str">
        <v>tengah</v>
      </c>
      <c r="K196" s="32" t="s">
        <v>199</v>
      </c>
      <c r="L196" s="40" t="s">
        <v>196</v>
      </c>
      <c r="O196" s="32" t="str">
        <v>tengah</v>
      </c>
      <c r="P196" s="32" t="s">
        <v>199</v>
      </c>
      <c r="Q196" s="40" t="s">
        <v>196</v>
      </c>
      <c r="T196" s="32" t="str">
        <v>tengah</v>
      </c>
      <c r="U196" s="32" t="s">
        <v>199</v>
      </c>
      <c r="V196" s="40" t="s">
        <v>196</v>
      </c>
    </row>
    <row r="197" spans="5:22">
      <c r="E197" s="32" t="str">
        <v>tengah</v>
      </c>
      <c r="F197" s="41">
        <f>P5-(G176+G185+G194)</f>
        <v>7.7508417091507464E-2</v>
      </c>
      <c r="G197" s="39">
        <f>(G176+G185+G194)</f>
        <v>1.2850261138944838</v>
      </c>
      <c r="J197" s="32" t="str">
        <v>tengah</v>
      </c>
      <c r="K197" s="41">
        <f>P5-(L176+L185+L194)</f>
        <v>5.4900912564633586E-2</v>
      </c>
      <c r="L197" s="39">
        <f>(L176+L185+L194)</f>
        <v>1.3076336184213577</v>
      </c>
      <c r="O197" s="32" t="str">
        <v>kiri</v>
      </c>
      <c r="P197" s="41">
        <f>P5-(Q176+Q185+Q194)</f>
        <v>0.6003295188918798</v>
      </c>
      <c r="Q197" s="39">
        <f>(Q176+Q185+Q194)</f>
        <v>0.76220501209411151</v>
      </c>
      <c r="T197" s="32" t="str">
        <v>kanan</v>
      </c>
      <c r="U197" s="41">
        <f>P5-(V176+V185+V194)</f>
        <v>1.9967621834766636E-2</v>
      </c>
      <c r="V197" s="39">
        <f>(V176+V185+V194)</f>
        <v>1.3425669091512247</v>
      </c>
    </row>
    <row r="198" spans="5:22">
      <c r="E198" s="32" t="str">
        <v>kanan</v>
      </c>
      <c r="F198" s="32"/>
      <c r="G198" s="32"/>
      <c r="J198" s="32" t="str">
        <v>kanan</v>
      </c>
      <c r="K198" s="32"/>
      <c r="L198" s="32"/>
      <c r="O198" s="32" t="str">
        <v>tengah</v>
      </c>
      <c r="P198" s="32"/>
      <c r="Q198" s="32"/>
      <c r="T198" s="32" t="str">
        <v>kanan</v>
      </c>
      <c r="U198" s="32"/>
      <c r="V198" s="32"/>
    </row>
    <row r="199" spans="5:22">
      <c r="E199" s="32" t="str">
        <v>tengah</v>
      </c>
      <c r="F199" s="32"/>
      <c r="G199" s="32"/>
      <c r="J199" s="32" t="str">
        <v>tengah</v>
      </c>
      <c r="K199" s="32"/>
      <c r="L199" s="32"/>
      <c r="O199" s="32" t="str">
        <v>tengah</v>
      </c>
      <c r="P199" s="32"/>
      <c r="Q199" s="32"/>
      <c r="T199" s="32" t="str">
        <v>tengah</v>
      </c>
      <c r="U199" s="32"/>
      <c r="V199" s="32"/>
    </row>
    <row r="200" spans="5:22">
      <c r="E200" s="32" t="str">
        <v>tengah</v>
      </c>
      <c r="F200" s="32"/>
      <c r="G200" s="32"/>
      <c r="J200" s="32" t="str">
        <v>tengah</v>
      </c>
      <c r="K200" s="32"/>
      <c r="L200" s="32"/>
      <c r="O200" s="32" t="str">
        <v>kanan</v>
      </c>
      <c r="P200" s="32"/>
      <c r="Q200" s="32"/>
      <c r="T200" s="32" t="str">
        <v>tengah</v>
      </c>
      <c r="U200" s="32"/>
      <c r="V200" s="32"/>
    </row>
    <row r="201" spans="5:22">
      <c r="E201" s="32" t="str">
        <v>kiri</v>
      </c>
      <c r="F201" s="32"/>
      <c r="G201" s="32"/>
      <c r="J201" s="32" t="str">
        <v>tengah</v>
      </c>
      <c r="K201" s="32"/>
      <c r="L201" s="32"/>
      <c r="O201" s="32" t="str">
        <v>kanan</v>
      </c>
      <c r="P201" s="32"/>
      <c r="Q201" s="32"/>
      <c r="T201" s="32" t="str">
        <v>tengah</v>
      </c>
      <c r="U201" s="32"/>
      <c r="V201" s="32"/>
    </row>
    <row r="202" spans="5:22">
      <c r="E202" s="32" t="str">
        <v>tengah</v>
      </c>
      <c r="F202" s="32"/>
      <c r="G202" s="32"/>
      <c r="J202" s="32" t="str">
        <v>tengah</v>
      </c>
      <c r="K202" s="32"/>
      <c r="L202" s="32"/>
      <c r="O202" s="32" t="str">
        <v>tengah</v>
      </c>
      <c r="P202" s="32"/>
      <c r="Q202" s="32"/>
      <c r="T202" s="32" t="str">
        <v>tengah</v>
      </c>
      <c r="U202" s="32"/>
      <c r="V202" s="32"/>
    </row>
    <row r="203" spans="5:22">
      <c r="E203" s="32" t="str">
        <v>kanan</v>
      </c>
      <c r="F203" s="32"/>
      <c r="G203" s="32"/>
      <c r="J203" s="32" t="str">
        <v>kanan</v>
      </c>
      <c r="K203" s="32"/>
      <c r="L203" s="32"/>
      <c r="O203" s="32" t="str">
        <v>kiri</v>
      </c>
      <c r="P203" s="32"/>
      <c r="Q203" s="32"/>
      <c r="T203" s="32" t="str">
        <v>kanan</v>
      </c>
      <c r="U203" s="32"/>
      <c r="V203" s="32"/>
    </row>
    <row r="204" spans="5:22">
      <c r="E204" s="32" t="str">
        <v>tengah</v>
      </c>
      <c r="F204" s="32"/>
      <c r="G204" s="32"/>
      <c r="J204" s="32" t="str">
        <v>tengah</v>
      </c>
      <c r="K204" s="32"/>
      <c r="L204" s="32"/>
      <c r="O204" s="32" t="str">
        <v>tengah</v>
      </c>
      <c r="P204" s="32"/>
      <c r="Q204" s="32"/>
      <c r="T204" s="32" t="str">
        <v>tengah</v>
      </c>
      <c r="U204" s="32"/>
      <c r="V204" s="32"/>
    </row>
    <row r="205" spans="5:22">
      <c r="E205" s="32" t="str">
        <v>tengah</v>
      </c>
      <c r="F205" s="32"/>
      <c r="G205" s="32"/>
      <c r="J205" s="32" t="str">
        <v>kiri</v>
      </c>
      <c r="K205" s="32"/>
      <c r="L205" s="32"/>
      <c r="O205" s="32" t="str">
        <v>kiri</v>
      </c>
      <c r="P205" s="32"/>
      <c r="Q205" s="32"/>
      <c r="T205" s="32" t="str">
        <v>kanan</v>
      </c>
      <c r="U205" s="32"/>
      <c r="V205" s="32"/>
    </row>
    <row r="206" spans="5:22">
      <c r="E206" s="32" t="str">
        <v>kanan</v>
      </c>
      <c r="F206" s="32"/>
      <c r="G206" s="32"/>
      <c r="J206" s="32" t="str">
        <v>tengah</v>
      </c>
      <c r="K206" s="32"/>
      <c r="L206" s="32"/>
      <c r="O206" s="32" t="str">
        <v>tengah</v>
      </c>
      <c r="P206" s="32"/>
      <c r="Q206" s="32"/>
      <c r="T206" s="32" t="str">
        <v>tengah</v>
      </c>
      <c r="U206" s="32"/>
      <c r="V206" s="32"/>
    </row>
    <row r="207" spans="5:22">
      <c r="E207" s="32" t="str">
        <v>tengah</v>
      </c>
      <c r="F207" s="32"/>
      <c r="G207" s="32"/>
      <c r="J207" s="32" t="str">
        <v>tengah</v>
      </c>
      <c r="K207" s="32"/>
      <c r="L207" s="32"/>
      <c r="O207" s="32" t="str">
        <v>tengah</v>
      </c>
      <c r="P207" s="32"/>
      <c r="Q207" s="32"/>
      <c r="T207" s="32" t="str">
        <v>kanan</v>
      </c>
      <c r="U207" s="32"/>
      <c r="V207" s="32"/>
    </row>
    <row r="208" spans="5:22">
      <c r="E208" s="32" t="str">
        <v>tengah</v>
      </c>
      <c r="F208" s="32"/>
      <c r="G208" s="32"/>
      <c r="J208" s="32" t="str">
        <v>tengah</v>
      </c>
      <c r="K208" s="32"/>
      <c r="L208" s="32"/>
      <c r="O208" s="32" t="str">
        <v>tengah</v>
      </c>
      <c r="P208" s="32"/>
      <c r="Q208" s="32"/>
      <c r="T208" s="32" t="str">
        <v>kanan</v>
      </c>
      <c r="U208" s="32"/>
      <c r="V208" s="32"/>
    </row>
    <row r="209" spans="5:22">
      <c r="E209" s="32" t="str">
        <v>tengah</v>
      </c>
      <c r="F209" s="32"/>
      <c r="G209" s="32"/>
      <c r="J209" s="32" t="str">
        <v>tengah</v>
      </c>
      <c r="K209" s="32"/>
      <c r="L209" s="32"/>
      <c r="O209" s="32" t="str">
        <v>tengah</v>
      </c>
      <c r="P209" s="32"/>
      <c r="Q209" s="32"/>
      <c r="T209" s="32" t="str">
        <v>tengah</v>
      </c>
      <c r="U209" s="32"/>
      <c r="V209" s="32"/>
    </row>
    <row r="210" spans="5:22">
      <c r="E210" s="32" t="str">
        <v>tengah</v>
      </c>
      <c r="F210" s="32"/>
      <c r="G210" s="32"/>
      <c r="J210" s="32" t="str">
        <v>kanan</v>
      </c>
      <c r="K210" s="32"/>
      <c r="L210" s="32"/>
      <c r="O210" s="32" t="str">
        <v>kiri</v>
      </c>
      <c r="P210" s="32"/>
      <c r="Q210" s="32"/>
      <c r="T210" s="32" t="str">
        <v>tengah</v>
      </c>
      <c r="U210" s="32"/>
      <c r="V210" s="32"/>
    </row>
    <row r="211" spans="5:22">
      <c r="E211" s="32" t="str">
        <v>tengah</v>
      </c>
      <c r="F211" s="32"/>
      <c r="G211" s="32"/>
      <c r="J211" s="32" t="str">
        <v>tengah</v>
      </c>
      <c r="K211" s="32"/>
      <c r="L211" s="32"/>
      <c r="O211" s="32" t="str">
        <v>tengah</v>
      </c>
      <c r="P211" s="32"/>
      <c r="Q211" s="32"/>
      <c r="T211" s="32" t="str">
        <v>tengah</v>
      </c>
      <c r="U211" s="32"/>
      <c r="V211" s="32"/>
    </row>
    <row r="212" spans="5:22">
      <c r="E212" s="32" t="str">
        <v>kiri</v>
      </c>
      <c r="F212" s="32"/>
      <c r="G212" s="32"/>
      <c r="J212" s="32" t="str">
        <v>kiri</v>
      </c>
      <c r="K212" s="32"/>
      <c r="L212" s="32"/>
      <c r="O212" s="32" t="str">
        <v>tengah</v>
      </c>
      <c r="P212" s="32"/>
      <c r="Q212" s="32"/>
      <c r="T212" s="32" t="str">
        <v>tengah</v>
      </c>
      <c r="U212" s="32"/>
      <c r="V212" s="32"/>
    </row>
    <row r="213" spans="5:22">
      <c r="E213" s="32" t="str">
        <v>kanan</v>
      </c>
      <c r="F213" s="32"/>
      <c r="G213" s="32"/>
      <c r="J213" s="32" t="str">
        <v>tengah</v>
      </c>
      <c r="K213" s="32"/>
      <c r="L213" s="32"/>
      <c r="O213" s="32" t="str">
        <v>tengah</v>
      </c>
      <c r="P213" s="32"/>
      <c r="Q213" s="32"/>
      <c r="T213" s="32" t="str">
        <v>tengah</v>
      </c>
      <c r="U213" s="32"/>
      <c r="V213" s="32"/>
    </row>
    <row r="214" spans="5:22">
      <c r="E214" s="32" t="str">
        <v>tengah</v>
      </c>
      <c r="F214" s="32"/>
      <c r="G214" s="32"/>
      <c r="J214" s="32" t="str">
        <v>tengah</v>
      </c>
      <c r="K214" s="32"/>
      <c r="L214" s="32"/>
      <c r="O214" s="32" t="str">
        <v>tengah</v>
      </c>
      <c r="P214" s="32"/>
      <c r="Q214" s="32"/>
      <c r="T214" s="32" t="str">
        <v>tengah</v>
      </c>
      <c r="U214" s="32"/>
      <c r="V214" s="32"/>
    </row>
    <row r="215" spans="5:22">
      <c r="E215" s="32" t="str">
        <v>tengah</v>
      </c>
      <c r="F215" s="32"/>
      <c r="G215" s="32"/>
      <c r="J215" s="32" t="str">
        <v>tengah</v>
      </c>
      <c r="K215" s="32"/>
      <c r="L215" s="32"/>
      <c r="O215" s="32" t="str">
        <v>tengah</v>
      </c>
      <c r="P215" s="32"/>
      <c r="Q215" s="32"/>
      <c r="T215" s="32" t="str">
        <v>tengah</v>
      </c>
      <c r="U215" s="32"/>
      <c r="V215" s="32"/>
    </row>
    <row r="216" spans="5:22">
      <c r="E216" s="32" t="str">
        <v>tengah</v>
      </c>
      <c r="F216" s="32"/>
      <c r="G216" s="32"/>
      <c r="J216" s="32" t="str">
        <v>tengah</v>
      </c>
      <c r="K216" s="32"/>
      <c r="L216" s="32"/>
      <c r="O216" s="32" t="str">
        <v>tengah</v>
      </c>
      <c r="P216" s="32"/>
      <c r="Q216" s="32"/>
      <c r="T216" s="32" t="str">
        <v>kanan</v>
      </c>
      <c r="U216" s="32"/>
      <c r="V216" s="32"/>
    </row>
    <row r="217" spans="5:22">
      <c r="E217" s="32" t="str">
        <v>kiri</v>
      </c>
      <c r="F217" s="32"/>
      <c r="G217" s="32"/>
      <c r="J217" s="32" t="str">
        <v>tengah</v>
      </c>
      <c r="K217" s="32"/>
      <c r="L217" s="32"/>
      <c r="O217" s="32" t="str">
        <v>tengah</v>
      </c>
      <c r="P217" s="32"/>
      <c r="Q217" s="32"/>
      <c r="T217" s="32" t="str">
        <v>tengah</v>
      </c>
      <c r="U217" s="32"/>
      <c r="V217" s="32"/>
    </row>
    <row r="218" spans="5:22">
      <c r="E218" s="32" t="str">
        <v>kiri</v>
      </c>
      <c r="F218" s="32"/>
      <c r="G218" s="32"/>
      <c r="J218" s="32" t="str">
        <v>tengah</v>
      </c>
      <c r="K218" s="32"/>
      <c r="L218" s="32"/>
      <c r="O218" s="32" t="str">
        <v>tengah</v>
      </c>
      <c r="P218" s="32"/>
      <c r="Q218" s="32"/>
      <c r="T218" s="32" t="str">
        <v>tengah</v>
      </c>
      <c r="U218" s="32"/>
      <c r="V218" s="32"/>
    </row>
    <row r="219" spans="5:22">
      <c r="E219" s="32" t="str">
        <v>tengah</v>
      </c>
      <c r="F219" s="32"/>
      <c r="G219" s="32"/>
      <c r="J219" s="32" t="str">
        <v>tengah</v>
      </c>
      <c r="K219" s="32"/>
      <c r="L219" s="32"/>
      <c r="O219" s="32" t="str">
        <v>tengah</v>
      </c>
      <c r="P219" s="32"/>
      <c r="Q219" s="32"/>
      <c r="T219" s="32" t="str">
        <v>kanan</v>
      </c>
      <c r="U219" s="32"/>
      <c r="V219" s="32"/>
    </row>
    <row r="220" spans="5:22">
      <c r="E220" s="32" t="str">
        <v>tengah</v>
      </c>
      <c r="F220" s="32"/>
      <c r="G220" s="32"/>
      <c r="J220" s="32" t="str">
        <v>kanan</v>
      </c>
      <c r="K220" s="32"/>
      <c r="L220" s="32"/>
      <c r="O220" s="32" t="str">
        <v>tengah</v>
      </c>
      <c r="P220" s="32"/>
      <c r="Q220" s="32"/>
      <c r="T220" s="32" t="str">
        <v>tengah</v>
      </c>
      <c r="U220" s="32"/>
      <c r="V220" s="32"/>
    </row>
    <row r="221" spans="5:22">
      <c r="E221" s="32" t="str">
        <v>tengah</v>
      </c>
      <c r="F221" s="32"/>
      <c r="G221" s="32"/>
      <c r="J221" s="32" t="str">
        <v>tengah</v>
      </c>
      <c r="K221" s="32"/>
      <c r="L221" s="32"/>
      <c r="O221" s="32" t="str">
        <v>tengah</v>
      </c>
      <c r="P221" s="32"/>
      <c r="Q221" s="32"/>
      <c r="T221" s="32" t="str">
        <v>kanan</v>
      </c>
      <c r="U221" s="32"/>
      <c r="V221" s="32"/>
    </row>
    <row r="222" spans="5:22">
      <c r="E222" s="32" t="str">
        <v>kiri</v>
      </c>
      <c r="F222" s="32"/>
      <c r="G222" s="32"/>
      <c r="J222" s="32" t="str">
        <v>kiri</v>
      </c>
      <c r="K222" s="32"/>
      <c r="L222" s="32"/>
      <c r="O222" s="32" t="str">
        <v>kanan</v>
      </c>
      <c r="P222" s="32"/>
      <c r="Q222" s="32"/>
      <c r="T222" s="32" t="str">
        <v>kanan</v>
      </c>
      <c r="U222" s="32"/>
      <c r="V222" s="32"/>
    </row>
    <row r="223" spans="5:22">
      <c r="E223" s="32" t="str">
        <v>tengah</v>
      </c>
      <c r="F223" s="32"/>
      <c r="G223" s="32"/>
      <c r="J223" s="32" t="str">
        <v>tengah</v>
      </c>
      <c r="K223" s="32"/>
      <c r="L223" s="32"/>
      <c r="O223" s="32" t="str">
        <v>kiri</v>
      </c>
      <c r="P223" s="32"/>
      <c r="Q223" s="32"/>
      <c r="T223" s="32" t="str">
        <v>kanan</v>
      </c>
      <c r="U223" s="32"/>
      <c r="V223" s="32"/>
    </row>
    <row r="224" spans="5:22">
      <c r="E224" s="32" t="str">
        <v>kanan</v>
      </c>
      <c r="F224" s="32"/>
      <c r="G224" s="32"/>
      <c r="J224" s="32" t="str">
        <v>tengah</v>
      </c>
      <c r="K224" s="32"/>
      <c r="L224" s="32"/>
      <c r="O224" s="32" t="str">
        <v>kanan</v>
      </c>
      <c r="P224" s="32"/>
      <c r="Q224" s="32"/>
      <c r="T224" s="32" t="str">
        <v>kanan</v>
      </c>
      <c r="U224" s="32"/>
      <c r="V224" s="32"/>
    </row>
    <row r="225" spans="5:22">
      <c r="E225" s="32" t="str">
        <v>tengah</v>
      </c>
      <c r="F225" s="32"/>
      <c r="G225" s="32"/>
      <c r="J225" s="32" t="str">
        <v>kanan</v>
      </c>
      <c r="K225" s="32"/>
      <c r="L225" s="32"/>
      <c r="O225" s="32" t="str">
        <v>tengah</v>
      </c>
      <c r="P225" s="32"/>
      <c r="Q225" s="32"/>
      <c r="T225" s="32" t="str">
        <v>kanan</v>
      </c>
      <c r="U225" s="32"/>
      <c r="V225" s="32"/>
    </row>
    <row r="226" spans="5:22">
      <c r="E226" s="32" t="str">
        <v>kanan</v>
      </c>
      <c r="F226" s="32"/>
      <c r="G226" s="32"/>
      <c r="J226" s="32" t="str">
        <v>tengah</v>
      </c>
      <c r="K226" s="32"/>
      <c r="L226" s="32"/>
      <c r="O226" s="32" t="str">
        <v>kanan</v>
      </c>
      <c r="P226" s="32"/>
      <c r="Q226" s="32"/>
      <c r="T226" s="32" t="str">
        <v>kanan</v>
      </c>
      <c r="U226" s="32"/>
      <c r="V226" s="32"/>
    </row>
    <row r="227" spans="5:22">
      <c r="E227" s="32" t="str">
        <v>tengah</v>
      </c>
      <c r="F227" s="32"/>
      <c r="G227" s="32"/>
      <c r="J227" s="32" t="str">
        <v>tengah</v>
      </c>
      <c r="K227" s="32"/>
      <c r="L227" s="32"/>
      <c r="O227" s="32" t="str">
        <v>tengah</v>
      </c>
      <c r="P227" s="32"/>
      <c r="Q227" s="32"/>
      <c r="T227" s="32" t="str">
        <v>tengah</v>
      </c>
      <c r="U227" s="32"/>
      <c r="V227" s="32"/>
    </row>
    <row r="228" spans="5:22">
      <c r="E228" s="32" t="str">
        <v>tengah</v>
      </c>
      <c r="F228" s="32"/>
      <c r="G228" s="32"/>
      <c r="J228" s="32" t="str">
        <v>tengah</v>
      </c>
      <c r="K228" s="32"/>
      <c r="L228" s="32"/>
      <c r="O228" s="32" t="str">
        <v>tengah</v>
      </c>
      <c r="P228" s="32"/>
      <c r="Q228" s="32"/>
      <c r="T228" s="32" t="str">
        <v>kanan</v>
      </c>
      <c r="U228" s="32"/>
      <c r="V228" s="32"/>
    </row>
    <row r="229" spans="5:22">
      <c r="E229" s="32" t="str">
        <v>kiri</v>
      </c>
      <c r="F229" s="32"/>
      <c r="G229" s="32"/>
      <c r="J229" s="32" t="str">
        <v>tengah</v>
      </c>
      <c r="K229" s="32"/>
      <c r="L229" s="32"/>
      <c r="O229" s="32" t="str">
        <v>tengah</v>
      </c>
      <c r="P229" s="32"/>
      <c r="Q229" s="32"/>
      <c r="T229" s="32" t="str">
        <v>kanan</v>
      </c>
      <c r="U229" s="32"/>
      <c r="V229" s="32"/>
    </row>
    <row r="230" spans="5:22">
      <c r="E230" s="32" t="str">
        <v>tengah</v>
      </c>
      <c r="F230" s="32"/>
      <c r="G230" s="32"/>
      <c r="J230" s="32" t="str">
        <v>kiri</v>
      </c>
      <c r="K230" s="32"/>
      <c r="L230" s="32"/>
      <c r="O230" s="32" t="str">
        <v>tengah</v>
      </c>
      <c r="P230" s="32"/>
      <c r="Q230" s="32"/>
      <c r="T230" s="32" t="str">
        <v>kanan</v>
      </c>
      <c r="U230" s="32"/>
      <c r="V230" s="32"/>
    </row>
    <row r="231" spans="5:22">
      <c r="E231" s="32" t="str">
        <v>kanan</v>
      </c>
      <c r="F231" s="32"/>
      <c r="G231" s="32"/>
      <c r="J231" s="32" t="str">
        <v>kanan</v>
      </c>
      <c r="K231" s="32"/>
      <c r="L231" s="32"/>
      <c r="O231" s="32" t="str">
        <v>kiri</v>
      </c>
      <c r="P231" s="32"/>
      <c r="Q231" s="32"/>
      <c r="T231" s="32" t="str">
        <v>kanan</v>
      </c>
      <c r="U231" s="32"/>
      <c r="V231" s="32"/>
    </row>
    <row r="232" spans="5:22">
      <c r="E232" s="32" t="str">
        <v>kiri</v>
      </c>
      <c r="F232" s="32"/>
      <c r="G232" s="32"/>
      <c r="J232" s="32" t="str">
        <v>kiri</v>
      </c>
      <c r="K232" s="32"/>
      <c r="L232" s="32"/>
      <c r="O232" s="32" t="str">
        <v>tengah</v>
      </c>
      <c r="P232" s="32"/>
      <c r="Q232" s="32"/>
      <c r="T232" s="32" t="str">
        <v>tengah</v>
      </c>
      <c r="U232" s="32"/>
      <c r="V232" s="32"/>
    </row>
    <row r="233" spans="5:22">
      <c r="E233" s="32" t="str">
        <v>tengah</v>
      </c>
      <c r="F233" s="32"/>
      <c r="G233" s="32"/>
      <c r="J233" s="32" t="str">
        <v>tengah</v>
      </c>
      <c r="K233" s="32"/>
      <c r="L233" s="32"/>
      <c r="O233" s="32" t="str">
        <v>tengah</v>
      </c>
      <c r="P233" s="32"/>
      <c r="Q233" s="32"/>
      <c r="T233" s="32" t="str">
        <v>tengah</v>
      </c>
      <c r="U233" s="32"/>
      <c r="V233" s="32"/>
    </row>
    <row r="234" spans="5:22">
      <c r="E234" s="32" t="str">
        <v>tengah</v>
      </c>
      <c r="F234" s="32"/>
      <c r="G234" s="32"/>
      <c r="J234" s="32" t="str">
        <v>kanan</v>
      </c>
      <c r="K234" s="32"/>
      <c r="L234" s="32"/>
      <c r="O234" s="32" t="str">
        <v>tengah</v>
      </c>
      <c r="P234" s="32"/>
      <c r="Q234" s="32"/>
      <c r="T234" s="32" t="str">
        <v>tengah</v>
      </c>
      <c r="U234" s="32"/>
      <c r="V234" s="32"/>
    </row>
    <row r="235" spans="5:22">
      <c r="E235" s="32" t="str">
        <v>kiri</v>
      </c>
      <c r="F235" s="32"/>
      <c r="G235" s="32"/>
      <c r="J235" s="32" t="str">
        <v>kiri</v>
      </c>
      <c r="K235" s="32"/>
      <c r="L235" s="32"/>
      <c r="O235" s="32" t="str">
        <v>tengah</v>
      </c>
      <c r="P235" s="32"/>
      <c r="Q235" s="32"/>
      <c r="T235" s="32" t="str">
        <v>kanan</v>
      </c>
      <c r="U235" s="32"/>
      <c r="V235" s="32"/>
    </row>
    <row r="236" spans="5:22">
      <c r="E236" s="32" t="str">
        <v>tengah</v>
      </c>
      <c r="F236" s="32"/>
      <c r="G236" s="32"/>
      <c r="J236" s="32" t="str">
        <v>tengah</v>
      </c>
      <c r="K236" s="32"/>
      <c r="L236" s="32"/>
      <c r="O236" s="32" t="str">
        <v>tengah</v>
      </c>
      <c r="P236" s="32"/>
      <c r="Q236" s="32"/>
      <c r="T236" s="32" t="str">
        <v>kanan</v>
      </c>
      <c r="U236" s="32"/>
      <c r="V236" s="32"/>
    </row>
    <row r="237" spans="5:22">
      <c r="E237" s="32" t="str">
        <v>kanan</v>
      </c>
      <c r="F237" s="32"/>
      <c r="G237" s="32"/>
      <c r="J237" s="32" t="str">
        <v>tengah</v>
      </c>
      <c r="K237" s="32"/>
      <c r="L237" s="32"/>
      <c r="O237" s="32" t="str">
        <v>tengah</v>
      </c>
      <c r="P237" s="32"/>
      <c r="Q237" s="32"/>
      <c r="T237" s="32" t="str">
        <v>tengah</v>
      </c>
      <c r="U237" s="32"/>
      <c r="V237" s="32"/>
    </row>
    <row r="238" spans="5:22">
      <c r="E238" s="32" t="str">
        <v>tengah</v>
      </c>
      <c r="F238" s="32"/>
      <c r="G238" s="32"/>
      <c r="J238" s="32" t="str">
        <v>tengah</v>
      </c>
      <c r="K238" s="32"/>
      <c r="L238" s="32"/>
      <c r="O238" s="32" t="str">
        <v>tengah</v>
      </c>
      <c r="P238" s="32"/>
      <c r="Q238" s="32"/>
      <c r="T238" s="32" t="str">
        <v>tengah</v>
      </c>
      <c r="U238" s="32"/>
      <c r="V238" s="32"/>
    </row>
    <row r="239" spans="5:22">
      <c r="E239" s="32" t="str">
        <v>tengah</v>
      </c>
      <c r="F239" s="32"/>
      <c r="G239" s="32"/>
      <c r="J239" s="32" t="str">
        <v>tengah</v>
      </c>
      <c r="K239" s="32"/>
      <c r="L239" s="32"/>
      <c r="O239" s="32" t="str">
        <v>tengah</v>
      </c>
      <c r="P239" s="32"/>
      <c r="Q239" s="32"/>
      <c r="T239" s="32" t="str">
        <v>tengah</v>
      </c>
      <c r="U239" s="32"/>
      <c r="V239" s="32"/>
    </row>
    <row r="240" spans="5:22">
      <c r="E240" s="32" t="str">
        <v>tengah</v>
      </c>
      <c r="F240" s="32"/>
      <c r="G240" s="32"/>
      <c r="J240" s="32" t="str">
        <v>kiri</v>
      </c>
      <c r="K240" s="32"/>
      <c r="L240" s="32"/>
      <c r="O240" s="32" t="str">
        <v>tengah</v>
      </c>
      <c r="P240" s="32"/>
      <c r="Q240" s="32"/>
      <c r="T240" s="32" t="str">
        <v>tengah</v>
      </c>
      <c r="U240" s="32"/>
      <c r="V240" s="32"/>
    </row>
    <row r="241" spans="5:22">
      <c r="E241" s="32" t="str">
        <v>kanan</v>
      </c>
      <c r="F241" s="32"/>
      <c r="G241" s="32"/>
      <c r="J241" s="32" t="str">
        <v>kanan</v>
      </c>
      <c r="K241" s="32"/>
      <c r="L241" s="32"/>
      <c r="O241" s="32" t="str">
        <v>tengah</v>
      </c>
      <c r="P241" s="32"/>
      <c r="Q241" s="32"/>
      <c r="T241" s="32" t="str">
        <v>tengah</v>
      </c>
      <c r="U241" s="32"/>
      <c r="V241" s="32"/>
    </row>
    <row r="242" spans="5:22">
      <c r="E242" s="32" t="str">
        <v>kiri</v>
      </c>
      <c r="F242" s="32"/>
      <c r="G242" s="32"/>
      <c r="J242" s="32" t="str">
        <v>kiri</v>
      </c>
      <c r="K242" s="32"/>
      <c r="L242" s="32"/>
      <c r="O242" s="32" t="str">
        <v>tengah</v>
      </c>
      <c r="P242" s="32"/>
      <c r="Q242" s="32"/>
      <c r="T242" s="32" t="str">
        <v>kanan</v>
      </c>
      <c r="U242" s="32"/>
      <c r="V242" s="32"/>
    </row>
    <row r="243" spans="5:22">
      <c r="E243" s="32" t="str">
        <v>kiri</v>
      </c>
      <c r="F243" s="32"/>
      <c r="G243" s="32"/>
      <c r="J243" s="32" t="str">
        <v>tengah</v>
      </c>
      <c r="K243" s="32"/>
      <c r="L243" s="32"/>
      <c r="O243" s="32" t="str">
        <v>tengah</v>
      </c>
      <c r="P243" s="32"/>
      <c r="Q243" s="32"/>
      <c r="T243" s="32" t="str">
        <v>tengah</v>
      </c>
      <c r="U243" s="32"/>
      <c r="V243" s="32"/>
    </row>
    <row r="244" spans="5:22">
      <c r="E244" s="32" t="str">
        <v>kiri</v>
      </c>
      <c r="F244" s="32"/>
      <c r="G244" s="32"/>
      <c r="J244" s="32" t="str">
        <v>kanan</v>
      </c>
      <c r="K244" s="32"/>
      <c r="L244" s="32"/>
      <c r="O244" s="32" t="str">
        <v>kiri</v>
      </c>
      <c r="P244" s="32"/>
      <c r="Q244" s="32"/>
      <c r="T244" s="32" t="str">
        <v>tengah</v>
      </c>
      <c r="U244" s="32"/>
      <c r="V244" s="32"/>
    </row>
    <row r="245" spans="5:22">
      <c r="E245" s="32" t="str">
        <v>kanan</v>
      </c>
      <c r="F245" s="32"/>
      <c r="G245" s="32"/>
      <c r="J245" s="32" t="str">
        <v>tengah</v>
      </c>
      <c r="K245" s="32"/>
      <c r="L245" s="32"/>
      <c r="O245" s="32" t="str">
        <v>tengah</v>
      </c>
      <c r="P245" s="32"/>
      <c r="Q245" s="32"/>
      <c r="T245" s="32" t="str">
        <v>tengah</v>
      </c>
      <c r="U245" s="32"/>
      <c r="V245" s="32"/>
    </row>
    <row r="246" spans="5:22">
      <c r="E246" s="32" t="str">
        <v>kanan</v>
      </c>
      <c r="F246" s="32"/>
      <c r="G246" s="32"/>
      <c r="J246" s="32" t="str">
        <v>tengah</v>
      </c>
      <c r="K246" s="32"/>
      <c r="L246" s="32"/>
      <c r="O246" s="32" t="str">
        <v>tengah</v>
      </c>
      <c r="P246" s="32"/>
      <c r="Q246" s="32"/>
      <c r="T246" s="32" t="str">
        <v>kanan</v>
      </c>
      <c r="U246" s="32"/>
      <c r="V246" s="32"/>
    </row>
    <row r="247" spans="5:22">
      <c r="E247" s="32" t="str">
        <v>tengah</v>
      </c>
      <c r="F247" s="32"/>
      <c r="G247" s="32"/>
      <c r="J247" s="32" t="str">
        <v>kanan</v>
      </c>
      <c r="K247" s="32"/>
      <c r="L247" s="32"/>
      <c r="O247" s="32" t="str">
        <v>tengah</v>
      </c>
      <c r="P247" s="32"/>
      <c r="Q247" s="32"/>
      <c r="T247" s="32" t="str">
        <v>kanan</v>
      </c>
      <c r="U247" s="32"/>
      <c r="V247" s="32"/>
    </row>
    <row r="248" spans="5:22">
      <c r="E248" s="32" t="str">
        <v>kanan</v>
      </c>
      <c r="F248" s="32"/>
      <c r="G248" s="32"/>
      <c r="J248" s="32" t="str">
        <v>kanan</v>
      </c>
      <c r="K248" s="32"/>
      <c r="L248" s="32"/>
      <c r="O248" s="32" t="str">
        <v>tengah</v>
      </c>
      <c r="P248" s="32"/>
      <c r="Q248" s="32"/>
      <c r="T248" s="32" t="str">
        <v>kanan</v>
      </c>
      <c r="U248" s="32"/>
      <c r="V248" s="32"/>
    </row>
    <row r="249" spans="5:22">
      <c r="E249" s="32" t="str">
        <v>kiri</v>
      </c>
      <c r="F249" s="32"/>
      <c r="G249" s="32"/>
      <c r="J249" s="32" t="str">
        <v>tengah</v>
      </c>
      <c r="K249" s="32"/>
      <c r="L249" s="32"/>
      <c r="O249" s="32" t="str">
        <v>kiri</v>
      </c>
      <c r="P249" s="32"/>
      <c r="Q249" s="32"/>
      <c r="T249" s="32" t="str">
        <v>tengah</v>
      </c>
      <c r="U249" s="32"/>
      <c r="V249" s="32"/>
    </row>
    <row r="250" spans="5:22">
      <c r="E250" s="32" t="str">
        <v>tengah</v>
      </c>
      <c r="F250" s="32"/>
      <c r="G250" s="32"/>
      <c r="J250" s="32" t="str">
        <v>tengah</v>
      </c>
      <c r="K250" s="32"/>
      <c r="L250" s="32"/>
      <c r="O250" s="32" t="str">
        <v>tengah</v>
      </c>
      <c r="P250" s="32"/>
      <c r="Q250" s="32"/>
      <c r="T250" s="32" t="str">
        <v>tengah</v>
      </c>
      <c r="U250" s="32"/>
      <c r="V250" s="32"/>
    </row>
    <row r="251" spans="5:22">
      <c r="E251" s="32" t="str">
        <v>tengah</v>
      </c>
      <c r="F251" s="32"/>
      <c r="G251" s="32"/>
      <c r="J251" s="32" t="str">
        <v>tengah</v>
      </c>
      <c r="K251" s="32"/>
      <c r="L251" s="32"/>
      <c r="O251" s="32" t="str">
        <v>kiri</v>
      </c>
      <c r="P251" s="32"/>
      <c r="Q251" s="32"/>
      <c r="T251" s="32" t="str">
        <v>kanan</v>
      </c>
      <c r="U251" s="32"/>
      <c r="V251" s="32"/>
    </row>
    <row r="252" spans="5:22">
      <c r="E252" s="32" t="str">
        <v>kiri</v>
      </c>
      <c r="F252" s="32"/>
      <c r="G252" s="32"/>
      <c r="J252" s="32" t="str">
        <v>tengah</v>
      </c>
      <c r="K252" s="32"/>
      <c r="L252" s="32"/>
      <c r="O252" s="32" t="str">
        <v>tengah</v>
      </c>
      <c r="P252" s="32"/>
      <c r="Q252" s="32"/>
      <c r="T252" s="32" t="str">
        <v>kanan</v>
      </c>
      <c r="U252" s="32"/>
      <c r="V252" s="32"/>
    </row>
    <row r="253" spans="5:22">
      <c r="E253" s="32" t="str">
        <v>kanan</v>
      </c>
      <c r="F253" s="32"/>
      <c r="G253" s="32"/>
      <c r="J253" s="32" t="str">
        <v>tengah</v>
      </c>
      <c r="K253" s="32"/>
      <c r="L253" s="32"/>
      <c r="O253" s="32" t="str">
        <v>tengah</v>
      </c>
      <c r="P253" s="32"/>
      <c r="Q253" s="32"/>
      <c r="T253" s="32" t="str">
        <v>kanan</v>
      </c>
      <c r="U253" s="32"/>
      <c r="V253" s="32"/>
    </row>
    <row r="254" spans="5:22">
      <c r="E254" s="32" t="str">
        <v>kanan</v>
      </c>
      <c r="F254" s="32"/>
      <c r="G254" s="32"/>
      <c r="J254" s="32" t="str">
        <v>kanan</v>
      </c>
      <c r="K254" s="32"/>
      <c r="L254" s="32"/>
      <c r="O254" s="32" t="str">
        <v>tengah</v>
      </c>
      <c r="P254" s="32"/>
      <c r="Q254" s="32"/>
      <c r="T254" s="32" t="str">
        <v>tengah</v>
      </c>
      <c r="U254" s="32"/>
      <c r="V254" s="32"/>
    </row>
    <row r="255" spans="5:22">
      <c r="E255" s="32" t="str">
        <v>kanan</v>
      </c>
      <c r="F255" s="32"/>
      <c r="G255" s="32"/>
      <c r="J255" s="32" t="str">
        <v>tengah</v>
      </c>
      <c r="K255" s="32"/>
      <c r="L255" s="32"/>
      <c r="O255" s="32" t="str">
        <v>kanan</v>
      </c>
      <c r="P255" s="32"/>
      <c r="Q255" s="32"/>
      <c r="T255" s="32" t="str">
        <v>kanan</v>
      </c>
      <c r="U255" s="32"/>
      <c r="V255" s="32"/>
    </row>
    <row r="256" spans="5:22">
      <c r="E256" s="32" t="str">
        <v>kiri</v>
      </c>
      <c r="F256" s="32"/>
      <c r="G256" s="32"/>
      <c r="J256" s="32" t="str">
        <v>tengah</v>
      </c>
      <c r="K256" s="32"/>
      <c r="L256" s="32"/>
      <c r="O256" s="32" t="str">
        <v>tengah</v>
      </c>
      <c r="P256" s="32"/>
      <c r="Q256" s="32"/>
      <c r="T256" s="32" t="str">
        <v>tengah</v>
      </c>
      <c r="U256" s="32"/>
      <c r="V256" s="32"/>
    </row>
    <row r="257" spans="5:22">
      <c r="E257" s="32" t="str">
        <v>kiri</v>
      </c>
      <c r="F257" s="32"/>
      <c r="G257" s="32"/>
      <c r="J257" s="32" t="str">
        <v>tengah</v>
      </c>
      <c r="K257" s="32"/>
      <c r="L257" s="32"/>
      <c r="O257" s="32" t="str">
        <v>tengah</v>
      </c>
      <c r="P257" s="32"/>
      <c r="Q257" s="32"/>
      <c r="T257" s="32" t="str">
        <v>tengah</v>
      </c>
      <c r="U257" s="32"/>
      <c r="V257" s="32"/>
    </row>
    <row r="258" spans="5:22">
      <c r="E258" s="32" t="str">
        <v>tengah</v>
      </c>
      <c r="F258" s="32"/>
      <c r="G258" s="32"/>
      <c r="J258" s="32" t="str">
        <v>tengah</v>
      </c>
      <c r="K258" s="32"/>
      <c r="L258" s="32"/>
      <c r="O258" s="32" t="str">
        <v>kanan</v>
      </c>
      <c r="P258" s="32"/>
      <c r="Q258" s="32"/>
      <c r="T258" s="32" t="str">
        <v>kanan</v>
      </c>
      <c r="U258" s="32"/>
      <c r="V258" s="32"/>
    </row>
    <row r="259" spans="5:22">
      <c r="E259" s="32" t="str">
        <v>tengah</v>
      </c>
      <c r="F259" s="32"/>
      <c r="G259" s="32"/>
      <c r="J259" s="32" t="str">
        <v>tengah</v>
      </c>
      <c r="K259" s="32"/>
      <c r="L259" s="32"/>
      <c r="O259" s="32" t="str">
        <v>kiri</v>
      </c>
      <c r="P259" s="32"/>
      <c r="Q259" s="32"/>
      <c r="T259" s="32" t="str">
        <v>kanan</v>
      </c>
      <c r="U259" s="32"/>
      <c r="V259" s="32"/>
    </row>
    <row r="260" spans="5:22">
      <c r="E260" s="32" t="str">
        <v>kanan</v>
      </c>
      <c r="F260" s="32"/>
      <c r="G260" s="32"/>
      <c r="J260" s="32" t="str">
        <v>kanan</v>
      </c>
      <c r="K260" s="32"/>
      <c r="L260" s="32"/>
      <c r="O260" s="32" t="str">
        <v>tengah</v>
      </c>
      <c r="P260" s="32"/>
      <c r="Q260" s="32"/>
      <c r="T260" s="32" t="str">
        <v>kanan</v>
      </c>
      <c r="U260" s="32"/>
      <c r="V260" s="32"/>
    </row>
    <row r="261" spans="5:22">
      <c r="E261" s="32" t="str">
        <v>tengah</v>
      </c>
      <c r="F261" s="32"/>
      <c r="G261" s="32"/>
      <c r="J261" s="32" t="str">
        <v>kiri</v>
      </c>
      <c r="K261" s="32"/>
      <c r="L261" s="32"/>
      <c r="O261" s="32" t="str">
        <v>kanan</v>
      </c>
      <c r="P261" s="32"/>
      <c r="Q261" s="32"/>
      <c r="T261" s="32" t="str">
        <v>kanan</v>
      </c>
      <c r="U261" s="32"/>
      <c r="V261" s="32"/>
    </row>
    <row r="262" spans="5:22">
      <c r="E262" s="32" t="str">
        <v>kanan</v>
      </c>
      <c r="F262" s="32"/>
      <c r="G262" s="32"/>
      <c r="J262" s="32" t="str">
        <v>kanan</v>
      </c>
      <c r="K262" s="32"/>
      <c r="L262" s="32"/>
      <c r="O262" s="32" t="str">
        <v>kiri</v>
      </c>
      <c r="P262" s="32"/>
      <c r="Q262" s="32"/>
      <c r="T262" s="32" t="str">
        <v>kanan</v>
      </c>
      <c r="U262" s="32"/>
      <c r="V262" s="32"/>
    </row>
    <row r="263" spans="5:22">
      <c r="E263" s="32" t="str">
        <v>tengah</v>
      </c>
      <c r="F263" s="32"/>
      <c r="G263" s="32"/>
      <c r="J263" s="32" t="str">
        <v>kiri</v>
      </c>
      <c r="K263" s="32"/>
      <c r="L263" s="32"/>
      <c r="O263" s="32" t="str">
        <v>tengah</v>
      </c>
      <c r="P263" s="32"/>
      <c r="Q263" s="32"/>
      <c r="T263" s="32" t="str">
        <v>kanan</v>
      </c>
      <c r="U263" s="32"/>
      <c r="V263" s="32"/>
    </row>
    <row r="264" spans="5:22">
      <c r="E264" s="32" t="str">
        <v>kanan</v>
      </c>
      <c r="F264" s="32"/>
      <c r="G264" s="32"/>
      <c r="J264" s="32" t="str">
        <v>tengah</v>
      </c>
      <c r="K264" s="32"/>
      <c r="L264" s="32"/>
      <c r="O264" s="32" t="str">
        <v>kiri</v>
      </c>
      <c r="P264" s="32"/>
      <c r="Q264" s="32"/>
      <c r="T264" s="32" t="str">
        <v>kanan</v>
      </c>
      <c r="U264" s="32"/>
      <c r="V264" s="32"/>
    </row>
    <row r="265" spans="5:22">
      <c r="E265" s="32" t="str">
        <v>kiri</v>
      </c>
      <c r="F265" s="32"/>
      <c r="G265" s="32"/>
      <c r="J265" s="32" t="str">
        <v>tengah</v>
      </c>
      <c r="K265" s="32"/>
      <c r="L265" s="32"/>
      <c r="O265" s="32" t="str">
        <v>kiri</v>
      </c>
      <c r="P265" s="32"/>
      <c r="Q265" s="32"/>
      <c r="T265" s="32" t="str">
        <v>tengah</v>
      </c>
      <c r="U265" s="32"/>
      <c r="V265" s="32"/>
    </row>
    <row r="266" spans="5:22">
      <c r="E266" s="32" t="str">
        <v>kiri</v>
      </c>
      <c r="F266" s="32"/>
      <c r="G266" s="32"/>
      <c r="J266" s="32" t="str">
        <v>tengah</v>
      </c>
      <c r="K266" s="32"/>
      <c r="L266" s="32"/>
      <c r="O266" s="32" t="str">
        <v>tengah</v>
      </c>
      <c r="P266" s="32"/>
      <c r="Q266" s="32"/>
      <c r="T266" s="32" t="str">
        <v>kanan</v>
      </c>
      <c r="U266" s="32"/>
      <c r="V266" s="32"/>
    </row>
    <row r="267" spans="5:22">
      <c r="E267" s="32" t="str">
        <v>kanan</v>
      </c>
      <c r="F267" s="32"/>
      <c r="G267" s="32"/>
      <c r="J267" s="32" t="str">
        <v>tengah</v>
      </c>
      <c r="K267" s="32"/>
      <c r="L267" s="32"/>
      <c r="O267" s="32" t="str">
        <v>kanan</v>
      </c>
      <c r="P267" s="32"/>
      <c r="Q267" s="32"/>
      <c r="T267" s="32" t="str">
        <v>kanan</v>
      </c>
      <c r="U267" s="32"/>
      <c r="V267" s="32"/>
    </row>
    <row r="268" spans="5:22">
      <c r="E268" s="32" t="str">
        <v>kiri</v>
      </c>
      <c r="F268" s="32"/>
      <c r="G268" s="32"/>
      <c r="J268" s="32" t="str">
        <v>tengah</v>
      </c>
      <c r="K268" s="32"/>
      <c r="L268" s="32"/>
      <c r="O268" s="32" t="str">
        <v>tengah</v>
      </c>
      <c r="P268" s="32"/>
      <c r="Q268" s="32"/>
      <c r="T268" s="32" t="str">
        <v>tengah</v>
      </c>
      <c r="U268" s="32"/>
      <c r="V268" s="32"/>
    </row>
    <row r="269" spans="5:22">
      <c r="E269" s="32" t="str">
        <v>kiri</v>
      </c>
      <c r="F269" s="32"/>
      <c r="G269" s="32"/>
      <c r="J269" s="32" t="str">
        <v>tengah</v>
      </c>
      <c r="K269" s="32"/>
      <c r="L269" s="32"/>
      <c r="O269" s="32" t="str">
        <v>tengah</v>
      </c>
      <c r="P269" s="32"/>
      <c r="Q269" s="32"/>
      <c r="T269" s="32" t="str">
        <v>tengah</v>
      </c>
      <c r="U269" s="32"/>
      <c r="V269" s="32"/>
    </row>
    <row r="270" spans="5:22">
      <c r="E270" s="32" t="str">
        <v>kanan</v>
      </c>
      <c r="F270" s="32"/>
      <c r="G270" s="32"/>
      <c r="J270" s="32" t="str">
        <v>tengah</v>
      </c>
      <c r="K270" s="32"/>
      <c r="L270" s="32"/>
      <c r="O270" s="32" t="str">
        <v>tengah</v>
      </c>
      <c r="P270" s="32"/>
      <c r="Q270" s="32"/>
      <c r="T270" s="32" t="str">
        <v>kanan</v>
      </c>
      <c r="U270" s="32"/>
      <c r="V270" s="32"/>
    </row>
    <row r="271" spans="5:22">
      <c r="E271" s="32" t="str">
        <v>tengah</v>
      </c>
      <c r="F271" s="32"/>
      <c r="G271" s="32"/>
      <c r="J271" s="32" t="str">
        <v>kiri</v>
      </c>
      <c r="K271" s="32"/>
      <c r="L271" s="32"/>
      <c r="O271" s="32" t="str">
        <v>tengah</v>
      </c>
      <c r="P271" s="32"/>
      <c r="Q271" s="32"/>
      <c r="T271" s="32" t="str">
        <v>tengah</v>
      </c>
      <c r="U271" s="32"/>
      <c r="V271" s="32"/>
    </row>
    <row r="272" spans="5:22">
      <c r="E272" s="32" t="str">
        <v>kiri</v>
      </c>
      <c r="F272" s="32"/>
      <c r="G272" s="32"/>
      <c r="J272" s="32" t="str">
        <v>kanan</v>
      </c>
      <c r="K272" s="32"/>
      <c r="L272" s="32"/>
      <c r="O272" s="32" t="str">
        <v>tengah</v>
      </c>
      <c r="P272" s="32"/>
      <c r="Q272" s="32"/>
      <c r="T272" s="32" t="str">
        <v>kanan</v>
      </c>
      <c r="U272" s="32"/>
      <c r="V272" s="32"/>
    </row>
    <row r="273" spans="5:22">
      <c r="E273" s="32" t="str">
        <v>kiri</v>
      </c>
      <c r="F273" s="32"/>
      <c r="G273" s="32"/>
      <c r="J273" s="32" t="str">
        <v>tengah</v>
      </c>
      <c r="K273" s="32"/>
      <c r="L273" s="32"/>
      <c r="O273" s="32" t="str">
        <v>kanan</v>
      </c>
      <c r="P273" s="32"/>
      <c r="Q273" s="32"/>
      <c r="T273" s="32" t="str">
        <v>tengah</v>
      </c>
      <c r="U273" s="32"/>
      <c r="V273" s="32"/>
    </row>
    <row r="274" spans="5:22">
      <c r="E274" s="32" t="str">
        <v>tengah</v>
      </c>
      <c r="F274" s="32"/>
      <c r="G274" s="32"/>
      <c r="J274" s="32" t="str">
        <v>tengah</v>
      </c>
      <c r="K274" s="32"/>
      <c r="L274" s="32"/>
      <c r="O274" s="32" t="str">
        <v>kanan</v>
      </c>
      <c r="P274" s="32"/>
      <c r="Q274" s="32"/>
      <c r="T274" s="32" t="str">
        <v>kanan</v>
      </c>
      <c r="U274" s="32"/>
      <c r="V274" s="32"/>
    </row>
    <row r="275" spans="5:22">
      <c r="E275" s="32" t="str">
        <v>tengah</v>
      </c>
      <c r="F275" s="32"/>
      <c r="G275" s="32"/>
      <c r="J275" s="32" t="str">
        <v>kiri</v>
      </c>
      <c r="K275" s="32"/>
      <c r="L275" s="32"/>
      <c r="O275" s="32" t="str">
        <v>tengah</v>
      </c>
      <c r="P275" s="32"/>
      <c r="Q275" s="32"/>
      <c r="T275" s="32" t="str">
        <v>kanan</v>
      </c>
      <c r="U275" s="32"/>
      <c r="V275" s="32"/>
    </row>
    <row r="276" spans="5:22">
      <c r="E276" s="32" t="str">
        <v>tengah</v>
      </c>
      <c r="F276" s="32"/>
      <c r="G276" s="32"/>
      <c r="J276" s="32" t="str">
        <v>kiri</v>
      </c>
      <c r="K276" s="32"/>
      <c r="L276" s="32"/>
      <c r="O276" s="32" t="str">
        <v>tengah</v>
      </c>
      <c r="P276" s="32"/>
      <c r="Q276" s="32"/>
      <c r="T276" s="32" t="str">
        <v>kanan</v>
      </c>
      <c r="U276" s="32"/>
      <c r="V276" s="32"/>
    </row>
    <row r="277" spans="5:22">
      <c r="E277" s="32" t="str">
        <v>tengah</v>
      </c>
      <c r="F277" s="32"/>
      <c r="G277" s="32"/>
      <c r="J277" s="32" t="str">
        <v>tengah</v>
      </c>
      <c r="K277" s="32"/>
      <c r="L277" s="32"/>
      <c r="O277" s="32" t="str">
        <v>tengah</v>
      </c>
      <c r="P277" s="32"/>
      <c r="Q277" s="32"/>
      <c r="T277" s="32" t="str">
        <v>tengah</v>
      </c>
      <c r="U277" s="32"/>
      <c r="V277" s="32"/>
    </row>
    <row r="278" spans="5:22">
      <c r="E278" s="32" t="str">
        <v>tengah</v>
      </c>
      <c r="F278" s="32"/>
      <c r="G278" s="32"/>
      <c r="J278" s="32" t="str">
        <v>kiri</v>
      </c>
      <c r="K278" s="32"/>
      <c r="L278" s="32"/>
      <c r="O278" s="32" t="str">
        <v>kanan</v>
      </c>
      <c r="P278" s="32"/>
      <c r="Q278" s="32"/>
      <c r="T278" s="32" t="str">
        <v>kanan</v>
      </c>
      <c r="U278" s="32"/>
      <c r="V278" s="32"/>
    </row>
    <row r="279" spans="5:22">
      <c r="E279" s="32" t="str">
        <v>kanan</v>
      </c>
      <c r="F279" s="32"/>
      <c r="G279" s="32"/>
      <c r="J279" s="32" t="str">
        <v>tengah</v>
      </c>
      <c r="K279" s="32"/>
      <c r="L279" s="32"/>
      <c r="O279" s="32" t="str">
        <v>tengah</v>
      </c>
      <c r="P279" s="32"/>
      <c r="Q279" s="32"/>
      <c r="T279" s="32" t="str">
        <v>kanan</v>
      </c>
      <c r="U279" s="32"/>
      <c r="V279" s="32"/>
    </row>
    <row r="280" spans="5:22">
      <c r="E280" s="32" t="str">
        <v>tengah</v>
      </c>
      <c r="F280" s="32"/>
      <c r="G280" s="32"/>
      <c r="J280" s="32" t="str">
        <v>tengah</v>
      </c>
      <c r="K280" s="32"/>
      <c r="L280" s="32"/>
      <c r="O280" s="32" t="str">
        <v>tengah</v>
      </c>
      <c r="P280" s="32"/>
      <c r="Q280" s="32"/>
      <c r="T280" s="32" t="str">
        <v>kanan</v>
      </c>
      <c r="U280" s="32"/>
      <c r="V280" s="32"/>
    </row>
    <row r="281" spans="5:22">
      <c r="E281" s="32" t="str">
        <v>kiri</v>
      </c>
      <c r="F281" s="32"/>
      <c r="G281" s="32"/>
      <c r="J281" s="32" t="str">
        <v>tengah</v>
      </c>
      <c r="K281" s="32"/>
      <c r="L281" s="32"/>
      <c r="O281" s="32" t="str">
        <v>tengah</v>
      </c>
      <c r="P281" s="32"/>
      <c r="Q281" s="32"/>
      <c r="T281" s="32" t="str">
        <v>tengah</v>
      </c>
      <c r="U281" s="32"/>
      <c r="V281" s="32"/>
    </row>
    <row r="282" spans="5:22">
      <c r="E282" s="32" t="str">
        <v>kanan</v>
      </c>
      <c r="F282" s="32"/>
      <c r="G282" s="32"/>
      <c r="J282" s="32" t="str">
        <v>tengah</v>
      </c>
      <c r="K282" s="32"/>
      <c r="L282" s="32"/>
      <c r="O282" s="32" t="str">
        <v>tengah</v>
      </c>
      <c r="P282" s="32"/>
      <c r="Q282" s="32"/>
      <c r="T282" s="32" t="str">
        <v>kanan</v>
      </c>
      <c r="U282" s="32"/>
      <c r="V282" s="32"/>
    </row>
    <row r="283" spans="5:22">
      <c r="E283" s="32" t="str">
        <v>tengah</v>
      </c>
      <c r="F283" s="32"/>
      <c r="G283" s="32"/>
      <c r="J283" s="32" t="str">
        <v>tengah</v>
      </c>
      <c r="K283" s="32"/>
      <c r="L283" s="32"/>
      <c r="O283" s="32" t="str">
        <v>tengah</v>
      </c>
      <c r="P283" s="32"/>
      <c r="Q283" s="32"/>
      <c r="T283" s="32" t="str">
        <v>kanan</v>
      </c>
      <c r="U283" s="32"/>
      <c r="V283" s="32"/>
    </row>
    <row r="284" spans="5:22">
      <c r="E284" s="32" t="str">
        <v>tengah</v>
      </c>
      <c r="F284" s="32"/>
      <c r="G284" s="32"/>
      <c r="J284" s="32" t="str">
        <v>tengah</v>
      </c>
      <c r="K284" s="32"/>
      <c r="L284" s="32"/>
      <c r="O284" s="32" t="str">
        <v>tengah</v>
      </c>
      <c r="P284" s="32"/>
      <c r="Q284" s="32"/>
      <c r="T284" s="32" t="str">
        <v>tengah</v>
      </c>
      <c r="U284" s="32"/>
      <c r="V284" s="32"/>
    </row>
    <row r="285" spans="5:22">
      <c r="E285" s="32" t="str">
        <v>tengah</v>
      </c>
      <c r="F285" s="32"/>
      <c r="G285" s="32"/>
      <c r="J285" s="32" t="str">
        <v>tengah</v>
      </c>
      <c r="K285" s="32"/>
      <c r="L285" s="32"/>
      <c r="O285" s="32" t="str">
        <v>kanan</v>
      </c>
      <c r="P285" s="32"/>
      <c r="Q285" s="32"/>
      <c r="T285" s="32" t="str">
        <v>kanan</v>
      </c>
      <c r="U285" s="32"/>
      <c r="V285" s="32"/>
    </row>
    <row r="286" spans="5:22">
      <c r="E286" s="32" t="str">
        <v>tengah</v>
      </c>
      <c r="F286" s="32"/>
      <c r="G286" s="32"/>
      <c r="J286" s="32" t="str">
        <v>kanan</v>
      </c>
      <c r="K286" s="32"/>
      <c r="L286" s="32"/>
      <c r="O286" s="32" t="str">
        <v>tengah</v>
      </c>
      <c r="P286" s="32"/>
      <c r="Q286" s="32"/>
      <c r="T286" s="32" t="str">
        <v>kanan</v>
      </c>
      <c r="U286" s="32"/>
      <c r="V286" s="32"/>
    </row>
    <row r="287" spans="5:22">
      <c r="E287" s="32" t="str">
        <v>tengah</v>
      </c>
      <c r="F287" s="32"/>
      <c r="G287" s="32"/>
      <c r="J287" s="32" t="str">
        <v>kanan</v>
      </c>
      <c r="K287" s="32"/>
      <c r="L287" s="32"/>
      <c r="O287" s="32" t="str">
        <v>tengah</v>
      </c>
      <c r="P287" s="32"/>
      <c r="Q287" s="32"/>
      <c r="T287" s="32" t="str">
        <v>tengah</v>
      </c>
      <c r="U287" s="32"/>
      <c r="V287" s="32"/>
    </row>
    <row r="288" spans="5:22">
      <c r="E288" s="32" t="str">
        <v>tengah</v>
      </c>
      <c r="F288" s="32"/>
      <c r="G288" s="32"/>
      <c r="J288" s="32" t="str">
        <v>kanan</v>
      </c>
      <c r="K288" s="32"/>
      <c r="L288" s="32"/>
      <c r="O288" s="32" t="str">
        <v>tengah</v>
      </c>
      <c r="P288" s="32"/>
      <c r="Q288" s="32"/>
      <c r="T288" s="32" t="str">
        <v>tengah</v>
      </c>
      <c r="U288" s="32"/>
      <c r="V288" s="32"/>
    </row>
    <row r="289" spans="5:22">
      <c r="E289" s="32" t="str">
        <v>tengah</v>
      </c>
      <c r="F289" s="32"/>
      <c r="G289" s="32"/>
      <c r="J289" s="32" t="str">
        <v>kiri</v>
      </c>
      <c r="K289" s="32"/>
      <c r="L289" s="32"/>
      <c r="O289" s="32" t="str">
        <v>kanan</v>
      </c>
      <c r="P289" s="32"/>
      <c r="Q289" s="32"/>
      <c r="T289" s="32" t="str">
        <v>tengah</v>
      </c>
      <c r="U289" s="32"/>
      <c r="V289" s="32"/>
    </row>
    <row r="290" spans="5:22">
      <c r="E290" s="32" t="str">
        <v>kiri</v>
      </c>
      <c r="F290" s="32"/>
      <c r="G290" s="32"/>
      <c r="J290" s="32" t="str">
        <v>tengah</v>
      </c>
      <c r="K290" s="32"/>
      <c r="L290" s="32"/>
      <c r="O290" s="32" t="str">
        <v>kanan</v>
      </c>
      <c r="P290" s="32"/>
      <c r="Q290" s="32"/>
      <c r="T290" s="32" t="str">
        <v>tengah</v>
      </c>
      <c r="U290" s="32"/>
      <c r="V290" s="32"/>
    </row>
    <row r="291" spans="5:22">
      <c r="E291" s="32" t="str">
        <v>kanan</v>
      </c>
      <c r="F291" s="32"/>
      <c r="G291" s="32"/>
      <c r="J291" s="32" t="str">
        <v>tengah</v>
      </c>
      <c r="K291" s="32"/>
      <c r="L291" s="32"/>
      <c r="O291" s="32" t="str">
        <v>kanan</v>
      </c>
      <c r="P291" s="32"/>
      <c r="Q291" s="32"/>
      <c r="T291" s="32" t="str">
        <v>kanan</v>
      </c>
      <c r="U291" s="32"/>
      <c r="V291" s="32"/>
    </row>
    <row r="292" spans="5:22">
      <c r="E292" s="32" t="str">
        <v>kiri</v>
      </c>
      <c r="F292" s="32"/>
      <c r="G292" s="32"/>
      <c r="J292" s="32" t="str">
        <v>tengah</v>
      </c>
      <c r="K292" s="32"/>
      <c r="L292" s="32"/>
      <c r="O292" s="32" t="str">
        <v>kanan</v>
      </c>
      <c r="P292" s="32"/>
      <c r="Q292" s="32"/>
      <c r="T292" s="32" t="str">
        <v>kanan</v>
      </c>
      <c r="U292" s="32"/>
      <c r="V292" s="32"/>
    </row>
    <row r="293" spans="5:22">
      <c r="E293" s="32" t="str">
        <v>kanan</v>
      </c>
      <c r="F293" s="32"/>
      <c r="G293" s="32"/>
      <c r="J293" s="32" t="str">
        <v>kanan</v>
      </c>
      <c r="K293" s="32"/>
      <c r="L293" s="32"/>
      <c r="O293" s="32" t="str">
        <v>tengah</v>
      </c>
      <c r="P293" s="32"/>
      <c r="Q293" s="32"/>
      <c r="T293" s="32" t="str">
        <v>kanan</v>
      </c>
      <c r="U293" s="32"/>
      <c r="V293" s="32"/>
    </row>
    <row r="294" spans="5:22">
      <c r="E294" s="32" t="str">
        <v>tengah</v>
      </c>
      <c r="F294" s="32"/>
      <c r="G294" s="32"/>
      <c r="J294" s="32" t="str">
        <v>kanan</v>
      </c>
      <c r="K294" s="32"/>
      <c r="L294" s="32"/>
      <c r="O294" s="32" t="str">
        <v>tengah</v>
      </c>
      <c r="P294" s="32"/>
      <c r="Q294" s="32"/>
      <c r="T294" s="32" t="str">
        <v>kanan</v>
      </c>
      <c r="U294" s="32"/>
      <c r="V294" s="32"/>
    </row>
    <row r="295" spans="5:22">
      <c r="E295" s="32" t="str">
        <v>tengah</v>
      </c>
      <c r="F295" s="32"/>
      <c r="G295" s="32"/>
      <c r="J295" s="32" t="str">
        <v>tengah</v>
      </c>
      <c r="K295" s="32"/>
      <c r="L295" s="32"/>
      <c r="O295" s="32" t="str">
        <v>kiri</v>
      </c>
      <c r="P295" s="32"/>
      <c r="Q295" s="32"/>
      <c r="T295" s="32" t="str">
        <v>kanan</v>
      </c>
      <c r="U295" s="32"/>
      <c r="V295" s="32"/>
    </row>
    <row r="296" spans="5:22">
      <c r="E296" s="32" t="str">
        <v>tengah</v>
      </c>
      <c r="F296" s="32"/>
      <c r="G296" s="32"/>
      <c r="J296" s="32" t="str">
        <v>tengah</v>
      </c>
      <c r="K296" s="32"/>
      <c r="L296" s="32"/>
      <c r="O296" s="32" t="str">
        <v>tengah</v>
      </c>
      <c r="P296" s="32"/>
      <c r="Q296" s="32"/>
      <c r="T296" s="32" t="str">
        <v>kanan</v>
      </c>
      <c r="U296" s="32"/>
      <c r="V296" s="32"/>
    </row>
    <row r="297" spans="5:22">
      <c r="E297" s="32" t="str">
        <v>tengah</v>
      </c>
      <c r="F297" s="32"/>
      <c r="G297" s="32"/>
      <c r="J297" s="32" t="str">
        <v>tengah</v>
      </c>
      <c r="K297" s="32"/>
      <c r="L297" s="32"/>
      <c r="O297" s="32" t="str">
        <v>tengah</v>
      </c>
      <c r="P297" s="32"/>
      <c r="Q297" s="32"/>
      <c r="T297" s="32" t="str">
        <v>tengah</v>
      </c>
      <c r="U297" s="32"/>
      <c r="V297" s="32"/>
    </row>
    <row r="298" spans="5:22">
      <c r="E298" s="32" t="str">
        <v>tengah</v>
      </c>
      <c r="F298" s="32"/>
      <c r="G298" s="32"/>
      <c r="J298" s="32" t="str">
        <v>kiri</v>
      </c>
      <c r="K298" s="32"/>
      <c r="L298" s="32"/>
      <c r="O298" s="32" t="str">
        <v>tengah</v>
      </c>
      <c r="P298" s="32"/>
      <c r="Q298" s="32"/>
      <c r="T298" s="32" t="str">
        <v>tengah</v>
      </c>
      <c r="U298" s="32"/>
      <c r="V298" s="32"/>
    </row>
    <row r="299" spans="5:22">
      <c r="E299" s="32" t="str">
        <v>kanan</v>
      </c>
      <c r="F299" s="32"/>
      <c r="G299" s="32"/>
      <c r="J299" s="32" t="str">
        <v>kiri</v>
      </c>
      <c r="K299" s="32"/>
      <c r="L299" s="32"/>
      <c r="O299" s="32" t="str">
        <v>kanan</v>
      </c>
      <c r="P299" s="32"/>
      <c r="Q299" s="32"/>
      <c r="T299" s="32" t="str">
        <v>kanan</v>
      </c>
      <c r="U299" s="32"/>
      <c r="V299" s="32"/>
    </row>
    <row r="300" spans="5:22">
      <c r="E300" s="32" t="str">
        <v>kanan</v>
      </c>
      <c r="F300" s="32"/>
      <c r="G300" s="32"/>
      <c r="J300" s="32" t="str">
        <v>kanan</v>
      </c>
      <c r="K300" s="32"/>
      <c r="L300" s="32"/>
      <c r="O300" s="32" t="str">
        <v>kiri</v>
      </c>
      <c r="P300" s="32"/>
      <c r="Q300" s="32"/>
      <c r="T300" s="32" t="str">
        <v>kanan</v>
      </c>
      <c r="U300" s="32"/>
      <c r="V300" s="32"/>
    </row>
    <row r="301" spans="5:22">
      <c r="E301" s="32" t="str">
        <v>tengah</v>
      </c>
      <c r="F301" s="32"/>
      <c r="G301" s="32"/>
      <c r="J301" s="32" t="str">
        <v>kanan</v>
      </c>
      <c r="K301" s="32"/>
      <c r="L301" s="32"/>
      <c r="O301" s="32" t="str">
        <v>tengah</v>
      </c>
      <c r="P301" s="32"/>
      <c r="Q301" s="32"/>
      <c r="T301" s="32" t="str">
        <v>tengah</v>
      </c>
      <c r="U301" s="32"/>
      <c r="V301" s="32"/>
    </row>
    <row r="302" spans="5:22">
      <c r="E302" s="32" t="str">
        <v>kiri</v>
      </c>
      <c r="F302" s="32"/>
      <c r="G302" s="32"/>
      <c r="J302" s="32" t="str">
        <v>tengah</v>
      </c>
      <c r="K302" s="32"/>
      <c r="L302" s="32"/>
      <c r="O302" s="32" t="str">
        <v>tengah</v>
      </c>
      <c r="P302" s="32"/>
      <c r="Q302" s="32"/>
      <c r="T302" s="32" t="str">
        <v>kanan</v>
      </c>
      <c r="U302" s="32"/>
      <c r="V302" s="32"/>
    </row>
    <row r="303" spans="5:22">
      <c r="E303" s="32" t="str">
        <v>kanan</v>
      </c>
      <c r="F303" s="32"/>
      <c r="G303" s="32"/>
      <c r="J303" s="32" t="str">
        <v>tengah</v>
      </c>
      <c r="K303" s="32"/>
      <c r="L303" s="32"/>
      <c r="O303" s="32" t="str">
        <v>tengah</v>
      </c>
      <c r="P303" s="32"/>
      <c r="Q303" s="32"/>
      <c r="T303" s="32" t="str">
        <v>tengah</v>
      </c>
      <c r="U303" s="32"/>
      <c r="V303" s="32"/>
    </row>
    <row r="304" spans="5:22">
      <c r="E304" s="32" t="str">
        <v>tengah</v>
      </c>
      <c r="F304" s="32"/>
      <c r="G304" s="32"/>
      <c r="J304" s="32" t="str">
        <v>tengah</v>
      </c>
      <c r="K304" s="32"/>
      <c r="L304" s="32"/>
      <c r="O304" s="32" t="str">
        <v>kanan</v>
      </c>
      <c r="P304" s="32"/>
      <c r="Q304" s="32"/>
      <c r="T304" s="32" t="str">
        <v>tengah</v>
      </c>
      <c r="U304" s="32"/>
      <c r="V304" s="32"/>
    </row>
    <row r="305" spans="5:22">
      <c r="E305" s="32" t="str">
        <v>tengah</v>
      </c>
      <c r="F305" s="32"/>
      <c r="G305" s="32"/>
      <c r="J305" s="32" t="str">
        <v>kiri</v>
      </c>
      <c r="K305" s="32"/>
      <c r="L305" s="32"/>
      <c r="O305" s="32" t="str">
        <v>kiri</v>
      </c>
      <c r="P305" s="32"/>
      <c r="Q305" s="32"/>
      <c r="T305" s="32" t="str">
        <v>tengah</v>
      </c>
      <c r="U305" s="32"/>
      <c r="V305" s="32"/>
    </row>
    <row r="306" spans="5:22">
      <c r="E306" s="32" t="str">
        <v>kiri</v>
      </c>
      <c r="F306" s="32"/>
      <c r="G306" s="32"/>
      <c r="J306" s="32" t="str">
        <v>tengah</v>
      </c>
      <c r="K306" s="32"/>
      <c r="L306" s="32"/>
      <c r="O306" s="32" t="str">
        <v>kiri</v>
      </c>
      <c r="P306" s="32"/>
      <c r="Q306" s="32"/>
      <c r="T306" s="32" t="str">
        <v>tengah</v>
      </c>
      <c r="U306" s="32"/>
      <c r="V306" s="32"/>
    </row>
    <row r="307" spans="5:22">
      <c r="E307" s="32" t="str">
        <v>tengah</v>
      </c>
      <c r="F307" s="32"/>
      <c r="G307" s="32"/>
      <c r="J307" s="32" t="str">
        <v>tengah</v>
      </c>
      <c r="K307" s="32"/>
      <c r="L307" s="32"/>
      <c r="O307" s="32" t="str">
        <v>kiri</v>
      </c>
      <c r="P307" s="32"/>
      <c r="Q307" s="32"/>
      <c r="T307" s="32" t="str">
        <v>kanan</v>
      </c>
      <c r="U307" s="32"/>
      <c r="V307" s="32"/>
    </row>
    <row r="308" spans="5:22">
      <c r="E308" s="32" t="str">
        <v>tengah</v>
      </c>
      <c r="F308" s="32"/>
      <c r="G308" s="32"/>
      <c r="J308" s="32" t="str">
        <v>kanan</v>
      </c>
      <c r="K308" s="32"/>
      <c r="L308" s="32"/>
      <c r="O308" s="32" t="str">
        <v>kiri</v>
      </c>
      <c r="P308" s="32"/>
      <c r="Q308" s="32"/>
      <c r="T308" s="32" t="str">
        <v>tengah</v>
      </c>
      <c r="U308" s="32"/>
      <c r="V308" s="32"/>
    </row>
    <row r="309" spans="5:22">
      <c r="E309" s="32" t="str">
        <v>tengah</v>
      </c>
      <c r="F309" s="32"/>
      <c r="G309" s="32"/>
      <c r="J309" s="32" t="str">
        <v>kanan</v>
      </c>
      <c r="K309" s="32"/>
      <c r="L309" s="32"/>
      <c r="O309" s="32" t="str">
        <v>tengah</v>
      </c>
      <c r="P309" s="32"/>
      <c r="Q309" s="32"/>
      <c r="T309" s="32" t="str">
        <v>kanan</v>
      </c>
      <c r="U309" s="32"/>
      <c r="V309" s="32"/>
    </row>
    <row r="310" spans="5:22">
      <c r="E310" s="32" t="str">
        <v>kiri</v>
      </c>
      <c r="F310" s="32"/>
      <c r="G310" s="32"/>
      <c r="J310" s="32" t="str">
        <v>kiri</v>
      </c>
      <c r="K310" s="32"/>
      <c r="L310" s="32"/>
      <c r="O310" s="32" t="str">
        <v>kanan</v>
      </c>
      <c r="P310" s="32"/>
      <c r="Q310" s="32"/>
      <c r="T310" s="32" t="str">
        <v>kanan</v>
      </c>
      <c r="U310" s="32"/>
      <c r="V310" s="32"/>
    </row>
    <row r="311" spans="5:22">
      <c r="E311" s="32" t="str">
        <v>tengah</v>
      </c>
      <c r="F311" s="32"/>
      <c r="G311" s="32"/>
      <c r="J311" s="32" t="str">
        <v>kiri</v>
      </c>
      <c r="K311" s="32"/>
      <c r="L311" s="32"/>
      <c r="O311" s="32" t="str">
        <v>tengah</v>
      </c>
      <c r="P311" s="32"/>
      <c r="Q311" s="32"/>
      <c r="T311" s="32" t="str">
        <v>tengah</v>
      </c>
      <c r="U311" s="32"/>
      <c r="V311" s="32"/>
    </row>
    <row r="312" spans="5:22">
      <c r="E312" s="32" t="str">
        <v>tengah</v>
      </c>
      <c r="F312" s="32"/>
      <c r="G312" s="32"/>
      <c r="J312" s="32" t="str">
        <v>kanan</v>
      </c>
      <c r="K312" s="32"/>
      <c r="L312" s="32"/>
      <c r="O312" s="32" t="str">
        <v>tengah</v>
      </c>
      <c r="P312" s="32"/>
      <c r="Q312" s="32"/>
      <c r="T312" s="32" t="str">
        <v>kanan</v>
      </c>
      <c r="U312" s="32"/>
      <c r="V312" s="32"/>
    </row>
    <row r="313" spans="5:22">
      <c r="E313" s="32" t="str">
        <v>kanan</v>
      </c>
      <c r="F313" s="32"/>
      <c r="G313" s="32"/>
      <c r="J313" s="32" t="str">
        <v>kanan</v>
      </c>
      <c r="K313" s="32"/>
      <c r="L313" s="32"/>
      <c r="O313" s="32" t="str">
        <v>tengah</v>
      </c>
      <c r="P313" s="32"/>
      <c r="Q313" s="32"/>
      <c r="T313" s="32" t="str">
        <v>kanan</v>
      </c>
      <c r="U313" s="32"/>
      <c r="V313" s="32"/>
    </row>
    <row r="314" spans="5:22">
      <c r="E314" s="32" t="str">
        <v>tengah</v>
      </c>
      <c r="F314" s="32"/>
      <c r="G314" s="32"/>
      <c r="J314" s="32" t="str">
        <v>tengah</v>
      </c>
      <c r="K314" s="32"/>
      <c r="L314" s="32"/>
      <c r="O314" s="32" t="str">
        <v>kiri</v>
      </c>
      <c r="P314" s="32"/>
      <c r="Q314" s="32"/>
      <c r="T314" s="32" t="str">
        <v>kanan</v>
      </c>
      <c r="U314" s="32"/>
      <c r="V314" s="32"/>
    </row>
    <row r="315" spans="5:22">
      <c r="E315" s="32" t="str">
        <v>tengah</v>
      </c>
      <c r="F315" s="32"/>
      <c r="G315" s="32"/>
      <c r="J315" s="32" t="str">
        <v>kanan</v>
      </c>
      <c r="K315" s="32"/>
      <c r="L315" s="32"/>
      <c r="O315" s="32" t="str">
        <v>tengah</v>
      </c>
      <c r="P315" s="32"/>
      <c r="Q315" s="32"/>
      <c r="T315" s="32" t="str">
        <v>tengah</v>
      </c>
      <c r="U315" s="32"/>
      <c r="V315" s="32"/>
    </row>
    <row r="316" spans="5:22">
      <c r="E316" s="32" t="str">
        <v>kiri</v>
      </c>
      <c r="F316" s="32"/>
      <c r="G316" s="32"/>
      <c r="J316" s="32" t="str">
        <v>tengah</v>
      </c>
      <c r="K316" s="32"/>
      <c r="L316" s="32"/>
      <c r="O316" s="32" t="str">
        <v>kiri</v>
      </c>
      <c r="P316" s="32"/>
      <c r="Q316" s="32"/>
      <c r="T316" s="32" t="str">
        <v>tengah</v>
      </c>
      <c r="U316" s="32"/>
      <c r="V316" s="32"/>
    </row>
    <row r="317" spans="5:22">
      <c r="E317" s="32" t="str">
        <v>tengah</v>
      </c>
      <c r="F317" s="32"/>
      <c r="G317" s="32"/>
      <c r="J317" s="32" t="str">
        <v>kiri</v>
      </c>
      <c r="K317" s="32"/>
      <c r="L317" s="32"/>
      <c r="O317" s="32" t="str">
        <v>tengah</v>
      </c>
      <c r="P317" s="32"/>
      <c r="Q317" s="32"/>
      <c r="T317" s="32" t="str">
        <v>kanan</v>
      </c>
      <c r="U317" s="32"/>
      <c r="V317" s="32"/>
    </row>
    <row r="318" spans="5:22">
      <c r="E318" s="32" t="str">
        <v>kanan</v>
      </c>
      <c r="F318" s="32"/>
      <c r="G318" s="32"/>
      <c r="J318" s="32" t="str">
        <v>tengah</v>
      </c>
      <c r="K318" s="32"/>
      <c r="L318" s="32"/>
      <c r="O318" s="32" t="str">
        <v>tengah</v>
      </c>
      <c r="P318" s="32"/>
      <c r="Q318" s="32"/>
      <c r="T318" s="32" t="str">
        <v>tengah</v>
      </c>
      <c r="U318" s="32"/>
      <c r="V318" s="32"/>
    </row>
    <row r="319" spans="5:22">
      <c r="E319" s="32" t="str">
        <v>kiri</v>
      </c>
      <c r="F319" s="32"/>
      <c r="G319" s="32"/>
      <c r="J319" s="32" t="str">
        <v>kanan</v>
      </c>
      <c r="K319" s="32"/>
      <c r="L319" s="32"/>
      <c r="O319" s="32" t="str">
        <v>kiri</v>
      </c>
      <c r="P319" s="32"/>
      <c r="Q319" s="32"/>
      <c r="T319" s="32" t="str">
        <v>tengah</v>
      </c>
      <c r="U319" s="32"/>
      <c r="V319" s="32"/>
    </row>
    <row r="320" spans="5:22">
      <c r="E320" s="32" t="str">
        <v>tengah</v>
      </c>
      <c r="F320" s="32"/>
      <c r="G320" s="32"/>
      <c r="J320" s="32" t="str">
        <v>tengah</v>
      </c>
      <c r="K320" s="32"/>
      <c r="L320" s="32"/>
      <c r="O320" s="32" t="str">
        <v>kanan</v>
      </c>
      <c r="P320" s="32"/>
      <c r="Q320" s="32"/>
      <c r="T320" s="32" t="str">
        <v>tengah</v>
      </c>
      <c r="U320" s="32"/>
      <c r="V320" s="32"/>
    </row>
    <row r="321" spans="5:22">
      <c r="E321" s="32" t="str">
        <v>tengah</v>
      </c>
      <c r="F321" s="32"/>
      <c r="G321" s="32"/>
      <c r="J321" s="32" t="str">
        <v>kanan</v>
      </c>
      <c r="K321" s="32"/>
      <c r="L321" s="32"/>
      <c r="O321" s="32" t="str">
        <v>tengah</v>
      </c>
      <c r="P321" s="32"/>
      <c r="Q321" s="32"/>
      <c r="T321" s="32" t="str">
        <v>kanan</v>
      </c>
      <c r="U321" s="32"/>
      <c r="V321" s="32"/>
    </row>
    <row r="322" spans="5:22">
      <c r="E322" s="32" t="str">
        <v>tengah</v>
      </c>
      <c r="F322" s="32"/>
      <c r="G322" s="32"/>
      <c r="J322" s="32" t="str">
        <v>tengah</v>
      </c>
      <c r="K322" s="32"/>
      <c r="L322" s="32"/>
      <c r="O322" s="32" t="str">
        <v>tengah</v>
      </c>
      <c r="P322" s="32"/>
      <c r="Q322" s="32"/>
      <c r="T322" s="32" t="str">
        <v>tengah</v>
      </c>
      <c r="U322" s="32"/>
      <c r="V322" s="32"/>
    </row>
    <row r="323" spans="5:22">
      <c r="E323" s="32" t="str">
        <v>tengah</v>
      </c>
      <c r="F323" s="32"/>
      <c r="G323" s="32"/>
      <c r="J323" s="32" t="str">
        <v>tengah</v>
      </c>
      <c r="K323" s="32"/>
      <c r="L323" s="32"/>
      <c r="O323" s="32" t="str">
        <v>tengah</v>
      </c>
      <c r="P323" s="32"/>
      <c r="Q323" s="32"/>
      <c r="T323" s="32" t="str">
        <v>tengah</v>
      </c>
      <c r="U323" s="32"/>
      <c r="V323" s="32"/>
    </row>
    <row r="324" spans="5:22">
      <c r="E324" s="32" t="str">
        <v>tengah</v>
      </c>
      <c r="F324" s="32"/>
      <c r="G324" s="32"/>
      <c r="J324" s="32" t="str">
        <v>tengah</v>
      </c>
      <c r="K324" s="32"/>
      <c r="L324" s="32"/>
      <c r="O324" s="32" t="str">
        <v>tengah</v>
      </c>
      <c r="P324" s="32"/>
      <c r="Q324" s="32"/>
      <c r="T324" s="32" t="str">
        <v>tengah</v>
      </c>
      <c r="U324" s="32"/>
      <c r="V324" s="32"/>
    </row>
    <row r="325" spans="5:22">
      <c r="E325" s="32" t="str">
        <v>tengah</v>
      </c>
      <c r="F325" s="32"/>
      <c r="G325" s="32"/>
      <c r="J325" s="32" t="str">
        <v>tengah</v>
      </c>
      <c r="K325" s="32"/>
      <c r="L325" s="32"/>
      <c r="O325" s="32" t="str">
        <v>kanan</v>
      </c>
      <c r="P325" s="32"/>
      <c r="Q325" s="32"/>
      <c r="T325" s="32" t="str">
        <v>tengah</v>
      </c>
      <c r="U325" s="32"/>
      <c r="V325" s="32"/>
    </row>
    <row r="326" spans="5:22">
      <c r="E326" s="32" t="str">
        <v>tengah</v>
      </c>
      <c r="F326" s="32"/>
      <c r="G326" s="32"/>
      <c r="J326" s="32" t="str">
        <v>kanan</v>
      </c>
      <c r="K326" s="32"/>
      <c r="L326" s="32"/>
      <c r="O326" s="32" t="str">
        <v>tengah</v>
      </c>
      <c r="P326" s="32"/>
      <c r="Q326" s="32"/>
      <c r="T326" s="32" t="str">
        <v>kanan</v>
      </c>
      <c r="U326" s="32"/>
      <c r="V326" s="32"/>
    </row>
    <row r="327" spans="5:22">
      <c r="E327" s="32" t="str">
        <v>kiri</v>
      </c>
      <c r="F327" s="32"/>
      <c r="G327" s="32"/>
      <c r="J327" s="32" t="str">
        <v>kiri</v>
      </c>
      <c r="K327" s="32"/>
      <c r="L327" s="32"/>
      <c r="O327" s="32" t="str">
        <v>tengah</v>
      </c>
      <c r="P327" s="32"/>
      <c r="Q327" s="32"/>
      <c r="T327" s="32" t="str">
        <v>kanan</v>
      </c>
      <c r="U327" s="32"/>
      <c r="V327" s="32"/>
    </row>
    <row r="328" spans="5:22">
      <c r="E328" s="32" t="str">
        <v>kanan</v>
      </c>
      <c r="F328" s="32"/>
      <c r="G328" s="32"/>
      <c r="J328" s="32" t="str">
        <v>kanan</v>
      </c>
      <c r="K328" s="32"/>
      <c r="L328" s="32"/>
      <c r="O328" s="32" t="str">
        <v>tengah</v>
      </c>
      <c r="P328" s="32"/>
      <c r="Q328" s="32"/>
      <c r="T328" s="32" t="str">
        <v>kanan</v>
      </c>
      <c r="U328" s="32"/>
      <c r="V328" s="32"/>
    </row>
    <row r="329" spans="5:22">
      <c r="E329" s="32" t="str">
        <v>kiri</v>
      </c>
      <c r="F329" s="32"/>
      <c r="G329" s="32"/>
      <c r="J329" s="32" t="str">
        <v>kiri</v>
      </c>
      <c r="K329" s="32"/>
      <c r="L329" s="32"/>
      <c r="O329" s="32" t="str">
        <v>kanan</v>
      </c>
      <c r="P329" s="32"/>
      <c r="Q329" s="32"/>
      <c r="T329" s="32" t="str">
        <v>tengah</v>
      </c>
      <c r="U329" s="32"/>
      <c r="V329" s="32"/>
    </row>
    <row r="330" spans="5:22">
      <c r="E330" s="32" t="str">
        <v>kiri</v>
      </c>
      <c r="F330" s="32"/>
      <c r="G330" s="32"/>
      <c r="J330" s="32" t="str">
        <v>kiri</v>
      </c>
      <c r="K330" s="32"/>
      <c r="L330" s="32"/>
      <c r="O330" s="32" t="str">
        <v>kanan</v>
      </c>
      <c r="P330" s="32"/>
      <c r="Q330" s="32"/>
      <c r="T330" s="32" t="str">
        <v>kanan</v>
      </c>
      <c r="U330" s="32"/>
      <c r="V330" s="32"/>
    </row>
    <row r="331" spans="5:22">
      <c r="E331" s="32" t="str">
        <v>kiri</v>
      </c>
      <c r="F331" s="32"/>
      <c r="G331" s="32"/>
      <c r="J331" s="32" t="str">
        <v>tengah</v>
      </c>
      <c r="K331" s="32"/>
      <c r="L331" s="32"/>
      <c r="O331" s="32" t="str">
        <v>kanan</v>
      </c>
      <c r="P331" s="32"/>
      <c r="Q331" s="32"/>
      <c r="T331" s="32" t="str">
        <v>kanan</v>
      </c>
      <c r="U331" s="32"/>
      <c r="V331" s="32"/>
    </row>
    <row r="332" spans="5:22">
      <c r="E332" s="32" t="str">
        <v>kiri</v>
      </c>
      <c r="F332" s="32"/>
      <c r="G332" s="32"/>
      <c r="J332" s="32" t="str">
        <v>tengah</v>
      </c>
      <c r="K332" s="32"/>
      <c r="L332" s="32"/>
      <c r="O332" s="32" t="str">
        <v>tengah</v>
      </c>
      <c r="P332" s="32"/>
      <c r="Q332" s="32"/>
      <c r="T332" s="32" t="str">
        <v>kanan</v>
      </c>
      <c r="U332" s="32"/>
      <c r="V332" s="3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32"/>
  <sheetViews>
    <sheetView topLeftCell="M184" zoomScale="93" zoomScaleNormal="93" workbookViewId="0">
      <selection activeCell="S171" sqref="S171"/>
    </sheetView>
  </sheetViews>
  <sheetFormatPr defaultColWidth="9" defaultRowHeight="15"/>
  <cols>
    <col min="2" max="2" width="15.85546875" customWidth="1"/>
    <col min="3" max="3" width="16.7109375" bestFit="1" customWidth="1"/>
    <col min="4" max="4" width="13.85546875" customWidth="1"/>
    <col min="6" max="6" width="14.42578125" bestFit="1" customWidth="1"/>
    <col min="8" max="8" width="14.28515625" customWidth="1"/>
    <col min="9" max="9" width="13.28515625" customWidth="1"/>
    <col min="10" max="10" width="13.85546875" customWidth="1"/>
    <col min="13" max="13" width="14.42578125" bestFit="1" customWidth="1"/>
    <col min="15" max="15" width="25.28515625" bestFit="1" customWidth="1"/>
    <col min="16" max="16" width="12.85546875" bestFit="1" customWidth="1"/>
    <col min="17" max="17" width="11.7109375" customWidth="1"/>
    <col min="20" max="20" width="14.42578125" bestFit="1" customWidth="1"/>
  </cols>
  <sheetData>
    <row r="1" spans="1:17">
      <c r="A1" s="30" t="s">
        <v>174</v>
      </c>
      <c r="B1" s="30" t="s">
        <v>1</v>
      </c>
      <c r="C1" s="30" t="s">
        <v>2</v>
      </c>
      <c r="D1" s="30" t="s">
        <v>173</v>
      </c>
      <c r="E1" s="30" t="s">
        <v>4</v>
      </c>
      <c r="F1" s="30" t="s">
        <v>5</v>
      </c>
      <c r="H1" s="61" t="s">
        <v>174</v>
      </c>
      <c r="I1" s="61" t="s">
        <v>1</v>
      </c>
      <c r="J1" s="61" t="s">
        <v>2</v>
      </c>
      <c r="K1" s="61" t="s">
        <v>173</v>
      </c>
      <c r="L1" s="61" t="s">
        <v>4</v>
      </c>
      <c r="M1" s="61" t="s">
        <v>5</v>
      </c>
      <c r="O1" s="30" t="s">
        <v>175</v>
      </c>
      <c r="P1" s="31"/>
      <c r="Q1" s="31"/>
    </row>
    <row r="2" spans="1:17">
      <c r="A2" s="32">
        <f ca="1">RANDBETWEEN(2,164)</f>
        <v>33</v>
      </c>
      <c r="B2" s="32" cm="1">
        <f t="array" aca="1" ref="B2" ca="1">INDEX(Data_DBD!$B:$B,$A2)</f>
        <v>19</v>
      </c>
      <c r="C2" s="32" cm="1">
        <f t="array" aca="1" ref="C2" ca="1">INDEX(Data_DBD!$C:$C,$A2)</f>
        <v>4</v>
      </c>
      <c r="D2" s="32" cm="1">
        <f t="array" aca="1" ref="D2" ca="1">INDEX(Data_DBD!$D:$D,$A2)</f>
        <v>14</v>
      </c>
      <c r="E2" s="32" cm="1">
        <f t="array" aca="1" ref="E2" ca="1">INDEX(Data_DBD!$E:$E,$A2)</f>
        <v>1</v>
      </c>
      <c r="F2" s="32" cm="1">
        <f t="array" aca="1" ref="F2" ca="1">INDEX(Data_DBD!$F:$F,$A2)</f>
        <v>2</v>
      </c>
      <c r="H2" s="32">
        <v>47</v>
      </c>
      <c r="I2" s="32">
        <v>19</v>
      </c>
      <c r="J2" s="32">
        <v>2</v>
      </c>
      <c r="K2" s="32">
        <v>13</v>
      </c>
      <c r="L2" s="32">
        <v>0</v>
      </c>
      <c r="M2" s="32">
        <v>2</v>
      </c>
      <c r="O2" s="54">
        <v>1</v>
      </c>
      <c r="P2" s="31">
        <f>COUNTIF(M2:M164,"1")</f>
        <v>7</v>
      </c>
      <c r="Q2" s="31">
        <f>P2/163</f>
        <v>4.2944785276073622E-2</v>
      </c>
    </row>
    <row r="3" spans="1:17">
      <c r="A3" s="32">
        <f t="shared" ref="A3:A66" ca="1" si="0">RANDBETWEEN(2,164)</f>
        <v>98</v>
      </c>
      <c r="B3" s="32" cm="1">
        <f t="array" aca="1" ref="B3" ca="1">INDEX(Data_DBD!$B:$B,$A3)</f>
        <v>16</v>
      </c>
      <c r="C3" s="32" cm="1">
        <f t="array" aca="1" ref="C3" ca="1">INDEX(Data_DBD!$C:$C,$A3)</f>
        <v>2</v>
      </c>
      <c r="D3" s="32" cm="1">
        <f t="array" aca="1" ref="D3" ca="1">INDEX(Data_DBD!$D:$D,$A3)</f>
        <v>18</v>
      </c>
      <c r="E3" s="32" cm="1">
        <f t="array" aca="1" ref="E3" ca="1">INDEX(Data_DBD!$E:$E,$A3)</f>
        <v>1</v>
      </c>
      <c r="F3" s="32" cm="1">
        <f t="array" aca="1" ref="F3" ca="1">INDEX(Data_DBD!$F:$F,$A3)</f>
        <v>3</v>
      </c>
      <c r="H3" s="32">
        <v>81</v>
      </c>
      <c r="I3" s="32">
        <v>23</v>
      </c>
      <c r="J3" s="32">
        <v>5</v>
      </c>
      <c r="K3" s="32">
        <v>13</v>
      </c>
      <c r="L3" s="32">
        <v>1</v>
      </c>
      <c r="M3" s="32">
        <v>2</v>
      </c>
      <c r="O3" s="31">
        <v>2</v>
      </c>
      <c r="P3" s="31">
        <f>COUNTIF(M2:M164,"2")</f>
        <v>84</v>
      </c>
      <c r="Q3" s="31">
        <f>P3/163</f>
        <v>0.51533742331288346</v>
      </c>
    </row>
    <row r="4" spans="1:17">
      <c r="A4" s="32">
        <f t="shared" ca="1" si="0"/>
        <v>79</v>
      </c>
      <c r="B4" s="32" cm="1">
        <f t="array" aca="1" ref="B4" ca="1">INDEX(Data_DBD!$B:$B,$A4)</f>
        <v>29</v>
      </c>
      <c r="C4" s="32" cm="1">
        <f t="array" aca="1" ref="C4" ca="1">INDEX(Data_DBD!$C:$C,$A4)</f>
        <v>3</v>
      </c>
      <c r="D4" s="32" cm="1">
        <f t="array" aca="1" ref="D4" ca="1">INDEX(Data_DBD!$D:$D,$A4)</f>
        <v>13</v>
      </c>
      <c r="E4" s="32" cm="1">
        <f t="array" aca="1" ref="E4" ca="1">INDEX(Data_DBD!$E:$E,$A4)</f>
        <v>0</v>
      </c>
      <c r="F4" s="32" cm="1">
        <f t="array" aca="1" ref="F4" ca="1">INDEX(Data_DBD!$F:$F,$A4)</f>
        <v>2</v>
      </c>
      <c r="H4" s="32">
        <v>124</v>
      </c>
      <c r="I4" s="32">
        <v>24</v>
      </c>
      <c r="J4" s="32">
        <v>3</v>
      </c>
      <c r="K4" s="32">
        <v>33</v>
      </c>
      <c r="L4" s="32">
        <v>1</v>
      </c>
      <c r="M4" s="32">
        <v>3</v>
      </c>
      <c r="O4" s="31">
        <v>3</v>
      </c>
      <c r="P4" s="31">
        <f>COUNTIF(M2:M164,"3")</f>
        <v>72</v>
      </c>
      <c r="Q4" s="31">
        <f>P4/163</f>
        <v>0.44171779141104295</v>
      </c>
    </row>
    <row r="5" spans="1:17">
      <c r="A5" s="32">
        <f t="shared" ca="1" si="0"/>
        <v>145</v>
      </c>
      <c r="B5" s="32" cm="1">
        <f t="array" aca="1" ref="B5" ca="1">INDEX(Data_DBD!$B:$B,$A5)</f>
        <v>28</v>
      </c>
      <c r="C5" s="32" cm="1">
        <f t="array" aca="1" ref="C5" ca="1">INDEX(Data_DBD!$C:$C,$A5)</f>
        <v>4</v>
      </c>
      <c r="D5" s="32" cm="1">
        <f t="array" aca="1" ref="D5" ca="1">INDEX(Data_DBD!$D:$D,$A5)</f>
        <v>21</v>
      </c>
      <c r="E5" s="32" cm="1">
        <f t="array" aca="1" ref="E5" ca="1">INDEX(Data_DBD!$E:$E,$A5)</f>
        <v>1</v>
      </c>
      <c r="F5" s="32" cm="1">
        <f t="array" aca="1" ref="F5" ca="1">INDEX(Data_DBD!$F:$F,$A5)</f>
        <v>3</v>
      </c>
      <c r="H5" s="32">
        <v>26</v>
      </c>
      <c r="I5" s="32">
        <v>75</v>
      </c>
      <c r="J5" s="32">
        <v>4</v>
      </c>
      <c r="K5" s="32">
        <v>14</v>
      </c>
      <c r="L5" s="32">
        <v>1</v>
      </c>
      <c r="M5" s="32">
        <v>2</v>
      </c>
      <c r="O5" s="34" t="s">
        <v>176</v>
      </c>
      <c r="P5">
        <f>-(IFERROR(Q2*LOG(Q2,2),0)+IFERROR(Q3*LOG(Q3,2),0)+IFERROR(Q4*LOG(Q4,2),0))</f>
        <v>1.2086008654478531</v>
      </c>
    </row>
    <row r="6" spans="1:17">
      <c r="A6" s="32">
        <f t="shared" ca="1" si="0"/>
        <v>94</v>
      </c>
      <c r="B6" s="32" cm="1">
        <f t="array" aca="1" ref="B6" ca="1">INDEX(Data_DBD!$B:$B,$A6)</f>
        <v>12</v>
      </c>
      <c r="C6" s="32" cm="1">
        <f t="array" aca="1" ref="C6" ca="1">INDEX(Data_DBD!$C:$C,$A6)</f>
        <v>4</v>
      </c>
      <c r="D6" s="32" cm="1">
        <f t="array" aca="1" ref="D6" ca="1">INDEX(Data_DBD!$D:$D,$A6)</f>
        <v>18</v>
      </c>
      <c r="E6" s="32" cm="1">
        <f t="array" aca="1" ref="E6" ca="1">INDEX(Data_DBD!$E:$E,$A6)</f>
        <v>0</v>
      </c>
      <c r="F6" s="32" cm="1">
        <f t="array" aca="1" ref="F6" ca="1">INDEX(Data_DBD!$F:$F,$A6)</f>
        <v>3</v>
      </c>
      <c r="H6" s="32">
        <v>122</v>
      </c>
      <c r="I6" s="32">
        <v>28</v>
      </c>
      <c r="J6" s="32">
        <v>3</v>
      </c>
      <c r="K6" s="32">
        <v>33</v>
      </c>
      <c r="L6" s="32">
        <v>1</v>
      </c>
      <c r="M6" s="32">
        <v>3</v>
      </c>
    </row>
    <row r="7" spans="1:17">
      <c r="A7" s="32">
        <f t="shared" ca="1" si="0"/>
        <v>76</v>
      </c>
      <c r="B7" s="32" cm="1">
        <f t="array" aca="1" ref="B7" ca="1">INDEX(Data_DBD!$B:$B,$A7)</f>
        <v>70</v>
      </c>
      <c r="C7" s="32" cm="1">
        <f t="array" aca="1" ref="C7" ca="1">INDEX(Data_DBD!$C:$C,$A7)</f>
        <v>2</v>
      </c>
      <c r="D7" s="32" cm="1">
        <f t="array" aca="1" ref="D7" ca="1">INDEX(Data_DBD!$D:$D,$A7)</f>
        <v>10</v>
      </c>
      <c r="E7" s="32" cm="1">
        <f t="array" aca="1" ref="E7" ca="1">INDEX(Data_DBD!$E:$E,$A7)</f>
        <v>0</v>
      </c>
      <c r="F7" s="32" cm="1">
        <f t="array" aca="1" ref="F7" ca="1">INDEX(Data_DBD!$F:$F,$A7)</f>
        <v>2</v>
      </c>
      <c r="H7" s="32">
        <v>147</v>
      </c>
      <c r="I7" s="32">
        <v>66</v>
      </c>
      <c r="J7" s="32">
        <v>10</v>
      </c>
      <c r="K7" s="32">
        <v>21</v>
      </c>
      <c r="L7" s="32">
        <v>1</v>
      </c>
      <c r="M7" s="32">
        <v>3</v>
      </c>
    </row>
    <row r="8" spans="1:17">
      <c r="A8" s="32">
        <f t="shared" ca="1" si="0"/>
        <v>125</v>
      </c>
      <c r="B8" s="32" cm="1">
        <f t="array" aca="1" ref="B8" ca="1">INDEX(Data_DBD!$B:$B,$A8)</f>
        <v>39</v>
      </c>
      <c r="C8" s="32" cm="1">
        <f t="array" aca="1" ref="C8" ca="1">INDEX(Data_DBD!$C:$C,$A8)</f>
        <v>4</v>
      </c>
      <c r="D8" s="32" cm="1">
        <f t="array" aca="1" ref="D8" ca="1">INDEX(Data_DBD!$D:$D,$A8)</f>
        <v>33</v>
      </c>
      <c r="E8" s="32" cm="1">
        <f t="array" aca="1" ref="E8" ca="1">INDEX(Data_DBD!$E:$E,$A8)</f>
        <v>0</v>
      </c>
      <c r="F8" s="32" cm="1">
        <f t="array" aca="1" ref="F8" ca="1">INDEX(Data_DBD!$F:$F,$A8)</f>
        <v>3</v>
      </c>
      <c r="H8" s="32">
        <v>54</v>
      </c>
      <c r="I8" s="32">
        <v>7</v>
      </c>
      <c r="J8" s="32">
        <v>3</v>
      </c>
      <c r="K8" s="32">
        <v>15</v>
      </c>
      <c r="L8" s="32">
        <v>0</v>
      </c>
      <c r="M8" s="32">
        <v>2</v>
      </c>
    </row>
    <row r="9" spans="1:17">
      <c r="A9" s="32">
        <f t="shared" ca="1" si="0"/>
        <v>36</v>
      </c>
      <c r="B9" s="32" cm="1">
        <f t="array" aca="1" ref="B9" ca="1">INDEX(Data_DBD!$B:$B,$A9)</f>
        <v>27</v>
      </c>
      <c r="C9" s="32" cm="1">
        <f t="array" aca="1" ref="C9" ca="1">INDEX(Data_DBD!$C:$C,$A9)</f>
        <v>1</v>
      </c>
      <c r="D9" s="32" cm="1">
        <f t="array" aca="1" ref="D9" ca="1">INDEX(Data_DBD!$D:$D,$A9)</f>
        <v>4</v>
      </c>
      <c r="E9" s="32" cm="1">
        <f t="array" aca="1" ref="E9" ca="1">INDEX(Data_DBD!$E:$E,$A9)</f>
        <v>1</v>
      </c>
      <c r="F9" s="32" cm="1">
        <f t="array" aca="1" ref="F9" ca="1">INDEX(Data_DBD!$F:$F,$A9)</f>
        <v>1</v>
      </c>
      <c r="H9" s="32">
        <v>90</v>
      </c>
      <c r="I9" s="32">
        <v>47</v>
      </c>
      <c r="J9" s="32">
        <v>3</v>
      </c>
      <c r="K9" s="32">
        <v>18</v>
      </c>
      <c r="L9" s="32">
        <v>0</v>
      </c>
      <c r="M9" s="32">
        <v>3</v>
      </c>
    </row>
    <row r="10" spans="1:17">
      <c r="A10" s="32">
        <f t="shared" ca="1" si="0"/>
        <v>117</v>
      </c>
      <c r="B10" s="32" cm="1">
        <f t="array" aca="1" ref="B10" ca="1">INDEX(Data_DBD!$B:$B,$A10)</f>
        <v>49</v>
      </c>
      <c r="C10" s="32" cm="1">
        <f t="array" aca="1" ref="C10" ca="1">INDEX(Data_DBD!$C:$C,$A10)</f>
        <v>4</v>
      </c>
      <c r="D10" s="32" cm="1">
        <f t="array" aca="1" ref="D10" ca="1">INDEX(Data_DBD!$D:$D,$A10)</f>
        <v>33</v>
      </c>
      <c r="E10" s="32" cm="1">
        <f t="array" aca="1" ref="E10" ca="1">INDEX(Data_DBD!$E:$E,$A10)</f>
        <v>1</v>
      </c>
      <c r="F10" s="32" cm="1">
        <f t="array" aca="1" ref="F10" ca="1">INDEX(Data_DBD!$F:$F,$A10)</f>
        <v>3</v>
      </c>
      <c r="H10" s="32">
        <v>66</v>
      </c>
      <c r="I10" s="32">
        <v>21</v>
      </c>
      <c r="J10" s="32">
        <v>5</v>
      </c>
      <c r="K10" s="32">
        <v>15</v>
      </c>
      <c r="L10" s="32">
        <v>1</v>
      </c>
      <c r="M10" s="32">
        <v>2</v>
      </c>
    </row>
    <row r="11" spans="1:17">
      <c r="A11" s="32">
        <f t="shared" ca="1" si="0"/>
        <v>52</v>
      </c>
      <c r="B11" s="32" cm="1">
        <f t="array" aca="1" ref="B11" ca="1">INDEX(Data_DBD!$B:$B,$A11)</f>
        <v>59</v>
      </c>
      <c r="C11" s="32" cm="1">
        <f t="array" aca="1" ref="C11" ca="1">INDEX(Data_DBD!$C:$C,$A11)</f>
        <v>4</v>
      </c>
      <c r="D11" s="32" cm="1">
        <f t="array" aca="1" ref="D11" ca="1">INDEX(Data_DBD!$D:$D,$A11)</f>
        <v>15</v>
      </c>
      <c r="E11" s="32" cm="1">
        <f t="array" aca="1" ref="E11" ca="1">INDEX(Data_DBD!$E:$E,$A11)</f>
        <v>1</v>
      </c>
      <c r="F11" s="32" cm="1">
        <f t="array" aca="1" ref="F11" ca="1">INDEX(Data_DBD!$F:$F,$A11)</f>
        <v>2</v>
      </c>
      <c r="H11" s="32">
        <v>72</v>
      </c>
      <c r="I11" s="32">
        <v>3</v>
      </c>
      <c r="J11" s="32">
        <v>5</v>
      </c>
      <c r="K11" s="32">
        <v>10</v>
      </c>
      <c r="L11" s="32">
        <v>1</v>
      </c>
      <c r="M11" s="32">
        <v>2</v>
      </c>
    </row>
    <row r="12" spans="1:17">
      <c r="A12" s="32">
        <f t="shared" ca="1" si="0"/>
        <v>96</v>
      </c>
      <c r="B12" s="32" cm="1">
        <f t="array" aca="1" ref="B12" ca="1">INDEX(Data_DBD!$B:$B,$A12)</f>
        <v>56</v>
      </c>
      <c r="C12" s="32" cm="1">
        <f t="array" aca="1" ref="C12" ca="1">INDEX(Data_DBD!$C:$C,$A12)</f>
        <v>4</v>
      </c>
      <c r="D12" s="32" cm="1">
        <f t="array" aca="1" ref="D12" ca="1">INDEX(Data_DBD!$D:$D,$A12)</f>
        <v>18</v>
      </c>
      <c r="E12" s="32" cm="1">
        <f t="array" aca="1" ref="E12" ca="1">INDEX(Data_DBD!$E:$E,$A12)</f>
        <v>0</v>
      </c>
      <c r="F12" s="32" cm="1">
        <f t="array" aca="1" ref="F12" ca="1">INDEX(Data_DBD!$F:$F,$A12)</f>
        <v>3</v>
      </c>
      <c r="H12" s="32">
        <v>57</v>
      </c>
      <c r="I12" s="32">
        <v>2</v>
      </c>
      <c r="J12" s="32">
        <v>2</v>
      </c>
      <c r="K12" s="32">
        <v>15</v>
      </c>
      <c r="L12" s="32">
        <v>1</v>
      </c>
      <c r="M12" s="32">
        <v>2</v>
      </c>
    </row>
    <row r="13" spans="1:17">
      <c r="A13" s="32">
        <f t="shared" ca="1" si="0"/>
        <v>156</v>
      </c>
      <c r="B13" s="32" cm="1">
        <f t="array" aca="1" ref="B13" ca="1">INDEX(Data_DBD!$B:$B,$A13)</f>
        <v>5</v>
      </c>
      <c r="C13" s="32" cm="1">
        <f t="array" aca="1" ref="C13" ca="1">INDEX(Data_DBD!$C:$C,$A13)</f>
        <v>2</v>
      </c>
      <c r="D13" s="32" cm="1">
        <f t="array" aca="1" ref="D13" ca="1">INDEX(Data_DBD!$D:$D,$A13)</f>
        <v>21</v>
      </c>
      <c r="E13" s="32" cm="1">
        <f t="array" aca="1" ref="E13" ca="1">INDEX(Data_DBD!$E:$E,$A13)</f>
        <v>0</v>
      </c>
      <c r="F13" s="32" cm="1">
        <f t="array" aca="1" ref="F13" ca="1">INDEX(Data_DBD!$F:$F,$A13)</f>
        <v>3</v>
      </c>
      <c r="H13" s="32">
        <v>67</v>
      </c>
      <c r="I13" s="32">
        <v>21</v>
      </c>
      <c r="J13" s="32">
        <v>3</v>
      </c>
      <c r="K13" s="32">
        <v>10</v>
      </c>
      <c r="L13" s="32">
        <v>1</v>
      </c>
      <c r="M13" s="32">
        <v>2</v>
      </c>
    </row>
    <row r="14" spans="1:17">
      <c r="A14" s="32">
        <f t="shared" ca="1" si="0"/>
        <v>91</v>
      </c>
      <c r="B14" s="32" cm="1">
        <f t="array" aca="1" ref="B14" ca="1">INDEX(Data_DBD!$B:$B,$A14)</f>
        <v>35</v>
      </c>
      <c r="C14" s="32" cm="1">
        <f t="array" aca="1" ref="C14" ca="1">INDEX(Data_DBD!$C:$C,$A14)</f>
        <v>1</v>
      </c>
      <c r="D14" s="32" cm="1">
        <f t="array" aca="1" ref="D14" ca="1">INDEX(Data_DBD!$D:$D,$A14)</f>
        <v>18</v>
      </c>
      <c r="E14" s="32" cm="1">
        <f t="array" aca="1" ref="E14" ca="1">INDEX(Data_DBD!$E:$E,$A14)</f>
        <v>1</v>
      </c>
      <c r="F14" s="32" cm="1">
        <f t="array" aca="1" ref="F14" ca="1">INDEX(Data_DBD!$F:$F,$A14)</f>
        <v>3</v>
      </c>
      <c r="H14" s="32">
        <v>91</v>
      </c>
      <c r="I14" s="32">
        <v>35</v>
      </c>
      <c r="J14" s="32">
        <v>1</v>
      </c>
      <c r="K14" s="32">
        <v>18</v>
      </c>
      <c r="L14" s="32">
        <v>1</v>
      </c>
      <c r="M14" s="32">
        <v>3</v>
      </c>
    </row>
    <row r="15" spans="1:17">
      <c r="A15" s="32">
        <f t="shared" ca="1" si="0"/>
        <v>84</v>
      </c>
      <c r="B15" s="32" cm="1">
        <f t="array" aca="1" ref="B15" ca="1">INDEX(Data_DBD!$B:$B,$A15)</f>
        <v>42</v>
      </c>
      <c r="C15" s="32" cm="1">
        <f t="array" aca="1" ref="C15" ca="1">INDEX(Data_DBD!$C:$C,$A15)</f>
        <v>4</v>
      </c>
      <c r="D15" s="32" cm="1">
        <f t="array" aca="1" ref="D15" ca="1">INDEX(Data_DBD!$D:$D,$A15)</f>
        <v>13</v>
      </c>
      <c r="E15" s="32" cm="1">
        <f t="array" aca="1" ref="E15" ca="1">INDEX(Data_DBD!$E:$E,$A15)</f>
        <v>1</v>
      </c>
      <c r="F15" s="32" cm="1">
        <f t="array" aca="1" ref="F15" ca="1">INDEX(Data_DBD!$F:$F,$A15)</f>
        <v>2</v>
      </c>
      <c r="H15" s="32">
        <v>22</v>
      </c>
      <c r="I15" s="32">
        <v>6</v>
      </c>
      <c r="J15" s="32">
        <v>3</v>
      </c>
      <c r="K15" s="32">
        <v>14</v>
      </c>
      <c r="L15" s="32">
        <v>0</v>
      </c>
      <c r="M15" s="32">
        <v>2</v>
      </c>
    </row>
    <row r="16" spans="1:17">
      <c r="A16" s="32">
        <f t="shared" ca="1" si="0"/>
        <v>160</v>
      </c>
      <c r="B16" s="32" cm="1">
        <f t="array" aca="1" ref="B16" ca="1">INDEX(Data_DBD!$B:$B,$A16)</f>
        <v>16</v>
      </c>
      <c r="C16" s="32" cm="1">
        <f t="array" aca="1" ref="C16" ca="1">INDEX(Data_DBD!$C:$C,$A16)</f>
        <v>3</v>
      </c>
      <c r="D16" s="32" cm="1">
        <f t="array" aca="1" ref="D16" ca="1">INDEX(Data_DBD!$D:$D,$A16)</f>
        <v>21</v>
      </c>
      <c r="E16" s="32" cm="1">
        <f t="array" aca="1" ref="E16" ca="1">INDEX(Data_DBD!$E:$E,$A16)</f>
        <v>0</v>
      </c>
      <c r="F16" s="32" cm="1">
        <f t="array" aca="1" ref="F16" ca="1">INDEX(Data_DBD!$F:$F,$A16)</f>
        <v>3</v>
      </c>
      <c r="H16" s="32">
        <v>145</v>
      </c>
      <c r="I16" s="32">
        <v>28</v>
      </c>
      <c r="J16" s="32">
        <v>4</v>
      </c>
      <c r="K16" s="32">
        <v>21</v>
      </c>
      <c r="L16" s="32">
        <v>1</v>
      </c>
      <c r="M16" s="32">
        <v>3</v>
      </c>
    </row>
    <row r="17" spans="1:13">
      <c r="A17" s="32">
        <f t="shared" ca="1" si="0"/>
        <v>83</v>
      </c>
      <c r="B17" s="32" cm="1">
        <f t="array" aca="1" ref="B17" ca="1">INDEX(Data_DBD!$B:$B,$A17)</f>
        <v>50</v>
      </c>
      <c r="C17" s="32" cm="1">
        <f t="array" aca="1" ref="C17" ca="1">INDEX(Data_DBD!$C:$C,$A17)</f>
        <v>3</v>
      </c>
      <c r="D17" s="32" cm="1">
        <f t="array" aca="1" ref="D17" ca="1">INDEX(Data_DBD!$D:$D,$A17)</f>
        <v>13</v>
      </c>
      <c r="E17" s="32" cm="1">
        <f t="array" aca="1" ref="E17" ca="1">INDEX(Data_DBD!$E:$E,$A17)</f>
        <v>0</v>
      </c>
      <c r="F17" s="32" cm="1">
        <f t="array" aca="1" ref="F17" ca="1">INDEX(Data_DBD!$F:$F,$A17)</f>
        <v>2</v>
      </c>
      <c r="H17" s="32">
        <v>50</v>
      </c>
      <c r="I17" s="32">
        <v>19</v>
      </c>
      <c r="J17" s="32">
        <v>5</v>
      </c>
      <c r="K17" s="32">
        <v>13</v>
      </c>
      <c r="L17" s="32">
        <v>0</v>
      </c>
      <c r="M17" s="32">
        <v>2</v>
      </c>
    </row>
    <row r="18" spans="1:13">
      <c r="A18" s="32">
        <f t="shared" ca="1" si="0"/>
        <v>109</v>
      </c>
      <c r="B18" s="32" cm="1">
        <f t="array" aca="1" ref="B18" ca="1">INDEX(Data_DBD!$B:$B,$A18)</f>
        <v>40</v>
      </c>
      <c r="C18" s="32" cm="1">
        <f t="array" aca="1" ref="C18" ca="1">INDEX(Data_DBD!$C:$C,$A18)</f>
        <v>3</v>
      </c>
      <c r="D18" s="32" cm="1">
        <f t="array" aca="1" ref="D18" ca="1">INDEX(Data_DBD!$D:$D,$A18)</f>
        <v>33</v>
      </c>
      <c r="E18" s="32" cm="1">
        <f t="array" aca="1" ref="E18" ca="1">INDEX(Data_DBD!$E:$E,$A18)</f>
        <v>1</v>
      </c>
      <c r="F18" s="32" cm="1">
        <f t="array" aca="1" ref="F18" ca="1">INDEX(Data_DBD!$F:$F,$A18)</f>
        <v>3</v>
      </c>
      <c r="H18" s="32">
        <v>117</v>
      </c>
      <c r="I18" s="32">
        <v>49</v>
      </c>
      <c r="J18" s="32">
        <v>4</v>
      </c>
      <c r="K18" s="32">
        <v>33</v>
      </c>
      <c r="L18" s="32">
        <v>1</v>
      </c>
      <c r="M18" s="32">
        <v>3</v>
      </c>
    </row>
    <row r="19" spans="1:13">
      <c r="A19" s="32">
        <f t="shared" ca="1" si="0"/>
        <v>57</v>
      </c>
      <c r="B19" s="32" cm="1">
        <f t="array" aca="1" ref="B19" ca="1">INDEX(Data_DBD!$B:$B,$A19)</f>
        <v>2</v>
      </c>
      <c r="C19" s="32" cm="1">
        <f t="array" aca="1" ref="C19" ca="1">INDEX(Data_DBD!$C:$C,$A19)</f>
        <v>2</v>
      </c>
      <c r="D19" s="32" cm="1">
        <f t="array" aca="1" ref="D19" ca="1">INDEX(Data_DBD!$D:$D,$A19)</f>
        <v>15</v>
      </c>
      <c r="E19" s="32" cm="1">
        <f t="array" aca="1" ref="E19" ca="1">INDEX(Data_DBD!$E:$E,$A19)</f>
        <v>1</v>
      </c>
      <c r="F19" s="32" cm="1">
        <f t="array" aca="1" ref="F19" ca="1">INDEX(Data_DBD!$F:$F,$A19)</f>
        <v>2</v>
      </c>
      <c r="H19" s="32">
        <v>152</v>
      </c>
      <c r="I19" s="32">
        <v>47</v>
      </c>
      <c r="J19" s="32">
        <v>3</v>
      </c>
      <c r="K19" s="32">
        <v>21</v>
      </c>
      <c r="L19" s="32">
        <v>1</v>
      </c>
      <c r="M19" s="32">
        <v>3</v>
      </c>
    </row>
    <row r="20" spans="1:13">
      <c r="A20" s="32">
        <f t="shared" ca="1" si="0"/>
        <v>109</v>
      </c>
      <c r="B20" s="32" cm="1">
        <f t="array" aca="1" ref="B20" ca="1">INDEX(Data_DBD!$B:$B,$A20)</f>
        <v>40</v>
      </c>
      <c r="C20" s="32" cm="1">
        <f t="array" aca="1" ref="C20" ca="1">INDEX(Data_DBD!$C:$C,$A20)</f>
        <v>3</v>
      </c>
      <c r="D20" s="32" cm="1">
        <f t="array" aca="1" ref="D20" ca="1">INDEX(Data_DBD!$D:$D,$A20)</f>
        <v>33</v>
      </c>
      <c r="E20" s="32" cm="1">
        <f t="array" aca="1" ref="E20" ca="1">INDEX(Data_DBD!$E:$E,$A20)</f>
        <v>1</v>
      </c>
      <c r="F20" s="32" cm="1">
        <f t="array" aca="1" ref="F20" ca="1">INDEX(Data_DBD!$F:$F,$A20)</f>
        <v>3</v>
      </c>
      <c r="H20" s="32">
        <v>74</v>
      </c>
      <c r="I20" s="32">
        <v>9</v>
      </c>
      <c r="J20" s="32">
        <v>4</v>
      </c>
      <c r="K20" s="32">
        <v>10</v>
      </c>
      <c r="L20" s="32">
        <v>0</v>
      </c>
      <c r="M20" s="32">
        <v>2</v>
      </c>
    </row>
    <row r="21" spans="1:13">
      <c r="A21" s="32">
        <f t="shared" ca="1" si="0"/>
        <v>55</v>
      </c>
      <c r="B21" s="32" cm="1">
        <f t="array" aca="1" ref="B21" ca="1">INDEX(Data_DBD!$B:$B,$A21)</f>
        <v>7</v>
      </c>
      <c r="C21" s="32" cm="1">
        <f t="array" aca="1" ref="C21" ca="1">INDEX(Data_DBD!$C:$C,$A21)</f>
        <v>4</v>
      </c>
      <c r="D21" s="32" cm="1">
        <f t="array" aca="1" ref="D21" ca="1">INDEX(Data_DBD!$D:$D,$A21)</f>
        <v>15</v>
      </c>
      <c r="E21" s="32" cm="1">
        <f t="array" aca="1" ref="E21" ca="1">INDEX(Data_DBD!$E:$E,$A21)</f>
        <v>1</v>
      </c>
      <c r="F21" s="32" cm="1">
        <f t="array" aca="1" ref="F21" ca="1">INDEX(Data_DBD!$F:$F,$A21)</f>
        <v>2</v>
      </c>
      <c r="H21" s="32">
        <v>50</v>
      </c>
      <c r="I21" s="32">
        <v>19</v>
      </c>
      <c r="J21" s="32">
        <v>5</v>
      </c>
      <c r="K21" s="32">
        <v>13</v>
      </c>
      <c r="L21" s="32">
        <v>0</v>
      </c>
      <c r="M21" s="32">
        <v>2</v>
      </c>
    </row>
    <row r="22" spans="1:13">
      <c r="A22" s="32">
        <f t="shared" ca="1" si="0"/>
        <v>95</v>
      </c>
      <c r="B22" s="32" cm="1">
        <f t="array" aca="1" ref="B22" ca="1">INDEX(Data_DBD!$B:$B,$A22)</f>
        <v>11</v>
      </c>
      <c r="C22" s="32" cm="1">
        <f t="array" aca="1" ref="C22" ca="1">INDEX(Data_DBD!$C:$C,$A22)</f>
        <v>3</v>
      </c>
      <c r="D22" s="32" cm="1">
        <f t="array" aca="1" ref="D22" ca="1">INDEX(Data_DBD!$D:$D,$A22)</f>
        <v>18</v>
      </c>
      <c r="E22" s="32" cm="1">
        <f t="array" aca="1" ref="E22" ca="1">INDEX(Data_DBD!$E:$E,$A22)</f>
        <v>1</v>
      </c>
      <c r="F22" s="32" cm="1">
        <f t="array" aca="1" ref="F22" ca="1">INDEX(Data_DBD!$F:$F,$A22)</f>
        <v>3</v>
      </c>
      <c r="H22" s="32">
        <v>119</v>
      </c>
      <c r="I22" s="32">
        <v>30</v>
      </c>
      <c r="J22" s="32">
        <v>7</v>
      </c>
      <c r="K22" s="32">
        <v>33</v>
      </c>
      <c r="L22" s="32">
        <v>0</v>
      </c>
      <c r="M22" s="32">
        <v>3</v>
      </c>
    </row>
    <row r="23" spans="1:13">
      <c r="A23" s="32">
        <f t="shared" ca="1" si="0"/>
        <v>40</v>
      </c>
      <c r="B23" s="32" cm="1">
        <f t="array" aca="1" ref="B23" ca="1">INDEX(Data_DBD!$B:$B,$A23)</f>
        <v>65</v>
      </c>
      <c r="C23" s="32" cm="1">
        <f t="array" aca="1" ref="C23" ca="1">INDEX(Data_DBD!$C:$C,$A23)</f>
        <v>3</v>
      </c>
      <c r="D23" s="32" cm="1">
        <f t="array" aca="1" ref="D23" ca="1">INDEX(Data_DBD!$D:$D,$A23)</f>
        <v>13</v>
      </c>
      <c r="E23" s="32" cm="1">
        <f t="array" aca="1" ref="E23" ca="1">INDEX(Data_DBD!$E:$E,$A23)</f>
        <v>1</v>
      </c>
      <c r="F23" s="32" cm="1">
        <f t="array" aca="1" ref="F23" ca="1">INDEX(Data_DBD!$F:$F,$A23)</f>
        <v>2</v>
      </c>
      <c r="H23" s="32">
        <v>156</v>
      </c>
      <c r="I23" s="32">
        <v>5</v>
      </c>
      <c r="J23" s="32">
        <v>2</v>
      </c>
      <c r="K23" s="32">
        <v>21</v>
      </c>
      <c r="L23" s="32">
        <v>0</v>
      </c>
      <c r="M23" s="32">
        <v>3</v>
      </c>
    </row>
    <row r="24" spans="1:13">
      <c r="A24" s="32">
        <f t="shared" ca="1" si="0"/>
        <v>104</v>
      </c>
      <c r="B24" s="32" cm="1">
        <f t="array" aca="1" ref="B24" ca="1">INDEX(Data_DBD!$B:$B,$A24)</f>
        <v>37</v>
      </c>
      <c r="C24" s="32" cm="1">
        <f t="array" aca="1" ref="C24" ca="1">INDEX(Data_DBD!$C:$C,$A24)</f>
        <v>4</v>
      </c>
      <c r="D24" s="32" cm="1">
        <f t="array" aca="1" ref="D24" ca="1">INDEX(Data_DBD!$D:$D,$A24)</f>
        <v>18</v>
      </c>
      <c r="E24" s="32" cm="1">
        <f t="array" aca="1" ref="E24" ca="1">INDEX(Data_DBD!$E:$E,$A24)</f>
        <v>1</v>
      </c>
      <c r="F24" s="32" cm="1">
        <f t="array" aca="1" ref="F24" ca="1">INDEX(Data_DBD!$F:$F,$A24)</f>
        <v>3</v>
      </c>
      <c r="H24" s="32">
        <v>86</v>
      </c>
      <c r="I24" s="32">
        <v>23</v>
      </c>
      <c r="J24" s="32">
        <v>3</v>
      </c>
      <c r="K24" s="32">
        <v>13</v>
      </c>
      <c r="L24" s="32">
        <v>0</v>
      </c>
      <c r="M24" s="32">
        <v>2</v>
      </c>
    </row>
    <row r="25" spans="1:13">
      <c r="A25" s="32">
        <f t="shared" ca="1" si="0"/>
        <v>65</v>
      </c>
      <c r="B25" s="32" cm="1">
        <f t="array" aca="1" ref="B25" ca="1">INDEX(Data_DBD!$B:$B,$A25)</f>
        <v>49</v>
      </c>
      <c r="C25" s="32" cm="1">
        <f t="array" aca="1" ref="C25" ca="1">INDEX(Data_DBD!$C:$C,$A25)</f>
        <v>3</v>
      </c>
      <c r="D25" s="32" cm="1">
        <f t="array" aca="1" ref="D25" ca="1">INDEX(Data_DBD!$D:$D,$A25)</f>
        <v>15</v>
      </c>
      <c r="E25" s="32" cm="1">
        <f t="array" aca="1" ref="E25" ca="1">INDEX(Data_DBD!$E:$E,$A25)</f>
        <v>0</v>
      </c>
      <c r="F25" s="32" cm="1">
        <f t="array" aca="1" ref="F25" ca="1">INDEX(Data_DBD!$F:$F,$A25)</f>
        <v>2</v>
      </c>
      <c r="H25" s="32">
        <v>73</v>
      </c>
      <c r="I25" s="32">
        <v>15</v>
      </c>
      <c r="J25" s="32">
        <v>3</v>
      </c>
      <c r="K25" s="32">
        <v>10</v>
      </c>
      <c r="L25" s="32">
        <v>1</v>
      </c>
      <c r="M25" s="32">
        <v>2</v>
      </c>
    </row>
    <row r="26" spans="1:13">
      <c r="A26" s="32">
        <f t="shared" ca="1" si="0"/>
        <v>144</v>
      </c>
      <c r="B26" s="32" cm="1">
        <f t="array" aca="1" ref="B26" ca="1">INDEX(Data_DBD!$B:$B,$A26)</f>
        <v>61</v>
      </c>
      <c r="C26" s="32" cm="1">
        <f t="array" aca="1" ref="C26" ca="1">INDEX(Data_DBD!$C:$C,$A26)</f>
        <v>4</v>
      </c>
      <c r="D26" s="32" cm="1">
        <f t="array" aca="1" ref="D26" ca="1">INDEX(Data_DBD!$D:$D,$A26)</f>
        <v>21</v>
      </c>
      <c r="E26" s="32" cm="1">
        <f t="array" aca="1" ref="E26" ca="1">INDEX(Data_DBD!$E:$E,$A26)</f>
        <v>1</v>
      </c>
      <c r="F26" s="32" cm="1">
        <f t="array" aca="1" ref="F26" ca="1">INDEX(Data_DBD!$F:$F,$A26)</f>
        <v>3</v>
      </c>
      <c r="H26" s="32">
        <v>123</v>
      </c>
      <c r="I26" s="32">
        <v>22</v>
      </c>
      <c r="J26" s="32">
        <v>4</v>
      </c>
      <c r="K26" s="32">
        <v>33</v>
      </c>
      <c r="L26" s="32">
        <v>0</v>
      </c>
      <c r="M26" s="32">
        <v>3</v>
      </c>
    </row>
    <row r="27" spans="1:13">
      <c r="A27" s="32">
        <f t="shared" ca="1" si="0"/>
        <v>146</v>
      </c>
      <c r="B27" s="32" cm="1">
        <f t="array" aca="1" ref="B27" ca="1">INDEX(Data_DBD!$B:$B,$A27)</f>
        <v>34</v>
      </c>
      <c r="C27" s="32" cm="1">
        <f t="array" aca="1" ref="C27" ca="1">INDEX(Data_DBD!$C:$C,$A27)</f>
        <v>2</v>
      </c>
      <c r="D27" s="32" cm="1">
        <f t="array" aca="1" ref="D27" ca="1">INDEX(Data_DBD!$D:$D,$A27)</f>
        <v>21</v>
      </c>
      <c r="E27" s="32" cm="1">
        <f t="array" aca="1" ref="E27" ca="1">INDEX(Data_DBD!$E:$E,$A27)</f>
        <v>1</v>
      </c>
      <c r="F27" s="32" cm="1">
        <f t="array" aca="1" ref="F27" ca="1">INDEX(Data_DBD!$F:$F,$A27)</f>
        <v>3</v>
      </c>
      <c r="H27" s="32">
        <v>158</v>
      </c>
      <c r="I27" s="32">
        <v>5</v>
      </c>
      <c r="J27" s="32">
        <v>2</v>
      </c>
      <c r="K27" s="32">
        <v>21</v>
      </c>
      <c r="L27" s="32">
        <v>0</v>
      </c>
      <c r="M27" s="32">
        <v>3</v>
      </c>
    </row>
    <row r="28" spans="1:13">
      <c r="A28" s="32">
        <f t="shared" ca="1" si="0"/>
        <v>41</v>
      </c>
      <c r="B28" s="32" cm="1">
        <f t="array" aca="1" ref="B28" ca="1">INDEX(Data_DBD!$B:$B,$A28)</f>
        <v>8</v>
      </c>
      <c r="C28" s="32" cm="1">
        <f t="array" aca="1" ref="C28" ca="1">INDEX(Data_DBD!$C:$C,$A28)</f>
        <v>4</v>
      </c>
      <c r="D28" s="32" cm="1">
        <f t="array" aca="1" ref="D28" ca="1">INDEX(Data_DBD!$D:$D,$A28)</f>
        <v>13</v>
      </c>
      <c r="E28" s="32" cm="1">
        <f t="array" aca="1" ref="E28" ca="1">INDEX(Data_DBD!$E:$E,$A28)</f>
        <v>0</v>
      </c>
      <c r="F28" s="32" cm="1">
        <f t="array" aca="1" ref="F28" ca="1">INDEX(Data_DBD!$F:$F,$A28)</f>
        <v>2</v>
      </c>
      <c r="H28" s="32">
        <v>83</v>
      </c>
      <c r="I28" s="32">
        <v>50</v>
      </c>
      <c r="J28" s="32">
        <v>3</v>
      </c>
      <c r="K28" s="32">
        <v>13</v>
      </c>
      <c r="L28" s="32">
        <v>0</v>
      </c>
      <c r="M28" s="32">
        <v>2</v>
      </c>
    </row>
    <row r="29" spans="1:13">
      <c r="A29" s="32">
        <f t="shared" ca="1" si="0"/>
        <v>58</v>
      </c>
      <c r="B29" s="32" cm="1">
        <f t="array" aca="1" ref="B29" ca="1">INDEX(Data_DBD!$B:$B,$A29)</f>
        <v>17</v>
      </c>
      <c r="C29" s="32" cm="1">
        <f t="array" aca="1" ref="C29" ca="1">INDEX(Data_DBD!$C:$C,$A29)</f>
        <v>3</v>
      </c>
      <c r="D29" s="32" cm="1">
        <f t="array" aca="1" ref="D29" ca="1">INDEX(Data_DBD!$D:$D,$A29)</f>
        <v>15</v>
      </c>
      <c r="E29" s="32" cm="1">
        <f t="array" aca="1" ref="E29" ca="1">INDEX(Data_DBD!$E:$E,$A29)</f>
        <v>0</v>
      </c>
      <c r="F29" s="32" cm="1">
        <f t="array" aca="1" ref="F29" ca="1">INDEX(Data_DBD!$F:$F,$A29)</f>
        <v>2</v>
      </c>
      <c r="H29" s="32">
        <v>118</v>
      </c>
      <c r="I29" s="32">
        <v>67</v>
      </c>
      <c r="J29" s="32">
        <v>4</v>
      </c>
      <c r="K29" s="32">
        <v>33</v>
      </c>
      <c r="L29" s="32">
        <v>1</v>
      </c>
      <c r="M29" s="32">
        <v>3</v>
      </c>
    </row>
    <row r="30" spans="1:13">
      <c r="A30" s="32">
        <f t="shared" ca="1" si="0"/>
        <v>42</v>
      </c>
      <c r="B30" s="32" cm="1">
        <f t="array" aca="1" ref="B30" ca="1">INDEX(Data_DBD!$B:$B,$A30)</f>
        <v>21</v>
      </c>
      <c r="C30" s="32" cm="1">
        <f t="array" aca="1" ref="C30" ca="1">INDEX(Data_DBD!$C:$C,$A30)</f>
        <v>5</v>
      </c>
      <c r="D30" s="32" cm="1">
        <f t="array" aca="1" ref="D30" ca="1">INDEX(Data_DBD!$D:$D,$A30)</f>
        <v>13</v>
      </c>
      <c r="E30" s="32" cm="1">
        <f t="array" aca="1" ref="E30" ca="1">INDEX(Data_DBD!$E:$E,$A30)</f>
        <v>1</v>
      </c>
      <c r="F30" s="32" cm="1">
        <f t="array" aca="1" ref="F30" ca="1">INDEX(Data_DBD!$F:$F,$A30)</f>
        <v>2</v>
      </c>
      <c r="H30" s="32">
        <v>70</v>
      </c>
      <c r="I30" s="32">
        <v>26</v>
      </c>
      <c r="J30" s="32">
        <v>3</v>
      </c>
      <c r="K30" s="32">
        <v>10</v>
      </c>
      <c r="L30" s="32">
        <v>1</v>
      </c>
      <c r="M30" s="32">
        <v>2</v>
      </c>
    </row>
    <row r="31" spans="1:13">
      <c r="A31" s="32">
        <f t="shared" ca="1" si="0"/>
        <v>41</v>
      </c>
      <c r="B31" s="32" cm="1">
        <f t="array" aca="1" ref="B31" ca="1">INDEX(Data_DBD!$B:$B,$A31)</f>
        <v>8</v>
      </c>
      <c r="C31" s="32" cm="1">
        <f t="array" aca="1" ref="C31" ca="1">INDEX(Data_DBD!$C:$C,$A31)</f>
        <v>4</v>
      </c>
      <c r="D31" s="32" cm="1">
        <f t="array" aca="1" ref="D31" ca="1">INDEX(Data_DBD!$D:$D,$A31)</f>
        <v>13</v>
      </c>
      <c r="E31" s="32" cm="1">
        <f t="array" aca="1" ref="E31" ca="1">INDEX(Data_DBD!$E:$E,$A31)</f>
        <v>0</v>
      </c>
      <c r="F31" s="32" cm="1">
        <f t="array" aca="1" ref="F31" ca="1">INDEX(Data_DBD!$F:$F,$A31)</f>
        <v>2</v>
      </c>
      <c r="H31" s="32">
        <v>144</v>
      </c>
      <c r="I31" s="32">
        <v>61</v>
      </c>
      <c r="J31" s="32">
        <v>4</v>
      </c>
      <c r="K31" s="32">
        <v>21</v>
      </c>
      <c r="L31" s="32">
        <v>1</v>
      </c>
      <c r="M31" s="32">
        <v>3</v>
      </c>
    </row>
    <row r="32" spans="1:13">
      <c r="A32" s="32">
        <f t="shared" ca="1" si="0"/>
        <v>55</v>
      </c>
      <c r="B32" s="32" cm="1">
        <f t="array" aca="1" ref="B32" ca="1">INDEX(Data_DBD!$B:$B,$A32)</f>
        <v>7</v>
      </c>
      <c r="C32" s="32" cm="1">
        <f t="array" aca="1" ref="C32" ca="1">INDEX(Data_DBD!$C:$C,$A32)</f>
        <v>4</v>
      </c>
      <c r="D32" s="32" cm="1">
        <f t="array" aca="1" ref="D32" ca="1">INDEX(Data_DBD!$D:$D,$A32)</f>
        <v>15</v>
      </c>
      <c r="E32" s="32" cm="1">
        <f t="array" aca="1" ref="E32" ca="1">INDEX(Data_DBD!$E:$E,$A32)</f>
        <v>1</v>
      </c>
      <c r="F32" s="32" cm="1">
        <f t="array" aca="1" ref="F32" ca="1">INDEX(Data_DBD!$F:$F,$A32)</f>
        <v>2</v>
      </c>
      <c r="H32" s="32">
        <v>85</v>
      </c>
      <c r="I32" s="32">
        <v>27</v>
      </c>
      <c r="J32" s="32">
        <v>9</v>
      </c>
      <c r="K32" s="32">
        <v>13</v>
      </c>
      <c r="L32" s="32">
        <v>0</v>
      </c>
      <c r="M32" s="32">
        <v>2</v>
      </c>
    </row>
    <row r="33" spans="1:13">
      <c r="A33" s="32">
        <f t="shared" ca="1" si="0"/>
        <v>49</v>
      </c>
      <c r="B33" s="32" cm="1">
        <f t="array" aca="1" ref="B33" ca="1">INDEX(Data_DBD!$B:$B,$A33)</f>
        <v>64</v>
      </c>
      <c r="C33" s="32" cm="1">
        <f t="array" aca="1" ref="C33" ca="1">INDEX(Data_DBD!$C:$C,$A33)</f>
        <v>5</v>
      </c>
      <c r="D33" s="32" cm="1">
        <f t="array" aca="1" ref="D33" ca="1">INDEX(Data_DBD!$D:$D,$A33)</f>
        <v>13</v>
      </c>
      <c r="E33" s="32" cm="1">
        <f t="array" aca="1" ref="E33" ca="1">INDEX(Data_DBD!$E:$E,$A33)</f>
        <v>0</v>
      </c>
      <c r="F33" s="32" cm="1">
        <f t="array" aca="1" ref="F33" ca="1">INDEX(Data_DBD!$F:$F,$A33)</f>
        <v>2</v>
      </c>
      <c r="H33" s="32">
        <v>74</v>
      </c>
      <c r="I33" s="32">
        <v>9</v>
      </c>
      <c r="J33" s="32">
        <v>4</v>
      </c>
      <c r="K33" s="32">
        <v>10</v>
      </c>
      <c r="L33" s="32">
        <v>0</v>
      </c>
      <c r="M33" s="32">
        <v>2</v>
      </c>
    </row>
    <row r="34" spans="1:13">
      <c r="A34" s="32">
        <f t="shared" ca="1" si="0"/>
        <v>161</v>
      </c>
      <c r="B34" s="32" cm="1">
        <f t="array" aca="1" ref="B34" ca="1">INDEX(Data_DBD!$B:$B,$A34)</f>
        <v>12</v>
      </c>
      <c r="C34" s="32" cm="1">
        <f t="array" aca="1" ref="C34" ca="1">INDEX(Data_DBD!$C:$C,$A34)</f>
        <v>3</v>
      </c>
      <c r="D34" s="32" cm="1">
        <f t="array" aca="1" ref="D34" ca="1">INDEX(Data_DBD!$D:$D,$A34)</f>
        <v>21</v>
      </c>
      <c r="E34" s="32" cm="1">
        <f t="array" aca="1" ref="E34" ca="1">INDEX(Data_DBD!$E:$E,$A34)</f>
        <v>1</v>
      </c>
      <c r="F34" s="32" cm="1">
        <f t="array" aca="1" ref="F34" ca="1">INDEX(Data_DBD!$F:$F,$A34)</f>
        <v>3</v>
      </c>
      <c r="H34" s="32">
        <v>98</v>
      </c>
      <c r="I34" s="32">
        <v>16</v>
      </c>
      <c r="J34" s="32">
        <v>2</v>
      </c>
      <c r="K34" s="32">
        <v>18</v>
      </c>
      <c r="L34" s="32">
        <v>1</v>
      </c>
      <c r="M34" s="32">
        <v>3</v>
      </c>
    </row>
    <row r="35" spans="1:13">
      <c r="A35" s="32">
        <f t="shared" ca="1" si="0"/>
        <v>37</v>
      </c>
      <c r="B35" s="32" cm="1">
        <f t="array" aca="1" ref="B35" ca="1">INDEX(Data_DBD!$B:$B,$A35)</f>
        <v>28</v>
      </c>
      <c r="C35" s="32" cm="1">
        <f t="array" aca="1" ref="C35" ca="1">INDEX(Data_DBD!$C:$C,$A35)</f>
        <v>4</v>
      </c>
      <c r="D35" s="32" cm="1">
        <f t="array" aca="1" ref="D35" ca="1">INDEX(Data_DBD!$D:$D,$A35)</f>
        <v>4</v>
      </c>
      <c r="E35" s="32" cm="1">
        <f t="array" aca="1" ref="E35" ca="1">INDEX(Data_DBD!$E:$E,$A35)</f>
        <v>1</v>
      </c>
      <c r="F35" s="32" cm="1">
        <f t="array" aca="1" ref="F35" ca="1">INDEX(Data_DBD!$F:$F,$A35)</f>
        <v>1</v>
      </c>
      <c r="H35" s="32">
        <v>86</v>
      </c>
      <c r="I35" s="32">
        <v>23</v>
      </c>
      <c r="J35" s="32">
        <v>3</v>
      </c>
      <c r="K35" s="32">
        <v>13</v>
      </c>
      <c r="L35" s="32">
        <v>0</v>
      </c>
      <c r="M35" s="32">
        <v>2</v>
      </c>
    </row>
    <row r="36" spans="1:13">
      <c r="A36" s="32">
        <f t="shared" ca="1" si="0"/>
        <v>16</v>
      </c>
      <c r="B36" s="32" cm="1">
        <f t="array" aca="1" ref="B36" ca="1">INDEX(Data_DBD!$B:$B,$A36)</f>
        <v>66</v>
      </c>
      <c r="C36" s="32" cm="1">
        <f t="array" aca="1" ref="C36" ca="1">INDEX(Data_DBD!$C:$C,$A36)</f>
        <v>5</v>
      </c>
      <c r="D36" s="32" cm="1">
        <f t="array" aca="1" ref="D36" ca="1">INDEX(Data_DBD!$D:$D,$A36)</f>
        <v>7</v>
      </c>
      <c r="E36" s="32" cm="1">
        <f t="array" aca="1" ref="E36" ca="1">INDEX(Data_DBD!$E:$E,$A36)</f>
        <v>1</v>
      </c>
      <c r="F36" s="32" cm="1">
        <f t="array" aca="1" ref="F36" ca="1">INDEX(Data_DBD!$F:$F,$A36)</f>
        <v>1</v>
      </c>
      <c r="H36" s="32">
        <v>96</v>
      </c>
      <c r="I36" s="32">
        <v>56</v>
      </c>
      <c r="J36" s="32">
        <v>4</v>
      </c>
      <c r="K36" s="32">
        <v>18</v>
      </c>
      <c r="L36" s="32">
        <v>0</v>
      </c>
      <c r="M36" s="32">
        <v>3</v>
      </c>
    </row>
    <row r="37" spans="1:13">
      <c r="A37" s="32">
        <f t="shared" ca="1" si="0"/>
        <v>114</v>
      </c>
      <c r="B37" s="32" cm="1">
        <f t="array" aca="1" ref="B37" ca="1">INDEX(Data_DBD!$B:$B,$A37)</f>
        <v>14</v>
      </c>
      <c r="C37" s="32" cm="1">
        <f t="array" aca="1" ref="C37" ca="1">INDEX(Data_DBD!$C:$C,$A37)</f>
        <v>2</v>
      </c>
      <c r="D37" s="32" cm="1">
        <f t="array" aca="1" ref="D37" ca="1">INDEX(Data_DBD!$D:$D,$A37)</f>
        <v>33</v>
      </c>
      <c r="E37" s="32" cm="1">
        <f t="array" aca="1" ref="E37" ca="1">INDEX(Data_DBD!$E:$E,$A37)</f>
        <v>1</v>
      </c>
      <c r="F37" s="32" cm="1">
        <f t="array" aca="1" ref="F37" ca="1">INDEX(Data_DBD!$F:$F,$A37)</f>
        <v>3</v>
      </c>
      <c r="H37" s="32">
        <v>44</v>
      </c>
      <c r="I37" s="32">
        <v>28</v>
      </c>
      <c r="J37" s="32">
        <v>5</v>
      </c>
      <c r="K37" s="32">
        <v>13</v>
      </c>
      <c r="L37" s="32">
        <v>1</v>
      </c>
      <c r="M37" s="32">
        <v>2</v>
      </c>
    </row>
    <row r="38" spans="1:13">
      <c r="A38" s="32">
        <f t="shared" ca="1" si="0"/>
        <v>45</v>
      </c>
      <c r="B38" s="32" cm="1">
        <f t="array" aca="1" ref="B38" ca="1">INDEX(Data_DBD!$B:$B,$A38)</f>
        <v>75</v>
      </c>
      <c r="C38" s="32" cm="1">
        <f t="array" aca="1" ref="C38" ca="1">INDEX(Data_DBD!$C:$C,$A38)</f>
        <v>3</v>
      </c>
      <c r="D38" s="32" cm="1">
        <f t="array" aca="1" ref="D38" ca="1">INDEX(Data_DBD!$D:$D,$A38)</f>
        <v>13</v>
      </c>
      <c r="E38" s="32" cm="1">
        <f t="array" aca="1" ref="E38" ca="1">INDEX(Data_DBD!$E:$E,$A38)</f>
        <v>1</v>
      </c>
      <c r="F38" s="32" cm="1">
        <f t="array" aca="1" ref="F38" ca="1">INDEX(Data_DBD!$F:$F,$A38)</f>
        <v>2</v>
      </c>
      <c r="H38" s="32">
        <v>74</v>
      </c>
      <c r="I38" s="32">
        <v>9</v>
      </c>
      <c r="J38" s="32">
        <v>4</v>
      </c>
      <c r="K38" s="32">
        <v>10</v>
      </c>
      <c r="L38" s="32">
        <v>0</v>
      </c>
      <c r="M38" s="32">
        <v>2</v>
      </c>
    </row>
    <row r="39" spans="1:13">
      <c r="A39" s="32">
        <f t="shared" ca="1" si="0"/>
        <v>144</v>
      </c>
      <c r="B39" s="32" cm="1">
        <f t="array" aca="1" ref="B39" ca="1">INDEX(Data_DBD!$B:$B,$A39)</f>
        <v>61</v>
      </c>
      <c r="C39" s="32" cm="1">
        <f t="array" aca="1" ref="C39" ca="1">INDEX(Data_DBD!$C:$C,$A39)</f>
        <v>4</v>
      </c>
      <c r="D39" s="32" cm="1">
        <f t="array" aca="1" ref="D39" ca="1">INDEX(Data_DBD!$D:$D,$A39)</f>
        <v>21</v>
      </c>
      <c r="E39" s="32" cm="1">
        <f t="array" aca="1" ref="E39" ca="1">INDEX(Data_DBD!$E:$E,$A39)</f>
        <v>1</v>
      </c>
      <c r="F39" s="32" cm="1">
        <f t="array" aca="1" ref="F39" ca="1">INDEX(Data_DBD!$F:$F,$A39)</f>
        <v>3</v>
      </c>
      <c r="H39" s="32">
        <v>75</v>
      </c>
      <c r="I39" s="32">
        <v>2</v>
      </c>
      <c r="J39" s="32">
        <v>2</v>
      </c>
      <c r="K39" s="32">
        <v>10</v>
      </c>
      <c r="L39" s="32">
        <v>1</v>
      </c>
      <c r="M39" s="32">
        <v>2</v>
      </c>
    </row>
    <row r="40" spans="1:13">
      <c r="A40" s="32">
        <f t="shared" ca="1" si="0"/>
        <v>19</v>
      </c>
      <c r="B40" s="32" cm="1">
        <f t="array" aca="1" ref="B40" ca="1">INDEX(Data_DBD!$B:$B,$A40)</f>
        <v>8</v>
      </c>
      <c r="C40" s="32" cm="1">
        <f t="array" aca="1" ref="C40" ca="1">INDEX(Data_DBD!$C:$C,$A40)</f>
        <v>4</v>
      </c>
      <c r="D40" s="32" cm="1">
        <f t="array" aca="1" ref="D40" ca="1">INDEX(Data_DBD!$D:$D,$A40)</f>
        <v>7</v>
      </c>
      <c r="E40" s="32" cm="1">
        <f t="array" aca="1" ref="E40" ca="1">INDEX(Data_DBD!$E:$E,$A40)</f>
        <v>0</v>
      </c>
      <c r="F40" s="32" cm="1">
        <f t="array" aca="1" ref="F40" ca="1">INDEX(Data_DBD!$F:$F,$A40)</f>
        <v>1</v>
      </c>
      <c r="H40" s="32">
        <v>136</v>
      </c>
      <c r="I40" s="32">
        <v>6</v>
      </c>
      <c r="J40" s="32">
        <v>2</v>
      </c>
      <c r="K40" s="32">
        <v>33</v>
      </c>
      <c r="L40" s="32">
        <v>0</v>
      </c>
      <c r="M40" s="32">
        <v>3</v>
      </c>
    </row>
    <row r="41" spans="1:13">
      <c r="A41" s="32">
        <f t="shared" ca="1" si="0"/>
        <v>113</v>
      </c>
      <c r="B41" s="32" cm="1">
        <f t="array" aca="1" ref="B41" ca="1">INDEX(Data_DBD!$B:$B,$A41)</f>
        <v>69</v>
      </c>
      <c r="C41" s="32" cm="1">
        <f t="array" aca="1" ref="C41" ca="1">INDEX(Data_DBD!$C:$C,$A41)</f>
        <v>1</v>
      </c>
      <c r="D41" s="32" cm="1">
        <f t="array" aca="1" ref="D41" ca="1">INDEX(Data_DBD!$D:$D,$A41)</f>
        <v>33</v>
      </c>
      <c r="E41" s="32" cm="1">
        <f t="array" aca="1" ref="E41" ca="1">INDEX(Data_DBD!$E:$E,$A41)</f>
        <v>1</v>
      </c>
      <c r="F41" s="32" cm="1">
        <f t="array" aca="1" ref="F41" ca="1">INDEX(Data_DBD!$F:$F,$A41)</f>
        <v>3</v>
      </c>
      <c r="H41" s="32">
        <v>116</v>
      </c>
      <c r="I41" s="32">
        <v>32</v>
      </c>
      <c r="J41" s="32">
        <v>4</v>
      </c>
      <c r="K41" s="32">
        <v>33</v>
      </c>
      <c r="L41" s="32">
        <v>1</v>
      </c>
      <c r="M41" s="32">
        <v>3</v>
      </c>
    </row>
    <row r="42" spans="1:13">
      <c r="A42" s="32">
        <f t="shared" ca="1" si="0"/>
        <v>68</v>
      </c>
      <c r="B42" s="32" cm="1">
        <f t="array" aca="1" ref="B42" ca="1">INDEX(Data_DBD!$B:$B,$A42)</f>
        <v>44</v>
      </c>
      <c r="C42" s="32" cm="1">
        <f t="array" aca="1" ref="C42" ca="1">INDEX(Data_DBD!$C:$C,$A42)</f>
        <v>5</v>
      </c>
      <c r="D42" s="32" cm="1">
        <f t="array" aca="1" ref="D42" ca="1">INDEX(Data_DBD!$D:$D,$A42)</f>
        <v>10</v>
      </c>
      <c r="E42" s="32" cm="1">
        <f t="array" aca="1" ref="E42" ca="1">INDEX(Data_DBD!$E:$E,$A42)</f>
        <v>0</v>
      </c>
      <c r="F42" s="32" cm="1">
        <f t="array" aca="1" ref="F42" ca="1">INDEX(Data_DBD!$F:$F,$A42)</f>
        <v>2</v>
      </c>
      <c r="H42" s="32">
        <v>44</v>
      </c>
      <c r="I42" s="32">
        <v>28</v>
      </c>
      <c r="J42" s="32">
        <v>5</v>
      </c>
      <c r="K42" s="32">
        <v>13</v>
      </c>
      <c r="L42" s="32">
        <v>1</v>
      </c>
      <c r="M42" s="32">
        <v>2</v>
      </c>
    </row>
    <row r="43" spans="1:13">
      <c r="A43" s="32">
        <f t="shared" ca="1" si="0"/>
        <v>152</v>
      </c>
      <c r="B43" s="32" cm="1">
        <f t="array" aca="1" ref="B43" ca="1">INDEX(Data_DBD!$B:$B,$A43)</f>
        <v>47</v>
      </c>
      <c r="C43" s="32" cm="1">
        <f t="array" aca="1" ref="C43" ca="1">INDEX(Data_DBD!$C:$C,$A43)</f>
        <v>3</v>
      </c>
      <c r="D43" s="32" cm="1">
        <f t="array" aca="1" ref="D43" ca="1">INDEX(Data_DBD!$D:$D,$A43)</f>
        <v>21</v>
      </c>
      <c r="E43" s="32" cm="1">
        <f t="array" aca="1" ref="E43" ca="1">INDEX(Data_DBD!$E:$E,$A43)</f>
        <v>1</v>
      </c>
      <c r="F43" s="32" cm="1">
        <f t="array" aca="1" ref="F43" ca="1">INDEX(Data_DBD!$F:$F,$A43)</f>
        <v>3</v>
      </c>
      <c r="H43" s="32">
        <v>136</v>
      </c>
      <c r="I43" s="32">
        <v>6</v>
      </c>
      <c r="J43" s="32">
        <v>2</v>
      </c>
      <c r="K43" s="32">
        <v>33</v>
      </c>
      <c r="L43" s="32">
        <v>0</v>
      </c>
      <c r="M43" s="32">
        <v>3</v>
      </c>
    </row>
    <row r="44" spans="1:13">
      <c r="A44" s="32">
        <f t="shared" ca="1" si="0"/>
        <v>61</v>
      </c>
      <c r="B44" s="32" cm="1">
        <f t="array" aca="1" ref="B44" ca="1">INDEX(Data_DBD!$B:$B,$A44)</f>
        <v>29</v>
      </c>
      <c r="C44" s="32" cm="1">
        <f t="array" aca="1" ref="C44" ca="1">INDEX(Data_DBD!$C:$C,$A44)</f>
        <v>3</v>
      </c>
      <c r="D44" s="32" cm="1">
        <f t="array" aca="1" ref="D44" ca="1">INDEX(Data_DBD!$D:$D,$A44)</f>
        <v>15</v>
      </c>
      <c r="E44" s="32" cm="1">
        <f t="array" aca="1" ref="E44" ca="1">INDEX(Data_DBD!$E:$E,$A44)</f>
        <v>1</v>
      </c>
      <c r="F44" s="32" cm="1">
        <f t="array" aca="1" ref="F44" ca="1">INDEX(Data_DBD!$F:$F,$A44)</f>
        <v>2</v>
      </c>
      <c r="H44" s="32">
        <v>20</v>
      </c>
      <c r="I44" s="32">
        <v>15</v>
      </c>
      <c r="J44" s="32">
        <v>5</v>
      </c>
      <c r="K44" s="32">
        <v>7</v>
      </c>
      <c r="L44" s="32">
        <v>0</v>
      </c>
      <c r="M44" s="32">
        <v>1</v>
      </c>
    </row>
    <row r="45" spans="1:13">
      <c r="A45" s="32">
        <f t="shared" ca="1" si="0"/>
        <v>154</v>
      </c>
      <c r="B45" s="32" cm="1">
        <f t="array" aca="1" ref="B45" ca="1">INDEX(Data_DBD!$B:$B,$A45)</f>
        <v>18</v>
      </c>
      <c r="C45" s="32" cm="1">
        <f t="array" aca="1" ref="C45" ca="1">INDEX(Data_DBD!$C:$C,$A45)</f>
        <v>5</v>
      </c>
      <c r="D45" s="32" cm="1">
        <f t="array" aca="1" ref="D45" ca="1">INDEX(Data_DBD!$D:$D,$A45)</f>
        <v>21</v>
      </c>
      <c r="E45" s="32" cm="1">
        <f t="array" aca="1" ref="E45" ca="1">INDEX(Data_DBD!$E:$E,$A45)</f>
        <v>1</v>
      </c>
      <c r="F45" s="32" cm="1">
        <f t="array" aca="1" ref="F45" ca="1">INDEX(Data_DBD!$F:$F,$A45)</f>
        <v>3</v>
      </c>
      <c r="H45" s="32">
        <v>50</v>
      </c>
      <c r="I45" s="32">
        <v>19</v>
      </c>
      <c r="J45" s="32">
        <v>5</v>
      </c>
      <c r="K45" s="32">
        <v>13</v>
      </c>
      <c r="L45" s="32">
        <v>0</v>
      </c>
      <c r="M45" s="32">
        <v>2</v>
      </c>
    </row>
    <row r="46" spans="1:13">
      <c r="A46" s="32">
        <f t="shared" ca="1" si="0"/>
        <v>80</v>
      </c>
      <c r="B46" s="32" cm="1">
        <f t="array" aca="1" ref="B46" ca="1">INDEX(Data_DBD!$B:$B,$A46)</f>
        <v>27</v>
      </c>
      <c r="C46" s="32" cm="1">
        <f t="array" aca="1" ref="C46" ca="1">INDEX(Data_DBD!$C:$C,$A46)</f>
        <v>3</v>
      </c>
      <c r="D46" s="32" cm="1">
        <f t="array" aca="1" ref="D46" ca="1">INDEX(Data_DBD!$D:$D,$A46)</f>
        <v>13</v>
      </c>
      <c r="E46" s="32" cm="1">
        <f t="array" aca="1" ref="E46" ca="1">INDEX(Data_DBD!$E:$E,$A46)</f>
        <v>1</v>
      </c>
      <c r="F46" s="32" cm="1">
        <f t="array" aca="1" ref="F46" ca="1">INDEX(Data_DBD!$F:$F,$A46)</f>
        <v>2</v>
      </c>
      <c r="H46" s="32">
        <v>38</v>
      </c>
      <c r="I46" s="32">
        <v>52</v>
      </c>
      <c r="J46" s="32">
        <v>3</v>
      </c>
      <c r="K46" s="32">
        <v>4</v>
      </c>
      <c r="L46" s="32">
        <v>1</v>
      </c>
      <c r="M46" s="32">
        <v>1</v>
      </c>
    </row>
    <row r="47" spans="1:13">
      <c r="A47" s="32">
        <f t="shared" ca="1" si="0"/>
        <v>76</v>
      </c>
      <c r="B47" s="32" cm="1">
        <f t="array" aca="1" ref="B47" ca="1">INDEX(Data_DBD!$B:$B,$A47)</f>
        <v>70</v>
      </c>
      <c r="C47" s="32" cm="1">
        <f t="array" aca="1" ref="C47" ca="1">INDEX(Data_DBD!$C:$C,$A47)</f>
        <v>2</v>
      </c>
      <c r="D47" s="32" cm="1">
        <f t="array" aca="1" ref="D47" ca="1">INDEX(Data_DBD!$D:$D,$A47)</f>
        <v>10</v>
      </c>
      <c r="E47" s="32" cm="1">
        <f t="array" aca="1" ref="E47" ca="1">INDEX(Data_DBD!$E:$E,$A47)</f>
        <v>0</v>
      </c>
      <c r="F47" s="32" cm="1">
        <f t="array" aca="1" ref="F47" ca="1">INDEX(Data_DBD!$F:$F,$A47)</f>
        <v>2</v>
      </c>
      <c r="H47" s="32">
        <v>130</v>
      </c>
      <c r="I47" s="32">
        <v>12</v>
      </c>
      <c r="J47" s="32">
        <v>4</v>
      </c>
      <c r="K47" s="32">
        <v>33</v>
      </c>
      <c r="L47" s="32">
        <v>0</v>
      </c>
      <c r="M47" s="32">
        <v>3</v>
      </c>
    </row>
    <row r="48" spans="1:13">
      <c r="A48" s="32">
        <f t="shared" ca="1" si="0"/>
        <v>57</v>
      </c>
      <c r="B48" s="32" cm="1">
        <f t="array" aca="1" ref="B48" ca="1">INDEX(Data_DBD!$B:$B,$A48)</f>
        <v>2</v>
      </c>
      <c r="C48" s="32" cm="1">
        <f t="array" aca="1" ref="C48" ca="1">INDEX(Data_DBD!$C:$C,$A48)</f>
        <v>2</v>
      </c>
      <c r="D48" s="32" cm="1">
        <f t="array" aca="1" ref="D48" ca="1">INDEX(Data_DBD!$D:$D,$A48)</f>
        <v>15</v>
      </c>
      <c r="E48" s="32" cm="1">
        <f t="array" aca="1" ref="E48" ca="1">INDEX(Data_DBD!$E:$E,$A48)</f>
        <v>1</v>
      </c>
      <c r="F48" s="32" cm="1">
        <f t="array" aca="1" ref="F48" ca="1">INDEX(Data_DBD!$F:$F,$A48)</f>
        <v>2</v>
      </c>
      <c r="H48" s="32">
        <v>54</v>
      </c>
      <c r="I48" s="32">
        <v>7</v>
      </c>
      <c r="J48" s="32">
        <v>3</v>
      </c>
      <c r="K48" s="32">
        <v>15</v>
      </c>
      <c r="L48" s="32">
        <v>0</v>
      </c>
      <c r="M48" s="32">
        <v>2</v>
      </c>
    </row>
    <row r="49" spans="1:13">
      <c r="A49" s="32">
        <f t="shared" ca="1" si="0"/>
        <v>29</v>
      </c>
      <c r="B49" s="32" cm="1">
        <f t="array" aca="1" ref="B49" ca="1">INDEX(Data_DBD!$B:$B,$A49)</f>
        <v>19</v>
      </c>
      <c r="C49" s="32" cm="1">
        <f t="array" aca="1" ref="C49" ca="1">INDEX(Data_DBD!$C:$C,$A49)</f>
        <v>2</v>
      </c>
      <c r="D49" s="32" cm="1">
        <f t="array" aca="1" ref="D49" ca="1">INDEX(Data_DBD!$D:$D,$A49)</f>
        <v>14</v>
      </c>
      <c r="E49" s="32" cm="1">
        <f t="array" aca="1" ref="E49" ca="1">INDEX(Data_DBD!$E:$E,$A49)</f>
        <v>1</v>
      </c>
      <c r="F49" s="32" cm="1">
        <f t="array" aca="1" ref="F49" ca="1">INDEX(Data_DBD!$F:$F,$A49)</f>
        <v>2</v>
      </c>
      <c r="H49" s="32">
        <v>117</v>
      </c>
      <c r="I49" s="32">
        <v>49</v>
      </c>
      <c r="J49" s="32">
        <v>4</v>
      </c>
      <c r="K49" s="32">
        <v>33</v>
      </c>
      <c r="L49" s="32">
        <v>1</v>
      </c>
      <c r="M49" s="32">
        <v>3</v>
      </c>
    </row>
    <row r="50" spans="1:13">
      <c r="A50" s="32">
        <f t="shared" ca="1" si="0"/>
        <v>162</v>
      </c>
      <c r="B50" s="32" cm="1">
        <f t="array" aca="1" ref="B50" ca="1">INDEX(Data_DBD!$B:$B,$A50)</f>
        <v>22</v>
      </c>
      <c r="C50" s="32" cm="1">
        <f t="array" aca="1" ref="C50" ca="1">INDEX(Data_DBD!$C:$C,$A50)</f>
        <v>3</v>
      </c>
      <c r="D50" s="32" cm="1">
        <f t="array" aca="1" ref="D50" ca="1">INDEX(Data_DBD!$D:$D,$A50)</f>
        <v>3</v>
      </c>
      <c r="E50" s="32" cm="1">
        <f t="array" aca="1" ref="E50" ca="1">INDEX(Data_DBD!$E:$E,$A50)</f>
        <v>1</v>
      </c>
      <c r="F50" s="32" cm="1">
        <f t="array" aca="1" ref="F50" ca="1">INDEX(Data_DBD!$F:$F,$A50)</f>
        <v>1</v>
      </c>
      <c r="H50" s="32">
        <v>65</v>
      </c>
      <c r="I50" s="32">
        <v>49</v>
      </c>
      <c r="J50" s="32">
        <v>3</v>
      </c>
      <c r="K50" s="32">
        <v>15</v>
      </c>
      <c r="L50" s="32">
        <v>0</v>
      </c>
      <c r="M50" s="32">
        <v>2</v>
      </c>
    </row>
    <row r="51" spans="1:13">
      <c r="A51" s="32">
        <f t="shared" ca="1" si="0"/>
        <v>15</v>
      </c>
      <c r="B51" s="32" cm="1">
        <f t="array" aca="1" ref="B51" ca="1">INDEX(Data_DBD!$B:$B,$A51)</f>
        <v>21</v>
      </c>
      <c r="C51" s="32" cm="1">
        <f t="array" aca="1" ref="C51" ca="1">INDEX(Data_DBD!$C:$C,$A51)</f>
        <v>2</v>
      </c>
      <c r="D51" s="32" cm="1">
        <f t="array" aca="1" ref="D51" ca="1">INDEX(Data_DBD!$D:$D,$A51)</f>
        <v>7</v>
      </c>
      <c r="E51" s="32" cm="1">
        <f t="array" aca="1" ref="E51" ca="1">INDEX(Data_DBD!$E:$E,$A51)</f>
        <v>0</v>
      </c>
      <c r="F51" s="32" cm="1">
        <f t="array" aca="1" ref="F51" ca="1">INDEX(Data_DBD!$F:$F,$A51)</f>
        <v>1</v>
      </c>
      <c r="H51" s="32">
        <v>124</v>
      </c>
      <c r="I51" s="32">
        <v>24</v>
      </c>
      <c r="J51" s="32">
        <v>3</v>
      </c>
      <c r="K51" s="32">
        <v>33</v>
      </c>
      <c r="L51" s="32">
        <v>1</v>
      </c>
      <c r="M51" s="32">
        <v>3</v>
      </c>
    </row>
    <row r="52" spans="1:13">
      <c r="A52" s="32">
        <f t="shared" ca="1" si="0"/>
        <v>58</v>
      </c>
      <c r="B52" s="32" cm="1">
        <f t="array" aca="1" ref="B52" ca="1">INDEX(Data_DBD!$B:$B,$A52)</f>
        <v>17</v>
      </c>
      <c r="C52" s="32" cm="1">
        <f t="array" aca="1" ref="C52" ca="1">INDEX(Data_DBD!$C:$C,$A52)</f>
        <v>3</v>
      </c>
      <c r="D52" s="32" cm="1">
        <f t="array" aca="1" ref="D52" ca="1">INDEX(Data_DBD!$D:$D,$A52)</f>
        <v>15</v>
      </c>
      <c r="E52" s="32" cm="1">
        <f t="array" aca="1" ref="E52" ca="1">INDEX(Data_DBD!$E:$E,$A52)</f>
        <v>0</v>
      </c>
      <c r="F52" s="32" cm="1">
        <f t="array" aca="1" ref="F52" ca="1">INDEX(Data_DBD!$F:$F,$A52)</f>
        <v>2</v>
      </c>
      <c r="H52" s="32">
        <v>160</v>
      </c>
      <c r="I52" s="32">
        <v>16</v>
      </c>
      <c r="J52" s="32">
        <v>3</v>
      </c>
      <c r="K52" s="32">
        <v>21</v>
      </c>
      <c r="L52" s="32">
        <v>0</v>
      </c>
      <c r="M52" s="32">
        <v>3</v>
      </c>
    </row>
    <row r="53" spans="1:13">
      <c r="A53" s="32">
        <f t="shared" ca="1" si="0"/>
        <v>29</v>
      </c>
      <c r="B53" s="32" cm="1">
        <f t="array" aca="1" ref="B53" ca="1">INDEX(Data_DBD!$B:$B,$A53)</f>
        <v>19</v>
      </c>
      <c r="C53" s="32" cm="1">
        <f t="array" aca="1" ref="C53" ca="1">INDEX(Data_DBD!$C:$C,$A53)</f>
        <v>2</v>
      </c>
      <c r="D53" s="32" cm="1">
        <f t="array" aca="1" ref="D53" ca="1">INDEX(Data_DBD!$D:$D,$A53)</f>
        <v>14</v>
      </c>
      <c r="E53" s="32" cm="1">
        <f t="array" aca="1" ref="E53" ca="1">INDEX(Data_DBD!$E:$E,$A53)</f>
        <v>1</v>
      </c>
      <c r="F53" s="32" cm="1">
        <f t="array" aca="1" ref="F53" ca="1">INDEX(Data_DBD!$F:$F,$A53)</f>
        <v>2</v>
      </c>
      <c r="H53" s="32">
        <v>127</v>
      </c>
      <c r="I53" s="32">
        <v>21</v>
      </c>
      <c r="J53" s="32">
        <v>2</v>
      </c>
      <c r="K53" s="32">
        <v>33</v>
      </c>
      <c r="L53" s="32">
        <v>0</v>
      </c>
      <c r="M53" s="32">
        <v>3</v>
      </c>
    </row>
    <row r="54" spans="1:13">
      <c r="A54" s="32">
        <f t="shared" ca="1" si="0"/>
        <v>8</v>
      </c>
      <c r="B54" s="32" cm="1">
        <f t="array" aca="1" ref="B54" ca="1">INDEX(Data_DBD!$B:$B,$A54)</f>
        <v>4</v>
      </c>
      <c r="C54" s="32" cm="1">
        <f t="array" aca="1" ref="C54" ca="1">INDEX(Data_DBD!$C:$C,$A54)</f>
        <v>2</v>
      </c>
      <c r="D54" s="32" cm="1">
        <f t="array" aca="1" ref="D54" ca="1">INDEX(Data_DBD!$D:$D,$A54)</f>
        <v>12</v>
      </c>
      <c r="E54" s="32" cm="1">
        <f t="array" aca="1" ref="E54" ca="1">INDEX(Data_DBD!$E:$E,$A54)</f>
        <v>0</v>
      </c>
      <c r="F54" s="32" cm="1">
        <f t="array" aca="1" ref="F54" ca="1">INDEX(Data_DBD!$F:$F,$A54)</f>
        <v>2</v>
      </c>
      <c r="H54" s="32">
        <v>103</v>
      </c>
      <c r="I54" s="32">
        <v>22</v>
      </c>
      <c r="J54" s="32">
        <v>5</v>
      </c>
      <c r="K54" s="32">
        <v>18</v>
      </c>
      <c r="L54" s="32">
        <v>0</v>
      </c>
      <c r="M54" s="32">
        <v>3</v>
      </c>
    </row>
    <row r="55" spans="1:13">
      <c r="A55" s="32">
        <f t="shared" ca="1" si="0"/>
        <v>112</v>
      </c>
      <c r="B55" s="32" cm="1">
        <f t="array" aca="1" ref="B55" ca="1">INDEX(Data_DBD!$B:$B,$A55)</f>
        <v>61</v>
      </c>
      <c r="C55" s="32" cm="1">
        <f t="array" aca="1" ref="C55" ca="1">INDEX(Data_DBD!$C:$C,$A55)</f>
        <v>3</v>
      </c>
      <c r="D55" s="32" cm="1">
        <f t="array" aca="1" ref="D55" ca="1">INDEX(Data_DBD!$D:$D,$A55)</f>
        <v>33</v>
      </c>
      <c r="E55" s="32" cm="1">
        <f t="array" aca="1" ref="E55" ca="1">INDEX(Data_DBD!$E:$E,$A55)</f>
        <v>1</v>
      </c>
      <c r="F55" s="32" cm="1">
        <f t="array" aca="1" ref="F55" ca="1">INDEX(Data_DBD!$F:$F,$A55)</f>
        <v>3</v>
      </c>
      <c r="H55" s="32">
        <v>132</v>
      </c>
      <c r="I55" s="32">
        <v>10</v>
      </c>
      <c r="J55" s="32">
        <v>3</v>
      </c>
      <c r="K55" s="32">
        <v>33</v>
      </c>
      <c r="L55" s="32">
        <v>1</v>
      </c>
      <c r="M55" s="32">
        <v>3</v>
      </c>
    </row>
    <row r="56" spans="1:13">
      <c r="A56" s="32">
        <f t="shared" ca="1" si="0"/>
        <v>132</v>
      </c>
      <c r="B56" s="32" cm="1">
        <f t="array" aca="1" ref="B56" ca="1">INDEX(Data_DBD!$B:$B,$A56)</f>
        <v>10</v>
      </c>
      <c r="C56" s="32" cm="1">
        <f t="array" aca="1" ref="C56" ca="1">INDEX(Data_DBD!$C:$C,$A56)</f>
        <v>3</v>
      </c>
      <c r="D56" s="32" cm="1">
        <f t="array" aca="1" ref="D56" ca="1">INDEX(Data_DBD!$D:$D,$A56)</f>
        <v>33</v>
      </c>
      <c r="E56" s="32" cm="1">
        <f t="array" aca="1" ref="E56" ca="1">INDEX(Data_DBD!$E:$E,$A56)</f>
        <v>1</v>
      </c>
      <c r="F56" s="32" cm="1">
        <f t="array" aca="1" ref="F56" ca="1">INDEX(Data_DBD!$F:$F,$A56)</f>
        <v>3</v>
      </c>
      <c r="H56" s="32">
        <v>141</v>
      </c>
      <c r="I56" s="32">
        <v>36</v>
      </c>
      <c r="J56" s="32">
        <v>2</v>
      </c>
      <c r="K56" s="32">
        <v>21</v>
      </c>
      <c r="L56" s="32">
        <v>0</v>
      </c>
      <c r="M56" s="32">
        <v>3</v>
      </c>
    </row>
    <row r="57" spans="1:13">
      <c r="A57" s="32">
        <f t="shared" ca="1" si="0"/>
        <v>150</v>
      </c>
      <c r="B57" s="32" cm="1">
        <f t="array" aca="1" ref="B57" ca="1">INDEX(Data_DBD!$B:$B,$A57)</f>
        <v>61</v>
      </c>
      <c r="C57" s="32" cm="1">
        <f t="array" aca="1" ref="C57" ca="1">INDEX(Data_DBD!$C:$C,$A57)</f>
        <v>5</v>
      </c>
      <c r="D57" s="32" cm="1">
        <f t="array" aca="1" ref="D57" ca="1">INDEX(Data_DBD!$D:$D,$A57)</f>
        <v>21</v>
      </c>
      <c r="E57" s="32" cm="1">
        <f t="array" aca="1" ref="E57" ca="1">INDEX(Data_DBD!$E:$E,$A57)</f>
        <v>1</v>
      </c>
      <c r="F57" s="32" cm="1">
        <f t="array" aca="1" ref="F57" ca="1">INDEX(Data_DBD!$F:$F,$A57)</f>
        <v>3</v>
      </c>
      <c r="H57" s="32">
        <v>39</v>
      </c>
      <c r="I57" s="32">
        <v>12</v>
      </c>
      <c r="J57" s="32">
        <v>5</v>
      </c>
      <c r="K57" s="32">
        <v>13</v>
      </c>
      <c r="L57" s="32">
        <v>1</v>
      </c>
      <c r="M57" s="32">
        <v>2</v>
      </c>
    </row>
    <row r="58" spans="1:13">
      <c r="A58" s="32">
        <f t="shared" ca="1" si="0"/>
        <v>110</v>
      </c>
      <c r="B58" s="32" cm="1">
        <f t="array" aca="1" ref="B58" ca="1">INDEX(Data_DBD!$B:$B,$A58)</f>
        <v>42</v>
      </c>
      <c r="C58" s="32" cm="1">
        <f t="array" aca="1" ref="C58" ca="1">INDEX(Data_DBD!$C:$C,$A58)</f>
        <v>2</v>
      </c>
      <c r="D58" s="32" cm="1">
        <f t="array" aca="1" ref="D58" ca="1">INDEX(Data_DBD!$D:$D,$A58)</f>
        <v>33</v>
      </c>
      <c r="E58" s="32" cm="1">
        <f t="array" aca="1" ref="E58" ca="1">INDEX(Data_DBD!$E:$E,$A58)</f>
        <v>1</v>
      </c>
      <c r="F58" s="32" cm="1">
        <f t="array" aca="1" ref="F58" ca="1">INDEX(Data_DBD!$F:$F,$A58)</f>
        <v>3</v>
      </c>
      <c r="H58" s="32">
        <v>30</v>
      </c>
      <c r="I58" s="32" t="s">
        <v>37</v>
      </c>
      <c r="J58" s="32">
        <v>2</v>
      </c>
      <c r="K58" s="32">
        <v>14</v>
      </c>
      <c r="L58" s="32">
        <v>1</v>
      </c>
      <c r="M58" s="32">
        <v>2</v>
      </c>
    </row>
    <row r="59" spans="1:13">
      <c r="A59" s="32">
        <f t="shared" ca="1" si="0"/>
        <v>138</v>
      </c>
      <c r="B59" s="32" cm="1">
        <f t="array" aca="1" ref="B59" ca="1">INDEX(Data_DBD!$B:$B,$A59)</f>
        <v>13</v>
      </c>
      <c r="C59" s="32" cm="1">
        <f t="array" aca="1" ref="C59" ca="1">INDEX(Data_DBD!$C:$C,$A59)</f>
        <v>3</v>
      </c>
      <c r="D59" s="32" cm="1">
        <f t="array" aca="1" ref="D59" ca="1">INDEX(Data_DBD!$D:$D,$A59)</f>
        <v>33</v>
      </c>
      <c r="E59" s="32" cm="1">
        <f t="array" aca="1" ref="E59" ca="1">INDEX(Data_DBD!$E:$E,$A59)</f>
        <v>1</v>
      </c>
      <c r="F59" s="32" cm="1">
        <f t="array" aca="1" ref="F59" ca="1">INDEX(Data_DBD!$F:$F,$A59)</f>
        <v>3</v>
      </c>
      <c r="H59" s="32">
        <v>25</v>
      </c>
      <c r="I59" s="32">
        <v>81</v>
      </c>
      <c r="J59" s="32">
        <v>5</v>
      </c>
      <c r="K59" s="32">
        <v>14</v>
      </c>
      <c r="L59" s="32">
        <v>0</v>
      </c>
      <c r="M59" s="32">
        <v>2</v>
      </c>
    </row>
    <row r="60" spans="1:13">
      <c r="A60" s="32">
        <f t="shared" ca="1" si="0"/>
        <v>76</v>
      </c>
      <c r="B60" s="32" cm="1">
        <f t="array" aca="1" ref="B60" ca="1">INDEX(Data_DBD!$B:$B,$A60)</f>
        <v>70</v>
      </c>
      <c r="C60" s="32" cm="1">
        <f t="array" aca="1" ref="C60" ca="1">INDEX(Data_DBD!$C:$C,$A60)</f>
        <v>2</v>
      </c>
      <c r="D60" s="32" cm="1">
        <f t="array" aca="1" ref="D60" ca="1">INDEX(Data_DBD!$D:$D,$A60)</f>
        <v>10</v>
      </c>
      <c r="E60" s="32" cm="1">
        <f t="array" aca="1" ref="E60" ca="1">INDEX(Data_DBD!$E:$E,$A60)</f>
        <v>0</v>
      </c>
      <c r="F60" s="32" cm="1">
        <f t="array" aca="1" ref="F60" ca="1">INDEX(Data_DBD!$F:$F,$A60)</f>
        <v>2</v>
      </c>
      <c r="H60" s="32">
        <v>73</v>
      </c>
      <c r="I60" s="32">
        <v>15</v>
      </c>
      <c r="J60" s="32">
        <v>3</v>
      </c>
      <c r="K60" s="32">
        <v>10</v>
      </c>
      <c r="L60" s="32">
        <v>1</v>
      </c>
      <c r="M60" s="32">
        <v>2</v>
      </c>
    </row>
    <row r="61" spans="1:13">
      <c r="A61" s="32">
        <f t="shared" ca="1" si="0"/>
        <v>156</v>
      </c>
      <c r="B61" s="32" cm="1">
        <f t="array" aca="1" ref="B61" ca="1">INDEX(Data_DBD!$B:$B,$A61)</f>
        <v>5</v>
      </c>
      <c r="C61" s="32" cm="1">
        <f t="array" aca="1" ref="C61" ca="1">INDEX(Data_DBD!$C:$C,$A61)</f>
        <v>2</v>
      </c>
      <c r="D61" s="32" cm="1">
        <f t="array" aca="1" ref="D61" ca="1">INDEX(Data_DBD!$D:$D,$A61)</f>
        <v>21</v>
      </c>
      <c r="E61" s="32" cm="1">
        <f t="array" aca="1" ref="E61" ca="1">INDEX(Data_DBD!$E:$E,$A61)</f>
        <v>0</v>
      </c>
      <c r="F61" s="32" cm="1">
        <f t="array" aca="1" ref="F61" ca="1">INDEX(Data_DBD!$F:$F,$A61)</f>
        <v>3</v>
      </c>
      <c r="H61" s="32">
        <v>64</v>
      </c>
      <c r="I61" s="32">
        <v>35</v>
      </c>
      <c r="J61" s="32">
        <v>1</v>
      </c>
      <c r="K61" s="32">
        <v>15</v>
      </c>
      <c r="L61" s="32">
        <v>0</v>
      </c>
      <c r="M61" s="32">
        <v>2</v>
      </c>
    </row>
    <row r="62" spans="1:13">
      <c r="A62" s="32">
        <f t="shared" ca="1" si="0"/>
        <v>44</v>
      </c>
      <c r="B62" s="32" cm="1">
        <f t="array" aca="1" ref="B62" ca="1">INDEX(Data_DBD!$B:$B,$A62)</f>
        <v>28</v>
      </c>
      <c r="C62" s="32" cm="1">
        <f t="array" aca="1" ref="C62" ca="1">INDEX(Data_DBD!$C:$C,$A62)</f>
        <v>5</v>
      </c>
      <c r="D62" s="32" cm="1">
        <f t="array" aca="1" ref="D62" ca="1">INDEX(Data_DBD!$D:$D,$A62)</f>
        <v>13</v>
      </c>
      <c r="E62" s="32" cm="1">
        <f t="array" aca="1" ref="E62" ca="1">INDEX(Data_DBD!$E:$E,$A62)</f>
        <v>1</v>
      </c>
      <c r="F62" s="32" cm="1">
        <f t="array" aca="1" ref="F62" ca="1">INDEX(Data_DBD!$F:$F,$A62)</f>
        <v>2</v>
      </c>
      <c r="H62" s="32">
        <v>68</v>
      </c>
      <c r="I62" s="32">
        <v>44</v>
      </c>
      <c r="J62" s="32">
        <v>5</v>
      </c>
      <c r="K62" s="32">
        <v>10</v>
      </c>
      <c r="L62" s="32">
        <v>0</v>
      </c>
      <c r="M62" s="32">
        <v>2</v>
      </c>
    </row>
    <row r="63" spans="1:13">
      <c r="A63" s="32">
        <f t="shared" ca="1" si="0"/>
        <v>38</v>
      </c>
      <c r="B63" s="32" cm="1">
        <f t="array" aca="1" ref="B63" ca="1">INDEX(Data_DBD!$B:$B,$A63)</f>
        <v>52</v>
      </c>
      <c r="C63" s="32" cm="1">
        <f t="array" aca="1" ref="C63" ca="1">INDEX(Data_DBD!$C:$C,$A63)</f>
        <v>3</v>
      </c>
      <c r="D63" s="32" cm="1">
        <f t="array" aca="1" ref="D63" ca="1">INDEX(Data_DBD!$D:$D,$A63)</f>
        <v>4</v>
      </c>
      <c r="E63" s="32" cm="1">
        <f t="array" aca="1" ref="E63" ca="1">INDEX(Data_DBD!$E:$E,$A63)</f>
        <v>1</v>
      </c>
      <c r="F63" s="32" cm="1">
        <f t="array" aca="1" ref="F63" ca="1">INDEX(Data_DBD!$F:$F,$A63)</f>
        <v>1</v>
      </c>
      <c r="H63" s="32">
        <v>60</v>
      </c>
      <c r="I63" s="32">
        <v>68</v>
      </c>
      <c r="J63" s="32">
        <v>4</v>
      </c>
      <c r="K63" s="32">
        <v>15</v>
      </c>
      <c r="L63" s="32">
        <v>0</v>
      </c>
      <c r="M63" s="32">
        <v>2</v>
      </c>
    </row>
    <row r="64" spans="1:13">
      <c r="A64" s="32">
        <f t="shared" ca="1" si="0"/>
        <v>107</v>
      </c>
      <c r="B64" s="32" cm="1">
        <f t="array" aca="1" ref="B64" ca="1">INDEX(Data_DBD!$B:$B,$A64)</f>
        <v>48</v>
      </c>
      <c r="C64" s="32" cm="1">
        <f t="array" aca="1" ref="C64" ca="1">INDEX(Data_DBD!$C:$C,$A64)</f>
        <v>5</v>
      </c>
      <c r="D64" s="32" cm="1">
        <f t="array" aca="1" ref="D64" ca="1">INDEX(Data_DBD!$D:$D,$A64)</f>
        <v>18</v>
      </c>
      <c r="E64" s="32" cm="1">
        <f t="array" aca="1" ref="E64" ca="1">INDEX(Data_DBD!$E:$E,$A64)</f>
        <v>0</v>
      </c>
      <c r="F64" s="32" cm="1">
        <f t="array" aca="1" ref="F64" ca="1">INDEX(Data_DBD!$F:$F,$A64)</f>
        <v>3</v>
      </c>
      <c r="H64" s="32">
        <v>66</v>
      </c>
      <c r="I64" s="32">
        <v>21</v>
      </c>
      <c r="J64" s="32">
        <v>5</v>
      </c>
      <c r="K64" s="32">
        <v>15</v>
      </c>
      <c r="L64" s="32">
        <v>1</v>
      </c>
      <c r="M64" s="32">
        <v>2</v>
      </c>
    </row>
    <row r="65" spans="1:13">
      <c r="A65" s="32">
        <f t="shared" ca="1" si="0"/>
        <v>142</v>
      </c>
      <c r="B65" s="32" cm="1">
        <f t="array" aca="1" ref="B65" ca="1">INDEX(Data_DBD!$B:$B,$A65)</f>
        <v>39</v>
      </c>
      <c r="C65" s="32" cm="1">
        <f t="array" aca="1" ref="C65" ca="1">INDEX(Data_DBD!$C:$C,$A65)</f>
        <v>2</v>
      </c>
      <c r="D65" s="32" cm="1">
        <f t="array" aca="1" ref="D65" ca="1">INDEX(Data_DBD!$D:$D,$A65)</f>
        <v>21</v>
      </c>
      <c r="E65" s="32" cm="1">
        <f t="array" aca="1" ref="E65" ca="1">INDEX(Data_DBD!$E:$E,$A65)</f>
        <v>1</v>
      </c>
      <c r="F65" s="32" cm="1">
        <f t="array" aca="1" ref="F65" ca="1">INDEX(Data_DBD!$F:$F,$A65)</f>
        <v>3</v>
      </c>
      <c r="H65" s="32">
        <v>19</v>
      </c>
      <c r="I65" s="32">
        <v>8</v>
      </c>
      <c r="J65" s="32">
        <v>4</v>
      </c>
      <c r="K65" s="32">
        <v>7</v>
      </c>
      <c r="L65" s="32">
        <v>0</v>
      </c>
      <c r="M65" s="32">
        <v>1</v>
      </c>
    </row>
    <row r="66" spans="1:13">
      <c r="A66" s="32">
        <f t="shared" ca="1" si="0"/>
        <v>136</v>
      </c>
      <c r="B66" s="32" cm="1">
        <f t="array" aca="1" ref="B66" ca="1">INDEX(Data_DBD!$B:$B,$A66)</f>
        <v>6</v>
      </c>
      <c r="C66" s="32" cm="1">
        <f t="array" aca="1" ref="C66" ca="1">INDEX(Data_DBD!$C:$C,$A66)</f>
        <v>2</v>
      </c>
      <c r="D66" s="32" cm="1">
        <f t="array" aca="1" ref="D66" ca="1">INDEX(Data_DBD!$D:$D,$A66)</f>
        <v>33</v>
      </c>
      <c r="E66" s="32" cm="1">
        <f t="array" aca="1" ref="E66" ca="1">INDEX(Data_DBD!$E:$E,$A66)</f>
        <v>0</v>
      </c>
      <c r="F66" s="32" cm="1">
        <f t="array" aca="1" ref="F66" ca="1">INDEX(Data_DBD!$F:$F,$A66)</f>
        <v>3</v>
      </c>
      <c r="H66" s="32">
        <v>88</v>
      </c>
      <c r="I66" s="32">
        <v>20</v>
      </c>
      <c r="J66" s="32">
        <v>4</v>
      </c>
      <c r="K66" s="32">
        <v>13</v>
      </c>
      <c r="L66" s="32">
        <v>1</v>
      </c>
      <c r="M66" s="32">
        <v>2</v>
      </c>
    </row>
    <row r="67" spans="1:13">
      <c r="A67" s="32">
        <f t="shared" ref="A67:A130" ca="1" si="1">RANDBETWEEN(2,164)</f>
        <v>125</v>
      </c>
      <c r="B67" s="32" cm="1">
        <f t="array" aca="1" ref="B67" ca="1">INDEX(Data_DBD!$B:$B,$A67)</f>
        <v>39</v>
      </c>
      <c r="C67" s="32" cm="1">
        <f t="array" aca="1" ref="C67" ca="1">INDEX(Data_DBD!$C:$C,$A67)</f>
        <v>4</v>
      </c>
      <c r="D67" s="32" cm="1">
        <f t="array" aca="1" ref="D67" ca="1">INDEX(Data_DBD!$D:$D,$A67)</f>
        <v>33</v>
      </c>
      <c r="E67" s="32" cm="1">
        <f t="array" aca="1" ref="E67" ca="1">INDEX(Data_DBD!$E:$E,$A67)</f>
        <v>0</v>
      </c>
      <c r="F67" s="32" cm="1">
        <f t="array" aca="1" ref="F67" ca="1">INDEX(Data_DBD!$F:$F,$A67)</f>
        <v>3</v>
      </c>
      <c r="H67" s="32">
        <v>28</v>
      </c>
      <c r="I67" s="32">
        <v>22</v>
      </c>
      <c r="J67" s="32">
        <v>2</v>
      </c>
      <c r="K67" s="32">
        <v>14</v>
      </c>
      <c r="L67" s="32">
        <v>1</v>
      </c>
      <c r="M67" s="32">
        <v>2</v>
      </c>
    </row>
    <row r="68" spans="1:13">
      <c r="A68" s="32">
        <f t="shared" ca="1" si="1"/>
        <v>108</v>
      </c>
      <c r="B68" s="32" cm="1">
        <f t="array" aca="1" ref="B68" ca="1">INDEX(Data_DBD!$B:$B,$A68)</f>
        <v>69</v>
      </c>
      <c r="C68" s="32" cm="1">
        <f t="array" aca="1" ref="C68" ca="1">INDEX(Data_DBD!$C:$C,$A68)</f>
        <v>7</v>
      </c>
      <c r="D68" s="32" cm="1">
        <f t="array" aca="1" ref="D68" ca="1">INDEX(Data_DBD!$D:$D,$A68)</f>
        <v>33</v>
      </c>
      <c r="E68" s="32" cm="1">
        <f t="array" aca="1" ref="E68" ca="1">INDEX(Data_DBD!$E:$E,$A68)</f>
        <v>1</v>
      </c>
      <c r="F68" s="32" cm="1">
        <f t="array" aca="1" ref="F68" ca="1">INDEX(Data_DBD!$F:$F,$A68)</f>
        <v>3</v>
      </c>
      <c r="H68" s="32">
        <v>50</v>
      </c>
      <c r="I68" s="32">
        <v>19</v>
      </c>
      <c r="J68" s="32">
        <v>5</v>
      </c>
      <c r="K68" s="32">
        <v>13</v>
      </c>
      <c r="L68" s="32">
        <v>0</v>
      </c>
      <c r="M68" s="32">
        <v>2</v>
      </c>
    </row>
    <row r="69" spans="1:13">
      <c r="A69" s="32">
        <f t="shared" ca="1" si="1"/>
        <v>104</v>
      </c>
      <c r="B69" s="32" cm="1">
        <f t="array" aca="1" ref="B69" ca="1">INDEX(Data_DBD!$B:$B,$A69)</f>
        <v>37</v>
      </c>
      <c r="C69" s="32" cm="1">
        <f t="array" aca="1" ref="C69" ca="1">INDEX(Data_DBD!$C:$C,$A69)</f>
        <v>4</v>
      </c>
      <c r="D69" s="32" cm="1">
        <f t="array" aca="1" ref="D69" ca="1">INDEX(Data_DBD!$D:$D,$A69)</f>
        <v>18</v>
      </c>
      <c r="E69" s="32" cm="1">
        <f t="array" aca="1" ref="E69" ca="1">INDEX(Data_DBD!$E:$E,$A69)</f>
        <v>1</v>
      </c>
      <c r="F69" s="32" cm="1">
        <f t="array" aca="1" ref="F69" ca="1">INDEX(Data_DBD!$F:$F,$A69)</f>
        <v>3</v>
      </c>
      <c r="H69" s="32">
        <v>118</v>
      </c>
      <c r="I69" s="32">
        <v>67</v>
      </c>
      <c r="J69" s="32">
        <v>4</v>
      </c>
      <c r="K69" s="32">
        <v>33</v>
      </c>
      <c r="L69" s="32">
        <v>1</v>
      </c>
      <c r="M69" s="32">
        <v>3</v>
      </c>
    </row>
    <row r="70" spans="1:13">
      <c r="A70" s="32">
        <f t="shared" ca="1" si="1"/>
        <v>97</v>
      </c>
      <c r="B70" s="32" cm="1">
        <f t="array" aca="1" ref="B70" ca="1">INDEX(Data_DBD!$B:$B,$A70)</f>
        <v>16</v>
      </c>
      <c r="C70" s="32" cm="1">
        <f t="array" aca="1" ref="C70" ca="1">INDEX(Data_DBD!$C:$C,$A70)</f>
        <v>2</v>
      </c>
      <c r="D70" s="32" cm="1">
        <f t="array" aca="1" ref="D70" ca="1">INDEX(Data_DBD!$D:$D,$A70)</f>
        <v>18</v>
      </c>
      <c r="E70" s="32" cm="1">
        <f t="array" aca="1" ref="E70" ca="1">INDEX(Data_DBD!$E:$E,$A70)</f>
        <v>1</v>
      </c>
      <c r="F70" s="32" cm="1">
        <f t="array" aca="1" ref="F70" ca="1">INDEX(Data_DBD!$F:$F,$A70)</f>
        <v>3</v>
      </c>
      <c r="H70" s="32">
        <v>5</v>
      </c>
      <c r="I70" s="32">
        <v>18</v>
      </c>
      <c r="J70" s="32">
        <v>2</v>
      </c>
      <c r="K70" s="32">
        <v>12</v>
      </c>
      <c r="L70" s="32">
        <v>1</v>
      </c>
      <c r="M70" s="32">
        <v>2</v>
      </c>
    </row>
    <row r="71" spans="1:13">
      <c r="A71" s="32">
        <f t="shared" ca="1" si="1"/>
        <v>72</v>
      </c>
      <c r="B71" s="32" cm="1">
        <f t="array" aca="1" ref="B71" ca="1">INDEX(Data_DBD!$B:$B,$A71)</f>
        <v>3</v>
      </c>
      <c r="C71" s="32" cm="1">
        <f t="array" aca="1" ref="C71" ca="1">INDEX(Data_DBD!$C:$C,$A71)</f>
        <v>5</v>
      </c>
      <c r="D71" s="32" cm="1">
        <f t="array" aca="1" ref="D71" ca="1">INDEX(Data_DBD!$D:$D,$A71)</f>
        <v>10</v>
      </c>
      <c r="E71" s="32" cm="1">
        <f t="array" aca="1" ref="E71" ca="1">INDEX(Data_DBD!$E:$E,$A71)</f>
        <v>1</v>
      </c>
      <c r="F71" s="32" cm="1">
        <f t="array" aca="1" ref="F71" ca="1">INDEX(Data_DBD!$F:$F,$A71)</f>
        <v>2</v>
      </c>
      <c r="H71" s="32">
        <v>5</v>
      </c>
      <c r="I71" s="32">
        <v>18</v>
      </c>
      <c r="J71" s="32">
        <v>2</v>
      </c>
      <c r="K71" s="32">
        <v>12</v>
      </c>
      <c r="L71" s="32">
        <v>1</v>
      </c>
      <c r="M71" s="32">
        <v>2</v>
      </c>
    </row>
    <row r="72" spans="1:13">
      <c r="A72" s="32">
        <f t="shared" ca="1" si="1"/>
        <v>128</v>
      </c>
      <c r="B72" s="32" cm="1">
        <f t="array" aca="1" ref="B72" ca="1">INDEX(Data_DBD!$B:$B,$A72)</f>
        <v>38</v>
      </c>
      <c r="C72" s="32" cm="1">
        <f t="array" aca="1" ref="C72" ca="1">INDEX(Data_DBD!$C:$C,$A72)</f>
        <v>2</v>
      </c>
      <c r="D72" s="32" cm="1">
        <f t="array" aca="1" ref="D72" ca="1">INDEX(Data_DBD!$D:$D,$A72)</f>
        <v>33</v>
      </c>
      <c r="E72" s="32" cm="1">
        <f t="array" aca="1" ref="E72" ca="1">INDEX(Data_DBD!$E:$E,$A72)</f>
        <v>0</v>
      </c>
      <c r="F72" s="32" cm="1">
        <f t="array" aca="1" ref="F72" ca="1">INDEX(Data_DBD!$F:$F,$A72)</f>
        <v>3</v>
      </c>
      <c r="H72" s="32">
        <v>27</v>
      </c>
      <c r="I72" s="32">
        <v>37</v>
      </c>
      <c r="J72" s="32">
        <v>4</v>
      </c>
      <c r="K72" s="32">
        <v>14</v>
      </c>
      <c r="L72" s="32">
        <v>1</v>
      </c>
      <c r="M72" s="32">
        <v>2</v>
      </c>
    </row>
    <row r="73" spans="1:13">
      <c r="A73" s="32">
        <f t="shared" ca="1" si="1"/>
        <v>136</v>
      </c>
      <c r="B73" s="32" cm="1">
        <f t="array" aca="1" ref="B73" ca="1">INDEX(Data_DBD!$B:$B,$A73)</f>
        <v>6</v>
      </c>
      <c r="C73" s="32" cm="1">
        <f t="array" aca="1" ref="C73" ca="1">INDEX(Data_DBD!$C:$C,$A73)</f>
        <v>2</v>
      </c>
      <c r="D73" s="32" cm="1">
        <f t="array" aca="1" ref="D73" ca="1">INDEX(Data_DBD!$D:$D,$A73)</f>
        <v>33</v>
      </c>
      <c r="E73" s="32" cm="1">
        <f t="array" aca="1" ref="E73" ca="1">INDEX(Data_DBD!$E:$E,$A73)</f>
        <v>0</v>
      </c>
      <c r="F73" s="32" cm="1">
        <f t="array" aca="1" ref="F73" ca="1">INDEX(Data_DBD!$F:$F,$A73)</f>
        <v>3</v>
      </c>
      <c r="H73" s="32">
        <v>148</v>
      </c>
      <c r="I73" s="32">
        <v>55</v>
      </c>
      <c r="J73" s="32">
        <v>3</v>
      </c>
      <c r="K73" s="32">
        <v>21</v>
      </c>
      <c r="L73" s="32">
        <v>1</v>
      </c>
      <c r="M73" s="32">
        <v>3</v>
      </c>
    </row>
    <row r="74" spans="1:13">
      <c r="A74" s="32">
        <f t="shared" ca="1" si="1"/>
        <v>131</v>
      </c>
      <c r="B74" s="32" cm="1">
        <f t="array" aca="1" ref="B74" ca="1">INDEX(Data_DBD!$B:$B,$A74)</f>
        <v>10</v>
      </c>
      <c r="C74" s="32" cm="1">
        <f t="array" aca="1" ref="C74" ca="1">INDEX(Data_DBD!$C:$C,$A74)</f>
        <v>2</v>
      </c>
      <c r="D74" s="32" cm="1">
        <f t="array" aca="1" ref="D74" ca="1">INDEX(Data_DBD!$D:$D,$A74)</f>
        <v>33</v>
      </c>
      <c r="E74" s="32" cm="1">
        <f t="array" aca="1" ref="E74" ca="1">INDEX(Data_DBD!$E:$E,$A74)</f>
        <v>0</v>
      </c>
      <c r="F74" s="32" cm="1">
        <f t="array" aca="1" ref="F74" ca="1">INDEX(Data_DBD!$F:$F,$A74)</f>
        <v>3</v>
      </c>
      <c r="H74" s="32">
        <v>108</v>
      </c>
      <c r="I74" s="32">
        <v>69</v>
      </c>
      <c r="J74" s="32">
        <v>7</v>
      </c>
      <c r="K74" s="32">
        <v>33</v>
      </c>
      <c r="L74" s="32">
        <v>1</v>
      </c>
      <c r="M74" s="32">
        <v>3</v>
      </c>
    </row>
    <row r="75" spans="1:13">
      <c r="A75" s="32">
        <f t="shared" ca="1" si="1"/>
        <v>134</v>
      </c>
      <c r="B75" s="32" cm="1">
        <f t="array" aca="1" ref="B75" ca="1">INDEX(Data_DBD!$B:$B,$A75)</f>
        <v>4</v>
      </c>
      <c r="C75" s="32" cm="1">
        <f t="array" aca="1" ref="C75" ca="1">INDEX(Data_DBD!$C:$C,$A75)</f>
        <v>2</v>
      </c>
      <c r="D75" s="32" cm="1">
        <f t="array" aca="1" ref="D75" ca="1">INDEX(Data_DBD!$D:$D,$A75)</f>
        <v>33</v>
      </c>
      <c r="E75" s="32" cm="1">
        <f t="array" aca="1" ref="E75" ca="1">INDEX(Data_DBD!$E:$E,$A75)</f>
        <v>1</v>
      </c>
      <c r="F75" s="32" cm="1">
        <f t="array" aca="1" ref="F75" ca="1">INDEX(Data_DBD!$F:$F,$A75)</f>
        <v>3</v>
      </c>
      <c r="H75" s="32">
        <v>66</v>
      </c>
      <c r="I75" s="32">
        <v>21</v>
      </c>
      <c r="J75" s="32">
        <v>5</v>
      </c>
      <c r="K75" s="32">
        <v>15</v>
      </c>
      <c r="L75" s="32">
        <v>1</v>
      </c>
      <c r="M75" s="32">
        <v>2</v>
      </c>
    </row>
    <row r="76" spans="1:13">
      <c r="A76" s="32">
        <f t="shared" ca="1" si="1"/>
        <v>93</v>
      </c>
      <c r="B76" s="32" cm="1">
        <f t="array" aca="1" ref="B76" ca="1">INDEX(Data_DBD!$B:$B,$A76)</f>
        <v>65</v>
      </c>
      <c r="C76" s="32" cm="1">
        <f t="array" aca="1" ref="C76" ca="1">INDEX(Data_DBD!$C:$C,$A76)</f>
        <v>4</v>
      </c>
      <c r="D76" s="32" cm="1">
        <f t="array" aca="1" ref="D76" ca="1">INDEX(Data_DBD!$D:$D,$A76)</f>
        <v>18</v>
      </c>
      <c r="E76" s="32" cm="1">
        <f t="array" aca="1" ref="E76" ca="1">INDEX(Data_DBD!$E:$E,$A76)</f>
        <v>0</v>
      </c>
      <c r="F76" s="32" cm="1">
        <f t="array" aca="1" ref="F76" ca="1">INDEX(Data_DBD!$F:$F,$A76)</f>
        <v>3</v>
      </c>
      <c r="H76" s="32">
        <v>135</v>
      </c>
      <c r="I76" s="32">
        <v>10</v>
      </c>
      <c r="J76" s="32">
        <v>2</v>
      </c>
      <c r="K76" s="32">
        <v>33</v>
      </c>
      <c r="L76" s="32">
        <v>0</v>
      </c>
      <c r="M76" s="32">
        <v>3</v>
      </c>
    </row>
    <row r="77" spans="1:13">
      <c r="A77" s="32">
        <f t="shared" ca="1" si="1"/>
        <v>142</v>
      </c>
      <c r="B77" s="32" cm="1">
        <f t="array" aca="1" ref="B77" ca="1">INDEX(Data_DBD!$B:$B,$A77)</f>
        <v>39</v>
      </c>
      <c r="C77" s="32" cm="1">
        <f t="array" aca="1" ref="C77" ca="1">INDEX(Data_DBD!$C:$C,$A77)</f>
        <v>2</v>
      </c>
      <c r="D77" s="32" cm="1">
        <f t="array" aca="1" ref="D77" ca="1">INDEX(Data_DBD!$D:$D,$A77)</f>
        <v>21</v>
      </c>
      <c r="E77" s="32" cm="1">
        <f t="array" aca="1" ref="E77" ca="1">INDEX(Data_DBD!$E:$E,$A77)</f>
        <v>1</v>
      </c>
      <c r="F77" s="32" cm="1">
        <f t="array" aca="1" ref="F77" ca="1">INDEX(Data_DBD!$F:$F,$A77)</f>
        <v>3</v>
      </c>
      <c r="H77" s="32">
        <v>142</v>
      </c>
      <c r="I77" s="32">
        <v>39</v>
      </c>
      <c r="J77" s="32">
        <v>2</v>
      </c>
      <c r="K77" s="32">
        <v>21</v>
      </c>
      <c r="L77" s="32">
        <v>1</v>
      </c>
      <c r="M77" s="32">
        <v>3</v>
      </c>
    </row>
    <row r="78" spans="1:13">
      <c r="A78" s="32">
        <f t="shared" ca="1" si="1"/>
        <v>10</v>
      </c>
      <c r="B78" s="32" cm="1">
        <f t="array" aca="1" ref="B78" ca="1">INDEX(Data_DBD!$B:$B,$A78)</f>
        <v>18</v>
      </c>
      <c r="C78" s="32" cm="1">
        <f t="array" aca="1" ref="C78" ca="1">INDEX(Data_DBD!$C:$C,$A78)</f>
        <v>5</v>
      </c>
      <c r="D78" s="32" cm="1">
        <f t="array" aca="1" ref="D78" ca="1">INDEX(Data_DBD!$D:$D,$A78)</f>
        <v>12</v>
      </c>
      <c r="E78" s="32" cm="1">
        <f t="array" aca="1" ref="E78" ca="1">INDEX(Data_DBD!$E:$E,$A78)</f>
        <v>0</v>
      </c>
      <c r="F78" s="32" cm="1">
        <f t="array" aca="1" ref="F78" ca="1">INDEX(Data_DBD!$F:$F,$A78)</f>
        <v>2</v>
      </c>
      <c r="H78" s="32">
        <v>24</v>
      </c>
      <c r="I78" s="32">
        <v>60</v>
      </c>
      <c r="J78" s="32">
        <v>4</v>
      </c>
      <c r="K78" s="32">
        <v>14</v>
      </c>
      <c r="L78" s="32">
        <v>0</v>
      </c>
      <c r="M78" s="32">
        <v>2</v>
      </c>
    </row>
    <row r="79" spans="1:13">
      <c r="A79" s="32">
        <f t="shared" ca="1" si="1"/>
        <v>140</v>
      </c>
      <c r="B79" s="32" cm="1">
        <f t="array" aca="1" ref="B79" ca="1">INDEX(Data_DBD!$B:$B,$A79)</f>
        <v>74</v>
      </c>
      <c r="C79" s="32" cm="1">
        <f t="array" aca="1" ref="C79" ca="1">INDEX(Data_DBD!$C:$C,$A79)</f>
        <v>5</v>
      </c>
      <c r="D79" s="32" cm="1">
        <f t="array" aca="1" ref="D79" ca="1">INDEX(Data_DBD!$D:$D,$A79)</f>
        <v>21</v>
      </c>
      <c r="E79" s="32" cm="1">
        <f t="array" aca="1" ref="E79" ca="1">INDEX(Data_DBD!$E:$E,$A79)</f>
        <v>1</v>
      </c>
      <c r="F79" s="32" cm="1">
        <f t="array" aca="1" ref="F79" ca="1">INDEX(Data_DBD!$F:$F,$A79)</f>
        <v>3</v>
      </c>
      <c r="H79" s="32">
        <v>140</v>
      </c>
      <c r="I79" s="32">
        <v>74</v>
      </c>
      <c r="J79" s="32">
        <v>5</v>
      </c>
      <c r="K79" s="32">
        <v>21</v>
      </c>
      <c r="L79" s="32">
        <v>1</v>
      </c>
      <c r="M79" s="32">
        <v>3</v>
      </c>
    </row>
    <row r="80" spans="1:13">
      <c r="A80" s="32">
        <f t="shared" ca="1" si="1"/>
        <v>11</v>
      </c>
      <c r="B80" s="32" cm="1">
        <f t="array" aca="1" ref="B80" ca="1">INDEX(Data_DBD!$B:$B,$A80)</f>
        <v>24</v>
      </c>
      <c r="C80" s="32" cm="1">
        <f t="array" aca="1" ref="C80" ca="1">INDEX(Data_DBD!$C:$C,$A80)</f>
        <v>5</v>
      </c>
      <c r="D80" s="32" cm="1">
        <f t="array" aca="1" ref="D80" ca="1">INDEX(Data_DBD!$D:$D,$A80)</f>
        <v>12</v>
      </c>
      <c r="E80" s="32" cm="1">
        <f t="array" aca="1" ref="E80" ca="1">INDEX(Data_DBD!$E:$E,$A80)</f>
        <v>1</v>
      </c>
      <c r="F80" s="32" cm="1">
        <f t="array" aca="1" ref="F80" ca="1">INDEX(Data_DBD!$F:$F,$A80)</f>
        <v>2</v>
      </c>
      <c r="H80" s="32">
        <v>70</v>
      </c>
      <c r="I80" s="32">
        <v>26</v>
      </c>
      <c r="J80" s="32">
        <v>3</v>
      </c>
      <c r="K80" s="32">
        <v>10</v>
      </c>
      <c r="L80" s="32">
        <v>1</v>
      </c>
      <c r="M80" s="32">
        <v>2</v>
      </c>
    </row>
    <row r="81" spans="1:13">
      <c r="A81" s="32">
        <f t="shared" ca="1" si="1"/>
        <v>93</v>
      </c>
      <c r="B81" s="32" cm="1">
        <f t="array" aca="1" ref="B81" ca="1">INDEX(Data_DBD!$B:$B,$A81)</f>
        <v>65</v>
      </c>
      <c r="C81" s="32" cm="1">
        <f t="array" aca="1" ref="C81" ca="1">INDEX(Data_DBD!$C:$C,$A81)</f>
        <v>4</v>
      </c>
      <c r="D81" s="32" cm="1">
        <f t="array" aca="1" ref="D81" ca="1">INDEX(Data_DBD!$D:$D,$A81)</f>
        <v>18</v>
      </c>
      <c r="E81" s="32" cm="1">
        <f t="array" aca="1" ref="E81" ca="1">INDEX(Data_DBD!$E:$E,$A81)</f>
        <v>0</v>
      </c>
      <c r="F81" s="32" cm="1">
        <f t="array" aca="1" ref="F81" ca="1">INDEX(Data_DBD!$F:$F,$A81)</f>
        <v>3</v>
      </c>
      <c r="H81" s="32">
        <v>112</v>
      </c>
      <c r="I81" s="32">
        <v>61</v>
      </c>
      <c r="J81" s="32">
        <v>3</v>
      </c>
      <c r="K81" s="32">
        <v>33</v>
      </c>
      <c r="L81" s="32">
        <v>1</v>
      </c>
      <c r="M81" s="32">
        <v>3</v>
      </c>
    </row>
    <row r="82" spans="1:13">
      <c r="A82" s="32">
        <f t="shared" ca="1" si="1"/>
        <v>77</v>
      </c>
      <c r="B82" s="32" cm="1">
        <f t="array" aca="1" ref="B82" ca="1">INDEX(Data_DBD!$B:$B,$A82)</f>
        <v>16</v>
      </c>
      <c r="C82" s="32" cm="1">
        <f t="array" aca="1" ref="C82" ca="1">INDEX(Data_DBD!$C:$C,$A82)</f>
        <v>4</v>
      </c>
      <c r="D82" s="32" cm="1">
        <f t="array" aca="1" ref="D82" ca="1">INDEX(Data_DBD!$D:$D,$A82)</f>
        <v>13</v>
      </c>
      <c r="E82" s="32" cm="1">
        <f t="array" aca="1" ref="E82" ca="1">INDEX(Data_DBD!$E:$E,$A82)</f>
        <v>1</v>
      </c>
      <c r="F82" s="32" cm="1">
        <f t="array" aca="1" ref="F82" ca="1">INDEX(Data_DBD!$F:$F,$A82)</f>
        <v>2</v>
      </c>
      <c r="H82" s="32">
        <v>35</v>
      </c>
      <c r="I82" s="32">
        <v>40</v>
      </c>
      <c r="J82" s="32">
        <v>3</v>
      </c>
      <c r="K82" s="32">
        <v>4</v>
      </c>
      <c r="L82" s="32">
        <v>1</v>
      </c>
      <c r="M82" s="32">
        <v>1</v>
      </c>
    </row>
    <row r="83" spans="1:13">
      <c r="A83" s="32">
        <f t="shared" ca="1" si="1"/>
        <v>90</v>
      </c>
      <c r="B83" s="32" cm="1">
        <f t="array" aca="1" ref="B83" ca="1">INDEX(Data_DBD!$B:$B,$A83)</f>
        <v>47</v>
      </c>
      <c r="C83" s="32" cm="1">
        <f t="array" aca="1" ref="C83" ca="1">INDEX(Data_DBD!$C:$C,$A83)</f>
        <v>3</v>
      </c>
      <c r="D83" s="32" cm="1">
        <f t="array" aca="1" ref="D83" ca="1">INDEX(Data_DBD!$D:$D,$A83)</f>
        <v>18</v>
      </c>
      <c r="E83" s="32" cm="1">
        <f t="array" aca="1" ref="E83" ca="1">INDEX(Data_DBD!$E:$E,$A83)</f>
        <v>0</v>
      </c>
      <c r="F83" s="32" cm="1">
        <f t="array" aca="1" ref="F83" ca="1">INDEX(Data_DBD!$F:$F,$A83)</f>
        <v>3</v>
      </c>
      <c r="H83" s="32">
        <v>11</v>
      </c>
      <c r="I83" s="32">
        <v>24</v>
      </c>
      <c r="J83" s="32">
        <v>5</v>
      </c>
      <c r="K83" s="32">
        <v>12</v>
      </c>
      <c r="L83" s="32">
        <v>1</v>
      </c>
      <c r="M83" s="32">
        <v>2</v>
      </c>
    </row>
    <row r="84" spans="1:13">
      <c r="A84" s="32">
        <f t="shared" ca="1" si="1"/>
        <v>119</v>
      </c>
      <c r="B84" s="32" cm="1">
        <f t="array" aca="1" ref="B84" ca="1">INDEX(Data_DBD!$B:$B,$A84)</f>
        <v>30</v>
      </c>
      <c r="C84" s="32" cm="1">
        <f t="array" aca="1" ref="C84" ca="1">INDEX(Data_DBD!$C:$C,$A84)</f>
        <v>7</v>
      </c>
      <c r="D84" s="32" cm="1">
        <f t="array" aca="1" ref="D84" ca="1">INDEX(Data_DBD!$D:$D,$A84)</f>
        <v>33</v>
      </c>
      <c r="E84" s="32" cm="1">
        <f t="array" aca="1" ref="E84" ca="1">INDEX(Data_DBD!$E:$E,$A84)</f>
        <v>0</v>
      </c>
      <c r="F84" s="32" cm="1">
        <f t="array" aca="1" ref="F84" ca="1">INDEX(Data_DBD!$F:$F,$A84)</f>
        <v>3</v>
      </c>
      <c r="H84" s="32">
        <v>137</v>
      </c>
      <c r="I84" s="32">
        <v>3.5</v>
      </c>
      <c r="J84" s="32">
        <v>1</v>
      </c>
      <c r="K84" s="32">
        <v>33</v>
      </c>
      <c r="L84" s="32">
        <v>1</v>
      </c>
      <c r="M84" s="32">
        <v>3</v>
      </c>
    </row>
    <row r="85" spans="1:13">
      <c r="A85" s="32">
        <f t="shared" ca="1" si="1"/>
        <v>16</v>
      </c>
      <c r="B85" s="32" cm="1">
        <f t="array" aca="1" ref="B85" ca="1">INDEX(Data_DBD!$B:$B,$A85)</f>
        <v>66</v>
      </c>
      <c r="C85" s="32" cm="1">
        <f t="array" aca="1" ref="C85" ca="1">INDEX(Data_DBD!$C:$C,$A85)</f>
        <v>5</v>
      </c>
      <c r="D85" s="32" cm="1">
        <f t="array" aca="1" ref="D85" ca="1">INDEX(Data_DBD!$D:$D,$A85)</f>
        <v>7</v>
      </c>
      <c r="E85" s="32" cm="1">
        <f t="array" aca="1" ref="E85" ca="1">INDEX(Data_DBD!$E:$E,$A85)</f>
        <v>1</v>
      </c>
      <c r="F85" s="32" cm="1">
        <f t="array" aca="1" ref="F85" ca="1">INDEX(Data_DBD!$F:$F,$A85)</f>
        <v>1</v>
      </c>
      <c r="H85" s="32">
        <v>46</v>
      </c>
      <c r="I85" s="32">
        <v>62</v>
      </c>
      <c r="J85" s="32">
        <v>2</v>
      </c>
      <c r="K85" s="32">
        <v>13</v>
      </c>
      <c r="L85" s="32">
        <v>0</v>
      </c>
      <c r="M85" s="32">
        <v>2</v>
      </c>
    </row>
    <row r="86" spans="1:13">
      <c r="A86" s="32">
        <f t="shared" ca="1" si="1"/>
        <v>158</v>
      </c>
      <c r="B86" s="32" cm="1">
        <f t="array" aca="1" ref="B86" ca="1">INDEX(Data_DBD!$B:$B,$A86)</f>
        <v>5</v>
      </c>
      <c r="C86" s="32" cm="1">
        <f t="array" aca="1" ref="C86" ca="1">INDEX(Data_DBD!$C:$C,$A86)</f>
        <v>2</v>
      </c>
      <c r="D86" s="32" cm="1">
        <f t="array" aca="1" ref="D86" ca="1">INDEX(Data_DBD!$D:$D,$A86)</f>
        <v>21</v>
      </c>
      <c r="E86" s="32" cm="1">
        <f t="array" aca="1" ref="E86" ca="1">INDEX(Data_DBD!$E:$E,$A86)</f>
        <v>0</v>
      </c>
      <c r="F86" s="32" cm="1">
        <f t="array" aca="1" ref="F86" ca="1">INDEX(Data_DBD!$F:$F,$A86)</f>
        <v>3</v>
      </c>
      <c r="H86" s="32">
        <v>129</v>
      </c>
      <c r="I86" s="32">
        <v>4.5</v>
      </c>
      <c r="J86" s="32">
        <v>3</v>
      </c>
      <c r="K86" s="32">
        <v>33</v>
      </c>
      <c r="L86" s="32">
        <v>0</v>
      </c>
      <c r="M86" s="32">
        <v>3</v>
      </c>
    </row>
    <row r="87" spans="1:13">
      <c r="A87" s="32">
        <f t="shared" ca="1" si="1"/>
        <v>98</v>
      </c>
      <c r="B87" s="32" cm="1">
        <f t="array" aca="1" ref="B87" ca="1">INDEX(Data_DBD!$B:$B,$A87)</f>
        <v>16</v>
      </c>
      <c r="C87" s="32" cm="1">
        <f t="array" aca="1" ref="C87" ca="1">INDEX(Data_DBD!$C:$C,$A87)</f>
        <v>2</v>
      </c>
      <c r="D87" s="32" cm="1">
        <f t="array" aca="1" ref="D87" ca="1">INDEX(Data_DBD!$D:$D,$A87)</f>
        <v>18</v>
      </c>
      <c r="E87" s="32" cm="1">
        <f t="array" aca="1" ref="E87" ca="1">INDEX(Data_DBD!$E:$E,$A87)</f>
        <v>1</v>
      </c>
      <c r="F87" s="32" cm="1">
        <f t="array" aca="1" ref="F87" ca="1">INDEX(Data_DBD!$F:$F,$A87)</f>
        <v>3</v>
      </c>
      <c r="H87" s="32">
        <v>125</v>
      </c>
      <c r="I87" s="32">
        <v>39</v>
      </c>
      <c r="J87" s="32">
        <v>4</v>
      </c>
      <c r="K87" s="32">
        <v>33</v>
      </c>
      <c r="L87" s="32">
        <v>0</v>
      </c>
      <c r="M87" s="32">
        <v>3</v>
      </c>
    </row>
    <row r="88" spans="1:13">
      <c r="A88" s="32">
        <f t="shared" ca="1" si="1"/>
        <v>156</v>
      </c>
      <c r="B88" s="32" cm="1">
        <f t="array" aca="1" ref="B88" ca="1">INDEX(Data_DBD!$B:$B,$A88)</f>
        <v>5</v>
      </c>
      <c r="C88" s="32" cm="1">
        <f t="array" aca="1" ref="C88" ca="1">INDEX(Data_DBD!$C:$C,$A88)</f>
        <v>2</v>
      </c>
      <c r="D88" s="32" cm="1">
        <f t="array" aca="1" ref="D88" ca="1">INDEX(Data_DBD!$D:$D,$A88)</f>
        <v>21</v>
      </c>
      <c r="E88" s="32" cm="1">
        <f t="array" aca="1" ref="E88" ca="1">INDEX(Data_DBD!$E:$E,$A88)</f>
        <v>0</v>
      </c>
      <c r="F88" s="32" cm="1">
        <f t="array" aca="1" ref="F88" ca="1">INDEX(Data_DBD!$F:$F,$A88)</f>
        <v>3</v>
      </c>
      <c r="H88" s="32">
        <v>122</v>
      </c>
      <c r="I88" s="32">
        <v>28</v>
      </c>
      <c r="J88" s="32">
        <v>3</v>
      </c>
      <c r="K88" s="32">
        <v>33</v>
      </c>
      <c r="L88" s="32">
        <v>1</v>
      </c>
      <c r="M88" s="32">
        <v>3</v>
      </c>
    </row>
    <row r="89" spans="1:13">
      <c r="A89" s="32">
        <f t="shared" ca="1" si="1"/>
        <v>26</v>
      </c>
      <c r="B89" s="32" cm="1">
        <f t="array" aca="1" ref="B89" ca="1">INDEX(Data_DBD!$B:$B,$A89)</f>
        <v>75</v>
      </c>
      <c r="C89" s="32" cm="1">
        <f t="array" aca="1" ref="C89" ca="1">INDEX(Data_DBD!$C:$C,$A89)</f>
        <v>4</v>
      </c>
      <c r="D89" s="32" cm="1">
        <f t="array" aca="1" ref="D89" ca="1">INDEX(Data_DBD!$D:$D,$A89)</f>
        <v>14</v>
      </c>
      <c r="E89" s="32" cm="1">
        <f t="array" aca="1" ref="E89" ca="1">INDEX(Data_DBD!$E:$E,$A89)</f>
        <v>1</v>
      </c>
      <c r="F89" s="32" cm="1">
        <f t="array" aca="1" ref="F89" ca="1">INDEX(Data_DBD!$F:$F,$A89)</f>
        <v>2</v>
      </c>
      <c r="H89" s="32">
        <v>75</v>
      </c>
      <c r="I89" s="32">
        <v>2</v>
      </c>
      <c r="J89" s="32">
        <v>2</v>
      </c>
      <c r="K89" s="32">
        <v>10</v>
      </c>
      <c r="L89" s="32">
        <v>1</v>
      </c>
      <c r="M89" s="32">
        <v>2</v>
      </c>
    </row>
    <row r="90" spans="1:13">
      <c r="A90" s="32">
        <f t="shared" ca="1" si="1"/>
        <v>58</v>
      </c>
      <c r="B90" s="32" cm="1">
        <f t="array" aca="1" ref="B90" ca="1">INDEX(Data_DBD!$B:$B,$A90)</f>
        <v>17</v>
      </c>
      <c r="C90" s="32" cm="1">
        <f t="array" aca="1" ref="C90" ca="1">INDEX(Data_DBD!$C:$C,$A90)</f>
        <v>3</v>
      </c>
      <c r="D90" s="32" cm="1">
        <f t="array" aca="1" ref="D90" ca="1">INDEX(Data_DBD!$D:$D,$A90)</f>
        <v>15</v>
      </c>
      <c r="E90" s="32" cm="1">
        <f t="array" aca="1" ref="E90" ca="1">INDEX(Data_DBD!$E:$E,$A90)</f>
        <v>0</v>
      </c>
      <c r="F90" s="32" cm="1">
        <f t="array" aca="1" ref="F90" ca="1">INDEX(Data_DBD!$F:$F,$A90)</f>
        <v>2</v>
      </c>
      <c r="H90" s="32">
        <v>68</v>
      </c>
      <c r="I90" s="32">
        <v>44</v>
      </c>
      <c r="J90" s="32">
        <v>5</v>
      </c>
      <c r="K90" s="32">
        <v>10</v>
      </c>
      <c r="L90" s="32">
        <v>0</v>
      </c>
      <c r="M90" s="32">
        <v>2</v>
      </c>
    </row>
    <row r="91" spans="1:13">
      <c r="A91" s="32">
        <f t="shared" ca="1" si="1"/>
        <v>131</v>
      </c>
      <c r="B91" s="32" cm="1">
        <f t="array" aca="1" ref="B91" ca="1">INDEX(Data_DBD!$B:$B,$A91)</f>
        <v>10</v>
      </c>
      <c r="C91" s="32" cm="1">
        <f t="array" aca="1" ref="C91" ca="1">INDEX(Data_DBD!$C:$C,$A91)</f>
        <v>2</v>
      </c>
      <c r="D91" s="32" cm="1">
        <f t="array" aca="1" ref="D91" ca="1">INDEX(Data_DBD!$D:$D,$A91)</f>
        <v>33</v>
      </c>
      <c r="E91" s="32" cm="1">
        <f t="array" aca="1" ref="E91" ca="1">INDEX(Data_DBD!$E:$E,$A91)</f>
        <v>0</v>
      </c>
      <c r="F91" s="32" cm="1">
        <f t="array" aca="1" ref="F91" ca="1">INDEX(Data_DBD!$F:$F,$A91)</f>
        <v>3</v>
      </c>
      <c r="H91" s="32">
        <v>43</v>
      </c>
      <c r="I91" s="32">
        <v>15</v>
      </c>
      <c r="J91" s="32">
        <v>4</v>
      </c>
      <c r="K91" s="32">
        <v>13</v>
      </c>
      <c r="L91" s="32">
        <v>0</v>
      </c>
      <c r="M91" s="32">
        <v>2</v>
      </c>
    </row>
    <row r="92" spans="1:13">
      <c r="A92" s="32">
        <f t="shared" ca="1" si="1"/>
        <v>85</v>
      </c>
      <c r="B92" s="32" cm="1">
        <f t="array" aca="1" ref="B92" ca="1">INDEX(Data_DBD!$B:$B,$A92)</f>
        <v>27</v>
      </c>
      <c r="C92" s="32" cm="1">
        <f t="array" aca="1" ref="C92" ca="1">INDEX(Data_DBD!$C:$C,$A92)</f>
        <v>9</v>
      </c>
      <c r="D92" s="32" cm="1">
        <f t="array" aca="1" ref="D92" ca="1">INDEX(Data_DBD!$D:$D,$A92)</f>
        <v>13</v>
      </c>
      <c r="E92" s="32" cm="1">
        <f t="array" aca="1" ref="E92" ca="1">INDEX(Data_DBD!$E:$E,$A92)</f>
        <v>0</v>
      </c>
      <c r="F92" s="32" cm="1">
        <f t="array" aca="1" ref="F92" ca="1">INDEX(Data_DBD!$F:$F,$A92)</f>
        <v>2</v>
      </c>
      <c r="H92" s="32">
        <v>143</v>
      </c>
      <c r="I92" s="32">
        <v>20</v>
      </c>
      <c r="J92" s="32">
        <v>4</v>
      </c>
      <c r="K92" s="32">
        <v>21</v>
      </c>
      <c r="L92" s="32">
        <v>1</v>
      </c>
      <c r="M92" s="32">
        <v>3</v>
      </c>
    </row>
    <row r="93" spans="1:13">
      <c r="A93" s="32">
        <f t="shared" ca="1" si="1"/>
        <v>28</v>
      </c>
      <c r="B93" s="32" cm="1">
        <f t="array" aca="1" ref="B93" ca="1">INDEX(Data_DBD!$B:$B,$A93)</f>
        <v>22</v>
      </c>
      <c r="C93" s="32" cm="1">
        <f t="array" aca="1" ref="C93" ca="1">INDEX(Data_DBD!$C:$C,$A93)</f>
        <v>2</v>
      </c>
      <c r="D93" s="32" cm="1">
        <f t="array" aca="1" ref="D93" ca="1">INDEX(Data_DBD!$D:$D,$A93)</f>
        <v>14</v>
      </c>
      <c r="E93" s="32" cm="1">
        <f t="array" aca="1" ref="E93" ca="1">INDEX(Data_DBD!$E:$E,$A93)</f>
        <v>1</v>
      </c>
      <c r="F93" s="32" cm="1">
        <f t="array" aca="1" ref="F93" ca="1">INDEX(Data_DBD!$F:$F,$A93)</f>
        <v>2</v>
      </c>
      <c r="H93" s="32">
        <v>4</v>
      </c>
      <c r="I93" s="32">
        <v>23</v>
      </c>
      <c r="J93" s="32">
        <v>5</v>
      </c>
      <c r="K93" s="32">
        <v>12</v>
      </c>
      <c r="L93" s="32">
        <v>0</v>
      </c>
      <c r="M93" s="32">
        <v>2</v>
      </c>
    </row>
    <row r="94" spans="1:13">
      <c r="A94" s="32">
        <f t="shared" ca="1" si="1"/>
        <v>142</v>
      </c>
      <c r="B94" s="32" cm="1">
        <f t="array" aca="1" ref="B94" ca="1">INDEX(Data_DBD!$B:$B,$A94)</f>
        <v>39</v>
      </c>
      <c r="C94" s="32" cm="1">
        <f t="array" aca="1" ref="C94" ca="1">INDEX(Data_DBD!$C:$C,$A94)</f>
        <v>2</v>
      </c>
      <c r="D94" s="32" cm="1">
        <f t="array" aca="1" ref="D94" ca="1">INDEX(Data_DBD!$D:$D,$A94)</f>
        <v>21</v>
      </c>
      <c r="E94" s="32" cm="1">
        <f t="array" aca="1" ref="E94" ca="1">INDEX(Data_DBD!$E:$E,$A94)</f>
        <v>1</v>
      </c>
      <c r="F94" s="32" cm="1">
        <f t="array" aca="1" ref="F94" ca="1">INDEX(Data_DBD!$F:$F,$A94)</f>
        <v>3</v>
      </c>
      <c r="H94" s="32">
        <v>151</v>
      </c>
      <c r="I94" s="32">
        <v>24</v>
      </c>
      <c r="J94" s="32">
        <v>3</v>
      </c>
      <c r="K94" s="32">
        <v>21</v>
      </c>
      <c r="L94" s="32">
        <v>0</v>
      </c>
      <c r="M94" s="32">
        <v>3</v>
      </c>
    </row>
    <row r="95" spans="1:13">
      <c r="A95" s="32">
        <f t="shared" ca="1" si="1"/>
        <v>79</v>
      </c>
      <c r="B95" s="32" cm="1">
        <f t="array" aca="1" ref="B95" ca="1">INDEX(Data_DBD!$B:$B,$A95)</f>
        <v>29</v>
      </c>
      <c r="C95" s="32" cm="1">
        <f t="array" aca="1" ref="C95" ca="1">INDEX(Data_DBD!$C:$C,$A95)</f>
        <v>3</v>
      </c>
      <c r="D95" s="32" cm="1">
        <f t="array" aca="1" ref="D95" ca="1">INDEX(Data_DBD!$D:$D,$A95)</f>
        <v>13</v>
      </c>
      <c r="E95" s="32" cm="1">
        <f t="array" aca="1" ref="E95" ca="1">INDEX(Data_DBD!$E:$E,$A95)</f>
        <v>0</v>
      </c>
      <c r="F95" s="32" cm="1">
        <f t="array" aca="1" ref="F95" ca="1">INDEX(Data_DBD!$F:$F,$A95)</f>
        <v>2</v>
      </c>
      <c r="H95" s="32">
        <v>153</v>
      </c>
      <c r="I95" s="32">
        <v>73</v>
      </c>
      <c r="J95" s="32">
        <v>7</v>
      </c>
      <c r="K95" s="32">
        <v>21</v>
      </c>
      <c r="L95" s="32">
        <v>1</v>
      </c>
      <c r="M95" s="32">
        <v>3</v>
      </c>
    </row>
    <row r="96" spans="1:13">
      <c r="A96" s="32">
        <f t="shared" ca="1" si="1"/>
        <v>35</v>
      </c>
      <c r="B96" s="32" cm="1">
        <f t="array" aca="1" ref="B96" ca="1">INDEX(Data_DBD!$B:$B,$A96)</f>
        <v>40</v>
      </c>
      <c r="C96" s="32" cm="1">
        <f t="array" aca="1" ref="C96" ca="1">INDEX(Data_DBD!$C:$C,$A96)</f>
        <v>3</v>
      </c>
      <c r="D96" s="32" cm="1">
        <f t="array" aca="1" ref="D96" ca="1">INDEX(Data_DBD!$D:$D,$A96)</f>
        <v>4</v>
      </c>
      <c r="E96" s="32" cm="1">
        <f t="array" aca="1" ref="E96" ca="1">INDEX(Data_DBD!$E:$E,$A96)</f>
        <v>1</v>
      </c>
      <c r="F96" s="32" cm="1">
        <f t="array" aca="1" ref="F96" ca="1">INDEX(Data_DBD!$F:$F,$A96)</f>
        <v>1</v>
      </c>
      <c r="H96" s="32">
        <v>126</v>
      </c>
      <c r="I96" s="32">
        <v>51</v>
      </c>
      <c r="J96" s="32">
        <v>3</v>
      </c>
      <c r="K96" s="32">
        <v>33</v>
      </c>
      <c r="L96" s="32">
        <v>1</v>
      </c>
      <c r="M96" s="32">
        <v>3</v>
      </c>
    </row>
    <row r="97" spans="1:13">
      <c r="A97" s="32">
        <f t="shared" ca="1" si="1"/>
        <v>25</v>
      </c>
      <c r="B97" s="32" cm="1">
        <f t="array" aca="1" ref="B97" ca="1">INDEX(Data_DBD!$B:$B,$A97)</f>
        <v>81</v>
      </c>
      <c r="C97" s="32" cm="1">
        <f t="array" aca="1" ref="C97" ca="1">INDEX(Data_DBD!$C:$C,$A97)</f>
        <v>5</v>
      </c>
      <c r="D97" s="32" cm="1">
        <f t="array" aca="1" ref="D97" ca="1">INDEX(Data_DBD!$D:$D,$A97)</f>
        <v>14</v>
      </c>
      <c r="E97" s="32" cm="1">
        <f t="array" aca="1" ref="E97" ca="1">INDEX(Data_DBD!$E:$E,$A97)</f>
        <v>0</v>
      </c>
      <c r="F97" s="32" cm="1">
        <f t="array" aca="1" ref="F97" ca="1">INDEX(Data_DBD!$F:$F,$A97)</f>
        <v>2</v>
      </c>
      <c r="H97" s="32">
        <v>64</v>
      </c>
      <c r="I97" s="32">
        <v>35</v>
      </c>
      <c r="J97" s="32">
        <v>1</v>
      </c>
      <c r="K97" s="32">
        <v>15</v>
      </c>
      <c r="L97" s="32">
        <v>0</v>
      </c>
      <c r="M97" s="32">
        <v>2</v>
      </c>
    </row>
    <row r="98" spans="1:13">
      <c r="A98" s="32">
        <f t="shared" ca="1" si="1"/>
        <v>64</v>
      </c>
      <c r="B98" s="32" cm="1">
        <f t="array" aca="1" ref="B98" ca="1">INDEX(Data_DBD!$B:$B,$A98)</f>
        <v>35</v>
      </c>
      <c r="C98" s="32" cm="1">
        <f t="array" aca="1" ref="C98" ca="1">INDEX(Data_DBD!$C:$C,$A98)</f>
        <v>1</v>
      </c>
      <c r="D98" s="32" cm="1">
        <f t="array" aca="1" ref="D98" ca="1">INDEX(Data_DBD!$D:$D,$A98)</f>
        <v>15</v>
      </c>
      <c r="E98" s="32" cm="1">
        <f t="array" aca="1" ref="E98" ca="1">INDEX(Data_DBD!$E:$E,$A98)</f>
        <v>0</v>
      </c>
      <c r="F98" s="32" cm="1">
        <f t="array" aca="1" ref="F98" ca="1">INDEX(Data_DBD!$F:$F,$A98)</f>
        <v>2</v>
      </c>
      <c r="H98" s="32">
        <v>62</v>
      </c>
      <c r="I98" s="32">
        <v>43</v>
      </c>
      <c r="J98" s="32">
        <v>4</v>
      </c>
      <c r="K98" s="32">
        <v>15</v>
      </c>
      <c r="L98" s="32">
        <v>1</v>
      </c>
      <c r="M98" s="32">
        <v>2</v>
      </c>
    </row>
    <row r="99" spans="1:13">
      <c r="A99" s="32">
        <f t="shared" ca="1" si="1"/>
        <v>162</v>
      </c>
      <c r="B99" s="32" cm="1">
        <f t="array" aca="1" ref="B99" ca="1">INDEX(Data_DBD!$B:$B,$A99)</f>
        <v>22</v>
      </c>
      <c r="C99" s="32" cm="1">
        <f t="array" aca="1" ref="C99" ca="1">INDEX(Data_DBD!$C:$C,$A99)</f>
        <v>3</v>
      </c>
      <c r="D99" s="32" cm="1">
        <f t="array" aca="1" ref="D99" ca="1">INDEX(Data_DBD!$D:$D,$A99)</f>
        <v>3</v>
      </c>
      <c r="E99" s="32" cm="1">
        <f t="array" aca="1" ref="E99" ca="1">INDEX(Data_DBD!$E:$E,$A99)</f>
        <v>1</v>
      </c>
      <c r="F99" s="32" cm="1">
        <f t="array" aca="1" ref="F99" ca="1">INDEX(Data_DBD!$F:$F,$A99)</f>
        <v>1</v>
      </c>
      <c r="H99" s="32">
        <v>86</v>
      </c>
      <c r="I99" s="32">
        <v>23</v>
      </c>
      <c r="J99" s="32">
        <v>3</v>
      </c>
      <c r="K99" s="32">
        <v>13</v>
      </c>
      <c r="L99" s="32">
        <v>0</v>
      </c>
      <c r="M99" s="32">
        <v>2</v>
      </c>
    </row>
    <row r="100" spans="1:13">
      <c r="A100" s="32">
        <f t="shared" ca="1" si="1"/>
        <v>26</v>
      </c>
      <c r="B100" s="32" cm="1">
        <f t="array" aca="1" ref="B100" ca="1">INDEX(Data_DBD!$B:$B,$A100)</f>
        <v>75</v>
      </c>
      <c r="C100" s="32" cm="1">
        <f t="array" aca="1" ref="C100" ca="1">INDEX(Data_DBD!$C:$C,$A100)</f>
        <v>4</v>
      </c>
      <c r="D100" s="32" cm="1">
        <f t="array" aca="1" ref="D100" ca="1">INDEX(Data_DBD!$D:$D,$A100)</f>
        <v>14</v>
      </c>
      <c r="E100" s="32" cm="1">
        <f t="array" aca="1" ref="E100" ca="1">INDEX(Data_DBD!$E:$E,$A100)</f>
        <v>1</v>
      </c>
      <c r="F100" s="32" cm="1">
        <f t="array" aca="1" ref="F100" ca="1">INDEX(Data_DBD!$F:$F,$A100)</f>
        <v>2</v>
      </c>
      <c r="H100" s="32">
        <v>144</v>
      </c>
      <c r="I100" s="32">
        <v>61</v>
      </c>
      <c r="J100" s="32">
        <v>4</v>
      </c>
      <c r="K100" s="32">
        <v>21</v>
      </c>
      <c r="L100" s="32">
        <v>1</v>
      </c>
      <c r="M100" s="32">
        <v>3</v>
      </c>
    </row>
    <row r="101" spans="1:13">
      <c r="A101" s="32">
        <f t="shared" ca="1" si="1"/>
        <v>47</v>
      </c>
      <c r="B101" s="32" cm="1">
        <f t="array" aca="1" ref="B101" ca="1">INDEX(Data_DBD!$B:$B,$A101)</f>
        <v>19</v>
      </c>
      <c r="C101" s="32" cm="1">
        <f t="array" aca="1" ref="C101" ca="1">INDEX(Data_DBD!$C:$C,$A101)</f>
        <v>2</v>
      </c>
      <c r="D101" s="32" cm="1">
        <f t="array" aca="1" ref="D101" ca="1">INDEX(Data_DBD!$D:$D,$A101)</f>
        <v>13</v>
      </c>
      <c r="E101" s="32" cm="1">
        <f t="array" aca="1" ref="E101" ca="1">INDEX(Data_DBD!$E:$E,$A101)</f>
        <v>0</v>
      </c>
      <c r="F101" s="32" cm="1">
        <f t="array" aca="1" ref="F101" ca="1">INDEX(Data_DBD!$F:$F,$A101)</f>
        <v>2</v>
      </c>
      <c r="H101" s="32">
        <v>4</v>
      </c>
      <c r="I101" s="32">
        <v>23</v>
      </c>
      <c r="J101" s="32">
        <v>5</v>
      </c>
      <c r="K101" s="32">
        <v>12</v>
      </c>
      <c r="L101" s="32">
        <v>0</v>
      </c>
      <c r="M101" s="32">
        <v>2</v>
      </c>
    </row>
    <row r="102" spans="1:13">
      <c r="A102" s="32">
        <f t="shared" ca="1" si="1"/>
        <v>63</v>
      </c>
      <c r="B102" s="32" cm="1">
        <f t="array" aca="1" ref="B102" ca="1">INDEX(Data_DBD!$B:$B,$A102)</f>
        <v>25</v>
      </c>
      <c r="C102" s="32" cm="1">
        <f t="array" aca="1" ref="C102" ca="1">INDEX(Data_DBD!$C:$C,$A102)</f>
        <v>3</v>
      </c>
      <c r="D102" s="32" cm="1">
        <f t="array" aca="1" ref="D102" ca="1">INDEX(Data_DBD!$D:$D,$A102)</f>
        <v>15</v>
      </c>
      <c r="E102" s="32" cm="1">
        <f t="array" aca="1" ref="E102" ca="1">INDEX(Data_DBD!$E:$E,$A102)</f>
        <v>0</v>
      </c>
      <c r="F102" s="32" cm="1">
        <f t="array" aca="1" ref="F102" ca="1">INDEX(Data_DBD!$F:$F,$A102)</f>
        <v>2</v>
      </c>
      <c r="H102" s="32">
        <v>144</v>
      </c>
      <c r="I102" s="32">
        <v>61</v>
      </c>
      <c r="J102" s="32">
        <v>4</v>
      </c>
      <c r="K102" s="32">
        <v>21</v>
      </c>
      <c r="L102" s="32">
        <v>1</v>
      </c>
      <c r="M102" s="32">
        <v>3</v>
      </c>
    </row>
    <row r="103" spans="1:13">
      <c r="A103" s="32">
        <f t="shared" ca="1" si="1"/>
        <v>33</v>
      </c>
      <c r="B103" s="32" cm="1">
        <f t="array" aca="1" ref="B103" ca="1">INDEX(Data_DBD!$B:$B,$A103)</f>
        <v>19</v>
      </c>
      <c r="C103" s="32" cm="1">
        <f t="array" aca="1" ref="C103" ca="1">INDEX(Data_DBD!$C:$C,$A103)</f>
        <v>4</v>
      </c>
      <c r="D103" s="32" cm="1">
        <f t="array" aca="1" ref="D103" ca="1">INDEX(Data_DBD!$D:$D,$A103)</f>
        <v>14</v>
      </c>
      <c r="E103" s="32" cm="1">
        <f t="array" aca="1" ref="E103" ca="1">INDEX(Data_DBD!$E:$E,$A103)</f>
        <v>1</v>
      </c>
      <c r="F103" s="32" cm="1">
        <f t="array" aca="1" ref="F103" ca="1">INDEX(Data_DBD!$F:$F,$A103)</f>
        <v>2</v>
      </c>
      <c r="H103" s="32">
        <v>43</v>
      </c>
      <c r="I103" s="32">
        <v>15</v>
      </c>
      <c r="J103" s="32">
        <v>4</v>
      </c>
      <c r="K103" s="32">
        <v>13</v>
      </c>
      <c r="L103" s="32">
        <v>0</v>
      </c>
      <c r="M103" s="32">
        <v>2</v>
      </c>
    </row>
    <row r="104" spans="1:13">
      <c r="A104" s="32">
        <f t="shared" ca="1" si="1"/>
        <v>36</v>
      </c>
      <c r="B104" s="32" cm="1">
        <f t="array" aca="1" ref="B104" ca="1">INDEX(Data_DBD!$B:$B,$A104)</f>
        <v>27</v>
      </c>
      <c r="C104" s="32" cm="1">
        <f t="array" aca="1" ref="C104" ca="1">INDEX(Data_DBD!$C:$C,$A104)</f>
        <v>1</v>
      </c>
      <c r="D104" s="32" cm="1">
        <f t="array" aca="1" ref="D104" ca="1">INDEX(Data_DBD!$D:$D,$A104)</f>
        <v>4</v>
      </c>
      <c r="E104" s="32" cm="1">
        <f t="array" aca="1" ref="E104" ca="1">INDEX(Data_DBD!$E:$E,$A104)</f>
        <v>1</v>
      </c>
      <c r="F104" s="32" cm="1">
        <f t="array" aca="1" ref="F104" ca="1">INDEX(Data_DBD!$F:$F,$A104)</f>
        <v>1</v>
      </c>
      <c r="H104" s="32">
        <v>78</v>
      </c>
      <c r="I104" s="32">
        <v>6</v>
      </c>
      <c r="J104" s="32">
        <v>3</v>
      </c>
      <c r="K104" s="32">
        <v>13</v>
      </c>
      <c r="L104" s="32">
        <v>0</v>
      </c>
      <c r="M104" s="32">
        <v>2</v>
      </c>
    </row>
    <row r="105" spans="1:13">
      <c r="A105" s="32">
        <f t="shared" ca="1" si="1"/>
        <v>40</v>
      </c>
      <c r="B105" s="32" cm="1">
        <f t="array" aca="1" ref="B105" ca="1">INDEX(Data_DBD!$B:$B,$A105)</f>
        <v>65</v>
      </c>
      <c r="C105" s="32" cm="1">
        <f t="array" aca="1" ref="C105" ca="1">INDEX(Data_DBD!$C:$C,$A105)</f>
        <v>3</v>
      </c>
      <c r="D105" s="32" cm="1">
        <f t="array" aca="1" ref="D105" ca="1">INDEX(Data_DBD!$D:$D,$A105)</f>
        <v>13</v>
      </c>
      <c r="E105" s="32" cm="1">
        <f t="array" aca="1" ref="E105" ca="1">INDEX(Data_DBD!$E:$E,$A105)</f>
        <v>1</v>
      </c>
      <c r="F105" s="32" cm="1">
        <f t="array" aca="1" ref="F105" ca="1">INDEX(Data_DBD!$F:$F,$A105)</f>
        <v>2</v>
      </c>
      <c r="H105" s="32">
        <v>4</v>
      </c>
      <c r="I105" s="32">
        <v>23</v>
      </c>
      <c r="J105" s="32">
        <v>5</v>
      </c>
      <c r="K105" s="32">
        <v>12</v>
      </c>
      <c r="L105" s="32">
        <v>0</v>
      </c>
      <c r="M105" s="32">
        <v>2</v>
      </c>
    </row>
    <row r="106" spans="1:13">
      <c r="A106" s="32">
        <f t="shared" ca="1" si="1"/>
        <v>3</v>
      </c>
      <c r="B106" s="32" cm="1">
        <f t="array" aca="1" ref="B106" ca="1">INDEX(Data_DBD!$B:$B,$A106)</f>
        <v>43</v>
      </c>
      <c r="C106" s="32" cm="1">
        <f t="array" aca="1" ref="C106" ca="1">INDEX(Data_DBD!$C:$C,$A106)</f>
        <v>3</v>
      </c>
      <c r="D106" s="32" cm="1">
        <f t="array" aca="1" ref="D106" ca="1">INDEX(Data_DBD!$D:$D,$A106)</f>
        <v>12</v>
      </c>
      <c r="E106" s="32" cm="1">
        <f t="array" aca="1" ref="E106" ca="1">INDEX(Data_DBD!$E:$E,$A106)</f>
        <v>1</v>
      </c>
      <c r="F106" s="32" cm="1">
        <f t="array" aca="1" ref="F106" ca="1">INDEX(Data_DBD!$F:$F,$A106)</f>
        <v>2</v>
      </c>
      <c r="H106" s="32">
        <v>48</v>
      </c>
      <c r="I106" s="32">
        <v>50</v>
      </c>
      <c r="J106" s="32">
        <v>5</v>
      </c>
      <c r="K106" s="32">
        <v>13</v>
      </c>
      <c r="L106" s="32">
        <v>1</v>
      </c>
      <c r="M106" s="32">
        <v>2</v>
      </c>
    </row>
    <row r="107" spans="1:13">
      <c r="A107" s="32">
        <f t="shared" ca="1" si="1"/>
        <v>111</v>
      </c>
      <c r="B107" s="32" cm="1">
        <f t="array" aca="1" ref="B107" ca="1">INDEX(Data_DBD!$B:$B,$A107)</f>
        <v>25</v>
      </c>
      <c r="C107" s="32" cm="1">
        <f t="array" aca="1" ref="C107" ca="1">INDEX(Data_DBD!$C:$C,$A107)</f>
        <v>4</v>
      </c>
      <c r="D107" s="32" cm="1">
        <f t="array" aca="1" ref="D107" ca="1">INDEX(Data_DBD!$D:$D,$A107)</f>
        <v>33</v>
      </c>
      <c r="E107" s="32" cm="1">
        <f t="array" aca="1" ref="E107" ca="1">INDEX(Data_DBD!$E:$E,$A107)</f>
        <v>0</v>
      </c>
      <c r="F107" s="32" cm="1">
        <f t="array" aca="1" ref="F107" ca="1">INDEX(Data_DBD!$F:$F,$A107)</f>
        <v>3</v>
      </c>
      <c r="H107" s="32">
        <v>107</v>
      </c>
      <c r="I107" s="32">
        <v>48</v>
      </c>
      <c r="J107" s="32">
        <v>5</v>
      </c>
      <c r="K107" s="32">
        <v>18</v>
      </c>
      <c r="L107" s="32">
        <v>0</v>
      </c>
      <c r="M107" s="32">
        <v>3</v>
      </c>
    </row>
    <row r="108" spans="1:13">
      <c r="A108" s="32">
        <f t="shared" ca="1" si="1"/>
        <v>164</v>
      </c>
      <c r="B108" s="32" cm="1">
        <f t="array" aca="1" ref="B108" ca="1">INDEX(Data_DBD!$B:$B,$A108)</f>
        <v>10</v>
      </c>
      <c r="C108" s="32" cm="1">
        <f t="array" aca="1" ref="C108" ca="1">INDEX(Data_DBD!$C:$C,$A108)</f>
        <v>6</v>
      </c>
      <c r="D108" s="32" cm="1">
        <f t="array" aca="1" ref="D108" ca="1">INDEX(Data_DBD!$D:$D,$A108)</f>
        <v>3</v>
      </c>
      <c r="E108" s="32" cm="1">
        <f t="array" aca="1" ref="E108" ca="1">INDEX(Data_DBD!$E:$E,$A108)</f>
        <v>0</v>
      </c>
      <c r="F108" s="32" cm="1">
        <f t="array" aca="1" ref="F108" ca="1">INDEX(Data_DBD!$F:$F,$A108)</f>
        <v>1</v>
      </c>
      <c r="H108" s="32">
        <v>130</v>
      </c>
      <c r="I108" s="32">
        <v>12</v>
      </c>
      <c r="J108" s="32">
        <v>4</v>
      </c>
      <c r="K108" s="32">
        <v>33</v>
      </c>
      <c r="L108" s="32">
        <v>0</v>
      </c>
      <c r="M108" s="32">
        <v>3</v>
      </c>
    </row>
    <row r="109" spans="1:13">
      <c r="A109" s="32">
        <f t="shared" ca="1" si="1"/>
        <v>59</v>
      </c>
      <c r="B109" s="32" cm="1">
        <f t="array" aca="1" ref="B109" ca="1">INDEX(Data_DBD!$B:$B,$A109)</f>
        <v>28</v>
      </c>
      <c r="C109" s="32" cm="1">
        <f t="array" aca="1" ref="C109" ca="1">INDEX(Data_DBD!$C:$C,$A109)</f>
        <v>4</v>
      </c>
      <c r="D109" s="32" cm="1">
        <f t="array" aca="1" ref="D109" ca="1">INDEX(Data_DBD!$D:$D,$A109)</f>
        <v>15</v>
      </c>
      <c r="E109" s="32" cm="1">
        <f t="array" aca="1" ref="E109" ca="1">INDEX(Data_DBD!$E:$E,$A109)</f>
        <v>0</v>
      </c>
      <c r="F109" s="32" cm="1">
        <f t="array" aca="1" ref="F109" ca="1">INDEX(Data_DBD!$F:$F,$A109)</f>
        <v>2</v>
      </c>
      <c r="H109" s="32">
        <v>21</v>
      </c>
      <c r="I109" s="32">
        <v>10</v>
      </c>
      <c r="J109" s="32">
        <v>5</v>
      </c>
      <c r="K109" s="32">
        <v>14</v>
      </c>
      <c r="L109" s="32">
        <v>1</v>
      </c>
      <c r="M109" s="32">
        <v>2</v>
      </c>
    </row>
    <row r="110" spans="1:13">
      <c r="A110" s="32">
        <f t="shared" ca="1" si="1"/>
        <v>34</v>
      </c>
      <c r="B110" s="32" cm="1">
        <f t="array" aca="1" ref="B110" ca="1">INDEX(Data_DBD!$B:$B,$A110)</f>
        <v>55</v>
      </c>
      <c r="C110" s="32" cm="1">
        <f t="array" aca="1" ref="C110" ca="1">INDEX(Data_DBD!$C:$C,$A110)</f>
        <v>3</v>
      </c>
      <c r="D110" s="32" cm="1">
        <f t="array" aca="1" ref="D110" ca="1">INDEX(Data_DBD!$D:$D,$A110)</f>
        <v>14</v>
      </c>
      <c r="E110" s="32" cm="1">
        <f t="array" aca="1" ref="E110" ca="1">INDEX(Data_DBD!$E:$E,$A110)</f>
        <v>0</v>
      </c>
      <c r="F110" s="32" cm="1">
        <f t="array" aca="1" ref="F110" ca="1">INDEX(Data_DBD!$F:$F,$A110)</f>
        <v>2</v>
      </c>
      <c r="H110" s="32">
        <v>42</v>
      </c>
      <c r="I110" s="32">
        <v>21</v>
      </c>
      <c r="J110" s="32">
        <v>5</v>
      </c>
      <c r="K110" s="32">
        <v>13</v>
      </c>
      <c r="L110" s="32">
        <v>1</v>
      </c>
      <c r="M110" s="32">
        <v>2</v>
      </c>
    </row>
    <row r="111" spans="1:13">
      <c r="A111" s="32">
        <f t="shared" ca="1" si="1"/>
        <v>99</v>
      </c>
      <c r="B111" s="32" cm="1">
        <f t="array" aca="1" ref="B111" ca="1">INDEX(Data_DBD!$B:$B,$A111)</f>
        <v>4</v>
      </c>
      <c r="C111" s="32" cm="1">
        <f t="array" aca="1" ref="C111" ca="1">INDEX(Data_DBD!$C:$C,$A111)</f>
        <v>2</v>
      </c>
      <c r="D111" s="32" cm="1">
        <f t="array" aca="1" ref="D111" ca="1">INDEX(Data_DBD!$D:$D,$A111)</f>
        <v>18</v>
      </c>
      <c r="E111" s="32" cm="1">
        <f t="array" aca="1" ref="E111" ca="1">INDEX(Data_DBD!$E:$E,$A111)</f>
        <v>1</v>
      </c>
      <c r="F111" s="32" cm="1">
        <f t="array" aca="1" ref="F111" ca="1">INDEX(Data_DBD!$F:$F,$A111)</f>
        <v>3</v>
      </c>
      <c r="H111" s="32">
        <v>111</v>
      </c>
      <c r="I111" s="32">
        <v>25</v>
      </c>
      <c r="J111" s="32">
        <v>4</v>
      </c>
      <c r="K111" s="32">
        <v>33</v>
      </c>
      <c r="L111" s="32">
        <v>0</v>
      </c>
      <c r="M111" s="32">
        <v>3</v>
      </c>
    </row>
    <row r="112" spans="1:13">
      <c r="A112" s="32">
        <f t="shared" ca="1" si="1"/>
        <v>65</v>
      </c>
      <c r="B112" s="32" cm="1">
        <f t="array" aca="1" ref="B112" ca="1">INDEX(Data_DBD!$B:$B,$A112)</f>
        <v>49</v>
      </c>
      <c r="C112" s="32" cm="1">
        <f t="array" aca="1" ref="C112" ca="1">INDEX(Data_DBD!$C:$C,$A112)</f>
        <v>3</v>
      </c>
      <c r="D112" s="32" cm="1">
        <f t="array" aca="1" ref="D112" ca="1">INDEX(Data_DBD!$D:$D,$A112)</f>
        <v>15</v>
      </c>
      <c r="E112" s="32" cm="1">
        <f t="array" aca="1" ref="E112" ca="1">INDEX(Data_DBD!$E:$E,$A112)</f>
        <v>0</v>
      </c>
      <c r="F112" s="32" cm="1">
        <f t="array" aca="1" ref="F112" ca="1">INDEX(Data_DBD!$F:$F,$A112)</f>
        <v>2</v>
      </c>
      <c r="H112" s="32">
        <v>138</v>
      </c>
      <c r="I112" s="32">
        <v>13</v>
      </c>
      <c r="J112" s="32">
        <v>3</v>
      </c>
      <c r="K112" s="32">
        <v>33</v>
      </c>
      <c r="L112" s="32">
        <v>1</v>
      </c>
      <c r="M112" s="32">
        <v>3</v>
      </c>
    </row>
    <row r="113" spans="1:13">
      <c r="A113" s="32">
        <f t="shared" ca="1" si="1"/>
        <v>82</v>
      </c>
      <c r="B113" s="32" cm="1">
        <f t="array" aca="1" ref="B113" ca="1">INDEX(Data_DBD!$B:$B,$A113)</f>
        <v>28</v>
      </c>
      <c r="C113" s="32" cm="1">
        <f t="array" aca="1" ref="C113" ca="1">INDEX(Data_DBD!$C:$C,$A113)</f>
        <v>3</v>
      </c>
      <c r="D113" s="32" cm="1">
        <f t="array" aca="1" ref="D113" ca="1">INDEX(Data_DBD!$D:$D,$A113)</f>
        <v>13</v>
      </c>
      <c r="E113" s="32" cm="1">
        <f t="array" aca="1" ref="E113" ca="1">INDEX(Data_DBD!$E:$E,$A113)</f>
        <v>1</v>
      </c>
      <c r="F113" s="32" cm="1">
        <f t="array" aca="1" ref="F113" ca="1">INDEX(Data_DBD!$F:$F,$A113)</f>
        <v>2</v>
      </c>
      <c r="H113" s="32">
        <v>103</v>
      </c>
      <c r="I113" s="32">
        <v>22</v>
      </c>
      <c r="J113" s="32">
        <v>5</v>
      </c>
      <c r="K113" s="32">
        <v>18</v>
      </c>
      <c r="L113" s="32">
        <v>0</v>
      </c>
      <c r="M113" s="32">
        <v>3</v>
      </c>
    </row>
    <row r="114" spans="1:13">
      <c r="A114" s="32">
        <f t="shared" ca="1" si="1"/>
        <v>80</v>
      </c>
      <c r="B114" s="32" cm="1">
        <f t="array" aca="1" ref="B114" ca="1">INDEX(Data_DBD!$B:$B,$A114)</f>
        <v>27</v>
      </c>
      <c r="C114" s="32" cm="1">
        <f t="array" aca="1" ref="C114" ca="1">INDEX(Data_DBD!$C:$C,$A114)</f>
        <v>3</v>
      </c>
      <c r="D114" s="32" cm="1">
        <f t="array" aca="1" ref="D114" ca="1">INDEX(Data_DBD!$D:$D,$A114)</f>
        <v>13</v>
      </c>
      <c r="E114" s="32" cm="1">
        <f t="array" aca="1" ref="E114" ca="1">INDEX(Data_DBD!$E:$E,$A114)</f>
        <v>1</v>
      </c>
      <c r="F114" s="32" cm="1">
        <f t="array" aca="1" ref="F114" ca="1">INDEX(Data_DBD!$F:$F,$A114)</f>
        <v>2</v>
      </c>
      <c r="H114" s="32">
        <v>55</v>
      </c>
      <c r="I114" s="32">
        <v>7</v>
      </c>
      <c r="J114" s="32">
        <v>4</v>
      </c>
      <c r="K114" s="32">
        <v>15</v>
      </c>
      <c r="L114" s="32">
        <v>1</v>
      </c>
      <c r="M114" s="32">
        <v>2</v>
      </c>
    </row>
    <row r="115" spans="1:13">
      <c r="A115" s="32">
        <f t="shared" ca="1" si="1"/>
        <v>10</v>
      </c>
      <c r="B115" s="32" cm="1">
        <f t="array" aca="1" ref="B115" ca="1">INDEX(Data_DBD!$B:$B,$A115)</f>
        <v>18</v>
      </c>
      <c r="C115" s="32" cm="1">
        <f t="array" aca="1" ref="C115" ca="1">INDEX(Data_DBD!$C:$C,$A115)</f>
        <v>5</v>
      </c>
      <c r="D115" s="32" cm="1">
        <f t="array" aca="1" ref="D115" ca="1">INDEX(Data_DBD!$D:$D,$A115)</f>
        <v>12</v>
      </c>
      <c r="E115" s="32" cm="1">
        <f t="array" aca="1" ref="E115" ca="1">INDEX(Data_DBD!$E:$E,$A115)</f>
        <v>0</v>
      </c>
      <c r="F115" s="32" cm="1">
        <f t="array" aca="1" ref="F115" ca="1">INDEX(Data_DBD!$F:$F,$A115)</f>
        <v>2</v>
      </c>
      <c r="H115" s="32">
        <v>66</v>
      </c>
      <c r="I115" s="32">
        <v>21</v>
      </c>
      <c r="J115" s="32">
        <v>5</v>
      </c>
      <c r="K115" s="32">
        <v>15</v>
      </c>
      <c r="L115" s="32">
        <v>1</v>
      </c>
      <c r="M115" s="32">
        <v>2</v>
      </c>
    </row>
    <row r="116" spans="1:13">
      <c r="A116" s="32">
        <f t="shared" ca="1" si="1"/>
        <v>159</v>
      </c>
      <c r="B116" s="32" cm="1">
        <f t="array" aca="1" ref="B116" ca="1">INDEX(Data_DBD!$B:$B,$A116)</f>
        <v>17</v>
      </c>
      <c r="C116" s="32" cm="1">
        <f t="array" aca="1" ref="C116" ca="1">INDEX(Data_DBD!$C:$C,$A116)</f>
        <v>2</v>
      </c>
      <c r="D116" s="32" cm="1">
        <f t="array" aca="1" ref="D116" ca="1">INDEX(Data_DBD!$D:$D,$A116)</f>
        <v>21</v>
      </c>
      <c r="E116" s="32" cm="1">
        <f t="array" aca="1" ref="E116" ca="1">INDEX(Data_DBD!$E:$E,$A116)</f>
        <v>0</v>
      </c>
      <c r="F116" s="32" cm="1">
        <f t="array" aca="1" ref="F116" ca="1">INDEX(Data_DBD!$F:$F,$A116)</f>
        <v>3</v>
      </c>
      <c r="H116" s="32">
        <v>92</v>
      </c>
      <c r="I116" s="32">
        <v>55</v>
      </c>
      <c r="J116" s="32">
        <v>7</v>
      </c>
      <c r="K116" s="32">
        <v>18</v>
      </c>
      <c r="L116" s="32">
        <v>0</v>
      </c>
      <c r="M116" s="32">
        <v>3</v>
      </c>
    </row>
    <row r="117" spans="1:13">
      <c r="A117" s="32">
        <f t="shared" ca="1" si="1"/>
        <v>31</v>
      </c>
      <c r="B117" s="32" cm="1">
        <f t="array" aca="1" ref="B117" ca="1">INDEX(Data_DBD!$B:$B,$A117)</f>
        <v>64</v>
      </c>
      <c r="C117" s="32" cm="1">
        <f t="array" aca="1" ref="C117" ca="1">INDEX(Data_DBD!$C:$C,$A117)</f>
        <v>4</v>
      </c>
      <c r="D117" s="32" cm="1">
        <f t="array" aca="1" ref="D117" ca="1">INDEX(Data_DBD!$D:$D,$A117)</f>
        <v>14</v>
      </c>
      <c r="E117" s="32" cm="1">
        <f t="array" aca="1" ref="E117" ca="1">INDEX(Data_DBD!$E:$E,$A117)</f>
        <v>1</v>
      </c>
      <c r="F117" s="32" cm="1">
        <f t="array" aca="1" ref="F117" ca="1">INDEX(Data_DBD!$F:$F,$A117)</f>
        <v>2</v>
      </c>
      <c r="H117" s="32">
        <v>141</v>
      </c>
      <c r="I117" s="32">
        <v>36</v>
      </c>
      <c r="J117" s="32">
        <v>2</v>
      </c>
      <c r="K117" s="32">
        <v>21</v>
      </c>
      <c r="L117" s="32">
        <v>0</v>
      </c>
      <c r="M117" s="32">
        <v>3</v>
      </c>
    </row>
    <row r="118" spans="1:13">
      <c r="A118" s="32">
        <f t="shared" ca="1" si="1"/>
        <v>15</v>
      </c>
      <c r="B118" s="32" cm="1">
        <f t="array" aca="1" ref="B118" ca="1">INDEX(Data_DBD!$B:$B,$A118)</f>
        <v>21</v>
      </c>
      <c r="C118" s="32" cm="1">
        <f t="array" aca="1" ref="C118" ca="1">INDEX(Data_DBD!$C:$C,$A118)</f>
        <v>2</v>
      </c>
      <c r="D118" s="32" cm="1">
        <f t="array" aca="1" ref="D118" ca="1">INDEX(Data_DBD!$D:$D,$A118)</f>
        <v>7</v>
      </c>
      <c r="E118" s="32" cm="1">
        <f t="array" aca="1" ref="E118" ca="1">INDEX(Data_DBD!$E:$E,$A118)</f>
        <v>0</v>
      </c>
      <c r="F118" s="32" cm="1">
        <f t="array" aca="1" ref="F118" ca="1">INDEX(Data_DBD!$F:$F,$A118)</f>
        <v>1</v>
      </c>
      <c r="H118" s="32">
        <v>3</v>
      </c>
      <c r="I118" s="32">
        <v>43</v>
      </c>
      <c r="J118" s="32">
        <v>3</v>
      </c>
      <c r="K118" s="32">
        <v>12</v>
      </c>
      <c r="L118" s="32">
        <v>1</v>
      </c>
      <c r="M118" s="32">
        <v>2</v>
      </c>
    </row>
    <row r="119" spans="1:13">
      <c r="A119" s="32">
        <f t="shared" ca="1" si="1"/>
        <v>97</v>
      </c>
      <c r="B119" s="32" cm="1">
        <f t="array" aca="1" ref="B119" ca="1">INDEX(Data_DBD!$B:$B,$A119)</f>
        <v>16</v>
      </c>
      <c r="C119" s="32" cm="1">
        <f t="array" aca="1" ref="C119" ca="1">INDEX(Data_DBD!$C:$C,$A119)</f>
        <v>2</v>
      </c>
      <c r="D119" s="32" cm="1">
        <f t="array" aca="1" ref="D119" ca="1">INDEX(Data_DBD!$D:$D,$A119)</f>
        <v>18</v>
      </c>
      <c r="E119" s="32" cm="1">
        <f t="array" aca="1" ref="E119" ca="1">INDEX(Data_DBD!$E:$E,$A119)</f>
        <v>1</v>
      </c>
      <c r="F119" s="32" cm="1">
        <f t="array" aca="1" ref="F119" ca="1">INDEX(Data_DBD!$F:$F,$A119)</f>
        <v>3</v>
      </c>
      <c r="H119" s="32">
        <v>159</v>
      </c>
      <c r="I119" s="32">
        <v>17</v>
      </c>
      <c r="J119" s="32">
        <v>2</v>
      </c>
      <c r="K119" s="32">
        <v>21</v>
      </c>
      <c r="L119" s="32">
        <v>0</v>
      </c>
      <c r="M119" s="32">
        <v>3</v>
      </c>
    </row>
    <row r="120" spans="1:13">
      <c r="A120" s="32">
        <f t="shared" ca="1" si="1"/>
        <v>18</v>
      </c>
      <c r="B120" s="32" cm="1">
        <f t="array" aca="1" ref="B120" ca="1">INDEX(Data_DBD!$B:$B,$A120)</f>
        <v>49</v>
      </c>
      <c r="C120" s="32" cm="1">
        <f t="array" aca="1" ref="C120" ca="1">INDEX(Data_DBD!$C:$C,$A120)</f>
        <v>4</v>
      </c>
      <c r="D120" s="32" cm="1">
        <f t="array" aca="1" ref="D120" ca="1">INDEX(Data_DBD!$D:$D,$A120)</f>
        <v>7</v>
      </c>
      <c r="E120" s="32" cm="1">
        <f t="array" aca="1" ref="E120" ca="1">INDEX(Data_DBD!$E:$E,$A120)</f>
        <v>1</v>
      </c>
      <c r="F120" s="32" cm="1">
        <f t="array" aca="1" ref="F120" ca="1">INDEX(Data_DBD!$F:$F,$A120)</f>
        <v>1</v>
      </c>
      <c r="H120" s="32">
        <v>11</v>
      </c>
      <c r="I120" s="32">
        <v>24</v>
      </c>
      <c r="J120" s="32">
        <v>5</v>
      </c>
      <c r="K120" s="32">
        <v>12</v>
      </c>
      <c r="L120" s="32">
        <v>1</v>
      </c>
      <c r="M120" s="32">
        <v>2</v>
      </c>
    </row>
    <row r="121" spans="1:13">
      <c r="A121" s="32">
        <f t="shared" ca="1" si="1"/>
        <v>36</v>
      </c>
      <c r="B121" s="32" cm="1">
        <f t="array" aca="1" ref="B121" ca="1">INDEX(Data_DBD!$B:$B,$A121)</f>
        <v>27</v>
      </c>
      <c r="C121" s="32" cm="1">
        <f t="array" aca="1" ref="C121" ca="1">INDEX(Data_DBD!$C:$C,$A121)</f>
        <v>1</v>
      </c>
      <c r="D121" s="32" cm="1">
        <f t="array" aca="1" ref="D121" ca="1">INDEX(Data_DBD!$D:$D,$A121)</f>
        <v>4</v>
      </c>
      <c r="E121" s="32" cm="1">
        <f t="array" aca="1" ref="E121" ca="1">INDEX(Data_DBD!$E:$E,$A121)</f>
        <v>1</v>
      </c>
      <c r="F121" s="32" cm="1">
        <f t="array" aca="1" ref="F121" ca="1">INDEX(Data_DBD!$F:$F,$A121)</f>
        <v>1</v>
      </c>
      <c r="H121" s="32">
        <v>88</v>
      </c>
      <c r="I121" s="32">
        <v>20</v>
      </c>
      <c r="J121" s="32">
        <v>4</v>
      </c>
      <c r="K121" s="32">
        <v>13</v>
      </c>
      <c r="L121" s="32">
        <v>1</v>
      </c>
      <c r="M121" s="32">
        <v>2</v>
      </c>
    </row>
    <row r="122" spans="1:13">
      <c r="A122" s="32">
        <f t="shared" ca="1" si="1"/>
        <v>23</v>
      </c>
      <c r="B122" s="32" cm="1">
        <f t="array" aca="1" ref="B122" ca="1">INDEX(Data_DBD!$B:$B,$A122)</f>
        <v>28</v>
      </c>
      <c r="C122" s="32" cm="1">
        <f t="array" aca="1" ref="C122" ca="1">INDEX(Data_DBD!$C:$C,$A122)</f>
        <v>4</v>
      </c>
      <c r="D122" s="32" cm="1">
        <f t="array" aca="1" ref="D122" ca="1">INDEX(Data_DBD!$D:$D,$A122)</f>
        <v>14</v>
      </c>
      <c r="E122" s="32" cm="1">
        <f t="array" aca="1" ref="E122" ca="1">INDEX(Data_DBD!$E:$E,$A122)</f>
        <v>1</v>
      </c>
      <c r="F122" s="32" cm="1">
        <f t="array" aca="1" ref="F122" ca="1">INDEX(Data_DBD!$F:$F,$A122)</f>
        <v>2</v>
      </c>
      <c r="H122" s="32">
        <v>28</v>
      </c>
      <c r="I122" s="32">
        <v>22</v>
      </c>
      <c r="J122" s="32">
        <v>2</v>
      </c>
      <c r="K122" s="32">
        <v>14</v>
      </c>
      <c r="L122" s="32">
        <v>1</v>
      </c>
      <c r="M122" s="32">
        <v>2</v>
      </c>
    </row>
    <row r="123" spans="1:13">
      <c r="A123" s="32">
        <f t="shared" ca="1" si="1"/>
        <v>45</v>
      </c>
      <c r="B123" s="32" cm="1">
        <f t="array" aca="1" ref="B123" ca="1">INDEX(Data_DBD!$B:$B,$A123)</f>
        <v>75</v>
      </c>
      <c r="C123" s="32" cm="1">
        <f t="array" aca="1" ref="C123" ca="1">INDEX(Data_DBD!$C:$C,$A123)</f>
        <v>3</v>
      </c>
      <c r="D123" s="32" cm="1">
        <f t="array" aca="1" ref="D123" ca="1">INDEX(Data_DBD!$D:$D,$A123)</f>
        <v>13</v>
      </c>
      <c r="E123" s="32" cm="1">
        <f t="array" aca="1" ref="E123" ca="1">INDEX(Data_DBD!$E:$E,$A123)</f>
        <v>1</v>
      </c>
      <c r="F123" s="32" cm="1">
        <f t="array" aca="1" ref="F123" ca="1">INDEX(Data_DBD!$F:$F,$A123)</f>
        <v>2</v>
      </c>
      <c r="H123" s="32">
        <v>93</v>
      </c>
      <c r="I123" s="32">
        <v>65</v>
      </c>
      <c r="J123" s="32">
        <v>4</v>
      </c>
      <c r="K123" s="32">
        <v>18</v>
      </c>
      <c r="L123" s="32">
        <v>0</v>
      </c>
      <c r="M123" s="32">
        <v>3</v>
      </c>
    </row>
    <row r="124" spans="1:13">
      <c r="A124" s="32">
        <f t="shared" ca="1" si="1"/>
        <v>100</v>
      </c>
      <c r="B124" s="32" cm="1">
        <f t="array" aca="1" ref="B124" ca="1">INDEX(Data_DBD!$B:$B,$A124)</f>
        <v>19</v>
      </c>
      <c r="C124" s="32" cm="1">
        <f t="array" aca="1" ref="C124" ca="1">INDEX(Data_DBD!$C:$C,$A124)</f>
        <v>6</v>
      </c>
      <c r="D124" s="32" cm="1">
        <f t="array" aca="1" ref="D124" ca="1">INDEX(Data_DBD!$D:$D,$A124)</f>
        <v>18</v>
      </c>
      <c r="E124" s="32" cm="1">
        <f t="array" aca="1" ref="E124" ca="1">INDEX(Data_DBD!$E:$E,$A124)</f>
        <v>0</v>
      </c>
      <c r="F124" s="32" cm="1">
        <f t="array" aca="1" ref="F124" ca="1">INDEX(Data_DBD!$F:$F,$A124)</f>
        <v>3</v>
      </c>
      <c r="H124" s="32">
        <v>144</v>
      </c>
      <c r="I124" s="32">
        <v>61</v>
      </c>
      <c r="J124" s="32">
        <v>4</v>
      </c>
      <c r="K124" s="32">
        <v>21</v>
      </c>
      <c r="L124" s="32">
        <v>1</v>
      </c>
      <c r="M124" s="32">
        <v>3</v>
      </c>
    </row>
    <row r="125" spans="1:13">
      <c r="A125" s="32">
        <f t="shared" ca="1" si="1"/>
        <v>119</v>
      </c>
      <c r="B125" s="32" cm="1">
        <f t="array" aca="1" ref="B125" ca="1">INDEX(Data_DBD!$B:$B,$A125)</f>
        <v>30</v>
      </c>
      <c r="C125" s="32" cm="1">
        <f t="array" aca="1" ref="C125" ca="1">INDEX(Data_DBD!$C:$C,$A125)</f>
        <v>7</v>
      </c>
      <c r="D125" s="32" cm="1">
        <f t="array" aca="1" ref="D125" ca="1">INDEX(Data_DBD!$D:$D,$A125)</f>
        <v>33</v>
      </c>
      <c r="E125" s="32" cm="1">
        <f t="array" aca="1" ref="E125" ca="1">INDEX(Data_DBD!$E:$E,$A125)</f>
        <v>0</v>
      </c>
      <c r="F125" s="32" cm="1">
        <f t="array" aca="1" ref="F125" ca="1">INDEX(Data_DBD!$F:$F,$A125)</f>
        <v>3</v>
      </c>
      <c r="H125" s="32">
        <v>121</v>
      </c>
      <c r="I125" s="32">
        <v>82</v>
      </c>
      <c r="J125" s="32">
        <v>5</v>
      </c>
      <c r="K125" s="32">
        <v>33</v>
      </c>
      <c r="L125" s="32">
        <v>1</v>
      </c>
      <c r="M125" s="32">
        <v>3</v>
      </c>
    </row>
    <row r="126" spans="1:13">
      <c r="A126" s="32">
        <f t="shared" ca="1" si="1"/>
        <v>98</v>
      </c>
      <c r="B126" s="32" cm="1">
        <f t="array" aca="1" ref="B126" ca="1">INDEX(Data_DBD!$B:$B,$A126)</f>
        <v>16</v>
      </c>
      <c r="C126" s="32" cm="1">
        <f t="array" aca="1" ref="C126" ca="1">INDEX(Data_DBD!$C:$C,$A126)</f>
        <v>2</v>
      </c>
      <c r="D126" s="32" cm="1">
        <f t="array" aca="1" ref="D126" ca="1">INDEX(Data_DBD!$D:$D,$A126)</f>
        <v>18</v>
      </c>
      <c r="E126" s="32" cm="1">
        <f t="array" aca="1" ref="E126" ca="1">INDEX(Data_DBD!$E:$E,$A126)</f>
        <v>1</v>
      </c>
      <c r="F126" s="32" cm="1">
        <f t="array" aca="1" ref="F126" ca="1">INDEX(Data_DBD!$F:$F,$A126)</f>
        <v>3</v>
      </c>
      <c r="H126" s="32">
        <v>105</v>
      </c>
      <c r="I126" s="32">
        <v>61</v>
      </c>
      <c r="J126" s="32">
        <v>3</v>
      </c>
      <c r="K126" s="32">
        <v>18</v>
      </c>
      <c r="L126" s="32">
        <v>1</v>
      </c>
      <c r="M126" s="32">
        <v>3</v>
      </c>
    </row>
    <row r="127" spans="1:13">
      <c r="A127" s="32">
        <f t="shared" ca="1" si="1"/>
        <v>78</v>
      </c>
      <c r="B127" s="32" cm="1">
        <f t="array" aca="1" ref="B127" ca="1">INDEX(Data_DBD!$B:$B,$A127)</f>
        <v>6</v>
      </c>
      <c r="C127" s="32" cm="1">
        <f t="array" aca="1" ref="C127" ca="1">INDEX(Data_DBD!$C:$C,$A127)</f>
        <v>3</v>
      </c>
      <c r="D127" s="32" cm="1">
        <f t="array" aca="1" ref="D127" ca="1">INDEX(Data_DBD!$D:$D,$A127)</f>
        <v>13</v>
      </c>
      <c r="E127" s="32" cm="1">
        <f t="array" aca="1" ref="E127" ca="1">INDEX(Data_DBD!$E:$E,$A127)</f>
        <v>0</v>
      </c>
      <c r="F127" s="32" cm="1">
        <f t="array" aca="1" ref="F127" ca="1">INDEX(Data_DBD!$F:$F,$A127)</f>
        <v>2</v>
      </c>
      <c r="H127" s="32">
        <v>70</v>
      </c>
      <c r="I127" s="32">
        <v>26</v>
      </c>
      <c r="J127" s="32">
        <v>3</v>
      </c>
      <c r="K127" s="32">
        <v>10</v>
      </c>
      <c r="L127" s="32">
        <v>1</v>
      </c>
      <c r="M127" s="32">
        <v>2</v>
      </c>
    </row>
    <row r="128" spans="1:13">
      <c r="A128" s="32">
        <f t="shared" ca="1" si="1"/>
        <v>66</v>
      </c>
      <c r="B128" s="32" cm="1">
        <f t="array" aca="1" ref="B128" ca="1">INDEX(Data_DBD!$B:$B,$A128)</f>
        <v>21</v>
      </c>
      <c r="C128" s="32" cm="1">
        <f t="array" aca="1" ref="C128" ca="1">INDEX(Data_DBD!$C:$C,$A128)</f>
        <v>5</v>
      </c>
      <c r="D128" s="32" cm="1">
        <f t="array" aca="1" ref="D128" ca="1">INDEX(Data_DBD!$D:$D,$A128)</f>
        <v>15</v>
      </c>
      <c r="E128" s="32" cm="1">
        <f t="array" aca="1" ref="E128" ca="1">INDEX(Data_DBD!$E:$E,$A128)</f>
        <v>1</v>
      </c>
      <c r="F128" s="32" cm="1">
        <f t="array" aca="1" ref="F128" ca="1">INDEX(Data_DBD!$F:$F,$A128)</f>
        <v>2</v>
      </c>
      <c r="H128" s="32">
        <v>111</v>
      </c>
      <c r="I128" s="32">
        <v>25</v>
      </c>
      <c r="J128" s="32">
        <v>4</v>
      </c>
      <c r="K128" s="32">
        <v>33</v>
      </c>
      <c r="L128" s="32">
        <v>0</v>
      </c>
      <c r="M128" s="32">
        <v>3</v>
      </c>
    </row>
    <row r="129" spans="1:13">
      <c r="A129" s="32">
        <f t="shared" ca="1" si="1"/>
        <v>10</v>
      </c>
      <c r="B129" s="32" cm="1">
        <f t="array" aca="1" ref="B129" ca="1">INDEX(Data_DBD!$B:$B,$A129)</f>
        <v>18</v>
      </c>
      <c r="C129" s="32" cm="1">
        <f t="array" aca="1" ref="C129" ca="1">INDEX(Data_DBD!$C:$C,$A129)</f>
        <v>5</v>
      </c>
      <c r="D129" s="32" cm="1">
        <f t="array" aca="1" ref="D129" ca="1">INDEX(Data_DBD!$D:$D,$A129)</f>
        <v>12</v>
      </c>
      <c r="E129" s="32" cm="1">
        <f t="array" aca="1" ref="E129" ca="1">INDEX(Data_DBD!$E:$E,$A129)</f>
        <v>0</v>
      </c>
      <c r="F129" s="32" cm="1">
        <f t="array" aca="1" ref="F129" ca="1">INDEX(Data_DBD!$F:$F,$A129)</f>
        <v>2</v>
      </c>
      <c r="H129" s="32">
        <v>35</v>
      </c>
      <c r="I129" s="32">
        <v>40</v>
      </c>
      <c r="J129" s="32">
        <v>3</v>
      </c>
      <c r="K129" s="32">
        <v>4</v>
      </c>
      <c r="L129" s="32">
        <v>1</v>
      </c>
      <c r="M129" s="32">
        <v>1</v>
      </c>
    </row>
    <row r="130" spans="1:13">
      <c r="A130" s="32">
        <f t="shared" ca="1" si="1"/>
        <v>72</v>
      </c>
      <c r="B130" s="32" cm="1">
        <f t="array" aca="1" ref="B130" ca="1">INDEX(Data_DBD!$B:$B,$A130)</f>
        <v>3</v>
      </c>
      <c r="C130" s="32" cm="1">
        <f t="array" aca="1" ref="C130" ca="1">INDEX(Data_DBD!$C:$C,$A130)</f>
        <v>5</v>
      </c>
      <c r="D130" s="32" cm="1">
        <f t="array" aca="1" ref="D130" ca="1">INDEX(Data_DBD!$D:$D,$A130)</f>
        <v>10</v>
      </c>
      <c r="E130" s="32" cm="1">
        <f t="array" aca="1" ref="E130" ca="1">INDEX(Data_DBD!$E:$E,$A130)</f>
        <v>1</v>
      </c>
      <c r="F130" s="32" cm="1">
        <f t="array" aca="1" ref="F130" ca="1">INDEX(Data_DBD!$F:$F,$A130)</f>
        <v>2</v>
      </c>
      <c r="H130" s="32">
        <v>119</v>
      </c>
      <c r="I130" s="32">
        <v>30</v>
      </c>
      <c r="J130" s="32">
        <v>7</v>
      </c>
      <c r="K130" s="32">
        <v>33</v>
      </c>
      <c r="L130" s="32">
        <v>0</v>
      </c>
      <c r="M130" s="32">
        <v>3</v>
      </c>
    </row>
    <row r="131" spans="1:13">
      <c r="A131" s="32">
        <f t="shared" ref="A131:A164" ca="1" si="2">RANDBETWEEN(2,164)</f>
        <v>164</v>
      </c>
      <c r="B131" s="32" cm="1">
        <f t="array" aca="1" ref="B131" ca="1">INDEX(Data_DBD!$B:$B,$A131)</f>
        <v>10</v>
      </c>
      <c r="C131" s="32" cm="1">
        <f t="array" aca="1" ref="C131" ca="1">INDEX(Data_DBD!$C:$C,$A131)</f>
        <v>6</v>
      </c>
      <c r="D131" s="32" cm="1">
        <f t="array" aca="1" ref="D131" ca="1">INDEX(Data_DBD!$D:$D,$A131)</f>
        <v>3</v>
      </c>
      <c r="E131" s="32" cm="1">
        <f t="array" aca="1" ref="E131" ca="1">INDEX(Data_DBD!$E:$E,$A131)</f>
        <v>0</v>
      </c>
      <c r="F131" s="32" cm="1">
        <f t="array" aca="1" ref="F131" ca="1">INDEX(Data_DBD!$F:$F,$A131)</f>
        <v>1</v>
      </c>
      <c r="H131" s="32">
        <v>124</v>
      </c>
      <c r="I131" s="32">
        <v>24</v>
      </c>
      <c r="J131" s="32">
        <v>3</v>
      </c>
      <c r="K131" s="32">
        <v>33</v>
      </c>
      <c r="L131" s="32">
        <v>1</v>
      </c>
      <c r="M131" s="32">
        <v>3</v>
      </c>
    </row>
    <row r="132" spans="1:13">
      <c r="A132" s="32">
        <f t="shared" ca="1" si="2"/>
        <v>137</v>
      </c>
      <c r="B132" s="32" cm="1">
        <f t="array" aca="1" ref="B132" ca="1">INDEX(Data_DBD!$B:$B,$A132)</f>
        <v>3.5</v>
      </c>
      <c r="C132" s="32" cm="1">
        <f t="array" aca="1" ref="C132" ca="1">INDEX(Data_DBD!$C:$C,$A132)</f>
        <v>1</v>
      </c>
      <c r="D132" s="32" cm="1">
        <f t="array" aca="1" ref="D132" ca="1">INDEX(Data_DBD!$D:$D,$A132)</f>
        <v>33</v>
      </c>
      <c r="E132" s="32" cm="1">
        <f t="array" aca="1" ref="E132" ca="1">INDEX(Data_DBD!$E:$E,$A132)</f>
        <v>1</v>
      </c>
      <c r="F132" s="32" cm="1">
        <f t="array" aca="1" ref="F132" ca="1">INDEX(Data_DBD!$F:$F,$A132)</f>
        <v>3</v>
      </c>
      <c r="H132" s="32">
        <v>3</v>
      </c>
      <c r="I132" s="32">
        <v>43</v>
      </c>
      <c r="J132" s="32">
        <v>3</v>
      </c>
      <c r="K132" s="32">
        <v>12</v>
      </c>
      <c r="L132" s="32">
        <v>1</v>
      </c>
      <c r="M132" s="32">
        <v>2</v>
      </c>
    </row>
    <row r="133" spans="1:13">
      <c r="A133" s="32">
        <f t="shared" ca="1" si="2"/>
        <v>149</v>
      </c>
      <c r="B133" s="32" cm="1">
        <f t="array" aca="1" ref="B133" ca="1">INDEX(Data_DBD!$B:$B,$A133)</f>
        <v>19</v>
      </c>
      <c r="C133" s="32" cm="1">
        <f t="array" aca="1" ref="C133" ca="1">INDEX(Data_DBD!$C:$C,$A133)</f>
        <v>5</v>
      </c>
      <c r="D133" s="32" cm="1">
        <f t="array" aca="1" ref="D133" ca="1">INDEX(Data_DBD!$D:$D,$A133)</f>
        <v>21</v>
      </c>
      <c r="E133" s="32" cm="1">
        <f t="array" aca="1" ref="E133" ca="1">INDEX(Data_DBD!$E:$E,$A133)</f>
        <v>0</v>
      </c>
      <c r="F133" s="32" cm="1">
        <f t="array" aca="1" ref="F133" ca="1">INDEX(Data_DBD!$F:$F,$A133)</f>
        <v>3</v>
      </c>
      <c r="H133" s="32">
        <v>21</v>
      </c>
      <c r="I133" s="32">
        <v>10</v>
      </c>
      <c r="J133" s="32">
        <v>5</v>
      </c>
      <c r="K133" s="32">
        <v>14</v>
      </c>
      <c r="L133" s="32">
        <v>1</v>
      </c>
      <c r="M133" s="32">
        <v>2</v>
      </c>
    </row>
    <row r="134" spans="1:13">
      <c r="A134" s="32">
        <f t="shared" ca="1" si="2"/>
        <v>79</v>
      </c>
      <c r="B134" s="32" cm="1">
        <f t="array" aca="1" ref="B134" ca="1">INDEX(Data_DBD!$B:$B,$A134)</f>
        <v>29</v>
      </c>
      <c r="C134" s="32" cm="1">
        <f t="array" aca="1" ref="C134" ca="1">INDEX(Data_DBD!$C:$C,$A134)</f>
        <v>3</v>
      </c>
      <c r="D134" s="32" cm="1">
        <f t="array" aca="1" ref="D134" ca="1">INDEX(Data_DBD!$D:$D,$A134)</f>
        <v>13</v>
      </c>
      <c r="E134" s="32" cm="1">
        <f t="array" aca="1" ref="E134" ca="1">INDEX(Data_DBD!$E:$E,$A134)</f>
        <v>0</v>
      </c>
      <c r="F134" s="32" cm="1">
        <f t="array" aca="1" ref="F134" ca="1">INDEX(Data_DBD!$F:$F,$A134)</f>
        <v>2</v>
      </c>
      <c r="H134" s="32">
        <v>88</v>
      </c>
      <c r="I134" s="32">
        <v>20</v>
      </c>
      <c r="J134" s="32">
        <v>4</v>
      </c>
      <c r="K134" s="32">
        <v>13</v>
      </c>
      <c r="L134" s="32">
        <v>1</v>
      </c>
      <c r="M134" s="32">
        <v>2</v>
      </c>
    </row>
    <row r="135" spans="1:13">
      <c r="A135" s="32">
        <f t="shared" ca="1" si="2"/>
        <v>85</v>
      </c>
      <c r="B135" s="32" cm="1">
        <f t="array" aca="1" ref="B135" ca="1">INDEX(Data_DBD!$B:$B,$A135)</f>
        <v>27</v>
      </c>
      <c r="C135" s="32" cm="1">
        <f t="array" aca="1" ref="C135" ca="1">INDEX(Data_DBD!$C:$C,$A135)</f>
        <v>9</v>
      </c>
      <c r="D135" s="32" cm="1">
        <f t="array" aca="1" ref="D135" ca="1">INDEX(Data_DBD!$D:$D,$A135)</f>
        <v>13</v>
      </c>
      <c r="E135" s="32" cm="1">
        <f t="array" aca="1" ref="E135" ca="1">INDEX(Data_DBD!$E:$E,$A135)</f>
        <v>0</v>
      </c>
      <c r="F135" s="32" cm="1">
        <f t="array" aca="1" ref="F135" ca="1">INDEX(Data_DBD!$F:$F,$A135)</f>
        <v>2</v>
      </c>
      <c r="H135" s="32">
        <v>104</v>
      </c>
      <c r="I135" s="32">
        <v>37</v>
      </c>
      <c r="J135" s="32">
        <v>4</v>
      </c>
      <c r="K135" s="32">
        <v>18</v>
      </c>
      <c r="L135" s="32">
        <v>1</v>
      </c>
      <c r="M135" s="32">
        <v>3</v>
      </c>
    </row>
    <row r="136" spans="1:13">
      <c r="A136" s="32">
        <f t="shared" ca="1" si="2"/>
        <v>79</v>
      </c>
      <c r="B136" s="32" cm="1">
        <f t="array" aca="1" ref="B136" ca="1">INDEX(Data_DBD!$B:$B,$A136)</f>
        <v>29</v>
      </c>
      <c r="C136" s="32" cm="1">
        <f t="array" aca="1" ref="C136" ca="1">INDEX(Data_DBD!$C:$C,$A136)</f>
        <v>3</v>
      </c>
      <c r="D136" s="32" cm="1">
        <f t="array" aca="1" ref="D136" ca="1">INDEX(Data_DBD!$D:$D,$A136)</f>
        <v>13</v>
      </c>
      <c r="E136" s="32" cm="1">
        <f t="array" aca="1" ref="E136" ca="1">INDEX(Data_DBD!$E:$E,$A136)</f>
        <v>0</v>
      </c>
      <c r="F136" s="32" cm="1">
        <f t="array" aca="1" ref="F136" ca="1">INDEX(Data_DBD!$F:$F,$A136)</f>
        <v>2</v>
      </c>
      <c r="H136" s="32">
        <v>23</v>
      </c>
      <c r="I136" s="32">
        <v>28</v>
      </c>
      <c r="J136" s="32">
        <v>4</v>
      </c>
      <c r="K136" s="32">
        <v>14</v>
      </c>
      <c r="L136" s="32">
        <v>1</v>
      </c>
      <c r="M136" s="32">
        <v>2</v>
      </c>
    </row>
    <row r="137" spans="1:13">
      <c r="A137" s="32">
        <f t="shared" ca="1" si="2"/>
        <v>82</v>
      </c>
      <c r="B137" s="32" cm="1">
        <f t="array" aca="1" ref="B137" ca="1">INDEX(Data_DBD!$B:$B,$A137)</f>
        <v>28</v>
      </c>
      <c r="C137" s="32" cm="1">
        <f t="array" aca="1" ref="C137" ca="1">INDEX(Data_DBD!$C:$C,$A137)</f>
        <v>3</v>
      </c>
      <c r="D137" s="32" cm="1">
        <f t="array" aca="1" ref="D137" ca="1">INDEX(Data_DBD!$D:$D,$A137)</f>
        <v>13</v>
      </c>
      <c r="E137" s="32" cm="1">
        <f t="array" aca="1" ref="E137" ca="1">INDEX(Data_DBD!$E:$E,$A137)</f>
        <v>1</v>
      </c>
      <c r="F137" s="32" cm="1">
        <f t="array" aca="1" ref="F137" ca="1">INDEX(Data_DBD!$F:$F,$A137)</f>
        <v>2</v>
      </c>
      <c r="H137" s="32">
        <v>85</v>
      </c>
      <c r="I137" s="32">
        <v>27</v>
      </c>
      <c r="J137" s="32">
        <v>9</v>
      </c>
      <c r="K137" s="32">
        <v>13</v>
      </c>
      <c r="L137" s="32">
        <v>0</v>
      </c>
      <c r="M137" s="32">
        <v>2</v>
      </c>
    </row>
    <row r="138" spans="1:13">
      <c r="A138" s="32">
        <f t="shared" ca="1" si="2"/>
        <v>17</v>
      </c>
      <c r="B138" s="32" cm="1">
        <f t="array" aca="1" ref="B138" ca="1">INDEX(Data_DBD!$B:$B,$A138)</f>
        <v>2</v>
      </c>
      <c r="C138" s="32" cm="1">
        <f t="array" aca="1" ref="C138" ca="1">INDEX(Data_DBD!$C:$C,$A138)</f>
        <v>3</v>
      </c>
      <c r="D138" s="32" cm="1">
        <f t="array" aca="1" ref="D138" ca="1">INDEX(Data_DBD!$D:$D,$A138)</f>
        <v>7</v>
      </c>
      <c r="E138" s="32" cm="1">
        <f t="array" aca="1" ref="E138" ca="1">INDEX(Data_DBD!$E:$E,$A138)</f>
        <v>0</v>
      </c>
      <c r="F138" s="32" cm="1">
        <f t="array" aca="1" ref="F138" ca="1">INDEX(Data_DBD!$F:$F,$A138)</f>
        <v>1</v>
      </c>
      <c r="H138" s="32">
        <v>96</v>
      </c>
      <c r="I138" s="32">
        <v>56</v>
      </c>
      <c r="J138" s="32">
        <v>4</v>
      </c>
      <c r="K138" s="32">
        <v>18</v>
      </c>
      <c r="L138" s="32">
        <v>0</v>
      </c>
      <c r="M138" s="32">
        <v>3</v>
      </c>
    </row>
    <row r="139" spans="1:13">
      <c r="A139" s="32">
        <f t="shared" ca="1" si="2"/>
        <v>91</v>
      </c>
      <c r="B139" s="32" cm="1">
        <f t="array" aca="1" ref="B139" ca="1">INDEX(Data_DBD!$B:$B,$A139)</f>
        <v>35</v>
      </c>
      <c r="C139" s="32" cm="1">
        <f t="array" aca="1" ref="C139" ca="1">INDEX(Data_DBD!$C:$C,$A139)</f>
        <v>1</v>
      </c>
      <c r="D139" s="32" cm="1">
        <f t="array" aca="1" ref="D139" ca="1">INDEX(Data_DBD!$D:$D,$A139)</f>
        <v>18</v>
      </c>
      <c r="E139" s="32" cm="1">
        <f t="array" aca="1" ref="E139" ca="1">INDEX(Data_DBD!$E:$E,$A139)</f>
        <v>1</v>
      </c>
      <c r="F139" s="32" cm="1">
        <f t="array" aca="1" ref="F139" ca="1">INDEX(Data_DBD!$F:$F,$A139)</f>
        <v>3</v>
      </c>
      <c r="H139" s="32">
        <v>148</v>
      </c>
      <c r="I139" s="32">
        <v>55</v>
      </c>
      <c r="J139" s="32">
        <v>3</v>
      </c>
      <c r="K139" s="32">
        <v>21</v>
      </c>
      <c r="L139" s="32">
        <v>1</v>
      </c>
      <c r="M139" s="32">
        <v>3</v>
      </c>
    </row>
    <row r="140" spans="1:13">
      <c r="A140" s="32">
        <f t="shared" ca="1" si="2"/>
        <v>132</v>
      </c>
      <c r="B140" s="32" cm="1">
        <f t="array" aca="1" ref="B140" ca="1">INDEX(Data_DBD!$B:$B,$A140)</f>
        <v>10</v>
      </c>
      <c r="C140" s="32" cm="1">
        <f t="array" aca="1" ref="C140" ca="1">INDEX(Data_DBD!$C:$C,$A140)</f>
        <v>3</v>
      </c>
      <c r="D140" s="32" cm="1">
        <f t="array" aca="1" ref="D140" ca="1">INDEX(Data_DBD!$D:$D,$A140)</f>
        <v>33</v>
      </c>
      <c r="E140" s="32" cm="1">
        <f t="array" aca="1" ref="E140" ca="1">INDEX(Data_DBD!$E:$E,$A140)</f>
        <v>1</v>
      </c>
      <c r="F140" s="32" cm="1">
        <f t="array" aca="1" ref="F140" ca="1">INDEX(Data_DBD!$F:$F,$A140)</f>
        <v>3</v>
      </c>
      <c r="H140" s="32">
        <v>86</v>
      </c>
      <c r="I140" s="32">
        <v>23</v>
      </c>
      <c r="J140" s="32">
        <v>3</v>
      </c>
      <c r="K140" s="32">
        <v>13</v>
      </c>
      <c r="L140" s="32">
        <v>0</v>
      </c>
      <c r="M140" s="32">
        <v>2</v>
      </c>
    </row>
    <row r="141" spans="1:13">
      <c r="A141" s="32">
        <f t="shared" ca="1" si="2"/>
        <v>48</v>
      </c>
      <c r="B141" s="32" cm="1">
        <f t="array" aca="1" ref="B141" ca="1">INDEX(Data_DBD!$B:$B,$A141)</f>
        <v>50</v>
      </c>
      <c r="C141" s="32" cm="1">
        <f t="array" aca="1" ref="C141" ca="1">INDEX(Data_DBD!$C:$C,$A141)</f>
        <v>5</v>
      </c>
      <c r="D141" s="32" cm="1">
        <f t="array" aca="1" ref="D141" ca="1">INDEX(Data_DBD!$D:$D,$A141)</f>
        <v>13</v>
      </c>
      <c r="E141" s="32" cm="1">
        <f t="array" aca="1" ref="E141" ca="1">INDEX(Data_DBD!$E:$E,$A141)</f>
        <v>1</v>
      </c>
      <c r="F141" s="32" cm="1">
        <f t="array" aca="1" ref="F141" ca="1">INDEX(Data_DBD!$F:$F,$A141)</f>
        <v>2</v>
      </c>
      <c r="H141" s="32">
        <v>60</v>
      </c>
      <c r="I141" s="32">
        <v>68</v>
      </c>
      <c r="J141" s="32">
        <v>4</v>
      </c>
      <c r="K141" s="32">
        <v>15</v>
      </c>
      <c r="L141" s="32">
        <v>0</v>
      </c>
      <c r="M141" s="32">
        <v>2</v>
      </c>
    </row>
    <row r="142" spans="1:13">
      <c r="A142" s="32">
        <f t="shared" ca="1" si="2"/>
        <v>25</v>
      </c>
      <c r="B142" s="32" cm="1">
        <f t="array" aca="1" ref="B142" ca="1">INDEX(Data_DBD!$B:$B,$A142)</f>
        <v>81</v>
      </c>
      <c r="C142" s="32" cm="1">
        <f t="array" aca="1" ref="C142" ca="1">INDEX(Data_DBD!$C:$C,$A142)</f>
        <v>5</v>
      </c>
      <c r="D142" s="32" cm="1">
        <f t="array" aca="1" ref="D142" ca="1">INDEX(Data_DBD!$D:$D,$A142)</f>
        <v>14</v>
      </c>
      <c r="E142" s="32" cm="1">
        <f t="array" aca="1" ref="E142" ca="1">INDEX(Data_DBD!$E:$E,$A142)</f>
        <v>0</v>
      </c>
      <c r="F142" s="32" cm="1">
        <f t="array" aca="1" ref="F142" ca="1">INDEX(Data_DBD!$F:$F,$A142)</f>
        <v>2</v>
      </c>
      <c r="H142" s="32">
        <v>28</v>
      </c>
      <c r="I142" s="32">
        <v>22</v>
      </c>
      <c r="J142" s="32">
        <v>2</v>
      </c>
      <c r="K142" s="32">
        <v>14</v>
      </c>
      <c r="L142" s="32">
        <v>1</v>
      </c>
      <c r="M142" s="32">
        <v>2</v>
      </c>
    </row>
    <row r="143" spans="1:13">
      <c r="A143" s="32">
        <f t="shared" ca="1" si="2"/>
        <v>37</v>
      </c>
      <c r="B143" s="32" cm="1">
        <f t="array" aca="1" ref="B143" ca="1">INDEX(Data_DBD!$B:$B,$A143)</f>
        <v>28</v>
      </c>
      <c r="C143" s="32" cm="1">
        <f t="array" aca="1" ref="C143" ca="1">INDEX(Data_DBD!$C:$C,$A143)</f>
        <v>4</v>
      </c>
      <c r="D143" s="32" cm="1">
        <f t="array" aca="1" ref="D143" ca="1">INDEX(Data_DBD!$D:$D,$A143)</f>
        <v>4</v>
      </c>
      <c r="E143" s="32" cm="1">
        <f t="array" aca="1" ref="E143" ca="1">INDEX(Data_DBD!$E:$E,$A143)</f>
        <v>1</v>
      </c>
      <c r="F143" s="32" cm="1">
        <f t="array" aca="1" ref="F143" ca="1">INDEX(Data_DBD!$F:$F,$A143)</f>
        <v>1</v>
      </c>
      <c r="H143" s="32">
        <v>120</v>
      </c>
      <c r="I143" s="32">
        <v>26</v>
      </c>
      <c r="J143" s="32">
        <v>4</v>
      </c>
      <c r="K143" s="32">
        <v>33</v>
      </c>
      <c r="L143" s="32">
        <v>1</v>
      </c>
      <c r="M143" s="32">
        <v>3</v>
      </c>
    </row>
    <row r="144" spans="1:13">
      <c r="A144" s="32">
        <f t="shared" ca="1" si="2"/>
        <v>149</v>
      </c>
      <c r="B144" s="32" cm="1">
        <f t="array" aca="1" ref="B144" ca="1">INDEX(Data_DBD!$B:$B,$A144)</f>
        <v>19</v>
      </c>
      <c r="C144" s="32" cm="1">
        <f t="array" aca="1" ref="C144" ca="1">INDEX(Data_DBD!$C:$C,$A144)</f>
        <v>5</v>
      </c>
      <c r="D144" s="32" cm="1">
        <f t="array" aca="1" ref="D144" ca="1">INDEX(Data_DBD!$D:$D,$A144)</f>
        <v>21</v>
      </c>
      <c r="E144" s="32" cm="1">
        <f t="array" aca="1" ref="E144" ca="1">INDEX(Data_DBD!$E:$E,$A144)</f>
        <v>0</v>
      </c>
      <c r="F144" s="32" cm="1">
        <f t="array" aca="1" ref="F144" ca="1">INDEX(Data_DBD!$F:$F,$A144)</f>
        <v>3</v>
      </c>
      <c r="H144" s="32">
        <v>71</v>
      </c>
      <c r="I144" s="32">
        <v>84</v>
      </c>
      <c r="J144" s="32">
        <v>3</v>
      </c>
      <c r="K144" s="32">
        <v>10</v>
      </c>
      <c r="L144" s="32">
        <v>0</v>
      </c>
      <c r="M144" s="32">
        <v>2</v>
      </c>
    </row>
    <row r="145" spans="1:13">
      <c r="A145" s="32">
        <f t="shared" ca="1" si="2"/>
        <v>23</v>
      </c>
      <c r="B145" s="32" cm="1">
        <f t="array" aca="1" ref="B145" ca="1">INDEX(Data_DBD!$B:$B,$A145)</f>
        <v>28</v>
      </c>
      <c r="C145" s="32" cm="1">
        <f t="array" aca="1" ref="C145" ca="1">INDEX(Data_DBD!$C:$C,$A145)</f>
        <v>4</v>
      </c>
      <c r="D145" s="32" cm="1">
        <f t="array" aca="1" ref="D145" ca="1">INDEX(Data_DBD!$D:$D,$A145)</f>
        <v>14</v>
      </c>
      <c r="E145" s="32" cm="1">
        <f t="array" aca="1" ref="E145" ca="1">INDEX(Data_DBD!$E:$E,$A145)</f>
        <v>1</v>
      </c>
      <c r="F145" s="32" cm="1">
        <f t="array" aca="1" ref="F145" ca="1">INDEX(Data_DBD!$F:$F,$A145)</f>
        <v>2</v>
      </c>
      <c r="H145" s="32">
        <v>82</v>
      </c>
      <c r="I145" s="32">
        <v>28</v>
      </c>
      <c r="J145" s="32">
        <v>3</v>
      </c>
      <c r="K145" s="32">
        <v>13</v>
      </c>
      <c r="L145" s="32">
        <v>1</v>
      </c>
      <c r="M145" s="32">
        <v>2</v>
      </c>
    </row>
    <row r="146" spans="1:13">
      <c r="A146" s="32">
        <f t="shared" ca="1" si="2"/>
        <v>87</v>
      </c>
      <c r="B146" s="32" cm="1">
        <f t="array" aca="1" ref="B146" ca="1">INDEX(Data_DBD!$B:$B,$A146)</f>
        <v>21</v>
      </c>
      <c r="C146" s="32" cm="1">
        <f t="array" aca="1" ref="C146" ca="1">INDEX(Data_DBD!$C:$C,$A146)</f>
        <v>3</v>
      </c>
      <c r="D146" s="32" cm="1">
        <f t="array" aca="1" ref="D146" ca="1">INDEX(Data_DBD!$D:$D,$A146)</f>
        <v>13</v>
      </c>
      <c r="E146" s="32" cm="1">
        <f t="array" aca="1" ref="E146" ca="1">INDEX(Data_DBD!$E:$E,$A146)</f>
        <v>0</v>
      </c>
      <c r="F146" s="32" cm="1">
        <f t="array" aca="1" ref="F146" ca="1">INDEX(Data_DBD!$F:$F,$A146)</f>
        <v>2</v>
      </c>
      <c r="H146" s="32">
        <v>120</v>
      </c>
      <c r="I146" s="32">
        <v>26</v>
      </c>
      <c r="J146" s="32">
        <v>4</v>
      </c>
      <c r="K146" s="32">
        <v>33</v>
      </c>
      <c r="L146" s="32">
        <v>1</v>
      </c>
      <c r="M146" s="32">
        <v>3</v>
      </c>
    </row>
    <row r="147" spans="1:13">
      <c r="A147" s="32">
        <f t="shared" ca="1" si="2"/>
        <v>111</v>
      </c>
      <c r="B147" s="32" cm="1">
        <f t="array" aca="1" ref="B147" ca="1">INDEX(Data_DBD!$B:$B,$A147)</f>
        <v>25</v>
      </c>
      <c r="C147" s="32" cm="1">
        <f t="array" aca="1" ref="C147" ca="1">INDEX(Data_DBD!$C:$C,$A147)</f>
        <v>4</v>
      </c>
      <c r="D147" s="32" cm="1">
        <f t="array" aca="1" ref="D147" ca="1">INDEX(Data_DBD!$D:$D,$A147)</f>
        <v>33</v>
      </c>
      <c r="E147" s="32" cm="1">
        <f t="array" aca="1" ref="E147" ca="1">INDEX(Data_DBD!$E:$E,$A147)</f>
        <v>0</v>
      </c>
      <c r="F147" s="32" cm="1">
        <f t="array" aca="1" ref="F147" ca="1">INDEX(Data_DBD!$F:$F,$A147)</f>
        <v>3</v>
      </c>
      <c r="H147" s="32">
        <v>87</v>
      </c>
      <c r="I147" s="32">
        <v>21</v>
      </c>
      <c r="J147" s="32">
        <v>3</v>
      </c>
      <c r="K147" s="32">
        <v>13</v>
      </c>
      <c r="L147" s="32">
        <v>0</v>
      </c>
      <c r="M147" s="32">
        <v>2</v>
      </c>
    </row>
    <row r="148" spans="1:13">
      <c r="A148" s="32">
        <f t="shared" ca="1" si="2"/>
        <v>119</v>
      </c>
      <c r="B148" s="32" cm="1">
        <f t="array" aca="1" ref="B148" ca="1">INDEX(Data_DBD!$B:$B,$A148)</f>
        <v>30</v>
      </c>
      <c r="C148" s="32" cm="1">
        <f t="array" aca="1" ref="C148" ca="1">INDEX(Data_DBD!$C:$C,$A148)</f>
        <v>7</v>
      </c>
      <c r="D148" s="32" cm="1">
        <f t="array" aca="1" ref="D148" ca="1">INDEX(Data_DBD!$D:$D,$A148)</f>
        <v>33</v>
      </c>
      <c r="E148" s="32" cm="1">
        <f t="array" aca="1" ref="E148" ca="1">INDEX(Data_DBD!$E:$E,$A148)</f>
        <v>0</v>
      </c>
      <c r="F148" s="32" cm="1">
        <f t="array" aca="1" ref="F148" ca="1">INDEX(Data_DBD!$F:$F,$A148)</f>
        <v>3</v>
      </c>
      <c r="H148" s="32">
        <v>43</v>
      </c>
      <c r="I148" s="32">
        <v>15</v>
      </c>
      <c r="J148" s="32">
        <v>4</v>
      </c>
      <c r="K148" s="32">
        <v>13</v>
      </c>
      <c r="L148" s="32">
        <v>0</v>
      </c>
      <c r="M148" s="32">
        <v>2</v>
      </c>
    </row>
    <row r="149" spans="1:13">
      <c r="A149" s="32">
        <f t="shared" ca="1" si="2"/>
        <v>134</v>
      </c>
      <c r="B149" s="32" cm="1">
        <f t="array" aca="1" ref="B149" ca="1">INDEX(Data_DBD!$B:$B,$A149)</f>
        <v>4</v>
      </c>
      <c r="C149" s="32" cm="1">
        <f t="array" aca="1" ref="C149" ca="1">INDEX(Data_DBD!$C:$C,$A149)</f>
        <v>2</v>
      </c>
      <c r="D149" s="32" cm="1">
        <f t="array" aca="1" ref="D149" ca="1">INDEX(Data_DBD!$D:$D,$A149)</f>
        <v>33</v>
      </c>
      <c r="E149" s="32" cm="1">
        <f t="array" aca="1" ref="E149" ca="1">INDEX(Data_DBD!$E:$E,$A149)</f>
        <v>1</v>
      </c>
      <c r="F149" s="32" cm="1">
        <f t="array" aca="1" ref="F149" ca="1">INDEX(Data_DBD!$F:$F,$A149)</f>
        <v>3</v>
      </c>
      <c r="H149" s="32">
        <v>41</v>
      </c>
      <c r="I149" s="32">
        <v>8</v>
      </c>
      <c r="J149" s="32">
        <v>4</v>
      </c>
      <c r="K149" s="32">
        <v>13</v>
      </c>
      <c r="L149" s="32">
        <v>0</v>
      </c>
      <c r="M149" s="32">
        <v>2</v>
      </c>
    </row>
    <row r="150" spans="1:13">
      <c r="A150" s="32">
        <f t="shared" ca="1" si="2"/>
        <v>136</v>
      </c>
      <c r="B150" s="32" cm="1">
        <f t="array" aca="1" ref="B150" ca="1">INDEX(Data_DBD!$B:$B,$A150)</f>
        <v>6</v>
      </c>
      <c r="C150" s="32" cm="1">
        <f t="array" aca="1" ref="C150" ca="1">INDEX(Data_DBD!$C:$C,$A150)</f>
        <v>2</v>
      </c>
      <c r="D150" s="32" cm="1">
        <f t="array" aca="1" ref="D150" ca="1">INDEX(Data_DBD!$D:$D,$A150)</f>
        <v>33</v>
      </c>
      <c r="E150" s="32" cm="1">
        <f t="array" aca="1" ref="E150" ca="1">INDEX(Data_DBD!$E:$E,$A150)</f>
        <v>0</v>
      </c>
      <c r="F150" s="32" cm="1">
        <f t="array" aca="1" ref="F150" ca="1">INDEX(Data_DBD!$F:$F,$A150)</f>
        <v>3</v>
      </c>
      <c r="H150" s="32">
        <v>43</v>
      </c>
      <c r="I150" s="32">
        <v>15</v>
      </c>
      <c r="J150" s="32">
        <v>4</v>
      </c>
      <c r="K150" s="32">
        <v>13</v>
      </c>
      <c r="L150" s="32">
        <v>0</v>
      </c>
      <c r="M150" s="32">
        <v>2</v>
      </c>
    </row>
    <row r="151" spans="1:13">
      <c r="A151" s="32">
        <f t="shared" ca="1" si="2"/>
        <v>129</v>
      </c>
      <c r="B151" s="32" cm="1">
        <f t="array" aca="1" ref="B151" ca="1">INDEX(Data_DBD!$B:$B,$A151)</f>
        <v>4.5</v>
      </c>
      <c r="C151" s="32" cm="1">
        <f t="array" aca="1" ref="C151" ca="1">INDEX(Data_DBD!$C:$C,$A151)</f>
        <v>3</v>
      </c>
      <c r="D151" s="32" cm="1">
        <f t="array" aca="1" ref="D151" ca="1">INDEX(Data_DBD!$D:$D,$A151)</f>
        <v>33</v>
      </c>
      <c r="E151" s="32" cm="1">
        <f t="array" aca="1" ref="E151" ca="1">INDEX(Data_DBD!$E:$E,$A151)</f>
        <v>0</v>
      </c>
      <c r="F151" s="32" cm="1">
        <f t="array" aca="1" ref="F151" ca="1">INDEX(Data_DBD!$F:$F,$A151)</f>
        <v>3</v>
      </c>
      <c r="H151" s="32">
        <v>127</v>
      </c>
      <c r="I151" s="32">
        <v>21</v>
      </c>
      <c r="J151" s="32">
        <v>2</v>
      </c>
      <c r="K151" s="32">
        <v>33</v>
      </c>
      <c r="L151" s="32">
        <v>0</v>
      </c>
      <c r="M151" s="32">
        <v>3</v>
      </c>
    </row>
    <row r="152" spans="1:13">
      <c r="A152" s="32">
        <f t="shared" ca="1" si="2"/>
        <v>162</v>
      </c>
      <c r="B152" s="32" cm="1">
        <f t="array" aca="1" ref="B152" ca="1">INDEX(Data_DBD!$B:$B,$A152)</f>
        <v>22</v>
      </c>
      <c r="C152" s="32" cm="1">
        <f t="array" aca="1" ref="C152" ca="1">INDEX(Data_DBD!$C:$C,$A152)</f>
        <v>3</v>
      </c>
      <c r="D152" s="32" cm="1">
        <f t="array" aca="1" ref="D152" ca="1">INDEX(Data_DBD!$D:$D,$A152)</f>
        <v>3</v>
      </c>
      <c r="E152" s="32" cm="1">
        <f t="array" aca="1" ref="E152" ca="1">INDEX(Data_DBD!$E:$E,$A152)</f>
        <v>1</v>
      </c>
      <c r="F152" s="32" cm="1">
        <f t="array" aca="1" ref="F152" ca="1">INDEX(Data_DBD!$F:$F,$A152)</f>
        <v>1</v>
      </c>
      <c r="H152" s="32">
        <v>154</v>
      </c>
      <c r="I152" s="32">
        <v>18</v>
      </c>
      <c r="J152" s="32">
        <v>5</v>
      </c>
      <c r="K152" s="32">
        <v>21</v>
      </c>
      <c r="L152" s="32">
        <v>1</v>
      </c>
      <c r="M152" s="32">
        <v>3</v>
      </c>
    </row>
    <row r="153" spans="1:13">
      <c r="A153" s="32">
        <f t="shared" ca="1" si="2"/>
        <v>114</v>
      </c>
      <c r="B153" s="32" cm="1">
        <f t="array" aca="1" ref="B153" ca="1">INDEX(Data_DBD!$B:$B,$A153)</f>
        <v>14</v>
      </c>
      <c r="C153" s="32" cm="1">
        <f t="array" aca="1" ref="C153" ca="1">INDEX(Data_DBD!$C:$C,$A153)</f>
        <v>2</v>
      </c>
      <c r="D153" s="32" cm="1">
        <f t="array" aca="1" ref="D153" ca="1">INDEX(Data_DBD!$D:$D,$A153)</f>
        <v>33</v>
      </c>
      <c r="E153" s="32" cm="1">
        <f t="array" aca="1" ref="E153" ca="1">INDEX(Data_DBD!$E:$E,$A153)</f>
        <v>1</v>
      </c>
      <c r="F153" s="32" cm="1">
        <f t="array" aca="1" ref="F153" ca="1">INDEX(Data_DBD!$F:$F,$A153)</f>
        <v>3</v>
      </c>
      <c r="H153" s="32">
        <v>96</v>
      </c>
      <c r="I153" s="32">
        <v>56</v>
      </c>
      <c r="J153" s="32">
        <v>4</v>
      </c>
      <c r="K153" s="32">
        <v>18</v>
      </c>
      <c r="L153" s="32">
        <v>0</v>
      </c>
      <c r="M153" s="32">
        <v>3</v>
      </c>
    </row>
    <row r="154" spans="1:13">
      <c r="A154" s="32">
        <f t="shared" ca="1" si="2"/>
        <v>78</v>
      </c>
      <c r="B154" s="32" cm="1">
        <f t="array" aca="1" ref="B154" ca="1">INDEX(Data_DBD!$B:$B,$A154)</f>
        <v>6</v>
      </c>
      <c r="C154" s="32" cm="1">
        <f t="array" aca="1" ref="C154" ca="1">INDEX(Data_DBD!$C:$C,$A154)</f>
        <v>3</v>
      </c>
      <c r="D154" s="32" cm="1">
        <f t="array" aca="1" ref="D154" ca="1">INDEX(Data_DBD!$D:$D,$A154)</f>
        <v>13</v>
      </c>
      <c r="E154" s="32" cm="1">
        <f t="array" aca="1" ref="E154" ca="1">INDEX(Data_DBD!$E:$E,$A154)</f>
        <v>0</v>
      </c>
      <c r="F154" s="32" cm="1">
        <f t="array" aca="1" ref="F154" ca="1">INDEX(Data_DBD!$F:$F,$A154)</f>
        <v>2</v>
      </c>
      <c r="H154" s="32">
        <v>155</v>
      </c>
      <c r="I154" s="32">
        <v>19</v>
      </c>
      <c r="J154" s="32">
        <v>5</v>
      </c>
      <c r="K154" s="32">
        <v>21</v>
      </c>
      <c r="L154" s="32">
        <v>1</v>
      </c>
      <c r="M154" s="32">
        <v>3</v>
      </c>
    </row>
    <row r="155" spans="1:13">
      <c r="A155" s="32">
        <f t="shared" ca="1" si="2"/>
        <v>87</v>
      </c>
      <c r="B155" s="32" cm="1">
        <f t="array" aca="1" ref="B155" ca="1">INDEX(Data_DBD!$B:$B,$A155)</f>
        <v>21</v>
      </c>
      <c r="C155" s="32" cm="1">
        <f t="array" aca="1" ref="C155" ca="1">INDEX(Data_DBD!$C:$C,$A155)</f>
        <v>3</v>
      </c>
      <c r="D155" s="32" cm="1">
        <f t="array" aca="1" ref="D155" ca="1">INDEX(Data_DBD!$D:$D,$A155)</f>
        <v>13</v>
      </c>
      <c r="E155" s="32" cm="1">
        <f t="array" aca="1" ref="E155" ca="1">INDEX(Data_DBD!$E:$E,$A155)</f>
        <v>0</v>
      </c>
      <c r="F155" s="32" cm="1">
        <f t="array" aca="1" ref="F155" ca="1">INDEX(Data_DBD!$F:$F,$A155)</f>
        <v>2</v>
      </c>
      <c r="H155" s="32">
        <v>14</v>
      </c>
      <c r="I155" s="32">
        <v>49</v>
      </c>
      <c r="J155" s="32">
        <v>4</v>
      </c>
      <c r="K155" s="32">
        <v>7</v>
      </c>
      <c r="L155" s="32">
        <v>1</v>
      </c>
      <c r="M155" s="32">
        <v>1</v>
      </c>
    </row>
    <row r="156" spans="1:13">
      <c r="A156" s="32">
        <f t="shared" ca="1" si="2"/>
        <v>130</v>
      </c>
      <c r="B156" s="32" cm="1">
        <f t="array" aca="1" ref="B156" ca="1">INDEX(Data_DBD!$B:$B,$A156)</f>
        <v>12</v>
      </c>
      <c r="C156" s="32" cm="1">
        <f t="array" aca="1" ref="C156" ca="1">INDEX(Data_DBD!$C:$C,$A156)</f>
        <v>4</v>
      </c>
      <c r="D156" s="32" cm="1">
        <f t="array" aca="1" ref="D156" ca="1">INDEX(Data_DBD!$D:$D,$A156)</f>
        <v>33</v>
      </c>
      <c r="E156" s="32" cm="1">
        <f t="array" aca="1" ref="E156" ca="1">INDEX(Data_DBD!$E:$E,$A156)</f>
        <v>0</v>
      </c>
      <c r="F156" s="32" cm="1">
        <f t="array" aca="1" ref="F156" ca="1">INDEX(Data_DBD!$F:$F,$A156)</f>
        <v>3</v>
      </c>
      <c r="H156" s="32">
        <v>46</v>
      </c>
      <c r="I156" s="32">
        <v>62</v>
      </c>
      <c r="J156" s="32">
        <v>2</v>
      </c>
      <c r="K156" s="32">
        <v>13</v>
      </c>
      <c r="L156" s="32">
        <v>0</v>
      </c>
      <c r="M156" s="32">
        <v>2</v>
      </c>
    </row>
    <row r="157" spans="1:13">
      <c r="A157" s="32">
        <f t="shared" ca="1" si="2"/>
        <v>97</v>
      </c>
      <c r="B157" s="32" cm="1">
        <f t="array" aca="1" ref="B157" ca="1">INDEX(Data_DBD!$B:$B,$A157)</f>
        <v>16</v>
      </c>
      <c r="C157" s="32" cm="1">
        <f t="array" aca="1" ref="C157" ca="1">INDEX(Data_DBD!$C:$C,$A157)</f>
        <v>2</v>
      </c>
      <c r="D157" s="32" cm="1">
        <f t="array" aca="1" ref="D157" ca="1">INDEX(Data_DBD!$D:$D,$A157)</f>
        <v>18</v>
      </c>
      <c r="E157" s="32" cm="1">
        <f t="array" aca="1" ref="E157" ca="1">INDEX(Data_DBD!$E:$E,$A157)</f>
        <v>1</v>
      </c>
      <c r="F157" s="32" cm="1">
        <f t="array" aca="1" ref="F157" ca="1">INDEX(Data_DBD!$F:$F,$A157)</f>
        <v>3</v>
      </c>
      <c r="H157" s="32">
        <v>109</v>
      </c>
      <c r="I157" s="32">
        <v>40</v>
      </c>
      <c r="J157" s="32">
        <v>3</v>
      </c>
      <c r="K157" s="32">
        <v>33</v>
      </c>
      <c r="L157" s="32">
        <v>1</v>
      </c>
      <c r="M157" s="32">
        <v>3</v>
      </c>
    </row>
    <row r="158" spans="1:13" ht="15.75">
      <c r="A158" s="32">
        <f t="shared" ca="1" si="2"/>
        <v>148</v>
      </c>
      <c r="B158" s="32" cm="1">
        <f t="array" aca="1" ref="B158" ca="1">INDEX(Data_DBD!$B:$B,$A158)</f>
        <v>55</v>
      </c>
      <c r="C158" s="32" cm="1">
        <f t="array" aca="1" ref="C158" ca="1">INDEX(Data_DBD!$C:$C,$A158)</f>
        <v>3</v>
      </c>
      <c r="D158" s="32" cm="1">
        <f t="array" aca="1" ref="D158" ca="1">INDEX(Data_DBD!$D:$D,$A158)</f>
        <v>21</v>
      </c>
      <c r="E158" s="32" cm="1">
        <f t="array" aca="1" ref="E158" ca="1">INDEX(Data_DBD!$E:$E,$A158)</f>
        <v>1</v>
      </c>
      <c r="F158" s="32" cm="1">
        <f t="array" aca="1" ref="F158" ca="1">INDEX(Data_DBD!$F:$F,$A158)</f>
        <v>3</v>
      </c>
      <c r="H158" s="32">
        <v>32</v>
      </c>
      <c r="I158" s="32">
        <v>54</v>
      </c>
      <c r="J158" s="32">
        <v>4</v>
      </c>
      <c r="K158" s="32">
        <v>14</v>
      </c>
      <c r="L158" s="58">
        <v>0</v>
      </c>
      <c r="M158" s="32">
        <v>2</v>
      </c>
    </row>
    <row r="159" spans="1:13" ht="15.75">
      <c r="A159" s="32">
        <f t="shared" ca="1" si="2"/>
        <v>141</v>
      </c>
      <c r="B159" s="32" cm="1">
        <f t="array" aca="1" ref="B159" ca="1">INDEX(Data_DBD!$B:$B,$A159)</f>
        <v>36</v>
      </c>
      <c r="C159" s="32" cm="1">
        <f t="array" aca="1" ref="C159" ca="1">INDEX(Data_DBD!$C:$C,$A159)</f>
        <v>2</v>
      </c>
      <c r="D159" s="32" cm="1">
        <f t="array" aca="1" ref="D159" ca="1">INDEX(Data_DBD!$D:$D,$A159)</f>
        <v>21</v>
      </c>
      <c r="E159" s="32" cm="1">
        <f t="array" aca="1" ref="E159" ca="1">INDEX(Data_DBD!$E:$E,$A159)</f>
        <v>0</v>
      </c>
      <c r="F159" s="32" cm="1">
        <f t="array" aca="1" ref="F159" ca="1">INDEX(Data_DBD!$F:$F,$A159)</f>
        <v>3</v>
      </c>
      <c r="H159" s="32">
        <v>144</v>
      </c>
      <c r="I159" s="32">
        <v>61</v>
      </c>
      <c r="J159" s="32">
        <v>4</v>
      </c>
      <c r="K159" s="32">
        <v>21</v>
      </c>
      <c r="L159" s="59">
        <v>1</v>
      </c>
      <c r="M159" s="32">
        <v>3</v>
      </c>
    </row>
    <row r="160" spans="1:13" ht="15.75">
      <c r="A160" s="32">
        <f t="shared" ca="1" si="2"/>
        <v>109</v>
      </c>
      <c r="B160" s="32" cm="1">
        <f t="array" aca="1" ref="B160" ca="1">INDEX(Data_DBD!$B:$B,$A160)</f>
        <v>40</v>
      </c>
      <c r="C160" s="32" cm="1">
        <f t="array" aca="1" ref="C160" ca="1">INDEX(Data_DBD!$C:$C,$A160)</f>
        <v>3</v>
      </c>
      <c r="D160" s="32" cm="1">
        <f t="array" aca="1" ref="D160" ca="1">INDEX(Data_DBD!$D:$D,$A160)</f>
        <v>33</v>
      </c>
      <c r="E160" s="32" cm="1">
        <f t="array" aca="1" ref="E160" ca="1">INDEX(Data_DBD!$E:$E,$A160)</f>
        <v>1</v>
      </c>
      <c r="F160" s="32" cm="1">
        <f t="array" aca="1" ref="F160" ca="1">INDEX(Data_DBD!$F:$F,$A160)</f>
        <v>3</v>
      </c>
      <c r="H160" s="32">
        <v>116</v>
      </c>
      <c r="I160" s="32">
        <v>32</v>
      </c>
      <c r="J160" s="32">
        <v>4</v>
      </c>
      <c r="K160" s="32">
        <v>33</v>
      </c>
      <c r="L160" s="60">
        <v>1</v>
      </c>
      <c r="M160" s="32">
        <v>3</v>
      </c>
    </row>
    <row r="161" spans="1:22" ht="15.75">
      <c r="A161" s="32">
        <f t="shared" ca="1" si="2"/>
        <v>89</v>
      </c>
      <c r="B161" s="32" cm="1">
        <f t="array" aca="1" ref="B161" ca="1">INDEX(Data_DBD!$B:$B,$A161)</f>
        <v>32</v>
      </c>
      <c r="C161" s="32" cm="1">
        <f t="array" aca="1" ref="C161" ca="1">INDEX(Data_DBD!$C:$C,$A161)</f>
        <v>4</v>
      </c>
      <c r="D161" s="32" cm="1">
        <f t="array" aca="1" ref="D161" ca="1">INDEX(Data_DBD!$D:$D,$A161)</f>
        <v>13</v>
      </c>
      <c r="E161" s="32" cm="1">
        <f t="array" aca="1" ref="E161" ca="1">INDEX(Data_DBD!$E:$E,$A161)</f>
        <v>0</v>
      </c>
      <c r="F161" s="32" cm="1">
        <f t="array" aca="1" ref="F161" ca="1">INDEX(Data_DBD!$F:$F,$A161)</f>
        <v>2</v>
      </c>
      <c r="H161" s="32">
        <v>61</v>
      </c>
      <c r="I161" s="32">
        <v>29</v>
      </c>
      <c r="J161" s="32">
        <v>3</v>
      </c>
      <c r="K161" s="32">
        <v>15</v>
      </c>
      <c r="L161" s="60">
        <v>1</v>
      </c>
      <c r="M161" s="32">
        <v>2</v>
      </c>
    </row>
    <row r="162" spans="1:22" ht="15.75">
      <c r="A162" s="32">
        <f t="shared" ca="1" si="2"/>
        <v>156</v>
      </c>
      <c r="B162" s="32" cm="1">
        <f t="array" aca="1" ref="B162" ca="1">INDEX(Data_DBD!$B:$B,$A162)</f>
        <v>5</v>
      </c>
      <c r="C162" s="32" cm="1">
        <f t="array" aca="1" ref="C162" ca="1">INDEX(Data_DBD!$C:$C,$A162)</f>
        <v>2</v>
      </c>
      <c r="D162" s="32" cm="1">
        <f t="array" aca="1" ref="D162" ca="1">INDEX(Data_DBD!$D:$D,$A162)</f>
        <v>21</v>
      </c>
      <c r="E162" s="32" cm="1">
        <f t="array" aca="1" ref="E162" ca="1">INDEX(Data_DBD!$E:$E,$A162)</f>
        <v>0</v>
      </c>
      <c r="F162" s="32" cm="1">
        <f t="array" aca="1" ref="F162" ca="1">INDEX(Data_DBD!$F:$F,$A162)</f>
        <v>3</v>
      </c>
      <c r="H162" s="32">
        <v>35</v>
      </c>
      <c r="I162" s="32">
        <v>40</v>
      </c>
      <c r="J162" s="32">
        <v>3</v>
      </c>
      <c r="K162" s="32">
        <v>4</v>
      </c>
      <c r="L162" s="59">
        <v>1</v>
      </c>
      <c r="M162" s="32">
        <v>1</v>
      </c>
    </row>
    <row r="163" spans="1:22" ht="15.75">
      <c r="A163" s="32">
        <f t="shared" ca="1" si="2"/>
        <v>95</v>
      </c>
      <c r="B163" s="32" cm="1">
        <f t="array" aca="1" ref="B163" ca="1">INDEX(Data_DBD!$B:$B,$A163)</f>
        <v>11</v>
      </c>
      <c r="C163" s="32" cm="1">
        <f t="array" aca="1" ref="C163" ca="1">INDEX(Data_DBD!$C:$C,$A163)</f>
        <v>3</v>
      </c>
      <c r="D163" s="32" cm="1">
        <f t="array" aca="1" ref="D163" ca="1">INDEX(Data_DBD!$D:$D,$A163)</f>
        <v>18</v>
      </c>
      <c r="E163" s="32" cm="1">
        <f t="array" aca="1" ref="E163" ca="1">INDEX(Data_DBD!$E:$E,$A163)</f>
        <v>1</v>
      </c>
      <c r="F163" s="32" cm="1">
        <f t="array" aca="1" ref="F163" ca="1">INDEX(Data_DBD!$F:$F,$A163)</f>
        <v>3</v>
      </c>
      <c r="H163" s="32">
        <v>105</v>
      </c>
      <c r="I163" s="32">
        <v>61</v>
      </c>
      <c r="J163" s="32">
        <v>3</v>
      </c>
      <c r="K163" s="32">
        <v>18</v>
      </c>
      <c r="L163" s="60">
        <v>1</v>
      </c>
      <c r="M163" s="32">
        <v>3</v>
      </c>
    </row>
    <row r="164" spans="1:22">
      <c r="A164" s="32">
        <f t="shared" ca="1" si="2"/>
        <v>136</v>
      </c>
      <c r="B164" s="32" cm="1">
        <f t="array" aca="1" ref="B164" ca="1">INDEX(Data_DBD!$B:$B,$A164)</f>
        <v>6</v>
      </c>
      <c r="C164" s="32" cm="1">
        <f t="array" aca="1" ref="C164" ca="1">INDEX(Data_DBD!$C:$C,$A164)</f>
        <v>2</v>
      </c>
      <c r="D164" s="32" cm="1">
        <f t="array" aca="1" ref="D164" ca="1">INDEX(Data_DBD!$D:$D,$A164)</f>
        <v>33</v>
      </c>
      <c r="E164" s="32" cm="1">
        <f t="array" aca="1" ref="E164" ca="1">INDEX(Data_DBD!$E:$E,$A164)</f>
        <v>0</v>
      </c>
      <c r="F164" s="32" cm="1">
        <f t="array" aca="1" ref="F164" ca="1">INDEX(Data_DBD!$F:$F,$A164)</f>
        <v>3</v>
      </c>
      <c r="H164" s="32">
        <v>42</v>
      </c>
      <c r="I164" s="32">
        <v>21</v>
      </c>
      <c r="J164" s="32">
        <v>5</v>
      </c>
      <c r="K164" s="32">
        <v>13</v>
      </c>
      <c r="L164" s="32">
        <v>1</v>
      </c>
      <c r="M164" s="32">
        <v>2</v>
      </c>
    </row>
    <row r="165" spans="1:22">
      <c r="I165">
        <f>AVERAGE(I2:I164)</f>
        <v>31.506172839506174</v>
      </c>
      <c r="J165">
        <f>AVERAGE(J2:J164)</f>
        <v>3.7546012269938651</v>
      </c>
      <c r="K165">
        <f>AVERAGE(K2:K164)</f>
        <v>18.45398773006135</v>
      </c>
      <c r="L165">
        <f>AVERAGE(L2:L164)</f>
        <v>0.55214723926380371</v>
      </c>
    </row>
    <row r="166" spans="1:22">
      <c r="B166">
        <v>10</v>
      </c>
    </row>
    <row r="168" spans="1:22">
      <c r="E168" s="38" t="s">
        <v>188</v>
      </c>
      <c r="J168" s="38" t="s">
        <v>189</v>
      </c>
      <c r="O168" s="38" t="s">
        <v>190</v>
      </c>
      <c r="T168" s="38" t="s">
        <v>191</v>
      </c>
    </row>
    <row r="169" spans="1:22">
      <c r="E169" s="32" t="s">
        <v>1</v>
      </c>
      <c r="F169" s="32">
        <f>AVERAGEIF($I$2:$I$164,"&lt;="&amp;$I$165)</f>
        <v>17.95</v>
      </c>
      <c r="G169" s="32">
        <f>AVERAGEIF($I$2:$I$164,"&gt;"&amp;$I$165)</f>
        <v>53.37096774193548</v>
      </c>
      <c r="J169" s="32" t="s">
        <v>192</v>
      </c>
      <c r="K169" s="32">
        <f>AVERAGEIF($J$2:$J$164,"&lt;="&amp;$J$165)</f>
        <v>2.5616438356164384</v>
      </c>
      <c r="L169" s="32">
        <f>AVERAGEIF($J$2:$J$164,"&gt;"&amp;$J$165)</f>
        <v>4.7222222222222223</v>
      </c>
      <c r="O169" s="32" t="s">
        <v>193</v>
      </c>
      <c r="P169" s="32">
        <f>AVERAGEIF($K$2:$K$164,"&lt;="&amp;$K$165)</f>
        <v>13.047619047619047</v>
      </c>
      <c r="Q169" s="32">
        <f>AVERAGEIF($K$2:$K$164,"&gt;"&amp;$K$165)</f>
        <v>28.241379310344829</v>
      </c>
      <c r="T169" s="32" t="s">
        <v>194</v>
      </c>
      <c r="U169" s="32">
        <f>AVERAGEIF($L$2:$L$164,"&lt;="&amp;$L$165)</f>
        <v>0</v>
      </c>
      <c r="V169" s="32">
        <f>AVERAGEIF($L$2:$L$164,"&gt;"&amp;$L$165)</f>
        <v>1</v>
      </c>
    </row>
    <row r="170" spans="1:22">
      <c r="E170" s="32" t="str" cm="1">
        <f t="array" ref="E170:E332">IF($I$2:$I$164&lt;$F$169,"kiri",IF($I$2:$I$164&lt;$G$169,"tengah","kanan"))</f>
        <v>tengah</v>
      </c>
      <c r="F170" s="55" t="s">
        <v>269</v>
      </c>
      <c r="G170" s="32"/>
      <c r="J170" s="32" t="str" cm="1">
        <f t="array" ref="J170:J332">IF($J$2:$J$164&lt;$K$169,"kiri",IF($J$2:$J$164&lt;$L$169,"tengah","kanan"))</f>
        <v>kiri</v>
      </c>
      <c r="K170" s="55" t="s">
        <v>271</v>
      </c>
      <c r="L170" s="32"/>
      <c r="O170" s="32" t="str" cm="1">
        <f t="array" ref="O170:O332">IF($K$2:$K$164&lt;$P$169,"kiri",IF($K$2:$K$164&lt;$Q$169,"tengah","kanan"))</f>
        <v>kiri</v>
      </c>
      <c r="P170" s="55" t="s">
        <v>273</v>
      </c>
      <c r="Q170" s="32"/>
      <c r="T170" s="32" t="str" cm="1">
        <f t="array" ref="T170:T332">IF($L$2:$L$164&lt;$U$169,"kiri",IF($L$2:$L$164&lt;$V$169,"tengah","kanan"))</f>
        <v>tengah</v>
      </c>
      <c r="U170" s="32" t="s">
        <v>195</v>
      </c>
      <c r="V170" s="32"/>
    </row>
    <row r="171" spans="1:22">
      <c r="E171" s="32" t="str">
        <v>tengah</v>
      </c>
      <c r="F171" s="32">
        <f>COUNTIFS($E$170:$E$332,"Kanan",$M$2:$M$164,"1")</f>
        <v>0</v>
      </c>
      <c r="G171" s="32">
        <f>F171/32</f>
        <v>0</v>
      </c>
      <c r="J171" s="32" t="str">
        <v>kanan</v>
      </c>
      <c r="K171" s="32" cm="1">
        <f t="array" ref="K171">SUMPRODUCT((J170:J332="Kanan")*(M2:M164=1))</f>
        <v>1</v>
      </c>
      <c r="L171" s="32">
        <f>K171/42</f>
        <v>2.3809523809523808E-2</v>
      </c>
      <c r="O171" s="32" t="str">
        <v>kiri</v>
      </c>
      <c r="P171" s="32">
        <f>COUNTIFS($O$170:$O$332,"Kanan",$M$2:$M$164,"1")</f>
        <v>0</v>
      </c>
      <c r="Q171" s="32">
        <f>P171/35</f>
        <v>0</v>
      </c>
      <c r="T171" s="32" t="str">
        <v>kanan</v>
      </c>
      <c r="U171" s="32">
        <f>COUNTIFS($T$170:$T$332,"Kanan",$M$2:$M$164,"1")</f>
        <v>5</v>
      </c>
      <c r="V171" s="32">
        <f>U171/85</f>
        <v>5.8823529411764705E-2</v>
      </c>
    </row>
    <row r="172" spans="1:22">
      <c r="E172" s="32" t="str">
        <v>tengah</v>
      </c>
      <c r="F172" s="32">
        <f>COUNTIFS($E$170:$E$332,"Kanan",$M$2:$M$164,"2")</f>
        <v>10</v>
      </c>
      <c r="G172" s="32">
        <f t="shared" ref="G172:G173" si="3">F172/32</f>
        <v>0.3125</v>
      </c>
      <c r="J172" s="32" t="str">
        <v>tengah</v>
      </c>
      <c r="K172" s="32">
        <f>COUNTIFS($J$170:$J$332,"Kanan",$M$2:$M$164,"2")</f>
        <v>28</v>
      </c>
      <c r="L172" s="32">
        <f t="shared" ref="L172:L173" si="4">K172/42</f>
        <v>0.66666666666666663</v>
      </c>
      <c r="O172" s="32" t="str">
        <v>kanan</v>
      </c>
      <c r="P172" s="32">
        <f>COUNTIFS($O$170:$O$332,"Kanan",$M$2:$M$164,"2")</f>
        <v>0</v>
      </c>
      <c r="Q172" s="32">
        <f t="shared" ref="Q172:Q173" si="5">P172/35</f>
        <v>0</v>
      </c>
      <c r="T172" s="32" t="str">
        <v>kanan</v>
      </c>
      <c r="U172" s="32">
        <f>COUNTIFS($T$170:$T$332,"Kanan",$M$2:$M$164,"2")</f>
        <v>43</v>
      </c>
      <c r="V172" s="32">
        <f t="shared" ref="V172:V173" si="6">U172/85</f>
        <v>0.50588235294117645</v>
      </c>
    </row>
    <row r="173" spans="1:22">
      <c r="E173" s="32" t="str">
        <v>kanan</v>
      </c>
      <c r="F173" s="32" cm="1">
        <f t="array" ref="F173">SUMPRODUCT((E170:E332="KANAN")*(M2:M164=3))</f>
        <v>22</v>
      </c>
      <c r="G173" s="32">
        <f t="shared" si="3"/>
        <v>0.6875</v>
      </c>
      <c r="J173" s="32" t="str">
        <v>tengah</v>
      </c>
      <c r="K173" s="32">
        <f>COUNTIFS($J$170:$J$332,"Kanan",$M$2:$M$164,"3")</f>
        <v>13</v>
      </c>
      <c r="L173" s="32">
        <f t="shared" si="4"/>
        <v>0.30952380952380953</v>
      </c>
      <c r="O173" s="32" t="str">
        <v>tengah</v>
      </c>
      <c r="P173" s="32">
        <f>COUNTIFS($O$170:$O$332,"Kanan",$M$2:$M$164,"3")</f>
        <v>35</v>
      </c>
      <c r="Q173" s="32">
        <f t="shared" si="5"/>
        <v>1</v>
      </c>
      <c r="T173" s="32" t="str">
        <v>kanan</v>
      </c>
      <c r="U173" s="32">
        <f>COUNTIFS($T$170:$T$332,"Kanan",$M$2:$M$164,"3")</f>
        <v>42</v>
      </c>
      <c r="V173" s="32">
        <f t="shared" si="6"/>
        <v>0.49411764705882355</v>
      </c>
    </row>
    <row r="174" spans="1:22">
      <c r="E174" s="32" t="str">
        <v>tengah</v>
      </c>
      <c r="F174" s="32" t="s">
        <v>196</v>
      </c>
      <c r="G174" s="32">
        <f>-(IFERROR(G171*LOG(G171,2),0)+IFERROR(G172*LOG(G172,2),0)+IFERROR(G173*LOG(G173,2),0))</f>
        <v>0.8960382325345575</v>
      </c>
      <c r="J174" s="32" t="str">
        <v>tengah</v>
      </c>
      <c r="K174" s="32" t="s">
        <v>196</v>
      </c>
      <c r="L174" s="32">
        <f>-(IFERROR(L171*LOG(L171,2),0)+IFERROR(L172*LOG(L172,2),0)+IFERROR(L173*LOG(L173,2),0))</f>
        <v>1.0420399429347813</v>
      </c>
      <c r="O174" s="32" t="str">
        <v>kanan</v>
      </c>
      <c r="P174" s="32" t="s">
        <v>196</v>
      </c>
      <c r="Q174" s="32">
        <f>-(IFERROR(Q171*LOG(Q171,2),0)+IFERROR(Q172*LOG(Q172,2),0)+IFERROR(Q173*LOG(Q173,2),0))</f>
        <v>0</v>
      </c>
      <c r="T174" s="32" t="str">
        <v>kanan</v>
      </c>
      <c r="U174" s="32" t="s">
        <v>196</v>
      </c>
      <c r="V174" s="32">
        <f>-(IFERROR(V171*LOG(V171,2),0)+IFERROR(V172*LOG(V172,2),0)+IFERROR(V173*LOG(V173,2),0))</f>
        <v>1.2403391478712731</v>
      </c>
    </row>
    <row r="175" spans="1:22">
      <c r="E175" s="32" t="str">
        <v>kanan</v>
      </c>
      <c r="F175" s="32"/>
      <c r="G175" s="32">
        <f>SUM(F171:F173)/163</f>
        <v>0.19631901840490798</v>
      </c>
      <c r="J175" s="32" t="str">
        <v>kanan</v>
      </c>
      <c r="K175" s="32"/>
      <c r="L175" s="32">
        <f>SUM(K171:K173)/163</f>
        <v>0.25766871165644173</v>
      </c>
      <c r="O175" s="32" t="str">
        <v>tengah</v>
      </c>
      <c r="P175" s="32"/>
      <c r="Q175" s="32">
        <f>SUM(P171:P173)/163</f>
        <v>0.21472392638036811</v>
      </c>
      <c r="T175" s="32" t="str">
        <v>kanan</v>
      </c>
      <c r="U175" s="32"/>
      <c r="V175" s="32">
        <f>SUM(U171:U173)/163</f>
        <v>0.55214723926380371</v>
      </c>
    </row>
    <row r="176" spans="1:22">
      <c r="E176" s="32" t="str">
        <v>kiri</v>
      </c>
      <c r="F176" s="32"/>
      <c r="G176" s="39">
        <f>G174*G175</f>
        <v>0.17590934626445301</v>
      </c>
      <c r="J176" s="32" t="str">
        <v>tengah</v>
      </c>
      <c r="K176" s="32"/>
      <c r="L176" s="39">
        <f>L174*L175</f>
        <v>0.26850108959055718</v>
      </c>
      <c r="O176" s="32" t="str">
        <v>tengah</v>
      </c>
      <c r="P176" s="32"/>
      <c r="Q176" s="39">
        <f>Q174*Q175</f>
        <v>0</v>
      </c>
      <c r="T176" s="32" t="str">
        <v>tengah</v>
      </c>
      <c r="U176" s="32"/>
      <c r="V176" s="39">
        <f>V174*V175</f>
        <v>0.68484983624794227</v>
      </c>
    </row>
    <row r="177" spans="5:22">
      <c r="E177" s="32" t="str">
        <v>tengah</v>
      </c>
      <c r="F177" s="32"/>
      <c r="G177" s="32"/>
      <c r="J177" s="32" t="str">
        <v>tengah</v>
      </c>
      <c r="K177" s="32"/>
      <c r="L177" s="32"/>
      <c r="O177" s="32" t="str">
        <v>tengah</v>
      </c>
      <c r="P177" s="32"/>
      <c r="Q177" s="32"/>
      <c r="T177" s="32" t="str">
        <v>tengah</v>
      </c>
      <c r="U177" s="32"/>
      <c r="V177" s="32"/>
    </row>
    <row r="178" spans="5:22">
      <c r="E178" s="32" t="str">
        <v>tengah</v>
      </c>
      <c r="F178" s="32"/>
      <c r="G178" s="32"/>
      <c r="J178" s="32" t="str">
        <v>kanan</v>
      </c>
      <c r="K178" s="32"/>
      <c r="L178" s="32"/>
      <c r="O178" s="32" t="str">
        <v>tengah</v>
      </c>
      <c r="P178" s="32"/>
      <c r="Q178" s="32"/>
      <c r="T178" s="32" t="str">
        <v>kanan</v>
      </c>
      <c r="U178" s="32"/>
      <c r="V178" s="32"/>
    </row>
    <row r="179" spans="5:22">
      <c r="E179" s="32" t="str">
        <v>kiri</v>
      </c>
      <c r="F179" s="55" t="s">
        <v>270</v>
      </c>
      <c r="G179" s="32"/>
      <c r="J179" s="32" t="str">
        <v>kanan</v>
      </c>
      <c r="K179" s="55" t="s">
        <v>272</v>
      </c>
      <c r="L179" s="32"/>
      <c r="O179" s="32" t="str">
        <v>kiri</v>
      </c>
      <c r="P179" s="55" t="s">
        <v>268</v>
      </c>
      <c r="Q179" s="32"/>
      <c r="T179" s="32" t="str">
        <v>kanan</v>
      </c>
      <c r="U179" s="32" t="s">
        <v>197</v>
      </c>
      <c r="V179" s="32"/>
    </row>
    <row r="180" spans="5:22">
      <c r="E180" s="32" t="str">
        <v>kiri</v>
      </c>
      <c r="F180" s="32" cm="1">
        <f t="array" ref="F180">SUMPRODUCT((E170:E332="kiri")*(M2:M164=1))</f>
        <v>2</v>
      </c>
      <c r="G180" s="32">
        <f>F180/38</f>
        <v>5.2631578947368418E-2</v>
      </c>
      <c r="J180" s="32" t="str">
        <v>kiri</v>
      </c>
      <c r="K180" s="32">
        <f>COUNTIFS($J$170:$J$332,"Kiri",$M$2:$M$164,"1")</f>
        <v>0</v>
      </c>
      <c r="L180" s="32">
        <f>K180/28</f>
        <v>0</v>
      </c>
      <c r="O180" s="32" t="str">
        <v>tengah</v>
      </c>
      <c r="P180" s="32">
        <f>COUNTIFS($O$170:$O$332,"Kiri",$M$2:$M$164,"1")</f>
        <v>7</v>
      </c>
      <c r="Q180" s="32">
        <f>P180/63</f>
        <v>0.1111111111111111</v>
      </c>
      <c r="T180" s="32" t="str">
        <v>kanan</v>
      </c>
      <c r="U180" s="32">
        <f>COUNTIFS($T$170:$T$332,"Kiri",$M$2:$M$164,"1")</f>
        <v>0</v>
      </c>
      <c r="V180" s="32">
        <f>U180/57</f>
        <v>0</v>
      </c>
    </row>
    <row r="181" spans="5:22">
      <c r="E181" s="32" t="str">
        <v>tengah</v>
      </c>
      <c r="F181" s="32" cm="1">
        <f t="array" ref="F181">SUMPRODUCT((E170:E332="kiri")*(M2:M164=2))</f>
        <v>22</v>
      </c>
      <c r="G181" s="32">
        <f t="shared" ref="G181:G182" si="7">F181/38</f>
        <v>0.57894736842105265</v>
      </c>
      <c r="J181" s="32" t="str">
        <v>tengah</v>
      </c>
      <c r="K181" s="32">
        <f>COUNTIFS($J$170:$J$332,"Kiri",$M$2:$M$164,"2")</f>
        <v>14</v>
      </c>
      <c r="L181" s="32">
        <f t="shared" ref="L181:L182" si="8">K181/28</f>
        <v>0.5</v>
      </c>
      <c r="O181" s="32" t="str">
        <v>kiri</v>
      </c>
      <c r="P181" s="32">
        <f>COUNTIFS($O$170:$O$332,"Kiri",$M$2:$M$164,"2")</f>
        <v>56</v>
      </c>
      <c r="Q181" s="32">
        <f t="shared" ref="Q181:Q182" si="9">P181/63</f>
        <v>0.88888888888888884</v>
      </c>
      <c r="T181" s="32" t="str">
        <v>kanan</v>
      </c>
      <c r="U181" s="32">
        <f>COUNTIFS($T$170:$T$332,"Kiri",$M$2:$M$164,"2")</f>
        <v>0</v>
      </c>
      <c r="V181" s="32">
        <f>U181/57</f>
        <v>0</v>
      </c>
    </row>
    <row r="182" spans="5:22">
      <c r="E182" s="32" t="str">
        <v>tengah</v>
      </c>
      <c r="F182" s="32" cm="1">
        <f t="array" ref="F182">SUMPRODUCT((E170:E332="kiri")*(M2:M164=3))</f>
        <v>14</v>
      </c>
      <c r="G182" s="32">
        <f t="shared" si="7"/>
        <v>0.36842105263157893</v>
      </c>
      <c r="J182" s="32" t="str">
        <v>kiri</v>
      </c>
      <c r="K182" s="32">
        <f>COUNTIFS($J$170:$J$332,"Kiri",$M$2:$M$164,"3")</f>
        <v>14</v>
      </c>
      <c r="L182" s="32">
        <f t="shared" si="8"/>
        <v>0.5</v>
      </c>
      <c r="O182" s="32" t="str">
        <v>tengah</v>
      </c>
      <c r="P182" s="32">
        <f>COUNTIFS($O$170:$O$332,"Kiri",$M$2:$M$164,"3")</f>
        <v>0</v>
      </c>
      <c r="Q182" s="32">
        <f t="shared" si="9"/>
        <v>0</v>
      </c>
      <c r="T182" s="32" t="str">
        <v>kanan</v>
      </c>
      <c r="U182" s="32">
        <f>COUNTIFS($T$170:$T$332,"Kiri",$M$2:$M$164,"3")</f>
        <v>0</v>
      </c>
      <c r="V182" s="32">
        <f>U182/57</f>
        <v>0</v>
      </c>
    </row>
    <row r="183" spans="5:22">
      <c r="E183" s="32" t="str">
        <v>kiri</v>
      </c>
      <c r="F183" s="32" t="s">
        <v>196</v>
      </c>
      <c r="G183" s="32">
        <f>-(IFERROR(G180*LOG(G180,2),0)+IFERROR(G181*LOG(G181,2),0)+IFERROR(G182*LOG(G182,2),0))</f>
        <v>1.2108100261060328</v>
      </c>
      <c r="J183" s="32" t="str">
        <v>tengah</v>
      </c>
      <c r="K183" s="32" t="s">
        <v>196</v>
      </c>
      <c r="L183" s="32">
        <f>-(IFERROR(L180*LOG(L180,2),0)+IFERROR(L181*LOG(L181,2),0)+IFERROR(L182*LOG(L182,2),0))</f>
        <v>1</v>
      </c>
      <c r="O183" s="32" t="str">
        <v>tengah</v>
      </c>
      <c r="P183" s="32" t="s">
        <v>196</v>
      </c>
      <c r="Q183" s="32">
        <f>-(IFERROR(Q180*LOG(Q180,2),0)+IFERROR(Q181*LOG(Q181,2),0)+IFERROR(Q182*LOG(Q182,2),0))</f>
        <v>0.50325833477564574</v>
      </c>
      <c r="T183" s="32" t="str">
        <v>tengah</v>
      </c>
      <c r="U183" s="32" t="s">
        <v>196</v>
      </c>
      <c r="V183" s="32">
        <f>-(IFERROR(V180*LOG(V180,2),0)+IFERROR(V181*LOG(V181,2),0)+IFERROR(V182*LOG(V182,2),0))</f>
        <v>0</v>
      </c>
    </row>
    <row r="184" spans="5:22">
      <c r="E184" s="32" t="str">
        <v>tengah</v>
      </c>
      <c r="F184" s="32"/>
      <c r="G184" s="32">
        <f>SUM(F180:F182)/163</f>
        <v>0.23312883435582821</v>
      </c>
      <c r="J184" s="32" t="str">
        <v>tengah</v>
      </c>
      <c r="K184" s="32"/>
      <c r="L184" s="32">
        <f>SUM(K180:K182)/163</f>
        <v>0.17177914110429449</v>
      </c>
      <c r="O184" s="32" t="str">
        <v>tengah</v>
      </c>
      <c r="P184" s="32"/>
      <c r="Q184" s="32">
        <f>SUM(P180:P182)/163</f>
        <v>0.38650306748466257</v>
      </c>
      <c r="T184" s="32" t="str">
        <v>kanan</v>
      </c>
      <c r="U184" s="32"/>
      <c r="V184" s="32">
        <f>SUM(U180:U182)/163</f>
        <v>0</v>
      </c>
    </row>
    <row r="185" spans="5:22">
      <c r="E185" s="32" t="str">
        <v>tengah</v>
      </c>
      <c r="F185" s="32"/>
      <c r="G185" s="39">
        <f>G183*G184</f>
        <v>0.28227473001244935</v>
      </c>
      <c r="J185" s="32" t="str">
        <v>kanan</v>
      </c>
      <c r="K185" s="32"/>
      <c r="L185" s="39">
        <f>L183*L184</f>
        <v>0.17177914110429449</v>
      </c>
      <c r="O185" s="32" t="str">
        <v>kiri</v>
      </c>
      <c r="P185" s="32"/>
      <c r="Q185" s="39">
        <f>Q183*Q184</f>
        <v>0.19451089012801032</v>
      </c>
      <c r="T185" s="32" t="str">
        <v>tengah</v>
      </c>
      <c r="U185" s="32"/>
      <c r="V185" s="39">
        <f>V183*V184</f>
        <v>0</v>
      </c>
    </row>
    <row r="186" spans="5:22">
      <c r="E186" s="32" t="str">
        <v>tengah</v>
      </c>
      <c r="F186" s="32"/>
      <c r="G186" s="32"/>
      <c r="J186" s="32" t="str">
        <v>tengah</v>
      </c>
      <c r="K186" s="32"/>
      <c r="L186" s="32"/>
      <c r="O186" s="32" t="str">
        <v>kanan</v>
      </c>
      <c r="P186" s="32"/>
      <c r="Q186" s="32"/>
      <c r="T186" s="32" t="str">
        <v>kanan</v>
      </c>
      <c r="U186" s="32"/>
      <c r="V186" s="32"/>
    </row>
    <row r="187" spans="5:22">
      <c r="E187" s="32" t="str">
        <v>tengah</v>
      </c>
      <c r="F187" s="32"/>
      <c r="G187" s="32"/>
      <c r="J187" s="32" t="str">
        <v>tengah</v>
      </c>
      <c r="K187" s="32"/>
      <c r="L187" s="32"/>
      <c r="O187" s="32" t="str">
        <v>tengah</v>
      </c>
      <c r="P187" s="32"/>
      <c r="Q187" s="32"/>
      <c r="T187" s="32" t="str">
        <v>kanan</v>
      </c>
      <c r="U187" s="32"/>
      <c r="V187" s="32"/>
    </row>
    <row r="188" spans="5:22">
      <c r="E188" s="32" t="str">
        <v>kiri</v>
      </c>
      <c r="F188" s="32" t="s">
        <v>198</v>
      </c>
      <c r="G188" s="32"/>
      <c r="J188" s="32" t="str">
        <v>tengah</v>
      </c>
      <c r="K188" s="32" t="s">
        <v>198</v>
      </c>
      <c r="L188" s="32"/>
      <c r="O188" s="32" t="str">
        <v>kiri</v>
      </c>
      <c r="P188" s="32" t="s">
        <v>198</v>
      </c>
      <c r="Q188" s="32"/>
      <c r="T188" s="32" t="str">
        <v>tengah</v>
      </c>
      <c r="U188" s="32" t="s">
        <v>198</v>
      </c>
      <c r="V188" s="32"/>
    </row>
    <row r="189" spans="5:22">
      <c r="E189" s="32" t="str">
        <v>tengah</v>
      </c>
      <c r="F189" s="32" cm="1">
        <f t="array" ref="F189">SUMPRODUCT((E170:E332="tengah")*(M2:M164=1))</f>
        <v>5</v>
      </c>
      <c r="G189" s="32">
        <f>F189/93</f>
        <v>5.3763440860215055E-2</v>
      </c>
      <c r="J189" s="32" t="str">
        <v>kanan</v>
      </c>
      <c r="K189" s="32">
        <f>COUNTIFS($J$170:$J$332,"Tengah",$M$2:$M$164,"1")</f>
        <v>6</v>
      </c>
      <c r="L189" s="32">
        <f>K189/93</f>
        <v>6.4516129032258063E-2</v>
      </c>
      <c r="O189" s="32" t="str">
        <v>kiri</v>
      </c>
      <c r="P189" s="32">
        <f>COUNTIFS($O$170:$O$332,"Tengah",$M$2:$M$164,"1")</f>
        <v>0</v>
      </c>
      <c r="Q189" s="32">
        <f>P189/65</f>
        <v>0</v>
      </c>
      <c r="T189" s="32" t="str">
        <v>tengah</v>
      </c>
      <c r="U189" s="32">
        <f>COUNTIFS($T$170:$T$332,"Tengah",$M$2:$M$164,"1")</f>
        <v>2</v>
      </c>
      <c r="V189" s="32">
        <f>U189/78</f>
        <v>2.564102564102564E-2</v>
      </c>
    </row>
    <row r="190" spans="5:22">
      <c r="E190" s="32" t="str">
        <v>tengah</v>
      </c>
      <c r="F190" s="32" cm="1">
        <f t="array" ref="F190">SUMPRODUCT((E170:E332="tengah")*(M2:M164=2))</f>
        <v>52</v>
      </c>
      <c r="G190" s="32">
        <f t="shared" ref="G190:G191" si="10">F190/93</f>
        <v>0.55913978494623651</v>
      </c>
      <c r="J190" s="32" t="str">
        <v>kanan</v>
      </c>
      <c r="K190" s="32">
        <f>COUNTIFS($J$170:$J$332,"Tengah",$M$2:$M$164,"2")</f>
        <v>42</v>
      </c>
      <c r="L190" s="32">
        <f t="shared" ref="L190:L191" si="11">K190/93</f>
        <v>0.45161290322580644</v>
      </c>
      <c r="O190" s="32" t="str">
        <v>kanan</v>
      </c>
      <c r="P190" s="32">
        <f>COUNTIFS($O$170:$O$332,"Tengah",$M$2:$M$164,"2")</f>
        <v>28</v>
      </c>
      <c r="Q190" s="32">
        <f t="shared" ref="Q190:Q191" si="12">P190/65</f>
        <v>0.43076923076923079</v>
      </c>
      <c r="T190" s="32" t="str">
        <v>tengah</v>
      </c>
      <c r="U190" s="32">
        <f>COUNTIFS($T$170:$T$332,"Tengah",$M$2:$M$164,"2")</f>
        <v>41</v>
      </c>
      <c r="V190" s="32">
        <f t="shared" ref="V190:V191" si="13">U190/78</f>
        <v>0.52564102564102566</v>
      </c>
    </row>
    <row r="191" spans="5:22">
      <c r="E191" s="32" t="str">
        <v>kiri</v>
      </c>
      <c r="F191" s="32" cm="1">
        <f t="array" ref="F191">SUMPRODUCT((E170:E332="tengah")*(M2:M164=3))</f>
        <v>36</v>
      </c>
      <c r="G191" s="32">
        <f t="shared" si="10"/>
        <v>0.38709677419354838</v>
      </c>
      <c r="J191" s="32" t="str">
        <v>kiri</v>
      </c>
      <c r="K191" s="32">
        <f>COUNTIFS($J$170:$J$332,"Tengah",$M$2:$M$164,"3")</f>
        <v>45</v>
      </c>
      <c r="L191" s="32">
        <f t="shared" si="11"/>
        <v>0.4838709677419355</v>
      </c>
      <c r="O191" s="32" t="str">
        <v>tengah</v>
      </c>
      <c r="P191" s="32">
        <f>COUNTIFS($O$170:$O$332,"Tengah",$M$2:$M$164,"3")</f>
        <v>37</v>
      </c>
      <c r="Q191" s="32">
        <f t="shared" si="12"/>
        <v>0.56923076923076921</v>
      </c>
      <c r="T191" s="32" t="str">
        <v>tengah</v>
      </c>
      <c r="U191" s="32">
        <f>COUNTIFS($T$170:$T$332,"Tengah",$M$2:$M$164,"3")</f>
        <v>30</v>
      </c>
      <c r="V191" s="32">
        <f t="shared" si="13"/>
        <v>0.38461538461538464</v>
      </c>
    </row>
    <row r="192" spans="5:22">
      <c r="E192" s="32" t="str">
        <v>tengah</v>
      </c>
      <c r="F192" s="32" t="s">
        <v>196</v>
      </c>
      <c r="G192" s="32">
        <f>-(IFERROR(G189*LOG(G189,2),0)+IFERROR(G190*LOG(G190,2),0)+IFERROR(G191*LOG(G191,2),0))</f>
        <v>1.2257200383155924</v>
      </c>
      <c r="J192" s="32" t="str">
        <v>tengah</v>
      </c>
      <c r="K192" s="32" t="s">
        <v>196</v>
      </c>
      <c r="L192" s="32">
        <f>-(IFERROR(L189*LOG(L189,2),0)+IFERROR(L190*LOG(L190,2),0)+IFERROR(L191*LOG(L191,2),0))</f>
        <v>1.2797986380341579</v>
      </c>
      <c r="O192" s="32" t="str">
        <v>kiri</v>
      </c>
      <c r="P192" s="32" t="s">
        <v>196</v>
      </c>
      <c r="Q192" s="32">
        <f>-(IFERROR(Q189*LOG(Q189,2),0)+IFERROR(Q190*LOG(Q190,2),0)+IFERROR(Q191*LOG(Q191,2),0))</f>
        <v>0.98612608463023832</v>
      </c>
      <c r="T192" s="32" t="str">
        <v>tengah</v>
      </c>
      <c r="U192" s="32" t="s">
        <v>196</v>
      </c>
      <c r="V192" s="32">
        <f>-(IFERROR(V189*LOG(V189,2),0)+IFERROR(V190*LOG(V190,2),0)+IFERROR(V191*LOG(V191,2),0))</f>
        <v>1.1534360502480403</v>
      </c>
    </row>
    <row r="193" spans="5:22">
      <c r="E193" s="32" t="str">
        <v>kiri</v>
      </c>
      <c r="F193" s="32"/>
      <c r="G193" s="32">
        <f>SUM(F189:F191)/163</f>
        <v>0.57055214723926384</v>
      </c>
      <c r="J193" s="32" t="str">
        <v>tengah</v>
      </c>
      <c r="K193" s="32"/>
      <c r="L193" s="32">
        <f>SUM(K189:K191)/163</f>
        <v>0.57055214723926384</v>
      </c>
      <c r="O193" s="32" t="str">
        <v>kiri</v>
      </c>
      <c r="P193" s="32"/>
      <c r="Q193" s="32">
        <f>SUM(P189:P191)/163</f>
        <v>0.3987730061349693</v>
      </c>
      <c r="T193" s="32" t="str">
        <v>kanan</v>
      </c>
      <c r="U193" s="32"/>
      <c r="V193" s="32">
        <f>SUM(U189:U191)/163</f>
        <v>0.44785276073619634</v>
      </c>
    </row>
    <row r="194" spans="5:22">
      <c r="E194" s="32" t="str">
        <v>tengah</v>
      </c>
      <c r="F194" s="32"/>
      <c r="G194" s="39">
        <f>G192*G193</f>
        <v>0.69933719977515396</v>
      </c>
      <c r="J194" s="32" t="str">
        <v>tengah</v>
      </c>
      <c r="K194" s="32"/>
      <c r="L194" s="39">
        <f>L192*L193</f>
        <v>0.73019186096427424</v>
      </c>
      <c r="O194" s="32" t="str">
        <v>kanan</v>
      </c>
      <c r="P194" s="32"/>
      <c r="Q194" s="39">
        <f>Q192*Q193</f>
        <v>0.39324046319610728</v>
      </c>
      <c r="T194" s="32" t="str">
        <v>tengah</v>
      </c>
      <c r="U194" s="32"/>
      <c r="V194" s="39">
        <f>V192*V193</f>
        <v>0.51656951943623897</v>
      </c>
    </row>
    <row r="195" spans="5:22">
      <c r="E195" s="32" t="str">
        <v>kiri</v>
      </c>
      <c r="F195" s="32"/>
      <c r="G195" s="32"/>
      <c r="J195" s="32" t="str">
        <v>kiri</v>
      </c>
      <c r="K195" s="32"/>
      <c r="L195" s="32"/>
      <c r="O195" s="32" t="str">
        <v>tengah</v>
      </c>
      <c r="P195" s="32"/>
      <c r="Q195" s="32"/>
      <c r="T195" s="32" t="str">
        <v>tengah</v>
      </c>
      <c r="U195" s="32"/>
      <c r="V195" s="32"/>
    </row>
    <row r="196" spans="5:22">
      <c r="E196" s="32" t="str">
        <v>tengah</v>
      </c>
      <c r="F196" s="32" t="s">
        <v>199</v>
      </c>
      <c r="G196" s="40" t="s">
        <v>196</v>
      </c>
      <c r="J196" s="32" t="str">
        <v>tengah</v>
      </c>
      <c r="K196" s="32" t="s">
        <v>199</v>
      </c>
      <c r="L196" s="40" t="s">
        <v>196</v>
      </c>
      <c r="O196" s="32" t="str">
        <v>kiri</v>
      </c>
      <c r="P196" s="32" t="s">
        <v>199</v>
      </c>
      <c r="Q196" s="40" t="s">
        <v>196</v>
      </c>
      <c r="T196" s="32" t="str">
        <v>tengah</v>
      </c>
      <c r="U196" s="32" t="s">
        <v>199</v>
      </c>
      <c r="V196" s="40" t="s">
        <v>196</v>
      </c>
    </row>
    <row r="197" spans="5:22">
      <c r="E197" s="32" t="str">
        <v>kanan</v>
      </c>
      <c r="F197" s="41">
        <f>P5-(G176+G185+G194)</f>
        <v>5.107958939579671E-2</v>
      </c>
      <c r="G197" s="39">
        <f>(G176+G185+G194)</f>
        <v>1.1575212760520563</v>
      </c>
      <c r="J197" s="32" t="str">
        <v>tengah</v>
      </c>
      <c r="K197" s="41">
        <f>P5-(L176+L185+L194)</f>
        <v>3.8128773788727255E-2</v>
      </c>
      <c r="L197" s="39">
        <f>(L176+L185+L194)</f>
        <v>1.1704720916591258</v>
      </c>
      <c r="O197" s="32" t="str">
        <v>kanan</v>
      </c>
      <c r="P197" s="41">
        <f>P5-(Q176+Q185+Q194)</f>
        <v>0.6208495121237354</v>
      </c>
      <c r="Q197" s="39">
        <f>(Q176+Q185+Q194)</f>
        <v>0.58775135332411765</v>
      </c>
      <c r="T197" s="32" t="str">
        <v>kanan</v>
      </c>
      <c r="U197" s="41">
        <f>P5-(V176+V185+V194)</f>
        <v>7.1815097636718228E-3</v>
      </c>
      <c r="V197" s="39">
        <f>(V176+V185+V194)</f>
        <v>1.2014193556841812</v>
      </c>
    </row>
    <row r="198" spans="5:22">
      <c r="E198" s="32" t="str">
        <v>tengah</v>
      </c>
      <c r="F198" s="32"/>
      <c r="G198" s="32"/>
      <c r="J198" s="32" t="str">
        <v>tengah</v>
      </c>
      <c r="K198" s="32"/>
      <c r="L198" s="32"/>
      <c r="O198" s="32" t="str">
        <v>kiri</v>
      </c>
      <c r="P198" s="32"/>
      <c r="Q198" s="32"/>
      <c r="T198" s="32" t="str">
        <v>kanan</v>
      </c>
      <c r="U198" s="32"/>
      <c r="V198" s="32"/>
    </row>
    <row r="199" spans="5:22">
      <c r="E199" s="32" t="str">
        <v>kanan</v>
      </c>
      <c r="F199" s="32"/>
      <c r="G199" s="32"/>
      <c r="J199" s="32" t="str">
        <v>tengah</v>
      </c>
      <c r="K199" s="32"/>
      <c r="L199" s="32"/>
      <c r="O199" s="32" t="str">
        <v>tengah</v>
      </c>
      <c r="P199" s="32"/>
      <c r="Q199" s="32"/>
      <c r="T199" s="32" t="str">
        <v>kanan</v>
      </c>
      <c r="U199" s="32"/>
      <c r="V199" s="32"/>
    </row>
    <row r="200" spans="5:22">
      <c r="E200" s="32" t="str">
        <v>tengah</v>
      </c>
      <c r="F200" s="32"/>
      <c r="G200" s="32"/>
      <c r="J200" s="32" t="str">
        <v>kanan</v>
      </c>
      <c r="K200" s="32"/>
      <c r="L200" s="32"/>
      <c r="O200" s="32" t="str">
        <v>kiri</v>
      </c>
      <c r="P200" s="32"/>
      <c r="Q200" s="32"/>
      <c r="T200" s="32" t="str">
        <v>tengah</v>
      </c>
      <c r="U200" s="32"/>
      <c r="V200" s="32"/>
    </row>
    <row r="201" spans="5:22">
      <c r="E201" s="32" t="str">
        <v>kiri</v>
      </c>
      <c r="F201" s="32"/>
      <c r="G201" s="32"/>
      <c r="J201" s="32" t="str">
        <v>tengah</v>
      </c>
      <c r="K201" s="32"/>
      <c r="L201" s="32"/>
      <c r="O201" s="32" t="str">
        <v>kiri</v>
      </c>
      <c r="P201" s="32"/>
      <c r="Q201" s="32"/>
      <c r="T201" s="32" t="str">
        <v>tengah</v>
      </c>
      <c r="U201" s="32"/>
      <c r="V201" s="32"/>
    </row>
    <row r="202" spans="5:22">
      <c r="E202" s="32" t="str">
        <v>kiri</v>
      </c>
      <c r="F202" s="32"/>
      <c r="G202" s="32"/>
      <c r="J202" s="32" t="str">
        <v>kiri</v>
      </c>
      <c r="K202" s="32"/>
      <c r="L202" s="32"/>
      <c r="O202" s="32" t="str">
        <v>tengah</v>
      </c>
      <c r="P202" s="32"/>
      <c r="Q202" s="32"/>
      <c r="T202" s="32" t="str">
        <v>kanan</v>
      </c>
      <c r="U202" s="32"/>
      <c r="V202" s="32"/>
    </row>
    <row r="203" spans="5:22">
      <c r="E203" s="32" t="str">
        <v>tengah</v>
      </c>
      <c r="F203" s="32"/>
      <c r="G203" s="32"/>
      <c r="J203" s="32" t="str">
        <v>tengah</v>
      </c>
      <c r="K203" s="32"/>
      <c r="L203" s="32"/>
      <c r="O203" s="32" t="str">
        <v>kiri</v>
      </c>
      <c r="P203" s="32"/>
      <c r="Q203" s="32"/>
      <c r="T203" s="32" t="str">
        <v>tengah</v>
      </c>
      <c r="U203" s="32"/>
      <c r="V203" s="32"/>
    </row>
    <row r="204" spans="5:22">
      <c r="E204" s="32" t="str">
        <v>kanan</v>
      </c>
      <c r="F204" s="32"/>
      <c r="G204" s="32"/>
      <c r="J204" s="32" t="str">
        <v>tengah</v>
      </c>
      <c r="K204" s="32"/>
      <c r="L204" s="32"/>
      <c r="O204" s="32" t="str">
        <v>tengah</v>
      </c>
      <c r="P204" s="32"/>
      <c r="Q204" s="32"/>
      <c r="T204" s="32" t="str">
        <v>tengah</v>
      </c>
      <c r="U204" s="32"/>
      <c r="V204" s="32"/>
    </row>
    <row r="205" spans="5:22">
      <c r="E205" s="32" t="str">
        <v>tengah</v>
      </c>
      <c r="F205" s="32"/>
      <c r="G205" s="32"/>
      <c r="J205" s="32" t="str">
        <v>kanan</v>
      </c>
      <c r="K205" s="32"/>
      <c r="L205" s="32"/>
      <c r="O205" s="32" t="str">
        <v>kiri</v>
      </c>
      <c r="P205" s="32"/>
      <c r="Q205" s="32"/>
      <c r="T205" s="32" t="str">
        <v>kanan</v>
      </c>
      <c r="U205" s="32"/>
      <c r="V205" s="32"/>
    </row>
    <row r="206" spans="5:22">
      <c r="E206" s="32" t="str">
        <v>kiri</v>
      </c>
      <c r="F206" s="32"/>
      <c r="G206" s="32"/>
      <c r="J206" s="32" t="str">
        <v>tengah</v>
      </c>
      <c r="K206" s="32"/>
      <c r="L206" s="32"/>
      <c r="O206" s="32" t="str">
        <v>kiri</v>
      </c>
      <c r="P206" s="32"/>
      <c r="Q206" s="32"/>
      <c r="T206" s="32" t="str">
        <v>tengah</v>
      </c>
      <c r="U206" s="32"/>
      <c r="V206" s="32"/>
    </row>
    <row r="207" spans="5:22">
      <c r="E207" s="32" t="str">
        <v>kiri</v>
      </c>
      <c r="F207" s="32"/>
      <c r="G207" s="32"/>
      <c r="J207" s="32" t="str">
        <v>kiri</v>
      </c>
      <c r="K207" s="32"/>
      <c r="L207" s="32"/>
      <c r="O207" s="32" t="str">
        <v>kiri</v>
      </c>
      <c r="P207" s="32"/>
      <c r="Q207" s="32"/>
      <c r="T207" s="32" t="str">
        <v>kanan</v>
      </c>
      <c r="U207" s="32"/>
      <c r="V207" s="32"/>
    </row>
    <row r="208" spans="5:22">
      <c r="E208" s="32" t="str">
        <v>kiri</v>
      </c>
      <c r="F208" s="32"/>
      <c r="G208" s="32"/>
      <c r="J208" s="32" t="str">
        <v>kiri</v>
      </c>
      <c r="K208" s="32"/>
      <c r="L208" s="32"/>
      <c r="O208" s="32" t="str">
        <v>kanan</v>
      </c>
      <c r="P208" s="32"/>
      <c r="Q208" s="32"/>
      <c r="T208" s="32" t="str">
        <v>tengah</v>
      </c>
      <c r="U208" s="32"/>
      <c r="V208" s="32"/>
    </row>
    <row r="209" spans="5:22">
      <c r="E209" s="32" t="str">
        <v>tengah</v>
      </c>
      <c r="F209" s="32"/>
      <c r="G209" s="32"/>
      <c r="J209" s="32" t="str">
        <v>tengah</v>
      </c>
      <c r="K209" s="32"/>
      <c r="L209" s="32"/>
      <c r="O209" s="32" t="str">
        <v>kanan</v>
      </c>
      <c r="P209" s="32"/>
      <c r="Q209" s="32"/>
      <c r="T209" s="32" t="str">
        <v>kanan</v>
      </c>
      <c r="U209" s="32"/>
      <c r="V209" s="32"/>
    </row>
    <row r="210" spans="5:22">
      <c r="E210" s="32" t="str">
        <v>tengah</v>
      </c>
      <c r="F210" s="32"/>
      <c r="G210" s="32"/>
      <c r="J210" s="32" t="str">
        <v>kanan</v>
      </c>
      <c r="K210" s="32"/>
      <c r="L210" s="32"/>
      <c r="O210" s="32" t="str">
        <v>kiri</v>
      </c>
      <c r="P210" s="32"/>
      <c r="Q210" s="32"/>
      <c r="T210" s="32" t="str">
        <v>kanan</v>
      </c>
      <c r="U210" s="32"/>
      <c r="V210" s="32"/>
    </row>
    <row r="211" spans="5:22">
      <c r="E211" s="32" t="str">
        <v>kiri</v>
      </c>
      <c r="F211" s="32"/>
      <c r="G211" s="32"/>
      <c r="J211" s="32" t="str">
        <v>kiri</v>
      </c>
      <c r="K211" s="32"/>
      <c r="L211" s="32"/>
      <c r="O211" s="32" t="str">
        <v>kanan</v>
      </c>
      <c r="P211" s="32"/>
      <c r="Q211" s="32"/>
      <c r="T211" s="32" t="str">
        <v>tengah</v>
      </c>
      <c r="U211" s="32"/>
      <c r="V211" s="32"/>
    </row>
    <row r="212" spans="5:22">
      <c r="E212" s="32" t="str">
        <v>kiri</v>
      </c>
      <c r="F212" s="32"/>
      <c r="G212" s="32"/>
      <c r="J212" s="32" t="str">
        <v>kanan</v>
      </c>
      <c r="K212" s="32"/>
      <c r="L212" s="32"/>
      <c r="O212" s="32" t="str">
        <v>kiri</v>
      </c>
      <c r="P212" s="32"/>
      <c r="Q212" s="32"/>
      <c r="T212" s="32" t="str">
        <v>tengah</v>
      </c>
      <c r="U212" s="32"/>
      <c r="V212" s="32"/>
    </row>
    <row r="213" spans="5:22">
      <c r="E213" s="32" t="str">
        <v>tengah</v>
      </c>
      <c r="F213" s="32"/>
      <c r="G213" s="32"/>
      <c r="J213" s="32" t="str">
        <v>kanan</v>
      </c>
      <c r="K213" s="32"/>
      <c r="L213" s="32"/>
      <c r="O213" s="32" t="str">
        <v>kiri</v>
      </c>
      <c r="P213" s="32"/>
      <c r="Q213" s="32"/>
      <c r="T213" s="32" t="str">
        <v>tengah</v>
      </c>
      <c r="U213" s="32"/>
      <c r="V213" s="32"/>
    </row>
    <row r="214" spans="5:22">
      <c r="E214" s="32" t="str">
        <v>tengah</v>
      </c>
      <c r="F214" s="32"/>
      <c r="G214" s="32"/>
      <c r="J214" s="32" t="str">
        <v>tengah</v>
      </c>
      <c r="K214" s="32"/>
      <c r="L214" s="32"/>
      <c r="O214" s="32" t="str">
        <v>kiri</v>
      </c>
      <c r="P214" s="32"/>
      <c r="Q214" s="32"/>
      <c r="T214" s="32" t="str">
        <v>kanan</v>
      </c>
      <c r="U214" s="32"/>
      <c r="V214" s="32"/>
    </row>
    <row r="215" spans="5:22">
      <c r="E215" s="32" t="str">
        <v>kiri</v>
      </c>
      <c r="F215" s="32"/>
      <c r="G215" s="32"/>
      <c r="J215" s="32" t="str">
        <v>tengah</v>
      </c>
      <c r="K215" s="32"/>
      <c r="L215" s="32"/>
      <c r="O215" s="32" t="str">
        <v>kanan</v>
      </c>
      <c r="P215" s="32"/>
      <c r="Q215" s="32"/>
      <c r="T215" s="32" t="str">
        <v>tengah</v>
      </c>
      <c r="U215" s="32"/>
      <c r="V215" s="32"/>
    </row>
    <row r="216" spans="5:22">
      <c r="E216" s="32" t="str">
        <v>kiri</v>
      </c>
      <c r="F216" s="32"/>
      <c r="G216" s="32"/>
      <c r="J216" s="32" t="str">
        <v>tengah</v>
      </c>
      <c r="K216" s="32"/>
      <c r="L216" s="32"/>
      <c r="O216" s="32" t="str">
        <v>tengah</v>
      </c>
      <c r="P216" s="32"/>
      <c r="Q216" s="32"/>
      <c r="T216" s="32" t="str">
        <v>tengah</v>
      </c>
      <c r="U216" s="32"/>
      <c r="V216" s="32"/>
    </row>
    <row r="217" spans="5:22">
      <c r="E217" s="32" t="str">
        <v>tengah</v>
      </c>
      <c r="F217" s="32"/>
      <c r="G217" s="32"/>
      <c r="J217" s="32" t="str">
        <v>tengah</v>
      </c>
      <c r="K217" s="32"/>
      <c r="L217" s="32"/>
      <c r="O217" s="32" t="str">
        <v>kanan</v>
      </c>
      <c r="P217" s="32"/>
      <c r="Q217" s="32"/>
      <c r="T217" s="32" t="str">
        <v>kanan</v>
      </c>
      <c r="U217" s="32"/>
      <c r="V217" s="32"/>
    </row>
    <row r="218" spans="5:22">
      <c r="E218" s="32" t="str">
        <v>tengah</v>
      </c>
      <c r="F218" s="32"/>
      <c r="G218" s="32"/>
      <c r="J218" s="32" t="str">
        <v>tengah</v>
      </c>
      <c r="K218" s="32"/>
      <c r="L218" s="32"/>
      <c r="O218" s="32" t="str">
        <v>tengah</v>
      </c>
      <c r="P218" s="32"/>
      <c r="Q218" s="32"/>
      <c r="T218" s="32" t="str">
        <v>tengah</v>
      </c>
      <c r="U218" s="32"/>
      <c r="V218" s="32"/>
    </row>
    <row r="219" spans="5:22">
      <c r="E219" s="32" t="str">
        <v>tengah</v>
      </c>
      <c r="F219" s="32"/>
      <c r="G219" s="32"/>
      <c r="J219" s="32" t="str">
        <v>tengah</v>
      </c>
      <c r="K219" s="32"/>
      <c r="L219" s="32"/>
      <c r="O219" s="32" t="str">
        <v>kanan</v>
      </c>
      <c r="P219" s="32"/>
      <c r="Q219" s="32"/>
      <c r="T219" s="32" t="str">
        <v>kanan</v>
      </c>
      <c r="U219" s="32"/>
      <c r="V219" s="32"/>
    </row>
    <row r="220" spans="5:22">
      <c r="E220" s="32" t="str">
        <v>kiri</v>
      </c>
      <c r="F220" s="32"/>
      <c r="G220" s="32"/>
      <c r="J220" s="32" t="str">
        <v>tengah</v>
      </c>
      <c r="K220" s="32"/>
      <c r="L220" s="32"/>
      <c r="O220" s="32" t="str">
        <v>tengah</v>
      </c>
      <c r="P220" s="32"/>
      <c r="Q220" s="32"/>
      <c r="T220" s="32" t="str">
        <v>tengah</v>
      </c>
      <c r="U220" s="32"/>
      <c r="V220" s="32"/>
    </row>
    <row r="221" spans="5:22">
      <c r="E221" s="32" t="str">
        <v>tengah</v>
      </c>
      <c r="F221" s="32"/>
      <c r="G221" s="32"/>
      <c r="J221" s="32" t="str">
        <v>kiri</v>
      </c>
      <c r="K221" s="32"/>
      <c r="L221" s="32"/>
      <c r="O221" s="32" t="str">
        <v>kanan</v>
      </c>
      <c r="P221" s="32"/>
      <c r="Q221" s="32"/>
      <c r="T221" s="32" t="str">
        <v>tengah</v>
      </c>
      <c r="U221" s="32"/>
      <c r="V221" s="32"/>
    </row>
    <row r="222" spans="5:22">
      <c r="E222" s="32" t="str">
        <v>tengah</v>
      </c>
      <c r="F222" s="32"/>
      <c r="G222" s="32"/>
      <c r="J222" s="32" t="str">
        <v>kanan</v>
      </c>
      <c r="K222" s="32"/>
      <c r="L222" s="32"/>
      <c r="O222" s="32" t="str">
        <v>tengah</v>
      </c>
      <c r="P222" s="32"/>
      <c r="Q222" s="32"/>
      <c r="T222" s="32" t="str">
        <v>tengah</v>
      </c>
      <c r="U222" s="32"/>
      <c r="V222" s="32"/>
    </row>
    <row r="223" spans="5:22">
      <c r="E223" s="32" t="str">
        <v>kiri</v>
      </c>
      <c r="F223" s="32"/>
      <c r="G223" s="32"/>
      <c r="J223" s="32" t="str">
        <v>tengah</v>
      </c>
      <c r="K223" s="32"/>
      <c r="L223" s="32"/>
      <c r="O223" s="32" t="str">
        <v>kanan</v>
      </c>
      <c r="P223" s="32"/>
      <c r="Q223" s="32"/>
      <c r="T223" s="32" t="str">
        <v>kanan</v>
      </c>
      <c r="U223" s="32"/>
      <c r="V223" s="32"/>
    </row>
    <row r="224" spans="5:22">
      <c r="E224" s="32" t="str">
        <v>tengah</v>
      </c>
      <c r="F224" s="32"/>
      <c r="G224" s="32"/>
      <c r="J224" s="32" t="str">
        <v>kiri</v>
      </c>
      <c r="K224" s="32"/>
      <c r="L224" s="32"/>
      <c r="O224" s="32" t="str">
        <v>tengah</v>
      </c>
      <c r="P224" s="32"/>
      <c r="Q224" s="32"/>
      <c r="T224" s="32" t="str">
        <v>tengah</v>
      </c>
      <c r="U224" s="32"/>
      <c r="V224" s="32"/>
    </row>
    <row r="225" spans="5:22">
      <c r="E225" s="32" t="str">
        <v>kiri</v>
      </c>
      <c r="F225" s="32"/>
      <c r="G225" s="32"/>
      <c r="J225" s="32" t="str">
        <v>kanan</v>
      </c>
      <c r="K225" s="32"/>
      <c r="L225" s="32"/>
      <c r="O225" s="32" t="str">
        <v>kiri</v>
      </c>
      <c r="P225" s="32"/>
      <c r="Q225" s="32"/>
      <c r="T225" s="32" t="str">
        <v>kanan</v>
      </c>
      <c r="U225" s="32"/>
      <c r="V225" s="32"/>
    </row>
    <row r="226" spans="5:22">
      <c r="E226" s="32" t="str">
        <v>kanan</v>
      </c>
      <c r="F226" s="32"/>
      <c r="G226" s="32"/>
      <c r="J226" s="32" t="str">
        <v>kiri</v>
      </c>
      <c r="K226" s="32"/>
      <c r="L226" s="32"/>
      <c r="O226" s="32" t="str">
        <v>tengah</v>
      </c>
      <c r="P226" s="32"/>
      <c r="Q226" s="32"/>
      <c r="T226" s="32" t="str">
        <v>kanan</v>
      </c>
      <c r="U226" s="32"/>
      <c r="V226" s="32"/>
    </row>
    <row r="227" spans="5:22">
      <c r="E227" s="32" t="str">
        <v>kanan</v>
      </c>
      <c r="F227" s="32"/>
      <c r="G227" s="32"/>
      <c r="J227" s="32" t="str">
        <v>kanan</v>
      </c>
      <c r="K227" s="32"/>
      <c r="L227" s="32"/>
      <c r="O227" s="32" t="str">
        <v>tengah</v>
      </c>
      <c r="P227" s="32"/>
      <c r="Q227" s="32"/>
      <c r="T227" s="32" t="str">
        <v>tengah</v>
      </c>
      <c r="U227" s="32"/>
      <c r="V227" s="32"/>
    </row>
    <row r="228" spans="5:22">
      <c r="E228" s="32" t="str">
        <v>kiri</v>
      </c>
      <c r="F228" s="32"/>
      <c r="G228" s="32"/>
      <c r="J228" s="32" t="str">
        <v>tengah</v>
      </c>
      <c r="K228" s="32"/>
      <c r="L228" s="32"/>
      <c r="O228" s="32" t="str">
        <v>kiri</v>
      </c>
      <c r="P228" s="32"/>
      <c r="Q228" s="32"/>
      <c r="T228" s="32" t="str">
        <v>kanan</v>
      </c>
      <c r="U228" s="32"/>
      <c r="V228" s="32"/>
    </row>
    <row r="229" spans="5:22">
      <c r="E229" s="32" t="str">
        <v>tengah</v>
      </c>
      <c r="F229" s="32"/>
      <c r="G229" s="32"/>
      <c r="J229" s="32" t="str">
        <v>kiri</v>
      </c>
      <c r="K229" s="32"/>
      <c r="L229" s="32"/>
      <c r="O229" s="32" t="str">
        <v>tengah</v>
      </c>
      <c r="P229" s="32"/>
      <c r="Q229" s="32"/>
      <c r="T229" s="32" t="str">
        <v>tengah</v>
      </c>
      <c r="U229" s="32"/>
      <c r="V229" s="32"/>
    </row>
    <row r="230" spans="5:22">
      <c r="E230" s="32" t="str">
        <v>tengah</v>
      </c>
      <c r="F230" s="32"/>
      <c r="G230" s="32"/>
      <c r="J230" s="32" t="str">
        <v>kanan</v>
      </c>
      <c r="K230" s="32"/>
      <c r="L230" s="32"/>
      <c r="O230" s="32" t="str">
        <v>kiri</v>
      </c>
      <c r="P230" s="32"/>
      <c r="Q230" s="32"/>
      <c r="T230" s="32" t="str">
        <v>tengah</v>
      </c>
      <c r="U230" s="32"/>
      <c r="V230" s="32"/>
    </row>
    <row r="231" spans="5:22">
      <c r="E231" s="32" t="str">
        <v>kanan</v>
      </c>
      <c r="F231" s="32"/>
      <c r="G231" s="32"/>
      <c r="J231" s="32" t="str">
        <v>tengah</v>
      </c>
      <c r="K231" s="32"/>
      <c r="L231" s="32"/>
      <c r="O231" s="32" t="str">
        <v>tengah</v>
      </c>
      <c r="P231" s="32"/>
      <c r="Q231" s="32"/>
      <c r="T231" s="32" t="str">
        <v>tengah</v>
      </c>
      <c r="U231" s="32"/>
      <c r="V231" s="32"/>
    </row>
    <row r="232" spans="5:22">
      <c r="E232" s="32" t="str">
        <v>tengah</v>
      </c>
      <c r="F232" s="32"/>
      <c r="G232" s="32"/>
      <c r="J232" s="32" t="str">
        <v>kanan</v>
      </c>
      <c r="K232" s="32"/>
      <c r="L232" s="32"/>
      <c r="O232" s="32" t="str">
        <v>tengah</v>
      </c>
      <c r="P232" s="32"/>
      <c r="Q232" s="32"/>
      <c r="T232" s="32" t="str">
        <v>kanan</v>
      </c>
      <c r="U232" s="32"/>
      <c r="V232" s="32"/>
    </row>
    <row r="233" spans="5:22">
      <c r="E233" s="32" t="str">
        <v>kiri</v>
      </c>
      <c r="F233" s="32"/>
      <c r="G233" s="32"/>
      <c r="J233" s="32" t="str">
        <v>tengah</v>
      </c>
      <c r="K233" s="32"/>
      <c r="L233" s="32"/>
      <c r="O233" s="32" t="str">
        <v>kiri</v>
      </c>
      <c r="P233" s="32"/>
      <c r="Q233" s="32"/>
      <c r="T233" s="32" t="str">
        <v>tengah</v>
      </c>
      <c r="U233" s="32"/>
      <c r="V233" s="32"/>
    </row>
    <row r="234" spans="5:22">
      <c r="E234" s="32" t="str">
        <v>tengah</v>
      </c>
      <c r="F234" s="32"/>
      <c r="G234" s="32"/>
      <c r="J234" s="32" t="str">
        <v>tengah</v>
      </c>
      <c r="K234" s="32"/>
      <c r="L234" s="32"/>
      <c r="O234" s="32" t="str">
        <v>kiri</v>
      </c>
      <c r="P234" s="32"/>
      <c r="Q234" s="32"/>
      <c r="T234" s="32" t="str">
        <v>kanan</v>
      </c>
      <c r="U234" s="32"/>
      <c r="V234" s="32"/>
    </row>
    <row r="235" spans="5:22">
      <c r="E235" s="32" t="str">
        <v>tengah</v>
      </c>
      <c r="F235" s="32"/>
      <c r="G235" s="32"/>
      <c r="J235" s="32" t="str">
        <v>kiri</v>
      </c>
      <c r="K235" s="32"/>
      <c r="L235" s="32"/>
      <c r="O235" s="32" t="str">
        <v>tengah</v>
      </c>
      <c r="P235" s="32"/>
      <c r="Q235" s="32"/>
      <c r="T235" s="32" t="str">
        <v>kanan</v>
      </c>
      <c r="U235" s="32"/>
      <c r="V235" s="32"/>
    </row>
    <row r="236" spans="5:22">
      <c r="E236" s="32" t="str">
        <v>tengah</v>
      </c>
      <c r="F236" s="32"/>
      <c r="G236" s="32"/>
      <c r="J236" s="32" t="str">
        <v>kanan</v>
      </c>
      <c r="K236" s="32"/>
      <c r="L236" s="32"/>
      <c r="O236" s="32" t="str">
        <v>kiri</v>
      </c>
      <c r="P236" s="32"/>
      <c r="Q236" s="32"/>
      <c r="T236" s="32" t="str">
        <v>tengah</v>
      </c>
      <c r="U236" s="32"/>
      <c r="V236" s="32"/>
    </row>
    <row r="237" spans="5:22">
      <c r="E237" s="32" t="str">
        <v>kanan</v>
      </c>
      <c r="F237" s="32"/>
      <c r="G237" s="32"/>
      <c r="J237" s="32" t="str">
        <v>tengah</v>
      </c>
      <c r="K237" s="32"/>
      <c r="L237" s="32"/>
      <c r="O237" s="32" t="str">
        <v>kanan</v>
      </c>
      <c r="P237" s="32"/>
      <c r="Q237" s="32"/>
      <c r="T237" s="32" t="str">
        <v>kanan</v>
      </c>
      <c r="U237" s="32"/>
      <c r="V237" s="32"/>
    </row>
    <row r="238" spans="5:22">
      <c r="E238" s="32" t="str">
        <v>tengah</v>
      </c>
      <c r="F238" s="32"/>
      <c r="G238" s="32"/>
      <c r="J238" s="32" t="str">
        <v>kiri</v>
      </c>
      <c r="K238" s="32"/>
      <c r="L238" s="32"/>
      <c r="O238" s="32" t="str">
        <v>kiri</v>
      </c>
      <c r="P238" s="32"/>
      <c r="Q238" s="32"/>
      <c r="T238" s="32" t="str">
        <v>kanan</v>
      </c>
      <c r="U238" s="32"/>
      <c r="V238" s="32"/>
    </row>
    <row r="239" spans="5:22">
      <c r="E239" s="32" t="str">
        <v>tengah</v>
      </c>
      <c r="F239" s="32"/>
      <c r="G239" s="32"/>
      <c r="J239" s="32" t="str">
        <v>kiri</v>
      </c>
      <c r="K239" s="32"/>
      <c r="L239" s="32"/>
      <c r="O239" s="32" t="str">
        <v>kiri</v>
      </c>
      <c r="P239" s="32"/>
      <c r="Q239" s="32"/>
      <c r="T239" s="32" t="str">
        <v>kanan</v>
      </c>
      <c r="U239" s="32"/>
      <c r="V239" s="32"/>
    </row>
    <row r="240" spans="5:22">
      <c r="E240" s="32" t="str">
        <v>tengah</v>
      </c>
      <c r="F240" s="32"/>
      <c r="G240" s="32"/>
      <c r="J240" s="32" t="str">
        <v>tengah</v>
      </c>
      <c r="K240" s="32"/>
      <c r="L240" s="32"/>
      <c r="O240" s="32" t="str">
        <v>tengah</v>
      </c>
      <c r="P240" s="32"/>
      <c r="Q240" s="32"/>
      <c r="T240" s="32" t="str">
        <v>kanan</v>
      </c>
      <c r="U240" s="32"/>
      <c r="V240" s="32"/>
    </row>
    <row r="241" spans="5:22">
      <c r="E241" s="32" t="str">
        <v>kanan</v>
      </c>
      <c r="F241" s="32"/>
      <c r="G241" s="32"/>
      <c r="J241" s="32" t="str">
        <v>tengah</v>
      </c>
      <c r="K241" s="32"/>
      <c r="L241" s="32"/>
      <c r="O241" s="32" t="str">
        <v>tengah</v>
      </c>
      <c r="P241" s="32"/>
      <c r="Q241" s="32"/>
      <c r="T241" s="32" t="str">
        <v>kanan</v>
      </c>
      <c r="U241" s="32"/>
      <c r="V241" s="32"/>
    </row>
    <row r="242" spans="5:22">
      <c r="E242" s="32" t="str">
        <v>kanan</v>
      </c>
      <c r="F242" s="32"/>
      <c r="G242" s="32"/>
      <c r="J242" s="32" t="str">
        <v>kanan</v>
      </c>
      <c r="K242" s="32"/>
      <c r="L242" s="32"/>
      <c r="O242" s="32" t="str">
        <v>kanan</v>
      </c>
      <c r="P242" s="32"/>
      <c r="Q242" s="32"/>
      <c r="T242" s="32" t="str">
        <v>kanan</v>
      </c>
      <c r="U242" s="32"/>
      <c r="V242" s="32"/>
    </row>
    <row r="243" spans="5:22">
      <c r="E243" s="32" t="str">
        <v>tengah</v>
      </c>
      <c r="F243" s="32"/>
      <c r="G243" s="32"/>
      <c r="J243" s="32" t="str">
        <v>kanan</v>
      </c>
      <c r="K243" s="32"/>
      <c r="L243" s="32"/>
      <c r="O243" s="32" t="str">
        <v>tengah</v>
      </c>
      <c r="P243" s="32"/>
      <c r="Q243" s="32"/>
      <c r="T243" s="32" t="str">
        <v>kanan</v>
      </c>
      <c r="U243" s="32"/>
      <c r="V243" s="32"/>
    </row>
    <row r="244" spans="5:22">
      <c r="E244" s="32" t="str">
        <v>kiri</v>
      </c>
      <c r="F244" s="32"/>
      <c r="G244" s="32"/>
      <c r="J244" s="32" t="str">
        <v>kiri</v>
      </c>
      <c r="K244" s="32"/>
      <c r="L244" s="32"/>
      <c r="O244" s="32" t="str">
        <v>kanan</v>
      </c>
      <c r="P244" s="32"/>
      <c r="Q244" s="32"/>
      <c r="T244" s="32" t="str">
        <v>tengah</v>
      </c>
      <c r="U244" s="32"/>
      <c r="V244" s="32"/>
    </row>
    <row r="245" spans="5:22">
      <c r="E245" s="32" t="str">
        <v>tengah</v>
      </c>
      <c r="F245" s="32"/>
      <c r="G245" s="32"/>
      <c r="J245" s="32" t="str">
        <v>kiri</v>
      </c>
      <c r="K245" s="32"/>
      <c r="L245" s="32"/>
      <c r="O245" s="32" t="str">
        <v>tengah</v>
      </c>
      <c r="P245" s="32"/>
      <c r="Q245" s="32"/>
      <c r="T245" s="32" t="str">
        <v>kanan</v>
      </c>
      <c r="U245" s="32"/>
      <c r="V245" s="32"/>
    </row>
    <row r="246" spans="5:22">
      <c r="E246" s="32" t="str">
        <v>kanan</v>
      </c>
      <c r="F246" s="32"/>
      <c r="G246" s="32"/>
      <c r="J246" s="32" t="str">
        <v>tengah</v>
      </c>
      <c r="K246" s="32"/>
      <c r="L246" s="32"/>
      <c r="O246" s="32" t="str">
        <v>tengah</v>
      </c>
      <c r="P246" s="32"/>
      <c r="Q246" s="32"/>
      <c r="T246" s="32" t="str">
        <v>tengah</v>
      </c>
      <c r="U246" s="32"/>
      <c r="V246" s="32"/>
    </row>
    <row r="247" spans="5:22">
      <c r="E247" s="32" t="str">
        <v>kanan</v>
      </c>
      <c r="F247" s="32"/>
      <c r="G247" s="32"/>
      <c r="J247" s="32" t="str">
        <v>kanan</v>
      </c>
      <c r="K247" s="32"/>
      <c r="L247" s="32"/>
      <c r="O247" s="32" t="str">
        <v>tengah</v>
      </c>
      <c r="P247" s="32"/>
      <c r="Q247" s="32"/>
      <c r="T247" s="32" t="str">
        <v>kanan</v>
      </c>
      <c r="U247" s="32"/>
      <c r="V247" s="32"/>
    </row>
    <row r="248" spans="5:22">
      <c r="E248" s="32" t="str">
        <v>tengah</v>
      </c>
      <c r="F248" s="32"/>
      <c r="G248" s="32"/>
      <c r="J248" s="32" t="str">
        <v>tengah</v>
      </c>
      <c r="K248" s="32"/>
      <c r="L248" s="32"/>
      <c r="O248" s="32" t="str">
        <v>kiri</v>
      </c>
      <c r="P248" s="32"/>
      <c r="Q248" s="32"/>
      <c r="T248" s="32" t="str">
        <v>kanan</v>
      </c>
      <c r="U248" s="32"/>
      <c r="V248" s="32"/>
    </row>
    <row r="249" spans="5:22">
      <c r="E249" s="32" t="str">
        <v>kanan</v>
      </c>
      <c r="F249" s="32"/>
      <c r="G249" s="32"/>
      <c r="J249" s="32" t="str">
        <v>tengah</v>
      </c>
      <c r="K249" s="32"/>
      <c r="L249" s="32"/>
      <c r="O249" s="32" t="str">
        <v>kanan</v>
      </c>
      <c r="P249" s="32"/>
      <c r="Q249" s="32"/>
      <c r="T249" s="32" t="str">
        <v>kanan</v>
      </c>
      <c r="U249" s="32"/>
      <c r="V249" s="32"/>
    </row>
    <row r="250" spans="5:22">
      <c r="E250" s="32" t="str">
        <v>tengah</v>
      </c>
      <c r="F250" s="32"/>
      <c r="G250" s="32"/>
      <c r="J250" s="32" t="str">
        <v>tengah</v>
      </c>
      <c r="K250" s="32"/>
      <c r="L250" s="32"/>
      <c r="O250" s="32" t="str">
        <v>kiri</v>
      </c>
      <c r="P250" s="32"/>
      <c r="Q250" s="32"/>
      <c r="T250" s="32" t="str">
        <v>kanan</v>
      </c>
      <c r="U250" s="32"/>
      <c r="V250" s="32"/>
    </row>
    <row r="251" spans="5:22">
      <c r="E251" s="32" t="str">
        <v>tengah</v>
      </c>
      <c r="F251" s="32"/>
      <c r="G251" s="32"/>
      <c r="J251" s="32" t="str">
        <v>kanan</v>
      </c>
      <c r="K251" s="32"/>
      <c r="L251" s="32"/>
      <c r="O251" s="32" t="str">
        <v>kiri</v>
      </c>
      <c r="P251" s="32"/>
      <c r="Q251" s="32"/>
      <c r="T251" s="32" t="str">
        <v>kanan</v>
      </c>
      <c r="U251" s="32"/>
      <c r="V251" s="32"/>
    </row>
    <row r="252" spans="5:22">
      <c r="E252" s="32" t="str">
        <v>kiri</v>
      </c>
      <c r="F252" s="32"/>
      <c r="G252" s="32"/>
      <c r="J252" s="32" t="str">
        <v>kiri</v>
      </c>
      <c r="K252" s="32"/>
      <c r="L252" s="32"/>
      <c r="O252" s="32" t="str">
        <v>kanan</v>
      </c>
      <c r="P252" s="32"/>
      <c r="Q252" s="32"/>
      <c r="T252" s="32" t="str">
        <v>kanan</v>
      </c>
      <c r="U252" s="32"/>
      <c r="V252" s="32"/>
    </row>
    <row r="253" spans="5:22">
      <c r="E253" s="32" t="str">
        <v>kanan</v>
      </c>
      <c r="F253" s="32"/>
      <c r="G253" s="32"/>
      <c r="J253" s="32" t="str">
        <v>kiri</v>
      </c>
      <c r="K253" s="32"/>
      <c r="L253" s="32"/>
      <c r="O253" s="32" t="str">
        <v>kiri</v>
      </c>
      <c r="P253" s="32"/>
      <c r="Q253" s="32"/>
      <c r="T253" s="32" t="str">
        <v>tengah</v>
      </c>
      <c r="U253" s="32"/>
      <c r="V253" s="32"/>
    </row>
    <row r="254" spans="5:22">
      <c r="E254" s="32" t="str">
        <v>kiri</v>
      </c>
      <c r="F254" s="32"/>
      <c r="G254" s="32"/>
      <c r="J254" s="32" t="str">
        <v>tengah</v>
      </c>
      <c r="K254" s="32"/>
      <c r="L254" s="32"/>
      <c r="O254" s="32" t="str">
        <v>kanan</v>
      </c>
      <c r="P254" s="32"/>
      <c r="Q254" s="32"/>
      <c r="T254" s="32" t="str">
        <v>tengah</v>
      </c>
      <c r="U254" s="32"/>
      <c r="V254" s="32"/>
    </row>
    <row r="255" spans="5:22">
      <c r="E255" s="32" t="str">
        <v>tengah</v>
      </c>
      <c r="F255" s="32"/>
      <c r="G255" s="32"/>
      <c r="J255" s="32" t="str">
        <v>tengah</v>
      </c>
      <c r="K255" s="32"/>
      <c r="L255" s="32"/>
      <c r="O255" s="32" t="str">
        <v>kanan</v>
      </c>
      <c r="P255" s="32"/>
      <c r="Q255" s="32"/>
      <c r="T255" s="32" t="str">
        <v>tengah</v>
      </c>
      <c r="U255" s="32"/>
      <c r="V255" s="32"/>
    </row>
    <row r="256" spans="5:22">
      <c r="E256" s="32" t="str">
        <v>tengah</v>
      </c>
      <c r="F256" s="32"/>
      <c r="G256" s="32"/>
      <c r="J256" s="32" t="str">
        <v>tengah</v>
      </c>
      <c r="K256" s="32"/>
      <c r="L256" s="32"/>
      <c r="O256" s="32" t="str">
        <v>kanan</v>
      </c>
      <c r="P256" s="32"/>
      <c r="Q256" s="32"/>
      <c r="T256" s="32" t="str">
        <v>kanan</v>
      </c>
      <c r="U256" s="32"/>
      <c r="V256" s="32"/>
    </row>
    <row r="257" spans="5:22">
      <c r="E257" s="32" t="str">
        <v>kiri</v>
      </c>
      <c r="F257" s="32"/>
      <c r="G257" s="32"/>
      <c r="J257" s="32" t="str">
        <v>kiri</v>
      </c>
      <c r="K257" s="32"/>
      <c r="L257" s="32"/>
      <c r="O257" s="32" t="str">
        <v>kiri</v>
      </c>
      <c r="P257" s="32"/>
      <c r="Q257" s="32"/>
      <c r="T257" s="32" t="str">
        <v>kanan</v>
      </c>
      <c r="U257" s="32"/>
      <c r="V257" s="32"/>
    </row>
    <row r="258" spans="5:22">
      <c r="E258" s="32" t="str">
        <v>tengah</v>
      </c>
      <c r="F258" s="32"/>
      <c r="G258" s="32"/>
      <c r="J258" s="32" t="str">
        <v>kanan</v>
      </c>
      <c r="K258" s="32"/>
      <c r="L258" s="32"/>
      <c r="O258" s="32" t="str">
        <v>kiri</v>
      </c>
      <c r="P258" s="32"/>
      <c r="Q258" s="32"/>
      <c r="T258" s="32" t="str">
        <v>tengah</v>
      </c>
      <c r="U258" s="32"/>
      <c r="V258" s="32"/>
    </row>
    <row r="259" spans="5:22">
      <c r="E259" s="32" t="str">
        <v>kiri</v>
      </c>
      <c r="F259" s="32"/>
      <c r="G259" s="32"/>
      <c r="J259" s="32" t="str">
        <v>tengah</v>
      </c>
      <c r="K259" s="32"/>
      <c r="L259" s="32"/>
      <c r="O259" s="32" t="str">
        <v>kiri</v>
      </c>
      <c r="P259" s="32"/>
      <c r="Q259" s="32"/>
      <c r="T259" s="32" t="str">
        <v>tengah</v>
      </c>
      <c r="U259" s="32"/>
      <c r="V259" s="32"/>
    </row>
    <row r="260" spans="5:22">
      <c r="E260" s="32" t="str">
        <v>tengah</v>
      </c>
      <c r="F260" s="32"/>
      <c r="G260" s="32"/>
      <c r="J260" s="32" t="str">
        <v>tengah</v>
      </c>
      <c r="K260" s="32"/>
      <c r="L260" s="32"/>
      <c r="O260" s="32" t="str">
        <v>tengah</v>
      </c>
      <c r="P260" s="32"/>
      <c r="Q260" s="32"/>
      <c r="T260" s="32" t="str">
        <v>kanan</v>
      </c>
      <c r="U260" s="32"/>
      <c r="V260" s="32"/>
    </row>
    <row r="261" spans="5:22">
      <c r="E261" s="32" t="str">
        <v>tengah</v>
      </c>
      <c r="F261" s="32"/>
      <c r="G261" s="32"/>
      <c r="J261" s="32" t="str">
        <v>kanan</v>
      </c>
      <c r="K261" s="32"/>
      <c r="L261" s="32"/>
      <c r="O261" s="32" t="str">
        <v>kiri</v>
      </c>
      <c r="P261" s="32"/>
      <c r="Q261" s="32"/>
      <c r="T261" s="32" t="str">
        <v>tengah</v>
      </c>
      <c r="U261" s="32"/>
      <c r="V261" s="32"/>
    </row>
    <row r="262" spans="5:22">
      <c r="E262" s="32" t="str">
        <v>tengah</v>
      </c>
      <c r="F262" s="32"/>
      <c r="G262" s="32"/>
      <c r="J262" s="32" t="str">
        <v>tengah</v>
      </c>
      <c r="K262" s="32"/>
      <c r="L262" s="32"/>
      <c r="O262" s="32" t="str">
        <v>tengah</v>
      </c>
      <c r="P262" s="32"/>
      <c r="Q262" s="32"/>
      <c r="T262" s="32" t="str">
        <v>tengah</v>
      </c>
      <c r="U262" s="32"/>
      <c r="V262" s="32"/>
    </row>
    <row r="263" spans="5:22">
      <c r="E263" s="32" t="str">
        <v>kanan</v>
      </c>
      <c r="F263" s="32"/>
      <c r="G263" s="32"/>
      <c r="J263" s="32" t="str">
        <v>kanan</v>
      </c>
      <c r="K263" s="32"/>
      <c r="L263" s="32"/>
      <c r="O263" s="32" t="str">
        <v>tengah</v>
      </c>
      <c r="P263" s="32"/>
      <c r="Q263" s="32"/>
      <c r="T263" s="32" t="str">
        <v>kanan</v>
      </c>
      <c r="U263" s="32"/>
      <c r="V263" s="32"/>
    </row>
    <row r="264" spans="5:22">
      <c r="E264" s="32" t="str">
        <v>tengah</v>
      </c>
      <c r="F264" s="32"/>
      <c r="G264" s="32"/>
      <c r="J264" s="32" t="str">
        <v>tengah</v>
      </c>
      <c r="K264" s="32"/>
      <c r="L264" s="32"/>
      <c r="O264" s="32" t="str">
        <v>kanan</v>
      </c>
      <c r="P264" s="32"/>
      <c r="Q264" s="32"/>
      <c r="T264" s="32" t="str">
        <v>kanan</v>
      </c>
      <c r="U264" s="32"/>
      <c r="V264" s="32"/>
    </row>
    <row r="265" spans="5:22">
      <c r="E265" s="32" t="str">
        <v>tengah</v>
      </c>
      <c r="F265" s="32"/>
      <c r="G265" s="32"/>
      <c r="J265" s="32" t="str">
        <v>kiri</v>
      </c>
      <c r="K265" s="32"/>
      <c r="L265" s="32"/>
      <c r="O265" s="32" t="str">
        <v>tengah</v>
      </c>
      <c r="P265" s="32"/>
      <c r="Q265" s="32"/>
      <c r="T265" s="32" t="str">
        <v>tengah</v>
      </c>
      <c r="U265" s="32"/>
      <c r="V265" s="32"/>
    </row>
    <row r="266" spans="5:22">
      <c r="E266" s="32" t="str">
        <v>tengah</v>
      </c>
      <c r="F266" s="32"/>
      <c r="G266" s="32"/>
      <c r="J266" s="32" t="str">
        <v>tengah</v>
      </c>
      <c r="K266" s="32"/>
      <c r="L266" s="32"/>
      <c r="O266" s="32" t="str">
        <v>tengah</v>
      </c>
      <c r="P266" s="32"/>
      <c r="Q266" s="32"/>
      <c r="T266" s="32" t="str">
        <v>kanan</v>
      </c>
      <c r="U266" s="32"/>
      <c r="V266" s="32"/>
    </row>
    <row r="267" spans="5:22">
      <c r="E267" s="32" t="str">
        <v>tengah</v>
      </c>
      <c r="F267" s="32"/>
      <c r="G267" s="32"/>
      <c r="J267" s="32" t="str">
        <v>tengah</v>
      </c>
      <c r="K267" s="32"/>
      <c r="L267" s="32"/>
      <c r="O267" s="32" t="str">
        <v>kiri</v>
      </c>
      <c r="P267" s="32"/>
      <c r="Q267" s="32"/>
      <c r="T267" s="32" t="str">
        <v>tengah</v>
      </c>
      <c r="U267" s="32"/>
      <c r="V267" s="32"/>
    </row>
    <row r="268" spans="5:22">
      <c r="E268" s="32" t="str">
        <v>kanan</v>
      </c>
      <c r="F268" s="32"/>
      <c r="G268" s="32"/>
      <c r="J268" s="32" t="str">
        <v>tengah</v>
      </c>
      <c r="K268" s="32"/>
      <c r="L268" s="32"/>
      <c r="O268" s="32" t="str">
        <v>tengah</v>
      </c>
      <c r="P268" s="32"/>
      <c r="Q268" s="32"/>
      <c r="T268" s="32" t="str">
        <v>kanan</v>
      </c>
      <c r="U268" s="32"/>
      <c r="V268" s="32"/>
    </row>
    <row r="269" spans="5:22">
      <c r="E269" s="32" t="str">
        <v>tengah</v>
      </c>
      <c r="F269" s="32"/>
      <c r="G269" s="32"/>
      <c r="J269" s="32" t="str">
        <v>kanan</v>
      </c>
      <c r="K269" s="32"/>
      <c r="L269" s="32"/>
      <c r="O269" s="32" t="str">
        <v>kiri</v>
      </c>
      <c r="P269" s="32"/>
      <c r="Q269" s="32"/>
      <c r="T269" s="32" t="str">
        <v>tengah</v>
      </c>
      <c r="U269" s="32"/>
      <c r="V269" s="32"/>
    </row>
    <row r="270" spans="5:22">
      <c r="E270" s="32" t="str">
        <v>kanan</v>
      </c>
      <c r="F270" s="32"/>
      <c r="G270" s="32"/>
      <c r="J270" s="32" t="str">
        <v>tengah</v>
      </c>
      <c r="K270" s="32"/>
      <c r="L270" s="32"/>
      <c r="O270" s="32" t="str">
        <v>tengah</v>
      </c>
      <c r="P270" s="32"/>
      <c r="Q270" s="32"/>
      <c r="T270" s="32" t="str">
        <v>kanan</v>
      </c>
      <c r="U270" s="32"/>
      <c r="V270" s="32"/>
    </row>
    <row r="271" spans="5:22">
      <c r="E271" s="32" t="str">
        <v>kiri</v>
      </c>
      <c r="F271" s="32"/>
      <c r="G271" s="32"/>
      <c r="J271" s="32" t="str">
        <v>tengah</v>
      </c>
      <c r="K271" s="32"/>
      <c r="L271" s="32"/>
      <c r="O271" s="32" t="str">
        <v>kiri</v>
      </c>
      <c r="P271" s="32"/>
      <c r="Q271" s="32"/>
      <c r="T271" s="32" t="str">
        <v>tengah</v>
      </c>
      <c r="U271" s="32"/>
      <c r="V271" s="32"/>
    </row>
    <row r="272" spans="5:22">
      <c r="E272" s="32" t="str">
        <v>kiri</v>
      </c>
      <c r="F272" s="32"/>
      <c r="G272" s="32"/>
      <c r="J272" s="32" t="str">
        <v>tengah</v>
      </c>
      <c r="K272" s="32"/>
      <c r="L272" s="32"/>
      <c r="O272" s="32" t="str">
        <v>kiri</v>
      </c>
      <c r="P272" s="32"/>
      <c r="Q272" s="32"/>
      <c r="T272" s="32" t="str">
        <v>tengah</v>
      </c>
      <c r="U272" s="32"/>
      <c r="V272" s="32"/>
    </row>
    <row r="273" spans="5:22">
      <c r="E273" s="32" t="str">
        <v>tengah</v>
      </c>
      <c r="F273" s="32"/>
      <c r="G273" s="32"/>
      <c r="J273" s="32" t="str">
        <v>kanan</v>
      </c>
      <c r="K273" s="32"/>
      <c r="L273" s="32"/>
      <c r="O273" s="32" t="str">
        <v>kiri</v>
      </c>
      <c r="P273" s="32"/>
      <c r="Q273" s="32"/>
      <c r="T273" s="32" t="str">
        <v>tengah</v>
      </c>
      <c r="U273" s="32"/>
      <c r="V273" s="32"/>
    </row>
    <row r="274" spans="5:22">
      <c r="E274" s="32" t="str">
        <v>tengah</v>
      </c>
      <c r="F274" s="32"/>
      <c r="G274" s="32"/>
      <c r="J274" s="32" t="str">
        <v>kanan</v>
      </c>
      <c r="K274" s="32"/>
      <c r="L274" s="32"/>
      <c r="O274" s="32" t="str">
        <v>kiri</v>
      </c>
      <c r="P274" s="32"/>
      <c r="Q274" s="32"/>
      <c r="T274" s="32" t="str">
        <v>kanan</v>
      </c>
      <c r="U274" s="32"/>
      <c r="V274" s="32"/>
    </row>
    <row r="275" spans="5:22">
      <c r="E275" s="32" t="str">
        <v>tengah</v>
      </c>
      <c r="F275" s="32"/>
      <c r="G275" s="32"/>
      <c r="J275" s="32" t="str">
        <v>kanan</v>
      </c>
      <c r="K275" s="32"/>
      <c r="L275" s="32"/>
      <c r="O275" s="32" t="str">
        <v>tengah</v>
      </c>
      <c r="P275" s="32"/>
      <c r="Q275" s="32"/>
      <c r="T275" s="32" t="str">
        <v>tengah</v>
      </c>
      <c r="U275" s="32"/>
      <c r="V275" s="32"/>
    </row>
    <row r="276" spans="5:22">
      <c r="E276" s="32" t="str">
        <v>kiri</v>
      </c>
      <c r="F276" s="32"/>
      <c r="G276" s="32"/>
      <c r="J276" s="32" t="str">
        <v>tengah</v>
      </c>
      <c r="K276" s="32"/>
      <c r="L276" s="32"/>
      <c r="O276" s="32" t="str">
        <v>kanan</v>
      </c>
      <c r="P276" s="32"/>
      <c r="Q276" s="32"/>
      <c r="T276" s="32" t="str">
        <v>tengah</v>
      </c>
      <c r="U276" s="32"/>
      <c r="V276" s="32"/>
    </row>
    <row r="277" spans="5:22">
      <c r="E277" s="32" t="str">
        <v>kiri</v>
      </c>
      <c r="F277" s="32"/>
      <c r="G277" s="32"/>
      <c r="J277" s="32" t="str">
        <v>kanan</v>
      </c>
      <c r="K277" s="32"/>
      <c r="L277" s="32"/>
      <c r="O277" s="32" t="str">
        <v>tengah</v>
      </c>
      <c r="P277" s="32"/>
      <c r="Q277" s="32"/>
      <c r="T277" s="32" t="str">
        <v>kanan</v>
      </c>
      <c r="U277" s="32"/>
      <c r="V277" s="32"/>
    </row>
    <row r="278" spans="5:22">
      <c r="E278" s="32" t="str">
        <v>tengah</v>
      </c>
      <c r="F278" s="32"/>
      <c r="G278" s="32"/>
      <c r="J278" s="32" t="str">
        <v>kanan</v>
      </c>
      <c r="K278" s="32"/>
      <c r="L278" s="32"/>
      <c r="O278" s="32" t="str">
        <v>kiri</v>
      </c>
      <c r="P278" s="32"/>
      <c r="Q278" s="32"/>
      <c r="T278" s="32" t="str">
        <v>kanan</v>
      </c>
      <c r="U278" s="32"/>
      <c r="V278" s="32"/>
    </row>
    <row r="279" spans="5:22">
      <c r="E279" s="32" t="str">
        <v>tengah</v>
      </c>
      <c r="F279" s="32"/>
      <c r="G279" s="32"/>
      <c r="J279" s="32" t="str">
        <v>tengah</v>
      </c>
      <c r="K279" s="32"/>
      <c r="L279" s="32"/>
      <c r="O279" s="32" t="str">
        <v>kanan</v>
      </c>
      <c r="P279" s="32"/>
      <c r="Q279" s="32"/>
      <c r="T279" s="32" t="str">
        <v>tengah</v>
      </c>
      <c r="U279" s="32"/>
      <c r="V279" s="32"/>
    </row>
    <row r="280" spans="5:22">
      <c r="E280" s="32" t="str">
        <v>kiri</v>
      </c>
      <c r="F280" s="32"/>
      <c r="G280" s="32"/>
      <c r="J280" s="32" t="str">
        <v>tengah</v>
      </c>
      <c r="K280" s="32"/>
      <c r="L280" s="32"/>
      <c r="O280" s="32" t="str">
        <v>kanan</v>
      </c>
      <c r="P280" s="32"/>
      <c r="Q280" s="32"/>
      <c r="T280" s="32" t="str">
        <v>kanan</v>
      </c>
      <c r="U280" s="32"/>
      <c r="V280" s="32"/>
    </row>
    <row r="281" spans="5:22">
      <c r="E281" s="32" t="str">
        <v>tengah</v>
      </c>
      <c r="F281" s="32"/>
      <c r="G281" s="32"/>
      <c r="J281" s="32" t="str">
        <v>kanan</v>
      </c>
      <c r="K281" s="32"/>
      <c r="L281" s="32"/>
      <c r="O281" s="32" t="str">
        <v>tengah</v>
      </c>
      <c r="P281" s="32"/>
      <c r="Q281" s="32"/>
      <c r="T281" s="32" t="str">
        <v>tengah</v>
      </c>
      <c r="U281" s="32"/>
      <c r="V281" s="32"/>
    </row>
    <row r="282" spans="5:22">
      <c r="E282" s="32" t="str">
        <v>kiri</v>
      </c>
      <c r="F282" s="32"/>
      <c r="G282" s="32"/>
      <c r="J282" s="32" t="str">
        <v>tengah</v>
      </c>
      <c r="K282" s="32"/>
      <c r="L282" s="32"/>
      <c r="O282" s="32" t="str">
        <v>tengah</v>
      </c>
      <c r="P282" s="32"/>
      <c r="Q282" s="32"/>
      <c r="T282" s="32" t="str">
        <v>kanan</v>
      </c>
      <c r="U282" s="32"/>
      <c r="V282" s="32"/>
    </row>
    <row r="283" spans="5:22">
      <c r="E283" s="32" t="str">
        <v>tengah</v>
      </c>
      <c r="F283" s="32"/>
      <c r="G283" s="32"/>
      <c r="J283" s="32" t="str">
        <v>kanan</v>
      </c>
      <c r="K283" s="32"/>
      <c r="L283" s="32"/>
      <c r="O283" s="32" t="str">
        <v>tengah</v>
      </c>
      <c r="P283" s="32"/>
      <c r="Q283" s="32"/>
      <c r="T283" s="32" t="str">
        <v>kanan</v>
      </c>
      <c r="U283" s="32"/>
      <c r="V283" s="32"/>
    </row>
    <row r="284" spans="5:22">
      <c r="E284" s="32" t="str">
        <v>kanan</v>
      </c>
      <c r="F284" s="32"/>
      <c r="G284" s="32"/>
      <c r="J284" s="32" t="str">
        <v>kanan</v>
      </c>
      <c r="K284" s="32"/>
      <c r="L284" s="32"/>
      <c r="O284" s="32" t="str">
        <v>tengah</v>
      </c>
      <c r="P284" s="32"/>
      <c r="Q284" s="32"/>
      <c r="T284" s="32" t="str">
        <v>tengah</v>
      </c>
      <c r="U284" s="32"/>
      <c r="V284" s="32"/>
    </row>
    <row r="285" spans="5:22">
      <c r="E285" s="32" t="str">
        <v>tengah</v>
      </c>
      <c r="F285" s="32"/>
      <c r="G285" s="32"/>
      <c r="J285" s="32" t="str">
        <v>kiri</v>
      </c>
      <c r="K285" s="32"/>
      <c r="L285" s="32"/>
      <c r="O285" s="32" t="str">
        <v>tengah</v>
      </c>
      <c r="P285" s="32"/>
      <c r="Q285" s="32"/>
      <c r="T285" s="32" t="str">
        <v>tengah</v>
      </c>
      <c r="U285" s="32"/>
      <c r="V285" s="32"/>
    </row>
    <row r="286" spans="5:22">
      <c r="E286" s="32" t="str">
        <v>tengah</v>
      </c>
      <c r="F286" s="32"/>
      <c r="G286" s="32"/>
      <c r="J286" s="32" t="str">
        <v>tengah</v>
      </c>
      <c r="K286" s="32"/>
      <c r="L286" s="32"/>
      <c r="O286" s="32" t="str">
        <v>kiri</v>
      </c>
      <c r="P286" s="32"/>
      <c r="Q286" s="32"/>
      <c r="T286" s="32" t="str">
        <v>kanan</v>
      </c>
      <c r="U286" s="32"/>
      <c r="V286" s="32"/>
    </row>
    <row r="287" spans="5:22">
      <c r="E287" s="32" t="str">
        <v>kiri</v>
      </c>
      <c r="F287" s="32"/>
      <c r="G287" s="32"/>
      <c r="J287" s="32" t="str">
        <v>kiri</v>
      </c>
      <c r="K287" s="32"/>
      <c r="L287" s="32"/>
      <c r="O287" s="32" t="str">
        <v>tengah</v>
      </c>
      <c r="P287" s="32"/>
      <c r="Q287" s="32"/>
      <c r="T287" s="32" t="str">
        <v>tengah</v>
      </c>
      <c r="U287" s="32"/>
      <c r="V287" s="32"/>
    </row>
    <row r="288" spans="5:22">
      <c r="E288" s="32" t="str">
        <v>tengah</v>
      </c>
      <c r="F288" s="32"/>
      <c r="G288" s="32"/>
      <c r="J288" s="32" t="str">
        <v>kanan</v>
      </c>
      <c r="K288" s="32"/>
      <c r="L288" s="32"/>
      <c r="O288" s="32" t="str">
        <v>kiri</v>
      </c>
      <c r="P288" s="32"/>
      <c r="Q288" s="32"/>
      <c r="T288" s="32" t="str">
        <v>kanan</v>
      </c>
      <c r="U288" s="32"/>
      <c r="V288" s="32"/>
    </row>
    <row r="289" spans="5:22">
      <c r="E289" s="32" t="str">
        <v>tengah</v>
      </c>
      <c r="F289" s="32"/>
      <c r="G289" s="32"/>
      <c r="J289" s="32" t="str">
        <v>tengah</v>
      </c>
      <c r="K289" s="32"/>
      <c r="L289" s="32"/>
      <c r="O289" s="32" t="str">
        <v>kiri</v>
      </c>
      <c r="P289" s="32"/>
      <c r="Q289" s="32"/>
      <c r="T289" s="32" t="str">
        <v>kanan</v>
      </c>
      <c r="U289" s="32"/>
      <c r="V289" s="32"/>
    </row>
    <row r="290" spans="5:22">
      <c r="E290" s="32" t="str">
        <v>tengah</v>
      </c>
      <c r="F290" s="32"/>
      <c r="G290" s="32"/>
      <c r="J290" s="32" t="str">
        <v>kiri</v>
      </c>
      <c r="K290" s="32"/>
      <c r="L290" s="32"/>
      <c r="O290" s="32" t="str">
        <v>tengah</v>
      </c>
      <c r="P290" s="32"/>
      <c r="Q290" s="32"/>
      <c r="T290" s="32" t="str">
        <v>kanan</v>
      </c>
      <c r="U290" s="32"/>
      <c r="V290" s="32"/>
    </row>
    <row r="291" spans="5:22">
      <c r="E291" s="32" t="str">
        <v>kanan</v>
      </c>
      <c r="F291" s="32"/>
      <c r="G291" s="32"/>
      <c r="J291" s="32" t="str">
        <v>tengah</v>
      </c>
      <c r="K291" s="32"/>
      <c r="L291" s="32"/>
      <c r="O291" s="32" t="str">
        <v>tengah</v>
      </c>
      <c r="P291" s="32"/>
      <c r="Q291" s="32"/>
      <c r="T291" s="32" t="str">
        <v>tengah</v>
      </c>
      <c r="U291" s="32"/>
      <c r="V291" s="32"/>
    </row>
    <row r="292" spans="5:22">
      <c r="E292" s="32" t="str">
        <v>kanan</v>
      </c>
      <c r="F292" s="32"/>
      <c r="G292" s="32"/>
      <c r="J292" s="32" t="str">
        <v>tengah</v>
      </c>
      <c r="K292" s="32"/>
      <c r="L292" s="32"/>
      <c r="O292" s="32" t="str">
        <v>tengah</v>
      </c>
      <c r="P292" s="32"/>
      <c r="Q292" s="32"/>
      <c r="T292" s="32" t="str">
        <v>kanan</v>
      </c>
      <c r="U292" s="32"/>
      <c r="V292" s="32"/>
    </row>
    <row r="293" spans="5:22">
      <c r="E293" s="32" t="str">
        <v>kanan</v>
      </c>
      <c r="F293" s="32"/>
      <c r="G293" s="32"/>
      <c r="J293" s="32" t="str">
        <v>kanan</v>
      </c>
      <c r="K293" s="32"/>
      <c r="L293" s="32"/>
      <c r="O293" s="32" t="str">
        <v>kanan</v>
      </c>
      <c r="P293" s="32"/>
      <c r="Q293" s="32"/>
      <c r="T293" s="32" t="str">
        <v>kanan</v>
      </c>
      <c r="U293" s="32"/>
      <c r="V293" s="32"/>
    </row>
    <row r="294" spans="5:22">
      <c r="E294" s="32" t="str">
        <v>kanan</v>
      </c>
      <c r="F294" s="32"/>
      <c r="G294" s="32"/>
      <c r="J294" s="32" t="str">
        <v>tengah</v>
      </c>
      <c r="K294" s="32"/>
      <c r="L294" s="32"/>
      <c r="O294" s="32" t="str">
        <v>tengah</v>
      </c>
      <c r="P294" s="32"/>
      <c r="Q294" s="32"/>
      <c r="T294" s="32" t="str">
        <v>kanan</v>
      </c>
      <c r="U294" s="32"/>
      <c r="V294" s="32"/>
    </row>
    <row r="295" spans="5:22">
      <c r="E295" s="32" t="str">
        <v>tengah</v>
      </c>
      <c r="F295" s="32"/>
      <c r="G295" s="32"/>
      <c r="J295" s="32" t="str">
        <v>tengah</v>
      </c>
      <c r="K295" s="32"/>
      <c r="L295" s="32"/>
      <c r="O295" s="32" t="str">
        <v>kiri</v>
      </c>
      <c r="P295" s="32"/>
      <c r="Q295" s="32"/>
      <c r="T295" s="32" t="str">
        <v>kanan</v>
      </c>
      <c r="U295" s="32"/>
      <c r="V295" s="32"/>
    </row>
    <row r="296" spans="5:22">
      <c r="E296" s="32" t="str">
        <v>tengah</v>
      </c>
      <c r="F296" s="32"/>
      <c r="G296" s="32"/>
      <c r="J296" s="32" t="str">
        <v>tengah</v>
      </c>
      <c r="K296" s="32"/>
      <c r="L296" s="32"/>
      <c r="O296" s="32" t="str">
        <v>kanan</v>
      </c>
      <c r="P296" s="32"/>
      <c r="Q296" s="32"/>
      <c r="T296" s="32" t="str">
        <v>tengah</v>
      </c>
      <c r="U296" s="32"/>
      <c r="V296" s="32"/>
    </row>
    <row r="297" spans="5:22">
      <c r="E297" s="32" t="str">
        <v>tengah</v>
      </c>
      <c r="F297" s="32"/>
      <c r="G297" s="32"/>
      <c r="J297" s="32" t="str">
        <v>tengah</v>
      </c>
      <c r="K297" s="32"/>
      <c r="L297" s="32"/>
      <c r="O297" s="32" t="str">
        <v>kiri</v>
      </c>
      <c r="P297" s="32"/>
      <c r="Q297" s="32"/>
      <c r="T297" s="32" t="str">
        <v>kanan</v>
      </c>
      <c r="U297" s="32"/>
      <c r="V297" s="32"/>
    </row>
    <row r="298" spans="5:22">
      <c r="E298" s="32" t="str">
        <v>tengah</v>
      </c>
      <c r="F298" s="32"/>
      <c r="G298" s="32"/>
      <c r="J298" s="32" t="str">
        <v>kanan</v>
      </c>
      <c r="K298" s="32"/>
      <c r="L298" s="32"/>
      <c r="O298" s="32" t="str">
        <v>kanan</v>
      </c>
      <c r="P298" s="32"/>
      <c r="Q298" s="32"/>
      <c r="T298" s="32" t="str">
        <v>tengah</v>
      </c>
      <c r="U298" s="32"/>
      <c r="V298" s="32"/>
    </row>
    <row r="299" spans="5:22">
      <c r="E299" s="32" t="str">
        <v>tengah</v>
      </c>
      <c r="F299" s="32"/>
      <c r="G299" s="32"/>
      <c r="J299" s="32" t="str">
        <v>tengah</v>
      </c>
      <c r="K299" s="32"/>
      <c r="L299" s="32"/>
      <c r="O299" s="32" t="str">
        <v>kanan</v>
      </c>
      <c r="P299" s="32"/>
      <c r="Q299" s="32"/>
      <c r="T299" s="32" t="str">
        <v>kanan</v>
      </c>
      <c r="U299" s="32"/>
      <c r="V299" s="32"/>
    </row>
    <row r="300" spans="5:22">
      <c r="E300" s="32" t="str">
        <v>tengah</v>
      </c>
      <c r="F300" s="32"/>
      <c r="G300" s="32"/>
      <c r="J300" s="32" t="str">
        <v>tengah</v>
      </c>
      <c r="K300" s="32"/>
      <c r="L300" s="32"/>
      <c r="O300" s="32" t="str">
        <v>kiri</v>
      </c>
      <c r="P300" s="32"/>
      <c r="Q300" s="32"/>
      <c r="T300" s="32" t="str">
        <v>kanan</v>
      </c>
      <c r="U300" s="32"/>
      <c r="V300" s="32"/>
    </row>
    <row r="301" spans="5:22">
      <c r="E301" s="32" t="str">
        <v>kiri</v>
      </c>
      <c r="F301" s="32"/>
      <c r="G301" s="32"/>
      <c r="J301" s="32" t="str">
        <v>kanan</v>
      </c>
      <c r="K301" s="32"/>
      <c r="L301" s="32"/>
      <c r="O301" s="32" t="str">
        <v>tengah</v>
      </c>
      <c r="P301" s="32"/>
      <c r="Q301" s="32"/>
      <c r="T301" s="32" t="str">
        <v>kanan</v>
      </c>
      <c r="U301" s="32"/>
      <c r="V301" s="32"/>
    </row>
    <row r="302" spans="5:22">
      <c r="E302" s="32" t="str">
        <v>tengah</v>
      </c>
      <c r="F302" s="32"/>
      <c r="G302" s="32"/>
      <c r="J302" s="32" t="str">
        <v>tengah</v>
      </c>
      <c r="K302" s="32"/>
      <c r="L302" s="32"/>
      <c r="O302" s="32" t="str">
        <v>kiri</v>
      </c>
      <c r="P302" s="32"/>
      <c r="Q302" s="32"/>
      <c r="T302" s="32" t="str">
        <v>kanan</v>
      </c>
      <c r="U302" s="32"/>
      <c r="V302" s="32"/>
    </row>
    <row r="303" spans="5:22">
      <c r="E303" s="32" t="str">
        <v>tengah</v>
      </c>
      <c r="F303" s="32"/>
      <c r="G303" s="32"/>
      <c r="J303" s="32" t="str">
        <v>tengah</v>
      </c>
      <c r="K303" s="32"/>
      <c r="L303" s="32"/>
      <c r="O303" s="32" t="str">
        <v>tengah</v>
      </c>
      <c r="P303" s="32"/>
      <c r="Q303" s="32"/>
      <c r="T303" s="32" t="str">
        <v>kanan</v>
      </c>
      <c r="U303" s="32"/>
      <c r="V303" s="32"/>
    </row>
    <row r="304" spans="5:22">
      <c r="E304" s="32" t="str">
        <v>tengah</v>
      </c>
      <c r="F304" s="32"/>
      <c r="G304" s="32"/>
      <c r="J304" s="32" t="str">
        <v>tengah</v>
      </c>
      <c r="K304" s="32"/>
      <c r="L304" s="32"/>
      <c r="O304" s="32" t="str">
        <v>tengah</v>
      </c>
      <c r="P304" s="32"/>
      <c r="Q304" s="32"/>
      <c r="T304" s="32" t="str">
        <v>kanan</v>
      </c>
      <c r="U304" s="32"/>
      <c r="V304" s="32"/>
    </row>
    <row r="305" spans="5:22">
      <c r="E305" s="32" t="str">
        <v>tengah</v>
      </c>
      <c r="F305" s="32"/>
      <c r="G305" s="32"/>
      <c r="J305" s="32" t="str">
        <v>kanan</v>
      </c>
      <c r="K305" s="32"/>
      <c r="L305" s="32"/>
      <c r="O305" s="32" t="str">
        <v>kiri</v>
      </c>
      <c r="P305" s="32"/>
      <c r="Q305" s="32"/>
      <c r="T305" s="32" t="str">
        <v>tengah</v>
      </c>
      <c r="U305" s="32"/>
      <c r="V305" s="32"/>
    </row>
    <row r="306" spans="5:22">
      <c r="E306" s="32" t="str">
        <v>kanan</v>
      </c>
      <c r="F306" s="32"/>
      <c r="G306" s="32"/>
      <c r="J306" s="32" t="str">
        <v>tengah</v>
      </c>
      <c r="K306" s="32"/>
      <c r="L306" s="32"/>
      <c r="O306" s="32" t="str">
        <v>tengah</v>
      </c>
      <c r="P306" s="32"/>
      <c r="Q306" s="32"/>
      <c r="T306" s="32" t="str">
        <v>tengah</v>
      </c>
      <c r="U306" s="32"/>
      <c r="V306" s="32"/>
    </row>
    <row r="307" spans="5:22">
      <c r="E307" s="32" t="str">
        <v>kanan</v>
      </c>
      <c r="F307" s="32"/>
      <c r="G307" s="32"/>
      <c r="J307" s="32" t="str">
        <v>tengah</v>
      </c>
      <c r="K307" s="32"/>
      <c r="L307" s="32"/>
      <c r="O307" s="32" t="str">
        <v>tengah</v>
      </c>
      <c r="P307" s="32"/>
      <c r="Q307" s="32"/>
      <c r="T307" s="32" t="str">
        <v>kanan</v>
      </c>
      <c r="U307" s="32"/>
      <c r="V307" s="32"/>
    </row>
    <row r="308" spans="5:22">
      <c r="E308" s="32" t="str">
        <v>tengah</v>
      </c>
      <c r="F308" s="32"/>
      <c r="G308" s="32"/>
      <c r="J308" s="32" t="str">
        <v>tengah</v>
      </c>
      <c r="K308" s="32"/>
      <c r="L308" s="32"/>
      <c r="O308" s="32" t="str">
        <v>kiri</v>
      </c>
      <c r="P308" s="32"/>
      <c r="Q308" s="32"/>
      <c r="T308" s="32" t="str">
        <v>tengah</v>
      </c>
      <c r="U308" s="32"/>
      <c r="V308" s="32"/>
    </row>
    <row r="309" spans="5:22">
      <c r="E309" s="32" t="str">
        <v>kanan</v>
      </c>
      <c r="F309" s="32"/>
      <c r="G309" s="32"/>
      <c r="J309" s="32" t="str">
        <v>tengah</v>
      </c>
      <c r="K309" s="32"/>
      <c r="L309" s="32"/>
      <c r="O309" s="32" t="str">
        <v>tengah</v>
      </c>
      <c r="P309" s="32"/>
      <c r="Q309" s="32"/>
      <c r="T309" s="32" t="str">
        <v>tengah</v>
      </c>
      <c r="U309" s="32"/>
      <c r="V309" s="32"/>
    </row>
    <row r="310" spans="5:22">
      <c r="E310" s="32" t="str">
        <v>tengah</v>
      </c>
      <c r="F310" s="32"/>
      <c r="G310" s="32"/>
      <c r="J310" s="32" t="str">
        <v>kiri</v>
      </c>
      <c r="K310" s="32"/>
      <c r="L310" s="32"/>
      <c r="O310" s="32" t="str">
        <v>tengah</v>
      </c>
      <c r="P310" s="32"/>
      <c r="Q310" s="32"/>
      <c r="T310" s="32" t="str">
        <v>kanan</v>
      </c>
      <c r="U310" s="32"/>
      <c r="V310" s="32"/>
    </row>
    <row r="311" spans="5:22">
      <c r="E311" s="32" t="str">
        <v>tengah</v>
      </c>
      <c r="F311" s="32"/>
      <c r="G311" s="32"/>
      <c r="J311" s="32" t="str">
        <v>tengah</v>
      </c>
      <c r="K311" s="32"/>
      <c r="L311" s="32"/>
      <c r="O311" s="32" t="str">
        <v>kanan</v>
      </c>
      <c r="P311" s="32"/>
      <c r="Q311" s="32"/>
      <c r="T311" s="32" t="str">
        <v>kanan</v>
      </c>
      <c r="U311" s="32"/>
      <c r="V311" s="32"/>
    </row>
    <row r="312" spans="5:22">
      <c r="E312" s="32" t="str">
        <v>kanan</v>
      </c>
      <c r="F312" s="32"/>
      <c r="G312" s="32"/>
      <c r="J312" s="32" t="str">
        <v>tengah</v>
      </c>
      <c r="K312" s="32"/>
      <c r="L312" s="32"/>
      <c r="O312" s="32" t="str">
        <v>kiri</v>
      </c>
      <c r="P312" s="32"/>
      <c r="Q312" s="32"/>
      <c r="T312" s="32" t="str">
        <v>tengah</v>
      </c>
      <c r="U312" s="32"/>
      <c r="V312" s="32"/>
    </row>
    <row r="313" spans="5:22">
      <c r="E313" s="32" t="str">
        <v>tengah</v>
      </c>
      <c r="F313" s="32"/>
      <c r="G313" s="32"/>
      <c r="J313" s="32" t="str">
        <v>tengah</v>
      </c>
      <c r="K313" s="32"/>
      <c r="L313" s="32"/>
      <c r="O313" s="32" t="str">
        <v>kiri</v>
      </c>
      <c r="P313" s="32"/>
      <c r="Q313" s="32"/>
      <c r="T313" s="32" t="str">
        <v>kanan</v>
      </c>
      <c r="U313" s="32"/>
      <c r="V313" s="32"/>
    </row>
    <row r="314" spans="5:22">
      <c r="E314" s="32" t="str">
        <v>tengah</v>
      </c>
      <c r="F314" s="32"/>
      <c r="G314" s="32"/>
      <c r="J314" s="32" t="str">
        <v>tengah</v>
      </c>
      <c r="K314" s="32"/>
      <c r="L314" s="32"/>
      <c r="O314" s="32" t="str">
        <v>kanan</v>
      </c>
      <c r="P314" s="32"/>
      <c r="Q314" s="32"/>
      <c r="T314" s="32" t="str">
        <v>kanan</v>
      </c>
      <c r="U314" s="32"/>
      <c r="V314" s="32"/>
    </row>
    <row r="315" spans="5:22">
      <c r="E315" s="32" t="str">
        <v>tengah</v>
      </c>
      <c r="F315" s="32"/>
      <c r="G315" s="32"/>
      <c r="J315" s="32" t="str">
        <v>tengah</v>
      </c>
      <c r="K315" s="32"/>
      <c r="L315" s="32"/>
      <c r="O315" s="32" t="str">
        <v>kiri</v>
      </c>
      <c r="P315" s="32"/>
      <c r="Q315" s="32"/>
      <c r="T315" s="32" t="str">
        <v>tengah</v>
      </c>
      <c r="U315" s="32"/>
      <c r="V315" s="32"/>
    </row>
    <row r="316" spans="5:22">
      <c r="E316" s="32" t="str">
        <v>kiri</v>
      </c>
      <c r="F316" s="32"/>
      <c r="G316" s="32"/>
      <c r="J316" s="32" t="str">
        <v>tengah</v>
      </c>
      <c r="K316" s="32"/>
      <c r="L316" s="32"/>
      <c r="O316" s="32" t="str">
        <v>kiri</v>
      </c>
      <c r="P316" s="32"/>
      <c r="Q316" s="32"/>
      <c r="T316" s="32" t="str">
        <v>tengah</v>
      </c>
      <c r="U316" s="32"/>
      <c r="V316" s="32"/>
    </row>
    <row r="317" spans="5:22">
      <c r="E317" s="32" t="str">
        <v>kiri</v>
      </c>
      <c r="F317" s="32"/>
      <c r="G317" s="32"/>
      <c r="J317" s="32" t="str">
        <v>tengah</v>
      </c>
      <c r="K317" s="32"/>
      <c r="L317" s="32"/>
      <c r="O317" s="32" t="str">
        <v>kiri</v>
      </c>
      <c r="P317" s="32"/>
      <c r="Q317" s="32"/>
      <c r="T317" s="32" t="str">
        <v>tengah</v>
      </c>
      <c r="U317" s="32"/>
      <c r="V317" s="32"/>
    </row>
    <row r="318" spans="5:22">
      <c r="E318" s="32" t="str">
        <v>kiri</v>
      </c>
      <c r="F318" s="32"/>
      <c r="G318" s="32"/>
      <c r="J318" s="32" t="str">
        <v>tengah</v>
      </c>
      <c r="K318" s="32"/>
      <c r="L318" s="32"/>
      <c r="O318" s="32" t="str">
        <v>kiri</v>
      </c>
      <c r="P318" s="32"/>
      <c r="Q318" s="32"/>
      <c r="T318" s="32" t="str">
        <v>tengah</v>
      </c>
      <c r="U318" s="32"/>
      <c r="V318" s="32"/>
    </row>
    <row r="319" spans="5:22">
      <c r="E319" s="32" t="str">
        <v>tengah</v>
      </c>
      <c r="F319" s="32"/>
      <c r="G319" s="32"/>
      <c r="J319" s="32" t="str">
        <v>kiri</v>
      </c>
      <c r="K319" s="32"/>
      <c r="L319" s="32"/>
      <c r="O319" s="32" t="str">
        <v>kanan</v>
      </c>
      <c r="P319" s="32"/>
      <c r="Q319" s="32"/>
      <c r="T319" s="32" t="str">
        <v>tengah</v>
      </c>
      <c r="U319" s="32"/>
      <c r="V319" s="32"/>
    </row>
    <row r="320" spans="5:22">
      <c r="E320" s="32" t="str">
        <v>tengah</v>
      </c>
      <c r="F320" s="32"/>
      <c r="G320" s="32"/>
      <c r="J320" s="32" t="str">
        <v>kanan</v>
      </c>
      <c r="K320" s="32"/>
      <c r="L320" s="32"/>
      <c r="O320" s="32" t="str">
        <v>tengah</v>
      </c>
      <c r="P320" s="32"/>
      <c r="Q320" s="32"/>
      <c r="T320" s="32" t="str">
        <v>kanan</v>
      </c>
      <c r="U320" s="32"/>
      <c r="V320" s="32"/>
    </row>
    <row r="321" spans="5:22">
      <c r="E321" s="32" t="str">
        <v>kanan</v>
      </c>
      <c r="F321" s="32"/>
      <c r="G321" s="32"/>
      <c r="J321" s="32" t="str">
        <v>tengah</v>
      </c>
      <c r="K321" s="32"/>
      <c r="L321" s="32"/>
      <c r="O321" s="32" t="str">
        <v>tengah</v>
      </c>
      <c r="P321" s="32"/>
      <c r="Q321" s="32"/>
      <c r="T321" s="32" t="str">
        <v>tengah</v>
      </c>
      <c r="U321" s="32"/>
      <c r="V321" s="32"/>
    </row>
    <row r="322" spans="5:22">
      <c r="E322" s="32" t="str">
        <v>tengah</v>
      </c>
      <c r="F322" s="32"/>
      <c r="G322" s="32"/>
      <c r="J322" s="32" t="str">
        <v>kanan</v>
      </c>
      <c r="K322" s="32"/>
      <c r="L322" s="32"/>
      <c r="O322" s="32" t="str">
        <v>tengah</v>
      </c>
      <c r="P322" s="32"/>
      <c r="Q322" s="32"/>
      <c r="T322" s="32" t="str">
        <v>kanan</v>
      </c>
      <c r="U322" s="32"/>
      <c r="V322" s="32"/>
    </row>
    <row r="323" spans="5:22">
      <c r="E323" s="32" t="str">
        <v>tengah</v>
      </c>
      <c r="F323" s="32"/>
      <c r="G323" s="32"/>
      <c r="J323" s="32" t="str">
        <v>tengah</v>
      </c>
      <c r="K323" s="32"/>
      <c r="L323" s="32"/>
      <c r="O323" s="32" t="str">
        <v>kiri</v>
      </c>
      <c r="P323" s="32"/>
      <c r="Q323" s="32"/>
      <c r="T323" s="32" t="str">
        <v>kanan</v>
      </c>
      <c r="U323" s="32"/>
      <c r="V323" s="32"/>
    </row>
    <row r="324" spans="5:22">
      <c r="E324" s="32" t="str">
        <v>kanan</v>
      </c>
      <c r="F324" s="32"/>
      <c r="G324" s="32"/>
      <c r="J324" s="32" t="str">
        <v>kiri</v>
      </c>
      <c r="K324" s="32"/>
      <c r="L324" s="32"/>
      <c r="O324" s="32" t="str">
        <v>kiri</v>
      </c>
      <c r="P324" s="32"/>
      <c r="Q324" s="32"/>
      <c r="T324" s="32" t="str">
        <v>tengah</v>
      </c>
      <c r="U324" s="32"/>
      <c r="V324" s="32"/>
    </row>
    <row r="325" spans="5:22">
      <c r="E325" s="32" t="str">
        <v>tengah</v>
      </c>
      <c r="F325" s="32"/>
      <c r="G325" s="32"/>
      <c r="J325" s="32" t="str">
        <v>tengah</v>
      </c>
      <c r="K325" s="32"/>
      <c r="L325" s="32"/>
      <c r="O325" s="32" t="str">
        <v>kanan</v>
      </c>
      <c r="P325" s="32"/>
      <c r="Q325" s="32"/>
      <c r="T325" s="32" t="str">
        <v>kanan</v>
      </c>
      <c r="U325" s="32"/>
      <c r="V325" s="32"/>
    </row>
    <row r="326" spans="5:22">
      <c r="E326" s="32" t="str">
        <v>kanan</v>
      </c>
      <c r="F326" s="32"/>
      <c r="G326" s="32"/>
      <c r="J326" s="32" t="str">
        <v>tengah</v>
      </c>
      <c r="K326" s="32"/>
      <c r="L326" s="32"/>
      <c r="O326" s="32" t="str">
        <v>tengah</v>
      </c>
      <c r="P326" s="32"/>
      <c r="Q326" s="32"/>
      <c r="T326" s="32" t="str">
        <v>tengah</v>
      </c>
      <c r="U326" s="32"/>
      <c r="V326" s="32"/>
    </row>
    <row r="327" spans="5:22">
      <c r="E327" s="32" t="str">
        <v>kanan</v>
      </c>
      <c r="F327" s="32"/>
      <c r="G327" s="32"/>
      <c r="J327" s="32" t="str">
        <v>tengah</v>
      </c>
      <c r="K327" s="32"/>
      <c r="L327" s="32"/>
      <c r="O327" s="32" t="str">
        <v>tengah</v>
      </c>
      <c r="P327" s="32"/>
      <c r="Q327" s="32"/>
      <c r="T327" s="32" t="str">
        <v>kanan</v>
      </c>
      <c r="U327" s="32"/>
      <c r="V327" s="32"/>
    </row>
    <row r="328" spans="5:22">
      <c r="E328" s="32" t="str">
        <v>tengah</v>
      </c>
      <c r="F328" s="32"/>
      <c r="G328" s="32"/>
      <c r="J328" s="32" t="str">
        <v>tengah</v>
      </c>
      <c r="K328" s="32"/>
      <c r="L328" s="32"/>
      <c r="O328" s="32" t="str">
        <v>kanan</v>
      </c>
      <c r="P328" s="32"/>
      <c r="Q328" s="32"/>
      <c r="T328" s="32" t="str">
        <v>kanan</v>
      </c>
      <c r="U328" s="32"/>
      <c r="V328" s="32"/>
    </row>
    <row r="329" spans="5:22">
      <c r="E329" s="32" t="str">
        <v>tengah</v>
      </c>
      <c r="F329" s="32"/>
      <c r="G329" s="32"/>
      <c r="J329" s="32" t="str">
        <v>tengah</v>
      </c>
      <c r="K329" s="32"/>
      <c r="L329" s="32"/>
      <c r="O329" s="32" t="str">
        <v>tengah</v>
      </c>
      <c r="P329" s="32"/>
      <c r="Q329" s="32"/>
      <c r="T329" s="32" t="str">
        <v>kanan</v>
      </c>
      <c r="U329" s="32"/>
      <c r="V329" s="32"/>
    </row>
    <row r="330" spans="5:22">
      <c r="E330" s="32" t="str">
        <v>tengah</v>
      </c>
      <c r="F330" s="32"/>
      <c r="G330" s="32"/>
      <c r="J330" s="32" t="str">
        <v>tengah</v>
      </c>
      <c r="K330" s="32"/>
      <c r="L330" s="32"/>
      <c r="O330" s="32" t="str">
        <v>kiri</v>
      </c>
      <c r="P330" s="32"/>
      <c r="Q330" s="32"/>
      <c r="T330" s="32" t="str">
        <v>kanan</v>
      </c>
      <c r="U330" s="32"/>
      <c r="V330" s="32"/>
    </row>
    <row r="331" spans="5:22">
      <c r="E331" s="32" t="str">
        <v>kanan</v>
      </c>
      <c r="F331" s="32"/>
      <c r="G331" s="32"/>
      <c r="J331" s="32" t="str">
        <v>tengah</v>
      </c>
      <c r="K331" s="32"/>
      <c r="L331" s="32"/>
      <c r="O331" s="32" t="str">
        <v>tengah</v>
      </c>
      <c r="P331" s="32"/>
      <c r="Q331" s="32"/>
      <c r="T331" s="32" t="str">
        <v>kanan</v>
      </c>
      <c r="U331" s="32"/>
      <c r="V331" s="32"/>
    </row>
    <row r="332" spans="5:22">
      <c r="E332" s="32" t="str">
        <v>tengah</v>
      </c>
      <c r="F332" s="32"/>
      <c r="G332" s="32"/>
      <c r="J332" s="32" t="str">
        <v>kanan</v>
      </c>
      <c r="K332" s="32"/>
      <c r="L332" s="32"/>
      <c r="O332" s="32" t="str">
        <v>kiri</v>
      </c>
      <c r="P332" s="32"/>
      <c r="Q332" s="32"/>
      <c r="T332" s="32" t="str">
        <v>kanan</v>
      </c>
      <c r="U332" s="32"/>
      <c r="V332" s="3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C4DC-0126-4845-812B-DAEF17F79E82}">
  <dimension ref="A1:V332"/>
  <sheetViews>
    <sheetView topLeftCell="K199" zoomScale="98" zoomScaleNormal="98" workbookViewId="0">
      <selection activeCell="O160" sqref="O160"/>
    </sheetView>
  </sheetViews>
  <sheetFormatPr defaultColWidth="9" defaultRowHeight="15"/>
  <cols>
    <col min="2" max="2" width="15.85546875" customWidth="1"/>
    <col min="3" max="3" width="16.7109375" bestFit="1" customWidth="1"/>
    <col min="4" max="4" width="13.85546875" customWidth="1"/>
    <col min="6" max="6" width="14.42578125" bestFit="1" customWidth="1"/>
    <col min="8" max="8" width="14.28515625" customWidth="1"/>
    <col min="9" max="9" width="13.28515625" customWidth="1"/>
    <col min="10" max="10" width="13.85546875" customWidth="1"/>
    <col min="13" max="13" width="14.42578125" bestFit="1" customWidth="1"/>
    <col min="15" max="15" width="25.28515625" bestFit="1" customWidth="1"/>
    <col min="16" max="16" width="12.85546875" bestFit="1" customWidth="1"/>
    <col min="17" max="17" width="11.7109375" customWidth="1"/>
    <col min="20" max="20" width="14.42578125" bestFit="1" customWidth="1"/>
  </cols>
  <sheetData>
    <row r="1" spans="1:17">
      <c r="A1" s="30" t="s">
        <v>174</v>
      </c>
      <c r="B1" s="30" t="s">
        <v>1</v>
      </c>
      <c r="C1" s="30" t="s">
        <v>2</v>
      </c>
      <c r="D1" s="30" t="s">
        <v>173</v>
      </c>
      <c r="E1" s="30" t="s">
        <v>4</v>
      </c>
      <c r="F1" s="30" t="s">
        <v>5</v>
      </c>
      <c r="H1" s="61" t="s">
        <v>174</v>
      </c>
      <c r="I1" s="61" t="s">
        <v>1</v>
      </c>
      <c r="J1" s="61" t="s">
        <v>2</v>
      </c>
      <c r="K1" s="61" t="s">
        <v>173</v>
      </c>
      <c r="L1" s="61" t="s">
        <v>4</v>
      </c>
      <c r="M1" s="61" t="s">
        <v>5</v>
      </c>
      <c r="O1" s="30" t="s">
        <v>175</v>
      </c>
      <c r="P1" s="31"/>
      <c r="Q1" s="31"/>
    </row>
    <row r="2" spans="1:17">
      <c r="A2" s="32">
        <f ca="1">RANDBETWEEN(2,164)</f>
        <v>109</v>
      </c>
      <c r="B2" s="32" cm="1">
        <f t="array" aca="1" ref="B2" ca="1">INDEX(Data_DBD!$B:$B,$A2)</f>
        <v>40</v>
      </c>
      <c r="C2" s="32" cm="1">
        <f t="array" aca="1" ref="C2" ca="1">INDEX(Data_DBD!$C:$C,$A2)</f>
        <v>3</v>
      </c>
      <c r="D2" s="32" cm="1">
        <f t="array" aca="1" ref="D2" ca="1">INDEX(Data_DBD!$D:$D,$A2)</f>
        <v>33</v>
      </c>
      <c r="E2" s="32" cm="1">
        <f t="array" aca="1" ref="E2" ca="1">INDEX(Data_DBD!$E:$E,$A2)</f>
        <v>1</v>
      </c>
      <c r="F2" s="32" cm="1">
        <f t="array" aca="1" ref="F2" ca="1">INDEX(Data_DBD!$F:$F,$A2)</f>
        <v>3</v>
      </c>
      <c r="H2" s="32">
        <v>30</v>
      </c>
      <c r="I2" s="32" t="s">
        <v>37</v>
      </c>
      <c r="J2" s="32">
        <v>2</v>
      </c>
      <c r="K2" s="32">
        <v>14</v>
      </c>
      <c r="L2" s="32">
        <v>1</v>
      </c>
      <c r="M2" s="32">
        <v>2</v>
      </c>
      <c r="O2" s="54">
        <v>1</v>
      </c>
      <c r="P2" s="31">
        <f>COUNTIF(M2:M164,"1")</f>
        <v>14</v>
      </c>
      <c r="Q2" s="31">
        <f>P2/163</f>
        <v>8.5889570552147243E-2</v>
      </c>
    </row>
    <row r="3" spans="1:17">
      <c r="A3" s="32">
        <f t="shared" ref="A3:A66" ca="1" si="0">RANDBETWEEN(2,164)</f>
        <v>153</v>
      </c>
      <c r="B3" s="32" cm="1">
        <f t="array" aca="1" ref="B3" ca="1">INDEX(Data_DBD!$B:$B,$A3)</f>
        <v>73</v>
      </c>
      <c r="C3" s="32" cm="1">
        <f t="array" aca="1" ref="C3" ca="1">INDEX(Data_DBD!$C:$C,$A3)</f>
        <v>7</v>
      </c>
      <c r="D3" s="32" cm="1">
        <f t="array" aca="1" ref="D3" ca="1">INDEX(Data_DBD!$D:$D,$A3)</f>
        <v>21</v>
      </c>
      <c r="E3" s="32" cm="1">
        <f t="array" aca="1" ref="E3" ca="1">INDEX(Data_DBD!$E:$E,$A3)</f>
        <v>1</v>
      </c>
      <c r="F3" s="32" cm="1">
        <f t="array" aca="1" ref="F3" ca="1">INDEX(Data_DBD!$F:$F,$A3)</f>
        <v>3</v>
      </c>
      <c r="H3" s="32">
        <v>150</v>
      </c>
      <c r="I3" s="32">
        <v>61</v>
      </c>
      <c r="J3" s="32">
        <v>5</v>
      </c>
      <c r="K3" s="32">
        <v>21</v>
      </c>
      <c r="L3" s="32">
        <v>1</v>
      </c>
      <c r="M3" s="32">
        <v>3</v>
      </c>
      <c r="O3" s="31">
        <v>2</v>
      </c>
      <c r="P3" s="31">
        <f>COUNTIF(M2:M164,"2")</f>
        <v>84</v>
      </c>
      <c r="Q3" s="31">
        <f>P3/163</f>
        <v>0.51533742331288346</v>
      </c>
    </row>
    <row r="4" spans="1:17">
      <c r="A4" s="32">
        <f t="shared" ca="1" si="0"/>
        <v>82</v>
      </c>
      <c r="B4" s="32" cm="1">
        <f t="array" aca="1" ref="B4" ca="1">INDEX(Data_DBD!$B:$B,$A4)</f>
        <v>28</v>
      </c>
      <c r="C4" s="32" cm="1">
        <f t="array" aca="1" ref="C4" ca="1">INDEX(Data_DBD!$C:$C,$A4)</f>
        <v>3</v>
      </c>
      <c r="D4" s="32" cm="1">
        <f t="array" aca="1" ref="D4" ca="1">INDEX(Data_DBD!$D:$D,$A4)</f>
        <v>13</v>
      </c>
      <c r="E4" s="32" cm="1">
        <f t="array" aca="1" ref="E4" ca="1">INDEX(Data_DBD!$E:$E,$A4)</f>
        <v>1</v>
      </c>
      <c r="F4" s="32" cm="1">
        <f t="array" aca="1" ref="F4" ca="1">INDEX(Data_DBD!$F:$F,$A4)</f>
        <v>2</v>
      </c>
      <c r="H4" s="32">
        <v>61</v>
      </c>
      <c r="I4" s="32">
        <v>29</v>
      </c>
      <c r="J4" s="32">
        <v>3</v>
      </c>
      <c r="K4" s="32">
        <v>15</v>
      </c>
      <c r="L4" s="32">
        <v>1</v>
      </c>
      <c r="M4" s="32">
        <v>2</v>
      </c>
      <c r="O4" s="31">
        <v>3</v>
      </c>
      <c r="P4" s="31">
        <f>COUNTIF(M2:M164,"3")</f>
        <v>65</v>
      </c>
      <c r="Q4" s="31">
        <f>P4/163</f>
        <v>0.3987730061349693</v>
      </c>
    </row>
    <row r="5" spans="1:17">
      <c r="A5" s="32">
        <f t="shared" ca="1" si="0"/>
        <v>132</v>
      </c>
      <c r="B5" s="32" cm="1">
        <f t="array" aca="1" ref="B5" ca="1">INDEX(Data_DBD!$B:$B,$A5)</f>
        <v>10</v>
      </c>
      <c r="C5" s="32" cm="1">
        <f t="array" aca="1" ref="C5" ca="1">INDEX(Data_DBD!$C:$C,$A5)</f>
        <v>3</v>
      </c>
      <c r="D5" s="32" cm="1">
        <f t="array" aca="1" ref="D5" ca="1">INDEX(Data_DBD!$D:$D,$A5)</f>
        <v>33</v>
      </c>
      <c r="E5" s="32" cm="1">
        <f t="array" aca="1" ref="E5" ca="1">INDEX(Data_DBD!$E:$E,$A5)</f>
        <v>1</v>
      </c>
      <c r="F5" s="32" cm="1">
        <f t="array" aca="1" ref="F5" ca="1">INDEX(Data_DBD!$F:$F,$A5)</f>
        <v>3</v>
      </c>
      <c r="H5" s="32">
        <v>80</v>
      </c>
      <c r="I5" s="32">
        <v>27</v>
      </c>
      <c r="J5" s="32">
        <v>3</v>
      </c>
      <c r="K5" s="32">
        <v>13</v>
      </c>
      <c r="L5" s="32">
        <v>1</v>
      </c>
      <c r="M5" s="32">
        <v>2</v>
      </c>
      <c r="O5" s="34" t="s">
        <v>176</v>
      </c>
      <c r="P5">
        <f>-(IFERROR(Q2*LOG(Q2,2),0)+IFERROR(Q3*LOG(Q3,2),0)+IFERROR(Q4*LOG(Q4,2),0))</f>
        <v>1.3259579685312501</v>
      </c>
    </row>
    <row r="6" spans="1:17">
      <c r="A6" s="32">
        <f t="shared" ca="1" si="0"/>
        <v>59</v>
      </c>
      <c r="B6" s="32" cm="1">
        <f t="array" aca="1" ref="B6" ca="1">INDEX(Data_DBD!$B:$B,$A6)</f>
        <v>28</v>
      </c>
      <c r="C6" s="32" cm="1">
        <f t="array" aca="1" ref="C6" ca="1">INDEX(Data_DBD!$C:$C,$A6)</f>
        <v>4</v>
      </c>
      <c r="D6" s="32" cm="1">
        <f t="array" aca="1" ref="D6" ca="1">INDEX(Data_DBD!$D:$D,$A6)</f>
        <v>15</v>
      </c>
      <c r="E6" s="32" cm="1">
        <f t="array" aca="1" ref="E6" ca="1">INDEX(Data_DBD!$E:$E,$A6)</f>
        <v>0</v>
      </c>
      <c r="F6" s="32" cm="1">
        <f t="array" aca="1" ref="F6" ca="1">INDEX(Data_DBD!$F:$F,$A6)</f>
        <v>2</v>
      </c>
      <c r="H6" s="32">
        <v>128</v>
      </c>
      <c r="I6" s="32">
        <v>38</v>
      </c>
      <c r="J6" s="32">
        <v>2</v>
      </c>
      <c r="K6" s="32">
        <v>33</v>
      </c>
      <c r="L6" s="32">
        <v>0</v>
      </c>
      <c r="M6" s="32">
        <v>3</v>
      </c>
    </row>
    <row r="7" spans="1:17">
      <c r="A7" s="32">
        <f t="shared" ca="1" si="0"/>
        <v>78</v>
      </c>
      <c r="B7" s="32" cm="1">
        <f t="array" aca="1" ref="B7" ca="1">INDEX(Data_DBD!$B:$B,$A7)</f>
        <v>6</v>
      </c>
      <c r="C7" s="32" cm="1">
        <f t="array" aca="1" ref="C7" ca="1">INDEX(Data_DBD!$C:$C,$A7)</f>
        <v>3</v>
      </c>
      <c r="D7" s="32" cm="1">
        <f t="array" aca="1" ref="D7" ca="1">INDEX(Data_DBD!$D:$D,$A7)</f>
        <v>13</v>
      </c>
      <c r="E7" s="32" cm="1">
        <f t="array" aca="1" ref="E7" ca="1">INDEX(Data_DBD!$E:$E,$A7)</f>
        <v>0</v>
      </c>
      <c r="F7" s="32" cm="1">
        <f t="array" aca="1" ref="F7" ca="1">INDEX(Data_DBD!$F:$F,$A7)</f>
        <v>2</v>
      </c>
      <c r="H7" s="32">
        <v>109</v>
      </c>
      <c r="I7" s="32">
        <v>40</v>
      </c>
      <c r="J7" s="32">
        <v>3</v>
      </c>
      <c r="K7" s="32">
        <v>33</v>
      </c>
      <c r="L7" s="32">
        <v>1</v>
      </c>
      <c r="M7" s="32">
        <v>3</v>
      </c>
    </row>
    <row r="8" spans="1:17">
      <c r="A8" s="32">
        <f t="shared" ca="1" si="0"/>
        <v>140</v>
      </c>
      <c r="B8" s="32" cm="1">
        <f t="array" aca="1" ref="B8" ca="1">INDEX(Data_DBD!$B:$B,$A8)</f>
        <v>74</v>
      </c>
      <c r="C8" s="32" cm="1">
        <f t="array" aca="1" ref="C8" ca="1">INDEX(Data_DBD!$C:$C,$A8)</f>
        <v>5</v>
      </c>
      <c r="D8" s="32" cm="1">
        <f t="array" aca="1" ref="D8" ca="1">INDEX(Data_DBD!$D:$D,$A8)</f>
        <v>21</v>
      </c>
      <c r="E8" s="32" cm="1">
        <f t="array" aca="1" ref="E8" ca="1">INDEX(Data_DBD!$E:$E,$A8)</f>
        <v>1</v>
      </c>
      <c r="F8" s="32" cm="1">
        <f t="array" aca="1" ref="F8" ca="1">INDEX(Data_DBD!$F:$F,$A8)</f>
        <v>3</v>
      </c>
      <c r="H8" s="32">
        <v>128</v>
      </c>
      <c r="I8" s="32">
        <v>38</v>
      </c>
      <c r="J8" s="32">
        <v>2</v>
      </c>
      <c r="K8" s="32">
        <v>33</v>
      </c>
      <c r="L8" s="32">
        <v>0</v>
      </c>
      <c r="M8" s="32">
        <v>3</v>
      </c>
    </row>
    <row r="9" spans="1:17">
      <c r="A9" s="32">
        <f t="shared" ca="1" si="0"/>
        <v>44</v>
      </c>
      <c r="B9" s="32" cm="1">
        <f t="array" aca="1" ref="B9" ca="1">INDEX(Data_DBD!$B:$B,$A9)</f>
        <v>28</v>
      </c>
      <c r="C9" s="32" cm="1">
        <f t="array" aca="1" ref="C9" ca="1">INDEX(Data_DBD!$C:$C,$A9)</f>
        <v>5</v>
      </c>
      <c r="D9" s="32" cm="1">
        <f t="array" aca="1" ref="D9" ca="1">INDEX(Data_DBD!$D:$D,$A9)</f>
        <v>13</v>
      </c>
      <c r="E9" s="32" cm="1">
        <f t="array" aca="1" ref="E9" ca="1">INDEX(Data_DBD!$E:$E,$A9)</f>
        <v>1</v>
      </c>
      <c r="F9" s="32" cm="1">
        <f t="array" aca="1" ref="F9" ca="1">INDEX(Data_DBD!$F:$F,$A9)</f>
        <v>2</v>
      </c>
      <c r="H9" s="32">
        <v>57</v>
      </c>
      <c r="I9" s="32">
        <v>2</v>
      </c>
      <c r="J9" s="32">
        <v>2</v>
      </c>
      <c r="K9" s="32">
        <v>15</v>
      </c>
      <c r="L9" s="32">
        <v>1</v>
      </c>
      <c r="M9" s="32">
        <v>2</v>
      </c>
    </row>
    <row r="10" spans="1:17">
      <c r="A10" s="32">
        <f t="shared" ca="1" si="0"/>
        <v>127</v>
      </c>
      <c r="B10" s="32" cm="1">
        <f t="array" aca="1" ref="B10" ca="1">INDEX(Data_DBD!$B:$B,$A10)</f>
        <v>21</v>
      </c>
      <c r="C10" s="32" cm="1">
        <f t="array" aca="1" ref="C10" ca="1">INDEX(Data_DBD!$C:$C,$A10)</f>
        <v>2</v>
      </c>
      <c r="D10" s="32" cm="1">
        <f t="array" aca="1" ref="D10" ca="1">INDEX(Data_DBD!$D:$D,$A10)</f>
        <v>33</v>
      </c>
      <c r="E10" s="32" cm="1">
        <f t="array" aca="1" ref="E10" ca="1">INDEX(Data_DBD!$E:$E,$A10)</f>
        <v>0</v>
      </c>
      <c r="F10" s="32" cm="1">
        <f t="array" aca="1" ref="F10" ca="1">INDEX(Data_DBD!$F:$F,$A10)</f>
        <v>3</v>
      </c>
      <c r="H10" s="32">
        <v>16</v>
      </c>
      <c r="I10" s="32">
        <v>66</v>
      </c>
      <c r="J10" s="32">
        <v>5</v>
      </c>
      <c r="K10" s="32">
        <v>7</v>
      </c>
      <c r="L10" s="32">
        <v>1</v>
      </c>
      <c r="M10" s="32">
        <v>1</v>
      </c>
    </row>
    <row r="11" spans="1:17">
      <c r="A11" s="32">
        <f t="shared" ca="1" si="0"/>
        <v>59</v>
      </c>
      <c r="B11" s="32" cm="1">
        <f t="array" aca="1" ref="B11" ca="1">INDEX(Data_DBD!$B:$B,$A11)</f>
        <v>28</v>
      </c>
      <c r="C11" s="32" cm="1">
        <f t="array" aca="1" ref="C11" ca="1">INDEX(Data_DBD!$C:$C,$A11)</f>
        <v>4</v>
      </c>
      <c r="D11" s="32" cm="1">
        <f t="array" aca="1" ref="D11" ca="1">INDEX(Data_DBD!$D:$D,$A11)</f>
        <v>15</v>
      </c>
      <c r="E11" s="32" cm="1">
        <f t="array" aca="1" ref="E11" ca="1">INDEX(Data_DBD!$E:$E,$A11)</f>
        <v>0</v>
      </c>
      <c r="F11" s="32" cm="1">
        <f t="array" aca="1" ref="F11" ca="1">INDEX(Data_DBD!$F:$F,$A11)</f>
        <v>2</v>
      </c>
      <c r="H11" s="32">
        <v>136</v>
      </c>
      <c r="I11" s="32">
        <v>6</v>
      </c>
      <c r="J11" s="32">
        <v>2</v>
      </c>
      <c r="K11" s="32">
        <v>33</v>
      </c>
      <c r="L11" s="32">
        <v>0</v>
      </c>
      <c r="M11" s="32">
        <v>3</v>
      </c>
    </row>
    <row r="12" spans="1:17">
      <c r="A12" s="32">
        <f t="shared" ca="1" si="0"/>
        <v>11</v>
      </c>
      <c r="B12" s="32" cm="1">
        <f t="array" aca="1" ref="B12" ca="1">INDEX(Data_DBD!$B:$B,$A12)</f>
        <v>24</v>
      </c>
      <c r="C12" s="32" cm="1">
        <f t="array" aca="1" ref="C12" ca="1">INDEX(Data_DBD!$C:$C,$A12)</f>
        <v>5</v>
      </c>
      <c r="D12" s="32" cm="1">
        <f t="array" aca="1" ref="D12" ca="1">INDEX(Data_DBD!$D:$D,$A12)</f>
        <v>12</v>
      </c>
      <c r="E12" s="32" cm="1">
        <f t="array" aca="1" ref="E12" ca="1">INDEX(Data_DBD!$E:$E,$A12)</f>
        <v>1</v>
      </c>
      <c r="F12" s="32" cm="1">
        <f t="array" aca="1" ref="F12" ca="1">INDEX(Data_DBD!$F:$F,$A12)</f>
        <v>2</v>
      </c>
      <c r="H12" s="32">
        <v>8</v>
      </c>
      <c r="I12" s="32">
        <v>4</v>
      </c>
      <c r="J12" s="32">
        <v>2</v>
      </c>
      <c r="K12" s="32">
        <v>12</v>
      </c>
      <c r="L12" s="32">
        <v>0</v>
      </c>
      <c r="M12" s="32">
        <v>2</v>
      </c>
    </row>
    <row r="13" spans="1:17">
      <c r="A13" s="32">
        <f t="shared" ca="1" si="0"/>
        <v>112</v>
      </c>
      <c r="B13" s="32" cm="1">
        <f t="array" aca="1" ref="B13" ca="1">INDEX(Data_DBD!$B:$B,$A13)</f>
        <v>61</v>
      </c>
      <c r="C13" s="32" cm="1">
        <f t="array" aca="1" ref="C13" ca="1">INDEX(Data_DBD!$C:$C,$A13)</f>
        <v>3</v>
      </c>
      <c r="D13" s="32" cm="1">
        <f t="array" aca="1" ref="D13" ca="1">INDEX(Data_DBD!$D:$D,$A13)</f>
        <v>33</v>
      </c>
      <c r="E13" s="32" cm="1">
        <f t="array" aca="1" ref="E13" ca="1">INDEX(Data_DBD!$E:$E,$A13)</f>
        <v>1</v>
      </c>
      <c r="F13" s="32" cm="1">
        <f t="array" aca="1" ref="F13" ca="1">INDEX(Data_DBD!$F:$F,$A13)</f>
        <v>3</v>
      </c>
      <c r="H13" s="32">
        <v>50</v>
      </c>
      <c r="I13" s="32">
        <v>19</v>
      </c>
      <c r="J13" s="32">
        <v>5</v>
      </c>
      <c r="K13" s="32">
        <v>13</v>
      </c>
      <c r="L13" s="32">
        <v>0</v>
      </c>
      <c r="M13" s="32">
        <v>2</v>
      </c>
    </row>
    <row r="14" spans="1:17">
      <c r="A14" s="32">
        <f t="shared" ca="1" si="0"/>
        <v>57</v>
      </c>
      <c r="B14" s="32" cm="1">
        <f t="array" aca="1" ref="B14" ca="1">INDEX(Data_DBD!$B:$B,$A14)</f>
        <v>2</v>
      </c>
      <c r="C14" s="32" cm="1">
        <f t="array" aca="1" ref="C14" ca="1">INDEX(Data_DBD!$C:$C,$A14)</f>
        <v>2</v>
      </c>
      <c r="D14" s="32" cm="1">
        <f t="array" aca="1" ref="D14" ca="1">INDEX(Data_DBD!$D:$D,$A14)</f>
        <v>15</v>
      </c>
      <c r="E14" s="32" cm="1">
        <f t="array" aca="1" ref="E14" ca="1">INDEX(Data_DBD!$E:$E,$A14)</f>
        <v>1</v>
      </c>
      <c r="F14" s="32" cm="1">
        <f t="array" aca="1" ref="F14" ca="1">INDEX(Data_DBD!$F:$F,$A14)</f>
        <v>2</v>
      </c>
      <c r="H14" s="32">
        <v>73</v>
      </c>
      <c r="I14" s="32">
        <v>15</v>
      </c>
      <c r="J14" s="32">
        <v>3</v>
      </c>
      <c r="K14" s="32">
        <v>10</v>
      </c>
      <c r="L14" s="32">
        <v>1</v>
      </c>
      <c r="M14" s="32">
        <v>2</v>
      </c>
    </row>
    <row r="15" spans="1:17">
      <c r="A15" s="32">
        <f t="shared" ca="1" si="0"/>
        <v>62</v>
      </c>
      <c r="B15" s="32" cm="1">
        <f t="array" aca="1" ref="B15" ca="1">INDEX(Data_DBD!$B:$B,$A15)</f>
        <v>43</v>
      </c>
      <c r="C15" s="32" cm="1">
        <f t="array" aca="1" ref="C15" ca="1">INDEX(Data_DBD!$C:$C,$A15)</f>
        <v>4</v>
      </c>
      <c r="D15" s="32" cm="1">
        <f t="array" aca="1" ref="D15" ca="1">INDEX(Data_DBD!$D:$D,$A15)</f>
        <v>15</v>
      </c>
      <c r="E15" s="32" cm="1">
        <f t="array" aca="1" ref="E15" ca="1">INDEX(Data_DBD!$E:$E,$A15)</f>
        <v>1</v>
      </c>
      <c r="F15" s="32" cm="1">
        <f t="array" aca="1" ref="F15" ca="1">INDEX(Data_DBD!$F:$F,$A15)</f>
        <v>2</v>
      </c>
      <c r="H15" s="32">
        <v>63</v>
      </c>
      <c r="I15" s="32">
        <v>25</v>
      </c>
      <c r="J15" s="32">
        <v>3</v>
      </c>
      <c r="K15" s="32">
        <v>15</v>
      </c>
      <c r="L15" s="32">
        <v>0</v>
      </c>
      <c r="M15" s="32">
        <v>2</v>
      </c>
    </row>
    <row r="16" spans="1:17">
      <c r="A16" s="32">
        <f t="shared" ca="1" si="0"/>
        <v>79</v>
      </c>
      <c r="B16" s="32" cm="1">
        <f t="array" aca="1" ref="B16" ca="1">INDEX(Data_DBD!$B:$B,$A16)</f>
        <v>29</v>
      </c>
      <c r="C16" s="32" cm="1">
        <f t="array" aca="1" ref="C16" ca="1">INDEX(Data_DBD!$C:$C,$A16)</f>
        <v>3</v>
      </c>
      <c r="D16" s="32" cm="1">
        <f t="array" aca="1" ref="D16" ca="1">INDEX(Data_DBD!$D:$D,$A16)</f>
        <v>13</v>
      </c>
      <c r="E16" s="32" cm="1">
        <f t="array" aca="1" ref="E16" ca="1">INDEX(Data_DBD!$E:$E,$A16)</f>
        <v>0</v>
      </c>
      <c r="F16" s="32" cm="1">
        <f t="array" aca="1" ref="F16" ca="1">INDEX(Data_DBD!$F:$F,$A16)</f>
        <v>2</v>
      </c>
      <c r="H16" s="32">
        <v>138</v>
      </c>
      <c r="I16" s="32">
        <v>13</v>
      </c>
      <c r="J16" s="32">
        <v>3</v>
      </c>
      <c r="K16" s="32">
        <v>33</v>
      </c>
      <c r="L16" s="32">
        <v>1</v>
      </c>
      <c r="M16" s="32">
        <v>3</v>
      </c>
    </row>
    <row r="17" spans="1:13">
      <c r="A17" s="32">
        <f t="shared" ca="1" si="0"/>
        <v>113</v>
      </c>
      <c r="B17" s="32" cm="1">
        <f t="array" aca="1" ref="B17" ca="1">INDEX(Data_DBD!$B:$B,$A17)</f>
        <v>69</v>
      </c>
      <c r="C17" s="32" cm="1">
        <f t="array" aca="1" ref="C17" ca="1">INDEX(Data_DBD!$C:$C,$A17)</f>
        <v>1</v>
      </c>
      <c r="D17" s="32" cm="1">
        <f t="array" aca="1" ref="D17" ca="1">INDEX(Data_DBD!$D:$D,$A17)</f>
        <v>33</v>
      </c>
      <c r="E17" s="32" cm="1">
        <f t="array" aca="1" ref="E17" ca="1">INDEX(Data_DBD!$E:$E,$A17)</f>
        <v>1</v>
      </c>
      <c r="F17" s="32" cm="1">
        <f t="array" aca="1" ref="F17" ca="1">INDEX(Data_DBD!$F:$F,$A17)</f>
        <v>3</v>
      </c>
      <c r="H17" s="32">
        <v>21</v>
      </c>
      <c r="I17" s="32">
        <v>10</v>
      </c>
      <c r="J17" s="32">
        <v>5</v>
      </c>
      <c r="K17" s="32">
        <v>14</v>
      </c>
      <c r="L17" s="32">
        <v>1</v>
      </c>
      <c r="M17" s="32">
        <v>2</v>
      </c>
    </row>
    <row r="18" spans="1:13">
      <c r="A18" s="32">
        <f t="shared" ca="1" si="0"/>
        <v>108</v>
      </c>
      <c r="B18" s="32" cm="1">
        <f t="array" aca="1" ref="B18" ca="1">INDEX(Data_DBD!$B:$B,$A18)</f>
        <v>69</v>
      </c>
      <c r="C18" s="32" cm="1">
        <f t="array" aca="1" ref="C18" ca="1">INDEX(Data_DBD!$C:$C,$A18)</f>
        <v>7</v>
      </c>
      <c r="D18" s="32" cm="1">
        <f t="array" aca="1" ref="D18" ca="1">INDEX(Data_DBD!$D:$D,$A18)</f>
        <v>33</v>
      </c>
      <c r="E18" s="32" cm="1">
        <f t="array" aca="1" ref="E18" ca="1">INDEX(Data_DBD!$E:$E,$A18)</f>
        <v>1</v>
      </c>
      <c r="F18" s="32" cm="1">
        <f t="array" aca="1" ref="F18" ca="1">INDEX(Data_DBD!$F:$F,$A18)</f>
        <v>3</v>
      </c>
      <c r="H18" s="32">
        <v>13</v>
      </c>
      <c r="I18" s="32">
        <v>47</v>
      </c>
      <c r="J18" s="32">
        <v>2</v>
      </c>
      <c r="K18" s="32">
        <v>12</v>
      </c>
      <c r="L18" s="32">
        <v>0</v>
      </c>
      <c r="M18" s="32">
        <v>2</v>
      </c>
    </row>
    <row r="19" spans="1:13">
      <c r="A19" s="32">
        <f t="shared" ca="1" si="0"/>
        <v>4</v>
      </c>
      <c r="B19" s="32" cm="1">
        <f t="array" aca="1" ref="B19" ca="1">INDEX(Data_DBD!$B:$B,$A19)</f>
        <v>23</v>
      </c>
      <c r="C19" s="32" cm="1">
        <f t="array" aca="1" ref="C19" ca="1">INDEX(Data_DBD!$C:$C,$A19)</f>
        <v>5</v>
      </c>
      <c r="D19" s="32" cm="1">
        <f t="array" aca="1" ref="D19" ca="1">INDEX(Data_DBD!$D:$D,$A19)</f>
        <v>12</v>
      </c>
      <c r="E19" s="32" cm="1">
        <f t="array" aca="1" ref="E19" ca="1">INDEX(Data_DBD!$E:$E,$A19)</f>
        <v>0</v>
      </c>
      <c r="F19" s="32" cm="1">
        <f t="array" aca="1" ref="F19" ca="1">INDEX(Data_DBD!$F:$F,$A19)</f>
        <v>2</v>
      </c>
      <c r="H19" s="32">
        <v>41</v>
      </c>
      <c r="I19" s="32">
        <v>8</v>
      </c>
      <c r="J19" s="32">
        <v>4</v>
      </c>
      <c r="K19" s="32">
        <v>13</v>
      </c>
      <c r="L19" s="32">
        <v>0</v>
      </c>
      <c r="M19" s="32">
        <v>2</v>
      </c>
    </row>
    <row r="20" spans="1:13">
      <c r="A20" s="32">
        <f t="shared" ca="1" si="0"/>
        <v>3</v>
      </c>
      <c r="B20" s="32" cm="1">
        <f t="array" aca="1" ref="B20" ca="1">INDEX(Data_DBD!$B:$B,$A20)</f>
        <v>43</v>
      </c>
      <c r="C20" s="32" cm="1">
        <f t="array" aca="1" ref="C20" ca="1">INDEX(Data_DBD!$C:$C,$A20)</f>
        <v>3</v>
      </c>
      <c r="D20" s="32" cm="1">
        <f t="array" aca="1" ref="D20" ca="1">INDEX(Data_DBD!$D:$D,$A20)</f>
        <v>12</v>
      </c>
      <c r="E20" s="32" cm="1">
        <f t="array" aca="1" ref="E20" ca="1">INDEX(Data_DBD!$E:$E,$A20)</f>
        <v>1</v>
      </c>
      <c r="F20" s="32" cm="1">
        <f t="array" aca="1" ref="F20" ca="1">INDEX(Data_DBD!$F:$F,$A20)</f>
        <v>2</v>
      </c>
      <c r="H20" s="32">
        <v>122</v>
      </c>
      <c r="I20" s="32">
        <v>28</v>
      </c>
      <c r="J20" s="32">
        <v>3</v>
      </c>
      <c r="K20" s="32">
        <v>33</v>
      </c>
      <c r="L20" s="32">
        <v>1</v>
      </c>
      <c r="M20" s="32">
        <v>3</v>
      </c>
    </row>
    <row r="21" spans="1:13">
      <c r="A21" s="32">
        <f t="shared" ca="1" si="0"/>
        <v>80</v>
      </c>
      <c r="B21" s="32" cm="1">
        <f t="array" aca="1" ref="B21" ca="1">INDEX(Data_DBD!$B:$B,$A21)</f>
        <v>27</v>
      </c>
      <c r="C21" s="32" cm="1">
        <f t="array" aca="1" ref="C21" ca="1">INDEX(Data_DBD!$C:$C,$A21)</f>
        <v>3</v>
      </c>
      <c r="D21" s="32" cm="1">
        <f t="array" aca="1" ref="D21" ca="1">INDEX(Data_DBD!$D:$D,$A21)</f>
        <v>13</v>
      </c>
      <c r="E21" s="32" cm="1">
        <f t="array" aca="1" ref="E21" ca="1">INDEX(Data_DBD!$E:$E,$A21)</f>
        <v>1</v>
      </c>
      <c r="F21" s="32" cm="1">
        <f t="array" aca="1" ref="F21" ca="1">INDEX(Data_DBD!$F:$F,$A21)</f>
        <v>2</v>
      </c>
      <c r="H21" s="32">
        <v>26</v>
      </c>
      <c r="I21" s="32">
        <v>75</v>
      </c>
      <c r="J21" s="32">
        <v>4</v>
      </c>
      <c r="K21" s="32">
        <v>14</v>
      </c>
      <c r="L21" s="32">
        <v>1</v>
      </c>
      <c r="M21" s="32">
        <v>2</v>
      </c>
    </row>
    <row r="22" spans="1:13">
      <c r="A22" s="32">
        <f t="shared" ca="1" si="0"/>
        <v>14</v>
      </c>
      <c r="B22" s="32" cm="1">
        <f t="array" aca="1" ref="B22" ca="1">INDEX(Data_DBD!$B:$B,$A22)</f>
        <v>49</v>
      </c>
      <c r="C22" s="32" cm="1">
        <f t="array" aca="1" ref="C22" ca="1">INDEX(Data_DBD!$C:$C,$A22)</f>
        <v>4</v>
      </c>
      <c r="D22" s="32" cm="1">
        <f t="array" aca="1" ref="D22" ca="1">INDEX(Data_DBD!$D:$D,$A22)</f>
        <v>7</v>
      </c>
      <c r="E22" s="32" cm="1">
        <f t="array" aca="1" ref="E22" ca="1">INDEX(Data_DBD!$E:$E,$A22)</f>
        <v>1</v>
      </c>
      <c r="F22" s="32" cm="1">
        <f t="array" aca="1" ref="F22" ca="1">INDEX(Data_DBD!$F:$F,$A22)</f>
        <v>1</v>
      </c>
      <c r="H22" s="32">
        <v>46</v>
      </c>
      <c r="I22" s="32">
        <v>62</v>
      </c>
      <c r="J22" s="32">
        <v>2</v>
      </c>
      <c r="K22" s="32">
        <v>13</v>
      </c>
      <c r="L22" s="32">
        <v>0</v>
      </c>
      <c r="M22" s="32">
        <v>2</v>
      </c>
    </row>
    <row r="23" spans="1:13">
      <c r="A23" s="32">
        <f t="shared" ca="1" si="0"/>
        <v>156</v>
      </c>
      <c r="B23" s="32" cm="1">
        <f t="array" aca="1" ref="B23" ca="1">INDEX(Data_DBD!$B:$B,$A23)</f>
        <v>5</v>
      </c>
      <c r="C23" s="32" cm="1">
        <f t="array" aca="1" ref="C23" ca="1">INDEX(Data_DBD!$C:$C,$A23)</f>
        <v>2</v>
      </c>
      <c r="D23" s="32" cm="1">
        <f t="array" aca="1" ref="D23" ca="1">INDEX(Data_DBD!$D:$D,$A23)</f>
        <v>21</v>
      </c>
      <c r="E23" s="32" cm="1">
        <f t="array" aca="1" ref="E23" ca="1">INDEX(Data_DBD!$E:$E,$A23)</f>
        <v>0</v>
      </c>
      <c r="F23" s="32" cm="1">
        <f t="array" aca="1" ref="F23" ca="1">INDEX(Data_DBD!$F:$F,$A23)</f>
        <v>3</v>
      </c>
      <c r="H23" s="32">
        <v>102</v>
      </c>
      <c r="I23" s="32">
        <v>41</v>
      </c>
      <c r="J23" s="32">
        <v>4</v>
      </c>
      <c r="K23" s="32">
        <v>18</v>
      </c>
      <c r="L23" s="32">
        <v>0</v>
      </c>
      <c r="M23" s="32">
        <v>3</v>
      </c>
    </row>
    <row r="24" spans="1:13">
      <c r="A24" s="32">
        <f t="shared" ca="1" si="0"/>
        <v>135</v>
      </c>
      <c r="B24" s="32" cm="1">
        <f t="array" aca="1" ref="B24" ca="1">INDEX(Data_DBD!$B:$B,$A24)</f>
        <v>10</v>
      </c>
      <c r="C24" s="32" cm="1">
        <f t="array" aca="1" ref="C24" ca="1">INDEX(Data_DBD!$C:$C,$A24)</f>
        <v>2</v>
      </c>
      <c r="D24" s="32" cm="1">
        <f t="array" aca="1" ref="D24" ca="1">INDEX(Data_DBD!$D:$D,$A24)</f>
        <v>33</v>
      </c>
      <c r="E24" s="32" cm="1">
        <f t="array" aca="1" ref="E24" ca="1">INDEX(Data_DBD!$E:$E,$A24)</f>
        <v>0</v>
      </c>
      <c r="F24" s="32" cm="1">
        <f t="array" aca="1" ref="F24" ca="1">INDEX(Data_DBD!$F:$F,$A24)</f>
        <v>3</v>
      </c>
      <c r="H24" s="32">
        <v>35</v>
      </c>
      <c r="I24" s="32">
        <v>40</v>
      </c>
      <c r="J24" s="32">
        <v>3</v>
      </c>
      <c r="K24" s="32">
        <v>4</v>
      </c>
      <c r="L24" s="32">
        <v>1</v>
      </c>
      <c r="M24" s="32">
        <v>1</v>
      </c>
    </row>
    <row r="25" spans="1:13">
      <c r="A25" s="32">
        <f t="shared" ca="1" si="0"/>
        <v>102</v>
      </c>
      <c r="B25" s="32" cm="1">
        <f t="array" aca="1" ref="B25" ca="1">INDEX(Data_DBD!$B:$B,$A25)</f>
        <v>41</v>
      </c>
      <c r="C25" s="32" cm="1">
        <f t="array" aca="1" ref="C25" ca="1">INDEX(Data_DBD!$C:$C,$A25)</f>
        <v>4</v>
      </c>
      <c r="D25" s="32" cm="1">
        <f t="array" aca="1" ref="D25" ca="1">INDEX(Data_DBD!$D:$D,$A25)</f>
        <v>18</v>
      </c>
      <c r="E25" s="32" cm="1">
        <f t="array" aca="1" ref="E25" ca="1">INDEX(Data_DBD!$E:$E,$A25)</f>
        <v>0</v>
      </c>
      <c r="F25" s="32" cm="1">
        <f t="array" aca="1" ref="F25" ca="1">INDEX(Data_DBD!$F:$F,$A25)</f>
        <v>3</v>
      </c>
      <c r="H25" s="32">
        <v>56</v>
      </c>
      <c r="I25" s="32">
        <v>4</v>
      </c>
      <c r="J25" s="32">
        <v>3</v>
      </c>
      <c r="K25" s="32">
        <v>15</v>
      </c>
      <c r="L25" s="32">
        <v>0</v>
      </c>
      <c r="M25" s="32">
        <v>2</v>
      </c>
    </row>
    <row r="26" spans="1:13">
      <c r="A26" s="32">
        <f t="shared" ca="1" si="0"/>
        <v>140</v>
      </c>
      <c r="B26" s="32" cm="1">
        <f t="array" aca="1" ref="B26" ca="1">INDEX(Data_DBD!$B:$B,$A26)</f>
        <v>74</v>
      </c>
      <c r="C26" s="32" cm="1">
        <f t="array" aca="1" ref="C26" ca="1">INDEX(Data_DBD!$C:$C,$A26)</f>
        <v>5</v>
      </c>
      <c r="D26" s="32" cm="1">
        <f t="array" aca="1" ref="D26" ca="1">INDEX(Data_DBD!$D:$D,$A26)</f>
        <v>21</v>
      </c>
      <c r="E26" s="32" cm="1">
        <f t="array" aca="1" ref="E26" ca="1">INDEX(Data_DBD!$E:$E,$A26)</f>
        <v>1</v>
      </c>
      <c r="F26" s="32" cm="1">
        <f t="array" aca="1" ref="F26" ca="1">INDEX(Data_DBD!$F:$F,$A26)</f>
        <v>3</v>
      </c>
      <c r="H26" s="32">
        <v>23</v>
      </c>
      <c r="I26" s="32">
        <v>28</v>
      </c>
      <c r="J26" s="32">
        <v>4</v>
      </c>
      <c r="K26" s="32">
        <v>14</v>
      </c>
      <c r="L26" s="32">
        <v>1</v>
      </c>
      <c r="M26" s="32">
        <v>2</v>
      </c>
    </row>
    <row r="27" spans="1:13">
      <c r="A27" s="32">
        <f t="shared" ca="1" si="0"/>
        <v>111</v>
      </c>
      <c r="B27" s="32" cm="1">
        <f t="array" aca="1" ref="B27" ca="1">INDEX(Data_DBD!$B:$B,$A27)</f>
        <v>25</v>
      </c>
      <c r="C27" s="32" cm="1">
        <f t="array" aca="1" ref="C27" ca="1">INDEX(Data_DBD!$C:$C,$A27)</f>
        <v>4</v>
      </c>
      <c r="D27" s="32" cm="1">
        <f t="array" aca="1" ref="D27" ca="1">INDEX(Data_DBD!$D:$D,$A27)</f>
        <v>33</v>
      </c>
      <c r="E27" s="32" cm="1">
        <f t="array" aca="1" ref="E27" ca="1">INDEX(Data_DBD!$E:$E,$A27)</f>
        <v>0</v>
      </c>
      <c r="F27" s="32" cm="1">
        <f t="array" aca="1" ref="F27" ca="1">INDEX(Data_DBD!$F:$F,$A27)</f>
        <v>3</v>
      </c>
      <c r="H27" s="32">
        <v>89</v>
      </c>
      <c r="I27" s="32">
        <v>32</v>
      </c>
      <c r="J27" s="32">
        <v>4</v>
      </c>
      <c r="K27" s="32">
        <v>13</v>
      </c>
      <c r="L27" s="32">
        <v>0</v>
      </c>
      <c r="M27" s="32">
        <v>2</v>
      </c>
    </row>
    <row r="28" spans="1:13">
      <c r="A28" s="32">
        <f t="shared" ca="1" si="0"/>
        <v>152</v>
      </c>
      <c r="B28" s="32" cm="1">
        <f t="array" aca="1" ref="B28" ca="1">INDEX(Data_DBD!$B:$B,$A28)</f>
        <v>47</v>
      </c>
      <c r="C28" s="32" cm="1">
        <f t="array" aca="1" ref="C28" ca="1">INDEX(Data_DBD!$C:$C,$A28)</f>
        <v>3</v>
      </c>
      <c r="D28" s="32" cm="1">
        <f t="array" aca="1" ref="D28" ca="1">INDEX(Data_DBD!$D:$D,$A28)</f>
        <v>21</v>
      </c>
      <c r="E28" s="32" cm="1">
        <f t="array" aca="1" ref="E28" ca="1">INDEX(Data_DBD!$E:$E,$A28)</f>
        <v>1</v>
      </c>
      <c r="F28" s="32" cm="1">
        <f t="array" aca="1" ref="F28" ca="1">INDEX(Data_DBD!$F:$F,$A28)</f>
        <v>3</v>
      </c>
      <c r="H28" s="32">
        <v>57</v>
      </c>
      <c r="I28" s="32">
        <v>2</v>
      </c>
      <c r="J28" s="32">
        <v>2</v>
      </c>
      <c r="K28" s="32">
        <v>15</v>
      </c>
      <c r="L28" s="32">
        <v>1</v>
      </c>
      <c r="M28" s="32">
        <v>2</v>
      </c>
    </row>
    <row r="29" spans="1:13">
      <c r="A29" s="32">
        <f t="shared" ca="1" si="0"/>
        <v>89</v>
      </c>
      <c r="B29" s="32" cm="1">
        <f t="array" aca="1" ref="B29" ca="1">INDEX(Data_DBD!$B:$B,$A29)</f>
        <v>32</v>
      </c>
      <c r="C29" s="32" cm="1">
        <f t="array" aca="1" ref="C29" ca="1">INDEX(Data_DBD!$C:$C,$A29)</f>
        <v>4</v>
      </c>
      <c r="D29" s="32" cm="1">
        <f t="array" aca="1" ref="D29" ca="1">INDEX(Data_DBD!$D:$D,$A29)</f>
        <v>13</v>
      </c>
      <c r="E29" s="32" cm="1">
        <f t="array" aca="1" ref="E29" ca="1">INDEX(Data_DBD!$E:$E,$A29)</f>
        <v>0</v>
      </c>
      <c r="F29" s="32" cm="1">
        <f t="array" aca="1" ref="F29" ca="1">INDEX(Data_DBD!$F:$F,$A29)</f>
        <v>2</v>
      </c>
      <c r="H29" s="32">
        <v>58</v>
      </c>
      <c r="I29" s="32">
        <v>17</v>
      </c>
      <c r="J29" s="32">
        <v>3</v>
      </c>
      <c r="K29" s="32">
        <v>15</v>
      </c>
      <c r="L29" s="32">
        <v>0</v>
      </c>
      <c r="M29" s="32">
        <v>2</v>
      </c>
    </row>
    <row r="30" spans="1:13">
      <c r="A30" s="32">
        <f t="shared" ca="1" si="0"/>
        <v>92</v>
      </c>
      <c r="B30" s="32" cm="1">
        <f t="array" aca="1" ref="B30" ca="1">INDEX(Data_DBD!$B:$B,$A30)</f>
        <v>55</v>
      </c>
      <c r="C30" s="32" cm="1">
        <f t="array" aca="1" ref="C30" ca="1">INDEX(Data_DBD!$C:$C,$A30)</f>
        <v>7</v>
      </c>
      <c r="D30" s="32" cm="1">
        <f t="array" aca="1" ref="D30" ca="1">INDEX(Data_DBD!$D:$D,$A30)</f>
        <v>18</v>
      </c>
      <c r="E30" s="32" cm="1">
        <f t="array" aca="1" ref="E30" ca="1">INDEX(Data_DBD!$E:$E,$A30)</f>
        <v>0</v>
      </c>
      <c r="F30" s="32" cm="1">
        <f t="array" aca="1" ref="F30" ca="1">INDEX(Data_DBD!$F:$F,$A30)</f>
        <v>3</v>
      </c>
      <c r="H30" s="32">
        <v>60</v>
      </c>
      <c r="I30" s="32">
        <v>68</v>
      </c>
      <c r="J30" s="32">
        <v>4</v>
      </c>
      <c r="K30" s="32">
        <v>15</v>
      </c>
      <c r="L30" s="32">
        <v>0</v>
      </c>
      <c r="M30" s="32">
        <v>2</v>
      </c>
    </row>
    <row r="31" spans="1:13">
      <c r="A31" s="32">
        <f t="shared" ca="1" si="0"/>
        <v>147</v>
      </c>
      <c r="B31" s="32" cm="1">
        <f t="array" aca="1" ref="B31" ca="1">INDEX(Data_DBD!$B:$B,$A31)</f>
        <v>66</v>
      </c>
      <c r="C31" s="32" cm="1">
        <f t="array" aca="1" ref="C31" ca="1">INDEX(Data_DBD!$C:$C,$A31)</f>
        <v>10</v>
      </c>
      <c r="D31" s="32" cm="1">
        <f t="array" aca="1" ref="D31" ca="1">INDEX(Data_DBD!$D:$D,$A31)</f>
        <v>21</v>
      </c>
      <c r="E31" s="32" cm="1">
        <f t="array" aca="1" ref="E31" ca="1">INDEX(Data_DBD!$E:$E,$A31)</f>
        <v>1</v>
      </c>
      <c r="F31" s="32" cm="1">
        <f t="array" aca="1" ref="F31" ca="1">INDEX(Data_DBD!$F:$F,$A31)</f>
        <v>3</v>
      </c>
      <c r="H31" s="32">
        <v>114</v>
      </c>
      <c r="I31" s="32">
        <v>14</v>
      </c>
      <c r="J31" s="32">
        <v>2</v>
      </c>
      <c r="K31" s="32">
        <v>33</v>
      </c>
      <c r="L31" s="32">
        <v>1</v>
      </c>
      <c r="M31" s="32">
        <v>3</v>
      </c>
    </row>
    <row r="32" spans="1:13">
      <c r="A32" s="32">
        <f t="shared" ca="1" si="0"/>
        <v>100</v>
      </c>
      <c r="B32" s="32" cm="1">
        <f t="array" aca="1" ref="B32" ca="1">INDEX(Data_DBD!$B:$B,$A32)</f>
        <v>19</v>
      </c>
      <c r="C32" s="32" cm="1">
        <f t="array" aca="1" ref="C32" ca="1">INDEX(Data_DBD!$C:$C,$A32)</f>
        <v>6</v>
      </c>
      <c r="D32" s="32" cm="1">
        <f t="array" aca="1" ref="D32" ca="1">INDEX(Data_DBD!$D:$D,$A32)</f>
        <v>18</v>
      </c>
      <c r="E32" s="32" cm="1">
        <f t="array" aca="1" ref="E32" ca="1">INDEX(Data_DBD!$E:$E,$A32)</f>
        <v>0</v>
      </c>
      <c r="F32" s="32" cm="1">
        <f t="array" aca="1" ref="F32" ca="1">INDEX(Data_DBD!$F:$F,$A32)</f>
        <v>3</v>
      </c>
      <c r="H32" s="32">
        <v>37</v>
      </c>
      <c r="I32" s="32">
        <v>28</v>
      </c>
      <c r="J32" s="32">
        <v>4</v>
      </c>
      <c r="K32" s="32">
        <v>4</v>
      </c>
      <c r="L32" s="32">
        <v>1</v>
      </c>
      <c r="M32" s="32">
        <v>1</v>
      </c>
    </row>
    <row r="33" spans="1:13">
      <c r="A33" s="32">
        <f t="shared" ca="1" si="0"/>
        <v>101</v>
      </c>
      <c r="B33" s="32" cm="1">
        <f t="array" aca="1" ref="B33" ca="1">INDEX(Data_DBD!$B:$B,$A33)</f>
        <v>42</v>
      </c>
      <c r="C33" s="32" cm="1">
        <f t="array" aca="1" ref="C33" ca="1">INDEX(Data_DBD!$C:$C,$A33)</f>
        <v>5</v>
      </c>
      <c r="D33" s="32" cm="1">
        <f t="array" aca="1" ref="D33" ca="1">INDEX(Data_DBD!$D:$D,$A33)</f>
        <v>18</v>
      </c>
      <c r="E33" s="32" cm="1">
        <f t="array" aca="1" ref="E33" ca="1">INDEX(Data_DBD!$E:$E,$A33)</f>
        <v>0</v>
      </c>
      <c r="F33" s="32" cm="1">
        <f t="array" aca="1" ref="F33" ca="1">INDEX(Data_DBD!$F:$F,$A33)</f>
        <v>3</v>
      </c>
      <c r="H33" s="32">
        <v>33</v>
      </c>
      <c r="I33" s="32">
        <v>19</v>
      </c>
      <c r="J33" s="32">
        <v>4</v>
      </c>
      <c r="K33" s="32">
        <v>14</v>
      </c>
      <c r="L33" s="32">
        <v>1</v>
      </c>
      <c r="M33" s="32">
        <v>2</v>
      </c>
    </row>
    <row r="34" spans="1:13">
      <c r="A34" s="32">
        <f t="shared" ca="1" si="0"/>
        <v>5</v>
      </c>
      <c r="B34" s="32" cm="1">
        <f t="array" aca="1" ref="B34" ca="1">INDEX(Data_DBD!$B:$B,$A34)</f>
        <v>18</v>
      </c>
      <c r="C34" s="32" cm="1">
        <f t="array" aca="1" ref="C34" ca="1">INDEX(Data_DBD!$C:$C,$A34)</f>
        <v>2</v>
      </c>
      <c r="D34" s="32" cm="1">
        <f t="array" aca="1" ref="D34" ca="1">INDEX(Data_DBD!$D:$D,$A34)</f>
        <v>12</v>
      </c>
      <c r="E34" s="32" cm="1">
        <f t="array" aca="1" ref="E34" ca="1">INDEX(Data_DBD!$E:$E,$A34)</f>
        <v>1</v>
      </c>
      <c r="F34" s="32" cm="1">
        <f t="array" aca="1" ref="F34" ca="1">INDEX(Data_DBD!$F:$F,$A34)</f>
        <v>2</v>
      </c>
      <c r="H34" s="32">
        <v>51</v>
      </c>
      <c r="I34" s="32">
        <v>48</v>
      </c>
      <c r="J34" s="32">
        <v>4</v>
      </c>
      <c r="K34" s="32">
        <v>13</v>
      </c>
      <c r="L34" s="32">
        <v>0</v>
      </c>
      <c r="M34" s="32">
        <v>2</v>
      </c>
    </row>
    <row r="35" spans="1:13">
      <c r="A35" s="32">
        <f t="shared" ca="1" si="0"/>
        <v>12</v>
      </c>
      <c r="B35" s="32" cm="1">
        <f t="array" aca="1" ref="B35" ca="1">INDEX(Data_DBD!$B:$B,$A35)</f>
        <v>23</v>
      </c>
      <c r="C35" s="32" cm="1">
        <f t="array" aca="1" ref="C35" ca="1">INDEX(Data_DBD!$C:$C,$A35)</f>
        <v>3</v>
      </c>
      <c r="D35" s="32" cm="1">
        <f t="array" aca="1" ref="D35" ca="1">INDEX(Data_DBD!$D:$D,$A35)</f>
        <v>12</v>
      </c>
      <c r="E35" s="32" cm="1">
        <f t="array" aca="1" ref="E35" ca="1">INDEX(Data_DBD!$E:$E,$A35)</f>
        <v>0</v>
      </c>
      <c r="F35" s="32" cm="1">
        <f t="array" aca="1" ref="F35" ca="1">INDEX(Data_DBD!$F:$F,$A35)</f>
        <v>2</v>
      </c>
      <c r="H35" s="32">
        <v>39</v>
      </c>
      <c r="I35" s="32">
        <v>12</v>
      </c>
      <c r="J35" s="32">
        <v>5</v>
      </c>
      <c r="K35" s="32">
        <v>13</v>
      </c>
      <c r="L35" s="32">
        <v>1</v>
      </c>
      <c r="M35" s="32">
        <v>2</v>
      </c>
    </row>
    <row r="36" spans="1:13">
      <c r="A36" s="32">
        <f t="shared" ca="1" si="0"/>
        <v>146</v>
      </c>
      <c r="B36" s="32" cm="1">
        <f t="array" aca="1" ref="B36" ca="1">INDEX(Data_DBD!$B:$B,$A36)</f>
        <v>34</v>
      </c>
      <c r="C36" s="32" cm="1">
        <f t="array" aca="1" ref="C36" ca="1">INDEX(Data_DBD!$C:$C,$A36)</f>
        <v>2</v>
      </c>
      <c r="D36" s="32" cm="1">
        <f t="array" aca="1" ref="D36" ca="1">INDEX(Data_DBD!$D:$D,$A36)</f>
        <v>21</v>
      </c>
      <c r="E36" s="32" cm="1">
        <f t="array" aca="1" ref="E36" ca="1">INDEX(Data_DBD!$E:$E,$A36)</f>
        <v>1</v>
      </c>
      <c r="F36" s="32" cm="1">
        <f t="array" aca="1" ref="F36" ca="1">INDEX(Data_DBD!$F:$F,$A36)</f>
        <v>3</v>
      </c>
      <c r="H36" s="32">
        <v>85</v>
      </c>
      <c r="I36" s="32">
        <v>27</v>
      </c>
      <c r="J36" s="32">
        <v>9</v>
      </c>
      <c r="K36" s="32">
        <v>13</v>
      </c>
      <c r="L36" s="32">
        <v>0</v>
      </c>
      <c r="M36" s="32">
        <v>2</v>
      </c>
    </row>
    <row r="37" spans="1:13">
      <c r="A37" s="32">
        <f t="shared" ca="1" si="0"/>
        <v>144</v>
      </c>
      <c r="B37" s="32" cm="1">
        <f t="array" aca="1" ref="B37" ca="1">INDEX(Data_DBD!$B:$B,$A37)</f>
        <v>61</v>
      </c>
      <c r="C37" s="32" cm="1">
        <f t="array" aca="1" ref="C37" ca="1">INDEX(Data_DBD!$C:$C,$A37)</f>
        <v>4</v>
      </c>
      <c r="D37" s="32" cm="1">
        <f t="array" aca="1" ref="D37" ca="1">INDEX(Data_DBD!$D:$D,$A37)</f>
        <v>21</v>
      </c>
      <c r="E37" s="32" cm="1">
        <f t="array" aca="1" ref="E37" ca="1">INDEX(Data_DBD!$E:$E,$A37)</f>
        <v>1</v>
      </c>
      <c r="F37" s="32" cm="1">
        <f t="array" aca="1" ref="F37" ca="1">INDEX(Data_DBD!$F:$F,$A37)</f>
        <v>3</v>
      </c>
      <c r="H37" s="32">
        <v>77</v>
      </c>
      <c r="I37" s="32">
        <v>16</v>
      </c>
      <c r="J37" s="32">
        <v>4</v>
      </c>
      <c r="K37" s="32">
        <v>13</v>
      </c>
      <c r="L37" s="32">
        <v>1</v>
      </c>
      <c r="M37" s="32">
        <v>2</v>
      </c>
    </row>
    <row r="38" spans="1:13">
      <c r="A38" s="32">
        <f t="shared" ca="1" si="0"/>
        <v>44</v>
      </c>
      <c r="B38" s="32" cm="1">
        <f t="array" aca="1" ref="B38" ca="1">INDEX(Data_DBD!$B:$B,$A38)</f>
        <v>28</v>
      </c>
      <c r="C38" s="32" cm="1">
        <f t="array" aca="1" ref="C38" ca="1">INDEX(Data_DBD!$C:$C,$A38)</f>
        <v>5</v>
      </c>
      <c r="D38" s="32" cm="1">
        <f t="array" aca="1" ref="D38" ca="1">INDEX(Data_DBD!$D:$D,$A38)</f>
        <v>13</v>
      </c>
      <c r="E38" s="32" cm="1">
        <f t="array" aca="1" ref="E38" ca="1">INDEX(Data_DBD!$E:$E,$A38)</f>
        <v>1</v>
      </c>
      <c r="F38" s="32" cm="1">
        <f t="array" aca="1" ref="F38" ca="1">INDEX(Data_DBD!$F:$F,$A38)</f>
        <v>2</v>
      </c>
      <c r="H38" s="32">
        <v>151</v>
      </c>
      <c r="I38" s="32">
        <v>24</v>
      </c>
      <c r="J38" s="32">
        <v>3</v>
      </c>
      <c r="K38" s="32">
        <v>21</v>
      </c>
      <c r="L38" s="32">
        <v>0</v>
      </c>
      <c r="M38" s="32">
        <v>3</v>
      </c>
    </row>
    <row r="39" spans="1:13">
      <c r="A39" s="32">
        <f t="shared" ca="1" si="0"/>
        <v>67</v>
      </c>
      <c r="B39" s="32" cm="1">
        <f t="array" aca="1" ref="B39" ca="1">INDEX(Data_DBD!$B:$B,$A39)</f>
        <v>21</v>
      </c>
      <c r="C39" s="32" cm="1">
        <f t="array" aca="1" ref="C39" ca="1">INDEX(Data_DBD!$C:$C,$A39)</f>
        <v>3</v>
      </c>
      <c r="D39" s="32" cm="1">
        <f t="array" aca="1" ref="D39" ca="1">INDEX(Data_DBD!$D:$D,$A39)</f>
        <v>10</v>
      </c>
      <c r="E39" s="32" cm="1">
        <f t="array" aca="1" ref="E39" ca="1">INDEX(Data_DBD!$E:$E,$A39)</f>
        <v>1</v>
      </c>
      <c r="F39" s="32" cm="1">
        <f t="array" aca="1" ref="F39" ca="1">INDEX(Data_DBD!$F:$F,$A39)</f>
        <v>2</v>
      </c>
      <c r="H39" s="32">
        <v>37</v>
      </c>
      <c r="I39" s="32">
        <v>28</v>
      </c>
      <c r="J39" s="32">
        <v>4</v>
      </c>
      <c r="K39" s="32">
        <v>4</v>
      </c>
      <c r="L39" s="32">
        <v>1</v>
      </c>
      <c r="M39" s="32">
        <v>1</v>
      </c>
    </row>
    <row r="40" spans="1:13">
      <c r="A40" s="32">
        <f t="shared" ca="1" si="0"/>
        <v>122</v>
      </c>
      <c r="B40" s="32" cm="1">
        <f t="array" aca="1" ref="B40" ca="1">INDEX(Data_DBD!$B:$B,$A40)</f>
        <v>28</v>
      </c>
      <c r="C40" s="32" cm="1">
        <f t="array" aca="1" ref="C40" ca="1">INDEX(Data_DBD!$C:$C,$A40)</f>
        <v>3</v>
      </c>
      <c r="D40" s="32" cm="1">
        <f t="array" aca="1" ref="D40" ca="1">INDEX(Data_DBD!$D:$D,$A40)</f>
        <v>33</v>
      </c>
      <c r="E40" s="32" cm="1">
        <f t="array" aca="1" ref="E40" ca="1">INDEX(Data_DBD!$E:$E,$A40)</f>
        <v>1</v>
      </c>
      <c r="F40" s="32" cm="1">
        <f t="array" aca="1" ref="F40" ca="1">INDEX(Data_DBD!$F:$F,$A40)</f>
        <v>3</v>
      </c>
      <c r="H40" s="32">
        <v>83</v>
      </c>
      <c r="I40" s="32">
        <v>50</v>
      </c>
      <c r="J40" s="32">
        <v>3</v>
      </c>
      <c r="K40" s="32">
        <v>13</v>
      </c>
      <c r="L40" s="32">
        <v>0</v>
      </c>
      <c r="M40" s="32">
        <v>2</v>
      </c>
    </row>
    <row r="41" spans="1:13">
      <c r="A41" s="32">
        <f t="shared" ca="1" si="0"/>
        <v>128</v>
      </c>
      <c r="B41" s="32" cm="1">
        <f t="array" aca="1" ref="B41" ca="1">INDEX(Data_DBD!$B:$B,$A41)</f>
        <v>38</v>
      </c>
      <c r="C41" s="32" cm="1">
        <f t="array" aca="1" ref="C41" ca="1">INDEX(Data_DBD!$C:$C,$A41)</f>
        <v>2</v>
      </c>
      <c r="D41" s="32" cm="1">
        <f t="array" aca="1" ref="D41" ca="1">INDEX(Data_DBD!$D:$D,$A41)</f>
        <v>33</v>
      </c>
      <c r="E41" s="32" cm="1">
        <f t="array" aca="1" ref="E41" ca="1">INDEX(Data_DBD!$E:$E,$A41)</f>
        <v>0</v>
      </c>
      <c r="F41" s="32" cm="1">
        <f t="array" aca="1" ref="F41" ca="1">INDEX(Data_DBD!$F:$F,$A41)</f>
        <v>3</v>
      </c>
      <c r="H41" s="32">
        <v>48</v>
      </c>
      <c r="I41" s="32">
        <v>50</v>
      </c>
      <c r="J41" s="32">
        <v>5</v>
      </c>
      <c r="K41" s="32">
        <v>13</v>
      </c>
      <c r="L41" s="32">
        <v>1</v>
      </c>
      <c r="M41" s="32">
        <v>2</v>
      </c>
    </row>
    <row r="42" spans="1:13">
      <c r="A42" s="32">
        <f t="shared" ca="1" si="0"/>
        <v>6</v>
      </c>
      <c r="B42" s="32" cm="1">
        <f t="array" aca="1" ref="B42" ca="1">INDEX(Data_DBD!$B:$B,$A42)</f>
        <v>14</v>
      </c>
      <c r="C42" s="32" cm="1">
        <f t="array" aca="1" ref="C42" ca="1">INDEX(Data_DBD!$C:$C,$A42)</f>
        <v>4</v>
      </c>
      <c r="D42" s="32" cm="1">
        <f t="array" aca="1" ref="D42" ca="1">INDEX(Data_DBD!$D:$D,$A42)</f>
        <v>12</v>
      </c>
      <c r="E42" s="32" cm="1">
        <f t="array" aca="1" ref="E42" ca="1">INDEX(Data_DBD!$E:$E,$A42)</f>
        <v>0</v>
      </c>
      <c r="F42" s="32" cm="1">
        <f t="array" aca="1" ref="F42" ca="1">INDEX(Data_DBD!$F:$F,$A42)</f>
        <v>2</v>
      </c>
      <c r="H42" s="32">
        <v>53</v>
      </c>
      <c r="I42" s="32">
        <v>35</v>
      </c>
      <c r="J42" s="32">
        <v>4</v>
      </c>
      <c r="K42" s="32">
        <v>15</v>
      </c>
      <c r="L42" s="32">
        <v>1</v>
      </c>
      <c r="M42" s="32">
        <v>2</v>
      </c>
    </row>
    <row r="43" spans="1:13">
      <c r="A43" s="32">
        <f t="shared" ca="1" si="0"/>
        <v>78</v>
      </c>
      <c r="B43" s="32" cm="1">
        <f t="array" aca="1" ref="B43" ca="1">INDEX(Data_DBD!$B:$B,$A43)</f>
        <v>6</v>
      </c>
      <c r="C43" s="32" cm="1">
        <f t="array" aca="1" ref="C43" ca="1">INDEX(Data_DBD!$C:$C,$A43)</f>
        <v>3</v>
      </c>
      <c r="D43" s="32" cm="1">
        <f t="array" aca="1" ref="D43" ca="1">INDEX(Data_DBD!$D:$D,$A43)</f>
        <v>13</v>
      </c>
      <c r="E43" s="32" cm="1">
        <f t="array" aca="1" ref="E43" ca="1">INDEX(Data_DBD!$E:$E,$A43)</f>
        <v>0</v>
      </c>
      <c r="F43" s="32" cm="1">
        <f t="array" aca="1" ref="F43" ca="1">INDEX(Data_DBD!$F:$F,$A43)</f>
        <v>2</v>
      </c>
      <c r="H43" s="32">
        <v>27</v>
      </c>
      <c r="I43" s="32">
        <v>37</v>
      </c>
      <c r="J43" s="32">
        <v>4</v>
      </c>
      <c r="K43" s="32">
        <v>14</v>
      </c>
      <c r="L43" s="32">
        <v>1</v>
      </c>
      <c r="M43" s="32">
        <v>2</v>
      </c>
    </row>
    <row r="44" spans="1:13">
      <c r="A44" s="32">
        <f t="shared" ca="1" si="0"/>
        <v>110</v>
      </c>
      <c r="B44" s="32" cm="1">
        <f t="array" aca="1" ref="B44" ca="1">INDEX(Data_DBD!$B:$B,$A44)</f>
        <v>42</v>
      </c>
      <c r="C44" s="32" cm="1">
        <f t="array" aca="1" ref="C44" ca="1">INDEX(Data_DBD!$C:$C,$A44)</f>
        <v>2</v>
      </c>
      <c r="D44" s="32" cm="1">
        <f t="array" aca="1" ref="D44" ca="1">INDEX(Data_DBD!$D:$D,$A44)</f>
        <v>33</v>
      </c>
      <c r="E44" s="32" cm="1">
        <f t="array" aca="1" ref="E44" ca="1">INDEX(Data_DBD!$E:$E,$A44)</f>
        <v>1</v>
      </c>
      <c r="F44" s="32" cm="1">
        <f t="array" aca="1" ref="F44" ca="1">INDEX(Data_DBD!$F:$F,$A44)</f>
        <v>3</v>
      </c>
      <c r="H44" s="32">
        <v>32</v>
      </c>
      <c r="I44" s="32">
        <v>54</v>
      </c>
      <c r="J44" s="32">
        <v>4</v>
      </c>
      <c r="K44" s="32">
        <v>14</v>
      </c>
      <c r="L44" s="32">
        <v>0</v>
      </c>
      <c r="M44" s="32">
        <v>2</v>
      </c>
    </row>
    <row r="45" spans="1:13">
      <c r="A45" s="32">
        <f t="shared" ca="1" si="0"/>
        <v>69</v>
      </c>
      <c r="B45" s="32" cm="1">
        <f t="array" aca="1" ref="B45" ca="1">INDEX(Data_DBD!$B:$B,$A45)</f>
        <v>24</v>
      </c>
      <c r="C45" s="32" cm="1">
        <f t="array" aca="1" ref="C45" ca="1">INDEX(Data_DBD!$C:$C,$A45)</f>
        <v>4</v>
      </c>
      <c r="D45" s="32" cm="1">
        <f t="array" aca="1" ref="D45" ca="1">INDEX(Data_DBD!$D:$D,$A45)</f>
        <v>10</v>
      </c>
      <c r="E45" s="32" cm="1">
        <f t="array" aca="1" ref="E45" ca="1">INDEX(Data_DBD!$E:$E,$A45)</f>
        <v>1</v>
      </c>
      <c r="F45" s="32" cm="1">
        <f t="array" aca="1" ref="F45" ca="1">INDEX(Data_DBD!$F:$F,$A45)</f>
        <v>2</v>
      </c>
      <c r="H45" s="32">
        <v>55</v>
      </c>
      <c r="I45" s="32">
        <v>7</v>
      </c>
      <c r="J45" s="32">
        <v>4</v>
      </c>
      <c r="K45" s="32">
        <v>15</v>
      </c>
      <c r="L45" s="32">
        <v>1</v>
      </c>
      <c r="M45" s="32">
        <v>2</v>
      </c>
    </row>
    <row r="46" spans="1:13">
      <c r="A46" s="32">
        <f t="shared" ca="1" si="0"/>
        <v>125</v>
      </c>
      <c r="B46" s="32" cm="1">
        <f t="array" aca="1" ref="B46" ca="1">INDEX(Data_DBD!$B:$B,$A46)</f>
        <v>39</v>
      </c>
      <c r="C46" s="32" cm="1">
        <f t="array" aca="1" ref="C46" ca="1">INDEX(Data_DBD!$C:$C,$A46)</f>
        <v>4</v>
      </c>
      <c r="D46" s="32" cm="1">
        <f t="array" aca="1" ref="D46" ca="1">INDEX(Data_DBD!$D:$D,$A46)</f>
        <v>33</v>
      </c>
      <c r="E46" s="32" cm="1">
        <f t="array" aca="1" ref="E46" ca="1">INDEX(Data_DBD!$E:$E,$A46)</f>
        <v>0</v>
      </c>
      <c r="F46" s="32" cm="1">
        <f t="array" aca="1" ref="F46" ca="1">INDEX(Data_DBD!$F:$F,$A46)</f>
        <v>3</v>
      </c>
      <c r="H46" s="32">
        <v>40</v>
      </c>
      <c r="I46" s="32">
        <v>65</v>
      </c>
      <c r="J46" s="32">
        <v>3</v>
      </c>
      <c r="K46" s="32">
        <v>13</v>
      </c>
      <c r="L46" s="32">
        <v>1</v>
      </c>
      <c r="M46" s="32">
        <v>2</v>
      </c>
    </row>
    <row r="47" spans="1:13">
      <c r="A47" s="32">
        <f t="shared" ca="1" si="0"/>
        <v>88</v>
      </c>
      <c r="B47" s="32" cm="1">
        <f t="array" aca="1" ref="B47" ca="1">INDEX(Data_DBD!$B:$B,$A47)</f>
        <v>20</v>
      </c>
      <c r="C47" s="32" cm="1">
        <f t="array" aca="1" ref="C47" ca="1">INDEX(Data_DBD!$C:$C,$A47)</f>
        <v>4</v>
      </c>
      <c r="D47" s="32" cm="1">
        <f t="array" aca="1" ref="D47" ca="1">INDEX(Data_DBD!$D:$D,$A47)</f>
        <v>13</v>
      </c>
      <c r="E47" s="32" cm="1">
        <f t="array" aca="1" ref="E47" ca="1">INDEX(Data_DBD!$E:$E,$A47)</f>
        <v>1</v>
      </c>
      <c r="F47" s="32" cm="1">
        <f t="array" aca="1" ref="F47" ca="1">INDEX(Data_DBD!$F:$F,$A47)</f>
        <v>2</v>
      </c>
      <c r="H47" s="32">
        <v>42</v>
      </c>
      <c r="I47" s="32">
        <v>21</v>
      </c>
      <c r="J47" s="32">
        <v>5</v>
      </c>
      <c r="K47" s="32">
        <v>13</v>
      </c>
      <c r="L47" s="32">
        <v>1</v>
      </c>
      <c r="M47" s="32">
        <v>2</v>
      </c>
    </row>
    <row r="48" spans="1:13">
      <c r="A48" s="32">
        <f t="shared" ca="1" si="0"/>
        <v>13</v>
      </c>
      <c r="B48" s="32" cm="1">
        <f t="array" aca="1" ref="B48" ca="1">INDEX(Data_DBD!$B:$B,$A48)</f>
        <v>47</v>
      </c>
      <c r="C48" s="32" cm="1">
        <f t="array" aca="1" ref="C48" ca="1">INDEX(Data_DBD!$C:$C,$A48)</f>
        <v>2</v>
      </c>
      <c r="D48" s="32" cm="1">
        <f t="array" aca="1" ref="D48" ca="1">INDEX(Data_DBD!$D:$D,$A48)</f>
        <v>12</v>
      </c>
      <c r="E48" s="32" cm="1">
        <f t="array" aca="1" ref="E48" ca="1">INDEX(Data_DBD!$E:$E,$A48)</f>
        <v>0</v>
      </c>
      <c r="F48" s="32" cm="1">
        <f t="array" aca="1" ref="F48" ca="1">INDEX(Data_DBD!$F:$F,$A48)</f>
        <v>2</v>
      </c>
      <c r="H48" s="32">
        <v>12</v>
      </c>
      <c r="I48" s="32">
        <v>23</v>
      </c>
      <c r="J48" s="32">
        <v>3</v>
      </c>
      <c r="K48" s="32">
        <v>12</v>
      </c>
      <c r="L48" s="32">
        <v>0</v>
      </c>
      <c r="M48" s="32">
        <v>2</v>
      </c>
    </row>
    <row r="49" spans="1:13">
      <c r="A49" s="32">
        <f t="shared" ca="1" si="0"/>
        <v>126</v>
      </c>
      <c r="B49" s="32" cm="1">
        <f t="array" aca="1" ref="B49" ca="1">INDEX(Data_DBD!$B:$B,$A49)</f>
        <v>51</v>
      </c>
      <c r="C49" s="32" cm="1">
        <f t="array" aca="1" ref="C49" ca="1">INDEX(Data_DBD!$C:$C,$A49)</f>
        <v>3</v>
      </c>
      <c r="D49" s="32" cm="1">
        <f t="array" aca="1" ref="D49" ca="1">INDEX(Data_DBD!$D:$D,$A49)</f>
        <v>33</v>
      </c>
      <c r="E49" s="32" cm="1">
        <f t="array" aca="1" ref="E49" ca="1">INDEX(Data_DBD!$E:$E,$A49)</f>
        <v>1</v>
      </c>
      <c r="F49" s="32" cm="1">
        <f t="array" aca="1" ref="F49" ca="1">INDEX(Data_DBD!$F:$F,$A49)</f>
        <v>3</v>
      </c>
      <c r="H49" s="32">
        <v>87</v>
      </c>
      <c r="I49" s="32">
        <v>21</v>
      </c>
      <c r="J49" s="32">
        <v>3</v>
      </c>
      <c r="K49" s="32">
        <v>13</v>
      </c>
      <c r="L49" s="32">
        <v>0</v>
      </c>
      <c r="M49" s="32">
        <v>2</v>
      </c>
    </row>
    <row r="50" spans="1:13">
      <c r="A50" s="32">
        <f t="shared" ca="1" si="0"/>
        <v>16</v>
      </c>
      <c r="B50" s="32" cm="1">
        <f t="array" aca="1" ref="B50" ca="1">INDEX(Data_DBD!$B:$B,$A50)</f>
        <v>66</v>
      </c>
      <c r="C50" s="32" cm="1">
        <f t="array" aca="1" ref="C50" ca="1">INDEX(Data_DBD!$C:$C,$A50)</f>
        <v>5</v>
      </c>
      <c r="D50" s="32" cm="1">
        <f t="array" aca="1" ref="D50" ca="1">INDEX(Data_DBD!$D:$D,$A50)</f>
        <v>7</v>
      </c>
      <c r="E50" s="32" cm="1">
        <f t="array" aca="1" ref="E50" ca="1">INDEX(Data_DBD!$E:$E,$A50)</f>
        <v>1</v>
      </c>
      <c r="F50" s="32" cm="1">
        <f t="array" aca="1" ref="F50" ca="1">INDEX(Data_DBD!$F:$F,$A50)</f>
        <v>1</v>
      </c>
      <c r="H50" s="32">
        <v>151</v>
      </c>
      <c r="I50" s="32">
        <v>24</v>
      </c>
      <c r="J50" s="32">
        <v>3</v>
      </c>
      <c r="K50" s="32">
        <v>21</v>
      </c>
      <c r="L50" s="32">
        <v>0</v>
      </c>
      <c r="M50" s="32">
        <v>3</v>
      </c>
    </row>
    <row r="51" spans="1:13">
      <c r="A51" s="32">
        <f t="shared" ca="1" si="0"/>
        <v>21</v>
      </c>
      <c r="B51" s="32" cm="1">
        <f t="array" aca="1" ref="B51" ca="1">INDEX(Data_DBD!$B:$B,$A51)</f>
        <v>10</v>
      </c>
      <c r="C51" s="32" cm="1">
        <f t="array" aca="1" ref="C51" ca="1">INDEX(Data_DBD!$C:$C,$A51)</f>
        <v>5</v>
      </c>
      <c r="D51" s="32" cm="1">
        <f t="array" aca="1" ref="D51" ca="1">INDEX(Data_DBD!$D:$D,$A51)</f>
        <v>14</v>
      </c>
      <c r="E51" s="32" cm="1">
        <f t="array" aca="1" ref="E51" ca="1">INDEX(Data_DBD!$E:$E,$A51)</f>
        <v>1</v>
      </c>
      <c r="F51" s="32" cm="1">
        <f t="array" aca="1" ref="F51" ca="1">INDEX(Data_DBD!$F:$F,$A51)</f>
        <v>2</v>
      </c>
      <c r="H51" s="32">
        <v>113</v>
      </c>
      <c r="I51" s="32">
        <v>69</v>
      </c>
      <c r="J51" s="32">
        <v>1</v>
      </c>
      <c r="K51" s="32">
        <v>33</v>
      </c>
      <c r="L51" s="32">
        <v>1</v>
      </c>
      <c r="M51" s="32">
        <v>3</v>
      </c>
    </row>
    <row r="52" spans="1:13">
      <c r="A52" s="32">
        <f t="shared" ca="1" si="0"/>
        <v>78</v>
      </c>
      <c r="B52" s="32" cm="1">
        <f t="array" aca="1" ref="B52" ca="1">INDEX(Data_DBD!$B:$B,$A52)</f>
        <v>6</v>
      </c>
      <c r="C52" s="32" cm="1">
        <f t="array" aca="1" ref="C52" ca="1">INDEX(Data_DBD!$C:$C,$A52)</f>
        <v>3</v>
      </c>
      <c r="D52" s="32" cm="1">
        <f t="array" aca="1" ref="D52" ca="1">INDEX(Data_DBD!$D:$D,$A52)</f>
        <v>13</v>
      </c>
      <c r="E52" s="32" cm="1">
        <f t="array" aca="1" ref="E52" ca="1">INDEX(Data_DBD!$E:$E,$A52)</f>
        <v>0</v>
      </c>
      <c r="F52" s="32" cm="1">
        <f t="array" aca="1" ref="F52" ca="1">INDEX(Data_DBD!$F:$F,$A52)</f>
        <v>2</v>
      </c>
      <c r="H52" s="32">
        <v>9</v>
      </c>
      <c r="I52" s="32">
        <v>16</v>
      </c>
      <c r="J52" s="32">
        <v>6</v>
      </c>
      <c r="K52" s="32">
        <v>12</v>
      </c>
      <c r="L52" s="32">
        <v>1</v>
      </c>
      <c r="M52" s="32">
        <v>2</v>
      </c>
    </row>
    <row r="53" spans="1:13">
      <c r="A53" s="32">
        <f t="shared" ca="1" si="0"/>
        <v>40</v>
      </c>
      <c r="B53" s="32" cm="1">
        <f t="array" aca="1" ref="B53" ca="1">INDEX(Data_DBD!$B:$B,$A53)</f>
        <v>65</v>
      </c>
      <c r="C53" s="32" cm="1">
        <f t="array" aca="1" ref="C53" ca="1">INDEX(Data_DBD!$C:$C,$A53)</f>
        <v>3</v>
      </c>
      <c r="D53" s="32" cm="1">
        <f t="array" aca="1" ref="D53" ca="1">INDEX(Data_DBD!$D:$D,$A53)</f>
        <v>13</v>
      </c>
      <c r="E53" s="32" cm="1">
        <f t="array" aca="1" ref="E53" ca="1">INDEX(Data_DBD!$E:$E,$A53)</f>
        <v>1</v>
      </c>
      <c r="F53" s="32" cm="1">
        <f t="array" aca="1" ref="F53" ca="1">INDEX(Data_DBD!$F:$F,$A53)</f>
        <v>2</v>
      </c>
      <c r="H53" s="32">
        <v>147</v>
      </c>
      <c r="I53" s="32">
        <v>66</v>
      </c>
      <c r="J53" s="32">
        <v>10</v>
      </c>
      <c r="K53" s="32">
        <v>21</v>
      </c>
      <c r="L53" s="32">
        <v>1</v>
      </c>
      <c r="M53" s="32">
        <v>3</v>
      </c>
    </row>
    <row r="54" spans="1:13">
      <c r="A54" s="32">
        <f t="shared" ca="1" si="0"/>
        <v>126</v>
      </c>
      <c r="B54" s="32" cm="1">
        <f t="array" aca="1" ref="B54" ca="1">INDEX(Data_DBD!$B:$B,$A54)</f>
        <v>51</v>
      </c>
      <c r="C54" s="32" cm="1">
        <f t="array" aca="1" ref="C54" ca="1">INDEX(Data_DBD!$C:$C,$A54)</f>
        <v>3</v>
      </c>
      <c r="D54" s="32" cm="1">
        <f t="array" aca="1" ref="D54" ca="1">INDEX(Data_DBD!$D:$D,$A54)</f>
        <v>33</v>
      </c>
      <c r="E54" s="32" cm="1">
        <f t="array" aca="1" ref="E54" ca="1">INDEX(Data_DBD!$E:$E,$A54)</f>
        <v>1</v>
      </c>
      <c r="F54" s="32" cm="1">
        <f t="array" aca="1" ref="F54" ca="1">INDEX(Data_DBD!$F:$F,$A54)</f>
        <v>3</v>
      </c>
      <c r="H54" s="32">
        <v>49</v>
      </c>
      <c r="I54" s="32">
        <v>64</v>
      </c>
      <c r="J54" s="32">
        <v>5</v>
      </c>
      <c r="K54" s="32">
        <v>13</v>
      </c>
      <c r="L54" s="32">
        <v>0</v>
      </c>
      <c r="M54" s="32">
        <v>2</v>
      </c>
    </row>
    <row r="55" spans="1:13">
      <c r="A55" s="32">
        <f t="shared" ca="1" si="0"/>
        <v>68</v>
      </c>
      <c r="B55" s="32" cm="1">
        <f t="array" aca="1" ref="B55" ca="1">INDEX(Data_DBD!$B:$B,$A55)</f>
        <v>44</v>
      </c>
      <c r="C55" s="32" cm="1">
        <f t="array" aca="1" ref="C55" ca="1">INDEX(Data_DBD!$C:$C,$A55)</f>
        <v>5</v>
      </c>
      <c r="D55" s="32" cm="1">
        <f t="array" aca="1" ref="D55" ca="1">INDEX(Data_DBD!$D:$D,$A55)</f>
        <v>10</v>
      </c>
      <c r="E55" s="32" cm="1">
        <f t="array" aca="1" ref="E55" ca="1">INDEX(Data_DBD!$E:$E,$A55)</f>
        <v>0</v>
      </c>
      <c r="F55" s="32" cm="1">
        <f t="array" aca="1" ref="F55" ca="1">INDEX(Data_DBD!$F:$F,$A55)</f>
        <v>2</v>
      </c>
      <c r="H55" s="32">
        <v>84</v>
      </c>
      <c r="I55" s="32">
        <v>42</v>
      </c>
      <c r="J55" s="32">
        <v>4</v>
      </c>
      <c r="K55" s="32">
        <v>13</v>
      </c>
      <c r="L55" s="32">
        <v>1</v>
      </c>
      <c r="M55" s="32">
        <v>2</v>
      </c>
    </row>
    <row r="56" spans="1:13">
      <c r="A56" s="32">
        <f t="shared" ca="1" si="0"/>
        <v>28</v>
      </c>
      <c r="B56" s="32" cm="1">
        <f t="array" aca="1" ref="B56" ca="1">INDEX(Data_DBD!$B:$B,$A56)</f>
        <v>22</v>
      </c>
      <c r="C56" s="32" cm="1">
        <f t="array" aca="1" ref="C56" ca="1">INDEX(Data_DBD!$C:$C,$A56)</f>
        <v>2</v>
      </c>
      <c r="D56" s="32" cm="1">
        <f t="array" aca="1" ref="D56" ca="1">INDEX(Data_DBD!$D:$D,$A56)</f>
        <v>14</v>
      </c>
      <c r="E56" s="32" cm="1">
        <f t="array" aca="1" ref="E56" ca="1">INDEX(Data_DBD!$E:$E,$A56)</f>
        <v>1</v>
      </c>
      <c r="F56" s="32" cm="1">
        <f t="array" aca="1" ref="F56" ca="1">INDEX(Data_DBD!$F:$F,$A56)</f>
        <v>2</v>
      </c>
      <c r="H56" s="32">
        <v>55</v>
      </c>
      <c r="I56" s="32">
        <v>7</v>
      </c>
      <c r="J56" s="32">
        <v>4</v>
      </c>
      <c r="K56" s="32">
        <v>15</v>
      </c>
      <c r="L56" s="32">
        <v>1</v>
      </c>
      <c r="M56" s="32">
        <v>2</v>
      </c>
    </row>
    <row r="57" spans="1:13">
      <c r="A57" s="32">
        <f t="shared" ca="1" si="0"/>
        <v>121</v>
      </c>
      <c r="B57" s="32" cm="1">
        <f t="array" aca="1" ref="B57" ca="1">INDEX(Data_DBD!$B:$B,$A57)</f>
        <v>82</v>
      </c>
      <c r="C57" s="32" cm="1">
        <f t="array" aca="1" ref="C57" ca="1">INDEX(Data_DBD!$C:$C,$A57)</f>
        <v>5</v>
      </c>
      <c r="D57" s="32" cm="1">
        <f t="array" aca="1" ref="D57" ca="1">INDEX(Data_DBD!$D:$D,$A57)</f>
        <v>33</v>
      </c>
      <c r="E57" s="32" cm="1">
        <f t="array" aca="1" ref="E57" ca="1">INDEX(Data_DBD!$E:$E,$A57)</f>
        <v>1</v>
      </c>
      <c r="F57" s="32" cm="1">
        <f t="array" aca="1" ref="F57" ca="1">INDEX(Data_DBD!$F:$F,$A57)</f>
        <v>3</v>
      </c>
      <c r="H57" s="32">
        <v>38</v>
      </c>
      <c r="I57" s="32">
        <v>52</v>
      </c>
      <c r="J57" s="32">
        <v>3</v>
      </c>
      <c r="K57" s="32">
        <v>4</v>
      </c>
      <c r="L57" s="32">
        <v>1</v>
      </c>
      <c r="M57" s="32">
        <v>1</v>
      </c>
    </row>
    <row r="58" spans="1:13">
      <c r="A58" s="32">
        <f t="shared" ca="1" si="0"/>
        <v>25</v>
      </c>
      <c r="B58" s="32" cm="1">
        <f t="array" aca="1" ref="B58" ca="1">INDEX(Data_DBD!$B:$B,$A58)</f>
        <v>81</v>
      </c>
      <c r="C58" s="32" cm="1">
        <f t="array" aca="1" ref="C58" ca="1">INDEX(Data_DBD!$C:$C,$A58)</f>
        <v>5</v>
      </c>
      <c r="D58" s="32" cm="1">
        <f t="array" aca="1" ref="D58" ca="1">INDEX(Data_DBD!$D:$D,$A58)</f>
        <v>14</v>
      </c>
      <c r="E58" s="32" cm="1">
        <f t="array" aca="1" ref="E58" ca="1">INDEX(Data_DBD!$E:$E,$A58)</f>
        <v>0</v>
      </c>
      <c r="F58" s="32" cm="1">
        <f t="array" aca="1" ref="F58" ca="1">INDEX(Data_DBD!$F:$F,$A58)</f>
        <v>2</v>
      </c>
      <c r="H58" s="32">
        <v>33</v>
      </c>
      <c r="I58" s="32">
        <v>19</v>
      </c>
      <c r="J58" s="32">
        <v>4</v>
      </c>
      <c r="K58" s="32">
        <v>14</v>
      </c>
      <c r="L58" s="32">
        <v>1</v>
      </c>
      <c r="M58" s="32">
        <v>2</v>
      </c>
    </row>
    <row r="59" spans="1:13">
      <c r="A59" s="32">
        <f t="shared" ca="1" si="0"/>
        <v>139</v>
      </c>
      <c r="B59" s="32" cm="1">
        <f t="array" aca="1" ref="B59" ca="1">INDEX(Data_DBD!$B:$B,$A59)</f>
        <v>52</v>
      </c>
      <c r="C59" s="32" cm="1">
        <f t="array" aca="1" ref="C59" ca="1">INDEX(Data_DBD!$C:$C,$A59)</f>
        <v>7</v>
      </c>
      <c r="D59" s="32" cm="1">
        <f t="array" aca="1" ref="D59" ca="1">INDEX(Data_DBD!$D:$D,$A59)</f>
        <v>21</v>
      </c>
      <c r="E59" s="32" cm="1">
        <f t="array" aca="1" ref="E59" ca="1">INDEX(Data_DBD!$E:$E,$A59)</f>
        <v>0</v>
      </c>
      <c r="F59" s="32" cm="1">
        <f t="array" aca="1" ref="F59" ca="1">INDEX(Data_DBD!$F:$F,$A59)</f>
        <v>3</v>
      </c>
      <c r="H59" s="32">
        <v>130</v>
      </c>
      <c r="I59" s="32">
        <v>12</v>
      </c>
      <c r="J59" s="32">
        <v>4</v>
      </c>
      <c r="K59" s="32">
        <v>33</v>
      </c>
      <c r="L59" s="32">
        <v>0</v>
      </c>
      <c r="M59" s="32">
        <v>3</v>
      </c>
    </row>
    <row r="60" spans="1:13">
      <c r="A60" s="32">
        <f t="shared" ca="1" si="0"/>
        <v>134</v>
      </c>
      <c r="B60" s="32" cm="1">
        <f t="array" aca="1" ref="B60" ca="1">INDEX(Data_DBD!$B:$B,$A60)</f>
        <v>4</v>
      </c>
      <c r="C60" s="32" cm="1">
        <f t="array" aca="1" ref="C60" ca="1">INDEX(Data_DBD!$C:$C,$A60)</f>
        <v>2</v>
      </c>
      <c r="D60" s="32" cm="1">
        <f t="array" aca="1" ref="D60" ca="1">INDEX(Data_DBD!$D:$D,$A60)</f>
        <v>33</v>
      </c>
      <c r="E60" s="32" cm="1">
        <f t="array" aca="1" ref="E60" ca="1">INDEX(Data_DBD!$E:$E,$A60)</f>
        <v>1</v>
      </c>
      <c r="F60" s="32" cm="1">
        <f t="array" aca="1" ref="F60" ca="1">INDEX(Data_DBD!$F:$F,$A60)</f>
        <v>3</v>
      </c>
      <c r="H60" s="32">
        <v>65</v>
      </c>
      <c r="I60" s="32">
        <v>49</v>
      </c>
      <c r="J60" s="32">
        <v>3</v>
      </c>
      <c r="K60" s="32">
        <v>15</v>
      </c>
      <c r="L60" s="32">
        <v>0</v>
      </c>
      <c r="M60" s="32">
        <v>2</v>
      </c>
    </row>
    <row r="61" spans="1:13">
      <c r="A61" s="32">
        <f t="shared" ca="1" si="0"/>
        <v>90</v>
      </c>
      <c r="B61" s="32" cm="1">
        <f t="array" aca="1" ref="B61" ca="1">INDEX(Data_DBD!$B:$B,$A61)</f>
        <v>47</v>
      </c>
      <c r="C61" s="32" cm="1">
        <f t="array" aca="1" ref="C61" ca="1">INDEX(Data_DBD!$C:$C,$A61)</f>
        <v>3</v>
      </c>
      <c r="D61" s="32" cm="1">
        <f t="array" aca="1" ref="D61" ca="1">INDEX(Data_DBD!$D:$D,$A61)</f>
        <v>18</v>
      </c>
      <c r="E61" s="32" cm="1">
        <f t="array" aca="1" ref="E61" ca="1">INDEX(Data_DBD!$E:$E,$A61)</f>
        <v>0</v>
      </c>
      <c r="F61" s="32" cm="1">
        <f t="array" aca="1" ref="F61" ca="1">INDEX(Data_DBD!$F:$F,$A61)</f>
        <v>3</v>
      </c>
      <c r="H61" s="32">
        <v>152</v>
      </c>
      <c r="I61" s="32">
        <v>47</v>
      </c>
      <c r="J61" s="32">
        <v>3</v>
      </c>
      <c r="K61" s="32">
        <v>21</v>
      </c>
      <c r="L61" s="32">
        <v>1</v>
      </c>
      <c r="M61" s="32">
        <v>3</v>
      </c>
    </row>
    <row r="62" spans="1:13">
      <c r="A62" s="32">
        <f t="shared" ca="1" si="0"/>
        <v>150</v>
      </c>
      <c r="B62" s="32" cm="1">
        <f t="array" aca="1" ref="B62" ca="1">INDEX(Data_DBD!$B:$B,$A62)</f>
        <v>61</v>
      </c>
      <c r="C62" s="32" cm="1">
        <f t="array" aca="1" ref="C62" ca="1">INDEX(Data_DBD!$C:$C,$A62)</f>
        <v>5</v>
      </c>
      <c r="D62" s="32" cm="1">
        <f t="array" aca="1" ref="D62" ca="1">INDEX(Data_DBD!$D:$D,$A62)</f>
        <v>21</v>
      </c>
      <c r="E62" s="32" cm="1">
        <f t="array" aca="1" ref="E62" ca="1">INDEX(Data_DBD!$E:$E,$A62)</f>
        <v>1</v>
      </c>
      <c r="F62" s="32" cm="1">
        <f t="array" aca="1" ref="F62" ca="1">INDEX(Data_DBD!$F:$F,$A62)</f>
        <v>3</v>
      </c>
      <c r="H62" s="32">
        <v>140</v>
      </c>
      <c r="I62" s="32">
        <v>74</v>
      </c>
      <c r="J62" s="32">
        <v>5</v>
      </c>
      <c r="K62" s="32">
        <v>21</v>
      </c>
      <c r="L62" s="32">
        <v>1</v>
      </c>
      <c r="M62" s="32">
        <v>3</v>
      </c>
    </row>
    <row r="63" spans="1:13">
      <c r="A63" s="32">
        <f t="shared" ca="1" si="0"/>
        <v>68</v>
      </c>
      <c r="B63" s="32" cm="1">
        <f t="array" aca="1" ref="B63" ca="1">INDEX(Data_DBD!$B:$B,$A63)</f>
        <v>44</v>
      </c>
      <c r="C63" s="32" cm="1">
        <f t="array" aca="1" ref="C63" ca="1">INDEX(Data_DBD!$C:$C,$A63)</f>
        <v>5</v>
      </c>
      <c r="D63" s="32" cm="1">
        <f t="array" aca="1" ref="D63" ca="1">INDEX(Data_DBD!$D:$D,$A63)</f>
        <v>10</v>
      </c>
      <c r="E63" s="32" cm="1">
        <f t="array" aca="1" ref="E63" ca="1">INDEX(Data_DBD!$E:$E,$A63)</f>
        <v>0</v>
      </c>
      <c r="F63" s="32" cm="1">
        <f t="array" aca="1" ref="F63" ca="1">INDEX(Data_DBD!$F:$F,$A63)</f>
        <v>2</v>
      </c>
      <c r="H63" s="32">
        <v>106</v>
      </c>
      <c r="I63" s="32">
        <v>23</v>
      </c>
      <c r="J63" s="32">
        <v>3</v>
      </c>
      <c r="K63" s="32">
        <v>18</v>
      </c>
      <c r="L63" s="32">
        <v>1</v>
      </c>
      <c r="M63" s="32">
        <v>3</v>
      </c>
    </row>
    <row r="64" spans="1:13">
      <c r="A64" s="32">
        <f t="shared" ca="1" si="0"/>
        <v>37</v>
      </c>
      <c r="B64" s="32" cm="1">
        <f t="array" aca="1" ref="B64" ca="1">INDEX(Data_DBD!$B:$B,$A64)</f>
        <v>28</v>
      </c>
      <c r="C64" s="32" cm="1">
        <f t="array" aca="1" ref="C64" ca="1">INDEX(Data_DBD!$C:$C,$A64)</f>
        <v>4</v>
      </c>
      <c r="D64" s="32" cm="1">
        <f t="array" aca="1" ref="D64" ca="1">INDEX(Data_DBD!$D:$D,$A64)</f>
        <v>4</v>
      </c>
      <c r="E64" s="32" cm="1">
        <f t="array" aca="1" ref="E64" ca="1">INDEX(Data_DBD!$E:$E,$A64)</f>
        <v>1</v>
      </c>
      <c r="F64" s="32" cm="1">
        <f t="array" aca="1" ref="F64" ca="1">INDEX(Data_DBD!$F:$F,$A64)</f>
        <v>1</v>
      </c>
      <c r="H64" s="32">
        <v>130</v>
      </c>
      <c r="I64" s="32">
        <v>12</v>
      </c>
      <c r="J64" s="32">
        <v>4</v>
      </c>
      <c r="K64" s="32">
        <v>33</v>
      </c>
      <c r="L64" s="32">
        <v>0</v>
      </c>
      <c r="M64" s="32">
        <v>3</v>
      </c>
    </row>
    <row r="65" spans="1:13">
      <c r="A65" s="32">
        <f t="shared" ca="1" si="0"/>
        <v>152</v>
      </c>
      <c r="B65" s="32" cm="1">
        <f t="array" aca="1" ref="B65" ca="1">INDEX(Data_DBD!$B:$B,$A65)</f>
        <v>47</v>
      </c>
      <c r="C65" s="32" cm="1">
        <f t="array" aca="1" ref="C65" ca="1">INDEX(Data_DBD!$C:$C,$A65)</f>
        <v>3</v>
      </c>
      <c r="D65" s="32" cm="1">
        <f t="array" aca="1" ref="D65" ca="1">INDEX(Data_DBD!$D:$D,$A65)</f>
        <v>21</v>
      </c>
      <c r="E65" s="32" cm="1">
        <f t="array" aca="1" ref="E65" ca="1">INDEX(Data_DBD!$E:$E,$A65)</f>
        <v>1</v>
      </c>
      <c r="F65" s="32" cm="1">
        <f t="array" aca="1" ref="F65" ca="1">INDEX(Data_DBD!$F:$F,$A65)</f>
        <v>3</v>
      </c>
      <c r="H65" s="32">
        <v>18</v>
      </c>
      <c r="I65" s="32">
        <v>49</v>
      </c>
      <c r="J65" s="32">
        <v>4</v>
      </c>
      <c r="K65" s="32">
        <v>7</v>
      </c>
      <c r="L65" s="32">
        <v>1</v>
      </c>
      <c r="M65" s="32">
        <v>1</v>
      </c>
    </row>
    <row r="66" spans="1:13">
      <c r="A66" s="32">
        <f t="shared" ca="1" si="0"/>
        <v>56</v>
      </c>
      <c r="B66" s="32" cm="1">
        <f t="array" aca="1" ref="B66" ca="1">INDEX(Data_DBD!$B:$B,$A66)</f>
        <v>4</v>
      </c>
      <c r="C66" s="32" cm="1">
        <f t="array" aca="1" ref="C66" ca="1">INDEX(Data_DBD!$C:$C,$A66)</f>
        <v>3</v>
      </c>
      <c r="D66" s="32" cm="1">
        <f t="array" aca="1" ref="D66" ca="1">INDEX(Data_DBD!$D:$D,$A66)</f>
        <v>15</v>
      </c>
      <c r="E66" s="32" cm="1">
        <f t="array" aca="1" ref="E66" ca="1">INDEX(Data_DBD!$E:$E,$A66)</f>
        <v>0</v>
      </c>
      <c r="F66" s="32" cm="1">
        <f t="array" aca="1" ref="F66" ca="1">INDEX(Data_DBD!$F:$F,$A66)</f>
        <v>2</v>
      </c>
      <c r="H66" s="32">
        <v>22</v>
      </c>
      <c r="I66" s="32">
        <v>6</v>
      </c>
      <c r="J66" s="32">
        <v>3</v>
      </c>
      <c r="K66" s="32">
        <v>14</v>
      </c>
      <c r="L66" s="32">
        <v>0</v>
      </c>
      <c r="M66" s="32">
        <v>2</v>
      </c>
    </row>
    <row r="67" spans="1:13">
      <c r="A67" s="32">
        <f t="shared" ref="A67:A130" ca="1" si="1">RANDBETWEEN(2,164)</f>
        <v>115</v>
      </c>
      <c r="B67" s="32" cm="1">
        <f t="array" aca="1" ref="B67" ca="1">INDEX(Data_DBD!$B:$B,$A67)</f>
        <v>52</v>
      </c>
      <c r="C67" s="32" cm="1">
        <f t="array" aca="1" ref="C67" ca="1">INDEX(Data_DBD!$C:$C,$A67)</f>
        <v>3</v>
      </c>
      <c r="D67" s="32" cm="1">
        <f t="array" aca="1" ref="D67" ca="1">INDEX(Data_DBD!$D:$D,$A67)</f>
        <v>33</v>
      </c>
      <c r="E67" s="32" cm="1">
        <f t="array" aca="1" ref="E67" ca="1">INDEX(Data_DBD!$E:$E,$A67)</f>
        <v>1</v>
      </c>
      <c r="F67" s="32" cm="1">
        <f t="array" aca="1" ref="F67" ca="1">INDEX(Data_DBD!$F:$F,$A67)</f>
        <v>3</v>
      </c>
      <c r="H67" s="32">
        <v>32</v>
      </c>
      <c r="I67" s="32">
        <v>54</v>
      </c>
      <c r="J67" s="32">
        <v>4</v>
      </c>
      <c r="K67" s="32">
        <v>14</v>
      </c>
      <c r="L67" s="32">
        <v>0</v>
      </c>
      <c r="M67" s="32">
        <v>2</v>
      </c>
    </row>
    <row r="68" spans="1:13">
      <c r="A68" s="32">
        <f t="shared" ca="1" si="1"/>
        <v>128</v>
      </c>
      <c r="B68" s="32" cm="1">
        <f t="array" aca="1" ref="B68" ca="1">INDEX(Data_DBD!$B:$B,$A68)</f>
        <v>38</v>
      </c>
      <c r="C68" s="32" cm="1">
        <f t="array" aca="1" ref="C68" ca="1">INDEX(Data_DBD!$C:$C,$A68)</f>
        <v>2</v>
      </c>
      <c r="D68" s="32" cm="1">
        <f t="array" aca="1" ref="D68" ca="1">INDEX(Data_DBD!$D:$D,$A68)</f>
        <v>33</v>
      </c>
      <c r="E68" s="32" cm="1">
        <f t="array" aca="1" ref="E68" ca="1">INDEX(Data_DBD!$E:$E,$A68)</f>
        <v>0</v>
      </c>
      <c r="F68" s="32" cm="1">
        <f t="array" aca="1" ref="F68" ca="1">INDEX(Data_DBD!$F:$F,$A68)</f>
        <v>3</v>
      </c>
      <c r="H68" s="32">
        <v>96</v>
      </c>
      <c r="I68" s="32">
        <v>56</v>
      </c>
      <c r="J68" s="32">
        <v>4</v>
      </c>
      <c r="K68" s="32">
        <v>18</v>
      </c>
      <c r="L68" s="32">
        <v>0</v>
      </c>
      <c r="M68" s="32">
        <v>3</v>
      </c>
    </row>
    <row r="69" spans="1:13">
      <c r="A69" s="32">
        <f t="shared" ca="1" si="1"/>
        <v>21</v>
      </c>
      <c r="B69" s="32" cm="1">
        <f t="array" aca="1" ref="B69" ca="1">INDEX(Data_DBD!$B:$B,$A69)</f>
        <v>10</v>
      </c>
      <c r="C69" s="32" cm="1">
        <f t="array" aca="1" ref="C69" ca="1">INDEX(Data_DBD!$C:$C,$A69)</f>
        <v>5</v>
      </c>
      <c r="D69" s="32" cm="1">
        <f t="array" aca="1" ref="D69" ca="1">INDEX(Data_DBD!$D:$D,$A69)</f>
        <v>14</v>
      </c>
      <c r="E69" s="32" cm="1">
        <f t="array" aca="1" ref="E69" ca="1">INDEX(Data_DBD!$E:$E,$A69)</f>
        <v>1</v>
      </c>
      <c r="F69" s="32" cm="1">
        <f t="array" aca="1" ref="F69" ca="1">INDEX(Data_DBD!$F:$F,$A69)</f>
        <v>2</v>
      </c>
      <c r="H69" s="32">
        <v>164</v>
      </c>
      <c r="I69" s="32">
        <v>10</v>
      </c>
      <c r="J69" s="32">
        <v>6</v>
      </c>
      <c r="K69" s="32">
        <v>3</v>
      </c>
      <c r="L69" s="32">
        <v>0</v>
      </c>
      <c r="M69" s="32">
        <v>1</v>
      </c>
    </row>
    <row r="70" spans="1:13">
      <c r="A70" s="32">
        <f t="shared" ca="1" si="1"/>
        <v>116</v>
      </c>
      <c r="B70" s="32" cm="1">
        <f t="array" aca="1" ref="B70" ca="1">INDEX(Data_DBD!$B:$B,$A70)</f>
        <v>32</v>
      </c>
      <c r="C70" s="32" cm="1">
        <f t="array" aca="1" ref="C70" ca="1">INDEX(Data_DBD!$C:$C,$A70)</f>
        <v>4</v>
      </c>
      <c r="D70" s="32" cm="1">
        <f t="array" aca="1" ref="D70" ca="1">INDEX(Data_DBD!$D:$D,$A70)</f>
        <v>33</v>
      </c>
      <c r="E70" s="32" cm="1">
        <f t="array" aca="1" ref="E70" ca="1">INDEX(Data_DBD!$E:$E,$A70)</f>
        <v>1</v>
      </c>
      <c r="F70" s="32" cm="1">
        <f t="array" aca="1" ref="F70" ca="1">INDEX(Data_DBD!$F:$F,$A70)</f>
        <v>3</v>
      </c>
      <c r="H70" s="32">
        <v>144</v>
      </c>
      <c r="I70" s="32">
        <v>61</v>
      </c>
      <c r="J70" s="32">
        <v>4</v>
      </c>
      <c r="K70" s="32">
        <v>21</v>
      </c>
      <c r="L70" s="32">
        <v>1</v>
      </c>
      <c r="M70" s="32">
        <v>3</v>
      </c>
    </row>
    <row r="71" spans="1:13">
      <c r="A71" s="32">
        <f t="shared" ca="1" si="1"/>
        <v>110</v>
      </c>
      <c r="B71" s="32" cm="1">
        <f t="array" aca="1" ref="B71" ca="1">INDEX(Data_DBD!$B:$B,$A71)</f>
        <v>42</v>
      </c>
      <c r="C71" s="32" cm="1">
        <f t="array" aca="1" ref="C71" ca="1">INDEX(Data_DBD!$C:$C,$A71)</f>
        <v>2</v>
      </c>
      <c r="D71" s="32" cm="1">
        <f t="array" aca="1" ref="D71" ca="1">INDEX(Data_DBD!$D:$D,$A71)</f>
        <v>33</v>
      </c>
      <c r="E71" s="32" cm="1">
        <f t="array" aca="1" ref="E71" ca="1">INDEX(Data_DBD!$E:$E,$A71)</f>
        <v>1</v>
      </c>
      <c r="F71" s="32" cm="1">
        <f t="array" aca="1" ref="F71" ca="1">INDEX(Data_DBD!$F:$F,$A71)</f>
        <v>3</v>
      </c>
      <c r="H71" s="32">
        <v>107</v>
      </c>
      <c r="I71" s="32">
        <v>48</v>
      </c>
      <c r="J71" s="32">
        <v>5</v>
      </c>
      <c r="K71" s="32">
        <v>18</v>
      </c>
      <c r="L71" s="32">
        <v>0</v>
      </c>
      <c r="M71" s="32">
        <v>3</v>
      </c>
    </row>
    <row r="72" spans="1:13">
      <c r="A72" s="32">
        <f t="shared" ca="1" si="1"/>
        <v>148</v>
      </c>
      <c r="B72" s="32" cm="1">
        <f t="array" aca="1" ref="B72" ca="1">INDEX(Data_DBD!$B:$B,$A72)</f>
        <v>55</v>
      </c>
      <c r="C72" s="32" cm="1">
        <f t="array" aca="1" ref="C72" ca="1">INDEX(Data_DBD!$C:$C,$A72)</f>
        <v>3</v>
      </c>
      <c r="D72" s="32" cm="1">
        <f t="array" aca="1" ref="D72" ca="1">INDEX(Data_DBD!$D:$D,$A72)</f>
        <v>21</v>
      </c>
      <c r="E72" s="32" cm="1">
        <f t="array" aca="1" ref="E72" ca="1">INDEX(Data_DBD!$E:$E,$A72)</f>
        <v>1</v>
      </c>
      <c r="F72" s="32" cm="1">
        <f t="array" aca="1" ref="F72" ca="1">INDEX(Data_DBD!$F:$F,$A72)</f>
        <v>3</v>
      </c>
      <c r="H72" s="32">
        <v>145</v>
      </c>
      <c r="I72" s="32">
        <v>28</v>
      </c>
      <c r="J72" s="32">
        <v>4</v>
      </c>
      <c r="K72" s="32">
        <v>21</v>
      </c>
      <c r="L72" s="32">
        <v>1</v>
      </c>
      <c r="M72" s="32">
        <v>3</v>
      </c>
    </row>
    <row r="73" spans="1:13">
      <c r="A73" s="32">
        <f t="shared" ca="1" si="1"/>
        <v>112</v>
      </c>
      <c r="B73" s="32" cm="1">
        <f t="array" aca="1" ref="B73" ca="1">INDEX(Data_DBD!$B:$B,$A73)</f>
        <v>61</v>
      </c>
      <c r="C73" s="32" cm="1">
        <f t="array" aca="1" ref="C73" ca="1">INDEX(Data_DBD!$C:$C,$A73)</f>
        <v>3</v>
      </c>
      <c r="D73" s="32" cm="1">
        <f t="array" aca="1" ref="D73" ca="1">INDEX(Data_DBD!$D:$D,$A73)</f>
        <v>33</v>
      </c>
      <c r="E73" s="32" cm="1">
        <f t="array" aca="1" ref="E73" ca="1">INDEX(Data_DBD!$E:$E,$A73)</f>
        <v>1</v>
      </c>
      <c r="F73" s="32" cm="1">
        <f t="array" aca="1" ref="F73" ca="1">INDEX(Data_DBD!$F:$F,$A73)</f>
        <v>3</v>
      </c>
      <c r="H73" s="32">
        <v>160</v>
      </c>
      <c r="I73" s="32">
        <v>16</v>
      </c>
      <c r="J73" s="32">
        <v>3</v>
      </c>
      <c r="K73" s="32">
        <v>21</v>
      </c>
      <c r="L73" s="32">
        <v>0</v>
      </c>
      <c r="M73" s="32">
        <v>3</v>
      </c>
    </row>
    <row r="74" spans="1:13">
      <c r="A74" s="32">
        <f t="shared" ca="1" si="1"/>
        <v>144</v>
      </c>
      <c r="B74" s="32" cm="1">
        <f t="array" aca="1" ref="B74" ca="1">INDEX(Data_DBD!$B:$B,$A74)</f>
        <v>61</v>
      </c>
      <c r="C74" s="32" cm="1">
        <f t="array" aca="1" ref="C74" ca="1">INDEX(Data_DBD!$C:$C,$A74)</f>
        <v>4</v>
      </c>
      <c r="D74" s="32" cm="1">
        <f t="array" aca="1" ref="D74" ca="1">INDEX(Data_DBD!$D:$D,$A74)</f>
        <v>21</v>
      </c>
      <c r="E74" s="32" cm="1">
        <f t="array" aca="1" ref="E74" ca="1">INDEX(Data_DBD!$E:$E,$A74)</f>
        <v>1</v>
      </c>
      <c r="F74" s="32" cm="1">
        <f t="array" aca="1" ref="F74" ca="1">INDEX(Data_DBD!$F:$F,$A74)</f>
        <v>3</v>
      </c>
      <c r="H74" s="32">
        <v>12</v>
      </c>
      <c r="I74" s="32">
        <v>23</v>
      </c>
      <c r="J74" s="32">
        <v>3</v>
      </c>
      <c r="K74" s="32">
        <v>12</v>
      </c>
      <c r="L74" s="32">
        <v>0</v>
      </c>
      <c r="M74" s="32">
        <v>2</v>
      </c>
    </row>
    <row r="75" spans="1:13">
      <c r="A75" s="32">
        <f t="shared" ca="1" si="1"/>
        <v>28</v>
      </c>
      <c r="B75" s="32" cm="1">
        <f t="array" aca="1" ref="B75" ca="1">INDEX(Data_DBD!$B:$B,$A75)</f>
        <v>22</v>
      </c>
      <c r="C75" s="32" cm="1">
        <f t="array" aca="1" ref="C75" ca="1">INDEX(Data_DBD!$C:$C,$A75)</f>
        <v>2</v>
      </c>
      <c r="D75" s="32" cm="1">
        <f t="array" aca="1" ref="D75" ca="1">INDEX(Data_DBD!$D:$D,$A75)</f>
        <v>14</v>
      </c>
      <c r="E75" s="32" cm="1">
        <f t="array" aca="1" ref="E75" ca="1">INDEX(Data_DBD!$E:$E,$A75)</f>
        <v>1</v>
      </c>
      <c r="F75" s="32" cm="1">
        <f t="array" aca="1" ref="F75" ca="1">INDEX(Data_DBD!$F:$F,$A75)</f>
        <v>2</v>
      </c>
      <c r="H75" s="32">
        <v>71</v>
      </c>
      <c r="I75" s="32">
        <v>84</v>
      </c>
      <c r="J75" s="32">
        <v>3</v>
      </c>
      <c r="K75" s="32">
        <v>10</v>
      </c>
      <c r="L75" s="32">
        <v>0</v>
      </c>
      <c r="M75" s="32">
        <v>2</v>
      </c>
    </row>
    <row r="76" spans="1:13">
      <c r="A76" s="32">
        <f t="shared" ca="1" si="1"/>
        <v>145</v>
      </c>
      <c r="B76" s="32" cm="1">
        <f t="array" aca="1" ref="B76" ca="1">INDEX(Data_DBD!$B:$B,$A76)</f>
        <v>28</v>
      </c>
      <c r="C76" s="32" cm="1">
        <f t="array" aca="1" ref="C76" ca="1">INDEX(Data_DBD!$C:$C,$A76)</f>
        <v>4</v>
      </c>
      <c r="D76" s="32" cm="1">
        <f t="array" aca="1" ref="D76" ca="1">INDEX(Data_DBD!$D:$D,$A76)</f>
        <v>21</v>
      </c>
      <c r="E76" s="32" cm="1">
        <f t="array" aca="1" ref="E76" ca="1">INDEX(Data_DBD!$E:$E,$A76)</f>
        <v>1</v>
      </c>
      <c r="F76" s="32" cm="1">
        <f t="array" aca="1" ref="F76" ca="1">INDEX(Data_DBD!$F:$F,$A76)</f>
        <v>3</v>
      </c>
      <c r="H76" s="32">
        <v>116</v>
      </c>
      <c r="I76" s="32">
        <v>32</v>
      </c>
      <c r="J76" s="32">
        <v>4</v>
      </c>
      <c r="K76" s="32">
        <v>33</v>
      </c>
      <c r="L76" s="32">
        <v>1</v>
      </c>
      <c r="M76" s="32">
        <v>3</v>
      </c>
    </row>
    <row r="77" spans="1:13">
      <c r="A77" s="32">
        <f t="shared" ca="1" si="1"/>
        <v>2</v>
      </c>
      <c r="B77" s="32" cm="1">
        <f t="array" aca="1" ref="B77" ca="1">INDEX(Data_DBD!$B:$B,$A77)</f>
        <v>34</v>
      </c>
      <c r="C77" s="32" cm="1">
        <f t="array" aca="1" ref="C77" ca="1">INDEX(Data_DBD!$C:$C,$A77)</f>
        <v>3</v>
      </c>
      <c r="D77" s="32" cm="1">
        <f t="array" aca="1" ref="D77" ca="1">INDEX(Data_DBD!$D:$D,$A77)</f>
        <v>12</v>
      </c>
      <c r="E77" s="32" cm="1">
        <f t="array" aca="1" ref="E77" ca="1">INDEX(Data_DBD!$E:$E,$A77)</f>
        <v>0</v>
      </c>
      <c r="F77" s="32" cm="1">
        <f t="array" aca="1" ref="F77" ca="1">INDEX(Data_DBD!$F:$F,$A77)</f>
        <v>2</v>
      </c>
      <c r="H77" s="32">
        <v>76</v>
      </c>
      <c r="I77" s="32">
        <v>70</v>
      </c>
      <c r="J77" s="32">
        <v>2</v>
      </c>
      <c r="K77" s="32">
        <v>10</v>
      </c>
      <c r="L77" s="32">
        <v>0</v>
      </c>
      <c r="M77" s="32">
        <v>2</v>
      </c>
    </row>
    <row r="78" spans="1:13">
      <c r="A78" s="32">
        <f t="shared" ca="1" si="1"/>
        <v>141</v>
      </c>
      <c r="B78" s="32" cm="1">
        <f t="array" aca="1" ref="B78" ca="1">INDEX(Data_DBD!$B:$B,$A78)</f>
        <v>36</v>
      </c>
      <c r="C78" s="32" cm="1">
        <f t="array" aca="1" ref="C78" ca="1">INDEX(Data_DBD!$C:$C,$A78)</f>
        <v>2</v>
      </c>
      <c r="D78" s="32" cm="1">
        <f t="array" aca="1" ref="D78" ca="1">INDEX(Data_DBD!$D:$D,$A78)</f>
        <v>21</v>
      </c>
      <c r="E78" s="32" cm="1">
        <f t="array" aca="1" ref="E78" ca="1">INDEX(Data_DBD!$E:$E,$A78)</f>
        <v>0</v>
      </c>
      <c r="F78" s="32" cm="1">
        <f t="array" aca="1" ref="F78" ca="1">INDEX(Data_DBD!$F:$F,$A78)</f>
        <v>3</v>
      </c>
      <c r="H78" s="32">
        <v>22</v>
      </c>
      <c r="I78" s="32">
        <v>6</v>
      </c>
      <c r="J78" s="32">
        <v>3</v>
      </c>
      <c r="K78" s="32">
        <v>14</v>
      </c>
      <c r="L78" s="32">
        <v>0</v>
      </c>
      <c r="M78" s="32">
        <v>2</v>
      </c>
    </row>
    <row r="79" spans="1:13">
      <c r="A79" s="32">
        <f t="shared" ca="1" si="1"/>
        <v>3</v>
      </c>
      <c r="B79" s="32" cm="1">
        <f t="array" aca="1" ref="B79" ca="1">INDEX(Data_DBD!$B:$B,$A79)</f>
        <v>43</v>
      </c>
      <c r="C79" s="32" cm="1">
        <f t="array" aca="1" ref="C79" ca="1">INDEX(Data_DBD!$C:$C,$A79)</f>
        <v>3</v>
      </c>
      <c r="D79" s="32" cm="1">
        <f t="array" aca="1" ref="D79" ca="1">INDEX(Data_DBD!$D:$D,$A79)</f>
        <v>12</v>
      </c>
      <c r="E79" s="32" cm="1">
        <f t="array" aca="1" ref="E79" ca="1">INDEX(Data_DBD!$E:$E,$A79)</f>
        <v>1</v>
      </c>
      <c r="F79" s="32" cm="1">
        <f t="array" aca="1" ref="F79" ca="1">INDEX(Data_DBD!$F:$F,$A79)</f>
        <v>2</v>
      </c>
      <c r="H79" s="32">
        <v>17</v>
      </c>
      <c r="I79" s="32">
        <v>2</v>
      </c>
      <c r="J79" s="32">
        <v>3</v>
      </c>
      <c r="K79" s="32">
        <v>7</v>
      </c>
      <c r="L79" s="32">
        <v>0</v>
      </c>
      <c r="M79" s="32">
        <v>1</v>
      </c>
    </row>
    <row r="80" spans="1:13">
      <c r="A80" s="32">
        <f t="shared" ca="1" si="1"/>
        <v>160</v>
      </c>
      <c r="B80" s="32" cm="1">
        <f t="array" aca="1" ref="B80" ca="1">INDEX(Data_DBD!$B:$B,$A80)</f>
        <v>16</v>
      </c>
      <c r="C80" s="32" cm="1">
        <f t="array" aca="1" ref="C80" ca="1">INDEX(Data_DBD!$C:$C,$A80)</f>
        <v>3</v>
      </c>
      <c r="D80" s="32" cm="1">
        <f t="array" aca="1" ref="D80" ca="1">INDEX(Data_DBD!$D:$D,$A80)</f>
        <v>21</v>
      </c>
      <c r="E80" s="32" cm="1">
        <f t="array" aca="1" ref="E80" ca="1">INDEX(Data_DBD!$E:$E,$A80)</f>
        <v>0</v>
      </c>
      <c r="F80" s="32" cm="1">
        <f t="array" aca="1" ref="F80" ca="1">INDEX(Data_DBD!$F:$F,$A80)</f>
        <v>3</v>
      </c>
      <c r="H80" s="32">
        <v>20</v>
      </c>
      <c r="I80" s="32">
        <v>15</v>
      </c>
      <c r="J80" s="32">
        <v>5</v>
      </c>
      <c r="K80" s="32">
        <v>7</v>
      </c>
      <c r="L80" s="32">
        <v>0</v>
      </c>
      <c r="M80" s="32">
        <v>1</v>
      </c>
    </row>
    <row r="81" spans="1:13">
      <c r="A81" s="32">
        <f t="shared" ca="1" si="1"/>
        <v>142</v>
      </c>
      <c r="B81" s="32" cm="1">
        <f t="array" aca="1" ref="B81" ca="1">INDEX(Data_DBD!$B:$B,$A81)</f>
        <v>39</v>
      </c>
      <c r="C81" s="32" cm="1">
        <f t="array" aca="1" ref="C81" ca="1">INDEX(Data_DBD!$C:$C,$A81)</f>
        <v>2</v>
      </c>
      <c r="D81" s="32" cm="1">
        <f t="array" aca="1" ref="D81" ca="1">INDEX(Data_DBD!$D:$D,$A81)</f>
        <v>21</v>
      </c>
      <c r="E81" s="32" cm="1">
        <f t="array" aca="1" ref="E81" ca="1">INDEX(Data_DBD!$E:$E,$A81)</f>
        <v>1</v>
      </c>
      <c r="F81" s="32" cm="1">
        <f t="array" aca="1" ref="F81" ca="1">INDEX(Data_DBD!$F:$F,$A81)</f>
        <v>3</v>
      </c>
      <c r="H81" s="32">
        <v>19</v>
      </c>
      <c r="I81" s="32">
        <v>8</v>
      </c>
      <c r="J81" s="32">
        <v>4</v>
      </c>
      <c r="K81" s="32">
        <v>7</v>
      </c>
      <c r="L81" s="32">
        <v>0</v>
      </c>
      <c r="M81" s="32">
        <v>1</v>
      </c>
    </row>
    <row r="82" spans="1:13">
      <c r="A82" s="32">
        <f t="shared" ca="1" si="1"/>
        <v>101</v>
      </c>
      <c r="B82" s="32" cm="1">
        <f t="array" aca="1" ref="B82" ca="1">INDEX(Data_DBD!$B:$B,$A82)</f>
        <v>42</v>
      </c>
      <c r="C82" s="32" cm="1">
        <f t="array" aca="1" ref="C82" ca="1">INDEX(Data_DBD!$C:$C,$A82)</f>
        <v>5</v>
      </c>
      <c r="D82" s="32" cm="1">
        <f t="array" aca="1" ref="D82" ca="1">INDEX(Data_DBD!$D:$D,$A82)</f>
        <v>18</v>
      </c>
      <c r="E82" s="32" cm="1">
        <f t="array" aca="1" ref="E82" ca="1">INDEX(Data_DBD!$E:$E,$A82)</f>
        <v>0</v>
      </c>
      <c r="F82" s="32" cm="1">
        <f t="array" aca="1" ref="F82" ca="1">INDEX(Data_DBD!$F:$F,$A82)</f>
        <v>3</v>
      </c>
      <c r="H82" s="32">
        <v>26</v>
      </c>
      <c r="I82" s="32">
        <v>75</v>
      </c>
      <c r="J82" s="32">
        <v>4</v>
      </c>
      <c r="K82" s="32">
        <v>14</v>
      </c>
      <c r="L82" s="32">
        <v>1</v>
      </c>
      <c r="M82" s="32">
        <v>2</v>
      </c>
    </row>
    <row r="83" spans="1:13">
      <c r="A83" s="32">
        <f t="shared" ca="1" si="1"/>
        <v>98</v>
      </c>
      <c r="B83" s="32" cm="1">
        <f t="array" aca="1" ref="B83" ca="1">INDEX(Data_DBD!$B:$B,$A83)</f>
        <v>16</v>
      </c>
      <c r="C83" s="32" cm="1">
        <f t="array" aca="1" ref="C83" ca="1">INDEX(Data_DBD!$C:$C,$A83)</f>
        <v>2</v>
      </c>
      <c r="D83" s="32" cm="1">
        <f t="array" aca="1" ref="D83" ca="1">INDEX(Data_DBD!$D:$D,$A83)</f>
        <v>18</v>
      </c>
      <c r="E83" s="32" cm="1">
        <f t="array" aca="1" ref="E83" ca="1">INDEX(Data_DBD!$E:$E,$A83)</f>
        <v>1</v>
      </c>
      <c r="F83" s="32" cm="1">
        <f t="array" aca="1" ref="F83" ca="1">INDEX(Data_DBD!$F:$F,$A83)</f>
        <v>3</v>
      </c>
      <c r="H83" s="32">
        <v>113</v>
      </c>
      <c r="I83" s="32">
        <v>69</v>
      </c>
      <c r="J83" s="32">
        <v>1</v>
      </c>
      <c r="K83" s="32">
        <v>33</v>
      </c>
      <c r="L83" s="32">
        <v>1</v>
      </c>
      <c r="M83" s="32">
        <v>3</v>
      </c>
    </row>
    <row r="84" spans="1:13">
      <c r="A84" s="32">
        <f t="shared" ca="1" si="1"/>
        <v>89</v>
      </c>
      <c r="B84" s="32" cm="1">
        <f t="array" aca="1" ref="B84" ca="1">INDEX(Data_DBD!$B:$B,$A84)</f>
        <v>32</v>
      </c>
      <c r="C84" s="32" cm="1">
        <f t="array" aca="1" ref="C84" ca="1">INDEX(Data_DBD!$C:$C,$A84)</f>
        <v>4</v>
      </c>
      <c r="D84" s="32" cm="1">
        <f t="array" aca="1" ref="D84" ca="1">INDEX(Data_DBD!$D:$D,$A84)</f>
        <v>13</v>
      </c>
      <c r="E84" s="32" cm="1">
        <f t="array" aca="1" ref="E84" ca="1">INDEX(Data_DBD!$E:$E,$A84)</f>
        <v>0</v>
      </c>
      <c r="F84" s="32" cm="1">
        <f t="array" aca="1" ref="F84" ca="1">INDEX(Data_DBD!$F:$F,$A84)</f>
        <v>2</v>
      </c>
      <c r="H84" s="32">
        <v>76</v>
      </c>
      <c r="I84" s="32">
        <v>70</v>
      </c>
      <c r="J84" s="32">
        <v>2</v>
      </c>
      <c r="K84" s="32">
        <v>10</v>
      </c>
      <c r="L84" s="32">
        <v>0</v>
      </c>
      <c r="M84" s="32">
        <v>2</v>
      </c>
    </row>
    <row r="85" spans="1:13">
      <c r="A85" s="32">
        <f t="shared" ca="1" si="1"/>
        <v>148</v>
      </c>
      <c r="B85" s="32" cm="1">
        <f t="array" aca="1" ref="B85" ca="1">INDEX(Data_DBD!$B:$B,$A85)</f>
        <v>55</v>
      </c>
      <c r="C85" s="32" cm="1">
        <f t="array" aca="1" ref="C85" ca="1">INDEX(Data_DBD!$C:$C,$A85)</f>
        <v>3</v>
      </c>
      <c r="D85" s="32" cm="1">
        <f t="array" aca="1" ref="D85" ca="1">INDEX(Data_DBD!$D:$D,$A85)</f>
        <v>21</v>
      </c>
      <c r="E85" s="32" cm="1">
        <f t="array" aca="1" ref="E85" ca="1">INDEX(Data_DBD!$E:$E,$A85)</f>
        <v>1</v>
      </c>
      <c r="F85" s="32" cm="1">
        <f t="array" aca="1" ref="F85" ca="1">INDEX(Data_DBD!$F:$F,$A85)</f>
        <v>3</v>
      </c>
      <c r="H85" s="32">
        <v>8</v>
      </c>
      <c r="I85" s="32">
        <v>4</v>
      </c>
      <c r="J85" s="32">
        <v>2</v>
      </c>
      <c r="K85" s="32">
        <v>12</v>
      </c>
      <c r="L85" s="32">
        <v>0</v>
      </c>
      <c r="M85" s="32">
        <v>2</v>
      </c>
    </row>
    <row r="86" spans="1:13">
      <c r="A86" s="32">
        <f t="shared" ca="1" si="1"/>
        <v>115</v>
      </c>
      <c r="B86" s="32" cm="1">
        <f t="array" aca="1" ref="B86" ca="1">INDEX(Data_DBD!$B:$B,$A86)</f>
        <v>52</v>
      </c>
      <c r="C86" s="32" cm="1">
        <f t="array" aca="1" ref="C86" ca="1">INDEX(Data_DBD!$C:$C,$A86)</f>
        <v>3</v>
      </c>
      <c r="D86" s="32" cm="1">
        <f t="array" aca="1" ref="D86" ca="1">INDEX(Data_DBD!$D:$D,$A86)</f>
        <v>33</v>
      </c>
      <c r="E86" s="32" cm="1">
        <f t="array" aca="1" ref="E86" ca="1">INDEX(Data_DBD!$E:$E,$A86)</f>
        <v>1</v>
      </c>
      <c r="F86" s="32" cm="1">
        <f t="array" aca="1" ref="F86" ca="1">INDEX(Data_DBD!$F:$F,$A86)</f>
        <v>3</v>
      </c>
      <c r="H86" s="32">
        <v>164</v>
      </c>
      <c r="I86" s="32">
        <v>10</v>
      </c>
      <c r="J86" s="32">
        <v>6</v>
      </c>
      <c r="K86" s="32">
        <v>3</v>
      </c>
      <c r="L86" s="32">
        <v>0</v>
      </c>
      <c r="M86" s="32">
        <v>1</v>
      </c>
    </row>
    <row r="87" spans="1:13">
      <c r="A87" s="32">
        <f t="shared" ca="1" si="1"/>
        <v>115</v>
      </c>
      <c r="B87" s="32" cm="1">
        <f t="array" aca="1" ref="B87" ca="1">INDEX(Data_DBD!$B:$B,$A87)</f>
        <v>52</v>
      </c>
      <c r="C87" s="32" cm="1">
        <f t="array" aca="1" ref="C87" ca="1">INDEX(Data_DBD!$C:$C,$A87)</f>
        <v>3</v>
      </c>
      <c r="D87" s="32" cm="1">
        <f t="array" aca="1" ref="D87" ca="1">INDEX(Data_DBD!$D:$D,$A87)</f>
        <v>33</v>
      </c>
      <c r="E87" s="32" cm="1">
        <f t="array" aca="1" ref="E87" ca="1">INDEX(Data_DBD!$E:$E,$A87)</f>
        <v>1</v>
      </c>
      <c r="F87" s="32" cm="1">
        <f t="array" aca="1" ref="F87" ca="1">INDEX(Data_DBD!$F:$F,$A87)</f>
        <v>3</v>
      </c>
      <c r="H87" s="32">
        <v>143</v>
      </c>
      <c r="I87" s="32">
        <v>20</v>
      </c>
      <c r="J87" s="32">
        <v>4</v>
      </c>
      <c r="K87" s="32">
        <v>21</v>
      </c>
      <c r="L87" s="32">
        <v>1</v>
      </c>
      <c r="M87" s="32">
        <v>3</v>
      </c>
    </row>
    <row r="88" spans="1:13">
      <c r="A88" s="32">
        <f t="shared" ca="1" si="1"/>
        <v>3</v>
      </c>
      <c r="B88" s="32" cm="1">
        <f t="array" aca="1" ref="B88" ca="1">INDEX(Data_DBD!$B:$B,$A88)</f>
        <v>43</v>
      </c>
      <c r="C88" s="32" cm="1">
        <f t="array" aca="1" ref="C88" ca="1">INDEX(Data_DBD!$C:$C,$A88)</f>
        <v>3</v>
      </c>
      <c r="D88" s="32" cm="1">
        <f t="array" aca="1" ref="D88" ca="1">INDEX(Data_DBD!$D:$D,$A88)</f>
        <v>12</v>
      </c>
      <c r="E88" s="32" cm="1">
        <f t="array" aca="1" ref="E88" ca="1">INDEX(Data_DBD!$E:$E,$A88)</f>
        <v>1</v>
      </c>
      <c r="F88" s="32" cm="1">
        <f t="array" aca="1" ref="F88" ca="1">INDEX(Data_DBD!$F:$F,$A88)</f>
        <v>2</v>
      </c>
      <c r="H88" s="32">
        <v>53</v>
      </c>
      <c r="I88" s="32">
        <v>35</v>
      </c>
      <c r="J88" s="32">
        <v>4</v>
      </c>
      <c r="K88" s="32">
        <v>15</v>
      </c>
      <c r="L88" s="32">
        <v>1</v>
      </c>
      <c r="M88" s="32">
        <v>2</v>
      </c>
    </row>
    <row r="89" spans="1:13">
      <c r="A89" s="32">
        <f t="shared" ca="1" si="1"/>
        <v>133</v>
      </c>
      <c r="B89" s="32" cm="1">
        <f t="array" aca="1" ref="B89" ca="1">INDEX(Data_DBD!$B:$B,$A89)</f>
        <v>6</v>
      </c>
      <c r="C89" s="32" cm="1">
        <f t="array" aca="1" ref="C89" ca="1">INDEX(Data_DBD!$C:$C,$A89)</f>
        <v>4</v>
      </c>
      <c r="D89" s="32" cm="1">
        <f t="array" aca="1" ref="D89" ca="1">INDEX(Data_DBD!$D:$D,$A89)</f>
        <v>33</v>
      </c>
      <c r="E89" s="32" cm="1">
        <f t="array" aca="1" ref="E89" ca="1">INDEX(Data_DBD!$E:$E,$A89)</f>
        <v>0</v>
      </c>
      <c r="F89" s="32" cm="1">
        <f t="array" aca="1" ref="F89" ca="1">INDEX(Data_DBD!$F:$F,$A89)</f>
        <v>3</v>
      </c>
      <c r="H89" s="32">
        <v>114</v>
      </c>
      <c r="I89" s="32">
        <v>14</v>
      </c>
      <c r="J89" s="32">
        <v>2</v>
      </c>
      <c r="K89" s="32">
        <v>33</v>
      </c>
      <c r="L89" s="32">
        <v>1</v>
      </c>
      <c r="M89" s="32">
        <v>3</v>
      </c>
    </row>
    <row r="90" spans="1:13">
      <c r="A90" s="32">
        <f t="shared" ca="1" si="1"/>
        <v>83</v>
      </c>
      <c r="B90" s="32" cm="1">
        <f t="array" aca="1" ref="B90" ca="1">INDEX(Data_DBD!$B:$B,$A90)</f>
        <v>50</v>
      </c>
      <c r="C90" s="32" cm="1">
        <f t="array" aca="1" ref="C90" ca="1">INDEX(Data_DBD!$C:$C,$A90)</f>
        <v>3</v>
      </c>
      <c r="D90" s="32" cm="1">
        <f t="array" aca="1" ref="D90" ca="1">INDEX(Data_DBD!$D:$D,$A90)</f>
        <v>13</v>
      </c>
      <c r="E90" s="32" cm="1">
        <f t="array" aca="1" ref="E90" ca="1">INDEX(Data_DBD!$E:$E,$A90)</f>
        <v>0</v>
      </c>
      <c r="F90" s="32" cm="1">
        <f t="array" aca="1" ref="F90" ca="1">INDEX(Data_DBD!$F:$F,$A90)</f>
        <v>2</v>
      </c>
      <c r="H90" s="32">
        <v>52</v>
      </c>
      <c r="I90" s="32">
        <v>59</v>
      </c>
      <c r="J90" s="32">
        <v>4</v>
      </c>
      <c r="K90" s="32">
        <v>15</v>
      </c>
      <c r="L90" s="32">
        <v>1</v>
      </c>
      <c r="M90" s="32">
        <v>2</v>
      </c>
    </row>
    <row r="91" spans="1:13">
      <c r="A91" s="32">
        <f t="shared" ca="1" si="1"/>
        <v>90</v>
      </c>
      <c r="B91" s="32" cm="1">
        <f t="array" aca="1" ref="B91" ca="1">INDEX(Data_DBD!$B:$B,$A91)</f>
        <v>47</v>
      </c>
      <c r="C91" s="32" cm="1">
        <f t="array" aca="1" ref="C91" ca="1">INDEX(Data_DBD!$C:$C,$A91)</f>
        <v>3</v>
      </c>
      <c r="D91" s="32" cm="1">
        <f t="array" aca="1" ref="D91" ca="1">INDEX(Data_DBD!$D:$D,$A91)</f>
        <v>18</v>
      </c>
      <c r="E91" s="32" cm="1">
        <f t="array" aca="1" ref="E91" ca="1">INDEX(Data_DBD!$E:$E,$A91)</f>
        <v>0</v>
      </c>
      <c r="F91" s="32" cm="1">
        <f t="array" aca="1" ref="F91" ca="1">INDEX(Data_DBD!$F:$F,$A91)</f>
        <v>3</v>
      </c>
      <c r="H91" s="32">
        <v>136</v>
      </c>
      <c r="I91" s="32">
        <v>6</v>
      </c>
      <c r="J91" s="32">
        <v>2</v>
      </c>
      <c r="K91" s="32">
        <v>33</v>
      </c>
      <c r="L91" s="32">
        <v>0</v>
      </c>
      <c r="M91" s="32">
        <v>3</v>
      </c>
    </row>
    <row r="92" spans="1:13">
      <c r="A92" s="32">
        <f t="shared" ca="1" si="1"/>
        <v>76</v>
      </c>
      <c r="B92" s="32" cm="1">
        <f t="array" aca="1" ref="B92" ca="1">INDEX(Data_DBD!$B:$B,$A92)</f>
        <v>70</v>
      </c>
      <c r="C92" s="32" cm="1">
        <f t="array" aca="1" ref="C92" ca="1">INDEX(Data_DBD!$C:$C,$A92)</f>
        <v>2</v>
      </c>
      <c r="D92" s="32" cm="1">
        <f t="array" aca="1" ref="D92" ca="1">INDEX(Data_DBD!$D:$D,$A92)</f>
        <v>10</v>
      </c>
      <c r="E92" s="32" cm="1">
        <f t="array" aca="1" ref="E92" ca="1">INDEX(Data_DBD!$E:$E,$A92)</f>
        <v>0</v>
      </c>
      <c r="F92" s="32" cm="1">
        <f t="array" aca="1" ref="F92" ca="1">INDEX(Data_DBD!$F:$F,$A92)</f>
        <v>2</v>
      </c>
      <c r="H92" s="32">
        <v>143</v>
      </c>
      <c r="I92" s="32">
        <v>20</v>
      </c>
      <c r="J92" s="32">
        <v>4</v>
      </c>
      <c r="K92" s="32">
        <v>21</v>
      </c>
      <c r="L92" s="32">
        <v>1</v>
      </c>
      <c r="M92" s="32">
        <v>3</v>
      </c>
    </row>
    <row r="93" spans="1:13">
      <c r="A93" s="32">
        <f t="shared" ca="1" si="1"/>
        <v>113</v>
      </c>
      <c r="B93" s="32" cm="1">
        <f t="array" aca="1" ref="B93" ca="1">INDEX(Data_DBD!$B:$B,$A93)</f>
        <v>69</v>
      </c>
      <c r="C93" s="32" cm="1">
        <f t="array" aca="1" ref="C93" ca="1">INDEX(Data_DBD!$C:$C,$A93)</f>
        <v>1</v>
      </c>
      <c r="D93" s="32" cm="1">
        <f t="array" aca="1" ref="D93" ca="1">INDEX(Data_DBD!$D:$D,$A93)</f>
        <v>33</v>
      </c>
      <c r="E93" s="32" cm="1">
        <f t="array" aca="1" ref="E93" ca="1">INDEX(Data_DBD!$E:$E,$A93)</f>
        <v>1</v>
      </c>
      <c r="F93" s="32" cm="1">
        <f t="array" aca="1" ref="F93" ca="1">INDEX(Data_DBD!$F:$F,$A93)</f>
        <v>3</v>
      </c>
      <c r="H93" s="32">
        <v>10</v>
      </c>
      <c r="I93" s="32">
        <v>18</v>
      </c>
      <c r="J93" s="32">
        <v>5</v>
      </c>
      <c r="K93" s="32">
        <v>12</v>
      </c>
      <c r="L93" s="32">
        <v>0</v>
      </c>
      <c r="M93" s="32">
        <v>2</v>
      </c>
    </row>
    <row r="94" spans="1:13">
      <c r="A94" s="32">
        <f t="shared" ca="1" si="1"/>
        <v>63</v>
      </c>
      <c r="B94" s="32" cm="1">
        <f t="array" aca="1" ref="B94" ca="1">INDEX(Data_DBD!$B:$B,$A94)</f>
        <v>25</v>
      </c>
      <c r="C94" s="32" cm="1">
        <f t="array" aca="1" ref="C94" ca="1">INDEX(Data_DBD!$C:$C,$A94)</f>
        <v>3</v>
      </c>
      <c r="D94" s="32" cm="1">
        <f t="array" aca="1" ref="D94" ca="1">INDEX(Data_DBD!$D:$D,$A94)</f>
        <v>15</v>
      </c>
      <c r="E94" s="32" cm="1">
        <f t="array" aca="1" ref="E94" ca="1">INDEX(Data_DBD!$E:$E,$A94)</f>
        <v>0</v>
      </c>
      <c r="F94" s="32" cm="1">
        <f t="array" aca="1" ref="F94" ca="1">INDEX(Data_DBD!$F:$F,$A94)</f>
        <v>2</v>
      </c>
      <c r="H94" s="32">
        <v>147</v>
      </c>
      <c r="I94" s="32">
        <v>66</v>
      </c>
      <c r="J94" s="32">
        <v>10</v>
      </c>
      <c r="K94" s="32">
        <v>21</v>
      </c>
      <c r="L94" s="32">
        <v>1</v>
      </c>
      <c r="M94" s="32">
        <v>3</v>
      </c>
    </row>
    <row r="95" spans="1:13">
      <c r="A95" s="32">
        <f t="shared" ca="1" si="1"/>
        <v>136</v>
      </c>
      <c r="B95" s="32" cm="1">
        <f t="array" aca="1" ref="B95" ca="1">INDEX(Data_DBD!$B:$B,$A95)</f>
        <v>6</v>
      </c>
      <c r="C95" s="32" cm="1">
        <f t="array" aca="1" ref="C95" ca="1">INDEX(Data_DBD!$C:$C,$A95)</f>
        <v>2</v>
      </c>
      <c r="D95" s="32" cm="1">
        <f t="array" aca="1" ref="D95" ca="1">INDEX(Data_DBD!$D:$D,$A95)</f>
        <v>33</v>
      </c>
      <c r="E95" s="32" cm="1">
        <f t="array" aca="1" ref="E95" ca="1">INDEX(Data_DBD!$E:$E,$A95)</f>
        <v>0</v>
      </c>
      <c r="F95" s="32" cm="1">
        <f t="array" aca="1" ref="F95" ca="1">INDEX(Data_DBD!$F:$F,$A95)</f>
        <v>3</v>
      </c>
      <c r="H95" s="32">
        <v>115</v>
      </c>
      <c r="I95" s="32">
        <v>52</v>
      </c>
      <c r="J95" s="32">
        <v>3</v>
      </c>
      <c r="K95" s="32">
        <v>33</v>
      </c>
      <c r="L95" s="32">
        <v>1</v>
      </c>
      <c r="M95" s="32">
        <v>3</v>
      </c>
    </row>
    <row r="96" spans="1:13">
      <c r="A96" s="32">
        <f t="shared" ca="1" si="1"/>
        <v>9</v>
      </c>
      <c r="B96" s="32" cm="1">
        <f t="array" aca="1" ref="B96" ca="1">INDEX(Data_DBD!$B:$B,$A96)</f>
        <v>16</v>
      </c>
      <c r="C96" s="32" cm="1">
        <f t="array" aca="1" ref="C96" ca="1">INDEX(Data_DBD!$C:$C,$A96)</f>
        <v>6</v>
      </c>
      <c r="D96" s="32" cm="1">
        <f t="array" aca="1" ref="D96" ca="1">INDEX(Data_DBD!$D:$D,$A96)</f>
        <v>12</v>
      </c>
      <c r="E96" s="32" cm="1">
        <f t="array" aca="1" ref="E96" ca="1">INDEX(Data_DBD!$E:$E,$A96)</f>
        <v>1</v>
      </c>
      <c r="F96" s="32" cm="1">
        <f t="array" aca="1" ref="F96" ca="1">INDEX(Data_DBD!$F:$F,$A96)</f>
        <v>2</v>
      </c>
      <c r="H96" s="32">
        <v>121</v>
      </c>
      <c r="I96" s="32">
        <v>82</v>
      </c>
      <c r="J96" s="32">
        <v>5</v>
      </c>
      <c r="K96" s="32">
        <v>33</v>
      </c>
      <c r="L96" s="32">
        <v>1</v>
      </c>
      <c r="M96" s="32">
        <v>3</v>
      </c>
    </row>
    <row r="97" spans="1:13">
      <c r="A97" s="32">
        <f t="shared" ca="1" si="1"/>
        <v>87</v>
      </c>
      <c r="B97" s="32" cm="1">
        <f t="array" aca="1" ref="B97" ca="1">INDEX(Data_DBD!$B:$B,$A97)</f>
        <v>21</v>
      </c>
      <c r="C97" s="32" cm="1">
        <f t="array" aca="1" ref="C97" ca="1">INDEX(Data_DBD!$C:$C,$A97)</f>
        <v>3</v>
      </c>
      <c r="D97" s="32" cm="1">
        <f t="array" aca="1" ref="D97" ca="1">INDEX(Data_DBD!$D:$D,$A97)</f>
        <v>13</v>
      </c>
      <c r="E97" s="32" cm="1">
        <f t="array" aca="1" ref="E97" ca="1">INDEX(Data_DBD!$E:$E,$A97)</f>
        <v>0</v>
      </c>
      <c r="F97" s="32" cm="1">
        <f t="array" aca="1" ref="F97" ca="1">INDEX(Data_DBD!$F:$F,$A97)</f>
        <v>2</v>
      </c>
      <c r="H97" s="32">
        <v>132</v>
      </c>
      <c r="I97" s="32">
        <v>10</v>
      </c>
      <c r="J97" s="32">
        <v>3</v>
      </c>
      <c r="K97" s="32">
        <v>33</v>
      </c>
      <c r="L97" s="32">
        <v>1</v>
      </c>
      <c r="M97" s="32">
        <v>3</v>
      </c>
    </row>
    <row r="98" spans="1:13">
      <c r="A98" s="32">
        <f t="shared" ca="1" si="1"/>
        <v>12</v>
      </c>
      <c r="B98" s="32" cm="1">
        <f t="array" aca="1" ref="B98" ca="1">INDEX(Data_DBD!$B:$B,$A98)</f>
        <v>23</v>
      </c>
      <c r="C98" s="32" cm="1">
        <f t="array" aca="1" ref="C98" ca="1">INDEX(Data_DBD!$C:$C,$A98)</f>
        <v>3</v>
      </c>
      <c r="D98" s="32" cm="1">
        <f t="array" aca="1" ref="D98" ca="1">INDEX(Data_DBD!$D:$D,$A98)</f>
        <v>12</v>
      </c>
      <c r="E98" s="32" cm="1">
        <f t="array" aca="1" ref="E98" ca="1">INDEX(Data_DBD!$E:$E,$A98)</f>
        <v>0</v>
      </c>
      <c r="F98" s="32" cm="1">
        <f t="array" aca="1" ref="F98" ca="1">INDEX(Data_DBD!$F:$F,$A98)</f>
        <v>2</v>
      </c>
      <c r="H98" s="32">
        <v>22</v>
      </c>
      <c r="I98" s="32">
        <v>6</v>
      </c>
      <c r="J98" s="32">
        <v>3</v>
      </c>
      <c r="K98" s="32">
        <v>14</v>
      </c>
      <c r="L98" s="32">
        <v>0</v>
      </c>
      <c r="M98" s="32">
        <v>2</v>
      </c>
    </row>
    <row r="99" spans="1:13">
      <c r="A99" s="32">
        <f t="shared" ca="1" si="1"/>
        <v>42</v>
      </c>
      <c r="B99" s="32" cm="1">
        <f t="array" aca="1" ref="B99" ca="1">INDEX(Data_DBD!$B:$B,$A99)</f>
        <v>21</v>
      </c>
      <c r="C99" s="32" cm="1">
        <f t="array" aca="1" ref="C99" ca="1">INDEX(Data_DBD!$C:$C,$A99)</f>
        <v>5</v>
      </c>
      <c r="D99" s="32" cm="1">
        <f t="array" aca="1" ref="D99" ca="1">INDEX(Data_DBD!$D:$D,$A99)</f>
        <v>13</v>
      </c>
      <c r="E99" s="32" cm="1">
        <f t="array" aca="1" ref="E99" ca="1">INDEX(Data_DBD!$E:$E,$A99)</f>
        <v>1</v>
      </c>
      <c r="F99" s="32" cm="1">
        <f t="array" aca="1" ref="F99" ca="1">INDEX(Data_DBD!$F:$F,$A99)</f>
        <v>2</v>
      </c>
      <c r="H99" s="32">
        <v>12</v>
      </c>
      <c r="I99" s="32">
        <v>23</v>
      </c>
      <c r="J99" s="32">
        <v>3</v>
      </c>
      <c r="K99" s="32">
        <v>12</v>
      </c>
      <c r="L99" s="32">
        <v>0</v>
      </c>
      <c r="M99" s="32">
        <v>2</v>
      </c>
    </row>
    <row r="100" spans="1:13">
      <c r="A100" s="32">
        <f t="shared" ca="1" si="1"/>
        <v>87</v>
      </c>
      <c r="B100" s="32" cm="1">
        <f t="array" aca="1" ref="B100" ca="1">INDEX(Data_DBD!$B:$B,$A100)</f>
        <v>21</v>
      </c>
      <c r="C100" s="32" cm="1">
        <f t="array" aca="1" ref="C100" ca="1">INDEX(Data_DBD!$C:$C,$A100)</f>
        <v>3</v>
      </c>
      <c r="D100" s="32" cm="1">
        <f t="array" aca="1" ref="D100" ca="1">INDEX(Data_DBD!$D:$D,$A100)</f>
        <v>13</v>
      </c>
      <c r="E100" s="32" cm="1">
        <f t="array" aca="1" ref="E100" ca="1">INDEX(Data_DBD!$E:$E,$A100)</f>
        <v>0</v>
      </c>
      <c r="F100" s="32" cm="1">
        <f t="array" aca="1" ref="F100" ca="1">INDEX(Data_DBD!$F:$F,$A100)</f>
        <v>2</v>
      </c>
      <c r="H100" s="32">
        <v>52</v>
      </c>
      <c r="I100" s="32">
        <v>59</v>
      </c>
      <c r="J100" s="32">
        <v>4</v>
      </c>
      <c r="K100" s="32">
        <v>15</v>
      </c>
      <c r="L100" s="32">
        <v>1</v>
      </c>
      <c r="M100" s="32">
        <v>2</v>
      </c>
    </row>
    <row r="101" spans="1:13">
      <c r="A101" s="32">
        <f t="shared" ca="1" si="1"/>
        <v>110</v>
      </c>
      <c r="B101" s="32" cm="1">
        <f t="array" aca="1" ref="B101" ca="1">INDEX(Data_DBD!$B:$B,$A101)</f>
        <v>42</v>
      </c>
      <c r="C101" s="32" cm="1">
        <f t="array" aca="1" ref="C101" ca="1">INDEX(Data_DBD!$C:$C,$A101)</f>
        <v>2</v>
      </c>
      <c r="D101" s="32" cm="1">
        <f t="array" aca="1" ref="D101" ca="1">INDEX(Data_DBD!$D:$D,$A101)</f>
        <v>33</v>
      </c>
      <c r="E101" s="32" cm="1">
        <f t="array" aca="1" ref="E101" ca="1">INDEX(Data_DBD!$E:$E,$A101)</f>
        <v>1</v>
      </c>
      <c r="F101" s="32" cm="1">
        <f t="array" aca="1" ref="F101" ca="1">INDEX(Data_DBD!$F:$F,$A101)</f>
        <v>3</v>
      </c>
      <c r="H101" s="32">
        <v>91</v>
      </c>
      <c r="I101" s="32">
        <v>35</v>
      </c>
      <c r="J101" s="32">
        <v>1</v>
      </c>
      <c r="K101" s="32">
        <v>18</v>
      </c>
      <c r="L101" s="32">
        <v>1</v>
      </c>
      <c r="M101" s="32">
        <v>3</v>
      </c>
    </row>
    <row r="102" spans="1:13">
      <c r="A102" s="32">
        <f t="shared" ca="1" si="1"/>
        <v>5</v>
      </c>
      <c r="B102" s="32" cm="1">
        <f t="array" aca="1" ref="B102" ca="1">INDEX(Data_DBD!$B:$B,$A102)</f>
        <v>18</v>
      </c>
      <c r="C102" s="32" cm="1">
        <f t="array" aca="1" ref="C102" ca="1">INDEX(Data_DBD!$C:$C,$A102)</f>
        <v>2</v>
      </c>
      <c r="D102" s="32" cm="1">
        <f t="array" aca="1" ref="D102" ca="1">INDEX(Data_DBD!$D:$D,$A102)</f>
        <v>12</v>
      </c>
      <c r="E102" s="32" cm="1">
        <f t="array" aca="1" ref="E102" ca="1">INDEX(Data_DBD!$E:$E,$A102)</f>
        <v>1</v>
      </c>
      <c r="F102" s="32" cm="1">
        <f t="array" aca="1" ref="F102" ca="1">INDEX(Data_DBD!$F:$F,$A102)</f>
        <v>2</v>
      </c>
      <c r="H102" s="32">
        <v>26</v>
      </c>
      <c r="I102" s="32">
        <v>75</v>
      </c>
      <c r="J102" s="32">
        <v>4</v>
      </c>
      <c r="K102" s="32">
        <v>14</v>
      </c>
      <c r="L102" s="32">
        <v>1</v>
      </c>
      <c r="M102" s="32">
        <v>2</v>
      </c>
    </row>
    <row r="103" spans="1:13">
      <c r="A103" s="32">
        <f t="shared" ca="1" si="1"/>
        <v>4</v>
      </c>
      <c r="B103" s="32" cm="1">
        <f t="array" aca="1" ref="B103" ca="1">INDEX(Data_DBD!$B:$B,$A103)</f>
        <v>23</v>
      </c>
      <c r="C103" s="32" cm="1">
        <f t="array" aca="1" ref="C103" ca="1">INDEX(Data_DBD!$C:$C,$A103)</f>
        <v>5</v>
      </c>
      <c r="D103" s="32" cm="1">
        <f t="array" aca="1" ref="D103" ca="1">INDEX(Data_DBD!$D:$D,$A103)</f>
        <v>12</v>
      </c>
      <c r="E103" s="32" cm="1">
        <f t="array" aca="1" ref="E103" ca="1">INDEX(Data_DBD!$E:$E,$A103)</f>
        <v>0</v>
      </c>
      <c r="F103" s="32" cm="1">
        <f t="array" aca="1" ref="F103" ca="1">INDEX(Data_DBD!$F:$F,$A103)</f>
        <v>2</v>
      </c>
      <c r="H103" s="32">
        <v>50</v>
      </c>
      <c r="I103" s="32">
        <v>19</v>
      </c>
      <c r="J103" s="32">
        <v>5</v>
      </c>
      <c r="K103" s="32">
        <v>13</v>
      </c>
      <c r="L103" s="32">
        <v>0</v>
      </c>
      <c r="M103" s="32">
        <v>2</v>
      </c>
    </row>
    <row r="104" spans="1:13">
      <c r="A104" s="32">
        <f t="shared" ca="1" si="1"/>
        <v>106</v>
      </c>
      <c r="B104" s="32" cm="1">
        <f t="array" aca="1" ref="B104" ca="1">INDEX(Data_DBD!$B:$B,$A104)</f>
        <v>23</v>
      </c>
      <c r="C104" s="32" cm="1">
        <f t="array" aca="1" ref="C104" ca="1">INDEX(Data_DBD!$C:$C,$A104)</f>
        <v>3</v>
      </c>
      <c r="D104" s="32" cm="1">
        <f t="array" aca="1" ref="D104" ca="1">INDEX(Data_DBD!$D:$D,$A104)</f>
        <v>18</v>
      </c>
      <c r="E104" s="32" cm="1">
        <f t="array" aca="1" ref="E104" ca="1">INDEX(Data_DBD!$E:$E,$A104)</f>
        <v>1</v>
      </c>
      <c r="F104" s="32" cm="1">
        <f t="array" aca="1" ref="F104" ca="1">INDEX(Data_DBD!$F:$F,$A104)</f>
        <v>3</v>
      </c>
      <c r="H104" s="32">
        <v>119</v>
      </c>
      <c r="I104" s="32">
        <v>30</v>
      </c>
      <c r="J104" s="32">
        <v>7</v>
      </c>
      <c r="K104" s="32">
        <v>33</v>
      </c>
      <c r="L104" s="32">
        <v>0</v>
      </c>
      <c r="M104" s="32">
        <v>3</v>
      </c>
    </row>
    <row r="105" spans="1:13">
      <c r="A105" s="32">
        <f t="shared" ca="1" si="1"/>
        <v>101</v>
      </c>
      <c r="B105" s="32" cm="1">
        <f t="array" aca="1" ref="B105" ca="1">INDEX(Data_DBD!$B:$B,$A105)</f>
        <v>42</v>
      </c>
      <c r="C105" s="32" cm="1">
        <f t="array" aca="1" ref="C105" ca="1">INDEX(Data_DBD!$C:$C,$A105)</f>
        <v>5</v>
      </c>
      <c r="D105" s="32" cm="1">
        <f t="array" aca="1" ref="D105" ca="1">INDEX(Data_DBD!$D:$D,$A105)</f>
        <v>18</v>
      </c>
      <c r="E105" s="32" cm="1">
        <f t="array" aca="1" ref="E105" ca="1">INDEX(Data_DBD!$E:$E,$A105)</f>
        <v>0</v>
      </c>
      <c r="F105" s="32" cm="1">
        <f t="array" aca="1" ref="F105" ca="1">INDEX(Data_DBD!$F:$F,$A105)</f>
        <v>3</v>
      </c>
      <c r="H105" s="32">
        <v>100</v>
      </c>
      <c r="I105" s="32">
        <v>19</v>
      </c>
      <c r="J105" s="32">
        <v>6</v>
      </c>
      <c r="K105" s="32">
        <v>18</v>
      </c>
      <c r="L105" s="32">
        <v>0</v>
      </c>
      <c r="M105" s="32">
        <v>3</v>
      </c>
    </row>
    <row r="106" spans="1:13">
      <c r="A106" s="32">
        <f t="shared" ca="1" si="1"/>
        <v>101</v>
      </c>
      <c r="B106" s="32" cm="1">
        <f t="array" aca="1" ref="B106" ca="1">INDEX(Data_DBD!$B:$B,$A106)</f>
        <v>42</v>
      </c>
      <c r="C106" s="32" cm="1">
        <f t="array" aca="1" ref="C106" ca="1">INDEX(Data_DBD!$C:$C,$A106)</f>
        <v>5</v>
      </c>
      <c r="D106" s="32" cm="1">
        <f t="array" aca="1" ref="D106" ca="1">INDEX(Data_DBD!$D:$D,$A106)</f>
        <v>18</v>
      </c>
      <c r="E106" s="32" cm="1">
        <f t="array" aca="1" ref="E106" ca="1">INDEX(Data_DBD!$E:$E,$A106)</f>
        <v>0</v>
      </c>
      <c r="F106" s="32" cm="1">
        <f t="array" aca="1" ref="F106" ca="1">INDEX(Data_DBD!$F:$F,$A106)</f>
        <v>3</v>
      </c>
      <c r="H106" s="32">
        <v>57</v>
      </c>
      <c r="I106" s="32">
        <v>2</v>
      </c>
      <c r="J106" s="32">
        <v>2</v>
      </c>
      <c r="K106" s="32">
        <v>15</v>
      </c>
      <c r="L106" s="32">
        <v>1</v>
      </c>
      <c r="M106" s="32">
        <v>2</v>
      </c>
    </row>
    <row r="107" spans="1:13">
      <c r="A107" s="32">
        <f t="shared" ca="1" si="1"/>
        <v>116</v>
      </c>
      <c r="B107" s="32" cm="1">
        <f t="array" aca="1" ref="B107" ca="1">INDEX(Data_DBD!$B:$B,$A107)</f>
        <v>32</v>
      </c>
      <c r="C107" s="32" cm="1">
        <f t="array" aca="1" ref="C107" ca="1">INDEX(Data_DBD!$C:$C,$A107)</f>
        <v>4</v>
      </c>
      <c r="D107" s="32" cm="1">
        <f t="array" aca="1" ref="D107" ca="1">INDEX(Data_DBD!$D:$D,$A107)</f>
        <v>33</v>
      </c>
      <c r="E107" s="32" cm="1">
        <f t="array" aca="1" ref="E107" ca="1">INDEX(Data_DBD!$E:$E,$A107)</f>
        <v>1</v>
      </c>
      <c r="F107" s="32" cm="1">
        <f t="array" aca="1" ref="F107" ca="1">INDEX(Data_DBD!$F:$F,$A107)</f>
        <v>3</v>
      </c>
      <c r="H107" s="32">
        <v>87</v>
      </c>
      <c r="I107" s="32">
        <v>21</v>
      </c>
      <c r="J107" s="32">
        <v>3</v>
      </c>
      <c r="K107" s="32">
        <v>13</v>
      </c>
      <c r="L107" s="32">
        <v>0</v>
      </c>
      <c r="M107" s="32">
        <v>2</v>
      </c>
    </row>
    <row r="108" spans="1:13">
      <c r="A108" s="32">
        <f t="shared" ca="1" si="1"/>
        <v>27</v>
      </c>
      <c r="B108" s="32" cm="1">
        <f t="array" aca="1" ref="B108" ca="1">INDEX(Data_DBD!$B:$B,$A108)</f>
        <v>37</v>
      </c>
      <c r="C108" s="32" cm="1">
        <f t="array" aca="1" ref="C108" ca="1">INDEX(Data_DBD!$C:$C,$A108)</f>
        <v>4</v>
      </c>
      <c r="D108" s="32" cm="1">
        <f t="array" aca="1" ref="D108" ca="1">INDEX(Data_DBD!$D:$D,$A108)</f>
        <v>14</v>
      </c>
      <c r="E108" s="32" cm="1">
        <f t="array" aca="1" ref="E108" ca="1">INDEX(Data_DBD!$E:$E,$A108)</f>
        <v>1</v>
      </c>
      <c r="F108" s="32" cm="1">
        <f t="array" aca="1" ref="F108" ca="1">INDEX(Data_DBD!$F:$F,$A108)</f>
        <v>2</v>
      </c>
      <c r="H108" s="32">
        <v>121</v>
      </c>
      <c r="I108" s="32">
        <v>82</v>
      </c>
      <c r="J108" s="32">
        <v>5</v>
      </c>
      <c r="K108" s="32">
        <v>33</v>
      </c>
      <c r="L108" s="32">
        <v>1</v>
      </c>
      <c r="M108" s="32">
        <v>3</v>
      </c>
    </row>
    <row r="109" spans="1:13">
      <c r="A109" s="32">
        <f t="shared" ca="1" si="1"/>
        <v>32</v>
      </c>
      <c r="B109" s="32" cm="1">
        <f t="array" aca="1" ref="B109" ca="1">INDEX(Data_DBD!$B:$B,$A109)</f>
        <v>54</v>
      </c>
      <c r="C109" s="32" cm="1">
        <f t="array" aca="1" ref="C109" ca="1">INDEX(Data_DBD!$C:$C,$A109)</f>
        <v>4</v>
      </c>
      <c r="D109" s="32" cm="1">
        <f t="array" aca="1" ref="D109" ca="1">INDEX(Data_DBD!$D:$D,$A109)</f>
        <v>14</v>
      </c>
      <c r="E109" s="32" cm="1">
        <f t="array" aca="1" ref="E109" ca="1">INDEX(Data_DBD!$E:$E,$A109)</f>
        <v>0</v>
      </c>
      <c r="F109" s="32" cm="1">
        <f t="array" aca="1" ref="F109" ca="1">INDEX(Data_DBD!$F:$F,$A109)</f>
        <v>2</v>
      </c>
      <c r="H109" s="32">
        <v>52</v>
      </c>
      <c r="I109" s="32">
        <v>59</v>
      </c>
      <c r="J109" s="32">
        <v>4</v>
      </c>
      <c r="K109" s="32">
        <v>15</v>
      </c>
      <c r="L109" s="32">
        <v>1</v>
      </c>
      <c r="M109" s="32">
        <v>2</v>
      </c>
    </row>
    <row r="110" spans="1:13">
      <c r="A110" s="32">
        <f t="shared" ca="1" si="1"/>
        <v>5</v>
      </c>
      <c r="B110" s="32" cm="1">
        <f t="array" aca="1" ref="B110" ca="1">INDEX(Data_DBD!$B:$B,$A110)</f>
        <v>18</v>
      </c>
      <c r="C110" s="32" cm="1">
        <f t="array" aca="1" ref="C110" ca="1">INDEX(Data_DBD!$C:$C,$A110)</f>
        <v>2</v>
      </c>
      <c r="D110" s="32" cm="1">
        <f t="array" aca="1" ref="D110" ca="1">INDEX(Data_DBD!$D:$D,$A110)</f>
        <v>12</v>
      </c>
      <c r="E110" s="32" cm="1">
        <f t="array" aca="1" ref="E110" ca="1">INDEX(Data_DBD!$E:$E,$A110)</f>
        <v>1</v>
      </c>
      <c r="F110" s="32" cm="1">
        <f t="array" aca="1" ref="F110" ca="1">INDEX(Data_DBD!$F:$F,$A110)</f>
        <v>2</v>
      </c>
      <c r="H110" s="32">
        <v>76</v>
      </c>
      <c r="I110" s="32">
        <v>70</v>
      </c>
      <c r="J110" s="32">
        <v>2</v>
      </c>
      <c r="K110" s="32">
        <v>10</v>
      </c>
      <c r="L110" s="32">
        <v>0</v>
      </c>
      <c r="M110" s="32">
        <v>2</v>
      </c>
    </row>
    <row r="111" spans="1:13">
      <c r="A111" s="32">
        <f t="shared" ca="1" si="1"/>
        <v>154</v>
      </c>
      <c r="B111" s="32" cm="1">
        <f t="array" aca="1" ref="B111" ca="1">INDEX(Data_DBD!$B:$B,$A111)</f>
        <v>18</v>
      </c>
      <c r="C111" s="32" cm="1">
        <f t="array" aca="1" ref="C111" ca="1">INDEX(Data_DBD!$C:$C,$A111)</f>
        <v>5</v>
      </c>
      <c r="D111" s="32" cm="1">
        <f t="array" aca="1" ref="D111" ca="1">INDEX(Data_DBD!$D:$D,$A111)</f>
        <v>21</v>
      </c>
      <c r="E111" s="32" cm="1">
        <f t="array" aca="1" ref="E111" ca="1">INDEX(Data_DBD!$E:$E,$A111)</f>
        <v>1</v>
      </c>
      <c r="F111" s="32" cm="1">
        <f t="array" aca="1" ref="F111" ca="1">INDEX(Data_DBD!$F:$F,$A111)</f>
        <v>3</v>
      </c>
      <c r="H111" s="32">
        <v>105</v>
      </c>
      <c r="I111" s="32">
        <v>61</v>
      </c>
      <c r="J111" s="32">
        <v>3</v>
      </c>
      <c r="K111" s="32">
        <v>18</v>
      </c>
      <c r="L111" s="32">
        <v>1</v>
      </c>
      <c r="M111" s="32">
        <v>3</v>
      </c>
    </row>
    <row r="112" spans="1:13">
      <c r="A112" s="32">
        <f t="shared" ca="1" si="1"/>
        <v>37</v>
      </c>
      <c r="B112" s="32" cm="1">
        <f t="array" aca="1" ref="B112" ca="1">INDEX(Data_DBD!$B:$B,$A112)</f>
        <v>28</v>
      </c>
      <c r="C112" s="32" cm="1">
        <f t="array" aca="1" ref="C112" ca="1">INDEX(Data_DBD!$C:$C,$A112)</f>
        <v>4</v>
      </c>
      <c r="D112" s="32" cm="1">
        <f t="array" aca="1" ref="D112" ca="1">INDEX(Data_DBD!$D:$D,$A112)</f>
        <v>4</v>
      </c>
      <c r="E112" s="32" cm="1">
        <f t="array" aca="1" ref="E112" ca="1">INDEX(Data_DBD!$E:$E,$A112)</f>
        <v>1</v>
      </c>
      <c r="F112" s="32" cm="1">
        <f t="array" aca="1" ref="F112" ca="1">INDEX(Data_DBD!$F:$F,$A112)</f>
        <v>1</v>
      </c>
      <c r="H112" s="32">
        <v>155</v>
      </c>
      <c r="I112" s="32">
        <v>19</v>
      </c>
      <c r="J112" s="32">
        <v>5</v>
      </c>
      <c r="K112" s="32">
        <v>21</v>
      </c>
      <c r="L112" s="32">
        <v>1</v>
      </c>
      <c r="M112" s="32">
        <v>3</v>
      </c>
    </row>
    <row r="113" spans="1:13">
      <c r="A113" s="32">
        <f t="shared" ca="1" si="1"/>
        <v>123</v>
      </c>
      <c r="B113" s="32" cm="1">
        <f t="array" aca="1" ref="B113" ca="1">INDEX(Data_DBD!$B:$B,$A113)</f>
        <v>22</v>
      </c>
      <c r="C113" s="32" cm="1">
        <f t="array" aca="1" ref="C113" ca="1">INDEX(Data_DBD!$C:$C,$A113)</f>
        <v>4</v>
      </c>
      <c r="D113" s="32" cm="1">
        <f t="array" aca="1" ref="D113" ca="1">INDEX(Data_DBD!$D:$D,$A113)</f>
        <v>33</v>
      </c>
      <c r="E113" s="32" cm="1">
        <f t="array" aca="1" ref="E113" ca="1">INDEX(Data_DBD!$E:$E,$A113)</f>
        <v>0</v>
      </c>
      <c r="F113" s="32" cm="1">
        <f t="array" aca="1" ref="F113" ca="1">INDEX(Data_DBD!$F:$F,$A113)</f>
        <v>3</v>
      </c>
      <c r="H113" s="32">
        <v>53</v>
      </c>
      <c r="I113" s="32">
        <v>35</v>
      </c>
      <c r="J113" s="32">
        <v>4</v>
      </c>
      <c r="K113" s="32">
        <v>15</v>
      </c>
      <c r="L113" s="32">
        <v>1</v>
      </c>
      <c r="M113" s="32">
        <v>2</v>
      </c>
    </row>
    <row r="114" spans="1:13">
      <c r="A114" s="32">
        <f t="shared" ca="1" si="1"/>
        <v>86</v>
      </c>
      <c r="B114" s="32" cm="1">
        <f t="array" aca="1" ref="B114" ca="1">INDEX(Data_DBD!$B:$B,$A114)</f>
        <v>23</v>
      </c>
      <c r="C114" s="32" cm="1">
        <f t="array" aca="1" ref="C114" ca="1">INDEX(Data_DBD!$C:$C,$A114)</f>
        <v>3</v>
      </c>
      <c r="D114" s="32" cm="1">
        <f t="array" aca="1" ref="D114" ca="1">INDEX(Data_DBD!$D:$D,$A114)</f>
        <v>13</v>
      </c>
      <c r="E114" s="32" cm="1">
        <f t="array" aca="1" ref="E114" ca="1">INDEX(Data_DBD!$E:$E,$A114)</f>
        <v>0</v>
      </c>
      <c r="F114" s="32" cm="1">
        <f t="array" aca="1" ref="F114" ca="1">INDEX(Data_DBD!$F:$F,$A114)</f>
        <v>2</v>
      </c>
      <c r="H114" s="32">
        <v>164</v>
      </c>
      <c r="I114" s="32">
        <v>10</v>
      </c>
      <c r="J114" s="32">
        <v>6</v>
      </c>
      <c r="K114" s="32">
        <v>3</v>
      </c>
      <c r="L114" s="32">
        <v>0</v>
      </c>
      <c r="M114" s="32">
        <v>1</v>
      </c>
    </row>
    <row r="115" spans="1:13">
      <c r="A115" s="32">
        <f t="shared" ca="1" si="1"/>
        <v>18</v>
      </c>
      <c r="B115" s="32" cm="1">
        <f t="array" aca="1" ref="B115" ca="1">INDEX(Data_DBD!$B:$B,$A115)</f>
        <v>49</v>
      </c>
      <c r="C115" s="32" cm="1">
        <f t="array" aca="1" ref="C115" ca="1">INDEX(Data_DBD!$C:$C,$A115)</f>
        <v>4</v>
      </c>
      <c r="D115" s="32" cm="1">
        <f t="array" aca="1" ref="D115" ca="1">INDEX(Data_DBD!$D:$D,$A115)</f>
        <v>7</v>
      </c>
      <c r="E115" s="32" cm="1">
        <f t="array" aca="1" ref="E115" ca="1">INDEX(Data_DBD!$E:$E,$A115)</f>
        <v>1</v>
      </c>
      <c r="F115" s="32" cm="1">
        <f t="array" aca="1" ref="F115" ca="1">INDEX(Data_DBD!$F:$F,$A115)</f>
        <v>1</v>
      </c>
      <c r="H115" s="32">
        <v>132</v>
      </c>
      <c r="I115" s="32">
        <v>10</v>
      </c>
      <c r="J115" s="32">
        <v>3</v>
      </c>
      <c r="K115" s="32">
        <v>33</v>
      </c>
      <c r="L115" s="32">
        <v>1</v>
      </c>
      <c r="M115" s="32">
        <v>3</v>
      </c>
    </row>
    <row r="116" spans="1:13">
      <c r="A116" s="32">
        <f t="shared" ca="1" si="1"/>
        <v>80</v>
      </c>
      <c r="B116" s="32" cm="1">
        <f t="array" aca="1" ref="B116" ca="1">INDEX(Data_DBD!$B:$B,$A116)</f>
        <v>27</v>
      </c>
      <c r="C116" s="32" cm="1">
        <f t="array" aca="1" ref="C116" ca="1">INDEX(Data_DBD!$C:$C,$A116)</f>
        <v>3</v>
      </c>
      <c r="D116" s="32" cm="1">
        <f t="array" aca="1" ref="D116" ca="1">INDEX(Data_DBD!$D:$D,$A116)</f>
        <v>13</v>
      </c>
      <c r="E116" s="32" cm="1">
        <f t="array" aca="1" ref="E116" ca="1">INDEX(Data_DBD!$E:$E,$A116)</f>
        <v>1</v>
      </c>
      <c r="F116" s="32" cm="1">
        <f t="array" aca="1" ref="F116" ca="1">INDEX(Data_DBD!$F:$F,$A116)</f>
        <v>2</v>
      </c>
      <c r="H116" s="32">
        <v>47</v>
      </c>
      <c r="I116" s="32">
        <v>19</v>
      </c>
      <c r="J116" s="32">
        <v>2</v>
      </c>
      <c r="K116" s="32">
        <v>13</v>
      </c>
      <c r="L116" s="32">
        <v>0</v>
      </c>
      <c r="M116" s="32">
        <v>2</v>
      </c>
    </row>
    <row r="117" spans="1:13">
      <c r="A117" s="32">
        <f t="shared" ca="1" si="1"/>
        <v>36</v>
      </c>
      <c r="B117" s="32" cm="1">
        <f t="array" aca="1" ref="B117" ca="1">INDEX(Data_DBD!$B:$B,$A117)</f>
        <v>27</v>
      </c>
      <c r="C117" s="32" cm="1">
        <f t="array" aca="1" ref="C117" ca="1">INDEX(Data_DBD!$C:$C,$A117)</f>
        <v>1</v>
      </c>
      <c r="D117" s="32" cm="1">
        <f t="array" aca="1" ref="D117" ca="1">INDEX(Data_DBD!$D:$D,$A117)</f>
        <v>4</v>
      </c>
      <c r="E117" s="32" cm="1">
        <f t="array" aca="1" ref="E117" ca="1">INDEX(Data_DBD!$E:$E,$A117)</f>
        <v>1</v>
      </c>
      <c r="F117" s="32" cm="1">
        <f t="array" aca="1" ref="F117" ca="1">INDEX(Data_DBD!$F:$F,$A117)</f>
        <v>1</v>
      </c>
      <c r="H117" s="32">
        <v>55</v>
      </c>
      <c r="I117" s="32">
        <v>7</v>
      </c>
      <c r="J117" s="32">
        <v>4</v>
      </c>
      <c r="K117" s="32">
        <v>15</v>
      </c>
      <c r="L117" s="32">
        <v>1</v>
      </c>
      <c r="M117" s="32">
        <v>2</v>
      </c>
    </row>
    <row r="118" spans="1:13">
      <c r="A118" s="32">
        <f t="shared" ca="1" si="1"/>
        <v>141</v>
      </c>
      <c r="B118" s="32" cm="1">
        <f t="array" aca="1" ref="B118" ca="1">INDEX(Data_DBD!$B:$B,$A118)</f>
        <v>36</v>
      </c>
      <c r="C118" s="32" cm="1">
        <f t="array" aca="1" ref="C118" ca="1">INDEX(Data_DBD!$C:$C,$A118)</f>
        <v>2</v>
      </c>
      <c r="D118" s="32" cm="1">
        <f t="array" aca="1" ref="D118" ca="1">INDEX(Data_DBD!$D:$D,$A118)</f>
        <v>21</v>
      </c>
      <c r="E118" s="32" cm="1">
        <f t="array" aca="1" ref="E118" ca="1">INDEX(Data_DBD!$E:$E,$A118)</f>
        <v>0</v>
      </c>
      <c r="F118" s="32" cm="1">
        <f t="array" aca="1" ref="F118" ca="1">INDEX(Data_DBD!$F:$F,$A118)</f>
        <v>3</v>
      </c>
      <c r="H118" s="32">
        <v>123</v>
      </c>
      <c r="I118" s="32">
        <v>22</v>
      </c>
      <c r="J118" s="32">
        <v>4</v>
      </c>
      <c r="K118" s="32">
        <v>33</v>
      </c>
      <c r="L118" s="32">
        <v>0</v>
      </c>
      <c r="M118" s="32">
        <v>3</v>
      </c>
    </row>
    <row r="119" spans="1:13">
      <c r="A119" s="32">
        <f t="shared" ca="1" si="1"/>
        <v>142</v>
      </c>
      <c r="B119" s="32" cm="1">
        <f t="array" aca="1" ref="B119" ca="1">INDEX(Data_DBD!$B:$B,$A119)</f>
        <v>39</v>
      </c>
      <c r="C119" s="32" cm="1">
        <f t="array" aca="1" ref="C119" ca="1">INDEX(Data_DBD!$C:$C,$A119)</f>
        <v>2</v>
      </c>
      <c r="D119" s="32" cm="1">
        <f t="array" aca="1" ref="D119" ca="1">INDEX(Data_DBD!$D:$D,$A119)</f>
        <v>21</v>
      </c>
      <c r="E119" s="32" cm="1">
        <f t="array" aca="1" ref="E119" ca="1">INDEX(Data_DBD!$E:$E,$A119)</f>
        <v>1</v>
      </c>
      <c r="F119" s="32" cm="1">
        <f t="array" aca="1" ref="F119" ca="1">INDEX(Data_DBD!$F:$F,$A119)</f>
        <v>3</v>
      </c>
      <c r="H119" s="32">
        <v>88</v>
      </c>
      <c r="I119" s="32">
        <v>20</v>
      </c>
      <c r="J119" s="32">
        <v>4</v>
      </c>
      <c r="K119" s="32">
        <v>13</v>
      </c>
      <c r="L119" s="32">
        <v>1</v>
      </c>
      <c r="M119" s="32">
        <v>2</v>
      </c>
    </row>
    <row r="120" spans="1:13">
      <c r="A120" s="32">
        <f t="shared" ca="1" si="1"/>
        <v>54</v>
      </c>
      <c r="B120" s="32" cm="1">
        <f t="array" aca="1" ref="B120" ca="1">INDEX(Data_DBD!$B:$B,$A120)</f>
        <v>7</v>
      </c>
      <c r="C120" s="32" cm="1">
        <f t="array" aca="1" ref="C120" ca="1">INDEX(Data_DBD!$C:$C,$A120)</f>
        <v>3</v>
      </c>
      <c r="D120" s="32" cm="1">
        <f t="array" aca="1" ref="D120" ca="1">INDEX(Data_DBD!$D:$D,$A120)</f>
        <v>15</v>
      </c>
      <c r="E120" s="32" cm="1">
        <f t="array" aca="1" ref="E120" ca="1">INDEX(Data_DBD!$E:$E,$A120)</f>
        <v>0</v>
      </c>
      <c r="F120" s="32" cm="1">
        <f t="array" aca="1" ref="F120" ca="1">INDEX(Data_DBD!$F:$F,$A120)</f>
        <v>2</v>
      </c>
      <c r="H120" s="32">
        <v>51</v>
      </c>
      <c r="I120" s="32">
        <v>48</v>
      </c>
      <c r="J120" s="32">
        <v>4</v>
      </c>
      <c r="K120" s="32">
        <v>13</v>
      </c>
      <c r="L120" s="32">
        <v>0</v>
      </c>
      <c r="M120" s="32">
        <v>2</v>
      </c>
    </row>
    <row r="121" spans="1:13">
      <c r="A121" s="32">
        <f t="shared" ca="1" si="1"/>
        <v>33</v>
      </c>
      <c r="B121" s="32" cm="1">
        <f t="array" aca="1" ref="B121" ca="1">INDEX(Data_DBD!$B:$B,$A121)</f>
        <v>19</v>
      </c>
      <c r="C121" s="32" cm="1">
        <f t="array" aca="1" ref="C121" ca="1">INDEX(Data_DBD!$C:$C,$A121)</f>
        <v>4</v>
      </c>
      <c r="D121" s="32" cm="1">
        <f t="array" aca="1" ref="D121" ca="1">INDEX(Data_DBD!$D:$D,$A121)</f>
        <v>14</v>
      </c>
      <c r="E121" s="32" cm="1">
        <f t="array" aca="1" ref="E121" ca="1">INDEX(Data_DBD!$E:$E,$A121)</f>
        <v>1</v>
      </c>
      <c r="F121" s="32" cm="1">
        <f t="array" aca="1" ref="F121" ca="1">INDEX(Data_DBD!$F:$F,$A121)</f>
        <v>2</v>
      </c>
      <c r="H121" s="32">
        <v>39</v>
      </c>
      <c r="I121" s="32">
        <v>12</v>
      </c>
      <c r="J121" s="32">
        <v>5</v>
      </c>
      <c r="K121" s="32">
        <v>13</v>
      </c>
      <c r="L121" s="32">
        <v>1</v>
      </c>
      <c r="M121" s="32">
        <v>2</v>
      </c>
    </row>
    <row r="122" spans="1:13">
      <c r="A122" s="32">
        <f t="shared" ca="1" si="1"/>
        <v>102</v>
      </c>
      <c r="B122" s="32" cm="1">
        <f t="array" aca="1" ref="B122" ca="1">INDEX(Data_DBD!$B:$B,$A122)</f>
        <v>41</v>
      </c>
      <c r="C122" s="32" cm="1">
        <f t="array" aca="1" ref="C122" ca="1">INDEX(Data_DBD!$C:$C,$A122)</f>
        <v>4</v>
      </c>
      <c r="D122" s="32" cm="1">
        <f t="array" aca="1" ref="D122" ca="1">INDEX(Data_DBD!$D:$D,$A122)</f>
        <v>18</v>
      </c>
      <c r="E122" s="32" cm="1">
        <f t="array" aca="1" ref="E122" ca="1">INDEX(Data_DBD!$E:$E,$A122)</f>
        <v>0</v>
      </c>
      <c r="F122" s="32" cm="1">
        <f t="array" aca="1" ref="F122" ca="1">INDEX(Data_DBD!$F:$F,$A122)</f>
        <v>3</v>
      </c>
      <c r="H122" s="32">
        <v>34</v>
      </c>
      <c r="I122" s="32">
        <v>55</v>
      </c>
      <c r="J122" s="32">
        <v>3</v>
      </c>
      <c r="K122" s="32">
        <v>14</v>
      </c>
      <c r="L122" s="32">
        <v>0</v>
      </c>
      <c r="M122" s="32">
        <v>2</v>
      </c>
    </row>
    <row r="123" spans="1:13">
      <c r="A123" s="32">
        <f t="shared" ca="1" si="1"/>
        <v>82</v>
      </c>
      <c r="B123" s="32" cm="1">
        <f t="array" aca="1" ref="B123" ca="1">INDEX(Data_DBD!$B:$B,$A123)</f>
        <v>28</v>
      </c>
      <c r="C123" s="32" cm="1">
        <f t="array" aca="1" ref="C123" ca="1">INDEX(Data_DBD!$C:$C,$A123)</f>
        <v>3</v>
      </c>
      <c r="D123" s="32" cm="1">
        <f t="array" aca="1" ref="D123" ca="1">INDEX(Data_DBD!$D:$D,$A123)</f>
        <v>13</v>
      </c>
      <c r="E123" s="32" cm="1">
        <f t="array" aca="1" ref="E123" ca="1">INDEX(Data_DBD!$E:$E,$A123)</f>
        <v>1</v>
      </c>
      <c r="F123" s="32" cm="1">
        <f t="array" aca="1" ref="F123" ca="1">INDEX(Data_DBD!$F:$F,$A123)</f>
        <v>2</v>
      </c>
      <c r="H123" s="32">
        <v>45</v>
      </c>
      <c r="I123" s="32">
        <v>75</v>
      </c>
      <c r="J123" s="32">
        <v>3</v>
      </c>
      <c r="K123" s="32">
        <v>13</v>
      </c>
      <c r="L123" s="32">
        <v>1</v>
      </c>
      <c r="M123" s="32">
        <v>2</v>
      </c>
    </row>
    <row r="124" spans="1:13">
      <c r="A124" s="32">
        <f t="shared" ca="1" si="1"/>
        <v>23</v>
      </c>
      <c r="B124" s="32" cm="1">
        <f t="array" aca="1" ref="B124" ca="1">INDEX(Data_DBD!$B:$B,$A124)</f>
        <v>28</v>
      </c>
      <c r="C124" s="32" cm="1">
        <f t="array" aca="1" ref="C124" ca="1">INDEX(Data_DBD!$C:$C,$A124)</f>
        <v>4</v>
      </c>
      <c r="D124" s="32" cm="1">
        <f t="array" aca="1" ref="D124" ca="1">INDEX(Data_DBD!$D:$D,$A124)</f>
        <v>14</v>
      </c>
      <c r="E124" s="32" cm="1">
        <f t="array" aca="1" ref="E124" ca="1">INDEX(Data_DBD!$E:$E,$A124)</f>
        <v>1</v>
      </c>
      <c r="F124" s="32" cm="1">
        <f t="array" aca="1" ref="F124" ca="1">INDEX(Data_DBD!$F:$F,$A124)</f>
        <v>2</v>
      </c>
      <c r="H124" s="32">
        <v>95</v>
      </c>
      <c r="I124" s="32">
        <v>11</v>
      </c>
      <c r="J124" s="32">
        <v>3</v>
      </c>
      <c r="K124" s="32">
        <v>18</v>
      </c>
      <c r="L124" s="32">
        <v>1</v>
      </c>
      <c r="M124" s="32">
        <v>3</v>
      </c>
    </row>
    <row r="125" spans="1:13">
      <c r="A125" s="32">
        <f t="shared" ca="1" si="1"/>
        <v>133</v>
      </c>
      <c r="B125" s="32" cm="1">
        <f t="array" aca="1" ref="B125" ca="1">INDEX(Data_DBD!$B:$B,$A125)</f>
        <v>6</v>
      </c>
      <c r="C125" s="32" cm="1">
        <f t="array" aca="1" ref="C125" ca="1">INDEX(Data_DBD!$C:$C,$A125)</f>
        <v>4</v>
      </c>
      <c r="D125" s="32" cm="1">
        <f t="array" aca="1" ref="D125" ca="1">INDEX(Data_DBD!$D:$D,$A125)</f>
        <v>33</v>
      </c>
      <c r="E125" s="32" cm="1">
        <f t="array" aca="1" ref="E125" ca="1">INDEX(Data_DBD!$E:$E,$A125)</f>
        <v>0</v>
      </c>
      <c r="F125" s="32" cm="1">
        <f t="array" aca="1" ref="F125" ca="1">INDEX(Data_DBD!$F:$F,$A125)</f>
        <v>3</v>
      </c>
      <c r="H125" s="32">
        <v>145</v>
      </c>
      <c r="I125" s="32">
        <v>28</v>
      </c>
      <c r="J125" s="32">
        <v>4</v>
      </c>
      <c r="K125" s="32">
        <v>21</v>
      </c>
      <c r="L125" s="32">
        <v>1</v>
      </c>
      <c r="M125" s="32">
        <v>3</v>
      </c>
    </row>
    <row r="126" spans="1:13">
      <c r="A126" s="32">
        <f t="shared" ca="1" si="1"/>
        <v>5</v>
      </c>
      <c r="B126" s="32" cm="1">
        <f t="array" aca="1" ref="B126" ca="1">INDEX(Data_DBD!$B:$B,$A126)</f>
        <v>18</v>
      </c>
      <c r="C126" s="32" cm="1">
        <f t="array" aca="1" ref="C126" ca="1">INDEX(Data_DBD!$C:$C,$A126)</f>
        <v>2</v>
      </c>
      <c r="D126" s="32" cm="1">
        <f t="array" aca="1" ref="D126" ca="1">INDEX(Data_DBD!$D:$D,$A126)</f>
        <v>12</v>
      </c>
      <c r="E126" s="32" cm="1">
        <f t="array" aca="1" ref="E126" ca="1">INDEX(Data_DBD!$E:$E,$A126)</f>
        <v>1</v>
      </c>
      <c r="F126" s="32" cm="1">
        <f t="array" aca="1" ref="F126" ca="1">INDEX(Data_DBD!$F:$F,$A126)</f>
        <v>2</v>
      </c>
      <c r="H126" s="32">
        <v>75</v>
      </c>
      <c r="I126" s="32">
        <v>2</v>
      </c>
      <c r="J126" s="32">
        <v>2</v>
      </c>
      <c r="K126" s="32">
        <v>10</v>
      </c>
      <c r="L126" s="32">
        <v>1</v>
      </c>
      <c r="M126" s="32">
        <v>2</v>
      </c>
    </row>
    <row r="127" spans="1:13">
      <c r="A127" s="32">
        <f t="shared" ca="1" si="1"/>
        <v>146</v>
      </c>
      <c r="B127" s="32" cm="1">
        <f t="array" aca="1" ref="B127" ca="1">INDEX(Data_DBD!$B:$B,$A127)</f>
        <v>34</v>
      </c>
      <c r="C127" s="32" cm="1">
        <f t="array" aca="1" ref="C127" ca="1">INDEX(Data_DBD!$C:$C,$A127)</f>
        <v>2</v>
      </c>
      <c r="D127" s="32" cm="1">
        <f t="array" aca="1" ref="D127" ca="1">INDEX(Data_DBD!$D:$D,$A127)</f>
        <v>21</v>
      </c>
      <c r="E127" s="32" cm="1">
        <f t="array" aca="1" ref="E127" ca="1">INDEX(Data_DBD!$E:$E,$A127)</f>
        <v>1</v>
      </c>
      <c r="F127" s="32" cm="1">
        <f t="array" aca="1" ref="F127" ca="1">INDEX(Data_DBD!$F:$F,$A127)</f>
        <v>3</v>
      </c>
      <c r="H127" s="32">
        <v>101</v>
      </c>
      <c r="I127" s="32">
        <v>42</v>
      </c>
      <c r="J127" s="32">
        <v>5</v>
      </c>
      <c r="K127" s="32">
        <v>18</v>
      </c>
      <c r="L127" s="32">
        <v>0</v>
      </c>
      <c r="M127" s="32">
        <v>3</v>
      </c>
    </row>
    <row r="128" spans="1:13">
      <c r="A128" s="32">
        <f t="shared" ca="1" si="1"/>
        <v>90</v>
      </c>
      <c r="B128" s="32" cm="1">
        <f t="array" aca="1" ref="B128" ca="1">INDEX(Data_DBD!$B:$B,$A128)</f>
        <v>47</v>
      </c>
      <c r="C128" s="32" cm="1">
        <f t="array" aca="1" ref="C128" ca="1">INDEX(Data_DBD!$C:$C,$A128)</f>
        <v>3</v>
      </c>
      <c r="D128" s="32" cm="1">
        <f t="array" aca="1" ref="D128" ca="1">INDEX(Data_DBD!$D:$D,$A128)</f>
        <v>18</v>
      </c>
      <c r="E128" s="32" cm="1">
        <f t="array" aca="1" ref="E128" ca="1">INDEX(Data_DBD!$E:$E,$A128)</f>
        <v>0</v>
      </c>
      <c r="F128" s="32" cm="1">
        <f t="array" aca="1" ref="F128" ca="1">INDEX(Data_DBD!$F:$F,$A128)</f>
        <v>3</v>
      </c>
      <c r="H128" s="32">
        <v>155</v>
      </c>
      <c r="I128" s="32">
        <v>19</v>
      </c>
      <c r="J128" s="32">
        <v>5</v>
      </c>
      <c r="K128" s="32">
        <v>21</v>
      </c>
      <c r="L128" s="32">
        <v>1</v>
      </c>
      <c r="M128" s="32">
        <v>3</v>
      </c>
    </row>
    <row r="129" spans="1:13">
      <c r="A129" s="32">
        <f t="shared" ca="1" si="1"/>
        <v>133</v>
      </c>
      <c r="B129" s="32" cm="1">
        <f t="array" aca="1" ref="B129" ca="1">INDEX(Data_DBD!$B:$B,$A129)</f>
        <v>6</v>
      </c>
      <c r="C129" s="32" cm="1">
        <f t="array" aca="1" ref="C129" ca="1">INDEX(Data_DBD!$C:$C,$A129)</f>
        <v>4</v>
      </c>
      <c r="D129" s="32" cm="1">
        <f t="array" aca="1" ref="D129" ca="1">INDEX(Data_DBD!$D:$D,$A129)</f>
        <v>33</v>
      </c>
      <c r="E129" s="32" cm="1">
        <f t="array" aca="1" ref="E129" ca="1">INDEX(Data_DBD!$E:$E,$A129)</f>
        <v>0</v>
      </c>
      <c r="F129" s="32" cm="1">
        <f t="array" aca="1" ref="F129" ca="1">INDEX(Data_DBD!$F:$F,$A129)</f>
        <v>3</v>
      </c>
      <c r="H129" s="32">
        <v>114</v>
      </c>
      <c r="I129" s="32">
        <v>14</v>
      </c>
      <c r="J129" s="32">
        <v>2</v>
      </c>
      <c r="K129" s="32">
        <v>33</v>
      </c>
      <c r="L129" s="32">
        <v>1</v>
      </c>
      <c r="M129" s="32">
        <v>3</v>
      </c>
    </row>
    <row r="130" spans="1:13">
      <c r="A130" s="32">
        <f t="shared" ca="1" si="1"/>
        <v>53</v>
      </c>
      <c r="B130" s="32" cm="1">
        <f t="array" aca="1" ref="B130" ca="1">INDEX(Data_DBD!$B:$B,$A130)</f>
        <v>35</v>
      </c>
      <c r="C130" s="32" cm="1">
        <f t="array" aca="1" ref="C130" ca="1">INDEX(Data_DBD!$C:$C,$A130)</f>
        <v>4</v>
      </c>
      <c r="D130" s="32" cm="1">
        <f t="array" aca="1" ref="D130" ca="1">INDEX(Data_DBD!$D:$D,$A130)</f>
        <v>15</v>
      </c>
      <c r="E130" s="32" cm="1">
        <f t="array" aca="1" ref="E130" ca="1">INDEX(Data_DBD!$E:$E,$A130)</f>
        <v>1</v>
      </c>
      <c r="F130" s="32" cm="1">
        <f t="array" aca="1" ref="F130" ca="1">INDEX(Data_DBD!$F:$F,$A130)</f>
        <v>2</v>
      </c>
      <c r="H130" s="32">
        <v>54</v>
      </c>
      <c r="I130" s="32">
        <v>7</v>
      </c>
      <c r="J130" s="32">
        <v>3</v>
      </c>
      <c r="K130" s="32">
        <v>15</v>
      </c>
      <c r="L130" s="32">
        <v>0</v>
      </c>
      <c r="M130" s="32">
        <v>2</v>
      </c>
    </row>
    <row r="131" spans="1:13">
      <c r="A131" s="32">
        <f t="shared" ref="A131:A164" ca="1" si="2">RANDBETWEEN(2,164)</f>
        <v>34</v>
      </c>
      <c r="B131" s="32" cm="1">
        <f t="array" aca="1" ref="B131" ca="1">INDEX(Data_DBD!$B:$B,$A131)</f>
        <v>55</v>
      </c>
      <c r="C131" s="32" cm="1">
        <f t="array" aca="1" ref="C131" ca="1">INDEX(Data_DBD!$C:$C,$A131)</f>
        <v>3</v>
      </c>
      <c r="D131" s="32" cm="1">
        <f t="array" aca="1" ref="D131" ca="1">INDEX(Data_DBD!$D:$D,$A131)</f>
        <v>14</v>
      </c>
      <c r="E131" s="32" cm="1">
        <f t="array" aca="1" ref="E131" ca="1">INDEX(Data_DBD!$E:$E,$A131)</f>
        <v>0</v>
      </c>
      <c r="F131" s="32" cm="1">
        <f t="array" aca="1" ref="F131" ca="1">INDEX(Data_DBD!$F:$F,$A131)</f>
        <v>2</v>
      </c>
      <c r="H131" s="32">
        <v>118</v>
      </c>
      <c r="I131" s="32">
        <v>67</v>
      </c>
      <c r="J131" s="32">
        <v>4</v>
      </c>
      <c r="K131" s="32">
        <v>33</v>
      </c>
      <c r="L131" s="32">
        <v>1</v>
      </c>
      <c r="M131" s="32">
        <v>3</v>
      </c>
    </row>
    <row r="132" spans="1:13">
      <c r="A132" s="32">
        <f t="shared" ca="1" si="2"/>
        <v>97</v>
      </c>
      <c r="B132" s="32" cm="1">
        <f t="array" aca="1" ref="B132" ca="1">INDEX(Data_DBD!$B:$B,$A132)</f>
        <v>16</v>
      </c>
      <c r="C132" s="32" cm="1">
        <f t="array" aca="1" ref="C132" ca="1">INDEX(Data_DBD!$C:$C,$A132)</f>
        <v>2</v>
      </c>
      <c r="D132" s="32" cm="1">
        <f t="array" aca="1" ref="D132" ca="1">INDEX(Data_DBD!$D:$D,$A132)</f>
        <v>18</v>
      </c>
      <c r="E132" s="32" cm="1">
        <f t="array" aca="1" ref="E132" ca="1">INDEX(Data_DBD!$E:$E,$A132)</f>
        <v>1</v>
      </c>
      <c r="F132" s="32" cm="1">
        <f t="array" aca="1" ref="F132" ca="1">INDEX(Data_DBD!$F:$F,$A132)</f>
        <v>3</v>
      </c>
      <c r="H132" s="32">
        <v>57</v>
      </c>
      <c r="I132" s="32">
        <v>2</v>
      </c>
      <c r="J132" s="32">
        <v>2</v>
      </c>
      <c r="K132" s="32">
        <v>15</v>
      </c>
      <c r="L132" s="32">
        <v>1</v>
      </c>
      <c r="M132" s="32">
        <v>2</v>
      </c>
    </row>
    <row r="133" spans="1:13">
      <c r="A133" s="32">
        <f t="shared" ca="1" si="2"/>
        <v>159</v>
      </c>
      <c r="B133" s="32" cm="1">
        <f t="array" aca="1" ref="B133" ca="1">INDEX(Data_DBD!$B:$B,$A133)</f>
        <v>17</v>
      </c>
      <c r="C133" s="32" cm="1">
        <f t="array" aca="1" ref="C133" ca="1">INDEX(Data_DBD!$C:$C,$A133)</f>
        <v>2</v>
      </c>
      <c r="D133" s="32" cm="1">
        <f t="array" aca="1" ref="D133" ca="1">INDEX(Data_DBD!$D:$D,$A133)</f>
        <v>21</v>
      </c>
      <c r="E133" s="32" cm="1">
        <f t="array" aca="1" ref="E133" ca="1">INDEX(Data_DBD!$E:$E,$A133)</f>
        <v>0</v>
      </c>
      <c r="F133" s="32" cm="1">
        <f t="array" aca="1" ref="F133" ca="1">INDEX(Data_DBD!$F:$F,$A133)</f>
        <v>3</v>
      </c>
      <c r="H133" s="32">
        <v>143</v>
      </c>
      <c r="I133" s="32">
        <v>20</v>
      </c>
      <c r="J133" s="32">
        <v>4</v>
      </c>
      <c r="K133" s="32">
        <v>21</v>
      </c>
      <c r="L133" s="32">
        <v>1</v>
      </c>
      <c r="M133" s="32">
        <v>3</v>
      </c>
    </row>
    <row r="134" spans="1:13">
      <c r="A134" s="32">
        <f t="shared" ca="1" si="2"/>
        <v>100</v>
      </c>
      <c r="B134" s="32" cm="1">
        <f t="array" aca="1" ref="B134" ca="1">INDEX(Data_DBD!$B:$B,$A134)</f>
        <v>19</v>
      </c>
      <c r="C134" s="32" cm="1">
        <f t="array" aca="1" ref="C134" ca="1">INDEX(Data_DBD!$C:$C,$A134)</f>
        <v>6</v>
      </c>
      <c r="D134" s="32" cm="1">
        <f t="array" aca="1" ref="D134" ca="1">INDEX(Data_DBD!$D:$D,$A134)</f>
        <v>18</v>
      </c>
      <c r="E134" s="32" cm="1">
        <f t="array" aca="1" ref="E134" ca="1">INDEX(Data_DBD!$E:$E,$A134)</f>
        <v>0</v>
      </c>
      <c r="F134" s="32" cm="1">
        <f t="array" aca="1" ref="F134" ca="1">INDEX(Data_DBD!$F:$F,$A134)</f>
        <v>3</v>
      </c>
      <c r="H134" s="32">
        <v>122</v>
      </c>
      <c r="I134" s="32">
        <v>28</v>
      </c>
      <c r="J134" s="32">
        <v>3</v>
      </c>
      <c r="K134" s="32">
        <v>33</v>
      </c>
      <c r="L134" s="32">
        <v>1</v>
      </c>
      <c r="M134" s="32">
        <v>3</v>
      </c>
    </row>
    <row r="135" spans="1:13">
      <c r="A135" s="32">
        <f t="shared" ca="1" si="2"/>
        <v>43</v>
      </c>
      <c r="B135" s="32" cm="1">
        <f t="array" aca="1" ref="B135" ca="1">INDEX(Data_DBD!$B:$B,$A135)</f>
        <v>15</v>
      </c>
      <c r="C135" s="32" cm="1">
        <f t="array" aca="1" ref="C135" ca="1">INDEX(Data_DBD!$C:$C,$A135)</f>
        <v>4</v>
      </c>
      <c r="D135" s="32" cm="1">
        <f t="array" aca="1" ref="D135" ca="1">INDEX(Data_DBD!$D:$D,$A135)</f>
        <v>13</v>
      </c>
      <c r="E135" s="32" cm="1">
        <f t="array" aca="1" ref="E135" ca="1">INDEX(Data_DBD!$E:$E,$A135)</f>
        <v>0</v>
      </c>
      <c r="F135" s="32" cm="1">
        <f t="array" aca="1" ref="F135" ca="1">INDEX(Data_DBD!$F:$F,$A135)</f>
        <v>2</v>
      </c>
      <c r="H135" s="32">
        <v>11</v>
      </c>
      <c r="I135" s="32">
        <v>24</v>
      </c>
      <c r="J135" s="32">
        <v>5</v>
      </c>
      <c r="K135" s="32">
        <v>12</v>
      </c>
      <c r="L135" s="32">
        <v>1</v>
      </c>
      <c r="M135" s="32">
        <v>2</v>
      </c>
    </row>
    <row r="136" spans="1:13">
      <c r="A136" s="32">
        <f t="shared" ca="1" si="2"/>
        <v>92</v>
      </c>
      <c r="B136" s="32" cm="1">
        <f t="array" aca="1" ref="B136" ca="1">INDEX(Data_DBD!$B:$B,$A136)</f>
        <v>55</v>
      </c>
      <c r="C136" s="32" cm="1">
        <f t="array" aca="1" ref="C136" ca="1">INDEX(Data_DBD!$C:$C,$A136)</f>
        <v>7</v>
      </c>
      <c r="D136" s="32" cm="1">
        <f t="array" aca="1" ref="D136" ca="1">INDEX(Data_DBD!$D:$D,$A136)</f>
        <v>18</v>
      </c>
      <c r="E136" s="32" cm="1">
        <f t="array" aca="1" ref="E136" ca="1">INDEX(Data_DBD!$E:$E,$A136)</f>
        <v>0</v>
      </c>
      <c r="F136" s="32" cm="1">
        <f t="array" aca="1" ref="F136" ca="1">INDEX(Data_DBD!$F:$F,$A136)</f>
        <v>3</v>
      </c>
      <c r="H136" s="32">
        <v>91</v>
      </c>
      <c r="I136" s="32">
        <v>35</v>
      </c>
      <c r="J136" s="32">
        <v>1</v>
      </c>
      <c r="K136" s="32">
        <v>18</v>
      </c>
      <c r="L136" s="32">
        <v>1</v>
      </c>
      <c r="M136" s="32">
        <v>3</v>
      </c>
    </row>
    <row r="137" spans="1:13">
      <c r="A137" s="32">
        <f t="shared" ca="1" si="2"/>
        <v>4</v>
      </c>
      <c r="B137" s="32" cm="1">
        <f t="array" aca="1" ref="B137" ca="1">INDEX(Data_DBD!$B:$B,$A137)</f>
        <v>23</v>
      </c>
      <c r="C137" s="32" cm="1">
        <f t="array" aca="1" ref="C137" ca="1">INDEX(Data_DBD!$C:$C,$A137)</f>
        <v>5</v>
      </c>
      <c r="D137" s="32" cm="1">
        <f t="array" aca="1" ref="D137" ca="1">INDEX(Data_DBD!$D:$D,$A137)</f>
        <v>12</v>
      </c>
      <c r="E137" s="32" cm="1">
        <f t="array" aca="1" ref="E137" ca="1">INDEX(Data_DBD!$E:$E,$A137)</f>
        <v>0</v>
      </c>
      <c r="F137" s="32" cm="1">
        <f t="array" aca="1" ref="F137" ca="1">INDEX(Data_DBD!$F:$F,$A137)</f>
        <v>2</v>
      </c>
      <c r="H137" s="32">
        <v>68</v>
      </c>
      <c r="I137" s="32">
        <v>44</v>
      </c>
      <c r="J137" s="32">
        <v>5</v>
      </c>
      <c r="K137" s="32">
        <v>10</v>
      </c>
      <c r="L137" s="32">
        <v>0</v>
      </c>
      <c r="M137" s="32">
        <v>2</v>
      </c>
    </row>
    <row r="138" spans="1:13">
      <c r="A138" s="32">
        <f t="shared" ca="1" si="2"/>
        <v>134</v>
      </c>
      <c r="B138" s="32" cm="1">
        <f t="array" aca="1" ref="B138" ca="1">INDEX(Data_DBD!$B:$B,$A138)</f>
        <v>4</v>
      </c>
      <c r="C138" s="32" cm="1">
        <f t="array" aca="1" ref="C138" ca="1">INDEX(Data_DBD!$C:$C,$A138)</f>
        <v>2</v>
      </c>
      <c r="D138" s="32" cm="1">
        <f t="array" aca="1" ref="D138" ca="1">INDEX(Data_DBD!$D:$D,$A138)</f>
        <v>33</v>
      </c>
      <c r="E138" s="32" cm="1">
        <f t="array" aca="1" ref="E138" ca="1">INDEX(Data_DBD!$E:$E,$A138)</f>
        <v>1</v>
      </c>
      <c r="F138" s="32" cm="1">
        <f t="array" aca="1" ref="F138" ca="1">INDEX(Data_DBD!$F:$F,$A138)</f>
        <v>3</v>
      </c>
      <c r="H138" s="32">
        <v>155</v>
      </c>
      <c r="I138" s="32">
        <v>19</v>
      </c>
      <c r="J138" s="32">
        <v>5</v>
      </c>
      <c r="K138" s="32">
        <v>21</v>
      </c>
      <c r="L138" s="32">
        <v>1</v>
      </c>
      <c r="M138" s="32">
        <v>3</v>
      </c>
    </row>
    <row r="139" spans="1:13">
      <c r="A139" s="32">
        <f t="shared" ca="1" si="2"/>
        <v>159</v>
      </c>
      <c r="B139" s="32" cm="1">
        <f t="array" aca="1" ref="B139" ca="1">INDEX(Data_DBD!$B:$B,$A139)</f>
        <v>17</v>
      </c>
      <c r="C139" s="32" cm="1">
        <f t="array" aca="1" ref="C139" ca="1">INDEX(Data_DBD!$C:$C,$A139)</f>
        <v>2</v>
      </c>
      <c r="D139" s="32" cm="1">
        <f t="array" aca="1" ref="D139" ca="1">INDEX(Data_DBD!$D:$D,$A139)</f>
        <v>21</v>
      </c>
      <c r="E139" s="32" cm="1">
        <f t="array" aca="1" ref="E139" ca="1">INDEX(Data_DBD!$E:$E,$A139)</f>
        <v>0</v>
      </c>
      <c r="F139" s="32" cm="1">
        <f t="array" aca="1" ref="F139" ca="1">INDEX(Data_DBD!$F:$F,$A139)</f>
        <v>3</v>
      </c>
      <c r="H139" s="32">
        <v>129</v>
      </c>
      <c r="I139" s="32">
        <v>4.5</v>
      </c>
      <c r="J139" s="32">
        <v>3</v>
      </c>
      <c r="K139" s="32">
        <v>33</v>
      </c>
      <c r="L139" s="32">
        <v>0</v>
      </c>
      <c r="M139" s="32">
        <v>3</v>
      </c>
    </row>
    <row r="140" spans="1:13">
      <c r="A140" s="32">
        <f t="shared" ca="1" si="2"/>
        <v>121</v>
      </c>
      <c r="B140" s="32" cm="1">
        <f t="array" aca="1" ref="B140" ca="1">INDEX(Data_DBD!$B:$B,$A140)</f>
        <v>82</v>
      </c>
      <c r="C140" s="32" cm="1">
        <f t="array" aca="1" ref="C140" ca="1">INDEX(Data_DBD!$C:$C,$A140)</f>
        <v>5</v>
      </c>
      <c r="D140" s="32" cm="1">
        <f t="array" aca="1" ref="D140" ca="1">INDEX(Data_DBD!$D:$D,$A140)</f>
        <v>33</v>
      </c>
      <c r="E140" s="32" cm="1">
        <f t="array" aca="1" ref="E140" ca="1">INDEX(Data_DBD!$E:$E,$A140)</f>
        <v>1</v>
      </c>
      <c r="F140" s="32" cm="1">
        <f t="array" aca="1" ref="F140" ca="1">INDEX(Data_DBD!$F:$F,$A140)</f>
        <v>3</v>
      </c>
      <c r="H140" s="32">
        <v>151</v>
      </c>
      <c r="I140" s="32">
        <v>24</v>
      </c>
      <c r="J140" s="32">
        <v>3</v>
      </c>
      <c r="K140" s="32">
        <v>21</v>
      </c>
      <c r="L140" s="32">
        <v>0</v>
      </c>
      <c r="M140" s="32">
        <v>3</v>
      </c>
    </row>
    <row r="141" spans="1:13">
      <c r="A141" s="32">
        <f t="shared" ca="1" si="2"/>
        <v>61</v>
      </c>
      <c r="B141" s="32" cm="1">
        <f t="array" aca="1" ref="B141" ca="1">INDEX(Data_DBD!$B:$B,$A141)</f>
        <v>29</v>
      </c>
      <c r="C141" s="32" cm="1">
        <f t="array" aca="1" ref="C141" ca="1">INDEX(Data_DBD!$C:$C,$A141)</f>
        <v>3</v>
      </c>
      <c r="D141" s="32" cm="1">
        <f t="array" aca="1" ref="D141" ca="1">INDEX(Data_DBD!$D:$D,$A141)</f>
        <v>15</v>
      </c>
      <c r="E141" s="32" cm="1">
        <f t="array" aca="1" ref="E141" ca="1">INDEX(Data_DBD!$E:$E,$A141)</f>
        <v>1</v>
      </c>
      <c r="F141" s="32" cm="1">
        <f t="array" aca="1" ref="F141" ca="1">INDEX(Data_DBD!$F:$F,$A141)</f>
        <v>2</v>
      </c>
      <c r="H141" s="32">
        <v>120</v>
      </c>
      <c r="I141" s="32">
        <v>26</v>
      </c>
      <c r="J141" s="32">
        <v>4</v>
      </c>
      <c r="K141" s="32">
        <v>33</v>
      </c>
      <c r="L141" s="32">
        <v>1</v>
      </c>
      <c r="M141" s="32">
        <v>3</v>
      </c>
    </row>
    <row r="142" spans="1:13">
      <c r="A142" s="32">
        <f t="shared" ca="1" si="2"/>
        <v>76</v>
      </c>
      <c r="B142" s="32" cm="1">
        <f t="array" aca="1" ref="B142" ca="1">INDEX(Data_DBD!$B:$B,$A142)</f>
        <v>70</v>
      </c>
      <c r="C142" s="32" cm="1">
        <f t="array" aca="1" ref="C142" ca="1">INDEX(Data_DBD!$C:$C,$A142)</f>
        <v>2</v>
      </c>
      <c r="D142" s="32" cm="1">
        <f t="array" aca="1" ref="D142" ca="1">INDEX(Data_DBD!$D:$D,$A142)</f>
        <v>10</v>
      </c>
      <c r="E142" s="32" cm="1">
        <f t="array" aca="1" ref="E142" ca="1">INDEX(Data_DBD!$E:$E,$A142)</f>
        <v>0</v>
      </c>
      <c r="F142" s="32" cm="1">
        <f t="array" aca="1" ref="F142" ca="1">INDEX(Data_DBD!$F:$F,$A142)</f>
        <v>2</v>
      </c>
      <c r="H142" s="32">
        <v>87</v>
      </c>
      <c r="I142" s="32">
        <v>21</v>
      </c>
      <c r="J142" s="32">
        <v>3</v>
      </c>
      <c r="K142" s="32">
        <v>13</v>
      </c>
      <c r="L142" s="32">
        <v>0</v>
      </c>
      <c r="M142" s="32">
        <v>2</v>
      </c>
    </row>
    <row r="143" spans="1:13">
      <c r="A143" s="32">
        <f t="shared" ca="1" si="2"/>
        <v>78</v>
      </c>
      <c r="B143" s="32" cm="1">
        <f t="array" aca="1" ref="B143" ca="1">INDEX(Data_DBD!$B:$B,$A143)</f>
        <v>6</v>
      </c>
      <c r="C143" s="32" cm="1">
        <f t="array" aca="1" ref="C143" ca="1">INDEX(Data_DBD!$C:$C,$A143)</f>
        <v>3</v>
      </c>
      <c r="D143" s="32" cm="1">
        <f t="array" aca="1" ref="D143" ca="1">INDEX(Data_DBD!$D:$D,$A143)</f>
        <v>13</v>
      </c>
      <c r="E143" s="32" cm="1">
        <f t="array" aca="1" ref="E143" ca="1">INDEX(Data_DBD!$E:$E,$A143)</f>
        <v>0</v>
      </c>
      <c r="F143" s="32" cm="1">
        <f t="array" aca="1" ref="F143" ca="1">INDEX(Data_DBD!$F:$F,$A143)</f>
        <v>2</v>
      </c>
      <c r="H143" s="32">
        <v>53</v>
      </c>
      <c r="I143" s="32">
        <v>35</v>
      </c>
      <c r="J143" s="32">
        <v>4</v>
      </c>
      <c r="K143" s="32">
        <v>15</v>
      </c>
      <c r="L143" s="32">
        <v>1</v>
      </c>
      <c r="M143" s="32">
        <v>2</v>
      </c>
    </row>
    <row r="144" spans="1:13">
      <c r="A144" s="32">
        <f t="shared" ca="1" si="2"/>
        <v>3</v>
      </c>
      <c r="B144" s="32" cm="1">
        <f t="array" aca="1" ref="B144" ca="1">INDEX(Data_DBD!$B:$B,$A144)</f>
        <v>43</v>
      </c>
      <c r="C144" s="32" cm="1">
        <f t="array" aca="1" ref="C144" ca="1">INDEX(Data_DBD!$C:$C,$A144)</f>
        <v>3</v>
      </c>
      <c r="D144" s="32" cm="1">
        <f t="array" aca="1" ref="D144" ca="1">INDEX(Data_DBD!$D:$D,$A144)</f>
        <v>12</v>
      </c>
      <c r="E144" s="32" cm="1">
        <f t="array" aca="1" ref="E144" ca="1">INDEX(Data_DBD!$E:$E,$A144)</f>
        <v>1</v>
      </c>
      <c r="F144" s="32" cm="1">
        <f t="array" aca="1" ref="F144" ca="1">INDEX(Data_DBD!$F:$F,$A144)</f>
        <v>2</v>
      </c>
      <c r="H144" s="32">
        <v>53</v>
      </c>
      <c r="I144" s="32">
        <v>35</v>
      </c>
      <c r="J144" s="32">
        <v>4</v>
      </c>
      <c r="K144" s="32">
        <v>15</v>
      </c>
      <c r="L144" s="32">
        <v>1</v>
      </c>
      <c r="M144" s="32">
        <v>2</v>
      </c>
    </row>
    <row r="145" spans="1:13">
      <c r="A145" s="32">
        <f t="shared" ca="1" si="2"/>
        <v>39</v>
      </c>
      <c r="B145" s="32" cm="1">
        <f t="array" aca="1" ref="B145" ca="1">INDEX(Data_DBD!$B:$B,$A145)</f>
        <v>12</v>
      </c>
      <c r="C145" s="32" cm="1">
        <f t="array" aca="1" ref="C145" ca="1">INDEX(Data_DBD!$C:$C,$A145)</f>
        <v>5</v>
      </c>
      <c r="D145" s="32" cm="1">
        <f t="array" aca="1" ref="D145" ca="1">INDEX(Data_DBD!$D:$D,$A145)</f>
        <v>13</v>
      </c>
      <c r="E145" s="32" cm="1">
        <f t="array" aca="1" ref="E145" ca="1">INDEX(Data_DBD!$E:$E,$A145)</f>
        <v>1</v>
      </c>
      <c r="F145" s="32" cm="1">
        <f t="array" aca="1" ref="F145" ca="1">INDEX(Data_DBD!$F:$F,$A145)</f>
        <v>2</v>
      </c>
      <c r="H145" s="32">
        <v>62</v>
      </c>
      <c r="I145" s="32">
        <v>43</v>
      </c>
      <c r="J145" s="32">
        <v>4</v>
      </c>
      <c r="K145" s="32">
        <v>15</v>
      </c>
      <c r="L145" s="32">
        <v>1</v>
      </c>
      <c r="M145" s="32">
        <v>2</v>
      </c>
    </row>
    <row r="146" spans="1:13">
      <c r="A146" s="32">
        <f t="shared" ca="1" si="2"/>
        <v>45</v>
      </c>
      <c r="B146" s="32" cm="1">
        <f t="array" aca="1" ref="B146" ca="1">INDEX(Data_DBD!$B:$B,$A146)</f>
        <v>75</v>
      </c>
      <c r="C146" s="32" cm="1">
        <f t="array" aca="1" ref="C146" ca="1">INDEX(Data_DBD!$C:$C,$A146)</f>
        <v>3</v>
      </c>
      <c r="D146" s="32" cm="1">
        <f t="array" aca="1" ref="D146" ca="1">INDEX(Data_DBD!$D:$D,$A146)</f>
        <v>13</v>
      </c>
      <c r="E146" s="32" cm="1">
        <f t="array" aca="1" ref="E146" ca="1">INDEX(Data_DBD!$E:$E,$A146)</f>
        <v>1</v>
      </c>
      <c r="F146" s="32" cm="1">
        <f t="array" aca="1" ref="F146" ca="1">INDEX(Data_DBD!$F:$F,$A146)</f>
        <v>2</v>
      </c>
      <c r="H146" s="32">
        <v>158</v>
      </c>
      <c r="I146" s="32">
        <v>5</v>
      </c>
      <c r="J146" s="32">
        <v>2</v>
      </c>
      <c r="K146" s="32">
        <v>21</v>
      </c>
      <c r="L146" s="32">
        <v>0</v>
      </c>
      <c r="M146" s="32">
        <v>3</v>
      </c>
    </row>
    <row r="147" spans="1:13">
      <c r="A147" s="32">
        <f t="shared" ca="1" si="2"/>
        <v>151</v>
      </c>
      <c r="B147" s="32" cm="1">
        <f t="array" aca="1" ref="B147" ca="1">INDEX(Data_DBD!$B:$B,$A147)</f>
        <v>24</v>
      </c>
      <c r="C147" s="32" cm="1">
        <f t="array" aca="1" ref="C147" ca="1">INDEX(Data_DBD!$C:$C,$A147)</f>
        <v>3</v>
      </c>
      <c r="D147" s="32" cm="1">
        <f t="array" aca="1" ref="D147" ca="1">INDEX(Data_DBD!$D:$D,$A147)</f>
        <v>21</v>
      </c>
      <c r="E147" s="32" cm="1">
        <f t="array" aca="1" ref="E147" ca="1">INDEX(Data_DBD!$E:$E,$A147)</f>
        <v>0</v>
      </c>
      <c r="F147" s="32" cm="1">
        <f t="array" aca="1" ref="F147" ca="1">INDEX(Data_DBD!$F:$F,$A147)</f>
        <v>3</v>
      </c>
      <c r="H147" s="32">
        <v>99</v>
      </c>
      <c r="I147" s="32">
        <v>4</v>
      </c>
      <c r="J147" s="32">
        <v>2</v>
      </c>
      <c r="K147" s="32">
        <v>18</v>
      </c>
      <c r="L147" s="32">
        <v>1</v>
      </c>
      <c r="M147" s="32">
        <v>3</v>
      </c>
    </row>
    <row r="148" spans="1:13">
      <c r="A148" s="32">
        <f t="shared" ca="1" si="2"/>
        <v>162</v>
      </c>
      <c r="B148" s="32" cm="1">
        <f t="array" aca="1" ref="B148" ca="1">INDEX(Data_DBD!$B:$B,$A148)</f>
        <v>22</v>
      </c>
      <c r="C148" s="32" cm="1">
        <f t="array" aca="1" ref="C148" ca="1">INDEX(Data_DBD!$C:$C,$A148)</f>
        <v>3</v>
      </c>
      <c r="D148" s="32" cm="1">
        <f t="array" aca="1" ref="D148" ca="1">INDEX(Data_DBD!$D:$D,$A148)</f>
        <v>3</v>
      </c>
      <c r="E148" s="32" cm="1">
        <f t="array" aca="1" ref="E148" ca="1">INDEX(Data_DBD!$E:$E,$A148)</f>
        <v>1</v>
      </c>
      <c r="F148" s="32" cm="1">
        <f t="array" aca="1" ref="F148" ca="1">INDEX(Data_DBD!$F:$F,$A148)</f>
        <v>1</v>
      </c>
      <c r="H148" s="32">
        <v>71</v>
      </c>
      <c r="I148" s="32">
        <v>84</v>
      </c>
      <c r="J148" s="32">
        <v>3</v>
      </c>
      <c r="K148" s="32">
        <v>10</v>
      </c>
      <c r="L148" s="32">
        <v>0</v>
      </c>
      <c r="M148" s="32">
        <v>2</v>
      </c>
    </row>
    <row r="149" spans="1:13">
      <c r="A149" s="32">
        <f t="shared" ca="1" si="2"/>
        <v>42</v>
      </c>
      <c r="B149" s="32" cm="1">
        <f t="array" aca="1" ref="B149" ca="1">INDEX(Data_DBD!$B:$B,$A149)</f>
        <v>21</v>
      </c>
      <c r="C149" s="32" cm="1">
        <f t="array" aca="1" ref="C149" ca="1">INDEX(Data_DBD!$C:$C,$A149)</f>
        <v>5</v>
      </c>
      <c r="D149" s="32" cm="1">
        <f t="array" aca="1" ref="D149" ca="1">INDEX(Data_DBD!$D:$D,$A149)</f>
        <v>13</v>
      </c>
      <c r="E149" s="32" cm="1">
        <f t="array" aca="1" ref="E149" ca="1">INDEX(Data_DBD!$E:$E,$A149)</f>
        <v>1</v>
      </c>
      <c r="F149" s="32" cm="1">
        <f t="array" aca="1" ref="F149" ca="1">INDEX(Data_DBD!$F:$F,$A149)</f>
        <v>2</v>
      </c>
      <c r="H149" s="32">
        <v>130</v>
      </c>
      <c r="I149" s="32">
        <v>12</v>
      </c>
      <c r="J149" s="32">
        <v>4</v>
      </c>
      <c r="K149" s="32">
        <v>33</v>
      </c>
      <c r="L149" s="32">
        <v>0</v>
      </c>
      <c r="M149" s="32">
        <v>3</v>
      </c>
    </row>
    <row r="150" spans="1:13">
      <c r="A150" s="32">
        <f t="shared" ca="1" si="2"/>
        <v>77</v>
      </c>
      <c r="B150" s="32" cm="1">
        <f t="array" aca="1" ref="B150" ca="1">INDEX(Data_DBD!$B:$B,$A150)</f>
        <v>16</v>
      </c>
      <c r="C150" s="32" cm="1">
        <f t="array" aca="1" ref="C150" ca="1">INDEX(Data_DBD!$C:$C,$A150)</f>
        <v>4</v>
      </c>
      <c r="D150" s="32" cm="1">
        <f t="array" aca="1" ref="D150" ca="1">INDEX(Data_DBD!$D:$D,$A150)</f>
        <v>13</v>
      </c>
      <c r="E150" s="32" cm="1">
        <f t="array" aca="1" ref="E150" ca="1">INDEX(Data_DBD!$E:$E,$A150)</f>
        <v>1</v>
      </c>
      <c r="F150" s="32" cm="1">
        <f t="array" aca="1" ref="F150" ca="1">INDEX(Data_DBD!$F:$F,$A150)</f>
        <v>2</v>
      </c>
      <c r="H150" s="32">
        <v>133</v>
      </c>
      <c r="I150" s="32">
        <v>6</v>
      </c>
      <c r="J150" s="32">
        <v>4</v>
      </c>
      <c r="K150" s="32">
        <v>33</v>
      </c>
      <c r="L150" s="32">
        <v>0</v>
      </c>
      <c r="M150" s="32">
        <v>3</v>
      </c>
    </row>
    <row r="151" spans="1:13">
      <c r="A151" s="32">
        <f t="shared" ca="1" si="2"/>
        <v>152</v>
      </c>
      <c r="B151" s="32" cm="1">
        <f t="array" aca="1" ref="B151" ca="1">INDEX(Data_DBD!$B:$B,$A151)</f>
        <v>47</v>
      </c>
      <c r="C151" s="32" cm="1">
        <f t="array" aca="1" ref="C151" ca="1">INDEX(Data_DBD!$C:$C,$A151)</f>
        <v>3</v>
      </c>
      <c r="D151" s="32" cm="1">
        <f t="array" aca="1" ref="D151" ca="1">INDEX(Data_DBD!$D:$D,$A151)</f>
        <v>21</v>
      </c>
      <c r="E151" s="32" cm="1">
        <f t="array" aca="1" ref="E151" ca="1">INDEX(Data_DBD!$E:$E,$A151)</f>
        <v>1</v>
      </c>
      <c r="F151" s="32" cm="1">
        <f t="array" aca="1" ref="F151" ca="1">INDEX(Data_DBD!$F:$F,$A151)</f>
        <v>3</v>
      </c>
      <c r="H151" s="32">
        <v>128</v>
      </c>
      <c r="I151" s="32">
        <v>38</v>
      </c>
      <c r="J151" s="32">
        <v>2</v>
      </c>
      <c r="K151" s="32">
        <v>33</v>
      </c>
      <c r="L151" s="32">
        <v>0</v>
      </c>
      <c r="M151" s="32">
        <v>3</v>
      </c>
    </row>
    <row r="152" spans="1:13">
      <c r="A152" s="32">
        <f t="shared" ca="1" si="2"/>
        <v>149</v>
      </c>
      <c r="B152" s="32" cm="1">
        <f t="array" aca="1" ref="B152" ca="1">INDEX(Data_DBD!$B:$B,$A152)</f>
        <v>19</v>
      </c>
      <c r="C152" s="32" cm="1">
        <f t="array" aca="1" ref="C152" ca="1">INDEX(Data_DBD!$C:$C,$A152)</f>
        <v>5</v>
      </c>
      <c r="D152" s="32" cm="1">
        <f t="array" aca="1" ref="D152" ca="1">INDEX(Data_DBD!$D:$D,$A152)</f>
        <v>21</v>
      </c>
      <c r="E152" s="32" cm="1">
        <f t="array" aca="1" ref="E152" ca="1">INDEX(Data_DBD!$E:$E,$A152)</f>
        <v>0</v>
      </c>
      <c r="F152" s="32" cm="1">
        <f t="array" aca="1" ref="F152" ca="1">INDEX(Data_DBD!$F:$F,$A152)</f>
        <v>3</v>
      </c>
      <c r="H152" s="32">
        <v>47</v>
      </c>
      <c r="I152" s="32">
        <v>19</v>
      </c>
      <c r="J152" s="32">
        <v>2</v>
      </c>
      <c r="K152" s="32">
        <v>13</v>
      </c>
      <c r="L152" s="32">
        <v>0</v>
      </c>
      <c r="M152" s="32">
        <v>2</v>
      </c>
    </row>
    <row r="153" spans="1:13">
      <c r="A153" s="32">
        <f t="shared" ca="1" si="2"/>
        <v>55</v>
      </c>
      <c r="B153" s="32" cm="1">
        <f t="array" aca="1" ref="B153" ca="1">INDEX(Data_DBD!$B:$B,$A153)</f>
        <v>7</v>
      </c>
      <c r="C153" s="32" cm="1">
        <f t="array" aca="1" ref="C153" ca="1">INDEX(Data_DBD!$C:$C,$A153)</f>
        <v>4</v>
      </c>
      <c r="D153" s="32" cm="1">
        <f t="array" aca="1" ref="D153" ca="1">INDEX(Data_DBD!$D:$D,$A153)</f>
        <v>15</v>
      </c>
      <c r="E153" s="32" cm="1">
        <f t="array" aca="1" ref="E153" ca="1">INDEX(Data_DBD!$E:$E,$A153)</f>
        <v>1</v>
      </c>
      <c r="F153" s="32" cm="1">
        <f t="array" aca="1" ref="F153" ca="1">INDEX(Data_DBD!$F:$F,$A153)</f>
        <v>2</v>
      </c>
      <c r="H153" s="32">
        <v>70</v>
      </c>
      <c r="I153" s="32">
        <v>26</v>
      </c>
      <c r="J153" s="32">
        <v>3</v>
      </c>
      <c r="K153" s="32">
        <v>10</v>
      </c>
      <c r="L153" s="32">
        <v>1</v>
      </c>
      <c r="M153" s="32">
        <v>2</v>
      </c>
    </row>
    <row r="154" spans="1:13">
      <c r="A154" s="32">
        <f t="shared" ca="1" si="2"/>
        <v>84</v>
      </c>
      <c r="B154" s="32" cm="1">
        <f t="array" aca="1" ref="B154" ca="1">INDEX(Data_DBD!$B:$B,$A154)</f>
        <v>42</v>
      </c>
      <c r="C154" s="32" cm="1">
        <f t="array" aca="1" ref="C154" ca="1">INDEX(Data_DBD!$C:$C,$A154)</f>
        <v>4</v>
      </c>
      <c r="D154" s="32" cm="1">
        <f t="array" aca="1" ref="D154" ca="1">INDEX(Data_DBD!$D:$D,$A154)</f>
        <v>13</v>
      </c>
      <c r="E154" s="32" cm="1">
        <f t="array" aca="1" ref="E154" ca="1">INDEX(Data_DBD!$E:$E,$A154)</f>
        <v>1</v>
      </c>
      <c r="F154" s="32" cm="1">
        <f t="array" aca="1" ref="F154" ca="1">INDEX(Data_DBD!$F:$F,$A154)</f>
        <v>2</v>
      </c>
      <c r="H154" s="32">
        <v>120</v>
      </c>
      <c r="I154" s="32">
        <v>26</v>
      </c>
      <c r="J154" s="32">
        <v>4</v>
      </c>
      <c r="K154" s="32">
        <v>33</v>
      </c>
      <c r="L154" s="32">
        <v>1</v>
      </c>
      <c r="M154" s="32">
        <v>3</v>
      </c>
    </row>
    <row r="155" spans="1:13">
      <c r="A155" s="32">
        <f t="shared" ca="1" si="2"/>
        <v>34</v>
      </c>
      <c r="B155" s="32" cm="1">
        <f t="array" aca="1" ref="B155" ca="1">INDEX(Data_DBD!$B:$B,$A155)</f>
        <v>55</v>
      </c>
      <c r="C155" s="32" cm="1">
        <f t="array" aca="1" ref="C155" ca="1">INDEX(Data_DBD!$C:$C,$A155)</f>
        <v>3</v>
      </c>
      <c r="D155" s="32" cm="1">
        <f t="array" aca="1" ref="D155" ca="1">INDEX(Data_DBD!$D:$D,$A155)</f>
        <v>14</v>
      </c>
      <c r="E155" s="32" cm="1">
        <f t="array" aca="1" ref="E155" ca="1">INDEX(Data_DBD!$E:$E,$A155)</f>
        <v>0</v>
      </c>
      <c r="F155" s="32" cm="1">
        <f t="array" aca="1" ref="F155" ca="1">INDEX(Data_DBD!$F:$F,$A155)</f>
        <v>2</v>
      </c>
      <c r="H155" s="32">
        <v>89</v>
      </c>
      <c r="I155" s="32">
        <v>32</v>
      </c>
      <c r="J155" s="32">
        <v>4</v>
      </c>
      <c r="K155" s="32">
        <v>13</v>
      </c>
      <c r="L155" s="32">
        <v>0</v>
      </c>
      <c r="M155" s="32">
        <v>2</v>
      </c>
    </row>
    <row r="156" spans="1:13">
      <c r="A156" s="32">
        <f t="shared" ca="1" si="2"/>
        <v>72</v>
      </c>
      <c r="B156" s="32" cm="1">
        <f t="array" aca="1" ref="B156" ca="1">INDEX(Data_DBD!$B:$B,$A156)</f>
        <v>3</v>
      </c>
      <c r="C156" s="32" cm="1">
        <f t="array" aca="1" ref="C156" ca="1">INDEX(Data_DBD!$C:$C,$A156)</f>
        <v>5</v>
      </c>
      <c r="D156" s="32" cm="1">
        <f t="array" aca="1" ref="D156" ca="1">INDEX(Data_DBD!$D:$D,$A156)</f>
        <v>10</v>
      </c>
      <c r="E156" s="32" cm="1">
        <f t="array" aca="1" ref="E156" ca="1">INDEX(Data_DBD!$E:$E,$A156)</f>
        <v>1</v>
      </c>
      <c r="F156" s="32" cm="1">
        <f t="array" aca="1" ref="F156" ca="1">INDEX(Data_DBD!$F:$F,$A156)</f>
        <v>2</v>
      </c>
      <c r="H156" s="32">
        <v>136</v>
      </c>
      <c r="I156" s="32">
        <v>6</v>
      </c>
      <c r="J156" s="32">
        <v>2</v>
      </c>
      <c r="K156" s="32">
        <v>33</v>
      </c>
      <c r="L156" s="32">
        <v>0</v>
      </c>
      <c r="M156" s="32">
        <v>3</v>
      </c>
    </row>
    <row r="157" spans="1:13">
      <c r="A157" s="32">
        <f t="shared" ca="1" si="2"/>
        <v>139</v>
      </c>
      <c r="B157" s="32" cm="1">
        <f t="array" aca="1" ref="B157" ca="1">INDEX(Data_DBD!$B:$B,$A157)</f>
        <v>52</v>
      </c>
      <c r="C157" s="32" cm="1">
        <f t="array" aca="1" ref="C157" ca="1">INDEX(Data_DBD!$C:$C,$A157)</f>
        <v>7</v>
      </c>
      <c r="D157" s="32" cm="1">
        <f t="array" aca="1" ref="D157" ca="1">INDEX(Data_DBD!$D:$D,$A157)</f>
        <v>21</v>
      </c>
      <c r="E157" s="32" cm="1">
        <f t="array" aca="1" ref="E157" ca="1">INDEX(Data_DBD!$E:$E,$A157)</f>
        <v>0</v>
      </c>
      <c r="F157" s="32" cm="1">
        <f t="array" aca="1" ref="F157" ca="1">INDEX(Data_DBD!$F:$F,$A157)</f>
        <v>3</v>
      </c>
      <c r="H157" s="32">
        <v>36</v>
      </c>
      <c r="I157" s="32">
        <v>27</v>
      </c>
      <c r="J157" s="32">
        <v>1</v>
      </c>
      <c r="K157" s="32">
        <v>4</v>
      </c>
      <c r="L157" s="32">
        <v>1</v>
      </c>
      <c r="M157" s="32">
        <v>1</v>
      </c>
    </row>
    <row r="158" spans="1:13" ht="15.75">
      <c r="A158" s="32">
        <f t="shared" ca="1" si="2"/>
        <v>65</v>
      </c>
      <c r="B158" s="32" cm="1">
        <f t="array" aca="1" ref="B158" ca="1">INDEX(Data_DBD!$B:$B,$A158)</f>
        <v>49</v>
      </c>
      <c r="C158" s="32" cm="1">
        <f t="array" aca="1" ref="C158" ca="1">INDEX(Data_DBD!$C:$C,$A158)</f>
        <v>3</v>
      </c>
      <c r="D158" s="32" cm="1">
        <f t="array" aca="1" ref="D158" ca="1">INDEX(Data_DBD!$D:$D,$A158)</f>
        <v>15</v>
      </c>
      <c r="E158" s="32" cm="1">
        <f t="array" aca="1" ref="E158" ca="1">INDEX(Data_DBD!$E:$E,$A158)</f>
        <v>0</v>
      </c>
      <c r="F158" s="32" cm="1">
        <f t="array" aca="1" ref="F158" ca="1">INDEX(Data_DBD!$F:$F,$A158)</f>
        <v>2</v>
      </c>
      <c r="H158" s="32">
        <v>107</v>
      </c>
      <c r="I158" s="32">
        <v>48</v>
      </c>
      <c r="J158" s="32">
        <v>5</v>
      </c>
      <c r="K158" s="32">
        <v>18</v>
      </c>
      <c r="L158" s="58">
        <v>0</v>
      </c>
      <c r="M158" s="32">
        <v>3</v>
      </c>
    </row>
    <row r="159" spans="1:13" ht="15.75">
      <c r="A159" s="32">
        <f t="shared" ca="1" si="2"/>
        <v>63</v>
      </c>
      <c r="B159" s="32" cm="1">
        <f t="array" aca="1" ref="B159" ca="1">INDEX(Data_DBD!$B:$B,$A159)</f>
        <v>25</v>
      </c>
      <c r="C159" s="32" cm="1">
        <f t="array" aca="1" ref="C159" ca="1">INDEX(Data_DBD!$C:$C,$A159)</f>
        <v>3</v>
      </c>
      <c r="D159" s="32" cm="1">
        <f t="array" aca="1" ref="D159" ca="1">INDEX(Data_DBD!$D:$D,$A159)</f>
        <v>15</v>
      </c>
      <c r="E159" s="32" cm="1">
        <f t="array" aca="1" ref="E159" ca="1">INDEX(Data_DBD!$E:$E,$A159)</f>
        <v>0</v>
      </c>
      <c r="F159" s="32" cm="1">
        <f t="array" aca="1" ref="F159" ca="1">INDEX(Data_DBD!$F:$F,$A159)</f>
        <v>2</v>
      </c>
      <c r="H159" s="32">
        <v>149</v>
      </c>
      <c r="I159" s="32">
        <v>19</v>
      </c>
      <c r="J159" s="32">
        <v>5</v>
      </c>
      <c r="K159" s="32">
        <v>21</v>
      </c>
      <c r="L159" s="59">
        <v>0</v>
      </c>
      <c r="M159" s="32">
        <v>3</v>
      </c>
    </row>
    <row r="160" spans="1:13" ht="15.75">
      <c r="A160" s="32">
        <f t="shared" ca="1" si="2"/>
        <v>63</v>
      </c>
      <c r="B160" s="32" cm="1">
        <f t="array" aca="1" ref="B160" ca="1">INDEX(Data_DBD!$B:$B,$A160)</f>
        <v>25</v>
      </c>
      <c r="C160" s="32" cm="1">
        <f t="array" aca="1" ref="C160" ca="1">INDEX(Data_DBD!$C:$C,$A160)</f>
        <v>3</v>
      </c>
      <c r="D160" s="32" cm="1">
        <f t="array" aca="1" ref="D160" ca="1">INDEX(Data_DBD!$D:$D,$A160)</f>
        <v>15</v>
      </c>
      <c r="E160" s="32" cm="1">
        <f t="array" aca="1" ref="E160" ca="1">INDEX(Data_DBD!$E:$E,$A160)</f>
        <v>0</v>
      </c>
      <c r="F160" s="32" cm="1">
        <f t="array" aca="1" ref="F160" ca="1">INDEX(Data_DBD!$F:$F,$A160)</f>
        <v>2</v>
      </c>
      <c r="H160" s="32">
        <v>147</v>
      </c>
      <c r="I160" s="32">
        <v>66</v>
      </c>
      <c r="J160" s="32">
        <v>10</v>
      </c>
      <c r="K160" s="32">
        <v>21</v>
      </c>
      <c r="L160" s="60">
        <v>1</v>
      </c>
      <c r="M160" s="32">
        <v>3</v>
      </c>
    </row>
    <row r="161" spans="1:22" ht="15.75">
      <c r="A161" s="32">
        <f t="shared" ca="1" si="2"/>
        <v>149</v>
      </c>
      <c r="B161" s="32" cm="1">
        <f t="array" aca="1" ref="B161" ca="1">INDEX(Data_DBD!$B:$B,$A161)</f>
        <v>19</v>
      </c>
      <c r="C161" s="32" cm="1">
        <f t="array" aca="1" ref="C161" ca="1">INDEX(Data_DBD!$C:$C,$A161)</f>
        <v>5</v>
      </c>
      <c r="D161" s="32" cm="1">
        <f t="array" aca="1" ref="D161" ca="1">INDEX(Data_DBD!$D:$D,$A161)</f>
        <v>21</v>
      </c>
      <c r="E161" s="32" cm="1">
        <f t="array" aca="1" ref="E161" ca="1">INDEX(Data_DBD!$E:$E,$A161)</f>
        <v>0</v>
      </c>
      <c r="F161" s="32" cm="1">
        <f t="array" aca="1" ref="F161" ca="1">INDEX(Data_DBD!$F:$F,$A161)</f>
        <v>3</v>
      </c>
      <c r="H161" s="32">
        <v>162</v>
      </c>
      <c r="I161" s="32">
        <v>22</v>
      </c>
      <c r="J161" s="32">
        <v>3</v>
      </c>
      <c r="K161" s="32">
        <v>3</v>
      </c>
      <c r="L161" s="60">
        <v>1</v>
      </c>
      <c r="M161" s="32">
        <v>1</v>
      </c>
    </row>
    <row r="162" spans="1:22" ht="15.75">
      <c r="A162" s="32">
        <f t="shared" ca="1" si="2"/>
        <v>35</v>
      </c>
      <c r="B162" s="32" cm="1">
        <f t="array" aca="1" ref="B162" ca="1">INDEX(Data_DBD!$B:$B,$A162)</f>
        <v>40</v>
      </c>
      <c r="C162" s="32" cm="1">
        <f t="array" aca="1" ref="C162" ca="1">INDEX(Data_DBD!$C:$C,$A162)</f>
        <v>3</v>
      </c>
      <c r="D162" s="32" cm="1">
        <f t="array" aca="1" ref="D162" ca="1">INDEX(Data_DBD!$D:$D,$A162)</f>
        <v>4</v>
      </c>
      <c r="E162" s="32" cm="1">
        <f t="array" aca="1" ref="E162" ca="1">INDEX(Data_DBD!$E:$E,$A162)</f>
        <v>1</v>
      </c>
      <c r="F162" s="32" cm="1">
        <f t="array" aca="1" ref="F162" ca="1">INDEX(Data_DBD!$F:$F,$A162)</f>
        <v>1</v>
      </c>
      <c r="H162" s="32">
        <v>58</v>
      </c>
      <c r="I162" s="32">
        <v>17</v>
      </c>
      <c r="J162" s="32">
        <v>3</v>
      </c>
      <c r="K162" s="32">
        <v>15</v>
      </c>
      <c r="L162" s="59">
        <v>0</v>
      </c>
      <c r="M162" s="32">
        <v>2</v>
      </c>
    </row>
    <row r="163" spans="1:22" ht="15.75">
      <c r="A163" s="32">
        <f t="shared" ca="1" si="2"/>
        <v>60</v>
      </c>
      <c r="B163" s="32" cm="1">
        <f t="array" aca="1" ref="B163" ca="1">INDEX(Data_DBD!$B:$B,$A163)</f>
        <v>68</v>
      </c>
      <c r="C163" s="32" cm="1">
        <f t="array" aca="1" ref="C163" ca="1">INDEX(Data_DBD!$C:$C,$A163)</f>
        <v>4</v>
      </c>
      <c r="D163" s="32" cm="1">
        <f t="array" aca="1" ref="D163" ca="1">INDEX(Data_DBD!$D:$D,$A163)</f>
        <v>15</v>
      </c>
      <c r="E163" s="32" cm="1">
        <f t="array" aca="1" ref="E163" ca="1">INDEX(Data_DBD!$E:$E,$A163)</f>
        <v>0</v>
      </c>
      <c r="F163" s="32" cm="1">
        <f t="array" aca="1" ref="F163" ca="1">INDEX(Data_DBD!$F:$F,$A163)</f>
        <v>2</v>
      </c>
      <c r="H163" s="32">
        <v>149</v>
      </c>
      <c r="I163" s="32">
        <v>19</v>
      </c>
      <c r="J163" s="32">
        <v>5</v>
      </c>
      <c r="K163" s="32">
        <v>21</v>
      </c>
      <c r="L163" s="60">
        <v>0</v>
      </c>
      <c r="M163" s="32">
        <v>3</v>
      </c>
    </row>
    <row r="164" spans="1:22">
      <c r="A164" s="32">
        <f t="shared" ca="1" si="2"/>
        <v>14</v>
      </c>
      <c r="B164" s="32" cm="1">
        <f t="array" aca="1" ref="B164" ca="1">INDEX(Data_DBD!$B:$B,$A164)</f>
        <v>49</v>
      </c>
      <c r="C164" s="32" cm="1">
        <f t="array" aca="1" ref="C164" ca="1">INDEX(Data_DBD!$C:$C,$A164)</f>
        <v>4</v>
      </c>
      <c r="D164" s="32" cm="1">
        <f t="array" aca="1" ref="D164" ca="1">INDEX(Data_DBD!$D:$D,$A164)</f>
        <v>7</v>
      </c>
      <c r="E164" s="32" cm="1">
        <f t="array" aca="1" ref="E164" ca="1">INDEX(Data_DBD!$E:$E,$A164)</f>
        <v>1</v>
      </c>
      <c r="F164" s="32" cm="1">
        <f t="array" aca="1" ref="F164" ca="1">INDEX(Data_DBD!$F:$F,$A164)</f>
        <v>1</v>
      </c>
      <c r="H164" s="32">
        <v>22</v>
      </c>
      <c r="I164" s="32">
        <v>6</v>
      </c>
      <c r="J164" s="32">
        <v>3</v>
      </c>
      <c r="K164" s="32">
        <v>14</v>
      </c>
      <c r="L164" s="32">
        <v>0</v>
      </c>
      <c r="M164" s="32">
        <v>2</v>
      </c>
    </row>
    <row r="165" spans="1:22">
      <c r="I165">
        <f>AVERAGE(I2:I164)</f>
        <v>31.503086419753085</v>
      </c>
      <c r="J165">
        <f>AVERAGE(J2:J164)</f>
        <v>3.6809815950920246</v>
      </c>
      <c r="K165">
        <f>AVERAGE(K2:K164)</f>
        <v>17.717791411042946</v>
      </c>
      <c r="L165">
        <f>AVERAGE(L2:L164)</f>
        <v>0.53987730061349692</v>
      </c>
    </row>
    <row r="166" spans="1:22">
      <c r="B166">
        <v>9</v>
      </c>
    </row>
    <row r="168" spans="1:22">
      <c r="E168" s="38" t="s">
        <v>188</v>
      </c>
      <c r="J168" s="38" t="s">
        <v>189</v>
      </c>
      <c r="O168" s="38" t="s">
        <v>190</v>
      </c>
      <c r="T168" s="38" t="s">
        <v>191</v>
      </c>
    </row>
    <row r="169" spans="1:22">
      <c r="E169" s="32" t="s">
        <v>1</v>
      </c>
      <c r="F169" s="32">
        <f>AVERAGEIF($I$2:$I$164,"&lt;="&amp;$I$165)</f>
        <v>15.713541666666666</v>
      </c>
      <c r="G169" s="32">
        <f>AVERAGEIF($I$2:$I$164,"&gt;"&amp;$I$165)</f>
        <v>54.469696969696969</v>
      </c>
      <c r="J169" s="32" t="s">
        <v>192</v>
      </c>
      <c r="K169" s="32">
        <f>AVERAGEIF($J$2:$J$164,"&lt;="&amp;$J$165)</f>
        <v>2.5324675324675323</v>
      </c>
      <c r="L169" s="32">
        <f>AVERAGEIF($J$2:$J$164,"&gt;"&amp;$J$165)</f>
        <v>4.7093023255813957</v>
      </c>
      <c r="O169" s="32" t="s">
        <v>193</v>
      </c>
      <c r="P169" s="32">
        <f>AVERAGEIF($K$2:$K$164,"&lt;="&amp;$K$165)</f>
        <v>12.112244897959183</v>
      </c>
      <c r="Q169" s="32">
        <f>AVERAGEIF($K$2:$K$164,"&gt;"&amp;$K$165)</f>
        <v>26.169230769230769</v>
      </c>
      <c r="T169" s="32" t="s">
        <v>194</v>
      </c>
      <c r="U169" s="32">
        <f>AVERAGEIF($L$2:$L$164,"&lt;="&amp;$L$165)</f>
        <v>0</v>
      </c>
      <c r="V169" s="32">
        <f>AVERAGEIF($L$2:$L$164,"&gt;"&amp;$L$165)</f>
        <v>1</v>
      </c>
    </row>
    <row r="170" spans="1:22">
      <c r="E170" s="32" t="str" cm="1">
        <f t="array" ref="E170:E332">IF($I$2:$I$164&lt;$F$169,"kiri",IF($I$2:$I$164&lt;$G$169,"tengah","kanan"))</f>
        <v>kanan</v>
      </c>
      <c r="F170" s="55" t="s">
        <v>269</v>
      </c>
      <c r="G170" s="32"/>
      <c r="J170" s="32" t="str" cm="1">
        <f t="array" ref="J170:J332">IF($J$2:$J$164&lt;$K$169,"kiri",IF($J$2:$J$164&lt;$L$169,"tengah","kanan"))</f>
        <v>kiri</v>
      </c>
      <c r="K170" s="55" t="s">
        <v>271</v>
      </c>
      <c r="L170" s="32"/>
      <c r="O170" s="32" t="str" cm="1">
        <f t="array" ref="O170:O332">IF($K$2:$K$164&lt;$P$169,"kiri",IF($K$2:$K$164&lt;$Q$169,"tengah","kanan"))</f>
        <v>tengah</v>
      </c>
      <c r="P170" s="55" t="s">
        <v>273</v>
      </c>
      <c r="Q170" s="32"/>
      <c r="T170" s="32" t="str" cm="1">
        <f t="array" ref="T170:T332">IF($L$2:$L$164&lt;$U$169,"kiri",IF($L$2:$L$164&lt;$V$169,"tengah","kanan"))</f>
        <v>kanan</v>
      </c>
      <c r="U170" s="32" t="s">
        <v>195</v>
      </c>
      <c r="V170" s="32"/>
    </row>
    <row r="171" spans="1:22">
      <c r="E171" s="32" t="str">
        <v>kanan</v>
      </c>
      <c r="F171" s="32">
        <f>COUNTIFS($E$170:$E$332,"Kanan",$M$2:$M$164,"1")</f>
        <v>1</v>
      </c>
      <c r="G171" s="32">
        <f>F171/32</f>
        <v>3.125E-2</v>
      </c>
      <c r="J171" s="32" t="str">
        <v>kanan</v>
      </c>
      <c r="K171" s="32" cm="1">
        <f t="array" ref="K171">SUMPRODUCT((J170:J332="Kanan")*(M2:M164=1))</f>
        <v>5</v>
      </c>
      <c r="L171" s="32">
        <f>K171/35</f>
        <v>0.14285714285714285</v>
      </c>
      <c r="O171" s="32" t="str">
        <v>tengah</v>
      </c>
      <c r="P171" s="32">
        <f>COUNTIFS($O$170:$O$332,"Kanan",$M$2:$M$164,"1")</f>
        <v>0</v>
      </c>
      <c r="Q171" s="32">
        <f>P171/31</f>
        <v>0</v>
      </c>
      <c r="T171" s="32" t="str">
        <v>kanan</v>
      </c>
      <c r="U171" s="32">
        <f>COUNTIFS($T$170:$T$332,"Kanan",$M$2:$M$164,"1")</f>
        <v>8</v>
      </c>
      <c r="V171" s="32">
        <f>U171/88</f>
        <v>9.0909090909090912E-2</v>
      </c>
    </row>
    <row r="172" spans="1:22">
      <c r="E172" s="32" t="str">
        <v>tengah</v>
      </c>
      <c r="F172" s="32">
        <f>COUNTIFS($E$170:$E$332,"Kanan",$M$2:$M$164,"2")</f>
        <v>18</v>
      </c>
      <c r="G172" s="32">
        <f t="shared" ref="G172:G173" si="3">F172/32</f>
        <v>0.5625</v>
      </c>
      <c r="J172" s="32" t="str">
        <v>tengah</v>
      </c>
      <c r="K172" s="32">
        <f>COUNTIFS($J$170:$J$332,"Kanan",$M$2:$M$164,"2")</f>
        <v>13</v>
      </c>
      <c r="L172" s="32">
        <f t="shared" ref="L172:L173" si="4">K172/35</f>
        <v>0.37142857142857144</v>
      </c>
      <c r="O172" s="32" t="str">
        <v>tengah</v>
      </c>
      <c r="P172" s="32">
        <f>COUNTIFS($O$170:$O$332,"Kanan",$M$2:$M$164,"2")</f>
        <v>0</v>
      </c>
      <c r="Q172" s="32">
        <f t="shared" ref="Q172:Q173" si="5">P172/31</f>
        <v>0</v>
      </c>
      <c r="T172" s="32" t="str">
        <v>kanan</v>
      </c>
      <c r="U172" s="32">
        <f>COUNTIFS($T$170:$T$332,"Kanan",$M$2:$M$164,"2")</f>
        <v>41</v>
      </c>
      <c r="V172" s="32">
        <f t="shared" ref="V172:V173" si="6">U172/88</f>
        <v>0.46590909090909088</v>
      </c>
    </row>
    <row r="173" spans="1:22">
      <c r="E173" s="32" t="str">
        <v>tengah</v>
      </c>
      <c r="F173" s="32" cm="1">
        <f t="array" ref="F173">SUMPRODUCT((E170:E332="KANAN")*(M2:M164=3))</f>
        <v>13</v>
      </c>
      <c r="G173" s="32">
        <f t="shared" si="3"/>
        <v>0.40625</v>
      </c>
      <c r="J173" s="32" t="str">
        <v>tengah</v>
      </c>
      <c r="K173" s="32">
        <f>COUNTIFS($J$170:$J$332,"Kanan",$M$2:$M$164,"3")</f>
        <v>17</v>
      </c>
      <c r="L173" s="32">
        <f t="shared" si="4"/>
        <v>0.48571428571428571</v>
      </c>
      <c r="O173" s="32" t="str">
        <v>tengah</v>
      </c>
      <c r="P173" s="32">
        <f>COUNTIFS($O$170:$O$332,"Kanan",$M$2:$M$164,"3")</f>
        <v>31</v>
      </c>
      <c r="Q173" s="32">
        <f t="shared" si="5"/>
        <v>1</v>
      </c>
      <c r="T173" s="32" t="str">
        <v>kanan</v>
      </c>
      <c r="U173" s="32">
        <f>COUNTIFS($T$170:$T$332,"Kanan",$M$2:$M$164,"3")</f>
        <v>39</v>
      </c>
      <c r="V173" s="32">
        <f t="shared" si="6"/>
        <v>0.44318181818181818</v>
      </c>
    </row>
    <row r="174" spans="1:22">
      <c r="E174" s="32" t="str">
        <v>tengah</v>
      </c>
      <c r="F174" s="32" t="s">
        <v>196</v>
      </c>
      <c r="G174" s="32">
        <f>-(IFERROR(G171*LOG(G171,2),0)+IFERROR(G172*LOG(G172,2),0)+IFERROR(G173*LOG(G173,2),0))</f>
        <v>1.1511135511938806</v>
      </c>
      <c r="J174" s="32" t="str">
        <v>kiri</v>
      </c>
      <c r="K174" s="32" t="s">
        <v>196</v>
      </c>
      <c r="L174" s="32">
        <f>-(IFERROR(L171*LOG(L171,2),0)+IFERROR(L172*LOG(L172,2),0)+IFERROR(L173*LOG(L173,2),0))</f>
        <v>1.4377908709013441</v>
      </c>
      <c r="O174" s="32" t="str">
        <v>kanan</v>
      </c>
      <c r="P174" s="32" t="s">
        <v>196</v>
      </c>
      <c r="Q174" s="32">
        <f>-(IFERROR(Q171*LOG(Q171,2),0)+IFERROR(Q172*LOG(Q172,2),0)+IFERROR(Q173*LOG(Q173,2),0))</f>
        <v>0</v>
      </c>
      <c r="T174" s="32" t="str">
        <v>tengah</v>
      </c>
      <c r="U174" s="32" t="s">
        <v>196</v>
      </c>
      <c r="V174" s="32">
        <f>-(IFERROR(V171*LOG(V171,2),0)+IFERROR(V172*LOG(V172,2),0)+IFERROR(V173*LOG(V173,2),0))</f>
        <v>1.3481779967626482</v>
      </c>
    </row>
    <row r="175" spans="1:22">
      <c r="E175" s="32" t="str">
        <v>tengah</v>
      </c>
      <c r="F175" s="32"/>
      <c r="G175" s="32">
        <f>SUM(F171:F173)/163</f>
        <v>0.19631901840490798</v>
      </c>
      <c r="J175" s="32" t="str">
        <v>tengah</v>
      </c>
      <c r="K175" s="32"/>
      <c r="L175" s="32">
        <f>SUM(K171:K173)/163</f>
        <v>0.21472392638036811</v>
      </c>
      <c r="O175" s="32" t="str">
        <v>kanan</v>
      </c>
      <c r="P175" s="32"/>
      <c r="Q175" s="32">
        <f>SUM(P171:P173)/163</f>
        <v>0.19018404907975461</v>
      </c>
      <c r="T175" s="32" t="str">
        <v>kanan</v>
      </c>
      <c r="U175" s="32"/>
      <c r="V175" s="32">
        <f>SUM(U171:U173)/163</f>
        <v>0.53987730061349692</v>
      </c>
    </row>
    <row r="176" spans="1:22">
      <c r="E176" s="32" t="str">
        <v>tengah</v>
      </c>
      <c r="F176" s="32"/>
      <c r="G176" s="39">
        <f>G174*G175</f>
        <v>0.22598548244297043</v>
      </c>
      <c r="J176" s="32" t="str">
        <v>kiri</v>
      </c>
      <c r="K176" s="32"/>
      <c r="L176" s="39">
        <f>L174*L175</f>
        <v>0.30872810111378557</v>
      </c>
      <c r="O176" s="32" t="str">
        <v>kanan</v>
      </c>
      <c r="P176" s="32"/>
      <c r="Q176" s="39">
        <f>Q174*Q175</f>
        <v>0</v>
      </c>
      <c r="T176" s="32" t="str">
        <v>tengah</v>
      </c>
      <c r="U176" s="32"/>
      <c r="V176" s="39">
        <f>V174*V175</f>
        <v>0.72785069763873034</v>
      </c>
    </row>
    <row r="177" spans="5:22">
      <c r="E177" s="32" t="str">
        <v>kiri</v>
      </c>
      <c r="F177" s="32"/>
      <c r="G177" s="32"/>
      <c r="J177" s="32" t="str">
        <v>kiri</v>
      </c>
      <c r="K177" s="32"/>
      <c r="L177" s="32"/>
      <c r="O177" s="32" t="str">
        <v>tengah</v>
      </c>
      <c r="P177" s="32"/>
      <c r="Q177" s="32"/>
      <c r="T177" s="32" t="str">
        <v>kanan</v>
      </c>
      <c r="U177" s="32"/>
      <c r="V177" s="32"/>
    </row>
    <row r="178" spans="5:22">
      <c r="E178" s="32" t="str">
        <v>kanan</v>
      </c>
      <c r="F178" s="32"/>
      <c r="G178" s="32"/>
      <c r="J178" s="32" t="str">
        <v>kanan</v>
      </c>
      <c r="K178" s="32"/>
      <c r="L178" s="32"/>
      <c r="O178" s="32" t="str">
        <v>kiri</v>
      </c>
      <c r="P178" s="32"/>
      <c r="Q178" s="32"/>
      <c r="T178" s="32" t="str">
        <v>kanan</v>
      </c>
      <c r="U178" s="32"/>
      <c r="V178" s="32"/>
    </row>
    <row r="179" spans="5:22">
      <c r="E179" s="32" t="str">
        <v>kiri</v>
      </c>
      <c r="F179" s="55" t="s">
        <v>270</v>
      </c>
      <c r="G179" s="32"/>
      <c r="J179" s="32" t="str">
        <v>kiri</v>
      </c>
      <c r="K179" s="55" t="s">
        <v>272</v>
      </c>
      <c r="L179" s="32"/>
      <c r="O179" s="32" t="str">
        <v>kanan</v>
      </c>
      <c r="P179" s="55" t="s">
        <v>268</v>
      </c>
      <c r="Q179" s="32"/>
      <c r="T179" s="32" t="str">
        <v>tengah</v>
      </c>
      <c r="U179" s="32" t="s">
        <v>197</v>
      </c>
      <c r="V179" s="32"/>
    </row>
    <row r="180" spans="5:22">
      <c r="E180" s="32" t="str">
        <v>kiri</v>
      </c>
      <c r="F180" s="32" cm="1">
        <f t="array" ref="F180">SUMPRODUCT((E170:E332="kiri")*(M2:M164=1))</f>
        <v>6</v>
      </c>
      <c r="G180" s="32">
        <f>F180/44</f>
        <v>0.13636363636363635</v>
      </c>
      <c r="J180" s="32" t="str">
        <v>kiri</v>
      </c>
      <c r="K180" s="32">
        <f>COUNTIFS($J$170:$J$332,"Kiri",$M$2:$M$164,"1")</f>
        <v>1</v>
      </c>
      <c r="L180" s="32">
        <f>K180/31</f>
        <v>3.2258064516129031E-2</v>
      </c>
      <c r="O180" s="32" t="str">
        <v>kiri</v>
      </c>
      <c r="P180" s="32">
        <f>COUNTIFS($O$170:$O$332,"Kiri",$M$2:$M$164,"1")</f>
        <v>14</v>
      </c>
      <c r="Q180" s="32">
        <f>P180/32</f>
        <v>0.4375</v>
      </c>
      <c r="T180" s="32" t="str">
        <v>tengah</v>
      </c>
      <c r="U180" s="32">
        <f>COUNTIFS($T$170:$T$332,"Kiri",$M$2:$M$164,"1")</f>
        <v>0</v>
      </c>
      <c r="V180" s="32">
        <f>U180/57</f>
        <v>0</v>
      </c>
    </row>
    <row r="181" spans="5:22">
      <c r="E181" s="32" t="str">
        <v>tengah</v>
      </c>
      <c r="F181" s="32" cm="1">
        <f t="array" ref="F181">SUMPRODUCT((E170:E332="kiri")*(M2:M164=2))</f>
        <v>21</v>
      </c>
      <c r="G181" s="32">
        <f t="shared" ref="G181:G182" si="7">F181/44</f>
        <v>0.47727272727272729</v>
      </c>
      <c r="J181" s="32" t="str">
        <v>kanan</v>
      </c>
      <c r="K181" s="32">
        <f>COUNTIFS($J$170:$J$332,"Kiri",$M$2:$M$164,"2")</f>
        <v>15</v>
      </c>
      <c r="L181" s="32">
        <f t="shared" ref="L181:L182" si="8">K181/31</f>
        <v>0.4838709677419355</v>
      </c>
      <c r="O181" s="32" t="str">
        <v>tengah</v>
      </c>
      <c r="P181" s="32">
        <f>COUNTIFS($O$170:$O$332,"Kiri",$M$2:$M$164,"2")</f>
        <v>18</v>
      </c>
      <c r="Q181" s="32">
        <f t="shared" ref="Q181:Q182" si="9">P181/32</f>
        <v>0.5625</v>
      </c>
      <c r="T181" s="32" t="str">
        <v>tengah</v>
      </c>
      <c r="U181" s="32">
        <f>COUNTIFS($T$170:$T$332,"Kiri",$M$2:$M$164,"2")</f>
        <v>0</v>
      </c>
      <c r="V181" s="32">
        <f>U181/57</f>
        <v>0</v>
      </c>
    </row>
    <row r="182" spans="5:22">
      <c r="E182" s="32" t="str">
        <v>kiri</v>
      </c>
      <c r="F182" s="32" cm="1">
        <f t="array" ref="F182">SUMPRODUCT((E170:E332="kiri")*(M2:M164=3))</f>
        <v>17</v>
      </c>
      <c r="G182" s="32">
        <f t="shared" si="7"/>
        <v>0.38636363636363635</v>
      </c>
      <c r="J182" s="32" t="str">
        <v>tengah</v>
      </c>
      <c r="K182" s="32">
        <f>COUNTIFS($J$170:$J$332,"Kiri",$M$2:$M$164,"3")</f>
        <v>15</v>
      </c>
      <c r="L182" s="32">
        <f t="shared" si="8"/>
        <v>0.4838709677419355</v>
      </c>
      <c r="O182" s="32" t="str">
        <v>kiri</v>
      </c>
      <c r="P182" s="32">
        <f>COUNTIFS($O$170:$O$332,"Kiri",$M$2:$M$164,"3")</f>
        <v>0</v>
      </c>
      <c r="Q182" s="32">
        <f t="shared" si="9"/>
        <v>0</v>
      </c>
      <c r="T182" s="32" t="str">
        <v>kanan</v>
      </c>
      <c r="U182" s="32">
        <f>COUNTIFS($T$170:$T$332,"Kiri",$M$2:$M$164,"3")</f>
        <v>0</v>
      </c>
      <c r="V182" s="32">
        <f>U182/57</f>
        <v>0</v>
      </c>
    </row>
    <row r="183" spans="5:22">
      <c r="E183" s="32" t="str">
        <v>tengah</v>
      </c>
      <c r="F183" s="32" t="s">
        <v>196</v>
      </c>
      <c r="G183" s="32">
        <f>-(IFERROR(G180*LOG(G180,2),0)+IFERROR(G181*LOG(G181,2),0)+IFERROR(G182*LOG(G182,2),0))</f>
        <v>1.431356409911464</v>
      </c>
      <c r="J183" s="32" t="str">
        <v>tengah</v>
      </c>
      <c r="K183" s="32" t="s">
        <v>196</v>
      </c>
      <c r="L183" s="32">
        <f>-(IFERROR(L180*LOG(L180,2),0)+IFERROR(L181*LOG(L181,2),0)+IFERROR(L182*LOG(L182,2),0))</f>
        <v>1.1733344436689541</v>
      </c>
      <c r="O183" s="32" t="str">
        <v>tengah</v>
      </c>
      <c r="P183" s="32" t="s">
        <v>196</v>
      </c>
      <c r="Q183" s="32">
        <f>-(IFERROR(Q180*LOG(Q180,2),0)+IFERROR(Q181*LOG(Q181,2),0)+IFERROR(Q182*LOG(Q182,2),0))</f>
        <v>0.98869940828849745</v>
      </c>
      <c r="T183" s="32" t="str">
        <v>tengah</v>
      </c>
      <c r="U183" s="32" t="s">
        <v>196</v>
      </c>
      <c r="V183" s="32">
        <f>-(IFERROR(V180*LOG(V180,2),0)+IFERROR(V181*LOG(V181,2),0)+IFERROR(V182*LOG(V182,2),0))</f>
        <v>0</v>
      </c>
    </row>
    <row r="184" spans="5:22">
      <c r="E184" s="32" t="str">
        <v>kiri</v>
      </c>
      <c r="F184" s="32"/>
      <c r="G184" s="32">
        <f>SUM(F180:F182)/163</f>
        <v>0.26993865030674846</v>
      </c>
      <c r="J184" s="32" t="str">
        <v>tengah</v>
      </c>
      <c r="K184" s="32"/>
      <c r="L184" s="32">
        <f>SUM(K180:K182)/163</f>
        <v>0.19018404907975461</v>
      </c>
      <c r="O184" s="32" t="str">
        <v>kanan</v>
      </c>
      <c r="P184" s="32"/>
      <c r="Q184" s="32">
        <f>SUM(P180:P182)/163</f>
        <v>0.19631901840490798</v>
      </c>
      <c r="T184" s="32" t="str">
        <v>kanan</v>
      </c>
      <c r="U184" s="32"/>
      <c r="V184" s="32">
        <f>SUM(U180:U182)/163</f>
        <v>0</v>
      </c>
    </row>
    <row r="185" spans="5:22">
      <c r="E185" s="32" t="str">
        <v>kiri</v>
      </c>
      <c r="F185" s="32"/>
      <c r="G185" s="39">
        <f>G183*G184</f>
        <v>0.38637841739941359</v>
      </c>
      <c r="J185" s="32" t="str">
        <v>kanan</v>
      </c>
      <c r="K185" s="32"/>
      <c r="L185" s="39">
        <f>L183*L184</f>
        <v>0.22314949542170295</v>
      </c>
      <c r="O185" s="32" t="str">
        <v>tengah</v>
      </c>
      <c r="P185" s="32"/>
      <c r="Q185" s="39">
        <f>Q183*Q184</f>
        <v>0.19410049733271115</v>
      </c>
      <c r="T185" s="32" t="str">
        <v>kanan</v>
      </c>
      <c r="U185" s="32"/>
      <c r="V185" s="39">
        <f>V183*V184</f>
        <v>0</v>
      </c>
    </row>
    <row r="186" spans="5:22">
      <c r="E186" s="32" t="str">
        <v>tengah</v>
      </c>
      <c r="F186" s="32"/>
      <c r="G186" s="32"/>
      <c r="J186" s="32" t="str">
        <v>kiri</v>
      </c>
      <c r="K186" s="32"/>
      <c r="L186" s="32"/>
      <c r="O186" s="32" t="str">
        <v>kiri</v>
      </c>
      <c r="P186" s="32"/>
      <c r="Q186" s="32"/>
      <c r="T186" s="32" t="str">
        <v>tengah</v>
      </c>
      <c r="U186" s="32"/>
      <c r="V186" s="32"/>
    </row>
    <row r="187" spans="5:22">
      <c r="E187" s="32" t="str">
        <v>kiri</v>
      </c>
      <c r="F187" s="32"/>
      <c r="G187" s="32"/>
      <c r="J187" s="32" t="str">
        <v>tengah</v>
      </c>
      <c r="K187" s="32"/>
      <c r="L187" s="32"/>
      <c r="O187" s="32" t="str">
        <v>tengah</v>
      </c>
      <c r="P187" s="32"/>
      <c r="Q187" s="32"/>
      <c r="T187" s="32" t="str">
        <v>tengah</v>
      </c>
      <c r="U187" s="32"/>
      <c r="V187" s="32"/>
    </row>
    <row r="188" spans="5:22">
      <c r="E188" s="32" t="str">
        <v>tengah</v>
      </c>
      <c r="F188" s="32" t="s">
        <v>198</v>
      </c>
      <c r="G188" s="32"/>
      <c r="J188" s="32" t="str">
        <v>tengah</v>
      </c>
      <c r="K188" s="32" t="s">
        <v>198</v>
      </c>
      <c r="L188" s="32"/>
      <c r="O188" s="32" t="str">
        <v>kanan</v>
      </c>
      <c r="P188" s="32" t="s">
        <v>198</v>
      </c>
      <c r="Q188" s="32"/>
      <c r="T188" s="32" t="str">
        <v>kanan</v>
      </c>
      <c r="U188" s="32" t="s">
        <v>198</v>
      </c>
      <c r="V188" s="32"/>
    </row>
    <row r="189" spans="5:22">
      <c r="E189" s="32" t="str">
        <v>kanan</v>
      </c>
      <c r="F189" s="32" cm="1">
        <f t="array" ref="F189">SUMPRODUCT((E170:E332="tengah")*(M2:M164=1))</f>
        <v>7</v>
      </c>
      <c r="G189" s="32">
        <f>F189/87</f>
        <v>8.0459770114942528E-2</v>
      </c>
      <c r="J189" s="32" t="str">
        <v>tengah</v>
      </c>
      <c r="K189" s="32">
        <f>COUNTIFS($J$170:$J$332,"Tengah",$M$2:$M$164,"1")</f>
        <v>8</v>
      </c>
      <c r="L189" s="32">
        <f>K189/97</f>
        <v>8.247422680412371E-2</v>
      </c>
      <c r="O189" s="32" t="str">
        <v>tengah</v>
      </c>
      <c r="P189" s="32">
        <f>COUNTIFS($O$170:$O$332,"Tengah",$M$2:$M$164,"1")</f>
        <v>0</v>
      </c>
      <c r="Q189" s="32">
        <f>P189/100</f>
        <v>0</v>
      </c>
      <c r="T189" s="32" t="str">
        <v>kanan</v>
      </c>
      <c r="U189" s="32">
        <f>COUNTIFS($T$170:$T$332,"Tengah",$M$2:$M$164,"1")</f>
        <v>6</v>
      </c>
      <c r="V189" s="32">
        <f>U189/75</f>
        <v>0.08</v>
      </c>
    </row>
    <row r="190" spans="5:22">
      <c r="E190" s="32" t="str">
        <v>kanan</v>
      </c>
      <c r="F190" s="32" cm="1">
        <f t="array" ref="F190">SUMPRODUCT((E170:E332="tengah")*(M2:M164=2))</f>
        <v>45</v>
      </c>
      <c r="G190" s="32">
        <f t="shared" ref="G190:G191" si="10">F190/87</f>
        <v>0.51724137931034486</v>
      </c>
      <c r="J190" s="32" t="str">
        <v>kiri</v>
      </c>
      <c r="K190" s="32">
        <f>COUNTIFS($J$170:$J$332,"Tengah",$M$2:$M$164,"2")</f>
        <v>56</v>
      </c>
      <c r="L190" s="32">
        <f t="shared" ref="L190:L191" si="11">K190/97</f>
        <v>0.57731958762886593</v>
      </c>
      <c r="O190" s="32" t="str">
        <v>tengah</v>
      </c>
      <c r="P190" s="32">
        <f>COUNTIFS($O$170:$O$332,"Tengah",$M$2:$M$164,"2")</f>
        <v>66</v>
      </c>
      <c r="Q190" s="32">
        <f t="shared" ref="Q190:Q191" si="12">P190/100</f>
        <v>0.66</v>
      </c>
      <c r="T190" s="32" t="str">
        <v>tengah</v>
      </c>
      <c r="U190" s="32">
        <f>COUNTIFS($T$170:$T$332,"Tengah",$M$2:$M$164,"2")</f>
        <v>43</v>
      </c>
      <c r="V190" s="32">
        <f t="shared" ref="V190:V191" si="13">U190/75</f>
        <v>0.57333333333333336</v>
      </c>
    </row>
    <row r="191" spans="5:22">
      <c r="E191" s="32" t="str">
        <v>tengah</v>
      </c>
      <c r="F191" s="32" cm="1">
        <f t="array" ref="F191">SUMPRODUCT((E170:E332="tengah")*(M2:M164=3))</f>
        <v>35</v>
      </c>
      <c r="G191" s="32">
        <f t="shared" si="10"/>
        <v>0.40229885057471265</v>
      </c>
      <c r="J191" s="32" t="str">
        <v>tengah</v>
      </c>
      <c r="K191" s="32">
        <f>COUNTIFS($J$170:$J$332,"Tengah",$M$2:$M$164,"3")</f>
        <v>33</v>
      </c>
      <c r="L191" s="32">
        <f t="shared" si="11"/>
        <v>0.34020618556701032</v>
      </c>
      <c r="O191" s="32" t="str">
        <v>tengah</v>
      </c>
      <c r="P191" s="32">
        <f>COUNTIFS($O$170:$O$332,"Tengah",$M$2:$M$164,"3")</f>
        <v>34</v>
      </c>
      <c r="Q191" s="32">
        <f t="shared" si="12"/>
        <v>0.34</v>
      </c>
      <c r="T191" s="32" t="str">
        <v>tengah</v>
      </c>
      <c r="U191" s="32">
        <f>COUNTIFS($T$170:$T$332,"Tengah",$M$2:$M$164,"3")</f>
        <v>26</v>
      </c>
      <c r="V191" s="32">
        <f t="shared" si="13"/>
        <v>0.34666666666666668</v>
      </c>
    </row>
    <row r="192" spans="5:22">
      <c r="E192" s="32" t="str">
        <v>tengah</v>
      </c>
      <c r="F192" s="32" t="s">
        <v>196</v>
      </c>
      <c r="G192" s="32">
        <f>-(IFERROR(G189*LOG(G189,2),0)+IFERROR(G190*LOG(G190,2),0)+IFERROR(G191*LOG(G191,2),0))</f>
        <v>1.3129460316842176</v>
      </c>
      <c r="J192" s="32" t="str">
        <v>tengah</v>
      </c>
      <c r="K192" s="32" t="s">
        <v>196</v>
      </c>
      <c r="L192" s="32">
        <f>-(IFERROR(L189*LOG(L189,2),0)+IFERROR(L190*LOG(L190,2),0)+IFERROR(L191*LOG(L191,2),0))</f>
        <v>1.283656331114398</v>
      </c>
      <c r="O192" s="32" t="str">
        <v>kiri</v>
      </c>
      <c r="P192" s="32" t="s">
        <v>196</v>
      </c>
      <c r="Q192" s="32">
        <f>-(IFERROR(Q189*LOG(Q189,2),0)+IFERROR(Q190*LOG(Q190,2),0)+IFERROR(Q191*LOG(Q191,2),0))</f>
        <v>0.92481870497302998</v>
      </c>
      <c r="T192" s="32" t="str">
        <v>kanan</v>
      </c>
      <c r="U192" s="32" t="s">
        <v>196</v>
      </c>
      <c r="V192" s="32">
        <f>-(IFERROR(V189*LOG(V189,2),0)+IFERROR(V190*LOG(V190,2),0)+IFERROR(V191*LOG(V191,2),0))</f>
        <v>1.2814774621200737</v>
      </c>
    </row>
    <row r="193" spans="5:22">
      <c r="E193" s="32" t="str">
        <v>kiri</v>
      </c>
      <c r="F193" s="32"/>
      <c r="G193" s="32">
        <f>SUM(F189:F191)/163</f>
        <v>0.53374233128834359</v>
      </c>
      <c r="J193" s="32" t="str">
        <v>tengah</v>
      </c>
      <c r="K193" s="32"/>
      <c r="L193" s="32">
        <f>SUM(K189:K191)/163</f>
        <v>0.59509202453987731</v>
      </c>
      <c r="O193" s="32" t="str">
        <v>tengah</v>
      </c>
      <c r="P193" s="32"/>
      <c r="Q193" s="32">
        <f>SUM(P189:P191)/163</f>
        <v>0.61349693251533743</v>
      </c>
      <c r="T193" s="32" t="str">
        <v>tengah</v>
      </c>
      <c r="U193" s="32"/>
      <c r="V193" s="32">
        <f>SUM(U189:U191)/163</f>
        <v>0.46012269938650308</v>
      </c>
    </row>
    <row r="194" spans="5:22">
      <c r="E194" s="32" t="str">
        <v>tengah</v>
      </c>
      <c r="F194" s="32"/>
      <c r="G194" s="39">
        <f>G192*G193</f>
        <v>0.70077487580691378</v>
      </c>
      <c r="J194" s="32" t="str">
        <v>tengah</v>
      </c>
      <c r="K194" s="32"/>
      <c r="L194" s="39">
        <f>L192*L193</f>
        <v>0.76389364489629819</v>
      </c>
      <c r="O194" s="32" t="str">
        <v>tengah</v>
      </c>
      <c r="P194" s="32"/>
      <c r="Q194" s="39">
        <f>Q192*Q193</f>
        <v>0.56737343863376077</v>
      </c>
      <c r="T194" s="32" t="str">
        <v>kanan</v>
      </c>
      <c r="U194" s="32"/>
      <c r="V194" s="39">
        <f>V192*V193</f>
        <v>0.58963686907365354</v>
      </c>
    </row>
    <row r="195" spans="5:22">
      <c r="E195" s="32" t="str">
        <v>tengah</v>
      </c>
      <c r="F195" s="32"/>
      <c r="G195" s="32"/>
      <c r="J195" s="32" t="str">
        <v>tengah</v>
      </c>
      <c r="K195" s="32"/>
      <c r="L195" s="32"/>
      <c r="O195" s="32" t="str">
        <v>tengah</v>
      </c>
      <c r="P195" s="32"/>
      <c r="Q195" s="32"/>
      <c r="T195" s="32" t="str">
        <v>tengah</v>
      </c>
      <c r="U195" s="32"/>
      <c r="V195" s="32"/>
    </row>
    <row r="196" spans="5:22">
      <c r="E196" s="32" t="str">
        <v>kiri</v>
      </c>
      <c r="F196" s="32" t="s">
        <v>199</v>
      </c>
      <c r="G196" s="40" t="s">
        <v>196</v>
      </c>
      <c r="J196" s="32" t="str">
        <v>kiri</v>
      </c>
      <c r="K196" s="32" t="s">
        <v>199</v>
      </c>
      <c r="L196" s="40" t="s">
        <v>196</v>
      </c>
      <c r="O196" s="32" t="str">
        <v>tengah</v>
      </c>
      <c r="P196" s="32" t="s">
        <v>199</v>
      </c>
      <c r="Q196" s="40" t="s">
        <v>196</v>
      </c>
      <c r="T196" s="32" t="str">
        <v>kanan</v>
      </c>
      <c r="U196" s="32" t="s">
        <v>199</v>
      </c>
      <c r="V196" s="40" t="s">
        <v>196</v>
      </c>
    </row>
    <row r="197" spans="5:22">
      <c r="E197" s="32" t="str">
        <v>tengah</v>
      </c>
      <c r="F197" s="41">
        <f>P5-(G176+G185+G194)</f>
        <v>1.2819192881952324E-2</v>
      </c>
      <c r="G197" s="39">
        <f>(G176+G185+G194)</f>
        <v>1.3131387756492978</v>
      </c>
      <c r="J197" s="32" t="str">
        <v>tengah</v>
      </c>
      <c r="K197" s="41">
        <f>P5-(L176+L185+L194)</f>
        <v>3.0186727099463351E-2</v>
      </c>
      <c r="L197" s="39">
        <f>(L176+L185+L194)</f>
        <v>1.2957712414317868</v>
      </c>
      <c r="O197" s="32" t="str">
        <v>tengah</v>
      </c>
      <c r="P197" s="41">
        <f>P5-(Q176+Q185+Q194)</f>
        <v>0.56448403256477819</v>
      </c>
      <c r="Q197" s="39">
        <f>(Q176+Q185+Q194)</f>
        <v>0.76147393596647195</v>
      </c>
      <c r="T197" s="32" t="str">
        <v>tengah</v>
      </c>
      <c r="U197" s="41">
        <f>P5-(V176+V185+V194)</f>
        <v>8.4704018188661578E-3</v>
      </c>
      <c r="V197" s="39">
        <f>(V176+V185+V194)</f>
        <v>1.317487566712384</v>
      </c>
    </row>
    <row r="198" spans="5:22">
      <c r="E198" s="32" t="str">
        <v>kanan</v>
      </c>
      <c r="F198" s="32"/>
      <c r="G198" s="32"/>
      <c r="J198" s="32" t="str">
        <v>tengah</v>
      </c>
      <c r="K198" s="32"/>
      <c r="L198" s="32"/>
      <c r="O198" s="32" t="str">
        <v>tengah</v>
      </c>
      <c r="P198" s="32"/>
      <c r="Q198" s="32"/>
      <c r="T198" s="32" t="str">
        <v>tengah</v>
      </c>
      <c r="U198" s="32"/>
      <c r="V198" s="32"/>
    </row>
    <row r="199" spans="5:22">
      <c r="E199" s="32" t="str">
        <v>kiri</v>
      </c>
      <c r="F199" s="32"/>
      <c r="G199" s="32"/>
      <c r="J199" s="32" t="str">
        <v>kiri</v>
      </c>
      <c r="K199" s="32"/>
      <c r="L199" s="32"/>
      <c r="O199" s="32" t="str">
        <v>kanan</v>
      </c>
      <c r="P199" s="32"/>
      <c r="Q199" s="32"/>
      <c r="T199" s="32" t="str">
        <v>kanan</v>
      </c>
      <c r="U199" s="32"/>
      <c r="V199" s="32"/>
    </row>
    <row r="200" spans="5:22">
      <c r="E200" s="32" t="str">
        <v>tengah</v>
      </c>
      <c r="F200" s="32"/>
      <c r="G200" s="32"/>
      <c r="J200" s="32" t="str">
        <v>tengah</v>
      </c>
      <c r="K200" s="32"/>
      <c r="L200" s="32"/>
      <c r="O200" s="32" t="str">
        <v>kiri</v>
      </c>
      <c r="P200" s="32"/>
      <c r="Q200" s="32"/>
      <c r="T200" s="32" t="str">
        <v>kanan</v>
      </c>
      <c r="U200" s="32"/>
      <c r="V200" s="32"/>
    </row>
    <row r="201" spans="5:22">
      <c r="E201" s="32" t="str">
        <v>tengah</v>
      </c>
      <c r="F201" s="32"/>
      <c r="G201" s="32"/>
      <c r="J201" s="32" t="str">
        <v>tengah</v>
      </c>
      <c r="K201" s="32"/>
      <c r="L201" s="32"/>
      <c r="O201" s="32" t="str">
        <v>tengah</v>
      </c>
      <c r="P201" s="32"/>
      <c r="Q201" s="32"/>
      <c r="T201" s="32" t="str">
        <v>kanan</v>
      </c>
      <c r="U201" s="32"/>
      <c r="V201" s="32"/>
    </row>
    <row r="202" spans="5:22">
      <c r="E202" s="32" t="str">
        <v>tengah</v>
      </c>
      <c r="F202" s="32"/>
      <c r="G202" s="32"/>
      <c r="J202" s="32" t="str">
        <v>tengah</v>
      </c>
      <c r="K202" s="32"/>
      <c r="L202" s="32"/>
      <c r="O202" s="32" t="str">
        <v>tengah</v>
      </c>
      <c r="P202" s="32"/>
      <c r="Q202" s="32"/>
      <c r="T202" s="32" t="str">
        <v>tengah</v>
      </c>
      <c r="U202" s="32"/>
      <c r="V202" s="32"/>
    </row>
    <row r="203" spans="5:22">
      <c r="E203" s="32" t="str">
        <v>kiri</v>
      </c>
      <c r="F203" s="32"/>
      <c r="G203" s="32"/>
      <c r="J203" s="32" t="str">
        <v>kanan</v>
      </c>
      <c r="K203" s="32"/>
      <c r="L203" s="32"/>
      <c r="O203" s="32" t="str">
        <v>tengah</v>
      </c>
      <c r="P203" s="32"/>
      <c r="Q203" s="32"/>
      <c r="T203" s="32" t="str">
        <v>kanan</v>
      </c>
      <c r="U203" s="32"/>
      <c r="V203" s="32"/>
    </row>
    <row r="204" spans="5:22">
      <c r="E204" s="32" t="str">
        <v>tengah</v>
      </c>
      <c r="F204" s="32"/>
      <c r="G204" s="32"/>
      <c r="J204" s="32" t="str">
        <v>kanan</v>
      </c>
      <c r="K204" s="32"/>
      <c r="L204" s="32"/>
      <c r="O204" s="32" t="str">
        <v>tengah</v>
      </c>
      <c r="P204" s="32"/>
      <c r="Q204" s="32"/>
      <c r="T204" s="32" t="str">
        <v>tengah</v>
      </c>
      <c r="U204" s="32"/>
      <c r="V204" s="32"/>
    </row>
    <row r="205" spans="5:22">
      <c r="E205" s="32" t="str">
        <v>tengah</v>
      </c>
      <c r="F205" s="32"/>
      <c r="G205" s="32"/>
      <c r="J205" s="32" t="str">
        <v>tengah</v>
      </c>
      <c r="K205" s="32"/>
      <c r="L205" s="32"/>
      <c r="O205" s="32" t="str">
        <v>tengah</v>
      </c>
      <c r="P205" s="32"/>
      <c r="Q205" s="32"/>
      <c r="T205" s="32" t="str">
        <v>kanan</v>
      </c>
      <c r="U205" s="32"/>
      <c r="V205" s="32"/>
    </row>
    <row r="206" spans="5:22">
      <c r="E206" s="32" t="str">
        <v>tengah</v>
      </c>
      <c r="F206" s="32"/>
      <c r="G206" s="32"/>
      <c r="J206" s="32" t="str">
        <v>tengah</v>
      </c>
      <c r="K206" s="32"/>
      <c r="L206" s="32"/>
      <c r="O206" s="32" t="str">
        <v>tengah</v>
      </c>
      <c r="P206" s="32"/>
      <c r="Q206" s="32"/>
      <c r="T206" s="32" t="str">
        <v>tengah</v>
      </c>
      <c r="U206" s="32"/>
      <c r="V206" s="32"/>
    </row>
    <row r="207" spans="5:22">
      <c r="E207" s="32" t="str">
        <v>tengah</v>
      </c>
      <c r="F207" s="32"/>
      <c r="G207" s="32"/>
      <c r="J207" s="32" t="str">
        <v>tengah</v>
      </c>
      <c r="K207" s="32"/>
      <c r="L207" s="32"/>
      <c r="O207" s="32" t="str">
        <v>kiri</v>
      </c>
      <c r="P207" s="32"/>
      <c r="Q207" s="32"/>
      <c r="T207" s="32" t="str">
        <v>kanan</v>
      </c>
      <c r="U207" s="32"/>
      <c r="V207" s="32"/>
    </row>
    <row r="208" spans="5:22">
      <c r="E208" s="32" t="str">
        <v>tengah</v>
      </c>
      <c r="F208" s="32"/>
      <c r="G208" s="32"/>
      <c r="J208" s="32" t="str">
        <v>tengah</v>
      </c>
      <c r="K208" s="32"/>
      <c r="L208" s="32"/>
      <c r="O208" s="32" t="str">
        <v>tengah</v>
      </c>
      <c r="P208" s="32"/>
      <c r="Q208" s="32"/>
      <c r="T208" s="32" t="str">
        <v>tengah</v>
      </c>
      <c r="U208" s="32"/>
      <c r="V208" s="32"/>
    </row>
    <row r="209" spans="5:22">
      <c r="E209" s="32" t="str">
        <v>tengah</v>
      </c>
      <c r="F209" s="32"/>
      <c r="G209" s="32"/>
      <c r="J209" s="32" t="str">
        <v>kanan</v>
      </c>
      <c r="K209" s="32"/>
      <c r="L209" s="32"/>
      <c r="O209" s="32" t="str">
        <v>tengah</v>
      </c>
      <c r="P209" s="32"/>
      <c r="Q209" s="32"/>
      <c r="T209" s="32" t="str">
        <v>kanan</v>
      </c>
      <c r="U209" s="32"/>
      <c r="V209" s="32"/>
    </row>
    <row r="210" spans="5:22">
      <c r="E210" s="32" t="str">
        <v>tengah</v>
      </c>
      <c r="F210" s="32"/>
      <c r="G210" s="32"/>
      <c r="J210" s="32" t="str">
        <v>tengah</v>
      </c>
      <c r="K210" s="32"/>
      <c r="L210" s="32"/>
      <c r="O210" s="32" t="str">
        <v>tengah</v>
      </c>
      <c r="P210" s="32"/>
      <c r="Q210" s="32"/>
      <c r="T210" s="32" t="str">
        <v>kanan</v>
      </c>
      <c r="U210" s="32"/>
      <c r="V210" s="32"/>
    </row>
    <row r="211" spans="5:22">
      <c r="E211" s="32" t="str">
        <v>tengah</v>
      </c>
      <c r="F211" s="32"/>
      <c r="G211" s="32"/>
      <c r="J211" s="32" t="str">
        <v>tengah</v>
      </c>
      <c r="K211" s="32"/>
      <c r="L211" s="32"/>
      <c r="O211" s="32" t="str">
        <v>tengah</v>
      </c>
      <c r="P211" s="32"/>
      <c r="Q211" s="32"/>
      <c r="T211" s="32" t="str">
        <v>kanan</v>
      </c>
      <c r="U211" s="32"/>
      <c r="V211" s="32"/>
    </row>
    <row r="212" spans="5:22">
      <c r="E212" s="32" t="str">
        <v>tengah</v>
      </c>
      <c r="F212" s="32"/>
      <c r="G212" s="32"/>
      <c r="J212" s="32" t="str">
        <v>tengah</v>
      </c>
      <c r="K212" s="32"/>
      <c r="L212" s="32"/>
      <c r="O212" s="32" t="str">
        <v>tengah</v>
      </c>
      <c r="P212" s="32"/>
      <c r="Q212" s="32"/>
      <c r="T212" s="32" t="str">
        <v>tengah</v>
      </c>
      <c r="U212" s="32"/>
      <c r="V212" s="32"/>
    </row>
    <row r="213" spans="5:22">
      <c r="E213" s="32" t="str">
        <v>kiri</v>
      </c>
      <c r="F213" s="32"/>
      <c r="G213" s="32"/>
      <c r="J213" s="32" t="str">
        <v>tengah</v>
      </c>
      <c r="K213" s="32"/>
      <c r="L213" s="32"/>
      <c r="O213" s="32" t="str">
        <v>tengah</v>
      </c>
      <c r="P213" s="32"/>
      <c r="Q213" s="32"/>
      <c r="T213" s="32" t="str">
        <v>kanan</v>
      </c>
      <c r="U213" s="32"/>
      <c r="V213" s="32"/>
    </row>
    <row r="214" spans="5:22">
      <c r="E214" s="32" t="str">
        <v>kanan</v>
      </c>
      <c r="F214" s="32"/>
      <c r="G214" s="32"/>
      <c r="J214" s="32" t="str">
        <v>tengah</v>
      </c>
      <c r="K214" s="32"/>
      <c r="L214" s="32"/>
      <c r="O214" s="32" t="str">
        <v>tengah</v>
      </c>
      <c r="P214" s="32"/>
      <c r="Q214" s="32"/>
      <c r="T214" s="32" t="str">
        <v>kanan</v>
      </c>
      <c r="U214" s="32"/>
      <c r="V214" s="32"/>
    </row>
    <row r="215" spans="5:22">
      <c r="E215" s="32" t="str">
        <v>tengah</v>
      </c>
      <c r="F215" s="32"/>
      <c r="G215" s="32"/>
      <c r="J215" s="32" t="str">
        <v>kanan</v>
      </c>
      <c r="K215" s="32"/>
      <c r="L215" s="32"/>
      <c r="O215" s="32" t="str">
        <v>tengah</v>
      </c>
      <c r="P215" s="32"/>
      <c r="Q215" s="32"/>
      <c r="T215" s="32" t="str">
        <v>kanan</v>
      </c>
      <c r="U215" s="32"/>
      <c r="V215" s="32"/>
    </row>
    <row r="216" spans="5:22">
      <c r="E216" s="32" t="str">
        <v>tengah</v>
      </c>
      <c r="F216" s="32"/>
      <c r="G216" s="32"/>
      <c r="J216" s="32" t="str">
        <v>tengah</v>
      </c>
      <c r="K216" s="32"/>
      <c r="L216" s="32"/>
      <c r="O216" s="32" t="str">
        <v>kiri</v>
      </c>
      <c r="P216" s="32"/>
      <c r="Q216" s="32"/>
      <c r="T216" s="32" t="str">
        <v>tengah</v>
      </c>
      <c r="U216" s="32"/>
      <c r="V216" s="32"/>
    </row>
    <row r="217" spans="5:22">
      <c r="E217" s="32" t="str">
        <v>tengah</v>
      </c>
      <c r="F217" s="32"/>
      <c r="G217" s="32"/>
      <c r="J217" s="32" t="str">
        <v>tengah</v>
      </c>
      <c r="K217" s="32"/>
      <c r="L217" s="32"/>
      <c r="O217" s="32" t="str">
        <v>tengah</v>
      </c>
      <c r="P217" s="32"/>
      <c r="Q217" s="32"/>
      <c r="T217" s="32" t="str">
        <v>tengah</v>
      </c>
      <c r="U217" s="32"/>
      <c r="V217" s="32"/>
    </row>
    <row r="218" spans="5:22">
      <c r="E218" s="32" t="str">
        <v>tengah</v>
      </c>
      <c r="F218" s="32"/>
      <c r="G218" s="32"/>
      <c r="J218" s="32" t="str">
        <v>tengah</v>
      </c>
      <c r="K218" s="32"/>
      <c r="L218" s="32"/>
      <c r="O218" s="32" t="str">
        <v>tengah</v>
      </c>
      <c r="P218" s="32"/>
      <c r="Q218" s="32"/>
      <c r="T218" s="32" t="str">
        <v>tengah</v>
      </c>
      <c r="U218" s="32"/>
      <c r="V218" s="32"/>
    </row>
    <row r="219" spans="5:22">
      <c r="E219" s="32" t="str">
        <v>kanan</v>
      </c>
      <c r="F219" s="32"/>
      <c r="G219" s="32"/>
      <c r="J219" s="32" t="str">
        <v>kiri</v>
      </c>
      <c r="K219" s="32"/>
      <c r="L219" s="32"/>
      <c r="O219" s="32" t="str">
        <v>kanan</v>
      </c>
      <c r="P219" s="32"/>
      <c r="Q219" s="32"/>
      <c r="T219" s="32" t="str">
        <v>kanan</v>
      </c>
      <c r="U219" s="32"/>
      <c r="V219" s="32"/>
    </row>
    <row r="220" spans="5:22">
      <c r="E220" s="32" t="str">
        <v>tengah</v>
      </c>
      <c r="F220" s="32"/>
      <c r="G220" s="32"/>
      <c r="J220" s="32" t="str">
        <v>kanan</v>
      </c>
      <c r="K220" s="32"/>
      <c r="L220" s="32"/>
      <c r="O220" s="32" t="str">
        <v>kiri</v>
      </c>
      <c r="P220" s="32"/>
      <c r="Q220" s="32"/>
      <c r="T220" s="32" t="str">
        <v>kanan</v>
      </c>
      <c r="U220" s="32"/>
      <c r="V220" s="32"/>
    </row>
    <row r="221" spans="5:22">
      <c r="E221" s="32" t="str">
        <v>kanan</v>
      </c>
      <c r="F221" s="32"/>
      <c r="G221" s="32"/>
      <c r="J221" s="32" t="str">
        <v>kanan</v>
      </c>
      <c r="K221" s="32"/>
      <c r="L221" s="32"/>
      <c r="O221" s="32" t="str">
        <v>tengah</v>
      </c>
      <c r="P221" s="32"/>
      <c r="Q221" s="32"/>
      <c r="T221" s="32" t="str">
        <v>kanan</v>
      </c>
      <c r="U221" s="32"/>
      <c r="V221" s="32"/>
    </row>
    <row r="222" spans="5:22">
      <c r="E222" s="32" t="str">
        <v>kanan</v>
      </c>
      <c r="F222" s="32"/>
      <c r="G222" s="32"/>
      <c r="J222" s="32" t="str">
        <v>kanan</v>
      </c>
      <c r="K222" s="32"/>
      <c r="L222" s="32"/>
      <c r="O222" s="32" t="str">
        <v>tengah</v>
      </c>
      <c r="P222" s="32"/>
      <c r="Q222" s="32"/>
      <c r="T222" s="32" t="str">
        <v>tengah</v>
      </c>
      <c r="U222" s="32"/>
      <c r="V222" s="32"/>
    </row>
    <row r="223" spans="5:22">
      <c r="E223" s="32" t="str">
        <v>tengah</v>
      </c>
      <c r="F223" s="32"/>
      <c r="G223" s="32"/>
      <c r="J223" s="32" t="str">
        <v>tengah</v>
      </c>
      <c r="K223" s="32"/>
      <c r="L223" s="32"/>
      <c r="O223" s="32" t="str">
        <v>tengah</v>
      </c>
      <c r="P223" s="32"/>
      <c r="Q223" s="32"/>
      <c r="T223" s="32" t="str">
        <v>kanan</v>
      </c>
      <c r="U223" s="32"/>
      <c r="V223" s="32"/>
    </row>
    <row r="224" spans="5:22">
      <c r="E224" s="32" t="str">
        <v>kiri</v>
      </c>
      <c r="F224" s="32"/>
      <c r="G224" s="32"/>
      <c r="J224" s="32" t="str">
        <v>tengah</v>
      </c>
      <c r="K224" s="32"/>
      <c r="L224" s="32"/>
      <c r="O224" s="32" t="str">
        <v>tengah</v>
      </c>
      <c r="P224" s="32"/>
      <c r="Q224" s="32"/>
      <c r="T224" s="32" t="str">
        <v>kanan</v>
      </c>
      <c r="U224" s="32"/>
      <c r="V224" s="32"/>
    </row>
    <row r="225" spans="5:22">
      <c r="E225" s="32" t="str">
        <v>tengah</v>
      </c>
      <c r="F225" s="32"/>
      <c r="G225" s="32"/>
      <c r="J225" s="32" t="str">
        <v>tengah</v>
      </c>
      <c r="K225" s="32"/>
      <c r="L225" s="32"/>
      <c r="O225" s="32" t="str">
        <v>kiri</v>
      </c>
      <c r="P225" s="32"/>
      <c r="Q225" s="32"/>
      <c r="T225" s="32" t="str">
        <v>kanan</v>
      </c>
      <c r="U225" s="32"/>
      <c r="V225" s="32"/>
    </row>
    <row r="226" spans="5:22">
      <c r="E226" s="32" t="str">
        <v>tengah</v>
      </c>
      <c r="F226" s="32"/>
      <c r="G226" s="32"/>
      <c r="J226" s="32" t="str">
        <v>tengah</v>
      </c>
      <c r="K226" s="32"/>
      <c r="L226" s="32"/>
      <c r="O226" s="32" t="str">
        <v>tengah</v>
      </c>
      <c r="P226" s="32"/>
      <c r="Q226" s="32"/>
      <c r="T226" s="32" t="str">
        <v>kanan</v>
      </c>
      <c r="U226" s="32"/>
      <c r="V226" s="32"/>
    </row>
    <row r="227" spans="5:22">
      <c r="E227" s="32" t="str">
        <v>kiri</v>
      </c>
      <c r="F227" s="32"/>
      <c r="G227" s="32"/>
      <c r="J227" s="32" t="str">
        <v>tengah</v>
      </c>
      <c r="K227" s="32"/>
      <c r="L227" s="32"/>
      <c r="O227" s="32" t="str">
        <v>kanan</v>
      </c>
      <c r="P227" s="32"/>
      <c r="Q227" s="32"/>
      <c r="T227" s="32" t="str">
        <v>tengah</v>
      </c>
      <c r="U227" s="32"/>
      <c r="V227" s="32"/>
    </row>
    <row r="228" spans="5:22">
      <c r="E228" s="32" t="str">
        <v>tengah</v>
      </c>
      <c r="F228" s="32"/>
      <c r="G228" s="32"/>
      <c r="J228" s="32" t="str">
        <v>tengah</v>
      </c>
      <c r="K228" s="32"/>
      <c r="L228" s="32"/>
      <c r="O228" s="32" t="str">
        <v>tengah</v>
      </c>
      <c r="P228" s="32"/>
      <c r="Q228" s="32"/>
      <c r="T228" s="32" t="str">
        <v>tengah</v>
      </c>
      <c r="U228" s="32"/>
      <c r="V228" s="32"/>
    </row>
    <row r="229" spans="5:22">
      <c r="E229" s="32" t="str">
        <v>tengah</v>
      </c>
      <c r="F229" s="32"/>
      <c r="G229" s="32"/>
      <c r="J229" s="32" t="str">
        <v>tengah</v>
      </c>
      <c r="K229" s="32"/>
      <c r="L229" s="32"/>
      <c r="O229" s="32" t="str">
        <v>tengah</v>
      </c>
      <c r="P229" s="32"/>
      <c r="Q229" s="32"/>
      <c r="T229" s="32" t="str">
        <v>kanan</v>
      </c>
      <c r="U229" s="32"/>
      <c r="V229" s="32"/>
    </row>
    <row r="230" spans="5:22">
      <c r="E230" s="32" t="str">
        <v>kanan</v>
      </c>
      <c r="F230" s="32"/>
      <c r="G230" s="32"/>
      <c r="J230" s="32" t="str">
        <v>kanan</v>
      </c>
      <c r="K230" s="32"/>
      <c r="L230" s="32"/>
      <c r="O230" s="32" t="str">
        <v>tengah</v>
      </c>
      <c r="P230" s="32"/>
      <c r="Q230" s="32"/>
      <c r="T230" s="32" t="str">
        <v>kanan</v>
      </c>
      <c r="U230" s="32"/>
      <c r="V230" s="32"/>
    </row>
    <row r="231" spans="5:22">
      <c r="E231" s="32" t="str">
        <v>tengah</v>
      </c>
      <c r="F231" s="32"/>
      <c r="G231" s="32"/>
      <c r="J231" s="32" t="str">
        <v>tengah</v>
      </c>
      <c r="K231" s="32"/>
      <c r="L231" s="32"/>
      <c r="O231" s="32" t="str">
        <v>tengah</v>
      </c>
      <c r="P231" s="32"/>
      <c r="Q231" s="32"/>
      <c r="T231" s="32" t="str">
        <v>kanan</v>
      </c>
      <c r="U231" s="32"/>
      <c r="V231" s="32"/>
    </row>
    <row r="232" spans="5:22">
      <c r="E232" s="32" t="str">
        <v>kiri</v>
      </c>
      <c r="F232" s="32"/>
      <c r="G232" s="32"/>
      <c r="J232" s="32" t="str">
        <v>tengah</v>
      </c>
      <c r="K232" s="32"/>
      <c r="L232" s="32"/>
      <c r="O232" s="32" t="str">
        <v>kanan</v>
      </c>
      <c r="P232" s="32"/>
      <c r="Q232" s="32"/>
      <c r="T232" s="32" t="str">
        <v>tengah</v>
      </c>
      <c r="U232" s="32"/>
      <c r="V232" s="32"/>
    </row>
    <row r="233" spans="5:22">
      <c r="E233" s="32" t="str">
        <v>tengah</v>
      </c>
      <c r="F233" s="32"/>
      <c r="G233" s="32"/>
      <c r="J233" s="32" t="str">
        <v>tengah</v>
      </c>
      <c r="K233" s="32"/>
      <c r="L233" s="32"/>
      <c r="O233" s="32" t="str">
        <v>kiri</v>
      </c>
      <c r="P233" s="32"/>
      <c r="Q233" s="32"/>
      <c r="T233" s="32" t="str">
        <v>kanan</v>
      </c>
      <c r="U233" s="32"/>
      <c r="V233" s="32"/>
    </row>
    <row r="234" spans="5:22">
      <c r="E234" s="32" t="str">
        <v>kiri</v>
      </c>
      <c r="F234" s="32"/>
      <c r="G234" s="32"/>
      <c r="J234" s="32" t="str">
        <v>tengah</v>
      </c>
      <c r="K234" s="32"/>
      <c r="L234" s="32"/>
      <c r="O234" s="32" t="str">
        <v>tengah</v>
      </c>
      <c r="P234" s="32"/>
      <c r="Q234" s="32"/>
      <c r="T234" s="32" t="str">
        <v>tengah</v>
      </c>
      <c r="U234" s="32"/>
      <c r="V234" s="32"/>
    </row>
    <row r="235" spans="5:22">
      <c r="E235" s="32" t="str">
        <v>tengah</v>
      </c>
      <c r="F235" s="32"/>
      <c r="G235" s="32"/>
      <c r="J235" s="32" t="str">
        <v>tengah</v>
      </c>
      <c r="K235" s="32"/>
      <c r="L235" s="32"/>
      <c r="O235" s="32" t="str">
        <v>tengah</v>
      </c>
      <c r="P235" s="32"/>
      <c r="Q235" s="32"/>
      <c r="T235" s="32" t="str">
        <v>tengah</v>
      </c>
      <c r="U235" s="32"/>
      <c r="V235" s="32"/>
    </row>
    <row r="236" spans="5:22">
      <c r="E236" s="32" t="str">
        <v>kanan</v>
      </c>
      <c r="F236" s="32"/>
      <c r="G236" s="32"/>
      <c r="J236" s="32" t="str">
        <v>tengah</v>
      </c>
      <c r="K236" s="32"/>
      <c r="L236" s="32"/>
      <c r="O236" s="32" t="str">
        <v>tengah</v>
      </c>
      <c r="P236" s="32"/>
      <c r="Q236" s="32"/>
      <c r="T236" s="32" t="str">
        <v>tengah</v>
      </c>
      <c r="U236" s="32"/>
      <c r="V236" s="32"/>
    </row>
    <row r="237" spans="5:22">
      <c r="E237" s="32" t="str">
        <v>kiri</v>
      </c>
      <c r="F237" s="32"/>
      <c r="G237" s="32"/>
      <c r="J237" s="32" t="str">
        <v>kanan</v>
      </c>
      <c r="K237" s="32"/>
      <c r="L237" s="32"/>
      <c r="O237" s="32" t="str">
        <v>kiri</v>
      </c>
      <c r="P237" s="32"/>
      <c r="Q237" s="32"/>
      <c r="T237" s="32" t="str">
        <v>tengah</v>
      </c>
      <c r="U237" s="32"/>
      <c r="V237" s="32"/>
    </row>
    <row r="238" spans="5:22">
      <c r="E238" s="32" t="str">
        <v>kanan</v>
      </c>
      <c r="F238" s="32"/>
      <c r="G238" s="32"/>
      <c r="J238" s="32" t="str">
        <v>tengah</v>
      </c>
      <c r="K238" s="32"/>
      <c r="L238" s="32"/>
      <c r="O238" s="32" t="str">
        <v>tengah</v>
      </c>
      <c r="P238" s="32"/>
      <c r="Q238" s="32"/>
      <c r="T238" s="32" t="str">
        <v>kanan</v>
      </c>
      <c r="U238" s="32"/>
      <c r="V238" s="32"/>
    </row>
    <row r="239" spans="5:22">
      <c r="E239" s="32" t="str">
        <v>tengah</v>
      </c>
      <c r="F239" s="32"/>
      <c r="G239" s="32"/>
      <c r="J239" s="32" t="str">
        <v>kanan</v>
      </c>
      <c r="K239" s="32"/>
      <c r="L239" s="32"/>
      <c r="O239" s="32" t="str">
        <v>tengah</v>
      </c>
      <c r="P239" s="32"/>
      <c r="Q239" s="32"/>
      <c r="T239" s="32" t="str">
        <v>tengah</v>
      </c>
      <c r="U239" s="32"/>
      <c r="V239" s="32"/>
    </row>
    <row r="240" spans="5:22">
      <c r="E240" s="32" t="str">
        <v>tengah</v>
      </c>
      <c r="F240" s="32"/>
      <c r="G240" s="32"/>
      <c r="J240" s="32" t="str">
        <v>tengah</v>
      </c>
      <c r="K240" s="32"/>
      <c r="L240" s="32"/>
      <c r="O240" s="32" t="str">
        <v>tengah</v>
      </c>
      <c r="P240" s="32"/>
      <c r="Q240" s="32"/>
      <c r="T240" s="32" t="str">
        <v>kanan</v>
      </c>
      <c r="U240" s="32"/>
      <c r="V240" s="32"/>
    </row>
    <row r="241" spans="5:22">
      <c r="E241" s="32" t="str">
        <v>tengah</v>
      </c>
      <c r="F241" s="32"/>
      <c r="G241" s="32"/>
      <c r="J241" s="32" t="str">
        <v>tengah</v>
      </c>
      <c r="K241" s="32"/>
      <c r="L241" s="32"/>
      <c r="O241" s="32" t="str">
        <v>tengah</v>
      </c>
      <c r="P241" s="32"/>
      <c r="Q241" s="32"/>
      <c r="T241" s="32" t="str">
        <v>tengah</v>
      </c>
      <c r="U241" s="32"/>
      <c r="V241" s="32"/>
    </row>
    <row r="242" spans="5:22">
      <c r="E242" s="32" t="str">
        <v>tengah</v>
      </c>
      <c r="F242" s="32"/>
      <c r="G242" s="32"/>
      <c r="J242" s="32" t="str">
        <v>tengah</v>
      </c>
      <c r="K242" s="32"/>
      <c r="L242" s="32"/>
      <c r="O242" s="32" t="str">
        <v>kiri</v>
      </c>
      <c r="P242" s="32"/>
      <c r="Q242" s="32"/>
      <c r="T242" s="32" t="str">
        <v>tengah</v>
      </c>
      <c r="U242" s="32"/>
      <c r="V242" s="32"/>
    </row>
    <row r="243" spans="5:22">
      <c r="E243" s="32" t="str">
        <v>kanan</v>
      </c>
      <c r="F243" s="32"/>
      <c r="G243" s="32"/>
      <c r="J243" s="32" t="str">
        <v>tengah</v>
      </c>
      <c r="K243" s="32"/>
      <c r="L243" s="32"/>
      <c r="O243" s="32" t="str">
        <v>kiri</v>
      </c>
      <c r="P243" s="32"/>
      <c r="Q243" s="32"/>
      <c r="T243" s="32" t="str">
        <v>tengah</v>
      </c>
      <c r="U243" s="32"/>
      <c r="V243" s="32"/>
    </row>
    <row r="244" spans="5:22">
      <c r="E244" s="32" t="str">
        <v>tengah</v>
      </c>
      <c r="F244" s="32"/>
      <c r="G244" s="32"/>
      <c r="J244" s="32" t="str">
        <v>tengah</v>
      </c>
      <c r="K244" s="32"/>
      <c r="L244" s="32"/>
      <c r="O244" s="32" t="str">
        <v>kanan</v>
      </c>
      <c r="P244" s="32"/>
      <c r="Q244" s="32"/>
      <c r="T244" s="32" t="str">
        <v>kanan</v>
      </c>
      <c r="U244" s="32"/>
      <c r="V244" s="32"/>
    </row>
    <row r="245" spans="5:22">
      <c r="E245" s="32" t="str">
        <v>kanan</v>
      </c>
      <c r="F245" s="32"/>
      <c r="G245" s="32"/>
      <c r="J245" s="32" t="str">
        <v>kiri</v>
      </c>
      <c r="K245" s="32"/>
      <c r="L245" s="32"/>
      <c r="O245" s="32" t="str">
        <v>kiri</v>
      </c>
      <c r="P245" s="32"/>
      <c r="Q245" s="32"/>
      <c r="T245" s="32" t="str">
        <v>tengah</v>
      </c>
      <c r="U245" s="32"/>
      <c r="V245" s="32"/>
    </row>
    <row r="246" spans="5:22">
      <c r="E246" s="32" t="str">
        <v>kiri</v>
      </c>
      <c r="F246" s="32"/>
      <c r="G246" s="32"/>
      <c r="J246" s="32" t="str">
        <v>tengah</v>
      </c>
      <c r="K246" s="32"/>
      <c r="L246" s="32"/>
      <c r="O246" s="32" t="str">
        <v>tengah</v>
      </c>
      <c r="P246" s="32"/>
      <c r="Q246" s="32"/>
      <c r="T246" s="32" t="str">
        <v>tengah</v>
      </c>
      <c r="U246" s="32"/>
      <c r="V246" s="32"/>
    </row>
    <row r="247" spans="5:22">
      <c r="E247" s="32" t="str">
        <v>kiri</v>
      </c>
      <c r="F247" s="32"/>
      <c r="G247" s="32"/>
      <c r="J247" s="32" t="str">
        <v>tengah</v>
      </c>
      <c r="K247" s="32"/>
      <c r="L247" s="32"/>
      <c r="O247" s="32" t="str">
        <v>kiri</v>
      </c>
      <c r="P247" s="32"/>
      <c r="Q247" s="32"/>
      <c r="T247" s="32" t="str">
        <v>tengah</v>
      </c>
      <c r="U247" s="32"/>
      <c r="V247" s="32"/>
    </row>
    <row r="248" spans="5:22">
      <c r="E248" s="32" t="str">
        <v>kiri</v>
      </c>
      <c r="F248" s="32"/>
      <c r="G248" s="32"/>
      <c r="J248" s="32" t="str">
        <v>kanan</v>
      </c>
      <c r="K248" s="32"/>
      <c r="L248" s="32"/>
      <c r="O248" s="32" t="str">
        <v>kiri</v>
      </c>
      <c r="P248" s="32"/>
      <c r="Q248" s="32"/>
      <c r="T248" s="32" t="str">
        <v>tengah</v>
      </c>
      <c r="U248" s="32"/>
      <c r="V248" s="32"/>
    </row>
    <row r="249" spans="5:22">
      <c r="E249" s="32" t="str">
        <v>kiri</v>
      </c>
      <c r="F249" s="32"/>
      <c r="G249" s="32"/>
      <c r="J249" s="32" t="str">
        <v>tengah</v>
      </c>
      <c r="K249" s="32"/>
      <c r="L249" s="32"/>
      <c r="O249" s="32" t="str">
        <v>kiri</v>
      </c>
      <c r="P249" s="32"/>
      <c r="Q249" s="32"/>
      <c r="T249" s="32" t="str">
        <v>tengah</v>
      </c>
      <c r="U249" s="32"/>
      <c r="V249" s="32"/>
    </row>
    <row r="250" spans="5:22">
      <c r="E250" s="32" t="str">
        <v>kanan</v>
      </c>
      <c r="F250" s="32"/>
      <c r="G250" s="32"/>
      <c r="J250" s="32" t="str">
        <v>tengah</v>
      </c>
      <c r="K250" s="32"/>
      <c r="L250" s="32"/>
      <c r="O250" s="32" t="str">
        <v>tengah</v>
      </c>
      <c r="P250" s="32"/>
      <c r="Q250" s="32"/>
      <c r="T250" s="32" t="str">
        <v>kanan</v>
      </c>
      <c r="U250" s="32"/>
      <c r="V250" s="32"/>
    </row>
    <row r="251" spans="5:22">
      <c r="E251" s="32" t="str">
        <v>kanan</v>
      </c>
      <c r="F251" s="32"/>
      <c r="G251" s="32"/>
      <c r="J251" s="32" t="str">
        <v>kiri</v>
      </c>
      <c r="K251" s="32"/>
      <c r="L251" s="32"/>
      <c r="O251" s="32" t="str">
        <v>kanan</v>
      </c>
      <c r="P251" s="32"/>
      <c r="Q251" s="32"/>
      <c r="T251" s="32" t="str">
        <v>kanan</v>
      </c>
      <c r="U251" s="32"/>
      <c r="V251" s="32"/>
    </row>
    <row r="252" spans="5:22">
      <c r="E252" s="32" t="str">
        <v>kanan</v>
      </c>
      <c r="F252" s="32"/>
      <c r="G252" s="32"/>
      <c r="J252" s="32" t="str">
        <v>kiri</v>
      </c>
      <c r="K252" s="32"/>
      <c r="L252" s="32"/>
      <c r="O252" s="32" t="str">
        <v>kiri</v>
      </c>
      <c r="P252" s="32"/>
      <c r="Q252" s="32"/>
      <c r="T252" s="32" t="str">
        <v>tengah</v>
      </c>
      <c r="U252" s="32"/>
      <c r="V252" s="32"/>
    </row>
    <row r="253" spans="5:22">
      <c r="E253" s="32" t="str">
        <v>kiri</v>
      </c>
      <c r="F253" s="32"/>
      <c r="G253" s="32"/>
      <c r="J253" s="32" t="str">
        <v>kiri</v>
      </c>
      <c r="K253" s="32"/>
      <c r="L253" s="32"/>
      <c r="O253" s="32" t="str">
        <v>kiri</v>
      </c>
      <c r="P253" s="32"/>
      <c r="Q253" s="32"/>
      <c r="T253" s="32" t="str">
        <v>tengah</v>
      </c>
      <c r="U253" s="32"/>
      <c r="V253" s="32"/>
    </row>
    <row r="254" spans="5:22">
      <c r="E254" s="32" t="str">
        <v>kiri</v>
      </c>
      <c r="F254" s="32"/>
      <c r="G254" s="32"/>
      <c r="J254" s="32" t="str">
        <v>kanan</v>
      </c>
      <c r="K254" s="32"/>
      <c r="L254" s="32"/>
      <c r="O254" s="32" t="str">
        <v>kiri</v>
      </c>
      <c r="P254" s="32"/>
      <c r="Q254" s="32"/>
      <c r="T254" s="32" t="str">
        <v>tengah</v>
      </c>
      <c r="U254" s="32"/>
      <c r="V254" s="32"/>
    </row>
    <row r="255" spans="5:22">
      <c r="E255" s="32" t="str">
        <v>tengah</v>
      </c>
      <c r="F255" s="32"/>
      <c r="G255" s="32"/>
      <c r="J255" s="32" t="str">
        <v>tengah</v>
      </c>
      <c r="K255" s="32"/>
      <c r="L255" s="32"/>
      <c r="O255" s="32" t="str">
        <v>tengah</v>
      </c>
      <c r="P255" s="32"/>
      <c r="Q255" s="32"/>
      <c r="T255" s="32" t="str">
        <v>kanan</v>
      </c>
      <c r="U255" s="32"/>
      <c r="V255" s="32"/>
    </row>
    <row r="256" spans="5:22">
      <c r="E256" s="32" t="str">
        <v>tengah</v>
      </c>
      <c r="F256" s="32"/>
      <c r="G256" s="32"/>
      <c r="J256" s="32" t="str">
        <v>tengah</v>
      </c>
      <c r="K256" s="32"/>
      <c r="L256" s="32"/>
      <c r="O256" s="32" t="str">
        <v>tengah</v>
      </c>
      <c r="P256" s="32"/>
      <c r="Q256" s="32"/>
      <c r="T256" s="32" t="str">
        <v>kanan</v>
      </c>
      <c r="U256" s="32"/>
      <c r="V256" s="32"/>
    </row>
    <row r="257" spans="5:22">
      <c r="E257" s="32" t="str">
        <v>kiri</v>
      </c>
      <c r="F257" s="32"/>
      <c r="G257" s="32"/>
      <c r="J257" s="32" t="str">
        <v>kiri</v>
      </c>
      <c r="K257" s="32"/>
      <c r="L257" s="32"/>
      <c r="O257" s="32" t="str">
        <v>kanan</v>
      </c>
      <c r="P257" s="32"/>
      <c r="Q257" s="32"/>
      <c r="T257" s="32" t="str">
        <v>kanan</v>
      </c>
      <c r="U257" s="32"/>
      <c r="V257" s="32"/>
    </row>
    <row r="258" spans="5:22">
      <c r="E258" s="32" t="str">
        <v>kanan</v>
      </c>
      <c r="F258" s="32"/>
      <c r="G258" s="32"/>
      <c r="J258" s="32" t="str">
        <v>tengah</v>
      </c>
      <c r="K258" s="32"/>
      <c r="L258" s="32"/>
      <c r="O258" s="32" t="str">
        <v>tengah</v>
      </c>
      <c r="P258" s="32"/>
      <c r="Q258" s="32"/>
      <c r="T258" s="32" t="str">
        <v>kanan</v>
      </c>
      <c r="U258" s="32"/>
      <c r="V258" s="32"/>
    </row>
    <row r="259" spans="5:22">
      <c r="E259" s="32" t="str">
        <v>kiri</v>
      </c>
      <c r="F259" s="32"/>
      <c r="G259" s="32"/>
      <c r="J259" s="32" t="str">
        <v>kiri</v>
      </c>
      <c r="K259" s="32"/>
      <c r="L259" s="32"/>
      <c r="O259" s="32" t="str">
        <v>kanan</v>
      </c>
      <c r="P259" s="32"/>
      <c r="Q259" s="32"/>
      <c r="T259" s="32" t="str">
        <v>tengah</v>
      </c>
      <c r="U259" s="32"/>
      <c r="V259" s="32"/>
    </row>
    <row r="260" spans="5:22">
      <c r="E260" s="32" t="str">
        <v>tengah</v>
      </c>
      <c r="F260" s="32"/>
      <c r="G260" s="32"/>
      <c r="J260" s="32" t="str">
        <v>tengah</v>
      </c>
      <c r="K260" s="32"/>
      <c r="L260" s="32"/>
      <c r="O260" s="32" t="str">
        <v>tengah</v>
      </c>
      <c r="P260" s="32"/>
      <c r="Q260" s="32"/>
      <c r="T260" s="32" t="str">
        <v>kanan</v>
      </c>
      <c r="U260" s="32"/>
      <c r="V260" s="32"/>
    </row>
    <row r="261" spans="5:22">
      <c r="E261" s="32" t="str">
        <v>tengah</v>
      </c>
      <c r="F261" s="32"/>
      <c r="G261" s="32"/>
      <c r="J261" s="32" t="str">
        <v>kanan</v>
      </c>
      <c r="K261" s="32"/>
      <c r="L261" s="32"/>
      <c r="O261" s="32" t="str">
        <v>kiri</v>
      </c>
      <c r="P261" s="32"/>
      <c r="Q261" s="32"/>
      <c r="T261" s="32" t="str">
        <v>tengah</v>
      </c>
      <c r="U261" s="32"/>
      <c r="V261" s="32"/>
    </row>
    <row r="262" spans="5:22">
      <c r="E262" s="32" t="str">
        <v>kanan</v>
      </c>
      <c r="F262" s="32"/>
      <c r="G262" s="32"/>
      <c r="J262" s="32" t="str">
        <v>kanan</v>
      </c>
      <c r="K262" s="32"/>
      <c r="L262" s="32"/>
      <c r="O262" s="32" t="str">
        <v>tengah</v>
      </c>
      <c r="P262" s="32"/>
      <c r="Q262" s="32"/>
      <c r="T262" s="32" t="str">
        <v>kanan</v>
      </c>
      <c r="U262" s="32"/>
      <c r="V262" s="32"/>
    </row>
    <row r="263" spans="5:22">
      <c r="E263" s="32" t="str">
        <v>tengah</v>
      </c>
      <c r="F263" s="32"/>
      <c r="G263" s="32"/>
      <c r="J263" s="32" t="str">
        <v>tengah</v>
      </c>
      <c r="K263" s="32"/>
      <c r="L263" s="32"/>
      <c r="O263" s="32" t="str">
        <v>kanan</v>
      </c>
      <c r="P263" s="32"/>
      <c r="Q263" s="32"/>
      <c r="T263" s="32" t="str">
        <v>kanan</v>
      </c>
      <c r="U263" s="32"/>
      <c r="V263" s="32"/>
    </row>
    <row r="264" spans="5:22">
      <c r="E264" s="32" t="str">
        <v>kanan</v>
      </c>
      <c r="F264" s="32"/>
      <c r="G264" s="32"/>
      <c r="J264" s="32" t="str">
        <v>kanan</v>
      </c>
      <c r="K264" s="32"/>
      <c r="L264" s="32"/>
      <c r="O264" s="32" t="str">
        <v>kanan</v>
      </c>
      <c r="P264" s="32"/>
      <c r="Q264" s="32"/>
      <c r="T264" s="32" t="str">
        <v>kanan</v>
      </c>
      <c r="U264" s="32"/>
      <c r="V264" s="32"/>
    </row>
    <row r="265" spans="5:22">
      <c r="E265" s="32" t="str">
        <v>kiri</v>
      </c>
      <c r="F265" s="32"/>
      <c r="G265" s="32"/>
      <c r="J265" s="32" t="str">
        <v>tengah</v>
      </c>
      <c r="K265" s="32"/>
      <c r="L265" s="32"/>
      <c r="O265" s="32" t="str">
        <v>kanan</v>
      </c>
      <c r="P265" s="32"/>
      <c r="Q265" s="32"/>
      <c r="T265" s="32" t="str">
        <v>kanan</v>
      </c>
      <c r="U265" s="32"/>
      <c r="V265" s="32"/>
    </row>
    <row r="266" spans="5:22">
      <c r="E266" s="32" t="str">
        <v>kiri</v>
      </c>
      <c r="F266" s="32"/>
      <c r="G266" s="32"/>
      <c r="J266" s="32" t="str">
        <v>tengah</v>
      </c>
      <c r="K266" s="32"/>
      <c r="L266" s="32"/>
      <c r="O266" s="32" t="str">
        <v>tengah</v>
      </c>
      <c r="P266" s="32"/>
      <c r="Q266" s="32"/>
      <c r="T266" s="32" t="str">
        <v>tengah</v>
      </c>
      <c r="U266" s="32"/>
      <c r="V266" s="32"/>
    </row>
    <row r="267" spans="5:22">
      <c r="E267" s="32" t="str">
        <v>tengah</v>
      </c>
      <c r="F267" s="32"/>
      <c r="G267" s="32"/>
      <c r="J267" s="32" t="str">
        <v>tengah</v>
      </c>
      <c r="K267" s="32"/>
      <c r="L267" s="32"/>
      <c r="O267" s="32" t="str">
        <v>kiri</v>
      </c>
      <c r="P267" s="32"/>
      <c r="Q267" s="32"/>
      <c r="T267" s="32" t="str">
        <v>tengah</v>
      </c>
      <c r="U267" s="32"/>
      <c r="V267" s="32"/>
    </row>
    <row r="268" spans="5:22">
      <c r="E268" s="32" t="str">
        <v>kanan</v>
      </c>
      <c r="F268" s="32"/>
      <c r="G268" s="32"/>
      <c r="J268" s="32" t="str">
        <v>tengah</v>
      </c>
      <c r="K268" s="32"/>
      <c r="L268" s="32"/>
      <c r="O268" s="32" t="str">
        <v>tengah</v>
      </c>
      <c r="P268" s="32"/>
      <c r="Q268" s="32"/>
      <c r="T268" s="32" t="str">
        <v>kanan</v>
      </c>
      <c r="U268" s="32"/>
      <c r="V268" s="32"/>
    </row>
    <row r="269" spans="5:22">
      <c r="E269" s="32" t="str">
        <v>tengah</v>
      </c>
      <c r="F269" s="32"/>
      <c r="G269" s="32"/>
      <c r="J269" s="32" t="str">
        <v>kiri</v>
      </c>
      <c r="K269" s="32"/>
      <c r="L269" s="32"/>
      <c r="O269" s="32" t="str">
        <v>tengah</v>
      </c>
      <c r="P269" s="32"/>
      <c r="Q269" s="32"/>
      <c r="T269" s="32" t="str">
        <v>kanan</v>
      </c>
      <c r="U269" s="32"/>
      <c r="V269" s="32"/>
    </row>
    <row r="270" spans="5:22">
      <c r="E270" s="32" t="str">
        <v>kanan</v>
      </c>
      <c r="F270" s="32"/>
      <c r="G270" s="32"/>
      <c r="J270" s="32" t="str">
        <v>tengah</v>
      </c>
      <c r="K270" s="32"/>
      <c r="L270" s="32"/>
      <c r="O270" s="32" t="str">
        <v>tengah</v>
      </c>
      <c r="P270" s="32"/>
      <c r="Q270" s="32"/>
      <c r="T270" s="32" t="str">
        <v>kanan</v>
      </c>
      <c r="U270" s="32"/>
      <c r="V270" s="32"/>
    </row>
    <row r="271" spans="5:22">
      <c r="E271" s="32" t="str">
        <v>tengah</v>
      </c>
      <c r="F271" s="32"/>
      <c r="G271" s="32"/>
      <c r="J271" s="32" t="str">
        <v>kanan</v>
      </c>
      <c r="K271" s="32"/>
      <c r="L271" s="32"/>
      <c r="O271" s="32" t="str">
        <v>tengah</v>
      </c>
      <c r="P271" s="32"/>
      <c r="Q271" s="32"/>
      <c r="T271" s="32" t="str">
        <v>tengah</v>
      </c>
      <c r="U271" s="32"/>
      <c r="V271" s="32"/>
    </row>
    <row r="272" spans="5:22">
      <c r="E272" s="32" t="str">
        <v>tengah</v>
      </c>
      <c r="F272" s="32"/>
      <c r="G272" s="32"/>
      <c r="J272" s="32" t="str">
        <v>kanan</v>
      </c>
      <c r="K272" s="32"/>
      <c r="L272" s="32"/>
      <c r="O272" s="32" t="str">
        <v>kanan</v>
      </c>
      <c r="P272" s="32"/>
      <c r="Q272" s="32"/>
      <c r="T272" s="32" t="str">
        <v>tengah</v>
      </c>
      <c r="U272" s="32"/>
      <c r="V272" s="32"/>
    </row>
    <row r="273" spans="5:22">
      <c r="E273" s="32" t="str">
        <v>tengah</v>
      </c>
      <c r="F273" s="32"/>
      <c r="G273" s="32"/>
      <c r="J273" s="32" t="str">
        <v>kanan</v>
      </c>
      <c r="K273" s="32"/>
      <c r="L273" s="32"/>
      <c r="O273" s="32" t="str">
        <v>tengah</v>
      </c>
      <c r="P273" s="32"/>
      <c r="Q273" s="32"/>
      <c r="T273" s="32" t="str">
        <v>tengah</v>
      </c>
      <c r="U273" s="32"/>
      <c r="V273" s="32"/>
    </row>
    <row r="274" spans="5:22">
      <c r="E274" s="32" t="str">
        <v>kiri</v>
      </c>
      <c r="F274" s="32"/>
      <c r="G274" s="32"/>
      <c r="J274" s="32" t="str">
        <v>kiri</v>
      </c>
      <c r="K274" s="32"/>
      <c r="L274" s="32"/>
      <c r="O274" s="32" t="str">
        <v>tengah</v>
      </c>
      <c r="P274" s="32"/>
      <c r="Q274" s="32"/>
      <c r="T274" s="32" t="str">
        <v>kanan</v>
      </c>
      <c r="U274" s="32"/>
      <c r="V274" s="32"/>
    </row>
    <row r="275" spans="5:22">
      <c r="E275" s="32" t="str">
        <v>tengah</v>
      </c>
      <c r="F275" s="32"/>
      <c r="G275" s="32"/>
      <c r="J275" s="32" t="str">
        <v>tengah</v>
      </c>
      <c r="K275" s="32"/>
      <c r="L275" s="32"/>
      <c r="O275" s="32" t="str">
        <v>tengah</v>
      </c>
      <c r="P275" s="32"/>
      <c r="Q275" s="32"/>
      <c r="T275" s="32" t="str">
        <v>tengah</v>
      </c>
      <c r="U275" s="32"/>
      <c r="V275" s="32"/>
    </row>
    <row r="276" spans="5:22">
      <c r="E276" s="32" t="str">
        <v>kanan</v>
      </c>
      <c r="F276" s="32"/>
      <c r="G276" s="32"/>
      <c r="J276" s="32" t="str">
        <v>kanan</v>
      </c>
      <c r="K276" s="32"/>
      <c r="L276" s="32"/>
      <c r="O276" s="32" t="str">
        <v>kanan</v>
      </c>
      <c r="P276" s="32"/>
      <c r="Q276" s="32"/>
      <c r="T276" s="32" t="str">
        <v>kanan</v>
      </c>
      <c r="U276" s="32"/>
      <c r="V276" s="32"/>
    </row>
    <row r="277" spans="5:22">
      <c r="E277" s="32" t="str">
        <v>kanan</v>
      </c>
      <c r="F277" s="32"/>
      <c r="G277" s="32"/>
      <c r="J277" s="32" t="str">
        <v>tengah</v>
      </c>
      <c r="K277" s="32"/>
      <c r="L277" s="32"/>
      <c r="O277" s="32" t="str">
        <v>tengah</v>
      </c>
      <c r="P277" s="32"/>
      <c r="Q277" s="32"/>
      <c r="T277" s="32" t="str">
        <v>kanan</v>
      </c>
      <c r="U277" s="32"/>
      <c r="V277" s="32"/>
    </row>
    <row r="278" spans="5:22">
      <c r="E278" s="32" t="str">
        <v>kanan</v>
      </c>
      <c r="F278" s="32"/>
      <c r="G278" s="32"/>
      <c r="J278" s="32" t="str">
        <v>kiri</v>
      </c>
      <c r="K278" s="32"/>
      <c r="L278" s="32"/>
      <c r="O278" s="32" t="str">
        <v>kiri</v>
      </c>
      <c r="P278" s="32"/>
      <c r="Q278" s="32"/>
      <c r="T278" s="32" t="str">
        <v>tengah</v>
      </c>
      <c r="U278" s="32"/>
      <c r="V278" s="32"/>
    </row>
    <row r="279" spans="5:22">
      <c r="E279" s="32" t="str">
        <v>kanan</v>
      </c>
      <c r="F279" s="32"/>
      <c r="G279" s="32"/>
      <c r="J279" s="32" t="str">
        <v>tengah</v>
      </c>
      <c r="K279" s="32"/>
      <c r="L279" s="32"/>
      <c r="O279" s="32" t="str">
        <v>tengah</v>
      </c>
      <c r="P279" s="32"/>
      <c r="Q279" s="32"/>
      <c r="T279" s="32" t="str">
        <v>kanan</v>
      </c>
      <c r="U279" s="32"/>
      <c r="V279" s="32"/>
    </row>
    <row r="280" spans="5:22">
      <c r="E280" s="32" t="str">
        <v>tengah</v>
      </c>
      <c r="F280" s="32"/>
      <c r="G280" s="32"/>
      <c r="J280" s="32" t="str">
        <v>kanan</v>
      </c>
      <c r="K280" s="32"/>
      <c r="L280" s="32"/>
      <c r="O280" s="32" t="str">
        <v>tengah</v>
      </c>
      <c r="P280" s="32"/>
      <c r="Q280" s="32"/>
      <c r="T280" s="32" t="str">
        <v>kanan</v>
      </c>
      <c r="U280" s="32"/>
      <c r="V280" s="32"/>
    </row>
    <row r="281" spans="5:22">
      <c r="E281" s="32" t="str">
        <v>tengah</v>
      </c>
      <c r="F281" s="32"/>
      <c r="G281" s="32"/>
      <c r="J281" s="32" t="str">
        <v>tengah</v>
      </c>
      <c r="K281" s="32"/>
      <c r="L281" s="32"/>
      <c r="O281" s="32" t="str">
        <v>tengah</v>
      </c>
      <c r="P281" s="32"/>
      <c r="Q281" s="32"/>
      <c r="T281" s="32" t="str">
        <v>kanan</v>
      </c>
      <c r="U281" s="32"/>
      <c r="V281" s="32"/>
    </row>
    <row r="282" spans="5:22">
      <c r="E282" s="32" t="str">
        <v>kiri</v>
      </c>
      <c r="F282" s="32"/>
      <c r="G282" s="32"/>
      <c r="J282" s="32" t="str">
        <v>kanan</v>
      </c>
      <c r="K282" s="32"/>
      <c r="L282" s="32"/>
      <c r="O282" s="32" t="str">
        <v>kiri</v>
      </c>
      <c r="P282" s="32"/>
      <c r="Q282" s="32"/>
      <c r="T282" s="32" t="str">
        <v>tengah</v>
      </c>
      <c r="U282" s="32"/>
      <c r="V282" s="32"/>
    </row>
    <row r="283" spans="5:22">
      <c r="E283" s="32" t="str">
        <v>kiri</v>
      </c>
      <c r="F283" s="32"/>
      <c r="G283" s="32"/>
      <c r="J283" s="32" t="str">
        <v>tengah</v>
      </c>
      <c r="K283" s="32"/>
      <c r="L283" s="32"/>
      <c r="O283" s="32" t="str">
        <v>kanan</v>
      </c>
      <c r="P283" s="32"/>
      <c r="Q283" s="32"/>
      <c r="T283" s="32" t="str">
        <v>kanan</v>
      </c>
      <c r="U283" s="32"/>
      <c r="V283" s="32"/>
    </row>
    <row r="284" spans="5:22">
      <c r="E284" s="32" t="str">
        <v>tengah</v>
      </c>
      <c r="F284" s="32"/>
      <c r="G284" s="32"/>
      <c r="J284" s="32" t="str">
        <v>kiri</v>
      </c>
      <c r="K284" s="32"/>
      <c r="L284" s="32"/>
      <c r="O284" s="32" t="str">
        <v>tengah</v>
      </c>
      <c r="P284" s="32"/>
      <c r="Q284" s="32"/>
      <c r="T284" s="32" t="str">
        <v>tengah</v>
      </c>
      <c r="U284" s="32"/>
      <c r="V284" s="32"/>
    </row>
    <row r="285" spans="5:22">
      <c r="E285" s="32" t="str">
        <v>kiri</v>
      </c>
      <c r="F285" s="32"/>
      <c r="G285" s="32"/>
      <c r="J285" s="32" t="str">
        <v>tengah</v>
      </c>
      <c r="K285" s="32"/>
      <c r="L285" s="32"/>
      <c r="O285" s="32" t="str">
        <v>tengah</v>
      </c>
      <c r="P285" s="32"/>
      <c r="Q285" s="32"/>
      <c r="T285" s="32" t="str">
        <v>kanan</v>
      </c>
      <c r="U285" s="32"/>
      <c r="V285" s="32"/>
    </row>
    <row r="286" spans="5:22">
      <c r="E286" s="32" t="str">
        <v>tengah</v>
      </c>
      <c r="F286" s="32"/>
      <c r="G286" s="32"/>
      <c r="J286" s="32" t="str">
        <v>tengah</v>
      </c>
      <c r="K286" s="32"/>
      <c r="L286" s="32"/>
      <c r="O286" s="32" t="str">
        <v>kanan</v>
      </c>
      <c r="P286" s="32"/>
      <c r="Q286" s="32"/>
      <c r="T286" s="32" t="str">
        <v>tengah</v>
      </c>
      <c r="U286" s="32"/>
      <c r="V286" s="32"/>
    </row>
    <row r="287" spans="5:22">
      <c r="E287" s="32" t="str">
        <v>tengah</v>
      </c>
      <c r="F287" s="32"/>
      <c r="G287" s="32"/>
      <c r="J287" s="32" t="str">
        <v>tengah</v>
      </c>
      <c r="K287" s="32"/>
      <c r="L287" s="32"/>
      <c r="O287" s="32" t="str">
        <v>tengah</v>
      </c>
      <c r="P287" s="32"/>
      <c r="Q287" s="32"/>
      <c r="T287" s="32" t="str">
        <v>kanan</v>
      </c>
      <c r="U287" s="32"/>
      <c r="V287" s="32"/>
    </row>
    <row r="288" spans="5:22">
      <c r="E288" s="32" t="str">
        <v>tengah</v>
      </c>
      <c r="F288" s="32"/>
      <c r="G288" s="32"/>
      <c r="J288" s="32" t="str">
        <v>tengah</v>
      </c>
      <c r="K288" s="32"/>
      <c r="L288" s="32"/>
      <c r="O288" s="32" t="str">
        <v>tengah</v>
      </c>
      <c r="P288" s="32"/>
      <c r="Q288" s="32"/>
      <c r="T288" s="32" t="str">
        <v>tengah</v>
      </c>
      <c r="U288" s="32"/>
      <c r="V288" s="32"/>
    </row>
    <row r="289" spans="5:22">
      <c r="E289" s="32" t="str">
        <v>kiri</v>
      </c>
      <c r="F289" s="32"/>
      <c r="G289" s="32"/>
      <c r="J289" s="32" t="str">
        <v>kanan</v>
      </c>
      <c r="K289" s="32"/>
      <c r="L289" s="32"/>
      <c r="O289" s="32" t="str">
        <v>tengah</v>
      </c>
      <c r="P289" s="32"/>
      <c r="Q289" s="32"/>
      <c r="T289" s="32" t="str">
        <v>kanan</v>
      </c>
      <c r="U289" s="32"/>
      <c r="V289" s="32"/>
    </row>
    <row r="290" spans="5:22">
      <c r="E290" s="32" t="str">
        <v>kanan</v>
      </c>
      <c r="F290" s="32"/>
      <c r="G290" s="32"/>
      <c r="J290" s="32" t="str">
        <v>tengah</v>
      </c>
      <c r="K290" s="32"/>
      <c r="L290" s="32"/>
      <c r="O290" s="32" t="str">
        <v>tengah</v>
      </c>
      <c r="P290" s="32"/>
      <c r="Q290" s="32"/>
      <c r="T290" s="32" t="str">
        <v>tengah</v>
      </c>
      <c r="U290" s="32"/>
      <c r="V290" s="32"/>
    </row>
    <row r="291" spans="5:22">
      <c r="E291" s="32" t="str">
        <v>kanan</v>
      </c>
      <c r="F291" s="32"/>
      <c r="G291" s="32"/>
      <c r="J291" s="32" t="str">
        <v>tengah</v>
      </c>
      <c r="K291" s="32"/>
      <c r="L291" s="32"/>
      <c r="O291" s="32" t="str">
        <v>tengah</v>
      </c>
      <c r="P291" s="32"/>
      <c r="Q291" s="32"/>
      <c r="T291" s="32" t="str">
        <v>kanan</v>
      </c>
      <c r="U291" s="32"/>
      <c r="V291" s="32"/>
    </row>
    <row r="292" spans="5:22">
      <c r="E292" s="32" t="str">
        <v>kiri</v>
      </c>
      <c r="F292" s="32"/>
      <c r="G292" s="32"/>
      <c r="J292" s="32" t="str">
        <v>tengah</v>
      </c>
      <c r="K292" s="32"/>
      <c r="L292" s="32"/>
      <c r="O292" s="32" t="str">
        <v>tengah</v>
      </c>
      <c r="P292" s="32"/>
      <c r="Q292" s="32"/>
      <c r="T292" s="32" t="str">
        <v>kanan</v>
      </c>
      <c r="U292" s="32"/>
      <c r="V292" s="32"/>
    </row>
    <row r="293" spans="5:22">
      <c r="E293" s="32" t="str">
        <v>tengah</v>
      </c>
      <c r="F293" s="32"/>
      <c r="G293" s="32"/>
      <c r="J293" s="32" t="str">
        <v>tengah</v>
      </c>
      <c r="K293" s="32"/>
      <c r="L293" s="32"/>
      <c r="O293" s="32" t="str">
        <v>tengah</v>
      </c>
      <c r="P293" s="32"/>
      <c r="Q293" s="32"/>
      <c r="T293" s="32" t="str">
        <v>kanan</v>
      </c>
      <c r="U293" s="32"/>
      <c r="V293" s="32"/>
    </row>
    <row r="294" spans="5:22">
      <c r="E294" s="32" t="str">
        <v>kiri</v>
      </c>
      <c r="F294" s="32"/>
      <c r="G294" s="32"/>
      <c r="J294" s="32" t="str">
        <v>kiri</v>
      </c>
      <c r="K294" s="32"/>
      <c r="L294" s="32"/>
      <c r="O294" s="32" t="str">
        <v>kiri</v>
      </c>
      <c r="P294" s="32"/>
      <c r="Q294" s="32"/>
      <c r="T294" s="32" t="str">
        <v>kanan</v>
      </c>
      <c r="U294" s="32"/>
      <c r="V294" s="32"/>
    </row>
    <row r="295" spans="5:22">
      <c r="E295" s="32" t="str">
        <v>tengah</v>
      </c>
      <c r="F295" s="32"/>
      <c r="G295" s="32"/>
      <c r="J295" s="32" t="str">
        <v>kanan</v>
      </c>
      <c r="K295" s="32"/>
      <c r="L295" s="32"/>
      <c r="O295" s="32" t="str">
        <v>tengah</v>
      </c>
      <c r="P295" s="32"/>
      <c r="Q295" s="32"/>
      <c r="T295" s="32" t="str">
        <v>tengah</v>
      </c>
      <c r="U295" s="32"/>
      <c r="V295" s="32"/>
    </row>
    <row r="296" spans="5:22">
      <c r="E296" s="32" t="str">
        <v>tengah</v>
      </c>
      <c r="F296" s="32"/>
      <c r="G296" s="32"/>
      <c r="J296" s="32" t="str">
        <v>kanan</v>
      </c>
      <c r="K296" s="32"/>
      <c r="L296" s="32"/>
      <c r="O296" s="32" t="str">
        <v>tengah</v>
      </c>
      <c r="P296" s="32"/>
      <c r="Q296" s="32"/>
      <c r="T296" s="32" t="str">
        <v>kanan</v>
      </c>
      <c r="U296" s="32"/>
      <c r="V296" s="32"/>
    </row>
    <row r="297" spans="5:22">
      <c r="E297" s="32" t="str">
        <v>kiri</v>
      </c>
      <c r="F297" s="32"/>
      <c r="G297" s="32"/>
      <c r="J297" s="32" t="str">
        <v>kiri</v>
      </c>
      <c r="K297" s="32"/>
      <c r="L297" s="32"/>
      <c r="O297" s="32" t="str">
        <v>kanan</v>
      </c>
      <c r="P297" s="32"/>
      <c r="Q297" s="32"/>
      <c r="T297" s="32" t="str">
        <v>kanan</v>
      </c>
      <c r="U297" s="32"/>
      <c r="V297" s="32"/>
    </row>
    <row r="298" spans="5:22">
      <c r="E298" s="32" t="str">
        <v>kiri</v>
      </c>
      <c r="F298" s="32"/>
      <c r="G298" s="32"/>
      <c r="J298" s="32" t="str">
        <v>tengah</v>
      </c>
      <c r="K298" s="32"/>
      <c r="L298" s="32"/>
      <c r="O298" s="32" t="str">
        <v>tengah</v>
      </c>
      <c r="P298" s="32"/>
      <c r="Q298" s="32"/>
      <c r="T298" s="32" t="str">
        <v>tengah</v>
      </c>
      <c r="U298" s="32"/>
      <c r="V298" s="32"/>
    </row>
    <row r="299" spans="5:22">
      <c r="E299" s="32" t="str">
        <v>kanan</v>
      </c>
      <c r="F299" s="32"/>
      <c r="G299" s="32"/>
      <c r="J299" s="32" t="str">
        <v>tengah</v>
      </c>
      <c r="K299" s="32"/>
      <c r="L299" s="32"/>
      <c r="O299" s="32" t="str">
        <v>kanan</v>
      </c>
      <c r="P299" s="32"/>
      <c r="Q299" s="32"/>
      <c r="T299" s="32" t="str">
        <v>kanan</v>
      </c>
      <c r="U299" s="32"/>
      <c r="V299" s="32"/>
    </row>
    <row r="300" spans="5:22">
      <c r="E300" s="32" t="str">
        <v>kiri</v>
      </c>
      <c r="F300" s="32"/>
      <c r="G300" s="32"/>
      <c r="J300" s="32" t="str">
        <v>kiri</v>
      </c>
      <c r="K300" s="32"/>
      <c r="L300" s="32"/>
      <c r="O300" s="32" t="str">
        <v>tengah</v>
      </c>
      <c r="P300" s="32"/>
      <c r="Q300" s="32"/>
      <c r="T300" s="32" t="str">
        <v>kanan</v>
      </c>
      <c r="U300" s="32"/>
      <c r="V300" s="32"/>
    </row>
    <row r="301" spans="5:22">
      <c r="E301" s="32" t="str">
        <v>tengah</v>
      </c>
      <c r="F301" s="32"/>
      <c r="G301" s="32"/>
      <c r="J301" s="32" t="str">
        <v>tengah</v>
      </c>
      <c r="K301" s="32"/>
      <c r="L301" s="32"/>
      <c r="O301" s="32" t="str">
        <v>tengah</v>
      </c>
      <c r="P301" s="32"/>
      <c r="Q301" s="32"/>
      <c r="T301" s="32" t="str">
        <v>kanan</v>
      </c>
      <c r="U301" s="32"/>
      <c r="V301" s="32"/>
    </row>
    <row r="302" spans="5:22">
      <c r="E302" s="32" t="str">
        <v>tengah</v>
      </c>
      <c r="F302" s="32"/>
      <c r="G302" s="32"/>
      <c r="J302" s="32" t="str">
        <v>tengah</v>
      </c>
      <c r="K302" s="32"/>
      <c r="L302" s="32"/>
      <c r="O302" s="32" t="str">
        <v>kanan</v>
      </c>
      <c r="P302" s="32"/>
      <c r="Q302" s="32"/>
      <c r="T302" s="32" t="str">
        <v>kanan</v>
      </c>
      <c r="U302" s="32"/>
      <c r="V302" s="32"/>
    </row>
    <row r="303" spans="5:22">
      <c r="E303" s="32" t="str">
        <v>tengah</v>
      </c>
      <c r="F303" s="32"/>
      <c r="G303" s="32"/>
      <c r="J303" s="32" t="str">
        <v>kanan</v>
      </c>
      <c r="K303" s="32"/>
      <c r="L303" s="32"/>
      <c r="O303" s="32" t="str">
        <v>kiri</v>
      </c>
      <c r="P303" s="32"/>
      <c r="Q303" s="32"/>
      <c r="T303" s="32" t="str">
        <v>kanan</v>
      </c>
      <c r="U303" s="32"/>
      <c r="V303" s="32"/>
    </row>
    <row r="304" spans="5:22">
      <c r="E304" s="32" t="str">
        <v>tengah</v>
      </c>
      <c r="F304" s="32"/>
      <c r="G304" s="32"/>
      <c r="J304" s="32" t="str">
        <v>kiri</v>
      </c>
      <c r="K304" s="32"/>
      <c r="L304" s="32"/>
      <c r="O304" s="32" t="str">
        <v>tengah</v>
      </c>
      <c r="P304" s="32"/>
      <c r="Q304" s="32"/>
      <c r="T304" s="32" t="str">
        <v>kanan</v>
      </c>
      <c r="U304" s="32"/>
      <c r="V304" s="32"/>
    </row>
    <row r="305" spans="5:22">
      <c r="E305" s="32" t="str">
        <v>tengah</v>
      </c>
      <c r="F305" s="32"/>
      <c r="G305" s="32"/>
      <c r="J305" s="32" t="str">
        <v>kanan</v>
      </c>
      <c r="K305" s="32"/>
      <c r="L305" s="32"/>
      <c r="O305" s="32" t="str">
        <v>kiri</v>
      </c>
      <c r="P305" s="32"/>
      <c r="Q305" s="32"/>
      <c r="T305" s="32" t="str">
        <v>tengah</v>
      </c>
      <c r="U305" s="32"/>
      <c r="V305" s="32"/>
    </row>
    <row r="306" spans="5:22">
      <c r="E306" s="32" t="str">
        <v>tengah</v>
      </c>
      <c r="F306" s="32"/>
      <c r="G306" s="32"/>
      <c r="J306" s="32" t="str">
        <v>kanan</v>
      </c>
      <c r="K306" s="32"/>
      <c r="L306" s="32"/>
      <c r="O306" s="32" t="str">
        <v>tengah</v>
      </c>
      <c r="P306" s="32"/>
      <c r="Q306" s="32"/>
      <c r="T306" s="32" t="str">
        <v>kanan</v>
      </c>
      <c r="U306" s="32"/>
      <c r="V306" s="32"/>
    </row>
    <row r="307" spans="5:22">
      <c r="E307" s="32" t="str">
        <v>kiri</v>
      </c>
      <c r="F307" s="32"/>
      <c r="G307" s="32"/>
      <c r="J307" s="32" t="str">
        <v>tengah</v>
      </c>
      <c r="K307" s="32"/>
      <c r="L307" s="32"/>
      <c r="O307" s="32" t="str">
        <v>kanan</v>
      </c>
      <c r="P307" s="32"/>
      <c r="Q307" s="32"/>
      <c r="T307" s="32" t="str">
        <v>tengah</v>
      </c>
      <c r="U307" s="32"/>
      <c r="V307" s="32"/>
    </row>
    <row r="308" spans="5:22">
      <c r="E308" s="32" t="str">
        <v>tengah</v>
      </c>
      <c r="F308" s="32"/>
      <c r="G308" s="32"/>
      <c r="J308" s="32" t="str">
        <v>tengah</v>
      </c>
      <c r="K308" s="32"/>
      <c r="L308" s="32"/>
      <c r="O308" s="32" t="str">
        <v>tengah</v>
      </c>
      <c r="P308" s="32"/>
      <c r="Q308" s="32"/>
      <c r="T308" s="32" t="str">
        <v>tengah</v>
      </c>
      <c r="U308" s="32"/>
      <c r="V308" s="32"/>
    </row>
    <row r="309" spans="5:22">
      <c r="E309" s="32" t="str">
        <v>tengah</v>
      </c>
      <c r="F309" s="32"/>
      <c r="G309" s="32"/>
      <c r="J309" s="32" t="str">
        <v>tengah</v>
      </c>
      <c r="K309" s="32"/>
      <c r="L309" s="32"/>
      <c r="O309" s="32" t="str">
        <v>kanan</v>
      </c>
      <c r="P309" s="32"/>
      <c r="Q309" s="32"/>
      <c r="T309" s="32" t="str">
        <v>kanan</v>
      </c>
      <c r="U309" s="32"/>
      <c r="V309" s="32"/>
    </row>
    <row r="310" spans="5:22">
      <c r="E310" s="32" t="str">
        <v>tengah</v>
      </c>
      <c r="F310" s="32"/>
      <c r="G310" s="32"/>
      <c r="J310" s="32" t="str">
        <v>tengah</v>
      </c>
      <c r="K310" s="32"/>
      <c r="L310" s="32"/>
      <c r="O310" s="32" t="str">
        <v>tengah</v>
      </c>
      <c r="P310" s="32"/>
      <c r="Q310" s="32"/>
      <c r="T310" s="32" t="str">
        <v>tengah</v>
      </c>
      <c r="U310" s="32"/>
      <c r="V310" s="32"/>
    </row>
    <row r="311" spans="5:22">
      <c r="E311" s="32" t="str">
        <v>tengah</v>
      </c>
      <c r="F311" s="32"/>
      <c r="G311" s="32"/>
      <c r="J311" s="32" t="str">
        <v>tengah</v>
      </c>
      <c r="K311" s="32"/>
      <c r="L311" s="32"/>
      <c r="O311" s="32" t="str">
        <v>tengah</v>
      </c>
      <c r="P311" s="32"/>
      <c r="Q311" s="32"/>
      <c r="T311" s="32" t="str">
        <v>kanan</v>
      </c>
      <c r="U311" s="32"/>
      <c r="V311" s="32"/>
    </row>
    <row r="312" spans="5:22">
      <c r="E312" s="32" t="str">
        <v>tengah</v>
      </c>
      <c r="F312" s="32"/>
      <c r="G312" s="32"/>
      <c r="J312" s="32" t="str">
        <v>tengah</v>
      </c>
      <c r="K312" s="32"/>
      <c r="L312" s="32"/>
      <c r="O312" s="32" t="str">
        <v>tengah</v>
      </c>
      <c r="P312" s="32"/>
      <c r="Q312" s="32"/>
      <c r="T312" s="32" t="str">
        <v>kanan</v>
      </c>
      <c r="U312" s="32"/>
      <c r="V312" s="32"/>
    </row>
    <row r="313" spans="5:22">
      <c r="E313" s="32" t="str">
        <v>tengah</v>
      </c>
      <c r="F313" s="32"/>
      <c r="G313" s="32"/>
      <c r="J313" s="32" t="str">
        <v>tengah</v>
      </c>
      <c r="K313" s="32"/>
      <c r="L313" s="32"/>
      <c r="O313" s="32" t="str">
        <v>tengah</v>
      </c>
      <c r="P313" s="32"/>
      <c r="Q313" s="32"/>
      <c r="T313" s="32" t="str">
        <v>kanan</v>
      </c>
      <c r="U313" s="32"/>
      <c r="V313" s="32"/>
    </row>
    <row r="314" spans="5:22">
      <c r="E314" s="32" t="str">
        <v>kiri</v>
      </c>
      <c r="F314" s="32"/>
      <c r="G314" s="32"/>
      <c r="J314" s="32" t="str">
        <v>kiri</v>
      </c>
      <c r="K314" s="32"/>
      <c r="L314" s="32"/>
      <c r="O314" s="32" t="str">
        <v>tengah</v>
      </c>
      <c r="P314" s="32"/>
      <c r="Q314" s="32"/>
      <c r="T314" s="32" t="str">
        <v>tengah</v>
      </c>
      <c r="U314" s="32"/>
      <c r="V314" s="32"/>
    </row>
    <row r="315" spans="5:22">
      <c r="E315" s="32" t="str">
        <v>kiri</v>
      </c>
      <c r="F315" s="32"/>
      <c r="G315" s="32"/>
      <c r="J315" s="32" t="str">
        <v>kiri</v>
      </c>
      <c r="K315" s="32"/>
      <c r="L315" s="32"/>
      <c r="O315" s="32" t="str">
        <v>tengah</v>
      </c>
      <c r="P315" s="32"/>
      <c r="Q315" s="32"/>
      <c r="T315" s="32" t="str">
        <v>kanan</v>
      </c>
      <c r="U315" s="32"/>
      <c r="V315" s="32"/>
    </row>
    <row r="316" spans="5:22">
      <c r="E316" s="32" t="str">
        <v>kanan</v>
      </c>
      <c r="F316" s="32"/>
      <c r="G316" s="32"/>
      <c r="J316" s="32" t="str">
        <v>tengah</v>
      </c>
      <c r="K316" s="32"/>
      <c r="L316" s="32"/>
      <c r="O316" s="32" t="str">
        <v>kiri</v>
      </c>
      <c r="P316" s="32"/>
      <c r="Q316" s="32"/>
      <c r="T316" s="32" t="str">
        <v>tengah</v>
      </c>
      <c r="U316" s="32"/>
      <c r="V316" s="32"/>
    </row>
    <row r="317" spans="5:22">
      <c r="E317" s="32" t="str">
        <v>kiri</v>
      </c>
      <c r="F317" s="32"/>
      <c r="G317" s="32"/>
      <c r="J317" s="32" t="str">
        <v>tengah</v>
      </c>
      <c r="K317" s="32"/>
      <c r="L317" s="32"/>
      <c r="O317" s="32" t="str">
        <v>kanan</v>
      </c>
      <c r="P317" s="32"/>
      <c r="Q317" s="32"/>
      <c r="T317" s="32" t="str">
        <v>tengah</v>
      </c>
      <c r="U317" s="32"/>
      <c r="V317" s="32"/>
    </row>
    <row r="318" spans="5:22">
      <c r="E318" s="32" t="str">
        <v>kiri</v>
      </c>
      <c r="F318" s="32"/>
      <c r="G318" s="32"/>
      <c r="J318" s="32" t="str">
        <v>tengah</v>
      </c>
      <c r="K318" s="32"/>
      <c r="L318" s="32"/>
      <c r="O318" s="32" t="str">
        <v>kanan</v>
      </c>
      <c r="P318" s="32"/>
      <c r="Q318" s="32"/>
      <c r="T318" s="32" t="str">
        <v>tengah</v>
      </c>
      <c r="U318" s="32"/>
      <c r="V318" s="32"/>
    </row>
    <row r="319" spans="5:22">
      <c r="E319" s="32" t="str">
        <v>tengah</v>
      </c>
      <c r="F319" s="32"/>
      <c r="G319" s="32"/>
      <c r="J319" s="32" t="str">
        <v>kiri</v>
      </c>
      <c r="K319" s="32"/>
      <c r="L319" s="32"/>
      <c r="O319" s="32" t="str">
        <v>kanan</v>
      </c>
      <c r="P319" s="32"/>
      <c r="Q319" s="32"/>
      <c r="T319" s="32" t="str">
        <v>tengah</v>
      </c>
      <c r="U319" s="32"/>
      <c r="V319" s="32"/>
    </row>
    <row r="320" spans="5:22">
      <c r="E320" s="32" t="str">
        <v>tengah</v>
      </c>
      <c r="F320" s="32"/>
      <c r="G320" s="32"/>
      <c r="J320" s="32" t="str">
        <v>kiri</v>
      </c>
      <c r="K320" s="32"/>
      <c r="L320" s="32"/>
      <c r="O320" s="32" t="str">
        <v>tengah</v>
      </c>
      <c r="P320" s="32"/>
      <c r="Q320" s="32"/>
      <c r="T320" s="32" t="str">
        <v>tengah</v>
      </c>
      <c r="U320" s="32"/>
      <c r="V320" s="32"/>
    </row>
    <row r="321" spans="5:22">
      <c r="E321" s="32" t="str">
        <v>tengah</v>
      </c>
      <c r="F321" s="32"/>
      <c r="G321" s="32"/>
      <c r="J321" s="32" t="str">
        <v>tengah</v>
      </c>
      <c r="K321" s="32"/>
      <c r="L321" s="32"/>
      <c r="O321" s="32" t="str">
        <v>kiri</v>
      </c>
      <c r="P321" s="32"/>
      <c r="Q321" s="32"/>
      <c r="T321" s="32" t="str">
        <v>kanan</v>
      </c>
      <c r="U321" s="32"/>
      <c r="V321" s="32"/>
    </row>
    <row r="322" spans="5:22">
      <c r="E322" s="32" t="str">
        <v>tengah</v>
      </c>
      <c r="F322" s="32"/>
      <c r="G322" s="32"/>
      <c r="J322" s="32" t="str">
        <v>tengah</v>
      </c>
      <c r="K322" s="32"/>
      <c r="L322" s="32"/>
      <c r="O322" s="32" t="str">
        <v>kanan</v>
      </c>
      <c r="P322" s="32"/>
      <c r="Q322" s="32"/>
      <c r="T322" s="32" t="str">
        <v>kanan</v>
      </c>
      <c r="U322" s="32"/>
      <c r="V322" s="32"/>
    </row>
    <row r="323" spans="5:22">
      <c r="E323" s="32" t="str">
        <v>tengah</v>
      </c>
      <c r="F323" s="32"/>
      <c r="G323" s="32"/>
      <c r="J323" s="32" t="str">
        <v>tengah</v>
      </c>
      <c r="K323" s="32"/>
      <c r="L323" s="32"/>
      <c r="O323" s="32" t="str">
        <v>tengah</v>
      </c>
      <c r="P323" s="32"/>
      <c r="Q323" s="32"/>
      <c r="T323" s="32" t="str">
        <v>tengah</v>
      </c>
      <c r="U323" s="32"/>
      <c r="V323" s="32"/>
    </row>
    <row r="324" spans="5:22">
      <c r="E324" s="32" t="str">
        <v>kiri</v>
      </c>
      <c r="F324" s="32"/>
      <c r="G324" s="32"/>
      <c r="J324" s="32" t="str">
        <v>kiri</v>
      </c>
      <c r="K324" s="32"/>
      <c r="L324" s="32"/>
      <c r="O324" s="32" t="str">
        <v>kanan</v>
      </c>
      <c r="P324" s="32"/>
      <c r="Q324" s="32"/>
      <c r="T324" s="32" t="str">
        <v>tengah</v>
      </c>
      <c r="U324" s="32"/>
      <c r="V324" s="32"/>
    </row>
    <row r="325" spans="5:22">
      <c r="E325" s="32" t="str">
        <v>tengah</v>
      </c>
      <c r="F325" s="32"/>
      <c r="G325" s="32"/>
      <c r="J325" s="32" t="str">
        <v>kiri</v>
      </c>
      <c r="K325" s="32"/>
      <c r="L325" s="32"/>
      <c r="O325" s="32" t="str">
        <v>kiri</v>
      </c>
      <c r="P325" s="32"/>
      <c r="Q325" s="32"/>
      <c r="T325" s="32" t="str">
        <v>kanan</v>
      </c>
      <c r="U325" s="32"/>
      <c r="V325" s="32"/>
    </row>
    <row r="326" spans="5:22">
      <c r="E326" s="32" t="str">
        <v>tengah</v>
      </c>
      <c r="F326" s="32"/>
      <c r="G326" s="32"/>
      <c r="J326" s="32" t="str">
        <v>kanan</v>
      </c>
      <c r="K326" s="32"/>
      <c r="L326" s="32"/>
      <c r="O326" s="32" t="str">
        <v>tengah</v>
      </c>
      <c r="P326" s="32"/>
      <c r="Q326" s="32"/>
      <c r="T326" s="32" t="str">
        <v>tengah</v>
      </c>
      <c r="U326" s="32"/>
      <c r="V326" s="32"/>
    </row>
    <row r="327" spans="5:22">
      <c r="E327" s="32" t="str">
        <v>tengah</v>
      </c>
      <c r="F327" s="32"/>
      <c r="G327" s="32"/>
      <c r="J327" s="32" t="str">
        <v>kanan</v>
      </c>
      <c r="K327" s="32"/>
      <c r="L327" s="32"/>
      <c r="O327" s="32" t="str">
        <v>tengah</v>
      </c>
      <c r="P327" s="32"/>
      <c r="Q327" s="32"/>
      <c r="T327" s="32" t="str">
        <v>tengah</v>
      </c>
      <c r="U327" s="32"/>
      <c r="V327" s="32"/>
    </row>
    <row r="328" spans="5:22">
      <c r="E328" s="32" t="str">
        <v>kanan</v>
      </c>
      <c r="F328" s="32"/>
      <c r="G328" s="32"/>
      <c r="J328" s="32" t="str">
        <v>kanan</v>
      </c>
      <c r="K328" s="32"/>
      <c r="L328" s="32"/>
      <c r="O328" s="32" t="str">
        <v>tengah</v>
      </c>
      <c r="P328" s="32"/>
      <c r="Q328" s="32"/>
      <c r="T328" s="32" t="str">
        <v>kanan</v>
      </c>
      <c r="U328" s="32"/>
      <c r="V328" s="32"/>
    </row>
    <row r="329" spans="5:22">
      <c r="E329" s="32" t="str">
        <v>tengah</v>
      </c>
      <c r="F329" s="32"/>
      <c r="G329" s="32"/>
      <c r="J329" s="32" t="str">
        <v>tengah</v>
      </c>
      <c r="K329" s="32"/>
      <c r="L329" s="32"/>
      <c r="O329" s="32" t="str">
        <v>kiri</v>
      </c>
      <c r="P329" s="32"/>
      <c r="Q329" s="32"/>
      <c r="T329" s="32" t="str">
        <v>kanan</v>
      </c>
      <c r="U329" s="32"/>
      <c r="V329" s="32"/>
    </row>
    <row r="330" spans="5:22">
      <c r="E330" s="32" t="str">
        <v>tengah</v>
      </c>
      <c r="F330" s="32"/>
      <c r="G330" s="32"/>
      <c r="J330" s="32" t="str">
        <v>tengah</v>
      </c>
      <c r="K330" s="32"/>
      <c r="L330" s="32"/>
      <c r="O330" s="32" t="str">
        <v>tengah</v>
      </c>
      <c r="P330" s="32"/>
      <c r="Q330" s="32"/>
      <c r="T330" s="32" t="str">
        <v>tengah</v>
      </c>
      <c r="U330" s="32"/>
      <c r="V330" s="32"/>
    </row>
    <row r="331" spans="5:22">
      <c r="E331" s="32" t="str">
        <v>tengah</v>
      </c>
      <c r="F331" s="32"/>
      <c r="G331" s="32"/>
      <c r="J331" s="32" t="str">
        <v>kanan</v>
      </c>
      <c r="K331" s="32"/>
      <c r="L331" s="32"/>
      <c r="O331" s="32" t="str">
        <v>tengah</v>
      </c>
      <c r="P331" s="32"/>
      <c r="Q331" s="32"/>
      <c r="T331" s="32" t="str">
        <v>tengah</v>
      </c>
      <c r="U331" s="32"/>
      <c r="V331" s="32"/>
    </row>
    <row r="332" spans="5:22">
      <c r="E332" s="32" t="str">
        <v>kiri</v>
      </c>
      <c r="F332" s="32"/>
      <c r="G332" s="32"/>
      <c r="J332" s="32" t="str">
        <v>tengah</v>
      </c>
      <c r="K332" s="32"/>
      <c r="L332" s="32"/>
      <c r="O332" s="32" t="str">
        <v>tengah</v>
      </c>
      <c r="P332" s="32"/>
      <c r="Q332" s="32"/>
      <c r="T332" s="32" t="str">
        <v>tengah</v>
      </c>
      <c r="U332" s="32"/>
      <c r="V332" s="3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71CC-5B96-4F7A-A7BE-04C2BC87FB57}">
  <dimension ref="A1:V332"/>
  <sheetViews>
    <sheetView topLeftCell="N184" zoomScale="98" zoomScaleNormal="98" workbookViewId="0">
      <selection activeCell="O160" sqref="O160"/>
    </sheetView>
  </sheetViews>
  <sheetFormatPr defaultColWidth="9" defaultRowHeight="15"/>
  <cols>
    <col min="2" max="2" width="15.85546875" customWidth="1"/>
    <col min="3" max="3" width="16.7109375" bestFit="1" customWidth="1"/>
    <col min="4" max="4" width="13.85546875" customWidth="1"/>
    <col min="6" max="6" width="14.42578125" bestFit="1" customWidth="1"/>
    <col min="8" max="8" width="14.28515625" customWidth="1"/>
    <col min="9" max="9" width="13.28515625" customWidth="1"/>
    <col min="10" max="10" width="13.85546875" customWidth="1"/>
    <col min="13" max="13" width="14.42578125" bestFit="1" customWidth="1"/>
    <col min="15" max="15" width="25.28515625" bestFit="1" customWidth="1"/>
    <col min="16" max="16" width="12.85546875" bestFit="1" customWidth="1"/>
    <col min="17" max="17" width="11.7109375" customWidth="1"/>
    <col min="20" max="20" width="14.42578125" bestFit="1" customWidth="1"/>
  </cols>
  <sheetData>
    <row r="1" spans="1:17">
      <c r="A1" s="30" t="s">
        <v>174</v>
      </c>
      <c r="B1" s="30" t="s">
        <v>1</v>
      </c>
      <c r="C1" s="30" t="s">
        <v>2</v>
      </c>
      <c r="D1" s="30" t="s">
        <v>173</v>
      </c>
      <c r="E1" s="30" t="s">
        <v>4</v>
      </c>
      <c r="F1" s="30" t="s">
        <v>5</v>
      </c>
      <c r="H1" s="61" t="s">
        <v>174</v>
      </c>
      <c r="I1" s="61" t="s">
        <v>1</v>
      </c>
      <c r="J1" s="61" t="s">
        <v>2</v>
      </c>
      <c r="K1" s="61" t="s">
        <v>173</v>
      </c>
      <c r="L1" s="61" t="s">
        <v>4</v>
      </c>
      <c r="M1" s="61" t="s">
        <v>5</v>
      </c>
      <c r="O1" s="30" t="s">
        <v>175</v>
      </c>
      <c r="P1" s="31"/>
      <c r="Q1" s="31"/>
    </row>
    <row r="2" spans="1:17">
      <c r="A2" s="32">
        <f ca="1">RANDBETWEEN(2,164)</f>
        <v>94</v>
      </c>
      <c r="B2" s="32" cm="1">
        <f t="array" aca="1" ref="B2" ca="1">INDEX(Data_DBD!$B:$B,$A2)</f>
        <v>12</v>
      </c>
      <c r="C2" s="32" cm="1">
        <f t="array" aca="1" ref="C2" ca="1">INDEX(Data_DBD!$C:$C,$A2)</f>
        <v>4</v>
      </c>
      <c r="D2" s="32" cm="1">
        <f t="array" aca="1" ref="D2" ca="1">INDEX(Data_DBD!$D:$D,$A2)</f>
        <v>18</v>
      </c>
      <c r="E2" s="32" cm="1">
        <f t="array" aca="1" ref="E2" ca="1">INDEX(Data_DBD!$E:$E,$A2)</f>
        <v>0</v>
      </c>
      <c r="F2" s="32" cm="1">
        <f t="array" aca="1" ref="F2" ca="1">INDEX(Data_DBD!$F:$F,$A2)</f>
        <v>3</v>
      </c>
      <c r="H2" s="32">
        <v>100</v>
      </c>
      <c r="I2" s="32">
        <v>19</v>
      </c>
      <c r="J2" s="32">
        <v>6</v>
      </c>
      <c r="K2" s="32">
        <v>18</v>
      </c>
      <c r="L2" s="32">
        <v>0</v>
      </c>
      <c r="M2" s="32">
        <v>3</v>
      </c>
      <c r="O2" s="54">
        <v>1</v>
      </c>
      <c r="P2" s="31">
        <f>COUNTIF(M2:M164,"1")</f>
        <v>16</v>
      </c>
      <c r="Q2" s="31">
        <f>P2/163</f>
        <v>9.815950920245399E-2</v>
      </c>
    </row>
    <row r="3" spans="1:17">
      <c r="A3" s="32">
        <f t="shared" ref="A3:A66" ca="1" si="0">RANDBETWEEN(2,164)</f>
        <v>157</v>
      </c>
      <c r="B3" s="32" cm="1">
        <f t="array" aca="1" ref="B3" ca="1">INDEX(Data_DBD!$B:$B,$A3)</f>
        <v>15</v>
      </c>
      <c r="C3" s="32" cm="1">
        <f t="array" aca="1" ref="C3" ca="1">INDEX(Data_DBD!$C:$C,$A3)</f>
        <v>4</v>
      </c>
      <c r="D3" s="32" cm="1">
        <f t="array" aca="1" ref="D3" ca="1">INDEX(Data_DBD!$D:$D,$A3)</f>
        <v>21</v>
      </c>
      <c r="E3" s="32" cm="1">
        <f t="array" aca="1" ref="E3" ca="1">INDEX(Data_DBD!$E:$E,$A3)</f>
        <v>1</v>
      </c>
      <c r="F3" s="32" cm="1">
        <f t="array" aca="1" ref="F3" ca="1">INDEX(Data_DBD!$F:$F,$A3)</f>
        <v>3</v>
      </c>
      <c r="H3" s="32">
        <v>64</v>
      </c>
      <c r="I3" s="32">
        <v>35</v>
      </c>
      <c r="J3" s="32">
        <v>1</v>
      </c>
      <c r="K3" s="32">
        <v>15</v>
      </c>
      <c r="L3" s="32">
        <v>0</v>
      </c>
      <c r="M3" s="32">
        <v>2</v>
      </c>
      <c r="O3" s="31">
        <v>2</v>
      </c>
      <c r="P3" s="31">
        <f>COUNTIF(M2:M164,"2")</f>
        <v>68</v>
      </c>
      <c r="Q3" s="31">
        <f>P3/163</f>
        <v>0.41717791411042943</v>
      </c>
    </row>
    <row r="4" spans="1:17">
      <c r="A4" s="32">
        <f t="shared" ca="1" si="0"/>
        <v>114</v>
      </c>
      <c r="B4" s="32" cm="1">
        <f t="array" aca="1" ref="B4" ca="1">INDEX(Data_DBD!$B:$B,$A4)</f>
        <v>14</v>
      </c>
      <c r="C4" s="32" cm="1">
        <f t="array" aca="1" ref="C4" ca="1">INDEX(Data_DBD!$C:$C,$A4)</f>
        <v>2</v>
      </c>
      <c r="D4" s="32" cm="1">
        <f t="array" aca="1" ref="D4" ca="1">INDEX(Data_DBD!$D:$D,$A4)</f>
        <v>33</v>
      </c>
      <c r="E4" s="32" cm="1">
        <f t="array" aca="1" ref="E4" ca="1">INDEX(Data_DBD!$E:$E,$A4)</f>
        <v>1</v>
      </c>
      <c r="F4" s="32" cm="1">
        <f t="array" aca="1" ref="F4" ca="1">INDEX(Data_DBD!$F:$F,$A4)</f>
        <v>3</v>
      </c>
      <c r="H4" s="32">
        <v>75</v>
      </c>
      <c r="I4" s="32">
        <v>2</v>
      </c>
      <c r="J4" s="32">
        <v>2</v>
      </c>
      <c r="K4" s="32">
        <v>10</v>
      </c>
      <c r="L4" s="32">
        <v>1</v>
      </c>
      <c r="M4" s="32">
        <v>2</v>
      </c>
      <c r="O4" s="31">
        <v>3</v>
      </c>
      <c r="P4" s="31">
        <f>COUNTIF(M2:M164,"3")</f>
        <v>79</v>
      </c>
      <c r="Q4" s="31">
        <f>P4/163</f>
        <v>0.48466257668711654</v>
      </c>
    </row>
    <row r="5" spans="1:17">
      <c r="A5" s="32">
        <f t="shared" ca="1" si="0"/>
        <v>134</v>
      </c>
      <c r="B5" s="32" cm="1">
        <f t="array" aca="1" ref="B5" ca="1">INDEX(Data_DBD!$B:$B,$A5)</f>
        <v>4</v>
      </c>
      <c r="C5" s="32" cm="1">
        <f t="array" aca="1" ref="C5" ca="1">INDEX(Data_DBD!$C:$C,$A5)</f>
        <v>2</v>
      </c>
      <c r="D5" s="32" cm="1">
        <f t="array" aca="1" ref="D5" ca="1">INDEX(Data_DBD!$D:$D,$A5)</f>
        <v>33</v>
      </c>
      <c r="E5" s="32" cm="1">
        <f t="array" aca="1" ref="E5" ca="1">INDEX(Data_DBD!$E:$E,$A5)</f>
        <v>1</v>
      </c>
      <c r="F5" s="32" cm="1">
        <f t="array" aca="1" ref="F5" ca="1">INDEX(Data_DBD!$F:$F,$A5)</f>
        <v>3</v>
      </c>
      <c r="H5" s="32">
        <v>155</v>
      </c>
      <c r="I5" s="32">
        <v>19</v>
      </c>
      <c r="J5" s="32">
        <v>5</v>
      </c>
      <c r="K5" s="32">
        <v>21</v>
      </c>
      <c r="L5" s="32">
        <v>1</v>
      </c>
      <c r="M5" s="32">
        <v>3</v>
      </c>
      <c r="O5" s="34" t="s">
        <v>176</v>
      </c>
      <c r="P5">
        <f>-(IFERROR(Q2*LOG(Q2,2),0)+IFERROR(Q3*LOG(Q3,2),0)+IFERROR(Q4*LOG(Q4,2),0))</f>
        <v>1.3613284468015427</v>
      </c>
    </row>
    <row r="6" spans="1:17">
      <c r="A6" s="32">
        <f t="shared" ca="1" si="0"/>
        <v>103</v>
      </c>
      <c r="B6" s="32" cm="1">
        <f t="array" aca="1" ref="B6" ca="1">INDEX(Data_DBD!$B:$B,$A6)</f>
        <v>22</v>
      </c>
      <c r="C6" s="32" cm="1">
        <f t="array" aca="1" ref="C6" ca="1">INDEX(Data_DBD!$C:$C,$A6)</f>
        <v>5</v>
      </c>
      <c r="D6" s="32" cm="1">
        <f t="array" aca="1" ref="D6" ca="1">INDEX(Data_DBD!$D:$D,$A6)</f>
        <v>18</v>
      </c>
      <c r="E6" s="32" cm="1">
        <f t="array" aca="1" ref="E6" ca="1">INDEX(Data_DBD!$E:$E,$A6)</f>
        <v>0</v>
      </c>
      <c r="F6" s="32" cm="1">
        <f t="array" aca="1" ref="F6" ca="1">INDEX(Data_DBD!$F:$F,$A6)</f>
        <v>3</v>
      </c>
      <c r="H6" s="32">
        <v>13</v>
      </c>
      <c r="I6" s="32">
        <v>47</v>
      </c>
      <c r="J6" s="32">
        <v>2</v>
      </c>
      <c r="K6" s="32">
        <v>12</v>
      </c>
      <c r="L6" s="32">
        <v>0</v>
      </c>
      <c r="M6" s="32">
        <v>2</v>
      </c>
    </row>
    <row r="7" spans="1:17">
      <c r="A7" s="32">
        <f t="shared" ca="1" si="0"/>
        <v>127</v>
      </c>
      <c r="B7" s="32" cm="1">
        <f t="array" aca="1" ref="B7" ca="1">INDEX(Data_DBD!$B:$B,$A7)</f>
        <v>21</v>
      </c>
      <c r="C7" s="32" cm="1">
        <f t="array" aca="1" ref="C7" ca="1">INDEX(Data_DBD!$C:$C,$A7)</f>
        <v>2</v>
      </c>
      <c r="D7" s="32" cm="1">
        <f t="array" aca="1" ref="D7" ca="1">INDEX(Data_DBD!$D:$D,$A7)</f>
        <v>33</v>
      </c>
      <c r="E7" s="32" cm="1">
        <f t="array" aca="1" ref="E7" ca="1">INDEX(Data_DBD!$E:$E,$A7)</f>
        <v>0</v>
      </c>
      <c r="F7" s="32" cm="1">
        <f t="array" aca="1" ref="F7" ca="1">INDEX(Data_DBD!$F:$F,$A7)</f>
        <v>3</v>
      </c>
      <c r="H7" s="32">
        <v>65</v>
      </c>
      <c r="I7" s="32">
        <v>49</v>
      </c>
      <c r="J7" s="32">
        <v>3</v>
      </c>
      <c r="K7" s="32">
        <v>15</v>
      </c>
      <c r="L7" s="32">
        <v>0</v>
      </c>
      <c r="M7" s="32">
        <v>2</v>
      </c>
    </row>
    <row r="8" spans="1:17">
      <c r="A8" s="32">
        <f t="shared" ca="1" si="0"/>
        <v>160</v>
      </c>
      <c r="B8" s="32" cm="1">
        <f t="array" aca="1" ref="B8" ca="1">INDEX(Data_DBD!$B:$B,$A8)</f>
        <v>16</v>
      </c>
      <c r="C8" s="32" cm="1">
        <f t="array" aca="1" ref="C8" ca="1">INDEX(Data_DBD!$C:$C,$A8)</f>
        <v>3</v>
      </c>
      <c r="D8" s="32" cm="1">
        <f t="array" aca="1" ref="D8" ca="1">INDEX(Data_DBD!$D:$D,$A8)</f>
        <v>21</v>
      </c>
      <c r="E8" s="32" cm="1">
        <f t="array" aca="1" ref="E8" ca="1">INDEX(Data_DBD!$E:$E,$A8)</f>
        <v>0</v>
      </c>
      <c r="F8" s="32" cm="1">
        <f t="array" aca="1" ref="F8" ca="1">INDEX(Data_DBD!$F:$F,$A8)</f>
        <v>3</v>
      </c>
      <c r="H8" s="32">
        <v>160</v>
      </c>
      <c r="I8" s="32">
        <v>16</v>
      </c>
      <c r="J8" s="32">
        <v>3</v>
      </c>
      <c r="K8" s="32">
        <v>21</v>
      </c>
      <c r="L8" s="32">
        <v>0</v>
      </c>
      <c r="M8" s="32">
        <v>3</v>
      </c>
    </row>
    <row r="9" spans="1:17">
      <c r="A9" s="32">
        <f t="shared" ca="1" si="0"/>
        <v>8</v>
      </c>
      <c r="B9" s="32" cm="1">
        <f t="array" aca="1" ref="B9" ca="1">INDEX(Data_DBD!$B:$B,$A9)</f>
        <v>4</v>
      </c>
      <c r="C9" s="32" cm="1">
        <f t="array" aca="1" ref="C9" ca="1">INDEX(Data_DBD!$C:$C,$A9)</f>
        <v>2</v>
      </c>
      <c r="D9" s="32" cm="1">
        <f t="array" aca="1" ref="D9" ca="1">INDEX(Data_DBD!$D:$D,$A9)</f>
        <v>12</v>
      </c>
      <c r="E9" s="32" cm="1">
        <f t="array" aca="1" ref="E9" ca="1">INDEX(Data_DBD!$E:$E,$A9)</f>
        <v>0</v>
      </c>
      <c r="F9" s="32" cm="1">
        <f t="array" aca="1" ref="F9" ca="1">INDEX(Data_DBD!$F:$F,$A9)</f>
        <v>2</v>
      </c>
      <c r="H9" s="32">
        <v>144</v>
      </c>
      <c r="I9" s="32">
        <v>61</v>
      </c>
      <c r="J9" s="32">
        <v>4</v>
      </c>
      <c r="K9" s="32">
        <v>21</v>
      </c>
      <c r="L9" s="32">
        <v>1</v>
      </c>
      <c r="M9" s="32">
        <v>3</v>
      </c>
    </row>
    <row r="10" spans="1:17">
      <c r="A10" s="32">
        <f t="shared" ca="1" si="0"/>
        <v>37</v>
      </c>
      <c r="B10" s="32" cm="1">
        <f t="array" aca="1" ref="B10" ca="1">INDEX(Data_DBD!$B:$B,$A10)</f>
        <v>28</v>
      </c>
      <c r="C10" s="32" cm="1">
        <f t="array" aca="1" ref="C10" ca="1">INDEX(Data_DBD!$C:$C,$A10)</f>
        <v>4</v>
      </c>
      <c r="D10" s="32" cm="1">
        <f t="array" aca="1" ref="D10" ca="1">INDEX(Data_DBD!$D:$D,$A10)</f>
        <v>4</v>
      </c>
      <c r="E10" s="32" cm="1">
        <f t="array" aca="1" ref="E10" ca="1">INDEX(Data_DBD!$E:$E,$A10)</f>
        <v>1</v>
      </c>
      <c r="F10" s="32" cm="1">
        <f t="array" aca="1" ref="F10" ca="1">INDEX(Data_DBD!$F:$F,$A10)</f>
        <v>1</v>
      </c>
      <c r="H10" s="32">
        <v>11</v>
      </c>
      <c r="I10" s="32">
        <v>24</v>
      </c>
      <c r="J10" s="32">
        <v>5</v>
      </c>
      <c r="K10" s="32">
        <v>12</v>
      </c>
      <c r="L10" s="32">
        <v>1</v>
      </c>
      <c r="M10" s="32">
        <v>2</v>
      </c>
    </row>
    <row r="11" spans="1:17">
      <c r="A11" s="32">
        <f t="shared" ca="1" si="0"/>
        <v>65</v>
      </c>
      <c r="B11" s="32" cm="1">
        <f t="array" aca="1" ref="B11" ca="1">INDEX(Data_DBD!$B:$B,$A11)</f>
        <v>49</v>
      </c>
      <c r="C11" s="32" cm="1">
        <f t="array" aca="1" ref="C11" ca="1">INDEX(Data_DBD!$C:$C,$A11)</f>
        <v>3</v>
      </c>
      <c r="D11" s="32" cm="1">
        <f t="array" aca="1" ref="D11" ca="1">INDEX(Data_DBD!$D:$D,$A11)</f>
        <v>15</v>
      </c>
      <c r="E11" s="32" cm="1">
        <f t="array" aca="1" ref="E11" ca="1">INDEX(Data_DBD!$E:$E,$A11)</f>
        <v>0</v>
      </c>
      <c r="F11" s="32" cm="1">
        <f t="array" aca="1" ref="F11" ca="1">INDEX(Data_DBD!$F:$F,$A11)</f>
        <v>2</v>
      </c>
      <c r="H11" s="32">
        <v>49</v>
      </c>
      <c r="I11" s="32">
        <v>64</v>
      </c>
      <c r="J11" s="32">
        <v>5</v>
      </c>
      <c r="K11" s="32">
        <v>13</v>
      </c>
      <c r="L11" s="32">
        <v>0</v>
      </c>
      <c r="M11" s="32">
        <v>2</v>
      </c>
    </row>
    <row r="12" spans="1:17">
      <c r="A12" s="32">
        <f t="shared" ca="1" si="0"/>
        <v>54</v>
      </c>
      <c r="B12" s="32" cm="1">
        <f t="array" aca="1" ref="B12" ca="1">INDEX(Data_DBD!$B:$B,$A12)</f>
        <v>7</v>
      </c>
      <c r="C12" s="32" cm="1">
        <f t="array" aca="1" ref="C12" ca="1">INDEX(Data_DBD!$C:$C,$A12)</f>
        <v>3</v>
      </c>
      <c r="D12" s="32" cm="1">
        <f t="array" aca="1" ref="D12" ca="1">INDEX(Data_DBD!$D:$D,$A12)</f>
        <v>15</v>
      </c>
      <c r="E12" s="32" cm="1">
        <f t="array" aca="1" ref="E12" ca="1">INDEX(Data_DBD!$E:$E,$A12)</f>
        <v>0</v>
      </c>
      <c r="F12" s="32" cm="1">
        <f t="array" aca="1" ref="F12" ca="1">INDEX(Data_DBD!$F:$F,$A12)</f>
        <v>2</v>
      </c>
      <c r="H12" s="32">
        <v>13</v>
      </c>
      <c r="I12" s="32">
        <v>47</v>
      </c>
      <c r="J12" s="32">
        <v>2</v>
      </c>
      <c r="K12" s="32">
        <v>12</v>
      </c>
      <c r="L12" s="32">
        <v>0</v>
      </c>
      <c r="M12" s="32">
        <v>2</v>
      </c>
    </row>
    <row r="13" spans="1:17">
      <c r="A13" s="32">
        <f t="shared" ca="1" si="0"/>
        <v>116</v>
      </c>
      <c r="B13" s="32" cm="1">
        <f t="array" aca="1" ref="B13" ca="1">INDEX(Data_DBD!$B:$B,$A13)</f>
        <v>32</v>
      </c>
      <c r="C13" s="32" cm="1">
        <f t="array" aca="1" ref="C13" ca="1">INDEX(Data_DBD!$C:$C,$A13)</f>
        <v>4</v>
      </c>
      <c r="D13" s="32" cm="1">
        <f t="array" aca="1" ref="D13" ca="1">INDEX(Data_DBD!$D:$D,$A13)</f>
        <v>33</v>
      </c>
      <c r="E13" s="32" cm="1">
        <f t="array" aca="1" ref="E13" ca="1">INDEX(Data_DBD!$E:$E,$A13)</f>
        <v>1</v>
      </c>
      <c r="F13" s="32" cm="1">
        <f t="array" aca="1" ref="F13" ca="1">INDEX(Data_DBD!$F:$F,$A13)</f>
        <v>3</v>
      </c>
      <c r="H13" s="32">
        <v>111</v>
      </c>
      <c r="I13" s="32">
        <v>25</v>
      </c>
      <c r="J13" s="32">
        <v>4</v>
      </c>
      <c r="K13" s="32">
        <v>33</v>
      </c>
      <c r="L13" s="32">
        <v>0</v>
      </c>
      <c r="M13" s="32">
        <v>3</v>
      </c>
    </row>
    <row r="14" spans="1:17">
      <c r="A14" s="32">
        <f t="shared" ca="1" si="0"/>
        <v>139</v>
      </c>
      <c r="B14" s="32" cm="1">
        <f t="array" aca="1" ref="B14" ca="1">INDEX(Data_DBD!$B:$B,$A14)</f>
        <v>52</v>
      </c>
      <c r="C14" s="32" cm="1">
        <f t="array" aca="1" ref="C14" ca="1">INDEX(Data_DBD!$C:$C,$A14)</f>
        <v>7</v>
      </c>
      <c r="D14" s="32" cm="1">
        <f t="array" aca="1" ref="D14" ca="1">INDEX(Data_DBD!$D:$D,$A14)</f>
        <v>21</v>
      </c>
      <c r="E14" s="32" cm="1">
        <f t="array" aca="1" ref="E14" ca="1">INDEX(Data_DBD!$E:$E,$A14)</f>
        <v>0</v>
      </c>
      <c r="F14" s="32" cm="1">
        <f t="array" aca="1" ref="F14" ca="1">INDEX(Data_DBD!$F:$F,$A14)</f>
        <v>3</v>
      </c>
      <c r="H14" s="32">
        <v>40</v>
      </c>
      <c r="I14" s="32">
        <v>65</v>
      </c>
      <c r="J14" s="32">
        <v>3</v>
      </c>
      <c r="K14" s="32">
        <v>13</v>
      </c>
      <c r="L14" s="32">
        <v>1</v>
      </c>
      <c r="M14" s="32">
        <v>2</v>
      </c>
    </row>
    <row r="15" spans="1:17">
      <c r="A15" s="32">
        <f t="shared" ca="1" si="0"/>
        <v>107</v>
      </c>
      <c r="B15" s="32" cm="1">
        <f t="array" aca="1" ref="B15" ca="1">INDEX(Data_DBD!$B:$B,$A15)</f>
        <v>48</v>
      </c>
      <c r="C15" s="32" cm="1">
        <f t="array" aca="1" ref="C15" ca="1">INDEX(Data_DBD!$C:$C,$A15)</f>
        <v>5</v>
      </c>
      <c r="D15" s="32" cm="1">
        <f t="array" aca="1" ref="D15" ca="1">INDEX(Data_DBD!$D:$D,$A15)</f>
        <v>18</v>
      </c>
      <c r="E15" s="32" cm="1">
        <f t="array" aca="1" ref="E15" ca="1">INDEX(Data_DBD!$E:$E,$A15)</f>
        <v>0</v>
      </c>
      <c r="F15" s="32" cm="1">
        <f t="array" aca="1" ref="F15" ca="1">INDEX(Data_DBD!$F:$F,$A15)</f>
        <v>3</v>
      </c>
      <c r="H15" s="32">
        <v>154</v>
      </c>
      <c r="I15" s="32">
        <v>18</v>
      </c>
      <c r="J15" s="32">
        <v>5</v>
      </c>
      <c r="K15" s="32">
        <v>21</v>
      </c>
      <c r="L15" s="32">
        <v>1</v>
      </c>
      <c r="M15" s="32">
        <v>3</v>
      </c>
    </row>
    <row r="16" spans="1:17">
      <c r="A16" s="32">
        <f t="shared" ca="1" si="0"/>
        <v>134</v>
      </c>
      <c r="B16" s="32" cm="1">
        <f t="array" aca="1" ref="B16" ca="1">INDEX(Data_DBD!$B:$B,$A16)</f>
        <v>4</v>
      </c>
      <c r="C16" s="32" cm="1">
        <f t="array" aca="1" ref="C16" ca="1">INDEX(Data_DBD!$C:$C,$A16)</f>
        <v>2</v>
      </c>
      <c r="D16" s="32" cm="1">
        <f t="array" aca="1" ref="D16" ca="1">INDEX(Data_DBD!$D:$D,$A16)</f>
        <v>33</v>
      </c>
      <c r="E16" s="32" cm="1">
        <f t="array" aca="1" ref="E16" ca="1">INDEX(Data_DBD!$E:$E,$A16)</f>
        <v>1</v>
      </c>
      <c r="F16" s="32" cm="1">
        <f t="array" aca="1" ref="F16" ca="1">INDEX(Data_DBD!$F:$F,$A16)</f>
        <v>3</v>
      </c>
      <c r="H16" s="32">
        <v>123</v>
      </c>
      <c r="I16" s="32">
        <v>22</v>
      </c>
      <c r="J16" s="32">
        <v>4</v>
      </c>
      <c r="K16" s="32">
        <v>33</v>
      </c>
      <c r="L16" s="32">
        <v>0</v>
      </c>
      <c r="M16" s="32">
        <v>3</v>
      </c>
    </row>
    <row r="17" spans="1:13">
      <c r="A17" s="32">
        <f t="shared" ca="1" si="0"/>
        <v>69</v>
      </c>
      <c r="B17" s="32" cm="1">
        <f t="array" aca="1" ref="B17" ca="1">INDEX(Data_DBD!$B:$B,$A17)</f>
        <v>24</v>
      </c>
      <c r="C17" s="32" cm="1">
        <f t="array" aca="1" ref="C17" ca="1">INDEX(Data_DBD!$C:$C,$A17)</f>
        <v>4</v>
      </c>
      <c r="D17" s="32" cm="1">
        <f t="array" aca="1" ref="D17" ca="1">INDEX(Data_DBD!$D:$D,$A17)</f>
        <v>10</v>
      </c>
      <c r="E17" s="32" cm="1">
        <f t="array" aca="1" ref="E17" ca="1">INDEX(Data_DBD!$E:$E,$A17)</f>
        <v>1</v>
      </c>
      <c r="F17" s="32" cm="1">
        <f t="array" aca="1" ref="F17" ca="1">INDEX(Data_DBD!$F:$F,$A17)</f>
        <v>2</v>
      </c>
      <c r="H17" s="32">
        <v>103</v>
      </c>
      <c r="I17" s="32">
        <v>22</v>
      </c>
      <c r="J17" s="32">
        <v>5</v>
      </c>
      <c r="K17" s="32">
        <v>18</v>
      </c>
      <c r="L17" s="32">
        <v>0</v>
      </c>
      <c r="M17" s="32">
        <v>3</v>
      </c>
    </row>
    <row r="18" spans="1:13">
      <c r="A18" s="32">
        <f t="shared" ca="1" si="0"/>
        <v>60</v>
      </c>
      <c r="B18" s="32" cm="1">
        <f t="array" aca="1" ref="B18" ca="1">INDEX(Data_DBD!$B:$B,$A18)</f>
        <v>68</v>
      </c>
      <c r="C18" s="32" cm="1">
        <f t="array" aca="1" ref="C18" ca="1">INDEX(Data_DBD!$C:$C,$A18)</f>
        <v>4</v>
      </c>
      <c r="D18" s="32" cm="1">
        <f t="array" aca="1" ref="D18" ca="1">INDEX(Data_DBD!$D:$D,$A18)</f>
        <v>15</v>
      </c>
      <c r="E18" s="32" cm="1">
        <f t="array" aca="1" ref="E18" ca="1">INDEX(Data_DBD!$E:$E,$A18)</f>
        <v>0</v>
      </c>
      <c r="F18" s="32" cm="1">
        <f t="array" aca="1" ref="F18" ca="1">INDEX(Data_DBD!$F:$F,$A18)</f>
        <v>2</v>
      </c>
      <c r="H18" s="32">
        <v>163</v>
      </c>
      <c r="I18" s="32">
        <v>34</v>
      </c>
      <c r="J18" s="32">
        <v>4</v>
      </c>
      <c r="K18" s="32">
        <v>3</v>
      </c>
      <c r="L18" s="32">
        <v>1</v>
      </c>
      <c r="M18" s="32">
        <v>1</v>
      </c>
    </row>
    <row r="19" spans="1:13">
      <c r="A19" s="32">
        <f t="shared" ca="1" si="0"/>
        <v>93</v>
      </c>
      <c r="B19" s="32" cm="1">
        <f t="array" aca="1" ref="B19" ca="1">INDEX(Data_DBD!$B:$B,$A19)</f>
        <v>65</v>
      </c>
      <c r="C19" s="32" cm="1">
        <f t="array" aca="1" ref="C19" ca="1">INDEX(Data_DBD!$C:$C,$A19)</f>
        <v>4</v>
      </c>
      <c r="D19" s="32" cm="1">
        <f t="array" aca="1" ref="D19" ca="1">INDEX(Data_DBD!$D:$D,$A19)</f>
        <v>18</v>
      </c>
      <c r="E19" s="32" cm="1">
        <f t="array" aca="1" ref="E19" ca="1">INDEX(Data_DBD!$E:$E,$A19)</f>
        <v>0</v>
      </c>
      <c r="F19" s="32" cm="1">
        <f t="array" aca="1" ref="F19" ca="1">INDEX(Data_DBD!$F:$F,$A19)</f>
        <v>3</v>
      </c>
      <c r="H19" s="32">
        <v>127</v>
      </c>
      <c r="I19" s="32">
        <v>21</v>
      </c>
      <c r="J19" s="32">
        <v>2</v>
      </c>
      <c r="K19" s="32">
        <v>33</v>
      </c>
      <c r="L19" s="32">
        <v>0</v>
      </c>
      <c r="M19" s="32">
        <v>3</v>
      </c>
    </row>
    <row r="20" spans="1:13">
      <c r="A20" s="32">
        <f t="shared" ca="1" si="0"/>
        <v>104</v>
      </c>
      <c r="B20" s="32" cm="1">
        <f t="array" aca="1" ref="B20" ca="1">INDEX(Data_DBD!$B:$B,$A20)</f>
        <v>37</v>
      </c>
      <c r="C20" s="32" cm="1">
        <f t="array" aca="1" ref="C20" ca="1">INDEX(Data_DBD!$C:$C,$A20)</f>
        <v>4</v>
      </c>
      <c r="D20" s="32" cm="1">
        <f t="array" aca="1" ref="D20" ca="1">INDEX(Data_DBD!$D:$D,$A20)</f>
        <v>18</v>
      </c>
      <c r="E20" s="32" cm="1">
        <f t="array" aca="1" ref="E20" ca="1">INDEX(Data_DBD!$E:$E,$A20)</f>
        <v>1</v>
      </c>
      <c r="F20" s="32" cm="1">
        <f t="array" aca="1" ref="F20" ca="1">INDEX(Data_DBD!$F:$F,$A20)</f>
        <v>3</v>
      </c>
      <c r="H20" s="32">
        <v>127</v>
      </c>
      <c r="I20" s="32">
        <v>21</v>
      </c>
      <c r="J20" s="32">
        <v>2</v>
      </c>
      <c r="K20" s="32">
        <v>33</v>
      </c>
      <c r="L20" s="32">
        <v>0</v>
      </c>
      <c r="M20" s="32">
        <v>3</v>
      </c>
    </row>
    <row r="21" spans="1:13">
      <c r="A21" s="32">
        <f t="shared" ca="1" si="0"/>
        <v>140</v>
      </c>
      <c r="B21" s="32" cm="1">
        <f t="array" aca="1" ref="B21" ca="1">INDEX(Data_DBD!$B:$B,$A21)</f>
        <v>74</v>
      </c>
      <c r="C21" s="32" cm="1">
        <f t="array" aca="1" ref="C21" ca="1">INDEX(Data_DBD!$C:$C,$A21)</f>
        <v>5</v>
      </c>
      <c r="D21" s="32" cm="1">
        <f t="array" aca="1" ref="D21" ca="1">INDEX(Data_DBD!$D:$D,$A21)</f>
        <v>21</v>
      </c>
      <c r="E21" s="32" cm="1">
        <f t="array" aca="1" ref="E21" ca="1">INDEX(Data_DBD!$E:$E,$A21)</f>
        <v>1</v>
      </c>
      <c r="F21" s="32" cm="1">
        <f t="array" aca="1" ref="F21" ca="1">INDEX(Data_DBD!$F:$F,$A21)</f>
        <v>3</v>
      </c>
      <c r="H21" s="32">
        <v>53</v>
      </c>
      <c r="I21" s="32">
        <v>35</v>
      </c>
      <c r="J21" s="32">
        <v>4</v>
      </c>
      <c r="K21" s="32">
        <v>15</v>
      </c>
      <c r="L21" s="32">
        <v>1</v>
      </c>
      <c r="M21" s="32">
        <v>2</v>
      </c>
    </row>
    <row r="22" spans="1:13">
      <c r="A22" s="32">
        <f t="shared" ca="1" si="0"/>
        <v>71</v>
      </c>
      <c r="B22" s="32" cm="1">
        <f t="array" aca="1" ref="B22" ca="1">INDEX(Data_DBD!$B:$B,$A22)</f>
        <v>84</v>
      </c>
      <c r="C22" s="32" cm="1">
        <f t="array" aca="1" ref="C22" ca="1">INDEX(Data_DBD!$C:$C,$A22)</f>
        <v>3</v>
      </c>
      <c r="D22" s="32" cm="1">
        <f t="array" aca="1" ref="D22" ca="1">INDEX(Data_DBD!$D:$D,$A22)</f>
        <v>10</v>
      </c>
      <c r="E22" s="32" cm="1">
        <f t="array" aca="1" ref="E22" ca="1">INDEX(Data_DBD!$E:$E,$A22)</f>
        <v>0</v>
      </c>
      <c r="F22" s="32" cm="1">
        <f t="array" aca="1" ref="F22" ca="1">INDEX(Data_DBD!$F:$F,$A22)</f>
        <v>2</v>
      </c>
      <c r="H22" s="32">
        <v>158</v>
      </c>
      <c r="I22" s="32">
        <v>5</v>
      </c>
      <c r="J22" s="32">
        <v>2</v>
      </c>
      <c r="K22" s="32">
        <v>21</v>
      </c>
      <c r="L22" s="32">
        <v>0</v>
      </c>
      <c r="M22" s="32">
        <v>3</v>
      </c>
    </row>
    <row r="23" spans="1:13">
      <c r="A23" s="32">
        <f t="shared" ca="1" si="0"/>
        <v>145</v>
      </c>
      <c r="B23" s="32" cm="1">
        <f t="array" aca="1" ref="B23" ca="1">INDEX(Data_DBD!$B:$B,$A23)</f>
        <v>28</v>
      </c>
      <c r="C23" s="32" cm="1">
        <f t="array" aca="1" ref="C23" ca="1">INDEX(Data_DBD!$C:$C,$A23)</f>
        <v>4</v>
      </c>
      <c r="D23" s="32" cm="1">
        <f t="array" aca="1" ref="D23" ca="1">INDEX(Data_DBD!$D:$D,$A23)</f>
        <v>21</v>
      </c>
      <c r="E23" s="32" cm="1">
        <f t="array" aca="1" ref="E23" ca="1">INDEX(Data_DBD!$E:$E,$A23)</f>
        <v>1</v>
      </c>
      <c r="F23" s="32" cm="1">
        <f t="array" aca="1" ref="F23" ca="1">INDEX(Data_DBD!$F:$F,$A23)</f>
        <v>3</v>
      </c>
      <c r="H23" s="32">
        <v>160</v>
      </c>
      <c r="I23" s="32">
        <v>16</v>
      </c>
      <c r="J23" s="32">
        <v>3</v>
      </c>
      <c r="K23" s="32">
        <v>21</v>
      </c>
      <c r="L23" s="32">
        <v>0</v>
      </c>
      <c r="M23" s="32">
        <v>3</v>
      </c>
    </row>
    <row r="24" spans="1:13">
      <c r="A24" s="32">
        <f t="shared" ca="1" si="0"/>
        <v>155</v>
      </c>
      <c r="B24" s="32" cm="1">
        <f t="array" aca="1" ref="B24" ca="1">INDEX(Data_DBD!$B:$B,$A24)</f>
        <v>19</v>
      </c>
      <c r="C24" s="32" cm="1">
        <f t="array" aca="1" ref="C24" ca="1">INDEX(Data_DBD!$C:$C,$A24)</f>
        <v>5</v>
      </c>
      <c r="D24" s="32" cm="1">
        <f t="array" aca="1" ref="D24" ca="1">INDEX(Data_DBD!$D:$D,$A24)</f>
        <v>21</v>
      </c>
      <c r="E24" s="32" cm="1">
        <f t="array" aca="1" ref="E24" ca="1">INDEX(Data_DBD!$E:$E,$A24)</f>
        <v>1</v>
      </c>
      <c r="F24" s="32" cm="1">
        <f t="array" aca="1" ref="F24" ca="1">INDEX(Data_DBD!$F:$F,$A24)</f>
        <v>3</v>
      </c>
      <c r="H24" s="32">
        <v>161</v>
      </c>
      <c r="I24" s="32">
        <v>12</v>
      </c>
      <c r="J24" s="32">
        <v>3</v>
      </c>
      <c r="K24" s="32">
        <v>21</v>
      </c>
      <c r="L24" s="32">
        <v>1</v>
      </c>
      <c r="M24" s="32">
        <v>3</v>
      </c>
    </row>
    <row r="25" spans="1:13">
      <c r="A25" s="32">
        <f t="shared" ca="1" si="0"/>
        <v>49</v>
      </c>
      <c r="B25" s="32" cm="1">
        <f t="array" aca="1" ref="B25" ca="1">INDEX(Data_DBD!$B:$B,$A25)</f>
        <v>64</v>
      </c>
      <c r="C25" s="32" cm="1">
        <f t="array" aca="1" ref="C25" ca="1">INDEX(Data_DBD!$C:$C,$A25)</f>
        <v>5</v>
      </c>
      <c r="D25" s="32" cm="1">
        <f t="array" aca="1" ref="D25" ca="1">INDEX(Data_DBD!$D:$D,$A25)</f>
        <v>13</v>
      </c>
      <c r="E25" s="32" cm="1">
        <f t="array" aca="1" ref="E25" ca="1">INDEX(Data_DBD!$E:$E,$A25)</f>
        <v>0</v>
      </c>
      <c r="F25" s="32" cm="1">
        <f t="array" aca="1" ref="F25" ca="1">INDEX(Data_DBD!$F:$F,$A25)</f>
        <v>2</v>
      </c>
      <c r="H25" s="32">
        <v>103</v>
      </c>
      <c r="I25" s="32">
        <v>22</v>
      </c>
      <c r="J25" s="32">
        <v>5</v>
      </c>
      <c r="K25" s="32">
        <v>18</v>
      </c>
      <c r="L25" s="32">
        <v>0</v>
      </c>
      <c r="M25" s="32">
        <v>3</v>
      </c>
    </row>
    <row r="26" spans="1:13">
      <c r="A26" s="32">
        <f t="shared" ca="1" si="0"/>
        <v>7</v>
      </c>
      <c r="B26" s="32" cm="1">
        <f t="array" aca="1" ref="B26" ca="1">INDEX(Data_DBD!$B:$B,$A26)</f>
        <v>12</v>
      </c>
      <c r="C26" s="32" cm="1">
        <f t="array" aca="1" ref="C26" ca="1">INDEX(Data_DBD!$C:$C,$A26)</f>
        <v>1</v>
      </c>
      <c r="D26" s="32" cm="1">
        <f t="array" aca="1" ref="D26" ca="1">INDEX(Data_DBD!$D:$D,$A26)</f>
        <v>12</v>
      </c>
      <c r="E26" s="32" cm="1">
        <f t="array" aca="1" ref="E26" ca="1">INDEX(Data_DBD!$E:$E,$A26)</f>
        <v>1</v>
      </c>
      <c r="F26" s="32" cm="1">
        <f t="array" aca="1" ref="F26" ca="1">INDEX(Data_DBD!$F:$F,$A26)</f>
        <v>2</v>
      </c>
      <c r="H26" s="32">
        <v>92</v>
      </c>
      <c r="I26" s="32">
        <v>55</v>
      </c>
      <c r="J26" s="32">
        <v>7</v>
      </c>
      <c r="K26" s="32">
        <v>18</v>
      </c>
      <c r="L26" s="32">
        <v>0</v>
      </c>
      <c r="M26" s="32">
        <v>3</v>
      </c>
    </row>
    <row r="27" spans="1:13">
      <c r="A27" s="32">
        <f t="shared" ca="1" si="0"/>
        <v>98</v>
      </c>
      <c r="B27" s="32" cm="1">
        <f t="array" aca="1" ref="B27" ca="1">INDEX(Data_DBD!$B:$B,$A27)</f>
        <v>16</v>
      </c>
      <c r="C27" s="32" cm="1">
        <f t="array" aca="1" ref="C27" ca="1">INDEX(Data_DBD!$C:$C,$A27)</f>
        <v>2</v>
      </c>
      <c r="D27" s="32" cm="1">
        <f t="array" aca="1" ref="D27" ca="1">INDEX(Data_DBD!$D:$D,$A27)</f>
        <v>18</v>
      </c>
      <c r="E27" s="32" cm="1">
        <f t="array" aca="1" ref="E27" ca="1">INDEX(Data_DBD!$E:$E,$A27)</f>
        <v>1</v>
      </c>
      <c r="F27" s="32" cm="1">
        <f t="array" aca="1" ref="F27" ca="1">INDEX(Data_DBD!$F:$F,$A27)</f>
        <v>3</v>
      </c>
      <c r="H27" s="32">
        <v>14</v>
      </c>
      <c r="I27" s="32">
        <v>49</v>
      </c>
      <c r="J27" s="32">
        <v>4</v>
      </c>
      <c r="K27" s="32">
        <v>7</v>
      </c>
      <c r="L27" s="32">
        <v>1</v>
      </c>
      <c r="M27" s="32">
        <v>1</v>
      </c>
    </row>
    <row r="28" spans="1:13">
      <c r="A28" s="32">
        <f t="shared" ca="1" si="0"/>
        <v>133</v>
      </c>
      <c r="B28" s="32" cm="1">
        <f t="array" aca="1" ref="B28" ca="1">INDEX(Data_DBD!$B:$B,$A28)</f>
        <v>6</v>
      </c>
      <c r="C28" s="32" cm="1">
        <f t="array" aca="1" ref="C28" ca="1">INDEX(Data_DBD!$C:$C,$A28)</f>
        <v>4</v>
      </c>
      <c r="D28" s="32" cm="1">
        <f t="array" aca="1" ref="D28" ca="1">INDEX(Data_DBD!$D:$D,$A28)</f>
        <v>33</v>
      </c>
      <c r="E28" s="32" cm="1">
        <f t="array" aca="1" ref="E28" ca="1">INDEX(Data_DBD!$E:$E,$A28)</f>
        <v>0</v>
      </c>
      <c r="F28" s="32" cm="1">
        <f t="array" aca="1" ref="F28" ca="1">INDEX(Data_DBD!$F:$F,$A28)</f>
        <v>3</v>
      </c>
      <c r="H28" s="32">
        <v>101</v>
      </c>
      <c r="I28" s="32">
        <v>42</v>
      </c>
      <c r="J28" s="32">
        <v>5</v>
      </c>
      <c r="K28" s="32">
        <v>18</v>
      </c>
      <c r="L28" s="32">
        <v>0</v>
      </c>
      <c r="M28" s="32">
        <v>3</v>
      </c>
    </row>
    <row r="29" spans="1:13">
      <c r="A29" s="32">
        <f t="shared" ca="1" si="0"/>
        <v>74</v>
      </c>
      <c r="B29" s="32" cm="1">
        <f t="array" aca="1" ref="B29" ca="1">INDEX(Data_DBD!$B:$B,$A29)</f>
        <v>9</v>
      </c>
      <c r="C29" s="32" cm="1">
        <f t="array" aca="1" ref="C29" ca="1">INDEX(Data_DBD!$C:$C,$A29)</f>
        <v>4</v>
      </c>
      <c r="D29" s="32" cm="1">
        <f t="array" aca="1" ref="D29" ca="1">INDEX(Data_DBD!$D:$D,$A29)</f>
        <v>10</v>
      </c>
      <c r="E29" s="32" cm="1">
        <f t="array" aca="1" ref="E29" ca="1">INDEX(Data_DBD!$E:$E,$A29)</f>
        <v>0</v>
      </c>
      <c r="F29" s="32" cm="1">
        <f t="array" aca="1" ref="F29" ca="1">INDEX(Data_DBD!$F:$F,$A29)</f>
        <v>2</v>
      </c>
      <c r="H29" s="32">
        <v>105</v>
      </c>
      <c r="I29" s="32">
        <v>61</v>
      </c>
      <c r="J29" s="32">
        <v>3</v>
      </c>
      <c r="K29" s="32">
        <v>18</v>
      </c>
      <c r="L29" s="32">
        <v>1</v>
      </c>
      <c r="M29" s="32">
        <v>3</v>
      </c>
    </row>
    <row r="30" spans="1:13">
      <c r="A30" s="32">
        <f t="shared" ca="1" si="0"/>
        <v>35</v>
      </c>
      <c r="B30" s="32" cm="1">
        <f t="array" aca="1" ref="B30" ca="1">INDEX(Data_DBD!$B:$B,$A30)</f>
        <v>40</v>
      </c>
      <c r="C30" s="32" cm="1">
        <f t="array" aca="1" ref="C30" ca="1">INDEX(Data_DBD!$C:$C,$A30)</f>
        <v>3</v>
      </c>
      <c r="D30" s="32" cm="1">
        <f t="array" aca="1" ref="D30" ca="1">INDEX(Data_DBD!$D:$D,$A30)</f>
        <v>4</v>
      </c>
      <c r="E30" s="32" cm="1">
        <f t="array" aca="1" ref="E30" ca="1">INDEX(Data_DBD!$E:$E,$A30)</f>
        <v>1</v>
      </c>
      <c r="F30" s="32" cm="1">
        <f t="array" aca="1" ref="F30" ca="1">INDEX(Data_DBD!$F:$F,$A30)</f>
        <v>1</v>
      </c>
      <c r="H30" s="32">
        <v>155</v>
      </c>
      <c r="I30" s="32">
        <v>19</v>
      </c>
      <c r="J30" s="32">
        <v>5</v>
      </c>
      <c r="K30" s="32">
        <v>21</v>
      </c>
      <c r="L30" s="32">
        <v>1</v>
      </c>
      <c r="M30" s="32">
        <v>3</v>
      </c>
    </row>
    <row r="31" spans="1:13">
      <c r="A31" s="32">
        <f t="shared" ca="1" si="0"/>
        <v>61</v>
      </c>
      <c r="B31" s="32" cm="1">
        <f t="array" aca="1" ref="B31" ca="1">INDEX(Data_DBD!$B:$B,$A31)</f>
        <v>29</v>
      </c>
      <c r="C31" s="32" cm="1">
        <f t="array" aca="1" ref="C31" ca="1">INDEX(Data_DBD!$C:$C,$A31)</f>
        <v>3</v>
      </c>
      <c r="D31" s="32" cm="1">
        <f t="array" aca="1" ref="D31" ca="1">INDEX(Data_DBD!$D:$D,$A31)</f>
        <v>15</v>
      </c>
      <c r="E31" s="32" cm="1">
        <f t="array" aca="1" ref="E31" ca="1">INDEX(Data_DBD!$E:$E,$A31)</f>
        <v>1</v>
      </c>
      <c r="F31" s="32" cm="1">
        <f t="array" aca="1" ref="F31" ca="1">INDEX(Data_DBD!$F:$F,$A31)</f>
        <v>2</v>
      </c>
      <c r="H31" s="32">
        <v>49</v>
      </c>
      <c r="I31" s="32">
        <v>64</v>
      </c>
      <c r="J31" s="32">
        <v>5</v>
      </c>
      <c r="K31" s="32">
        <v>13</v>
      </c>
      <c r="L31" s="32">
        <v>0</v>
      </c>
      <c r="M31" s="32">
        <v>2</v>
      </c>
    </row>
    <row r="32" spans="1:13">
      <c r="A32" s="32">
        <f t="shared" ca="1" si="0"/>
        <v>59</v>
      </c>
      <c r="B32" s="32" cm="1">
        <f t="array" aca="1" ref="B32" ca="1">INDEX(Data_DBD!$B:$B,$A32)</f>
        <v>28</v>
      </c>
      <c r="C32" s="32" cm="1">
        <f t="array" aca="1" ref="C32" ca="1">INDEX(Data_DBD!$C:$C,$A32)</f>
        <v>4</v>
      </c>
      <c r="D32" s="32" cm="1">
        <f t="array" aca="1" ref="D32" ca="1">INDEX(Data_DBD!$D:$D,$A32)</f>
        <v>15</v>
      </c>
      <c r="E32" s="32" cm="1">
        <f t="array" aca="1" ref="E32" ca="1">INDEX(Data_DBD!$E:$E,$A32)</f>
        <v>0</v>
      </c>
      <c r="F32" s="32" cm="1">
        <f t="array" aca="1" ref="F32" ca="1">INDEX(Data_DBD!$F:$F,$A32)</f>
        <v>2</v>
      </c>
      <c r="H32" s="32">
        <v>3</v>
      </c>
      <c r="I32" s="32">
        <v>43</v>
      </c>
      <c r="J32" s="32">
        <v>3</v>
      </c>
      <c r="K32" s="32">
        <v>12</v>
      </c>
      <c r="L32" s="32">
        <v>1</v>
      </c>
      <c r="M32" s="32">
        <v>2</v>
      </c>
    </row>
    <row r="33" spans="1:13">
      <c r="A33" s="32">
        <f t="shared" ca="1" si="0"/>
        <v>61</v>
      </c>
      <c r="B33" s="32" cm="1">
        <f t="array" aca="1" ref="B33" ca="1">INDEX(Data_DBD!$B:$B,$A33)</f>
        <v>29</v>
      </c>
      <c r="C33" s="32" cm="1">
        <f t="array" aca="1" ref="C33" ca="1">INDEX(Data_DBD!$C:$C,$A33)</f>
        <v>3</v>
      </c>
      <c r="D33" s="32" cm="1">
        <f t="array" aca="1" ref="D33" ca="1">INDEX(Data_DBD!$D:$D,$A33)</f>
        <v>15</v>
      </c>
      <c r="E33" s="32" cm="1">
        <f t="array" aca="1" ref="E33" ca="1">INDEX(Data_DBD!$E:$E,$A33)</f>
        <v>1</v>
      </c>
      <c r="F33" s="32" cm="1">
        <f t="array" aca="1" ref="F33" ca="1">INDEX(Data_DBD!$F:$F,$A33)</f>
        <v>2</v>
      </c>
      <c r="H33" s="32">
        <v>17</v>
      </c>
      <c r="I33" s="32">
        <v>2</v>
      </c>
      <c r="J33" s="32">
        <v>3</v>
      </c>
      <c r="K33" s="32">
        <v>7</v>
      </c>
      <c r="L33" s="32">
        <v>0</v>
      </c>
      <c r="M33" s="32">
        <v>1</v>
      </c>
    </row>
    <row r="34" spans="1:13">
      <c r="A34" s="32">
        <f t="shared" ca="1" si="0"/>
        <v>69</v>
      </c>
      <c r="B34" s="32" cm="1">
        <f t="array" aca="1" ref="B34" ca="1">INDEX(Data_DBD!$B:$B,$A34)</f>
        <v>24</v>
      </c>
      <c r="C34" s="32" cm="1">
        <f t="array" aca="1" ref="C34" ca="1">INDEX(Data_DBD!$C:$C,$A34)</f>
        <v>4</v>
      </c>
      <c r="D34" s="32" cm="1">
        <f t="array" aca="1" ref="D34" ca="1">INDEX(Data_DBD!$D:$D,$A34)</f>
        <v>10</v>
      </c>
      <c r="E34" s="32" cm="1">
        <f t="array" aca="1" ref="E34" ca="1">INDEX(Data_DBD!$E:$E,$A34)</f>
        <v>1</v>
      </c>
      <c r="F34" s="32" cm="1">
        <f t="array" aca="1" ref="F34" ca="1">INDEX(Data_DBD!$F:$F,$A34)</f>
        <v>2</v>
      </c>
      <c r="H34" s="32">
        <v>86</v>
      </c>
      <c r="I34" s="32">
        <v>23</v>
      </c>
      <c r="J34" s="32">
        <v>3</v>
      </c>
      <c r="K34" s="32">
        <v>13</v>
      </c>
      <c r="L34" s="32">
        <v>0</v>
      </c>
      <c r="M34" s="32">
        <v>2</v>
      </c>
    </row>
    <row r="35" spans="1:13">
      <c r="A35" s="32">
        <f t="shared" ca="1" si="0"/>
        <v>52</v>
      </c>
      <c r="B35" s="32" cm="1">
        <f t="array" aca="1" ref="B35" ca="1">INDEX(Data_DBD!$B:$B,$A35)</f>
        <v>59</v>
      </c>
      <c r="C35" s="32" cm="1">
        <f t="array" aca="1" ref="C35" ca="1">INDEX(Data_DBD!$C:$C,$A35)</f>
        <v>4</v>
      </c>
      <c r="D35" s="32" cm="1">
        <f t="array" aca="1" ref="D35" ca="1">INDEX(Data_DBD!$D:$D,$A35)</f>
        <v>15</v>
      </c>
      <c r="E35" s="32" cm="1">
        <f t="array" aca="1" ref="E35" ca="1">INDEX(Data_DBD!$E:$E,$A35)</f>
        <v>1</v>
      </c>
      <c r="F35" s="32" cm="1">
        <f t="array" aca="1" ref="F35" ca="1">INDEX(Data_DBD!$F:$F,$A35)</f>
        <v>2</v>
      </c>
      <c r="H35" s="32">
        <v>122</v>
      </c>
      <c r="I35" s="32">
        <v>28</v>
      </c>
      <c r="J35" s="32">
        <v>3</v>
      </c>
      <c r="K35" s="32">
        <v>33</v>
      </c>
      <c r="L35" s="32">
        <v>1</v>
      </c>
      <c r="M35" s="32">
        <v>3</v>
      </c>
    </row>
    <row r="36" spans="1:13">
      <c r="A36" s="32">
        <f t="shared" ca="1" si="0"/>
        <v>25</v>
      </c>
      <c r="B36" s="32" cm="1">
        <f t="array" aca="1" ref="B36" ca="1">INDEX(Data_DBD!$B:$B,$A36)</f>
        <v>81</v>
      </c>
      <c r="C36" s="32" cm="1">
        <f t="array" aca="1" ref="C36" ca="1">INDEX(Data_DBD!$C:$C,$A36)</f>
        <v>5</v>
      </c>
      <c r="D36" s="32" cm="1">
        <f t="array" aca="1" ref="D36" ca="1">INDEX(Data_DBD!$D:$D,$A36)</f>
        <v>14</v>
      </c>
      <c r="E36" s="32" cm="1">
        <f t="array" aca="1" ref="E36" ca="1">INDEX(Data_DBD!$E:$E,$A36)</f>
        <v>0</v>
      </c>
      <c r="F36" s="32" cm="1">
        <f t="array" aca="1" ref="F36" ca="1">INDEX(Data_DBD!$F:$F,$A36)</f>
        <v>2</v>
      </c>
      <c r="H36" s="32">
        <v>36</v>
      </c>
      <c r="I36" s="32">
        <v>27</v>
      </c>
      <c r="J36" s="32">
        <v>1</v>
      </c>
      <c r="K36" s="32">
        <v>4</v>
      </c>
      <c r="L36" s="32">
        <v>1</v>
      </c>
      <c r="M36" s="32">
        <v>1</v>
      </c>
    </row>
    <row r="37" spans="1:13">
      <c r="A37" s="32">
        <f t="shared" ca="1" si="0"/>
        <v>135</v>
      </c>
      <c r="B37" s="32" cm="1">
        <f t="array" aca="1" ref="B37" ca="1">INDEX(Data_DBD!$B:$B,$A37)</f>
        <v>10</v>
      </c>
      <c r="C37" s="32" cm="1">
        <f t="array" aca="1" ref="C37" ca="1">INDEX(Data_DBD!$C:$C,$A37)</f>
        <v>2</v>
      </c>
      <c r="D37" s="32" cm="1">
        <f t="array" aca="1" ref="D37" ca="1">INDEX(Data_DBD!$D:$D,$A37)</f>
        <v>33</v>
      </c>
      <c r="E37" s="32" cm="1">
        <f t="array" aca="1" ref="E37" ca="1">INDEX(Data_DBD!$E:$E,$A37)</f>
        <v>0</v>
      </c>
      <c r="F37" s="32" cm="1">
        <f t="array" aca="1" ref="F37" ca="1">INDEX(Data_DBD!$F:$F,$A37)</f>
        <v>3</v>
      </c>
      <c r="H37" s="32">
        <v>49</v>
      </c>
      <c r="I37" s="32">
        <v>64</v>
      </c>
      <c r="J37" s="32">
        <v>5</v>
      </c>
      <c r="K37" s="32">
        <v>13</v>
      </c>
      <c r="L37" s="32">
        <v>0</v>
      </c>
      <c r="M37" s="32">
        <v>2</v>
      </c>
    </row>
    <row r="38" spans="1:13">
      <c r="A38" s="32">
        <f t="shared" ca="1" si="0"/>
        <v>138</v>
      </c>
      <c r="B38" s="32" cm="1">
        <f t="array" aca="1" ref="B38" ca="1">INDEX(Data_DBD!$B:$B,$A38)</f>
        <v>13</v>
      </c>
      <c r="C38" s="32" cm="1">
        <f t="array" aca="1" ref="C38" ca="1">INDEX(Data_DBD!$C:$C,$A38)</f>
        <v>3</v>
      </c>
      <c r="D38" s="32" cm="1">
        <f t="array" aca="1" ref="D38" ca="1">INDEX(Data_DBD!$D:$D,$A38)</f>
        <v>33</v>
      </c>
      <c r="E38" s="32" cm="1">
        <f t="array" aca="1" ref="E38" ca="1">INDEX(Data_DBD!$E:$E,$A38)</f>
        <v>1</v>
      </c>
      <c r="F38" s="32" cm="1">
        <f t="array" aca="1" ref="F38" ca="1">INDEX(Data_DBD!$F:$F,$A38)</f>
        <v>3</v>
      </c>
      <c r="H38" s="32">
        <v>99</v>
      </c>
      <c r="I38" s="32">
        <v>4</v>
      </c>
      <c r="J38" s="32">
        <v>2</v>
      </c>
      <c r="K38" s="32">
        <v>18</v>
      </c>
      <c r="L38" s="32">
        <v>1</v>
      </c>
      <c r="M38" s="32">
        <v>3</v>
      </c>
    </row>
    <row r="39" spans="1:13">
      <c r="A39" s="32">
        <f t="shared" ca="1" si="0"/>
        <v>70</v>
      </c>
      <c r="B39" s="32" cm="1">
        <f t="array" aca="1" ref="B39" ca="1">INDEX(Data_DBD!$B:$B,$A39)</f>
        <v>26</v>
      </c>
      <c r="C39" s="32" cm="1">
        <f t="array" aca="1" ref="C39" ca="1">INDEX(Data_DBD!$C:$C,$A39)</f>
        <v>3</v>
      </c>
      <c r="D39" s="32" cm="1">
        <f t="array" aca="1" ref="D39" ca="1">INDEX(Data_DBD!$D:$D,$A39)</f>
        <v>10</v>
      </c>
      <c r="E39" s="32" cm="1">
        <f t="array" aca="1" ref="E39" ca="1">INDEX(Data_DBD!$E:$E,$A39)</f>
        <v>1</v>
      </c>
      <c r="F39" s="32" cm="1">
        <f t="array" aca="1" ref="F39" ca="1">INDEX(Data_DBD!$F:$F,$A39)</f>
        <v>2</v>
      </c>
      <c r="H39" s="32">
        <v>60</v>
      </c>
      <c r="I39" s="32">
        <v>68</v>
      </c>
      <c r="J39" s="32">
        <v>4</v>
      </c>
      <c r="K39" s="32">
        <v>15</v>
      </c>
      <c r="L39" s="32">
        <v>0</v>
      </c>
      <c r="M39" s="32">
        <v>2</v>
      </c>
    </row>
    <row r="40" spans="1:13">
      <c r="A40" s="32">
        <f t="shared" ca="1" si="0"/>
        <v>79</v>
      </c>
      <c r="B40" s="32" cm="1">
        <f t="array" aca="1" ref="B40" ca="1">INDEX(Data_DBD!$B:$B,$A40)</f>
        <v>29</v>
      </c>
      <c r="C40" s="32" cm="1">
        <f t="array" aca="1" ref="C40" ca="1">INDEX(Data_DBD!$C:$C,$A40)</f>
        <v>3</v>
      </c>
      <c r="D40" s="32" cm="1">
        <f t="array" aca="1" ref="D40" ca="1">INDEX(Data_DBD!$D:$D,$A40)</f>
        <v>13</v>
      </c>
      <c r="E40" s="32" cm="1">
        <f t="array" aca="1" ref="E40" ca="1">INDEX(Data_DBD!$E:$E,$A40)</f>
        <v>0</v>
      </c>
      <c r="F40" s="32" cm="1">
        <f t="array" aca="1" ref="F40" ca="1">INDEX(Data_DBD!$F:$F,$A40)</f>
        <v>2</v>
      </c>
      <c r="H40" s="32">
        <v>39</v>
      </c>
      <c r="I40" s="32">
        <v>12</v>
      </c>
      <c r="J40" s="32">
        <v>5</v>
      </c>
      <c r="K40" s="32">
        <v>13</v>
      </c>
      <c r="L40" s="32">
        <v>1</v>
      </c>
      <c r="M40" s="32">
        <v>2</v>
      </c>
    </row>
    <row r="41" spans="1:13">
      <c r="A41" s="32">
        <f t="shared" ca="1" si="0"/>
        <v>2</v>
      </c>
      <c r="B41" s="32" cm="1">
        <f t="array" aca="1" ref="B41" ca="1">INDEX(Data_DBD!$B:$B,$A41)</f>
        <v>34</v>
      </c>
      <c r="C41" s="32" cm="1">
        <f t="array" aca="1" ref="C41" ca="1">INDEX(Data_DBD!$C:$C,$A41)</f>
        <v>3</v>
      </c>
      <c r="D41" s="32" cm="1">
        <f t="array" aca="1" ref="D41" ca="1">INDEX(Data_DBD!$D:$D,$A41)</f>
        <v>12</v>
      </c>
      <c r="E41" s="32" cm="1">
        <f t="array" aca="1" ref="E41" ca="1">INDEX(Data_DBD!$E:$E,$A41)</f>
        <v>0</v>
      </c>
      <c r="F41" s="32" cm="1">
        <f t="array" aca="1" ref="F41" ca="1">INDEX(Data_DBD!$F:$F,$A41)</f>
        <v>2</v>
      </c>
      <c r="H41" s="32">
        <v>54</v>
      </c>
      <c r="I41" s="32">
        <v>7</v>
      </c>
      <c r="J41" s="32">
        <v>3</v>
      </c>
      <c r="K41" s="32">
        <v>15</v>
      </c>
      <c r="L41" s="32">
        <v>0</v>
      </c>
      <c r="M41" s="32">
        <v>2</v>
      </c>
    </row>
    <row r="42" spans="1:13">
      <c r="A42" s="32">
        <f t="shared" ca="1" si="0"/>
        <v>18</v>
      </c>
      <c r="B42" s="32" cm="1">
        <f t="array" aca="1" ref="B42" ca="1">INDEX(Data_DBD!$B:$B,$A42)</f>
        <v>49</v>
      </c>
      <c r="C42" s="32" cm="1">
        <f t="array" aca="1" ref="C42" ca="1">INDEX(Data_DBD!$C:$C,$A42)</f>
        <v>4</v>
      </c>
      <c r="D42" s="32" cm="1">
        <f t="array" aca="1" ref="D42" ca="1">INDEX(Data_DBD!$D:$D,$A42)</f>
        <v>7</v>
      </c>
      <c r="E42" s="32" cm="1">
        <f t="array" aca="1" ref="E42" ca="1">INDEX(Data_DBD!$E:$E,$A42)</f>
        <v>1</v>
      </c>
      <c r="F42" s="32" cm="1">
        <f t="array" aca="1" ref="F42" ca="1">INDEX(Data_DBD!$F:$F,$A42)</f>
        <v>1</v>
      </c>
      <c r="H42" s="32">
        <v>72</v>
      </c>
      <c r="I42" s="32">
        <v>3</v>
      </c>
      <c r="J42" s="32">
        <v>5</v>
      </c>
      <c r="K42" s="32">
        <v>10</v>
      </c>
      <c r="L42" s="32">
        <v>1</v>
      </c>
      <c r="M42" s="32">
        <v>2</v>
      </c>
    </row>
    <row r="43" spans="1:13">
      <c r="A43" s="32">
        <f t="shared" ca="1" si="0"/>
        <v>118</v>
      </c>
      <c r="B43" s="32" cm="1">
        <f t="array" aca="1" ref="B43" ca="1">INDEX(Data_DBD!$B:$B,$A43)</f>
        <v>67</v>
      </c>
      <c r="C43" s="32" cm="1">
        <f t="array" aca="1" ref="C43" ca="1">INDEX(Data_DBD!$C:$C,$A43)</f>
        <v>4</v>
      </c>
      <c r="D43" s="32" cm="1">
        <f t="array" aca="1" ref="D43" ca="1">INDEX(Data_DBD!$D:$D,$A43)</f>
        <v>33</v>
      </c>
      <c r="E43" s="32" cm="1">
        <f t="array" aca="1" ref="E43" ca="1">INDEX(Data_DBD!$E:$E,$A43)</f>
        <v>1</v>
      </c>
      <c r="F43" s="32" cm="1">
        <f t="array" aca="1" ref="F43" ca="1">INDEX(Data_DBD!$F:$F,$A43)</f>
        <v>3</v>
      </c>
      <c r="H43" s="32">
        <v>111</v>
      </c>
      <c r="I43" s="32">
        <v>25</v>
      </c>
      <c r="J43" s="32">
        <v>4</v>
      </c>
      <c r="K43" s="32">
        <v>33</v>
      </c>
      <c r="L43" s="32">
        <v>0</v>
      </c>
      <c r="M43" s="32">
        <v>3</v>
      </c>
    </row>
    <row r="44" spans="1:13">
      <c r="A44" s="32">
        <f t="shared" ca="1" si="0"/>
        <v>132</v>
      </c>
      <c r="B44" s="32" cm="1">
        <f t="array" aca="1" ref="B44" ca="1">INDEX(Data_DBD!$B:$B,$A44)</f>
        <v>10</v>
      </c>
      <c r="C44" s="32" cm="1">
        <f t="array" aca="1" ref="C44" ca="1">INDEX(Data_DBD!$C:$C,$A44)</f>
        <v>3</v>
      </c>
      <c r="D44" s="32" cm="1">
        <f t="array" aca="1" ref="D44" ca="1">INDEX(Data_DBD!$D:$D,$A44)</f>
        <v>33</v>
      </c>
      <c r="E44" s="32" cm="1">
        <f t="array" aca="1" ref="E44" ca="1">INDEX(Data_DBD!$E:$E,$A44)</f>
        <v>1</v>
      </c>
      <c r="F44" s="32" cm="1">
        <f t="array" aca="1" ref="F44" ca="1">INDEX(Data_DBD!$F:$F,$A44)</f>
        <v>3</v>
      </c>
      <c r="H44" s="32">
        <v>46</v>
      </c>
      <c r="I44" s="32">
        <v>62</v>
      </c>
      <c r="J44" s="32">
        <v>2</v>
      </c>
      <c r="K44" s="32">
        <v>13</v>
      </c>
      <c r="L44" s="32">
        <v>0</v>
      </c>
      <c r="M44" s="32">
        <v>2</v>
      </c>
    </row>
    <row r="45" spans="1:13">
      <c r="A45" s="32">
        <f t="shared" ca="1" si="0"/>
        <v>43</v>
      </c>
      <c r="B45" s="32" cm="1">
        <f t="array" aca="1" ref="B45" ca="1">INDEX(Data_DBD!$B:$B,$A45)</f>
        <v>15</v>
      </c>
      <c r="C45" s="32" cm="1">
        <f t="array" aca="1" ref="C45" ca="1">INDEX(Data_DBD!$C:$C,$A45)</f>
        <v>4</v>
      </c>
      <c r="D45" s="32" cm="1">
        <f t="array" aca="1" ref="D45" ca="1">INDEX(Data_DBD!$D:$D,$A45)</f>
        <v>13</v>
      </c>
      <c r="E45" s="32" cm="1">
        <f t="array" aca="1" ref="E45" ca="1">INDEX(Data_DBD!$E:$E,$A45)</f>
        <v>0</v>
      </c>
      <c r="F45" s="32" cm="1">
        <f t="array" aca="1" ref="F45" ca="1">INDEX(Data_DBD!$F:$F,$A45)</f>
        <v>2</v>
      </c>
      <c r="H45" s="32">
        <v>67</v>
      </c>
      <c r="I45" s="32">
        <v>21</v>
      </c>
      <c r="J45" s="32">
        <v>3</v>
      </c>
      <c r="K45" s="32">
        <v>10</v>
      </c>
      <c r="L45" s="32">
        <v>1</v>
      </c>
      <c r="M45" s="32">
        <v>2</v>
      </c>
    </row>
    <row r="46" spans="1:13">
      <c r="A46" s="32">
        <f t="shared" ca="1" si="0"/>
        <v>109</v>
      </c>
      <c r="B46" s="32" cm="1">
        <f t="array" aca="1" ref="B46" ca="1">INDEX(Data_DBD!$B:$B,$A46)</f>
        <v>40</v>
      </c>
      <c r="C46" s="32" cm="1">
        <f t="array" aca="1" ref="C46" ca="1">INDEX(Data_DBD!$C:$C,$A46)</f>
        <v>3</v>
      </c>
      <c r="D46" s="32" cm="1">
        <f t="array" aca="1" ref="D46" ca="1">INDEX(Data_DBD!$D:$D,$A46)</f>
        <v>33</v>
      </c>
      <c r="E46" s="32" cm="1">
        <f t="array" aca="1" ref="E46" ca="1">INDEX(Data_DBD!$E:$E,$A46)</f>
        <v>1</v>
      </c>
      <c r="F46" s="32" cm="1">
        <f t="array" aca="1" ref="F46" ca="1">INDEX(Data_DBD!$F:$F,$A46)</f>
        <v>3</v>
      </c>
      <c r="H46" s="32">
        <v>37</v>
      </c>
      <c r="I46" s="32">
        <v>28</v>
      </c>
      <c r="J46" s="32">
        <v>4</v>
      </c>
      <c r="K46" s="32">
        <v>4</v>
      </c>
      <c r="L46" s="32">
        <v>1</v>
      </c>
      <c r="M46" s="32">
        <v>1</v>
      </c>
    </row>
    <row r="47" spans="1:13">
      <c r="A47" s="32">
        <f t="shared" ca="1" si="0"/>
        <v>74</v>
      </c>
      <c r="B47" s="32" cm="1">
        <f t="array" aca="1" ref="B47" ca="1">INDEX(Data_DBD!$B:$B,$A47)</f>
        <v>9</v>
      </c>
      <c r="C47" s="32" cm="1">
        <f t="array" aca="1" ref="C47" ca="1">INDEX(Data_DBD!$C:$C,$A47)</f>
        <v>4</v>
      </c>
      <c r="D47" s="32" cm="1">
        <f t="array" aca="1" ref="D47" ca="1">INDEX(Data_DBD!$D:$D,$A47)</f>
        <v>10</v>
      </c>
      <c r="E47" s="32" cm="1">
        <f t="array" aca="1" ref="E47" ca="1">INDEX(Data_DBD!$E:$E,$A47)</f>
        <v>0</v>
      </c>
      <c r="F47" s="32" cm="1">
        <f t="array" aca="1" ref="F47" ca="1">INDEX(Data_DBD!$F:$F,$A47)</f>
        <v>2</v>
      </c>
      <c r="H47" s="32">
        <v>71</v>
      </c>
      <c r="I47" s="32">
        <v>84</v>
      </c>
      <c r="J47" s="32">
        <v>3</v>
      </c>
      <c r="K47" s="32">
        <v>10</v>
      </c>
      <c r="L47" s="32">
        <v>0</v>
      </c>
      <c r="M47" s="32">
        <v>2</v>
      </c>
    </row>
    <row r="48" spans="1:13">
      <c r="A48" s="32">
        <f t="shared" ca="1" si="0"/>
        <v>28</v>
      </c>
      <c r="B48" s="32" cm="1">
        <f t="array" aca="1" ref="B48" ca="1">INDEX(Data_DBD!$B:$B,$A48)</f>
        <v>22</v>
      </c>
      <c r="C48" s="32" cm="1">
        <f t="array" aca="1" ref="C48" ca="1">INDEX(Data_DBD!$C:$C,$A48)</f>
        <v>2</v>
      </c>
      <c r="D48" s="32" cm="1">
        <f t="array" aca="1" ref="D48" ca="1">INDEX(Data_DBD!$D:$D,$A48)</f>
        <v>14</v>
      </c>
      <c r="E48" s="32" cm="1">
        <f t="array" aca="1" ref="E48" ca="1">INDEX(Data_DBD!$E:$E,$A48)</f>
        <v>1</v>
      </c>
      <c r="F48" s="32" cm="1">
        <f t="array" aca="1" ref="F48" ca="1">INDEX(Data_DBD!$F:$F,$A48)</f>
        <v>2</v>
      </c>
      <c r="H48" s="32">
        <v>150</v>
      </c>
      <c r="I48" s="32">
        <v>61</v>
      </c>
      <c r="J48" s="32">
        <v>5</v>
      </c>
      <c r="K48" s="32">
        <v>21</v>
      </c>
      <c r="L48" s="32">
        <v>1</v>
      </c>
      <c r="M48" s="32">
        <v>3</v>
      </c>
    </row>
    <row r="49" spans="1:13">
      <c r="A49" s="32">
        <f t="shared" ca="1" si="0"/>
        <v>60</v>
      </c>
      <c r="B49" s="32" cm="1">
        <f t="array" aca="1" ref="B49" ca="1">INDEX(Data_DBD!$B:$B,$A49)</f>
        <v>68</v>
      </c>
      <c r="C49" s="32" cm="1">
        <f t="array" aca="1" ref="C49" ca="1">INDEX(Data_DBD!$C:$C,$A49)</f>
        <v>4</v>
      </c>
      <c r="D49" s="32" cm="1">
        <f t="array" aca="1" ref="D49" ca="1">INDEX(Data_DBD!$D:$D,$A49)</f>
        <v>15</v>
      </c>
      <c r="E49" s="32" cm="1">
        <f t="array" aca="1" ref="E49" ca="1">INDEX(Data_DBD!$E:$E,$A49)</f>
        <v>0</v>
      </c>
      <c r="F49" s="32" cm="1">
        <f t="array" aca="1" ref="F49" ca="1">INDEX(Data_DBD!$F:$F,$A49)</f>
        <v>2</v>
      </c>
      <c r="H49" s="32">
        <v>26</v>
      </c>
      <c r="I49" s="32">
        <v>75</v>
      </c>
      <c r="J49" s="32">
        <v>4</v>
      </c>
      <c r="K49" s="32">
        <v>14</v>
      </c>
      <c r="L49" s="32">
        <v>1</v>
      </c>
      <c r="M49" s="32">
        <v>2</v>
      </c>
    </row>
    <row r="50" spans="1:13">
      <c r="A50" s="32">
        <f t="shared" ca="1" si="0"/>
        <v>98</v>
      </c>
      <c r="B50" s="32" cm="1">
        <f t="array" aca="1" ref="B50" ca="1">INDEX(Data_DBD!$B:$B,$A50)</f>
        <v>16</v>
      </c>
      <c r="C50" s="32" cm="1">
        <f t="array" aca="1" ref="C50" ca="1">INDEX(Data_DBD!$C:$C,$A50)</f>
        <v>2</v>
      </c>
      <c r="D50" s="32" cm="1">
        <f t="array" aca="1" ref="D50" ca="1">INDEX(Data_DBD!$D:$D,$A50)</f>
        <v>18</v>
      </c>
      <c r="E50" s="32" cm="1">
        <f t="array" aca="1" ref="E50" ca="1">INDEX(Data_DBD!$E:$E,$A50)</f>
        <v>1</v>
      </c>
      <c r="F50" s="32" cm="1">
        <f t="array" aca="1" ref="F50" ca="1">INDEX(Data_DBD!$F:$F,$A50)</f>
        <v>3</v>
      </c>
      <c r="H50" s="32">
        <v>30</v>
      </c>
      <c r="I50" s="32" t="s">
        <v>37</v>
      </c>
      <c r="J50" s="32">
        <v>2</v>
      </c>
      <c r="K50" s="32">
        <v>14</v>
      </c>
      <c r="L50" s="32">
        <v>1</v>
      </c>
      <c r="M50" s="32">
        <v>2</v>
      </c>
    </row>
    <row r="51" spans="1:13">
      <c r="A51" s="32">
        <f t="shared" ca="1" si="0"/>
        <v>64</v>
      </c>
      <c r="B51" s="32" cm="1">
        <f t="array" aca="1" ref="B51" ca="1">INDEX(Data_DBD!$B:$B,$A51)</f>
        <v>35</v>
      </c>
      <c r="C51" s="32" cm="1">
        <f t="array" aca="1" ref="C51" ca="1">INDEX(Data_DBD!$C:$C,$A51)</f>
        <v>1</v>
      </c>
      <c r="D51" s="32" cm="1">
        <f t="array" aca="1" ref="D51" ca="1">INDEX(Data_DBD!$D:$D,$A51)</f>
        <v>15</v>
      </c>
      <c r="E51" s="32" cm="1">
        <f t="array" aca="1" ref="E51" ca="1">INDEX(Data_DBD!$E:$E,$A51)</f>
        <v>0</v>
      </c>
      <c r="F51" s="32" cm="1">
        <f t="array" aca="1" ref="F51" ca="1">INDEX(Data_DBD!$F:$F,$A51)</f>
        <v>2</v>
      </c>
      <c r="H51" s="32">
        <v>163</v>
      </c>
      <c r="I51" s="32">
        <v>34</v>
      </c>
      <c r="J51" s="32">
        <v>4</v>
      </c>
      <c r="K51" s="32">
        <v>3</v>
      </c>
      <c r="L51" s="32">
        <v>1</v>
      </c>
      <c r="M51" s="32">
        <v>1</v>
      </c>
    </row>
    <row r="52" spans="1:13">
      <c r="A52" s="32">
        <f t="shared" ca="1" si="0"/>
        <v>152</v>
      </c>
      <c r="B52" s="32" cm="1">
        <f t="array" aca="1" ref="B52" ca="1">INDEX(Data_DBD!$B:$B,$A52)</f>
        <v>47</v>
      </c>
      <c r="C52" s="32" cm="1">
        <f t="array" aca="1" ref="C52" ca="1">INDEX(Data_DBD!$C:$C,$A52)</f>
        <v>3</v>
      </c>
      <c r="D52" s="32" cm="1">
        <f t="array" aca="1" ref="D52" ca="1">INDEX(Data_DBD!$D:$D,$A52)</f>
        <v>21</v>
      </c>
      <c r="E52" s="32" cm="1">
        <f t="array" aca="1" ref="E52" ca="1">INDEX(Data_DBD!$E:$E,$A52)</f>
        <v>1</v>
      </c>
      <c r="F52" s="32" cm="1">
        <f t="array" aca="1" ref="F52" ca="1">INDEX(Data_DBD!$F:$F,$A52)</f>
        <v>3</v>
      </c>
      <c r="H52" s="32">
        <v>155</v>
      </c>
      <c r="I52" s="32">
        <v>19</v>
      </c>
      <c r="J52" s="32">
        <v>5</v>
      </c>
      <c r="K52" s="32">
        <v>21</v>
      </c>
      <c r="L52" s="32">
        <v>1</v>
      </c>
      <c r="M52" s="32">
        <v>3</v>
      </c>
    </row>
    <row r="53" spans="1:13">
      <c r="A53" s="32">
        <f t="shared" ca="1" si="0"/>
        <v>95</v>
      </c>
      <c r="B53" s="32" cm="1">
        <f t="array" aca="1" ref="B53" ca="1">INDEX(Data_DBD!$B:$B,$A53)</f>
        <v>11</v>
      </c>
      <c r="C53" s="32" cm="1">
        <f t="array" aca="1" ref="C53" ca="1">INDEX(Data_DBD!$C:$C,$A53)</f>
        <v>3</v>
      </c>
      <c r="D53" s="32" cm="1">
        <f t="array" aca="1" ref="D53" ca="1">INDEX(Data_DBD!$D:$D,$A53)</f>
        <v>18</v>
      </c>
      <c r="E53" s="32" cm="1">
        <f t="array" aca="1" ref="E53" ca="1">INDEX(Data_DBD!$E:$E,$A53)</f>
        <v>1</v>
      </c>
      <c r="F53" s="32" cm="1">
        <f t="array" aca="1" ref="F53" ca="1">INDEX(Data_DBD!$F:$F,$A53)</f>
        <v>3</v>
      </c>
      <c r="H53" s="32">
        <v>5</v>
      </c>
      <c r="I53" s="32">
        <v>18</v>
      </c>
      <c r="J53" s="32">
        <v>2</v>
      </c>
      <c r="K53" s="32">
        <v>12</v>
      </c>
      <c r="L53" s="32">
        <v>1</v>
      </c>
      <c r="M53" s="32">
        <v>2</v>
      </c>
    </row>
    <row r="54" spans="1:13">
      <c r="A54" s="32">
        <f t="shared" ca="1" si="0"/>
        <v>46</v>
      </c>
      <c r="B54" s="32" cm="1">
        <f t="array" aca="1" ref="B54" ca="1">INDEX(Data_DBD!$B:$B,$A54)</f>
        <v>62</v>
      </c>
      <c r="C54" s="32" cm="1">
        <f t="array" aca="1" ref="C54" ca="1">INDEX(Data_DBD!$C:$C,$A54)</f>
        <v>2</v>
      </c>
      <c r="D54" s="32" cm="1">
        <f t="array" aca="1" ref="D54" ca="1">INDEX(Data_DBD!$D:$D,$A54)</f>
        <v>13</v>
      </c>
      <c r="E54" s="32" cm="1">
        <f t="array" aca="1" ref="E54" ca="1">INDEX(Data_DBD!$E:$E,$A54)</f>
        <v>0</v>
      </c>
      <c r="F54" s="32" cm="1">
        <f t="array" aca="1" ref="F54" ca="1">INDEX(Data_DBD!$F:$F,$A54)</f>
        <v>2</v>
      </c>
      <c r="H54" s="32">
        <v>103</v>
      </c>
      <c r="I54" s="32">
        <v>22</v>
      </c>
      <c r="J54" s="32">
        <v>5</v>
      </c>
      <c r="K54" s="32">
        <v>18</v>
      </c>
      <c r="L54" s="32">
        <v>0</v>
      </c>
      <c r="M54" s="32">
        <v>3</v>
      </c>
    </row>
    <row r="55" spans="1:13">
      <c r="A55" s="32">
        <f t="shared" ca="1" si="0"/>
        <v>112</v>
      </c>
      <c r="B55" s="32" cm="1">
        <f t="array" aca="1" ref="B55" ca="1">INDEX(Data_DBD!$B:$B,$A55)</f>
        <v>61</v>
      </c>
      <c r="C55" s="32" cm="1">
        <f t="array" aca="1" ref="C55" ca="1">INDEX(Data_DBD!$C:$C,$A55)</f>
        <v>3</v>
      </c>
      <c r="D55" s="32" cm="1">
        <f t="array" aca="1" ref="D55" ca="1">INDEX(Data_DBD!$D:$D,$A55)</f>
        <v>33</v>
      </c>
      <c r="E55" s="32" cm="1">
        <f t="array" aca="1" ref="E55" ca="1">INDEX(Data_DBD!$E:$E,$A55)</f>
        <v>1</v>
      </c>
      <c r="F55" s="32" cm="1">
        <f t="array" aca="1" ref="F55" ca="1">INDEX(Data_DBD!$F:$F,$A55)</f>
        <v>3</v>
      </c>
      <c r="H55" s="32">
        <v>67</v>
      </c>
      <c r="I55" s="32">
        <v>21</v>
      </c>
      <c r="J55" s="32">
        <v>3</v>
      </c>
      <c r="K55" s="32">
        <v>10</v>
      </c>
      <c r="L55" s="32">
        <v>1</v>
      </c>
      <c r="M55" s="32">
        <v>2</v>
      </c>
    </row>
    <row r="56" spans="1:13">
      <c r="A56" s="32">
        <f t="shared" ca="1" si="0"/>
        <v>152</v>
      </c>
      <c r="B56" s="32" cm="1">
        <f t="array" aca="1" ref="B56" ca="1">INDEX(Data_DBD!$B:$B,$A56)</f>
        <v>47</v>
      </c>
      <c r="C56" s="32" cm="1">
        <f t="array" aca="1" ref="C56" ca="1">INDEX(Data_DBD!$C:$C,$A56)</f>
        <v>3</v>
      </c>
      <c r="D56" s="32" cm="1">
        <f t="array" aca="1" ref="D56" ca="1">INDEX(Data_DBD!$D:$D,$A56)</f>
        <v>21</v>
      </c>
      <c r="E56" s="32" cm="1">
        <f t="array" aca="1" ref="E56" ca="1">INDEX(Data_DBD!$E:$E,$A56)</f>
        <v>1</v>
      </c>
      <c r="F56" s="32" cm="1">
        <f t="array" aca="1" ref="F56" ca="1">INDEX(Data_DBD!$F:$F,$A56)</f>
        <v>3</v>
      </c>
      <c r="H56" s="32">
        <v>72</v>
      </c>
      <c r="I56" s="32">
        <v>3</v>
      </c>
      <c r="J56" s="32">
        <v>5</v>
      </c>
      <c r="K56" s="32">
        <v>10</v>
      </c>
      <c r="L56" s="32">
        <v>1</v>
      </c>
      <c r="M56" s="32">
        <v>2</v>
      </c>
    </row>
    <row r="57" spans="1:13">
      <c r="A57" s="32">
        <f t="shared" ca="1" si="0"/>
        <v>163</v>
      </c>
      <c r="B57" s="32" cm="1">
        <f t="array" aca="1" ref="B57" ca="1">INDEX(Data_DBD!$B:$B,$A57)</f>
        <v>34</v>
      </c>
      <c r="C57" s="32" cm="1">
        <f t="array" aca="1" ref="C57" ca="1">INDEX(Data_DBD!$C:$C,$A57)</f>
        <v>4</v>
      </c>
      <c r="D57" s="32" cm="1">
        <f t="array" aca="1" ref="D57" ca="1">INDEX(Data_DBD!$D:$D,$A57)</f>
        <v>3</v>
      </c>
      <c r="E57" s="32" cm="1">
        <f t="array" aca="1" ref="E57" ca="1">INDEX(Data_DBD!$E:$E,$A57)</f>
        <v>1</v>
      </c>
      <c r="F57" s="32" cm="1">
        <f t="array" aca="1" ref="F57" ca="1">INDEX(Data_DBD!$F:$F,$A57)</f>
        <v>1</v>
      </c>
      <c r="H57" s="32">
        <v>140</v>
      </c>
      <c r="I57" s="32">
        <v>74</v>
      </c>
      <c r="J57" s="32">
        <v>5</v>
      </c>
      <c r="K57" s="32">
        <v>21</v>
      </c>
      <c r="L57" s="32">
        <v>1</v>
      </c>
      <c r="M57" s="32">
        <v>3</v>
      </c>
    </row>
    <row r="58" spans="1:13">
      <c r="A58" s="32">
        <f t="shared" ca="1" si="0"/>
        <v>77</v>
      </c>
      <c r="B58" s="32" cm="1">
        <f t="array" aca="1" ref="B58" ca="1">INDEX(Data_DBD!$B:$B,$A58)</f>
        <v>16</v>
      </c>
      <c r="C58" s="32" cm="1">
        <f t="array" aca="1" ref="C58" ca="1">INDEX(Data_DBD!$C:$C,$A58)</f>
        <v>4</v>
      </c>
      <c r="D58" s="32" cm="1">
        <f t="array" aca="1" ref="D58" ca="1">INDEX(Data_DBD!$D:$D,$A58)</f>
        <v>13</v>
      </c>
      <c r="E58" s="32" cm="1">
        <f t="array" aca="1" ref="E58" ca="1">INDEX(Data_DBD!$E:$E,$A58)</f>
        <v>1</v>
      </c>
      <c r="F58" s="32" cm="1">
        <f t="array" aca="1" ref="F58" ca="1">INDEX(Data_DBD!$F:$F,$A58)</f>
        <v>2</v>
      </c>
      <c r="H58" s="32">
        <v>78</v>
      </c>
      <c r="I58" s="32">
        <v>6</v>
      </c>
      <c r="J58" s="32">
        <v>3</v>
      </c>
      <c r="K58" s="32">
        <v>13</v>
      </c>
      <c r="L58" s="32">
        <v>0</v>
      </c>
      <c r="M58" s="32">
        <v>2</v>
      </c>
    </row>
    <row r="59" spans="1:13">
      <c r="A59" s="32">
        <f t="shared" ca="1" si="0"/>
        <v>4</v>
      </c>
      <c r="B59" s="32" cm="1">
        <f t="array" aca="1" ref="B59" ca="1">INDEX(Data_DBD!$B:$B,$A59)</f>
        <v>23</v>
      </c>
      <c r="C59" s="32" cm="1">
        <f t="array" aca="1" ref="C59" ca="1">INDEX(Data_DBD!$C:$C,$A59)</f>
        <v>5</v>
      </c>
      <c r="D59" s="32" cm="1">
        <f t="array" aca="1" ref="D59" ca="1">INDEX(Data_DBD!$D:$D,$A59)</f>
        <v>12</v>
      </c>
      <c r="E59" s="32" cm="1">
        <f t="array" aca="1" ref="E59" ca="1">INDEX(Data_DBD!$E:$E,$A59)</f>
        <v>0</v>
      </c>
      <c r="F59" s="32" cm="1">
        <f t="array" aca="1" ref="F59" ca="1">INDEX(Data_DBD!$F:$F,$A59)</f>
        <v>2</v>
      </c>
      <c r="H59" s="32">
        <v>76</v>
      </c>
      <c r="I59" s="32">
        <v>70</v>
      </c>
      <c r="J59" s="32">
        <v>2</v>
      </c>
      <c r="K59" s="32">
        <v>10</v>
      </c>
      <c r="L59" s="32">
        <v>0</v>
      </c>
      <c r="M59" s="32">
        <v>2</v>
      </c>
    </row>
    <row r="60" spans="1:13">
      <c r="A60" s="32">
        <f t="shared" ca="1" si="0"/>
        <v>153</v>
      </c>
      <c r="B60" s="32" cm="1">
        <f t="array" aca="1" ref="B60" ca="1">INDEX(Data_DBD!$B:$B,$A60)</f>
        <v>73</v>
      </c>
      <c r="C60" s="32" cm="1">
        <f t="array" aca="1" ref="C60" ca="1">INDEX(Data_DBD!$C:$C,$A60)</f>
        <v>7</v>
      </c>
      <c r="D60" s="32" cm="1">
        <f t="array" aca="1" ref="D60" ca="1">INDEX(Data_DBD!$D:$D,$A60)</f>
        <v>21</v>
      </c>
      <c r="E60" s="32" cm="1">
        <f t="array" aca="1" ref="E60" ca="1">INDEX(Data_DBD!$E:$E,$A60)</f>
        <v>1</v>
      </c>
      <c r="F60" s="32" cm="1">
        <f t="array" aca="1" ref="F60" ca="1">INDEX(Data_DBD!$F:$F,$A60)</f>
        <v>3</v>
      </c>
      <c r="H60" s="32">
        <v>63</v>
      </c>
      <c r="I60" s="32">
        <v>25</v>
      </c>
      <c r="J60" s="32">
        <v>3</v>
      </c>
      <c r="K60" s="32">
        <v>15</v>
      </c>
      <c r="L60" s="32">
        <v>0</v>
      </c>
      <c r="M60" s="32">
        <v>2</v>
      </c>
    </row>
    <row r="61" spans="1:13">
      <c r="A61" s="32">
        <f t="shared" ca="1" si="0"/>
        <v>19</v>
      </c>
      <c r="B61" s="32" cm="1">
        <f t="array" aca="1" ref="B61" ca="1">INDEX(Data_DBD!$B:$B,$A61)</f>
        <v>8</v>
      </c>
      <c r="C61" s="32" cm="1">
        <f t="array" aca="1" ref="C61" ca="1">INDEX(Data_DBD!$C:$C,$A61)</f>
        <v>4</v>
      </c>
      <c r="D61" s="32" cm="1">
        <f t="array" aca="1" ref="D61" ca="1">INDEX(Data_DBD!$D:$D,$A61)</f>
        <v>7</v>
      </c>
      <c r="E61" s="32" cm="1">
        <f t="array" aca="1" ref="E61" ca="1">INDEX(Data_DBD!$E:$E,$A61)</f>
        <v>0</v>
      </c>
      <c r="F61" s="32" cm="1">
        <f t="array" aca="1" ref="F61" ca="1">INDEX(Data_DBD!$F:$F,$A61)</f>
        <v>1</v>
      </c>
      <c r="H61" s="32">
        <v>20</v>
      </c>
      <c r="I61" s="32">
        <v>15</v>
      </c>
      <c r="J61" s="32">
        <v>5</v>
      </c>
      <c r="K61" s="32">
        <v>7</v>
      </c>
      <c r="L61" s="32">
        <v>0</v>
      </c>
      <c r="M61" s="32">
        <v>1</v>
      </c>
    </row>
    <row r="62" spans="1:13">
      <c r="A62" s="32">
        <f t="shared" ca="1" si="0"/>
        <v>153</v>
      </c>
      <c r="B62" s="32" cm="1">
        <f t="array" aca="1" ref="B62" ca="1">INDEX(Data_DBD!$B:$B,$A62)</f>
        <v>73</v>
      </c>
      <c r="C62" s="32" cm="1">
        <f t="array" aca="1" ref="C62" ca="1">INDEX(Data_DBD!$C:$C,$A62)</f>
        <v>7</v>
      </c>
      <c r="D62" s="32" cm="1">
        <f t="array" aca="1" ref="D62" ca="1">INDEX(Data_DBD!$D:$D,$A62)</f>
        <v>21</v>
      </c>
      <c r="E62" s="32" cm="1">
        <f t="array" aca="1" ref="E62" ca="1">INDEX(Data_DBD!$E:$E,$A62)</f>
        <v>1</v>
      </c>
      <c r="F62" s="32" cm="1">
        <f t="array" aca="1" ref="F62" ca="1">INDEX(Data_DBD!$F:$F,$A62)</f>
        <v>3</v>
      </c>
      <c r="H62" s="32">
        <v>56</v>
      </c>
      <c r="I62" s="32">
        <v>4</v>
      </c>
      <c r="J62" s="32">
        <v>3</v>
      </c>
      <c r="K62" s="32">
        <v>15</v>
      </c>
      <c r="L62" s="32">
        <v>0</v>
      </c>
      <c r="M62" s="32">
        <v>2</v>
      </c>
    </row>
    <row r="63" spans="1:13">
      <c r="A63" s="32">
        <f t="shared" ca="1" si="0"/>
        <v>21</v>
      </c>
      <c r="B63" s="32" cm="1">
        <f t="array" aca="1" ref="B63" ca="1">INDEX(Data_DBD!$B:$B,$A63)</f>
        <v>10</v>
      </c>
      <c r="C63" s="32" cm="1">
        <f t="array" aca="1" ref="C63" ca="1">INDEX(Data_DBD!$C:$C,$A63)</f>
        <v>5</v>
      </c>
      <c r="D63" s="32" cm="1">
        <f t="array" aca="1" ref="D63" ca="1">INDEX(Data_DBD!$D:$D,$A63)</f>
        <v>14</v>
      </c>
      <c r="E63" s="32" cm="1">
        <f t="array" aca="1" ref="E63" ca="1">INDEX(Data_DBD!$E:$E,$A63)</f>
        <v>1</v>
      </c>
      <c r="F63" s="32" cm="1">
        <f t="array" aca="1" ref="F63" ca="1">INDEX(Data_DBD!$F:$F,$A63)</f>
        <v>2</v>
      </c>
      <c r="H63" s="32">
        <v>27</v>
      </c>
      <c r="I63" s="32">
        <v>37</v>
      </c>
      <c r="J63" s="32">
        <v>4</v>
      </c>
      <c r="K63" s="32">
        <v>14</v>
      </c>
      <c r="L63" s="32">
        <v>1</v>
      </c>
      <c r="M63" s="32">
        <v>2</v>
      </c>
    </row>
    <row r="64" spans="1:13">
      <c r="A64" s="32">
        <f t="shared" ca="1" si="0"/>
        <v>112</v>
      </c>
      <c r="B64" s="32" cm="1">
        <f t="array" aca="1" ref="B64" ca="1">INDEX(Data_DBD!$B:$B,$A64)</f>
        <v>61</v>
      </c>
      <c r="C64" s="32" cm="1">
        <f t="array" aca="1" ref="C64" ca="1">INDEX(Data_DBD!$C:$C,$A64)</f>
        <v>3</v>
      </c>
      <c r="D64" s="32" cm="1">
        <f t="array" aca="1" ref="D64" ca="1">INDEX(Data_DBD!$D:$D,$A64)</f>
        <v>33</v>
      </c>
      <c r="E64" s="32" cm="1">
        <f t="array" aca="1" ref="E64" ca="1">INDEX(Data_DBD!$E:$E,$A64)</f>
        <v>1</v>
      </c>
      <c r="F64" s="32" cm="1">
        <f t="array" aca="1" ref="F64" ca="1">INDEX(Data_DBD!$F:$F,$A64)</f>
        <v>3</v>
      </c>
      <c r="H64" s="32">
        <v>20</v>
      </c>
      <c r="I64" s="32">
        <v>15</v>
      </c>
      <c r="J64" s="32">
        <v>5</v>
      </c>
      <c r="K64" s="32">
        <v>7</v>
      </c>
      <c r="L64" s="32">
        <v>0</v>
      </c>
      <c r="M64" s="32">
        <v>1</v>
      </c>
    </row>
    <row r="65" spans="1:13">
      <c r="A65" s="32">
        <f t="shared" ca="1" si="0"/>
        <v>102</v>
      </c>
      <c r="B65" s="32" cm="1">
        <f t="array" aca="1" ref="B65" ca="1">INDEX(Data_DBD!$B:$B,$A65)</f>
        <v>41</v>
      </c>
      <c r="C65" s="32" cm="1">
        <f t="array" aca="1" ref="C65" ca="1">INDEX(Data_DBD!$C:$C,$A65)</f>
        <v>4</v>
      </c>
      <c r="D65" s="32" cm="1">
        <f t="array" aca="1" ref="D65" ca="1">INDEX(Data_DBD!$D:$D,$A65)</f>
        <v>18</v>
      </c>
      <c r="E65" s="32" cm="1">
        <f t="array" aca="1" ref="E65" ca="1">INDEX(Data_DBD!$E:$E,$A65)</f>
        <v>0</v>
      </c>
      <c r="F65" s="32" cm="1">
        <f t="array" aca="1" ref="F65" ca="1">INDEX(Data_DBD!$F:$F,$A65)</f>
        <v>3</v>
      </c>
      <c r="H65" s="32">
        <v>84</v>
      </c>
      <c r="I65" s="32">
        <v>42</v>
      </c>
      <c r="J65" s="32">
        <v>4</v>
      </c>
      <c r="K65" s="32">
        <v>13</v>
      </c>
      <c r="L65" s="32">
        <v>1</v>
      </c>
      <c r="M65" s="32">
        <v>2</v>
      </c>
    </row>
    <row r="66" spans="1:13">
      <c r="A66" s="32">
        <f t="shared" ca="1" si="0"/>
        <v>40</v>
      </c>
      <c r="B66" s="32" cm="1">
        <f t="array" aca="1" ref="B66" ca="1">INDEX(Data_DBD!$B:$B,$A66)</f>
        <v>65</v>
      </c>
      <c r="C66" s="32" cm="1">
        <f t="array" aca="1" ref="C66" ca="1">INDEX(Data_DBD!$C:$C,$A66)</f>
        <v>3</v>
      </c>
      <c r="D66" s="32" cm="1">
        <f t="array" aca="1" ref="D66" ca="1">INDEX(Data_DBD!$D:$D,$A66)</f>
        <v>13</v>
      </c>
      <c r="E66" s="32" cm="1">
        <f t="array" aca="1" ref="E66" ca="1">INDEX(Data_DBD!$E:$E,$A66)</f>
        <v>1</v>
      </c>
      <c r="F66" s="32" cm="1">
        <f t="array" aca="1" ref="F66" ca="1">INDEX(Data_DBD!$F:$F,$A66)</f>
        <v>2</v>
      </c>
      <c r="H66" s="32">
        <v>120</v>
      </c>
      <c r="I66" s="32">
        <v>26</v>
      </c>
      <c r="J66" s="32">
        <v>4</v>
      </c>
      <c r="K66" s="32">
        <v>33</v>
      </c>
      <c r="L66" s="32">
        <v>1</v>
      </c>
      <c r="M66" s="32">
        <v>3</v>
      </c>
    </row>
    <row r="67" spans="1:13">
      <c r="A67" s="32">
        <f t="shared" ref="A67:A130" ca="1" si="1">RANDBETWEEN(2,164)</f>
        <v>108</v>
      </c>
      <c r="B67" s="32" cm="1">
        <f t="array" aca="1" ref="B67" ca="1">INDEX(Data_DBD!$B:$B,$A67)</f>
        <v>69</v>
      </c>
      <c r="C67" s="32" cm="1">
        <f t="array" aca="1" ref="C67" ca="1">INDEX(Data_DBD!$C:$C,$A67)</f>
        <v>7</v>
      </c>
      <c r="D67" s="32" cm="1">
        <f t="array" aca="1" ref="D67" ca="1">INDEX(Data_DBD!$D:$D,$A67)</f>
        <v>33</v>
      </c>
      <c r="E67" s="32" cm="1">
        <f t="array" aca="1" ref="E67" ca="1">INDEX(Data_DBD!$E:$E,$A67)</f>
        <v>1</v>
      </c>
      <c r="F67" s="32" cm="1">
        <f t="array" aca="1" ref="F67" ca="1">INDEX(Data_DBD!$F:$F,$A67)</f>
        <v>3</v>
      </c>
      <c r="H67" s="32">
        <v>155</v>
      </c>
      <c r="I67" s="32">
        <v>19</v>
      </c>
      <c r="J67" s="32">
        <v>5</v>
      </c>
      <c r="K67" s="32">
        <v>21</v>
      </c>
      <c r="L67" s="32">
        <v>1</v>
      </c>
      <c r="M67" s="32">
        <v>3</v>
      </c>
    </row>
    <row r="68" spans="1:13">
      <c r="A68" s="32">
        <f t="shared" ca="1" si="1"/>
        <v>106</v>
      </c>
      <c r="B68" s="32" cm="1">
        <f t="array" aca="1" ref="B68" ca="1">INDEX(Data_DBD!$B:$B,$A68)</f>
        <v>23</v>
      </c>
      <c r="C68" s="32" cm="1">
        <f t="array" aca="1" ref="C68" ca="1">INDEX(Data_DBD!$C:$C,$A68)</f>
        <v>3</v>
      </c>
      <c r="D68" s="32" cm="1">
        <f t="array" aca="1" ref="D68" ca="1">INDEX(Data_DBD!$D:$D,$A68)</f>
        <v>18</v>
      </c>
      <c r="E68" s="32" cm="1">
        <f t="array" aca="1" ref="E68" ca="1">INDEX(Data_DBD!$E:$E,$A68)</f>
        <v>1</v>
      </c>
      <c r="F68" s="32" cm="1">
        <f t="array" aca="1" ref="F68" ca="1">INDEX(Data_DBD!$F:$F,$A68)</f>
        <v>3</v>
      </c>
      <c r="H68" s="32">
        <v>159</v>
      </c>
      <c r="I68" s="32">
        <v>17</v>
      </c>
      <c r="J68" s="32">
        <v>2</v>
      </c>
      <c r="K68" s="32">
        <v>21</v>
      </c>
      <c r="L68" s="32">
        <v>0</v>
      </c>
      <c r="M68" s="32">
        <v>3</v>
      </c>
    </row>
    <row r="69" spans="1:13">
      <c r="A69" s="32">
        <f t="shared" ca="1" si="1"/>
        <v>98</v>
      </c>
      <c r="B69" s="32" cm="1">
        <f t="array" aca="1" ref="B69" ca="1">INDEX(Data_DBD!$B:$B,$A69)</f>
        <v>16</v>
      </c>
      <c r="C69" s="32" cm="1">
        <f t="array" aca="1" ref="C69" ca="1">INDEX(Data_DBD!$C:$C,$A69)</f>
        <v>2</v>
      </c>
      <c r="D69" s="32" cm="1">
        <f t="array" aca="1" ref="D69" ca="1">INDEX(Data_DBD!$D:$D,$A69)</f>
        <v>18</v>
      </c>
      <c r="E69" s="32" cm="1">
        <f t="array" aca="1" ref="E69" ca="1">INDEX(Data_DBD!$E:$E,$A69)</f>
        <v>1</v>
      </c>
      <c r="F69" s="32" cm="1">
        <f t="array" aca="1" ref="F69" ca="1">INDEX(Data_DBD!$F:$F,$A69)</f>
        <v>3</v>
      </c>
      <c r="H69" s="32">
        <v>19</v>
      </c>
      <c r="I69" s="32">
        <v>8</v>
      </c>
      <c r="J69" s="32">
        <v>4</v>
      </c>
      <c r="K69" s="32">
        <v>7</v>
      </c>
      <c r="L69" s="32">
        <v>0</v>
      </c>
      <c r="M69" s="32">
        <v>1</v>
      </c>
    </row>
    <row r="70" spans="1:13">
      <c r="A70" s="32">
        <f t="shared" ca="1" si="1"/>
        <v>13</v>
      </c>
      <c r="B70" s="32" cm="1">
        <f t="array" aca="1" ref="B70" ca="1">INDEX(Data_DBD!$B:$B,$A70)</f>
        <v>47</v>
      </c>
      <c r="C70" s="32" cm="1">
        <f t="array" aca="1" ref="C70" ca="1">INDEX(Data_DBD!$C:$C,$A70)</f>
        <v>2</v>
      </c>
      <c r="D70" s="32" cm="1">
        <f t="array" aca="1" ref="D70" ca="1">INDEX(Data_DBD!$D:$D,$A70)</f>
        <v>12</v>
      </c>
      <c r="E70" s="32" cm="1">
        <f t="array" aca="1" ref="E70" ca="1">INDEX(Data_DBD!$E:$E,$A70)</f>
        <v>0</v>
      </c>
      <c r="F70" s="32" cm="1">
        <f t="array" aca="1" ref="F70" ca="1">INDEX(Data_DBD!$F:$F,$A70)</f>
        <v>2</v>
      </c>
      <c r="H70" s="32">
        <v>83</v>
      </c>
      <c r="I70" s="32">
        <v>50</v>
      </c>
      <c r="J70" s="32">
        <v>3</v>
      </c>
      <c r="K70" s="32">
        <v>13</v>
      </c>
      <c r="L70" s="32">
        <v>0</v>
      </c>
      <c r="M70" s="32">
        <v>2</v>
      </c>
    </row>
    <row r="71" spans="1:13">
      <c r="A71" s="32">
        <f t="shared" ca="1" si="1"/>
        <v>3</v>
      </c>
      <c r="B71" s="32" cm="1">
        <f t="array" aca="1" ref="B71" ca="1">INDEX(Data_DBD!$B:$B,$A71)</f>
        <v>43</v>
      </c>
      <c r="C71" s="32" cm="1">
        <f t="array" aca="1" ref="C71" ca="1">INDEX(Data_DBD!$C:$C,$A71)</f>
        <v>3</v>
      </c>
      <c r="D71" s="32" cm="1">
        <f t="array" aca="1" ref="D71" ca="1">INDEX(Data_DBD!$D:$D,$A71)</f>
        <v>12</v>
      </c>
      <c r="E71" s="32" cm="1">
        <f t="array" aca="1" ref="E71" ca="1">INDEX(Data_DBD!$E:$E,$A71)</f>
        <v>1</v>
      </c>
      <c r="F71" s="32" cm="1">
        <f t="array" aca="1" ref="F71" ca="1">INDEX(Data_DBD!$F:$F,$A71)</f>
        <v>2</v>
      </c>
      <c r="H71" s="32">
        <v>7</v>
      </c>
      <c r="I71" s="32">
        <v>12</v>
      </c>
      <c r="J71" s="32">
        <v>1</v>
      </c>
      <c r="K71" s="32">
        <v>12</v>
      </c>
      <c r="L71" s="32">
        <v>1</v>
      </c>
      <c r="M71" s="32">
        <v>2</v>
      </c>
    </row>
    <row r="72" spans="1:13">
      <c r="A72" s="32">
        <f t="shared" ca="1" si="1"/>
        <v>45</v>
      </c>
      <c r="B72" s="32" cm="1">
        <f t="array" aca="1" ref="B72" ca="1">INDEX(Data_DBD!$B:$B,$A72)</f>
        <v>75</v>
      </c>
      <c r="C72" s="32" cm="1">
        <f t="array" aca="1" ref="C72" ca="1">INDEX(Data_DBD!$C:$C,$A72)</f>
        <v>3</v>
      </c>
      <c r="D72" s="32" cm="1">
        <f t="array" aca="1" ref="D72" ca="1">INDEX(Data_DBD!$D:$D,$A72)</f>
        <v>13</v>
      </c>
      <c r="E72" s="32" cm="1">
        <f t="array" aca="1" ref="E72" ca="1">INDEX(Data_DBD!$E:$E,$A72)</f>
        <v>1</v>
      </c>
      <c r="F72" s="32" cm="1">
        <f t="array" aca="1" ref="F72" ca="1">INDEX(Data_DBD!$F:$F,$A72)</f>
        <v>2</v>
      </c>
      <c r="H72" s="32">
        <v>15</v>
      </c>
      <c r="I72" s="32">
        <v>21</v>
      </c>
      <c r="J72" s="32">
        <v>2</v>
      </c>
      <c r="K72" s="32">
        <v>7</v>
      </c>
      <c r="L72" s="32">
        <v>0</v>
      </c>
      <c r="M72" s="32">
        <v>1</v>
      </c>
    </row>
    <row r="73" spans="1:13">
      <c r="A73" s="32">
        <f t="shared" ca="1" si="1"/>
        <v>114</v>
      </c>
      <c r="B73" s="32" cm="1">
        <f t="array" aca="1" ref="B73" ca="1">INDEX(Data_DBD!$B:$B,$A73)</f>
        <v>14</v>
      </c>
      <c r="C73" s="32" cm="1">
        <f t="array" aca="1" ref="C73" ca="1">INDEX(Data_DBD!$C:$C,$A73)</f>
        <v>2</v>
      </c>
      <c r="D73" s="32" cm="1">
        <f t="array" aca="1" ref="D73" ca="1">INDEX(Data_DBD!$D:$D,$A73)</f>
        <v>33</v>
      </c>
      <c r="E73" s="32" cm="1">
        <f t="array" aca="1" ref="E73" ca="1">INDEX(Data_DBD!$E:$E,$A73)</f>
        <v>1</v>
      </c>
      <c r="F73" s="32" cm="1">
        <f t="array" aca="1" ref="F73" ca="1">INDEX(Data_DBD!$F:$F,$A73)</f>
        <v>3</v>
      </c>
      <c r="H73" s="32">
        <v>161</v>
      </c>
      <c r="I73" s="32">
        <v>12</v>
      </c>
      <c r="J73" s="32">
        <v>3</v>
      </c>
      <c r="K73" s="32">
        <v>21</v>
      </c>
      <c r="L73" s="32">
        <v>1</v>
      </c>
      <c r="M73" s="32">
        <v>3</v>
      </c>
    </row>
    <row r="74" spans="1:13">
      <c r="A74" s="32">
        <f t="shared" ca="1" si="1"/>
        <v>101</v>
      </c>
      <c r="B74" s="32" cm="1">
        <f t="array" aca="1" ref="B74" ca="1">INDEX(Data_DBD!$B:$B,$A74)</f>
        <v>42</v>
      </c>
      <c r="C74" s="32" cm="1">
        <f t="array" aca="1" ref="C74" ca="1">INDEX(Data_DBD!$C:$C,$A74)</f>
        <v>5</v>
      </c>
      <c r="D74" s="32" cm="1">
        <f t="array" aca="1" ref="D74" ca="1">INDEX(Data_DBD!$D:$D,$A74)</f>
        <v>18</v>
      </c>
      <c r="E74" s="32" cm="1">
        <f t="array" aca="1" ref="E74" ca="1">INDEX(Data_DBD!$E:$E,$A74)</f>
        <v>0</v>
      </c>
      <c r="F74" s="32" cm="1">
        <f t="array" aca="1" ref="F74" ca="1">INDEX(Data_DBD!$F:$F,$A74)</f>
        <v>3</v>
      </c>
      <c r="H74" s="32">
        <v>145</v>
      </c>
      <c r="I74" s="32">
        <v>28</v>
      </c>
      <c r="J74" s="32">
        <v>4</v>
      </c>
      <c r="K74" s="32">
        <v>21</v>
      </c>
      <c r="L74" s="32">
        <v>1</v>
      </c>
      <c r="M74" s="32">
        <v>3</v>
      </c>
    </row>
    <row r="75" spans="1:13">
      <c r="A75" s="32">
        <f t="shared" ca="1" si="1"/>
        <v>66</v>
      </c>
      <c r="B75" s="32" cm="1">
        <f t="array" aca="1" ref="B75" ca="1">INDEX(Data_DBD!$B:$B,$A75)</f>
        <v>21</v>
      </c>
      <c r="C75" s="32" cm="1">
        <f t="array" aca="1" ref="C75" ca="1">INDEX(Data_DBD!$C:$C,$A75)</f>
        <v>5</v>
      </c>
      <c r="D75" s="32" cm="1">
        <f t="array" aca="1" ref="D75" ca="1">INDEX(Data_DBD!$D:$D,$A75)</f>
        <v>15</v>
      </c>
      <c r="E75" s="32" cm="1">
        <f t="array" aca="1" ref="E75" ca="1">INDEX(Data_DBD!$E:$E,$A75)</f>
        <v>1</v>
      </c>
      <c r="F75" s="32" cm="1">
        <f t="array" aca="1" ref="F75" ca="1">INDEX(Data_DBD!$F:$F,$A75)</f>
        <v>2</v>
      </c>
      <c r="H75" s="32">
        <v>24</v>
      </c>
      <c r="I75" s="32">
        <v>60</v>
      </c>
      <c r="J75" s="32">
        <v>4</v>
      </c>
      <c r="K75" s="32">
        <v>14</v>
      </c>
      <c r="L75" s="32">
        <v>0</v>
      </c>
      <c r="M75" s="32">
        <v>2</v>
      </c>
    </row>
    <row r="76" spans="1:13">
      <c r="A76" s="32">
        <f t="shared" ca="1" si="1"/>
        <v>160</v>
      </c>
      <c r="B76" s="32" cm="1">
        <f t="array" aca="1" ref="B76" ca="1">INDEX(Data_DBD!$B:$B,$A76)</f>
        <v>16</v>
      </c>
      <c r="C76" s="32" cm="1">
        <f t="array" aca="1" ref="C76" ca="1">INDEX(Data_DBD!$C:$C,$A76)</f>
        <v>3</v>
      </c>
      <c r="D76" s="32" cm="1">
        <f t="array" aca="1" ref="D76" ca="1">INDEX(Data_DBD!$D:$D,$A76)</f>
        <v>21</v>
      </c>
      <c r="E76" s="32" cm="1">
        <f t="array" aca="1" ref="E76" ca="1">INDEX(Data_DBD!$E:$E,$A76)</f>
        <v>0</v>
      </c>
      <c r="F76" s="32" cm="1">
        <f t="array" aca="1" ref="F76" ca="1">INDEX(Data_DBD!$F:$F,$A76)</f>
        <v>3</v>
      </c>
      <c r="H76" s="32">
        <v>119</v>
      </c>
      <c r="I76" s="32">
        <v>30</v>
      </c>
      <c r="J76" s="32">
        <v>7</v>
      </c>
      <c r="K76" s="32">
        <v>33</v>
      </c>
      <c r="L76" s="32">
        <v>0</v>
      </c>
      <c r="M76" s="32">
        <v>3</v>
      </c>
    </row>
    <row r="77" spans="1:13">
      <c r="A77" s="32">
        <f t="shared" ca="1" si="1"/>
        <v>45</v>
      </c>
      <c r="B77" s="32" cm="1">
        <f t="array" aca="1" ref="B77" ca="1">INDEX(Data_DBD!$B:$B,$A77)</f>
        <v>75</v>
      </c>
      <c r="C77" s="32" cm="1">
        <f t="array" aca="1" ref="C77" ca="1">INDEX(Data_DBD!$C:$C,$A77)</f>
        <v>3</v>
      </c>
      <c r="D77" s="32" cm="1">
        <f t="array" aca="1" ref="D77" ca="1">INDEX(Data_DBD!$D:$D,$A77)</f>
        <v>13</v>
      </c>
      <c r="E77" s="32" cm="1">
        <f t="array" aca="1" ref="E77" ca="1">INDEX(Data_DBD!$E:$E,$A77)</f>
        <v>1</v>
      </c>
      <c r="F77" s="32" cm="1">
        <f t="array" aca="1" ref="F77" ca="1">INDEX(Data_DBD!$F:$F,$A77)</f>
        <v>2</v>
      </c>
      <c r="H77" s="32">
        <v>48</v>
      </c>
      <c r="I77" s="32">
        <v>50</v>
      </c>
      <c r="J77" s="32">
        <v>5</v>
      </c>
      <c r="K77" s="32">
        <v>13</v>
      </c>
      <c r="L77" s="32">
        <v>1</v>
      </c>
      <c r="M77" s="32">
        <v>2</v>
      </c>
    </row>
    <row r="78" spans="1:13">
      <c r="A78" s="32">
        <f t="shared" ca="1" si="1"/>
        <v>65</v>
      </c>
      <c r="B78" s="32" cm="1">
        <f t="array" aca="1" ref="B78" ca="1">INDEX(Data_DBD!$B:$B,$A78)</f>
        <v>49</v>
      </c>
      <c r="C78" s="32" cm="1">
        <f t="array" aca="1" ref="C78" ca="1">INDEX(Data_DBD!$C:$C,$A78)</f>
        <v>3</v>
      </c>
      <c r="D78" s="32" cm="1">
        <f t="array" aca="1" ref="D78" ca="1">INDEX(Data_DBD!$D:$D,$A78)</f>
        <v>15</v>
      </c>
      <c r="E78" s="32" cm="1">
        <f t="array" aca="1" ref="E78" ca="1">INDEX(Data_DBD!$E:$E,$A78)</f>
        <v>0</v>
      </c>
      <c r="F78" s="32" cm="1">
        <f t="array" aca="1" ref="F78" ca="1">INDEX(Data_DBD!$F:$F,$A78)</f>
        <v>2</v>
      </c>
      <c r="H78" s="32">
        <v>149</v>
      </c>
      <c r="I78" s="32">
        <v>19</v>
      </c>
      <c r="J78" s="32">
        <v>5</v>
      </c>
      <c r="K78" s="32">
        <v>21</v>
      </c>
      <c r="L78" s="32">
        <v>0</v>
      </c>
      <c r="M78" s="32">
        <v>3</v>
      </c>
    </row>
    <row r="79" spans="1:13">
      <c r="A79" s="32">
        <f t="shared" ca="1" si="1"/>
        <v>103</v>
      </c>
      <c r="B79" s="32" cm="1">
        <f t="array" aca="1" ref="B79" ca="1">INDEX(Data_DBD!$B:$B,$A79)</f>
        <v>22</v>
      </c>
      <c r="C79" s="32" cm="1">
        <f t="array" aca="1" ref="C79" ca="1">INDEX(Data_DBD!$C:$C,$A79)</f>
        <v>5</v>
      </c>
      <c r="D79" s="32" cm="1">
        <f t="array" aca="1" ref="D79" ca="1">INDEX(Data_DBD!$D:$D,$A79)</f>
        <v>18</v>
      </c>
      <c r="E79" s="32" cm="1">
        <f t="array" aca="1" ref="E79" ca="1">INDEX(Data_DBD!$E:$E,$A79)</f>
        <v>0</v>
      </c>
      <c r="F79" s="32" cm="1">
        <f t="array" aca="1" ref="F79" ca="1">INDEX(Data_DBD!$F:$F,$A79)</f>
        <v>3</v>
      </c>
      <c r="H79" s="32">
        <v>44</v>
      </c>
      <c r="I79" s="32">
        <v>28</v>
      </c>
      <c r="J79" s="32">
        <v>5</v>
      </c>
      <c r="K79" s="32">
        <v>13</v>
      </c>
      <c r="L79" s="32">
        <v>1</v>
      </c>
      <c r="M79" s="32">
        <v>2</v>
      </c>
    </row>
    <row r="80" spans="1:13">
      <c r="A80" s="32">
        <f t="shared" ca="1" si="1"/>
        <v>66</v>
      </c>
      <c r="B80" s="32" cm="1">
        <f t="array" aca="1" ref="B80" ca="1">INDEX(Data_DBD!$B:$B,$A80)</f>
        <v>21</v>
      </c>
      <c r="C80" s="32" cm="1">
        <f t="array" aca="1" ref="C80" ca="1">INDEX(Data_DBD!$C:$C,$A80)</f>
        <v>5</v>
      </c>
      <c r="D80" s="32" cm="1">
        <f t="array" aca="1" ref="D80" ca="1">INDEX(Data_DBD!$D:$D,$A80)</f>
        <v>15</v>
      </c>
      <c r="E80" s="32" cm="1">
        <f t="array" aca="1" ref="E80" ca="1">INDEX(Data_DBD!$E:$E,$A80)</f>
        <v>1</v>
      </c>
      <c r="F80" s="32" cm="1">
        <f t="array" aca="1" ref="F80" ca="1">INDEX(Data_DBD!$F:$F,$A80)</f>
        <v>2</v>
      </c>
      <c r="H80" s="32">
        <v>94</v>
      </c>
      <c r="I80" s="32">
        <v>12</v>
      </c>
      <c r="J80" s="32">
        <v>4</v>
      </c>
      <c r="K80" s="32">
        <v>18</v>
      </c>
      <c r="L80" s="32">
        <v>0</v>
      </c>
      <c r="M80" s="32">
        <v>3</v>
      </c>
    </row>
    <row r="81" spans="1:13">
      <c r="A81" s="32">
        <f t="shared" ca="1" si="1"/>
        <v>11</v>
      </c>
      <c r="B81" s="32" cm="1">
        <f t="array" aca="1" ref="B81" ca="1">INDEX(Data_DBD!$B:$B,$A81)</f>
        <v>24</v>
      </c>
      <c r="C81" s="32" cm="1">
        <f t="array" aca="1" ref="C81" ca="1">INDEX(Data_DBD!$C:$C,$A81)</f>
        <v>5</v>
      </c>
      <c r="D81" s="32" cm="1">
        <f t="array" aca="1" ref="D81" ca="1">INDEX(Data_DBD!$D:$D,$A81)</f>
        <v>12</v>
      </c>
      <c r="E81" s="32" cm="1">
        <f t="array" aca="1" ref="E81" ca="1">INDEX(Data_DBD!$E:$E,$A81)</f>
        <v>1</v>
      </c>
      <c r="F81" s="32" cm="1">
        <f t="array" aca="1" ref="F81" ca="1">INDEX(Data_DBD!$F:$F,$A81)</f>
        <v>2</v>
      </c>
      <c r="H81" s="32">
        <v>8</v>
      </c>
      <c r="I81" s="32">
        <v>4</v>
      </c>
      <c r="J81" s="32">
        <v>2</v>
      </c>
      <c r="K81" s="32">
        <v>12</v>
      </c>
      <c r="L81" s="32">
        <v>0</v>
      </c>
      <c r="M81" s="32">
        <v>2</v>
      </c>
    </row>
    <row r="82" spans="1:13">
      <c r="A82" s="32">
        <f t="shared" ca="1" si="1"/>
        <v>139</v>
      </c>
      <c r="B82" s="32" cm="1">
        <f t="array" aca="1" ref="B82" ca="1">INDEX(Data_DBD!$B:$B,$A82)</f>
        <v>52</v>
      </c>
      <c r="C82" s="32" cm="1">
        <f t="array" aca="1" ref="C82" ca="1">INDEX(Data_DBD!$C:$C,$A82)</f>
        <v>7</v>
      </c>
      <c r="D82" s="32" cm="1">
        <f t="array" aca="1" ref="D82" ca="1">INDEX(Data_DBD!$D:$D,$A82)</f>
        <v>21</v>
      </c>
      <c r="E82" s="32" cm="1">
        <f t="array" aca="1" ref="E82" ca="1">INDEX(Data_DBD!$E:$E,$A82)</f>
        <v>0</v>
      </c>
      <c r="F82" s="32" cm="1">
        <f t="array" aca="1" ref="F82" ca="1">INDEX(Data_DBD!$F:$F,$A82)</f>
        <v>3</v>
      </c>
      <c r="H82" s="32">
        <v>143</v>
      </c>
      <c r="I82" s="32">
        <v>20</v>
      </c>
      <c r="J82" s="32">
        <v>4</v>
      </c>
      <c r="K82" s="32">
        <v>21</v>
      </c>
      <c r="L82" s="32">
        <v>1</v>
      </c>
      <c r="M82" s="32">
        <v>3</v>
      </c>
    </row>
    <row r="83" spans="1:13">
      <c r="A83" s="32">
        <f t="shared" ca="1" si="1"/>
        <v>36</v>
      </c>
      <c r="B83" s="32" cm="1">
        <f t="array" aca="1" ref="B83" ca="1">INDEX(Data_DBD!$B:$B,$A83)</f>
        <v>27</v>
      </c>
      <c r="C83" s="32" cm="1">
        <f t="array" aca="1" ref="C83" ca="1">INDEX(Data_DBD!$C:$C,$A83)</f>
        <v>1</v>
      </c>
      <c r="D83" s="32" cm="1">
        <f t="array" aca="1" ref="D83" ca="1">INDEX(Data_DBD!$D:$D,$A83)</f>
        <v>4</v>
      </c>
      <c r="E83" s="32" cm="1">
        <f t="array" aca="1" ref="E83" ca="1">INDEX(Data_DBD!$E:$E,$A83)</f>
        <v>1</v>
      </c>
      <c r="F83" s="32" cm="1">
        <f t="array" aca="1" ref="F83" ca="1">INDEX(Data_DBD!$F:$F,$A83)</f>
        <v>1</v>
      </c>
      <c r="H83" s="32">
        <v>59</v>
      </c>
      <c r="I83" s="32">
        <v>28</v>
      </c>
      <c r="J83" s="32">
        <v>4</v>
      </c>
      <c r="K83" s="32">
        <v>15</v>
      </c>
      <c r="L83" s="32">
        <v>0</v>
      </c>
      <c r="M83" s="32">
        <v>2</v>
      </c>
    </row>
    <row r="84" spans="1:13">
      <c r="A84" s="32">
        <f t="shared" ca="1" si="1"/>
        <v>6</v>
      </c>
      <c r="B84" s="32" cm="1">
        <f t="array" aca="1" ref="B84" ca="1">INDEX(Data_DBD!$B:$B,$A84)</f>
        <v>14</v>
      </c>
      <c r="C84" s="32" cm="1">
        <f t="array" aca="1" ref="C84" ca="1">INDEX(Data_DBD!$C:$C,$A84)</f>
        <v>4</v>
      </c>
      <c r="D84" s="32" cm="1">
        <f t="array" aca="1" ref="D84" ca="1">INDEX(Data_DBD!$D:$D,$A84)</f>
        <v>12</v>
      </c>
      <c r="E84" s="32" cm="1">
        <f t="array" aca="1" ref="E84" ca="1">INDEX(Data_DBD!$E:$E,$A84)</f>
        <v>0</v>
      </c>
      <c r="F84" s="32" cm="1">
        <f t="array" aca="1" ref="F84" ca="1">INDEX(Data_DBD!$F:$F,$A84)</f>
        <v>2</v>
      </c>
      <c r="H84" s="32">
        <v>95</v>
      </c>
      <c r="I84" s="32">
        <v>11</v>
      </c>
      <c r="J84" s="32">
        <v>3</v>
      </c>
      <c r="K84" s="32">
        <v>18</v>
      </c>
      <c r="L84" s="32">
        <v>1</v>
      </c>
      <c r="M84" s="32">
        <v>3</v>
      </c>
    </row>
    <row r="85" spans="1:13">
      <c r="A85" s="32">
        <f t="shared" ca="1" si="1"/>
        <v>64</v>
      </c>
      <c r="B85" s="32" cm="1">
        <f t="array" aca="1" ref="B85" ca="1">INDEX(Data_DBD!$B:$B,$A85)</f>
        <v>35</v>
      </c>
      <c r="C85" s="32" cm="1">
        <f t="array" aca="1" ref="C85" ca="1">INDEX(Data_DBD!$C:$C,$A85)</f>
        <v>1</v>
      </c>
      <c r="D85" s="32" cm="1">
        <f t="array" aca="1" ref="D85" ca="1">INDEX(Data_DBD!$D:$D,$A85)</f>
        <v>15</v>
      </c>
      <c r="E85" s="32" cm="1">
        <f t="array" aca="1" ref="E85" ca="1">INDEX(Data_DBD!$E:$E,$A85)</f>
        <v>0</v>
      </c>
      <c r="F85" s="32" cm="1">
        <f t="array" aca="1" ref="F85" ca="1">INDEX(Data_DBD!$F:$F,$A85)</f>
        <v>2</v>
      </c>
      <c r="H85" s="32">
        <v>132</v>
      </c>
      <c r="I85" s="32">
        <v>10</v>
      </c>
      <c r="J85" s="32">
        <v>3</v>
      </c>
      <c r="K85" s="32">
        <v>33</v>
      </c>
      <c r="L85" s="32">
        <v>1</v>
      </c>
      <c r="M85" s="32">
        <v>3</v>
      </c>
    </row>
    <row r="86" spans="1:13">
      <c r="A86" s="32">
        <f t="shared" ca="1" si="1"/>
        <v>155</v>
      </c>
      <c r="B86" s="32" cm="1">
        <f t="array" aca="1" ref="B86" ca="1">INDEX(Data_DBD!$B:$B,$A86)</f>
        <v>19</v>
      </c>
      <c r="C86" s="32" cm="1">
        <f t="array" aca="1" ref="C86" ca="1">INDEX(Data_DBD!$C:$C,$A86)</f>
        <v>5</v>
      </c>
      <c r="D86" s="32" cm="1">
        <f t="array" aca="1" ref="D86" ca="1">INDEX(Data_DBD!$D:$D,$A86)</f>
        <v>21</v>
      </c>
      <c r="E86" s="32" cm="1">
        <f t="array" aca="1" ref="E86" ca="1">INDEX(Data_DBD!$E:$E,$A86)</f>
        <v>1</v>
      </c>
      <c r="F86" s="32" cm="1">
        <f t="array" aca="1" ref="F86" ca="1">INDEX(Data_DBD!$F:$F,$A86)</f>
        <v>3</v>
      </c>
      <c r="H86" s="32">
        <v>6</v>
      </c>
      <c r="I86" s="32">
        <v>14</v>
      </c>
      <c r="J86" s="32">
        <v>4</v>
      </c>
      <c r="K86" s="32">
        <v>12</v>
      </c>
      <c r="L86" s="32">
        <v>0</v>
      </c>
      <c r="M86" s="32">
        <v>2</v>
      </c>
    </row>
    <row r="87" spans="1:13">
      <c r="A87" s="32">
        <f t="shared" ca="1" si="1"/>
        <v>154</v>
      </c>
      <c r="B87" s="32" cm="1">
        <f t="array" aca="1" ref="B87" ca="1">INDEX(Data_DBD!$B:$B,$A87)</f>
        <v>18</v>
      </c>
      <c r="C87" s="32" cm="1">
        <f t="array" aca="1" ref="C87" ca="1">INDEX(Data_DBD!$C:$C,$A87)</f>
        <v>5</v>
      </c>
      <c r="D87" s="32" cm="1">
        <f t="array" aca="1" ref="D87" ca="1">INDEX(Data_DBD!$D:$D,$A87)</f>
        <v>21</v>
      </c>
      <c r="E87" s="32" cm="1">
        <f t="array" aca="1" ref="E87" ca="1">INDEX(Data_DBD!$E:$E,$A87)</f>
        <v>1</v>
      </c>
      <c r="F87" s="32" cm="1">
        <f t="array" aca="1" ref="F87" ca="1">INDEX(Data_DBD!$F:$F,$A87)</f>
        <v>3</v>
      </c>
      <c r="H87" s="32">
        <v>111</v>
      </c>
      <c r="I87" s="32">
        <v>25</v>
      </c>
      <c r="J87" s="32">
        <v>4</v>
      </c>
      <c r="K87" s="32">
        <v>33</v>
      </c>
      <c r="L87" s="32">
        <v>0</v>
      </c>
      <c r="M87" s="32">
        <v>3</v>
      </c>
    </row>
    <row r="88" spans="1:13">
      <c r="A88" s="32">
        <f t="shared" ca="1" si="1"/>
        <v>105</v>
      </c>
      <c r="B88" s="32" cm="1">
        <f t="array" aca="1" ref="B88" ca="1">INDEX(Data_DBD!$B:$B,$A88)</f>
        <v>61</v>
      </c>
      <c r="C88" s="32" cm="1">
        <f t="array" aca="1" ref="C88" ca="1">INDEX(Data_DBD!$C:$C,$A88)</f>
        <v>3</v>
      </c>
      <c r="D88" s="32" cm="1">
        <f t="array" aca="1" ref="D88" ca="1">INDEX(Data_DBD!$D:$D,$A88)</f>
        <v>18</v>
      </c>
      <c r="E88" s="32" cm="1">
        <f t="array" aca="1" ref="E88" ca="1">INDEX(Data_DBD!$E:$E,$A88)</f>
        <v>1</v>
      </c>
      <c r="F88" s="32" cm="1">
        <f t="array" aca="1" ref="F88" ca="1">INDEX(Data_DBD!$F:$F,$A88)</f>
        <v>3</v>
      </c>
      <c r="H88" s="32">
        <v>91</v>
      </c>
      <c r="I88" s="32">
        <v>35</v>
      </c>
      <c r="J88" s="32">
        <v>1</v>
      </c>
      <c r="K88" s="32">
        <v>18</v>
      </c>
      <c r="L88" s="32">
        <v>1</v>
      </c>
      <c r="M88" s="32">
        <v>3</v>
      </c>
    </row>
    <row r="89" spans="1:13">
      <c r="A89" s="32">
        <f t="shared" ca="1" si="1"/>
        <v>3</v>
      </c>
      <c r="B89" s="32" cm="1">
        <f t="array" aca="1" ref="B89" ca="1">INDEX(Data_DBD!$B:$B,$A89)</f>
        <v>43</v>
      </c>
      <c r="C89" s="32" cm="1">
        <f t="array" aca="1" ref="C89" ca="1">INDEX(Data_DBD!$C:$C,$A89)</f>
        <v>3</v>
      </c>
      <c r="D89" s="32" cm="1">
        <f t="array" aca="1" ref="D89" ca="1">INDEX(Data_DBD!$D:$D,$A89)</f>
        <v>12</v>
      </c>
      <c r="E89" s="32" cm="1">
        <f t="array" aca="1" ref="E89" ca="1">INDEX(Data_DBD!$E:$E,$A89)</f>
        <v>1</v>
      </c>
      <c r="F89" s="32" cm="1">
        <f t="array" aca="1" ref="F89" ca="1">INDEX(Data_DBD!$F:$F,$A89)</f>
        <v>2</v>
      </c>
      <c r="H89" s="32">
        <v>140</v>
      </c>
      <c r="I89" s="32">
        <v>74</v>
      </c>
      <c r="J89" s="32">
        <v>5</v>
      </c>
      <c r="K89" s="32">
        <v>21</v>
      </c>
      <c r="L89" s="32">
        <v>1</v>
      </c>
      <c r="M89" s="32">
        <v>3</v>
      </c>
    </row>
    <row r="90" spans="1:13">
      <c r="A90" s="32">
        <f t="shared" ca="1" si="1"/>
        <v>84</v>
      </c>
      <c r="B90" s="32" cm="1">
        <f t="array" aca="1" ref="B90" ca="1">INDEX(Data_DBD!$B:$B,$A90)</f>
        <v>42</v>
      </c>
      <c r="C90" s="32" cm="1">
        <f t="array" aca="1" ref="C90" ca="1">INDEX(Data_DBD!$C:$C,$A90)</f>
        <v>4</v>
      </c>
      <c r="D90" s="32" cm="1">
        <f t="array" aca="1" ref="D90" ca="1">INDEX(Data_DBD!$D:$D,$A90)</f>
        <v>13</v>
      </c>
      <c r="E90" s="32" cm="1">
        <f t="array" aca="1" ref="E90" ca="1">INDEX(Data_DBD!$E:$E,$A90)</f>
        <v>1</v>
      </c>
      <c r="F90" s="32" cm="1">
        <f t="array" aca="1" ref="F90" ca="1">INDEX(Data_DBD!$F:$F,$A90)</f>
        <v>2</v>
      </c>
      <c r="H90" s="32">
        <v>68</v>
      </c>
      <c r="I90" s="32">
        <v>44</v>
      </c>
      <c r="J90" s="32">
        <v>5</v>
      </c>
      <c r="K90" s="32">
        <v>10</v>
      </c>
      <c r="L90" s="32">
        <v>0</v>
      </c>
      <c r="M90" s="32">
        <v>2</v>
      </c>
    </row>
    <row r="91" spans="1:13">
      <c r="A91" s="32">
        <f t="shared" ca="1" si="1"/>
        <v>80</v>
      </c>
      <c r="B91" s="32" cm="1">
        <f t="array" aca="1" ref="B91" ca="1">INDEX(Data_DBD!$B:$B,$A91)</f>
        <v>27</v>
      </c>
      <c r="C91" s="32" cm="1">
        <f t="array" aca="1" ref="C91" ca="1">INDEX(Data_DBD!$C:$C,$A91)</f>
        <v>3</v>
      </c>
      <c r="D91" s="32" cm="1">
        <f t="array" aca="1" ref="D91" ca="1">INDEX(Data_DBD!$D:$D,$A91)</f>
        <v>13</v>
      </c>
      <c r="E91" s="32" cm="1">
        <f t="array" aca="1" ref="E91" ca="1">INDEX(Data_DBD!$E:$E,$A91)</f>
        <v>1</v>
      </c>
      <c r="F91" s="32" cm="1">
        <f t="array" aca="1" ref="F91" ca="1">INDEX(Data_DBD!$F:$F,$A91)</f>
        <v>2</v>
      </c>
      <c r="H91" s="32">
        <v>135</v>
      </c>
      <c r="I91" s="32">
        <v>10</v>
      </c>
      <c r="J91" s="32">
        <v>2</v>
      </c>
      <c r="K91" s="32">
        <v>33</v>
      </c>
      <c r="L91" s="32">
        <v>0</v>
      </c>
      <c r="M91" s="32">
        <v>3</v>
      </c>
    </row>
    <row r="92" spans="1:13">
      <c r="A92" s="32">
        <f t="shared" ca="1" si="1"/>
        <v>5</v>
      </c>
      <c r="B92" s="32" cm="1">
        <f t="array" aca="1" ref="B92" ca="1">INDEX(Data_DBD!$B:$B,$A92)</f>
        <v>18</v>
      </c>
      <c r="C92" s="32" cm="1">
        <f t="array" aca="1" ref="C92" ca="1">INDEX(Data_DBD!$C:$C,$A92)</f>
        <v>2</v>
      </c>
      <c r="D92" s="32" cm="1">
        <f t="array" aca="1" ref="D92" ca="1">INDEX(Data_DBD!$D:$D,$A92)</f>
        <v>12</v>
      </c>
      <c r="E92" s="32" cm="1">
        <f t="array" aca="1" ref="E92" ca="1">INDEX(Data_DBD!$E:$E,$A92)</f>
        <v>1</v>
      </c>
      <c r="F92" s="32" cm="1">
        <f t="array" aca="1" ref="F92" ca="1">INDEX(Data_DBD!$F:$F,$A92)</f>
        <v>2</v>
      </c>
      <c r="H92" s="32">
        <v>38</v>
      </c>
      <c r="I92" s="32">
        <v>52</v>
      </c>
      <c r="J92" s="32">
        <v>3</v>
      </c>
      <c r="K92" s="32">
        <v>4</v>
      </c>
      <c r="L92" s="32">
        <v>1</v>
      </c>
      <c r="M92" s="32">
        <v>1</v>
      </c>
    </row>
    <row r="93" spans="1:13">
      <c r="A93" s="32">
        <f t="shared" ca="1" si="1"/>
        <v>163</v>
      </c>
      <c r="B93" s="32" cm="1">
        <f t="array" aca="1" ref="B93" ca="1">INDEX(Data_DBD!$B:$B,$A93)</f>
        <v>34</v>
      </c>
      <c r="C93" s="32" cm="1">
        <f t="array" aca="1" ref="C93" ca="1">INDEX(Data_DBD!$C:$C,$A93)</f>
        <v>4</v>
      </c>
      <c r="D93" s="32" cm="1">
        <f t="array" aca="1" ref="D93" ca="1">INDEX(Data_DBD!$D:$D,$A93)</f>
        <v>3</v>
      </c>
      <c r="E93" s="32" cm="1">
        <f t="array" aca="1" ref="E93" ca="1">INDEX(Data_DBD!$E:$E,$A93)</f>
        <v>1</v>
      </c>
      <c r="F93" s="32" cm="1">
        <f t="array" aca="1" ref="F93" ca="1">INDEX(Data_DBD!$F:$F,$A93)</f>
        <v>1</v>
      </c>
      <c r="H93" s="32">
        <v>113</v>
      </c>
      <c r="I93" s="32">
        <v>69</v>
      </c>
      <c r="J93" s="32">
        <v>1</v>
      </c>
      <c r="K93" s="32">
        <v>33</v>
      </c>
      <c r="L93" s="32">
        <v>1</v>
      </c>
      <c r="M93" s="32">
        <v>3</v>
      </c>
    </row>
    <row r="94" spans="1:13">
      <c r="A94" s="32">
        <f t="shared" ca="1" si="1"/>
        <v>154</v>
      </c>
      <c r="B94" s="32" cm="1">
        <f t="array" aca="1" ref="B94" ca="1">INDEX(Data_DBD!$B:$B,$A94)</f>
        <v>18</v>
      </c>
      <c r="C94" s="32" cm="1">
        <f t="array" aca="1" ref="C94" ca="1">INDEX(Data_DBD!$C:$C,$A94)</f>
        <v>5</v>
      </c>
      <c r="D94" s="32" cm="1">
        <f t="array" aca="1" ref="D94" ca="1">INDEX(Data_DBD!$D:$D,$A94)</f>
        <v>21</v>
      </c>
      <c r="E94" s="32" cm="1">
        <f t="array" aca="1" ref="E94" ca="1">INDEX(Data_DBD!$E:$E,$A94)</f>
        <v>1</v>
      </c>
      <c r="F94" s="32" cm="1">
        <f t="array" aca="1" ref="F94" ca="1">INDEX(Data_DBD!$F:$F,$A94)</f>
        <v>3</v>
      </c>
      <c r="H94" s="32">
        <v>151</v>
      </c>
      <c r="I94" s="32">
        <v>24</v>
      </c>
      <c r="J94" s="32">
        <v>3</v>
      </c>
      <c r="K94" s="32">
        <v>21</v>
      </c>
      <c r="L94" s="32">
        <v>0</v>
      </c>
      <c r="M94" s="32">
        <v>3</v>
      </c>
    </row>
    <row r="95" spans="1:13">
      <c r="A95" s="32">
        <f t="shared" ca="1" si="1"/>
        <v>83</v>
      </c>
      <c r="B95" s="32" cm="1">
        <f t="array" aca="1" ref="B95" ca="1">INDEX(Data_DBD!$B:$B,$A95)</f>
        <v>50</v>
      </c>
      <c r="C95" s="32" cm="1">
        <f t="array" aca="1" ref="C95" ca="1">INDEX(Data_DBD!$C:$C,$A95)</f>
        <v>3</v>
      </c>
      <c r="D95" s="32" cm="1">
        <f t="array" aca="1" ref="D95" ca="1">INDEX(Data_DBD!$D:$D,$A95)</f>
        <v>13</v>
      </c>
      <c r="E95" s="32" cm="1">
        <f t="array" aca="1" ref="E95" ca="1">INDEX(Data_DBD!$E:$E,$A95)</f>
        <v>0</v>
      </c>
      <c r="F95" s="32" cm="1">
        <f t="array" aca="1" ref="F95" ca="1">INDEX(Data_DBD!$F:$F,$A95)</f>
        <v>2</v>
      </c>
      <c r="H95" s="32">
        <v>66</v>
      </c>
      <c r="I95" s="32">
        <v>21</v>
      </c>
      <c r="J95" s="32">
        <v>5</v>
      </c>
      <c r="K95" s="32">
        <v>15</v>
      </c>
      <c r="L95" s="32">
        <v>1</v>
      </c>
      <c r="M95" s="32">
        <v>2</v>
      </c>
    </row>
    <row r="96" spans="1:13">
      <c r="A96" s="32">
        <f t="shared" ca="1" si="1"/>
        <v>72</v>
      </c>
      <c r="B96" s="32" cm="1">
        <f t="array" aca="1" ref="B96" ca="1">INDEX(Data_DBD!$B:$B,$A96)</f>
        <v>3</v>
      </c>
      <c r="C96" s="32" cm="1">
        <f t="array" aca="1" ref="C96" ca="1">INDEX(Data_DBD!$C:$C,$A96)</f>
        <v>5</v>
      </c>
      <c r="D96" s="32" cm="1">
        <f t="array" aca="1" ref="D96" ca="1">INDEX(Data_DBD!$D:$D,$A96)</f>
        <v>10</v>
      </c>
      <c r="E96" s="32" cm="1">
        <f t="array" aca="1" ref="E96" ca="1">INDEX(Data_DBD!$E:$E,$A96)</f>
        <v>1</v>
      </c>
      <c r="F96" s="32" cm="1">
        <f t="array" aca="1" ref="F96" ca="1">INDEX(Data_DBD!$F:$F,$A96)</f>
        <v>2</v>
      </c>
      <c r="H96" s="32">
        <v>70</v>
      </c>
      <c r="I96" s="32">
        <v>26</v>
      </c>
      <c r="J96" s="32">
        <v>3</v>
      </c>
      <c r="K96" s="32">
        <v>10</v>
      </c>
      <c r="L96" s="32">
        <v>1</v>
      </c>
      <c r="M96" s="32">
        <v>2</v>
      </c>
    </row>
    <row r="97" spans="1:13">
      <c r="A97" s="32">
        <f t="shared" ca="1" si="1"/>
        <v>81</v>
      </c>
      <c r="B97" s="32" cm="1">
        <f t="array" aca="1" ref="B97" ca="1">INDEX(Data_DBD!$B:$B,$A97)</f>
        <v>23</v>
      </c>
      <c r="C97" s="32" cm="1">
        <f t="array" aca="1" ref="C97" ca="1">INDEX(Data_DBD!$C:$C,$A97)</f>
        <v>5</v>
      </c>
      <c r="D97" s="32" cm="1">
        <f t="array" aca="1" ref="D97" ca="1">INDEX(Data_DBD!$D:$D,$A97)</f>
        <v>13</v>
      </c>
      <c r="E97" s="32" cm="1">
        <f t="array" aca="1" ref="E97" ca="1">INDEX(Data_DBD!$E:$E,$A97)</f>
        <v>1</v>
      </c>
      <c r="F97" s="32" cm="1">
        <f t="array" aca="1" ref="F97" ca="1">INDEX(Data_DBD!$F:$F,$A97)</f>
        <v>2</v>
      </c>
      <c r="H97" s="32">
        <v>66</v>
      </c>
      <c r="I97" s="32">
        <v>21</v>
      </c>
      <c r="J97" s="32">
        <v>5</v>
      </c>
      <c r="K97" s="32">
        <v>15</v>
      </c>
      <c r="L97" s="32">
        <v>1</v>
      </c>
      <c r="M97" s="32">
        <v>2</v>
      </c>
    </row>
    <row r="98" spans="1:13">
      <c r="A98" s="32">
        <f t="shared" ca="1" si="1"/>
        <v>30</v>
      </c>
      <c r="B98" s="32" t="str" cm="1">
        <f t="array" aca="1" ref="B98" ca="1">INDEX(Data_DBD!$B:$B,$A98)</f>
        <v>2,8</v>
      </c>
      <c r="C98" s="32" cm="1">
        <f t="array" aca="1" ref="C98" ca="1">INDEX(Data_DBD!$C:$C,$A98)</f>
        <v>2</v>
      </c>
      <c r="D98" s="32" cm="1">
        <f t="array" aca="1" ref="D98" ca="1">INDEX(Data_DBD!$D:$D,$A98)</f>
        <v>14</v>
      </c>
      <c r="E98" s="32" cm="1">
        <f t="array" aca="1" ref="E98" ca="1">INDEX(Data_DBD!$E:$E,$A98)</f>
        <v>1</v>
      </c>
      <c r="F98" s="32" cm="1">
        <f t="array" aca="1" ref="F98" ca="1">INDEX(Data_DBD!$F:$F,$A98)</f>
        <v>2</v>
      </c>
      <c r="H98" s="32">
        <v>139</v>
      </c>
      <c r="I98" s="32">
        <v>52</v>
      </c>
      <c r="J98" s="32">
        <v>7</v>
      </c>
      <c r="K98" s="32">
        <v>21</v>
      </c>
      <c r="L98" s="32">
        <v>0</v>
      </c>
      <c r="M98" s="32">
        <v>3</v>
      </c>
    </row>
    <row r="99" spans="1:13">
      <c r="A99" s="32">
        <f t="shared" ca="1" si="1"/>
        <v>24</v>
      </c>
      <c r="B99" s="32" cm="1">
        <f t="array" aca="1" ref="B99" ca="1">INDEX(Data_DBD!$B:$B,$A99)</f>
        <v>60</v>
      </c>
      <c r="C99" s="32" cm="1">
        <f t="array" aca="1" ref="C99" ca="1">INDEX(Data_DBD!$C:$C,$A99)</f>
        <v>4</v>
      </c>
      <c r="D99" s="32" cm="1">
        <f t="array" aca="1" ref="D99" ca="1">INDEX(Data_DBD!$D:$D,$A99)</f>
        <v>14</v>
      </c>
      <c r="E99" s="32" cm="1">
        <f t="array" aca="1" ref="E99" ca="1">INDEX(Data_DBD!$E:$E,$A99)</f>
        <v>0</v>
      </c>
      <c r="F99" s="32" cm="1">
        <f t="array" aca="1" ref="F99" ca="1">INDEX(Data_DBD!$F:$F,$A99)</f>
        <v>2</v>
      </c>
      <c r="H99" s="32">
        <v>111</v>
      </c>
      <c r="I99" s="32">
        <v>25</v>
      </c>
      <c r="J99" s="32">
        <v>4</v>
      </c>
      <c r="K99" s="32">
        <v>33</v>
      </c>
      <c r="L99" s="32">
        <v>0</v>
      </c>
      <c r="M99" s="32">
        <v>3</v>
      </c>
    </row>
    <row r="100" spans="1:13">
      <c r="A100" s="32">
        <f t="shared" ca="1" si="1"/>
        <v>5</v>
      </c>
      <c r="B100" s="32" cm="1">
        <f t="array" aca="1" ref="B100" ca="1">INDEX(Data_DBD!$B:$B,$A100)</f>
        <v>18</v>
      </c>
      <c r="C100" s="32" cm="1">
        <f t="array" aca="1" ref="C100" ca="1">INDEX(Data_DBD!$C:$C,$A100)</f>
        <v>2</v>
      </c>
      <c r="D100" s="32" cm="1">
        <f t="array" aca="1" ref="D100" ca="1">INDEX(Data_DBD!$D:$D,$A100)</f>
        <v>12</v>
      </c>
      <c r="E100" s="32" cm="1">
        <f t="array" aca="1" ref="E100" ca="1">INDEX(Data_DBD!$E:$E,$A100)</f>
        <v>1</v>
      </c>
      <c r="F100" s="32" cm="1">
        <f t="array" aca="1" ref="F100" ca="1">INDEX(Data_DBD!$F:$F,$A100)</f>
        <v>2</v>
      </c>
      <c r="H100" s="32">
        <v>114</v>
      </c>
      <c r="I100" s="32">
        <v>14</v>
      </c>
      <c r="J100" s="32">
        <v>2</v>
      </c>
      <c r="K100" s="32">
        <v>33</v>
      </c>
      <c r="L100" s="32">
        <v>1</v>
      </c>
      <c r="M100" s="32">
        <v>3</v>
      </c>
    </row>
    <row r="101" spans="1:13">
      <c r="A101" s="32">
        <f t="shared" ca="1" si="1"/>
        <v>41</v>
      </c>
      <c r="B101" s="32" cm="1">
        <f t="array" aca="1" ref="B101" ca="1">INDEX(Data_DBD!$B:$B,$A101)</f>
        <v>8</v>
      </c>
      <c r="C101" s="32" cm="1">
        <f t="array" aca="1" ref="C101" ca="1">INDEX(Data_DBD!$C:$C,$A101)</f>
        <v>4</v>
      </c>
      <c r="D101" s="32" cm="1">
        <f t="array" aca="1" ref="D101" ca="1">INDEX(Data_DBD!$D:$D,$A101)</f>
        <v>13</v>
      </c>
      <c r="E101" s="32" cm="1">
        <f t="array" aca="1" ref="E101" ca="1">INDEX(Data_DBD!$E:$E,$A101)</f>
        <v>0</v>
      </c>
      <c r="F101" s="32" cm="1">
        <f t="array" aca="1" ref="F101" ca="1">INDEX(Data_DBD!$F:$F,$A101)</f>
        <v>2</v>
      </c>
      <c r="H101" s="32">
        <v>79</v>
      </c>
      <c r="I101" s="32">
        <v>29</v>
      </c>
      <c r="J101" s="32">
        <v>3</v>
      </c>
      <c r="K101" s="32">
        <v>13</v>
      </c>
      <c r="L101" s="32">
        <v>0</v>
      </c>
      <c r="M101" s="32">
        <v>2</v>
      </c>
    </row>
    <row r="102" spans="1:13">
      <c r="A102" s="32">
        <f t="shared" ca="1" si="1"/>
        <v>84</v>
      </c>
      <c r="B102" s="32" cm="1">
        <f t="array" aca="1" ref="B102" ca="1">INDEX(Data_DBD!$B:$B,$A102)</f>
        <v>42</v>
      </c>
      <c r="C102" s="32" cm="1">
        <f t="array" aca="1" ref="C102" ca="1">INDEX(Data_DBD!$C:$C,$A102)</f>
        <v>4</v>
      </c>
      <c r="D102" s="32" cm="1">
        <f t="array" aca="1" ref="D102" ca="1">INDEX(Data_DBD!$D:$D,$A102)</f>
        <v>13</v>
      </c>
      <c r="E102" s="32" cm="1">
        <f t="array" aca="1" ref="E102" ca="1">INDEX(Data_DBD!$E:$E,$A102)</f>
        <v>1</v>
      </c>
      <c r="F102" s="32" cm="1">
        <f t="array" aca="1" ref="F102" ca="1">INDEX(Data_DBD!$F:$F,$A102)</f>
        <v>2</v>
      </c>
      <c r="H102" s="32">
        <v>41</v>
      </c>
      <c r="I102" s="32">
        <v>8</v>
      </c>
      <c r="J102" s="32">
        <v>4</v>
      </c>
      <c r="K102" s="32">
        <v>13</v>
      </c>
      <c r="L102" s="32">
        <v>0</v>
      </c>
      <c r="M102" s="32">
        <v>2</v>
      </c>
    </row>
    <row r="103" spans="1:13">
      <c r="A103" s="32">
        <f t="shared" ca="1" si="1"/>
        <v>72</v>
      </c>
      <c r="B103" s="32" cm="1">
        <f t="array" aca="1" ref="B103" ca="1">INDEX(Data_DBD!$B:$B,$A103)</f>
        <v>3</v>
      </c>
      <c r="C103" s="32" cm="1">
        <f t="array" aca="1" ref="C103" ca="1">INDEX(Data_DBD!$C:$C,$A103)</f>
        <v>5</v>
      </c>
      <c r="D103" s="32" cm="1">
        <f t="array" aca="1" ref="D103" ca="1">INDEX(Data_DBD!$D:$D,$A103)</f>
        <v>10</v>
      </c>
      <c r="E103" s="32" cm="1">
        <f t="array" aca="1" ref="E103" ca="1">INDEX(Data_DBD!$E:$E,$A103)</f>
        <v>1</v>
      </c>
      <c r="F103" s="32" cm="1">
        <f t="array" aca="1" ref="F103" ca="1">INDEX(Data_DBD!$F:$F,$A103)</f>
        <v>2</v>
      </c>
      <c r="H103" s="32">
        <v>145</v>
      </c>
      <c r="I103" s="32">
        <v>28</v>
      </c>
      <c r="J103" s="32">
        <v>4</v>
      </c>
      <c r="K103" s="32">
        <v>21</v>
      </c>
      <c r="L103" s="32">
        <v>1</v>
      </c>
      <c r="M103" s="32">
        <v>3</v>
      </c>
    </row>
    <row r="104" spans="1:13">
      <c r="A104" s="32">
        <f t="shared" ca="1" si="1"/>
        <v>97</v>
      </c>
      <c r="B104" s="32" cm="1">
        <f t="array" aca="1" ref="B104" ca="1">INDEX(Data_DBD!$B:$B,$A104)</f>
        <v>16</v>
      </c>
      <c r="C104" s="32" cm="1">
        <f t="array" aca="1" ref="C104" ca="1">INDEX(Data_DBD!$C:$C,$A104)</f>
        <v>2</v>
      </c>
      <c r="D104" s="32" cm="1">
        <f t="array" aca="1" ref="D104" ca="1">INDEX(Data_DBD!$D:$D,$A104)</f>
        <v>18</v>
      </c>
      <c r="E104" s="32" cm="1">
        <f t="array" aca="1" ref="E104" ca="1">INDEX(Data_DBD!$E:$E,$A104)</f>
        <v>1</v>
      </c>
      <c r="F104" s="32" cm="1">
        <f t="array" aca="1" ref="F104" ca="1">INDEX(Data_DBD!$F:$F,$A104)</f>
        <v>3</v>
      </c>
      <c r="H104" s="32">
        <v>116</v>
      </c>
      <c r="I104" s="32">
        <v>32</v>
      </c>
      <c r="J104" s="32">
        <v>4</v>
      </c>
      <c r="K104" s="32">
        <v>33</v>
      </c>
      <c r="L104" s="32">
        <v>1</v>
      </c>
      <c r="M104" s="32">
        <v>3</v>
      </c>
    </row>
    <row r="105" spans="1:13">
      <c r="A105" s="32">
        <f t="shared" ca="1" si="1"/>
        <v>122</v>
      </c>
      <c r="B105" s="32" cm="1">
        <f t="array" aca="1" ref="B105" ca="1">INDEX(Data_DBD!$B:$B,$A105)</f>
        <v>28</v>
      </c>
      <c r="C105" s="32" cm="1">
        <f t="array" aca="1" ref="C105" ca="1">INDEX(Data_DBD!$C:$C,$A105)</f>
        <v>3</v>
      </c>
      <c r="D105" s="32" cm="1">
        <f t="array" aca="1" ref="D105" ca="1">INDEX(Data_DBD!$D:$D,$A105)</f>
        <v>33</v>
      </c>
      <c r="E105" s="32" cm="1">
        <f t="array" aca="1" ref="E105" ca="1">INDEX(Data_DBD!$E:$E,$A105)</f>
        <v>1</v>
      </c>
      <c r="F105" s="32" cm="1">
        <f t="array" aca="1" ref="F105" ca="1">INDEX(Data_DBD!$F:$F,$A105)</f>
        <v>3</v>
      </c>
      <c r="H105" s="32">
        <v>2</v>
      </c>
      <c r="I105" s="32">
        <v>34</v>
      </c>
      <c r="J105" s="32">
        <v>3</v>
      </c>
      <c r="K105" s="32">
        <v>12</v>
      </c>
      <c r="L105" s="32">
        <v>0</v>
      </c>
      <c r="M105" s="32">
        <v>2</v>
      </c>
    </row>
    <row r="106" spans="1:13">
      <c r="A106" s="32">
        <f t="shared" ca="1" si="1"/>
        <v>142</v>
      </c>
      <c r="B106" s="32" cm="1">
        <f t="array" aca="1" ref="B106" ca="1">INDEX(Data_DBD!$B:$B,$A106)</f>
        <v>39</v>
      </c>
      <c r="C106" s="32" cm="1">
        <f t="array" aca="1" ref="C106" ca="1">INDEX(Data_DBD!$C:$C,$A106)</f>
        <v>2</v>
      </c>
      <c r="D106" s="32" cm="1">
        <f t="array" aca="1" ref="D106" ca="1">INDEX(Data_DBD!$D:$D,$A106)</f>
        <v>21</v>
      </c>
      <c r="E106" s="32" cm="1">
        <f t="array" aca="1" ref="E106" ca="1">INDEX(Data_DBD!$E:$E,$A106)</f>
        <v>1</v>
      </c>
      <c r="F106" s="32" cm="1">
        <f t="array" aca="1" ref="F106" ca="1">INDEX(Data_DBD!$F:$F,$A106)</f>
        <v>3</v>
      </c>
      <c r="H106" s="32">
        <v>138</v>
      </c>
      <c r="I106" s="32">
        <v>13</v>
      </c>
      <c r="J106" s="32">
        <v>3</v>
      </c>
      <c r="K106" s="32">
        <v>33</v>
      </c>
      <c r="L106" s="32">
        <v>1</v>
      </c>
      <c r="M106" s="32">
        <v>3</v>
      </c>
    </row>
    <row r="107" spans="1:13">
      <c r="A107" s="32">
        <f t="shared" ca="1" si="1"/>
        <v>7</v>
      </c>
      <c r="B107" s="32" cm="1">
        <f t="array" aca="1" ref="B107" ca="1">INDEX(Data_DBD!$B:$B,$A107)</f>
        <v>12</v>
      </c>
      <c r="C107" s="32" cm="1">
        <f t="array" aca="1" ref="C107" ca="1">INDEX(Data_DBD!$C:$C,$A107)</f>
        <v>1</v>
      </c>
      <c r="D107" s="32" cm="1">
        <f t="array" aca="1" ref="D107" ca="1">INDEX(Data_DBD!$D:$D,$A107)</f>
        <v>12</v>
      </c>
      <c r="E107" s="32" cm="1">
        <f t="array" aca="1" ref="E107" ca="1">INDEX(Data_DBD!$E:$E,$A107)</f>
        <v>1</v>
      </c>
      <c r="F107" s="32" cm="1">
        <f t="array" aca="1" ref="F107" ca="1">INDEX(Data_DBD!$F:$F,$A107)</f>
        <v>2</v>
      </c>
      <c r="H107" s="32">
        <v>139</v>
      </c>
      <c r="I107" s="32">
        <v>52</v>
      </c>
      <c r="J107" s="32">
        <v>7</v>
      </c>
      <c r="K107" s="32">
        <v>21</v>
      </c>
      <c r="L107" s="32">
        <v>0</v>
      </c>
      <c r="M107" s="32">
        <v>3</v>
      </c>
    </row>
    <row r="108" spans="1:13">
      <c r="A108" s="32">
        <f t="shared" ca="1" si="1"/>
        <v>67</v>
      </c>
      <c r="B108" s="32" cm="1">
        <f t="array" aca="1" ref="B108" ca="1">INDEX(Data_DBD!$B:$B,$A108)</f>
        <v>21</v>
      </c>
      <c r="C108" s="32" cm="1">
        <f t="array" aca="1" ref="C108" ca="1">INDEX(Data_DBD!$C:$C,$A108)</f>
        <v>3</v>
      </c>
      <c r="D108" s="32" cm="1">
        <f t="array" aca="1" ref="D108" ca="1">INDEX(Data_DBD!$D:$D,$A108)</f>
        <v>10</v>
      </c>
      <c r="E108" s="32" cm="1">
        <f t="array" aca="1" ref="E108" ca="1">INDEX(Data_DBD!$E:$E,$A108)</f>
        <v>1</v>
      </c>
      <c r="F108" s="32" cm="1">
        <f t="array" aca="1" ref="F108" ca="1">INDEX(Data_DBD!$F:$F,$A108)</f>
        <v>2</v>
      </c>
      <c r="H108" s="32">
        <v>7</v>
      </c>
      <c r="I108" s="32">
        <v>12</v>
      </c>
      <c r="J108" s="32">
        <v>1</v>
      </c>
      <c r="K108" s="32">
        <v>12</v>
      </c>
      <c r="L108" s="32">
        <v>1</v>
      </c>
      <c r="M108" s="32">
        <v>2</v>
      </c>
    </row>
    <row r="109" spans="1:13">
      <c r="A109" s="32">
        <f t="shared" ca="1" si="1"/>
        <v>129</v>
      </c>
      <c r="B109" s="32" cm="1">
        <f t="array" aca="1" ref="B109" ca="1">INDEX(Data_DBD!$B:$B,$A109)</f>
        <v>4.5</v>
      </c>
      <c r="C109" s="32" cm="1">
        <f t="array" aca="1" ref="C109" ca="1">INDEX(Data_DBD!$C:$C,$A109)</f>
        <v>3</v>
      </c>
      <c r="D109" s="32" cm="1">
        <f t="array" aca="1" ref="D109" ca="1">INDEX(Data_DBD!$D:$D,$A109)</f>
        <v>33</v>
      </c>
      <c r="E109" s="32" cm="1">
        <f t="array" aca="1" ref="E109" ca="1">INDEX(Data_DBD!$E:$E,$A109)</f>
        <v>0</v>
      </c>
      <c r="F109" s="32" cm="1">
        <f t="array" aca="1" ref="F109" ca="1">INDEX(Data_DBD!$F:$F,$A109)</f>
        <v>3</v>
      </c>
      <c r="H109" s="32">
        <v>107</v>
      </c>
      <c r="I109" s="32">
        <v>48</v>
      </c>
      <c r="J109" s="32">
        <v>5</v>
      </c>
      <c r="K109" s="32">
        <v>18</v>
      </c>
      <c r="L109" s="32">
        <v>0</v>
      </c>
      <c r="M109" s="32">
        <v>3</v>
      </c>
    </row>
    <row r="110" spans="1:13">
      <c r="A110" s="32">
        <f t="shared" ca="1" si="1"/>
        <v>50</v>
      </c>
      <c r="B110" s="32" cm="1">
        <f t="array" aca="1" ref="B110" ca="1">INDEX(Data_DBD!$B:$B,$A110)</f>
        <v>19</v>
      </c>
      <c r="C110" s="32" cm="1">
        <f t="array" aca="1" ref="C110" ca="1">INDEX(Data_DBD!$C:$C,$A110)</f>
        <v>5</v>
      </c>
      <c r="D110" s="32" cm="1">
        <f t="array" aca="1" ref="D110" ca="1">INDEX(Data_DBD!$D:$D,$A110)</f>
        <v>13</v>
      </c>
      <c r="E110" s="32" cm="1">
        <f t="array" aca="1" ref="E110" ca="1">INDEX(Data_DBD!$E:$E,$A110)</f>
        <v>0</v>
      </c>
      <c r="F110" s="32" cm="1">
        <f t="array" aca="1" ref="F110" ca="1">INDEX(Data_DBD!$F:$F,$A110)</f>
        <v>2</v>
      </c>
      <c r="H110" s="32">
        <v>108</v>
      </c>
      <c r="I110" s="32">
        <v>69</v>
      </c>
      <c r="J110" s="32">
        <v>7</v>
      </c>
      <c r="K110" s="32">
        <v>33</v>
      </c>
      <c r="L110" s="32">
        <v>1</v>
      </c>
      <c r="M110" s="32">
        <v>3</v>
      </c>
    </row>
    <row r="111" spans="1:13">
      <c r="A111" s="32">
        <f t="shared" ca="1" si="1"/>
        <v>117</v>
      </c>
      <c r="B111" s="32" cm="1">
        <f t="array" aca="1" ref="B111" ca="1">INDEX(Data_DBD!$B:$B,$A111)</f>
        <v>49</v>
      </c>
      <c r="C111" s="32" cm="1">
        <f t="array" aca="1" ref="C111" ca="1">INDEX(Data_DBD!$C:$C,$A111)</f>
        <v>4</v>
      </c>
      <c r="D111" s="32" cm="1">
        <f t="array" aca="1" ref="D111" ca="1">INDEX(Data_DBD!$D:$D,$A111)</f>
        <v>33</v>
      </c>
      <c r="E111" s="32" cm="1">
        <f t="array" aca="1" ref="E111" ca="1">INDEX(Data_DBD!$E:$E,$A111)</f>
        <v>1</v>
      </c>
      <c r="F111" s="32" cm="1">
        <f t="array" aca="1" ref="F111" ca="1">INDEX(Data_DBD!$F:$F,$A111)</f>
        <v>3</v>
      </c>
      <c r="H111" s="32">
        <v>100</v>
      </c>
      <c r="I111" s="32">
        <v>19</v>
      </c>
      <c r="J111" s="32">
        <v>6</v>
      </c>
      <c r="K111" s="32">
        <v>18</v>
      </c>
      <c r="L111" s="32">
        <v>0</v>
      </c>
      <c r="M111" s="32">
        <v>3</v>
      </c>
    </row>
    <row r="112" spans="1:13">
      <c r="A112" s="32">
        <f t="shared" ca="1" si="1"/>
        <v>148</v>
      </c>
      <c r="B112" s="32" cm="1">
        <f t="array" aca="1" ref="B112" ca="1">INDEX(Data_DBD!$B:$B,$A112)</f>
        <v>55</v>
      </c>
      <c r="C112" s="32" cm="1">
        <f t="array" aca="1" ref="C112" ca="1">INDEX(Data_DBD!$C:$C,$A112)</f>
        <v>3</v>
      </c>
      <c r="D112" s="32" cm="1">
        <f t="array" aca="1" ref="D112" ca="1">INDEX(Data_DBD!$D:$D,$A112)</f>
        <v>21</v>
      </c>
      <c r="E112" s="32" cm="1">
        <f t="array" aca="1" ref="E112" ca="1">INDEX(Data_DBD!$E:$E,$A112)</f>
        <v>1</v>
      </c>
      <c r="F112" s="32" cm="1">
        <f t="array" aca="1" ref="F112" ca="1">INDEX(Data_DBD!$F:$F,$A112)</f>
        <v>3</v>
      </c>
      <c r="H112" s="32">
        <v>104</v>
      </c>
      <c r="I112" s="32">
        <v>37</v>
      </c>
      <c r="J112" s="32">
        <v>4</v>
      </c>
      <c r="K112" s="32">
        <v>18</v>
      </c>
      <c r="L112" s="32">
        <v>1</v>
      </c>
      <c r="M112" s="32">
        <v>3</v>
      </c>
    </row>
    <row r="113" spans="1:13">
      <c r="A113" s="32">
        <f t="shared" ca="1" si="1"/>
        <v>22</v>
      </c>
      <c r="B113" s="32" cm="1">
        <f t="array" aca="1" ref="B113" ca="1">INDEX(Data_DBD!$B:$B,$A113)</f>
        <v>6</v>
      </c>
      <c r="C113" s="32" cm="1">
        <f t="array" aca="1" ref="C113" ca="1">INDEX(Data_DBD!$C:$C,$A113)</f>
        <v>3</v>
      </c>
      <c r="D113" s="32" cm="1">
        <f t="array" aca="1" ref="D113" ca="1">INDEX(Data_DBD!$D:$D,$A113)</f>
        <v>14</v>
      </c>
      <c r="E113" s="32" cm="1">
        <f t="array" aca="1" ref="E113" ca="1">INDEX(Data_DBD!$E:$E,$A113)</f>
        <v>0</v>
      </c>
      <c r="F113" s="32" cm="1">
        <f t="array" aca="1" ref="F113" ca="1">INDEX(Data_DBD!$F:$F,$A113)</f>
        <v>2</v>
      </c>
      <c r="H113" s="32">
        <v>116</v>
      </c>
      <c r="I113" s="32">
        <v>32</v>
      </c>
      <c r="J113" s="32">
        <v>4</v>
      </c>
      <c r="K113" s="32">
        <v>33</v>
      </c>
      <c r="L113" s="32">
        <v>1</v>
      </c>
      <c r="M113" s="32">
        <v>3</v>
      </c>
    </row>
    <row r="114" spans="1:13">
      <c r="A114" s="32">
        <f t="shared" ca="1" si="1"/>
        <v>22</v>
      </c>
      <c r="B114" s="32" cm="1">
        <f t="array" aca="1" ref="B114" ca="1">INDEX(Data_DBD!$B:$B,$A114)</f>
        <v>6</v>
      </c>
      <c r="C114" s="32" cm="1">
        <f t="array" aca="1" ref="C114" ca="1">INDEX(Data_DBD!$C:$C,$A114)</f>
        <v>3</v>
      </c>
      <c r="D114" s="32" cm="1">
        <f t="array" aca="1" ref="D114" ca="1">INDEX(Data_DBD!$D:$D,$A114)</f>
        <v>14</v>
      </c>
      <c r="E114" s="32" cm="1">
        <f t="array" aca="1" ref="E114" ca="1">INDEX(Data_DBD!$E:$E,$A114)</f>
        <v>0</v>
      </c>
      <c r="F114" s="32" cm="1">
        <f t="array" aca="1" ref="F114" ca="1">INDEX(Data_DBD!$F:$F,$A114)</f>
        <v>2</v>
      </c>
      <c r="H114" s="32">
        <v>86</v>
      </c>
      <c r="I114" s="32">
        <v>23</v>
      </c>
      <c r="J114" s="32">
        <v>3</v>
      </c>
      <c r="K114" s="32">
        <v>13</v>
      </c>
      <c r="L114" s="32">
        <v>0</v>
      </c>
      <c r="M114" s="32">
        <v>2</v>
      </c>
    </row>
    <row r="115" spans="1:13">
      <c r="A115" s="32">
        <f t="shared" ca="1" si="1"/>
        <v>137</v>
      </c>
      <c r="B115" s="32" cm="1">
        <f t="array" aca="1" ref="B115" ca="1">INDEX(Data_DBD!$B:$B,$A115)</f>
        <v>3.5</v>
      </c>
      <c r="C115" s="32" cm="1">
        <f t="array" aca="1" ref="C115" ca="1">INDEX(Data_DBD!$C:$C,$A115)</f>
        <v>1</v>
      </c>
      <c r="D115" s="32" cm="1">
        <f t="array" aca="1" ref="D115" ca="1">INDEX(Data_DBD!$D:$D,$A115)</f>
        <v>33</v>
      </c>
      <c r="E115" s="32" cm="1">
        <f t="array" aca="1" ref="E115" ca="1">INDEX(Data_DBD!$E:$E,$A115)</f>
        <v>1</v>
      </c>
      <c r="F115" s="32" cm="1">
        <f t="array" aca="1" ref="F115" ca="1">INDEX(Data_DBD!$F:$F,$A115)</f>
        <v>3</v>
      </c>
      <c r="H115" s="32">
        <v>64</v>
      </c>
      <c r="I115" s="32">
        <v>35</v>
      </c>
      <c r="J115" s="32">
        <v>1</v>
      </c>
      <c r="K115" s="32">
        <v>15</v>
      </c>
      <c r="L115" s="32">
        <v>0</v>
      </c>
      <c r="M115" s="32">
        <v>2</v>
      </c>
    </row>
    <row r="116" spans="1:13">
      <c r="A116" s="32">
        <f t="shared" ca="1" si="1"/>
        <v>128</v>
      </c>
      <c r="B116" s="32" cm="1">
        <f t="array" aca="1" ref="B116" ca="1">INDEX(Data_DBD!$B:$B,$A116)</f>
        <v>38</v>
      </c>
      <c r="C116" s="32" cm="1">
        <f t="array" aca="1" ref="C116" ca="1">INDEX(Data_DBD!$C:$C,$A116)</f>
        <v>2</v>
      </c>
      <c r="D116" s="32" cm="1">
        <f t="array" aca="1" ref="D116" ca="1">INDEX(Data_DBD!$D:$D,$A116)</f>
        <v>33</v>
      </c>
      <c r="E116" s="32" cm="1">
        <f t="array" aca="1" ref="E116" ca="1">INDEX(Data_DBD!$E:$E,$A116)</f>
        <v>0</v>
      </c>
      <c r="F116" s="32" cm="1">
        <f t="array" aca="1" ref="F116" ca="1">INDEX(Data_DBD!$F:$F,$A116)</f>
        <v>3</v>
      </c>
      <c r="H116" s="32">
        <v>34</v>
      </c>
      <c r="I116" s="32">
        <v>55</v>
      </c>
      <c r="J116" s="32">
        <v>3</v>
      </c>
      <c r="K116" s="32">
        <v>14</v>
      </c>
      <c r="L116" s="32">
        <v>0</v>
      </c>
      <c r="M116" s="32">
        <v>2</v>
      </c>
    </row>
    <row r="117" spans="1:13">
      <c r="A117" s="32">
        <f t="shared" ca="1" si="1"/>
        <v>164</v>
      </c>
      <c r="B117" s="32" cm="1">
        <f t="array" aca="1" ref="B117" ca="1">INDEX(Data_DBD!$B:$B,$A117)</f>
        <v>10</v>
      </c>
      <c r="C117" s="32" cm="1">
        <f t="array" aca="1" ref="C117" ca="1">INDEX(Data_DBD!$C:$C,$A117)</f>
        <v>6</v>
      </c>
      <c r="D117" s="32" cm="1">
        <f t="array" aca="1" ref="D117" ca="1">INDEX(Data_DBD!$D:$D,$A117)</f>
        <v>3</v>
      </c>
      <c r="E117" s="32" cm="1">
        <f t="array" aca="1" ref="E117" ca="1">INDEX(Data_DBD!$E:$E,$A117)</f>
        <v>0</v>
      </c>
      <c r="F117" s="32" cm="1">
        <f t="array" aca="1" ref="F117" ca="1">INDEX(Data_DBD!$F:$F,$A117)</f>
        <v>1</v>
      </c>
      <c r="H117" s="32">
        <v>103</v>
      </c>
      <c r="I117" s="32">
        <v>22</v>
      </c>
      <c r="J117" s="32">
        <v>5</v>
      </c>
      <c r="K117" s="32">
        <v>18</v>
      </c>
      <c r="L117" s="32">
        <v>0</v>
      </c>
      <c r="M117" s="32">
        <v>3</v>
      </c>
    </row>
    <row r="118" spans="1:13">
      <c r="A118" s="32">
        <f t="shared" ca="1" si="1"/>
        <v>25</v>
      </c>
      <c r="B118" s="32" cm="1">
        <f t="array" aca="1" ref="B118" ca="1">INDEX(Data_DBD!$B:$B,$A118)</f>
        <v>81</v>
      </c>
      <c r="C118" s="32" cm="1">
        <f t="array" aca="1" ref="C118" ca="1">INDEX(Data_DBD!$C:$C,$A118)</f>
        <v>5</v>
      </c>
      <c r="D118" s="32" cm="1">
        <f t="array" aca="1" ref="D118" ca="1">INDEX(Data_DBD!$D:$D,$A118)</f>
        <v>14</v>
      </c>
      <c r="E118" s="32" cm="1">
        <f t="array" aca="1" ref="E118" ca="1">INDEX(Data_DBD!$E:$E,$A118)</f>
        <v>0</v>
      </c>
      <c r="F118" s="32" cm="1">
        <f t="array" aca="1" ref="F118" ca="1">INDEX(Data_DBD!$F:$F,$A118)</f>
        <v>2</v>
      </c>
      <c r="H118" s="32">
        <v>13</v>
      </c>
      <c r="I118" s="32">
        <v>47</v>
      </c>
      <c r="J118" s="32">
        <v>2</v>
      </c>
      <c r="K118" s="32">
        <v>12</v>
      </c>
      <c r="L118" s="32">
        <v>0</v>
      </c>
      <c r="M118" s="32">
        <v>2</v>
      </c>
    </row>
    <row r="119" spans="1:13">
      <c r="A119" s="32">
        <f t="shared" ca="1" si="1"/>
        <v>30</v>
      </c>
      <c r="B119" s="32" t="str" cm="1">
        <f t="array" aca="1" ref="B119" ca="1">INDEX(Data_DBD!$B:$B,$A119)</f>
        <v>2,8</v>
      </c>
      <c r="C119" s="32" cm="1">
        <f t="array" aca="1" ref="C119" ca="1">INDEX(Data_DBD!$C:$C,$A119)</f>
        <v>2</v>
      </c>
      <c r="D119" s="32" cm="1">
        <f t="array" aca="1" ref="D119" ca="1">INDEX(Data_DBD!$D:$D,$A119)</f>
        <v>14</v>
      </c>
      <c r="E119" s="32" cm="1">
        <f t="array" aca="1" ref="E119" ca="1">INDEX(Data_DBD!$E:$E,$A119)</f>
        <v>1</v>
      </c>
      <c r="F119" s="32" cm="1">
        <f t="array" aca="1" ref="F119" ca="1">INDEX(Data_DBD!$F:$F,$A119)</f>
        <v>2</v>
      </c>
      <c r="H119" s="32">
        <v>24</v>
      </c>
      <c r="I119" s="32">
        <v>60</v>
      </c>
      <c r="J119" s="32">
        <v>4</v>
      </c>
      <c r="K119" s="32">
        <v>14</v>
      </c>
      <c r="L119" s="32">
        <v>0</v>
      </c>
      <c r="M119" s="32">
        <v>2</v>
      </c>
    </row>
    <row r="120" spans="1:13">
      <c r="A120" s="32">
        <f t="shared" ca="1" si="1"/>
        <v>101</v>
      </c>
      <c r="B120" s="32" cm="1">
        <f t="array" aca="1" ref="B120" ca="1">INDEX(Data_DBD!$B:$B,$A120)</f>
        <v>42</v>
      </c>
      <c r="C120" s="32" cm="1">
        <f t="array" aca="1" ref="C120" ca="1">INDEX(Data_DBD!$C:$C,$A120)</f>
        <v>5</v>
      </c>
      <c r="D120" s="32" cm="1">
        <f t="array" aca="1" ref="D120" ca="1">INDEX(Data_DBD!$D:$D,$A120)</f>
        <v>18</v>
      </c>
      <c r="E120" s="32" cm="1">
        <f t="array" aca="1" ref="E120" ca="1">INDEX(Data_DBD!$E:$E,$A120)</f>
        <v>0</v>
      </c>
      <c r="F120" s="32" cm="1">
        <f t="array" aca="1" ref="F120" ca="1">INDEX(Data_DBD!$F:$F,$A120)</f>
        <v>3</v>
      </c>
      <c r="H120" s="32">
        <v>154</v>
      </c>
      <c r="I120" s="32">
        <v>18</v>
      </c>
      <c r="J120" s="32">
        <v>5</v>
      </c>
      <c r="K120" s="32">
        <v>21</v>
      </c>
      <c r="L120" s="32">
        <v>1</v>
      </c>
      <c r="M120" s="32">
        <v>3</v>
      </c>
    </row>
    <row r="121" spans="1:13">
      <c r="A121" s="32">
        <f t="shared" ca="1" si="1"/>
        <v>80</v>
      </c>
      <c r="B121" s="32" cm="1">
        <f t="array" aca="1" ref="B121" ca="1">INDEX(Data_DBD!$B:$B,$A121)</f>
        <v>27</v>
      </c>
      <c r="C121" s="32" cm="1">
        <f t="array" aca="1" ref="C121" ca="1">INDEX(Data_DBD!$C:$C,$A121)</f>
        <v>3</v>
      </c>
      <c r="D121" s="32" cm="1">
        <f t="array" aca="1" ref="D121" ca="1">INDEX(Data_DBD!$D:$D,$A121)</f>
        <v>13</v>
      </c>
      <c r="E121" s="32" cm="1">
        <f t="array" aca="1" ref="E121" ca="1">INDEX(Data_DBD!$E:$E,$A121)</f>
        <v>1</v>
      </c>
      <c r="F121" s="32" cm="1">
        <f t="array" aca="1" ref="F121" ca="1">INDEX(Data_DBD!$F:$F,$A121)</f>
        <v>2</v>
      </c>
      <c r="H121" s="32">
        <v>92</v>
      </c>
      <c r="I121" s="32">
        <v>55</v>
      </c>
      <c r="J121" s="32">
        <v>7</v>
      </c>
      <c r="K121" s="32">
        <v>18</v>
      </c>
      <c r="L121" s="32">
        <v>0</v>
      </c>
      <c r="M121" s="32">
        <v>3</v>
      </c>
    </row>
    <row r="122" spans="1:13">
      <c r="A122" s="32">
        <f t="shared" ca="1" si="1"/>
        <v>134</v>
      </c>
      <c r="B122" s="32" cm="1">
        <f t="array" aca="1" ref="B122" ca="1">INDEX(Data_DBD!$B:$B,$A122)</f>
        <v>4</v>
      </c>
      <c r="C122" s="32" cm="1">
        <f t="array" aca="1" ref="C122" ca="1">INDEX(Data_DBD!$C:$C,$A122)</f>
        <v>2</v>
      </c>
      <c r="D122" s="32" cm="1">
        <f t="array" aca="1" ref="D122" ca="1">INDEX(Data_DBD!$D:$D,$A122)</f>
        <v>33</v>
      </c>
      <c r="E122" s="32" cm="1">
        <f t="array" aca="1" ref="E122" ca="1">INDEX(Data_DBD!$E:$E,$A122)</f>
        <v>1</v>
      </c>
      <c r="F122" s="32" cm="1">
        <f t="array" aca="1" ref="F122" ca="1">INDEX(Data_DBD!$F:$F,$A122)</f>
        <v>3</v>
      </c>
      <c r="H122" s="32">
        <v>115</v>
      </c>
      <c r="I122" s="32">
        <v>52</v>
      </c>
      <c r="J122" s="32">
        <v>3</v>
      </c>
      <c r="K122" s="32">
        <v>33</v>
      </c>
      <c r="L122" s="32">
        <v>1</v>
      </c>
      <c r="M122" s="32">
        <v>3</v>
      </c>
    </row>
    <row r="123" spans="1:13">
      <c r="A123" s="32">
        <f t="shared" ca="1" si="1"/>
        <v>91</v>
      </c>
      <c r="B123" s="32" cm="1">
        <f t="array" aca="1" ref="B123" ca="1">INDEX(Data_DBD!$B:$B,$A123)</f>
        <v>35</v>
      </c>
      <c r="C123" s="32" cm="1">
        <f t="array" aca="1" ref="C123" ca="1">INDEX(Data_DBD!$C:$C,$A123)</f>
        <v>1</v>
      </c>
      <c r="D123" s="32" cm="1">
        <f t="array" aca="1" ref="D123" ca="1">INDEX(Data_DBD!$D:$D,$A123)</f>
        <v>18</v>
      </c>
      <c r="E123" s="32" cm="1">
        <f t="array" aca="1" ref="E123" ca="1">INDEX(Data_DBD!$E:$E,$A123)</f>
        <v>1</v>
      </c>
      <c r="F123" s="32" cm="1">
        <f t="array" aca="1" ref="F123" ca="1">INDEX(Data_DBD!$F:$F,$A123)</f>
        <v>3</v>
      </c>
      <c r="H123" s="32">
        <v>11</v>
      </c>
      <c r="I123" s="32">
        <v>24</v>
      </c>
      <c r="J123" s="32">
        <v>5</v>
      </c>
      <c r="K123" s="32">
        <v>12</v>
      </c>
      <c r="L123" s="32">
        <v>1</v>
      </c>
      <c r="M123" s="32">
        <v>2</v>
      </c>
    </row>
    <row r="124" spans="1:13">
      <c r="A124" s="32">
        <f t="shared" ca="1" si="1"/>
        <v>96</v>
      </c>
      <c r="B124" s="32" cm="1">
        <f t="array" aca="1" ref="B124" ca="1">INDEX(Data_DBD!$B:$B,$A124)</f>
        <v>56</v>
      </c>
      <c r="C124" s="32" cm="1">
        <f t="array" aca="1" ref="C124" ca="1">INDEX(Data_DBD!$C:$C,$A124)</f>
        <v>4</v>
      </c>
      <c r="D124" s="32" cm="1">
        <f t="array" aca="1" ref="D124" ca="1">INDEX(Data_DBD!$D:$D,$A124)</f>
        <v>18</v>
      </c>
      <c r="E124" s="32" cm="1">
        <f t="array" aca="1" ref="E124" ca="1">INDEX(Data_DBD!$E:$E,$A124)</f>
        <v>0</v>
      </c>
      <c r="F124" s="32" cm="1">
        <f t="array" aca="1" ref="F124" ca="1">INDEX(Data_DBD!$F:$F,$A124)</f>
        <v>3</v>
      </c>
      <c r="H124" s="32">
        <v>137</v>
      </c>
      <c r="I124" s="32">
        <v>3.5</v>
      </c>
      <c r="J124" s="32">
        <v>1</v>
      </c>
      <c r="K124" s="32">
        <v>33</v>
      </c>
      <c r="L124" s="32">
        <v>1</v>
      </c>
      <c r="M124" s="32">
        <v>3</v>
      </c>
    </row>
    <row r="125" spans="1:13">
      <c r="A125" s="32">
        <f t="shared" ca="1" si="1"/>
        <v>132</v>
      </c>
      <c r="B125" s="32" cm="1">
        <f t="array" aca="1" ref="B125" ca="1">INDEX(Data_DBD!$B:$B,$A125)</f>
        <v>10</v>
      </c>
      <c r="C125" s="32" cm="1">
        <f t="array" aca="1" ref="C125" ca="1">INDEX(Data_DBD!$C:$C,$A125)</f>
        <v>3</v>
      </c>
      <c r="D125" s="32" cm="1">
        <f t="array" aca="1" ref="D125" ca="1">INDEX(Data_DBD!$D:$D,$A125)</f>
        <v>33</v>
      </c>
      <c r="E125" s="32" cm="1">
        <f t="array" aca="1" ref="E125" ca="1">INDEX(Data_DBD!$E:$E,$A125)</f>
        <v>1</v>
      </c>
      <c r="F125" s="32" cm="1">
        <f t="array" aca="1" ref="F125" ca="1">INDEX(Data_DBD!$F:$F,$A125)</f>
        <v>3</v>
      </c>
      <c r="H125" s="32">
        <v>159</v>
      </c>
      <c r="I125" s="32">
        <v>17</v>
      </c>
      <c r="J125" s="32">
        <v>2</v>
      </c>
      <c r="K125" s="32">
        <v>21</v>
      </c>
      <c r="L125" s="32">
        <v>0</v>
      </c>
      <c r="M125" s="32">
        <v>3</v>
      </c>
    </row>
    <row r="126" spans="1:13">
      <c r="A126" s="32">
        <f t="shared" ca="1" si="1"/>
        <v>105</v>
      </c>
      <c r="B126" s="32" cm="1">
        <f t="array" aca="1" ref="B126" ca="1">INDEX(Data_DBD!$B:$B,$A126)</f>
        <v>61</v>
      </c>
      <c r="C126" s="32" cm="1">
        <f t="array" aca="1" ref="C126" ca="1">INDEX(Data_DBD!$C:$C,$A126)</f>
        <v>3</v>
      </c>
      <c r="D126" s="32" cm="1">
        <f t="array" aca="1" ref="D126" ca="1">INDEX(Data_DBD!$D:$D,$A126)</f>
        <v>18</v>
      </c>
      <c r="E126" s="32" cm="1">
        <f t="array" aca="1" ref="E126" ca="1">INDEX(Data_DBD!$E:$E,$A126)</f>
        <v>1</v>
      </c>
      <c r="F126" s="32" cm="1">
        <f t="array" aca="1" ref="F126" ca="1">INDEX(Data_DBD!$F:$F,$A126)</f>
        <v>3</v>
      </c>
      <c r="H126" s="32">
        <v>164</v>
      </c>
      <c r="I126" s="32">
        <v>10</v>
      </c>
      <c r="J126" s="32">
        <v>6</v>
      </c>
      <c r="K126" s="32">
        <v>3</v>
      </c>
      <c r="L126" s="32">
        <v>0</v>
      </c>
      <c r="M126" s="32">
        <v>1</v>
      </c>
    </row>
    <row r="127" spans="1:13">
      <c r="A127" s="32">
        <f t="shared" ca="1" si="1"/>
        <v>149</v>
      </c>
      <c r="B127" s="32" cm="1">
        <f t="array" aca="1" ref="B127" ca="1">INDEX(Data_DBD!$B:$B,$A127)</f>
        <v>19</v>
      </c>
      <c r="C127" s="32" cm="1">
        <f t="array" aca="1" ref="C127" ca="1">INDEX(Data_DBD!$C:$C,$A127)</f>
        <v>5</v>
      </c>
      <c r="D127" s="32" cm="1">
        <f t="array" aca="1" ref="D127" ca="1">INDEX(Data_DBD!$D:$D,$A127)</f>
        <v>21</v>
      </c>
      <c r="E127" s="32" cm="1">
        <f t="array" aca="1" ref="E127" ca="1">INDEX(Data_DBD!$E:$E,$A127)</f>
        <v>0</v>
      </c>
      <c r="F127" s="32" cm="1">
        <f t="array" aca="1" ref="F127" ca="1">INDEX(Data_DBD!$F:$F,$A127)</f>
        <v>3</v>
      </c>
      <c r="H127" s="32">
        <v>69</v>
      </c>
      <c r="I127" s="32">
        <v>24</v>
      </c>
      <c r="J127" s="32">
        <v>4</v>
      </c>
      <c r="K127" s="32">
        <v>10</v>
      </c>
      <c r="L127" s="32">
        <v>1</v>
      </c>
      <c r="M127" s="32">
        <v>2</v>
      </c>
    </row>
    <row r="128" spans="1:13">
      <c r="A128" s="32">
        <f t="shared" ca="1" si="1"/>
        <v>58</v>
      </c>
      <c r="B128" s="32" cm="1">
        <f t="array" aca="1" ref="B128" ca="1">INDEX(Data_DBD!$B:$B,$A128)</f>
        <v>17</v>
      </c>
      <c r="C128" s="32" cm="1">
        <f t="array" aca="1" ref="C128" ca="1">INDEX(Data_DBD!$C:$C,$A128)</f>
        <v>3</v>
      </c>
      <c r="D128" s="32" cm="1">
        <f t="array" aca="1" ref="D128" ca="1">INDEX(Data_DBD!$D:$D,$A128)</f>
        <v>15</v>
      </c>
      <c r="E128" s="32" cm="1">
        <f t="array" aca="1" ref="E128" ca="1">INDEX(Data_DBD!$E:$E,$A128)</f>
        <v>0</v>
      </c>
      <c r="F128" s="32" cm="1">
        <f t="array" aca="1" ref="F128" ca="1">INDEX(Data_DBD!$F:$F,$A128)</f>
        <v>2</v>
      </c>
      <c r="H128" s="32">
        <v>105</v>
      </c>
      <c r="I128" s="32">
        <v>61</v>
      </c>
      <c r="J128" s="32">
        <v>3</v>
      </c>
      <c r="K128" s="32">
        <v>18</v>
      </c>
      <c r="L128" s="32">
        <v>1</v>
      </c>
      <c r="M128" s="32">
        <v>3</v>
      </c>
    </row>
    <row r="129" spans="1:13">
      <c r="A129" s="32">
        <f t="shared" ca="1" si="1"/>
        <v>139</v>
      </c>
      <c r="B129" s="32" cm="1">
        <f t="array" aca="1" ref="B129" ca="1">INDEX(Data_DBD!$B:$B,$A129)</f>
        <v>52</v>
      </c>
      <c r="C129" s="32" cm="1">
        <f t="array" aca="1" ref="C129" ca="1">INDEX(Data_DBD!$C:$C,$A129)</f>
        <v>7</v>
      </c>
      <c r="D129" s="32" cm="1">
        <f t="array" aca="1" ref="D129" ca="1">INDEX(Data_DBD!$D:$D,$A129)</f>
        <v>21</v>
      </c>
      <c r="E129" s="32" cm="1">
        <f t="array" aca="1" ref="E129" ca="1">INDEX(Data_DBD!$E:$E,$A129)</f>
        <v>0</v>
      </c>
      <c r="F129" s="32" cm="1">
        <f t="array" aca="1" ref="F129" ca="1">INDEX(Data_DBD!$F:$F,$A129)</f>
        <v>3</v>
      </c>
      <c r="H129" s="32">
        <v>148</v>
      </c>
      <c r="I129" s="32">
        <v>55</v>
      </c>
      <c r="J129" s="32">
        <v>3</v>
      </c>
      <c r="K129" s="32">
        <v>21</v>
      </c>
      <c r="L129" s="32">
        <v>1</v>
      </c>
      <c r="M129" s="32">
        <v>3</v>
      </c>
    </row>
    <row r="130" spans="1:13">
      <c r="A130" s="32">
        <f t="shared" ca="1" si="1"/>
        <v>160</v>
      </c>
      <c r="B130" s="32" cm="1">
        <f t="array" aca="1" ref="B130" ca="1">INDEX(Data_DBD!$B:$B,$A130)</f>
        <v>16</v>
      </c>
      <c r="C130" s="32" cm="1">
        <f t="array" aca="1" ref="C130" ca="1">INDEX(Data_DBD!$C:$C,$A130)</f>
        <v>3</v>
      </c>
      <c r="D130" s="32" cm="1">
        <f t="array" aca="1" ref="D130" ca="1">INDEX(Data_DBD!$D:$D,$A130)</f>
        <v>21</v>
      </c>
      <c r="E130" s="32" cm="1">
        <f t="array" aca="1" ref="E130" ca="1">INDEX(Data_DBD!$E:$E,$A130)</f>
        <v>0</v>
      </c>
      <c r="F130" s="32" cm="1">
        <f t="array" aca="1" ref="F130" ca="1">INDEX(Data_DBD!$F:$F,$A130)</f>
        <v>3</v>
      </c>
      <c r="H130" s="32">
        <v>37</v>
      </c>
      <c r="I130" s="32">
        <v>28</v>
      </c>
      <c r="J130" s="32">
        <v>4</v>
      </c>
      <c r="K130" s="32">
        <v>4</v>
      </c>
      <c r="L130" s="32">
        <v>1</v>
      </c>
      <c r="M130" s="32">
        <v>1</v>
      </c>
    </row>
    <row r="131" spans="1:13">
      <c r="A131" s="32">
        <f t="shared" ref="A131:A164" ca="1" si="2">RANDBETWEEN(2,164)</f>
        <v>106</v>
      </c>
      <c r="B131" s="32" cm="1">
        <f t="array" aca="1" ref="B131" ca="1">INDEX(Data_DBD!$B:$B,$A131)</f>
        <v>23</v>
      </c>
      <c r="C131" s="32" cm="1">
        <f t="array" aca="1" ref="C131" ca="1">INDEX(Data_DBD!$C:$C,$A131)</f>
        <v>3</v>
      </c>
      <c r="D131" s="32" cm="1">
        <f t="array" aca="1" ref="D131" ca="1">INDEX(Data_DBD!$D:$D,$A131)</f>
        <v>18</v>
      </c>
      <c r="E131" s="32" cm="1">
        <f t="array" aca="1" ref="E131" ca="1">INDEX(Data_DBD!$E:$E,$A131)</f>
        <v>1</v>
      </c>
      <c r="F131" s="32" cm="1">
        <f t="array" aca="1" ref="F131" ca="1">INDEX(Data_DBD!$F:$F,$A131)</f>
        <v>3</v>
      </c>
      <c r="H131" s="32">
        <v>131</v>
      </c>
      <c r="I131" s="32">
        <v>10</v>
      </c>
      <c r="J131" s="32">
        <v>2</v>
      </c>
      <c r="K131" s="32">
        <v>33</v>
      </c>
      <c r="L131" s="32">
        <v>0</v>
      </c>
      <c r="M131" s="32">
        <v>3</v>
      </c>
    </row>
    <row r="132" spans="1:13">
      <c r="A132" s="32">
        <f t="shared" ca="1" si="2"/>
        <v>161</v>
      </c>
      <c r="B132" s="32" cm="1">
        <f t="array" aca="1" ref="B132" ca="1">INDEX(Data_DBD!$B:$B,$A132)</f>
        <v>12</v>
      </c>
      <c r="C132" s="32" cm="1">
        <f t="array" aca="1" ref="C132" ca="1">INDEX(Data_DBD!$C:$C,$A132)</f>
        <v>3</v>
      </c>
      <c r="D132" s="32" cm="1">
        <f t="array" aca="1" ref="D132" ca="1">INDEX(Data_DBD!$D:$D,$A132)</f>
        <v>21</v>
      </c>
      <c r="E132" s="32" cm="1">
        <f t="array" aca="1" ref="E132" ca="1">INDEX(Data_DBD!$E:$E,$A132)</f>
        <v>1</v>
      </c>
      <c r="F132" s="32" cm="1">
        <f t="array" aca="1" ref="F132" ca="1">INDEX(Data_DBD!$F:$F,$A132)</f>
        <v>3</v>
      </c>
      <c r="H132" s="32">
        <v>67</v>
      </c>
      <c r="I132" s="32">
        <v>21</v>
      </c>
      <c r="J132" s="32">
        <v>3</v>
      </c>
      <c r="K132" s="32">
        <v>10</v>
      </c>
      <c r="L132" s="32">
        <v>1</v>
      </c>
      <c r="M132" s="32">
        <v>2</v>
      </c>
    </row>
    <row r="133" spans="1:13">
      <c r="A133" s="32">
        <f t="shared" ca="1" si="2"/>
        <v>14</v>
      </c>
      <c r="B133" s="32" cm="1">
        <f t="array" aca="1" ref="B133" ca="1">INDEX(Data_DBD!$B:$B,$A133)</f>
        <v>49</v>
      </c>
      <c r="C133" s="32" cm="1">
        <f t="array" aca="1" ref="C133" ca="1">INDEX(Data_DBD!$C:$C,$A133)</f>
        <v>4</v>
      </c>
      <c r="D133" s="32" cm="1">
        <f t="array" aca="1" ref="D133" ca="1">INDEX(Data_DBD!$D:$D,$A133)</f>
        <v>7</v>
      </c>
      <c r="E133" s="32" cm="1">
        <f t="array" aca="1" ref="E133" ca="1">INDEX(Data_DBD!$E:$E,$A133)</f>
        <v>1</v>
      </c>
      <c r="F133" s="32" cm="1">
        <f t="array" aca="1" ref="F133" ca="1">INDEX(Data_DBD!$F:$F,$A133)</f>
        <v>1</v>
      </c>
      <c r="H133" s="32">
        <v>129</v>
      </c>
      <c r="I133" s="32">
        <v>4.5</v>
      </c>
      <c r="J133" s="32">
        <v>3</v>
      </c>
      <c r="K133" s="32">
        <v>33</v>
      </c>
      <c r="L133" s="32">
        <v>0</v>
      </c>
      <c r="M133" s="32">
        <v>3</v>
      </c>
    </row>
    <row r="134" spans="1:13">
      <c r="A134" s="32">
        <f t="shared" ca="1" si="2"/>
        <v>42</v>
      </c>
      <c r="B134" s="32" cm="1">
        <f t="array" aca="1" ref="B134" ca="1">INDEX(Data_DBD!$B:$B,$A134)</f>
        <v>21</v>
      </c>
      <c r="C134" s="32" cm="1">
        <f t="array" aca="1" ref="C134" ca="1">INDEX(Data_DBD!$C:$C,$A134)</f>
        <v>5</v>
      </c>
      <c r="D134" s="32" cm="1">
        <f t="array" aca="1" ref="D134" ca="1">INDEX(Data_DBD!$D:$D,$A134)</f>
        <v>13</v>
      </c>
      <c r="E134" s="32" cm="1">
        <f t="array" aca="1" ref="E134" ca="1">INDEX(Data_DBD!$E:$E,$A134)</f>
        <v>1</v>
      </c>
      <c r="F134" s="32" cm="1">
        <f t="array" aca="1" ref="F134" ca="1">INDEX(Data_DBD!$F:$F,$A134)</f>
        <v>2</v>
      </c>
      <c r="H134" s="32">
        <v>131</v>
      </c>
      <c r="I134" s="32">
        <v>10</v>
      </c>
      <c r="J134" s="32">
        <v>2</v>
      </c>
      <c r="K134" s="32">
        <v>33</v>
      </c>
      <c r="L134" s="32">
        <v>0</v>
      </c>
      <c r="M134" s="32">
        <v>3</v>
      </c>
    </row>
    <row r="135" spans="1:13">
      <c r="A135" s="32">
        <f t="shared" ca="1" si="2"/>
        <v>151</v>
      </c>
      <c r="B135" s="32" cm="1">
        <f t="array" aca="1" ref="B135" ca="1">INDEX(Data_DBD!$B:$B,$A135)</f>
        <v>24</v>
      </c>
      <c r="C135" s="32" cm="1">
        <f t="array" aca="1" ref="C135" ca="1">INDEX(Data_DBD!$C:$C,$A135)</f>
        <v>3</v>
      </c>
      <c r="D135" s="32" cm="1">
        <f t="array" aca="1" ref="D135" ca="1">INDEX(Data_DBD!$D:$D,$A135)</f>
        <v>21</v>
      </c>
      <c r="E135" s="32" cm="1">
        <f t="array" aca="1" ref="E135" ca="1">INDEX(Data_DBD!$E:$E,$A135)</f>
        <v>0</v>
      </c>
      <c r="F135" s="32" cm="1">
        <f t="array" aca="1" ref="F135" ca="1">INDEX(Data_DBD!$F:$F,$A135)</f>
        <v>3</v>
      </c>
      <c r="H135" s="32">
        <v>151</v>
      </c>
      <c r="I135" s="32">
        <v>24</v>
      </c>
      <c r="J135" s="32">
        <v>3</v>
      </c>
      <c r="K135" s="32">
        <v>21</v>
      </c>
      <c r="L135" s="32">
        <v>0</v>
      </c>
      <c r="M135" s="32">
        <v>3</v>
      </c>
    </row>
    <row r="136" spans="1:13">
      <c r="A136" s="32">
        <f t="shared" ca="1" si="2"/>
        <v>105</v>
      </c>
      <c r="B136" s="32" cm="1">
        <f t="array" aca="1" ref="B136" ca="1">INDEX(Data_DBD!$B:$B,$A136)</f>
        <v>61</v>
      </c>
      <c r="C136" s="32" cm="1">
        <f t="array" aca="1" ref="C136" ca="1">INDEX(Data_DBD!$C:$C,$A136)</f>
        <v>3</v>
      </c>
      <c r="D136" s="32" cm="1">
        <f t="array" aca="1" ref="D136" ca="1">INDEX(Data_DBD!$D:$D,$A136)</f>
        <v>18</v>
      </c>
      <c r="E136" s="32" cm="1">
        <f t="array" aca="1" ref="E136" ca="1">INDEX(Data_DBD!$E:$E,$A136)</f>
        <v>1</v>
      </c>
      <c r="F136" s="32" cm="1">
        <f t="array" aca="1" ref="F136" ca="1">INDEX(Data_DBD!$F:$F,$A136)</f>
        <v>3</v>
      </c>
      <c r="H136" s="32">
        <v>133</v>
      </c>
      <c r="I136" s="32">
        <v>6</v>
      </c>
      <c r="J136" s="32">
        <v>4</v>
      </c>
      <c r="K136" s="32">
        <v>33</v>
      </c>
      <c r="L136" s="32">
        <v>0</v>
      </c>
      <c r="M136" s="32">
        <v>3</v>
      </c>
    </row>
    <row r="137" spans="1:13">
      <c r="A137" s="32">
        <f t="shared" ca="1" si="2"/>
        <v>31</v>
      </c>
      <c r="B137" s="32" cm="1">
        <f t="array" aca="1" ref="B137" ca="1">INDEX(Data_DBD!$B:$B,$A137)</f>
        <v>64</v>
      </c>
      <c r="C137" s="32" cm="1">
        <f t="array" aca="1" ref="C137" ca="1">INDEX(Data_DBD!$C:$C,$A137)</f>
        <v>4</v>
      </c>
      <c r="D137" s="32" cm="1">
        <f t="array" aca="1" ref="D137" ca="1">INDEX(Data_DBD!$D:$D,$A137)</f>
        <v>14</v>
      </c>
      <c r="E137" s="32" cm="1">
        <f t="array" aca="1" ref="E137" ca="1">INDEX(Data_DBD!$E:$E,$A137)</f>
        <v>1</v>
      </c>
      <c r="F137" s="32" cm="1">
        <f t="array" aca="1" ref="F137" ca="1">INDEX(Data_DBD!$F:$F,$A137)</f>
        <v>2</v>
      </c>
      <c r="H137" s="32">
        <v>15</v>
      </c>
      <c r="I137" s="32">
        <v>21</v>
      </c>
      <c r="J137" s="32">
        <v>2</v>
      </c>
      <c r="K137" s="32">
        <v>7</v>
      </c>
      <c r="L137" s="32">
        <v>0</v>
      </c>
      <c r="M137" s="32">
        <v>1</v>
      </c>
    </row>
    <row r="138" spans="1:13">
      <c r="A138" s="32">
        <f t="shared" ca="1" si="2"/>
        <v>73</v>
      </c>
      <c r="B138" s="32" cm="1">
        <f t="array" aca="1" ref="B138" ca="1">INDEX(Data_DBD!$B:$B,$A138)</f>
        <v>15</v>
      </c>
      <c r="C138" s="32" cm="1">
        <f t="array" aca="1" ref="C138" ca="1">INDEX(Data_DBD!$C:$C,$A138)</f>
        <v>3</v>
      </c>
      <c r="D138" s="32" cm="1">
        <f t="array" aca="1" ref="D138" ca="1">INDEX(Data_DBD!$D:$D,$A138)</f>
        <v>10</v>
      </c>
      <c r="E138" s="32" cm="1">
        <f t="array" aca="1" ref="E138" ca="1">INDEX(Data_DBD!$E:$E,$A138)</f>
        <v>1</v>
      </c>
      <c r="F138" s="32" cm="1">
        <f t="array" aca="1" ref="F138" ca="1">INDEX(Data_DBD!$F:$F,$A138)</f>
        <v>2</v>
      </c>
      <c r="H138" s="32">
        <v>69</v>
      </c>
      <c r="I138" s="32">
        <v>24</v>
      </c>
      <c r="J138" s="32">
        <v>4</v>
      </c>
      <c r="K138" s="32">
        <v>10</v>
      </c>
      <c r="L138" s="32">
        <v>1</v>
      </c>
      <c r="M138" s="32">
        <v>2</v>
      </c>
    </row>
    <row r="139" spans="1:13">
      <c r="A139" s="32">
        <f t="shared" ca="1" si="2"/>
        <v>149</v>
      </c>
      <c r="B139" s="32" cm="1">
        <f t="array" aca="1" ref="B139" ca="1">INDEX(Data_DBD!$B:$B,$A139)</f>
        <v>19</v>
      </c>
      <c r="C139" s="32" cm="1">
        <f t="array" aca="1" ref="C139" ca="1">INDEX(Data_DBD!$C:$C,$A139)</f>
        <v>5</v>
      </c>
      <c r="D139" s="32" cm="1">
        <f t="array" aca="1" ref="D139" ca="1">INDEX(Data_DBD!$D:$D,$A139)</f>
        <v>21</v>
      </c>
      <c r="E139" s="32" cm="1">
        <f t="array" aca="1" ref="E139" ca="1">INDEX(Data_DBD!$E:$E,$A139)</f>
        <v>0</v>
      </c>
      <c r="F139" s="32" cm="1">
        <f t="array" aca="1" ref="F139" ca="1">INDEX(Data_DBD!$F:$F,$A139)</f>
        <v>3</v>
      </c>
      <c r="H139" s="32">
        <v>26</v>
      </c>
      <c r="I139" s="32">
        <v>75</v>
      </c>
      <c r="J139" s="32">
        <v>4</v>
      </c>
      <c r="K139" s="32">
        <v>14</v>
      </c>
      <c r="L139" s="32">
        <v>1</v>
      </c>
      <c r="M139" s="32">
        <v>2</v>
      </c>
    </row>
    <row r="140" spans="1:13">
      <c r="A140" s="32">
        <f t="shared" ca="1" si="2"/>
        <v>58</v>
      </c>
      <c r="B140" s="32" cm="1">
        <f t="array" aca="1" ref="B140" ca="1">INDEX(Data_DBD!$B:$B,$A140)</f>
        <v>17</v>
      </c>
      <c r="C140" s="32" cm="1">
        <f t="array" aca="1" ref="C140" ca="1">INDEX(Data_DBD!$C:$C,$A140)</f>
        <v>3</v>
      </c>
      <c r="D140" s="32" cm="1">
        <f t="array" aca="1" ref="D140" ca="1">INDEX(Data_DBD!$D:$D,$A140)</f>
        <v>15</v>
      </c>
      <c r="E140" s="32" cm="1">
        <f t="array" aca="1" ref="E140" ca="1">INDEX(Data_DBD!$E:$E,$A140)</f>
        <v>0</v>
      </c>
      <c r="F140" s="32" cm="1">
        <f t="array" aca="1" ref="F140" ca="1">INDEX(Data_DBD!$F:$F,$A140)</f>
        <v>2</v>
      </c>
      <c r="H140" s="32">
        <v>43</v>
      </c>
      <c r="I140" s="32">
        <v>15</v>
      </c>
      <c r="J140" s="32">
        <v>4</v>
      </c>
      <c r="K140" s="32">
        <v>13</v>
      </c>
      <c r="L140" s="32">
        <v>0</v>
      </c>
      <c r="M140" s="32">
        <v>2</v>
      </c>
    </row>
    <row r="141" spans="1:13">
      <c r="A141" s="32">
        <f t="shared" ca="1" si="2"/>
        <v>92</v>
      </c>
      <c r="B141" s="32" cm="1">
        <f t="array" aca="1" ref="B141" ca="1">INDEX(Data_DBD!$B:$B,$A141)</f>
        <v>55</v>
      </c>
      <c r="C141" s="32" cm="1">
        <f t="array" aca="1" ref="C141" ca="1">INDEX(Data_DBD!$C:$C,$A141)</f>
        <v>7</v>
      </c>
      <c r="D141" s="32" cm="1">
        <f t="array" aca="1" ref="D141" ca="1">INDEX(Data_DBD!$D:$D,$A141)</f>
        <v>18</v>
      </c>
      <c r="E141" s="32" cm="1">
        <f t="array" aca="1" ref="E141" ca="1">INDEX(Data_DBD!$E:$E,$A141)</f>
        <v>0</v>
      </c>
      <c r="F141" s="32" cm="1">
        <f t="array" aca="1" ref="F141" ca="1">INDEX(Data_DBD!$F:$F,$A141)</f>
        <v>3</v>
      </c>
      <c r="H141" s="32">
        <v>118</v>
      </c>
      <c r="I141" s="32">
        <v>67</v>
      </c>
      <c r="J141" s="32">
        <v>4</v>
      </c>
      <c r="K141" s="32">
        <v>33</v>
      </c>
      <c r="L141" s="32">
        <v>1</v>
      </c>
      <c r="M141" s="32">
        <v>3</v>
      </c>
    </row>
    <row r="142" spans="1:13">
      <c r="A142" s="32">
        <f t="shared" ca="1" si="2"/>
        <v>95</v>
      </c>
      <c r="B142" s="32" cm="1">
        <f t="array" aca="1" ref="B142" ca="1">INDEX(Data_DBD!$B:$B,$A142)</f>
        <v>11</v>
      </c>
      <c r="C142" s="32" cm="1">
        <f t="array" aca="1" ref="C142" ca="1">INDEX(Data_DBD!$C:$C,$A142)</f>
        <v>3</v>
      </c>
      <c r="D142" s="32" cm="1">
        <f t="array" aca="1" ref="D142" ca="1">INDEX(Data_DBD!$D:$D,$A142)</f>
        <v>18</v>
      </c>
      <c r="E142" s="32" cm="1">
        <f t="array" aca="1" ref="E142" ca="1">INDEX(Data_DBD!$E:$E,$A142)</f>
        <v>1</v>
      </c>
      <c r="F142" s="32" cm="1">
        <f t="array" aca="1" ref="F142" ca="1">INDEX(Data_DBD!$F:$F,$A142)</f>
        <v>3</v>
      </c>
      <c r="H142" s="32">
        <v>93</v>
      </c>
      <c r="I142" s="32">
        <v>65</v>
      </c>
      <c r="J142" s="32">
        <v>4</v>
      </c>
      <c r="K142" s="32">
        <v>18</v>
      </c>
      <c r="L142" s="32">
        <v>0</v>
      </c>
      <c r="M142" s="32">
        <v>3</v>
      </c>
    </row>
    <row r="143" spans="1:13">
      <c r="A143" s="32">
        <f t="shared" ca="1" si="2"/>
        <v>125</v>
      </c>
      <c r="B143" s="32" cm="1">
        <f t="array" aca="1" ref="B143" ca="1">INDEX(Data_DBD!$B:$B,$A143)</f>
        <v>39</v>
      </c>
      <c r="C143" s="32" cm="1">
        <f t="array" aca="1" ref="C143" ca="1">INDEX(Data_DBD!$C:$C,$A143)</f>
        <v>4</v>
      </c>
      <c r="D143" s="32" cm="1">
        <f t="array" aca="1" ref="D143" ca="1">INDEX(Data_DBD!$D:$D,$A143)</f>
        <v>33</v>
      </c>
      <c r="E143" s="32" cm="1">
        <f t="array" aca="1" ref="E143" ca="1">INDEX(Data_DBD!$E:$E,$A143)</f>
        <v>0</v>
      </c>
      <c r="F143" s="32" cm="1">
        <f t="array" aca="1" ref="F143" ca="1">INDEX(Data_DBD!$F:$F,$A143)</f>
        <v>3</v>
      </c>
      <c r="H143" s="32">
        <v>73</v>
      </c>
      <c r="I143" s="32">
        <v>15</v>
      </c>
      <c r="J143" s="32">
        <v>3</v>
      </c>
      <c r="K143" s="32">
        <v>10</v>
      </c>
      <c r="L143" s="32">
        <v>1</v>
      </c>
      <c r="M143" s="32">
        <v>2</v>
      </c>
    </row>
    <row r="144" spans="1:13">
      <c r="A144" s="32">
        <f t="shared" ca="1" si="2"/>
        <v>144</v>
      </c>
      <c r="B144" s="32" cm="1">
        <f t="array" aca="1" ref="B144" ca="1">INDEX(Data_DBD!$B:$B,$A144)</f>
        <v>61</v>
      </c>
      <c r="C144" s="32" cm="1">
        <f t="array" aca="1" ref="C144" ca="1">INDEX(Data_DBD!$C:$C,$A144)</f>
        <v>4</v>
      </c>
      <c r="D144" s="32" cm="1">
        <f t="array" aca="1" ref="D144" ca="1">INDEX(Data_DBD!$D:$D,$A144)</f>
        <v>21</v>
      </c>
      <c r="E144" s="32" cm="1">
        <f t="array" aca="1" ref="E144" ca="1">INDEX(Data_DBD!$E:$E,$A144)</f>
        <v>1</v>
      </c>
      <c r="F144" s="32" cm="1">
        <f t="array" aca="1" ref="F144" ca="1">INDEX(Data_DBD!$F:$F,$A144)</f>
        <v>3</v>
      </c>
      <c r="H144" s="32">
        <v>47</v>
      </c>
      <c r="I144" s="32">
        <v>19</v>
      </c>
      <c r="J144" s="32">
        <v>2</v>
      </c>
      <c r="K144" s="32">
        <v>13</v>
      </c>
      <c r="L144" s="32">
        <v>0</v>
      </c>
      <c r="M144" s="32">
        <v>2</v>
      </c>
    </row>
    <row r="145" spans="1:13">
      <c r="A145" s="32">
        <f t="shared" ca="1" si="2"/>
        <v>140</v>
      </c>
      <c r="B145" s="32" cm="1">
        <f t="array" aca="1" ref="B145" ca="1">INDEX(Data_DBD!$B:$B,$A145)</f>
        <v>74</v>
      </c>
      <c r="C145" s="32" cm="1">
        <f t="array" aca="1" ref="C145" ca="1">INDEX(Data_DBD!$C:$C,$A145)</f>
        <v>5</v>
      </c>
      <c r="D145" s="32" cm="1">
        <f t="array" aca="1" ref="D145" ca="1">INDEX(Data_DBD!$D:$D,$A145)</f>
        <v>21</v>
      </c>
      <c r="E145" s="32" cm="1">
        <f t="array" aca="1" ref="E145" ca="1">INDEX(Data_DBD!$E:$E,$A145)</f>
        <v>1</v>
      </c>
      <c r="F145" s="32" cm="1">
        <f t="array" aca="1" ref="F145" ca="1">INDEX(Data_DBD!$F:$F,$A145)</f>
        <v>3</v>
      </c>
      <c r="H145" s="32">
        <v>122</v>
      </c>
      <c r="I145" s="32">
        <v>28</v>
      </c>
      <c r="J145" s="32">
        <v>3</v>
      </c>
      <c r="K145" s="32">
        <v>33</v>
      </c>
      <c r="L145" s="32">
        <v>1</v>
      </c>
      <c r="M145" s="32">
        <v>3</v>
      </c>
    </row>
    <row r="146" spans="1:13">
      <c r="A146" s="32">
        <f t="shared" ca="1" si="2"/>
        <v>100</v>
      </c>
      <c r="B146" s="32" cm="1">
        <f t="array" aca="1" ref="B146" ca="1">INDEX(Data_DBD!$B:$B,$A146)</f>
        <v>19</v>
      </c>
      <c r="C146" s="32" cm="1">
        <f t="array" aca="1" ref="C146" ca="1">INDEX(Data_DBD!$C:$C,$A146)</f>
        <v>6</v>
      </c>
      <c r="D146" s="32" cm="1">
        <f t="array" aca="1" ref="D146" ca="1">INDEX(Data_DBD!$D:$D,$A146)</f>
        <v>18</v>
      </c>
      <c r="E146" s="32" cm="1">
        <f t="array" aca="1" ref="E146" ca="1">INDEX(Data_DBD!$E:$E,$A146)</f>
        <v>0</v>
      </c>
      <c r="F146" s="32" cm="1">
        <f t="array" aca="1" ref="F146" ca="1">INDEX(Data_DBD!$F:$F,$A146)</f>
        <v>3</v>
      </c>
      <c r="H146" s="32">
        <v>66</v>
      </c>
      <c r="I146" s="32">
        <v>21</v>
      </c>
      <c r="J146" s="32">
        <v>5</v>
      </c>
      <c r="K146" s="32">
        <v>15</v>
      </c>
      <c r="L146" s="32">
        <v>1</v>
      </c>
      <c r="M146" s="32">
        <v>2</v>
      </c>
    </row>
    <row r="147" spans="1:13">
      <c r="A147" s="32">
        <f t="shared" ca="1" si="2"/>
        <v>112</v>
      </c>
      <c r="B147" s="32" cm="1">
        <f t="array" aca="1" ref="B147" ca="1">INDEX(Data_DBD!$B:$B,$A147)</f>
        <v>61</v>
      </c>
      <c r="C147" s="32" cm="1">
        <f t="array" aca="1" ref="C147" ca="1">INDEX(Data_DBD!$C:$C,$A147)</f>
        <v>3</v>
      </c>
      <c r="D147" s="32" cm="1">
        <f t="array" aca="1" ref="D147" ca="1">INDEX(Data_DBD!$D:$D,$A147)</f>
        <v>33</v>
      </c>
      <c r="E147" s="32" cm="1">
        <f t="array" aca="1" ref="E147" ca="1">INDEX(Data_DBD!$E:$E,$A147)</f>
        <v>1</v>
      </c>
      <c r="F147" s="32" cm="1">
        <f t="array" aca="1" ref="F147" ca="1">INDEX(Data_DBD!$F:$F,$A147)</f>
        <v>3</v>
      </c>
      <c r="H147" s="32">
        <v>14</v>
      </c>
      <c r="I147" s="32">
        <v>49</v>
      </c>
      <c r="J147" s="32">
        <v>4</v>
      </c>
      <c r="K147" s="32">
        <v>7</v>
      </c>
      <c r="L147" s="32">
        <v>1</v>
      </c>
      <c r="M147" s="32">
        <v>1</v>
      </c>
    </row>
    <row r="148" spans="1:13">
      <c r="A148" s="32">
        <f t="shared" ca="1" si="2"/>
        <v>130</v>
      </c>
      <c r="B148" s="32" cm="1">
        <f t="array" aca="1" ref="B148" ca="1">INDEX(Data_DBD!$B:$B,$A148)</f>
        <v>12</v>
      </c>
      <c r="C148" s="32" cm="1">
        <f t="array" aca="1" ref="C148" ca="1">INDEX(Data_DBD!$C:$C,$A148)</f>
        <v>4</v>
      </c>
      <c r="D148" s="32" cm="1">
        <f t="array" aca="1" ref="D148" ca="1">INDEX(Data_DBD!$D:$D,$A148)</f>
        <v>33</v>
      </c>
      <c r="E148" s="32" cm="1">
        <f t="array" aca="1" ref="E148" ca="1">INDEX(Data_DBD!$E:$E,$A148)</f>
        <v>0</v>
      </c>
      <c r="F148" s="32" cm="1">
        <f t="array" aca="1" ref="F148" ca="1">INDEX(Data_DBD!$F:$F,$A148)</f>
        <v>3</v>
      </c>
      <c r="H148" s="32">
        <v>59</v>
      </c>
      <c r="I148" s="32">
        <v>28</v>
      </c>
      <c r="J148" s="32">
        <v>4</v>
      </c>
      <c r="K148" s="32">
        <v>15</v>
      </c>
      <c r="L148" s="32">
        <v>0</v>
      </c>
      <c r="M148" s="32">
        <v>2</v>
      </c>
    </row>
    <row r="149" spans="1:13">
      <c r="A149" s="32">
        <f t="shared" ca="1" si="2"/>
        <v>114</v>
      </c>
      <c r="B149" s="32" cm="1">
        <f t="array" aca="1" ref="B149" ca="1">INDEX(Data_DBD!$B:$B,$A149)</f>
        <v>14</v>
      </c>
      <c r="C149" s="32" cm="1">
        <f t="array" aca="1" ref="C149" ca="1">INDEX(Data_DBD!$C:$C,$A149)</f>
        <v>2</v>
      </c>
      <c r="D149" s="32" cm="1">
        <f t="array" aca="1" ref="D149" ca="1">INDEX(Data_DBD!$D:$D,$A149)</f>
        <v>33</v>
      </c>
      <c r="E149" s="32" cm="1">
        <f t="array" aca="1" ref="E149" ca="1">INDEX(Data_DBD!$E:$E,$A149)</f>
        <v>1</v>
      </c>
      <c r="F149" s="32" cm="1">
        <f t="array" aca="1" ref="F149" ca="1">INDEX(Data_DBD!$F:$F,$A149)</f>
        <v>3</v>
      </c>
      <c r="H149" s="32">
        <v>93</v>
      </c>
      <c r="I149" s="32">
        <v>65</v>
      </c>
      <c r="J149" s="32">
        <v>4</v>
      </c>
      <c r="K149" s="32">
        <v>18</v>
      </c>
      <c r="L149" s="32">
        <v>0</v>
      </c>
      <c r="M149" s="32">
        <v>3</v>
      </c>
    </row>
    <row r="150" spans="1:13">
      <c r="A150" s="32">
        <f t="shared" ca="1" si="2"/>
        <v>58</v>
      </c>
      <c r="B150" s="32" cm="1">
        <f t="array" aca="1" ref="B150" ca="1">INDEX(Data_DBD!$B:$B,$A150)</f>
        <v>17</v>
      </c>
      <c r="C150" s="32" cm="1">
        <f t="array" aca="1" ref="C150" ca="1">INDEX(Data_DBD!$C:$C,$A150)</f>
        <v>3</v>
      </c>
      <c r="D150" s="32" cm="1">
        <f t="array" aca="1" ref="D150" ca="1">INDEX(Data_DBD!$D:$D,$A150)</f>
        <v>15</v>
      </c>
      <c r="E150" s="32" cm="1">
        <f t="array" aca="1" ref="E150" ca="1">INDEX(Data_DBD!$E:$E,$A150)</f>
        <v>0</v>
      </c>
      <c r="F150" s="32" cm="1">
        <f t="array" aca="1" ref="F150" ca="1">INDEX(Data_DBD!$F:$F,$A150)</f>
        <v>2</v>
      </c>
      <c r="H150" s="32">
        <v>48</v>
      </c>
      <c r="I150" s="32">
        <v>50</v>
      </c>
      <c r="J150" s="32">
        <v>5</v>
      </c>
      <c r="K150" s="32">
        <v>13</v>
      </c>
      <c r="L150" s="32">
        <v>1</v>
      </c>
      <c r="M150" s="32">
        <v>2</v>
      </c>
    </row>
    <row r="151" spans="1:13">
      <c r="A151" s="32">
        <f t="shared" ca="1" si="2"/>
        <v>95</v>
      </c>
      <c r="B151" s="32" cm="1">
        <f t="array" aca="1" ref="B151" ca="1">INDEX(Data_DBD!$B:$B,$A151)</f>
        <v>11</v>
      </c>
      <c r="C151" s="32" cm="1">
        <f t="array" aca="1" ref="C151" ca="1">INDEX(Data_DBD!$C:$C,$A151)</f>
        <v>3</v>
      </c>
      <c r="D151" s="32" cm="1">
        <f t="array" aca="1" ref="D151" ca="1">INDEX(Data_DBD!$D:$D,$A151)</f>
        <v>18</v>
      </c>
      <c r="E151" s="32" cm="1">
        <f t="array" aca="1" ref="E151" ca="1">INDEX(Data_DBD!$E:$E,$A151)</f>
        <v>1</v>
      </c>
      <c r="F151" s="32" cm="1">
        <f t="array" aca="1" ref="F151" ca="1">INDEX(Data_DBD!$F:$F,$A151)</f>
        <v>3</v>
      </c>
      <c r="H151" s="32">
        <v>62</v>
      </c>
      <c r="I151" s="32">
        <v>43</v>
      </c>
      <c r="J151" s="32">
        <v>4</v>
      </c>
      <c r="K151" s="32">
        <v>15</v>
      </c>
      <c r="L151" s="32">
        <v>1</v>
      </c>
      <c r="M151" s="32">
        <v>2</v>
      </c>
    </row>
    <row r="152" spans="1:13">
      <c r="A152" s="32">
        <f t="shared" ca="1" si="2"/>
        <v>137</v>
      </c>
      <c r="B152" s="32" cm="1">
        <f t="array" aca="1" ref="B152" ca="1">INDEX(Data_DBD!$B:$B,$A152)</f>
        <v>3.5</v>
      </c>
      <c r="C152" s="32" cm="1">
        <f t="array" aca="1" ref="C152" ca="1">INDEX(Data_DBD!$C:$C,$A152)</f>
        <v>1</v>
      </c>
      <c r="D152" s="32" cm="1">
        <f t="array" aca="1" ref="D152" ca="1">INDEX(Data_DBD!$D:$D,$A152)</f>
        <v>33</v>
      </c>
      <c r="E152" s="32" cm="1">
        <f t="array" aca="1" ref="E152" ca="1">INDEX(Data_DBD!$E:$E,$A152)</f>
        <v>1</v>
      </c>
      <c r="F152" s="32" cm="1">
        <f t="array" aca="1" ref="F152" ca="1">INDEX(Data_DBD!$F:$F,$A152)</f>
        <v>3</v>
      </c>
      <c r="H152" s="32">
        <v>146</v>
      </c>
      <c r="I152" s="32">
        <v>34</v>
      </c>
      <c r="J152" s="32">
        <v>2</v>
      </c>
      <c r="K152" s="32">
        <v>21</v>
      </c>
      <c r="L152" s="32">
        <v>1</v>
      </c>
      <c r="M152" s="32">
        <v>3</v>
      </c>
    </row>
    <row r="153" spans="1:13">
      <c r="A153" s="32">
        <f t="shared" ca="1" si="2"/>
        <v>77</v>
      </c>
      <c r="B153" s="32" cm="1">
        <f t="array" aca="1" ref="B153" ca="1">INDEX(Data_DBD!$B:$B,$A153)</f>
        <v>16</v>
      </c>
      <c r="C153" s="32" cm="1">
        <f t="array" aca="1" ref="C153" ca="1">INDEX(Data_DBD!$C:$C,$A153)</f>
        <v>4</v>
      </c>
      <c r="D153" s="32" cm="1">
        <f t="array" aca="1" ref="D153" ca="1">INDEX(Data_DBD!$D:$D,$A153)</f>
        <v>13</v>
      </c>
      <c r="E153" s="32" cm="1">
        <f t="array" aca="1" ref="E153" ca="1">INDEX(Data_DBD!$E:$E,$A153)</f>
        <v>1</v>
      </c>
      <c r="F153" s="32" cm="1">
        <f t="array" aca="1" ref="F153" ca="1">INDEX(Data_DBD!$F:$F,$A153)</f>
        <v>2</v>
      </c>
      <c r="H153" s="32">
        <v>82</v>
      </c>
      <c r="I153" s="32">
        <v>28</v>
      </c>
      <c r="J153" s="32">
        <v>3</v>
      </c>
      <c r="K153" s="32">
        <v>13</v>
      </c>
      <c r="L153" s="32">
        <v>1</v>
      </c>
      <c r="M153" s="32">
        <v>2</v>
      </c>
    </row>
    <row r="154" spans="1:13">
      <c r="A154" s="32">
        <f t="shared" ca="1" si="2"/>
        <v>26</v>
      </c>
      <c r="B154" s="32" cm="1">
        <f t="array" aca="1" ref="B154" ca="1">INDEX(Data_DBD!$B:$B,$A154)</f>
        <v>75</v>
      </c>
      <c r="C154" s="32" cm="1">
        <f t="array" aca="1" ref="C154" ca="1">INDEX(Data_DBD!$C:$C,$A154)</f>
        <v>4</v>
      </c>
      <c r="D154" s="32" cm="1">
        <f t="array" aca="1" ref="D154" ca="1">INDEX(Data_DBD!$D:$D,$A154)</f>
        <v>14</v>
      </c>
      <c r="E154" s="32" cm="1">
        <f t="array" aca="1" ref="E154" ca="1">INDEX(Data_DBD!$E:$E,$A154)</f>
        <v>1</v>
      </c>
      <c r="F154" s="32" cm="1">
        <f t="array" aca="1" ref="F154" ca="1">INDEX(Data_DBD!$F:$F,$A154)</f>
        <v>2</v>
      </c>
      <c r="H154" s="32">
        <v>24</v>
      </c>
      <c r="I154" s="32">
        <v>60</v>
      </c>
      <c r="J154" s="32">
        <v>4</v>
      </c>
      <c r="K154" s="32">
        <v>14</v>
      </c>
      <c r="L154" s="32">
        <v>0</v>
      </c>
      <c r="M154" s="32">
        <v>2</v>
      </c>
    </row>
    <row r="155" spans="1:13">
      <c r="A155" s="32">
        <f t="shared" ca="1" si="2"/>
        <v>106</v>
      </c>
      <c r="B155" s="32" cm="1">
        <f t="array" aca="1" ref="B155" ca="1">INDEX(Data_DBD!$B:$B,$A155)</f>
        <v>23</v>
      </c>
      <c r="C155" s="32" cm="1">
        <f t="array" aca="1" ref="C155" ca="1">INDEX(Data_DBD!$C:$C,$A155)</f>
        <v>3</v>
      </c>
      <c r="D155" s="32" cm="1">
        <f t="array" aca="1" ref="D155" ca="1">INDEX(Data_DBD!$D:$D,$A155)</f>
        <v>18</v>
      </c>
      <c r="E155" s="32" cm="1">
        <f t="array" aca="1" ref="E155" ca="1">INDEX(Data_DBD!$E:$E,$A155)</f>
        <v>1</v>
      </c>
      <c r="F155" s="32" cm="1">
        <f t="array" aca="1" ref="F155" ca="1">INDEX(Data_DBD!$F:$F,$A155)</f>
        <v>3</v>
      </c>
      <c r="H155" s="32">
        <v>28</v>
      </c>
      <c r="I155" s="32">
        <v>22</v>
      </c>
      <c r="J155" s="32">
        <v>2</v>
      </c>
      <c r="K155" s="32">
        <v>14</v>
      </c>
      <c r="L155" s="32">
        <v>1</v>
      </c>
      <c r="M155" s="32">
        <v>2</v>
      </c>
    </row>
    <row r="156" spans="1:13">
      <c r="A156" s="32">
        <f t="shared" ca="1" si="2"/>
        <v>56</v>
      </c>
      <c r="B156" s="32" cm="1">
        <f t="array" aca="1" ref="B156" ca="1">INDEX(Data_DBD!$B:$B,$A156)</f>
        <v>4</v>
      </c>
      <c r="C156" s="32" cm="1">
        <f t="array" aca="1" ref="C156" ca="1">INDEX(Data_DBD!$C:$C,$A156)</f>
        <v>3</v>
      </c>
      <c r="D156" s="32" cm="1">
        <f t="array" aca="1" ref="D156" ca="1">INDEX(Data_DBD!$D:$D,$A156)</f>
        <v>15</v>
      </c>
      <c r="E156" s="32" cm="1">
        <f t="array" aca="1" ref="E156" ca="1">INDEX(Data_DBD!$E:$E,$A156)</f>
        <v>0</v>
      </c>
      <c r="F156" s="32" cm="1">
        <f t="array" aca="1" ref="F156" ca="1">INDEX(Data_DBD!$F:$F,$A156)</f>
        <v>2</v>
      </c>
      <c r="H156" s="32">
        <v>136</v>
      </c>
      <c r="I156" s="32">
        <v>6</v>
      </c>
      <c r="J156" s="32">
        <v>2</v>
      </c>
      <c r="K156" s="32">
        <v>33</v>
      </c>
      <c r="L156" s="32">
        <v>0</v>
      </c>
      <c r="M156" s="32">
        <v>3</v>
      </c>
    </row>
    <row r="157" spans="1:13">
      <c r="A157" s="32">
        <f t="shared" ca="1" si="2"/>
        <v>8</v>
      </c>
      <c r="B157" s="32" cm="1">
        <f t="array" aca="1" ref="B157" ca="1">INDEX(Data_DBD!$B:$B,$A157)</f>
        <v>4</v>
      </c>
      <c r="C157" s="32" cm="1">
        <f t="array" aca="1" ref="C157" ca="1">INDEX(Data_DBD!$C:$C,$A157)</f>
        <v>2</v>
      </c>
      <c r="D157" s="32" cm="1">
        <f t="array" aca="1" ref="D157" ca="1">INDEX(Data_DBD!$D:$D,$A157)</f>
        <v>12</v>
      </c>
      <c r="E157" s="32" cm="1">
        <f t="array" aca="1" ref="E157" ca="1">INDEX(Data_DBD!$E:$E,$A157)</f>
        <v>0</v>
      </c>
      <c r="F157" s="32" cm="1">
        <f t="array" aca="1" ref="F157" ca="1">INDEX(Data_DBD!$F:$F,$A157)</f>
        <v>2</v>
      </c>
      <c r="H157" s="32">
        <v>103</v>
      </c>
      <c r="I157" s="32">
        <v>22</v>
      </c>
      <c r="J157" s="32">
        <v>5</v>
      </c>
      <c r="K157" s="32">
        <v>18</v>
      </c>
      <c r="L157" s="32">
        <v>0</v>
      </c>
      <c r="M157" s="32">
        <v>3</v>
      </c>
    </row>
    <row r="158" spans="1:13" ht="15.75">
      <c r="A158" s="32">
        <f t="shared" ca="1" si="2"/>
        <v>163</v>
      </c>
      <c r="B158" s="32" cm="1">
        <f t="array" aca="1" ref="B158" ca="1">INDEX(Data_DBD!$B:$B,$A158)</f>
        <v>34</v>
      </c>
      <c r="C158" s="32" cm="1">
        <f t="array" aca="1" ref="C158" ca="1">INDEX(Data_DBD!$C:$C,$A158)</f>
        <v>4</v>
      </c>
      <c r="D158" s="32" cm="1">
        <f t="array" aca="1" ref="D158" ca="1">INDEX(Data_DBD!$D:$D,$A158)</f>
        <v>3</v>
      </c>
      <c r="E158" s="32" cm="1">
        <f t="array" aca="1" ref="E158" ca="1">INDEX(Data_DBD!$E:$E,$A158)</f>
        <v>1</v>
      </c>
      <c r="F158" s="32" cm="1">
        <f t="array" aca="1" ref="F158" ca="1">INDEX(Data_DBD!$F:$F,$A158)</f>
        <v>1</v>
      </c>
      <c r="H158" s="32">
        <v>156</v>
      </c>
      <c r="I158" s="32">
        <v>5</v>
      </c>
      <c r="J158" s="32">
        <v>2</v>
      </c>
      <c r="K158" s="32">
        <v>21</v>
      </c>
      <c r="L158" s="58">
        <v>0</v>
      </c>
      <c r="M158" s="32">
        <v>3</v>
      </c>
    </row>
    <row r="159" spans="1:13" ht="15.75">
      <c r="A159" s="32">
        <f t="shared" ca="1" si="2"/>
        <v>145</v>
      </c>
      <c r="B159" s="32" cm="1">
        <f t="array" aca="1" ref="B159" ca="1">INDEX(Data_DBD!$B:$B,$A159)</f>
        <v>28</v>
      </c>
      <c r="C159" s="32" cm="1">
        <f t="array" aca="1" ref="C159" ca="1">INDEX(Data_DBD!$C:$C,$A159)</f>
        <v>4</v>
      </c>
      <c r="D159" s="32" cm="1">
        <f t="array" aca="1" ref="D159" ca="1">INDEX(Data_DBD!$D:$D,$A159)</f>
        <v>21</v>
      </c>
      <c r="E159" s="32" cm="1">
        <f t="array" aca="1" ref="E159" ca="1">INDEX(Data_DBD!$E:$E,$A159)</f>
        <v>1</v>
      </c>
      <c r="F159" s="32" cm="1">
        <f t="array" aca="1" ref="F159" ca="1">INDEX(Data_DBD!$F:$F,$A159)</f>
        <v>3</v>
      </c>
      <c r="H159" s="32">
        <v>122</v>
      </c>
      <c r="I159" s="32">
        <v>28</v>
      </c>
      <c r="J159" s="32">
        <v>3</v>
      </c>
      <c r="K159" s="32">
        <v>33</v>
      </c>
      <c r="L159" s="59">
        <v>1</v>
      </c>
      <c r="M159" s="32">
        <v>3</v>
      </c>
    </row>
    <row r="160" spans="1:13" ht="15.75">
      <c r="A160" s="32">
        <f t="shared" ca="1" si="2"/>
        <v>52</v>
      </c>
      <c r="B160" s="32" cm="1">
        <f t="array" aca="1" ref="B160" ca="1">INDEX(Data_DBD!$B:$B,$A160)</f>
        <v>59</v>
      </c>
      <c r="C160" s="32" cm="1">
        <f t="array" aca="1" ref="C160" ca="1">INDEX(Data_DBD!$C:$C,$A160)</f>
        <v>4</v>
      </c>
      <c r="D160" s="32" cm="1">
        <f t="array" aca="1" ref="D160" ca="1">INDEX(Data_DBD!$D:$D,$A160)</f>
        <v>15</v>
      </c>
      <c r="E160" s="32" cm="1">
        <f t="array" aca="1" ref="E160" ca="1">INDEX(Data_DBD!$E:$E,$A160)</f>
        <v>1</v>
      </c>
      <c r="F160" s="32" cm="1">
        <f t="array" aca="1" ref="F160" ca="1">INDEX(Data_DBD!$F:$F,$A160)</f>
        <v>2</v>
      </c>
      <c r="H160" s="32">
        <v>10</v>
      </c>
      <c r="I160" s="32">
        <v>18</v>
      </c>
      <c r="J160" s="32">
        <v>5</v>
      </c>
      <c r="K160" s="32">
        <v>12</v>
      </c>
      <c r="L160" s="60">
        <v>0</v>
      </c>
      <c r="M160" s="32">
        <v>2</v>
      </c>
    </row>
    <row r="161" spans="1:22" ht="15.75">
      <c r="A161" s="32">
        <f t="shared" ca="1" si="2"/>
        <v>85</v>
      </c>
      <c r="B161" s="32" cm="1">
        <f t="array" aca="1" ref="B161" ca="1">INDEX(Data_DBD!$B:$B,$A161)</f>
        <v>27</v>
      </c>
      <c r="C161" s="32" cm="1">
        <f t="array" aca="1" ref="C161" ca="1">INDEX(Data_DBD!$C:$C,$A161)</f>
        <v>9</v>
      </c>
      <c r="D161" s="32" cm="1">
        <f t="array" aca="1" ref="D161" ca="1">INDEX(Data_DBD!$D:$D,$A161)</f>
        <v>13</v>
      </c>
      <c r="E161" s="32" cm="1">
        <f t="array" aca="1" ref="E161" ca="1">INDEX(Data_DBD!$E:$E,$A161)</f>
        <v>0</v>
      </c>
      <c r="F161" s="32" cm="1">
        <f t="array" aca="1" ref="F161" ca="1">INDEX(Data_DBD!$F:$F,$A161)</f>
        <v>2</v>
      </c>
      <c r="H161" s="32">
        <v>91</v>
      </c>
      <c r="I161" s="32">
        <v>35</v>
      </c>
      <c r="J161" s="32">
        <v>1</v>
      </c>
      <c r="K161" s="32">
        <v>18</v>
      </c>
      <c r="L161" s="60">
        <v>1</v>
      </c>
      <c r="M161" s="32">
        <v>3</v>
      </c>
    </row>
    <row r="162" spans="1:22" ht="15.75">
      <c r="A162" s="32">
        <f t="shared" ca="1" si="2"/>
        <v>105</v>
      </c>
      <c r="B162" s="32" cm="1">
        <f t="array" aca="1" ref="B162" ca="1">INDEX(Data_DBD!$B:$B,$A162)</f>
        <v>61</v>
      </c>
      <c r="C162" s="32" cm="1">
        <f t="array" aca="1" ref="C162" ca="1">INDEX(Data_DBD!$C:$C,$A162)</f>
        <v>3</v>
      </c>
      <c r="D162" s="32" cm="1">
        <f t="array" aca="1" ref="D162" ca="1">INDEX(Data_DBD!$D:$D,$A162)</f>
        <v>18</v>
      </c>
      <c r="E162" s="32" cm="1">
        <f t="array" aca="1" ref="E162" ca="1">INDEX(Data_DBD!$E:$E,$A162)</f>
        <v>1</v>
      </c>
      <c r="F162" s="32" cm="1">
        <f t="array" aca="1" ref="F162" ca="1">INDEX(Data_DBD!$F:$F,$A162)</f>
        <v>3</v>
      </c>
      <c r="H162" s="32">
        <v>15</v>
      </c>
      <c r="I162" s="32">
        <v>21</v>
      </c>
      <c r="J162" s="32">
        <v>2</v>
      </c>
      <c r="K162" s="32">
        <v>7</v>
      </c>
      <c r="L162" s="59">
        <v>0</v>
      </c>
      <c r="M162" s="32">
        <v>1</v>
      </c>
    </row>
    <row r="163" spans="1:22" ht="15.75">
      <c r="A163" s="32">
        <f t="shared" ca="1" si="2"/>
        <v>44</v>
      </c>
      <c r="B163" s="32" cm="1">
        <f t="array" aca="1" ref="B163" ca="1">INDEX(Data_DBD!$B:$B,$A163)</f>
        <v>28</v>
      </c>
      <c r="C163" s="32" cm="1">
        <f t="array" aca="1" ref="C163" ca="1">INDEX(Data_DBD!$C:$C,$A163)</f>
        <v>5</v>
      </c>
      <c r="D163" s="32" cm="1">
        <f t="array" aca="1" ref="D163" ca="1">INDEX(Data_DBD!$D:$D,$A163)</f>
        <v>13</v>
      </c>
      <c r="E163" s="32" cm="1">
        <f t="array" aca="1" ref="E163" ca="1">INDEX(Data_DBD!$E:$E,$A163)</f>
        <v>1</v>
      </c>
      <c r="F163" s="32" cm="1">
        <f t="array" aca="1" ref="F163" ca="1">INDEX(Data_DBD!$F:$F,$A163)</f>
        <v>2</v>
      </c>
      <c r="H163" s="32">
        <v>132</v>
      </c>
      <c r="I163" s="32">
        <v>10</v>
      </c>
      <c r="J163" s="32">
        <v>3</v>
      </c>
      <c r="K163" s="32">
        <v>33</v>
      </c>
      <c r="L163" s="60">
        <v>1</v>
      </c>
      <c r="M163" s="32">
        <v>3</v>
      </c>
    </row>
    <row r="164" spans="1:22">
      <c r="A164" s="32">
        <f t="shared" ca="1" si="2"/>
        <v>27</v>
      </c>
      <c r="B164" s="32" cm="1">
        <f t="array" aca="1" ref="B164" ca="1">INDEX(Data_DBD!$B:$B,$A164)</f>
        <v>37</v>
      </c>
      <c r="C164" s="32" cm="1">
        <f t="array" aca="1" ref="C164" ca="1">INDEX(Data_DBD!$C:$C,$A164)</f>
        <v>4</v>
      </c>
      <c r="D164" s="32" cm="1">
        <f t="array" aca="1" ref="D164" ca="1">INDEX(Data_DBD!$D:$D,$A164)</f>
        <v>14</v>
      </c>
      <c r="E164" s="32" cm="1">
        <f t="array" aca="1" ref="E164" ca="1">INDEX(Data_DBD!$E:$E,$A164)</f>
        <v>1</v>
      </c>
      <c r="F164" s="32" cm="1">
        <f t="array" aca="1" ref="F164" ca="1">INDEX(Data_DBD!$F:$F,$A164)</f>
        <v>2</v>
      </c>
      <c r="H164" s="32">
        <v>132</v>
      </c>
      <c r="I164" s="32">
        <v>10</v>
      </c>
      <c r="J164" s="32">
        <v>3</v>
      </c>
      <c r="K164" s="32">
        <v>33</v>
      </c>
      <c r="L164" s="32">
        <v>1</v>
      </c>
      <c r="M164" s="32">
        <v>3</v>
      </c>
    </row>
    <row r="165" spans="1:22">
      <c r="I165">
        <f>AVERAGE(I2:I164)</f>
        <v>30.654320987654319</v>
      </c>
      <c r="J165">
        <f>AVERAGE(J2:J164)</f>
        <v>3.6134969325153374</v>
      </c>
      <c r="K165">
        <f>AVERAGE(K2:K164)</f>
        <v>17.871165644171779</v>
      </c>
      <c r="L165">
        <f>AVERAGE(L2:L164)</f>
        <v>0.49693251533742333</v>
      </c>
    </row>
    <row r="166" spans="1:22">
      <c r="B166">
        <v>90</v>
      </c>
    </row>
    <row r="168" spans="1:22">
      <c r="E168" s="38" t="s">
        <v>188</v>
      </c>
      <c r="J168" s="38" t="s">
        <v>189</v>
      </c>
      <c r="O168" s="38" t="s">
        <v>190</v>
      </c>
      <c r="T168" s="38" t="s">
        <v>191</v>
      </c>
    </row>
    <row r="169" spans="1:22">
      <c r="E169" s="32" t="s">
        <v>1</v>
      </c>
      <c r="F169" s="32">
        <f>AVERAGEIF($I$2:$I$164,"&lt;="&amp;$I$165)</f>
        <v>17.558823529411764</v>
      </c>
      <c r="G169" s="32">
        <f>AVERAGEIF($I$2:$I$164,"&gt;"&amp;$I$165)</f>
        <v>52.916666666666664</v>
      </c>
      <c r="J169" s="32" t="s">
        <v>192</v>
      </c>
      <c r="K169" s="32">
        <f>AVERAGEIF($J$2:$J$164,"&lt;="&amp;$J$165)</f>
        <v>2.4155844155844157</v>
      </c>
      <c r="L169" s="32">
        <f>AVERAGEIF($J$2:$J$164,"&gt;"&amp;$J$165)</f>
        <v>4.6860465116279073</v>
      </c>
      <c r="O169" s="32" t="s">
        <v>193</v>
      </c>
      <c r="P169" s="32">
        <f>AVERAGEIF($K$2:$K$164,"&lt;="&amp;$K$165)</f>
        <v>11.392857142857142</v>
      </c>
      <c r="Q169" s="32">
        <f>AVERAGEIF($K$2:$K$164,"&gt;"&amp;$K$165)</f>
        <v>24.759493670886076</v>
      </c>
      <c r="T169" s="32" t="s">
        <v>194</v>
      </c>
      <c r="U169" s="32">
        <f>AVERAGEIF($L$2:$L$164,"&lt;="&amp;$L$165)</f>
        <v>0</v>
      </c>
      <c r="V169" s="32">
        <f>AVERAGEIF($L$2:$L$164,"&gt;"&amp;$L$165)</f>
        <v>1</v>
      </c>
    </row>
    <row r="170" spans="1:22">
      <c r="E170" s="32" t="str" cm="1">
        <f t="array" ref="E170:E332">IF($I$2:$I$164&lt;$F$169,"kiri",IF($I$2:$I$164&lt;$G$169,"tengah","kanan"))</f>
        <v>tengah</v>
      </c>
      <c r="F170" s="55" t="s">
        <v>269</v>
      </c>
      <c r="G170" s="32"/>
      <c r="J170" s="32" t="str" cm="1">
        <f t="array" ref="J170:J332">IF($J$2:$J$164&lt;$K$169,"kiri",IF($J$2:$J$164&lt;$L$169,"tengah","kanan"))</f>
        <v>kanan</v>
      </c>
      <c r="K170" s="55" t="s">
        <v>271</v>
      </c>
      <c r="L170" s="32"/>
      <c r="O170" s="32" t="str" cm="1">
        <f t="array" ref="O170:O332">IF($K$2:$K$164&lt;$P$169,"kiri",IF($K$2:$K$164&lt;$Q$169,"tengah","kanan"))</f>
        <v>tengah</v>
      </c>
      <c r="P170" s="55" t="s">
        <v>276</v>
      </c>
      <c r="Q170" s="32"/>
      <c r="T170" s="32" t="str" cm="1">
        <f t="array" ref="T170:T332">IF($L$2:$L$164&lt;$U$169,"kiri",IF($L$2:$L$164&lt;$V$169,"tengah","kanan"))</f>
        <v>tengah</v>
      </c>
      <c r="U170" s="32" t="s">
        <v>195</v>
      </c>
      <c r="V170" s="32"/>
    </row>
    <row r="171" spans="1:22">
      <c r="E171" s="32" t="str">
        <v>tengah</v>
      </c>
      <c r="F171" s="32">
        <f>COUNTIFS($E$170:$E$332,"Kanan",$M$2:$M$164,"1")</f>
        <v>0</v>
      </c>
      <c r="G171" s="32">
        <f>F171/29</f>
        <v>0</v>
      </c>
      <c r="J171" s="32" t="str">
        <v>kiri</v>
      </c>
      <c r="K171" s="32" cm="1">
        <f t="array" ref="K171">SUMPRODUCT((J170:J332="Kanan")*(M2:M164=1))</f>
        <v>3</v>
      </c>
      <c r="L171" s="32">
        <f>K171/44</f>
        <v>6.8181818181818177E-2</v>
      </c>
      <c r="O171" s="32" t="str">
        <v>tengah</v>
      </c>
      <c r="P171" s="32">
        <f>COUNTIFS($O$170:$O$332,"Kanan",$M$2:$M$164,"1")</f>
        <v>0</v>
      </c>
      <c r="Q171" s="32">
        <f>P171/30</f>
        <v>0</v>
      </c>
      <c r="T171" s="32" t="str">
        <v>tengah</v>
      </c>
      <c r="U171" s="32">
        <f>COUNTIFS($T$170:$T$332,"Kanan",$M$2:$M$164,"1")</f>
        <v>8</v>
      </c>
      <c r="V171" s="32">
        <f>U171/81</f>
        <v>9.8765432098765427E-2</v>
      </c>
    </row>
    <row r="172" spans="1:22">
      <c r="E172" s="32" t="str">
        <v>kiri</v>
      </c>
      <c r="F172" s="32">
        <f>COUNTIFS($E$170:$E$332,"Kanan",$M$2:$M$164,"2")</f>
        <v>15</v>
      </c>
      <c r="G172" s="32">
        <f t="shared" ref="G172:G173" si="3">F172/29</f>
        <v>0.51724137931034486</v>
      </c>
      <c r="J172" s="32" t="str">
        <v>kiri</v>
      </c>
      <c r="K172" s="32">
        <f>COUNTIFS($J$170:$J$332,"Kanan",$M$2:$M$164,"2")</f>
        <v>16</v>
      </c>
      <c r="L172" s="32">
        <f t="shared" ref="L172:L173" si="4">K172/44</f>
        <v>0.36363636363636365</v>
      </c>
      <c r="O172" s="32" t="str">
        <v>kiri</v>
      </c>
      <c r="P172" s="32">
        <f>COUNTIFS($O$170:$O$332,"Kanan",$M$2:$M$164,"2")</f>
        <v>0</v>
      </c>
      <c r="Q172" s="32">
        <f t="shared" ref="Q172:Q173" si="5">P172/30</f>
        <v>0</v>
      </c>
      <c r="T172" s="32" t="str">
        <v>kanan</v>
      </c>
      <c r="U172" s="32">
        <f>COUNTIFS($T$170:$T$332,"Kanan",$M$2:$M$164,"2")</f>
        <v>33</v>
      </c>
      <c r="V172" s="32">
        <f t="shared" ref="V172:V173" si="6">U172/81</f>
        <v>0.40740740740740738</v>
      </c>
    </row>
    <row r="173" spans="1:22">
      <c r="E173" s="32" t="str">
        <v>tengah</v>
      </c>
      <c r="F173" s="32" cm="1">
        <f t="array" ref="F173">SUMPRODUCT((E170:E332="KANAN")*(M2:M164=3))</f>
        <v>14</v>
      </c>
      <c r="G173" s="32">
        <f t="shared" si="3"/>
        <v>0.48275862068965519</v>
      </c>
      <c r="J173" s="32" t="str">
        <v>kanan</v>
      </c>
      <c r="K173" s="32">
        <f>COUNTIFS($J$170:$J$332,"Kanan",$M$2:$M$164,"3")</f>
        <v>25</v>
      </c>
      <c r="L173" s="32">
        <f t="shared" si="4"/>
        <v>0.56818181818181823</v>
      </c>
      <c r="O173" s="32" t="str">
        <v>tengah</v>
      </c>
      <c r="P173" s="32">
        <f>COUNTIFS($O$170:$O$332,"Kanan",$M$2:$M$164,"3")</f>
        <v>30</v>
      </c>
      <c r="Q173" s="32">
        <f t="shared" si="5"/>
        <v>1</v>
      </c>
      <c r="T173" s="32" t="str">
        <v>kanan</v>
      </c>
      <c r="U173" s="32">
        <f>COUNTIFS($T$170:$T$332,"Kanan",$M$2:$M$164,"3")</f>
        <v>40</v>
      </c>
      <c r="V173" s="32">
        <f t="shared" si="6"/>
        <v>0.49382716049382713</v>
      </c>
    </row>
    <row r="174" spans="1:22">
      <c r="E174" s="32" t="str">
        <v>tengah</v>
      </c>
      <c r="F174" s="32" t="s">
        <v>196</v>
      </c>
      <c r="G174" s="32">
        <f>-(IFERROR(G171*LOG(G171,2),0)+IFERROR(G172*LOG(G172,2),0)+IFERROR(G173*LOG(G173,2),0))</f>
        <v>0.99914210399190884</v>
      </c>
      <c r="J174" s="32" t="str">
        <v>kiri</v>
      </c>
      <c r="K174" s="32" t="s">
        <v>196</v>
      </c>
      <c r="L174" s="32">
        <f>-(IFERROR(L171*LOG(L171,2),0)+IFERROR(L172*LOG(L172,2),0)+IFERROR(L173*LOG(L173,2),0))</f>
        <v>1.2582658857615794</v>
      </c>
      <c r="O174" s="32" t="str">
        <v>tengah</v>
      </c>
      <c r="P174" s="32" t="s">
        <v>196</v>
      </c>
      <c r="Q174" s="32">
        <f>-(IFERROR(Q171*LOG(Q171,2),0)+IFERROR(Q172*LOG(Q172,2),0)+IFERROR(Q173*LOG(Q173,2),0))</f>
        <v>0</v>
      </c>
      <c r="T174" s="32" t="str">
        <v>tengah</v>
      </c>
      <c r="U174" s="32" t="s">
        <v>196</v>
      </c>
      <c r="V174" s="32">
        <f>-(IFERROR(V171*LOG(V171,2),0)+IFERROR(V172*LOG(V172,2),0)+IFERROR(V173*LOG(V173,2),0))</f>
        <v>1.3603175370287797</v>
      </c>
    </row>
    <row r="175" spans="1:22">
      <c r="E175" s="32" t="str">
        <v>tengah</v>
      </c>
      <c r="F175" s="32"/>
      <c r="G175" s="32">
        <f>SUM(F171:F173)/163</f>
        <v>0.17791411042944785</v>
      </c>
      <c r="J175" s="32" t="str">
        <v>tengah</v>
      </c>
      <c r="K175" s="32"/>
      <c r="L175" s="32">
        <f>SUM(K171:K173)/163</f>
        <v>0.26993865030674846</v>
      </c>
      <c r="O175" s="32" t="str">
        <v>tengah</v>
      </c>
      <c r="P175" s="32"/>
      <c r="Q175" s="32">
        <f>SUM(P171:P173)/163</f>
        <v>0.18404907975460122</v>
      </c>
      <c r="T175" s="32" t="str">
        <v>tengah</v>
      </c>
      <c r="U175" s="32"/>
      <c r="V175" s="32">
        <f>SUM(U171:U173)/163</f>
        <v>0.49693251533742333</v>
      </c>
    </row>
    <row r="176" spans="1:22">
      <c r="E176" s="32" t="str">
        <v>kiri</v>
      </c>
      <c r="F176" s="32"/>
      <c r="G176" s="39">
        <f>G174*G175</f>
        <v>0.17776147862432734</v>
      </c>
      <c r="J176" s="32" t="str">
        <v>tengah</v>
      </c>
      <c r="K176" s="32"/>
      <c r="L176" s="39">
        <f>L174*L175</f>
        <v>0.33965459492950606</v>
      </c>
      <c r="O176" s="32" t="str">
        <v>tengah</v>
      </c>
      <c r="P176" s="32"/>
      <c r="Q176" s="39">
        <f>Q174*Q175</f>
        <v>0</v>
      </c>
      <c r="T176" s="32" t="str">
        <v>tengah</v>
      </c>
      <c r="U176" s="32"/>
      <c r="V176" s="39">
        <f>V174*V175</f>
        <v>0.67598601533332003</v>
      </c>
    </row>
    <row r="177" spans="5:22">
      <c r="E177" s="32" t="str">
        <v>kanan</v>
      </c>
      <c r="F177" s="32"/>
      <c r="G177" s="32"/>
      <c r="J177" s="32" t="str">
        <v>tengah</v>
      </c>
      <c r="K177" s="32"/>
      <c r="L177" s="32"/>
      <c r="O177" s="32" t="str">
        <v>tengah</v>
      </c>
      <c r="P177" s="32"/>
      <c r="Q177" s="32"/>
      <c r="T177" s="32" t="str">
        <v>kanan</v>
      </c>
      <c r="U177" s="32"/>
      <c r="V177" s="32"/>
    </row>
    <row r="178" spans="5:22">
      <c r="E178" s="32" t="str">
        <v>tengah</v>
      </c>
      <c r="F178" s="32"/>
      <c r="G178" s="32"/>
      <c r="J178" s="32" t="str">
        <v>kanan</v>
      </c>
      <c r="K178" s="32"/>
      <c r="L178" s="32"/>
      <c r="O178" s="32" t="str">
        <v>tengah</v>
      </c>
      <c r="P178" s="32"/>
      <c r="Q178" s="32"/>
      <c r="T178" s="32" t="str">
        <v>kanan</v>
      </c>
      <c r="U178" s="32"/>
      <c r="V178" s="32"/>
    </row>
    <row r="179" spans="5:22">
      <c r="E179" s="32" t="str">
        <v>kanan</v>
      </c>
      <c r="F179" s="55" t="s">
        <v>270</v>
      </c>
      <c r="G179" s="32"/>
      <c r="J179" s="32" t="str">
        <v>kanan</v>
      </c>
      <c r="K179" s="55" t="s">
        <v>272</v>
      </c>
      <c r="L179" s="32"/>
      <c r="O179" s="32" t="str">
        <v>tengah</v>
      </c>
      <c r="P179" s="55" t="s">
        <v>277</v>
      </c>
      <c r="Q179" s="32"/>
      <c r="T179" s="32" t="str">
        <v>tengah</v>
      </c>
      <c r="U179" s="32" t="s">
        <v>197</v>
      </c>
      <c r="V179" s="32"/>
    </row>
    <row r="180" spans="5:22">
      <c r="E180" s="32" t="str">
        <v>tengah</v>
      </c>
      <c r="F180" s="32" cm="1">
        <f t="array" ref="F180">SUMPRODUCT((E170:E332="kiri")*(M2:M164=1))</f>
        <v>5</v>
      </c>
      <c r="G180" s="32">
        <f>F180/42</f>
        <v>0.11904761904761904</v>
      </c>
      <c r="J180" s="32" t="str">
        <v>kiri</v>
      </c>
      <c r="K180" s="32">
        <f>COUNTIFS($J$170:$J$332,"Kiri",$M$2:$M$164,"1")</f>
        <v>4</v>
      </c>
      <c r="L180" s="32">
        <f>K180/36</f>
        <v>0.1111111111111111</v>
      </c>
      <c r="O180" s="32" t="str">
        <v>tengah</v>
      </c>
      <c r="P180" s="32">
        <f>COUNTIFS($O$170:$O$332,"Kiri",$M$2:$M$164,"1")</f>
        <v>16</v>
      </c>
      <c r="Q180" s="32">
        <f>P180/29</f>
        <v>0.55172413793103448</v>
      </c>
      <c r="T180" s="32" t="str">
        <v>tengah</v>
      </c>
      <c r="U180" s="32">
        <f>COUNTIFS($T$170:$T$332,"Kiri",$M$2:$M$164,"1")</f>
        <v>0</v>
      </c>
      <c r="V180" s="32">
        <f>U180/57</f>
        <v>0</v>
      </c>
    </row>
    <row r="181" spans="5:22">
      <c r="E181" s="32" t="str">
        <v>tengah</v>
      </c>
      <c r="F181" s="32" cm="1">
        <f t="array" ref="F181">SUMPRODUCT((E170:E332="kiri")*(M2:M164=2))</f>
        <v>14</v>
      </c>
      <c r="G181" s="32">
        <f t="shared" ref="G181:G182" si="7">F181/42</f>
        <v>0.33333333333333331</v>
      </c>
      <c r="J181" s="32" t="str">
        <v>tengah</v>
      </c>
      <c r="K181" s="32">
        <f>COUNTIFS($J$170:$J$332,"Kiri",$M$2:$M$164,"2")</f>
        <v>15</v>
      </c>
      <c r="L181" s="32">
        <f t="shared" ref="L181:L182" si="8">K181/36</f>
        <v>0.41666666666666669</v>
      </c>
      <c r="O181" s="32" t="str">
        <v>kanan</v>
      </c>
      <c r="P181" s="32">
        <f>COUNTIFS($O$170:$O$332,"Kiri",$M$2:$M$164,"2")</f>
        <v>13</v>
      </c>
      <c r="Q181" s="32">
        <f t="shared" ref="Q181:Q182" si="9">P181/29</f>
        <v>0.44827586206896552</v>
      </c>
      <c r="T181" s="32" t="str">
        <v>tengah</v>
      </c>
      <c r="U181" s="32">
        <f>COUNTIFS($T$170:$T$332,"Kiri",$M$2:$M$164,"2")</f>
        <v>0</v>
      </c>
      <c r="V181" s="32">
        <f>U181/57</f>
        <v>0</v>
      </c>
    </row>
    <row r="182" spans="5:22">
      <c r="E182" s="32" t="str">
        <v>kanan</v>
      </c>
      <c r="F182" s="32" cm="1">
        <f t="array" ref="F182">SUMPRODUCT((E170:E332="kiri")*(M2:M164=3))</f>
        <v>23</v>
      </c>
      <c r="G182" s="32">
        <f t="shared" si="7"/>
        <v>0.54761904761904767</v>
      </c>
      <c r="J182" s="32" t="str">
        <v>tengah</v>
      </c>
      <c r="K182" s="32">
        <f>COUNTIFS($J$170:$J$332,"Kiri",$M$2:$M$164,"3")</f>
        <v>17</v>
      </c>
      <c r="L182" s="32">
        <f t="shared" si="8"/>
        <v>0.47222222222222221</v>
      </c>
      <c r="O182" s="32" t="str">
        <v>tengah</v>
      </c>
      <c r="P182" s="32">
        <f>COUNTIFS($O$170:$O$332,"Kiri",$M$2:$M$164,"3")</f>
        <v>0</v>
      </c>
      <c r="Q182" s="32">
        <f t="shared" si="9"/>
        <v>0</v>
      </c>
      <c r="T182" s="32" t="str">
        <v>kanan</v>
      </c>
      <c r="U182" s="32">
        <f>COUNTIFS($T$170:$T$332,"Kiri",$M$2:$M$164,"3")</f>
        <v>0</v>
      </c>
      <c r="V182" s="32">
        <f>U182/57</f>
        <v>0</v>
      </c>
    </row>
    <row r="183" spans="5:22">
      <c r="E183" s="32" t="str">
        <v>tengah</v>
      </c>
      <c r="F183" s="32" t="s">
        <v>196</v>
      </c>
      <c r="G183" s="32">
        <f>-(IFERROR(G180*LOG(G180,2),0)+IFERROR(G181*LOG(G181,2),0)+IFERROR(G182*LOG(G182,2),0))</f>
        <v>1.3695904139084134</v>
      </c>
      <c r="J183" s="32" t="str">
        <v>kanan</v>
      </c>
      <c r="K183" s="32" t="s">
        <v>196</v>
      </c>
      <c r="L183" s="32">
        <f>-(IFERROR(L180*LOG(L180,2),0)+IFERROR(L181*LOG(L181,2),0)+IFERROR(L182*LOG(L182,2),0))</f>
        <v>1.389640911570547</v>
      </c>
      <c r="O183" s="32" t="str">
        <v>tengah</v>
      </c>
      <c r="P183" s="32" t="s">
        <v>196</v>
      </c>
      <c r="Q183" s="32">
        <f>-(IFERROR(Q180*LOG(Q180,2),0)+IFERROR(Q181*LOG(Q181,2),0)+IFERROR(Q182*LOG(Q182,2),0))</f>
        <v>0.99226663871949627</v>
      </c>
      <c r="T183" s="32" t="str">
        <v>kanan</v>
      </c>
      <c r="U183" s="32" t="s">
        <v>196</v>
      </c>
      <c r="V183" s="32">
        <f>-(IFERROR(V180*LOG(V180,2),0)+IFERROR(V181*LOG(V181,2),0)+IFERROR(V182*LOG(V182,2),0))</f>
        <v>0</v>
      </c>
    </row>
    <row r="184" spans="5:22">
      <c r="E184" s="32" t="str">
        <v>tengah</v>
      </c>
      <c r="F184" s="32"/>
      <c r="G184" s="32">
        <f>SUM(F180:F182)/163</f>
        <v>0.25766871165644173</v>
      </c>
      <c r="J184" s="32" t="str">
        <v>tengah</v>
      </c>
      <c r="K184" s="32"/>
      <c r="L184" s="32">
        <f>SUM(K180:K182)/163</f>
        <v>0.22085889570552147</v>
      </c>
      <c r="O184" s="32" t="str">
        <v>kanan</v>
      </c>
      <c r="P184" s="32"/>
      <c r="Q184" s="32">
        <f>SUM(P180:P182)/163</f>
        <v>0.17791411042944785</v>
      </c>
      <c r="T184" s="32" t="str">
        <v>tengah</v>
      </c>
      <c r="U184" s="32"/>
      <c r="V184" s="32">
        <f>SUM(U180:U182)/163</f>
        <v>0</v>
      </c>
    </row>
    <row r="185" spans="5:22">
      <c r="E185" s="32" t="str">
        <v>tengah</v>
      </c>
      <c r="F185" s="32"/>
      <c r="G185" s="39">
        <f>G183*G184</f>
        <v>0.35290059744879365</v>
      </c>
      <c r="J185" s="32" t="str">
        <v>kanan</v>
      </c>
      <c r="K185" s="32"/>
      <c r="L185" s="39">
        <f>L183*L184</f>
        <v>0.30691455715668525</v>
      </c>
      <c r="O185" s="32" t="str">
        <v>tengah</v>
      </c>
      <c r="P185" s="32"/>
      <c r="Q185" s="39">
        <f>Q183*Q184</f>
        <v>0.17653823633659749</v>
      </c>
      <c r="T185" s="32" t="str">
        <v>tengah</v>
      </c>
      <c r="U185" s="32"/>
      <c r="V185" s="39">
        <f>V183*V184</f>
        <v>0</v>
      </c>
    </row>
    <row r="186" spans="5:22">
      <c r="E186" s="32" t="str">
        <v>tengah</v>
      </c>
      <c r="F186" s="32"/>
      <c r="G186" s="32"/>
      <c r="J186" s="32" t="str">
        <v>tengah</v>
      </c>
      <c r="K186" s="32"/>
      <c r="L186" s="32"/>
      <c r="O186" s="32" t="str">
        <v>kiri</v>
      </c>
      <c r="P186" s="32"/>
      <c r="Q186" s="32"/>
      <c r="T186" s="32" t="str">
        <v>kanan</v>
      </c>
      <c r="U186" s="32"/>
      <c r="V186" s="32"/>
    </row>
    <row r="187" spans="5:22">
      <c r="E187" s="32" t="str">
        <v>tengah</v>
      </c>
      <c r="F187" s="32"/>
      <c r="G187" s="32"/>
      <c r="J187" s="32" t="str">
        <v>kiri</v>
      </c>
      <c r="K187" s="32"/>
      <c r="L187" s="32"/>
      <c r="O187" s="32" t="str">
        <v>kanan</v>
      </c>
      <c r="P187" s="32"/>
      <c r="Q187" s="32"/>
      <c r="T187" s="32" t="str">
        <v>tengah</v>
      </c>
      <c r="U187" s="32"/>
      <c r="V187" s="32"/>
    </row>
    <row r="188" spans="5:22">
      <c r="E188" s="32" t="str">
        <v>tengah</v>
      </c>
      <c r="F188" s="32" t="s">
        <v>198</v>
      </c>
      <c r="G188" s="32"/>
      <c r="J188" s="32" t="str">
        <v>kiri</v>
      </c>
      <c r="K188" s="32" t="s">
        <v>198</v>
      </c>
      <c r="L188" s="32"/>
      <c r="O188" s="32" t="str">
        <v>kanan</v>
      </c>
      <c r="P188" s="32" t="s">
        <v>198</v>
      </c>
      <c r="Q188" s="32"/>
      <c r="T188" s="32" t="str">
        <v>tengah</v>
      </c>
      <c r="U188" s="32" t="s">
        <v>198</v>
      </c>
      <c r="V188" s="32"/>
    </row>
    <row r="189" spans="5:22">
      <c r="E189" s="32" t="str">
        <v>tengah</v>
      </c>
      <c r="F189" s="32" cm="1">
        <f t="array" ref="F189">SUMPRODUCT((E170:E332="tengah")*(M2:M164=1))</f>
        <v>11</v>
      </c>
      <c r="G189" s="32">
        <f>F189/92</f>
        <v>0.11956521739130435</v>
      </c>
      <c r="J189" s="32" t="str">
        <v>tengah</v>
      </c>
      <c r="K189" s="32">
        <f>COUNTIFS($J$170:$J$332,"Tengah",$M$2:$M$164,"1")</f>
        <v>9</v>
      </c>
      <c r="L189" s="32">
        <f>K189/83</f>
        <v>0.10843373493975904</v>
      </c>
      <c r="O189" s="32" t="str">
        <v>tengah</v>
      </c>
      <c r="P189" s="32">
        <f>COUNTIFS($O$170:$O$332,"Tengah",$M$2:$M$164,"1")</f>
        <v>0</v>
      </c>
      <c r="Q189" s="32">
        <f>P189/104</f>
        <v>0</v>
      </c>
      <c r="T189" s="32" t="str">
        <v>kanan</v>
      </c>
      <c r="U189" s="32">
        <f>COUNTIFS($T$170:$T$332,"Tengah",$M$2:$M$164,"1")</f>
        <v>8</v>
      </c>
      <c r="V189" s="32">
        <f>U189/82</f>
        <v>9.7560975609756101E-2</v>
      </c>
    </row>
    <row r="190" spans="5:22">
      <c r="E190" s="32" t="str">
        <v>kiri</v>
      </c>
      <c r="F190" s="32" cm="1">
        <f t="array" ref="F190">SUMPRODUCT((E170:E332="tengah")*(M2:M164=2))</f>
        <v>39</v>
      </c>
      <c r="G190" s="32">
        <f t="shared" ref="G190:G191" si="10">F190/92</f>
        <v>0.42391304347826086</v>
      </c>
      <c r="J190" s="32" t="str">
        <v>kiri</v>
      </c>
      <c r="K190" s="32">
        <f>COUNTIFS($J$170:$J$332,"Tengah",$M$2:$M$164,"2")</f>
        <v>37</v>
      </c>
      <c r="L190" s="32">
        <f t="shared" ref="L190:L191" si="11">K190/97</f>
        <v>0.38144329896907214</v>
      </c>
      <c r="O190" s="32" t="str">
        <v>tengah</v>
      </c>
      <c r="P190" s="32">
        <f>COUNTIFS($O$170:$O$332,"Tengah",$M$2:$M$164,"2")</f>
        <v>55</v>
      </c>
      <c r="Q190" s="32">
        <f t="shared" ref="Q190:Q191" si="12">P190/104</f>
        <v>0.52884615384615385</v>
      </c>
      <c r="T190" s="32" t="str">
        <v>tengah</v>
      </c>
      <c r="U190" s="32">
        <f>COUNTIFS($T$170:$T$332,"Tengah",$M$2:$M$164,"2")</f>
        <v>35</v>
      </c>
      <c r="V190" s="32">
        <f t="shared" ref="V190:V191" si="13">U190/82</f>
        <v>0.42682926829268292</v>
      </c>
    </row>
    <row r="191" spans="5:22">
      <c r="E191" s="32" t="str">
        <v>kiri</v>
      </c>
      <c r="F191" s="32" cm="1">
        <f t="array" ref="F191">SUMPRODUCT((E170:E332="tengah")*(M2:M164=3))</f>
        <v>42</v>
      </c>
      <c r="G191" s="32">
        <f t="shared" si="10"/>
        <v>0.45652173913043476</v>
      </c>
      <c r="J191" s="32" t="str">
        <v>tengah</v>
      </c>
      <c r="K191" s="32">
        <f>COUNTIFS($J$170:$J$332,"Tengah",$M$2:$M$164,"3")</f>
        <v>37</v>
      </c>
      <c r="L191" s="32">
        <f t="shared" si="11"/>
        <v>0.38144329896907214</v>
      </c>
      <c r="O191" s="32" t="str">
        <v>tengah</v>
      </c>
      <c r="P191" s="32">
        <f>COUNTIFS($O$170:$O$332,"Tengah",$M$2:$M$164,"3")</f>
        <v>49</v>
      </c>
      <c r="Q191" s="32">
        <f t="shared" si="12"/>
        <v>0.47115384615384615</v>
      </c>
      <c r="T191" s="32" t="str">
        <v>tengah</v>
      </c>
      <c r="U191" s="32">
        <f>COUNTIFS($T$170:$T$332,"Tengah",$M$2:$M$164,"3")</f>
        <v>39</v>
      </c>
      <c r="V191" s="32">
        <f t="shared" si="13"/>
        <v>0.47560975609756095</v>
      </c>
    </row>
    <row r="192" spans="5:22">
      <c r="E192" s="32" t="str">
        <v>kiri</v>
      </c>
      <c r="F192" s="32" t="s">
        <v>196</v>
      </c>
      <c r="G192" s="32">
        <f>-(IFERROR(G189*LOG(G189,2),0)+IFERROR(G190*LOG(G190,2),0)+IFERROR(G191*LOG(G191,2),0))</f>
        <v>1.4076731941293403</v>
      </c>
      <c r="J192" s="32" t="str">
        <v>tengah</v>
      </c>
      <c r="K192" s="32" t="s">
        <v>196</v>
      </c>
      <c r="L192" s="32">
        <f>-(IFERROR(L189*LOG(L189,2),0)+IFERROR(L190*LOG(L190,2),0)+IFERROR(L191*LOG(L191,2),0))</f>
        <v>1.4083054281861953</v>
      </c>
      <c r="O192" s="32" t="str">
        <v>tengah</v>
      </c>
      <c r="P192" s="32" t="s">
        <v>196</v>
      </c>
      <c r="Q192" s="32">
        <f>-(IFERROR(Q189*LOG(Q189,2),0)+IFERROR(Q190*LOG(Q190,2),0)+IFERROR(Q191*LOG(Q191,2),0))</f>
        <v>0.99759773154973175</v>
      </c>
      <c r="T192" s="32" t="str">
        <v>kanan</v>
      </c>
      <c r="U192" s="32" t="s">
        <v>196</v>
      </c>
      <c r="V192" s="32">
        <f>-(IFERROR(V189*LOG(V189,2),0)+IFERROR(V190*LOG(V190,2),0)+IFERROR(V191*LOG(V191,2),0))</f>
        <v>1.3617521006095288</v>
      </c>
    </row>
    <row r="193" spans="5:22">
      <c r="E193" s="32" t="str">
        <v>tengah</v>
      </c>
      <c r="F193" s="32"/>
      <c r="G193" s="32">
        <f>SUM(F189:F191)/163</f>
        <v>0.56441717791411039</v>
      </c>
      <c r="J193" s="32" t="str">
        <v>kanan</v>
      </c>
      <c r="K193" s="32"/>
      <c r="L193" s="32">
        <f>SUM(K189:K191)/163</f>
        <v>0.50920245398773001</v>
      </c>
      <c r="O193" s="32" t="str">
        <v>tengah</v>
      </c>
      <c r="P193" s="32"/>
      <c r="Q193" s="32">
        <f>SUM(P189:P191)/163</f>
        <v>0.6380368098159509</v>
      </c>
      <c r="T193" s="32" t="str">
        <v>tengah</v>
      </c>
      <c r="U193" s="32"/>
      <c r="V193" s="32">
        <f>SUM(U189:U191)/163</f>
        <v>0.50306748466257667</v>
      </c>
    </row>
    <row r="194" spans="5:22">
      <c r="E194" s="32" t="str">
        <v>kanan</v>
      </c>
      <c r="F194" s="32"/>
      <c r="G194" s="39">
        <f>G192*G193</f>
        <v>0.79451493165582399</v>
      </c>
      <c r="J194" s="32" t="str">
        <v>kanan</v>
      </c>
      <c r="K194" s="32"/>
      <c r="L194" s="39">
        <f>L192*L193</f>
        <v>0.71711257999665157</v>
      </c>
      <c r="O194" s="32" t="str">
        <v>tengah</v>
      </c>
      <c r="P194" s="32"/>
      <c r="Q194" s="39">
        <f>Q192*Q193</f>
        <v>0.63650407411762022</v>
      </c>
      <c r="T194" s="32" t="str">
        <v>tengah</v>
      </c>
      <c r="U194" s="32"/>
      <c r="V194" s="39">
        <f>V192*V193</f>
        <v>0.68505320398761571</v>
      </c>
    </row>
    <row r="195" spans="5:22">
      <c r="E195" s="32" t="str">
        <v>tengah</v>
      </c>
      <c r="F195" s="32"/>
      <c r="G195" s="32"/>
      <c r="J195" s="32" t="str">
        <v>tengah</v>
      </c>
      <c r="K195" s="32"/>
      <c r="L195" s="32"/>
      <c r="O195" s="32" t="str">
        <v>kiri</v>
      </c>
      <c r="P195" s="32"/>
      <c r="Q195" s="32"/>
      <c r="T195" s="32" t="str">
        <v>kanan</v>
      </c>
      <c r="U195" s="32"/>
      <c r="V195" s="32"/>
    </row>
    <row r="196" spans="5:22">
      <c r="E196" s="32" t="str">
        <v>tengah</v>
      </c>
      <c r="F196" s="32" t="s">
        <v>199</v>
      </c>
      <c r="G196" s="40" t="s">
        <v>196</v>
      </c>
      <c r="J196" s="32" t="str">
        <v>kanan</v>
      </c>
      <c r="K196" s="32" t="s">
        <v>199</v>
      </c>
      <c r="L196" s="40" t="s">
        <v>196</v>
      </c>
      <c r="O196" s="32" t="str">
        <v>tengah</v>
      </c>
      <c r="P196" s="32" t="s">
        <v>199</v>
      </c>
      <c r="Q196" s="40" t="s">
        <v>196</v>
      </c>
      <c r="T196" s="32" t="str">
        <v>tengah</v>
      </c>
      <c r="U196" s="32" t="s">
        <v>199</v>
      </c>
      <c r="V196" s="40" t="s">
        <v>196</v>
      </c>
    </row>
    <row r="197" spans="5:22">
      <c r="E197" s="32" t="str">
        <v>kanan</v>
      </c>
      <c r="F197" s="41">
        <f>P5-(G176+G185+G194)</f>
        <v>3.6151439072597658E-2</v>
      </c>
      <c r="G197" s="39">
        <f>(G176+G185+G194)</f>
        <v>1.3251770077289451</v>
      </c>
      <c r="J197" s="32" t="str">
        <v>tengah</v>
      </c>
      <c r="K197" s="41">
        <f>P5-(L176+L185+L194)</f>
        <v>-2.3532852813001881E-3</v>
      </c>
      <c r="L197" s="39">
        <f>(L176+L185+L194)</f>
        <v>1.3636817320828429</v>
      </c>
      <c r="O197" s="32" t="str">
        <v>tengah</v>
      </c>
      <c r="P197" s="41">
        <f>P5-(Q176+Q185+Q194)</f>
        <v>0.54828613634732504</v>
      </c>
      <c r="Q197" s="39">
        <f>(Q176+Q185+Q194)</f>
        <v>0.81304231045421771</v>
      </c>
      <c r="T197" s="32" t="str">
        <v>kanan</v>
      </c>
      <c r="U197" s="41">
        <f>P5-(V176+V185+V194)</f>
        <v>2.8922748060700165E-4</v>
      </c>
      <c r="V197" s="39">
        <f>(V176+V185+V194)</f>
        <v>1.3610392193209357</v>
      </c>
    </row>
    <row r="198" spans="5:22">
      <c r="E198" s="32" t="str">
        <v>tengah</v>
      </c>
      <c r="F198" s="32"/>
      <c r="G198" s="32"/>
      <c r="J198" s="32" t="str">
        <v>kanan</v>
      </c>
      <c r="K198" s="32"/>
      <c r="L198" s="32"/>
      <c r="O198" s="32" t="str">
        <v>tengah</v>
      </c>
      <c r="P198" s="32"/>
      <c r="Q198" s="32"/>
      <c r="T198" s="32" t="str">
        <v>kanan</v>
      </c>
      <c r="U198" s="32"/>
      <c r="V198" s="32"/>
    </row>
    <row r="199" spans="5:22">
      <c r="E199" s="32" t="str">
        <v>kanan</v>
      </c>
      <c r="F199" s="32"/>
      <c r="G199" s="32"/>
      <c r="J199" s="32" t="str">
        <v>kanan</v>
      </c>
      <c r="K199" s="32"/>
      <c r="L199" s="32"/>
      <c r="O199" s="32" t="str">
        <v>tengah</v>
      </c>
      <c r="P199" s="32"/>
      <c r="Q199" s="32"/>
      <c r="T199" s="32" t="str">
        <v>tengah</v>
      </c>
      <c r="U199" s="32"/>
      <c r="V199" s="32"/>
    </row>
    <row r="200" spans="5:22">
      <c r="E200" s="32" t="str">
        <v>tengah</v>
      </c>
      <c r="F200" s="32"/>
      <c r="G200" s="32"/>
      <c r="J200" s="32" t="str">
        <v>tengah</v>
      </c>
      <c r="K200" s="32"/>
      <c r="L200" s="32"/>
      <c r="O200" s="32" t="str">
        <v>tengah</v>
      </c>
      <c r="P200" s="32"/>
      <c r="Q200" s="32"/>
      <c r="T200" s="32" t="str">
        <v>kanan</v>
      </c>
      <c r="U200" s="32"/>
      <c r="V200" s="32"/>
    </row>
    <row r="201" spans="5:22">
      <c r="E201" s="32" t="str">
        <v>kiri</v>
      </c>
      <c r="F201" s="32"/>
      <c r="G201" s="32"/>
      <c r="J201" s="32" t="str">
        <v>tengah</v>
      </c>
      <c r="K201" s="32"/>
      <c r="L201" s="32"/>
      <c r="O201" s="32" t="str">
        <v>kiri</v>
      </c>
      <c r="P201" s="32"/>
      <c r="Q201" s="32"/>
      <c r="T201" s="32" t="str">
        <v>tengah</v>
      </c>
      <c r="U201" s="32"/>
      <c r="V201" s="32"/>
    </row>
    <row r="202" spans="5:22">
      <c r="E202" s="32" t="str">
        <v>tengah</v>
      </c>
      <c r="F202" s="32"/>
      <c r="G202" s="32"/>
      <c r="J202" s="32" t="str">
        <v>tengah</v>
      </c>
      <c r="K202" s="32"/>
      <c r="L202" s="32"/>
      <c r="O202" s="32" t="str">
        <v>tengah</v>
      </c>
      <c r="P202" s="32"/>
      <c r="Q202" s="32"/>
      <c r="T202" s="32" t="str">
        <v>tengah</v>
      </c>
      <c r="U202" s="32"/>
      <c r="V202" s="32"/>
    </row>
    <row r="203" spans="5:22">
      <c r="E203" s="32" t="str">
        <v>tengah</v>
      </c>
      <c r="F203" s="32"/>
      <c r="G203" s="32"/>
      <c r="J203" s="32" t="str">
        <v>tengah</v>
      </c>
      <c r="K203" s="32"/>
      <c r="L203" s="32"/>
      <c r="O203" s="32" t="str">
        <v>kanan</v>
      </c>
      <c r="P203" s="32"/>
      <c r="Q203" s="32"/>
      <c r="T203" s="32" t="str">
        <v>kanan</v>
      </c>
      <c r="U203" s="32"/>
      <c r="V203" s="32"/>
    </row>
    <row r="204" spans="5:22">
      <c r="E204" s="32" t="str">
        <v>tengah</v>
      </c>
      <c r="F204" s="32"/>
      <c r="G204" s="32"/>
      <c r="J204" s="32" t="str">
        <v>kiri</v>
      </c>
      <c r="K204" s="32"/>
      <c r="L204" s="32"/>
      <c r="O204" s="32" t="str">
        <v>kiri</v>
      </c>
      <c r="P204" s="32"/>
      <c r="Q204" s="32"/>
      <c r="T204" s="32" t="str">
        <v>kanan</v>
      </c>
      <c r="U204" s="32"/>
      <c r="V204" s="32"/>
    </row>
    <row r="205" spans="5:22">
      <c r="E205" s="32" t="str">
        <v>kanan</v>
      </c>
      <c r="F205" s="32"/>
      <c r="G205" s="32"/>
      <c r="J205" s="32" t="str">
        <v>kanan</v>
      </c>
      <c r="K205" s="32"/>
      <c r="L205" s="32"/>
      <c r="O205" s="32" t="str">
        <v>tengah</v>
      </c>
      <c r="P205" s="32"/>
      <c r="Q205" s="32"/>
      <c r="T205" s="32" t="str">
        <v>tengah</v>
      </c>
      <c r="U205" s="32"/>
      <c r="V205" s="32"/>
    </row>
    <row r="206" spans="5:22">
      <c r="E206" s="32" t="str">
        <v>kiri</v>
      </c>
      <c r="F206" s="32"/>
      <c r="G206" s="32"/>
      <c r="J206" s="32" t="str">
        <v>kiri</v>
      </c>
      <c r="K206" s="32"/>
      <c r="L206" s="32"/>
      <c r="O206" s="32" t="str">
        <v>tengah</v>
      </c>
      <c r="P206" s="32"/>
      <c r="Q206" s="32"/>
      <c r="T206" s="32" t="str">
        <v>kanan</v>
      </c>
      <c r="U206" s="32"/>
      <c r="V206" s="32"/>
    </row>
    <row r="207" spans="5:22">
      <c r="E207" s="32" t="str">
        <v>kanan</v>
      </c>
      <c r="F207" s="32"/>
      <c r="G207" s="32"/>
      <c r="J207" s="32" t="str">
        <v>tengah</v>
      </c>
      <c r="K207" s="32"/>
      <c r="L207" s="32"/>
      <c r="O207" s="32" t="str">
        <v>tengah</v>
      </c>
      <c r="P207" s="32"/>
      <c r="Q207" s="32"/>
      <c r="T207" s="32" t="str">
        <v>tengah</v>
      </c>
      <c r="U207" s="32"/>
      <c r="V207" s="32"/>
    </row>
    <row r="208" spans="5:22">
      <c r="E208" s="32" t="str">
        <v>kiri</v>
      </c>
      <c r="F208" s="32"/>
      <c r="G208" s="32"/>
      <c r="J208" s="32" t="str">
        <v>kanan</v>
      </c>
      <c r="K208" s="32"/>
      <c r="L208" s="32"/>
      <c r="O208" s="32" t="str">
        <v>tengah</v>
      </c>
      <c r="P208" s="32"/>
      <c r="Q208" s="32"/>
      <c r="T208" s="32" t="str">
        <v>kanan</v>
      </c>
      <c r="U208" s="32"/>
      <c r="V208" s="32"/>
    </row>
    <row r="209" spans="5:22">
      <c r="E209" s="32" t="str">
        <v>kiri</v>
      </c>
      <c r="F209" s="32"/>
      <c r="G209" s="32"/>
      <c r="J209" s="32" t="str">
        <v>tengah</v>
      </c>
      <c r="K209" s="32"/>
      <c r="L209" s="32"/>
      <c r="O209" s="32" t="str">
        <v>tengah</v>
      </c>
      <c r="P209" s="32"/>
      <c r="Q209" s="32"/>
      <c r="T209" s="32" t="str">
        <v>tengah</v>
      </c>
      <c r="U209" s="32"/>
      <c r="V209" s="32"/>
    </row>
    <row r="210" spans="5:22">
      <c r="E210" s="32" t="str">
        <v>kiri</v>
      </c>
      <c r="F210" s="32"/>
      <c r="G210" s="32"/>
      <c r="J210" s="32" t="str">
        <v>kanan</v>
      </c>
      <c r="K210" s="32"/>
      <c r="L210" s="32"/>
      <c r="O210" s="32" t="str">
        <v>kiri</v>
      </c>
      <c r="P210" s="32"/>
      <c r="Q210" s="32"/>
      <c r="T210" s="32" t="str">
        <v>kanan</v>
      </c>
      <c r="U210" s="32"/>
      <c r="V210" s="32"/>
    </row>
    <row r="211" spans="5:22">
      <c r="E211" s="32" t="str">
        <v>tengah</v>
      </c>
      <c r="F211" s="32"/>
      <c r="G211" s="32"/>
      <c r="J211" s="32" t="str">
        <v>tengah</v>
      </c>
      <c r="K211" s="32"/>
      <c r="L211" s="32"/>
      <c r="O211" s="32" t="str">
        <v>kanan</v>
      </c>
      <c r="P211" s="32"/>
      <c r="Q211" s="32"/>
      <c r="T211" s="32" t="str">
        <v>tengah</v>
      </c>
      <c r="U211" s="32"/>
      <c r="V211" s="32"/>
    </row>
    <row r="212" spans="5:22">
      <c r="E212" s="32" t="str">
        <v>kanan</v>
      </c>
      <c r="F212" s="32"/>
      <c r="G212" s="32"/>
      <c r="J212" s="32" t="str">
        <v>kiri</v>
      </c>
      <c r="K212" s="32"/>
      <c r="L212" s="32"/>
      <c r="O212" s="32" t="str">
        <v>tengah</v>
      </c>
      <c r="P212" s="32"/>
      <c r="Q212" s="32"/>
      <c r="T212" s="32" t="str">
        <v>tengah</v>
      </c>
      <c r="U212" s="32"/>
      <c r="V212" s="32"/>
    </row>
    <row r="213" spans="5:22">
      <c r="E213" s="32" t="str">
        <v>tengah</v>
      </c>
      <c r="F213" s="32"/>
      <c r="G213" s="32"/>
      <c r="J213" s="32" t="str">
        <v>tengah</v>
      </c>
      <c r="K213" s="32"/>
      <c r="L213" s="32"/>
      <c r="O213" s="32" t="str">
        <v>kiri</v>
      </c>
      <c r="P213" s="32"/>
      <c r="Q213" s="32"/>
      <c r="T213" s="32" t="str">
        <v>kanan</v>
      </c>
      <c r="U213" s="32"/>
      <c r="V213" s="32"/>
    </row>
    <row r="214" spans="5:22">
      <c r="E214" s="32" t="str">
        <v>tengah</v>
      </c>
      <c r="F214" s="32"/>
      <c r="G214" s="32"/>
      <c r="J214" s="32" t="str">
        <v>tengah</v>
      </c>
      <c r="K214" s="32"/>
      <c r="L214" s="32"/>
      <c r="O214" s="32" t="str">
        <v>kiri</v>
      </c>
      <c r="P214" s="32"/>
      <c r="Q214" s="32"/>
      <c r="T214" s="32" t="str">
        <v>kanan</v>
      </c>
      <c r="U214" s="32"/>
      <c r="V214" s="32"/>
    </row>
    <row r="215" spans="5:22">
      <c r="E215" s="32" t="str">
        <v>kanan</v>
      </c>
      <c r="F215" s="32"/>
      <c r="G215" s="32"/>
      <c r="J215" s="32" t="str">
        <v>tengah</v>
      </c>
      <c r="K215" s="32"/>
      <c r="L215" s="32"/>
      <c r="O215" s="32" t="str">
        <v>kiri</v>
      </c>
      <c r="P215" s="32"/>
      <c r="Q215" s="32"/>
      <c r="T215" s="32" t="str">
        <v>tengah</v>
      </c>
      <c r="U215" s="32"/>
      <c r="V215" s="32"/>
    </row>
    <row r="216" spans="5:22">
      <c r="E216" s="32" t="str">
        <v>kanan</v>
      </c>
      <c r="F216" s="32"/>
      <c r="G216" s="32"/>
      <c r="J216" s="32" t="str">
        <v>kanan</v>
      </c>
      <c r="K216" s="32"/>
      <c r="L216" s="32"/>
      <c r="O216" s="32" t="str">
        <v>tengah</v>
      </c>
      <c r="P216" s="32"/>
      <c r="Q216" s="32"/>
      <c r="T216" s="32" t="str">
        <v>kanan</v>
      </c>
      <c r="U216" s="32"/>
      <c r="V216" s="32"/>
    </row>
    <row r="217" spans="5:22">
      <c r="E217" s="32" t="str">
        <v>kanan</v>
      </c>
      <c r="F217" s="32"/>
      <c r="G217" s="32"/>
      <c r="J217" s="32" t="str">
        <v>tengah</v>
      </c>
      <c r="K217" s="32"/>
      <c r="L217" s="32"/>
      <c r="O217" s="32" t="str">
        <v>tengah</v>
      </c>
      <c r="P217" s="32"/>
      <c r="Q217" s="32"/>
      <c r="T217" s="32" t="str">
        <v>kanan</v>
      </c>
      <c r="U217" s="32"/>
      <c r="V217" s="32"/>
    </row>
    <row r="218" spans="5:22">
      <c r="E218" s="32" t="str">
        <v>kanan</v>
      </c>
      <c r="F218" s="32"/>
      <c r="G218" s="32"/>
      <c r="J218" s="32" t="str">
        <v>kiri</v>
      </c>
      <c r="K218" s="32"/>
      <c r="L218" s="32"/>
      <c r="O218" s="32" t="str">
        <v>tengah</v>
      </c>
      <c r="P218" s="32"/>
      <c r="Q218" s="32"/>
      <c r="T218" s="32" t="str">
        <v>kanan</v>
      </c>
      <c r="U218" s="32"/>
      <c r="V218" s="32"/>
    </row>
    <row r="219" spans="5:22">
      <c r="E219" s="32" t="str">
        <v>tengah</v>
      </c>
      <c r="F219" s="32"/>
      <c r="G219" s="32"/>
      <c r="J219" s="32" t="str">
        <v>tengah</v>
      </c>
      <c r="K219" s="32"/>
      <c r="L219" s="32"/>
      <c r="O219" s="32" t="str">
        <v>kiri</v>
      </c>
      <c r="P219" s="32"/>
      <c r="Q219" s="32"/>
      <c r="T219" s="32" t="str">
        <v>kanan</v>
      </c>
      <c r="U219" s="32"/>
      <c r="V219" s="32"/>
    </row>
    <row r="220" spans="5:22">
      <c r="E220" s="32" t="str">
        <v>tengah</v>
      </c>
      <c r="F220" s="32"/>
      <c r="G220" s="32"/>
      <c r="J220" s="32" t="str">
        <v>kanan</v>
      </c>
      <c r="K220" s="32"/>
      <c r="L220" s="32"/>
      <c r="O220" s="32" t="str">
        <v>tengah</v>
      </c>
      <c r="P220" s="32"/>
      <c r="Q220" s="32"/>
      <c r="T220" s="32" t="str">
        <v>kanan</v>
      </c>
      <c r="U220" s="32"/>
      <c r="V220" s="32"/>
    </row>
    <row r="221" spans="5:22">
      <c r="E221" s="32" t="str">
        <v>tengah</v>
      </c>
      <c r="F221" s="32"/>
      <c r="G221" s="32"/>
      <c r="J221" s="32" t="str">
        <v>kiri</v>
      </c>
      <c r="K221" s="32"/>
      <c r="L221" s="32"/>
      <c r="O221" s="32" t="str">
        <v>tengah</v>
      </c>
      <c r="P221" s="32"/>
      <c r="Q221" s="32"/>
      <c r="T221" s="32" t="str">
        <v>kanan</v>
      </c>
      <c r="U221" s="32"/>
      <c r="V221" s="32"/>
    </row>
    <row r="222" spans="5:22">
      <c r="E222" s="32" t="str">
        <v>tengah</v>
      </c>
      <c r="F222" s="32"/>
      <c r="G222" s="32"/>
      <c r="J222" s="32" t="str">
        <v>kanan</v>
      </c>
      <c r="K222" s="32"/>
      <c r="L222" s="32"/>
      <c r="O222" s="32" t="str">
        <v>tengah</v>
      </c>
      <c r="P222" s="32"/>
      <c r="Q222" s="32"/>
      <c r="T222" s="32" t="str">
        <v>tengah</v>
      </c>
      <c r="U222" s="32"/>
      <c r="V222" s="32"/>
    </row>
    <row r="223" spans="5:22">
      <c r="E223" s="32" t="str">
        <v>tengah</v>
      </c>
      <c r="F223" s="32"/>
      <c r="G223" s="32"/>
      <c r="J223" s="32" t="str">
        <v>tengah</v>
      </c>
      <c r="K223" s="32"/>
      <c r="L223" s="32"/>
      <c r="O223" s="32" t="str">
        <v>kiri</v>
      </c>
      <c r="P223" s="32"/>
      <c r="Q223" s="32"/>
      <c r="T223" s="32" t="str">
        <v>kanan</v>
      </c>
      <c r="U223" s="32"/>
      <c r="V223" s="32"/>
    </row>
    <row r="224" spans="5:22">
      <c r="E224" s="32" t="str">
        <v>kiri</v>
      </c>
      <c r="F224" s="32"/>
      <c r="G224" s="32"/>
      <c r="J224" s="32" t="str">
        <v>kanan</v>
      </c>
      <c r="K224" s="32"/>
      <c r="L224" s="32"/>
      <c r="O224" s="32" t="str">
        <v>kiri</v>
      </c>
      <c r="P224" s="32"/>
      <c r="Q224" s="32"/>
      <c r="T224" s="32" t="str">
        <v>kanan</v>
      </c>
      <c r="U224" s="32"/>
      <c r="V224" s="32"/>
    </row>
    <row r="225" spans="5:22">
      <c r="E225" s="32" t="str">
        <v>kanan</v>
      </c>
      <c r="F225" s="32"/>
      <c r="G225" s="32"/>
      <c r="J225" s="32" t="str">
        <v>kanan</v>
      </c>
      <c r="K225" s="32"/>
      <c r="L225" s="32"/>
      <c r="O225" s="32" t="str">
        <v>tengah</v>
      </c>
      <c r="P225" s="32"/>
      <c r="Q225" s="32"/>
      <c r="T225" s="32" t="str">
        <v>kanan</v>
      </c>
      <c r="U225" s="32"/>
      <c r="V225" s="32"/>
    </row>
    <row r="226" spans="5:22">
      <c r="E226" s="32" t="str">
        <v>kiri</v>
      </c>
      <c r="F226" s="32"/>
      <c r="G226" s="32"/>
      <c r="J226" s="32" t="str">
        <v>tengah</v>
      </c>
      <c r="K226" s="32"/>
      <c r="L226" s="32"/>
      <c r="O226" s="32" t="str">
        <v>tengah</v>
      </c>
      <c r="P226" s="32"/>
      <c r="Q226" s="32"/>
      <c r="T226" s="32" t="str">
        <v>tengah</v>
      </c>
      <c r="U226" s="32"/>
      <c r="V226" s="32"/>
    </row>
    <row r="227" spans="5:22">
      <c r="E227" s="32" t="str">
        <v>kanan</v>
      </c>
      <c r="F227" s="32"/>
      <c r="G227" s="32"/>
      <c r="J227" s="32" t="str">
        <v>kiri</v>
      </c>
      <c r="K227" s="32"/>
      <c r="L227" s="32"/>
      <c r="O227" s="32" t="str">
        <v>kiri</v>
      </c>
      <c r="P227" s="32"/>
      <c r="Q227" s="32"/>
      <c r="T227" s="32" t="str">
        <v>tengah</v>
      </c>
      <c r="U227" s="32"/>
      <c r="V227" s="32"/>
    </row>
    <row r="228" spans="5:22">
      <c r="E228" s="32" t="str">
        <v>tengah</v>
      </c>
      <c r="F228" s="32"/>
      <c r="G228" s="32"/>
      <c r="J228" s="32" t="str">
        <v>tengah</v>
      </c>
      <c r="K228" s="32"/>
      <c r="L228" s="32"/>
      <c r="O228" s="32" t="str">
        <v>tengah</v>
      </c>
      <c r="P228" s="32"/>
      <c r="Q228" s="32"/>
      <c r="T228" s="32" t="str">
        <v>tengah</v>
      </c>
      <c r="U228" s="32"/>
      <c r="V228" s="32"/>
    </row>
    <row r="229" spans="5:22">
      <c r="E229" s="32" t="str">
        <v>kiri</v>
      </c>
      <c r="F229" s="32"/>
      <c r="G229" s="32"/>
      <c r="J229" s="32" t="str">
        <v>kanan</v>
      </c>
      <c r="K229" s="32"/>
      <c r="L229" s="32"/>
      <c r="O229" s="32" t="str">
        <v>kiri</v>
      </c>
      <c r="P229" s="32"/>
      <c r="Q229" s="32"/>
      <c r="T229" s="32" t="str">
        <v>tengah</v>
      </c>
      <c r="U229" s="32"/>
      <c r="V229" s="32"/>
    </row>
    <row r="230" spans="5:22">
      <c r="E230" s="32" t="str">
        <v>kiri</v>
      </c>
      <c r="F230" s="32"/>
      <c r="G230" s="32"/>
      <c r="J230" s="32" t="str">
        <v>tengah</v>
      </c>
      <c r="K230" s="32"/>
      <c r="L230" s="32"/>
      <c r="O230" s="32" t="str">
        <v>tengah</v>
      </c>
      <c r="P230" s="32"/>
      <c r="Q230" s="32"/>
      <c r="T230" s="32" t="str">
        <v>tengah</v>
      </c>
      <c r="U230" s="32"/>
      <c r="V230" s="32"/>
    </row>
    <row r="231" spans="5:22">
      <c r="E231" s="32" t="str">
        <v>tengah</v>
      </c>
      <c r="F231" s="32"/>
      <c r="G231" s="32"/>
      <c r="J231" s="32" t="str">
        <v>tengah</v>
      </c>
      <c r="K231" s="32"/>
      <c r="L231" s="32"/>
      <c r="O231" s="32" t="str">
        <v>tengah</v>
      </c>
      <c r="P231" s="32"/>
      <c r="Q231" s="32"/>
      <c r="T231" s="32" t="str">
        <v>kanan</v>
      </c>
      <c r="U231" s="32"/>
      <c r="V231" s="32"/>
    </row>
    <row r="232" spans="5:22">
      <c r="E232" s="32" t="str">
        <v>kiri</v>
      </c>
      <c r="F232" s="32"/>
      <c r="G232" s="32"/>
      <c r="J232" s="32" t="str">
        <v>kanan</v>
      </c>
      <c r="K232" s="32"/>
      <c r="L232" s="32"/>
      <c r="O232" s="32" t="str">
        <v>kiri</v>
      </c>
      <c r="P232" s="32"/>
      <c r="Q232" s="32"/>
      <c r="T232" s="32" t="str">
        <v>tengah</v>
      </c>
      <c r="U232" s="32"/>
      <c r="V232" s="32"/>
    </row>
    <row r="233" spans="5:22">
      <c r="E233" s="32" t="str">
        <v>tengah</v>
      </c>
      <c r="F233" s="32"/>
      <c r="G233" s="32"/>
      <c r="J233" s="32" t="str">
        <v>tengah</v>
      </c>
      <c r="K233" s="32"/>
      <c r="L233" s="32"/>
      <c r="O233" s="32" t="str">
        <v>tengah</v>
      </c>
      <c r="P233" s="32"/>
      <c r="Q233" s="32"/>
      <c r="T233" s="32" t="str">
        <v>kanan</v>
      </c>
      <c r="U233" s="32"/>
      <c r="V233" s="32"/>
    </row>
    <row r="234" spans="5:22">
      <c r="E234" s="32" t="str">
        <v>tengah</v>
      </c>
      <c r="F234" s="32"/>
      <c r="G234" s="32"/>
      <c r="J234" s="32" t="str">
        <v>tengah</v>
      </c>
      <c r="K234" s="32"/>
      <c r="L234" s="32"/>
      <c r="O234" s="32" t="str">
        <v>kanan</v>
      </c>
      <c r="P234" s="32"/>
      <c r="Q234" s="32"/>
      <c r="T234" s="32" t="str">
        <v>kanan</v>
      </c>
      <c r="U234" s="32"/>
      <c r="V234" s="32"/>
    </row>
    <row r="235" spans="5:22">
      <c r="E235" s="32" t="str">
        <v>tengah</v>
      </c>
      <c r="F235" s="32"/>
      <c r="G235" s="32"/>
      <c r="J235" s="32" t="str">
        <v>kanan</v>
      </c>
      <c r="K235" s="32"/>
      <c r="L235" s="32"/>
      <c r="O235" s="32" t="str">
        <v>tengah</v>
      </c>
      <c r="P235" s="32"/>
      <c r="Q235" s="32"/>
      <c r="T235" s="32" t="str">
        <v>kanan</v>
      </c>
      <c r="U235" s="32"/>
      <c r="V235" s="32"/>
    </row>
    <row r="236" spans="5:22">
      <c r="E236" s="32" t="str">
        <v>kiri</v>
      </c>
      <c r="F236" s="32"/>
      <c r="G236" s="32"/>
      <c r="J236" s="32" t="str">
        <v>kiri</v>
      </c>
      <c r="K236" s="32"/>
      <c r="L236" s="32"/>
      <c r="O236" s="32" t="str">
        <v>tengah</v>
      </c>
      <c r="P236" s="32"/>
      <c r="Q236" s="32"/>
      <c r="T236" s="32" t="str">
        <v>tengah</v>
      </c>
      <c r="U236" s="32"/>
      <c r="V236" s="32"/>
    </row>
    <row r="237" spans="5:22">
      <c r="E237" s="32" t="str">
        <v>kiri</v>
      </c>
      <c r="F237" s="32"/>
      <c r="G237" s="32"/>
      <c r="J237" s="32" t="str">
        <v>tengah</v>
      </c>
      <c r="K237" s="32"/>
      <c r="L237" s="32"/>
      <c r="O237" s="32" t="str">
        <v>kiri</v>
      </c>
      <c r="P237" s="32"/>
      <c r="Q237" s="32"/>
      <c r="T237" s="32" t="str">
        <v>tengah</v>
      </c>
      <c r="U237" s="32"/>
      <c r="V237" s="32"/>
    </row>
    <row r="238" spans="5:22">
      <c r="E238" s="32" t="str">
        <v>tengah</v>
      </c>
      <c r="F238" s="32"/>
      <c r="G238" s="32"/>
      <c r="J238" s="32" t="str">
        <v>tengah</v>
      </c>
      <c r="K238" s="32"/>
      <c r="L238" s="32"/>
      <c r="O238" s="32" t="str">
        <v>tengah</v>
      </c>
      <c r="P238" s="32"/>
      <c r="Q238" s="32"/>
      <c r="T238" s="32" t="str">
        <v>tengah</v>
      </c>
      <c r="U238" s="32"/>
      <c r="V238" s="32"/>
    </row>
    <row r="239" spans="5:22">
      <c r="E239" s="32" t="str">
        <v>kiri</v>
      </c>
      <c r="F239" s="32"/>
      <c r="G239" s="32"/>
      <c r="J239" s="32" t="str">
        <v>kiri</v>
      </c>
      <c r="K239" s="32"/>
      <c r="L239" s="32"/>
      <c r="O239" s="32" t="str">
        <v>tengah</v>
      </c>
      <c r="P239" s="32"/>
      <c r="Q239" s="32"/>
      <c r="T239" s="32" t="str">
        <v>kanan</v>
      </c>
      <c r="U239" s="32"/>
      <c r="V239" s="32"/>
    </row>
    <row r="240" spans="5:22">
      <c r="E240" s="32" t="str">
        <v>tengah</v>
      </c>
      <c r="F240" s="32"/>
      <c r="G240" s="32"/>
      <c r="J240" s="32" t="str">
        <v>kiri</v>
      </c>
      <c r="K240" s="32"/>
      <c r="L240" s="32"/>
      <c r="O240" s="32" t="str">
        <v>kiri</v>
      </c>
      <c r="P240" s="32"/>
      <c r="Q240" s="32"/>
      <c r="T240" s="32" t="str">
        <v>tengah</v>
      </c>
      <c r="U240" s="32"/>
      <c r="V240" s="32"/>
    </row>
    <row r="241" spans="5:22">
      <c r="E241" s="32" t="str">
        <v>kiri</v>
      </c>
      <c r="F241" s="32"/>
      <c r="G241" s="32"/>
      <c r="J241" s="32" t="str">
        <v>tengah</v>
      </c>
      <c r="K241" s="32"/>
      <c r="L241" s="32"/>
      <c r="O241" s="32" t="str">
        <v>tengah</v>
      </c>
      <c r="P241" s="32"/>
      <c r="Q241" s="32"/>
      <c r="T241" s="32" t="str">
        <v>kanan</v>
      </c>
      <c r="U241" s="32"/>
      <c r="V241" s="32"/>
    </row>
    <row r="242" spans="5:22">
      <c r="E242" s="32" t="str">
        <v>tengah</v>
      </c>
      <c r="F242" s="32"/>
      <c r="G242" s="32"/>
      <c r="J242" s="32" t="str">
        <v>tengah</v>
      </c>
      <c r="K242" s="32"/>
      <c r="L242" s="32"/>
      <c r="O242" s="32" t="str">
        <v>tengah</v>
      </c>
      <c r="P242" s="32"/>
      <c r="Q242" s="32"/>
      <c r="T242" s="32" t="str">
        <v>kanan</v>
      </c>
      <c r="U242" s="32"/>
      <c r="V242" s="32"/>
    </row>
    <row r="243" spans="5:22">
      <c r="E243" s="32" t="str">
        <v>kanan</v>
      </c>
      <c r="F243" s="32"/>
      <c r="G243" s="32"/>
      <c r="J243" s="32" t="str">
        <v>tengah</v>
      </c>
      <c r="K243" s="32"/>
      <c r="L243" s="32"/>
      <c r="O243" s="32" t="str">
        <v>tengah</v>
      </c>
      <c r="P243" s="32"/>
      <c r="Q243" s="32"/>
      <c r="T243" s="32" t="str">
        <v>tengah</v>
      </c>
      <c r="U243" s="32"/>
      <c r="V243" s="32"/>
    </row>
    <row r="244" spans="5:22">
      <c r="E244" s="32" t="str">
        <v>tengah</v>
      </c>
      <c r="F244" s="32"/>
      <c r="G244" s="32"/>
      <c r="J244" s="32" t="str">
        <v>kanan</v>
      </c>
      <c r="K244" s="32"/>
      <c r="L244" s="32"/>
      <c r="O244" s="32" t="str">
        <v>kanan</v>
      </c>
      <c r="P244" s="32"/>
      <c r="Q244" s="32"/>
      <c r="T244" s="32" t="str">
        <v>tengah</v>
      </c>
      <c r="U244" s="32"/>
      <c r="V244" s="32"/>
    </row>
    <row r="245" spans="5:22">
      <c r="E245" s="32" t="str">
        <v>tengah</v>
      </c>
      <c r="F245" s="32"/>
      <c r="G245" s="32"/>
      <c r="J245" s="32" t="str">
        <v>kanan</v>
      </c>
      <c r="K245" s="32"/>
      <c r="L245" s="32"/>
      <c r="O245" s="32" t="str">
        <v>tengah</v>
      </c>
      <c r="P245" s="32"/>
      <c r="Q245" s="32"/>
      <c r="T245" s="32" t="str">
        <v>kanan</v>
      </c>
      <c r="U245" s="32"/>
      <c r="V245" s="32"/>
    </row>
    <row r="246" spans="5:22">
      <c r="E246" s="32" t="str">
        <v>tengah</v>
      </c>
      <c r="F246" s="32"/>
      <c r="G246" s="32"/>
      <c r="J246" s="32" t="str">
        <v>kanan</v>
      </c>
      <c r="K246" s="32"/>
      <c r="L246" s="32"/>
      <c r="O246" s="32" t="str">
        <v>tengah</v>
      </c>
      <c r="P246" s="32"/>
      <c r="Q246" s="32"/>
      <c r="T246" s="32" t="str">
        <v>tengah</v>
      </c>
      <c r="U246" s="32"/>
      <c r="V246" s="32"/>
    </row>
    <row r="247" spans="5:22">
      <c r="E247" s="32" t="str">
        <v>tengah</v>
      </c>
      <c r="F247" s="32"/>
      <c r="G247" s="32"/>
      <c r="J247" s="32" t="str">
        <v>kanan</v>
      </c>
      <c r="K247" s="32"/>
      <c r="L247" s="32"/>
      <c r="O247" s="32" t="str">
        <v>tengah</v>
      </c>
      <c r="P247" s="32"/>
      <c r="Q247" s="32"/>
      <c r="T247" s="32" t="str">
        <v>kanan</v>
      </c>
      <c r="U247" s="32"/>
      <c r="V247" s="32"/>
    </row>
    <row r="248" spans="5:22">
      <c r="E248" s="32" t="str">
        <v>kiri</v>
      </c>
      <c r="F248" s="32"/>
      <c r="G248" s="32"/>
      <c r="J248" s="32" t="str">
        <v>tengah</v>
      </c>
      <c r="K248" s="32"/>
      <c r="L248" s="32"/>
      <c r="O248" s="32" t="str">
        <v>tengah</v>
      </c>
      <c r="P248" s="32"/>
      <c r="Q248" s="32"/>
      <c r="T248" s="32" t="str">
        <v>tengah</v>
      </c>
      <c r="U248" s="32"/>
      <c r="V248" s="32"/>
    </row>
    <row r="249" spans="5:22">
      <c r="E249" s="32" t="str">
        <v>kiri</v>
      </c>
      <c r="F249" s="32"/>
      <c r="G249" s="32"/>
      <c r="J249" s="32" t="str">
        <v>kiri</v>
      </c>
      <c r="K249" s="32"/>
      <c r="L249" s="32"/>
      <c r="O249" s="32" t="str">
        <v>tengah</v>
      </c>
      <c r="P249" s="32"/>
      <c r="Q249" s="32"/>
      <c r="T249" s="32" t="str">
        <v>tengah</v>
      </c>
      <c r="U249" s="32"/>
      <c r="V249" s="32"/>
    </row>
    <row r="250" spans="5:22">
      <c r="E250" s="32" t="str">
        <v>tengah</v>
      </c>
      <c r="F250" s="32"/>
      <c r="G250" s="32"/>
      <c r="J250" s="32" t="str">
        <v>tengah</v>
      </c>
      <c r="K250" s="32"/>
      <c r="L250" s="32"/>
      <c r="O250" s="32" t="str">
        <v>tengah</v>
      </c>
      <c r="P250" s="32"/>
      <c r="Q250" s="32"/>
      <c r="T250" s="32" t="str">
        <v>kanan</v>
      </c>
      <c r="U250" s="32"/>
      <c r="V250" s="32"/>
    </row>
    <row r="251" spans="5:22">
      <c r="E251" s="32" t="str">
        <v>tengah</v>
      </c>
      <c r="F251" s="32"/>
      <c r="G251" s="32"/>
      <c r="J251" s="32" t="str">
        <v>tengah</v>
      </c>
      <c r="K251" s="32"/>
      <c r="L251" s="32"/>
      <c r="O251" s="32" t="str">
        <v>tengah</v>
      </c>
      <c r="P251" s="32"/>
      <c r="Q251" s="32"/>
      <c r="T251" s="32" t="str">
        <v>tengah</v>
      </c>
      <c r="U251" s="32"/>
      <c r="V251" s="32"/>
    </row>
    <row r="252" spans="5:22">
      <c r="E252" s="32" t="str">
        <v>kiri</v>
      </c>
      <c r="F252" s="32"/>
      <c r="G252" s="32"/>
      <c r="J252" s="32" t="str">
        <v>tengah</v>
      </c>
      <c r="K252" s="32"/>
      <c r="L252" s="32"/>
      <c r="O252" s="32" t="str">
        <v>tengah</v>
      </c>
      <c r="P252" s="32"/>
      <c r="Q252" s="32"/>
      <c r="T252" s="32" t="str">
        <v>kanan</v>
      </c>
      <c r="U252" s="32"/>
      <c r="V252" s="32"/>
    </row>
    <row r="253" spans="5:22">
      <c r="E253" s="32" t="str">
        <v>kiri</v>
      </c>
      <c r="F253" s="32"/>
      <c r="G253" s="32"/>
      <c r="J253" s="32" t="str">
        <v>tengah</v>
      </c>
      <c r="K253" s="32"/>
      <c r="L253" s="32"/>
      <c r="O253" s="32" t="str">
        <v>kanan</v>
      </c>
      <c r="P253" s="32"/>
      <c r="Q253" s="32"/>
      <c r="T253" s="32" t="str">
        <v>kanan</v>
      </c>
      <c r="U253" s="32"/>
      <c r="V253" s="32"/>
    </row>
    <row r="254" spans="5:22">
      <c r="E254" s="32" t="str">
        <v>kiri</v>
      </c>
      <c r="F254" s="32"/>
      <c r="G254" s="32"/>
      <c r="J254" s="32" t="str">
        <v>tengah</v>
      </c>
      <c r="K254" s="32"/>
      <c r="L254" s="32"/>
      <c r="O254" s="32" t="str">
        <v>tengah</v>
      </c>
      <c r="P254" s="32"/>
      <c r="Q254" s="32"/>
      <c r="T254" s="32" t="str">
        <v>tengah</v>
      </c>
      <c r="U254" s="32"/>
      <c r="V254" s="32"/>
    </row>
    <row r="255" spans="5:22">
      <c r="E255" s="32" t="str">
        <v>tengah</v>
      </c>
      <c r="F255" s="32"/>
      <c r="G255" s="32"/>
      <c r="J255" s="32" t="str">
        <v>tengah</v>
      </c>
      <c r="K255" s="32"/>
      <c r="L255" s="32"/>
      <c r="O255" s="32" t="str">
        <v>kanan</v>
      </c>
      <c r="P255" s="32"/>
      <c r="Q255" s="32"/>
      <c r="T255" s="32" t="str">
        <v>tengah</v>
      </c>
      <c r="U255" s="32"/>
      <c r="V255" s="32"/>
    </row>
    <row r="256" spans="5:22">
      <c r="E256" s="32" t="str">
        <v>tengah</v>
      </c>
      <c r="F256" s="32"/>
      <c r="G256" s="32"/>
      <c r="J256" s="32" t="str">
        <v>kiri</v>
      </c>
      <c r="K256" s="32"/>
      <c r="L256" s="32"/>
      <c r="O256" s="32" t="str">
        <v>tengah</v>
      </c>
      <c r="P256" s="32"/>
      <c r="Q256" s="32"/>
      <c r="T256" s="32" t="str">
        <v>kanan</v>
      </c>
      <c r="U256" s="32"/>
      <c r="V256" s="32"/>
    </row>
    <row r="257" spans="5:22">
      <c r="E257" s="32" t="str">
        <v>kanan</v>
      </c>
      <c r="F257" s="32"/>
      <c r="G257" s="32"/>
      <c r="J257" s="32" t="str">
        <v>kanan</v>
      </c>
      <c r="K257" s="32"/>
      <c r="L257" s="32"/>
      <c r="O257" s="32" t="str">
        <v>tengah</v>
      </c>
      <c r="P257" s="32"/>
      <c r="Q257" s="32"/>
      <c r="T257" s="32" t="str">
        <v>kanan</v>
      </c>
      <c r="U257" s="32"/>
      <c r="V257" s="32"/>
    </row>
    <row r="258" spans="5:22">
      <c r="E258" s="32" t="str">
        <v>tengah</v>
      </c>
      <c r="F258" s="32"/>
      <c r="G258" s="32"/>
      <c r="J258" s="32" t="str">
        <v>kanan</v>
      </c>
      <c r="K258" s="32"/>
      <c r="L258" s="32"/>
      <c r="O258" s="32" t="str">
        <v>kiri</v>
      </c>
      <c r="P258" s="32"/>
      <c r="Q258" s="32"/>
      <c r="T258" s="32" t="str">
        <v>tengah</v>
      </c>
      <c r="U258" s="32"/>
      <c r="V258" s="32"/>
    </row>
    <row r="259" spans="5:22">
      <c r="E259" s="32" t="str">
        <v>kiri</v>
      </c>
      <c r="F259" s="32"/>
      <c r="G259" s="32"/>
      <c r="J259" s="32" t="str">
        <v>kiri</v>
      </c>
      <c r="K259" s="32"/>
      <c r="L259" s="32"/>
      <c r="O259" s="32" t="str">
        <v>kanan</v>
      </c>
      <c r="P259" s="32"/>
      <c r="Q259" s="32"/>
      <c r="T259" s="32" t="str">
        <v>tengah</v>
      </c>
      <c r="U259" s="32"/>
      <c r="V259" s="32"/>
    </row>
    <row r="260" spans="5:22">
      <c r="E260" s="32" t="str">
        <v>tengah</v>
      </c>
      <c r="F260" s="32"/>
      <c r="G260" s="32"/>
      <c r="J260" s="32" t="str">
        <v>tengah</v>
      </c>
      <c r="K260" s="32"/>
      <c r="L260" s="32"/>
      <c r="O260" s="32" t="str">
        <v>kiri</v>
      </c>
      <c r="P260" s="32"/>
      <c r="Q260" s="32"/>
      <c r="T260" s="32" t="str">
        <v>kanan</v>
      </c>
      <c r="U260" s="32"/>
      <c r="V260" s="32"/>
    </row>
    <row r="261" spans="5:22">
      <c r="E261" s="32" t="str">
        <v>kanan</v>
      </c>
      <c r="F261" s="32"/>
      <c r="G261" s="32"/>
      <c r="J261" s="32" t="str">
        <v>kiri</v>
      </c>
      <c r="K261" s="32"/>
      <c r="L261" s="32"/>
      <c r="O261" s="32" t="str">
        <v>kanan</v>
      </c>
      <c r="P261" s="32"/>
      <c r="Q261" s="32"/>
      <c r="T261" s="32" t="str">
        <v>kanan</v>
      </c>
      <c r="U261" s="32"/>
      <c r="V261" s="32"/>
    </row>
    <row r="262" spans="5:22">
      <c r="E262" s="32" t="str">
        <v>tengah</v>
      </c>
      <c r="F262" s="32"/>
      <c r="G262" s="32"/>
      <c r="J262" s="32" t="str">
        <v>tengah</v>
      </c>
      <c r="K262" s="32"/>
      <c r="L262" s="32"/>
      <c r="O262" s="32" t="str">
        <v>tengah</v>
      </c>
      <c r="P262" s="32"/>
      <c r="Q262" s="32"/>
      <c r="T262" s="32" t="str">
        <v>tengah</v>
      </c>
      <c r="U262" s="32"/>
      <c r="V262" s="32"/>
    </row>
    <row r="263" spans="5:22">
      <c r="E263" s="32" t="str">
        <v>tengah</v>
      </c>
      <c r="F263" s="32"/>
      <c r="G263" s="32"/>
      <c r="J263" s="32" t="str">
        <v>kanan</v>
      </c>
      <c r="K263" s="32"/>
      <c r="L263" s="32"/>
      <c r="O263" s="32" t="str">
        <v>tengah</v>
      </c>
      <c r="P263" s="32"/>
      <c r="Q263" s="32"/>
      <c r="T263" s="32" t="str">
        <v>kanan</v>
      </c>
      <c r="U263" s="32"/>
      <c r="V263" s="32"/>
    </row>
    <row r="264" spans="5:22">
      <c r="E264" s="32" t="str">
        <v>tengah</v>
      </c>
      <c r="F264" s="32"/>
      <c r="G264" s="32"/>
      <c r="J264" s="32" t="str">
        <v>tengah</v>
      </c>
      <c r="K264" s="32"/>
      <c r="L264" s="32"/>
      <c r="O264" s="32" t="str">
        <v>kiri</v>
      </c>
      <c r="P264" s="32"/>
      <c r="Q264" s="32"/>
      <c r="T264" s="32" t="str">
        <v>kanan</v>
      </c>
      <c r="U264" s="32"/>
      <c r="V264" s="32"/>
    </row>
    <row r="265" spans="5:22">
      <c r="E265" s="32" t="str">
        <v>tengah</v>
      </c>
      <c r="F265" s="32"/>
      <c r="G265" s="32"/>
      <c r="J265" s="32" t="str">
        <v>kanan</v>
      </c>
      <c r="K265" s="32"/>
      <c r="L265" s="32"/>
      <c r="O265" s="32" t="str">
        <v>tengah</v>
      </c>
      <c r="P265" s="32"/>
      <c r="Q265" s="32"/>
      <c r="T265" s="32" t="str">
        <v>kanan</v>
      </c>
      <c r="U265" s="32"/>
      <c r="V265" s="32"/>
    </row>
    <row r="266" spans="5:22">
      <c r="E266" s="32" t="str">
        <v>tengah</v>
      </c>
      <c r="F266" s="32"/>
      <c r="G266" s="32"/>
      <c r="J266" s="32" t="str">
        <v>kanan</v>
      </c>
      <c r="K266" s="32"/>
      <c r="L266" s="32"/>
      <c r="O266" s="32" t="str">
        <v>tengah</v>
      </c>
      <c r="P266" s="32"/>
      <c r="Q266" s="32"/>
      <c r="T266" s="32" t="str">
        <v>tengah</v>
      </c>
      <c r="U266" s="32"/>
      <c r="V266" s="32"/>
    </row>
    <row r="267" spans="5:22">
      <c r="E267" s="32" t="str">
        <v>tengah</v>
      </c>
      <c r="F267" s="32"/>
      <c r="G267" s="32"/>
      <c r="J267" s="32" t="str">
        <v>tengah</v>
      </c>
      <c r="K267" s="32"/>
      <c r="L267" s="32"/>
      <c r="O267" s="32" t="str">
        <v>kanan</v>
      </c>
      <c r="P267" s="32"/>
      <c r="Q267" s="32"/>
      <c r="T267" s="32" t="str">
        <v>tengah</v>
      </c>
      <c r="U267" s="32"/>
      <c r="V267" s="32"/>
    </row>
    <row r="268" spans="5:22">
      <c r="E268" s="32" t="str">
        <v>kiri</v>
      </c>
      <c r="F268" s="32"/>
      <c r="G268" s="32"/>
      <c r="J268" s="32" t="str">
        <v>kiri</v>
      </c>
      <c r="K268" s="32"/>
      <c r="L268" s="32"/>
      <c r="O268" s="32" t="str">
        <v>kanan</v>
      </c>
      <c r="P268" s="32"/>
      <c r="Q268" s="32"/>
      <c r="T268" s="32" t="str">
        <v>kanan</v>
      </c>
      <c r="U268" s="32"/>
      <c r="V268" s="32"/>
    </row>
    <row r="269" spans="5:22">
      <c r="E269" s="32" t="str">
        <v>tengah</v>
      </c>
      <c r="F269" s="32"/>
      <c r="G269" s="32"/>
      <c r="J269" s="32" t="str">
        <v>tengah</v>
      </c>
      <c r="K269" s="32"/>
      <c r="L269" s="32"/>
      <c r="O269" s="32" t="str">
        <v>tengah</v>
      </c>
      <c r="P269" s="32"/>
      <c r="Q269" s="32"/>
      <c r="T269" s="32" t="str">
        <v>tengah</v>
      </c>
      <c r="U269" s="32"/>
      <c r="V269" s="32"/>
    </row>
    <row r="270" spans="5:22">
      <c r="E270" s="32" t="str">
        <v>kiri</v>
      </c>
      <c r="F270" s="32"/>
      <c r="G270" s="32"/>
      <c r="J270" s="32" t="str">
        <v>tengah</v>
      </c>
      <c r="K270" s="32"/>
      <c r="L270" s="32"/>
      <c r="O270" s="32" t="str">
        <v>tengah</v>
      </c>
      <c r="P270" s="32"/>
      <c r="Q270" s="32"/>
      <c r="T270" s="32" t="str">
        <v>tengah</v>
      </c>
      <c r="U270" s="32"/>
      <c r="V270" s="32"/>
    </row>
    <row r="271" spans="5:22">
      <c r="E271" s="32" t="str">
        <v>tengah</v>
      </c>
      <c r="F271" s="32"/>
      <c r="G271" s="32"/>
      <c r="J271" s="32" t="str">
        <v>tengah</v>
      </c>
      <c r="K271" s="32"/>
      <c r="L271" s="32"/>
      <c r="O271" s="32" t="str">
        <v>tengah</v>
      </c>
      <c r="P271" s="32"/>
      <c r="Q271" s="32"/>
      <c r="T271" s="32" t="str">
        <v>kanan</v>
      </c>
      <c r="U271" s="32"/>
      <c r="V271" s="32"/>
    </row>
    <row r="272" spans="5:22">
      <c r="E272" s="32" t="str">
        <v>tengah</v>
      </c>
      <c r="F272" s="32"/>
      <c r="G272" s="32"/>
      <c r="J272" s="32" t="str">
        <v>tengah</v>
      </c>
      <c r="K272" s="32"/>
      <c r="L272" s="32"/>
      <c r="O272" s="32" t="str">
        <v>kanan</v>
      </c>
      <c r="P272" s="32"/>
      <c r="Q272" s="32"/>
      <c r="T272" s="32" t="str">
        <v>kanan</v>
      </c>
      <c r="U272" s="32"/>
      <c r="V272" s="32"/>
    </row>
    <row r="273" spans="5:22">
      <c r="E273" s="32" t="str">
        <v>tengah</v>
      </c>
      <c r="F273" s="32"/>
      <c r="G273" s="32"/>
      <c r="J273" s="32" t="str">
        <v>tengah</v>
      </c>
      <c r="K273" s="32"/>
      <c r="L273" s="32"/>
      <c r="O273" s="32" t="str">
        <v>tengah</v>
      </c>
      <c r="P273" s="32"/>
      <c r="Q273" s="32"/>
      <c r="T273" s="32" t="str">
        <v>tengah</v>
      </c>
      <c r="U273" s="32"/>
      <c r="V273" s="32"/>
    </row>
    <row r="274" spans="5:22">
      <c r="E274" s="32" t="str">
        <v>kiri</v>
      </c>
      <c r="F274" s="32"/>
      <c r="G274" s="32"/>
      <c r="J274" s="32" t="str">
        <v>tengah</v>
      </c>
      <c r="K274" s="32"/>
      <c r="L274" s="32"/>
      <c r="O274" s="32" t="str">
        <v>kanan</v>
      </c>
      <c r="P274" s="32"/>
      <c r="Q274" s="32"/>
      <c r="T274" s="32" t="str">
        <v>kanan</v>
      </c>
      <c r="U274" s="32"/>
      <c r="V274" s="32"/>
    </row>
    <row r="275" spans="5:22">
      <c r="E275" s="32" t="str">
        <v>tengah</v>
      </c>
      <c r="F275" s="32"/>
      <c r="G275" s="32"/>
      <c r="J275" s="32" t="str">
        <v>kanan</v>
      </c>
      <c r="K275" s="32"/>
      <c r="L275" s="32"/>
      <c r="O275" s="32" t="str">
        <v>tengah</v>
      </c>
      <c r="P275" s="32"/>
      <c r="Q275" s="32"/>
      <c r="T275" s="32" t="str">
        <v>tengah</v>
      </c>
      <c r="U275" s="32"/>
      <c r="V275" s="32"/>
    </row>
    <row r="276" spans="5:22">
      <c r="E276" s="32" t="str">
        <v>kiri</v>
      </c>
      <c r="F276" s="32"/>
      <c r="G276" s="32"/>
      <c r="J276" s="32" t="str">
        <v>kiri</v>
      </c>
      <c r="K276" s="32"/>
      <c r="L276" s="32"/>
      <c r="O276" s="32" t="str">
        <v>tengah</v>
      </c>
      <c r="P276" s="32"/>
      <c r="Q276" s="32"/>
      <c r="T276" s="32" t="str">
        <v>kanan</v>
      </c>
      <c r="U276" s="32"/>
      <c r="V276" s="32"/>
    </row>
    <row r="277" spans="5:22">
      <c r="E277" s="32" t="str">
        <v>tengah</v>
      </c>
      <c r="F277" s="32"/>
      <c r="G277" s="32"/>
      <c r="J277" s="32" t="str">
        <v>kanan</v>
      </c>
      <c r="K277" s="32"/>
      <c r="L277" s="32"/>
      <c r="O277" s="32" t="str">
        <v>tengah</v>
      </c>
      <c r="P277" s="32"/>
      <c r="Q277" s="32"/>
      <c r="T277" s="32" t="str">
        <v>tengah</v>
      </c>
      <c r="U277" s="32"/>
      <c r="V277" s="32"/>
    </row>
    <row r="278" spans="5:22">
      <c r="E278" s="32" t="str">
        <v>kanan</v>
      </c>
      <c r="F278" s="32"/>
      <c r="G278" s="32"/>
      <c r="J278" s="32" t="str">
        <v>kanan</v>
      </c>
      <c r="K278" s="32"/>
      <c r="L278" s="32"/>
      <c r="O278" s="32" t="str">
        <v>kanan</v>
      </c>
      <c r="P278" s="32"/>
      <c r="Q278" s="32"/>
      <c r="T278" s="32" t="str">
        <v>kanan</v>
      </c>
      <c r="U278" s="32"/>
      <c r="V278" s="32"/>
    </row>
    <row r="279" spans="5:22">
      <c r="E279" s="32" t="str">
        <v>tengah</v>
      </c>
      <c r="F279" s="32"/>
      <c r="G279" s="32"/>
      <c r="J279" s="32" t="str">
        <v>kanan</v>
      </c>
      <c r="K279" s="32"/>
      <c r="L279" s="32"/>
      <c r="O279" s="32" t="str">
        <v>tengah</v>
      </c>
      <c r="P279" s="32"/>
      <c r="Q279" s="32"/>
      <c r="T279" s="32" t="str">
        <v>tengah</v>
      </c>
      <c r="U279" s="32"/>
      <c r="V279" s="32"/>
    </row>
    <row r="280" spans="5:22">
      <c r="E280" s="32" t="str">
        <v>tengah</v>
      </c>
      <c r="F280" s="32"/>
      <c r="G280" s="32"/>
      <c r="J280" s="32" t="str">
        <v>tengah</v>
      </c>
      <c r="K280" s="32"/>
      <c r="L280" s="32"/>
      <c r="O280" s="32" t="str">
        <v>tengah</v>
      </c>
      <c r="P280" s="32"/>
      <c r="Q280" s="32"/>
      <c r="T280" s="32" t="str">
        <v>kanan</v>
      </c>
      <c r="U280" s="32"/>
      <c r="V280" s="32"/>
    </row>
    <row r="281" spans="5:22">
      <c r="E281" s="32" t="str">
        <v>tengah</v>
      </c>
      <c r="F281" s="32"/>
      <c r="G281" s="32"/>
      <c r="J281" s="32" t="str">
        <v>tengah</v>
      </c>
      <c r="K281" s="32"/>
      <c r="L281" s="32"/>
      <c r="O281" s="32" t="str">
        <v>kanan</v>
      </c>
      <c r="P281" s="32"/>
      <c r="Q281" s="32"/>
      <c r="T281" s="32" t="str">
        <v>kanan</v>
      </c>
      <c r="U281" s="32"/>
      <c r="V281" s="32"/>
    </row>
    <row r="282" spans="5:22">
      <c r="E282" s="32" t="str">
        <v>tengah</v>
      </c>
      <c r="F282" s="32"/>
      <c r="G282" s="32"/>
      <c r="J282" s="32" t="str">
        <v>tengah</v>
      </c>
      <c r="K282" s="32"/>
      <c r="L282" s="32"/>
      <c r="O282" s="32" t="str">
        <v>tengah</v>
      </c>
      <c r="P282" s="32"/>
      <c r="Q282" s="32"/>
      <c r="T282" s="32" t="str">
        <v>tengah</v>
      </c>
      <c r="U282" s="32"/>
      <c r="V282" s="32"/>
    </row>
    <row r="283" spans="5:22">
      <c r="E283" s="32" t="str">
        <v>tengah</v>
      </c>
      <c r="F283" s="32"/>
      <c r="G283" s="32"/>
      <c r="J283" s="32" t="str">
        <v>kiri</v>
      </c>
      <c r="K283" s="32"/>
      <c r="L283" s="32"/>
      <c r="O283" s="32" t="str">
        <v>tengah</v>
      </c>
      <c r="P283" s="32"/>
      <c r="Q283" s="32"/>
      <c r="T283" s="32" t="str">
        <v>tengah</v>
      </c>
      <c r="U283" s="32"/>
      <c r="V283" s="32"/>
    </row>
    <row r="284" spans="5:22">
      <c r="E284" s="32" t="str">
        <v>kanan</v>
      </c>
      <c r="F284" s="32"/>
      <c r="G284" s="32"/>
      <c r="J284" s="32" t="str">
        <v>tengah</v>
      </c>
      <c r="K284" s="32"/>
      <c r="L284" s="32"/>
      <c r="O284" s="32" t="str">
        <v>tengah</v>
      </c>
      <c r="P284" s="32"/>
      <c r="Q284" s="32"/>
      <c r="T284" s="32" t="str">
        <v>tengah</v>
      </c>
      <c r="U284" s="32"/>
      <c r="V284" s="32"/>
    </row>
    <row r="285" spans="5:22">
      <c r="E285" s="32" t="str">
        <v>tengah</v>
      </c>
      <c r="F285" s="32"/>
      <c r="G285" s="32"/>
      <c r="J285" s="32" t="str">
        <v>kanan</v>
      </c>
      <c r="K285" s="32"/>
      <c r="L285" s="32"/>
      <c r="O285" s="32" t="str">
        <v>tengah</v>
      </c>
      <c r="P285" s="32"/>
      <c r="Q285" s="32"/>
      <c r="T285" s="32" t="str">
        <v>tengah</v>
      </c>
      <c r="U285" s="32"/>
      <c r="V285" s="32"/>
    </row>
    <row r="286" spans="5:22">
      <c r="E286" s="32" t="str">
        <v>tengah</v>
      </c>
      <c r="F286" s="32"/>
      <c r="G286" s="32"/>
      <c r="J286" s="32" t="str">
        <v>kiri</v>
      </c>
      <c r="K286" s="32"/>
      <c r="L286" s="32"/>
      <c r="O286" s="32" t="str">
        <v>tengah</v>
      </c>
      <c r="P286" s="32"/>
      <c r="Q286" s="32"/>
      <c r="T286" s="32" t="str">
        <v>tengah</v>
      </c>
      <c r="U286" s="32"/>
      <c r="V286" s="32"/>
    </row>
    <row r="287" spans="5:22">
      <c r="E287" s="32" t="str">
        <v>kanan</v>
      </c>
      <c r="F287" s="32"/>
      <c r="G287" s="32"/>
      <c r="J287" s="32" t="str">
        <v>tengah</v>
      </c>
      <c r="K287" s="32"/>
      <c r="L287" s="32"/>
      <c r="O287" s="32" t="str">
        <v>tengah</v>
      </c>
      <c r="P287" s="32"/>
      <c r="Q287" s="32"/>
      <c r="T287" s="32" t="str">
        <v>tengah</v>
      </c>
      <c r="U287" s="32"/>
      <c r="V287" s="32"/>
    </row>
    <row r="288" spans="5:22">
      <c r="E288" s="32" t="str">
        <v>tengah</v>
      </c>
      <c r="F288" s="32"/>
      <c r="G288" s="32"/>
      <c r="J288" s="32" t="str">
        <v>kanan</v>
      </c>
      <c r="K288" s="32"/>
      <c r="L288" s="32"/>
      <c r="O288" s="32" t="str">
        <v>tengah</v>
      </c>
      <c r="P288" s="32"/>
      <c r="Q288" s="32"/>
      <c r="T288" s="32" t="str">
        <v>kanan</v>
      </c>
      <c r="U288" s="32"/>
      <c r="V288" s="32"/>
    </row>
    <row r="289" spans="5:22">
      <c r="E289" s="32" t="str">
        <v>kanan</v>
      </c>
      <c r="F289" s="32"/>
      <c r="G289" s="32"/>
      <c r="J289" s="32" t="str">
        <v>kanan</v>
      </c>
      <c r="K289" s="32"/>
      <c r="L289" s="32"/>
      <c r="O289" s="32" t="str">
        <v>tengah</v>
      </c>
      <c r="P289" s="32"/>
      <c r="Q289" s="32"/>
      <c r="T289" s="32" t="str">
        <v>tengah</v>
      </c>
      <c r="U289" s="32"/>
      <c r="V289" s="32"/>
    </row>
    <row r="290" spans="5:22">
      <c r="E290" s="32" t="str">
        <v>tengah</v>
      </c>
      <c r="F290" s="32"/>
      <c r="G290" s="32"/>
      <c r="J290" s="32" t="str">
        <v>tengah</v>
      </c>
      <c r="K290" s="32"/>
      <c r="L290" s="32"/>
      <c r="O290" s="32" t="str">
        <v>kanan</v>
      </c>
      <c r="P290" s="32"/>
      <c r="Q290" s="32"/>
      <c r="T290" s="32" t="str">
        <v>kanan</v>
      </c>
      <c r="U290" s="32"/>
      <c r="V290" s="32"/>
    </row>
    <row r="291" spans="5:22">
      <c r="E291" s="32" t="str">
        <v>tengah</v>
      </c>
      <c r="F291" s="32"/>
      <c r="G291" s="32"/>
      <c r="J291" s="32" t="str">
        <v>kanan</v>
      </c>
      <c r="K291" s="32"/>
      <c r="L291" s="32"/>
      <c r="O291" s="32" t="str">
        <v>tengah</v>
      </c>
      <c r="P291" s="32"/>
      <c r="Q291" s="32"/>
      <c r="T291" s="32" t="str">
        <v>kanan</v>
      </c>
      <c r="U291" s="32"/>
      <c r="V291" s="32"/>
    </row>
    <row r="292" spans="5:22">
      <c r="E292" s="32" t="str">
        <v>kiri</v>
      </c>
      <c r="F292" s="32"/>
      <c r="G292" s="32"/>
      <c r="J292" s="32" t="str">
        <v>kiri</v>
      </c>
      <c r="K292" s="32"/>
      <c r="L292" s="32"/>
      <c r="O292" s="32" t="str">
        <v>kanan</v>
      </c>
      <c r="P292" s="32"/>
      <c r="Q292" s="32"/>
      <c r="T292" s="32" t="str">
        <v>kanan</v>
      </c>
      <c r="U292" s="32"/>
      <c r="V292" s="32"/>
    </row>
    <row r="293" spans="5:22">
      <c r="E293" s="32" t="str">
        <v>kiri</v>
      </c>
      <c r="F293" s="32"/>
      <c r="G293" s="32"/>
      <c r="J293" s="32" t="str">
        <v>kiri</v>
      </c>
      <c r="K293" s="32"/>
      <c r="L293" s="32"/>
      <c r="O293" s="32" t="str">
        <v>tengah</v>
      </c>
      <c r="P293" s="32"/>
      <c r="Q293" s="32"/>
      <c r="T293" s="32" t="str">
        <v>tengah</v>
      </c>
      <c r="U293" s="32"/>
      <c r="V293" s="32"/>
    </row>
    <row r="294" spans="5:22">
      <c r="E294" s="32" t="str">
        <v>kiri</v>
      </c>
      <c r="F294" s="32"/>
      <c r="G294" s="32"/>
      <c r="J294" s="32" t="str">
        <v>kanan</v>
      </c>
      <c r="K294" s="32"/>
      <c r="L294" s="32"/>
      <c r="O294" s="32" t="str">
        <v>kiri</v>
      </c>
      <c r="P294" s="32"/>
      <c r="Q294" s="32"/>
      <c r="T294" s="32" t="str">
        <v>tengah</v>
      </c>
      <c r="U294" s="32"/>
      <c r="V294" s="32"/>
    </row>
    <row r="295" spans="5:22">
      <c r="E295" s="32" t="str">
        <v>tengah</v>
      </c>
      <c r="F295" s="32"/>
      <c r="G295" s="32"/>
      <c r="J295" s="32" t="str">
        <v>tengah</v>
      </c>
      <c r="K295" s="32"/>
      <c r="L295" s="32"/>
      <c r="O295" s="32" t="str">
        <v>kiri</v>
      </c>
      <c r="P295" s="32"/>
      <c r="Q295" s="32"/>
      <c r="T295" s="32" t="str">
        <v>kanan</v>
      </c>
      <c r="U295" s="32"/>
      <c r="V295" s="32"/>
    </row>
    <row r="296" spans="5:22">
      <c r="E296" s="32" t="str">
        <v>kanan</v>
      </c>
      <c r="F296" s="32"/>
      <c r="G296" s="32"/>
      <c r="J296" s="32" t="str">
        <v>tengah</v>
      </c>
      <c r="K296" s="32"/>
      <c r="L296" s="32"/>
      <c r="O296" s="32" t="str">
        <v>tengah</v>
      </c>
      <c r="P296" s="32"/>
      <c r="Q296" s="32"/>
      <c r="T296" s="32" t="str">
        <v>kanan</v>
      </c>
      <c r="U296" s="32"/>
      <c r="V296" s="32"/>
    </row>
    <row r="297" spans="5:22">
      <c r="E297" s="32" t="str">
        <v>kanan</v>
      </c>
      <c r="F297" s="32"/>
      <c r="G297" s="32"/>
      <c r="J297" s="32" t="str">
        <v>tengah</v>
      </c>
      <c r="K297" s="32"/>
      <c r="L297" s="32"/>
      <c r="O297" s="32" t="str">
        <v>tengah</v>
      </c>
      <c r="P297" s="32"/>
      <c r="Q297" s="32"/>
      <c r="T297" s="32" t="str">
        <v>kanan</v>
      </c>
      <c r="U297" s="32"/>
      <c r="V297" s="32"/>
    </row>
    <row r="298" spans="5:22">
      <c r="E298" s="32" t="str">
        <v>tengah</v>
      </c>
      <c r="F298" s="32"/>
      <c r="G298" s="32"/>
      <c r="J298" s="32" t="str">
        <v>tengah</v>
      </c>
      <c r="K298" s="32"/>
      <c r="L298" s="32"/>
      <c r="O298" s="32" t="str">
        <v>kiri</v>
      </c>
      <c r="P298" s="32"/>
      <c r="Q298" s="32"/>
      <c r="T298" s="32" t="str">
        <v>kanan</v>
      </c>
      <c r="U298" s="32"/>
      <c r="V298" s="32"/>
    </row>
    <row r="299" spans="5:22">
      <c r="E299" s="32" t="str">
        <v>kiri</v>
      </c>
      <c r="F299" s="32"/>
      <c r="G299" s="32"/>
      <c r="J299" s="32" t="str">
        <v>kiri</v>
      </c>
      <c r="K299" s="32"/>
      <c r="L299" s="32"/>
      <c r="O299" s="32" t="str">
        <v>kanan</v>
      </c>
      <c r="P299" s="32"/>
      <c r="Q299" s="32"/>
      <c r="T299" s="32" t="str">
        <v>tengah</v>
      </c>
      <c r="U299" s="32"/>
      <c r="V299" s="32"/>
    </row>
    <row r="300" spans="5:22">
      <c r="E300" s="32" t="str">
        <v>tengah</v>
      </c>
      <c r="F300" s="32"/>
      <c r="G300" s="32"/>
      <c r="J300" s="32" t="str">
        <v>tengah</v>
      </c>
      <c r="K300" s="32"/>
      <c r="L300" s="32"/>
      <c r="O300" s="32" t="str">
        <v>kiri</v>
      </c>
      <c r="P300" s="32"/>
      <c r="Q300" s="32"/>
      <c r="T300" s="32" t="str">
        <v>kanan</v>
      </c>
      <c r="U300" s="32"/>
      <c r="V300" s="32"/>
    </row>
    <row r="301" spans="5:22">
      <c r="E301" s="32" t="str">
        <v>kiri</v>
      </c>
      <c r="F301" s="32"/>
      <c r="G301" s="32"/>
      <c r="J301" s="32" t="str">
        <v>tengah</v>
      </c>
      <c r="K301" s="32"/>
      <c r="L301" s="32"/>
      <c r="O301" s="32" t="str">
        <v>kanan</v>
      </c>
      <c r="P301" s="32"/>
      <c r="Q301" s="32"/>
      <c r="T301" s="32" t="str">
        <v>tengah</v>
      </c>
      <c r="U301" s="32"/>
      <c r="V301" s="32"/>
    </row>
    <row r="302" spans="5:22">
      <c r="E302" s="32" t="str">
        <v>kiri</v>
      </c>
      <c r="F302" s="32"/>
      <c r="G302" s="32"/>
      <c r="J302" s="32" t="str">
        <v>kiri</v>
      </c>
      <c r="K302" s="32"/>
      <c r="L302" s="32"/>
      <c r="O302" s="32" t="str">
        <v>kanan</v>
      </c>
      <c r="P302" s="32"/>
      <c r="Q302" s="32"/>
      <c r="T302" s="32" t="str">
        <v>tengah</v>
      </c>
      <c r="U302" s="32"/>
      <c r="V302" s="32"/>
    </row>
    <row r="303" spans="5:22">
      <c r="E303" s="32" t="str">
        <v>tengah</v>
      </c>
      <c r="F303" s="32"/>
      <c r="G303" s="32"/>
      <c r="J303" s="32" t="str">
        <v>tengah</v>
      </c>
      <c r="K303" s="32"/>
      <c r="L303" s="32"/>
      <c r="O303" s="32" t="str">
        <v>tengah</v>
      </c>
      <c r="P303" s="32"/>
      <c r="Q303" s="32"/>
      <c r="T303" s="32" t="str">
        <v>tengah</v>
      </c>
      <c r="U303" s="32"/>
      <c r="V303" s="32"/>
    </row>
    <row r="304" spans="5:22">
      <c r="E304" s="32" t="str">
        <v>kiri</v>
      </c>
      <c r="F304" s="32"/>
      <c r="G304" s="32"/>
      <c r="J304" s="32" t="str">
        <v>tengah</v>
      </c>
      <c r="K304" s="32"/>
      <c r="L304" s="32"/>
      <c r="O304" s="32" t="str">
        <v>kanan</v>
      </c>
      <c r="P304" s="32"/>
      <c r="Q304" s="32"/>
      <c r="T304" s="32" t="str">
        <v>tengah</v>
      </c>
      <c r="U304" s="32"/>
      <c r="V304" s="32"/>
    </row>
    <row r="305" spans="5:22">
      <c r="E305" s="32" t="str">
        <v>tengah</v>
      </c>
      <c r="F305" s="32"/>
      <c r="G305" s="32"/>
      <c r="J305" s="32" t="str">
        <v>kiri</v>
      </c>
      <c r="K305" s="32"/>
      <c r="L305" s="32"/>
      <c r="O305" s="32" t="str">
        <v>kiri</v>
      </c>
      <c r="P305" s="32"/>
      <c r="Q305" s="32"/>
      <c r="T305" s="32" t="str">
        <v>tengah</v>
      </c>
      <c r="U305" s="32"/>
      <c r="V305" s="32"/>
    </row>
    <row r="306" spans="5:22">
      <c r="E306" s="32" t="str">
        <v>tengah</v>
      </c>
      <c r="F306" s="32"/>
      <c r="G306" s="32"/>
      <c r="J306" s="32" t="str">
        <v>tengah</v>
      </c>
      <c r="K306" s="32"/>
      <c r="L306" s="32"/>
      <c r="O306" s="32" t="str">
        <v>kiri</v>
      </c>
      <c r="P306" s="32"/>
      <c r="Q306" s="32"/>
      <c r="T306" s="32" t="str">
        <v>kanan</v>
      </c>
      <c r="U306" s="32"/>
      <c r="V306" s="32"/>
    </row>
    <row r="307" spans="5:22">
      <c r="E307" s="32" t="str">
        <v>kanan</v>
      </c>
      <c r="F307" s="32"/>
      <c r="G307" s="32"/>
      <c r="J307" s="32" t="str">
        <v>tengah</v>
      </c>
      <c r="K307" s="32"/>
      <c r="L307" s="32"/>
      <c r="O307" s="32" t="str">
        <v>tengah</v>
      </c>
      <c r="P307" s="32"/>
      <c r="Q307" s="32"/>
      <c r="T307" s="32" t="str">
        <v>kanan</v>
      </c>
      <c r="U307" s="32"/>
      <c r="V307" s="32"/>
    </row>
    <row r="308" spans="5:22">
      <c r="E308" s="32" t="str">
        <v>kiri</v>
      </c>
      <c r="F308" s="32"/>
      <c r="G308" s="32"/>
      <c r="J308" s="32" t="str">
        <v>tengah</v>
      </c>
      <c r="K308" s="32"/>
      <c r="L308" s="32"/>
      <c r="O308" s="32" t="str">
        <v>tengah</v>
      </c>
      <c r="P308" s="32"/>
      <c r="Q308" s="32"/>
      <c r="T308" s="32" t="str">
        <v>tengah</v>
      </c>
      <c r="U308" s="32"/>
      <c r="V308" s="32"/>
    </row>
    <row r="309" spans="5:22">
      <c r="E309" s="32" t="str">
        <v>kanan</v>
      </c>
      <c r="F309" s="32"/>
      <c r="G309" s="32"/>
      <c r="J309" s="32" t="str">
        <v>tengah</v>
      </c>
      <c r="K309" s="32"/>
      <c r="L309" s="32"/>
      <c r="O309" s="32" t="str">
        <v>kanan</v>
      </c>
      <c r="P309" s="32"/>
      <c r="Q309" s="32"/>
      <c r="T309" s="32" t="str">
        <v>kanan</v>
      </c>
      <c r="U309" s="32"/>
      <c r="V309" s="32"/>
    </row>
    <row r="310" spans="5:22">
      <c r="E310" s="32" t="str">
        <v>kanan</v>
      </c>
      <c r="F310" s="32"/>
      <c r="G310" s="32"/>
      <c r="J310" s="32" t="str">
        <v>tengah</v>
      </c>
      <c r="K310" s="32"/>
      <c r="L310" s="32"/>
      <c r="O310" s="32" t="str">
        <v>tengah</v>
      </c>
      <c r="P310" s="32"/>
      <c r="Q310" s="32"/>
      <c r="T310" s="32" t="str">
        <v>tengah</v>
      </c>
      <c r="U310" s="32"/>
      <c r="V310" s="32"/>
    </row>
    <row r="311" spans="5:22">
      <c r="E311" s="32" t="str">
        <v>kiri</v>
      </c>
      <c r="F311" s="32"/>
      <c r="G311" s="32"/>
      <c r="J311" s="32" t="str">
        <v>tengah</v>
      </c>
      <c r="K311" s="32"/>
      <c r="L311" s="32"/>
      <c r="O311" s="32" t="str">
        <v>kiri</v>
      </c>
      <c r="P311" s="32"/>
      <c r="Q311" s="32"/>
      <c r="T311" s="32" t="str">
        <v>kanan</v>
      </c>
      <c r="U311" s="32"/>
      <c r="V311" s="32"/>
    </row>
    <row r="312" spans="5:22">
      <c r="E312" s="32" t="str">
        <v>tengah</v>
      </c>
      <c r="F312" s="32"/>
      <c r="G312" s="32"/>
      <c r="J312" s="32" t="str">
        <v>kiri</v>
      </c>
      <c r="K312" s="32"/>
      <c r="L312" s="32"/>
      <c r="O312" s="32" t="str">
        <v>tengah</v>
      </c>
      <c r="P312" s="32"/>
      <c r="Q312" s="32"/>
      <c r="T312" s="32" t="str">
        <v>tengah</v>
      </c>
      <c r="U312" s="32"/>
      <c r="V312" s="32"/>
    </row>
    <row r="313" spans="5:22">
      <c r="E313" s="32" t="str">
        <v>tengah</v>
      </c>
      <c r="F313" s="32"/>
      <c r="G313" s="32"/>
      <c r="J313" s="32" t="str">
        <v>tengah</v>
      </c>
      <c r="K313" s="32"/>
      <c r="L313" s="32"/>
      <c r="O313" s="32" t="str">
        <v>kanan</v>
      </c>
      <c r="P313" s="32"/>
      <c r="Q313" s="32"/>
      <c r="T313" s="32" t="str">
        <v>kanan</v>
      </c>
      <c r="U313" s="32"/>
      <c r="V313" s="32"/>
    </row>
    <row r="314" spans="5:22">
      <c r="E314" s="32" t="str">
        <v>tengah</v>
      </c>
      <c r="F314" s="32"/>
      <c r="G314" s="32"/>
      <c r="J314" s="32" t="str">
        <v>kanan</v>
      </c>
      <c r="K314" s="32"/>
      <c r="L314" s="32"/>
      <c r="O314" s="32" t="str">
        <v>tengah</v>
      </c>
      <c r="P314" s="32"/>
      <c r="Q314" s="32"/>
      <c r="T314" s="32" t="str">
        <v>kanan</v>
      </c>
      <c r="U314" s="32"/>
      <c r="V314" s="32"/>
    </row>
    <row r="315" spans="5:22">
      <c r="E315" s="32" t="str">
        <v>tengah</v>
      </c>
      <c r="F315" s="32"/>
      <c r="G315" s="32"/>
      <c r="J315" s="32" t="str">
        <v>tengah</v>
      </c>
      <c r="K315" s="32"/>
      <c r="L315" s="32"/>
      <c r="O315" s="32" t="str">
        <v>kiri</v>
      </c>
      <c r="P315" s="32"/>
      <c r="Q315" s="32"/>
      <c r="T315" s="32" t="str">
        <v>kanan</v>
      </c>
      <c r="U315" s="32"/>
      <c r="V315" s="32"/>
    </row>
    <row r="316" spans="5:22">
      <c r="E316" s="32" t="str">
        <v>tengah</v>
      </c>
      <c r="F316" s="32"/>
      <c r="G316" s="32"/>
      <c r="J316" s="32" t="str">
        <v>tengah</v>
      </c>
      <c r="K316" s="32"/>
      <c r="L316" s="32"/>
      <c r="O316" s="32" t="str">
        <v>tengah</v>
      </c>
      <c r="P316" s="32"/>
      <c r="Q316" s="32"/>
      <c r="T316" s="32" t="str">
        <v>tengah</v>
      </c>
      <c r="U316" s="32"/>
      <c r="V316" s="32"/>
    </row>
    <row r="317" spans="5:22">
      <c r="E317" s="32" t="str">
        <v>kanan</v>
      </c>
      <c r="F317" s="32"/>
      <c r="G317" s="32"/>
      <c r="J317" s="32" t="str">
        <v>tengah</v>
      </c>
      <c r="K317" s="32"/>
      <c r="L317" s="32"/>
      <c r="O317" s="32" t="str">
        <v>tengah</v>
      </c>
      <c r="P317" s="32"/>
      <c r="Q317" s="32"/>
      <c r="T317" s="32" t="str">
        <v>tengah</v>
      </c>
      <c r="U317" s="32"/>
      <c r="V317" s="32"/>
    </row>
    <row r="318" spans="5:22">
      <c r="E318" s="32" t="str">
        <v>tengah</v>
      </c>
      <c r="F318" s="32"/>
      <c r="G318" s="32"/>
      <c r="J318" s="32" t="str">
        <v>kanan</v>
      </c>
      <c r="K318" s="32"/>
      <c r="L318" s="32"/>
      <c r="O318" s="32" t="str">
        <v>tengah</v>
      </c>
      <c r="P318" s="32"/>
      <c r="Q318" s="32"/>
      <c r="T318" s="32" t="str">
        <v>kanan</v>
      </c>
      <c r="U318" s="32"/>
      <c r="V318" s="32"/>
    </row>
    <row r="319" spans="5:22">
      <c r="E319" s="32" t="str">
        <v>tengah</v>
      </c>
      <c r="F319" s="32"/>
      <c r="G319" s="32"/>
      <c r="J319" s="32" t="str">
        <v>tengah</v>
      </c>
      <c r="K319" s="32"/>
      <c r="L319" s="32"/>
      <c r="O319" s="32" t="str">
        <v>tengah</v>
      </c>
      <c r="P319" s="32"/>
      <c r="Q319" s="32"/>
      <c r="T319" s="32" t="str">
        <v>kanan</v>
      </c>
      <c r="U319" s="32"/>
      <c r="V319" s="32"/>
    </row>
    <row r="320" spans="5:22">
      <c r="E320" s="32" t="str">
        <v>tengah</v>
      </c>
      <c r="F320" s="32"/>
      <c r="G320" s="32"/>
      <c r="J320" s="32" t="str">
        <v>kiri</v>
      </c>
      <c r="K320" s="32"/>
      <c r="L320" s="32"/>
      <c r="O320" s="32" t="str">
        <v>tengah</v>
      </c>
      <c r="P320" s="32"/>
      <c r="Q320" s="32"/>
      <c r="T320" s="32" t="str">
        <v>kanan</v>
      </c>
      <c r="U320" s="32"/>
      <c r="V320" s="32"/>
    </row>
    <row r="321" spans="5:22">
      <c r="E321" s="32" t="str">
        <v>tengah</v>
      </c>
      <c r="F321" s="32"/>
      <c r="G321" s="32"/>
      <c r="J321" s="32" t="str">
        <v>tengah</v>
      </c>
      <c r="K321" s="32"/>
      <c r="L321" s="32"/>
      <c r="O321" s="32" t="str">
        <v>tengah</v>
      </c>
      <c r="P321" s="32"/>
      <c r="Q321" s="32"/>
      <c r="T321" s="32" t="str">
        <v>kanan</v>
      </c>
      <c r="U321" s="32"/>
      <c r="V321" s="32"/>
    </row>
    <row r="322" spans="5:22">
      <c r="E322" s="32" t="str">
        <v>kanan</v>
      </c>
      <c r="F322" s="32"/>
      <c r="G322" s="32"/>
      <c r="J322" s="32" t="str">
        <v>tengah</v>
      </c>
      <c r="K322" s="32"/>
      <c r="L322" s="32"/>
      <c r="O322" s="32" t="str">
        <v>tengah</v>
      </c>
      <c r="P322" s="32"/>
      <c r="Q322" s="32"/>
      <c r="T322" s="32" t="str">
        <v>tengah</v>
      </c>
      <c r="U322" s="32"/>
      <c r="V322" s="32"/>
    </row>
    <row r="323" spans="5:22">
      <c r="E323" s="32" t="str">
        <v>tengah</v>
      </c>
      <c r="F323" s="32"/>
      <c r="G323" s="32"/>
      <c r="J323" s="32" t="str">
        <v>kiri</v>
      </c>
      <c r="K323" s="32"/>
      <c r="L323" s="32"/>
      <c r="O323" s="32" t="str">
        <v>tengah</v>
      </c>
      <c r="P323" s="32"/>
      <c r="Q323" s="32"/>
      <c r="T323" s="32" t="str">
        <v>kanan</v>
      </c>
      <c r="U323" s="32"/>
      <c r="V323" s="32"/>
    </row>
    <row r="324" spans="5:22">
      <c r="E324" s="32" t="str">
        <v>kiri</v>
      </c>
      <c r="F324" s="32"/>
      <c r="G324" s="32"/>
      <c r="J324" s="32" t="str">
        <v>kiri</v>
      </c>
      <c r="K324" s="32"/>
      <c r="L324" s="32"/>
      <c r="O324" s="32" t="str">
        <v>kanan</v>
      </c>
      <c r="P324" s="32"/>
      <c r="Q324" s="32"/>
      <c r="T324" s="32" t="str">
        <v>tengah</v>
      </c>
      <c r="U324" s="32"/>
      <c r="V324" s="32"/>
    </row>
    <row r="325" spans="5:22">
      <c r="E325" s="32" t="str">
        <v>tengah</v>
      </c>
      <c r="F325" s="32"/>
      <c r="G325" s="32"/>
      <c r="J325" s="32" t="str">
        <v>kanan</v>
      </c>
      <c r="K325" s="32"/>
      <c r="L325" s="32"/>
      <c r="O325" s="32" t="str">
        <v>tengah</v>
      </c>
      <c r="P325" s="32"/>
      <c r="Q325" s="32"/>
      <c r="T325" s="32" t="str">
        <v>tengah</v>
      </c>
      <c r="U325" s="32"/>
      <c r="V325" s="32"/>
    </row>
    <row r="326" spans="5:22">
      <c r="E326" s="32" t="str">
        <v>kiri</v>
      </c>
      <c r="F326" s="32"/>
      <c r="G326" s="32"/>
      <c r="J326" s="32" t="str">
        <v>kiri</v>
      </c>
      <c r="K326" s="32"/>
      <c r="L326" s="32"/>
      <c r="O326" s="32" t="str">
        <v>tengah</v>
      </c>
      <c r="P326" s="32"/>
      <c r="Q326" s="32"/>
      <c r="T326" s="32" t="str">
        <v>tengah</v>
      </c>
      <c r="U326" s="32"/>
      <c r="V326" s="32"/>
    </row>
    <row r="327" spans="5:22">
      <c r="E327" s="32" t="str">
        <v>tengah</v>
      </c>
      <c r="F327" s="32"/>
      <c r="G327" s="32"/>
      <c r="J327" s="32" t="str">
        <v>tengah</v>
      </c>
      <c r="K327" s="32"/>
      <c r="L327" s="32"/>
      <c r="O327" s="32" t="str">
        <v>kanan</v>
      </c>
      <c r="P327" s="32"/>
      <c r="Q327" s="32"/>
      <c r="T327" s="32" t="str">
        <v>kanan</v>
      </c>
      <c r="U327" s="32"/>
      <c r="V327" s="32"/>
    </row>
    <row r="328" spans="5:22">
      <c r="E328" s="32" t="str">
        <v>tengah</v>
      </c>
      <c r="F328" s="32"/>
      <c r="G328" s="32"/>
      <c r="J328" s="32" t="str">
        <v>kanan</v>
      </c>
      <c r="K328" s="32"/>
      <c r="L328" s="32"/>
      <c r="O328" s="32" t="str">
        <v>tengah</v>
      </c>
      <c r="P328" s="32"/>
      <c r="Q328" s="32"/>
      <c r="T328" s="32" t="str">
        <v>tengah</v>
      </c>
      <c r="U328" s="32"/>
      <c r="V328" s="32"/>
    </row>
    <row r="329" spans="5:22">
      <c r="E329" s="32" t="str">
        <v>tengah</v>
      </c>
      <c r="F329" s="32"/>
      <c r="G329" s="32"/>
      <c r="J329" s="32" t="str">
        <v>kiri</v>
      </c>
      <c r="K329" s="32"/>
      <c r="L329" s="32"/>
      <c r="O329" s="32" t="str">
        <v>tengah</v>
      </c>
      <c r="P329" s="32"/>
      <c r="Q329" s="32"/>
      <c r="T329" s="32" t="str">
        <v>kanan</v>
      </c>
      <c r="U329" s="32"/>
      <c r="V329" s="32"/>
    </row>
    <row r="330" spans="5:22">
      <c r="E330" s="32" t="str">
        <v>tengah</v>
      </c>
      <c r="F330" s="32"/>
      <c r="G330" s="32"/>
      <c r="J330" s="32" t="str">
        <v>kiri</v>
      </c>
      <c r="K330" s="32"/>
      <c r="L330" s="32"/>
      <c r="O330" s="32" t="str">
        <v>kiri</v>
      </c>
      <c r="P330" s="32"/>
      <c r="Q330" s="32"/>
      <c r="T330" s="32" t="str">
        <v>tengah</v>
      </c>
      <c r="U330" s="32"/>
      <c r="V330" s="32"/>
    </row>
    <row r="331" spans="5:22">
      <c r="E331" s="32" t="str">
        <v>kiri</v>
      </c>
      <c r="F331" s="32"/>
      <c r="G331" s="32"/>
      <c r="J331" s="32" t="str">
        <v>tengah</v>
      </c>
      <c r="K331" s="32"/>
      <c r="L331" s="32"/>
      <c r="O331" s="32" t="str">
        <v>kanan</v>
      </c>
      <c r="P331" s="32"/>
      <c r="Q331" s="32"/>
      <c r="T331" s="32" t="str">
        <v>kanan</v>
      </c>
      <c r="U331" s="32"/>
      <c r="V331" s="32"/>
    </row>
    <row r="332" spans="5:22">
      <c r="E332" s="32" t="str">
        <v>kiri</v>
      </c>
      <c r="F332" s="32"/>
      <c r="G332" s="32"/>
      <c r="J332" s="32" t="str">
        <v>tengah</v>
      </c>
      <c r="K332" s="32"/>
      <c r="L332" s="32"/>
      <c r="O332" s="32" t="str">
        <v>kanan</v>
      </c>
      <c r="P332" s="32"/>
      <c r="Q332" s="32"/>
      <c r="T332" s="32" t="str">
        <v>kanan</v>
      </c>
      <c r="U332" s="32"/>
      <c r="V332" s="3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67720-3E47-41B8-ACA2-ABB7E17E5557}">
  <dimension ref="A1:V332"/>
  <sheetViews>
    <sheetView topLeftCell="N187" zoomScale="98" zoomScaleNormal="98" workbookViewId="0">
      <selection activeCell="O163" sqref="O163"/>
    </sheetView>
  </sheetViews>
  <sheetFormatPr defaultColWidth="9" defaultRowHeight="15"/>
  <cols>
    <col min="2" max="2" width="15.85546875" customWidth="1"/>
    <col min="3" max="3" width="16.7109375" bestFit="1" customWidth="1"/>
    <col min="4" max="4" width="13.85546875" customWidth="1"/>
    <col min="6" max="6" width="14.42578125" bestFit="1" customWidth="1"/>
    <col min="8" max="8" width="14.28515625" customWidth="1"/>
    <col min="9" max="9" width="13.28515625" customWidth="1"/>
    <col min="10" max="10" width="13.85546875" customWidth="1"/>
    <col min="11" max="11" width="22" bestFit="1" customWidth="1"/>
    <col min="13" max="13" width="14.42578125" bestFit="1" customWidth="1"/>
    <col min="15" max="15" width="25.28515625" bestFit="1" customWidth="1"/>
    <col min="16" max="16" width="12.85546875" bestFit="1" customWidth="1"/>
    <col min="17" max="17" width="11.7109375" customWidth="1"/>
    <col min="20" max="20" width="14.42578125" bestFit="1" customWidth="1"/>
  </cols>
  <sheetData>
    <row r="1" spans="1:17">
      <c r="A1" s="30" t="s">
        <v>174</v>
      </c>
      <c r="B1" s="30" t="s">
        <v>1</v>
      </c>
      <c r="C1" s="30" t="s">
        <v>2</v>
      </c>
      <c r="D1" s="30" t="s">
        <v>173</v>
      </c>
      <c r="E1" s="30" t="s">
        <v>4</v>
      </c>
      <c r="F1" s="30" t="s">
        <v>5</v>
      </c>
      <c r="H1" s="61" t="s">
        <v>174</v>
      </c>
      <c r="I1" s="61" t="s">
        <v>1</v>
      </c>
      <c r="J1" s="61" t="s">
        <v>2</v>
      </c>
      <c r="K1" s="61" t="s">
        <v>173</v>
      </c>
      <c r="L1" s="61" t="s">
        <v>4</v>
      </c>
      <c r="M1" s="61" t="s">
        <v>5</v>
      </c>
      <c r="O1" s="30" t="s">
        <v>175</v>
      </c>
      <c r="P1" s="31"/>
      <c r="Q1" s="31"/>
    </row>
    <row r="2" spans="1:17">
      <c r="A2" s="32">
        <f ca="1">RANDBETWEEN(2,164)</f>
        <v>69</v>
      </c>
      <c r="B2" s="32" cm="1">
        <f t="array" aca="1" ref="B2" ca="1">INDEX(Data_DBD!$B:$B,$A2)</f>
        <v>24</v>
      </c>
      <c r="C2" s="32" cm="1">
        <f t="array" aca="1" ref="C2" ca="1">INDEX(Data_DBD!$C:$C,$A2)</f>
        <v>4</v>
      </c>
      <c r="D2" s="32" cm="1">
        <f t="array" aca="1" ref="D2" ca="1">INDEX(Data_DBD!$D:$D,$A2)</f>
        <v>10</v>
      </c>
      <c r="E2" s="32" cm="1">
        <f t="array" aca="1" ref="E2" ca="1">INDEX(Data_DBD!$E:$E,$A2)</f>
        <v>1</v>
      </c>
      <c r="F2" s="32" cm="1">
        <f t="array" aca="1" ref="F2" ca="1">INDEX(Data_DBD!$F:$F,$A2)</f>
        <v>2</v>
      </c>
      <c r="H2" s="32">
        <v>147</v>
      </c>
      <c r="I2" s="32">
        <v>66</v>
      </c>
      <c r="J2" s="32">
        <v>10</v>
      </c>
      <c r="K2" s="32">
        <v>21</v>
      </c>
      <c r="L2" s="32">
        <v>1</v>
      </c>
      <c r="M2" s="32">
        <v>3</v>
      </c>
      <c r="O2" s="54">
        <v>1</v>
      </c>
      <c r="P2" s="31">
        <f>COUNTIF(M2:M164,"1")</f>
        <v>17</v>
      </c>
      <c r="Q2" s="31">
        <f>P2/163</f>
        <v>0.10429447852760736</v>
      </c>
    </row>
    <row r="3" spans="1:17">
      <c r="A3" s="32">
        <f t="shared" ref="A3:A66" ca="1" si="0">RANDBETWEEN(2,164)</f>
        <v>72</v>
      </c>
      <c r="B3" s="32" cm="1">
        <f t="array" aca="1" ref="B3" ca="1">INDEX(Data_DBD!$B:$B,$A3)</f>
        <v>3</v>
      </c>
      <c r="C3" s="32" cm="1">
        <f t="array" aca="1" ref="C3" ca="1">INDEX(Data_DBD!$C:$C,$A3)</f>
        <v>5</v>
      </c>
      <c r="D3" s="32" cm="1">
        <f t="array" aca="1" ref="D3" ca="1">INDEX(Data_DBD!$D:$D,$A3)</f>
        <v>10</v>
      </c>
      <c r="E3" s="32" cm="1">
        <f t="array" aca="1" ref="E3" ca="1">INDEX(Data_DBD!$E:$E,$A3)</f>
        <v>1</v>
      </c>
      <c r="F3" s="32" cm="1">
        <f t="array" aca="1" ref="F3" ca="1">INDEX(Data_DBD!$F:$F,$A3)</f>
        <v>2</v>
      </c>
      <c r="H3" s="32">
        <v>34</v>
      </c>
      <c r="I3" s="32">
        <v>55</v>
      </c>
      <c r="J3" s="32">
        <v>3</v>
      </c>
      <c r="K3" s="32">
        <v>14</v>
      </c>
      <c r="L3" s="32">
        <v>0</v>
      </c>
      <c r="M3" s="32">
        <v>2</v>
      </c>
      <c r="O3" s="31">
        <v>2</v>
      </c>
      <c r="P3" s="31">
        <f>COUNTIF(M2:M164,"2")</f>
        <v>77</v>
      </c>
      <c r="Q3" s="31">
        <f>P3/163</f>
        <v>0.47239263803680981</v>
      </c>
    </row>
    <row r="4" spans="1:17">
      <c r="A4" s="32">
        <f t="shared" ca="1" si="0"/>
        <v>136</v>
      </c>
      <c r="B4" s="32" cm="1">
        <f t="array" aca="1" ref="B4" ca="1">INDEX(Data_DBD!$B:$B,$A4)</f>
        <v>6</v>
      </c>
      <c r="C4" s="32" cm="1">
        <f t="array" aca="1" ref="C4" ca="1">INDEX(Data_DBD!$C:$C,$A4)</f>
        <v>2</v>
      </c>
      <c r="D4" s="32" cm="1">
        <f t="array" aca="1" ref="D4" ca="1">INDEX(Data_DBD!$D:$D,$A4)</f>
        <v>33</v>
      </c>
      <c r="E4" s="32" cm="1">
        <f t="array" aca="1" ref="E4" ca="1">INDEX(Data_DBD!$E:$E,$A4)</f>
        <v>0</v>
      </c>
      <c r="F4" s="32" cm="1">
        <f t="array" aca="1" ref="F4" ca="1">INDEX(Data_DBD!$F:$F,$A4)</f>
        <v>3</v>
      </c>
      <c r="H4" s="32">
        <v>23</v>
      </c>
      <c r="I4" s="32">
        <v>28</v>
      </c>
      <c r="J4" s="32">
        <v>4</v>
      </c>
      <c r="K4" s="32">
        <v>14</v>
      </c>
      <c r="L4" s="32">
        <v>1</v>
      </c>
      <c r="M4" s="32">
        <v>2</v>
      </c>
      <c r="O4" s="31">
        <v>3</v>
      </c>
      <c r="P4" s="31">
        <f>COUNTIF(M2:M164,"3")</f>
        <v>69</v>
      </c>
      <c r="Q4" s="31">
        <f>P4/163</f>
        <v>0.42331288343558282</v>
      </c>
    </row>
    <row r="5" spans="1:17">
      <c r="A5" s="32">
        <f t="shared" ca="1" si="0"/>
        <v>2</v>
      </c>
      <c r="B5" s="32" cm="1">
        <f t="array" aca="1" ref="B5" ca="1">INDEX(Data_DBD!$B:$B,$A5)</f>
        <v>34</v>
      </c>
      <c r="C5" s="32" cm="1">
        <f t="array" aca="1" ref="C5" ca="1">INDEX(Data_DBD!$C:$C,$A5)</f>
        <v>3</v>
      </c>
      <c r="D5" s="32" cm="1">
        <f t="array" aca="1" ref="D5" ca="1">INDEX(Data_DBD!$D:$D,$A5)</f>
        <v>12</v>
      </c>
      <c r="E5" s="32" cm="1">
        <f t="array" aca="1" ref="E5" ca="1">INDEX(Data_DBD!$E:$E,$A5)</f>
        <v>0</v>
      </c>
      <c r="F5" s="32" cm="1">
        <f t="array" aca="1" ref="F5" ca="1">INDEX(Data_DBD!$F:$F,$A5)</f>
        <v>2</v>
      </c>
      <c r="H5" s="32">
        <v>160</v>
      </c>
      <c r="I5" s="32">
        <v>16</v>
      </c>
      <c r="J5" s="32">
        <v>3</v>
      </c>
      <c r="K5" s="32">
        <v>21</v>
      </c>
      <c r="L5" s="32">
        <v>0</v>
      </c>
      <c r="M5" s="32">
        <v>3</v>
      </c>
      <c r="O5" s="34" t="s">
        <v>176</v>
      </c>
      <c r="P5">
        <f>-(IFERROR(Q2*LOG(Q2,2),0)+IFERROR(Q3*LOG(Q3,2),0)+IFERROR(Q4*LOG(Q4,2),0))</f>
        <v>1.376227421393919</v>
      </c>
    </row>
    <row r="6" spans="1:17">
      <c r="A6" s="32">
        <f t="shared" ca="1" si="0"/>
        <v>148</v>
      </c>
      <c r="B6" s="32" cm="1">
        <f t="array" aca="1" ref="B6" ca="1">INDEX(Data_DBD!$B:$B,$A6)</f>
        <v>55</v>
      </c>
      <c r="C6" s="32" cm="1">
        <f t="array" aca="1" ref="C6" ca="1">INDEX(Data_DBD!$C:$C,$A6)</f>
        <v>3</v>
      </c>
      <c r="D6" s="32" cm="1">
        <f t="array" aca="1" ref="D6" ca="1">INDEX(Data_DBD!$D:$D,$A6)</f>
        <v>21</v>
      </c>
      <c r="E6" s="32" cm="1">
        <f t="array" aca="1" ref="E6" ca="1">INDEX(Data_DBD!$E:$E,$A6)</f>
        <v>1</v>
      </c>
      <c r="F6" s="32" cm="1">
        <f t="array" aca="1" ref="F6" ca="1">INDEX(Data_DBD!$F:$F,$A6)</f>
        <v>3</v>
      </c>
      <c r="H6" s="32">
        <v>138</v>
      </c>
      <c r="I6" s="32">
        <v>13</v>
      </c>
      <c r="J6" s="32">
        <v>3</v>
      </c>
      <c r="K6" s="32">
        <v>33</v>
      </c>
      <c r="L6" s="32">
        <v>1</v>
      </c>
      <c r="M6" s="32">
        <v>3</v>
      </c>
    </row>
    <row r="7" spans="1:17">
      <c r="A7" s="32">
        <f t="shared" ca="1" si="0"/>
        <v>17</v>
      </c>
      <c r="B7" s="32" cm="1">
        <f t="array" aca="1" ref="B7" ca="1">INDEX(Data_DBD!$B:$B,$A7)</f>
        <v>2</v>
      </c>
      <c r="C7" s="32" cm="1">
        <f t="array" aca="1" ref="C7" ca="1">INDEX(Data_DBD!$C:$C,$A7)</f>
        <v>3</v>
      </c>
      <c r="D7" s="32" cm="1">
        <f t="array" aca="1" ref="D7" ca="1">INDEX(Data_DBD!$D:$D,$A7)</f>
        <v>7</v>
      </c>
      <c r="E7" s="32" cm="1">
        <f t="array" aca="1" ref="E7" ca="1">INDEX(Data_DBD!$E:$E,$A7)</f>
        <v>0</v>
      </c>
      <c r="F7" s="32" cm="1">
        <f t="array" aca="1" ref="F7" ca="1">INDEX(Data_DBD!$F:$F,$A7)</f>
        <v>1</v>
      </c>
      <c r="H7" s="32">
        <v>41</v>
      </c>
      <c r="I7" s="32">
        <v>8</v>
      </c>
      <c r="J7" s="32">
        <v>4</v>
      </c>
      <c r="K7" s="32">
        <v>13</v>
      </c>
      <c r="L7" s="32">
        <v>0</v>
      </c>
      <c r="M7" s="32">
        <v>2</v>
      </c>
    </row>
    <row r="8" spans="1:17">
      <c r="A8" s="32">
        <f t="shared" ca="1" si="0"/>
        <v>118</v>
      </c>
      <c r="B8" s="32" cm="1">
        <f t="array" aca="1" ref="B8" ca="1">INDEX(Data_DBD!$B:$B,$A8)</f>
        <v>67</v>
      </c>
      <c r="C8" s="32" cm="1">
        <f t="array" aca="1" ref="C8" ca="1">INDEX(Data_DBD!$C:$C,$A8)</f>
        <v>4</v>
      </c>
      <c r="D8" s="32" cm="1">
        <f t="array" aca="1" ref="D8" ca="1">INDEX(Data_DBD!$D:$D,$A8)</f>
        <v>33</v>
      </c>
      <c r="E8" s="32" cm="1">
        <f t="array" aca="1" ref="E8" ca="1">INDEX(Data_DBD!$E:$E,$A8)</f>
        <v>1</v>
      </c>
      <c r="F8" s="32" cm="1">
        <f t="array" aca="1" ref="F8" ca="1">INDEX(Data_DBD!$F:$F,$A8)</f>
        <v>3</v>
      </c>
      <c r="H8" s="32">
        <v>18</v>
      </c>
      <c r="I8" s="32">
        <v>49</v>
      </c>
      <c r="J8" s="32">
        <v>4</v>
      </c>
      <c r="K8" s="32">
        <v>7</v>
      </c>
      <c r="L8" s="32">
        <v>1</v>
      </c>
      <c r="M8" s="32">
        <v>1</v>
      </c>
    </row>
    <row r="9" spans="1:17">
      <c r="A9" s="32">
        <f t="shared" ca="1" si="0"/>
        <v>66</v>
      </c>
      <c r="B9" s="32" cm="1">
        <f t="array" aca="1" ref="B9" ca="1">INDEX(Data_DBD!$B:$B,$A9)</f>
        <v>21</v>
      </c>
      <c r="C9" s="32" cm="1">
        <f t="array" aca="1" ref="C9" ca="1">INDEX(Data_DBD!$C:$C,$A9)</f>
        <v>5</v>
      </c>
      <c r="D9" s="32" cm="1">
        <f t="array" aca="1" ref="D9" ca="1">INDEX(Data_DBD!$D:$D,$A9)</f>
        <v>15</v>
      </c>
      <c r="E9" s="32" cm="1">
        <f t="array" aca="1" ref="E9" ca="1">INDEX(Data_DBD!$E:$E,$A9)</f>
        <v>1</v>
      </c>
      <c r="F9" s="32" cm="1">
        <f t="array" aca="1" ref="F9" ca="1">INDEX(Data_DBD!$F:$F,$A9)</f>
        <v>2</v>
      </c>
      <c r="H9" s="32">
        <v>125</v>
      </c>
      <c r="I9" s="32">
        <v>39</v>
      </c>
      <c r="J9" s="32">
        <v>4</v>
      </c>
      <c r="K9" s="32">
        <v>33</v>
      </c>
      <c r="L9" s="32">
        <v>0</v>
      </c>
      <c r="M9" s="32">
        <v>3</v>
      </c>
    </row>
    <row r="10" spans="1:17">
      <c r="A10" s="32">
        <f t="shared" ca="1" si="0"/>
        <v>65</v>
      </c>
      <c r="B10" s="32" cm="1">
        <f t="array" aca="1" ref="B10" ca="1">INDEX(Data_DBD!$B:$B,$A10)</f>
        <v>49</v>
      </c>
      <c r="C10" s="32" cm="1">
        <f t="array" aca="1" ref="C10" ca="1">INDEX(Data_DBD!$C:$C,$A10)</f>
        <v>3</v>
      </c>
      <c r="D10" s="32" cm="1">
        <f t="array" aca="1" ref="D10" ca="1">INDEX(Data_DBD!$D:$D,$A10)</f>
        <v>15</v>
      </c>
      <c r="E10" s="32" cm="1">
        <f t="array" aca="1" ref="E10" ca="1">INDEX(Data_DBD!$E:$E,$A10)</f>
        <v>0</v>
      </c>
      <c r="F10" s="32" cm="1">
        <f t="array" aca="1" ref="F10" ca="1">INDEX(Data_DBD!$F:$F,$A10)</f>
        <v>2</v>
      </c>
      <c r="H10" s="32">
        <v>56</v>
      </c>
      <c r="I10" s="32">
        <v>4</v>
      </c>
      <c r="J10" s="32">
        <v>3</v>
      </c>
      <c r="K10" s="32">
        <v>15</v>
      </c>
      <c r="L10" s="32">
        <v>0</v>
      </c>
      <c r="M10" s="32">
        <v>2</v>
      </c>
    </row>
    <row r="11" spans="1:17">
      <c r="A11" s="32">
        <f t="shared" ca="1" si="0"/>
        <v>20</v>
      </c>
      <c r="B11" s="32" cm="1">
        <f t="array" aca="1" ref="B11" ca="1">INDEX(Data_DBD!$B:$B,$A11)</f>
        <v>15</v>
      </c>
      <c r="C11" s="32" cm="1">
        <f t="array" aca="1" ref="C11" ca="1">INDEX(Data_DBD!$C:$C,$A11)</f>
        <v>5</v>
      </c>
      <c r="D11" s="32" cm="1">
        <f t="array" aca="1" ref="D11" ca="1">INDEX(Data_DBD!$D:$D,$A11)</f>
        <v>7</v>
      </c>
      <c r="E11" s="32" cm="1">
        <f t="array" aca="1" ref="E11" ca="1">INDEX(Data_DBD!$E:$E,$A11)</f>
        <v>0</v>
      </c>
      <c r="F11" s="32" cm="1">
        <f t="array" aca="1" ref="F11" ca="1">INDEX(Data_DBD!$F:$F,$A11)</f>
        <v>1</v>
      </c>
      <c r="H11" s="32">
        <v>37</v>
      </c>
      <c r="I11" s="32">
        <v>28</v>
      </c>
      <c r="J11" s="32">
        <v>4</v>
      </c>
      <c r="K11" s="32">
        <v>4</v>
      </c>
      <c r="L11" s="32">
        <v>1</v>
      </c>
      <c r="M11" s="32">
        <v>1</v>
      </c>
    </row>
    <row r="12" spans="1:17">
      <c r="A12" s="32">
        <f t="shared" ca="1" si="0"/>
        <v>22</v>
      </c>
      <c r="B12" s="32" cm="1">
        <f t="array" aca="1" ref="B12" ca="1">INDEX(Data_DBD!$B:$B,$A12)</f>
        <v>6</v>
      </c>
      <c r="C12" s="32" cm="1">
        <f t="array" aca="1" ref="C12" ca="1">INDEX(Data_DBD!$C:$C,$A12)</f>
        <v>3</v>
      </c>
      <c r="D12" s="32" cm="1">
        <f t="array" aca="1" ref="D12" ca="1">INDEX(Data_DBD!$D:$D,$A12)</f>
        <v>14</v>
      </c>
      <c r="E12" s="32" cm="1">
        <f t="array" aca="1" ref="E12" ca="1">INDEX(Data_DBD!$E:$E,$A12)</f>
        <v>0</v>
      </c>
      <c r="F12" s="32" cm="1">
        <f t="array" aca="1" ref="F12" ca="1">INDEX(Data_DBD!$F:$F,$A12)</f>
        <v>2</v>
      </c>
      <c r="H12" s="32">
        <v>90</v>
      </c>
      <c r="I12" s="32">
        <v>47</v>
      </c>
      <c r="J12" s="32">
        <v>3</v>
      </c>
      <c r="K12" s="32">
        <v>18</v>
      </c>
      <c r="L12" s="32">
        <v>0</v>
      </c>
      <c r="M12" s="32">
        <v>3</v>
      </c>
    </row>
    <row r="13" spans="1:17">
      <c r="A13" s="32">
        <f t="shared" ca="1" si="0"/>
        <v>164</v>
      </c>
      <c r="B13" s="32" cm="1">
        <f t="array" aca="1" ref="B13" ca="1">INDEX(Data_DBD!$B:$B,$A13)</f>
        <v>10</v>
      </c>
      <c r="C13" s="32" cm="1">
        <f t="array" aca="1" ref="C13" ca="1">INDEX(Data_DBD!$C:$C,$A13)</f>
        <v>6</v>
      </c>
      <c r="D13" s="32" cm="1">
        <f t="array" aca="1" ref="D13" ca="1">INDEX(Data_DBD!$D:$D,$A13)</f>
        <v>3</v>
      </c>
      <c r="E13" s="32" cm="1">
        <f t="array" aca="1" ref="E13" ca="1">INDEX(Data_DBD!$E:$E,$A13)</f>
        <v>0</v>
      </c>
      <c r="F13" s="32" cm="1">
        <f t="array" aca="1" ref="F13" ca="1">INDEX(Data_DBD!$F:$F,$A13)</f>
        <v>1</v>
      </c>
      <c r="H13" s="32">
        <v>47</v>
      </c>
      <c r="I13" s="32">
        <v>19</v>
      </c>
      <c r="J13" s="32">
        <v>2</v>
      </c>
      <c r="K13" s="32">
        <v>13</v>
      </c>
      <c r="L13" s="32">
        <v>0</v>
      </c>
      <c r="M13" s="32">
        <v>2</v>
      </c>
    </row>
    <row r="14" spans="1:17">
      <c r="A14" s="32">
        <f t="shared" ca="1" si="0"/>
        <v>159</v>
      </c>
      <c r="B14" s="32" cm="1">
        <f t="array" aca="1" ref="B14" ca="1">INDEX(Data_DBD!$B:$B,$A14)</f>
        <v>17</v>
      </c>
      <c r="C14" s="32" cm="1">
        <f t="array" aca="1" ref="C14" ca="1">INDEX(Data_DBD!$C:$C,$A14)</f>
        <v>2</v>
      </c>
      <c r="D14" s="32" cm="1">
        <f t="array" aca="1" ref="D14" ca="1">INDEX(Data_DBD!$D:$D,$A14)</f>
        <v>21</v>
      </c>
      <c r="E14" s="32" cm="1">
        <f t="array" aca="1" ref="E14" ca="1">INDEX(Data_DBD!$E:$E,$A14)</f>
        <v>0</v>
      </c>
      <c r="F14" s="32" cm="1">
        <f t="array" aca="1" ref="F14" ca="1">INDEX(Data_DBD!$F:$F,$A14)</f>
        <v>3</v>
      </c>
      <c r="H14" s="32">
        <v>123</v>
      </c>
      <c r="I14" s="32">
        <v>22</v>
      </c>
      <c r="J14" s="32">
        <v>4</v>
      </c>
      <c r="K14" s="32">
        <v>33</v>
      </c>
      <c r="L14" s="32">
        <v>0</v>
      </c>
      <c r="M14" s="32">
        <v>3</v>
      </c>
    </row>
    <row r="15" spans="1:17">
      <c r="A15" s="32">
        <f t="shared" ca="1" si="0"/>
        <v>158</v>
      </c>
      <c r="B15" s="32" cm="1">
        <f t="array" aca="1" ref="B15" ca="1">INDEX(Data_DBD!$B:$B,$A15)</f>
        <v>5</v>
      </c>
      <c r="C15" s="32" cm="1">
        <f t="array" aca="1" ref="C15" ca="1">INDEX(Data_DBD!$C:$C,$A15)</f>
        <v>2</v>
      </c>
      <c r="D15" s="32" cm="1">
        <f t="array" aca="1" ref="D15" ca="1">INDEX(Data_DBD!$D:$D,$A15)</f>
        <v>21</v>
      </c>
      <c r="E15" s="32" cm="1">
        <f t="array" aca="1" ref="E15" ca="1">INDEX(Data_DBD!$E:$E,$A15)</f>
        <v>0</v>
      </c>
      <c r="F15" s="32" cm="1">
        <f t="array" aca="1" ref="F15" ca="1">INDEX(Data_DBD!$F:$F,$A15)</f>
        <v>3</v>
      </c>
      <c r="H15" s="32">
        <v>63</v>
      </c>
      <c r="I15" s="32">
        <v>25</v>
      </c>
      <c r="J15" s="32">
        <v>3</v>
      </c>
      <c r="K15" s="32">
        <v>15</v>
      </c>
      <c r="L15" s="32">
        <v>0</v>
      </c>
      <c r="M15" s="32">
        <v>2</v>
      </c>
    </row>
    <row r="16" spans="1:17">
      <c r="A16" s="32">
        <f t="shared" ca="1" si="0"/>
        <v>13</v>
      </c>
      <c r="B16" s="32" cm="1">
        <f t="array" aca="1" ref="B16" ca="1">INDEX(Data_DBD!$B:$B,$A16)</f>
        <v>47</v>
      </c>
      <c r="C16" s="32" cm="1">
        <f t="array" aca="1" ref="C16" ca="1">INDEX(Data_DBD!$C:$C,$A16)</f>
        <v>2</v>
      </c>
      <c r="D16" s="32" cm="1">
        <f t="array" aca="1" ref="D16" ca="1">INDEX(Data_DBD!$D:$D,$A16)</f>
        <v>12</v>
      </c>
      <c r="E16" s="32" cm="1">
        <f t="array" aca="1" ref="E16" ca="1">INDEX(Data_DBD!$E:$E,$A16)</f>
        <v>0</v>
      </c>
      <c r="F16" s="32" cm="1">
        <f t="array" aca="1" ref="F16" ca="1">INDEX(Data_DBD!$F:$F,$A16)</f>
        <v>2</v>
      </c>
      <c r="H16" s="32">
        <v>49</v>
      </c>
      <c r="I16" s="32">
        <v>64</v>
      </c>
      <c r="J16" s="32">
        <v>5</v>
      </c>
      <c r="K16" s="32">
        <v>13</v>
      </c>
      <c r="L16" s="32">
        <v>0</v>
      </c>
      <c r="M16" s="32">
        <v>2</v>
      </c>
    </row>
    <row r="17" spans="1:13">
      <c r="A17" s="32">
        <f t="shared" ca="1" si="0"/>
        <v>31</v>
      </c>
      <c r="B17" s="32" cm="1">
        <f t="array" aca="1" ref="B17" ca="1">INDEX(Data_DBD!$B:$B,$A17)</f>
        <v>64</v>
      </c>
      <c r="C17" s="32" cm="1">
        <f t="array" aca="1" ref="C17" ca="1">INDEX(Data_DBD!$C:$C,$A17)</f>
        <v>4</v>
      </c>
      <c r="D17" s="32" cm="1">
        <f t="array" aca="1" ref="D17" ca="1">INDEX(Data_DBD!$D:$D,$A17)</f>
        <v>14</v>
      </c>
      <c r="E17" s="32" cm="1">
        <f t="array" aca="1" ref="E17" ca="1">INDEX(Data_DBD!$E:$E,$A17)</f>
        <v>1</v>
      </c>
      <c r="F17" s="32" cm="1">
        <f t="array" aca="1" ref="F17" ca="1">INDEX(Data_DBD!$F:$F,$A17)</f>
        <v>2</v>
      </c>
      <c r="H17" s="32">
        <v>147</v>
      </c>
      <c r="I17" s="32">
        <v>66</v>
      </c>
      <c r="J17" s="32">
        <v>10</v>
      </c>
      <c r="K17" s="32">
        <v>21</v>
      </c>
      <c r="L17" s="32">
        <v>1</v>
      </c>
      <c r="M17" s="32">
        <v>3</v>
      </c>
    </row>
    <row r="18" spans="1:13">
      <c r="A18" s="32">
        <f t="shared" ca="1" si="0"/>
        <v>159</v>
      </c>
      <c r="B18" s="32" cm="1">
        <f t="array" aca="1" ref="B18" ca="1">INDEX(Data_DBD!$B:$B,$A18)</f>
        <v>17</v>
      </c>
      <c r="C18" s="32" cm="1">
        <f t="array" aca="1" ref="C18" ca="1">INDEX(Data_DBD!$C:$C,$A18)</f>
        <v>2</v>
      </c>
      <c r="D18" s="32" cm="1">
        <f t="array" aca="1" ref="D18" ca="1">INDEX(Data_DBD!$D:$D,$A18)</f>
        <v>21</v>
      </c>
      <c r="E18" s="32" cm="1">
        <f t="array" aca="1" ref="E18" ca="1">INDEX(Data_DBD!$E:$E,$A18)</f>
        <v>0</v>
      </c>
      <c r="F18" s="32" cm="1">
        <f t="array" aca="1" ref="F18" ca="1">INDEX(Data_DBD!$F:$F,$A18)</f>
        <v>3</v>
      </c>
      <c r="H18" s="32">
        <v>151</v>
      </c>
      <c r="I18" s="32">
        <v>24</v>
      </c>
      <c r="J18" s="32">
        <v>3</v>
      </c>
      <c r="K18" s="32">
        <v>21</v>
      </c>
      <c r="L18" s="32">
        <v>0</v>
      </c>
      <c r="M18" s="32">
        <v>3</v>
      </c>
    </row>
    <row r="19" spans="1:13">
      <c r="A19" s="32">
        <f t="shared" ca="1" si="0"/>
        <v>73</v>
      </c>
      <c r="B19" s="32" cm="1">
        <f t="array" aca="1" ref="B19" ca="1">INDEX(Data_DBD!$B:$B,$A19)</f>
        <v>15</v>
      </c>
      <c r="C19" s="32" cm="1">
        <f t="array" aca="1" ref="C19" ca="1">INDEX(Data_DBD!$C:$C,$A19)</f>
        <v>3</v>
      </c>
      <c r="D19" s="32" cm="1">
        <f t="array" aca="1" ref="D19" ca="1">INDEX(Data_DBD!$D:$D,$A19)</f>
        <v>10</v>
      </c>
      <c r="E19" s="32" cm="1">
        <f t="array" aca="1" ref="E19" ca="1">INDEX(Data_DBD!$E:$E,$A19)</f>
        <v>1</v>
      </c>
      <c r="F19" s="32" cm="1">
        <f t="array" aca="1" ref="F19" ca="1">INDEX(Data_DBD!$F:$F,$A19)</f>
        <v>2</v>
      </c>
      <c r="H19" s="32">
        <v>37</v>
      </c>
      <c r="I19" s="32">
        <v>28</v>
      </c>
      <c r="J19" s="32">
        <v>4</v>
      </c>
      <c r="K19" s="32">
        <v>4</v>
      </c>
      <c r="L19" s="32">
        <v>1</v>
      </c>
      <c r="M19" s="32">
        <v>1</v>
      </c>
    </row>
    <row r="20" spans="1:13">
      <c r="A20" s="32">
        <f t="shared" ca="1" si="0"/>
        <v>71</v>
      </c>
      <c r="B20" s="32" cm="1">
        <f t="array" aca="1" ref="B20" ca="1">INDEX(Data_DBD!$B:$B,$A20)</f>
        <v>84</v>
      </c>
      <c r="C20" s="32" cm="1">
        <f t="array" aca="1" ref="C20" ca="1">INDEX(Data_DBD!$C:$C,$A20)</f>
        <v>3</v>
      </c>
      <c r="D20" s="32" cm="1">
        <f t="array" aca="1" ref="D20" ca="1">INDEX(Data_DBD!$D:$D,$A20)</f>
        <v>10</v>
      </c>
      <c r="E20" s="32" cm="1">
        <f t="array" aca="1" ref="E20" ca="1">INDEX(Data_DBD!$E:$E,$A20)</f>
        <v>0</v>
      </c>
      <c r="F20" s="32" cm="1">
        <f t="array" aca="1" ref="F20" ca="1">INDEX(Data_DBD!$F:$F,$A20)</f>
        <v>2</v>
      </c>
      <c r="H20" s="32">
        <v>82</v>
      </c>
      <c r="I20" s="32">
        <v>28</v>
      </c>
      <c r="J20" s="32">
        <v>3</v>
      </c>
      <c r="K20" s="32">
        <v>13</v>
      </c>
      <c r="L20" s="32">
        <v>1</v>
      </c>
      <c r="M20" s="32">
        <v>2</v>
      </c>
    </row>
    <row r="21" spans="1:13">
      <c r="A21" s="32">
        <f t="shared" ca="1" si="0"/>
        <v>98</v>
      </c>
      <c r="B21" s="32" cm="1">
        <f t="array" aca="1" ref="B21" ca="1">INDEX(Data_DBD!$B:$B,$A21)</f>
        <v>16</v>
      </c>
      <c r="C21" s="32" cm="1">
        <f t="array" aca="1" ref="C21" ca="1">INDEX(Data_DBD!$C:$C,$A21)</f>
        <v>2</v>
      </c>
      <c r="D21" s="32" cm="1">
        <f t="array" aca="1" ref="D21" ca="1">INDEX(Data_DBD!$D:$D,$A21)</f>
        <v>18</v>
      </c>
      <c r="E21" s="32" cm="1">
        <f t="array" aca="1" ref="E21" ca="1">INDEX(Data_DBD!$E:$E,$A21)</f>
        <v>1</v>
      </c>
      <c r="F21" s="32" cm="1">
        <f t="array" aca="1" ref="F21" ca="1">INDEX(Data_DBD!$F:$F,$A21)</f>
        <v>3</v>
      </c>
      <c r="H21" s="32">
        <v>69</v>
      </c>
      <c r="I21" s="32">
        <v>24</v>
      </c>
      <c r="J21" s="32">
        <v>4</v>
      </c>
      <c r="K21" s="32">
        <v>10</v>
      </c>
      <c r="L21" s="32">
        <v>1</v>
      </c>
      <c r="M21" s="32">
        <v>2</v>
      </c>
    </row>
    <row r="22" spans="1:13">
      <c r="A22" s="32">
        <f t="shared" ca="1" si="0"/>
        <v>144</v>
      </c>
      <c r="B22" s="32" cm="1">
        <f t="array" aca="1" ref="B22" ca="1">INDEX(Data_DBD!$B:$B,$A22)</f>
        <v>61</v>
      </c>
      <c r="C22" s="32" cm="1">
        <f t="array" aca="1" ref="C22" ca="1">INDEX(Data_DBD!$C:$C,$A22)</f>
        <v>4</v>
      </c>
      <c r="D22" s="32" cm="1">
        <f t="array" aca="1" ref="D22" ca="1">INDEX(Data_DBD!$D:$D,$A22)</f>
        <v>21</v>
      </c>
      <c r="E22" s="32" cm="1">
        <f t="array" aca="1" ref="E22" ca="1">INDEX(Data_DBD!$E:$E,$A22)</f>
        <v>1</v>
      </c>
      <c r="F22" s="32" cm="1">
        <f t="array" aca="1" ref="F22" ca="1">INDEX(Data_DBD!$F:$F,$A22)</f>
        <v>3</v>
      </c>
      <c r="H22" s="32">
        <v>76</v>
      </c>
      <c r="I22" s="32">
        <v>70</v>
      </c>
      <c r="J22" s="32">
        <v>2</v>
      </c>
      <c r="K22" s="32">
        <v>10</v>
      </c>
      <c r="L22" s="32">
        <v>0</v>
      </c>
      <c r="M22" s="32">
        <v>2</v>
      </c>
    </row>
    <row r="23" spans="1:13">
      <c r="A23" s="32">
        <f t="shared" ca="1" si="0"/>
        <v>164</v>
      </c>
      <c r="B23" s="32" cm="1">
        <f t="array" aca="1" ref="B23" ca="1">INDEX(Data_DBD!$B:$B,$A23)</f>
        <v>10</v>
      </c>
      <c r="C23" s="32" cm="1">
        <f t="array" aca="1" ref="C23" ca="1">INDEX(Data_DBD!$C:$C,$A23)</f>
        <v>6</v>
      </c>
      <c r="D23" s="32" cm="1">
        <f t="array" aca="1" ref="D23" ca="1">INDEX(Data_DBD!$D:$D,$A23)</f>
        <v>3</v>
      </c>
      <c r="E23" s="32" cm="1">
        <f t="array" aca="1" ref="E23" ca="1">INDEX(Data_DBD!$E:$E,$A23)</f>
        <v>0</v>
      </c>
      <c r="F23" s="32" cm="1">
        <f t="array" aca="1" ref="F23" ca="1">INDEX(Data_DBD!$F:$F,$A23)</f>
        <v>1</v>
      </c>
      <c r="H23" s="32">
        <v>155</v>
      </c>
      <c r="I23" s="32">
        <v>19</v>
      </c>
      <c r="J23" s="32">
        <v>5</v>
      </c>
      <c r="K23" s="32">
        <v>21</v>
      </c>
      <c r="L23" s="32">
        <v>1</v>
      </c>
      <c r="M23" s="32">
        <v>3</v>
      </c>
    </row>
    <row r="24" spans="1:13">
      <c r="A24" s="32">
        <f t="shared" ca="1" si="0"/>
        <v>130</v>
      </c>
      <c r="B24" s="32" cm="1">
        <f t="array" aca="1" ref="B24" ca="1">INDEX(Data_DBD!$B:$B,$A24)</f>
        <v>12</v>
      </c>
      <c r="C24" s="32" cm="1">
        <f t="array" aca="1" ref="C24" ca="1">INDEX(Data_DBD!$C:$C,$A24)</f>
        <v>4</v>
      </c>
      <c r="D24" s="32" cm="1">
        <f t="array" aca="1" ref="D24" ca="1">INDEX(Data_DBD!$D:$D,$A24)</f>
        <v>33</v>
      </c>
      <c r="E24" s="32" cm="1">
        <f t="array" aca="1" ref="E24" ca="1">INDEX(Data_DBD!$E:$E,$A24)</f>
        <v>0</v>
      </c>
      <c r="F24" s="32" cm="1">
        <f t="array" aca="1" ref="F24" ca="1">INDEX(Data_DBD!$F:$F,$A24)</f>
        <v>3</v>
      </c>
      <c r="H24" s="32">
        <v>138</v>
      </c>
      <c r="I24" s="32">
        <v>13</v>
      </c>
      <c r="J24" s="32">
        <v>3</v>
      </c>
      <c r="K24" s="32">
        <v>33</v>
      </c>
      <c r="L24" s="32">
        <v>1</v>
      </c>
      <c r="M24" s="32">
        <v>3</v>
      </c>
    </row>
    <row r="25" spans="1:13">
      <c r="A25" s="32">
        <f t="shared" ca="1" si="0"/>
        <v>17</v>
      </c>
      <c r="B25" s="32" cm="1">
        <f t="array" aca="1" ref="B25" ca="1">INDEX(Data_DBD!$B:$B,$A25)</f>
        <v>2</v>
      </c>
      <c r="C25" s="32" cm="1">
        <f t="array" aca="1" ref="C25" ca="1">INDEX(Data_DBD!$C:$C,$A25)</f>
        <v>3</v>
      </c>
      <c r="D25" s="32" cm="1">
        <f t="array" aca="1" ref="D25" ca="1">INDEX(Data_DBD!$D:$D,$A25)</f>
        <v>7</v>
      </c>
      <c r="E25" s="32" cm="1">
        <f t="array" aca="1" ref="E25" ca="1">INDEX(Data_DBD!$E:$E,$A25)</f>
        <v>0</v>
      </c>
      <c r="F25" s="32" cm="1">
        <f t="array" aca="1" ref="F25" ca="1">INDEX(Data_DBD!$F:$F,$A25)</f>
        <v>1</v>
      </c>
      <c r="H25" s="32">
        <v>72</v>
      </c>
      <c r="I25" s="32">
        <v>3</v>
      </c>
      <c r="J25" s="32">
        <v>5</v>
      </c>
      <c r="K25" s="32">
        <v>10</v>
      </c>
      <c r="L25" s="32">
        <v>1</v>
      </c>
      <c r="M25" s="32">
        <v>2</v>
      </c>
    </row>
    <row r="26" spans="1:13">
      <c r="A26" s="32">
        <f t="shared" ca="1" si="0"/>
        <v>81</v>
      </c>
      <c r="B26" s="32" cm="1">
        <f t="array" aca="1" ref="B26" ca="1">INDEX(Data_DBD!$B:$B,$A26)</f>
        <v>23</v>
      </c>
      <c r="C26" s="32" cm="1">
        <f t="array" aca="1" ref="C26" ca="1">INDEX(Data_DBD!$C:$C,$A26)</f>
        <v>5</v>
      </c>
      <c r="D26" s="32" cm="1">
        <f t="array" aca="1" ref="D26" ca="1">INDEX(Data_DBD!$D:$D,$A26)</f>
        <v>13</v>
      </c>
      <c r="E26" s="32" cm="1">
        <f t="array" aca="1" ref="E26" ca="1">INDEX(Data_DBD!$E:$E,$A26)</f>
        <v>1</v>
      </c>
      <c r="F26" s="32" cm="1">
        <f t="array" aca="1" ref="F26" ca="1">INDEX(Data_DBD!$F:$F,$A26)</f>
        <v>2</v>
      </c>
      <c r="H26" s="32">
        <v>14</v>
      </c>
      <c r="I26" s="32">
        <v>49</v>
      </c>
      <c r="J26" s="32">
        <v>4</v>
      </c>
      <c r="K26" s="32">
        <v>7</v>
      </c>
      <c r="L26" s="32">
        <v>1</v>
      </c>
      <c r="M26" s="32">
        <v>1</v>
      </c>
    </row>
    <row r="27" spans="1:13">
      <c r="A27" s="32">
        <f t="shared" ca="1" si="0"/>
        <v>78</v>
      </c>
      <c r="B27" s="32" cm="1">
        <f t="array" aca="1" ref="B27" ca="1">INDEX(Data_DBD!$B:$B,$A27)</f>
        <v>6</v>
      </c>
      <c r="C27" s="32" cm="1">
        <f t="array" aca="1" ref="C27" ca="1">INDEX(Data_DBD!$C:$C,$A27)</f>
        <v>3</v>
      </c>
      <c r="D27" s="32" cm="1">
        <f t="array" aca="1" ref="D27" ca="1">INDEX(Data_DBD!$D:$D,$A27)</f>
        <v>13</v>
      </c>
      <c r="E27" s="32" cm="1">
        <f t="array" aca="1" ref="E27" ca="1">INDEX(Data_DBD!$E:$E,$A27)</f>
        <v>0</v>
      </c>
      <c r="F27" s="32" cm="1">
        <f t="array" aca="1" ref="F27" ca="1">INDEX(Data_DBD!$F:$F,$A27)</f>
        <v>2</v>
      </c>
      <c r="H27" s="32">
        <v>86</v>
      </c>
      <c r="I27" s="32">
        <v>23</v>
      </c>
      <c r="J27" s="32">
        <v>3</v>
      </c>
      <c r="K27" s="32">
        <v>13</v>
      </c>
      <c r="L27" s="32">
        <v>0</v>
      </c>
      <c r="M27" s="32">
        <v>2</v>
      </c>
    </row>
    <row r="28" spans="1:13">
      <c r="A28" s="32">
        <f t="shared" ca="1" si="0"/>
        <v>49</v>
      </c>
      <c r="B28" s="32" cm="1">
        <f t="array" aca="1" ref="B28" ca="1">INDEX(Data_DBD!$B:$B,$A28)</f>
        <v>64</v>
      </c>
      <c r="C28" s="32" cm="1">
        <f t="array" aca="1" ref="C28" ca="1">INDEX(Data_DBD!$C:$C,$A28)</f>
        <v>5</v>
      </c>
      <c r="D28" s="32" cm="1">
        <f t="array" aca="1" ref="D28" ca="1">INDEX(Data_DBD!$D:$D,$A28)</f>
        <v>13</v>
      </c>
      <c r="E28" s="32" cm="1">
        <f t="array" aca="1" ref="E28" ca="1">INDEX(Data_DBD!$E:$E,$A28)</f>
        <v>0</v>
      </c>
      <c r="F28" s="32" cm="1">
        <f t="array" aca="1" ref="F28" ca="1">INDEX(Data_DBD!$F:$F,$A28)</f>
        <v>2</v>
      </c>
      <c r="H28" s="32">
        <v>54</v>
      </c>
      <c r="I28" s="32">
        <v>7</v>
      </c>
      <c r="J28" s="32">
        <v>3</v>
      </c>
      <c r="K28" s="32">
        <v>15</v>
      </c>
      <c r="L28" s="32">
        <v>0</v>
      </c>
      <c r="M28" s="32">
        <v>2</v>
      </c>
    </row>
    <row r="29" spans="1:13">
      <c r="A29" s="32">
        <f t="shared" ca="1" si="0"/>
        <v>134</v>
      </c>
      <c r="B29" s="32" cm="1">
        <f t="array" aca="1" ref="B29" ca="1">INDEX(Data_DBD!$B:$B,$A29)</f>
        <v>4</v>
      </c>
      <c r="C29" s="32" cm="1">
        <f t="array" aca="1" ref="C29" ca="1">INDEX(Data_DBD!$C:$C,$A29)</f>
        <v>2</v>
      </c>
      <c r="D29" s="32" cm="1">
        <f t="array" aca="1" ref="D29" ca="1">INDEX(Data_DBD!$D:$D,$A29)</f>
        <v>33</v>
      </c>
      <c r="E29" s="32" cm="1">
        <f t="array" aca="1" ref="E29" ca="1">INDEX(Data_DBD!$E:$E,$A29)</f>
        <v>1</v>
      </c>
      <c r="F29" s="32" cm="1">
        <f t="array" aca="1" ref="F29" ca="1">INDEX(Data_DBD!$F:$F,$A29)</f>
        <v>3</v>
      </c>
      <c r="H29" s="32">
        <v>48</v>
      </c>
      <c r="I29" s="32">
        <v>50</v>
      </c>
      <c r="J29" s="32">
        <v>5</v>
      </c>
      <c r="K29" s="32">
        <v>13</v>
      </c>
      <c r="L29" s="32">
        <v>1</v>
      </c>
      <c r="M29" s="32">
        <v>2</v>
      </c>
    </row>
    <row r="30" spans="1:13">
      <c r="A30" s="32">
        <f t="shared" ca="1" si="0"/>
        <v>16</v>
      </c>
      <c r="B30" s="32" cm="1">
        <f t="array" aca="1" ref="B30" ca="1">INDEX(Data_DBD!$B:$B,$A30)</f>
        <v>66</v>
      </c>
      <c r="C30" s="32" cm="1">
        <f t="array" aca="1" ref="C30" ca="1">INDEX(Data_DBD!$C:$C,$A30)</f>
        <v>5</v>
      </c>
      <c r="D30" s="32" cm="1">
        <f t="array" aca="1" ref="D30" ca="1">INDEX(Data_DBD!$D:$D,$A30)</f>
        <v>7</v>
      </c>
      <c r="E30" s="32" cm="1">
        <f t="array" aca="1" ref="E30" ca="1">INDEX(Data_DBD!$E:$E,$A30)</f>
        <v>1</v>
      </c>
      <c r="F30" s="32" cm="1">
        <f t="array" aca="1" ref="F30" ca="1">INDEX(Data_DBD!$F:$F,$A30)</f>
        <v>1</v>
      </c>
      <c r="H30" s="32">
        <v>9</v>
      </c>
      <c r="I30" s="32">
        <v>16</v>
      </c>
      <c r="J30" s="32">
        <v>6</v>
      </c>
      <c r="K30" s="32">
        <v>12</v>
      </c>
      <c r="L30" s="32">
        <v>1</v>
      </c>
      <c r="M30" s="32">
        <v>2</v>
      </c>
    </row>
    <row r="31" spans="1:13">
      <c r="A31" s="32">
        <f t="shared" ca="1" si="0"/>
        <v>111</v>
      </c>
      <c r="B31" s="32" cm="1">
        <f t="array" aca="1" ref="B31" ca="1">INDEX(Data_DBD!$B:$B,$A31)</f>
        <v>25</v>
      </c>
      <c r="C31" s="32" cm="1">
        <f t="array" aca="1" ref="C31" ca="1">INDEX(Data_DBD!$C:$C,$A31)</f>
        <v>4</v>
      </c>
      <c r="D31" s="32" cm="1">
        <f t="array" aca="1" ref="D31" ca="1">INDEX(Data_DBD!$D:$D,$A31)</f>
        <v>33</v>
      </c>
      <c r="E31" s="32" cm="1">
        <f t="array" aca="1" ref="E31" ca="1">INDEX(Data_DBD!$E:$E,$A31)</f>
        <v>0</v>
      </c>
      <c r="F31" s="32" cm="1">
        <f t="array" aca="1" ref="F31" ca="1">INDEX(Data_DBD!$F:$F,$A31)</f>
        <v>3</v>
      </c>
      <c r="H31" s="32">
        <v>41</v>
      </c>
      <c r="I31" s="32">
        <v>8</v>
      </c>
      <c r="J31" s="32">
        <v>4</v>
      </c>
      <c r="K31" s="32">
        <v>13</v>
      </c>
      <c r="L31" s="32">
        <v>0</v>
      </c>
      <c r="M31" s="32">
        <v>2</v>
      </c>
    </row>
    <row r="32" spans="1:13">
      <c r="A32" s="32">
        <f t="shared" ca="1" si="0"/>
        <v>58</v>
      </c>
      <c r="B32" s="32" cm="1">
        <f t="array" aca="1" ref="B32" ca="1">INDEX(Data_DBD!$B:$B,$A32)</f>
        <v>17</v>
      </c>
      <c r="C32" s="32" cm="1">
        <f t="array" aca="1" ref="C32" ca="1">INDEX(Data_DBD!$C:$C,$A32)</f>
        <v>3</v>
      </c>
      <c r="D32" s="32" cm="1">
        <f t="array" aca="1" ref="D32" ca="1">INDEX(Data_DBD!$D:$D,$A32)</f>
        <v>15</v>
      </c>
      <c r="E32" s="32" cm="1">
        <f t="array" aca="1" ref="E32" ca="1">INDEX(Data_DBD!$E:$E,$A32)</f>
        <v>0</v>
      </c>
      <c r="F32" s="32" cm="1">
        <f t="array" aca="1" ref="F32" ca="1">INDEX(Data_DBD!$F:$F,$A32)</f>
        <v>2</v>
      </c>
      <c r="H32" s="32">
        <v>41</v>
      </c>
      <c r="I32" s="32">
        <v>8</v>
      </c>
      <c r="J32" s="32">
        <v>4</v>
      </c>
      <c r="K32" s="32">
        <v>13</v>
      </c>
      <c r="L32" s="32">
        <v>0</v>
      </c>
      <c r="M32" s="32">
        <v>2</v>
      </c>
    </row>
    <row r="33" spans="1:13">
      <c r="A33" s="32">
        <f t="shared" ca="1" si="0"/>
        <v>46</v>
      </c>
      <c r="B33" s="32" cm="1">
        <f t="array" aca="1" ref="B33" ca="1">INDEX(Data_DBD!$B:$B,$A33)</f>
        <v>62</v>
      </c>
      <c r="C33" s="32" cm="1">
        <f t="array" aca="1" ref="C33" ca="1">INDEX(Data_DBD!$C:$C,$A33)</f>
        <v>2</v>
      </c>
      <c r="D33" s="32" cm="1">
        <f t="array" aca="1" ref="D33" ca="1">INDEX(Data_DBD!$D:$D,$A33)</f>
        <v>13</v>
      </c>
      <c r="E33" s="32" cm="1">
        <f t="array" aca="1" ref="E33" ca="1">INDEX(Data_DBD!$E:$E,$A33)</f>
        <v>0</v>
      </c>
      <c r="F33" s="32" cm="1">
        <f t="array" aca="1" ref="F33" ca="1">INDEX(Data_DBD!$F:$F,$A33)</f>
        <v>2</v>
      </c>
      <c r="H33" s="32">
        <v>5</v>
      </c>
      <c r="I33" s="32">
        <v>18</v>
      </c>
      <c r="J33" s="32">
        <v>2</v>
      </c>
      <c r="K33" s="32">
        <v>12</v>
      </c>
      <c r="L33" s="32">
        <v>1</v>
      </c>
      <c r="M33" s="32">
        <v>2</v>
      </c>
    </row>
    <row r="34" spans="1:13">
      <c r="A34" s="32">
        <f t="shared" ca="1" si="0"/>
        <v>153</v>
      </c>
      <c r="B34" s="32" cm="1">
        <f t="array" aca="1" ref="B34" ca="1">INDEX(Data_DBD!$B:$B,$A34)</f>
        <v>73</v>
      </c>
      <c r="C34" s="32" cm="1">
        <f t="array" aca="1" ref="C34" ca="1">INDEX(Data_DBD!$C:$C,$A34)</f>
        <v>7</v>
      </c>
      <c r="D34" s="32" cm="1">
        <f t="array" aca="1" ref="D34" ca="1">INDEX(Data_DBD!$D:$D,$A34)</f>
        <v>21</v>
      </c>
      <c r="E34" s="32" cm="1">
        <f t="array" aca="1" ref="E34" ca="1">INDEX(Data_DBD!$E:$E,$A34)</f>
        <v>1</v>
      </c>
      <c r="F34" s="32" cm="1">
        <f t="array" aca="1" ref="F34" ca="1">INDEX(Data_DBD!$F:$F,$A34)</f>
        <v>3</v>
      </c>
      <c r="H34" s="32">
        <v>43</v>
      </c>
      <c r="I34" s="32">
        <v>15</v>
      </c>
      <c r="J34" s="32">
        <v>4</v>
      </c>
      <c r="K34" s="32">
        <v>13</v>
      </c>
      <c r="L34" s="32">
        <v>0</v>
      </c>
      <c r="M34" s="32">
        <v>2</v>
      </c>
    </row>
    <row r="35" spans="1:13">
      <c r="A35" s="32">
        <f t="shared" ca="1" si="0"/>
        <v>17</v>
      </c>
      <c r="B35" s="32" cm="1">
        <f t="array" aca="1" ref="B35" ca="1">INDEX(Data_DBD!$B:$B,$A35)</f>
        <v>2</v>
      </c>
      <c r="C35" s="32" cm="1">
        <f t="array" aca="1" ref="C35" ca="1">INDEX(Data_DBD!$C:$C,$A35)</f>
        <v>3</v>
      </c>
      <c r="D35" s="32" cm="1">
        <f t="array" aca="1" ref="D35" ca="1">INDEX(Data_DBD!$D:$D,$A35)</f>
        <v>7</v>
      </c>
      <c r="E35" s="32" cm="1">
        <f t="array" aca="1" ref="E35" ca="1">INDEX(Data_DBD!$E:$E,$A35)</f>
        <v>0</v>
      </c>
      <c r="F35" s="32" cm="1">
        <f t="array" aca="1" ref="F35" ca="1">INDEX(Data_DBD!$F:$F,$A35)</f>
        <v>1</v>
      </c>
      <c r="H35" s="32">
        <v>25</v>
      </c>
      <c r="I35" s="32">
        <v>81</v>
      </c>
      <c r="J35" s="32">
        <v>5</v>
      </c>
      <c r="K35" s="32">
        <v>14</v>
      </c>
      <c r="L35" s="32">
        <v>0</v>
      </c>
      <c r="M35" s="32">
        <v>2</v>
      </c>
    </row>
    <row r="36" spans="1:13">
      <c r="A36" s="32">
        <f t="shared" ca="1" si="0"/>
        <v>69</v>
      </c>
      <c r="B36" s="32" cm="1">
        <f t="array" aca="1" ref="B36" ca="1">INDEX(Data_DBD!$B:$B,$A36)</f>
        <v>24</v>
      </c>
      <c r="C36" s="32" cm="1">
        <f t="array" aca="1" ref="C36" ca="1">INDEX(Data_DBD!$C:$C,$A36)</f>
        <v>4</v>
      </c>
      <c r="D36" s="32" cm="1">
        <f t="array" aca="1" ref="D36" ca="1">INDEX(Data_DBD!$D:$D,$A36)</f>
        <v>10</v>
      </c>
      <c r="E36" s="32" cm="1">
        <f t="array" aca="1" ref="E36" ca="1">INDEX(Data_DBD!$E:$E,$A36)</f>
        <v>1</v>
      </c>
      <c r="F36" s="32" cm="1">
        <f t="array" aca="1" ref="F36" ca="1">INDEX(Data_DBD!$F:$F,$A36)</f>
        <v>2</v>
      </c>
      <c r="H36" s="32">
        <v>146</v>
      </c>
      <c r="I36" s="32">
        <v>34</v>
      </c>
      <c r="J36" s="32">
        <v>2</v>
      </c>
      <c r="K36" s="32">
        <v>21</v>
      </c>
      <c r="L36" s="32">
        <v>1</v>
      </c>
      <c r="M36" s="32">
        <v>3</v>
      </c>
    </row>
    <row r="37" spans="1:13">
      <c r="A37" s="32">
        <f t="shared" ca="1" si="0"/>
        <v>161</v>
      </c>
      <c r="B37" s="32" cm="1">
        <f t="array" aca="1" ref="B37" ca="1">INDEX(Data_DBD!$B:$B,$A37)</f>
        <v>12</v>
      </c>
      <c r="C37" s="32" cm="1">
        <f t="array" aca="1" ref="C37" ca="1">INDEX(Data_DBD!$C:$C,$A37)</f>
        <v>3</v>
      </c>
      <c r="D37" s="32" cm="1">
        <f t="array" aca="1" ref="D37" ca="1">INDEX(Data_DBD!$D:$D,$A37)</f>
        <v>21</v>
      </c>
      <c r="E37" s="32" cm="1">
        <f t="array" aca="1" ref="E37" ca="1">INDEX(Data_DBD!$E:$E,$A37)</f>
        <v>1</v>
      </c>
      <c r="F37" s="32" cm="1">
        <f t="array" aca="1" ref="F37" ca="1">INDEX(Data_DBD!$F:$F,$A37)</f>
        <v>3</v>
      </c>
      <c r="H37" s="32">
        <v>2</v>
      </c>
      <c r="I37" s="32">
        <v>34</v>
      </c>
      <c r="J37" s="32">
        <v>3</v>
      </c>
      <c r="K37" s="32">
        <v>12</v>
      </c>
      <c r="L37" s="32">
        <v>0</v>
      </c>
      <c r="M37" s="32">
        <v>2</v>
      </c>
    </row>
    <row r="38" spans="1:13">
      <c r="A38" s="32">
        <f t="shared" ca="1" si="0"/>
        <v>63</v>
      </c>
      <c r="B38" s="32" cm="1">
        <f t="array" aca="1" ref="B38" ca="1">INDEX(Data_DBD!$B:$B,$A38)</f>
        <v>25</v>
      </c>
      <c r="C38" s="32" cm="1">
        <f t="array" aca="1" ref="C38" ca="1">INDEX(Data_DBD!$C:$C,$A38)</f>
        <v>3</v>
      </c>
      <c r="D38" s="32" cm="1">
        <f t="array" aca="1" ref="D38" ca="1">INDEX(Data_DBD!$D:$D,$A38)</f>
        <v>15</v>
      </c>
      <c r="E38" s="32" cm="1">
        <f t="array" aca="1" ref="E38" ca="1">INDEX(Data_DBD!$E:$E,$A38)</f>
        <v>0</v>
      </c>
      <c r="F38" s="32" cm="1">
        <f t="array" aca="1" ref="F38" ca="1">INDEX(Data_DBD!$F:$F,$A38)</f>
        <v>2</v>
      </c>
      <c r="H38" s="32">
        <v>23</v>
      </c>
      <c r="I38" s="32">
        <v>28</v>
      </c>
      <c r="J38" s="32">
        <v>4</v>
      </c>
      <c r="K38" s="32">
        <v>14</v>
      </c>
      <c r="L38" s="32">
        <v>1</v>
      </c>
      <c r="M38" s="32">
        <v>2</v>
      </c>
    </row>
    <row r="39" spans="1:13">
      <c r="A39" s="32">
        <f t="shared" ca="1" si="0"/>
        <v>85</v>
      </c>
      <c r="B39" s="32" cm="1">
        <f t="array" aca="1" ref="B39" ca="1">INDEX(Data_DBD!$B:$B,$A39)</f>
        <v>27</v>
      </c>
      <c r="C39" s="32" cm="1">
        <f t="array" aca="1" ref="C39" ca="1">INDEX(Data_DBD!$C:$C,$A39)</f>
        <v>9</v>
      </c>
      <c r="D39" s="32" cm="1">
        <f t="array" aca="1" ref="D39" ca="1">INDEX(Data_DBD!$D:$D,$A39)</f>
        <v>13</v>
      </c>
      <c r="E39" s="32" cm="1">
        <f t="array" aca="1" ref="E39" ca="1">INDEX(Data_DBD!$E:$E,$A39)</f>
        <v>0</v>
      </c>
      <c r="F39" s="32" cm="1">
        <f t="array" aca="1" ref="F39" ca="1">INDEX(Data_DBD!$F:$F,$A39)</f>
        <v>2</v>
      </c>
      <c r="H39" s="32">
        <v>20</v>
      </c>
      <c r="I39" s="32">
        <v>15</v>
      </c>
      <c r="J39" s="32">
        <v>5</v>
      </c>
      <c r="K39" s="32">
        <v>7</v>
      </c>
      <c r="L39" s="32">
        <v>0</v>
      </c>
      <c r="M39" s="32">
        <v>1</v>
      </c>
    </row>
    <row r="40" spans="1:13">
      <c r="A40" s="32">
        <f t="shared" ca="1" si="0"/>
        <v>10</v>
      </c>
      <c r="B40" s="32" cm="1">
        <f t="array" aca="1" ref="B40" ca="1">INDEX(Data_DBD!$B:$B,$A40)</f>
        <v>18</v>
      </c>
      <c r="C40" s="32" cm="1">
        <f t="array" aca="1" ref="C40" ca="1">INDEX(Data_DBD!$C:$C,$A40)</f>
        <v>5</v>
      </c>
      <c r="D40" s="32" cm="1">
        <f t="array" aca="1" ref="D40" ca="1">INDEX(Data_DBD!$D:$D,$A40)</f>
        <v>12</v>
      </c>
      <c r="E40" s="32" cm="1">
        <f t="array" aca="1" ref="E40" ca="1">INDEX(Data_DBD!$E:$E,$A40)</f>
        <v>0</v>
      </c>
      <c r="F40" s="32" cm="1">
        <f t="array" aca="1" ref="F40" ca="1">INDEX(Data_DBD!$F:$F,$A40)</f>
        <v>2</v>
      </c>
      <c r="H40" s="32">
        <v>44</v>
      </c>
      <c r="I40" s="32">
        <v>28</v>
      </c>
      <c r="J40" s="32">
        <v>5</v>
      </c>
      <c r="K40" s="32">
        <v>13</v>
      </c>
      <c r="L40" s="32">
        <v>1</v>
      </c>
      <c r="M40" s="32">
        <v>2</v>
      </c>
    </row>
    <row r="41" spans="1:13">
      <c r="A41" s="32">
        <f t="shared" ca="1" si="0"/>
        <v>59</v>
      </c>
      <c r="B41" s="32" cm="1">
        <f t="array" aca="1" ref="B41" ca="1">INDEX(Data_DBD!$B:$B,$A41)</f>
        <v>28</v>
      </c>
      <c r="C41" s="32" cm="1">
        <f t="array" aca="1" ref="C41" ca="1">INDEX(Data_DBD!$C:$C,$A41)</f>
        <v>4</v>
      </c>
      <c r="D41" s="32" cm="1">
        <f t="array" aca="1" ref="D41" ca="1">INDEX(Data_DBD!$D:$D,$A41)</f>
        <v>15</v>
      </c>
      <c r="E41" s="32" cm="1">
        <f t="array" aca="1" ref="E41" ca="1">INDEX(Data_DBD!$E:$E,$A41)</f>
        <v>0</v>
      </c>
      <c r="F41" s="32" cm="1">
        <f t="array" aca="1" ref="F41" ca="1">INDEX(Data_DBD!$F:$F,$A41)</f>
        <v>2</v>
      </c>
      <c r="H41" s="32">
        <v>15</v>
      </c>
      <c r="I41" s="32">
        <v>21</v>
      </c>
      <c r="J41" s="32">
        <v>2</v>
      </c>
      <c r="K41" s="32">
        <v>7</v>
      </c>
      <c r="L41" s="32">
        <v>0</v>
      </c>
      <c r="M41" s="32">
        <v>1</v>
      </c>
    </row>
    <row r="42" spans="1:13">
      <c r="A42" s="32">
        <f t="shared" ca="1" si="0"/>
        <v>33</v>
      </c>
      <c r="B42" s="32" cm="1">
        <f t="array" aca="1" ref="B42" ca="1">INDEX(Data_DBD!$B:$B,$A42)</f>
        <v>19</v>
      </c>
      <c r="C42" s="32" cm="1">
        <f t="array" aca="1" ref="C42" ca="1">INDEX(Data_DBD!$C:$C,$A42)</f>
        <v>4</v>
      </c>
      <c r="D42" s="32" cm="1">
        <f t="array" aca="1" ref="D42" ca="1">INDEX(Data_DBD!$D:$D,$A42)</f>
        <v>14</v>
      </c>
      <c r="E42" s="32" cm="1">
        <f t="array" aca="1" ref="E42" ca="1">INDEX(Data_DBD!$E:$E,$A42)</f>
        <v>1</v>
      </c>
      <c r="F42" s="32" cm="1">
        <f t="array" aca="1" ref="F42" ca="1">INDEX(Data_DBD!$F:$F,$A42)</f>
        <v>2</v>
      </c>
      <c r="H42" s="32">
        <v>21</v>
      </c>
      <c r="I42" s="32">
        <v>10</v>
      </c>
      <c r="J42" s="32">
        <v>5</v>
      </c>
      <c r="K42" s="32">
        <v>14</v>
      </c>
      <c r="L42" s="32">
        <v>1</v>
      </c>
      <c r="M42" s="32">
        <v>2</v>
      </c>
    </row>
    <row r="43" spans="1:13">
      <c r="A43" s="32">
        <f t="shared" ca="1" si="0"/>
        <v>115</v>
      </c>
      <c r="B43" s="32" cm="1">
        <f t="array" aca="1" ref="B43" ca="1">INDEX(Data_DBD!$B:$B,$A43)</f>
        <v>52</v>
      </c>
      <c r="C43" s="32" cm="1">
        <f t="array" aca="1" ref="C43" ca="1">INDEX(Data_DBD!$C:$C,$A43)</f>
        <v>3</v>
      </c>
      <c r="D43" s="32" cm="1">
        <f t="array" aca="1" ref="D43" ca="1">INDEX(Data_DBD!$D:$D,$A43)</f>
        <v>33</v>
      </c>
      <c r="E43" s="32" cm="1">
        <f t="array" aca="1" ref="E43" ca="1">INDEX(Data_DBD!$E:$E,$A43)</f>
        <v>1</v>
      </c>
      <c r="F43" s="32" cm="1">
        <f t="array" aca="1" ref="F43" ca="1">INDEX(Data_DBD!$F:$F,$A43)</f>
        <v>3</v>
      </c>
      <c r="H43" s="32">
        <v>76</v>
      </c>
      <c r="I43" s="32">
        <v>70</v>
      </c>
      <c r="J43" s="32">
        <v>2</v>
      </c>
      <c r="K43" s="32">
        <v>10</v>
      </c>
      <c r="L43" s="32">
        <v>0</v>
      </c>
      <c r="M43" s="32">
        <v>2</v>
      </c>
    </row>
    <row r="44" spans="1:13">
      <c r="A44" s="32">
        <f t="shared" ca="1" si="0"/>
        <v>127</v>
      </c>
      <c r="B44" s="32" cm="1">
        <f t="array" aca="1" ref="B44" ca="1">INDEX(Data_DBD!$B:$B,$A44)</f>
        <v>21</v>
      </c>
      <c r="C44" s="32" cm="1">
        <f t="array" aca="1" ref="C44" ca="1">INDEX(Data_DBD!$C:$C,$A44)</f>
        <v>2</v>
      </c>
      <c r="D44" s="32" cm="1">
        <f t="array" aca="1" ref="D44" ca="1">INDEX(Data_DBD!$D:$D,$A44)</f>
        <v>33</v>
      </c>
      <c r="E44" s="32" cm="1">
        <f t="array" aca="1" ref="E44" ca="1">INDEX(Data_DBD!$E:$E,$A44)</f>
        <v>0</v>
      </c>
      <c r="F44" s="32" cm="1">
        <f t="array" aca="1" ref="F44" ca="1">INDEX(Data_DBD!$F:$F,$A44)</f>
        <v>3</v>
      </c>
      <c r="H44" s="32">
        <v>40</v>
      </c>
      <c r="I44" s="32">
        <v>65</v>
      </c>
      <c r="J44" s="32">
        <v>3</v>
      </c>
      <c r="K44" s="32">
        <v>13</v>
      </c>
      <c r="L44" s="32">
        <v>1</v>
      </c>
      <c r="M44" s="32">
        <v>2</v>
      </c>
    </row>
    <row r="45" spans="1:13">
      <c r="A45" s="32">
        <f t="shared" ca="1" si="0"/>
        <v>150</v>
      </c>
      <c r="B45" s="32" cm="1">
        <f t="array" aca="1" ref="B45" ca="1">INDEX(Data_DBD!$B:$B,$A45)</f>
        <v>61</v>
      </c>
      <c r="C45" s="32" cm="1">
        <f t="array" aca="1" ref="C45" ca="1">INDEX(Data_DBD!$C:$C,$A45)</f>
        <v>5</v>
      </c>
      <c r="D45" s="32" cm="1">
        <f t="array" aca="1" ref="D45" ca="1">INDEX(Data_DBD!$D:$D,$A45)</f>
        <v>21</v>
      </c>
      <c r="E45" s="32" cm="1">
        <f t="array" aca="1" ref="E45" ca="1">INDEX(Data_DBD!$E:$E,$A45)</f>
        <v>1</v>
      </c>
      <c r="F45" s="32" cm="1">
        <f t="array" aca="1" ref="F45" ca="1">INDEX(Data_DBD!$F:$F,$A45)</f>
        <v>3</v>
      </c>
      <c r="H45" s="32">
        <v>79</v>
      </c>
      <c r="I45" s="32">
        <v>29</v>
      </c>
      <c r="J45" s="32">
        <v>3</v>
      </c>
      <c r="K45" s="32">
        <v>13</v>
      </c>
      <c r="L45" s="32">
        <v>0</v>
      </c>
      <c r="M45" s="32">
        <v>2</v>
      </c>
    </row>
    <row r="46" spans="1:13">
      <c r="A46" s="32">
        <f t="shared" ca="1" si="0"/>
        <v>126</v>
      </c>
      <c r="B46" s="32" cm="1">
        <f t="array" aca="1" ref="B46" ca="1">INDEX(Data_DBD!$B:$B,$A46)</f>
        <v>51</v>
      </c>
      <c r="C46" s="32" cm="1">
        <f t="array" aca="1" ref="C46" ca="1">INDEX(Data_DBD!$C:$C,$A46)</f>
        <v>3</v>
      </c>
      <c r="D46" s="32" cm="1">
        <f t="array" aca="1" ref="D46" ca="1">INDEX(Data_DBD!$D:$D,$A46)</f>
        <v>33</v>
      </c>
      <c r="E46" s="32" cm="1">
        <f t="array" aca="1" ref="E46" ca="1">INDEX(Data_DBD!$E:$E,$A46)</f>
        <v>1</v>
      </c>
      <c r="F46" s="32" cm="1">
        <f t="array" aca="1" ref="F46" ca="1">INDEX(Data_DBD!$F:$F,$A46)</f>
        <v>3</v>
      </c>
      <c r="H46" s="32">
        <v>6</v>
      </c>
      <c r="I46" s="32">
        <v>14</v>
      </c>
      <c r="J46" s="32">
        <v>4</v>
      </c>
      <c r="K46" s="32">
        <v>12</v>
      </c>
      <c r="L46" s="32">
        <v>0</v>
      </c>
      <c r="M46" s="32">
        <v>2</v>
      </c>
    </row>
    <row r="47" spans="1:13">
      <c r="A47" s="32">
        <f t="shared" ca="1" si="0"/>
        <v>79</v>
      </c>
      <c r="B47" s="32" cm="1">
        <f t="array" aca="1" ref="B47" ca="1">INDEX(Data_DBD!$B:$B,$A47)</f>
        <v>29</v>
      </c>
      <c r="C47" s="32" cm="1">
        <f t="array" aca="1" ref="C47" ca="1">INDEX(Data_DBD!$C:$C,$A47)</f>
        <v>3</v>
      </c>
      <c r="D47" s="32" cm="1">
        <f t="array" aca="1" ref="D47" ca="1">INDEX(Data_DBD!$D:$D,$A47)</f>
        <v>13</v>
      </c>
      <c r="E47" s="32" cm="1">
        <f t="array" aca="1" ref="E47" ca="1">INDEX(Data_DBD!$E:$E,$A47)</f>
        <v>0</v>
      </c>
      <c r="F47" s="32" cm="1">
        <f t="array" aca="1" ref="F47" ca="1">INDEX(Data_DBD!$F:$F,$A47)</f>
        <v>2</v>
      </c>
      <c r="H47" s="32">
        <v>24</v>
      </c>
      <c r="I47" s="32">
        <v>60</v>
      </c>
      <c r="J47" s="32">
        <v>4</v>
      </c>
      <c r="K47" s="32">
        <v>14</v>
      </c>
      <c r="L47" s="32">
        <v>0</v>
      </c>
      <c r="M47" s="32">
        <v>2</v>
      </c>
    </row>
    <row r="48" spans="1:13">
      <c r="A48" s="32">
        <f t="shared" ca="1" si="0"/>
        <v>122</v>
      </c>
      <c r="B48" s="32" cm="1">
        <f t="array" aca="1" ref="B48" ca="1">INDEX(Data_DBD!$B:$B,$A48)</f>
        <v>28</v>
      </c>
      <c r="C48" s="32" cm="1">
        <f t="array" aca="1" ref="C48" ca="1">INDEX(Data_DBD!$C:$C,$A48)</f>
        <v>3</v>
      </c>
      <c r="D48" s="32" cm="1">
        <f t="array" aca="1" ref="D48" ca="1">INDEX(Data_DBD!$D:$D,$A48)</f>
        <v>33</v>
      </c>
      <c r="E48" s="32" cm="1">
        <f t="array" aca="1" ref="E48" ca="1">INDEX(Data_DBD!$E:$E,$A48)</f>
        <v>1</v>
      </c>
      <c r="F48" s="32" cm="1">
        <f t="array" aca="1" ref="F48" ca="1">INDEX(Data_DBD!$F:$F,$A48)</f>
        <v>3</v>
      </c>
      <c r="H48" s="32">
        <v>21</v>
      </c>
      <c r="I48" s="32">
        <v>10</v>
      </c>
      <c r="J48" s="32">
        <v>5</v>
      </c>
      <c r="K48" s="32">
        <v>14</v>
      </c>
      <c r="L48" s="32">
        <v>1</v>
      </c>
      <c r="M48" s="32">
        <v>2</v>
      </c>
    </row>
    <row r="49" spans="1:13">
      <c r="A49" s="32">
        <f t="shared" ca="1" si="0"/>
        <v>93</v>
      </c>
      <c r="B49" s="32" cm="1">
        <f t="array" aca="1" ref="B49" ca="1">INDEX(Data_DBD!$B:$B,$A49)</f>
        <v>65</v>
      </c>
      <c r="C49" s="32" cm="1">
        <f t="array" aca="1" ref="C49" ca="1">INDEX(Data_DBD!$C:$C,$A49)</f>
        <v>4</v>
      </c>
      <c r="D49" s="32" cm="1">
        <f t="array" aca="1" ref="D49" ca="1">INDEX(Data_DBD!$D:$D,$A49)</f>
        <v>18</v>
      </c>
      <c r="E49" s="32" cm="1">
        <f t="array" aca="1" ref="E49" ca="1">INDEX(Data_DBD!$E:$E,$A49)</f>
        <v>0</v>
      </c>
      <c r="F49" s="32" cm="1">
        <f t="array" aca="1" ref="F49" ca="1">INDEX(Data_DBD!$F:$F,$A49)</f>
        <v>3</v>
      </c>
      <c r="H49" s="32">
        <v>132</v>
      </c>
      <c r="I49" s="32">
        <v>10</v>
      </c>
      <c r="J49" s="32">
        <v>3</v>
      </c>
      <c r="K49" s="32">
        <v>33</v>
      </c>
      <c r="L49" s="32">
        <v>1</v>
      </c>
      <c r="M49" s="32">
        <v>3</v>
      </c>
    </row>
    <row r="50" spans="1:13">
      <c r="A50" s="32">
        <f t="shared" ca="1" si="0"/>
        <v>100</v>
      </c>
      <c r="B50" s="32" cm="1">
        <f t="array" aca="1" ref="B50" ca="1">INDEX(Data_DBD!$B:$B,$A50)</f>
        <v>19</v>
      </c>
      <c r="C50" s="32" cm="1">
        <f t="array" aca="1" ref="C50" ca="1">INDEX(Data_DBD!$C:$C,$A50)</f>
        <v>6</v>
      </c>
      <c r="D50" s="32" cm="1">
        <f t="array" aca="1" ref="D50" ca="1">INDEX(Data_DBD!$D:$D,$A50)</f>
        <v>18</v>
      </c>
      <c r="E50" s="32" cm="1">
        <f t="array" aca="1" ref="E50" ca="1">INDEX(Data_DBD!$E:$E,$A50)</f>
        <v>0</v>
      </c>
      <c r="F50" s="32" cm="1">
        <f t="array" aca="1" ref="F50" ca="1">INDEX(Data_DBD!$F:$F,$A50)</f>
        <v>3</v>
      </c>
      <c r="H50" s="32">
        <v>52</v>
      </c>
      <c r="I50" s="32">
        <v>59</v>
      </c>
      <c r="J50" s="32">
        <v>4</v>
      </c>
      <c r="K50" s="32">
        <v>15</v>
      </c>
      <c r="L50" s="32">
        <v>1</v>
      </c>
      <c r="M50" s="32">
        <v>2</v>
      </c>
    </row>
    <row r="51" spans="1:13">
      <c r="A51" s="32">
        <f t="shared" ca="1" si="0"/>
        <v>156</v>
      </c>
      <c r="B51" s="32" cm="1">
        <f t="array" aca="1" ref="B51" ca="1">INDEX(Data_DBD!$B:$B,$A51)</f>
        <v>5</v>
      </c>
      <c r="C51" s="32" cm="1">
        <f t="array" aca="1" ref="C51" ca="1">INDEX(Data_DBD!$C:$C,$A51)</f>
        <v>2</v>
      </c>
      <c r="D51" s="32" cm="1">
        <f t="array" aca="1" ref="D51" ca="1">INDEX(Data_DBD!$D:$D,$A51)</f>
        <v>21</v>
      </c>
      <c r="E51" s="32" cm="1">
        <f t="array" aca="1" ref="E51" ca="1">INDEX(Data_DBD!$E:$E,$A51)</f>
        <v>0</v>
      </c>
      <c r="F51" s="32" cm="1">
        <f t="array" aca="1" ref="F51" ca="1">INDEX(Data_DBD!$F:$F,$A51)</f>
        <v>3</v>
      </c>
      <c r="H51" s="32">
        <v>46</v>
      </c>
      <c r="I51" s="32">
        <v>62</v>
      </c>
      <c r="J51" s="32">
        <v>2</v>
      </c>
      <c r="K51" s="32">
        <v>13</v>
      </c>
      <c r="L51" s="32">
        <v>0</v>
      </c>
      <c r="M51" s="32">
        <v>2</v>
      </c>
    </row>
    <row r="52" spans="1:13">
      <c r="A52" s="32">
        <f t="shared" ca="1" si="0"/>
        <v>30</v>
      </c>
      <c r="B52" s="32" t="str" cm="1">
        <f t="array" aca="1" ref="B52" ca="1">INDEX(Data_DBD!$B:$B,$A52)</f>
        <v>2,8</v>
      </c>
      <c r="C52" s="32" cm="1">
        <f t="array" aca="1" ref="C52" ca="1">INDEX(Data_DBD!$C:$C,$A52)</f>
        <v>2</v>
      </c>
      <c r="D52" s="32" cm="1">
        <f t="array" aca="1" ref="D52" ca="1">INDEX(Data_DBD!$D:$D,$A52)</f>
        <v>14</v>
      </c>
      <c r="E52" s="32" cm="1">
        <f t="array" aca="1" ref="E52" ca="1">INDEX(Data_DBD!$E:$E,$A52)</f>
        <v>1</v>
      </c>
      <c r="F52" s="32" cm="1">
        <f t="array" aca="1" ref="F52" ca="1">INDEX(Data_DBD!$F:$F,$A52)</f>
        <v>2</v>
      </c>
      <c r="H52" s="32">
        <v>64</v>
      </c>
      <c r="I52" s="32">
        <v>35</v>
      </c>
      <c r="J52" s="32">
        <v>1</v>
      </c>
      <c r="K52" s="32">
        <v>15</v>
      </c>
      <c r="L52" s="32">
        <v>0</v>
      </c>
      <c r="M52" s="32">
        <v>2</v>
      </c>
    </row>
    <row r="53" spans="1:13">
      <c r="A53" s="32">
        <f t="shared" ca="1" si="0"/>
        <v>45</v>
      </c>
      <c r="B53" s="32" cm="1">
        <f t="array" aca="1" ref="B53" ca="1">INDEX(Data_DBD!$B:$B,$A53)</f>
        <v>75</v>
      </c>
      <c r="C53" s="32" cm="1">
        <f t="array" aca="1" ref="C53" ca="1">INDEX(Data_DBD!$C:$C,$A53)</f>
        <v>3</v>
      </c>
      <c r="D53" s="32" cm="1">
        <f t="array" aca="1" ref="D53" ca="1">INDEX(Data_DBD!$D:$D,$A53)</f>
        <v>13</v>
      </c>
      <c r="E53" s="32" cm="1">
        <f t="array" aca="1" ref="E53" ca="1">INDEX(Data_DBD!$E:$E,$A53)</f>
        <v>1</v>
      </c>
      <c r="F53" s="32" cm="1">
        <f t="array" aca="1" ref="F53" ca="1">INDEX(Data_DBD!$F:$F,$A53)</f>
        <v>2</v>
      </c>
      <c r="H53" s="32">
        <v>35</v>
      </c>
      <c r="I53" s="32">
        <v>40</v>
      </c>
      <c r="J53" s="32">
        <v>3</v>
      </c>
      <c r="K53" s="32">
        <v>4</v>
      </c>
      <c r="L53" s="32">
        <v>1</v>
      </c>
      <c r="M53" s="32">
        <v>1</v>
      </c>
    </row>
    <row r="54" spans="1:13">
      <c r="A54" s="32">
        <f t="shared" ca="1" si="0"/>
        <v>130</v>
      </c>
      <c r="B54" s="32" cm="1">
        <f t="array" aca="1" ref="B54" ca="1">INDEX(Data_DBD!$B:$B,$A54)</f>
        <v>12</v>
      </c>
      <c r="C54" s="32" cm="1">
        <f t="array" aca="1" ref="C54" ca="1">INDEX(Data_DBD!$C:$C,$A54)</f>
        <v>4</v>
      </c>
      <c r="D54" s="32" cm="1">
        <f t="array" aca="1" ref="D54" ca="1">INDEX(Data_DBD!$D:$D,$A54)</f>
        <v>33</v>
      </c>
      <c r="E54" s="32" cm="1">
        <f t="array" aca="1" ref="E54" ca="1">INDEX(Data_DBD!$E:$E,$A54)</f>
        <v>0</v>
      </c>
      <c r="F54" s="32" cm="1">
        <f t="array" aca="1" ref="F54" ca="1">INDEX(Data_DBD!$F:$F,$A54)</f>
        <v>3</v>
      </c>
      <c r="H54" s="32">
        <v>102</v>
      </c>
      <c r="I54" s="32">
        <v>41</v>
      </c>
      <c r="J54" s="32">
        <v>4</v>
      </c>
      <c r="K54" s="32">
        <v>18</v>
      </c>
      <c r="L54" s="32">
        <v>0</v>
      </c>
      <c r="M54" s="32">
        <v>3</v>
      </c>
    </row>
    <row r="55" spans="1:13">
      <c r="A55" s="32">
        <f t="shared" ca="1" si="0"/>
        <v>36</v>
      </c>
      <c r="B55" s="32" cm="1">
        <f t="array" aca="1" ref="B55" ca="1">INDEX(Data_DBD!$B:$B,$A55)</f>
        <v>27</v>
      </c>
      <c r="C55" s="32" cm="1">
        <f t="array" aca="1" ref="C55" ca="1">INDEX(Data_DBD!$C:$C,$A55)</f>
        <v>1</v>
      </c>
      <c r="D55" s="32" cm="1">
        <f t="array" aca="1" ref="D55" ca="1">INDEX(Data_DBD!$D:$D,$A55)</f>
        <v>4</v>
      </c>
      <c r="E55" s="32" cm="1">
        <f t="array" aca="1" ref="E55" ca="1">INDEX(Data_DBD!$E:$E,$A55)</f>
        <v>1</v>
      </c>
      <c r="F55" s="32" cm="1">
        <f t="array" aca="1" ref="F55" ca="1">INDEX(Data_DBD!$F:$F,$A55)</f>
        <v>1</v>
      </c>
      <c r="H55" s="32">
        <v>155</v>
      </c>
      <c r="I55" s="32">
        <v>19</v>
      </c>
      <c r="J55" s="32">
        <v>5</v>
      </c>
      <c r="K55" s="32">
        <v>21</v>
      </c>
      <c r="L55" s="32">
        <v>1</v>
      </c>
      <c r="M55" s="32">
        <v>3</v>
      </c>
    </row>
    <row r="56" spans="1:13">
      <c r="A56" s="32">
        <f t="shared" ca="1" si="0"/>
        <v>120</v>
      </c>
      <c r="B56" s="32" cm="1">
        <f t="array" aca="1" ref="B56" ca="1">INDEX(Data_DBD!$B:$B,$A56)</f>
        <v>26</v>
      </c>
      <c r="C56" s="32" cm="1">
        <f t="array" aca="1" ref="C56" ca="1">INDEX(Data_DBD!$C:$C,$A56)</f>
        <v>4</v>
      </c>
      <c r="D56" s="32" cm="1">
        <f t="array" aca="1" ref="D56" ca="1">INDEX(Data_DBD!$D:$D,$A56)</f>
        <v>33</v>
      </c>
      <c r="E56" s="32" cm="1">
        <f t="array" aca="1" ref="E56" ca="1">INDEX(Data_DBD!$E:$E,$A56)</f>
        <v>1</v>
      </c>
      <c r="F56" s="32" cm="1">
        <f t="array" aca="1" ref="F56" ca="1">INDEX(Data_DBD!$F:$F,$A56)</f>
        <v>3</v>
      </c>
      <c r="H56" s="32">
        <v>24</v>
      </c>
      <c r="I56" s="32">
        <v>60</v>
      </c>
      <c r="J56" s="32">
        <v>4</v>
      </c>
      <c r="K56" s="32">
        <v>14</v>
      </c>
      <c r="L56" s="32">
        <v>0</v>
      </c>
      <c r="M56" s="32">
        <v>2</v>
      </c>
    </row>
    <row r="57" spans="1:13">
      <c r="A57" s="32">
        <f t="shared" ca="1" si="0"/>
        <v>21</v>
      </c>
      <c r="B57" s="32" cm="1">
        <f t="array" aca="1" ref="B57" ca="1">INDEX(Data_DBD!$B:$B,$A57)</f>
        <v>10</v>
      </c>
      <c r="C57" s="32" cm="1">
        <f t="array" aca="1" ref="C57" ca="1">INDEX(Data_DBD!$C:$C,$A57)</f>
        <v>5</v>
      </c>
      <c r="D57" s="32" cm="1">
        <f t="array" aca="1" ref="D57" ca="1">INDEX(Data_DBD!$D:$D,$A57)</f>
        <v>14</v>
      </c>
      <c r="E57" s="32" cm="1">
        <f t="array" aca="1" ref="E57" ca="1">INDEX(Data_DBD!$E:$E,$A57)</f>
        <v>1</v>
      </c>
      <c r="F57" s="32" cm="1">
        <f t="array" aca="1" ref="F57" ca="1">INDEX(Data_DBD!$F:$F,$A57)</f>
        <v>2</v>
      </c>
      <c r="H57" s="32">
        <v>38</v>
      </c>
      <c r="I57" s="32">
        <v>52</v>
      </c>
      <c r="J57" s="32">
        <v>3</v>
      </c>
      <c r="K57" s="32">
        <v>4</v>
      </c>
      <c r="L57" s="32">
        <v>1</v>
      </c>
      <c r="M57" s="32">
        <v>1</v>
      </c>
    </row>
    <row r="58" spans="1:13">
      <c r="A58" s="32">
        <f t="shared" ca="1" si="0"/>
        <v>80</v>
      </c>
      <c r="B58" s="32" cm="1">
        <f t="array" aca="1" ref="B58" ca="1">INDEX(Data_DBD!$B:$B,$A58)</f>
        <v>27</v>
      </c>
      <c r="C58" s="32" cm="1">
        <f t="array" aca="1" ref="C58" ca="1">INDEX(Data_DBD!$C:$C,$A58)</f>
        <v>3</v>
      </c>
      <c r="D58" s="32" cm="1">
        <f t="array" aca="1" ref="D58" ca="1">INDEX(Data_DBD!$D:$D,$A58)</f>
        <v>13</v>
      </c>
      <c r="E58" s="32" cm="1">
        <f t="array" aca="1" ref="E58" ca="1">INDEX(Data_DBD!$E:$E,$A58)</f>
        <v>1</v>
      </c>
      <c r="F58" s="32" cm="1">
        <f t="array" aca="1" ref="F58" ca="1">INDEX(Data_DBD!$F:$F,$A58)</f>
        <v>2</v>
      </c>
      <c r="H58" s="32">
        <v>51</v>
      </c>
      <c r="I58" s="32">
        <v>48</v>
      </c>
      <c r="J58" s="32">
        <v>4</v>
      </c>
      <c r="K58" s="32">
        <v>13</v>
      </c>
      <c r="L58" s="32">
        <v>0</v>
      </c>
      <c r="M58" s="32">
        <v>2</v>
      </c>
    </row>
    <row r="59" spans="1:13">
      <c r="A59" s="32">
        <f t="shared" ca="1" si="0"/>
        <v>142</v>
      </c>
      <c r="B59" s="32" cm="1">
        <f t="array" aca="1" ref="B59" ca="1">INDEX(Data_DBD!$B:$B,$A59)</f>
        <v>39</v>
      </c>
      <c r="C59" s="32" cm="1">
        <f t="array" aca="1" ref="C59" ca="1">INDEX(Data_DBD!$C:$C,$A59)</f>
        <v>2</v>
      </c>
      <c r="D59" s="32" cm="1">
        <f t="array" aca="1" ref="D59" ca="1">INDEX(Data_DBD!$D:$D,$A59)</f>
        <v>21</v>
      </c>
      <c r="E59" s="32" cm="1">
        <f t="array" aca="1" ref="E59" ca="1">INDEX(Data_DBD!$E:$E,$A59)</f>
        <v>1</v>
      </c>
      <c r="F59" s="32" cm="1">
        <f t="array" aca="1" ref="F59" ca="1">INDEX(Data_DBD!$F:$F,$A59)</f>
        <v>3</v>
      </c>
      <c r="H59" s="32">
        <v>69</v>
      </c>
      <c r="I59" s="32">
        <v>24</v>
      </c>
      <c r="J59" s="32">
        <v>4</v>
      </c>
      <c r="K59" s="32">
        <v>10</v>
      </c>
      <c r="L59" s="32">
        <v>1</v>
      </c>
      <c r="M59" s="32">
        <v>2</v>
      </c>
    </row>
    <row r="60" spans="1:13">
      <c r="A60" s="32">
        <f t="shared" ca="1" si="0"/>
        <v>84</v>
      </c>
      <c r="B60" s="32" cm="1">
        <f t="array" aca="1" ref="B60" ca="1">INDEX(Data_DBD!$B:$B,$A60)</f>
        <v>42</v>
      </c>
      <c r="C60" s="32" cm="1">
        <f t="array" aca="1" ref="C60" ca="1">INDEX(Data_DBD!$C:$C,$A60)</f>
        <v>4</v>
      </c>
      <c r="D60" s="32" cm="1">
        <f t="array" aca="1" ref="D60" ca="1">INDEX(Data_DBD!$D:$D,$A60)</f>
        <v>13</v>
      </c>
      <c r="E60" s="32" cm="1">
        <f t="array" aca="1" ref="E60" ca="1">INDEX(Data_DBD!$E:$E,$A60)</f>
        <v>1</v>
      </c>
      <c r="F60" s="32" cm="1">
        <f t="array" aca="1" ref="F60" ca="1">INDEX(Data_DBD!$F:$F,$A60)</f>
        <v>2</v>
      </c>
      <c r="H60" s="32">
        <v>97</v>
      </c>
      <c r="I60" s="32">
        <v>16</v>
      </c>
      <c r="J60" s="32">
        <v>2</v>
      </c>
      <c r="K60" s="32">
        <v>18</v>
      </c>
      <c r="L60" s="32">
        <v>1</v>
      </c>
      <c r="M60" s="32">
        <v>3</v>
      </c>
    </row>
    <row r="61" spans="1:13">
      <c r="A61" s="32">
        <f t="shared" ca="1" si="0"/>
        <v>18</v>
      </c>
      <c r="B61" s="32" cm="1">
        <f t="array" aca="1" ref="B61" ca="1">INDEX(Data_DBD!$B:$B,$A61)</f>
        <v>49</v>
      </c>
      <c r="C61" s="32" cm="1">
        <f t="array" aca="1" ref="C61" ca="1">INDEX(Data_DBD!$C:$C,$A61)</f>
        <v>4</v>
      </c>
      <c r="D61" s="32" cm="1">
        <f t="array" aca="1" ref="D61" ca="1">INDEX(Data_DBD!$D:$D,$A61)</f>
        <v>7</v>
      </c>
      <c r="E61" s="32" cm="1">
        <f t="array" aca="1" ref="E61" ca="1">INDEX(Data_DBD!$E:$E,$A61)</f>
        <v>1</v>
      </c>
      <c r="F61" s="32" cm="1">
        <f t="array" aca="1" ref="F61" ca="1">INDEX(Data_DBD!$F:$F,$A61)</f>
        <v>1</v>
      </c>
      <c r="H61" s="32">
        <v>143</v>
      </c>
      <c r="I61" s="32">
        <v>20</v>
      </c>
      <c r="J61" s="32">
        <v>4</v>
      </c>
      <c r="K61" s="32">
        <v>21</v>
      </c>
      <c r="L61" s="32">
        <v>1</v>
      </c>
      <c r="M61" s="32">
        <v>3</v>
      </c>
    </row>
    <row r="62" spans="1:13">
      <c r="A62" s="32">
        <f t="shared" ca="1" si="0"/>
        <v>23</v>
      </c>
      <c r="B62" s="32" cm="1">
        <f t="array" aca="1" ref="B62" ca="1">INDEX(Data_DBD!$B:$B,$A62)</f>
        <v>28</v>
      </c>
      <c r="C62" s="32" cm="1">
        <f t="array" aca="1" ref="C62" ca="1">INDEX(Data_DBD!$C:$C,$A62)</f>
        <v>4</v>
      </c>
      <c r="D62" s="32" cm="1">
        <f t="array" aca="1" ref="D62" ca="1">INDEX(Data_DBD!$D:$D,$A62)</f>
        <v>14</v>
      </c>
      <c r="E62" s="32" cm="1">
        <f t="array" aca="1" ref="E62" ca="1">INDEX(Data_DBD!$E:$E,$A62)</f>
        <v>1</v>
      </c>
      <c r="F62" s="32" cm="1">
        <f t="array" aca="1" ref="F62" ca="1">INDEX(Data_DBD!$F:$F,$A62)</f>
        <v>2</v>
      </c>
      <c r="H62" s="32">
        <v>153</v>
      </c>
      <c r="I62" s="32">
        <v>73</v>
      </c>
      <c r="J62" s="32">
        <v>7</v>
      </c>
      <c r="K62" s="32">
        <v>21</v>
      </c>
      <c r="L62" s="32">
        <v>1</v>
      </c>
      <c r="M62" s="32">
        <v>3</v>
      </c>
    </row>
    <row r="63" spans="1:13">
      <c r="A63" s="32">
        <f t="shared" ca="1" si="0"/>
        <v>42</v>
      </c>
      <c r="B63" s="32" cm="1">
        <f t="array" aca="1" ref="B63" ca="1">INDEX(Data_DBD!$B:$B,$A63)</f>
        <v>21</v>
      </c>
      <c r="C63" s="32" cm="1">
        <f t="array" aca="1" ref="C63" ca="1">INDEX(Data_DBD!$C:$C,$A63)</f>
        <v>5</v>
      </c>
      <c r="D63" s="32" cm="1">
        <f t="array" aca="1" ref="D63" ca="1">INDEX(Data_DBD!$D:$D,$A63)</f>
        <v>13</v>
      </c>
      <c r="E63" s="32" cm="1">
        <f t="array" aca="1" ref="E63" ca="1">INDEX(Data_DBD!$E:$E,$A63)</f>
        <v>1</v>
      </c>
      <c r="F63" s="32" cm="1">
        <f t="array" aca="1" ref="F63" ca="1">INDEX(Data_DBD!$F:$F,$A63)</f>
        <v>2</v>
      </c>
      <c r="H63" s="32">
        <v>114</v>
      </c>
      <c r="I63" s="32">
        <v>14</v>
      </c>
      <c r="J63" s="32">
        <v>2</v>
      </c>
      <c r="K63" s="32">
        <v>33</v>
      </c>
      <c r="L63" s="32">
        <v>1</v>
      </c>
      <c r="M63" s="32">
        <v>3</v>
      </c>
    </row>
    <row r="64" spans="1:13">
      <c r="A64" s="32">
        <f t="shared" ca="1" si="0"/>
        <v>83</v>
      </c>
      <c r="B64" s="32" cm="1">
        <f t="array" aca="1" ref="B64" ca="1">INDEX(Data_DBD!$B:$B,$A64)</f>
        <v>50</v>
      </c>
      <c r="C64" s="32" cm="1">
        <f t="array" aca="1" ref="C64" ca="1">INDEX(Data_DBD!$C:$C,$A64)</f>
        <v>3</v>
      </c>
      <c r="D64" s="32" cm="1">
        <f t="array" aca="1" ref="D64" ca="1">INDEX(Data_DBD!$D:$D,$A64)</f>
        <v>13</v>
      </c>
      <c r="E64" s="32" cm="1">
        <f t="array" aca="1" ref="E64" ca="1">INDEX(Data_DBD!$E:$E,$A64)</f>
        <v>0</v>
      </c>
      <c r="F64" s="32" cm="1">
        <f t="array" aca="1" ref="F64" ca="1">INDEX(Data_DBD!$F:$F,$A64)</f>
        <v>2</v>
      </c>
      <c r="H64" s="32">
        <v>20</v>
      </c>
      <c r="I64" s="32">
        <v>15</v>
      </c>
      <c r="J64" s="32">
        <v>5</v>
      </c>
      <c r="K64" s="32">
        <v>7</v>
      </c>
      <c r="L64" s="32">
        <v>0</v>
      </c>
      <c r="M64" s="32">
        <v>1</v>
      </c>
    </row>
    <row r="65" spans="1:13">
      <c r="A65" s="32">
        <f t="shared" ca="1" si="0"/>
        <v>135</v>
      </c>
      <c r="B65" s="32" cm="1">
        <f t="array" aca="1" ref="B65" ca="1">INDEX(Data_DBD!$B:$B,$A65)</f>
        <v>10</v>
      </c>
      <c r="C65" s="32" cm="1">
        <f t="array" aca="1" ref="C65" ca="1">INDEX(Data_DBD!$C:$C,$A65)</f>
        <v>2</v>
      </c>
      <c r="D65" s="32" cm="1">
        <f t="array" aca="1" ref="D65" ca="1">INDEX(Data_DBD!$D:$D,$A65)</f>
        <v>33</v>
      </c>
      <c r="E65" s="32" cm="1">
        <f t="array" aca="1" ref="E65" ca="1">INDEX(Data_DBD!$E:$E,$A65)</f>
        <v>0</v>
      </c>
      <c r="F65" s="32" cm="1">
        <f t="array" aca="1" ref="F65" ca="1">INDEX(Data_DBD!$F:$F,$A65)</f>
        <v>3</v>
      </c>
      <c r="H65" s="32">
        <v>112</v>
      </c>
      <c r="I65" s="32">
        <v>61</v>
      </c>
      <c r="J65" s="32">
        <v>3</v>
      </c>
      <c r="K65" s="32">
        <v>33</v>
      </c>
      <c r="L65" s="32">
        <v>1</v>
      </c>
      <c r="M65" s="32">
        <v>3</v>
      </c>
    </row>
    <row r="66" spans="1:13">
      <c r="A66" s="32">
        <f t="shared" ca="1" si="0"/>
        <v>8</v>
      </c>
      <c r="B66" s="32" cm="1">
        <f t="array" aca="1" ref="B66" ca="1">INDEX(Data_DBD!$B:$B,$A66)</f>
        <v>4</v>
      </c>
      <c r="C66" s="32" cm="1">
        <f t="array" aca="1" ref="C66" ca="1">INDEX(Data_DBD!$C:$C,$A66)</f>
        <v>2</v>
      </c>
      <c r="D66" s="32" cm="1">
        <f t="array" aca="1" ref="D66" ca="1">INDEX(Data_DBD!$D:$D,$A66)</f>
        <v>12</v>
      </c>
      <c r="E66" s="32" cm="1">
        <f t="array" aca="1" ref="E66" ca="1">INDEX(Data_DBD!$E:$E,$A66)</f>
        <v>0</v>
      </c>
      <c r="F66" s="32" cm="1">
        <f t="array" aca="1" ref="F66" ca="1">INDEX(Data_DBD!$F:$F,$A66)</f>
        <v>2</v>
      </c>
      <c r="H66" s="32">
        <v>58</v>
      </c>
      <c r="I66" s="32">
        <v>17</v>
      </c>
      <c r="J66" s="32">
        <v>3</v>
      </c>
      <c r="K66" s="32">
        <v>15</v>
      </c>
      <c r="L66" s="32">
        <v>0</v>
      </c>
      <c r="M66" s="32">
        <v>2</v>
      </c>
    </row>
    <row r="67" spans="1:13">
      <c r="A67" s="32">
        <f t="shared" ref="A67:A130" ca="1" si="1">RANDBETWEEN(2,164)</f>
        <v>105</v>
      </c>
      <c r="B67" s="32" cm="1">
        <f t="array" aca="1" ref="B67" ca="1">INDEX(Data_DBD!$B:$B,$A67)</f>
        <v>61</v>
      </c>
      <c r="C67" s="32" cm="1">
        <f t="array" aca="1" ref="C67" ca="1">INDEX(Data_DBD!$C:$C,$A67)</f>
        <v>3</v>
      </c>
      <c r="D67" s="32" cm="1">
        <f t="array" aca="1" ref="D67" ca="1">INDEX(Data_DBD!$D:$D,$A67)</f>
        <v>18</v>
      </c>
      <c r="E67" s="32" cm="1">
        <f t="array" aca="1" ref="E67" ca="1">INDEX(Data_DBD!$E:$E,$A67)</f>
        <v>1</v>
      </c>
      <c r="F67" s="32" cm="1">
        <f t="array" aca="1" ref="F67" ca="1">INDEX(Data_DBD!$F:$F,$A67)</f>
        <v>3</v>
      </c>
      <c r="H67" s="32">
        <v>82</v>
      </c>
      <c r="I67" s="32">
        <v>28</v>
      </c>
      <c r="J67" s="32">
        <v>3</v>
      </c>
      <c r="K67" s="32">
        <v>13</v>
      </c>
      <c r="L67" s="32">
        <v>1</v>
      </c>
      <c r="M67" s="32">
        <v>2</v>
      </c>
    </row>
    <row r="68" spans="1:13">
      <c r="A68" s="32">
        <f t="shared" ca="1" si="1"/>
        <v>125</v>
      </c>
      <c r="B68" s="32" cm="1">
        <f t="array" aca="1" ref="B68" ca="1">INDEX(Data_DBD!$B:$B,$A68)</f>
        <v>39</v>
      </c>
      <c r="C68" s="32" cm="1">
        <f t="array" aca="1" ref="C68" ca="1">INDEX(Data_DBD!$C:$C,$A68)</f>
        <v>4</v>
      </c>
      <c r="D68" s="32" cm="1">
        <f t="array" aca="1" ref="D68" ca="1">INDEX(Data_DBD!$D:$D,$A68)</f>
        <v>33</v>
      </c>
      <c r="E68" s="32" cm="1">
        <f t="array" aca="1" ref="E68" ca="1">INDEX(Data_DBD!$E:$E,$A68)</f>
        <v>0</v>
      </c>
      <c r="F68" s="32" cm="1">
        <f t="array" aca="1" ref="F68" ca="1">INDEX(Data_DBD!$F:$F,$A68)</f>
        <v>3</v>
      </c>
      <c r="H68" s="32">
        <v>155</v>
      </c>
      <c r="I68" s="32">
        <v>19</v>
      </c>
      <c r="J68" s="32">
        <v>5</v>
      </c>
      <c r="K68" s="32">
        <v>21</v>
      </c>
      <c r="L68" s="32">
        <v>1</v>
      </c>
      <c r="M68" s="32">
        <v>3</v>
      </c>
    </row>
    <row r="69" spans="1:13">
      <c r="A69" s="32">
        <f t="shared" ca="1" si="1"/>
        <v>95</v>
      </c>
      <c r="B69" s="32" cm="1">
        <f t="array" aca="1" ref="B69" ca="1">INDEX(Data_DBD!$B:$B,$A69)</f>
        <v>11</v>
      </c>
      <c r="C69" s="32" cm="1">
        <f t="array" aca="1" ref="C69" ca="1">INDEX(Data_DBD!$C:$C,$A69)</f>
        <v>3</v>
      </c>
      <c r="D69" s="32" cm="1">
        <f t="array" aca="1" ref="D69" ca="1">INDEX(Data_DBD!$D:$D,$A69)</f>
        <v>18</v>
      </c>
      <c r="E69" s="32" cm="1">
        <f t="array" aca="1" ref="E69" ca="1">INDEX(Data_DBD!$E:$E,$A69)</f>
        <v>1</v>
      </c>
      <c r="F69" s="32" cm="1">
        <f t="array" aca="1" ref="F69" ca="1">INDEX(Data_DBD!$F:$F,$A69)</f>
        <v>3</v>
      </c>
      <c r="H69" s="32">
        <v>3</v>
      </c>
      <c r="I69" s="32">
        <v>43</v>
      </c>
      <c r="J69" s="32">
        <v>3</v>
      </c>
      <c r="K69" s="32">
        <v>12</v>
      </c>
      <c r="L69" s="32">
        <v>1</v>
      </c>
      <c r="M69" s="32">
        <v>2</v>
      </c>
    </row>
    <row r="70" spans="1:13">
      <c r="A70" s="32">
        <f t="shared" ca="1" si="1"/>
        <v>99</v>
      </c>
      <c r="B70" s="32" cm="1">
        <f t="array" aca="1" ref="B70" ca="1">INDEX(Data_DBD!$B:$B,$A70)</f>
        <v>4</v>
      </c>
      <c r="C70" s="32" cm="1">
        <f t="array" aca="1" ref="C70" ca="1">INDEX(Data_DBD!$C:$C,$A70)</f>
        <v>2</v>
      </c>
      <c r="D70" s="32" cm="1">
        <f t="array" aca="1" ref="D70" ca="1">INDEX(Data_DBD!$D:$D,$A70)</f>
        <v>18</v>
      </c>
      <c r="E70" s="32" cm="1">
        <f t="array" aca="1" ref="E70" ca="1">INDEX(Data_DBD!$E:$E,$A70)</f>
        <v>1</v>
      </c>
      <c r="F70" s="32" cm="1">
        <f t="array" aca="1" ref="F70" ca="1">INDEX(Data_DBD!$F:$F,$A70)</f>
        <v>3</v>
      </c>
      <c r="H70" s="32">
        <v>53</v>
      </c>
      <c r="I70" s="32">
        <v>35</v>
      </c>
      <c r="J70" s="32">
        <v>4</v>
      </c>
      <c r="K70" s="32">
        <v>15</v>
      </c>
      <c r="L70" s="32">
        <v>1</v>
      </c>
      <c r="M70" s="32">
        <v>2</v>
      </c>
    </row>
    <row r="71" spans="1:13">
      <c r="A71" s="32">
        <f t="shared" ca="1" si="1"/>
        <v>117</v>
      </c>
      <c r="B71" s="32" cm="1">
        <f t="array" aca="1" ref="B71" ca="1">INDEX(Data_DBD!$B:$B,$A71)</f>
        <v>49</v>
      </c>
      <c r="C71" s="32" cm="1">
        <f t="array" aca="1" ref="C71" ca="1">INDEX(Data_DBD!$C:$C,$A71)</f>
        <v>4</v>
      </c>
      <c r="D71" s="32" cm="1">
        <f t="array" aca="1" ref="D71" ca="1">INDEX(Data_DBD!$D:$D,$A71)</f>
        <v>33</v>
      </c>
      <c r="E71" s="32" cm="1">
        <f t="array" aca="1" ref="E71" ca="1">INDEX(Data_DBD!$E:$E,$A71)</f>
        <v>1</v>
      </c>
      <c r="F71" s="32" cm="1">
        <f t="array" aca="1" ref="F71" ca="1">INDEX(Data_DBD!$F:$F,$A71)</f>
        <v>3</v>
      </c>
      <c r="H71" s="32">
        <v>112</v>
      </c>
      <c r="I71" s="32">
        <v>61</v>
      </c>
      <c r="J71" s="32">
        <v>3</v>
      </c>
      <c r="K71" s="32">
        <v>33</v>
      </c>
      <c r="L71" s="32">
        <v>1</v>
      </c>
      <c r="M71" s="32">
        <v>3</v>
      </c>
    </row>
    <row r="72" spans="1:13">
      <c r="A72" s="32">
        <f t="shared" ca="1" si="1"/>
        <v>138</v>
      </c>
      <c r="B72" s="32" cm="1">
        <f t="array" aca="1" ref="B72" ca="1">INDEX(Data_DBD!$B:$B,$A72)</f>
        <v>13</v>
      </c>
      <c r="C72" s="32" cm="1">
        <f t="array" aca="1" ref="C72" ca="1">INDEX(Data_DBD!$C:$C,$A72)</f>
        <v>3</v>
      </c>
      <c r="D72" s="32" cm="1">
        <f t="array" aca="1" ref="D72" ca="1">INDEX(Data_DBD!$D:$D,$A72)</f>
        <v>33</v>
      </c>
      <c r="E72" s="32" cm="1">
        <f t="array" aca="1" ref="E72" ca="1">INDEX(Data_DBD!$E:$E,$A72)</f>
        <v>1</v>
      </c>
      <c r="F72" s="32" cm="1">
        <f t="array" aca="1" ref="F72" ca="1">INDEX(Data_DBD!$F:$F,$A72)</f>
        <v>3</v>
      </c>
      <c r="H72" s="32">
        <v>62</v>
      </c>
      <c r="I72" s="32">
        <v>43</v>
      </c>
      <c r="J72" s="32">
        <v>4</v>
      </c>
      <c r="K72" s="32">
        <v>15</v>
      </c>
      <c r="L72" s="32">
        <v>1</v>
      </c>
      <c r="M72" s="32">
        <v>2</v>
      </c>
    </row>
    <row r="73" spans="1:13">
      <c r="A73" s="32">
        <f t="shared" ca="1" si="1"/>
        <v>151</v>
      </c>
      <c r="B73" s="32" cm="1">
        <f t="array" aca="1" ref="B73" ca="1">INDEX(Data_DBD!$B:$B,$A73)</f>
        <v>24</v>
      </c>
      <c r="C73" s="32" cm="1">
        <f t="array" aca="1" ref="C73" ca="1">INDEX(Data_DBD!$C:$C,$A73)</f>
        <v>3</v>
      </c>
      <c r="D73" s="32" cm="1">
        <f t="array" aca="1" ref="D73" ca="1">INDEX(Data_DBD!$D:$D,$A73)</f>
        <v>21</v>
      </c>
      <c r="E73" s="32" cm="1">
        <f t="array" aca="1" ref="E73" ca="1">INDEX(Data_DBD!$E:$E,$A73)</f>
        <v>0</v>
      </c>
      <c r="F73" s="32" cm="1">
        <f t="array" aca="1" ref="F73" ca="1">INDEX(Data_DBD!$F:$F,$A73)</f>
        <v>3</v>
      </c>
      <c r="H73" s="32">
        <v>62</v>
      </c>
      <c r="I73" s="32">
        <v>43</v>
      </c>
      <c r="J73" s="32">
        <v>4</v>
      </c>
      <c r="K73" s="32">
        <v>15</v>
      </c>
      <c r="L73" s="32">
        <v>1</v>
      </c>
      <c r="M73" s="32">
        <v>2</v>
      </c>
    </row>
    <row r="74" spans="1:13">
      <c r="A74" s="32">
        <f t="shared" ca="1" si="1"/>
        <v>10</v>
      </c>
      <c r="B74" s="32" cm="1">
        <f t="array" aca="1" ref="B74" ca="1">INDEX(Data_DBD!$B:$B,$A74)</f>
        <v>18</v>
      </c>
      <c r="C74" s="32" cm="1">
        <f t="array" aca="1" ref="C74" ca="1">INDEX(Data_DBD!$C:$C,$A74)</f>
        <v>5</v>
      </c>
      <c r="D74" s="32" cm="1">
        <f t="array" aca="1" ref="D74" ca="1">INDEX(Data_DBD!$D:$D,$A74)</f>
        <v>12</v>
      </c>
      <c r="E74" s="32" cm="1">
        <f t="array" aca="1" ref="E74" ca="1">INDEX(Data_DBD!$E:$E,$A74)</f>
        <v>0</v>
      </c>
      <c r="F74" s="32" cm="1">
        <f t="array" aca="1" ref="F74" ca="1">INDEX(Data_DBD!$F:$F,$A74)</f>
        <v>2</v>
      </c>
      <c r="H74" s="32">
        <v>42</v>
      </c>
      <c r="I74" s="32">
        <v>21</v>
      </c>
      <c r="J74" s="32">
        <v>5</v>
      </c>
      <c r="K74" s="32">
        <v>13</v>
      </c>
      <c r="L74" s="32">
        <v>1</v>
      </c>
      <c r="M74" s="32">
        <v>2</v>
      </c>
    </row>
    <row r="75" spans="1:13">
      <c r="A75" s="32">
        <f t="shared" ca="1" si="1"/>
        <v>15</v>
      </c>
      <c r="B75" s="32" cm="1">
        <f t="array" aca="1" ref="B75" ca="1">INDEX(Data_DBD!$B:$B,$A75)</f>
        <v>21</v>
      </c>
      <c r="C75" s="32" cm="1">
        <f t="array" aca="1" ref="C75" ca="1">INDEX(Data_DBD!$C:$C,$A75)</f>
        <v>2</v>
      </c>
      <c r="D75" s="32" cm="1">
        <f t="array" aca="1" ref="D75" ca="1">INDEX(Data_DBD!$D:$D,$A75)</f>
        <v>7</v>
      </c>
      <c r="E75" s="32" cm="1">
        <f t="array" aca="1" ref="E75" ca="1">INDEX(Data_DBD!$E:$E,$A75)</f>
        <v>0</v>
      </c>
      <c r="F75" s="32" cm="1">
        <f t="array" aca="1" ref="F75" ca="1">INDEX(Data_DBD!$F:$F,$A75)</f>
        <v>1</v>
      </c>
      <c r="H75" s="32">
        <v>159</v>
      </c>
      <c r="I75" s="32">
        <v>17</v>
      </c>
      <c r="J75" s="32">
        <v>2</v>
      </c>
      <c r="K75" s="32">
        <v>21</v>
      </c>
      <c r="L75" s="32">
        <v>0</v>
      </c>
      <c r="M75" s="32">
        <v>3</v>
      </c>
    </row>
    <row r="76" spans="1:13">
      <c r="A76" s="32">
        <f t="shared" ca="1" si="1"/>
        <v>30</v>
      </c>
      <c r="B76" s="32" t="str" cm="1">
        <f t="array" aca="1" ref="B76" ca="1">INDEX(Data_DBD!$B:$B,$A76)</f>
        <v>2,8</v>
      </c>
      <c r="C76" s="32" cm="1">
        <f t="array" aca="1" ref="C76" ca="1">INDEX(Data_DBD!$C:$C,$A76)</f>
        <v>2</v>
      </c>
      <c r="D76" s="32" cm="1">
        <f t="array" aca="1" ref="D76" ca="1">INDEX(Data_DBD!$D:$D,$A76)</f>
        <v>14</v>
      </c>
      <c r="E76" s="32" cm="1">
        <f t="array" aca="1" ref="E76" ca="1">INDEX(Data_DBD!$E:$E,$A76)</f>
        <v>1</v>
      </c>
      <c r="F76" s="32" cm="1">
        <f t="array" aca="1" ref="F76" ca="1">INDEX(Data_DBD!$F:$F,$A76)</f>
        <v>2</v>
      </c>
      <c r="H76" s="32">
        <v>82</v>
      </c>
      <c r="I76" s="32">
        <v>28</v>
      </c>
      <c r="J76" s="32">
        <v>3</v>
      </c>
      <c r="K76" s="32">
        <v>13</v>
      </c>
      <c r="L76" s="32">
        <v>1</v>
      </c>
      <c r="M76" s="32">
        <v>2</v>
      </c>
    </row>
    <row r="77" spans="1:13">
      <c r="A77" s="32">
        <f t="shared" ca="1" si="1"/>
        <v>148</v>
      </c>
      <c r="B77" s="32" cm="1">
        <f t="array" aca="1" ref="B77" ca="1">INDEX(Data_DBD!$B:$B,$A77)</f>
        <v>55</v>
      </c>
      <c r="C77" s="32" cm="1">
        <f t="array" aca="1" ref="C77" ca="1">INDEX(Data_DBD!$C:$C,$A77)</f>
        <v>3</v>
      </c>
      <c r="D77" s="32" cm="1">
        <f t="array" aca="1" ref="D77" ca="1">INDEX(Data_DBD!$D:$D,$A77)</f>
        <v>21</v>
      </c>
      <c r="E77" s="32" cm="1">
        <f t="array" aca="1" ref="E77" ca="1">INDEX(Data_DBD!$E:$E,$A77)</f>
        <v>1</v>
      </c>
      <c r="F77" s="32" cm="1">
        <f t="array" aca="1" ref="F77" ca="1">INDEX(Data_DBD!$F:$F,$A77)</f>
        <v>3</v>
      </c>
      <c r="H77" s="32">
        <v>156</v>
      </c>
      <c r="I77" s="32">
        <v>5</v>
      </c>
      <c r="J77" s="32">
        <v>2</v>
      </c>
      <c r="K77" s="32">
        <v>21</v>
      </c>
      <c r="L77" s="32">
        <v>0</v>
      </c>
      <c r="M77" s="32">
        <v>3</v>
      </c>
    </row>
    <row r="78" spans="1:13">
      <c r="A78" s="32">
        <f t="shared" ca="1" si="1"/>
        <v>50</v>
      </c>
      <c r="B78" s="32" cm="1">
        <f t="array" aca="1" ref="B78" ca="1">INDEX(Data_DBD!$B:$B,$A78)</f>
        <v>19</v>
      </c>
      <c r="C78" s="32" cm="1">
        <f t="array" aca="1" ref="C78" ca="1">INDEX(Data_DBD!$C:$C,$A78)</f>
        <v>5</v>
      </c>
      <c r="D78" s="32" cm="1">
        <f t="array" aca="1" ref="D78" ca="1">INDEX(Data_DBD!$D:$D,$A78)</f>
        <v>13</v>
      </c>
      <c r="E78" s="32" cm="1">
        <f t="array" aca="1" ref="E78" ca="1">INDEX(Data_DBD!$E:$E,$A78)</f>
        <v>0</v>
      </c>
      <c r="F78" s="32" cm="1">
        <f t="array" aca="1" ref="F78" ca="1">INDEX(Data_DBD!$F:$F,$A78)</f>
        <v>2</v>
      </c>
      <c r="H78" s="32">
        <v>159</v>
      </c>
      <c r="I78" s="32">
        <v>17</v>
      </c>
      <c r="J78" s="32">
        <v>2</v>
      </c>
      <c r="K78" s="32">
        <v>21</v>
      </c>
      <c r="L78" s="32">
        <v>0</v>
      </c>
      <c r="M78" s="32">
        <v>3</v>
      </c>
    </row>
    <row r="79" spans="1:13">
      <c r="A79" s="32">
        <f t="shared" ca="1" si="1"/>
        <v>163</v>
      </c>
      <c r="B79" s="32" cm="1">
        <f t="array" aca="1" ref="B79" ca="1">INDEX(Data_DBD!$B:$B,$A79)</f>
        <v>34</v>
      </c>
      <c r="C79" s="32" cm="1">
        <f t="array" aca="1" ref="C79" ca="1">INDEX(Data_DBD!$C:$C,$A79)</f>
        <v>4</v>
      </c>
      <c r="D79" s="32" cm="1">
        <f t="array" aca="1" ref="D79" ca="1">INDEX(Data_DBD!$D:$D,$A79)</f>
        <v>3</v>
      </c>
      <c r="E79" s="32" cm="1">
        <f t="array" aca="1" ref="E79" ca="1">INDEX(Data_DBD!$E:$E,$A79)</f>
        <v>1</v>
      </c>
      <c r="F79" s="32" cm="1">
        <f t="array" aca="1" ref="F79" ca="1">INDEX(Data_DBD!$F:$F,$A79)</f>
        <v>1</v>
      </c>
      <c r="H79" s="32">
        <v>92</v>
      </c>
      <c r="I79" s="32">
        <v>55</v>
      </c>
      <c r="J79" s="32">
        <v>7</v>
      </c>
      <c r="K79" s="32">
        <v>18</v>
      </c>
      <c r="L79" s="32">
        <v>0</v>
      </c>
      <c r="M79" s="32">
        <v>3</v>
      </c>
    </row>
    <row r="80" spans="1:13">
      <c r="A80" s="32">
        <f t="shared" ca="1" si="1"/>
        <v>163</v>
      </c>
      <c r="B80" s="32" cm="1">
        <f t="array" aca="1" ref="B80" ca="1">INDEX(Data_DBD!$B:$B,$A80)</f>
        <v>34</v>
      </c>
      <c r="C80" s="32" cm="1">
        <f t="array" aca="1" ref="C80" ca="1">INDEX(Data_DBD!$C:$C,$A80)</f>
        <v>4</v>
      </c>
      <c r="D80" s="32" cm="1">
        <f t="array" aca="1" ref="D80" ca="1">INDEX(Data_DBD!$D:$D,$A80)</f>
        <v>3</v>
      </c>
      <c r="E80" s="32" cm="1">
        <f t="array" aca="1" ref="E80" ca="1">INDEX(Data_DBD!$E:$E,$A80)</f>
        <v>1</v>
      </c>
      <c r="F80" s="32" cm="1">
        <f t="array" aca="1" ref="F80" ca="1">INDEX(Data_DBD!$F:$F,$A80)</f>
        <v>1</v>
      </c>
      <c r="H80" s="32">
        <v>164</v>
      </c>
      <c r="I80" s="32">
        <v>10</v>
      </c>
      <c r="J80" s="32">
        <v>6</v>
      </c>
      <c r="K80" s="32">
        <v>3</v>
      </c>
      <c r="L80" s="32">
        <v>0</v>
      </c>
      <c r="M80" s="32">
        <v>1</v>
      </c>
    </row>
    <row r="81" spans="1:13">
      <c r="A81" s="32">
        <f t="shared" ca="1" si="1"/>
        <v>77</v>
      </c>
      <c r="B81" s="32" cm="1">
        <f t="array" aca="1" ref="B81" ca="1">INDEX(Data_DBD!$B:$B,$A81)</f>
        <v>16</v>
      </c>
      <c r="C81" s="32" cm="1">
        <f t="array" aca="1" ref="C81" ca="1">INDEX(Data_DBD!$C:$C,$A81)</f>
        <v>4</v>
      </c>
      <c r="D81" s="32" cm="1">
        <f t="array" aca="1" ref="D81" ca="1">INDEX(Data_DBD!$D:$D,$A81)</f>
        <v>13</v>
      </c>
      <c r="E81" s="32" cm="1">
        <f t="array" aca="1" ref="E81" ca="1">INDEX(Data_DBD!$E:$E,$A81)</f>
        <v>1</v>
      </c>
      <c r="F81" s="32" cm="1">
        <f t="array" aca="1" ref="F81" ca="1">INDEX(Data_DBD!$F:$F,$A81)</f>
        <v>2</v>
      </c>
      <c r="H81" s="32">
        <v>87</v>
      </c>
      <c r="I81" s="32">
        <v>21</v>
      </c>
      <c r="J81" s="32">
        <v>3</v>
      </c>
      <c r="K81" s="32">
        <v>13</v>
      </c>
      <c r="L81" s="32">
        <v>0</v>
      </c>
      <c r="M81" s="32">
        <v>2</v>
      </c>
    </row>
    <row r="82" spans="1:13">
      <c r="A82" s="32">
        <f t="shared" ca="1" si="1"/>
        <v>134</v>
      </c>
      <c r="B82" s="32" cm="1">
        <f t="array" aca="1" ref="B82" ca="1">INDEX(Data_DBD!$B:$B,$A82)</f>
        <v>4</v>
      </c>
      <c r="C82" s="32" cm="1">
        <f t="array" aca="1" ref="C82" ca="1">INDEX(Data_DBD!$C:$C,$A82)</f>
        <v>2</v>
      </c>
      <c r="D82" s="32" cm="1">
        <f t="array" aca="1" ref="D82" ca="1">INDEX(Data_DBD!$D:$D,$A82)</f>
        <v>33</v>
      </c>
      <c r="E82" s="32" cm="1">
        <f t="array" aca="1" ref="E82" ca="1">INDEX(Data_DBD!$E:$E,$A82)</f>
        <v>1</v>
      </c>
      <c r="F82" s="32" cm="1">
        <f t="array" aca="1" ref="F82" ca="1">INDEX(Data_DBD!$F:$F,$A82)</f>
        <v>3</v>
      </c>
      <c r="H82" s="32">
        <v>160</v>
      </c>
      <c r="I82" s="32">
        <v>16</v>
      </c>
      <c r="J82" s="32">
        <v>3</v>
      </c>
      <c r="K82" s="32">
        <v>21</v>
      </c>
      <c r="L82" s="32">
        <v>0</v>
      </c>
      <c r="M82" s="32">
        <v>3</v>
      </c>
    </row>
    <row r="83" spans="1:13">
      <c r="A83" s="32">
        <f t="shared" ca="1" si="1"/>
        <v>150</v>
      </c>
      <c r="B83" s="32" cm="1">
        <f t="array" aca="1" ref="B83" ca="1">INDEX(Data_DBD!$B:$B,$A83)</f>
        <v>61</v>
      </c>
      <c r="C83" s="32" cm="1">
        <f t="array" aca="1" ref="C83" ca="1">INDEX(Data_DBD!$C:$C,$A83)</f>
        <v>5</v>
      </c>
      <c r="D83" s="32" cm="1">
        <f t="array" aca="1" ref="D83" ca="1">INDEX(Data_DBD!$D:$D,$A83)</f>
        <v>21</v>
      </c>
      <c r="E83" s="32" cm="1">
        <f t="array" aca="1" ref="E83" ca="1">INDEX(Data_DBD!$E:$E,$A83)</f>
        <v>1</v>
      </c>
      <c r="F83" s="32" cm="1">
        <f t="array" aca="1" ref="F83" ca="1">INDEX(Data_DBD!$F:$F,$A83)</f>
        <v>3</v>
      </c>
      <c r="H83" s="32">
        <v>128</v>
      </c>
      <c r="I83" s="32">
        <v>38</v>
      </c>
      <c r="J83" s="32">
        <v>2</v>
      </c>
      <c r="K83" s="32">
        <v>33</v>
      </c>
      <c r="L83" s="32">
        <v>0</v>
      </c>
      <c r="M83" s="32">
        <v>3</v>
      </c>
    </row>
    <row r="84" spans="1:13">
      <c r="A84" s="32">
        <f t="shared" ca="1" si="1"/>
        <v>133</v>
      </c>
      <c r="B84" s="32" cm="1">
        <f t="array" aca="1" ref="B84" ca="1">INDEX(Data_DBD!$B:$B,$A84)</f>
        <v>6</v>
      </c>
      <c r="C84" s="32" cm="1">
        <f t="array" aca="1" ref="C84" ca="1">INDEX(Data_DBD!$C:$C,$A84)</f>
        <v>4</v>
      </c>
      <c r="D84" s="32" cm="1">
        <f t="array" aca="1" ref="D84" ca="1">INDEX(Data_DBD!$D:$D,$A84)</f>
        <v>33</v>
      </c>
      <c r="E84" s="32" cm="1">
        <f t="array" aca="1" ref="E84" ca="1">INDEX(Data_DBD!$E:$E,$A84)</f>
        <v>0</v>
      </c>
      <c r="F84" s="32" cm="1">
        <f t="array" aca="1" ref="F84" ca="1">INDEX(Data_DBD!$F:$F,$A84)</f>
        <v>3</v>
      </c>
      <c r="H84" s="32">
        <v>55</v>
      </c>
      <c r="I84" s="32">
        <v>7</v>
      </c>
      <c r="J84" s="32">
        <v>4</v>
      </c>
      <c r="K84" s="32">
        <v>15</v>
      </c>
      <c r="L84" s="32">
        <v>1</v>
      </c>
      <c r="M84" s="32">
        <v>2</v>
      </c>
    </row>
    <row r="85" spans="1:13">
      <c r="A85" s="32">
        <f t="shared" ca="1" si="1"/>
        <v>164</v>
      </c>
      <c r="B85" s="32" cm="1">
        <f t="array" aca="1" ref="B85" ca="1">INDEX(Data_DBD!$B:$B,$A85)</f>
        <v>10</v>
      </c>
      <c r="C85" s="32" cm="1">
        <f t="array" aca="1" ref="C85" ca="1">INDEX(Data_DBD!$C:$C,$A85)</f>
        <v>6</v>
      </c>
      <c r="D85" s="32" cm="1">
        <f t="array" aca="1" ref="D85" ca="1">INDEX(Data_DBD!$D:$D,$A85)</f>
        <v>3</v>
      </c>
      <c r="E85" s="32" cm="1">
        <f t="array" aca="1" ref="E85" ca="1">INDEX(Data_DBD!$E:$E,$A85)</f>
        <v>0</v>
      </c>
      <c r="F85" s="32" cm="1">
        <f t="array" aca="1" ref="F85" ca="1">INDEX(Data_DBD!$F:$F,$A85)</f>
        <v>1</v>
      </c>
      <c r="H85" s="32">
        <v>132</v>
      </c>
      <c r="I85" s="32">
        <v>10</v>
      </c>
      <c r="J85" s="32">
        <v>3</v>
      </c>
      <c r="K85" s="32">
        <v>33</v>
      </c>
      <c r="L85" s="32">
        <v>1</v>
      </c>
      <c r="M85" s="32">
        <v>3</v>
      </c>
    </row>
    <row r="86" spans="1:13">
      <c r="A86" s="32">
        <f t="shared" ca="1" si="1"/>
        <v>72</v>
      </c>
      <c r="B86" s="32" cm="1">
        <f t="array" aca="1" ref="B86" ca="1">INDEX(Data_DBD!$B:$B,$A86)</f>
        <v>3</v>
      </c>
      <c r="C86" s="32" cm="1">
        <f t="array" aca="1" ref="C86" ca="1">INDEX(Data_DBD!$C:$C,$A86)</f>
        <v>5</v>
      </c>
      <c r="D86" s="32" cm="1">
        <f t="array" aca="1" ref="D86" ca="1">INDEX(Data_DBD!$D:$D,$A86)</f>
        <v>10</v>
      </c>
      <c r="E86" s="32" cm="1">
        <f t="array" aca="1" ref="E86" ca="1">INDEX(Data_DBD!$E:$E,$A86)</f>
        <v>1</v>
      </c>
      <c r="F86" s="32" cm="1">
        <f t="array" aca="1" ref="F86" ca="1">INDEX(Data_DBD!$F:$F,$A86)</f>
        <v>2</v>
      </c>
      <c r="H86" s="32">
        <v>70</v>
      </c>
      <c r="I86" s="32">
        <v>26</v>
      </c>
      <c r="J86" s="32">
        <v>3</v>
      </c>
      <c r="K86" s="32">
        <v>10</v>
      </c>
      <c r="L86" s="32">
        <v>1</v>
      </c>
      <c r="M86" s="32">
        <v>2</v>
      </c>
    </row>
    <row r="87" spans="1:13">
      <c r="A87" s="32">
        <f t="shared" ca="1" si="1"/>
        <v>160</v>
      </c>
      <c r="B87" s="32" cm="1">
        <f t="array" aca="1" ref="B87" ca="1">INDEX(Data_DBD!$B:$B,$A87)</f>
        <v>16</v>
      </c>
      <c r="C87" s="32" cm="1">
        <f t="array" aca="1" ref="C87" ca="1">INDEX(Data_DBD!$C:$C,$A87)</f>
        <v>3</v>
      </c>
      <c r="D87" s="32" cm="1">
        <f t="array" aca="1" ref="D87" ca="1">INDEX(Data_DBD!$D:$D,$A87)</f>
        <v>21</v>
      </c>
      <c r="E87" s="32" cm="1">
        <f t="array" aca="1" ref="E87" ca="1">INDEX(Data_DBD!$E:$E,$A87)</f>
        <v>0</v>
      </c>
      <c r="F87" s="32" cm="1">
        <f t="array" aca="1" ref="F87" ca="1">INDEX(Data_DBD!$F:$F,$A87)</f>
        <v>3</v>
      </c>
      <c r="H87" s="32">
        <v>141</v>
      </c>
      <c r="I87" s="32">
        <v>36</v>
      </c>
      <c r="J87" s="32">
        <v>2</v>
      </c>
      <c r="K87" s="32">
        <v>21</v>
      </c>
      <c r="L87" s="32">
        <v>0</v>
      </c>
      <c r="M87" s="32">
        <v>3</v>
      </c>
    </row>
    <row r="88" spans="1:13">
      <c r="A88" s="32">
        <f t="shared" ca="1" si="1"/>
        <v>117</v>
      </c>
      <c r="B88" s="32" cm="1">
        <f t="array" aca="1" ref="B88" ca="1">INDEX(Data_DBD!$B:$B,$A88)</f>
        <v>49</v>
      </c>
      <c r="C88" s="32" cm="1">
        <f t="array" aca="1" ref="C88" ca="1">INDEX(Data_DBD!$C:$C,$A88)</f>
        <v>4</v>
      </c>
      <c r="D88" s="32" cm="1">
        <f t="array" aca="1" ref="D88" ca="1">INDEX(Data_DBD!$D:$D,$A88)</f>
        <v>33</v>
      </c>
      <c r="E88" s="32" cm="1">
        <f t="array" aca="1" ref="E88" ca="1">INDEX(Data_DBD!$E:$E,$A88)</f>
        <v>1</v>
      </c>
      <c r="F88" s="32" cm="1">
        <f t="array" aca="1" ref="F88" ca="1">INDEX(Data_DBD!$F:$F,$A88)</f>
        <v>3</v>
      </c>
      <c r="H88" s="32">
        <v>55</v>
      </c>
      <c r="I88" s="32">
        <v>7</v>
      </c>
      <c r="J88" s="32">
        <v>4</v>
      </c>
      <c r="K88" s="32">
        <v>15</v>
      </c>
      <c r="L88" s="32">
        <v>1</v>
      </c>
      <c r="M88" s="32">
        <v>2</v>
      </c>
    </row>
    <row r="89" spans="1:13">
      <c r="A89" s="32">
        <f t="shared" ca="1" si="1"/>
        <v>69</v>
      </c>
      <c r="B89" s="32" cm="1">
        <f t="array" aca="1" ref="B89" ca="1">INDEX(Data_DBD!$B:$B,$A89)</f>
        <v>24</v>
      </c>
      <c r="C89" s="32" cm="1">
        <f t="array" aca="1" ref="C89" ca="1">INDEX(Data_DBD!$C:$C,$A89)</f>
        <v>4</v>
      </c>
      <c r="D89" s="32" cm="1">
        <f t="array" aca="1" ref="D89" ca="1">INDEX(Data_DBD!$D:$D,$A89)</f>
        <v>10</v>
      </c>
      <c r="E89" s="32" cm="1">
        <f t="array" aca="1" ref="E89" ca="1">INDEX(Data_DBD!$E:$E,$A89)</f>
        <v>1</v>
      </c>
      <c r="F89" s="32" cm="1">
        <f t="array" aca="1" ref="F89" ca="1">INDEX(Data_DBD!$F:$F,$A89)</f>
        <v>2</v>
      </c>
      <c r="H89" s="32">
        <v>7</v>
      </c>
      <c r="I89" s="32">
        <v>12</v>
      </c>
      <c r="J89" s="32">
        <v>1</v>
      </c>
      <c r="K89" s="32">
        <v>12</v>
      </c>
      <c r="L89" s="32">
        <v>1</v>
      </c>
      <c r="M89" s="32">
        <v>2</v>
      </c>
    </row>
    <row r="90" spans="1:13">
      <c r="A90" s="32">
        <f t="shared" ca="1" si="1"/>
        <v>109</v>
      </c>
      <c r="B90" s="32" cm="1">
        <f t="array" aca="1" ref="B90" ca="1">INDEX(Data_DBD!$B:$B,$A90)</f>
        <v>40</v>
      </c>
      <c r="C90" s="32" cm="1">
        <f t="array" aca="1" ref="C90" ca="1">INDEX(Data_DBD!$C:$C,$A90)</f>
        <v>3</v>
      </c>
      <c r="D90" s="32" cm="1">
        <f t="array" aca="1" ref="D90" ca="1">INDEX(Data_DBD!$D:$D,$A90)</f>
        <v>33</v>
      </c>
      <c r="E90" s="32" cm="1">
        <f t="array" aca="1" ref="E90" ca="1">INDEX(Data_DBD!$E:$E,$A90)</f>
        <v>1</v>
      </c>
      <c r="F90" s="32" cm="1">
        <f t="array" aca="1" ref="F90" ca="1">INDEX(Data_DBD!$F:$F,$A90)</f>
        <v>3</v>
      </c>
      <c r="H90" s="32">
        <v>138</v>
      </c>
      <c r="I90" s="32">
        <v>13</v>
      </c>
      <c r="J90" s="32">
        <v>3</v>
      </c>
      <c r="K90" s="32">
        <v>33</v>
      </c>
      <c r="L90" s="32">
        <v>1</v>
      </c>
      <c r="M90" s="32">
        <v>3</v>
      </c>
    </row>
    <row r="91" spans="1:13">
      <c r="A91" s="32">
        <f t="shared" ca="1" si="1"/>
        <v>27</v>
      </c>
      <c r="B91" s="32" cm="1">
        <f t="array" aca="1" ref="B91" ca="1">INDEX(Data_DBD!$B:$B,$A91)</f>
        <v>37</v>
      </c>
      <c r="C91" s="32" cm="1">
        <f t="array" aca="1" ref="C91" ca="1">INDEX(Data_DBD!$C:$C,$A91)</f>
        <v>4</v>
      </c>
      <c r="D91" s="32" cm="1">
        <f t="array" aca="1" ref="D91" ca="1">INDEX(Data_DBD!$D:$D,$A91)</f>
        <v>14</v>
      </c>
      <c r="E91" s="32" cm="1">
        <f t="array" aca="1" ref="E91" ca="1">INDEX(Data_DBD!$E:$E,$A91)</f>
        <v>1</v>
      </c>
      <c r="F91" s="32" cm="1">
        <f t="array" aca="1" ref="F91" ca="1">INDEX(Data_DBD!$F:$F,$A91)</f>
        <v>2</v>
      </c>
      <c r="H91" s="32">
        <v>39</v>
      </c>
      <c r="I91" s="32">
        <v>12</v>
      </c>
      <c r="J91" s="32">
        <v>5</v>
      </c>
      <c r="K91" s="32">
        <v>13</v>
      </c>
      <c r="L91" s="32">
        <v>1</v>
      </c>
      <c r="M91" s="32">
        <v>2</v>
      </c>
    </row>
    <row r="92" spans="1:13">
      <c r="A92" s="32">
        <f t="shared" ca="1" si="1"/>
        <v>102</v>
      </c>
      <c r="B92" s="32" cm="1">
        <f t="array" aca="1" ref="B92" ca="1">INDEX(Data_DBD!$B:$B,$A92)</f>
        <v>41</v>
      </c>
      <c r="C92" s="32" cm="1">
        <f t="array" aca="1" ref="C92" ca="1">INDEX(Data_DBD!$C:$C,$A92)</f>
        <v>4</v>
      </c>
      <c r="D92" s="32" cm="1">
        <f t="array" aca="1" ref="D92" ca="1">INDEX(Data_DBD!$D:$D,$A92)</f>
        <v>18</v>
      </c>
      <c r="E92" s="32" cm="1">
        <f t="array" aca="1" ref="E92" ca="1">INDEX(Data_DBD!$E:$E,$A92)</f>
        <v>0</v>
      </c>
      <c r="F92" s="32" cm="1">
        <f t="array" aca="1" ref="F92" ca="1">INDEX(Data_DBD!$F:$F,$A92)</f>
        <v>3</v>
      </c>
      <c r="H92" s="32">
        <v>100</v>
      </c>
      <c r="I92" s="32">
        <v>19</v>
      </c>
      <c r="J92" s="32">
        <v>6</v>
      </c>
      <c r="K92" s="32">
        <v>18</v>
      </c>
      <c r="L92" s="32">
        <v>0</v>
      </c>
      <c r="M92" s="32">
        <v>3</v>
      </c>
    </row>
    <row r="93" spans="1:13">
      <c r="A93" s="32">
        <f t="shared" ca="1" si="1"/>
        <v>45</v>
      </c>
      <c r="B93" s="32" cm="1">
        <f t="array" aca="1" ref="B93" ca="1">INDEX(Data_DBD!$B:$B,$A93)</f>
        <v>75</v>
      </c>
      <c r="C93" s="32" cm="1">
        <f t="array" aca="1" ref="C93" ca="1">INDEX(Data_DBD!$C:$C,$A93)</f>
        <v>3</v>
      </c>
      <c r="D93" s="32" cm="1">
        <f t="array" aca="1" ref="D93" ca="1">INDEX(Data_DBD!$D:$D,$A93)</f>
        <v>13</v>
      </c>
      <c r="E93" s="32" cm="1">
        <f t="array" aca="1" ref="E93" ca="1">INDEX(Data_DBD!$E:$E,$A93)</f>
        <v>1</v>
      </c>
      <c r="F93" s="32" cm="1">
        <f t="array" aca="1" ref="F93" ca="1">INDEX(Data_DBD!$F:$F,$A93)</f>
        <v>2</v>
      </c>
      <c r="H93" s="32">
        <v>156</v>
      </c>
      <c r="I93" s="32">
        <v>5</v>
      </c>
      <c r="J93" s="32">
        <v>2</v>
      </c>
      <c r="K93" s="32">
        <v>21</v>
      </c>
      <c r="L93" s="32">
        <v>0</v>
      </c>
      <c r="M93" s="32">
        <v>3</v>
      </c>
    </row>
    <row r="94" spans="1:13">
      <c r="A94" s="32">
        <f t="shared" ca="1" si="1"/>
        <v>95</v>
      </c>
      <c r="B94" s="32" cm="1">
        <f t="array" aca="1" ref="B94" ca="1">INDEX(Data_DBD!$B:$B,$A94)</f>
        <v>11</v>
      </c>
      <c r="C94" s="32" cm="1">
        <f t="array" aca="1" ref="C94" ca="1">INDEX(Data_DBD!$C:$C,$A94)</f>
        <v>3</v>
      </c>
      <c r="D94" s="32" cm="1">
        <f t="array" aca="1" ref="D94" ca="1">INDEX(Data_DBD!$D:$D,$A94)</f>
        <v>18</v>
      </c>
      <c r="E94" s="32" cm="1">
        <f t="array" aca="1" ref="E94" ca="1">INDEX(Data_DBD!$E:$E,$A94)</f>
        <v>1</v>
      </c>
      <c r="F94" s="32" cm="1">
        <f t="array" aca="1" ref="F94" ca="1">INDEX(Data_DBD!$F:$F,$A94)</f>
        <v>3</v>
      </c>
      <c r="H94" s="32">
        <v>159</v>
      </c>
      <c r="I94" s="32">
        <v>17</v>
      </c>
      <c r="J94" s="32">
        <v>2</v>
      </c>
      <c r="K94" s="32">
        <v>21</v>
      </c>
      <c r="L94" s="32">
        <v>0</v>
      </c>
      <c r="M94" s="32">
        <v>3</v>
      </c>
    </row>
    <row r="95" spans="1:13">
      <c r="A95" s="32">
        <f t="shared" ca="1" si="1"/>
        <v>58</v>
      </c>
      <c r="B95" s="32" cm="1">
        <f t="array" aca="1" ref="B95" ca="1">INDEX(Data_DBD!$B:$B,$A95)</f>
        <v>17</v>
      </c>
      <c r="C95" s="32" cm="1">
        <f t="array" aca="1" ref="C95" ca="1">INDEX(Data_DBD!$C:$C,$A95)</f>
        <v>3</v>
      </c>
      <c r="D95" s="32" cm="1">
        <f t="array" aca="1" ref="D95" ca="1">INDEX(Data_DBD!$D:$D,$A95)</f>
        <v>15</v>
      </c>
      <c r="E95" s="32" cm="1">
        <f t="array" aca="1" ref="E95" ca="1">INDEX(Data_DBD!$E:$E,$A95)</f>
        <v>0</v>
      </c>
      <c r="F95" s="32" cm="1">
        <f t="array" aca="1" ref="F95" ca="1">INDEX(Data_DBD!$F:$F,$A95)</f>
        <v>2</v>
      </c>
      <c r="H95" s="32">
        <v>164</v>
      </c>
      <c r="I95" s="32">
        <v>10</v>
      </c>
      <c r="J95" s="32">
        <v>6</v>
      </c>
      <c r="K95" s="32">
        <v>3</v>
      </c>
      <c r="L95" s="32">
        <v>0</v>
      </c>
      <c r="M95" s="32">
        <v>1</v>
      </c>
    </row>
    <row r="96" spans="1:13">
      <c r="A96" s="32">
        <f t="shared" ca="1" si="1"/>
        <v>29</v>
      </c>
      <c r="B96" s="32" cm="1">
        <f t="array" aca="1" ref="B96" ca="1">INDEX(Data_DBD!$B:$B,$A96)</f>
        <v>19</v>
      </c>
      <c r="C96" s="32" cm="1">
        <f t="array" aca="1" ref="C96" ca="1">INDEX(Data_DBD!$C:$C,$A96)</f>
        <v>2</v>
      </c>
      <c r="D96" s="32" cm="1">
        <f t="array" aca="1" ref="D96" ca="1">INDEX(Data_DBD!$D:$D,$A96)</f>
        <v>14</v>
      </c>
      <c r="E96" s="32" cm="1">
        <f t="array" aca="1" ref="E96" ca="1">INDEX(Data_DBD!$E:$E,$A96)</f>
        <v>1</v>
      </c>
      <c r="F96" s="32" cm="1">
        <f t="array" aca="1" ref="F96" ca="1">INDEX(Data_DBD!$F:$F,$A96)</f>
        <v>2</v>
      </c>
      <c r="H96" s="32">
        <v>33</v>
      </c>
      <c r="I96" s="32">
        <v>19</v>
      </c>
      <c r="J96" s="32">
        <v>4</v>
      </c>
      <c r="K96" s="32">
        <v>14</v>
      </c>
      <c r="L96" s="32">
        <v>1</v>
      </c>
      <c r="M96" s="32">
        <v>2</v>
      </c>
    </row>
    <row r="97" spans="1:13">
      <c r="A97" s="32">
        <f t="shared" ca="1" si="1"/>
        <v>11</v>
      </c>
      <c r="B97" s="32" cm="1">
        <f t="array" aca="1" ref="B97" ca="1">INDEX(Data_DBD!$B:$B,$A97)</f>
        <v>24</v>
      </c>
      <c r="C97" s="32" cm="1">
        <f t="array" aca="1" ref="C97" ca="1">INDEX(Data_DBD!$C:$C,$A97)</f>
        <v>5</v>
      </c>
      <c r="D97" s="32" cm="1">
        <f t="array" aca="1" ref="D97" ca="1">INDEX(Data_DBD!$D:$D,$A97)</f>
        <v>12</v>
      </c>
      <c r="E97" s="32" cm="1">
        <f t="array" aca="1" ref="E97" ca="1">INDEX(Data_DBD!$E:$E,$A97)</f>
        <v>1</v>
      </c>
      <c r="F97" s="32" cm="1">
        <f t="array" aca="1" ref="F97" ca="1">INDEX(Data_DBD!$F:$F,$A97)</f>
        <v>2</v>
      </c>
      <c r="H97" s="32">
        <v>41</v>
      </c>
      <c r="I97" s="32">
        <v>8</v>
      </c>
      <c r="J97" s="32">
        <v>4</v>
      </c>
      <c r="K97" s="32">
        <v>13</v>
      </c>
      <c r="L97" s="32">
        <v>0</v>
      </c>
      <c r="M97" s="32">
        <v>2</v>
      </c>
    </row>
    <row r="98" spans="1:13">
      <c r="A98" s="32">
        <f t="shared" ca="1" si="1"/>
        <v>160</v>
      </c>
      <c r="B98" s="32" cm="1">
        <f t="array" aca="1" ref="B98" ca="1">INDEX(Data_DBD!$B:$B,$A98)</f>
        <v>16</v>
      </c>
      <c r="C98" s="32" cm="1">
        <f t="array" aca="1" ref="C98" ca="1">INDEX(Data_DBD!$C:$C,$A98)</f>
        <v>3</v>
      </c>
      <c r="D98" s="32" cm="1">
        <f t="array" aca="1" ref="D98" ca="1">INDEX(Data_DBD!$D:$D,$A98)</f>
        <v>21</v>
      </c>
      <c r="E98" s="32" cm="1">
        <f t="array" aca="1" ref="E98" ca="1">INDEX(Data_DBD!$E:$E,$A98)</f>
        <v>0</v>
      </c>
      <c r="F98" s="32" cm="1">
        <f t="array" aca="1" ref="F98" ca="1">INDEX(Data_DBD!$F:$F,$A98)</f>
        <v>3</v>
      </c>
      <c r="H98" s="32">
        <v>50</v>
      </c>
      <c r="I98" s="32">
        <v>19</v>
      </c>
      <c r="J98" s="32">
        <v>5</v>
      </c>
      <c r="K98" s="32">
        <v>13</v>
      </c>
      <c r="L98" s="32">
        <v>0</v>
      </c>
      <c r="M98" s="32">
        <v>2</v>
      </c>
    </row>
    <row r="99" spans="1:13">
      <c r="A99" s="32">
        <f t="shared" ca="1" si="1"/>
        <v>119</v>
      </c>
      <c r="B99" s="32" cm="1">
        <f t="array" aca="1" ref="B99" ca="1">INDEX(Data_DBD!$B:$B,$A99)</f>
        <v>30</v>
      </c>
      <c r="C99" s="32" cm="1">
        <f t="array" aca="1" ref="C99" ca="1">INDEX(Data_DBD!$C:$C,$A99)</f>
        <v>7</v>
      </c>
      <c r="D99" s="32" cm="1">
        <f t="array" aca="1" ref="D99" ca="1">INDEX(Data_DBD!$D:$D,$A99)</f>
        <v>33</v>
      </c>
      <c r="E99" s="32" cm="1">
        <f t="array" aca="1" ref="E99" ca="1">INDEX(Data_DBD!$E:$E,$A99)</f>
        <v>0</v>
      </c>
      <c r="F99" s="32" cm="1">
        <f t="array" aca="1" ref="F99" ca="1">INDEX(Data_DBD!$F:$F,$A99)</f>
        <v>3</v>
      </c>
      <c r="H99" s="32">
        <v>74</v>
      </c>
      <c r="I99" s="32">
        <v>9</v>
      </c>
      <c r="J99" s="32">
        <v>4</v>
      </c>
      <c r="K99" s="32">
        <v>10</v>
      </c>
      <c r="L99" s="32">
        <v>0</v>
      </c>
      <c r="M99" s="32">
        <v>2</v>
      </c>
    </row>
    <row r="100" spans="1:13">
      <c r="A100" s="32">
        <f t="shared" ca="1" si="1"/>
        <v>66</v>
      </c>
      <c r="B100" s="32" cm="1">
        <f t="array" aca="1" ref="B100" ca="1">INDEX(Data_DBD!$B:$B,$A100)</f>
        <v>21</v>
      </c>
      <c r="C100" s="32" cm="1">
        <f t="array" aca="1" ref="C100" ca="1">INDEX(Data_DBD!$C:$C,$A100)</f>
        <v>5</v>
      </c>
      <c r="D100" s="32" cm="1">
        <f t="array" aca="1" ref="D100" ca="1">INDEX(Data_DBD!$D:$D,$A100)</f>
        <v>15</v>
      </c>
      <c r="E100" s="32" cm="1">
        <f t="array" aca="1" ref="E100" ca="1">INDEX(Data_DBD!$E:$E,$A100)</f>
        <v>1</v>
      </c>
      <c r="F100" s="32" cm="1">
        <f t="array" aca="1" ref="F100" ca="1">INDEX(Data_DBD!$F:$F,$A100)</f>
        <v>2</v>
      </c>
      <c r="H100" s="32">
        <v>35</v>
      </c>
      <c r="I100" s="32">
        <v>40</v>
      </c>
      <c r="J100" s="32">
        <v>3</v>
      </c>
      <c r="K100" s="32">
        <v>4</v>
      </c>
      <c r="L100" s="32">
        <v>1</v>
      </c>
      <c r="M100" s="32">
        <v>1</v>
      </c>
    </row>
    <row r="101" spans="1:13">
      <c r="A101" s="32">
        <f t="shared" ca="1" si="1"/>
        <v>6</v>
      </c>
      <c r="B101" s="32" cm="1">
        <f t="array" aca="1" ref="B101" ca="1">INDEX(Data_DBD!$B:$B,$A101)</f>
        <v>14</v>
      </c>
      <c r="C101" s="32" cm="1">
        <f t="array" aca="1" ref="C101" ca="1">INDEX(Data_DBD!$C:$C,$A101)</f>
        <v>4</v>
      </c>
      <c r="D101" s="32" cm="1">
        <f t="array" aca="1" ref="D101" ca="1">INDEX(Data_DBD!$D:$D,$A101)</f>
        <v>12</v>
      </c>
      <c r="E101" s="32" cm="1">
        <f t="array" aca="1" ref="E101" ca="1">INDEX(Data_DBD!$E:$E,$A101)</f>
        <v>0</v>
      </c>
      <c r="F101" s="32" cm="1">
        <f t="array" aca="1" ref="F101" ca="1">INDEX(Data_DBD!$F:$F,$A101)</f>
        <v>2</v>
      </c>
      <c r="H101" s="32">
        <v>42</v>
      </c>
      <c r="I101" s="32">
        <v>21</v>
      </c>
      <c r="J101" s="32">
        <v>5</v>
      </c>
      <c r="K101" s="32">
        <v>13</v>
      </c>
      <c r="L101" s="32">
        <v>1</v>
      </c>
      <c r="M101" s="32">
        <v>2</v>
      </c>
    </row>
    <row r="102" spans="1:13">
      <c r="A102" s="32">
        <f t="shared" ca="1" si="1"/>
        <v>156</v>
      </c>
      <c r="B102" s="32" cm="1">
        <f t="array" aca="1" ref="B102" ca="1">INDEX(Data_DBD!$B:$B,$A102)</f>
        <v>5</v>
      </c>
      <c r="C102" s="32" cm="1">
        <f t="array" aca="1" ref="C102" ca="1">INDEX(Data_DBD!$C:$C,$A102)</f>
        <v>2</v>
      </c>
      <c r="D102" s="32" cm="1">
        <f t="array" aca="1" ref="D102" ca="1">INDEX(Data_DBD!$D:$D,$A102)</f>
        <v>21</v>
      </c>
      <c r="E102" s="32" cm="1">
        <f t="array" aca="1" ref="E102" ca="1">INDEX(Data_DBD!$E:$E,$A102)</f>
        <v>0</v>
      </c>
      <c r="F102" s="32" cm="1">
        <f t="array" aca="1" ref="F102" ca="1">INDEX(Data_DBD!$F:$F,$A102)</f>
        <v>3</v>
      </c>
      <c r="H102" s="32">
        <v>133</v>
      </c>
      <c r="I102" s="32">
        <v>6</v>
      </c>
      <c r="J102" s="32">
        <v>4</v>
      </c>
      <c r="K102" s="32">
        <v>33</v>
      </c>
      <c r="L102" s="32">
        <v>0</v>
      </c>
      <c r="M102" s="32">
        <v>3</v>
      </c>
    </row>
    <row r="103" spans="1:13">
      <c r="A103" s="32">
        <f t="shared" ca="1" si="1"/>
        <v>44</v>
      </c>
      <c r="B103" s="32" cm="1">
        <f t="array" aca="1" ref="B103" ca="1">INDEX(Data_DBD!$B:$B,$A103)</f>
        <v>28</v>
      </c>
      <c r="C103" s="32" cm="1">
        <f t="array" aca="1" ref="C103" ca="1">INDEX(Data_DBD!$C:$C,$A103)</f>
        <v>5</v>
      </c>
      <c r="D103" s="32" cm="1">
        <f t="array" aca="1" ref="D103" ca="1">INDEX(Data_DBD!$D:$D,$A103)</f>
        <v>13</v>
      </c>
      <c r="E103" s="32" cm="1">
        <f t="array" aca="1" ref="E103" ca="1">INDEX(Data_DBD!$E:$E,$A103)</f>
        <v>1</v>
      </c>
      <c r="F103" s="32" cm="1">
        <f t="array" aca="1" ref="F103" ca="1">INDEX(Data_DBD!$F:$F,$A103)</f>
        <v>2</v>
      </c>
      <c r="H103" s="32">
        <v>153</v>
      </c>
      <c r="I103" s="32">
        <v>73</v>
      </c>
      <c r="J103" s="32">
        <v>7</v>
      </c>
      <c r="K103" s="32">
        <v>21</v>
      </c>
      <c r="L103" s="32">
        <v>1</v>
      </c>
      <c r="M103" s="32">
        <v>3</v>
      </c>
    </row>
    <row r="104" spans="1:13">
      <c r="A104" s="32">
        <f t="shared" ca="1" si="1"/>
        <v>71</v>
      </c>
      <c r="B104" s="32" cm="1">
        <f t="array" aca="1" ref="B104" ca="1">INDEX(Data_DBD!$B:$B,$A104)</f>
        <v>84</v>
      </c>
      <c r="C104" s="32" cm="1">
        <f t="array" aca="1" ref="C104" ca="1">INDEX(Data_DBD!$C:$C,$A104)</f>
        <v>3</v>
      </c>
      <c r="D104" s="32" cm="1">
        <f t="array" aca="1" ref="D104" ca="1">INDEX(Data_DBD!$D:$D,$A104)</f>
        <v>10</v>
      </c>
      <c r="E104" s="32" cm="1">
        <f t="array" aca="1" ref="E104" ca="1">INDEX(Data_DBD!$E:$E,$A104)</f>
        <v>0</v>
      </c>
      <c r="F104" s="32" cm="1">
        <f t="array" aca="1" ref="F104" ca="1">INDEX(Data_DBD!$F:$F,$A104)</f>
        <v>2</v>
      </c>
      <c r="H104" s="32">
        <v>108</v>
      </c>
      <c r="I104" s="32">
        <v>69</v>
      </c>
      <c r="J104" s="32">
        <v>7</v>
      </c>
      <c r="K104" s="32">
        <v>33</v>
      </c>
      <c r="L104" s="32">
        <v>1</v>
      </c>
      <c r="M104" s="32">
        <v>3</v>
      </c>
    </row>
    <row r="105" spans="1:13">
      <c r="A105" s="32">
        <f t="shared" ca="1" si="1"/>
        <v>70</v>
      </c>
      <c r="B105" s="32" cm="1">
        <f t="array" aca="1" ref="B105" ca="1">INDEX(Data_DBD!$B:$B,$A105)</f>
        <v>26</v>
      </c>
      <c r="C105" s="32" cm="1">
        <f t="array" aca="1" ref="C105" ca="1">INDEX(Data_DBD!$C:$C,$A105)</f>
        <v>3</v>
      </c>
      <c r="D105" s="32" cm="1">
        <f t="array" aca="1" ref="D105" ca="1">INDEX(Data_DBD!$D:$D,$A105)</f>
        <v>10</v>
      </c>
      <c r="E105" s="32" cm="1">
        <f t="array" aca="1" ref="E105" ca="1">INDEX(Data_DBD!$E:$E,$A105)</f>
        <v>1</v>
      </c>
      <c r="F105" s="32" cm="1">
        <f t="array" aca="1" ref="F105" ca="1">INDEX(Data_DBD!$F:$F,$A105)</f>
        <v>2</v>
      </c>
      <c r="H105" s="32">
        <v>24</v>
      </c>
      <c r="I105" s="32">
        <v>60</v>
      </c>
      <c r="J105" s="32">
        <v>4</v>
      </c>
      <c r="K105" s="32">
        <v>14</v>
      </c>
      <c r="L105" s="32">
        <v>0</v>
      </c>
      <c r="M105" s="32">
        <v>2</v>
      </c>
    </row>
    <row r="106" spans="1:13">
      <c r="A106" s="32">
        <f t="shared" ca="1" si="1"/>
        <v>73</v>
      </c>
      <c r="B106" s="32" cm="1">
        <f t="array" aca="1" ref="B106" ca="1">INDEX(Data_DBD!$B:$B,$A106)</f>
        <v>15</v>
      </c>
      <c r="C106" s="32" cm="1">
        <f t="array" aca="1" ref="C106" ca="1">INDEX(Data_DBD!$C:$C,$A106)</f>
        <v>3</v>
      </c>
      <c r="D106" s="32" cm="1">
        <f t="array" aca="1" ref="D106" ca="1">INDEX(Data_DBD!$D:$D,$A106)</f>
        <v>10</v>
      </c>
      <c r="E106" s="32" cm="1">
        <f t="array" aca="1" ref="E106" ca="1">INDEX(Data_DBD!$E:$E,$A106)</f>
        <v>1</v>
      </c>
      <c r="F106" s="32" cm="1">
        <f t="array" aca="1" ref="F106" ca="1">INDEX(Data_DBD!$F:$F,$A106)</f>
        <v>2</v>
      </c>
      <c r="H106" s="32">
        <v>49</v>
      </c>
      <c r="I106" s="32">
        <v>64</v>
      </c>
      <c r="J106" s="32">
        <v>5</v>
      </c>
      <c r="K106" s="32">
        <v>13</v>
      </c>
      <c r="L106" s="32">
        <v>0</v>
      </c>
      <c r="M106" s="32">
        <v>2</v>
      </c>
    </row>
    <row r="107" spans="1:13">
      <c r="A107" s="32">
        <f t="shared" ca="1" si="1"/>
        <v>77</v>
      </c>
      <c r="B107" s="32" cm="1">
        <f t="array" aca="1" ref="B107" ca="1">INDEX(Data_DBD!$B:$B,$A107)</f>
        <v>16</v>
      </c>
      <c r="C107" s="32" cm="1">
        <f t="array" aca="1" ref="C107" ca="1">INDEX(Data_DBD!$C:$C,$A107)</f>
        <v>4</v>
      </c>
      <c r="D107" s="32" cm="1">
        <f t="array" aca="1" ref="D107" ca="1">INDEX(Data_DBD!$D:$D,$A107)</f>
        <v>13</v>
      </c>
      <c r="E107" s="32" cm="1">
        <f t="array" aca="1" ref="E107" ca="1">INDEX(Data_DBD!$E:$E,$A107)</f>
        <v>1</v>
      </c>
      <c r="F107" s="32" cm="1">
        <f t="array" aca="1" ref="F107" ca="1">INDEX(Data_DBD!$F:$F,$A107)</f>
        <v>2</v>
      </c>
      <c r="H107" s="32">
        <v>37</v>
      </c>
      <c r="I107" s="32">
        <v>28</v>
      </c>
      <c r="J107" s="32">
        <v>4</v>
      </c>
      <c r="K107" s="32">
        <v>4</v>
      </c>
      <c r="L107" s="32">
        <v>1</v>
      </c>
      <c r="M107" s="32">
        <v>1</v>
      </c>
    </row>
    <row r="108" spans="1:13">
      <c r="A108" s="32">
        <f t="shared" ca="1" si="1"/>
        <v>82</v>
      </c>
      <c r="B108" s="32" cm="1">
        <f t="array" aca="1" ref="B108" ca="1">INDEX(Data_DBD!$B:$B,$A108)</f>
        <v>28</v>
      </c>
      <c r="C108" s="32" cm="1">
        <f t="array" aca="1" ref="C108" ca="1">INDEX(Data_DBD!$C:$C,$A108)</f>
        <v>3</v>
      </c>
      <c r="D108" s="32" cm="1">
        <f t="array" aca="1" ref="D108" ca="1">INDEX(Data_DBD!$D:$D,$A108)</f>
        <v>13</v>
      </c>
      <c r="E108" s="32" cm="1">
        <f t="array" aca="1" ref="E108" ca="1">INDEX(Data_DBD!$E:$E,$A108)</f>
        <v>1</v>
      </c>
      <c r="F108" s="32" cm="1">
        <f t="array" aca="1" ref="F108" ca="1">INDEX(Data_DBD!$F:$F,$A108)</f>
        <v>2</v>
      </c>
      <c r="H108" s="32">
        <v>135</v>
      </c>
      <c r="I108" s="32">
        <v>10</v>
      </c>
      <c r="J108" s="32">
        <v>2</v>
      </c>
      <c r="K108" s="32">
        <v>33</v>
      </c>
      <c r="L108" s="32">
        <v>0</v>
      </c>
      <c r="M108" s="32">
        <v>3</v>
      </c>
    </row>
    <row r="109" spans="1:13">
      <c r="A109" s="32">
        <f t="shared" ca="1" si="1"/>
        <v>16</v>
      </c>
      <c r="B109" s="32" cm="1">
        <f t="array" aca="1" ref="B109" ca="1">INDEX(Data_DBD!$B:$B,$A109)</f>
        <v>66</v>
      </c>
      <c r="C109" s="32" cm="1">
        <f t="array" aca="1" ref="C109" ca="1">INDEX(Data_DBD!$C:$C,$A109)</f>
        <v>5</v>
      </c>
      <c r="D109" s="32" cm="1">
        <f t="array" aca="1" ref="D109" ca="1">INDEX(Data_DBD!$D:$D,$A109)</f>
        <v>7</v>
      </c>
      <c r="E109" s="32" cm="1">
        <f t="array" aca="1" ref="E109" ca="1">INDEX(Data_DBD!$E:$E,$A109)</f>
        <v>1</v>
      </c>
      <c r="F109" s="32" cm="1">
        <f t="array" aca="1" ref="F109" ca="1">INDEX(Data_DBD!$F:$F,$A109)</f>
        <v>1</v>
      </c>
      <c r="H109" s="32">
        <v>119</v>
      </c>
      <c r="I109" s="32">
        <v>30</v>
      </c>
      <c r="J109" s="32">
        <v>7</v>
      </c>
      <c r="K109" s="32">
        <v>33</v>
      </c>
      <c r="L109" s="32">
        <v>0</v>
      </c>
      <c r="M109" s="32">
        <v>3</v>
      </c>
    </row>
    <row r="110" spans="1:13">
      <c r="A110" s="32">
        <f t="shared" ca="1" si="1"/>
        <v>44</v>
      </c>
      <c r="B110" s="32" cm="1">
        <f t="array" aca="1" ref="B110" ca="1">INDEX(Data_DBD!$B:$B,$A110)</f>
        <v>28</v>
      </c>
      <c r="C110" s="32" cm="1">
        <f t="array" aca="1" ref="C110" ca="1">INDEX(Data_DBD!$C:$C,$A110)</f>
        <v>5</v>
      </c>
      <c r="D110" s="32" cm="1">
        <f t="array" aca="1" ref="D110" ca="1">INDEX(Data_DBD!$D:$D,$A110)</f>
        <v>13</v>
      </c>
      <c r="E110" s="32" cm="1">
        <f t="array" aca="1" ref="E110" ca="1">INDEX(Data_DBD!$E:$E,$A110)</f>
        <v>1</v>
      </c>
      <c r="F110" s="32" cm="1">
        <f t="array" aca="1" ref="F110" ca="1">INDEX(Data_DBD!$F:$F,$A110)</f>
        <v>2</v>
      </c>
      <c r="H110" s="32">
        <v>99</v>
      </c>
      <c r="I110" s="32">
        <v>4</v>
      </c>
      <c r="J110" s="32">
        <v>2</v>
      </c>
      <c r="K110" s="32">
        <v>18</v>
      </c>
      <c r="L110" s="32">
        <v>1</v>
      </c>
      <c r="M110" s="32">
        <v>3</v>
      </c>
    </row>
    <row r="111" spans="1:13">
      <c r="A111" s="32">
        <f t="shared" ca="1" si="1"/>
        <v>56</v>
      </c>
      <c r="B111" s="32" cm="1">
        <f t="array" aca="1" ref="B111" ca="1">INDEX(Data_DBD!$B:$B,$A111)</f>
        <v>4</v>
      </c>
      <c r="C111" s="32" cm="1">
        <f t="array" aca="1" ref="C111" ca="1">INDEX(Data_DBD!$C:$C,$A111)</f>
        <v>3</v>
      </c>
      <c r="D111" s="32" cm="1">
        <f t="array" aca="1" ref="D111" ca="1">INDEX(Data_DBD!$D:$D,$A111)</f>
        <v>15</v>
      </c>
      <c r="E111" s="32" cm="1">
        <f t="array" aca="1" ref="E111" ca="1">INDEX(Data_DBD!$E:$E,$A111)</f>
        <v>0</v>
      </c>
      <c r="F111" s="32" cm="1">
        <f t="array" aca="1" ref="F111" ca="1">INDEX(Data_DBD!$F:$F,$A111)</f>
        <v>2</v>
      </c>
      <c r="H111" s="32">
        <v>94</v>
      </c>
      <c r="I111" s="32">
        <v>12</v>
      </c>
      <c r="J111" s="32">
        <v>4</v>
      </c>
      <c r="K111" s="32">
        <v>18</v>
      </c>
      <c r="L111" s="32">
        <v>0</v>
      </c>
      <c r="M111" s="32">
        <v>3</v>
      </c>
    </row>
    <row r="112" spans="1:13">
      <c r="A112" s="32">
        <f t="shared" ca="1" si="1"/>
        <v>39</v>
      </c>
      <c r="B112" s="32" cm="1">
        <f t="array" aca="1" ref="B112" ca="1">INDEX(Data_DBD!$B:$B,$A112)</f>
        <v>12</v>
      </c>
      <c r="C112" s="32" cm="1">
        <f t="array" aca="1" ref="C112" ca="1">INDEX(Data_DBD!$C:$C,$A112)</f>
        <v>5</v>
      </c>
      <c r="D112" s="32" cm="1">
        <f t="array" aca="1" ref="D112" ca="1">INDEX(Data_DBD!$D:$D,$A112)</f>
        <v>13</v>
      </c>
      <c r="E112" s="32" cm="1">
        <f t="array" aca="1" ref="E112" ca="1">INDEX(Data_DBD!$E:$E,$A112)</f>
        <v>1</v>
      </c>
      <c r="F112" s="32" cm="1">
        <f t="array" aca="1" ref="F112" ca="1">INDEX(Data_DBD!$F:$F,$A112)</f>
        <v>2</v>
      </c>
      <c r="H112" s="32">
        <v>109</v>
      </c>
      <c r="I112" s="32">
        <v>40</v>
      </c>
      <c r="J112" s="32">
        <v>3</v>
      </c>
      <c r="K112" s="32">
        <v>33</v>
      </c>
      <c r="L112" s="32">
        <v>1</v>
      </c>
      <c r="M112" s="32">
        <v>3</v>
      </c>
    </row>
    <row r="113" spans="1:13">
      <c r="A113" s="32">
        <f t="shared" ca="1" si="1"/>
        <v>21</v>
      </c>
      <c r="B113" s="32" cm="1">
        <f t="array" aca="1" ref="B113" ca="1">INDEX(Data_DBD!$B:$B,$A113)</f>
        <v>10</v>
      </c>
      <c r="C113" s="32" cm="1">
        <f t="array" aca="1" ref="C113" ca="1">INDEX(Data_DBD!$C:$C,$A113)</f>
        <v>5</v>
      </c>
      <c r="D113" s="32" cm="1">
        <f t="array" aca="1" ref="D113" ca="1">INDEX(Data_DBD!$D:$D,$A113)</f>
        <v>14</v>
      </c>
      <c r="E113" s="32" cm="1">
        <f t="array" aca="1" ref="E113" ca="1">INDEX(Data_DBD!$E:$E,$A113)</f>
        <v>1</v>
      </c>
      <c r="F113" s="32" cm="1">
        <f t="array" aca="1" ref="F113" ca="1">INDEX(Data_DBD!$F:$F,$A113)</f>
        <v>2</v>
      </c>
      <c r="H113" s="32">
        <v>162</v>
      </c>
      <c r="I113" s="32">
        <v>22</v>
      </c>
      <c r="J113" s="32">
        <v>3</v>
      </c>
      <c r="K113" s="32">
        <v>3</v>
      </c>
      <c r="L113" s="32">
        <v>1</v>
      </c>
      <c r="M113" s="32">
        <v>1</v>
      </c>
    </row>
    <row r="114" spans="1:13">
      <c r="A114" s="32">
        <f t="shared" ca="1" si="1"/>
        <v>48</v>
      </c>
      <c r="B114" s="32" cm="1">
        <f t="array" aca="1" ref="B114" ca="1">INDEX(Data_DBD!$B:$B,$A114)</f>
        <v>50</v>
      </c>
      <c r="C114" s="32" cm="1">
        <f t="array" aca="1" ref="C114" ca="1">INDEX(Data_DBD!$C:$C,$A114)</f>
        <v>5</v>
      </c>
      <c r="D114" s="32" cm="1">
        <f t="array" aca="1" ref="D114" ca="1">INDEX(Data_DBD!$D:$D,$A114)</f>
        <v>13</v>
      </c>
      <c r="E114" s="32" cm="1">
        <f t="array" aca="1" ref="E114" ca="1">INDEX(Data_DBD!$E:$E,$A114)</f>
        <v>1</v>
      </c>
      <c r="F114" s="32" cm="1">
        <f t="array" aca="1" ref="F114" ca="1">INDEX(Data_DBD!$F:$F,$A114)</f>
        <v>2</v>
      </c>
      <c r="H114" s="32">
        <v>36</v>
      </c>
      <c r="I114" s="32">
        <v>27</v>
      </c>
      <c r="J114" s="32">
        <v>1</v>
      </c>
      <c r="K114" s="32">
        <v>4</v>
      </c>
      <c r="L114" s="32">
        <v>1</v>
      </c>
      <c r="M114" s="32">
        <v>1</v>
      </c>
    </row>
    <row r="115" spans="1:13">
      <c r="A115" s="32">
        <f t="shared" ca="1" si="1"/>
        <v>42</v>
      </c>
      <c r="B115" s="32" cm="1">
        <f t="array" aca="1" ref="B115" ca="1">INDEX(Data_DBD!$B:$B,$A115)</f>
        <v>21</v>
      </c>
      <c r="C115" s="32" cm="1">
        <f t="array" aca="1" ref="C115" ca="1">INDEX(Data_DBD!$C:$C,$A115)</f>
        <v>5</v>
      </c>
      <c r="D115" s="32" cm="1">
        <f t="array" aca="1" ref="D115" ca="1">INDEX(Data_DBD!$D:$D,$A115)</f>
        <v>13</v>
      </c>
      <c r="E115" s="32" cm="1">
        <f t="array" aca="1" ref="E115" ca="1">INDEX(Data_DBD!$E:$E,$A115)</f>
        <v>1</v>
      </c>
      <c r="F115" s="32" cm="1">
        <f t="array" aca="1" ref="F115" ca="1">INDEX(Data_DBD!$F:$F,$A115)</f>
        <v>2</v>
      </c>
      <c r="H115" s="32">
        <v>85</v>
      </c>
      <c r="I115" s="32">
        <v>27</v>
      </c>
      <c r="J115" s="32">
        <v>9</v>
      </c>
      <c r="K115" s="32">
        <v>13</v>
      </c>
      <c r="L115" s="32">
        <v>0</v>
      </c>
      <c r="M115" s="32">
        <v>2</v>
      </c>
    </row>
    <row r="116" spans="1:13">
      <c r="A116" s="32">
        <f t="shared" ca="1" si="1"/>
        <v>130</v>
      </c>
      <c r="B116" s="32" cm="1">
        <f t="array" aca="1" ref="B116" ca="1">INDEX(Data_DBD!$B:$B,$A116)</f>
        <v>12</v>
      </c>
      <c r="C116" s="32" cm="1">
        <f t="array" aca="1" ref="C116" ca="1">INDEX(Data_DBD!$C:$C,$A116)</f>
        <v>4</v>
      </c>
      <c r="D116" s="32" cm="1">
        <f t="array" aca="1" ref="D116" ca="1">INDEX(Data_DBD!$D:$D,$A116)</f>
        <v>33</v>
      </c>
      <c r="E116" s="32" cm="1">
        <f t="array" aca="1" ref="E116" ca="1">INDEX(Data_DBD!$E:$E,$A116)</f>
        <v>0</v>
      </c>
      <c r="F116" s="32" cm="1">
        <f t="array" aca="1" ref="F116" ca="1">INDEX(Data_DBD!$F:$F,$A116)</f>
        <v>3</v>
      </c>
      <c r="H116" s="32">
        <v>138</v>
      </c>
      <c r="I116" s="32">
        <v>13</v>
      </c>
      <c r="J116" s="32">
        <v>3</v>
      </c>
      <c r="K116" s="32">
        <v>33</v>
      </c>
      <c r="L116" s="32">
        <v>1</v>
      </c>
      <c r="M116" s="32">
        <v>3</v>
      </c>
    </row>
    <row r="117" spans="1:13">
      <c r="A117" s="32">
        <f t="shared" ca="1" si="1"/>
        <v>84</v>
      </c>
      <c r="B117" s="32" cm="1">
        <f t="array" aca="1" ref="B117" ca="1">INDEX(Data_DBD!$B:$B,$A117)</f>
        <v>42</v>
      </c>
      <c r="C117" s="32" cm="1">
        <f t="array" aca="1" ref="C117" ca="1">INDEX(Data_DBD!$C:$C,$A117)</f>
        <v>4</v>
      </c>
      <c r="D117" s="32" cm="1">
        <f t="array" aca="1" ref="D117" ca="1">INDEX(Data_DBD!$D:$D,$A117)</f>
        <v>13</v>
      </c>
      <c r="E117" s="32" cm="1">
        <f t="array" aca="1" ref="E117" ca="1">INDEX(Data_DBD!$E:$E,$A117)</f>
        <v>1</v>
      </c>
      <c r="F117" s="32" cm="1">
        <f t="array" aca="1" ref="F117" ca="1">INDEX(Data_DBD!$F:$F,$A117)</f>
        <v>2</v>
      </c>
      <c r="H117" s="32">
        <v>148</v>
      </c>
      <c r="I117" s="32">
        <v>55</v>
      </c>
      <c r="J117" s="32">
        <v>3</v>
      </c>
      <c r="K117" s="32">
        <v>21</v>
      </c>
      <c r="L117" s="32">
        <v>1</v>
      </c>
      <c r="M117" s="32">
        <v>3</v>
      </c>
    </row>
    <row r="118" spans="1:13">
      <c r="A118" s="32">
        <f t="shared" ca="1" si="1"/>
        <v>63</v>
      </c>
      <c r="B118" s="32" cm="1">
        <f t="array" aca="1" ref="B118" ca="1">INDEX(Data_DBD!$B:$B,$A118)</f>
        <v>25</v>
      </c>
      <c r="C118" s="32" cm="1">
        <f t="array" aca="1" ref="C118" ca="1">INDEX(Data_DBD!$C:$C,$A118)</f>
        <v>3</v>
      </c>
      <c r="D118" s="32" cm="1">
        <f t="array" aca="1" ref="D118" ca="1">INDEX(Data_DBD!$D:$D,$A118)</f>
        <v>15</v>
      </c>
      <c r="E118" s="32" cm="1">
        <f t="array" aca="1" ref="E118" ca="1">INDEX(Data_DBD!$E:$E,$A118)</f>
        <v>0</v>
      </c>
      <c r="F118" s="32" cm="1">
        <f t="array" aca="1" ref="F118" ca="1">INDEX(Data_DBD!$F:$F,$A118)</f>
        <v>2</v>
      </c>
      <c r="H118" s="32">
        <v>112</v>
      </c>
      <c r="I118" s="32">
        <v>61</v>
      </c>
      <c r="J118" s="32">
        <v>3</v>
      </c>
      <c r="K118" s="32">
        <v>33</v>
      </c>
      <c r="L118" s="32">
        <v>1</v>
      </c>
      <c r="M118" s="32">
        <v>3</v>
      </c>
    </row>
    <row r="119" spans="1:13">
      <c r="A119" s="32">
        <f t="shared" ca="1" si="1"/>
        <v>76</v>
      </c>
      <c r="B119" s="32" cm="1">
        <f t="array" aca="1" ref="B119" ca="1">INDEX(Data_DBD!$B:$B,$A119)</f>
        <v>70</v>
      </c>
      <c r="C119" s="32" cm="1">
        <f t="array" aca="1" ref="C119" ca="1">INDEX(Data_DBD!$C:$C,$A119)</f>
        <v>2</v>
      </c>
      <c r="D119" s="32" cm="1">
        <f t="array" aca="1" ref="D119" ca="1">INDEX(Data_DBD!$D:$D,$A119)</f>
        <v>10</v>
      </c>
      <c r="E119" s="32" cm="1">
        <f t="array" aca="1" ref="E119" ca="1">INDEX(Data_DBD!$E:$E,$A119)</f>
        <v>0</v>
      </c>
      <c r="F119" s="32" cm="1">
        <f t="array" aca="1" ref="F119" ca="1">INDEX(Data_DBD!$F:$F,$A119)</f>
        <v>2</v>
      </c>
      <c r="H119" s="32">
        <v>141</v>
      </c>
      <c r="I119" s="32">
        <v>36</v>
      </c>
      <c r="J119" s="32">
        <v>2</v>
      </c>
      <c r="K119" s="32">
        <v>21</v>
      </c>
      <c r="L119" s="32">
        <v>0</v>
      </c>
      <c r="M119" s="32">
        <v>3</v>
      </c>
    </row>
    <row r="120" spans="1:13">
      <c r="A120" s="32">
        <f t="shared" ca="1" si="1"/>
        <v>155</v>
      </c>
      <c r="B120" s="32" cm="1">
        <f t="array" aca="1" ref="B120" ca="1">INDEX(Data_DBD!$B:$B,$A120)</f>
        <v>19</v>
      </c>
      <c r="C120" s="32" cm="1">
        <f t="array" aca="1" ref="C120" ca="1">INDEX(Data_DBD!$C:$C,$A120)</f>
        <v>5</v>
      </c>
      <c r="D120" s="32" cm="1">
        <f t="array" aca="1" ref="D120" ca="1">INDEX(Data_DBD!$D:$D,$A120)</f>
        <v>21</v>
      </c>
      <c r="E120" s="32" cm="1">
        <f t="array" aca="1" ref="E120" ca="1">INDEX(Data_DBD!$E:$E,$A120)</f>
        <v>1</v>
      </c>
      <c r="F120" s="32" cm="1">
        <f t="array" aca="1" ref="F120" ca="1">INDEX(Data_DBD!$F:$F,$A120)</f>
        <v>3</v>
      </c>
      <c r="H120" s="32">
        <v>128</v>
      </c>
      <c r="I120" s="32">
        <v>38</v>
      </c>
      <c r="J120" s="32">
        <v>2</v>
      </c>
      <c r="K120" s="32">
        <v>33</v>
      </c>
      <c r="L120" s="32">
        <v>0</v>
      </c>
      <c r="M120" s="32">
        <v>3</v>
      </c>
    </row>
    <row r="121" spans="1:13">
      <c r="A121" s="32">
        <f t="shared" ca="1" si="1"/>
        <v>89</v>
      </c>
      <c r="B121" s="32" cm="1">
        <f t="array" aca="1" ref="B121" ca="1">INDEX(Data_DBD!$B:$B,$A121)</f>
        <v>32</v>
      </c>
      <c r="C121" s="32" cm="1">
        <f t="array" aca="1" ref="C121" ca="1">INDEX(Data_DBD!$C:$C,$A121)</f>
        <v>4</v>
      </c>
      <c r="D121" s="32" cm="1">
        <f t="array" aca="1" ref="D121" ca="1">INDEX(Data_DBD!$D:$D,$A121)</f>
        <v>13</v>
      </c>
      <c r="E121" s="32" cm="1">
        <f t="array" aca="1" ref="E121" ca="1">INDEX(Data_DBD!$E:$E,$A121)</f>
        <v>0</v>
      </c>
      <c r="F121" s="32" cm="1">
        <f t="array" aca="1" ref="F121" ca="1">INDEX(Data_DBD!$F:$F,$A121)</f>
        <v>2</v>
      </c>
      <c r="H121" s="32">
        <v>67</v>
      </c>
      <c r="I121" s="32">
        <v>21</v>
      </c>
      <c r="J121" s="32">
        <v>3</v>
      </c>
      <c r="K121" s="32">
        <v>10</v>
      </c>
      <c r="L121" s="32">
        <v>1</v>
      </c>
      <c r="M121" s="32">
        <v>2</v>
      </c>
    </row>
    <row r="122" spans="1:13">
      <c r="A122" s="32">
        <f t="shared" ca="1" si="1"/>
        <v>136</v>
      </c>
      <c r="B122" s="32" cm="1">
        <f t="array" aca="1" ref="B122" ca="1">INDEX(Data_DBD!$B:$B,$A122)</f>
        <v>6</v>
      </c>
      <c r="C122" s="32" cm="1">
        <f t="array" aca="1" ref="C122" ca="1">INDEX(Data_DBD!$C:$C,$A122)</f>
        <v>2</v>
      </c>
      <c r="D122" s="32" cm="1">
        <f t="array" aca="1" ref="D122" ca="1">INDEX(Data_DBD!$D:$D,$A122)</f>
        <v>33</v>
      </c>
      <c r="E122" s="32" cm="1">
        <f t="array" aca="1" ref="E122" ca="1">INDEX(Data_DBD!$E:$E,$A122)</f>
        <v>0</v>
      </c>
      <c r="F122" s="32" cm="1">
        <f t="array" aca="1" ref="F122" ca="1">INDEX(Data_DBD!$F:$F,$A122)</f>
        <v>3</v>
      </c>
      <c r="H122" s="32">
        <v>146</v>
      </c>
      <c r="I122" s="32">
        <v>34</v>
      </c>
      <c r="J122" s="32">
        <v>2</v>
      </c>
      <c r="K122" s="32">
        <v>21</v>
      </c>
      <c r="L122" s="32">
        <v>1</v>
      </c>
      <c r="M122" s="32">
        <v>3</v>
      </c>
    </row>
    <row r="123" spans="1:13">
      <c r="A123" s="32">
        <f t="shared" ca="1" si="1"/>
        <v>115</v>
      </c>
      <c r="B123" s="32" cm="1">
        <f t="array" aca="1" ref="B123" ca="1">INDEX(Data_DBD!$B:$B,$A123)</f>
        <v>52</v>
      </c>
      <c r="C123" s="32" cm="1">
        <f t="array" aca="1" ref="C123" ca="1">INDEX(Data_DBD!$C:$C,$A123)</f>
        <v>3</v>
      </c>
      <c r="D123" s="32" cm="1">
        <f t="array" aca="1" ref="D123" ca="1">INDEX(Data_DBD!$D:$D,$A123)</f>
        <v>33</v>
      </c>
      <c r="E123" s="32" cm="1">
        <f t="array" aca="1" ref="E123" ca="1">INDEX(Data_DBD!$E:$E,$A123)</f>
        <v>1</v>
      </c>
      <c r="F123" s="32" cm="1">
        <f t="array" aca="1" ref="F123" ca="1">INDEX(Data_DBD!$F:$F,$A123)</f>
        <v>3</v>
      </c>
      <c r="H123" s="32">
        <v>157</v>
      </c>
      <c r="I123" s="32">
        <v>15</v>
      </c>
      <c r="J123" s="32">
        <v>4</v>
      </c>
      <c r="K123" s="32">
        <v>21</v>
      </c>
      <c r="L123" s="32">
        <v>1</v>
      </c>
      <c r="M123" s="32">
        <v>3</v>
      </c>
    </row>
    <row r="124" spans="1:13">
      <c r="A124" s="32">
        <f t="shared" ca="1" si="1"/>
        <v>61</v>
      </c>
      <c r="B124" s="32" cm="1">
        <f t="array" aca="1" ref="B124" ca="1">INDEX(Data_DBD!$B:$B,$A124)</f>
        <v>29</v>
      </c>
      <c r="C124" s="32" cm="1">
        <f t="array" aca="1" ref="C124" ca="1">INDEX(Data_DBD!$C:$C,$A124)</f>
        <v>3</v>
      </c>
      <c r="D124" s="32" cm="1">
        <f t="array" aca="1" ref="D124" ca="1">INDEX(Data_DBD!$D:$D,$A124)</f>
        <v>15</v>
      </c>
      <c r="E124" s="32" cm="1">
        <f t="array" aca="1" ref="E124" ca="1">INDEX(Data_DBD!$E:$E,$A124)</f>
        <v>1</v>
      </c>
      <c r="F124" s="32" cm="1">
        <f t="array" aca="1" ref="F124" ca="1">INDEX(Data_DBD!$F:$F,$A124)</f>
        <v>2</v>
      </c>
      <c r="H124" s="32">
        <v>148</v>
      </c>
      <c r="I124" s="32">
        <v>55</v>
      </c>
      <c r="J124" s="32">
        <v>3</v>
      </c>
      <c r="K124" s="32">
        <v>21</v>
      </c>
      <c r="L124" s="32">
        <v>1</v>
      </c>
      <c r="M124" s="32">
        <v>3</v>
      </c>
    </row>
    <row r="125" spans="1:13">
      <c r="A125" s="32">
        <f t="shared" ca="1" si="1"/>
        <v>130</v>
      </c>
      <c r="B125" s="32" cm="1">
        <f t="array" aca="1" ref="B125" ca="1">INDEX(Data_DBD!$B:$B,$A125)</f>
        <v>12</v>
      </c>
      <c r="C125" s="32" cm="1">
        <f t="array" aca="1" ref="C125" ca="1">INDEX(Data_DBD!$C:$C,$A125)</f>
        <v>4</v>
      </c>
      <c r="D125" s="32" cm="1">
        <f t="array" aca="1" ref="D125" ca="1">INDEX(Data_DBD!$D:$D,$A125)</f>
        <v>33</v>
      </c>
      <c r="E125" s="32" cm="1">
        <f t="array" aca="1" ref="E125" ca="1">INDEX(Data_DBD!$E:$E,$A125)</f>
        <v>0</v>
      </c>
      <c r="F125" s="32" cm="1">
        <f t="array" aca="1" ref="F125" ca="1">INDEX(Data_DBD!$F:$F,$A125)</f>
        <v>3</v>
      </c>
      <c r="H125" s="32">
        <v>159</v>
      </c>
      <c r="I125" s="32">
        <v>17</v>
      </c>
      <c r="J125" s="32">
        <v>2</v>
      </c>
      <c r="K125" s="32">
        <v>21</v>
      </c>
      <c r="L125" s="32">
        <v>0</v>
      </c>
      <c r="M125" s="32">
        <v>3</v>
      </c>
    </row>
    <row r="126" spans="1:13">
      <c r="A126" s="32">
        <f t="shared" ca="1" si="1"/>
        <v>85</v>
      </c>
      <c r="B126" s="32" cm="1">
        <f t="array" aca="1" ref="B126" ca="1">INDEX(Data_DBD!$B:$B,$A126)</f>
        <v>27</v>
      </c>
      <c r="C126" s="32" cm="1">
        <f t="array" aca="1" ref="C126" ca="1">INDEX(Data_DBD!$C:$C,$A126)</f>
        <v>9</v>
      </c>
      <c r="D126" s="32" cm="1">
        <f t="array" aca="1" ref="D126" ca="1">INDEX(Data_DBD!$D:$D,$A126)</f>
        <v>13</v>
      </c>
      <c r="E126" s="32" cm="1">
        <f t="array" aca="1" ref="E126" ca="1">INDEX(Data_DBD!$E:$E,$A126)</f>
        <v>0</v>
      </c>
      <c r="F126" s="32" cm="1">
        <f t="array" aca="1" ref="F126" ca="1">INDEX(Data_DBD!$F:$F,$A126)</f>
        <v>2</v>
      </c>
      <c r="H126" s="32">
        <v>64</v>
      </c>
      <c r="I126" s="32">
        <v>35</v>
      </c>
      <c r="J126" s="32">
        <v>1</v>
      </c>
      <c r="K126" s="32">
        <v>15</v>
      </c>
      <c r="L126" s="32">
        <v>0</v>
      </c>
      <c r="M126" s="32">
        <v>2</v>
      </c>
    </row>
    <row r="127" spans="1:13">
      <c r="A127" s="32">
        <f t="shared" ca="1" si="1"/>
        <v>67</v>
      </c>
      <c r="B127" s="32" cm="1">
        <f t="array" aca="1" ref="B127" ca="1">INDEX(Data_DBD!$B:$B,$A127)</f>
        <v>21</v>
      </c>
      <c r="C127" s="32" cm="1">
        <f t="array" aca="1" ref="C127" ca="1">INDEX(Data_DBD!$C:$C,$A127)</f>
        <v>3</v>
      </c>
      <c r="D127" s="32" cm="1">
        <f t="array" aca="1" ref="D127" ca="1">INDEX(Data_DBD!$D:$D,$A127)</f>
        <v>10</v>
      </c>
      <c r="E127" s="32" cm="1">
        <f t="array" aca="1" ref="E127" ca="1">INDEX(Data_DBD!$E:$E,$A127)</f>
        <v>1</v>
      </c>
      <c r="F127" s="32" cm="1">
        <f t="array" aca="1" ref="F127" ca="1">INDEX(Data_DBD!$F:$F,$A127)</f>
        <v>2</v>
      </c>
      <c r="H127" s="32">
        <v>143</v>
      </c>
      <c r="I127" s="32">
        <v>20</v>
      </c>
      <c r="J127" s="32">
        <v>4</v>
      </c>
      <c r="K127" s="32">
        <v>21</v>
      </c>
      <c r="L127" s="32">
        <v>1</v>
      </c>
      <c r="M127" s="32">
        <v>3</v>
      </c>
    </row>
    <row r="128" spans="1:13">
      <c r="A128" s="32">
        <f t="shared" ca="1" si="1"/>
        <v>39</v>
      </c>
      <c r="B128" s="32" cm="1">
        <f t="array" aca="1" ref="B128" ca="1">INDEX(Data_DBD!$B:$B,$A128)</f>
        <v>12</v>
      </c>
      <c r="C128" s="32" cm="1">
        <f t="array" aca="1" ref="C128" ca="1">INDEX(Data_DBD!$C:$C,$A128)</f>
        <v>5</v>
      </c>
      <c r="D128" s="32" cm="1">
        <f t="array" aca="1" ref="D128" ca="1">INDEX(Data_DBD!$D:$D,$A128)</f>
        <v>13</v>
      </c>
      <c r="E128" s="32" cm="1">
        <f t="array" aca="1" ref="E128" ca="1">INDEX(Data_DBD!$E:$E,$A128)</f>
        <v>1</v>
      </c>
      <c r="F128" s="32" cm="1">
        <f t="array" aca="1" ref="F128" ca="1">INDEX(Data_DBD!$F:$F,$A128)</f>
        <v>2</v>
      </c>
      <c r="H128" s="32">
        <v>71</v>
      </c>
      <c r="I128" s="32">
        <v>84</v>
      </c>
      <c r="J128" s="32">
        <v>3</v>
      </c>
      <c r="K128" s="32">
        <v>10</v>
      </c>
      <c r="L128" s="32">
        <v>0</v>
      </c>
      <c r="M128" s="32">
        <v>2</v>
      </c>
    </row>
    <row r="129" spans="1:13">
      <c r="A129" s="32">
        <f t="shared" ca="1" si="1"/>
        <v>159</v>
      </c>
      <c r="B129" s="32" cm="1">
        <f t="array" aca="1" ref="B129" ca="1">INDEX(Data_DBD!$B:$B,$A129)</f>
        <v>17</v>
      </c>
      <c r="C129" s="32" cm="1">
        <f t="array" aca="1" ref="C129" ca="1">INDEX(Data_DBD!$C:$C,$A129)</f>
        <v>2</v>
      </c>
      <c r="D129" s="32" cm="1">
        <f t="array" aca="1" ref="D129" ca="1">INDEX(Data_DBD!$D:$D,$A129)</f>
        <v>21</v>
      </c>
      <c r="E129" s="32" cm="1">
        <f t="array" aca="1" ref="E129" ca="1">INDEX(Data_DBD!$E:$E,$A129)</f>
        <v>0</v>
      </c>
      <c r="F129" s="32" cm="1">
        <f t="array" aca="1" ref="F129" ca="1">INDEX(Data_DBD!$F:$F,$A129)</f>
        <v>3</v>
      </c>
      <c r="H129" s="32">
        <v>65</v>
      </c>
      <c r="I129" s="32">
        <v>49</v>
      </c>
      <c r="J129" s="32">
        <v>3</v>
      </c>
      <c r="K129" s="32">
        <v>15</v>
      </c>
      <c r="L129" s="32">
        <v>0</v>
      </c>
      <c r="M129" s="32">
        <v>2</v>
      </c>
    </row>
    <row r="130" spans="1:13">
      <c r="A130" s="32">
        <f t="shared" ca="1" si="1"/>
        <v>25</v>
      </c>
      <c r="B130" s="32" cm="1">
        <f t="array" aca="1" ref="B130" ca="1">INDEX(Data_DBD!$B:$B,$A130)</f>
        <v>81</v>
      </c>
      <c r="C130" s="32" cm="1">
        <f t="array" aca="1" ref="C130" ca="1">INDEX(Data_DBD!$C:$C,$A130)</f>
        <v>5</v>
      </c>
      <c r="D130" s="32" cm="1">
        <f t="array" aca="1" ref="D130" ca="1">INDEX(Data_DBD!$D:$D,$A130)</f>
        <v>14</v>
      </c>
      <c r="E130" s="32" cm="1">
        <f t="array" aca="1" ref="E130" ca="1">INDEX(Data_DBD!$E:$E,$A130)</f>
        <v>0</v>
      </c>
      <c r="F130" s="32" cm="1">
        <f t="array" aca="1" ref="F130" ca="1">INDEX(Data_DBD!$F:$F,$A130)</f>
        <v>2</v>
      </c>
      <c r="H130" s="32">
        <v>145</v>
      </c>
      <c r="I130" s="32">
        <v>28</v>
      </c>
      <c r="J130" s="32">
        <v>4</v>
      </c>
      <c r="K130" s="32">
        <v>21</v>
      </c>
      <c r="L130" s="32">
        <v>1</v>
      </c>
      <c r="M130" s="32">
        <v>3</v>
      </c>
    </row>
    <row r="131" spans="1:13">
      <c r="A131" s="32">
        <f t="shared" ref="A131:A164" ca="1" si="2">RANDBETWEEN(2,164)</f>
        <v>136</v>
      </c>
      <c r="B131" s="32" cm="1">
        <f t="array" aca="1" ref="B131" ca="1">INDEX(Data_DBD!$B:$B,$A131)</f>
        <v>6</v>
      </c>
      <c r="C131" s="32" cm="1">
        <f t="array" aca="1" ref="C131" ca="1">INDEX(Data_DBD!$C:$C,$A131)</f>
        <v>2</v>
      </c>
      <c r="D131" s="32" cm="1">
        <f t="array" aca="1" ref="D131" ca="1">INDEX(Data_DBD!$D:$D,$A131)</f>
        <v>33</v>
      </c>
      <c r="E131" s="32" cm="1">
        <f t="array" aca="1" ref="E131" ca="1">INDEX(Data_DBD!$E:$E,$A131)</f>
        <v>0</v>
      </c>
      <c r="F131" s="32" cm="1">
        <f t="array" aca="1" ref="F131" ca="1">INDEX(Data_DBD!$F:$F,$A131)</f>
        <v>3</v>
      </c>
      <c r="H131" s="32">
        <v>36</v>
      </c>
      <c r="I131" s="32">
        <v>27</v>
      </c>
      <c r="J131" s="32">
        <v>1</v>
      </c>
      <c r="K131" s="32">
        <v>4</v>
      </c>
      <c r="L131" s="32">
        <v>1</v>
      </c>
      <c r="M131" s="32">
        <v>1</v>
      </c>
    </row>
    <row r="132" spans="1:13">
      <c r="A132" s="32">
        <f t="shared" ca="1" si="2"/>
        <v>52</v>
      </c>
      <c r="B132" s="32" cm="1">
        <f t="array" aca="1" ref="B132" ca="1">INDEX(Data_DBD!$B:$B,$A132)</f>
        <v>59</v>
      </c>
      <c r="C132" s="32" cm="1">
        <f t="array" aca="1" ref="C132" ca="1">INDEX(Data_DBD!$C:$C,$A132)</f>
        <v>4</v>
      </c>
      <c r="D132" s="32" cm="1">
        <f t="array" aca="1" ref="D132" ca="1">INDEX(Data_DBD!$D:$D,$A132)</f>
        <v>15</v>
      </c>
      <c r="E132" s="32" cm="1">
        <f t="array" aca="1" ref="E132" ca="1">INDEX(Data_DBD!$E:$E,$A132)</f>
        <v>1</v>
      </c>
      <c r="F132" s="32" cm="1">
        <f t="array" aca="1" ref="F132" ca="1">INDEX(Data_DBD!$F:$F,$A132)</f>
        <v>2</v>
      </c>
      <c r="H132" s="32">
        <v>90</v>
      </c>
      <c r="I132" s="32">
        <v>47</v>
      </c>
      <c r="J132" s="32">
        <v>3</v>
      </c>
      <c r="K132" s="32">
        <v>18</v>
      </c>
      <c r="L132" s="32">
        <v>0</v>
      </c>
      <c r="M132" s="32">
        <v>3</v>
      </c>
    </row>
    <row r="133" spans="1:13">
      <c r="A133" s="32">
        <f t="shared" ca="1" si="2"/>
        <v>53</v>
      </c>
      <c r="B133" s="32" cm="1">
        <f t="array" aca="1" ref="B133" ca="1">INDEX(Data_DBD!$B:$B,$A133)</f>
        <v>35</v>
      </c>
      <c r="C133" s="32" cm="1">
        <f t="array" aca="1" ref="C133" ca="1">INDEX(Data_DBD!$C:$C,$A133)</f>
        <v>4</v>
      </c>
      <c r="D133" s="32" cm="1">
        <f t="array" aca="1" ref="D133" ca="1">INDEX(Data_DBD!$D:$D,$A133)</f>
        <v>15</v>
      </c>
      <c r="E133" s="32" cm="1">
        <f t="array" aca="1" ref="E133" ca="1">INDEX(Data_DBD!$E:$E,$A133)</f>
        <v>1</v>
      </c>
      <c r="F133" s="32" cm="1">
        <f t="array" aca="1" ref="F133" ca="1">INDEX(Data_DBD!$F:$F,$A133)</f>
        <v>2</v>
      </c>
      <c r="H133" s="32">
        <v>81</v>
      </c>
      <c r="I133" s="32">
        <v>23</v>
      </c>
      <c r="J133" s="32">
        <v>5</v>
      </c>
      <c r="K133" s="32">
        <v>13</v>
      </c>
      <c r="L133" s="32">
        <v>1</v>
      </c>
      <c r="M133" s="32">
        <v>2</v>
      </c>
    </row>
    <row r="134" spans="1:13">
      <c r="A134" s="32">
        <f t="shared" ca="1" si="2"/>
        <v>32</v>
      </c>
      <c r="B134" s="32" cm="1">
        <f t="array" aca="1" ref="B134" ca="1">INDEX(Data_DBD!$B:$B,$A134)</f>
        <v>54</v>
      </c>
      <c r="C134" s="32" cm="1">
        <f t="array" aca="1" ref="C134" ca="1">INDEX(Data_DBD!$C:$C,$A134)</f>
        <v>4</v>
      </c>
      <c r="D134" s="32" cm="1">
        <f t="array" aca="1" ref="D134" ca="1">INDEX(Data_DBD!$D:$D,$A134)</f>
        <v>14</v>
      </c>
      <c r="E134" s="32" cm="1">
        <f t="array" aca="1" ref="E134" ca="1">INDEX(Data_DBD!$E:$E,$A134)</f>
        <v>0</v>
      </c>
      <c r="F134" s="32" cm="1">
        <f t="array" aca="1" ref="F134" ca="1">INDEX(Data_DBD!$F:$F,$A134)</f>
        <v>2</v>
      </c>
      <c r="H134" s="32">
        <v>25</v>
      </c>
      <c r="I134" s="32">
        <v>81</v>
      </c>
      <c r="J134" s="32">
        <v>5</v>
      </c>
      <c r="K134" s="32">
        <v>14</v>
      </c>
      <c r="L134" s="32">
        <v>0</v>
      </c>
      <c r="M134" s="32">
        <v>2</v>
      </c>
    </row>
    <row r="135" spans="1:13">
      <c r="A135" s="32">
        <f t="shared" ca="1" si="2"/>
        <v>112</v>
      </c>
      <c r="B135" s="32" cm="1">
        <f t="array" aca="1" ref="B135" ca="1">INDEX(Data_DBD!$B:$B,$A135)</f>
        <v>61</v>
      </c>
      <c r="C135" s="32" cm="1">
        <f t="array" aca="1" ref="C135" ca="1">INDEX(Data_DBD!$C:$C,$A135)</f>
        <v>3</v>
      </c>
      <c r="D135" s="32" cm="1">
        <f t="array" aca="1" ref="D135" ca="1">INDEX(Data_DBD!$D:$D,$A135)</f>
        <v>33</v>
      </c>
      <c r="E135" s="32" cm="1">
        <f t="array" aca="1" ref="E135" ca="1">INDEX(Data_DBD!$E:$E,$A135)</f>
        <v>1</v>
      </c>
      <c r="F135" s="32" cm="1">
        <f t="array" aca="1" ref="F135" ca="1">INDEX(Data_DBD!$F:$F,$A135)</f>
        <v>3</v>
      </c>
      <c r="H135" s="32">
        <v>139</v>
      </c>
      <c r="I135" s="32">
        <v>52</v>
      </c>
      <c r="J135" s="32">
        <v>7</v>
      </c>
      <c r="K135" s="32">
        <v>21</v>
      </c>
      <c r="L135" s="32">
        <v>0</v>
      </c>
      <c r="M135" s="32">
        <v>3</v>
      </c>
    </row>
    <row r="136" spans="1:13">
      <c r="A136" s="32">
        <f t="shared" ca="1" si="2"/>
        <v>145</v>
      </c>
      <c r="B136" s="32" cm="1">
        <f t="array" aca="1" ref="B136" ca="1">INDEX(Data_DBD!$B:$B,$A136)</f>
        <v>28</v>
      </c>
      <c r="C136" s="32" cm="1">
        <f t="array" aca="1" ref="C136" ca="1">INDEX(Data_DBD!$C:$C,$A136)</f>
        <v>4</v>
      </c>
      <c r="D136" s="32" cm="1">
        <f t="array" aca="1" ref="D136" ca="1">INDEX(Data_DBD!$D:$D,$A136)</f>
        <v>21</v>
      </c>
      <c r="E136" s="32" cm="1">
        <f t="array" aca="1" ref="E136" ca="1">INDEX(Data_DBD!$E:$E,$A136)</f>
        <v>1</v>
      </c>
      <c r="F136" s="32" cm="1">
        <f t="array" aca="1" ref="F136" ca="1">INDEX(Data_DBD!$F:$F,$A136)</f>
        <v>3</v>
      </c>
      <c r="H136" s="32">
        <v>108</v>
      </c>
      <c r="I136" s="32">
        <v>69</v>
      </c>
      <c r="J136" s="32">
        <v>7</v>
      </c>
      <c r="K136" s="32">
        <v>33</v>
      </c>
      <c r="L136" s="32">
        <v>1</v>
      </c>
      <c r="M136" s="32">
        <v>3</v>
      </c>
    </row>
    <row r="137" spans="1:13">
      <c r="A137" s="32">
        <f t="shared" ca="1" si="2"/>
        <v>59</v>
      </c>
      <c r="B137" s="32" cm="1">
        <f t="array" aca="1" ref="B137" ca="1">INDEX(Data_DBD!$B:$B,$A137)</f>
        <v>28</v>
      </c>
      <c r="C137" s="32" cm="1">
        <f t="array" aca="1" ref="C137" ca="1">INDEX(Data_DBD!$C:$C,$A137)</f>
        <v>4</v>
      </c>
      <c r="D137" s="32" cm="1">
        <f t="array" aca="1" ref="D137" ca="1">INDEX(Data_DBD!$D:$D,$A137)</f>
        <v>15</v>
      </c>
      <c r="E137" s="32" cm="1">
        <f t="array" aca="1" ref="E137" ca="1">INDEX(Data_DBD!$E:$E,$A137)</f>
        <v>0</v>
      </c>
      <c r="F137" s="32" cm="1">
        <f t="array" aca="1" ref="F137" ca="1">INDEX(Data_DBD!$F:$F,$A137)</f>
        <v>2</v>
      </c>
      <c r="H137" s="32">
        <v>52</v>
      </c>
      <c r="I137" s="32">
        <v>59</v>
      </c>
      <c r="J137" s="32">
        <v>4</v>
      </c>
      <c r="K137" s="32">
        <v>15</v>
      </c>
      <c r="L137" s="32">
        <v>1</v>
      </c>
      <c r="M137" s="32">
        <v>2</v>
      </c>
    </row>
    <row r="138" spans="1:13">
      <c r="A138" s="32">
        <f t="shared" ca="1" si="2"/>
        <v>68</v>
      </c>
      <c r="B138" s="32" cm="1">
        <f t="array" aca="1" ref="B138" ca="1">INDEX(Data_DBD!$B:$B,$A138)</f>
        <v>44</v>
      </c>
      <c r="C138" s="32" cm="1">
        <f t="array" aca="1" ref="C138" ca="1">INDEX(Data_DBD!$C:$C,$A138)</f>
        <v>5</v>
      </c>
      <c r="D138" s="32" cm="1">
        <f t="array" aca="1" ref="D138" ca="1">INDEX(Data_DBD!$D:$D,$A138)</f>
        <v>10</v>
      </c>
      <c r="E138" s="32" cm="1">
        <f t="array" aca="1" ref="E138" ca="1">INDEX(Data_DBD!$E:$E,$A138)</f>
        <v>0</v>
      </c>
      <c r="F138" s="32" cm="1">
        <f t="array" aca="1" ref="F138" ca="1">INDEX(Data_DBD!$F:$F,$A138)</f>
        <v>2</v>
      </c>
      <c r="H138" s="32">
        <v>111</v>
      </c>
      <c r="I138" s="32">
        <v>25</v>
      </c>
      <c r="J138" s="32">
        <v>4</v>
      </c>
      <c r="K138" s="32">
        <v>33</v>
      </c>
      <c r="L138" s="32">
        <v>0</v>
      </c>
      <c r="M138" s="32">
        <v>3</v>
      </c>
    </row>
    <row r="139" spans="1:13">
      <c r="A139" s="32">
        <f t="shared" ca="1" si="2"/>
        <v>99</v>
      </c>
      <c r="B139" s="32" cm="1">
        <f t="array" aca="1" ref="B139" ca="1">INDEX(Data_DBD!$B:$B,$A139)</f>
        <v>4</v>
      </c>
      <c r="C139" s="32" cm="1">
        <f t="array" aca="1" ref="C139" ca="1">INDEX(Data_DBD!$C:$C,$A139)</f>
        <v>2</v>
      </c>
      <c r="D139" s="32" cm="1">
        <f t="array" aca="1" ref="D139" ca="1">INDEX(Data_DBD!$D:$D,$A139)</f>
        <v>18</v>
      </c>
      <c r="E139" s="32" cm="1">
        <f t="array" aca="1" ref="E139" ca="1">INDEX(Data_DBD!$E:$E,$A139)</f>
        <v>1</v>
      </c>
      <c r="F139" s="32" cm="1">
        <f t="array" aca="1" ref="F139" ca="1">INDEX(Data_DBD!$F:$F,$A139)</f>
        <v>3</v>
      </c>
      <c r="H139" s="32">
        <v>139</v>
      </c>
      <c r="I139" s="32">
        <v>52</v>
      </c>
      <c r="J139" s="32">
        <v>7</v>
      </c>
      <c r="K139" s="32">
        <v>21</v>
      </c>
      <c r="L139" s="32">
        <v>0</v>
      </c>
      <c r="M139" s="32">
        <v>3</v>
      </c>
    </row>
    <row r="140" spans="1:13">
      <c r="A140" s="32">
        <f t="shared" ca="1" si="2"/>
        <v>68</v>
      </c>
      <c r="B140" s="32" cm="1">
        <f t="array" aca="1" ref="B140" ca="1">INDEX(Data_DBD!$B:$B,$A140)</f>
        <v>44</v>
      </c>
      <c r="C140" s="32" cm="1">
        <f t="array" aca="1" ref="C140" ca="1">INDEX(Data_DBD!$C:$C,$A140)</f>
        <v>5</v>
      </c>
      <c r="D140" s="32" cm="1">
        <f t="array" aca="1" ref="D140" ca="1">INDEX(Data_DBD!$D:$D,$A140)</f>
        <v>10</v>
      </c>
      <c r="E140" s="32" cm="1">
        <f t="array" aca="1" ref="E140" ca="1">INDEX(Data_DBD!$E:$E,$A140)</f>
        <v>0</v>
      </c>
      <c r="F140" s="32" cm="1">
        <f t="array" aca="1" ref="F140" ca="1">INDEX(Data_DBD!$F:$F,$A140)</f>
        <v>2</v>
      </c>
      <c r="H140" s="32">
        <v>94</v>
      </c>
      <c r="I140" s="32">
        <v>12</v>
      </c>
      <c r="J140" s="32">
        <v>4</v>
      </c>
      <c r="K140" s="32">
        <v>18</v>
      </c>
      <c r="L140" s="32">
        <v>0</v>
      </c>
      <c r="M140" s="32">
        <v>3</v>
      </c>
    </row>
    <row r="141" spans="1:13">
      <c r="A141" s="32">
        <f t="shared" ca="1" si="2"/>
        <v>34</v>
      </c>
      <c r="B141" s="32" cm="1">
        <f t="array" aca="1" ref="B141" ca="1">INDEX(Data_DBD!$B:$B,$A141)</f>
        <v>55</v>
      </c>
      <c r="C141" s="32" cm="1">
        <f t="array" aca="1" ref="C141" ca="1">INDEX(Data_DBD!$C:$C,$A141)</f>
        <v>3</v>
      </c>
      <c r="D141" s="32" cm="1">
        <f t="array" aca="1" ref="D141" ca="1">INDEX(Data_DBD!$D:$D,$A141)</f>
        <v>14</v>
      </c>
      <c r="E141" s="32" cm="1">
        <f t="array" aca="1" ref="E141" ca="1">INDEX(Data_DBD!$E:$E,$A141)</f>
        <v>0</v>
      </c>
      <c r="F141" s="32" cm="1">
        <f t="array" aca="1" ref="F141" ca="1">INDEX(Data_DBD!$F:$F,$A141)</f>
        <v>2</v>
      </c>
      <c r="H141" s="32">
        <v>87</v>
      </c>
      <c r="I141" s="32">
        <v>21</v>
      </c>
      <c r="J141" s="32">
        <v>3</v>
      </c>
      <c r="K141" s="32">
        <v>13</v>
      </c>
      <c r="L141" s="32">
        <v>0</v>
      </c>
      <c r="M141" s="32">
        <v>2</v>
      </c>
    </row>
    <row r="142" spans="1:13">
      <c r="A142" s="32">
        <f t="shared" ca="1" si="2"/>
        <v>41</v>
      </c>
      <c r="B142" s="32" cm="1">
        <f t="array" aca="1" ref="B142" ca="1">INDEX(Data_DBD!$B:$B,$A142)</f>
        <v>8</v>
      </c>
      <c r="C142" s="32" cm="1">
        <f t="array" aca="1" ref="C142" ca="1">INDEX(Data_DBD!$C:$C,$A142)</f>
        <v>4</v>
      </c>
      <c r="D142" s="32" cm="1">
        <f t="array" aca="1" ref="D142" ca="1">INDEX(Data_DBD!$D:$D,$A142)</f>
        <v>13</v>
      </c>
      <c r="E142" s="32" cm="1">
        <f t="array" aca="1" ref="E142" ca="1">INDEX(Data_DBD!$E:$E,$A142)</f>
        <v>0</v>
      </c>
      <c r="F142" s="32" cm="1">
        <f t="array" aca="1" ref="F142" ca="1">INDEX(Data_DBD!$F:$F,$A142)</f>
        <v>2</v>
      </c>
      <c r="H142" s="32">
        <v>39</v>
      </c>
      <c r="I142" s="32">
        <v>12</v>
      </c>
      <c r="J142" s="32">
        <v>5</v>
      </c>
      <c r="K142" s="32">
        <v>13</v>
      </c>
      <c r="L142" s="32">
        <v>1</v>
      </c>
      <c r="M142" s="32">
        <v>2</v>
      </c>
    </row>
    <row r="143" spans="1:13">
      <c r="A143" s="32">
        <f t="shared" ca="1" si="2"/>
        <v>43</v>
      </c>
      <c r="B143" s="32" cm="1">
        <f t="array" aca="1" ref="B143" ca="1">INDEX(Data_DBD!$B:$B,$A143)</f>
        <v>15</v>
      </c>
      <c r="C143" s="32" cm="1">
        <f t="array" aca="1" ref="C143" ca="1">INDEX(Data_DBD!$C:$C,$A143)</f>
        <v>4</v>
      </c>
      <c r="D143" s="32" cm="1">
        <f t="array" aca="1" ref="D143" ca="1">INDEX(Data_DBD!$D:$D,$A143)</f>
        <v>13</v>
      </c>
      <c r="E143" s="32" cm="1">
        <f t="array" aca="1" ref="E143" ca="1">INDEX(Data_DBD!$E:$E,$A143)</f>
        <v>0</v>
      </c>
      <c r="F143" s="32" cm="1">
        <f t="array" aca="1" ref="F143" ca="1">INDEX(Data_DBD!$F:$F,$A143)</f>
        <v>2</v>
      </c>
      <c r="H143" s="32">
        <v>130</v>
      </c>
      <c r="I143" s="32">
        <v>12</v>
      </c>
      <c r="J143" s="32">
        <v>4</v>
      </c>
      <c r="K143" s="32">
        <v>33</v>
      </c>
      <c r="L143" s="32">
        <v>0</v>
      </c>
      <c r="M143" s="32">
        <v>3</v>
      </c>
    </row>
    <row r="144" spans="1:13">
      <c r="A144" s="32">
        <f t="shared" ca="1" si="2"/>
        <v>16</v>
      </c>
      <c r="B144" s="32" cm="1">
        <f t="array" aca="1" ref="B144" ca="1">INDEX(Data_DBD!$B:$B,$A144)</f>
        <v>66</v>
      </c>
      <c r="C144" s="32" cm="1">
        <f t="array" aca="1" ref="C144" ca="1">INDEX(Data_DBD!$C:$C,$A144)</f>
        <v>5</v>
      </c>
      <c r="D144" s="32" cm="1">
        <f t="array" aca="1" ref="D144" ca="1">INDEX(Data_DBD!$D:$D,$A144)</f>
        <v>7</v>
      </c>
      <c r="E144" s="32" cm="1">
        <f t="array" aca="1" ref="E144" ca="1">INDEX(Data_DBD!$E:$E,$A144)</f>
        <v>1</v>
      </c>
      <c r="F144" s="32" cm="1">
        <f t="array" aca="1" ref="F144" ca="1">INDEX(Data_DBD!$F:$F,$A144)</f>
        <v>1</v>
      </c>
      <c r="H144" s="32">
        <v>114</v>
      </c>
      <c r="I144" s="32">
        <v>14</v>
      </c>
      <c r="J144" s="32">
        <v>2</v>
      </c>
      <c r="K144" s="32">
        <v>33</v>
      </c>
      <c r="L144" s="32">
        <v>1</v>
      </c>
      <c r="M144" s="32">
        <v>3</v>
      </c>
    </row>
    <row r="145" spans="1:13">
      <c r="A145" s="32">
        <f t="shared" ca="1" si="2"/>
        <v>128</v>
      </c>
      <c r="B145" s="32" cm="1">
        <f t="array" aca="1" ref="B145" ca="1">INDEX(Data_DBD!$B:$B,$A145)</f>
        <v>38</v>
      </c>
      <c r="C145" s="32" cm="1">
        <f t="array" aca="1" ref="C145" ca="1">INDEX(Data_DBD!$C:$C,$A145)</f>
        <v>2</v>
      </c>
      <c r="D145" s="32" cm="1">
        <f t="array" aca="1" ref="D145" ca="1">INDEX(Data_DBD!$D:$D,$A145)</f>
        <v>33</v>
      </c>
      <c r="E145" s="32" cm="1">
        <f t="array" aca="1" ref="E145" ca="1">INDEX(Data_DBD!$E:$E,$A145)</f>
        <v>0</v>
      </c>
      <c r="F145" s="32" cm="1">
        <f t="array" aca="1" ref="F145" ca="1">INDEX(Data_DBD!$F:$F,$A145)</f>
        <v>3</v>
      </c>
      <c r="H145" s="32">
        <v>71</v>
      </c>
      <c r="I145" s="32">
        <v>84</v>
      </c>
      <c r="J145" s="32">
        <v>3</v>
      </c>
      <c r="K145" s="32">
        <v>10</v>
      </c>
      <c r="L145" s="32">
        <v>0</v>
      </c>
      <c r="M145" s="32">
        <v>2</v>
      </c>
    </row>
    <row r="146" spans="1:13">
      <c r="A146" s="32">
        <f t="shared" ca="1" si="2"/>
        <v>118</v>
      </c>
      <c r="B146" s="32" cm="1">
        <f t="array" aca="1" ref="B146" ca="1">INDEX(Data_DBD!$B:$B,$A146)</f>
        <v>67</v>
      </c>
      <c r="C146" s="32" cm="1">
        <f t="array" aca="1" ref="C146" ca="1">INDEX(Data_DBD!$C:$C,$A146)</f>
        <v>4</v>
      </c>
      <c r="D146" s="32" cm="1">
        <f t="array" aca="1" ref="D146" ca="1">INDEX(Data_DBD!$D:$D,$A146)</f>
        <v>33</v>
      </c>
      <c r="E146" s="32" cm="1">
        <f t="array" aca="1" ref="E146" ca="1">INDEX(Data_DBD!$E:$E,$A146)</f>
        <v>1</v>
      </c>
      <c r="F146" s="32" cm="1">
        <f t="array" aca="1" ref="F146" ca="1">INDEX(Data_DBD!$F:$F,$A146)</f>
        <v>3</v>
      </c>
      <c r="H146" s="32">
        <v>29</v>
      </c>
      <c r="I146" s="32">
        <v>19</v>
      </c>
      <c r="J146" s="32">
        <v>2</v>
      </c>
      <c r="K146" s="32">
        <v>14</v>
      </c>
      <c r="L146" s="32">
        <v>1</v>
      </c>
      <c r="M146" s="32">
        <v>2</v>
      </c>
    </row>
    <row r="147" spans="1:13">
      <c r="A147" s="32">
        <f t="shared" ca="1" si="2"/>
        <v>37</v>
      </c>
      <c r="B147" s="32" cm="1">
        <f t="array" aca="1" ref="B147" ca="1">INDEX(Data_DBD!$B:$B,$A147)</f>
        <v>28</v>
      </c>
      <c r="C147" s="32" cm="1">
        <f t="array" aca="1" ref="C147" ca="1">INDEX(Data_DBD!$C:$C,$A147)</f>
        <v>4</v>
      </c>
      <c r="D147" s="32" cm="1">
        <f t="array" aca="1" ref="D147" ca="1">INDEX(Data_DBD!$D:$D,$A147)</f>
        <v>4</v>
      </c>
      <c r="E147" s="32" cm="1">
        <f t="array" aca="1" ref="E147" ca="1">INDEX(Data_DBD!$E:$E,$A147)</f>
        <v>1</v>
      </c>
      <c r="F147" s="32" cm="1">
        <f t="array" aca="1" ref="F147" ca="1">INDEX(Data_DBD!$F:$F,$A147)</f>
        <v>1</v>
      </c>
      <c r="H147" s="32">
        <v>68</v>
      </c>
      <c r="I147" s="32">
        <v>44</v>
      </c>
      <c r="J147" s="32">
        <v>5</v>
      </c>
      <c r="K147" s="32">
        <v>10</v>
      </c>
      <c r="L147" s="32">
        <v>0</v>
      </c>
      <c r="M147" s="32">
        <v>2</v>
      </c>
    </row>
    <row r="148" spans="1:13">
      <c r="A148" s="32">
        <f t="shared" ca="1" si="2"/>
        <v>52</v>
      </c>
      <c r="B148" s="32" cm="1">
        <f t="array" aca="1" ref="B148" ca="1">INDEX(Data_DBD!$B:$B,$A148)</f>
        <v>59</v>
      </c>
      <c r="C148" s="32" cm="1">
        <f t="array" aca="1" ref="C148" ca="1">INDEX(Data_DBD!$C:$C,$A148)</f>
        <v>4</v>
      </c>
      <c r="D148" s="32" cm="1">
        <f t="array" aca="1" ref="D148" ca="1">INDEX(Data_DBD!$D:$D,$A148)</f>
        <v>15</v>
      </c>
      <c r="E148" s="32" cm="1">
        <f t="array" aca="1" ref="E148" ca="1">INDEX(Data_DBD!$E:$E,$A148)</f>
        <v>1</v>
      </c>
      <c r="F148" s="32" cm="1">
        <f t="array" aca="1" ref="F148" ca="1">INDEX(Data_DBD!$F:$F,$A148)</f>
        <v>2</v>
      </c>
      <c r="H148" s="32">
        <v>13</v>
      </c>
      <c r="I148" s="32">
        <v>47</v>
      </c>
      <c r="J148" s="32">
        <v>2</v>
      </c>
      <c r="K148" s="32">
        <v>12</v>
      </c>
      <c r="L148" s="32">
        <v>0</v>
      </c>
      <c r="M148" s="32">
        <v>2</v>
      </c>
    </row>
    <row r="149" spans="1:13">
      <c r="A149" s="32">
        <f t="shared" ca="1" si="2"/>
        <v>159</v>
      </c>
      <c r="B149" s="32" cm="1">
        <f t="array" aca="1" ref="B149" ca="1">INDEX(Data_DBD!$B:$B,$A149)</f>
        <v>17</v>
      </c>
      <c r="C149" s="32" cm="1">
        <f t="array" aca="1" ref="C149" ca="1">INDEX(Data_DBD!$C:$C,$A149)</f>
        <v>2</v>
      </c>
      <c r="D149" s="32" cm="1">
        <f t="array" aca="1" ref="D149" ca="1">INDEX(Data_DBD!$D:$D,$A149)</f>
        <v>21</v>
      </c>
      <c r="E149" s="32" cm="1">
        <f t="array" aca="1" ref="E149" ca="1">INDEX(Data_DBD!$E:$E,$A149)</f>
        <v>0</v>
      </c>
      <c r="F149" s="32" cm="1">
        <f t="array" aca="1" ref="F149" ca="1">INDEX(Data_DBD!$F:$F,$A149)</f>
        <v>3</v>
      </c>
      <c r="H149" s="32">
        <v>63</v>
      </c>
      <c r="I149" s="32">
        <v>25</v>
      </c>
      <c r="J149" s="32">
        <v>3</v>
      </c>
      <c r="K149" s="32">
        <v>15</v>
      </c>
      <c r="L149" s="32">
        <v>0</v>
      </c>
      <c r="M149" s="32">
        <v>2</v>
      </c>
    </row>
    <row r="150" spans="1:13">
      <c r="A150" s="32">
        <f t="shared" ca="1" si="2"/>
        <v>76</v>
      </c>
      <c r="B150" s="32" cm="1">
        <f t="array" aca="1" ref="B150" ca="1">INDEX(Data_DBD!$B:$B,$A150)</f>
        <v>70</v>
      </c>
      <c r="C150" s="32" cm="1">
        <f t="array" aca="1" ref="C150" ca="1">INDEX(Data_DBD!$C:$C,$A150)</f>
        <v>2</v>
      </c>
      <c r="D150" s="32" cm="1">
        <f t="array" aca="1" ref="D150" ca="1">INDEX(Data_DBD!$D:$D,$A150)</f>
        <v>10</v>
      </c>
      <c r="E150" s="32" cm="1">
        <f t="array" aca="1" ref="E150" ca="1">INDEX(Data_DBD!$E:$E,$A150)</f>
        <v>0</v>
      </c>
      <c r="F150" s="32" cm="1">
        <f t="array" aca="1" ref="F150" ca="1">INDEX(Data_DBD!$F:$F,$A150)</f>
        <v>2</v>
      </c>
      <c r="H150" s="32">
        <v>156</v>
      </c>
      <c r="I150" s="32">
        <v>5</v>
      </c>
      <c r="J150" s="32">
        <v>2</v>
      </c>
      <c r="K150" s="32">
        <v>21</v>
      </c>
      <c r="L150" s="32">
        <v>0</v>
      </c>
      <c r="M150" s="32">
        <v>3</v>
      </c>
    </row>
    <row r="151" spans="1:13">
      <c r="A151" s="32">
        <f t="shared" ca="1" si="2"/>
        <v>100</v>
      </c>
      <c r="B151" s="32" cm="1">
        <f t="array" aca="1" ref="B151" ca="1">INDEX(Data_DBD!$B:$B,$A151)</f>
        <v>19</v>
      </c>
      <c r="C151" s="32" cm="1">
        <f t="array" aca="1" ref="C151" ca="1">INDEX(Data_DBD!$C:$C,$A151)</f>
        <v>6</v>
      </c>
      <c r="D151" s="32" cm="1">
        <f t="array" aca="1" ref="D151" ca="1">INDEX(Data_DBD!$D:$D,$A151)</f>
        <v>18</v>
      </c>
      <c r="E151" s="32" cm="1">
        <f t="array" aca="1" ref="E151" ca="1">INDEX(Data_DBD!$E:$E,$A151)</f>
        <v>0</v>
      </c>
      <c r="F151" s="32" cm="1">
        <f t="array" aca="1" ref="F151" ca="1">INDEX(Data_DBD!$F:$F,$A151)</f>
        <v>3</v>
      </c>
      <c r="H151" s="32">
        <v>129</v>
      </c>
      <c r="I151" s="32">
        <v>4.5</v>
      </c>
      <c r="J151" s="32">
        <v>3</v>
      </c>
      <c r="K151" s="32">
        <v>33</v>
      </c>
      <c r="L151" s="32">
        <v>0</v>
      </c>
      <c r="M151" s="32">
        <v>3</v>
      </c>
    </row>
    <row r="152" spans="1:13">
      <c r="A152" s="32">
        <f t="shared" ca="1" si="2"/>
        <v>77</v>
      </c>
      <c r="B152" s="32" cm="1">
        <f t="array" aca="1" ref="B152" ca="1">INDEX(Data_DBD!$B:$B,$A152)</f>
        <v>16</v>
      </c>
      <c r="C152" s="32" cm="1">
        <f t="array" aca="1" ref="C152" ca="1">INDEX(Data_DBD!$C:$C,$A152)</f>
        <v>4</v>
      </c>
      <c r="D152" s="32" cm="1">
        <f t="array" aca="1" ref="D152" ca="1">INDEX(Data_DBD!$D:$D,$A152)</f>
        <v>13</v>
      </c>
      <c r="E152" s="32" cm="1">
        <f t="array" aca="1" ref="E152" ca="1">INDEX(Data_DBD!$E:$E,$A152)</f>
        <v>1</v>
      </c>
      <c r="F152" s="32" cm="1">
        <f t="array" aca="1" ref="F152" ca="1">INDEX(Data_DBD!$F:$F,$A152)</f>
        <v>2</v>
      </c>
      <c r="H152" s="32">
        <v>139</v>
      </c>
      <c r="I152" s="32">
        <v>52</v>
      </c>
      <c r="J152" s="32">
        <v>7</v>
      </c>
      <c r="K152" s="32">
        <v>21</v>
      </c>
      <c r="L152" s="32">
        <v>0</v>
      </c>
      <c r="M152" s="32">
        <v>3</v>
      </c>
    </row>
    <row r="153" spans="1:13">
      <c r="A153" s="32">
        <f t="shared" ca="1" si="2"/>
        <v>71</v>
      </c>
      <c r="B153" s="32" cm="1">
        <f t="array" aca="1" ref="B153" ca="1">INDEX(Data_DBD!$B:$B,$A153)</f>
        <v>84</v>
      </c>
      <c r="C153" s="32" cm="1">
        <f t="array" aca="1" ref="C153" ca="1">INDEX(Data_DBD!$C:$C,$A153)</f>
        <v>3</v>
      </c>
      <c r="D153" s="32" cm="1">
        <f t="array" aca="1" ref="D153" ca="1">INDEX(Data_DBD!$D:$D,$A153)</f>
        <v>10</v>
      </c>
      <c r="E153" s="32" cm="1">
        <f t="array" aca="1" ref="E153" ca="1">INDEX(Data_DBD!$E:$E,$A153)</f>
        <v>0</v>
      </c>
      <c r="F153" s="32" cm="1">
        <f t="array" aca="1" ref="F153" ca="1">INDEX(Data_DBD!$F:$F,$A153)</f>
        <v>2</v>
      </c>
      <c r="H153" s="32">
        <v>129</v>
      </c>
      <c r="I153" s="32">
        <v>4.5</v>
      </c>
      <c r="J153" s="32">
        <v>3</v>
      </c>
      <c r="K153" s="32">
        <v>33</v>
      </c>
      <c r="L153" s="32">
        <v>0</v>
      </c>
      <c r="M153" s="32">
        <v>3</v>
      </c>
    </row>
    <row r="154" spans="1:13">
      <c r="A154" s="32">
        <f t="shared" ca="1" si="2"/>
        <v>54</v>
      </c>
      <c r="B154" s="32" cm="1">
        <f t="array" aca="1" ref="B154" ca="1">INDEX(Data_DBD!$B:$B,$A154)</f>
        <v>7</v>
      </c>
      <c r="C154" s="32" cm="1">
        <f t="array" aca="1" ref="C154" ca="1">INDEX(Data_DBD!$C:$C,$A154)</f>
        <v>3</v>
      </c>
      <c r="D154" s="32" cm="1">
        <f t="array" aca="1" ref="D154" ca="1">INDEX(Data_DBD!$D:$D,$A154)</f>
        <v>15</v>
      </c>
      <c r="E154" s="32" cm="1">
        <f t="array" aca="1" ref="E154" ca="1">INDEX(Data_DBD!$E:$E,$A154)</f>
        <v>0</v>
      </c>
      <c r="F154" s="32" cm="1">
        <f t="array" aca="1" ref="F154" ca="1">INDEX(Data_DBD!$F:$F,$A154)</f>
        <v>2</v>
      </c>
      <c r="H154" s="32">
        <v>93</v>
      </c>
      <c r="I154" s="32">
        <v>65</v>
      </c>
      <c r="J154" s="32">
        <v>4</v>
      </c>
      <c r="K154" s="32">
        <v>18</v>
      </c>
      <c r="L154" s="32">
        <v>0</v>
      </c>
      <c r="M154" s="32">
        <v>3</v>
      </c>
    </row>
    <row r="155" spans="1:13">
      <c r="A155" s="32">
        <f t="shared" ca="1" si="2"/>
        <v>14</v>
      </c>
      <c r="B155" s="32" cm="1">
        <f t="array" aca="1" ref="B155" ca="1">INDEX(Data_DBD!$B:$B,$A155)</f>
        <v>49</v>
      </c>
      <c r="C155" s="32" cm="1">
        <f t="array" aca="1" ref="C155" ca="1">INDEX(Data_DBD!$C:$C,$A155)</f>
        <v>4</v>
      </c>
      <c r="D155" s="32" cm="1">
        <f t="array" aca="1" ref="D155" ca="1">INDEX(Data_DBD!$D:$D,$A155)</f>
        <v>7</v>
      </c>
      <c r="E155" s="32" cm="1">
        <f t="array" aca="1" ref="E155" ca="1">INDEX(Data_DBD!$E:$E,$A155)</f>
        <v>1</v>
      </c>
      <c r="F155" s="32" cm="1">
        <f t="array" aca="1" ref="F155" ca="1">INDEX(Data_DBD!$F:$F,$A155)</f>
        <v>1</v>
      </c>
      <c r="H155" s="32">
        <v>111</v>
      </c>
      <c r="I155" s="32">
        <v>25</v>
      </c>
      <c r="J155" s="32">
        <v>4</v>
      </c>
      <c r="K155" s="32">
        <v>33</v>
      </c>
      <c r="L155" s="32">
        <v>0</v>
      </c>
      <c r="M155" s="32">
        <v>3</v>
      </c>
    </row>
    <row r="156" spans="1:13">
      <c r="A156" s="32">
        <f t="shared" ca="1" si="2"/>
        <v>77</v>
      </c>
      <c r="B156" s="32" cm="1">
        <f t="array" aca="1" ref="B156" ca="1">INDEX(Data_DBD!$B:$B,$A156)</f>
        <v>16</v>
      </c>
      <c r="C156" s="32" cm="1">
        <f t="array" aca="1" ref="C156" ca="1">INDEX(Data_DBD!$C:$C,$A156)</f>
        <v>4</v>
      </c>
      <c r="D156" s="32" cm="1">
        <f t="array" aca="1" ref="D156" ca="1">INDEX(Data_DBD!$D:$D,$A156)</f>
        <v>13</v>
      </c>
      <c r="E156" s="32" cm="1">
        <f t="array" aca="1" ref="E156" ca="1">INDEX(Data_DBD!$E:$E,$A156)</f>
        <v>1</v>
      </c>
      <c r="F156" s="32" cm="1">
        <f t="array" aca="1" ref="F156" ca="1">INDEX(Data_DBD!$F:$F,$A156)</f>
        <v>2</v>
      </c>
      <c r="H156" s="32">
        <v>23</v>
      </c>
      <c r="I156" s="32">
        <v>28</v>
      </c>
      <c r="J156" s="32">
        <v>4</v>
      </c>
      <c r="K156" s="32">
        <v>14</v>
      </c>
      <c r="L156" s="32">
        <v>1</v>
      </c>
      <c r="M156" s="32">
        <v>2</v>
      </c>
    </row>
    <row r="157" spans="1:13">
      <c r="A157" s="32">
        <f t="shared" ca="1" si="2"/>
        <v>38</v>
      </c>
      <c r="B157" s="32" cm="1">
        <f t="array" aca="1" ref="B157" ca="1">INDEX(Data_DBD!$B:$B,$A157)</f>
        <v>52</v>
      </c>
      <c r="C157" s="32" cm="1">
        <f t="array" aca="1" ref="C157" ca="1">INDEX(Data_DBD!$C:$C,$A157)</f>
        <v>3</v>
      </c>
      <c r="D157" s="32" cm="1">
        <f t="array" aca="1" ref="D157" ca="1">INDEX(Data_DBD!$D:$D,$A157)</f>
        <v>4</v>
      </c>
      <c r="E157" s="32" cm="1">
        <f t="array" aca="1" ref="E157" ca="1">INDEX(Data_DBD!$E:$E,$A157)</f>
        <v>1</v>
      </c>
      <c r="F157" s="32" cm="1">
        <f t="array" aca="1" ref="F157" ca="1">INDEX(Data_DBD!$F:$F,$A157)</f>
        <v>1</v>
      </c>
      <c r="H157" s="32">
        <v>18</v>
      </c>
      <c r="I157" s="32">
        <v>49</v>
      </c>
      <c r="J157" s="32">
        <v>4</v>
      </c>
      <c r="K157" s="32">
        <v>7</v>
      </c>
      <c r="L157" s="32">
        <v>1</v>
      </c>
      <c r="M157" s="32">
        <v>1</v>
      </c>
    </row>
    <row r="158" spans="1:13" ht="15.75">
      <c r="A158" s="32">
        <f t="shared" ca="1" si="2"/>
        <v>71</v>
      </c>
      <c r="B158" s="32" cm="1">
        <f t="array" aca="1" ref="B158" ca="1">INDEX(Data_DBD!$B:$B,$A158)</f>
        <v>84</v>
      </c>
      <c r="C158" s="32" cm="1">
        <f t="array" aca="1" ref="C158" ca="1">INDEX(Data_DBD!$C:$C,$A158)</f>
        <v>3</v>
      </c>
      <c r="D158" s="32" cm="1">
        <f t="array" aca="1" ref="D158" ca="1">INDEX(Data_DBD!$D:$D,$A158)</f>
        <v>10</v>
      </c>
      <c r="E158" s="32" cm="1">
        <f t="array" aca="1" ref="E158" ca="1">INDEX(Data_DBD!$E:$E,$A158)</f>
        <v>0</v>
      </c>
      <c r="F158" s="32" cm="1">
        <f t="array" aca="1" ref="F158" ca="1">INDEX(Data_DBD!$F:$F,$A158)</f>
        <v>2</v>
      </c>
      <c r="H158" s="32">
        <v>72</v>
      </c>
      <c r="I158" s="32">
        <v>3</v>
      </c>
      <c r="J158" s="32">
        <v>5</v>
      </c>
      <c r="K158" s="32">
        <v>10</v>
      </c>
      <c r="L158" s="58">
        <v>1</v>
      </c>
      <c r="M158" s="32">
        <v>2</v>
      </c>
    </row>
    <row r="159" spans="1:13" ht="15.75">
      <c r="A159" s="32">
        <f t="shared" ca="1" si="2"/>
        <v>89</v>
      </c>
      <c r="B159" s="32" cm="1">
        <f t="array" aca="1" ref="B159" ca="1">INDEX(Data_DBD!$B:$B,$A159)</f>
        <v>32</v>
      </c>
      <c r="C159" s="32" cm="1">
        <f t="array" aca="1" ref="C159" ca="1">INDEX(Data_DBD!$C:$C,$A159)</f>
        <v>4</v>
      </c>
      <c r="D159" s="32" cm="1">
        <f t="array" aca="1" ref="D159" ca="1">INDEX(Data_DBD!$D:$D,$A159)</f>
        <v>13</v>
      </c>
      <c r="E159" s="32" cm="1">
        <f t="array" aca="1" ref="E159" ca="1">INDEX(Data_DBD!$E:$E,$A159)</f>
        <v>0</v>
      </c>
      <c r="F159" s="32" cm="1">
        <f t="array" aca="1" ref="F159" ca="1">INDEX(Data_DBD!$F:$F,$A159)</f>
        <v>2</v>
      </c>
      <c r="H159" s="32">
        <v>55</v>
      </c>
      <c r="I159" s="32">
        <v>7</v>
      </c>
      <c r="J159" s="32">
        <v>4</v>
      </c>
      <c r="K159" s="32">
        <v>15</v>
      </c>
      <c r="L159" s="59">
        <v>1</v>
      </c>
      <c r="M159" s="32">
        <v>2</v>
      </c>
    </row>
    <row r="160" spans="1:13" ht="15.75">
      <c r="A160" s="32">
        <f t="shared" ca="1" si="2"/>
        <v>23</v>
      </c>
      <c r="B160" s="32" cm="1">
        <f t="array" aca="1" ref="B160" ca="1">INDEX(Data_DBD!$B:$B,$A160)</f>
        <v>28</v>
      </c>
      <c r="C160" s="32" cm="1">
        <f t="array" aca="1" ref="C160" ca="1">INDEX(Data_DBD!$C:$C,$A160)</f>
        <v>4</v>
      </c>
      <c r="D160" s="32" cm="1">
        <f t="array" aca="1" ref="D160" ca="1">INDEX(Data_DBD!$D:$D,$A160)</f>
        <v>14</v>
      </c>
      <c r="E160" s="32" cm="1">
        <f t="array" aca="1" ref="E160" ca="1">INDEX(Data_DBD!$E:$E,$A160)</f>
        <v>1</v>
      </c>
      <c r="F160" s="32" cm="1">
        <f t="array" aca="1" ref="F160" ca="1">INDEX(Data_DBD!$F:$F,$A160)</f>
        <v>2</v>
      </c>
      <c r="H160" s="32">
        <v>106</v>
      </c>
      <c r="I160" s="32">
        <v>23</v>
      </c>
      <c r="J160" s="32">
        <v>3</v>
      </c>
      <c r="K160" s="32">
        <v>18</v>
      </c>
      <c r="L160" s="60">
        <v>1</v>
      </c>
      <c r="M160" s="32">
        <v>3</v>
      </c>
    </row>
    <row r="161" spans="1:22" ht="15.75">
      <c r="A161" s="32">
        <f t="shared" ca="1" si="2"/>
        <v>79</v>
      </c>
      <c r="B161" s="32" cm="1">
        <f t="array" aca="1" ref="B161" ca="1">INDEX(Data_DBD!$B:$B,$A161)</f>
        <v>29</v>
      </c>
      <c r="C161" s="32" cm="1">
        <f t="array" aca="1" ref="C161" ca="1">INDEX(Data_DBD!$C:$C,$A161)</f>
        <v>3</v>
      </c>
      <c r="D161" s="32" cm="1">
        <f t="array" aca="1" ref="D161" ca="1">INDEX(Data_DBD!$D:$D,$A161)</f>
        <v>13</v>
      </c>
      <c r="E161" s="32" cm="1">
        <f t="array" aca="1" ref="E161" ca="1">INDEX(Data_DBD!$E:$E,$A161)</f>
        <v>0</v>
      </c>
      <c r="F161" s="32" cm="1">
        <f t="array" aca="1" ref="F161" ca="1">INDEX(Data_DBD!$F:$F,$A161)</f>
        <v>2</v>
      </c>
      <c r="H161" s="32">
        <v>78</v>
      </c>
      <c r="I161" s="32">
        <v>6</v>
      </c>
      <c r="J161" s="32">
        <v>3</v>
      </c>
      <c r="K161" s="32">
        <v>13</v>
      </c>
      <c r="L161" s="60">
        <v>0</v>
      </c>
      <c r="M161" s="32">
        <v>2</v>
      </c>
    </row>
    <row r="162" spans="1:22" ht="15.75">
      <c r="A162" s="32">
        <f t="shared" ca="1" si="2"/>
        <v>36</v>
      </c>
      <c r="B162" s="32" cm="1">
        <f t="array" aca="1" ref="B162" ca="1">INDEX(Data_DBD!$B:$B,$A162)</f>
        <v>27</v>
      </c>
      <c r="C162" s="32" cm="1">
        <f t="array" aca="1" ref="C162" ca="1">INDEX(Data_DBD!$C:$C,$A162)</f>
        <v>1</v>
      </c>
      <c r="D162" s="32" cm="1">
        <f t="array" aca="1" ref="D162" ca="1">INDEX(Data_DBD!$D:$D,$A162)</f>
        <v>4</v>
      </c>
      <c r="E162" s="32" cm="1">
        <f t="array" aca="1" ref="E162" ca="1">INDEX(Data_DBD!$E:$E,$A162)</f>
        <v>1</v>
      </c>
      <c r="F162" s="32" cm="1">
        <f t="array" aca="1" ref="F162" ca="1">INDEX(Data_DBD!$F:$F,$A162)</f>
        <v>1</v>
      </c>
      <c r="H162" s="32">
        <v>42</v>
      </c>
      <c r="I162" s="32">
        <v>21</v>
      </c>
      <c r="J162" s="32">
        <v>5</v>
      </c>
      <c r="K162" s="32">
        <v>13</v>
      </c>
      <c r="L162" s="59">
        <v>1</v>
      </c>
      <c r="M162" s="32">
        <v>2</v>
      </c>
    </row>
    <row r="163" spans="1:22" ht="15.75">
      <c r="A163" s="32">
        <f t="shared" ca="1" si="2"/>
        <v>113</v>
      </c>
      <c r="B163" s="32" cm="1">
        <f t="array" aca="1" ref="B163" ca="1">INDEX(Data_DBD!$B:$B,$A163)</f>
        <v>69</v>
      </c>
      <c r="C163" s="32" cm="1">
        <f t="array" aca="1" ref="C163" ca="1">INDEX(Data_DBD!$C:$C,$A163)</f>
        <v>1</v>
      </c>
      <c r="D163" s="32" cm="1">
        <f t="array" aca="1" ref="D163" ca="1">INDEX(Data_DBD!$D:$D,$A163)</f>
        <v>33</v>
      </c>
      <c r="E163" s="32" cm="1">
        <f t="array" aca="1" ref="E163" ca="1">INDEX(Data_DBD!$E:$E,$A163)</f>
        <v>1</v>
      </c>
      <c r="F163" s="32" cm="1">
        <f t="array" aca="1" ref="F163" ca="1">INDEX(Data_DBD!$F:$F,$A163)</f>
        <v>3</v>
      </c>
      <c r="H163" s="32">
        <v>157</v>
      </c>
      <c r="I163" s="32">
        <v>15</v>
      </c>
      <c r="J163" s="32">
        <v>4</v>
      </c>
      <c r="K163" s="32">
        <v>21</v>
      </c>
      <c r="L163" s="60">
        <v>1</v>
      </c>
      <c r="M163" s="32">
        <v>3</v>
      </c>
    </row>
    <row r="164" spans="1:22">
      <c r="A164" s="32">
        <f t="shared" ca="1" si="2"/>
        <v>116</v>
      </c>
      <c r="B164" s="32" cm="1">
        <f t="array" aca="1" ref="B164" ca="1">INDEX(Data_DBD!$B:$B,$A164)</f>
        <v>32</v>
      </c>
      <c r="C164" s="32" cm="1">
        <f t="array" aca="1" ref="C164" ca="1">INDEX(Data_DBD!$C:$C,$A164)</f>
        <v>4</v>
      </c>
      <c r="D164" s="32" cm="1">
        <f t="array" aca="1" ref="D164" ca="1">INDEX(Data_DBD!$D:$D,$A164)</f>
        <v>33</v>
      </c>
      <c r="E164" s="32" cm="1">
        <f t="array" aca="1" ref="E164" ca="1">INDEX(Data_DBD!$E:$E,$A164)</f>
        <v>1</v>
      </c>
      <c r="F164" s="32" cm="1">
        <f t="array" aca="1" ref="F164" ca="1">INDEX(Data_DBD!$F:$F,$A164)</f>
        <v>3</v>
      </c>
      <c r="H164" s="32">
        <v>115</v>
      </c>
      <c r="I164" s="32">
        <v>52</v>
      </c>
      <c r="J164" s="32">
        <v>3</v>
      </c>
      <c r="K164" s="32">
        <v>33</v>
      </c>
      <c r="L164" s="32">
        <v>1</v>
      </c>
      <c r="M164" s="32">
        <v>3</v>
      </c>
    </row>
    <row r="165" spans="1:22">
      <c r="I165">
        <f>AVERAGE(I2:I164)</f>
        <v>30.828220858895705</v>
      </c>
      <c r="J165">
        <f>AVERAGE(J2:J164)</f>
        <v>3.7607361963190185</v>
      </c>
      <c r="K165">
        <f>AVERAGE(K2:K164)</f>
        <v>17.337423312883434</v>
      </c>
      <c r="L165">
        <f>AVERAGE(L2:L164)</f>
        <v>0.50920245398773001</v>
      </c>
    </row>
    <row r="166" spans="1:22">
      <c r="B166">
        <v>189</v>
      </c>
    </row>
    <row r="168" spans="1:22">
      <c r="E168" s="38" t="s">
        <v>188</v>
      </c>
      <c r="J168" s="38" t="s">
        <v>189</v>
      </c>
      <c r="O168" s="38" t="s">
        <v>190</v>
      </c>
      <c r="T168" s="38" t="s">
        <v>191</v>
      </c>
    </row>
    <row r="169" spans="1:22">
      <c r="E169" s="32" t="s">
        <v>1</v>
      </c>
      <c r="F169" s="32">
        <f>AVERAGEIF($I$2:$I$164,"&lt;="&amp;$I$165)</f>
        <v>16.782178217821784</v>
      </c>
      <c r="G169" s="32">
        <f>AVERAGEIF($I$2:$I$164,"&gt;"&amp;$I$165)</f>
        <v>53.70967741935484</v>
      </c>
      <c r="J169" s="32" t="s">
        <v>192</v>
      </c>
      <c r="K169" s="32">
        <f>AVERAGEIF($J$2:$J$164,"&lt;="&amp;$J$165)</f>
        <v>2.5384615384615383</v>
      </c>
      <c r="L169" s="32">
        <f>AVERAGEIF($J$2:$J$164,"&gt;"&amp;$J$165)</f>
        <v>4.882352941176471</v>
      </c>
      <c r="O169" s="32" t="s">
        <v>193</v>
      </c>
      <c r="P169" s="32">
        <f>AVERAGEIF($K$2:$K$164,"&lt;="&amp;$K$165)</f>
        <v>11.553191489361701</v>
      </c>
      <c r="Q169" s="32">
        <f>AVERAGEIF($K$2:$K$164,"&gt;"&amp;$K$165)</f>
        <v>25.217391304347824</v>
      </c>
      <c r="T169" s="32" t="s">
        <v>194</v>
      </c>
      <c r="U169" s="32">
        <f>AVERAGEIF($L$2:$L$164,"&lt;="&amp;$L$165)</f>
        <v>0</v>
      </c>
      <c r="V169" s="32">
        <f>AVERAGEIF($L$2:$L$164,"&gt;"&amp;$L$165)</f>
        <v>1</v>
      </c>
    </row>
    <row r="170" spans="1:22">
      <c r="E170" s="32" t="str" cm="1">
        <f t="array" ref="E170:E332">IF($I$2:$I$164&lt;$F$169,"kiri",IF($I$2:$I$164&lt;$G$169,"tengah","kanan"))</f>
        <v>kanan</v>
      </c>
      <c r="F170" s="55" t="s">
        <v>269</v>
      </c>
      <c r="G170" s="32"/>
      <c r="J170" s="32" t="str" cm="1">
        <f t="array" ref="J170:J332">IF($J$2:$J$164&lt;$K$169,"kiri",IF($J$2:$J$164&lt;$L$169,"tengah","kanan"))</f>
        <v>kanan</v>
      </c>
      <c r="K170" s="55" t="s">
        <v>271</v>
      </c>
      <c r="L170" s="32"/>
      <c r="O170" s="32" t="str" cm="1">
        <f t="array" ref="O170:O332">IF($K$2:$K$164&lt;$P$169,"kiri",IF($K$2:$K$164&lt;$Q$169,"tengah","kanan"))</f>
        <v>tengah</v>
      </c>
      <c r="P170" s="55" t="s">
        <v>278</v>
      </c>
      <c r="Q170" s="32"/>
      <c r="T170" s="32" t="str" cm="1">
        <f t="array" ref="T170:T332">IF($L$2:$L$164&lt;$U$169,"kiri",IF($L$2:$L$164&lt;$V$169,"tengah","kanan"))</f>
        <v>kanan</v>
      </c>
      <c r="U170" s="32" t="s">
        <v>195</v>
      </c>
      <c r="V170" s="32"/>
    </row>
    <row r="171" spans="1:22">
      <c r="E171" s="32" t="str">
        <v>kanan</v>
      </c>
      <c r="F171" s="32">
        <f>COUNTIFS($E$170:$E$332,"Kanan",$M$2:$M$164,"1")</f>
        <v>0</v>
      </c>
      <c r="G171" s="32">
        <f>F171/29</f>
        <v>0</v>
      </c>
      <c r="J171" s="32" t="str">
        <v>tengah</v>
      </c>
      <c r="K171" s="32" cm="1">
        <f t="array" ref="K171">SUMPRODUCT((J170:J332="Kanan")*(M2:M164=1))</f>
        <v>4</v>
      </c>
      <c r="L171" s="32">
        <f>K171/39</f>
        <v>0.10256410256410256</v>
      </c>
      <c r="O171" s="32" t="str">
        <v>tengah</v>
      </c>
      <c r="P171" s="32">
        <f>COUNTIFS($O$170:$O$332,"Kanan",$M$2:$M$164,"1")</f>
        <v>0</v>
      </c>
      <c r="Q171" s="32">
        <f>P171/27</f>
        <v>0</v>
      </c>
      <c r="T171" s="32" t="str">
        <v>tengah</v>
      </c>
      <c r="U171" s="32">
        <f>COUNTIFS($T$170:$T$332,"Kanan",$M$2:$M$164,"1")</f>
        <v>12</v>
      </c>
      <c r="V171" s="32">
        <f>U171/83</f>
        <v>0.14457831325301204</v>
      </c>
    </row>
    <row r="172" spans="1:22">
      <c r="E172" s="32" t="str">
        <v>tengah</v>
      </c>
      <c r="F172" s="32">
        <f>COUNTIFS($E$170:$E$332,"Kanan",$M$2:$M$164,"2")</f>
        <v>16</v>
      </c>
      <c r="G172" s="32">
        <f>F172/29</f>
        <v>0.55172413793103448</v>
      </c>
      <c r="J172" s="32" t="str">
        <v>tengah</v>
      </c>
      <c r="K172" s="32">
        <f>COUNTIFS($J$170:$J$332,"Kanan",$M$2:$M$164,"2")</f>
        <v>20</v>
      </c>
      <c r="L172" s="32">
        <f t="shared" ref="L172:L173" si="3">K172/39</f>
        <v>0.51282051282051277</v>
      </c>
      <c r="O172" s="32" t="str">
        <v>tengah</v>
      </c>
      <c r="P172" s="32">
        <f>COUNTIFS($O$170:$O$332,"Kanan",$M$2:$M$164,"2")</f>
        <v>0</v>
      </c>
      <c r="Q172" s="32">
        <f t="shared" ref="Q172:Q173" si="4">P172/27</f>
        <v>0</v>
      </c>
      <c r="T172" s="32" t="str">
        <v>kanan</v>
      </c>
      <c r="U172" s="32">
        <f>COUNTIFS($T$170:$T$332,"Kanan",$M$2:$M$164,"2")</f>
        <v>37</v>
      </c>
      <c r="V172" s="32">
        <f t="shared" ref="V172:V173" si="5">U172/83</f>
        <v>0.44578313253012047</v>
      </c>
    </row>
    <row r="173" spans="1:22">
      <c r="E173" s="32" t="str">
        <v>kiri</v>
      </c>
      <c r="F173" s="32" cm="1">
        <f t="array" ref="F173">SUMPRODUCT((E170:E332="KANAN")*(M2:M164=3))</f>
        <v>13</v>
      </c>
      <c r="G173" s="32">
        <f t="shared" ref="G172:G173" si="6">F173/29</f>
        <v>0.44827586206896552</v>
      </c>
      <c r="J173" s="32" t="str">
        <v>tengah</v>
      </c>
      <c r="K173" s="32">
        <f>COUNTIFS($J$170:$J$332,"Kanan",$M$2:$M$164,"3")</f>
        <v>15</v>
      </c>
      <c r="L173" s="32">
        <f t="shared" si="3"/>
        <v>0.38461538461538464</v>
      </c>
      <c r="O173" s="32" t="str">
        <v>tengah</v>
      </c>
      <c r="P173" s="32">
        <f>COUNTIFS($O$170:$O$332,"Kanan",$M$2:$M$164,"3")</f>
        <v>27</v>
      </c>
      <c r="Q173" s="32">
        <f t="shared" si="4"/>
        <v>1</v>
      </c>
      <c r="T173" s="32" t="str">
        <v>tengah</v>
      </c>
      <c r="U173" s="32">
        <f>COUNTIFS($T$170:$T$332,"Kanan",$M$2:$M$164,"3")</f>
        <v>34</v>
      </c>
      <c r="V173" s="32">
        <f t="shared" si="5"/>
        <v>0.40963855421686746</v>
      </c>
    </row>
    <row r="174" spans="1:22">
      <c r="E174" s="32" t="str">
        <v>kiri</v>
      </c>
      <c r="F174" s="32" t="s">
        <v>196</v>
      </c>
      <c r="G174" s="32">
        <f>-(IFERROR(G171*LOG(G171,2),0)+IFERROR(G172*LOG(G172,2),0)+IFERROR(G173*LOG(G173,2),0))</f>
        <v>0.99226663871949627</v>
      </c>
      <c r="J174" s="32" t="str">
        <v>tengah</v>
      </c>
      <c r="K174" s="32" t="s">
        <v>196</v>
      </c>
      <c r="L174" s="32">
        <f>-(IFERROR(L171*LOG(L171,2),0)+IFERROR(L172*LOG(L172,2),0)+IFERROR(L173*LOG(L173,2),0))</f>
        <v>1.3612504026603247</v>
      </c>
      <c r="O174" s="32" t="str">
        <v>kanan</v>
      </c>
      <c r="P174" s="32" t="s">
        <v>196</v>
      </c>
      <c r="Q174" s="32">
        <f>-(IFERROR(Q171*LOG(Q171,2),0)+IFERROR(Q172*LOG(Q172,2),0)+IFERROR(Q173*LOG(Q173,2),0))</f>
        <v>0</v>
      </c>
      <c r="T174" s="32" t="str">
        <v>kanan</v>
      </c>
      <c r="U174" s="32" t="s">
        <v>196</v>
      </c>
      <c r="V174" s="32">
        <f>-(IFERROR(V171*LOG(V171,2),0)+IFERROR(V172*LOG(V172,2),0)+IFERROR(V173*LOG(V173,2),0))</f>
        <v>1.450424236895882</v>
      </c>
    </row>
    <row r="175" spans="1:22">
      <c r="E175" s="32" t="str">
        <v>kiri</v>
      </c>
      <c r="F175" s="32"/>
      <c r="G175" s="32">
        <f>SUM(F171:F173)/163</f>
        <v>0.17791411042944785</v>
      </c>
      <c r="J175" s="32" t="str">
        <v>tengah</v>
      </c>
      <c r="K175" s="32"/>
      <c r="L175" s="32">
        <f>SUM(K171:K173)/163</f>
        <v>0.2392638036809816</v>
      </c>
      <c r="O175" s="32" t="str">
        <v>tengah</v>
      </c>
      <c r="P175" s="32"/>
      <c r="Q175" s="32">
        <f>SUM(P171:P173)/163</f>
        <v>0.16564417177914109</v>
      </c>
      <c r="T175" s="32" t="str">
        <v>tengah</v>
      </c>
      <c r="U175" s="32"/>
      <c r="V175" s="32">
        <f>SUM(U171:U173)/163</f>
        <v>0.50920245398773001</v>
      </c>
    </row>
    <row r="176" spans="1:22">
      <c r="E176" s="32" t="str">
        <v>tengah</v>
      </c>
      <c r="F176" s="32"/>
      <c r="G176" s="39">
        <f>G174*G175</f>
        <v>0.17653823633659749</v>
      </c>
      <c r="J176" s="32" t="str">
        <v>tengah</v>
      </c>
      <c r="K176" s="32"/>
      <c r="L176" s="39">
        <f>L174*L175</f>
        <v>0.32569794910277711</v>
      </c>
      <c r="O176" s="32" t="str">
        <v>kiri</v>
      </c>
      <c r="P176" s="32"/>
      <c r="Q176" s="39">
        <f>Q174*Q175</f>
        <v>0</v>
      </c>
      <c r="T176" s="32" t="str">
        <v>kanan</v>
      </c>
      <c r="U176" s="32"/>
      <c r="V176" s="39">
        <f>V174*V175</f>
        <v>0.73855958075066375</v>
      </c>
    </row>
    <row r="177" spans="5:22">
      <c r="E177" s="32" t="str">
        <v>tengah</v>
      </c>
      <c r="F177" s="32"/>
      <c r="G177" s="32"/>
      <c r="J177" s="32" t="str">
        <v>tengah</v>
      </c>
      <c r="K177" s="32"/>
      <c r="L177" s="32"/>
      <c r="O177" s="32" t="str">
        <v>kanan</v>
      </c>
      <c r="P177" s="32"/>
      <c r="Q177" s="32"/>
      <c r="T177" s="32" t="str">
        <v>tengah</v>
      </c>
      <c r="U177" s="32"/>
      <c r="V177" s="32"/>
    </row>
    <row r="178" spans="5:22">
      <c r="E178" s="32" t="str">
        <v>kiri</v>
      </c>
      <c r="F178" s="32"/>
      <c r="G178" s="32"/>
      <c r="J178" s="32" t="str">
        <v>tengah</v>
      </c>
      <c r="K178" s="32"/>
      <c r="L178" s="32"/>
      <c r="O178" s="32" t="str">
        <v>tengah</v>
      </c>
      <c r="P178" s="32"/>
      <c r="Q178" s="32"/>
      <c r="T178" s="32" t="str">
        <v>tengah</v>
      </c>
      <c r="U178" s="32"/>
      <c r="V178" s="32"/>
    </row>
    <row r="179" spans="5:22">
      <c r="E179" s="32" t="str">
        <v>tengah</v>
      </c>
      <c r="F179" s="55" t="s">
        <v>270</v>
      </c>
      <c r="G179" s="32"/>
      <c r="J179" s="32" t="str">
        <v>tengah</v>
      </c>
      <c r="K179" s="55" t="s">
        <v>272</v>
      </c>
      <c r="L179" s="32"/>
      <c r="O179" s="32" t="str">
        <v>kiri</v>
      </c>
      <c r="P179" s="55" t="s">
        <v>277</v>
      </c>
      <c r="Q179" s="32"/>
      <c r="T179" s="32" t="str">
        <v>kanan</v>
      </c>
      <c r="U179" s="32" t="s">
        <v>197</v>
      </c>
      <c r="V179" s="32"/>
    </row>
    <row r="180" spans="5:22">
      <c r="E180" s="32" t="str">
        <v>tengah</v>
      </c>
      <c r="F180" s="32" cm="1">
        <f t="array" ref="F180">SUMPRODUCT((E170:E332="kiri")*(M2:M164=1))</f>
        <v>4</v>
      </c>
      <c r="G180" s="32">
        <f>F180/49</f>
        <v>8.1632653061224483E-2</v>
      </c>
      <c r="J180" s="32" t="str">
        <v>tengah</v>
      </c>
      <c r="K180" s="32">
        <f>COUNTIFS($J$170:$J$332,"Kiri",$M$2:$M$164,"1")</f>
        <v>3</v>
      </c>
      <c r="L180" s="32">
        <f>K180/31</f>
        <v>9.6774193548387094E-2</v>
      </c>
      <c r="O180" s="32" t="str">
        <v>tengah</v>
      </c>
      <c r="P180" s="32">
        <f>COUNTIFS($O$170:$O$332,"Kiri",$M$2:$M$164,"1")</f>
        <v>17</v>
      </c>
      <c r="Q180" s="32">
        <f>P180/29</f>
        <v>0.58620689655172409</v>
      </c>
      <c r="T180" s="32" t="str">
        <v>tengah</v>
      </c>
      <c r="U180" s="32">
        <f>COUNTIFS($T$170:$T$332,"Kiri",$M$2:$M$164,"1")</f>
        <v>0</v>
      </c>
      <c r="V180" s="32">
        <f>U180/57</f>
        <v>0</v>
      </c>
    </row>
    <row r="181" spans="5:22">
      <c r="E181" s="32" t="str">
        <v>tengah</v>
      </c>
      <c r="F181" s="32" cm="1">
        <f t="array" ref="F181">SUMPRODUCT((E170:E332="kiri")*(M2:M164=2))</f>
        <v>21</v>
      </c>
      <c r="G181" s="32">
        <f t="shared" ref="G181:G182" si="7">F181/49</f>
        <v>0.42857142857142855</v>
      </c>
      <c r="J181" s="32" t="str">
        <v>kiri</v>
      </c>
      <c r="K181" s="32">
        <f>COUNTIFS($J$170:$J$332,"Kiri",$M$2:$M$164,"2")</f>
        <v>10</v>
      </c>
      <c r="L181" s="32">
        <f t="shared" ref="L181:L182" si="8">K181/31</f>
        <v>0.32258064516129031</v>
      </c>
      <c r="O181" s="32" t="str">
        <v>tengah</v>
      </c>
      <c r="P181" s="32">
        <f>COUNTIFS($O$170:$O$332,"Kiri",$M$2:$M$164,"2")</f>
        <v>12</v>
      </c>
      <c r="Q181" s="32">
        <f t="shared" ref="Q181:Q182" si="9">P181/29</f>
        <v>0.41379310344827586</v>
      </c>
      <c r="T181" s="32" t="str">
        <v>tengah</v>
      </c>
      <c r="U181" s="32">
        <f>COUNTIFS($T$170:$T$332,"Kiri",$M$2:$M$164,"2")</f>
        <v>0</v>
      </c>
      <c r="V181" s="32">
        <f>U181/57</f>
        <v>0</v>
      </c>
    </row>
    <row r="182" spans="5:22">
      <c r="E182" s="32" t="str">
        <v>tengah</v>
      </c>
      <c r="F182" s="32" cm="1">
        <f t="array" ref="F182">SUMPRODUCT((E170:E332="kiri")*(M2:M164=3))</f>
        <v>24</v>
      </c>
      <c r="G182" s="32">
        <f t="shared" si="7"/>
        <v>0.48979591836734693</v>
      </c>
      <c r="J182" s="32" t="str">
        <v>tengah</v>
      </c>
      <c r="K182" s="32">
        <f>COUNTIFS($J$170:$J$332,"Kiri",$M$2:$M$164,"3")</f>
        <v>18</v>
      </c>
      <c r="L182" s="32">
        <f t="shared" si="8"/>
        <v>0.58064516129032262</v>
      </c>
      <c r="O182" s="32" t="str">
        <v>kanan</v>
      </c>
      <c r="P182" s="32">
        <f>COUNTIFS($O$170:$O$332,"Kiri",$M$2:$M$164,"3")</f>
        <v>0</v>
      </c>
      <c r="Q182" s="32">
        <f t="shared" si="9"/>
        <v>0</v>
      </c>
      <c r="T182" s="32" t="str">
        <v>tengah</v>
      </c>
      <c r="U182" s="32">
        <f>COUNTIFS($T$170:$T$332,"Kiri",$M$2:$M$164,"3")</f>
        <v>0</v>
      </c>
      <c r="V182" s="32">
        <f>U182/57</f>
        <v>0</v>
      </c>
    </row>
    <row r="183" spans="5:22">
      <c r="E183" s="32" t="str">
        <v>tengah</v>
      </c>
      <c r="F183" s="32" t="s">
        <v>196</v>
      </c>
      <c r="G183" s="32">
        <f>-(IFERROR(G180*LOG(G180,2),0)+IFERROR(G181*LOG(G181,2),0)+IFERROR(G182*LOG(G182,2),0))</f>
        <v>1.3233268666527243</v>
      </c>
      <c r="J183" s="32" t="str">
        <v>tengah</v>
      </c>
      <c r="K183" s="32" t="s">
        <v>196</v>
      </c>
      <c r="L183" s="32">
        <f>-(IFERROR(L180*LOG(L180,2),0)+IFERROR(L181*LOG(L181,2),0)+IFERROR(L182*LOG(L182,2),0))</f>
        <v>1.307976359515949</v>
      </c>
      <c r="O183" s="32" t="str">
        <v>tengah</v>
      </c>
      <c r="P183" s="32" t="s">
        <v>196</v>
      </c>
      <c r="Q183" s="32">
        <f>-(IFERROR(Q180*LOG(Q180,2),0)+IFERROR(Q181*LOG(Q181,2),0)+IFERROR(Q182*LOG(Q182,2),0))</f>
        <v>0.97844932926861894</v>
      </c>
      <c r="T183" s="32" t="str">
        <v>tengah</v>
      </c>
      <c r="U183" s="32" t="s">
        <v>196</v>
      </c>
      <c r="V183" s="32">
        <f>-(IFERROR(V180*LOG(V180,2),0)+IFERROR(V181*LOG(V181,2),0)+IFERROR(V182*LOG(V182,2),0))</f>
        <v>0</v>
      </c>
    </row>
    <row r="184" spans="5:22">
      <c r="E184" s="32" t="str">
        <v>kanan</v>
      </c>
      <c r="F184" s="32"/>
      <c r="G184" s="32">
        <f>SUM(F180:F182)/163</f>
        <v>0.30061349693251532</v>
      </c>
      <c r="J184" s="32" t="str">
        <v>kanan</v>
      </c>
      <c r="K184" s="32"/>
      <c r="L184" s="32">
        <f>SUM(K180:K182)/163</f>
        <v>0.19018404907975461</v>
      </c>
      <c r="O184" s="32" t="str">
        <v>tengah</v>
      </c>
      <c r="P184" s="32"/>
      <c r="Q184" s="32">
        <f>SUM(P180:P182)/163</f>
        <v>0.17791411042944785</v>
      </c>
      <c r="T184" s="32" t="str">
        <v>tengah</v>
      </c>
      <c r="U184" s="32"/>
      <c r="V184" s="32">
        <f>SUM(U180:U182)/163</f>
        <v>0</v>
      </c>
    </row>
    <row r="185" spans="5:22">
      <c r="E185" s="32" t="str">
        <v>kanan</v>
      </c>
      <c r="F185" s="32"/>
      <c r="G185" s="39">
        <f>G183*G184</f>
        <v>0.39780991696922385</v>
      </c>
      <c r="J185" s="32" t="str">
        <v>kanan</v>
      </c>
      <c r="K185" s="32"/>
      <c r="L185" s="39">
        <f>L183*L184</f>
        <v>0.24875624015334002</v>
      </c>
      <c r="O185" s="32" t="str">
        <v>tengah</v>
      </c>
      <c r="P185" s="32"/>
      <c r="Q185" s="39">
        <f>Q183*Q184</f>
        <v>0.17407994201711624</v>
      </c>
      <c r="T185" s="32" t="str">
        <v>kanan</v>
      </c>
      <c r="U185" s="32"/>
      <c r="V185" s="39">
        <f>V183*V184</f>
        <v>0</v>
      </c>
    </row>
    <row r="186" spans="5:22">
      <c r="E186" s="32" t="str">
        <v>tengah</v>
      </c>
      <c r="F186" s="32"/>
      <c r="G186" s="32"/>
      <c r="J186" s="32" t="str">
        <v>tengah</v>
      </c>
      <c r="K186" s="32"/>
      <c r="L186" s="32"/>
      <c r="O186" s="32" t="str">
        <v>tengah</v>
      </c>
      <c r="P186" s="32"/>
      <c r="Q186" s="32"/>
      <c r="T186" s="32" t="str">
        <v>tengah</v>
      </c>
      <c r="U186" s="32"/>
      <c r="V186" s="32"/>
    </row>
    <row r="187" spans="5:22">
      <c r="E187" s="32" t="str">
        <v>tengah</v>
      </c>
      <c r="F187" s="32"/>
      <c r="G187" s="32"/>
      <c r="J187" s="32" t="str">
        <v>tengah</v>
      </c>
      <c r="K187" s="32"/>
      <c r="L187" s="32"/>
      <c r="O187" s="32" t="str">
        <v>kiri</v>
      </c>
      <c r="P187" s="32"/>
      <c r="Q187" s="32"/>
      <c r="T187" s="32" t="str">
        <v>kanan</v>
      </c>
      <c r="U187" s="32"/>
      <c r="V187" s="32"/>
    </row>
    <row r="188" spans="5:22">
      <c r="E188" s="32" t="str">
        <v>tengah</v>
      </c>
      <c r="F188" s="32" t="s">
        <v>198</v>
      </c>
      <c r="G188" s="32"/>
      <c r="J188" s="32" t="str">
        <v>tengah</v>
      </c>
      <c r="K188" s="32" t="s">
        <v>198</v>
      </c>
      <c r="L188" s="32"/>
      <c r="O188" s="32" t="str">
        <v>tengah</v>
      </c>
      <c r="P188" s="32" t="s">
        <v>198</v>
      </c>
      <c r="Q188" s="32"/>
      <c r="T188" s="32" t="str">
        <v>kanan</v>
      </c>
      <c r="U188" s="32" t="s">
        <v>198</v>
      </c>
      <c r="V188" s="32"/>
    </row>
    <row r="189" spans="5:22">
      <c r="E189" s="32" t="str">
        <v>tengah</v>
      </c>
      <c r="F189" s="32" cm="1">
        <f t="array" ref="F189">SUMPRODUCT((E170:E332="tengah")*(M2:M164=1))</f>
        <v>13</v>
      </c>
      <c r="G189" s="32">
        <f>F189/85</f>
        <v>0.15294117647058825</v>
      </c>
      <c r="J189" s="32" t="str">
        <v>tengah</v>
      </c>
      <c r="K189" s="32">
        <f>COUNTIFS($J$170:$J$332,"Tengah",$M$2:$M$164,"1")</f>
        <v>10</v>
      </c>
      <c r="L189" s="32">
        <f>K189/93</f>
        <v>0.10752688172043011</v>
      </c>
      <c r="O189" s="32" t="str">
        <v>kiri</v>
      </c>
      <c r="P189" s="32">
        <f>COUNTIFS($O$170:$O$332,"Tengah",$M$2:$M$164,"1")</f>
        <v>0</v>
      </c>
      <c r="Q189" s="32">
        <f>P189/107</f>
        <v>0</v>
      </c>
      <c r="T189" s="32" t="str">
        <v>kanan</v>
      </c>
      <c r="U189" s="32">
        <f>COUNTIFS($T$170:$T$332,"Tengah",$M$2:$M$164,"1")</f>
        <v>5</v>
      </c>
      <c r="V189" s="32">
        <f>U189/82</f>
        <v>6.097560975609756E-2</v>
      </c>
    </row>
    <row r="190" spans="5:22">
      <c r="E190" s="32" t="str">
        <v>kanan</v>
      </c>
      <c r="F190" s="32" cm="1">
        <f t="array" ref="F190">SUMPRODUCT((E170:E332="tengah")*(M2:M164=2))</f>
        <v>40</v>
      </c>
      <c r="G190" s="32">
        <f t="shared" ref="G190:G191" si="10">F190/85</f>
        <v>0.47058823529411764</v>
      </c>
      <c r="J190" s="32" t="str">
        <v>kiri</v>
      </c>
      <c r="K190" s="32">
        <f>COUNTIFS($J$170:$J$332,"Tengah",$M$2:$M$164,"2")</f>
        <v>47</v>
      </c>
      <c r="L190" s="32">
        <f t="shared" ref="L190:L191" si="11">K190/93</f>
        <v>0.5053763440860215</v>
      </c>
      <c r="O190" s="32" t="str">
        <v>kiri</v>
      </c>
      <c r="P190" s="32">
        <f>COUNTIFS($O$170:$O$332,"Tengah",$M$2:$M$164,"2")</f>
        <v>65</v>
      </c>
      <c r="Q190" s="32">
        <f t="shared" ref="Q190:Q191" si="12">P190/107</f>
        <v>0.60747663551401865</v>
      </c>
      <c r="T190" s="32" t="str">
        <v>tengah</v>
      </c>
      <c r="U190" s="32">
        <f>COUNTIFS($T$170:$T$332,"Tengah",$M$2:$M$164,"2")</f>
        <v>40</v>
      </c>
      <c r="V190" s="32">
        <f t="shared" ref="V190:V191" si="13">U190/82</f>
        <v>0.48780487804878048</v>
      </c>
    </row>
    <row r="191" spans="5:22">
      <c r="E191" s="32" t="str">
        <v>tengah</v>
      </c>
      <c r="F191" s="32" cm="1">
        <f t="array" ref="F191">SUMPRODUCT((E170:E332="tengah")*(M2:M164=3))</f>
        <v>32</v>
      </c>
      <c r="G191" s="32">
        <f t="shared" si="10"/>
        <v>0.37647058823529411</v>
      </c>
      <c r="J191" s="32" t="str">
        <v>kanan</v>
      </c>
      <c r="K191" s="32">
        <f>COUNTIFS($J$170:$J$332,"Tengah",$M$2:$M$164,"3")</f>
        <v>36</v>
      </c>
      <c r="L191" s="32">
        <f t="shared" si="11"/>
        <v>0.38709677419354838</v>
      </c>
      <c r="O191" s="32" t="str">
        <v>tengah</v>
      </c>
      <c r="P191" s="32">
        <f>COUNTIFS($O$170:$O$332,"Tengah",$M$2:$M$164,"3")</f>
        <v>42</v>
      </c>
      <c r="Q191" s="32">
        <f t="shared" si="12"/>
        <v>0.3925233644859813</v>
      </c>
      <c r="T191" s="32" t="str">
        <v>kanan</v>
      </c>
      <c r="U191" s="32">
        <f>COUNTIFS($T$170:$T$332,"Tengah",$M$2:$M$164,"3")</f>
        <v>35</v>
      </c>
      <c r="V191" s="32">
        <f t="shared" si="13"/>
        <v>0.42682926829268292</v>
      </c>
    </row>
    <row r="192" spans="5:22">
      <c r="E192" s="32" t="str">
        <v>kiri</v>
      </c>
      <c r="F192" s="32" t="s">
        <v>196</v>
      </c>
      <c r="G192" s="32">
        <f>-(IFERROR(G189*LOG(G189,2),0)+IFERROR(G190*LOG(G190,2),0)+IFERROR(G191*LOG(G191,2),0))</f>
        <v>1.4566516404750114</v>
      </c>
      <c r="J192" s="32" t="str">
        <v>tengah</v>
      </c>
      <c r="K192" s="32" t="s">
        <v>196</v>
      </c>
      <c r="L192" s="32">
        <f>-(IFERROR(L189*LOG(L189,2),0)+IFERROR(L190*LOG(L190,2),0)+IFERROR(L191*LOG(L191,2),0))</f>
        <v>1.3735431441225927</v>
      </c>
      <c r="O192" s="32" t="str">
        <v>kanan</v>
      </c>
      <c r="P192" s="32" t="s">
        <v>196</v>
      </c>
      <c r="Q192" s="32">
        <f>-(IFERROR(Q189*LOG(Q189,2),0)+IFERROR(Q190*LOG(Q190,2),0)+IFERROR(Q191*LOG(Q191,2),0))</f>
        <v>0.96640867234920802</v>
      </c>
      <c r="T192" s="32" t="str">
        <v>kanan</v>
      </c>
      <c r="U192" s="32" t="s">
        <v>196</v>
      </c>
      <c r="V192" s="32">
        <f>-(IFERROR(V189*LOG(V189,2),0)+IFERROR(V190*LOG(V190,2),0)+IFERROR(V191*LOG(V191,2),0))</f>
        <v>1.2755181769078241</v>
      </c>
    </row>
    <row r="193" spans="5:22">
      <c r="E193" s="32" t="str">
        <v>kiri</v>
      </c>
      <c r="F193" s="32"/>
      <c r="G193" s="32">
        <f>SUM(F189:F191)/163</f>
        <v>0.5214723926380368</v>
      </c>
      <c r="J193" s="32" t="str">
        <v>kanan</v>
      </c>
      <c r="K193" s="32"/>
      <c r="L193" s="32">
        <f>SUM(K189:K191)/163</f>
        <v>0.57055214723926384</v>
      </c>
      <c r="O193" s="32" t="str">
        <v>kiri</v>
      </c>
      <c r="P193" s="32"/>
      <c r="Q193" s="32">
        <f>SUM(P189:P191)/163</f>
        <v>0.65644171779141103</v>
      </c>
      <c r="T193" s="32" t="str">
        <v>kanan</v>
      </c>
      <c r="U193" s="32"/>
      <c r="V193" s="32">
        <f>SUM(U189:U191)/163</f>
        <v>0.49079754601226994</v>
      </c>
    </row>
    <row r="194" spans="5:22">
      <c r="E194" s="32" t="str">
        <v>tengah</v>
      </c>
      <c r="F194" s="32"/>
      <c r="G194" s="39">
        <f>G192*G193</f>
        <v>0.7596036161986256</v>
      </c>
      <c r="J194" s="32" t="str">
        <v>tengah</v>
      </c>
      <c r="K194" s="32"/>
      <c r="L194" s="39">
        <f>L192*L193</f>
        <v>0.78367799020491491</v>
      </c>
      <c r="O194" s="32" t="str">
        <v>kiri</v>
      </c>
      <c r="P194" s="32"/>
      <c r="Q194" s="39">
        <f>Q192*Q193</f>
        <v>0.63439096896543101</v>
      </c>
      <c r="T194" s="32" t="str">
        <v>kanan</v>
      </c>
      <c r="U194" s="32"/>
      <c r="V194" s="39">
        <f>V192*V193</f>
        <v>0.62602119112040444</v>
      </c>
    </row>
    <row r="195" spans="5:22">
      <c r="E195" s="32" t="str">
        <v>tengah</v>
      </c>
      <c r="F195" s="32"/>
      <c r="G195" s="32"/>
      <c r="J195" s="32" t="str">
        <v>tengah</v>
      </c>
      <c r="K195" s="32"/>
      <c r="L195" s="32"/>
      <c r="O195" s="32" t="str">
        <v>tengah</v>
      </c>
      <c r="P195" s="32"/>
      <c r="Q195" s="32"/>
      <c r="T195" s="32" t="str">
        <v>tengah</v>
      </c>
      <c r="U195" s="32"/>
      <c r="V195" s="32"/>
    </row>
    <row r="196" spans="5:22">
      <c r="E196" s="32" t="str">
        <v>kiri</v>
      </c>
      <c r="F196" s="32" t="s">
        <v>199</v>
      </c>
      <c r="G196" s="40" t="s">
        <v>196</v>
      </c>
      <c r="J196" s="32" t="str">
        <v>tengah</v>
      </c>
      <c r="K196" s="32" t="s">
        <v>199</v>
      </c>
      <c r="L196" s="40" t="s">
        <v>196</v>
      </c>
      <c r="O196" s="32" t="str">
        <v>tengah</v>
      </c>
      <c r="P196" s="32" t="s">
        <v>199</v>
      </c>
      <c r="Q196" s="40" t="s">
        <v>196</v>
      </c>
      <c r="T196" s="32" t="str">
        <v>tengah</v>
      </c>
      <c r="U196" s="32" t="s">
        <v>199</v>
      </c>
      <c r="V196" s="40" t="s">
        <v>196</v>
      </c>
    </row>
    <row r="197" spans="5:22">
      <c r="E197" s="32" t="str">
        <v>tengah</v>
      </c>
      <c r="F197" s="41">
        <f>P5-(G176+G185+G194)</f>
        <v>4.2275651889472021E-2</v>
      </c>
      <c r="G197" s="39">
        <f>(G176+G185+G194)</f>
        <v>1.3339517695044469</v>
      </c>
      <c r="J197" s="32" t="str">
        <v>kanan</v>
      </c>
      <c r="K197" s="41">
        <f>P5-(L176+L185+L194)</f>
        <v>1.8095241932886807E-2</v>
      </c>
      <c r="L197" s="39">
        <f>(L176+L185+L194)</f>
        <v>1.3581321794610322</v>
      </c>
      <c r="O197" s="32" t="str">
        <v>tengah</v>
      </c>
      <c r="P197" s="41">
        <f>P5-(Q176+Q185+Q194)</f>
        <v>0.56775651041137176</v>
      </c>
      <c r="Q197" s="39">
        <f>(Q176+Q185+Q194)</f>
        <v>0.8084709109825472</v>
      </c>
      <c r="T197" s="32" t="str">
        <v>kanan</v>
      </c>
      <c r="U197" s="41">
        <f>P5-(V176+V185+V194)</f>
        <v>1.1646649522850883E-2</v>
      </c>
      <c r="V197" s="39">
        <f>(V176+V185+V194)</f>
        <v>1.3645807718710681</v>
      </c>
    </row>
    <row r="198" spans="5:22">
      <c r="E198" s="32" t="str">
        <v>kiri</v>
      </c>
      <c r="F198" s="32"/>
      <c r="G198" s="32"/>
      <c r="J198" s="32" t="str">
        <v>kanan</v>
      </c>
      <c r="K198" s="32"/>
      <c r="L198" s="32"/>
      <c r="O198" s="32" t="str">
        <v>tengah</v>
      </c>
      <c r="P198" s="32"/>
      <c r="Q198" s="32"/>
      <c r="T198" s="32" t="str">
        <v>kanan</v>
      </c>
      <c r="U198" s="32"/>
      <c r="V198" s="32"/>
    </row>
    <row r="199" spans="5:22">
      <c r="E199" s="32" t="str">
        <v>kiri</v>
      </c>
      <c r="F199" s="32"/>
      <c r="G199" s="32"/>
      <c r="J199" s="32" t="str">
        <v>tengah</v>
      </c>
      <c r="K199" s="32"/>
      <c r="L199" s="32"/>
      <c r="O199" s="32" t="str">
        <v>tengah</v>
      </c>
      <c r="P199" s="32"/>
      <c r="Q199" s="32"/>
      <c r="T199" s="32" t="str">
        <v>tengah</v>
      </c>
      <c r="U199" s="32"/>
      <c r="V199" s="32"/>
    </row>
    <row r="200" spans="5:22">
      <c r="E200" s="32" t="str">
        <v>kiri</v>
      </c>
      <c r="F200" s="32"/>
      <c r="G200" s="32"/>
      <c r="J200" s="32" t="str">
        <v>tengah</v>
      </c>
      <c r="K200" s="32"/>
      <c r="L200" s="32"/>
      <c r="O200" s="32" t="str">
        <v>tengah</v>
      </c>
      <c r="P200" s="32"/>
      <c r="Q200" s="32"/>
      <c r="T200" s="32" t="str">
        <v>tengah</v>
      </c>
      <c r="U200" s="32"/>
      <c r="V200" s="32"/>
    </row>
    <row r="201" spans="5:22">
      <c r="E201" s="32" t="str">
        <v>tengah</v>
      </c>
      <c r="F201" s="32"/>
      <c r="G201" s="32"/>
      <c r="J201" s="32" t="str">
        <v>kiri</v>
      </c>
      <c r="K201" s="32"/>
      <c r="L201" s="32"/>
      <c r="O201" s="32" t="str">
        <v>tengah</v>
      </c>
      <c r="P201" s="32"/>
      <c r="Q201" s="32"/>
      <c r="T201" s="32" t="str">
        <v>kanan</v>
      </c>
      <c r="U201" s="32"/>
      <c r="V201" s="32"/>
    </row>
    <row r="202" spans="5:22">
      <c r="E202" s="32" t="str">
        <v>kiri</v>
      </c>
      <c r="F202" s="32"/>
      <c r="G202" s="32"/>
      <c r="J202" s="32" t="str">
        <v>tengah</v>
      </c>
      <c r="K202" s="32"/>
      <c r="L202" s="32"/>
      <c r="O202" s="32" t="str">
        <v>tengah</v>
      </c>
      <c r="P202" s="32"/>
      <c r="Q202" s="32"/>
      <c r="T202" s="32" t="str">
        <v>tengah</v>
      </c>
      <c r="U202" s="32"/>
      <c r="V202" s="32"/>
    </row>
    <row r="203" spans="5:22">
      <c r="E203" s="32" t="str">
        <v>kanan</v>
      </c>
      <c r="F203" s="32"/>
      <c r="G203" s="32"/>
      <c r="J203" s="32" t="str">
        <v>kanan</v>
      </c>
      <c r="K203" s="32"/>
      <c r="L203" s="32"/>
      <c r="O203" s="32" t="str">
        <v>tengah</v>
      </c>
      <c r="P203" s="32"/>
      <c r="Q203" s="32"/>
      <c r="T203" s="32" t="str">
        <v>tengah</v>
      </c>
      <c r="U203" s="32"/>
      <c r="V203" s="32"/>
    </row>
    <row r="204" spans="5:22">
      <c r="E204" s="32" t="str">
        <v>tengah</v>
      </c>
      <c r="F204" s="32"/>
      <c r="G204" s="32"/>
      <c r="J204" s="32" t="str">
        <v>kiri</v>
      </c>
      <c r="K204" s="32"/>
      <c r="L204" s="32"/>
      <c r="O204" s="32" t="str">
        <v>tengah</v>
      </c>
      <c r="P204" s="32"/>
      <c r="Q204" s="32"/>
      <c r="T204" s="32" t="str">
        <v>kanan</v>
      </c>
      <c r="U204" s="32"/>
      <c r="V204" s="32"/>
    </row>
    <row r="205" spans="5:22">
      <c r="E205" s="32" t="str">
        <v>tengah</v>
      </c>
      <c r="F205" s="32"/>
      <c r="G205" s="32"/>
      <c r="J205" s="32" t="str">
        <v>tengah</v>
      </c>
      <c r="K205" s="32"/>
      <c r="L205" s="32"/>
      <c r="O205" s="32" t="str">
        <v>tengah</v>
      </c>
      <c r="P205" s="32"/>
      <c r="Q205" s="32"/>
      <c r="T205" s="32" t="str">
        <v>tengah</v>
      </c>
      <c r="U205" s="32"/>
      <c r="V205" s="32"/>
    </row>
    <row r="206" spans="5:22">
      <c r="E206" s="32" t="str">
        <v>tengah</v>
      </c>
      <c r="F206" s="32"/>
      <c r="G206" s="32"/>
      <c r="J206" s="32" t="str">
        <v>tengah</v>
      </c>
      <c r="K206" s="32"/>
      <c r="L206" s="32"/>
      <c r="O206" s="32" t="str">
        <v>tengah</v>
      </c>
      <c r="P206" s="32"/>
      <c r="Q206" s="32"/>
      <c r="T206" s="32" t="str">
        <v>kanan</v>
      </c>
      <c r="U206" s="32"/>
      <c r="V206" s="32"/>
    </row>
    <row r="207" spans="5:22">
      <c r="E207" s="32" t="str">
        <v>kiri</v>
      </c>
      <c r="F207" s="32"/>
      <c r="G207" s="32"/>
      <c r="J207" s="32" t="str">
        <v>kanan</v>
      </c>
      <c r="K207" s="32"/>
      <c r="L207" s="32"/>
      <c r="O207" s="32" t="str">
        <v>kiri</v>
      </c>
      <c r="P207" s="32"/>
      <c r="Q207" s="32"/>
      <c r="T207" s="32" t="str">
        <v>tengah</v>
      </c>
      <c r="U207" s="32"/>
      <c r="V207" s="32"/>
    </row>
    <row r="208" spans="5:22">
      <c r="E208" s="32" t="str">
        <v>tengah</v>
      </c>
      <c r="F208" s="32"/>
      <c r="G208" s="32"/>
      <c r="J208" s="32" t="str">
        <v>kanan</v>
      </c>
      <c r="K208" s="32"/>
      <c r="L208" s="32"/>
      <c r="O208" s="32" t="str">
        <v>tengah</v>
      </c>
      <c r="P208" s="32"/>
      <c r="Q208" s="32"/>
      <c r="T208" s="32" t="str">
        <v>kanan</v>
      </c>
      <c r="U208" s="32"/>
      <c r="V208" s="32"/>
    </row>
    <row r="209" spans="5:22">
      <c r="E209" s="32" t="str">
        <v>tengah</v>
      </c>
      <c r="F209" s="32"/>
      <c r="G209" s="32"/>
      <c r="J209" s="32" t="str">
        <v>kiri</v>
      </c>
      <c r="K209" s="32"/>
      <c r="L209" s="32"/>
      <c r="O209" s="32" t="str">
        <v>kiri</v>
      </c>
      <c r="P209" s="32"/>
      <c r="Q209" s="32"/>
      <c r="T209" s="32" t="str">
        <v>tengah</v>
      </c>
      <c r="U209" s="32"/>
      <c r="V209" s="32"/>
    </row>
    <row r="210" spans="5:22">
      <c r="E210" s="32" t="str">
        <v>kiri</v>
      </c>
      <c r="F210" s="32"/>
      <c r="G210" s="32"/>
      <c r="J210" s="32" t="str">
        <v>kanan</v>
      </c>
      <c r="K210" s="32"/>
      <c r="L210" s="32"/>
      <c r="O210" s="32" t="str">
        <v>tengah</v>
      </c>
      <c r="P210" s="32"/>
      <c r="Q210" s="32"/>
      <c r="T210" s="32" t="str">
        <v>kanan</v>
      </c>
      <c r="U210" s="32"/>
      <c r="V210" s="32"/>
    </row>
    <row r="211" spans="5:22">
      <c r="E211" s="32" t="str">
        <v>kanan</v>
      </c>
      <c r="F211" s="32"/>
      <c r="G211" s="32"/>
      <c r="J211" s="32" t="str">
        <v>kiri</v>
      </c>
      <c r="K211" s="32"/>
      <c r="L211" s="32"/>
      <c r="O211" s="32" t="str">
        <v>kiri</v>
      </c>
      <c r="P211" s="32"/>
      <c r="Q211" s="32"/>
      <c r="T211" s="32" t="str">
        <v>tengah</v>
      </c>
      <c r="U211" s="32"/>
      <c r="V211" s="32"/>
    </row>
    <row r="212" spans="5:22">
      <c r="E212" s="32" t="str">
        <v>kanan</v>
      </c>
      <c r="F212" s="32"/>
      <c r="G212" s="32"/>
      <c r="J212" s="32" t="str">
        <v>tengah</v>
      </c>
      <c r="K212" s="32"/>
      <c r="L212" s="32"/>
      <c r="O212" s="32" t="str">
        <v>tengah</v>
      </c>
      <c r="P212" s="32"/>
      <c r="Q212" s="32"/>
      <c r="T212" s="32" t="str">
        <v>kanan</v>
      </c>
      <c r="U212" s="32"/>
      <c r="V212" s="32"/>
    </row>
    <row r="213" spans="5:22">
      <c r="E213" s="32" t="str">
        <v>tengah</v>
      </c>
      <c r="F213" s="32"/>
      <c r="G213" s="32"/>
      <c r="J213" s="32" t="str">
        <v>tengah</v>
      </c>
      <c r="K213" s="32"/>
      <c r="L213" s="32"/>
      <c r="O213" s="32" t="str">
        <v>tengah</v>
      </c>
      <c r="P213" s="32"/>
      <c r="Q213" s="32"/>
      <c r="T213" s="32" t="str">
        <v>tengah</v>
      </c>
      <c r="U213" s="32"/>
      <c r="V213" s="32"/>
    </row>
    <row r="214" spans="5:22">
      <c r="E214" s="32" t="str">
        <v>kiri</v>
      </c>
      <c r="F214" s="32"/>
      <c r="G214" s="32"/>
      <c r="J214" s="32" t="str">
        <v>tengah</v>
      </c>
      <c r="K214" s="32"/>
      <c r="L214" s="32"/>
      <c r="O214" s="32" t="str">
        <v>tengah</v>
      </c>
      <c r="P214" s="32"/>
      <c r="Q214" s="32"/>
      <c r="T214" s="32" t="str">
        <v>tengah</v>
      </c>
      <c r="U214" s="32"/>
      <c r="V214" s="32"/>
    </row>
    <row r="215" spans="5:22">
      <c r="E215" s="32" t="str">
        <v>kanan</v>
      </c>
      <c r="F215" s="32"/>
      <c r="G215" s="32"/>
      <c r="J215" s="32" t="str">
        <v>tengah</v>
      </c>
      <c r="K215" s="32"/>
      <c r="L215" s="32"/>
      <c r="O215" s="32" t="str">
        <v>tengah</v>
      </c>
      <c r="P215" s="32"/>
      <c r="Q215" s="32"/>
      <c r="T215" s="32" t="str">
        <v>tengah</v>
      </c>
      <c r="U215" s="32"/>
      <c r="V215" s="32"/>
    </row>
    <row r="216" spans="5:22">
      <c r="E216" s="32" t="str">
        <v>kiri</v>
      </c>
      <c r="F216" s="32"/>
      <c r="G216" s="32"/>
      <c r="J216" s="32" t="str">
        <v>kanan</v>
      </c>
      <c r="K216" s="32"/>
      <c r="L216" s="32"/>
      <c r="O216" s="32" t="str">
        <v>tengah</v>
      </c>
      <c r="P216" s="32"/>
      <c r="Q216" s="32"/>
      <c r="T216" s="32" t="str">
        <v>kanan</v>
      </c>
      <c r="U216" s="32"/>
      <c r="V216" s="32"/>
    </row>
    <row r="217" spans="5:22">
      <c r="E217" s="32" t="str">
        <v>kiri</v>
      </c>
      <c r="F217" s="32"/>
      <c r="G217" s="32"/>
      <c r="J217" s="32" t="str">
        <v>tengah</v>
      </c>
      <c r="K217" s="32"/>
      <c r="L217" s="32"/>
      <c r="O217" s="32" t="str">
        <v>kanan</v>
      </c>
      <c r="P217" s="32"/>
      <c r="Q217" s="32"/>
      <c r="T217" s="32" t="str">
        <v>kanan</v>
      </c>
      <c r="U217" s="32"/>
      <c r="V217" s="32"/>
    </row>
    <row r="218" spans="5:22">
      <c r="E218" s="32" t="str">
        <v>kanan</v>
      </c>
      <c r="F218" s="32"/>
      <c r="G218" s="32"/>
      <c r="J218" s="32" t="str">
        <v>tengah</v>
      </c>
      <c r="K218" s="32"/>
      <c r="L218" s="32"/>
      <c r="O218" s="32" t="str">
        <v>tengah</v>
      </c>
      <c r="P218" s="32"/>
      <c r="Q218" s="32"/>
      <c r="T218" s="32" t="str">
        <v>kanan</v>
      </c>
      <c r="U218" s="32"/>
      <c r="V218" s="32"/>
    </row>
    <row r="219" spans="5:22">
      <c r="E219" s="32" t="str">
        <v>kanan</v>
      </c>
      <c r="F219" s="32"/>
      <c r="G219" s="32"/>
      <c r="J219" s="32" t="str">
        <v>kiri</v>
      </c>
      <c r="K219" s="32"/>
      <c r="L219" s="32"/>
      <c r="O219" s="32" t="str">
        <v>tengah</v>
      </c>
      <c r="P219" s="32"/>
      <c r="Q219" s="32"/>
      <c r="T219" s="32" t="str">
        <v>tengah</v>
      </c>
      <c r="U219" s="32"/>
      <c r="V219" s="32"/>
    </row>
    <row r="220" spans="5:22">
      <c r="E220" s="32" t="str">
        <v>tengah</v>
      </c>
      <c r="F220" s="32"/>
      <c r="G220" s="32"/>
      <c r="J220" s="32" t="str">
        <v>kiri</v>
      </c>
      <c r="K220" s="32"/>
      <c r="L220" s="32"/>
      <c r="O220" s="32" t="str">
        <v>tengah</v>
      </c>
      <c r="P220" s="32"/>
      <c r="Q220" s="32"/>
      <c r="T220" s="32" t="str">
        <v>tengah</v>
      </c>
      <c r="U220" s="32"/>
      <c r="V220" s="32"/>
    </row>
    <row r="221" spans="5:22">
      <c r="E221" s="32" t="str">
        <v>tengah</v>
      </c>
      <c r="F221" s="32"/>
      <c r="G221" s="32"/>
      <c r="J221" s="32" t="str">
        <v>tengah</v>
      </c>
      <c r="K221" s="32"/>
      <c r="L221" s="32"/>
      <c r="O221" s="32" t="str">
        <v>kiri</v>
      </c>
      <c r="P221" s="32"/>
      <c r="Q221" s="32"/>
      <c r="T221" s="32" t="str">
        <v>kanan</v>
      </c>
      <c r="U221" s="32"/>
      <c r="V221" s="32"/>
    </row>
    <row r="222" spans="5:22">
      <c r="E222" s="32" t="str">
        <v>tengah</v>
      </c>
      <c r="F222" s="32"/>
      <c r="G222" s="32"/>
      <c r="J222" s="32" t="str">
        <v>tengah</v>
      </c>
      <c r="K222" s="32"/>
      <c r="L222" s="32"/>
      <c r="O222" s="32" t="str">
        <v>tengah</v>
      </c>
      <c r="P222" s="32"/>
      <c r="Q222" s="32"/>
      <c r="T222" s="32" t="str">
        <v>tengah</v>
      </c>
      <c r="U222" s="32"/>
      <c r="V222" s="32"/>
    </row>
    <row r="223" spans="5:22">
      <c r="E223" s="32" t="str">
        <v>tengah</v>
      </c>
      <c r="F223" s="32"/>
      <c r="G223" s="32"/>
      <c r="J223" s="32" t="str">
        <v>kanan</v>
      </c>
      <c r="K223" s="32"/>
      <c r="L223" s="32"/>
      <c r="O223" s="32" t="str">
        <v>tengah</v>
      </c>
      <c r="P223" s="32"/>
      <c r="Q223" s="32"/>
      <c r="T223" s="32" t="str">
        <v>kanan</v>
      </c>
      <c r="U223" s="32"/>
      <c r="V223" s="32"/>
    </row>
    <row r="224" spans="5:22">
      <c r="E224" s="32" t="str">
        <v>kanan</v>
      </c>
      <c r="F224" s="32"/>
      <c r="G224" s="32"/>
      <c r="J224" s="32" t="str">
        <v>tengah</v>
      </c>
      <c r="K224" s="32"/>
      <c r="L224" s="32"/>
      <c r="O224" s="32" t="str">
        <v>tengah</v>
      </c>
      <c r="P224" s="32"/>
      <c r="Q224" s="32"/>
      <c r="T224" s="32" t="str">
        <v>tengah</v>
      </c>
      <c r="U224" s="32"/>
      <c r="V224" s="32"/>
    </row>
    <row r="225" spans="5:22">
      <c r="E225" s="32" t="str">
        <v>tengah</v>
      </c>
      <c r="F225" s="32"/>
      <c r="G225" s="32"/>
      <c r="J225" s="32" t="str">
        <v>tengah</v>
      </c>
      <c r="K225" s="32"/>
      <c r="L225" s="32"/>
      <c r="O225" s="32" t="str">
        <v>kiri</v>
      </c>
      <c r="P225" s="32"/>
      <c r="Q225" s="32"/>
      <c r="T225" s="32" t="str">
        <v>kanan</v>
      </c>
      <c r="U225" s="32"/>
      <c r="V225" s="32"/>
    </row>
    <row r="226" spans="5:22">
      <c r="E226" s="32" t="str">
        <v>tengah</v>
      </c>
      <c r="F226" s="32"/>
      <c r="G226" s="32"/>
      <c r="J226" s="32" t="str">
        <v>tengah</v>
      </c>
      <c r="K226" s="32"/>
      <c r="L226" s="32"/>
      <c r="O226" s="32" t="str">
        <v>tengah</v>
      </c>
      <c r="P226" s="32"/>
      <c r="Q226" s="32"/>
      <c r="T226" s="32" t="str">
        <v>tengah</v>
      </c>
      <c r="U226" s="32"/>
      <c r="V226" s="32"/>
    </row>
    <row r="227" spans="5:22">
      <c r="E227" s="32" t="str">
        <v>tengah</v>
      </c>
      <c r="F227" s="32"/>
      <c r="G227" s="32"/>
      <c r="J227" s="32" t="str">
        <v>tengah</v>
      </c>
      <c r="K227" s="32"/>
      <c r="L227" s="32"/>
      <c r="O227" s="32" t="str">
        <v>kiri</v>
      </c>
      <c r="P227" s="32"/>
      <c r="Q227" s="32"/>
      <c r="T227" s="32" t="str">
        <v>kanan</v>
      </c>
      <c r="U227" s="32"/>
      <c r="V227" s="32"/>
    </row>
    <row r="228" spans="5:22">
      <c r="E228" s="32" t="str">
        <v>kiri</v>
      </c>
      <c r="F228" s="32"/>
      <c r="G228" s="32"/>
      <c r="J228" s="32" t="str">
        <v>kiri</v>
      </c>
      <c r="K228" s="32"/>
      <c r="L228" s="32"/>
      <c r="O228" s="32" t="str">
        <v>tengah</v>
      </c>
      <c r="P228" s="32"/>
      <c r="Q228" s="32"/>
      <c r="T228" s="32" t="str">
        <v>kanan</v>
      </c>
      <c r="U228" s="32"/>
      <c r="V228" s="32"/>
    </row>
    <row r="229" spans="5:22">
      <c r="E229" s="32" t="str">
        <v>tengah</v>
      </c>
      <c r="F229" s="32"/>
      <c r="G229" s="32"/>
      <c r="J229" s="32" t="str">
        <v>tengah</v>
      </c>
      <c r="K229" s="32"/>
      <c r="L229" s="32"/>
      <c r="O229" s="32" t="str">
        <v>tengah</v>
      </c>
      <c r="P229" s="32"/>
      <c r="Q229" s="32"/>
      <c r="T229" s="32" t="str">
        <v>kanan</v>
      </c>
      <c r="U229" s="32"/>
      <c r="V229" s="32"/>
    </row>
    <row r="230" spans="5:22">
      <c r="E230" s="32" t="str">
        <v>kanan</v>
      </c>
      <c r="F230" s="32"/>
      <c r="G230" s="32"/>
      <c r="J230" s="32" t="str">
        <v>kanan</v>
      </c>
      <c r="K230" s="32"/>
      <c r="L230" s="32"/>
      <c r="O230" s="32" t="str">
        <v>tengah</v>
      </c>
      <c r="P230" s="32"/>
      <c r="Q230" s="32"/>
      <c r="T230" s="32" t="str">
        <v>kanan</v>
      </c>
      <c r="U230" s="32"/>
      <c r="V230" s="32"/>
    </row>
    <row r="231" spans="5:22">
      <c r="E231" s="32" t="str">
        <v>kiri</v>
      </c>
      <c r="F231" s="32"/>
      <c r="G231" s="32"/>
      <c r="J231" s="32" t="str">
        <v>kiri</v>
      </c>
      <c r="K231" s="32"/>
      <c r="L231" s="32"/>
      <c r="O231" s="32" t="str">
        <v>kanan</v>
      </c>
      <c r="P231" s="32"/>
      <c r="Q231" s="32"/>
      <c r="T231" s="32" t="str">
        <v>kanan</v>
      </c>
      <c r="U231" s="32"/>
      <c r="V231" s="32"/>
    </row>
    <row r="232" spans="5:22">
      <c r="E232" s="32" t="str">
        <v>kiri</v>
      </c>
      <c r="F232" s="32"/>
      <c r="G232" s="32"/>
      <c r="J232" s="32" t="str">
        <v>kanan</v>
      </c>
      <c r="K232" s="32"/>
      <c r="L232" s="32"/>
      <c r="O232" s="32" t="str">
        <v>kiri</v>
      </c>
      <c r="P232" s="32"/>
      <c r="Q232" s="32"/>
      <c r="T232" s="32" t="str">
        <v>tengah</v>
      </c>
      <c r="U232" s="32"/>
      <c r="V232" s="32"/>
    </row>
    <row r="233" spans="5:22">
      <c r="E233" s="32" t="str">
        <v>kanan</v>
      </c>
      <c r="F233" s="32"/>
      <c r="G233" s="32"/>
      <c r="J233" s="32" t="str">
        <v>tengah</v>
      </c>
      <c r="K233" s="32"/>
      <c r="L233" s="32"/>
      <c r="O233" s="32" t="str">
        <v>kanan</v>
      </c>
      <c r="P233" s="32"/>
      <c r="Q233" s="32"/>
      <c r="T233" s="32" t="str">
        <v>kanan</v>
      </c>
      <c r="U233" s="32"/>
      <c r="V233" s="32"/>
    </row>
    <row r="234" spans="5:22">
      <c r="E234" s="32" t="str">
        <v>tengah</v>
      </c>
      <c r="F234" s="32"/>
      <c r="G234" s="32"/>
      <c r="J234" s="32" t="str">
        <v>tengah</v>
      </c>
      <c r="K234" s="32"/>
      <c r="L234" s="32"/>
      <c r="O234" s="32" t="str">
        <v>tengah</v>
      </c>
      <c r="P234" s="32"/>
      <c r="Q234" s="32"/>
      <c r="T234" s="32" t="str">
        <v>tengah</v>
      </c>
      <c r="U234" s="32"/>
      <c r="V234" s="32"/>
    </row>
    <row r="235" spans="5:22">
      <c r="E235" s="32" t="str">
        <v>tengah</v>
      </c>
      <c r="F235" s="32"/>
      <c r="G235" s="32"/>
      <c r="J235" s="32" t="str">
        <v>tengah</v>
      </c>
      <c r="K235" s="32"/>
      <c r="L235" s="32"/>
      <c r="O235" s="32" t="str">
        <v>tengah</v>
      </c>
      <c r="P235" s="32"/>
      <c r="Q235" s="32"/>
      <c r="T235" s="32" t="str">
        <v>kanan</v>
      </c>
      <c r="U235" s="32"/>
      <c r="V235" s="32"/>
    </row>
    <row r="236" spans="5:22">
      <c r="E236" s="32" t="str">
        <v>tengah</v>
      </c>
      <c r="F236" s="32"/>
      <c r="G236" s="32"/>
      <c r="J236" s="32" t="str">
        <v>kanan</v>
      </c>
      <c r="K236" s="32"/>
      <c r="L236" s="32"/>
      <c r="O236" s="32" t="str">
        <v>tengah</v>
      </c>
      <c r="P236" s="32"/>
      <c r="Q236" s="32"/>
      <c r="T236" s="32" t="str">
        <v>kanan</v>
      </c>
      <c r="U236" s="32"/>
      <c r="V236" s="32"/>
    </row>
    <row r="237" spans="5:22">
      <c r="E237" s="32" t="str">
        <v>tengah</v>
      </c>
      <c r="F237" s="32"/>
      <c r="G237" s="32"/>
      <c r="J237" s="32" t="str">
        <v>tengah</v>
      </c>
      <c r="K237" s="32"/>
      <c r="L237" s="32"/>
      <c r="O237" s="32" t="str">
        <v>tengah</v>
      </c>
      <c r="P237" s="32"/>
      <c r="Q237" s="32"/>
      <c r="T237" s="32" t="str">
        <v>kanan</v>
      </c>
      <c r="U237" s="32"/>
      <c r="V237" s="32"/>
    </row>
    <row r="238" spans="5:22">
      <c r="E238" s="32" t="str">
        <v>tengah</v>
      </c>
      <c r="F238" s="32"/>
      <c r="G238" s="32"/>
      <c r="J238" s="32" t="str">
        <v>tengah</v>
      </c>
      <c r="K238" s="32"/>
      <c r="L238" s="32"/>
      <c r="O238" s="32" t="str">
        <v>tengah</v>
      </c>
      <c r="P238" s="32"/>
      <c r="Q238" s="32"/>
      <c r="T238" s="32" t="str">
        <v>kanan</v>
      </c>
      <c r="U238" s="32"/>
      <c r="V238" s="32"/>
    </row>
    <row r="239" spans="5:22">
      <c r="E239" s="32" t="str">
        <v>kanan</v>
      </c>
      <c r="F239" s="32"/>
      <c r="G239" s="32"/>
      <c r="J239" s="32" t="str">
        <v>tengah</v>
      </c>
      <c r="K239" s="32"/>
      <c r="L239" s="32"/>
      <c r="O239" s="32" t="str">
        <v>kanan</v>
      </c>
      <c r="P239" s="32"/>
      <c r="Q239" s="32"/>
      <c r="T239" s="32" t="str">
        <v>kanan</v>
      </c>
      <c r="U239" s="32"/>
      <c r="V239" s="32"/>
    </row>
    <row r="240" spans="5:22">
      <c r="E240" s="32" t="str">
        <v>tengah</v>
      </c>
      <c r="F240" s="32"/>
      <c r="G240" s="32"/>
      <c r="J240" s="32" t="str">
        <v>tengah</v>
      </c>
      <c r="K240" s="32"/>
      <c r="L240" s="32"/>
      <c r="O240" s="32" t="str">
        <v>tengah</v>
      </c>
      <c r="P240" s="32"/>
      <c r="Q240" s="32"/>
      <c r="T240" s="32" t="str">
        <v>kanan</v>
      </c>
      <c r="U240" s="32"/>
      <c r="V240" s="32"/>
    </row>
    <row r="241" spans="5:22">
      <c r="E241" s="32" t="str">
        <v>tengah</v>
      </c>
      <c r="F241" s="32"/>
      <c r="G241" s="32"/>
      <c r="J241" s="32" t="str">
        <v>tengah</v>
      </c>
      <c r="K241" s="32"/>
      <c r="L241" s="32"/>
      <c r="O241" s="32" t="str">
        <v>tengah</v>
      </c>
      <c r="P241" s="32"/>
      <c r="Q241" s="32"/>
      <c r="T241" s="32" t="str">
        <v>kanan</v>
      </c>
      <c r="U241" s="32"/>
      <c r="V241" s="32"/>
    </row>
    <row r="242" spans="5:22">
      <c r="E242" s="32" t="str">
        <v>tengah</v>
      </c>
      <c r="F242" s="32"/>
      <c r="G242" s="32"/>
      <c r="J242" s="32" t="str">
        <v>kanan</v>
      </c>
      <c r="K242" s="32"/>
      <c r="L242" s="32"/>
      <c r="O242" s="32" t="str">
        <v>tengah</v>
      </c>
      <c r="P242" s="32"/>
      <c r="Q242" s="32"/>
      <c r="T242" s="32" t="str">
        <v>kanan</v>
      </c>
      <c r="U242" s="32"/>
      <c r="V242" s="32"/>
    </row>
    <row r="243" spans="5:22">
      <c r="E243" s="32" t="str">
        <v>tengah</v>
      </c>
      <c r="F243" s="32"/>
      <c r="G243" s="32"/>
      <c r="J243" s="32" t="str">
        <v>kiri</v>
      </c>
      <c r="K243" s="32"/>
      <c r="L243" s="32"/>
      <c r="O243" s="32" t="str">
        <v>tengah</v>
      </c>
      <c r="P243" s="32"/>
      <c r="Q243" s="32"/>
      <c r="T243" s="32" t="str">
        <v>tengah</v>
      </c>
      <c r="U243" s="32"/>
      <c r="V243" s="32"/>
    </row>
    <row r="244" spans="5:22">
      <c r="E244" s="32" t="str">
        <v>tengah</v>
      </c>
      <c r="F244" s="32"/>
      <c r="G244" s="32"/>
      <c r="J244" s="32" t="str">
        <v>tengah</v>
      </c>
      <c r="K244" s="32"/>
      <c r="L244" s="32"/>
      <c r="O244" s="32" t="str">
        <v>tengah</v>
      </c>
      <c r="P244" s="32"/>
      <c r="Q244" s="32"/>
      <c r="T244" s="32" t="str">
        <v>kanan</v>
      </c>
      <c r="U244" s="32"/>
      <c r="V244" s="32"/>
    </row>
    <row r="245" spans="5:22">
      <c r="E245" s="32" t="str">
        <v>kiri</v>
      </c>
      <c r="F245" s="32"/>
      <c r="G245" s="32"/>
      <c r="J245" s="32" t="str">
        <v>kiri</v>
      </c>
      <c r="K245" s="32"/>
      <c r="L245" s="32"/>
      <c r="O245" s="32" t="str">
        <v>tengah</v>
      </c>
      <c r="P245" s="32"/>
      <c r="Q245" s="32"/>
      <c r="T245" s="32" t="str">
        <v>tengah</v>
      </c>
      <c r="U245" s="32"/>
      <c r="V245" s="32"/>
    </row>
    <row r="246" spans="5:22">
      <c r="E246" s="32" t="str">
        <v>tengah</v>
      </c>
      <c r="F246" s="32"/>
      <c r="G246" s="32"/>
      <c r="J246" s="32" t="str">
        <v>kiri</v>
      </c>
      <c r="K246" s="32"/>
      <c r="L246" s="32"/>
      <c r="O246" s="32" t="str">
        <v>tengah</v>
      </c>
      <c r="P246" s="32"/>
      <c r="Q246" s="32"/>
      <c r="T246" s="32" t="str">
        <v>tengah</v>
      </c>
      <c r="U246" s="32"/>
      <c r="V246" s="32"/>
    </row>
    <row r="247" spans="5:22">
      <c r="E247" s="32" t="str">
        <v>kanan</v>
      </c>
      <c r="F247" s="32"/>
      <c r="G247" s="32"/>
      <c r="J247" s="32" t="str">
        <v>kanan</v>
      </c>
      <c r="K247" s="32"/>
      <c r="L247" s="32"/>
      <c r="O247" s="32" t="str">
        <v>tengah</v>
      </c>
      <c r="P247" s="32"/>
      <c r="Q247" s="32"/>
      <c r="T247" s="32" t="str">
        <v>tengah</v>
      </c>
      <c r="U247" s="32"/>
      <c r="V247" s="32"/>
    </row>
    <row r="248" spans="5:22">
      <c r="E248" s="32" t="str">
        <v>kiri</v>
      </c>
      <c r="F248" s="32"/>
      <c r="G248" s="32"/>
      <c r="J248" s="32" t="str">
        <v>kanan</v>
      </c>
      <c r="K248" s="32"/>
      <c r="L248" s="32"/>
      <c r="O248" s="32" t="str">
        <v>kiri</v>
      </c>
      <c r="P248" s="32"/>
      <c r="Q248" s="32"/>
      <c r="T248" s="32" t="str">
        <v>tengah</v>
      </c>
      <c r="U248" s="32"/>
      <c r="V248" s="32"/>
    </row>
    <row r="249" spans="5:22">
      <c r="E249" s="32" t="str">
        <v>tengah</v>
      </c>
      <c r="F249" s="32"/>
      <c r="G249" s="32"/>
      <c r="J249" s="32" t="str">
        <v>tengah</v>
      </c>
      <c r="K249" s="32"/>
      <c r="L249" s="32"/>
      <c r="O249" s="32" t="str">
        <v>tengah</v>
      </c>
      <c r="P249" s="32"/>
      <c r="Q249" s="32"/>
      <c r="T249" s="32" t="str">
        <v>tengah</v>
      </c>
      <c r="U249" s="32"/>
      <c r="V249" s="32"/>
    </row>
    <row r="250" spans="5:22">
      <c r="E250" s="32" t="str">
        <v>kiri</v>
      </c>
      <c r="F250" s="32"/>
      <c r="G250" s="32"/>
      <c r="J250" s="32" t="str">
        <v>tengah</v>
      </c>
      <c r="K250" s="32"/>
      <c r="L250" s="32"/>
      <c r="O250" s="32" t="str">
        <v>tengah</v>
      </c>
      <c r="P250" s="32"/>
      <c r="Q250" s="32"/>
      <c r="T250" s="32" t="str">
        <v>tengah</v>
      </c>
      <c r="U250" s="32"/>
      <c r="V250" s="32"/>
    </row>
    <row r="251" spans="5:22">
      <c r="E251" s="32" t="str">
        <v>tengah</v>
      </c>
      <c r="F251" s="32"/>
      <c r="G251" s="32"/>
      <c r="J251" s="32" t="str">
        <v>kiri</v>
      </c>
      <c r="K251" s="32"/>
      <c r="L251" s="32"/>
      <c r="O251" s="32" t="str">
        <v>kanan</v>
      </c>
      <c r="P251" s="32"/>
      <c r="Q251" s="32"/>
      <c r="T251" s="32" t="str">
        <v>tengah</v>
      </c>
      <c r="U251" s="32"/>
      <c r="V251" s="32"/>
    </row>
    <row r="252" spans="5:22">
      <c r="E252" s="32" t="str">
        <v>kiri</v>
      </c>
      <c r="F252" s="32"/>
      <c r="G252" s="32"/>
      <c r="J252" s="32" t="str">
        <v>tengah</v>
      </c>
      <c r="K252" s="32"/>
      <c r="L252" s="32"/>
      <c r="O252" s="32" t="str">
        <v>tengah</v>
      </c>
      <c r="P252" s="32"/>
      <c r="Q252" s="32"/>
      <c r="T252" s="32" t="str">
        <v>kanan</v>
      </c>
      <c r="U252" s="32"/>
      <c r="V252" s="32"/>
    </row>
    <row r="253" spans="5:22">
      <c r="E253" s="32" t="str">
        <v>kiri</v>
      </c>
      <c r="F253" s="32"/>
      <c r="G253" s="32"/>
      <c r="J253" s="32" t="str">
        <v>tengah</v>
      </c>
      <c r="K253" s="32"/>
      <c r="L253" s="32"/>
      <c r="O253" s="32" t="str">
        <v>kanan</v>
      </c>
      <c r="P253" s="32"/>
      <c r="Q253" s="32"/>
      <c r="T253" s="32" t="str">
        <v>kanan</v>
      </c>
      <c r="U253" s="32"/>
      <c r="V253" s="32"/>
    </row>
    <row r="254" spans="5:22">
      <c r="E254" s="32" t="str">
        <v>tengah</v>
      </c>
      <c r="F254" s="32"/>
      <c r="G254" s="32"/>
      <c r="J254" s="32" t="str">
        <v>tengah</v>
      </c>
      <c r="K254" s="32"/>
      <c r="L254" s="32"/>
      <c r="O254" s="32" t="str">
        <v>kiri</v>
      </c>
      <c r="P254" s="32"/>
      <c r="Q254" s="32"/>
      <c r="T254" s="32" t="str">
        <v>kanan</v>
      </c>
      <c r="U254" s="32"/>
      <c r="V254" s="32"/>
    </row>
    <row r="255" spans="5:22">
      <c r="E255" s="32" t="str">
        <v>tengah</v>
      </c>
      <c r="F255" s="32"/>
      <c r="G255" s="32"/>
      <c r="J255" s="32" t="str">
        <v>kiri</v>
      </c>
      <c r="K255" s="32"/>
      <c r="L255" s="32"/>
      <c r="O255" s="32" t="str">
        <v>tengah</v>
      </c>
      <c r="P255" s="32"/>
      <c r="Q255" s="32"/>
      <c r="T255" s="32" t="str">
        <v>tengah</v>
      </c>
      <c r="U255" s="32"/>
      <c r="V255" s="32"/>
    </row>
    <row r="256" spans="5:22">
      <c r="E256" s="32" t="str">
        <v>kiri</v>
      </c>
      <c r="F256" s="32"/>
      <c r="G256" s="32"/>
      <c r="J256" s="32" t="str">
        <v>tengah</v>
      </c>
      <c r="K256" s="32"/>
      <c r="L256" s="32"/>
      <c r="O256" s="32" t="str">
        <v>tengah</v>
      </c>
      <c r="P256" s="32"/>
      <c r="Q256" s="32"/>
      <c r="T256" s="32" t="str">
        <v>kanan</v>
      </c>
      <c r="U256" s="32"/>
      <c r="V256" s="32"/>
    </row>
    <row r="257" spans="5:22">
      <c r="E257" s="32" t="str">
        <v>kiri</v>
      </c>
      <c r="F257" s="32"/>
      <c r="G257" s="32"/>
      <c r="J257" s="32" t="str">
        <v>kiri</v>
      </c>
      <c r="K257" s="32"/>
      <c r="L257" s="32"/>
      <c r="O257" s="32" t="str">
        <v>tengah</v>
      </c>
      <c r="P257" s="32"/>
      <c r="Q257" s="32"/>
      <c r="T257" s="32" t="str">
        <v>kanan</v>
      </c>
      <c r="U257" s="32"/>
      <c r="V257" s="32"/>
    </row>
    <row r="258" spans="5:22">
      <c r="E258" s="32" t="str">
        <v>kiri</v>
      </c>
      <c r="F258" s="32"/>
      <c r="G258" s="32"/>
      <c r="J258" s="32" t="str">
        <v>tengah</v>
      </c>
      <c r="K258" s="32"/>
      <c r="L258" s="32"/>
      <c r="O258" s="32" t="str">
        <v>kanan</v>
      </c>
      <c r="P258" s="32"/>
      <c r="Q258" s="32"/>
      <c r="T258" s="32" t="str">
        <v>kanan</v>
      </c>
      <c r="U258" s="32"/>
      <c r="V258" s="32"/>
    </row>
    <row r="259" spans="5:22">
      <c r="E259" s="32" t="str">
        <v>kiri</v>
      </c>
      <c r="F259" s="32"/>
      <c r="G259" s="32"/>
      <c r="J259" s="32" t="str">
        <v>kanan</v>
      </c>
      <c r="K259" s="32"/>
      <c r="L259" s="32"/>
      <c r="O259" s="32" t="str">
        <v>tengah</v>
      </c>
      <c r="P259" s="32"/>
      <c r="Q259" s="32"/>
      <c r="T259" s="32" t="str">
        <v>kanan</v>
      </c>
      <c r="U259" s="32"/>
      <c r="V259" s="32"/>
    </row>
    <row r="260" spans="5:22">
      <c r="E260" s="32" t="str">
        <v>tengah</v>
      </c>
      <c r="F260" s="32"/>
      <c r="G260" s="32"/>
      <c r="J260" s="32" t="str">
        <v>kanan</v>
      </c>
      <c r="K260" s="32"/>
      <c r="L260" s="32"/>
      <c r="O260" s="32" t="str">
        <v>tengah</v>
      </c>
      <c r="P260" s="32"/>
      <c r="Q260" s="32"/>
      <c r="T260" s="32" t="str">
        <v>tengah</v>
      </c>
      <c r="U260" s="32"/>
      <c r="V260" s="32"/>
    </row>
    <row r="261" spans="5:22">
      <c r="E261" s="32" t="str">
        <v>kiri</v>
      </c>
      <c r="F261" s="32"/>
      <c r="G261" s="32"/>
      <c r="J261" s="32" t="str">
        <v>kiri</v>
      </c>
      <c r="K261" s="32"/>
      <c r="L261" s="32"/>
      <c r="O261" s="32" t="str">
        <v>tengah</v>
      </c>
      <c r="P261" s="32"/>
      <c r="Q261" s="32"/>
      <c r="T261" s="32" t="str">
        <v>tengah</v>
      </c>
      <c r="U261" s="32"/>
      <c r="V261" s="32"/>
    </row>
    <row r="262" spans="5:22">
      <c r="E262" s="32" t="str">
        <v>tengah</v>
      </c>
      <c r="F262" s="32"/>
      <c r="G262" s="32"/>
      <c r="J262" s="32" t="str">
        <v>kiri</v>
      </c>
      <c r="K262" s="32"/>
      <c r="L262" s="32"/>
      <c r="O262" s="32" t="str">
        <v>tengah</v>
      </c>
      <c r="P262" s="32"/>
      <c r="Q262" s="32"/>
      <c r="T262" s="32" t="str">
        <v>tengah</v>
      </c>
      <c r="U262" s="32"/>
      <c r="V262" s="32"/>
    </row>
    <row r="263" spans="5:22">
      <c r="E263" s="32" t="str">
        <v>kiri</v>
      </c>
      <c r="F263" s="32"/>
      <c r="G263" s="32"/>
      <c r="J263" s="32" t="str">
        <v>kanan</v>
      </c>
      <c r="K263" s="32"/>
      <c r="L263" s="32"/>
      <c r="O263" s="32" t="str">
        <v>kiri</v>
      </c>
      <c r="P263" s="32"/>
      <c r="Q263" s="32"/>
      <c r="T263" s="32" t="str">
        <v>tengah</v>
      </c>
      <c r="U263" s="32"/>
      <c r="V263" s="32"/>
    </row>
    <row r="264" spans="5:22">
      <c r="E264" s="32" t="str">
        <v>tengah</v>
      </c>
      <c r="F264" s="32"/>
      <c r="G264" s="32"/>
      <c r="J264" s="32" t="str">
        <v>tengah</v>
      </c>
      <c r="K264" s="32"/>
      <c r="L264" s="32"/>
      <c r="O264" s="32" t="str">
        <v>tengah</v>
      </c>
      <c r="P264" s="32"/>
      <c r="Q264" s="32"/>
      <c r="T264" s="32" t="str">
        <v>kanan</v>
      </c>
      <c r="U264" s="32"/>
      <c r="V264" s="32"/>
    </row>
    <row r="265" spans="5:22">
      <c r="E265" s="32" t="str">
        <v>kiri</v>
      </c>
      <c r="F265" s="32"/>
      <c r="G265" s="32"/>
      <c r="J265" s="32" t="str">
        <v>tengah</v>
      </c>
      <c r="K265" s="32"/>
      <c r="L265" s="32"/>
      <c r="O265" s="32" t="str">
        <v>tengah</v>
      </c>
      <c r="P265" s="32"/>
      <c r="Q265" s="32"/>
      <c r="T265" s="32" t="str">
        <v>tengah</v>
      </c>
      <c r="U265" s="32"/>
      <c r="V265" s="32"/>
    </row>
    <row r="266" spans="5:22">
      <c r="E266" s="32" t="str">
        <v>tengah</v>
      </c>
      <c r="F266" s="32"/>
      <c r="G266" s="32"/>
      <c r="J266" s="32" t="str">
        <v>kanan</v>
      </c>
      <c r="K266" s="32"/>
      <c r="L266" s="32"/>
      <c r="O266" s="32" t="str">
        <v>tengah</v>
      </c>
      <c r="P266" s="32"/>
      <c r="Q266" s="32"/>
      <c r="T266" s="32" t="str">
        <v>tengah</v>
      </c>
      <c r="U266" s="32"/>
      <c r="V266" s="32"/>
    </row>
    <row r="267" spans="5:22">
      <c r="E267" s="32" t="str">
        <v>kiri</v>
      </c>
      <c r="F267" s="32"/>
      <c r="G267" s="32"/>
      <c r="J267" s="32" t="str">
        <v>tengah</v>
      </c>
      <c r="K267" s="32"/>
      <c r="L267" s="32"/>
      <c r="O267" s="32" t="str">
        <v>kiri</v>
      </c>
      <c r="P267" s="32"/>
      <c r="Q267" s="32"/>
      <c r="T267" s="32" t="str">
        <v>tengah</v>
      </c>
      <c r="U267" s="32"/>
      <c r="V267" s="32"/>
    </row>
    <row r="268" spans="5:22">
      <c r="E268" s="32" t="str">
        <v>tengah</v>
      </c>
      <c r="F268" s="32"/>
      <c r="G268" s="32"/>
      <c r="J268" s="32" t="str">
        <v>tengah</v>
      </c>
      <c r="K268" s="32"/>
      <c r="L268" s="32"/>
      <c r="O268" s="32" t="str">
        <v>kiri</v>
      </c>
      <c r="P268" s="32"/>
      <c r="Q268" s="32"/>
      <c r="T268" s="32" t="str">
        <v>kanan</v>
      </c>
      <c r="U268" s="32"/>
      <c r="V268" s="32"/>
    </row>
    <row r="269" spans="5:22">
      <c r="E269" s="32" t="str">
        <v>tengah</v>
      </c>
      <c r="F269" s="32"/>
      <c r="G269" s="32"/>
      <c r="J269" s="32" t="str">
        <v>kanan</v>
      </c>
      <c r="K269" s="32"/>
      <c r="L269" s="32"/>
      <c r="O269" s="32" t="str">
        <v>tengah</v>
      </c>
      <c r="P269" s="32"/>
      <c r="Q269" s="32"/>
      <c r="T269" s="32" t="str">
        <v>kanan</v>
      </c>
      <c r="U269" s="32"/>
      <c r="V269" s="32"/>
    </row>
    <row r="270" spans="5:22">
      <c r="E270" s="32" t="str">
        <v>kiri</v>
      </c>
      <c r="F270" s="32"/>
      <c r="G270" s="32"/>
      <c r="J270" s="32" t="str">
        <v>tengah</v>
      </c>
      <c r="K270" s="32"/>
      <c r="L270" s="32"/>
      <c r="O270" s="32" t="str">
        <v>kanan</v>
      </c>
      <c r="P270" s="32"/>
      <c r="Q270" s="32"/>
      <c r="T270" s="32" t="str">
        <v>tengah</v>
      </c>
      <c r="U270" s="32"/>
      <c r="V270" s="32"/>
    </row>
    <row r="271" spans="5:22">
      <c r="E271" s="32" t="str">
        <v>kanan</v>
      </c>
      <c r="F271" s="32"/>
      <c r="G271" s="32"/>
      <c r="J271" s="32" t="str">
        <v>kanan</v>
      </c>
      <c r="K271" s="32"/>
      <c r="L271" s="32"/>
      <c r="O271" s="32" t="str">
        <v>tengah</v>
      </c>
      <c r="P271" s="32"/>
      <c r="Q271" s="32"/>
      <c r="T271" s="32" t="str">
        <v>kanan</v>
      </c>
      <c r="U271" s="32"/>
      <c r="V271" s="32"/>
    </row>
    <row r="272" spans="5:22">
      <c r="E272" s="32" t="str">
        <v>kanan</v>
      </c>
      <c r="F272" s="32"/>
      <c r="G272" s="32"/>
      <c r="J272" s="32" t="str">
        <v>kanan</v>
      </c>
      <c r="K272" s="32"/>
      <c r="L272" s="32"/>
      <c r="O272" s="32" t="str">
        <v>kanan</v>
      </c>
      <c r="P272" s="32"/>
      <c r="Q272" s="32"/>
      <c r="T272" s="32" t="str">
        <v>kanan</v>
      </c>
      <c r="U272" s="32"/>
      <c r="V272" s="32"/>
    </row>
    <row r="273" spans="5:22">
      <c r="E273" s="32" t="str">
        <v>kanan</v>
      </c>
      <c r="F273" s="32"/>
      <c r="G273" s="32"/>
      <c r="J273" s="32" t="str">
        <v>tengah</v>
      </c>
      <c r="K273" s="32"/>
      <c r="L273" s="32"/>
      <c r="O273" s="32" t="str">
        <v>tengah</v>
      </c>
      <c r="P273" s="32"/>
      <c r="Q273" s="32"/>
      <c r="T273" s="32" t="str">
        <v>tengah</v>
      </c>
      <c r="U273" s="32"/>
      <c r="V273" s="32"/>
    </row>
    <row r="274" spans="5:22">
      <c r="E274" s="32" t="str">
        <v>kanan</v>
      </c>
      <c r="F274" s="32"/>
      <c r="G274" s="32"/>
      <c r="J274" s="32" t="str">
        <v>kanan</v>
      </c>
      <c r="K274" s="32"/>
      <c r="L274" s="32"/>
      <c r="O274" s="32" t="str">
        <v>tengah</v>
      </c>
      <c r="P274" s="32"/>
      <c r="Q274" s="32"/>
      <c r="T274" s="32" t="str">
        <v>tengah</v>
      </c>
      <c r="U274" s="32"/>
      <c r="V274" s="32"/>
    </row>
    <row r="275" spans="5:22">
      <c r="E275" s="32" t="str">
        <v>tengah</v>
      </c>
      <c r="F275" s="32"/>
      <c r="G275" s="32"/>
      <c r="J275" s="32" t="str">
        <v>tengah</v>
      </c>
      <c r="K275" s="32"/>
      <c r="L275" s="32"/>
      <c r="O275" s="32" t="str">
        <v>kiri</v>
      </c>
      <c r="P275" s="32"/>
      <c r="Q275" s="32"/>
      <c r="T275" s="32" t="str">
        <v>kanan</v>
      </c>
      <c r="U275" s="32"/>
      <c r="V275" s="32"/>
    </row>
    <row r="276" spans="5:22">
      <c r="E276" s="32" t="str">
        <v>kiri</v>
      </c>
      <c r="F276" s="32"/>
      <c r="G276" s="32"/>
      <c r="J276" s="32" t="str">
        <v>kiri</v>
      </c>
      <c r="K276" s="32"/>
      <c r="L276" s="32"/>
      <c r="O276" s="32" t="str">
        <v>kanan</v>
      </c>
      <c r="P276" s="32"/>
      <c r="Q276" s="32"/>
      <c r="T276" s="32" t="str">
        <v>tengah</v>
      </c>
      <c r="U276" s="32"/>
      <c r="V276" s="32"/>
    </row>
    <row r="277" spans="5:22">
      <c r="E277" s="32" t="str">
        <v>tengah</v>
      </c>
      <c r="F277" s="32"/>
      <c r="G277" s="32"/>
      <c r="J277" s="32" t="str">
        <v>kanan</v>
      </c>
      <c r="K277" s="32"/>
      <c r="L277" s="32"/>
      <c r="O277" s="32" t="str">
        <v>kanan</v>
      </c>
      <c r="P277" s="32"/>
      <c r="Q277" s="32"/>
      <c r="T277" s="32" t="str">
        <v>tengah</v>
      </c>
      <c r="U277" s="32"/>
      <c r="V277" s="32"/>
    </row>
    <row r="278" spans="5:22">
      <c r="E278" s="32" t="str">
        <v>kiri</v>
      </c>
      <c r="F278" s="32"/>
      <c r="G278" s="32"/>
      <c r="J278" s="32" t="str">
        <v>kiri</v>
      </c>
      <c r="K278" s="32"/>
      <c r="L278" s="32"/>
      <c r="O278" s="32" t="str">
        <v>tengah</v>
      </c>
      <c r="P278" s="32"/>
      <c r="Q278" s="32"/>
      <c r="T278" s="32" t="str">
        <v>kanan</v>
      </c>
      <c r="U278" s="32"/>
      <c r="V278" s="32"/>
    </row>
    <row r="279" spans="5:22">
      <c r="E279" s="32" t="str">
        <v>kiri</v>
      </c>
      <c r="F279" s="32"/>
      <c r="G279" s="32"/>
      <c r="J279" s="32" t="str">
        <v>tengah</v>
      </c>
      <c r="K279" s="32"/>
      <c r="L279" s="32"/>
      <c r="O279" s="32" t="str">
        <v>tengah</v>
      </c>
      <c r="P279" s="32"/>
      <c r="Q279" s="32"/>
      <c r="T279" s="32" t="str">
        <v>tengah</v>
      </c>
      <c r="U279" s="32"/>
      <c r="V279" s="32"/>
    </row>
    <row r="280" spans="5:22">
      <c r="E280" s="32" t="str">
        <v>tengah</v>
      </c>
      <c r="F280" s="32"/>
      <c r="G280" s="32"/>
      <c r="J280" s="32" t="str">
        <v>tengah</v>
      </c>
      <c r="K280" s="32"/>
      <c r="L280" s="32"/>
      <c r="O280" s="32" t="str">
        <v>kanan</v>
      </c>
      <c r="P280" s="32"/>
      <c r="Q280" s="32"/>
      <c r="T280" s="32" t="str">
        <v>kanan</v>
      </c>
      <c r="U280" s="32"/>
      <c r="V280" s="32"/>
    </row>
    <row r="281" spans="5:22">
      <c r="E281" s="32" t="str">
        <v>tengah</v>
      </c>
      <c r="F281" s="32"/>
      <c r="G281" s="32"/>
      <c r="J281" s="32" t="str">
        <v>tengah</v>
      </c>
      <c r="K281" s="32"/>
      <c r="L281" s="32"/>
      <c r="O281" s="32" t="str">
        <v>kiri</v>
      </c>
      <c r="P281" s="32"/>
      <c r="Q281" s="32"/>
      <c r="T281" s="32" t="str">
        <v>kanan</v>
      </c>
      <c r="U281" s="32"/>
      <c r="V281" s="32"/>
    </row>
    <row r="282" spans="5:22">
      <c r="E282" s="32" t="str">
        <v>tengah</v>
      </c>
      <c r="F282" s="32"/>
      <c r="G282" s="32"/>
      <c r="J282" s="32" t="str">
        <v>kiri</v>
      </c>
      <c r="K282" s="32"/>
      <c r="L282" s="32"/>
      <c r="O282" s="32" t="str">
        <v>kiri</v>
      </c>
      <c r="P282" s="32"/>
      <c r="Q282" s="32"/>
      <c r="T282" s="32" t="str">
        <v>kanan</v>
      </c>
      <c r="U282" s="32"/>
      <c r="V282" s="32"/>
    </row>
    <row r="283" spans="5:22">
      <c r="E283" s="32" t="str">
        <v>tengah</v>
      </c>
      <c r="F283" s="32"/>
      <c r="G283" s="32"/>
      <c r="J283" s="32" t="str">
        <v>kanan</v>
      </c>
      <c r="K283" s="32"/>
      <c r="L283" s="32"/>
      <c r="O283" s="32" t="str">
        <v>tengah</v>
      </c>
      <c r="P283" s="32"/>
      <c r="Q283" s="32"/>
      <c r="T283" s="32" t="str">
        <v>tengah</v>
      </c>
      <c r="U283" s="32"/>
      <c r="V283" s="32"/>
    </row>
    <row r="284" spans="5:22">
      <c r="E284" s="32" t="str">
        <v>kiri</v>
      </c>
      <c r="F284" s="32"/>
      <c r="G284" s="32"/>
      <c r="J284" s="32" t="str">
        <v>tengah</v>
      </c>
      <c r="K284" s="32"/>
      <c r="L284" s="32"/>
      <c r="O284" s="32" t="str">
        <v>kanan</v>
      </c>
      <c r="P284" s="32"/>
      <c r="Q284" s="32"/>
      <c r="T284" s="32" t="str">
        <v>kanan</v>
      </c>
      <c r="U284" s="32"/>
      <c r="V284" s="32"/>
    </row>
    <row r="285" spans="5:22">
      <c r="E285" s="32" t="str">
        <v>kanan</v>
      </c>
      <c r="F285" s="32"/>
      <c r="G285" s="32"/>
      <c r="J285" s="32" t="str">
        <v>tengah</v>
      </c>
      <c r="K285" s="32"/>
      <c r="L285" s="32"/>
      <c r="O285" s="32" t="str">
        <v>tengah</v>
      </c>
      <c r="P285" s="32"/>
      <c r="Q285" s="32"/>
      <c r="T285" s="32" t="str">
        <v>kanan</v>
      </c>
      <c r="U285" s="32"/>
      <c r="V285" s="32"/>
    </row>
    <row r="286" spans="5:22">
      <c r="E286" s="32" t="str">
        <v>kanan</v>
      </c>
      <c r="F286" s="32"/>
      <c r="G286" s="32"/>
      <c r="J286" s="32" t="str">
        <v>tengah</v>
      </c>
      <c r="K286" s="32"/>
      <c r="L286" s="32"/>
      <c r="O286" s="32" t="str">
        <v>kanan</v>
      </c>
      <c r="P286" s="32"/>
      <c r="Q286" s="32"/>
      <c r="T286" s="32" t="str">
        <v>kanan</v>
      </c>
      <c r="U286" s="32"/>
      <c r="V286" s="32"/>
    </row>
    <row r="287" spans="5:22">
      <c r="E287" s="32" t="str">
        <v>tengah</v>
      </c>
      <c r="F287" s="32"/>
      <c r="G287" s="32"/>
      <c r="J287" s="32" t="str">
        <v>kiri</v>
      </c>
      <c r="K287" s="32"/>
      <c r="L287" s="32"/>
      <c r="O287" s="32" t="str">
        <v>tengah</v>
      </c>
      <c r="P287" s="32"/>
      <c r="Q287" s="32"/>
      <c r="T287" s="32" t="str">
        <v>tengah</v>
      </c>
      <c r="U287" s="32"/>
      <c r="V287" s="32"/>
    </row>
    <row r="288" spans="5:22">
      <c r="E288" s="32" t="str">
        <v>tengah</v>
      </c>
      <c r="F288" s="32"/>
      <c r="G288" s="32"/>
      <c r="J288" s="32" t="str">
        <v>kiri</v>
      </c>
      <c r="K288" s="32"/>
      <c r="L288" s="32"/>
      <c r="O288" s="32" t="str">
        <v>kanan</v>
      </c>
      <c r="P288" s="32"/>
      <c r="Q288" s="32"/>
      <c r="T288" s="32" t="str">
        <v>tengah</v>
      </c>
      <c r="U288" s="32"/>
      <c r="V288" s="32"/>
    </row>
    <row r="289" spans="5:22">
      <c r="E289" s="32" t="str">
        <v>tengah</v>
      </c>
      <c r="F289" s="32"/>
      <c r="G289" s="32"/>
      <c r="J289" s="32" t="str">
        <v>tengah</v>
      </c>
      <c r="K289" s="32"/>
      <c r="L289" s="32"/>
      <c r="O289" s="32" t="str">
        <v>kiri</v>
      </c>
      <c r="P289" s="32"/>
      <c r="Q289" s="32"/>
      <c r="T289" s="32" t="str">
        <v>kanan</v>
      </c>
      <c r="U289" s="32"/>
      <c r="V289" s="32"/>
    </row>
    <row r="290" spans="5:22">
      <c r="E290" s="32" t="str">
        <v>tengah</v>
      </c>
      <c r="F290" s="32"/>
      <c r="G290" s="32"/>
      <c r="J290" s="32" t="str">
        <v>kiri</v>
      </c>
      <c r="K290" s="32"/>
      <c r="L290" s="32"/>
      <c r="O290" s="32" t="str">
        <v>tengah</v>
      </c>
      <c r="P290" s="32"/>
      <c r="Q290" s="32"/>
      <c r="T290" s="32" t="str">
        <v>kanan</v>
      </c>
      <c r="U290" s="32"/>
      <c r="V290" s="32"/>
    </row>
    <row r="291" spans="5:22">
      <c r="E291" s="32" t="str">
        <v>kiri</v>
      </c>
      <c r="F291" s="32"/>
      <c r="G291" s="32"/>
      <c r="J291" s="32" t="str">
        <v>tengah</v>
      </c>
      <c r="K291" s="32"/>
      <c r="L291" s="32"/>
      <c r="O291" s="32" t="str">
        <v>tengah</v>
      </c>
      <c r="P291" s="32"/>
      <c r="Q291" s="32"/>
      <c r="T291" s="32" t="str">
        <v>kanan</v>
      </c>
      <c r="U291" s="32"/>
      <c r="V291" s="32"/>
    </row>
    <row r="292" spans="5:22">
      <c r="E292" s="32" t="str">
        <v>kanan</v>
      </c>
      <c r="F292" s="32"/>
      <c r="G292" s="32"/>
      <c r="J292" s="32" t="str">
        <v>tengah</v>
      </c>
      <c r="K292" s="32"/>
      <c r="L292" s="32"/>
      <c r="O292" s="32" t="str">
        <v>tengah</v>
      </c>
      <c r="P292" s="32"/>
      <c r="Q292" s="32"/>
      <c r="T292" s="32" t="str">
        <v>kanan</v>
      </c>
      <c r="U292" s="32"/>
      <c r="V292" s="32"/>
    </row>
    <row r="293" spans="5:22">
      <c r="E293" s="32" t="str">
        <v>tengah</v>
      </c>
      <c r="F293" s="32"/>
      <c r="G293" s="32"/>
      <c r="J293" s="32" t="str">
        <v>kiri</v>
      </c>
      <c r="K293" s="32"/>
      <c r="L293" s="32"/>
      <c r="O293" s="32" t="str">
        <v>tengah</v>
      </c>
      <c r="P293" s="32"/>
      <c r="Q293" s="32"/>
      <c r="T293" s="32" t="str">
        <v>tengah</v>
      </c>
      <c r="U293" s="32"/>
      <c r="V293" s="32"/>
    </row>
    <row r="294" spans="5:22">
      <c r="E294" s="32" t="str">
        <v>tengah</v>
      </c>
      <c r="F294" s="32"/>
      <c r="G294" s="32"/>
      <c r="J294" s="32" t="str">
        <v>kiri</v>
      </c>
      <c r="K294" s="32"/>
      <c r="L294" s="32"/>
      <c r="O294" s="32" t="str">
        <v>tengah</v>
      </c>
      <c r="P294" s="32"/>
      <c r="Q294" s="32"/>
      <c r="T294" s="32" t="str">
        <v>tengah</v>
      </c>
      <c r="U294" s="32"/>
      <c r="V294" s="32"/>
    </row>
    <row r="295" spans="5:22">
      <c r="E295" s="32" t="str">
        <v>tengah</v>
      </c>
      <c r="F295" s="32"/>
      <c r="G295" s="32"/>
      <c r="J295" s="32" t="str">
        <v>tengah</v>
      </c>
      <c r="K295" s="32"/>
      <c r="L295" s="32"/>
      <c r="O295" s="32" t="str">
        <v>tengah</v>
      </c>
      <c r="P295" s="32"/>
      <c r="Q295" s="32"/>
      <c r="T295" s="32" t="str">
        <v>kanan</v>
      </c>
      <c r="U295" s="32"/>
      <c r="V295" s="32"/>
    </row>
    <row r="296" spans="5:22">
      <c r="E296" s="32" t="str">
        <v>kanan</v>
      </c>
      <c r="F296" s="32"/>
      <c r="G296" s="32"/>
      <c r="J296" s="32" t="str">
        <v>tengah</v>
      </c>
      <c r="K296" s="32"/>
      <c r="L296" s="32"/>
      <c r="O296" s="32" t="str">
        <v>kiri</v>
      </c>
      <c r="P296" s="32"/>
      <c r="Q296" s="32"/>
      <c r="T296" s="32" t="str">
        <v>tengah</v>
      </c>
      <c r="U296" s="32"/>
      <c r="V296" s="32"/>
    </row>
    <row r="297" spans="5:22">
      <c r="E297" s="32" t="str">
        <v>tengah</v>
      </c>
      <c r="F297" s="32"/>
      <c r="G297" s="32"/>
      <c r="J297" s="32" t="str">
        <v>tengah</v>
      </c>
      <c r="K297" s="32"/>
      <c r="L297" s="32"/>
      <c r="O297" s="32" t="str">
        <v>tengah</v>
      </c>
      <c r="P297" s="32"/>
      <c r="Q297" s="32"/>
      <c r="T297" s="32" t="str">
        <v>tengah</v>
      </c>
      <c r="U297" s="32"/>
      <c r="V297" s="32"/>
    </row>
    <row r="298" spans="5:22">
      <c r="E298" s="32" t="str">
        <v>tengah</v>
      </c>
      <c r="F298" s="32"/>
      <c r="G298" s="32"/>
      <c r="J298" s="32" t="str">
        <v>tengah</v>
      </c>
      <c r="K298" s="32"/>
      <c r="L298" s="32"/>
      <c r="O298" s="32" t="str">
        <v>tengah</v>
      </c>
      <c r="P298" s="32"/>
      <c r="Q298" s="32"/>
      <c r="T298" s="32" t="str">
        <v>kanan</v>
      </c>
      <c r="U298" s="32"/>
      <c r="V298" s="32"/>
    </row>
    <row r="299" spans="5:22">
      <c r="E299" s="32" t="str">
        <v>tengah</v>
      </c>
      <c r="F299" s="32"/>
      <c r="G299" s="32"/>
      <c r="J299" s="32" t="str">
        <v>kiri</v>
      </c>
      <c r="K299" s="32"/>
      <c r="L299" s="32"/>
      <c r="O299" s="32" t="str">
        <v>kiri</v>
      </c>
      <c r="P299" s="32"/>
      <c r="Q299" s="32"/>
      <c r="T299" s="32" t="str">
        <v>kanan</v>
      </c>
      <c r="U299" s="32"/>
      <c r="V299" s="32"/>
    </row>
    <row r="300" spans="5:22">
      <c r="E300" s="32" t="str">
        <v>tengah</v>
      </c>
      <c r="F300" s="32"/>
      <c r="G300" s="32"/>
      <c r="J300" s="32" t="str">
        <v>tengah</v>
      </c>
      <c r="K300" s="32"/>
      <c r="L300" s="32"/>
      <c r="O300" s="32" t="str">
        <v>tengah</v>
      </c>
      <c r="P300" s="32"/>
      <c r="Q300" s="32"/>
      <c r="T300" s="32" t="str">
        <v>tengah</v>
      </c>
      <c r="U300" s="32"/>
      <c r="V300" s="32"/>
    </row>
    <row r="301" spans="5:22">
      <c r="E301" s="32" t="str">
        <v>tengah</v>
      </c>
      <c r="F301" s="32"/>
      <c r="G301" s="32"/>
      <c r="J301" s="32" t="str">
        <v>kanan</v>
      </c>
      <c r="K301" s="32"/>
      <c r="L301" s="32"/>
      <c r="O301" s="32" t="str">
        <v>tengah</v>
      </c>
      <c r="P301" s="32"/>
      <c r="Q301" s="32"/>
      <c r="T301" s="32" t="str">
        <v>kanan</v>
      </c>
      <c r="U301" s="32"/>
      <c r="V301" s="32"/>
    </row>
    <row r="302" spans="5:22">
      <c r="E302" s="32" t="str">
        <v>kanan</v>
      </c>
      <c r="F302" s="32"/>
      <c r="G302" s="32"/>
      <c r="J302" s="32" t="str">
        <v>kanan</v>
      </c>
      <c r="K302" s="32"/>
      <c r="L302" s="32"/>
      <c r="O302" s="32" t="str">
        <v>tengah</v>
      </c>
      <c r="P302" s="32"/>
      <c r="Q302" s="32"/>
      <c r="T302" s="32" t="str">
        <v>tengah</v>
      </c>
      <c r="U302" s="32"/>
      <c r="V302" s="32"/>
    </row>
    <row r="303" spans="5:22">
      <c r="E303" s="32" t="str">
        <v>tengah</v>
      </c>
      <c r="F303" s="32"/>
      <c r="G303" s="32"/>
      <c r="J303" s="32" t="str">
        <v>kanan</v>
      </c>
      <c r="K303" s="32"/>
      <c r="L303" s="32"/>
      <c r="O303" s="32" t="str">
        <v>tengah</v>
      </c>
      <c r="P303" s="32"/>
      <c r="Q303" s="32"/>
      <c r="T303" s="32" t="str">
        <v>tengah</v>
      </c>
      <c r="U303" s="32"/>
      <c r="V303" s="32"/>
    </row>
    <row r="304" spans="5:22">
      <c r="E304" s="32" t="str">
        <v>kanan</v>
      </c>
      <c r="F304" s="32"/>
      <c r="G304" s="32"/>
      <c r="J304" s="32" t="str">
        <v>kanan</v>
      </c>
      <c r="K304" s="32"/>
      <c r="L304" s="32"/>
      <c r="O304" s="32" t="str">
        <v>kanan</v>
      </c>
      <c r="P304" s="32"/>
      <c r="Q304" s="32"/>
      <c r="T304" s="32" t="str">
        <v>kanan</v>
      </c>
      <c r="U304" s="32"/>
      <c r="V304" s="32"/>
    </row>
    <row r="305" spans="5:22">
      <c r="E305" s="32" t="str">
        <v>kanan</v>
      </c>
      <c r="F305" s="32"/>
      <c r="G305" s="32"/>
      <c r="J305" s="32" t="str">
        <v>tengah</v>
      </c>
      <c r="K305" s="32"/>
      <c r="L305" s="32"/>
      <c r="O305" s="32" t="str">
        <v>tengah</v>
      </c>
      <c r="P305" s="32"/>
      <c r="Q305" s="32"/>
      <c r="T305" s="32" t="str">
        <v>kanan</v>
      </c>
      <c r="U305" s="32"/>
      <c r="V305" s="32"/>
    </row>
    <row r="306" spans="5:22">
      <c r="E306" s="32" t="str">
        <v>tengah</v>
      </c>
      <c r="F306" s="32"/>
      <c r="G306" s="32"/>
      <c r="J306" s="32" t="str">
        <v>tengah</v>
      </c>
      <c r="K306" s="32"/>
      <c r="L306" s="32"/>
      <c r="O306" s="32" t="str">
        <v>kanan</v>
      </c>
      <c r="P306" s="32"/>
      <c r="Q306" s="32"/>
      <c r="T306" s="32" t="str">
        <v>tengah</v>
      </c>
      <c r="U306" s="32"/>
      <c r="V306" s="32"/>
    </row>
    <row r="307" spans="5:22">
      <c r="E307" s="32" t="str">
        <v>tengah</v>
      </c>
      <c r="F307" s="32"/>
      <c r="G307" s="32"/>
      <c r="J307" s="32" t="str">
        <v>kanan</v>
      </c>
      <c r="K307" s="32"/>
      <c r="L307" s="32"/>
      <c r="O307" s="32" t="str">
        <v>tengah</v>
      </c>
      <c r="P307" s="32"/>
      <c r="Q307" s="32"/>
      <c r="T307" s="32" t="str">
        <v>tengah</v>
      </c>
      <c r="U307" s="32"/>
      <c r="V307" s="32"/>
    </row>
    <row r="308" spans="5:22">
      <c r="E308" s="32" t="str">
        <v>kiri</v>
      </c>
      <c r="F308" s="32"/>
      <c r="G308" s="32"/>
      <c r="J308" s="32" t="str">
        <v>tengah</v>
      </c>
      <c r="K308" s="32"/>
      <c r="L308" s="32"/>
      <c r="O308" s="32" t="str">
        <v>tengah</v>
      </c>
      <c r="P308" s="32"/>
      <c r="Q308" s="32"/>
      <c r="T308" s="32" t="str">
        <v>tengah</v>
      </c>
      <c r="U308" s="32"/>
      <c r="V308" s="32"/>
    </row>
    <row r="309" spans="5:22">
      <c r="E309" s="32" t="str">
        <v>tengah</v>
      </c>
      <c r="F309" s="32"/>
      <c r="G309" s="32"/>
      <c r="J309" s="32" t="str">
        <v>tengah</v>
      </c>
      <c r="K309" s="32"/>
      <c r="L309" s="32"/>
      <c r="O309" s="32" t="str">
        <v>tengah</v>
      </c>
      <c r="P309" s="32"/>
      <c r="Q309" s="32"/>
      <c r="T309" s="32" t="str">
        <v>tengah</v>
      </c>
      <c r="U309" s="32"/>
      <c r="V309" s="32"/>
    </row>
    <row r="310" spans="5:22">
      <c r="E310" s="32" t="str">
        <v>kiri</v>
      </c>
      <c r="F310" s="32"/>
      <c r="G310" s="32"/>
      <c r="J310" s="32" t="str">
        <v>kanan</v>
      </c>
      <c r="K310" s="32"/>
      <c r="L310" s="32"/>
      <c r="O310" s="32" t="str">
        <v>tengah</v>
      </c>
      <c r="P310" s="32"/>
      <c r="Q310" s="32"/>
      <c r="T310" s="32" t="str">
        <v>kanan</v>
      </c>
      <c r="U310" s="32"/>
      <c r="V310" s="32"/>
    </row>
    <row r="311" spans="5:22">
      <c r="E311" s="32" t="str">
        <v>kiri</v>
      </c>
      <c r="F311" s="32"/>
      <c r="G311" s="32"/>
      <c r="J311" s="32" t="str">
        <v>tengah</v>
      </c>
      <c r="K311" s="32"/>
      <c r="L311" s="32"/>
      <c r="O311" s="32" t="str">
        <v>kanan</v>
      </c>
      <c r="P311" s="32"/>
      <c r="Q311" s="32"/>
      <c r="T311" s="32" t="str">
        <v>tengah</v>
      </c>
      <c r="U311" s="32"/>
      <c r="V311" s="32"/>
    </row>
    <row r="312" spans="5:22">
      <c r="E312" s="32" t="str">
        <v>kiri</v>
      </c>
      <c r="F312" s="32"/>
      <c r="G312" s="32"/>
      <c r="J312" s="32" t="str">
        <v>kiri</v>
      </c>
      <c r="K312" s="32"/>
      <c r="L312" s="32"/>
      <c r="O312" s="32" t="str">
        <v>kanan</v>
      </c>
      <c r="P312" s="32"/>
      <c r="Q312" s="32"/>
      <c r="T312" s="32" t="str">
        <v>kanan</v>
      </c>
      <c r="U312" s="32"/>
      <c r="V312" s="32"/>
    </row>
    <row r="313" spans="5:22">
      <c r="E313" s="32" t="str">
        <v>kanan</v>
      </c>
      <c r="F313" s="32"/>
      <c r="G313" s="32"/>
      <c r="J313" s="32" t="str">
        <v>tengah</v>
      </c>
      <c r="K313" s="32"/>
      <c r="L313" s="32"/>
      <c r="O313" s="32" t="str">
        <v>kiri</v>
      </c>
      <c r="P313" s="32"/>
      <c r="Q313" s="32"/>
      <c r="T313" s="32" t="str">
        <v>tengah</v>
      </c>
      <c r="U313" s="32"/>
      <c r="V313" s="32"/>
    </row>
    <row r="314" spans="5:22">
      <c r="E314" s="32" t="str">
        <v>tengah</v>
      </c>
      <c r="F314" s="32"/>
      <c r="G314" s="32"/>
      <c r="J314" s="32" t="str">
        <v>kiri</v>
      </c>
      <c r="K314" s="32"/>
      <c r="L314" s="32"/>
      <c r="O314" s="32" t="str">
        <v>tengah</v>
      </c>
      <c r="P314" s="32"/>
      <c r="Q314" s="32"/>
      <c r="T314" s="32" t="str">
        <v>kanan</v>
      </c>
      <c r="U314" s="32"/>
      <c r="V314" s="32"/>
    </row>
    <row r="315" spans="5:22">
      <c r="E315" s="32" t="str">
        <v>tengah</v>
      </c>
      <c r="F315" s="32"/>
      <c r="G315" s="32"/>
      <c r="J315" s="32" t="str">
        <v>kanan</v>
      </c>
      <c r="K315" s="32"/>
      <c r="L315" s="32"/>
      <c r="O315" s="32" t="str">
        <v>kiri</v>
      </c>
      <c r="P315" s="32"/>
      <c r="Q315" s="32"/>
      <c r="T315" s="32" t="str">
        <v>tengah</v>
      </c>
      <c r="U315" s="32"/>
      <c r="V315" s="32"/>
    </row>
    <row r="316" spans="5:22">
      <c r="E316" s="32" t="str">
        <v>tengah</v>
      </c>
      <c r="F316" s="32"/>
      <c r="G316" s="32"/>
      <c r="J316" s="32" t="str">
        <v>kiri</v>
      </c>
      <c r="K316" s="32"/>
      <c r="L316" s="32"/>
      <c r="O316" s="32" t="str">
        <v>tengah</v>
      </c>
      <c r="P316" s="32"/>
      <c r="Q316" s="32"/>
      <c r="T316" s="32" t="str">
        <v>tengah</v>
      </c>
      <c r="U316" s="32"/>
      <c r="V316" s="32"/>
    </row>
    <row r="317" spans="5:22">
      <c r="E317" s="32" t="str">
        <v>tengah</v>
      </c>
      <c r="F317" s="32"/>
      <c r="G317" s="32"/>
      <c r="J317" s="32" t="str">
        <v>tengah</v>
      </c>
      <c r="K317" s="32"/>
      <c r="L317" s="32"/>
      <c r="O317" s="32" t="str">
        <v>tengah</v>
      </c>
      <c r="P317" s="32"/>
      <c r="Q317" s="32"/>
      <c r="T317" s="32" t="str">
        <v>tengah</v>
      </c>
      <c r="U317" s="32"/>
      <c r="V317" s="32"/>
    </row>
    <row r="318" spans="5:22">
      <c r="E318" s="32" t="str">
        <v>kiri</v>
      </c>
      <c r="F318" s="32"/>
      <c r="G318" s="32"/>
      <c r="J318" s="32" t="str">
        <v>kiri</v>
      </c>
      <c r="K318" s="32"/>
      <c r="L318" s="32"/>
      <c r="O318" s="32" t="str">
        <v>tengah</v>
      </c>
      <c r="P318" s="32"/>
      <c r="Q318" s="32"/>
      <c r="T318" s="32" t="str">
        <v>tengah</v>
      </c>
      <c r="U318" s="32"/>
      <c r="V318" s="32"/>
    </row>
    <row r="319" spans="5:22">
      <c r="E319" s="32" t="str">
        <v>kiri</v>
      </c>
      <c r="F319" s="32"/>
      <c r="G319" s="32"/>
      <c r="J319" s="32" t="str">
        <v>tengah</v>
      </c>
      <c r="K319" s="32"/>
      <c r="L319" s="32"/>
      <c r="O319" s="32" t="str">
        <v>kanan</v>
      </c>
      <c r="P319" s="32"/>
      <c r="Q319" s="32"/>
      <c r="T319" s="32" t="str">
        <v>tengah</v>
      </c>
      <c r="U319" s="32"/>
      <c r="V319" s="32"/>
    </row>
    <row r="320" spans="5:22">
      <c r="E320" s="32" t="str">
        <v>tengah</v>
      </c>
      <c r="F320" s="32"/>
      <c r="G320" s="32"/>
      <c r="J320" s="32" t="str">
        <v>kanan</v>
      </c>
      <c r="K320" s="32"/>
      <c r="L320" s="32"/>
      <c r="O320" s="32" t="str">
        <v>tengah</v>
      </c>
      <c r="P320" s="32"/>
      <c r="Q320" s="32"/>
      <c r="T320" s="32" t="str">
        <v>tengah</v>
      </c>
      <c r="U320" s="32"/>
      <c r="V320" s="32"/>
    </row>
    <row r="321" spans="5:22">
      <c r="E321" s="32" t="str">
        <v>kiri</v>
      </c>
      <c r="F321" s="32"/>
      <c r="G321" s="32"/>
      <c r="J321" s="32" t="str">
        <v>tengah</v>
      </c>
      <c r="K321" s="32"/>
      <c r="L321" s="32"/>
      <c r="O321" s="32" t="str">
        <v>kanan</v>
      </c>
      <c r="P321" s="32"/>
      <c r="Q321" s="32"/>
      <c r="T321" s="32" t="str">
        <v>tengah</v>
      </c>
      <c r="U321" s="32"/>
      <c r="V321" s="32"/>
    </row>
    <row r="322" spans="5:22">
      <c r="E322" s="32" t="str">
        <v>kanan</v>
      </c>
      <c r="F322" s="32"/>
      <c r="G322" s="32"/>
      <c r="J322" s="32" t="str">
        <v>tengah</v>
      </c>
      <c r="K322" s="32"/>
      <c r="L322" s="32"/>
      <c r="O322" s="32" t="str">
        <v>tengah</v>
      </c>
      <c r="P322" s="32"/>
      <c r="Q322" s="32"/>
      <c r="T322" s="32" t="str">
        <v>tengah</v>
      </c>
      <c r="U322" s="32"/>
      <c r="V322" s="32"/>
    </row>
    <row r="323" spans="5:22">
      <c r="E323" s="32" t="str">
        <v>tengah</v>
      </c>
      <c r="F323" s="32"/>
      <c r="G323" s="32"/>
      <c r="J323" s="32" t="str">
        <v>tengah</v>
      </c>
      <c r="K323" s="32"/>
      <c r="L323" s="32"/>
      <c r="O323" s="32" t="str">
        <v>kanan</v>
      </c>
      <c r="P323" s="32"/>
      <c r="Q323" s="32"/>
      <c r="T323" s="32" t="str">
        <v>tengah</v>
      </c>
      <c r="U323" s="32"/>
      <c r="V323" s="32"/>
    </row>
    <row r="324" spans="5:22">
      <c r="E324" s="32" t="str">
        <v>tengah</v>
      </c>
      <c r="F324" s="32"/>
      <c r="G324" s="32"/>
      <c r="J324" s="32" t="str">
        <v>tengah</v>
      </c>
      <c r="K324" s="32"/>
      <c r="L324" s="32"/>
      <c r="O324" s="32" t="str">
        <v>tengah</v>
      </c>
      <c r="P324" s="32"/>
      <c r="Q324" s="32"/>
      <c r="T324" s="32" t="str">
        <v>kanan</v>
      </c>
      <c r="U324" s="32"/>
      <c r="V324" s="32"/>
    </row>
    <row r="325" spans="5:22">
      <c r="E325" s="32" t="str">
        <v>tengah</v>
      </c>
      <c r="F325" s="32"/>
      <c r="G325" s="32"/>
      <c r="J325" s="32" t="str">
        <v>tengah</v>
      </c>
      <c r="K325" s="32"/>
      <c r="L325" s="32"/>
      <c r="O325" s="32" t="str">
        <v>kiri</v>
      </c>
      <c r="P325" s="32"/>
      <c r="Q325" s="32"/>
      <c r="T325" s="32" t="str">
        <v>kanan</v>
      </c>
      <c r="U325" s="32"/>
      <c r="V325" s="32"/>
    </row>
    <row r="326" spans="5:22">
      <c r="E326" s="32" t="str">
        <v>kiri</v>
      </c>
      <c r="F326" s="32"/>
      <c r="G326" s="32"/>
      <c r="J326" s="32" t="str">
        <v>kanan</v>
      </c>
      <c r="K326" s="32"/>
      <c r="L326" s="32"/>
      <c r="O326" s="32" t="str">
        <v>kiri</v>
      </c>
      <c r="P326" s="32"/>
      <c r="Q326" s="32"/>
      <c r="T326" s="32" t="str">
        <v>kanan</v>
      </c>
      <c r="U326" s="32"/>
      <c r="V326" s="32"/>
    </row>
    <row r="327" spans="5:22">
      <c r="E327" s="32" t="str">
        <v>kiri</v>
      </c>
      <c r="F327" s="32"/>
      <c r="G327" s="32"/>
      <c r="J327" s="32" t="str">
        <v>tengah</v>
      </c>
      <c r="K327" s="32"/>
      <c r="L327" s="32"/>
      <c r="O327" s="32" t="str">
        <v>tengah</v>
      </c>
      <c r="P327" s="32"/>
      <c r="Q327" s="32"/>
      <c r="T327" s="32" t="str">
        <v>kanan</v>
      </c>
      <c r="U327" s="32"/>
      <c r="V327" s="32"/>
    </row>
    <row r="328" spans="5:22">
      <c r="E328" s="32" t="str">
        <v>tengah</v>
      </c>
      <c r="F328" s="32"/>
      <c r="G328" s="32"/>
      <c r="J328" s="32" t="str">
        <v>tengah</v>
      </c>
      <c r="K328" s="32"/>
      <c r="L328" s="32"/>
      <c r="O328" s="32" t="str">
        <v>tengah</v>
      </c>
      <c r="P328" s="32"/>
      <c r="Q328" s="32"/>
      <c r="T328" s="32" t="str">
        <v>kanan</v>
      </c>
      <c r="U328" s="32"/>
      <c r="V328" s="32"/>
    </row>
    <row r="329" spans="5:22">
      <c r="E329" s="32" t="str">
        <v>kiri</v>
      </c>
      <c r="F329" s="32"/>
      <c r="G329" s="32"/>
      <c r="J329" s="32" t="str">
        <v>tengah</v>
      </c>
      <c r="K329" s="32"/>
      <c r="L329" s="32"/>
      <c r="O329" s="32" t="str">
        <v>tengah</v>
      </c>
      <c r="P329" s="32"/>
      <c r="Q329" s="32"/>
      <c r="T329" s="32" t="str">
        <v>tengah</v>
      </c>
      <c r="U329" s="32"/>
      <c r="V329" s="32"/>
    </row>
    <row r="330" spans="5:22">
      <c r="E330" s="32" t="str">
        <v>tengah</v>
      </c>
      <c r="F330" s="32"/>
      <c r="G330" s="32"/>
      <c r="J330" s="32" t="str">
        <v>kanan</v>
      </c>
      <c r="K330" s="32"/>
      <c r="L330" s="32"/>
      <c r="O330" s="32" t="str">
        <v>tengah</v>
      </c>
      <c r="P330" s="32"/>
      <c r="Q330" s="32"/>
      <c r="T330" s="32" t="str">
        <v>kanan</v>
      </c>
      <c r="U330" s="32"/>
      <c r="V330" s="32"/>
    </row>
    <row r="331" spans="5:22">
      <c r="E331" s="32" t="str">
        <v>kiri</v>
      </c>
      <c r="F331" s="32"/>
      <c r="G331" s="32"/>
      <c r="J331" s="32" t="str">
        <v>tengah</v>
      </c>
      <c r="K331" s="32"/>
      <c r="L331" s="32"/>
      <c r="O331" s="32" t="str">
        <v>tengah</v>
      </c>
      <c r="P331" s="32"/>
      <c r="Q331" s="32"/>
      <c r="T331" s="32" t="str">
        <v>kanan</v>
      </c>
      <c r="U331" s="32"/>
      <c r="V331" s="32"/>
    </row>
    <row r="332" spans="5:22">
      <c r="E332" s="32" t="str">
        <v>tengah</v>
      </c>
      <c r="F332" s="32"/>
      <c r="G332" s="32"/>
      <c r="J332" s="32" t="str">
        <v>tengah</v>
      </c>
      <c r="K332" s="32"/>
      <c r="L332" s="32"/>
      <c r="O332" s="32" t="str">
        <v>kanan</v>
      </c>
      <c r="P332" s="32"/>
      <c r="Q332" s="32"/>
      <c r="T332" s="32" t="str">
        <v>kanan</v>
      </c>
      <c r="U332" s="32"/>
      <c r="V332" s="3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6570-EA4E-4B1C-BFF6-F00F70596E86}">
  <dimension ref="A1:V332"/>
  <sheetViews>
    <sheetView topLeftCell="O184" zoomScale="98" zoomScaleNormal="98" workbookViewId="0">
      <selection activeCell="R166" sqref="R166"/>
    </sheetView>
  </sheetViews>
  <sheetFormatPr defaultColWidth="9" defaultRowHeight="15"/>
  <cols>
    <col min="2" max="2" width="15.85546875" customWidth="1"/>
    <col min="3" max="3" width="16.7109375" bestFit="1" customWidth="1"/>
    <col min="4" max="4" width="13.85546875" customWidth="1"/>
    <col min="6" max="6" width="14.42578125" bestFit="1" customWidth="1"/>
    <col min="8" max="8" width="14.28515625" customWidth="1"/>
    <col min="9" max="9" width="13.28515625" customWidth="1"/>
    <col min="10" max="10" width="13.85546875" customWidth="1"/>
    <col min="11" max="11" width="22" bestFit="1" customWidth="1"/>
    <col min="13" max="13" width="14.42578125" bestFit="1" customWidth="1"/>
    <col min="15" max="15" width="25.28515625" bestFit="1" customWidth="1"/>
    <col min="16" max="16" width="12.85546875" bestFit="1" customWidth="1"/>
    <col min="17" max="17" width="11.7109375" customWidth="1"/>
    <col min="20" max="20" width="14.42578125" bestFit="1" customWidth="1"/>
  </cols>
  <sheetData>
    <row r="1" spans="1:17">
      <c r="A1" s="30" t="s">
        <v>174</v>
      </c>
      <c r="B1" s="30" t="s">
        <v>1</v>
      </c>
      <c r="C1" s="30" t="s">
        <v>2</v>
      </c>
      <c r="D1" s="30" t="s">
        <v>173</v>
      </c>
      <c r="E1" s="30" t="s">
        <v>4</v>
      </c>
      <c r="F1" s="30" t="s">
        <v>5</v>
      </c>
      <c r="H1" s="61" t="s">
        <v>174</v>
      </c>
      <c r="I1" s="61" t="s">
        <v>1</v>
      </c>
      <c r="J1" s="61" t="s">
        <v>2</v>
      </c>
      <c r="K1" s="61" t="s">
        <v>173</v>
      </c>
      <c r="L1" s="61" t="s">
        <v>4</v>
      </c>
      <c r="M1" s="61" t="s">
        <v>5</v>
      </c>
      <c r="O1" s="30" t="s">
        <v>175</v>
      </c>
      <c r="P1" s="31"/>
      <c r="Q1" s="31"/>
    </row>
    <row r="2" spans="1:17">
      <c r="A2" s="32">
        <f ca="1">RANDBETWEEN(2,164)</f>
        <v>121</v>
      </c>
      <c r="B2" s="32" cm="1">
        <f t="array" aca="1" ref="B2" ca="1">INDEX(Data_DBD!$B:$B,$A2)</f>
        <v>82</v>
      </c>
      <c r="C2" s="32" cm="1">
        <f t="array" aca="1" ref="C2" ca="1">INDEX(Data_DBD!$C:$C,$A2)</f>
        <v>5</v>
      </c>
      <c r="D2" s="32" cm="1">
        <f t="array" aca="1" ref="D2" ca="1">INDEX(Data_DBD!$D:$D,$A2)</f>
        <v>33</v>
      </c>
      <c r="E2" s="32" cm="1">
        <f t="array" aca="1" ref="E2" ca="1">INDEX(Data_DBD!$E:$E,$A2)</f>
        <v>1</v>
      </c>
      <c r="F2" s="32" cm="1">
        <f t="array" aca="1" ref="F2" ca="1">INDEX(Data_DBD!$F:$F,$A2)</f>
        <v>3</v>
      </c>
      <c r="H2" s="32">
        <v>86</v>
      </c>
      <c r="I2" s="32">
        <v>23</v>
      </c>
      <c r="J2" s="32">
        <v>3</v>
      </c>
      <c r="K2" s="32">
        <v>13</v>
      </c>
      <c r="L2" s="32">
        <v>0</v>
      </c>
      <c r="M2" s="32">
        <v>2</v>
      </c>
      <c r="O2" s="54">
        <v>1</v>
      </c>
      <c r="P2" s="31">
        <f>COUNTIF(M2:M164,"1")</f>
        <v>18</v>
      </c>
      <c r="Q2" s="31">
        <f>P2/163</f>
        <v>0.11042944785276074</v>
      </c>
    </row>
    <row r="3" spans="1:17">
      <c r="A3" s="32">
        <f t="shared" ref="A3:A66" ca="1" si="0">RANDBETWEEN(2,164)</f>
        <v>80</v>
      </c>
      <c r="B3" s="32" cm="1">
        <f t="array" aca="1" ref="B3" ca="1">INDEX(Data_DBD!$B:$B,$A3)</f>
        <v>27</v>
      </c>
      <c r="C3" s="32" cm="1">
        <f t="array" aca="1" ref="C3" ca="1">INDEX(Data_DBD!$C:$C,$A3)</f>
        <v>3</v>
      </c>
      <c r="D3" s="32" cm="1">
        <f t="array" aca="1" ref="D3" ca="1">INDEX(Data_DBD!$D:$D,$A3)</f>
        <v>13</v>
      </c>
      <c r="E3" s="32" cm="1">
        <f t="array" aca="1" ref="E3" ca="1">INDEX(Data_DBD!$E:$E,$A3)</f>
        <v>1</v>
      </c>
      <c r="F3" s="32" cm="1">
        <f t="array" aca="1" ref="F3" ca="1">INDEX(Data_DBD!$F:$F,$A3)</f>
        <v>2</v>
      </c>
      <c r="H3" s="32">
        <v>136</v>
      </c>
      <c r="I3" s="32">
        <v>6</v>
      </c>
      <c r="J3" s="32">
        <v>2</v>
      </c>
      <c r="K3" s="32">
        <v>33</v>
      </c>
      <c r="L3" s="32">
        <v>0</v>
      </c>
      <c r="M3" s="32">
        <v>3</v>
      </c>
      <c r="O3" s="31">
        <v>2</v>
      </c>
      <c r="P3" s="31">
        <f>COUNTIF(M2:M164,"2")</f>
        <v>82</v>
      </c>
      <c r="Q3" s="31">
        <f>P3/163</f>
        <v>0.50306748466257667</v>
      </c>
    </row>
    <row r="4" spans="1:17">
      <c r="A4" s="32">
        <f t="shared" ca="1" si="0"/>
        <v>144</v>
      </c>
      <c r="B4" s="32" cm="1">
        <f t="array" aca="1" ref="B4" ca="1">INDEX(Data_DBD!$B:$B,$A4)</f>
        <v>61</v>
      </c>
      <c r="C4" s="32" cm="1">
        <f t="array" aca="1" ref="C4" ca="1">INDEX(Data_DBD!$C:$C,$A4)</f>
        <v>4</v>
      </c>
      <c r="D4" s="32" cm="1">
        <f t="array" aca="1" ref="D4" ca="1">INDEX(Data_DBD!$D:$D,$A4)</f>
        <v>21</v>
      </c>
      <c r="E4" s="32" cm="1">
        <f t="array" aca="1" ref="E4" ca="1">INDEX(Data_DBD!$E:$E,$A4)</f>
        <v>1</v>
      </c>
      <c r="F4" s="32" cm="1">
        <f t="array" aca="1" ref="F4" ca="1">INDEX(Data_DBD!$F:$F,$A4)</f>
        <v>3</v>
      </c>
      <c r="H4" s="32">
        <v>140</v>
      </c>
      <c r="I4" s="32">
        <v>74</v>
      </c>
      <c r="J4" s="32">
        <v>5</v>
      </c>
      <c r="K4" s="32">
        <v>21</v>
      </c>
      <c r="L4" s="32">
        <v>1</v>
      </c>
      <c r="M4" s="32">
        <v>3</v>
      </c>
      <c r="O4" s="31">
        <v>3</v>
      </c>
      <c r="P4" s="31">
        <f>COUNTIF(M2:M164,"3")</f>
        <v>63</v>
      </c>
      <c r="Q4" s="31">
        <f>P4/163</f>
        <v>0.38650306748466257</v>
      </c>
    </row>
    <row r="5" spans="1:17">
      <c r="A5" s="32">
        <f t="shared" ca="1" si="0"/>
        <v>54</v>
      </c>
      <c r="B5" s="32" cm="1">
        <f t="array" aca="1" ref="B5" ca="1">INDEX(Data_DBD!$B:$B,$A5)</f>
        <v>7</v>
      </c>
      <c r="C5" s="32" cm="1">
        <f t="array" aca="1" ref="C5" ca="1">INDEX(Data_DBD!$C:$C,$A5)</f>
        <v>3</v>
      </c>
      <c r="D5" s="32" cm="1">
        <f t="array" aca="1" ref="D5" ca="1">INDEX(Data_DBD!$D:$D,$A5)</f>
        <v>15</v>
      </c>
      <c r="E5" s="32" cm="1">
        <f t="array" aca="1" ref="E5" ca="1">INDEX(Data_DBD!$E:$E,$A5)</f>
        <v>0</v>
      </c>
      <c r="F5" s="32" cm="1">
        <f t="array" aca="1" ref="F5" ca="1">INDEX(Data_DBD!$F:$F,$A5)</f>
        <v>2</v>
      </c>
      <c r="H5" s="32">
        <v>90</v>
      </c>
      <c r="I5" s="32">
        <v>47</v>
      </c>
      <c r="J5" s="32">
        <v>3</v>
      </c>
      <c r="K5" s="32">
        <v>18</v>
      </c>
      <c r="L5" s="32">
        <v>0</v>
      </c>
      <c r="M5" s="32">
        <v>3</v>
      </c>
      <c r="O5" s="34" t="s">
        <v>176</v>
      </c>
      <c r="P5">
        <f>-(IFERROR(Q2*LOG(Q2,2),0)+IFERROR(Q3*LOG(Q3,2),0)+IFERROR(Q4*LOG(Q4,2),0))</f>
        <v>1.3797309175124322</v>
      </c>
    </row>
    <row r="6" spans="1:17">
      <c r="A6" s="32">
        <f t="shared" ca="1" si="0"/>
        <v>105</v>
      </c>
      <c r="B6" s="32" cm="1">
        <f t="array" aca="1" ref="B6" ca="1">INDEX(Data_DBD!$B:$B,$A6)</f>
        <v>61</v>
      </c>
      <c r="C6" s="32" cm="1">
        <f t="array" aca="1" ref="C6" ca="1">INDEX(Data_DBD!$C:$C,$A6)</f>
        <v>3</v>
      </c>
      <c r="D6" s="32" cm="1">
        <f t="array" aca="1" ref="D6" ca="1">INDEX(Data_DBD!$D:$D,$A6)</f>
        <v>18</v>
      </c>
      <c r="E6" s="32" cm="1">
        <f t="array" aca="1" ref="E6" ca="1">INDEX(Data_DBD!$E:$E,$A6)</f>
        <v>1</v>
      </c>
      <c r="F6" s="32" cm="1">
        <f t="array" aca="1" ref="F6" ca="1">INDEX(Data_DBD!$F:$F,$A6)</f>
        <v>3</v>
      </c>
      <c r="H6" s="32">
        <v>17</v>
      </c>
      <c r="I6" s="32">
        <v>2</v>
      </c>
      <c r="J6" s="32">
        <v>3</v>
      </c>
      <c r="K6" s="32">
        <v>7</v>
      </c>
      <c r="L6" s="32">
        <v>0</v>
      </c>
      <c r="M6" s="32">
        <v>1</v>
      </c>
    </row>
    <row r="7" spans="1:17">
      <c r="A7" s="32">
        <f t="shared" ca="1" si="0"/>
        <v>76</v>
      </c>
      <c r="B7" s="32" cm="1">
        <f t="array" aca="1" ref="B7" ca="1">INDEX(Data_DBD!$B:$B,$A7)</f>
        <v>70</v>
      </c>
      <c r="C7" s="32" cm="1">
        <f t="array" aca="1" ref="C7" ca="1">INDEX(Data_DBD!$C:$C,$A7)</f>
        <v>2</v>
      </c>
      <c r="D7" s="32" cm="1">
        <f t="array" aca="1" ref="D7" ca="1">INDEX(Data_DBD!$D:$D,$A7)</f>
        <v>10</v>
      </c>
      <c r="E7" s="32" cm="1">
        <f t="array" aca="1" ref="E7" ca="1">INDEX(Data_DBD!$E:$E,$A7)</f>
        <v>0</v>
      </c>
      <c r="F7" s="32" cm="1">
        <f t="array" aca="1" ref="F7" ca="1">INDEX(Data_DBD!$F:$F,$A7)</f>
        <v>2</v>
      </c>
      <c r="H7" s="32">
        <v>79</v>
      </c>
      <c r="I7" s="32">
        <v>29</v>
      </c>
      <c r="J7" s="32">
        <v>3</v>
      </c>
      <c r="K7" s="32">
        <v>13</v>
      </c>
      <c r="L7" s="32">
        <v>0</v>
      </c>
      <c r="M7" s="32">
        <v>2</v>
      </c>
    </row>
    <row r="8" spans="1:17">
      <c r="A8" s="32">
        <f t="shared" ca="1" si="0"/>
        <v>35</v>
      </c>
      <c r="B8" s="32" cm="1">
        <f t="array" aca="1" ref="B8" ca="1">INDEX(Data_DBD!$B:$B,$A8)</f>
        <v>40</v>
      </c>
      <c r="C8" s="32" cm="1">
        <f t="array" aca="1" ref="C8" ca="1">INDEX(Data_DBD!$C:$C,$A8)</f>
        <v>3</v>
      </c>
      <c r="D8" s="32" cm="1">
        <f t="array" aca="1" ref="D8" ca="1">INDEX(Data_DBD!$D:$D,$A8)</f>
        <v>4</v>
      </c>
      <c r="E8" s="32" cm="1">
        <f t="array" aca="1" ref="E8" ca="1">INDEX(Data_DBD!$E:$E,$A8)</f>
        <v>1</v>
      </c>
      <c r="F8" s="32" cm="1">
        <f t="array" aca="1" ref="F8" ca="1">INDEX(Data_DBD!$F:$F,$A8)</f>
        <v>1</v>
      </c>
      <c r="H8" s="32">
        <v>108</v>
      </c>
      <c r="I8" s="32">
        <v>69</v>
      </c>
      <c r="J8" s="32">
        <v>7</v>
      </c>
      <c r="K8" s="32">
        <v>33</v>
      </c>
      <c r="L8" s="32">
        <v>1</v>
      </c>
      <c r="M8" s="32">
        <v>3</v>
      </c>
    </row>
    <row r="9" spans="1:17">
      <c r="A9" s="32">
        <f t="shared" ca="1" si="0"/>
        <v>2</v>
      </c>
      <c r="B9" s="32" cm="1">
        <f t="array" aca="1" ref="B9" ca="1">INDEX(Data_DBD!$B:$B,$A9)</f>
        <v>34</v>
      </c>
      <c r="C9" s="32" cm="1">
        <f t="array" aca="1" ref="C9" ca="1">INDEX(Data_DBD!$C:$C,$A9)</f>
        <v>3</v>
      </c>
      <c r="D9" s="32" cm="1">
        <f t="array" aca="1" ref="D9" ca="1">INDEX(Data_DBD!$D:$D,$A9)</f>
        <v>12</v>
      </c>
      <c r="E9" s="32" cm="1">
        <f t="array" aca="1" ref="E9" ca="1">INDEX(Data_DBD!$E:$E,$A9)</f>
        <v>0</v>
      </c>
      <c r="F9" s="32" cm="1">
        <f t="array" aca="1" ref="F9" ca="1">INDEX(Data_DBD!$F:$F,$A9)</f>
        <v>2</v>
      </c>
      <c r="H9" s="32">
        <v>143</v>
      </c>
      <c r="I9" s="32">
        <v>20</v>
      </c>
      <c r="J9" s="32">
        <v>4</v>
      </c>
      <c r="K9" s="32">
        <v>21</v>
      </c>
      <c r="L9" s="32">
        <v>1</v>
      </c>
      <c r="M9" s="32">
        <v>3</v>
      </c>
    </row>
    <row r="10" spans="1:17">
      <c r="A10" s="32">
        <f t="shared" ca="1" si="0"/>
        <v>59</v>
      </c>
      <c r="B10" s="32" cm="1">
        <f t="array" aca="1" ref="B10" ca="1">INDEX(Data_DBD!$B:$B,$A10)</f>
        <v>28</v>
      </c>
      <c r="C10" s="32" cm="1">
        <f t="array" aca="1" ref="C10" ca="1">INDEX(Data_DBD!$C:$C,$A10)</f>
        <v>4</v>
      </c>
      <c r="D10" s="32" cm="1">
        <f t="array" aca="1" ref="D10" ca="1">INDEX(Data_DBD!$D:$D,$A10)</f>
        <v>15</v>
      </c>
      <c r="E10" s="32" cm="1">
        <f t="array" aca="1" ref="E10" ca="1">INDEX(Data_DBD!$E:$E,$A10)</f>
        <v>0</v>
      </c>
      <c r="F10" s="32" cm="1">
        <f t="array" aca="1" ref="F10" ca="1">INDEX(Data_DBD!$F:$F,$A10)</f>
        <v>2</v>
      </c>
      <c r="H10" s="32">
        <v>118</v>
      </c>
      <c r="I10" s="32">
        <v>67</v>
      </c>
      <c r="J10" s="32">
        <v>4</v>
      </c>
      <c r="K10" s="32">
        <v>33</v>
      </c>
      <c r="L10" s="32">
        <v>1</v>
      </c>
      <c r="M10" s="32">
        <v>3</v>
      </c>
    </row>
    <row r="11" spans="1:17">
      <c r="A11" s="32">
        <f t="shared" ca="1" si="0"/>
        <v>52</v>
      </c>
      <c r="B11" s="32" cm="1">
        <f t="array" aca="1" ref="B11" ca="1">INDEX(Data_DBD!$B:$B,$A11)</f>
        <v>59</v>
      </c>
      <c r="C11" s="32" cm="1">
        <f t="array" aca="1" ref="C11" ca="1">INDEX(Data_DBD!$C:$C,$A11)</f>
        <v>4</v>
      </c>
      <c r="D11" s="32" cm="1">
        <f t="array" aca="1" ref="D11" ca="1">INDEX(Data_DBD!$D:$D,$A11)</f>
        <v>15</v>
      </c>
      <c r="E11" s="32" cm="1">
        <f t="array" aca="1" ref="E11" ca="1">INDEX(Data_DBD!$E:$E,$A11)</f>
        <v>1</v>
      </c>
      <c r="F11" s="32" cm="1">
        <f t="array" aca="1" ref="F11" ca="1">INDEX(Data_DBD!$F:$F,$A11)</f>
        <v>2</v>
      </c>
      <c r="H11" s="32">
        <v>47</v>
      </c>
      <c r="I11" s="32">
        <v>19</v>
      </c>
      <c r="J11" s="32">
        <v>2</v>
      </c>
      <c r="K11" s="32">
        <v>13</v>
      </c>
      <c r="L11" s="32">
        <v>0</v>
      </c>
      <c r="M11" s="32">
        <v>2</v>
      </c>
    </row>
    <row r="12" spans="1:17">
      <c r="A12" s="32">
        <f t="shared" ca="1" si="0"/>
        <v>73</v>
      </c>
      <c r="B12" s="32" cm="1">
        <f t="array" aca="1" ref="B12" ca="1">INDEX(Data_DBD!$B:$B,$A12)</f>
        <v>15</v>
      </c>
      <c r="C12" s="32" cm="1">
        <f t="array" aca="1" ref="C12" ca="1">INDEX(Data_DBD!$C:$C,$A12)</f>
        <v>3</v>
      </c>
      <c r="D12" s="32" cm="1">
        <f t="array" aca="1" ref="D12" ca="1">INDEX(Data_DBD!$D:$D,$A12)</f>
        <v>10</v>
      </c>
      <c r="E12" s="32" cm="1">
        <f t="array" aca="1" ref="E12" ca="1">INDEX(Data_DBD!$E:$E,$A12)</f>
        <v>1</v>
      </c>
      <c r="F12" s="32" cm="1">
        <f t="array" aca="1" ref="F12" ca="1">INDEX(Data_DBD!$F:$F,$A12)</f>
        <v>2</v>
      </c>
      <c r="H12" s="32">
        <v>65</v>
      </c>
      <c r="I12" s="32">
        <v>49</v>
      </c>
      <c r="J12" s="32">
        <v>3</v>
      </c>
      <c r="K12" s="32">
        <v>15</v>
      </c>
      <c r="L12" s="32">
        <v>0</v>
      </c>
      <c r="M12" s="32">
        <v>2</v>
      </c>
    </row>
    <row r="13" spans="1:17">
      <c r="A13" s="32">
        <f t="shared" ca="1" si="0"/>
        <v>115</v>
      </c>
      <c r="B13" s="32" cm="1">
        <f t="array" aca="1" ref="B13" ca="1">INDEX(Data_DBD!$B:$B,$A13)</f>
        <v>52</v>
      </c>
      <c r="C13" s="32" cm="1">
        <f t="array" aca="1" ref="C13" ca="1">INDEX(Data_DBD!$C:$C,$A13)</f>
        <v>3</v>
      </c>
      <c r="D13" s="32" cm="1">
        <f t="array" aca="1" ref="D13" ca="1">INDEX(Data_DBD!$D:$D,$A13)</f>
        <v>33</v>
      </c>
      <c r="E13" s="32" cm="1">
        <f t="array" aca="1" ref="E13" ca="1">INDEX(Data_DBD!$E:$E,$A13)</f>
        <v>1</v>
      </c>
      <c r="F13" s="32" cm="1">
        <f t="array" aca="1" ref="F13" ca="1">INDEX(Data_DBD!$F:$F,$A13)</f>
        <v>3</v>
      </c>
      <c r="H13" s="32">
        <v>162</v>
      </c>
      <c r="I13" s="32">
        <v>22</v>
      </c>
      <c r="J13" s="32">
        <v>3</v>
      </c>
      <c r="K13" s="32">
        <v>3</v>
      </c>
      <c r="L13" s="32">
        <v>1</v>
      </c>
      <c r="M13" s="32">
        <v>1</v>
      </c>
    </row>
    <row r="14" spans="1:17">
      <c r="A14" s="32">
        <f t="shared" ca="1" si="0"/>
        <v>71</v>
      </c>
      <c r="B14" s="32" cm="1">
        <f t="array" aca="1" ref="B14" ca="1">INDEX(Data_DBD!$B:$B,$A14)</f>
        <v>84</v>
      </c>
      <c r="C14" s="32" cm="1">
        <f t="array" aca="1" ref="C14" ca="1">INDEX(Data_DBD!$C:$C,$A14)</f>
        <v>3</v>
      </c>
      <c r="D14" s="32" cm="1">
        <f t="array" aca="1" ref="D14" ca="1">INDEX(Data_DBD!$D:$D,$A14)</f>
        <v>10</v>
      </c>
      <c r="E14" s="32" cm="1">
        <f t="array" aca="1" ref="E14" ca="1">INDEX(Data_DBD!$E:$E,$A14)</f>
        <v>0</v>
      </c>
      <c r="F14" s="32" cm="1">
        <f t="array" aca="1" ref="F14" ca="1">INDEX(Data_DBD!$F:$F,$A14)</f>
        <v>2</v>
      </c>
      <c r="H14" s="32">
        <v>48</v>
      </c>
      <c r="I14" s="32">
        <v>50</v>
      </c>
      <c r="J14" s="32">
        <v>5</v>
      </c>
      <c r="K14" s="32">
        <v>13</v>
      </c>
      <c r="L14" s="32">
        <v>1</v>
      </c>
      <c r="M14" s="32">
        <v>2</v>
      </c>
    </row>
    <row r="15" spans="1:17">
      <c r="A15" s="32">
        <f t="shared" ca="1" si="0"/>
        <v>84</v>
      </c>
      <c r="B15" s="32" cm="1">
        <f t="array" aca="1" ref="B15" ca="1">INDEX(Data_DBD!$B:$B,$A15)</f>
        <v>42</v>
      </c>
      <c r="C15" s="32" cm="1">
        <f t="array" aca="1" ref="C15" ca="1">INDEX(Data_DBD!$C:$C,$A15)</f>
        <v>4</v>
      </c>
      <c r="D15" s="32" cm="1">
        <f t="array" aca="1" ref="D15" ca="1">INDEX(Data_DBD!$D:$D,$A15)</f>
        <v>13</v>
      </c>
      <c r="E15" s="32" cm="1">
        <f t="array" aca="1" ref="E15" ca="1">INDEX(Data_DBD!$E:$E,$A15)</f>
        <v>1</v>
      </c>
      <c r="F15" s="32" cm="1">
        <f t="array" aca="1" ref="F15" ca="1">INDEX(Data_DBD!$F:$F,$A15)</f>
        <v>2</v>
      </c>
      <c r="H15" s="32">
        <v>77</v>
      </c>
      <c r="I15" s="32">
        <v>16</v>
      </c>
      <c r="J15" s="32">
        <v>4</v>
      </c>
      <c r="K15" s="32">
        <v>13</v>
      </c>
      <c r="L15" s="32">
        <v>1</v>
      </c>
      <c r="M15" s="32">
        <v>2</v>
      </c>
    </row>
    <row r="16" spans="1:17">
      <c r="A16" s="32">
        <f t="shared" ca="1" si="0"/>
        <v>3</v>
      </c>
      <c r="B16" s="32" cm="1">
        <f t="array" aca="1" ref="B16" ca="1">INDEX(Data_DBD!$B:$B,$A16)</f>
        <v>43</v>
      </c>
      <c r="C16" s="32" cm="1">
        <f t="array" aca="1" ref="C16" ca="1">INDEX(Data_DBD!$C:$C,$A16)</f>
        <v>3</v>
      </c>
      <c r="D16" s="32" cm="1">
        <f t="array" aca="1" ref="D16" ca="1">INDEX(Data_DBD!$D:$D,$A16)</f>
        <v>12</v>
      </c>
      <c r="E16" s="32" cm="1">
        <f t="array" aca="1" ref="E16" ca="1">INDEX(Data_DBD!$E:$E,$A16)</f>
        <v>1</v>
      </c>
      <c r="F16" s="32" cm="1">
        <f t="array" aca="1" ref="F16" ca="1">INDEX(Data_DBD!$F:$F,$A16)</f>
        <v>2</v>
      </c>
      <c r="H16" s="32">
        <v>31</v>
      </c>
      <c r="I16" s="32">
        <v>64</v>
      </c>
      <c r="J16" s="32">
        <v>4</v>
      </c>
      <c r="K16" s="32">
        <v>14</v>
      </c>
      <c r="L16" s="32">
        <v>1</v>
      </c>
      <c r="M16" s="32">
        <v>2</v>
      </c>
    </row>
    <row r="17" spans="1:13">
      <c r="A17" s="32">
        <f t="shared" ca="1" si="0"/>
        <v>40</v>
      </c>
      <c r="B17" s="32" cm="1">
        <f t="array" aca="1" ref="B17" ca="1">INDEX(Data_DBD!$B:$B,$A17)</f>
        <v>65</v>
      </c>
      <c r="C17" s="32" cm="1">
        <f t="array" aca="1" ref="C17" ca="1">INDEX(Data_DBD!$C:$C,$A17)</f>
        <v>3</v>
      </c>
      <c r="D17" s="32" cm="1">
        <f t="array" aca="1" ref="D17" ca="1">INDEX(Data_DBD!$D:$D,$A17)</f>
        <v>13</v>
      </c>
      <c r="E17" s="32" cm="1">
        <f t="array" aca="1" ref="E17" ca="1">INDEX(Data_DBD!$E:$E,$A17)</f>
        <v>1</v>
      </c>
      <c r="F17" s="32" cm="1">
        <f t="array" aca="1" ref="F17" ca="1">INDEX(Data_DBD!$F:$F,$A17)</f>
        <v>2</v>
      </c>
      <c r="H17" s="32">
        <v>7</v>
      </c>
      <c r="I17" s="32">
        <v>12</v>
      </c>
      <c r="J17" s="32">
        <v>1</v>
      </c>
      <c r="K17" s="32">
        <v>12</v>
      </c>
      <c r="L17" s="32">
        <v>1</v>
      </c>
      <c r="M17" s="32">
        <v>2</v>
      </c>
    </row>
    <row r="18" spans="1:13">
      <c r="A18" s="32">
        <f t="shared" ca="1" si="0"/>
        <v>108</v>
      </c>
      <c r="B18" s="32" cm="1">
        <f t="array" aca="1" ref="B18" ca="1">INDEX(Data_DBD!$B:$B,$A18)</f>
        <v>69</v>
      </c>
      <c r="C18" s="32" cm="1">
        <f t="array" aca="1" ref="C18" ca="1">INDEX(Data_DBD!$C:$C,$A18)</f>
        <v>7</v>
      </c>
      <c r="D18" s="32" cm="1">
        <f t="array" aca="1" ref="D18" ca="1">INDEX(Data_DBD!$D:$D,$A18)</f>
        <v>33</v>
      </c>
      <c r="E18" s="32" cm="1">
        <f t="array" aca="1" ref="E18" ca="1">INDEX(Data_DBD!$E:$E,$A18)</f>
        <v>1</v>
      </c>
      <c r="F18" s="32" cm="1">
        <f t="array" aca="1" ref="F18" ca="1">INDEX(Data_DBD!$F:$F,$A18)</f>
        <v>3</v>
      </c>
      <c r="H18" s="32">
        <v>129</v>
      </c>
      <c r="I18" s="32">
        <v>4.5</v>
      </c>
      <c r="J18" s="32">
        <v>3</v>
      </c>
      <c r="K18" s="32">
        <v>33</v>
      </c>
      <c r="L18" s="32">
        <v>0</v>
      </c>
      <c r="M18" s="32">
        <v>3</v>
      </c>
    </row>
    <row r="19" spans="1:13">
      <c r="A19" s="32">
        <f t="shared" ca="1" si="0"/>
        <v>20</v>
      </c>
      <c r="B19" s="32" cm="1">
        <f t="array" aca="1" ref="B19" ca="1">INDEX(Data_DBD!$B:$B,$A19)</f>
        <v>15</v>
      </c>
      <c r="C19" s="32" cm="1">
        <f t="array" aca="1" ref="C19" ca="1">INDEX(Data_DBD!$C:$C,$A19)</f>
        <v>5</v>
      </c>
      <c r="D19" s="32" cm="1">
        <f t="array" aca="1" ref="D19" ca="1">INDEX(Data_DBD!$D:$D,$A19)</f>
        <v>7</v>
      </c>
      <c r="E19" s="32" cm="1">
        <f t="array" aca="1" ref="E19" ca="1">INDEX(Data_DBD!$E:$E,$A19)</f>
        <v>0</v>
      </c>
      <c r="F19" s="32" cm="1">
        <f t="array" aca="1" ref="F19" ca="1">INDEX(Data_DBD!$F:$F,$A19)</f>
        <v>1</v>
      </c>
      <c r="H19" s="32">
        <v>112</v>
      </c>
      <c r="I19" s="32">
        <v>61</v>
      </c>
      <c r="J19" s="32">
        <v>3</v>
      </c>
      <c r="K19" s="32">
        <v>33</v>
      </c>
      <c r="L19" s="32">
        <v>1</v>
      </c>
      <c r="M19" s="32">
        <v>3</v>
      </c>
    </row>
    <row r="20" spans="1:13">
      <c r="A20" s="32">
        <f t="shared" ca="1" si="0"/>
        <v>23</v>
      </c>
      <c r="B20" s="32" cm="1">
        <f t="array" aca="1" ref="B20" ca="1">INDEX(Data_DBD!$B:$B,$A20)</f>
        <v>28</v>
      </c>
      <c r="C20" s="32" cm="1">
        <f t="array" aca="1" ref="C20" ca="1">INDEX(Data_DBD!$C:$C,$A20)</f>
        <v>4</v>
      </c>
      <c r="D20" s="32" cm="1">
        <f t="array" aca="1" ref="D20" ca="1">INDEX(Data_DBD!$D:$D,$A20)</f>
        <v>14</v>
      </c>
      <c r="E20" s="32" cm="1">
        <f t="array" aca="1" ref="E20" ca="1">INDEX(Data_DBD!$E:$E,$A20)</f>
        <v>1</v>
      </c>
      <c r="F20" s="32" cm="1">
        <f t="array" aca="1" ref="F20" ca="1">INDEX(Data_DBD!$F:$F,$A20)</f>
        <v>2</v>
      </c>
      <c r="H20" s="32">
        <v>49</v>
      </c>
      <c r="I20" s="32">
        <v>64</v>
      </c>
      <c r="J20" s="32">
        <v>5</v>
      </c>
      <c r="K20" s="32">
        <v>13</v>
      </c>
      <c r="L20" s="32">
        <v>0</v>
      </c>
      <c r="M20" s="32">
        <v>2</v>
      </c>
    </row>
    <row r="21" spans="1:13">
      <c r="A21" s="32">
        <f t="shared" ca="1" si="0"/>
        <v>36</v>
      </c>
      <c r="B21" s="32" cm="1">
        <f t="array" aca="1" ref="B21" ca="1">INDEX(Data_DBD!$B:$B,$A21)</f>
        <v>27</v>
      </c>
      <c r="C21" s="32" cm="1">
        <f t="array" aca="1" ref="C21" ca="1">INDEX(Data_DBD!$C:$C,$A21)</f>
        <v>1</v>
      </c>
      <c r="D21" s="32" cm="1">
        <f t="array" aca="1" ref="D21" ca="1">INDEX(Data_DBD!$D:$D,$A21)</f>
        <v>4</v>
      </c>
      <c r="E21" s="32" cm="1">
        <f t="array" aca="1" ref="E21" ca="1">INDEX(Data_DBD!$E:$E,$A21)</f>
        <v>1</v>
      </c>
      <c r="F21" s="32" cm="1">
        <f t="array" aca="1" ref="F21" ca="1">INDEX(Data_DBD!$F:$F,$A21)</f>
        <v>1</v>
      </c>
      <c r="H21" s="32">
        <v>5</v>
      </c>
      <c r="I21" s="32">
        <v>18</v>
      </c>
      <c r="J21" s="32">
        <v>2</v>
      </c>
      <c r="K21" s="32">
        <v>12</v>
      </c>
      <c r="L21" s="32">
        <v>1</v>
      </c>
      <c r="M21" s="32">
        <v>2</v>
      </c>
    </row>
    <row r="22" spans="1:13">
      <c r="A22" s="32">
        <f t="shared" ca="1" si="0"/>
        <v>40</v>
      </c>
      <c r="B22" s="32" cm="1">
        <f t="array" aca="1" ref="B22" ca="1">INDEX(Data_DBD!$B:$B,$A22)</f>
        <v>65</v>
      </c>
      <c r="C22" s="32" cm="1">
        <f t="array" aca="1" ref="C22" ca="1">INDEX(Data_DBD!$C:$C,$A22)</f>
        <v>3</v>
      </c>
      <c r="D22" s="32" cm="1">
        <f t="array" aca="1" ref="D22" ca="1">INDEX(Data_DBD!$D:$D,$A22)</f>
        <v>13</v>
      </c>
      <c r="E22" s="32" cm="1">
        <f t="array" aca="1" ref="E22" ca="1">INDEX(Data_DBD!$E:$E,$A22)</f>
        <v>1</v>
      </c>
      <c r="F22" s="32" cm="1">
        <f t="array" aca="1" ref="F22" ca="1">INDEX(Data_DBD!$F:$F,$A22)</f>
        <v>2</v>
      </c>
      <c r="H22" s="32">
        <v>51</v>
      </c>
      <c r="I22" s="32">
        <v>48</v>
      </c>
      <c r="J22" s="32">
        <v>4</v>
      </c>
      <c r="K22" s="32">
        <v>13</v>
      </c>
      <c r="L22" s="32">
        <v>0</v>
      </c>
      <c r="M22" s="32">
        <v>2</v>
      </c>
    </row>
    <row r="23" spans="1:13">
      <c r="A23" s="32">
        <f t="shared" ca="1" si="0"/>
        <v>162</v>
      </c>
      <c r="B23" s="32" cm="1">
        <f t="array" aca="1" ref="B23" ca="1">INDEX(Data_DBD!$B:$B,$A23)</f>
        <v>22</v>
      </c>
      <c r="C23" s="32" cm="1">
        <f t="array" aca="1" ref="C23" ca="1">INDEX(Data_DBD!$C:$C,$A23)</f>
        <v>3</v>
      </c>
      <c r="D23" s="32" cm="1">
        <f t="array" aca="1" ref="D23" ca="1">INDEX(Data_DBD!$D:$D,$A23)</f>
        <v>3</v>
      </c>
      <c r="E23" s="32" cm="1">
        <f t="array" aca="1" ref="E23" ca="1">INDEX(Data_DBD!$E:$E,$A23)</f>
        <v>1</v>
      </c>
      <c r="F23" s="32" cm="1">
        <f t="array" aca="1" ref="F23" ca="1">INDEX(Data_DBD!$F:$F,$A23)</f>
        <v>1</v>
      </c>
      <c r="H23" s="32">
        <v>58</v>
      </c>
      <c r="I23" s="32">
        <v>17</v>
      </c>
      <c r="J23" s="32">
        <v>3</v>
      </c>
      <c r="K23" s="32">
        <v>15</v>
      </c>
      <c r="L23" s="32">
        <v>0</v>
      </c>
      <c r="M23" s="32">
        <v>2</v>
      </c>
    </row>
    <row r="24" spans="1:13">
      <c r="A24" s="32">
        <f t="shared" ca="1" si="0"/>
        <v>148</v>
      </c>
      <c r="B24" s="32" cm="1">
        <f t="array" aca="1" ref="B24" ca="1">INDEX(Data_DBD!$B:$B,$A24)</f>
        <v>55</v>
      </c>
      <c r="C24" s="32" cm="1">
        <f t="array" aca="1" ref="C24" ca="1">INDEX(Data_DBD!$C:$C,$A24)</f>
        <v>3</v>
      </c>
      <c r="D24" s="32" cm="1">
        <f t="array" aca="1" ref="D24" ca="1">INDEX(Data_DBD!$D:$D,$A24)</f>
        <v>21</v>
      </c>
      <c r="E24" s="32" cm="1">
        <f t="array" aca="1" ref="E24" ca="1">INDEX(Data_DBD!$E:$E,$A24)</f>
        <v>1</v>
      </c>
      <c r="F24" s="32" cm="1">
        <f t="array" aca="1" ref="F24" ca="1">INDEX(Data_DBD!$F:$F,$A24)</f>
        <v>3</v>
      </c>
      <c r="H24" s="32">
        <v>91</v>
      </c>
      <c r="I24" s="32">
        <v>35</v>
      </c>
      <c r="J24" s="32">
        <v>1</v>
      </c>
      <c r="K24" s="32">
        <v>18</v>
      </c>
      <c r="L24" s="32">
        <v>1</v>
      </c>
      <c r="M24" s="32">
        <v>3</v>
      </c>
    </row>
    <row r="25" spans="1:13">
      <c r="A25" s="32">
        <f t="shared" ca="1" si="0"/>
        <v>31</v>
      </c>
      <c r="B25" s="32" cm="1">
        <f t="array" aca="1" ref="B25" ca="1">INDEX(Data_DBD!$B:$B,$A25)</f>
        <v>64</v>
      </c>
      <c r="C25" s="32" cm="1">
        <f t="array" aca="1" ref="C25" ca="1">INDEX(Data_DBD!$C:$C,$A25)</f>
        <v>4</v>
      </c>
      <c r="D25" s="32" cm="1">
        <f t="array" aca="1" ref="D25" ca="1">INDEX(Data_DBD!$D:$D,$A25)</f>
        <v>14</v>
      </c>
      <c r="E25" s="32" cm="1">
        <f t="array" aca="1" ref="E25" ca="1">INDEX(Data_DBD!$E:$E,$A25)</f>
        <v>1</v>
      </c>
      <c r="F25" s="32" cm="1">
        <f t="array" aca="1" ref="F25" ca="1">INDEX(Data_DBD!$F:$F,$A25)</f>
        <v>2</v>
      </c>
      <c r="H25" s="32">
        <v>118</v>
      </c>
      <c r="I25" s="32">
        <v>67</v>
      </c>
      <c r="J25" s="32">
        <v>4</v>
      </c>
      <c r="K25" s="32">
        <v>33</v>
      </c>
      <c r="L25" s="32">
        <v>1</v>
      </c>
      <c r="M25" s="32">
        <v>3</v>
      </c>
    </row>
    <row r="26" spans="1:13">
      <c r="A26" s="32">
        <f t="shared" ca="1" si="0"/>
        <v>130</v>
      </c>
      <c r="B26" s="32" cm="1">
        <f t="array" aca="1" ref="B26" ca="1">INDEX(Data_DBD!$B:$B,$A26)</f>
        <v>12</v>
      </c>
      <c r="C26" s="32" cm="1">
        <f t="array" aca="1" ref="C26" ca="1">INDEX(Data_DBD!$C:$C,$A26)</f>
        <v>4</v>
      </c>
      <c r="D26" s="32" cm="1">
        <f t="array" aca="1" ref="D26" ca="1">INDEX(Data_DBD!$D:$D,$A26)</f>
        <v>33</v>
      </c>
      <c r="E26" s="32" cm="1">
        <f t="array" aca="1" ref="E26" ca="1">INDEX(Data_DBD!$E:$E,$A26)</f>
        <v>0</v>
      </c>
      <c r="F26" s="32" cm="1">
        <f t="array" aca="1" ref="F26" ca="1">INDEX(Data_DBD!$F:$F,$A26)</f>
        <v>3</v>
      </c>
      <c r="H26" s="32">
        <v>80</v>
      </c>
      <c r="I26" s="32">
        <v>27</v>
      </c>
      <c r="J26" s="32">
        <v>3</v>
      </c>
      <c r="K26" s="32">
        <v>13</v>
      </c>
      <c r="L26" s="32">
        <v>1</v>
      </c>
      <c r="M26" s="32">
        <v>2</v>
      </c>
    </row>
    <row r="27" spans="1:13">
      <c r="A27" s="32">
        <f t="shared" ca="1" si="0"/>
        <v>5</v>
      </c>
      <c r="B27" s="32" cm="1">
        <f t="array" aca="1" ref="B27" ca="1">INDEX(Data_DBD!$B:$B,$A27)</f>
        <v>18</v>
      </c>
      <c r="C27" s="32" cm="1">
        <f t="array" aca="1" ref="C27" ca="1">INDEX(Data_DBD!$C:$C,$A27)</f>
        <v>2</v>
      </c>
      <c r="D27" s="32" cm="1">
        <f t="array" aca="1" ref="D27" ca="1">INDEX(Data_DBD!$D:$D,$A27)</f>
        <v>12</v>
      </c>
      <c r="E27" s="32" cm="1">
        <f t="array" aca="1" ref="E27" ca="1">INDEX(Data_DBD!$E:$E,$A27)</f>
        <v>1</v>
      </c>
      <c r="F27" s="32" cm="1">
        <f t="array" aca="1" ref="F27" ca="1">INDEX(Data_DBD!$F:$F,$A27)</f>
        <v>2</v>
      </c>
      <c r="H27" s="32">
        <v>87</v>
      </c>
      <c r="I27" s="32">
        <v>21</v>
      </c>
      <c r="J27" s="32">
        <v>3</v>
      </c>
      <c r="K27" s="32">
        <v>13</v>
      </c>
      <c r="L27" s="32">
        <v>0</v>
      </c>
      <c r="M27" s="32">
        <v>2</v>
      </c>
    </row>
    <row r="28" spans="1:13">
      <c r="A28" s="32">
        <f t="shared" ca="1" si="0"/>
        <v>134</v>
      </c>
      <c r="B28" s="32" cm="1">
        <f t="array" aca="1" ref="B28" ca="1">INDEX(Data_DBD!$B:$B,$A28)</f>
        <v>4</v>
      </c>
      <c r="C28" s="32" cm="1">
        <f t="array" aca="1" ref="C28" ca="1">INDEX(Data_DBD!$C:$C,$A28)</f>
        <v>2</v>
      </c>
      <c r="D28" s="32" cm="1">
        <f t="array" aca="1" ref="D28" ca="1">INDEX(Data_DBD!$D:$D,$A28)</f>
        <v>33</v>
      </c>
      <c r="E28" s="32" cm="1">
        <f t="array" aca="1" ref="E28" ca="1">INDEX(Data_DBD!$E:$E,$A28)</f>
        <v>1</v>
      </c>
      <c r="F28" s="32" cm="1">
        <f t="array" aca="1" ref="F28" ca="1">INDEX(Data_DBD!$F:$F,$A28)</f>
        <v>3</v>
      </c>
      <c r="H28" s="32">
        <v>46</v>
      </c>
      <c r="I28" s="32">
        <v>62</v>
      </c>
      <c r="J28" s="32">
        <v>2</v>
      </c>
      <c r="K28" s="32">
        <v>13</v>
      </c>
      <c r="L28" s="32">
        <v>0</v>
      </c>
      <c r="M28" s="32">
        <v>2</v>
      </c>
    </row>
    <row r="29" spans="1:13">
      <c r="A29" s="32">
        <f t="shared" ca="1" si="0"/>
        <v>129</v>
      </c>
      <c r="B29" s="32" cm="1">
        <f t="array" aca="1" ref="B29" ca="1">INDEX(Data_DBD!$B:$B,$A29)</f>
        <v>4.5</v>
      </c>
      <c r="C29" s="32" cm="1">
        <f t="array" aca="1" ref="C29" ca="1">INDEX(Data_DBD!$C:$C,$A29)</f>
        <v>3</v>
      </c>
      <c r="D29" s="32" cm="1">
        <f t="array" aca="1" ref="D29" ca="1">INDEX(Data_DBD!$D:$D,$A29)</f>
        <v>33</v>
      </c>
      <c r="E29" s="32" cm="1">
        <f t="array" aca="1" ref="E29" ca="1">INDEX(Data_DBD!$E:$E,$A29)</f>
        <v>0</v>
      </c>
      <c r="F29" s="32" cm="1">
        <f t="array" aca="1" ref="F29" ca="1">INDEX(Data_DBD!$F:$F,$A29)</f>
        <v>3</v>
      </c>
      <c r="H29" s="32">
        <v>81</v>
      </c>
      <c r="I29" s="32">
        <v>23</v>
      </c>
      <c r="J29" s="32">
        <v>5</v>
      </c>
      <c r="K29" s="32">
        <v>13</v>
      </c>
      <c r="L29" s="32">
        <v>1</v>
      </c>
      <c r="M29" s="32">
        <v>2</v>
      </c>
    </row>
    <row r="30" spans="1:13">
      <c r="A30" s="32">
        <f t="shared" ca="1" si="0"/>
        <v>3</v>
      </c>
      <c r="B30" s="32" cm="1">
        <f t="array" aca="1" ref="B30" ca="1">INDEX(Data_DBD!$B:$B,$A30)</f>
        <v>43</v>
      </c>
      <c r="C30" s="32" cm="1">
        <f t="array" aca="1" ref="C30" ca="1">INDEX(Data_DBD!$C:$C,$A30)</f>
        <v>3</v>
      </c>
      <c r="D30" s="32" cm="1">
        <f t="array" aca="1" ref="D30" ca="1">INDEX(Data_DBD!$D:$D,$A30)</f>
        <v>12</v>
      </c>
      <c r="E30" s="32" cm="1">
        <f t="array" aca="1" ref="E30" ca="1">INDEX(Data_DBD!$E:$E,$A30)</f>
        <v>1</v>
      </c>
      <c r="F30" s="32" cm="1">
        <f t="array" aca="1" ref="F30" ca="1">INDEX(Data_DBD!$F:$F,$A30)</f>
        <v>2</v>
      </c>
      <c r="H30" s="32">
        <v>45</v>
      </c>
      <c r="I30" s="32">
        <v>75</v>
      </c>
      <c r="J30" s="32">
        <v>3</v>
      </c>
      <c r="K30" s="32">
        <v>13</v>
      </c>
      <c r="L30" s="32">
        <v>1</v>
      </c>
      <c r="M30" s="32">
        <v>2</v>
      </c>
    </row>
    <row r="31" spans="1:13">
      <c r="A31" s="32">
        <f t="shared" ca="1" si="0"/>
        <v>113</v>
      </c>
      <c r="B31" s="32" cm="1">
        <f t="array" aca="1" ref="B31" ca="1">INDEX(Data_DBD!$B:$B,$A31)</f>
        <v>69</v>
      </c>
      <c r="C31" s="32" cm="1">
        <f t="array" aca="1" ref="C31" ca="1">INDEX(Data_DBD!$C:$C,$A31)</f>
        <v>1</v>
      </c>
      <c r="D31" s="32" cm="1">
        <f t="array" aca="1" ref="D31" ca="1">INDEX(Data_DBD!$D:$D,$A31)</f>
        <v>33</v>
      </c>
      <c r="E31" s="32" cm="1">
        <f t="array" aca="1" ref="E31" ca="1">INDEX(Data_DBD!$E:$E,$A31)</f>
        <v>1</v>
      </c>
      <c r="F31" s="32" cm="1">
        <f t="array" aca="1" ref="F31" ca="1">INDEX(Data_DBD!$F:$F,$A31)</f>
        <v>3</v>
      </c>
      <c r="H31" s="32">
        <v>5</v>
      </c>
      <c r="I31" s="32">
        <v>18</v>
      </c>
      <c r="J31" s="32">
        <v>2</v>
      </c>
      <c r="K31" s="32">
        <v>12</v>
      </c>
      <c r="L31" s="32">
        <v>1</v>
      </c>
      <c r="M31" s="32">
        <v>2</v>
      </c>
    </row>
    <row r="32" spans="1:13">
      <c r="A32" s="32">
        <f t="shared" ca="1" si="0"/>
        <v>85</v>
      </c>
      <c r="B32" s="32" cm="1">
        <f t="array" aca="1" ref="B32" ca="1">INDEX(Data_DBD!$B:$B,$A32)</f>
        <v>27</v>
      </c>
      <c r="C32" s="32" cm="1">
        <f t="array" aca="1" ref="C32" ca="1">INDEX(Data_DBD!$C:$C,$A32)</f>
        <v>9</v>
      </c>
      <c r="D32" s="32" cm="1">
        <f t="array" aca="1" ref="D32" ca="1">INDEX(Data_DBD!$D:$D,$A32)</f>
        <v>13</v>
      </c>
      <c r="E32" s="32" cm="1">
        <f t="array" aca="1" ref="E32" ca="1">INDEX(Data_DBD!$E:$E,$A32)</f>
        <v>0</v>
      </c>
      <c r="F32" s="32" cm="1">
        <f t="array" aca="1" ref="F32" ca="1">INDEX(Data_DBD!$F:$F,$A32)</f>
        <v>2</v>
      </c>
      <c r="H32" s="32">
        <v>159</v>
      </c>
      <c r="I32" s="32">
        <v>17</v>
      </c>
      <c r="J32" s="32">
        <v>2</v>
      </c>
      <c r="K32" s="32">
        <v>21</v>
      </c>
      <c r="L32" s="32">
        <v>0</v>
      </c>
      <c r="M32" s="32">
        <v>3</v>
      </c>
    </row>
    <row r="33" spans="1:13">
      <c r="A33" s="32">
        <f t="shared" ca="1" si="0"/>
        <v>96</v>
      </c>
      <c r="B33" s="32" cm="1">
        <f t="array" aca="1" ref="B33" ca="1">INDEX(Data_DBD!$B:$B,$A33)</f>
        <v>56</v>
      </c>
      <c r="C33" s="32" cm="1">
        <f t="array" aca="1" ref="C33" ca="1">INDEX(Data_DBD!$C:$C,$A33)</f>
        <v>4</v>
      </c>
      <c r="D33" s="32" cm="1">
        <f t="array" aca="1" ref="D33" ca="1">INDEX(Data_DBD!$D:$D,$A33)</f>
        <v>18</v>
      </c>
      <c r="E33" s="32" cm="1">
        <f t="array" aca="1" ref="E33" ca="1">INDEX(Data_DBD!$E:$E,$A33)</f>
        <v>0</v>
      </c>
      <c r="F33" s="32" cm="1">
        <f t="array" aca="1" ref="F33" ca="1">INDEX(Data_DBD!$F:$F,$A33)</f>
        <v>3</v>
      </c>
      <c r="H33" s="32">
        <v>111</v>
      </c>
      <c r="I33" s="32">
        <v>25</v>
      </c>
      <c r="J33" s="32">
        <v>4</v>
      </c>
      <c r="K33" s="32">
        <v>33</v>
      </c>
      <c r="L33" s="32">
        <v>0</v>
      </c>
      <c r="M33" s="32">
        <v>3</v>
      </c>
    </row>
    <row r="34" spans="1:13">
      <c r="A34" s="32">
        <f t="shared" ca="1" si="0"/>
        <v>20</v>
      </c>
      <c r="B34" s="32" cm="1">
        <f t="array" aca="1" ref="B34" ca="1">INDEX(Data_DBD!$B:$B,$A34)</f>
        <v>15</v>
      </c>
      <c r="C34" s="32" cm="1">
        <f t="array" aca="1" ref="C34" ca="1">INDEX(Data_DBD!$C:$C,$A34)</f>
        <v>5</v>
      </c>
      <c r="D34" s="32" cm="1">
        <f t="array" aca="1" ref="D34" ca="1">INDEX(Data_DBD!$D:$D,$A34)</f>
        <v>7</v>
      </c>
      <c r="E34" s="32" cm="1">
        <f t="array" aca="1" ref="E34" ca="1">INDEX(Data_DBD!$E:$E,$A34)</f>
        <v>0</v>
      </c>
      <c r="F34" s="32" cm="1">
        <f t="array" aca="1" ref="F34" ca="1">INDEX(Data_DBD!$F:$F,$A34)</f>
        <v>1</v>
      </c>
      <c r="H34" s="32">
        <v>68</v>
      </c>
      <c r="I34" s="32">
        <v>44</v>
      </c>
      <c r="J34" s="32">
        <v>5</v>
      </c>
      <c r="K34" s="32">
        <v>10</v>
      </c>
      <c r="L34" s="32">
        <v>0</v>
      </c>
      <c r="M34" s="32">
        <v>2</v>
      </c>
    </row>
    <row r="35" spans="1:13">
      <c r="A35" s="32">
        <f t="shared" ca="1" si="0"/>
        <v>19</v>
      </c>
      <c r="B35" s="32" cm="1">
        <f t="array" aca="1" ref="B35" ca="1">INDEX(Data_DBD!$B:$B,$A35)</f>
        <v>8</v>
      </c>
      <c r="C35" s="32" cm="1">
        <f t="array" aca="1" ref="C35" ca="1">INDEX(Data_DBD!$C:$C,$A35)</f>
        <v>4</v>
      </c>
      <c r="D35" s="32" cm="1">
        <f t="array" aca="1" ref="D35" ca="1">INDEX(Data_DBD!$D:$D,$A35)</f>
        <v>7</v>
      </c>
      <c r="E35" s="32" cm="1">
        <f t="array" aca="1" ref="E35" ca="1">INDEX(Data_DBD!$E:$E,$A35)</f>
        <v>0</v>
      </c>
      <c r="F35" s="32" cm="1">
        <f t="array" aca="1" ref="F35" ca="1">INDEX(Data_DBD!$F:$F,$A35)</f>
        <v>1</v>
      </c>
      <c r="H35" s="32">
        <v>140</v>
      </c>
      <c r="I35" s="32">
        <v>74</v>
      </c>
      <c r="J35" s="32">
        <v>5</v>
      </c>
      <c r="K35" s="32">
        <v>21</v>
      </c>
      <c r="L35" s="32">
        <v>1</v>
      </c>
      <c r="M35" s="32">
        <v>3</v>
      </c>
    </row>
    <row r="36" spans="1:13">
      <c r="A36" s="32">
        <f t="shared" ca="1" si="0"/>
        <v>70</v>
      </c>
      <c r="B36" s="32" cm="1">
        <f t="array" aca="1" ref="B36" ca="1">INDEX(Data_DBD!$B:$B,$A36)</f>
        <v>26</v>
      </c>
      <c r="C36" s="32" cm="1">
        <f t="array" aca="1" ref="C36" ca="1">INDEX(Data_DBD!$C:$C,$A36)</f>
        <v>3</v>
      </c>
      <c r="D36" s="32" cm="1">
        <f t="array" aca="1" ref="D36" ca="1">INDEX(Data_DBD!$D:$D,$A36)</f>
        <v>10</v>
      </c>
      <c r="E36" s="32" cm="1">
        <f t="array" aca="1" ref="E36" ca="1">INDEX(Data_DBD!$E:$E,$A36)</f>
        <v>1</v>
      </c>
      <c r="F36" s="32" cm="1">
        <f t="array" aca="1" ref="F36" ca="1">INDEX(Data_DBD!$F:$F,$A36)</f>
        <v>2</v>
      </c>
      <c r="H36" s="32">
        <v>77</v>
      </c>
      <c r="I36" s="32">
        <v>16</v>
      </c>
      <c r="J36" s="32">
        <v>4</v>
      </c>
      <c r="K36" s="32">
        <v>13</v>
      </c>
      <c r="L36" s="32">
        <v>1</v>
      </c>
      <c r="M36" s="32">
        <v>2</v>
      </c>
    </row>
    <row r="37" spans="1:13">
      <c r="A37" s="32">
        <f t="shared" ca="1" si="0"/>
        <v>126</v>
      </c>
      <c r="B37" s="32" cm="1">
        <f t="array" aca="1" ref="B37" ca="1">INDEX(Data_DBD!$B:$B,$A37)</f>
        <v>51</v>
      </c>
      <c r="C37" s="32" cm="1">
        <f t="array" aca="1" ref="C37" ca="1">INDEX(Data_DBD!$C:$C,$A37)</f>
        <v>3</v>
      </c>
      <c r="D37" s="32" cm="1">
        <f t="array" aca="1" ref="D37" ca="1">INDEX(Data_DBD!$D:$D,$A37)</f>
        <v>33</v>
      </c>
      <c r="E37" s="32" cm="1">
        <f t="array" aca="1" ref="E37" ca="1">INDEX(Data_DBD!$E:$E,$A37)</f>
        <v>1</v>
      </c>
      <c r="F37" s="32" cm="1">
        <f t="array" aca="1" ref="F37" ca="1">INDEX(Data_DBD!$F:$F,$A37)</f>
        <v>3</v>
      </c>
      <c r="H37" s="32">
        <v>107</v>
      </c>
      <c r="I37" s="32">
        <v>48</v>
      </c>
      <c r="J37" s="32">
        <v>5</v>
      </c>
      <c r="K37" s="32">
        <v>18</v>
      </c>
      <c r="L37" s="32">
        <v>0</v>
      </c>
      <c r="M37" s="32">
        <v>3</v>
      </c>
    </row>
    <row r="38" spans="1:13">
      <c r="A38" s="32">
        <f t="shared" ca="1" si="0"/>
        <v>142</v>
      </c>
      <c r="B38" s="32" cm="1">
        <f t="array" aca="1" ref="B38" ca="1">INDEX(Data_DBD!$B:$B,$A38)</f>
        <v>39</v>
      </c>
      <c r="C38" s="32" cm="1">
        <f t="array" aca="1" ref="C38" ca="1">INDEX(Data_DBD!$C:$C,$A38)</f>
        <v>2</v>
      </c>
      <c r="D38" s="32" cm="1">
        <f t="array" aca="1" ref="D38" ca="1">INDEX(Data_DBD!$D:$D,$A38)</f>
        <v>21</v>
      </c>
      <c r="E38" s="32" cm="1">
        <f t="array" aca="1" ref="E38" ca="1">INDEX(Data_DBD!$E:$E,$A38)</f>
        <v>1</v>
      </c>
      <c r="F38" s="32" cm="1">
        <f t="array" aca="1" ref="F38" ca="1">INDEX(Data_DBD!$F:$F,$A38)</f>
        <v>3</v>
      </c>
      <c r="H38" s="32">
        <v>5</v>
      </c>
      <c r="I38" s="32">
        <v>18</v>
      </c>
      <c r="J38" s="32">
        <v>2</v>
      </c>
      <c r="K38" s="32">
        <v>12</v>
      </c>
      <c r="L38" s="32">
        <v>1</v>
      </c>
      <c r="M38" s="32">
        <v>2</v>
      </c>
    </row>
    <row r="39" spans="1:13">
      <c r="A39" s="32">
        <f t="shared" ca="1" si="0"/>
        <v>152</v>
      </c>
      <c r="B39" s="32" cm="1">
        <f t="array" aca="1" ref="B39" ca="1">INDEX(Data_DBD!$B:$B,$A39)</f>
        <v>47</v>
      </c>
      <c r="C39" s="32" cm="1">
        <f t="array" aca="1" ref="C39" ca="1">INDEX(Data_DBD!$C:$C,$A39)</f>
        <v>3</v>
      </c>
      <c r="D39" s="32" cm="1">
        <f t="array" aca="1" ref="D39" ca="1">INDEX(Data_DBD!$D:$D,$A39)</f>
        <v>21</v>
      </c>
      <c r="E39" s="32" cm="1">
        <f t="array" aca="1" ref="E39" ca="1">INDEX(Data_DBD!$E:$E,$A39)</f>
        <v>1</v>
      </c>
      <c r="F39" s="32" cm="1">
        <f t="array" aca="1" ref="F39" ca="1">INDEX(Data_DBD!$F:$F,$A39)</f>
        <v>3</v>
      </c>
      <c r="H39" s="32">
        <v>157</v>
      </c>
      <c r="I39" s="32">
        <v>15</v>
      </c>
      <c r="J39" s="32">
        <v>4</v>
      </c>
      <c r="K39" s="32">
        <v>21</v>
      </c>
      <c r="L39" s="32">
        <v>1</v>
      </c>
      <c r="M39" s="32">
        <v>3</v>
      </c>
    </row>
    <row r="40" spans="1:13">
      <c r="A40" s="32">
        <f t="shared" ca="1" si="0"/>
        <v>149</v>
      </c>
      <c r="B40" s="32" cm="1">
        <f t="array" aca="1" ref="B40" ca="1">INDEX(Data_DBD!$B:$B,$A40)</f>
        <v>19</v>
      </c>
      <c r="C40" s="32" cm="1">
        <f t="array" aca="1" ref="C40" ca="1">INDEX(Data_DBD!$C:$C,$A40)</f>
        <v>5</v>
      </c>
      <c r="D40" s="32" cm="1">
        <f t="array" aca="1" ref="D40" ca="1">INDEX(Data_DBD!$D:$D,$A40)</f>
        <v>21</v>
      </c>
      <c r="E40" s="32" cm="1">
        <f t="array" aca="1" ref="E40" ca="1">INDEX(Data_DBD!$E:$E,$A40)</f>
        <v>0</v>
      </c>
      <c r="F40" s="32" cm="1">
        <f t="array" aca="1" ref="F40" ca="1">INDEX(Data_DBD!$F:$F,$A40)</f>
        <v>3</v>
      </c>
      <c r="H40" s="32">
        <v>48</v>
      </c>
      <c r="I40" s="32">
        <v>50</v>
      </c>
      <c r="J40" s="32">
        <v>5</v>
      </c>
      <c r="K40" s="32">
        <v>13</v>
      </c>
      <c r="L40" s="32">
        <v>1</v>
      </c>
      <c r="M40" s="32">
        <v>2</v>
      </c>
    </row>
    <row r="41" spans="1:13">
      <c r="A41" s="32">
        <f t="shared" ca="1" si="0"/>
        <v>56</v>
      </c>
      <c r="B41" s="32" cm="1">
        <f t="array" aca="1" ref="B41" ca="1">INDEX(Data_DBD!$B:$B,$A41)</f>
        <v>4</v>
      </c>
      <c r="C41" s="32" cm="1">
        <f t="array" aca="1" ref="C41" ca="1">INDEX(Data_DBD!$C:$C,$A41)</f>
        <v>3</v>
      </c>
      <c r="D41" s="32" cm="1">
        <f t="array" aca="1" ref="D41" ca="1">INDEX(Data_DBD!$D:$D,$A41)</f>
        <v>15</v>
      </c>
      <c r="E41" s="32" cm="1">
        <f t="array" aca="1" ref="E41" ca="1">INDEX(Data_DBD!$E:$E,$A41)</f>
        <v>0</v>
      </c>
      <c r="F41" s="32" cm="1">
        <f t="array" aca="1" ref="F41" ca="1">INDEX(Data_DBD!$F:$F,$A41)</f>
        <v>2</v>
      </c>
      <c r="H41" s="32">
        <v>119</v>
      </c>
      <c r="I41" s="32">
        <v>30</v>
      </c>
      <c r="J41" s="32">
        <v>7</v>
      </c>
      <c r="K41" s="32">
        <v>33</v>
      </c>
      <c r="L41" s="32">
        <v>0</v>
      </c>
      <c r="M41" s="32">
        <v>3</v>
      </c>
    </row>
    <row r="42" spans="1:13">
      <c r="A42" s="32">
        <f t="shared" ca="1" si="0"/>
        <v>132</v>
      </c>
      <c r="B42" s="32" cm="1">
        <f t="array" aca="1" ref="B42" ca="1">INDEX(Data_DBD!$B:$B,$A42)</f>
        <v>10</v>
      </c>
      <c r="C42" s="32" cm="1">
        <f t="array" aca="1" ref="C42" ca="1">INDEX(Data_DBD!$C:$C,$A42)</f>
        <v>3</v>
      </c>
      <c r="D42" s="32" cm="1">
        <f t="array" aca="1" ref="D42" ca="1">INDEX(Data_DBD!$D:$D,$A42)</f>
        <v>33</v>
      </c>
      <c r="E42" s="32" cm="1">
        <f t="array" aca="1" ref="E42" ca="1">INDEX(Data_DBD!$E:$E,$A42)</f>
        <v>1</v>
      </c>
      <c r="F42" s="32" cm="1">
        <f t="array" aca="1" ref="F42" ca="1">INDEX(Data_DBD!$F:$F,$A42)</f>
        <v>3</v>
      </c>
      <c r="H42" s="32">
        <v>96</v>
      </c>
      <c r="I42" s="32">
        <v>56</v>
      </c>
      <c r="J42" s="32">
        <v>4</v>
      </c>
      <c r="K42" s="32">
        <v>18</v>
      </c>
      <c r="L42" s="32">
        <v>0</v>
      </c>
      <c r="M42" s="32">
        <v>3</v>
      </c>
    </row>
    <row r="43" spans="1:13">
      <c r="A43" s="32">
        <f t="shared" ca="1" si="0"/>
        <v>107</v>
      </c>
      <c r="B43" s="32" cm="1">
        <f t="array" aca="1" ref="B43" ca="1">INDEX(Data_DBD!$B:$B,$A43)</f>
        <v>48</v>
      </c>
      <c r="C43" s="32" cm="1">
        <f t="array" aca="1" ref="C43" ca="1">INDEX(Data_DBD!$C:$C,$A43)</f>
        <v>5</v>
      </c>
      <c r="D43" s="32" cm="1">
        <f t="array" aca="1" ref="D43" ca="1">INDEX(Data_DBD!$D:$D,$A43)</f>
        <v>18</v>
      </c>
      <c r="E43" s="32" cm="1">
        <f t="array" aca="1" ref="E43" ca="1">INDEX(Data_DBD!$E:$E,$A43)</f>
        <v>0</v>
      </c>
      <c r="F43" s="32" cm="1">
        <f t="array" aca="1" ref="F43" ca="1">INDEX(Data_DBD!$F:$F,$A43)</f>
        <v>3</v>
      </c>
      <c r="H43" s="32">
        <v>34</v>
      </c>
      <c r="I43" s="32">
        <v>55</v>
      </c>
      <c r="J43" s="32">
        <v>3</v>
      </c>
      <c r="K43" s="32">
        <v>14</v>
      </c>
      <c r="L43" s="32">
        <v>0</v>
      </c>
      <c r="M43" s="32">
        <v>2</v>
      </c>
    </row>
    <row r="44" spans="1:13">
      <c r="A44" s="32">
        <f t="shared" ca="1" si="0"/>
        <v>5</v>
      </c>
      <c r="B44" s="32" cm="1">
        <f t="array" aca="1" ref="B44" ca="1">INDEX(Data_DBD!$B:$B,$A44)</f>
        <v>18</v>
      </c>
      <c r="C44" s="32" cm="1">
        <f t="array" aca="1" ref="C44" ca="1">INDEX(Data_DBD!$C:$C,$A44)</f>
        <v>2</v>
      </c>
      <c r="D44" s="32" cm="1">
        <f t="array" aca="1" ref="D44" ca="1">INDEX(Data_DBD!$D:$D,$A44)</f>
        <v>12</v>
      </c>
      <c r="E44" s="32" cm="1">
        <f t="array" aca="1" ref="E44" ca="1">INDEX(Data_DBD!$E:$E,$A44)</f>
        <v>1</v>
      </c>
      <c r="F44" s="32" cm="1">
        <f t="array" aca="1" ref="F44" ca="1">INDEX(Data_DBD!$F:$F,$A44)</f>
        <v>2</v>
      </c>
      <c r="H44" s="32">
        <v>114</v>
      </c>
      <c r="I44" s="32">
        <v>14</v>
      </c>
      <c r="J44" s="32">
        <v>2</v>
      </c>
      <c r="K44" s="32">
        <v>33</v>
      </c>
      <c r="L44" s="32">
        <v>1</v>
      </c>
      <c r="M44" s="32">
        <v>3</v>
      </c>
    </row>
    <row r="45" spans="1:13">
      <c r="A45" s="32">
        <f t="shared" ca="1" si="0"/>
        <v>62</v>
      </c>
      <c r="B45" s="32" cm="1">
        <f t="array" aca="1" ref="B45" ca="1">INDEX(Data_DBD!$B:$B,$A45)</f>
        <v>43</v>
      </c>
      <c r="C45" s="32" cm="1">
        <f t="array" aca="1" ref="C45" ca="1">INDEX(Data_DBD!$C:$C,$A45)</f>
        <v>4</v>
      </c>
      <c r="D45" s="32" cm="1">
        <f t="array" aca="1" ref="D45" ca="1">INDEX(Data_DBD!$D:$D,$A45)</f>
        <v>15</v>
      </c>
      <c r="E45" s="32" cm="1">
        <f t="array" aca="1" ref="E45" ca="1">INDEX(Data_DBD!$E:$E,$A45)</f>
        <v>1</v>
      </c>
      <c r="F45" s="32" cm="1">
        <f t="array" aca="1" ref="F45" ca="1">INDEX(Data_DBD!$F:$F,$A45)</f>
        <v>2</v>
      </c>
      <c r="H45" s="32">
        <v>50</v>
      </c>
      <c r="I45" s="32">
        <v>19</v>
      </c>
      <c r="J45" s="32">
        <v>5</v>
      </c>
      <c r="K45" s="32">
        <v>13</v>
      </c>
      <c r="L45" s="32">
        <v>0</v>
      </c>
      <c r="M45" s="32">
        <v>2</v>
      </c>
    </row>
    <row r="46" spans="1:13">
      <c r="A46" s="32">
        <f t="shared" ca="1" si="0"/>
        <v>109</v>
      </c>
      <c r="B46" s="32" cm="1">
        <f t="array" aca="1" ref="B46" ca="1">INDEX(Data_DBD!$B:$B,$A46)</f>
        <v>40</v>
      </c>
      <c r="C46" s="32" cm="1">
        <f t="array" aca="1" ref="C46" ca="1">INDEX(Data_DBD!$C:$C,$A46)</f>
        <v>3</v>
      </c>
      <c r="D46" s="32" cm="1">
        <f t="array" aca="1" ref="D46" ca="1">INDEX(Data_DBD!$D:$D,$A46)</f>
        <v>33</v>
      </c>
      <c r="E46" s="32" cm="1">
        <f t="array" aca="1" ref="E46" ca="1">INDEX(Data_DBD!$E:$E,$A46)</f>
        <v>1</v>
      </c>
      <c r="F46" s="32" cm="1">
        <f t="array" aca="1" ref="F46" ca="1">INDEX(Data_DBD!$F:$F,$A46)</f>
        <v>3</v>
      </c>
      <c r="H46" s="32">
        <v>50</v>
      </c>
      <c r="I46" s="32">
        <v>19</v>
      </c>
      <c r="J46" s="32">
        <v>5</v>
      </c>
      <c r="K46" s="32">
        <v>13</v>
      </c>
      <c r="L46" s="32">
        <v>0</v>
      </c>
      <c r="M46" s="32">
        <v>2</v>
      </c>
    </row>
    <row r="47" spans="1:13">
      <c r="A47" s="32">
        <f t="shared" ca="1" si="0"/>
        <v>27</v>
      </c>
      <c r="B47" s="32" cm="1">
        <f t="array" aca="1" ref="B47" ca="1">INDEX(Data_DBD!$B:$B,$A47)</f>
        <v>37</v>
      </c>
      <c r="C47" s="32" cm="1">
        <f t="array" aca="1" ref="C47" ca="1">INDEX(Data_DBD!$C:$C,$A47)</f>
        <v>4</v>
      </c>
      <c r="D47" s="32" cm="1">
        <f t="array" aca="1" ref="D47" ca="1">INDEX(Data_DBD!$D:$D,$A47)</f>
        <v>14</v>
      </c>
      <c r="E47" s="32" cm="1">
        <f t="array" aca="1" ref="E47" ca="1">INDEX(Data_DBD!$E:$E,$A47)</f>
        <v>1</v>
      </c>
      <c r="F47" s="32" cm="1">
        <f t="array" aca="1" ref="F47" ca="1">INDEX(Data_DBD!$F:$F,$A47)</f>
        <v>2</v>
      </c>
      <c r="H47" s="32">
        <v>102</v>
      </c>
      <c r="I47" s="32">
        <v>41</v>
      </c>
      <c r="J47" s="32">
        <v>4</v>
      </c>
      <c r="K47" s="32">
        <v>18</v>
      </c>
      <c r="L47" s="32">
        <v>0</v>
      </c>
      <c r="M47" s="32">
        <v>3</v>
      </c>
    </row>
    <row r="48" spans="1:13">
      <c r="A48" s="32">
        <f t="shared" ca="1" si="0"/>
        <v>32</v>
      </c>
      <c r="B48" s="32" cm="1">
        <f t="array" aca="1" ref="B48" ca="1">INDEX(Data_DBD!$B:$B,$A48)</f>
        <v>54</v>
      </c>
      <c r="C48" s="32" cm="1">
        <f t="array" aca="1" ref="C48" ca="1">INDEX(Data_DBD!$C:$C,$A48)</f>
        <v>4</v>
      </c>
      <c r="D48" s="32" cm="1">
        <f t="array" aca="1" ref="D48" ca="1">INDEX(Data_DBD!$D:$D,$A48)</f>
        <v>14</v>
      </c>
      <c r="E48" s="32" cm="1">
        <f t="array" aca="1" ref="E48" ca="1">INDEX(Data_DBD!$E:$E,$A48)</f>
        <v>0</v>
      </c>
      <c r="F48" s="32" cm="1">
        <f t="array" aca="1" ref="F48" ca="1">INDEX(Data_DBD!$F:$F,$A48)</f>
        <v>2</v>
      </c>
      <c r="H48" s="32">
        <v>97</v>
      </c>
      <c r="I48" s="32">
        <v>16</v>
      </c>
      <c r="J48" s="32">
        <v>2</v>
      </c>
      <c r="K48" s="32">
        <v>18</v>
      </c>
      <c r="L48" s="32">
        <v>1</v>
      </c>
      <c r="M48" s="32">
        <v>3</v>
      </c>
    </row>
    <row r="49" spans="1:13">
      <c r="A49" s="32">
        <f t="shared" ca="1" si="0"/>
        <v>92</v>
      </c>
      <c r="B49" s="32" cm="1">
        <f t="array" aca="1" ref="B49" ca="1">INDEX(Data_DBD!$B:$B,$A49)</f>
        <v>55</v>
      </c>
      <c r="C49" s="32" cm="1">
        <f t="array" aca="1" ref="C49" ca="1">INDEX(Data_DBD!$C:$C,$A49)</f>
        <v>7</v>
      </c>
      <c r="D49" s="32" cm="1">
        <f t="array" aca="1" ref="D49" ca="1">INDEX(Data_DBD!$D:$D,$A49)</f>
        <v>18</v>
      </c>
      <c r="E49" s="32" cm="1">
        <f t="array" aca="1" ref="E49" ca="1">INDEX(Data_DBD!$E:$E,$A49)</f>
        <v>0</v>
      </c>
      <c r="F49" s="32" cm="1">
        <f t="array" aca="1" ref="F49" ca="1">INDEX(Data_DBD!$F:$F,$A49)</f>
        <v>3</v>
      </c>
      <c r="H49" s="32">
        <v>110</v>
      </c>
      <c r="I49" s="32">
        <v>42</v>
      </c>
      <c r="J49" s="32">
        <v>2</v>
      </c>
      <c r="K49" s="32">
        <v>33</v>
      </c>
      <c r="L49" s="32">
        <v>1</v>
      </c>
      <c r="M49" s="32">
        <v>3</v>
      </c>
    </row>
    <row r="50" spans="1:13">
      <c r="A50" s="32">
        <f t="shared" ca="1" si="0"/>
        <v>163</v>
      </c>
      <c r="B50" s="32" cm="1">
        <f t="array" aca="1" ref="B50" ca="1">INDEX(Data_DBD!$B:$B,$A50)</f>
        <v>34</v>
      </c>
      <c r="C50" s="32" cm="1">
        <f t="array" aca="1" ref="C50" ca="1">INDEX(Data_DBD!$C:$C,$A50)</f>
        <v>4</v>
      </c>
      <c r="D50" s="32" cm="1">
        <f t="array" aca="1" ref="D50" ca="1">INDEX(Data_DBD!$D:$D,$A50)</f>
        <v>3</v>
      </c>
      <c r="E50" s="32" cm="1">
        <f t="array" aca="1" ref="E50" ca="1">INDEX(Data_DBD!$E:$E,$A50)</f>
        <v>1</v>
      </c>
      <c r="F50" s="32" cm="1">
        <f t="array" aca="1" ref="F50" ca="1">INDEX(Data_DBD!$F:$F,$A50)</f>
        <v>1</v>
      </c>
      <c r="H50" s="32">
        <v>45</v>
      </c>
      <c r="I50" s="32">
        <v>75</v>
      </c>
      <c r="J50" s="32">
        <v>3</v>
      </c>
      <c r="K50" s="32">
        <v>13</v>
      </c>
      <c r="L50" s="32">
        <v>1</v>
      </c>
      <c r="M50" s="32">
        <v>2</v>
      </c>
    </row>
    <row r="51" spans="1:13">
      <c r="A51" s="32">
        <f t="shared" ca="1" si="0"/>
        <v>148</v>
      </c>
      <c r="B51" s="32" cm="1">
        <f t="array" aca="1" ref="B51" ca="1">INDEX(Data_DBD!$B:$B,$A51)</f>
        <v>55</v>
      </c>
      <c r="C51" s="32" cm="1">
        <f t="array" aca="1" ref="C51" ca="1">INDEX(Data_DBD!$C:$C,$A51)</f>
        <v>3</v>
      </c>
      <c r="D51" s="32" cm="1">
        <f t="array" aca="1" ref="D51" ca="1">INDEX(Data_DBD!$D:$D,$A51)</f>
        <v>21</v>
      </c>
      <c r="E51" s="32" cm="1">
        <f t="array" aca="1" ref="E51" ca="1">INDEX(Data_DBD!$E:$E,$A51)</f>
        <v>1</v>
      </c>
      <c r="F51" s="32" cm="1">
        <f t="array" aca="1" ref="F51" ca="1">INDEX(Data_DBD!$F:$F,$A51)</f>
        <v>3</v>
      </c>
      <c r="H51" s="32">
        <v>155</v>
      </c>
      <c r="I51" s="32">
        <v>19</v>
      </c>
      <c r="J51" s="32">
        <v>5</v>
      </c>
      <c r="K51" s="32">
        <v>21</v>
      </c>
      <c r="L51" s="32">
        <v>1</v>
      </c>
      <c r="M51" s="32">
        <v>3</v>
      </c>
    </row>
    <row r="52" spans="1:13">
      <c r="A52" s="32">
        <f t="shared" ca="1" si="0"/>
        <v>96</v>
      </c>
      <c r="B52" s="32" cm="1">
        <f t="array" aca="1" ref="B52" ca="1">INDEX(Data_DBD!$B:$B,$A52)</f>
        <v>56</v>
      </c>
      <c r="C52" s="32" cm="1">
        <f t="array" aca="1" ref="C52" ca="1">INDEX(Data_DBD!$C:$C,$A52)</f>
        <v>4</v>
      </c>
      <c r="D52" s="32" cm="1">
        <f t="array" aca="1" ref="D52" ca="1">INDEX(Data_DBD!$D:$D,$A52)</f>
        <v>18</v>
      </c>
      <c r="E52" s="32" cm="1">
        <f t="array" aca="1" ref="E52" ca="1">INDEX(Data_DBD!$E:$E,$A52)</f>
        <v>0</v>
      </c>
      <c r="F52" s="32" cm="1">
        <f t="array" aca="1" ref="F52" ca="1">INDEX(Data_DBD!$F:$F,$A52)</f>
        <v>3</v>
      </c>
      <c r="H52" s="32">
        <v>112</v>
      </c>
      <c r="I52" s="32">
        <v>61</v>
      </c>
      <c r="J52" s="32">
        <v>3</v>
      </c>
      <c r="K52" s="32">
        <v>33</v>
      </c>
      <c r="L52" s="32">
        <v>1</v>
      </c>
      <c r="M52" s="32">
        <v>3</v>
      </c>
    </row>
    <row r="53" spans="1:13">
      <c r="A53" s="32">
        <f t="shared" ca="1" si="0"/>
        <v>159</v>
      </c>
      <c r="B53" s="32" cm="1">
        <f t="array" aca="1" ref="B53" ca="1">INDEX(Data_DBD!$B:$B,$A53)</f>
        <v>17</v>
      </c>
      <c r="C53" s="32" cm="1">
        <f t="array" aca="1" ref="C53" ca="1">INDEX(Data_DBD!$C:$C,$A53)</f>
        <v>2</v>
      </c>
      <c r="D53" s="32" cm="1">
        <f t="array" aca="1" ref="D53" ca="1">INDEX(Data_DBD!$D:$D,$A53)</f>
        <v>21</v>
      </c>
      <c r="E53" s="32" cm="1">
        <f t="array" aca="1" ref="E53" ca="1">INDEX(Data_DBD!$E:$E,$A53)</f>
        <v>0</v>
      </c>
      <c r="F53" s="32" cm="1">
        <f t="array" aca="1" ref="F53" ca="1">INDEX(Data_DBD!$F:$F,$A53)</f>
        <v>3</v>
      </c>
      <c r="H53" s="32">
        <v>16</v>
      </c>
      <c r="I53" s="32">
        <v>66</v>
      </c>
      <c r="J53" s="32">
        <v>5</v>
      </c>
      <c r="K53" s="32">
        <v>7</v>
      </c>
      <c r="L53" s="32">
        <v>1</v>
      </c>
      <c r="M53" s="32">
        <v>1</v>
      </c>
    </row>
    <row r="54" spans="1:13">
      <c r="A54" s="32">
        <f t="shared" ca="1" si="0"/>
        <v>40</v>
      </c>
      <c r="B54" s="32" cm="1">
        <f t="array" aca="1" ref="B54" ca="1">INDEX(Data_DBD!$B:$B,$A54)</f>
        <v>65</v>
      </c>
      <c r="C54" s="32" cm="1">
        <f t="array" aca="1" ref="C54" ca="1">INDEX(Data_DBD!$C:$C,$A54)</f>
        <v>3</v>
      </c>
      <c r="D54" s="32" cm="1">
        <f t="array" aca="1" ref="D54" ca="1">INDEX(Data_DBD!$D:$D,$A54)</f>
        <v>13</v>
      </c>
      <c r="E54" s="32" cm="1">
        <f t="array" aca="1" ref="E54" ca="1">INDEX(Data_DBD!$E:$E,$A54)</f>
        <v>1</v>
      </c>
      <c r="F54" s="32" cm="1">
        <f t="array" aca="1" ref="F54" ca="1">INDEX(Data_DBD!$F:$F,$A54)</f>
        <v>2</v>
      </c>
      <c r="H54" s="32">
        <v>58</v>
      </c>
      <c r="I54" s="32">
        <v>17</v>
      </c>
      <c r="J54" s="32">
        <v>3</v>
      </c>
      <c r="K54" s="32">
        <v>15</v>
      </c>
      <c r="L54" s="32">
        <v>0</v>
      </c>
      <c r="M54" s="32">
        <v>2</v>
      </c>
    </row>
    <row r="55" spans="1:13">
      <c r="A55" s="32">
        <f t="shared" ca="1" si="0"/>
        <v>142</v>
      </c>
      <c r="B55" s="32" cm="1">
        <f t="array" aca="1" ref="B55" ca="1">INDEX(Data_DBD!$B:$B,$A55)</f>
        <v>39</v>
      </c>
      <c r="C55" s="32" cm="1">
        <f t="array" aca="1" ref="C55" ca="1">INDEX(Data_DBD!$C:$C,$A55)</f>
        <v>2</v>
      </c>
      <c r="D55" s="32" cm="1">
        <f t="array" aca="1" ref="D55" ca="1">INDEX(Data_DBD!$D:$D,$A55)</f>
        <v>21</v>
      </c>
      <c r="E55" s="32" cm="1">
        <f t="array" aca="1" ref="E55" ca="1">INDEX(Data_DBD!$E:$E,$A55)</f>
        <v>1</v>
      </c>
      <c r="F55" s="32" cm="1">
        <f t="array" aca="1" ref="F55" ca="1">INDEX(Data_DBD!$F:$F,$A55)</f>
        <v>3</v>
      </c>
      <c r="H55" s="32">
        <v>38</v>
      </c>
      <c r="I55" s="32">
        <v>52</v>
      </c>
      <c r="J55" s="32">
        <v>3</v>
      </c>
      <c r="K55" s="32">
        <v>4</v>
      </c>
      <c r="L55" s="32">
        <v>1</v>
      </c>
      <c r="M55" s="32">
        <v>1</v>
      </c>
    </row>
    <row r="56" spans="1:13">
      <c r="A56" s="32">
        <f t="shared" ca="1" si="0"/>
        <v>27</v>
      </c>
      <c r="B56" s="32" cm="1">
        <f t="array" aca="1" ref="B56" ca="1">INDEX(Data_DBD!$B:$B,$A56)</f>
        <v>37</v>
      </c>
      <c r="C56" s="32" cm="1">
        <f t="array" aca="1" ref="C56" ca="1">INDEX(Data_DBD!$C:$C,$A56)</f>
        <v>4</v>
      </c>
      <c r="D56" s="32" cm="1">
        <f t="array" aca="1" ref="D56" ca="1">INDEX(Data_DBD!$D:$D,$A56)</f>
        <v>14</v>
      </c>
      <c r="E56" s="32" cm="1">
        <f t="array" aca="1" ref="E56" ca="1">INDEX(Data_DBD!$E:$E,$A56)</f>
        <v>1</v>
      </c>
      <c r="F56" s="32" cm="1">
        <f t="array" aca="1" ref="F56" ca="1">INDEX(Data_DBD!$F:$F,$A56)</f>
        <v>2</v>
      </c>
      <c r="H56" s="32">
        <v>11</v>
      </c>
      <c r="I56" s="32">
        <v>24</v>
      </c>
      <c r="J56" s="32">
        <v>5</v>
      </c>
      <c r="K56" s="32">
        <v>12</v>
      </c>
      <c r="L56" s="32">
        <v>1</v>
      </c>
      <c r="M56" s="32">
        <v>2</v>
      </c>
    </row>
    <row r="57" spans="1:13">
      <c r="A57" s="32">
        <f t="shared" ca="1" si="0"/>
        <v>30</v>
      </c>
      <c r="B57" s="32" t="str" cm="1">
        <f t="array" aca="1" ref="B57" ca="1">INDEX(Data_DBD!$B:$B,$A57)</f>
        <v>2,8</v>
      </c>
      <c r="C57" s="32" cm="1">
        <f t="array" aca="1" ref="C57" ca="1">INDEX(Data_DBD!$C:$C,$A57)</f>
        <v>2</v>
      </c>
      <c r="D57" s="32" cm="1">
        <f t="array" aca="1" ref="D57" ca="1">INDEX(Data_DBD!$D:$D,$A57)</f>
        <v>14</v>
      </c>
      <c r="E57" s="32" cm="1">
        <f t="array" aca="1" ref="E57" ca="1">INDEX(Data_DBD!$E:$E,$A57)</f>
        <v>1</v>
      </c>
      <c r="F57" s="32" cm="1">
        <f t="array" aca="1" ref="F57" ca="1">INDEX(Data_DBD!$F:$F,$A57)</f>
        <v>2</v>
      </c>
      <c r="H57" s="32">
        <v>19</v>
      </c>
      <c r="I57" s="32">
        <v>8</v>
      </c>
      <c r="J57" s="32">
        <v>4</v>
      </c>
      <c r="K57" s="32">
        <v>7</v>
      </c>
      <c r="L57" s="32">
        <v>0</v>
      </c>
      <c r="M57" s="32">
        <v>1</v>
      </c>
    </row>
    <row r="58" spans="1:13">
      <c r="A58" s="32">
        <f t="shared" ca="1" si="0"/>
        <v>127</v>
      </c>
      <c r="B58" s="32" cm="1">
        <f t="array" aca="1" ref="B58" ca="1">INDEX(Data_DBD!$B:$B,$A58)</f>
        <v>21</v>
      </c>
      <c r="C58" s="32" cm="1">
        <f t="array" aca="1" ref="C58" ca="1">INDEX(Data_DBD!$C:$C,$A58)</f>
        <v>2</v>
      </c>
      <c r="D58" s="32" cm="1">
        <f t="array" aca="1" ref="D58" ca="1">INDEX(Data_DBD!$D:$D,$A58)</f>
        <v>33</v>
      </c>
      <c r="E58" s="32" cm="1">
        <f t="array" aca="1" ref="E58" ca="1">INDEX(Data_DBD!$E:$E,$A58)</f>
        <v>0</v>
      </c>
      <c r="F58" s="32" cm="1">
        <f t="array" aca="1" ref="F58" ca="1">INDEX(Data_DBD!$F:$F,$A58)</f>
        <v>3</v>
      </c>
      <c r="H58" s="32">
        <v>77</v>
      </c>
      <c r="I58" s="32">
        <v>16</v>
      </c>
      <c r="J58" s="32">
        <v>4</v>
      </c>
      <c r="K58" s="32">
        <v>13</v>
      </c>
      <c r="L58" s="32">
        <v>1</v>
      </c>
      <c r="M58" s="32">
        <v>2</v>
      </c>
    </row>
    <row r="59" spans="1:13">
      <c r="A59" s="32">
        <f t="shared" ca="1" si="0"/>
        <v>138</v>
      </c>
      <c r="B59" s="32" cm="1">
        <f t="array" aca="1" ref="B59" ca="1">INDEX(Data_DBD!$B:$B,$A59)</f>
        <v>13</v>
      </c>
      <c r="C59" s="32" cm="1">
        <f t="array" aca="1" ref="C59" ca="1">INDEX(Data_DBD!$C:$C,$A59)</f>
        <v>3</v>
      </c>
      <c r="D59" s="32" cm="1">
        <f t="array" aca="1" ref="D59" ca="1">INDEX(Data_DBD!$D:$D,$A59)</f>
        <v>33</v>
      </c>
      <c r="E59" s="32" cm="1">
        <f t="array" aca="1" ref="E59" ca="1">INDEX(Data_DBD!$E:$E,$A59)</f>
        <v>1</v>
      </c>
      <c r="F59" s="32" cm="1">
        <f t="array" aca="1" ref="F59" ca="1">INDEX(Data_DBD!$F:$F,$A59)</f>
        <v>3</v>
      </c>
      <c r="H59" s="32">
        <v>7</v>
      </c>
      <c r="I59" s="32">
        <v>12</v>
      </c>
      <c r="J59" s="32">
        <v>1</v>
      </c>
      <c r="K59" s="32">
        <v>12</v>
      </c>
      <c r="L59" s="32">
        <v>1</v>
      </c>
      <c r="M59" s="32">
        <v>2</v>
      </c>
    </row>
    <row r="60" spans="1:13">
      <c r="A60" s="32">
        <f t="shared" ca="1" si="0"/>
        <v>114</v>
      </c>
      <c r="B60" s="32" cm="1">
        <f t="array" aca="1" ref="B60" ca="1">INDEX(Data_DBD!$B:$B,$A60)</f>
        <v>14</v>
      </c>
      <c r="C60" s="32" cm="1">
        <f t="array" aca="1" ref="C60" ca="1">INDEX(Data_DBD!$C:$C,$A60)</f>
        <v>2</v>
      </c>
      <c r="D60" s="32" cm="1">
        <f t="array" aca="1" ref="D60" ca="1">INDEX(Data_DBD!$D:$D,$A60)</f>
        <v>33</v>
      </c>
      <c r="E60" s="32" cm="1">
        <f t="array" aca="1" ref="E60" ca="1">INDEX(Data_DBD!$E:$E,$A60)</f>
        <v>1</v>
      </c>
      <c r="F60" s="32" cm="1">
        <f t="array" aca="1" ref="F60" ca="1">INDEX(Data_DBD!$F:$F,$A60)</f>
        <v>3</v>
      </c>
      <c r="H60" s="32">
        <v>16</v>
      </c>
      <c r="I60" s="32">
        <v>66</v>
      </c>
      <c r="J60" s="32">
        <v>5</v>
      </c>
      <c r="K60" s="32">
        <v>7</v>
      </c>
      <c r="L60" s="32">
        <v>1</v>
      </c>
      <c r="M60" s="32">
        <v>1</v>
      </c>
    </row>
    <row r="61" spans="1:13">
      <c r="A61" s="32">
        <f t="shared" ca="1" si="0"/>
        <v>36</v>
      </c>
      <c r="B61" s="32" cm="1">
        <f t="array" aca="1" ref="B61" ca="1">INDEX(Data_DBD!$B:$B,$A61)</f>
        <v>27</v>
      </c>
      <c r="C61" s="32" cm="1">
        <f t="array" aca="1" ref="C61" ca="1">INDEX(Data_DBD!$C:$C,$A61)</f>
        <v>1</v>
      </c>
      <c r="D61" s="32" cm="1">
        <f t="array" aca="1" ref="D61" ca="1">INDEX(Data_DBD!$D:$D,$A61)</f>
        <v>4</v>
      </c>
      <c r="E61" s="32" cm="1">
        <f t="array" aca="1" ref="E61" ca="1">INDEX(Data_DBD!$E:$E,$A61)</f>
        <v>1</v>
      </c>
      <c r="F61" s="32" cm="1">
        <f t="array" aca="1" ref="F61" ca="1">INDEX(Data_DBD!$F:$F,$A61)</f>
        <v>1</v>
      </c>
      <c r="H61" s="32">
        <v>29</v>
      </c>
      <c r="I61" s="32">
        <v>19</v>
      </c>
      <c r="J61" s="32">
        <v>2</v>
      </c>
      <c r="K61" s="32">
        <v>14</v>
      </c>
      <c r="L61" s="32">
        <v>1</v>
      </c>
      <c r="M61" s="32">
        <v>2</v>
      </c>
    </row>
    <row r="62" spans="1:13">
      <c r="A62" s="32">
        <f t="shared" ca="1" si="0"/>
        <v>55</v>
      </c>
      <c r="B62" s="32" cm="1">
        <f t="array" aca="1" ref="B62" ca="1">INDEX(Data_DBD!$B:$B,$A62)</f>
        <v>7</v>
      </c>
      <c r="C62" s="32" cm="1">
        <f t="array" aca="1" ref="C62" ca="1">INDEX(Data_DBD!$C:$C,$A62)</f>
        <v>4</v>
      </c>
      <c r="D62" s="32" cm="1">
        <f t="array" aca="1" ref="D62" ca="1">INDEX(Data_DBD!$D:$D,$A62)</f>
        <v>15</v>
      </c>
      <c r="E62" s="32" cm="1">
        <f t="array" aca="1" ref="E62" ca="1">INDEX(Data_DBD!$E:$E,$A62)</f>
        <v>1</v>
      </c>
      <c r="F62" s="32" cm="1">
        <f t="array" aca="1" ref="F62" ca="1">INDEX(Data_DBD!$F:$F,$A62)</f>
        <v>2</v>
      </c>
      <c r="H62" s="32">
        <v>53</v>
      </c>
      <c r="I62" s="32">
        <v>35</v>
      </c>
      <c r="J62" s="32">
        <v>4</v>
      </c>
      <c r="K62" s="32">
        <v>15</v>
      </c>
      <c r="L62" s="32">
        <v>1</v>
      </c>
      <c r="M62" s="32">
        <v>2</v>
      </c>
    </row>
    <row r="63" spans="1:13">
      <c r="A63" s="32">
        <f t="shared" ca="1" si="0"/>
        <v>46</v>
      </c>
      <c r="B63" s="32" cm="1">
        <f t="array" aca="1" ref="B63" ca="1">INDEX(Data_DBD!$B:$B,$A63)</f>
        <v>62</v>
      </c>
      <c r="C63" s="32" cm="1">
        <f t="array" aca="1" ref="C63" ca="1">INDEX(Data_DBD!$C:$C,$A63)</f>
        <v>2</v>
      </c>
      <c r="D63" s="32" cm="1">
        <f t="array" aca="1" ref="D63" ca="1">INDEX(Data_DBD!$D:$D,$A63)</f>
        <v>13</v>
      </c>
      <c r="E63" s="32" cm="1">
        <f t="array" aca="1" ref="E63" ca="1">INDEX(Data_DBD!$E:$E,$A63)</f>
        <v>0</v>
      </c>
      <c r="F63" s="32" cm="1">
        <f t="array" aca="1" ref="F63" ca="1">INDEX(Data_DBD!$F:$F,$A63)</f>
        <v>2</v>
      </c>
      <c r="H63" s="32">
        <v>136</v>
      </c>
      <c r="I63" s="32">
        <v>6</v>
      </c>
      <c r="J63" s="32">
        <v>2</v>
      </c>
      <c r="K63" s="32">
        <v>33</v>
      </c>
      <c r="L63" s="32">
        <v>0</v>
      </c>
      <c r="M63" s="32">
        <v>3</v>
      </c>
    </row>
    <row r="64" spans="1:13">
      <c r="A64" s="32">
        <f t="shared" ca="1" si="0"/>
        <v>98</v>
      </c>
      <c r="B64" s="32" cm="1">
        <f t="array" aca="1" ref="B64" ca="1">INDEX(Data_DBD!$B:$B,$A64)</f>
        <v>16</v>
      </c>
      <c r="C64" s="32" cm="1">
        <f t="array" aca="1" ref="C64" ca="1">INDEX(Data_DBD!$C:$C,$A64)</f>
        <v>2</v>
      </c>
      <c r="D64" s="32" cm="1">
        <f t="array" aca="1" ref="D64" ca="1">INDEX(Data_DBD!$D:$D,$A64)</f>
        <v>18</v>
      </c>
      <c r="E64" s="32" cm="1">
        <f t="array" aca="1" ref="E64" ca="1">INDEX(Data_DBD!$E:$E,$A64)</f>
        <v>1</v>
      </c>
      <c r="F64" s="32" cm="1">
        <f t="array" aca="1" ref="F64" ca="1">INDEX(Data_DBD!$F:$F,$A64)</f>
        <v>3</v>
      </c>
      <c r="H64" s="32">
        <v>9</v>
      </c>
      <c r="I64" s="32">
        <v>16</v>
      </c>
      <c r="J64" s="32">
        <v>6</v>
      </c>
      <c r="K64" s="32">
        <v>12</v>
      </c>
      <c r="L64" s="32">
        <v>1</v>
      </c>
      <c r="M64" s="32">
        <v>2</v>
      </c>
    </row>
    <row r="65" spans="1:13">
      <c r="A65" s="32">
        <f t="shared" ca="1" si="0"/>
        <v>6</v>
      </c>
      <c r="B65" s="32" cm="1">
        <f t="array" aca="1" ref="B65" ca="1">INDEX(Data_DBD!$B:$B,$A65)</f>
        <v>14</v>
      </c>
      <c r="C65" s="32" cm="1">
        <f t="array" aca="1" ref="C65" ca="1">INDEX(Data_DBD!$C:$C,$A65)</f>
        <v>4</v>
      </c>
      <c r="D65" s="32" cm="1">
        <f t="array" aca="1" ref="D65" ca="1">INDEX(Data_DBD!$D:$D,$A65)</f>
        <v>12</v>
      </c>
      <c r="E65" s="32" cm="1">
        <f t="array" aca="1" ref="E65" ca="1">INDEX(Data_DBD!$E:$E,$A65)</f>
        <v>0</v>
      </c>
      <c r="F65" s="32" cm="1">
        <f t="array" aca="1" ref="F65" ca="1">INDEX(Data_DBD!$F:$F,$A65)</f>
        <v>2</v>
      </c>
      <c r="H65" s="32">
        <v>7</v>
      </c>
      <c r="I65" s="32">
        <v>12</v>
      </c>
      <c r="J65" s="32">
        <v>1</v>
      </c>
      <c r="K65" s="32">
        <v>12</v>
      </c>
      <c r="L65" s="32">
        <v>1</v>
      </c>
      <c r="M65" s="32">
        <v>2</v>
      </c>
    </row>
    <row r="66" spans="1:13">
      <c r="A66" s="32">
        <f t="shared" ca="1" si="0"/>
        <v>12</v>
      </c>
      <c r="B66" s="32" cm="1">
        <f t="array" aca="1" ref="B66" ca="1">INDEX(Data_DBD!$B:$B,$A66)</f>
        <v>23</v>
      </c>
      <c r="C66" s="32" cm="1">
        <f t="array" aca="1" ref="C66" ca="1">INDEX(Data_DBD!$C:$C,$A66)</f>
        <v>3</v>
      </c>
      <c r="D66" s="32" cm="1">
        <f t="array" aca="1" ref="D66" ca="1">INDEX(Data_DBD!$D:$D,$A66)</f>
        <v>12</v>
      </c>
      <c r="E66" s="32" cm="1">
        <f t="array" aca="1" ref="E66" ca="1">INDEX(Data_DBD!$E:$E,$A66)</f>
        <v>0</v>
      </c>
      <c r="F66" s="32" cm="1">
        <f t="array" aca="1" ref="F66" ca="1">INDEX(Data_DBD!$F:$F,$A66)</f>
        <v>2</v>
      </c>
      <c r="H66" s="32">
        <v>81</v>
      </c>
      <c r="I66" s="32">
        <v>23</v>
      </c>
      <c r="J66" s="32">
        <v>5</v>
      </c>
      <c r="K66" s="32">
        <v>13</v>
      </c>
      <c r="L66" s="32">
        <v>1</v>
      </c>
      <c r="M66" s="32">
        <v>2</v>
      </c>
    </row>
    <row r="67" spans="1:13">
      <c r="A67" s="32">
        <f t="shared" ref="A67:A130" ca="1" si="1">RANDBETWEEN(2,164)</f>
        <v>110</v>
      </c>
      <c r="B67" s="32" cm="1">
        <f t="array" aca="1" ref="B67" ca="1">INDEX(Data_DBD!$B:$B,$A67)</f>
        <v>42</v>
      </c>
      <c r="C67" s="32" cm="1">
        <f t="array" aca="1" ref="C67" ca="1">INDEX(Data_DBD!$C:$C,$A67)</f>
        <v>2</v>
      </c>
      <c r="D67" s="32" cm="1">
        <f t="array" aca="1" ref="D67" ca="1">INDEX(Data_DBD!$D:$D,$A67)</f>
        <v>33</v>
      </c>
      <c r="E67" s="32" cm="1">
        <f t="array" aca="1" ref="E67" ca="1">INDEX(Data_DBD!$E:$E,$A67)</f>
        <v>1</v>
      </c>
      <c r="F67" s="32" cm="1">
        <f t="array" aca="1" ref="F67" ca="1">INDEX(Data_DBD!$F:$F,$A67)</f>
        <v>3</v>
      </c>
      <c r="H67" s="32">
        <v>50</v>
      </c>
      <c r="I67" s="32">
        <v>19</v>
      </c>
      <c r="J67" s="32">
        <v>5</v>
      </c>
      <c r="K67" s="32">
        <v>13</v>
      </c>
      <c r="L67" s="32">
        <v>0</v>
      </c>
      <c r="M67" s="32">
        <v>2</v>
      </c>
    </row>
    <row r="68" spans="1:13">
      <c r="A68" s="32">
        <f t="shared" ca="1" si="1"/>
        <v>92</v>
      </c>
      <c r="B68" s="32" cm="1">
        <f t="array" aca="1" ref="B68" ca="1">INDEX(Data_DBD!$B:$B,$A68)</f>
        <v>55</v>
      </c>
      <c r="C68" s="32" cm="1">
        <f t="array" aca="1" ref="C68" ca="1">INDEX(Data_DBD!$C:$C,$A68)</f>
        <v>7</v>
      </c>
      <c r="D68" s="32" cm="1">
        <f t="array" aca="1" ref="D68" ca="1">INDEX(Data_DBD!$D:$D,$A68)</f>
        <v>18</v>
      </c>
      <c r="E68" s="32" cm="1">
        <f t="array" aca="1" ref="E68" ca="1">INDEX(Data_DBD!$E:$E,$A68)</f>
        <v>0</v>
      </c>
      <c r="F68" s="32" cm="1">
        <f t="array" aca="1" ref="F68" ca="1">INDEX(Data_DBD!$F:$F,$A68)</f>
        <v>3</v>
      </c>
      <c r="H68" s="32">
        <v>107</v>
      </c>
      <c r="I68" s="32">
        <v>48</v>
      </c>
      <c r="J68" s="32">
        <v>5</v>
      </c>
      <c r="K68" s="32">
        <v>18</v>
      </c>
      <c r="L68" s="32">
        <v>0</v>
      </c>
      <c r="M68" s="32">
        <v>3</v>
      </c>
    </row>
    <row r="69" spans="1:13">
      <c r="A69" s="32">
        <f t="shared" ca="1" si="1"/>
        <v>149</v>
      </c>
      <c r="B69" s="32" cm="1">
        <f t="array" aca="1" ref="B69" ca="1">INDEX(Data_DBD!$B:$B,$A69)</f>
        <v>19</v>
      </c>
      <c r="C69" s="32" cm="1">
        <f t="array" aca="1" ref="C69" ca="1">INDEX(Data_DBD!$C:$C,$A69)</f>
        <v>5</v>
      </c>
      <c r="D69" s="32" cm="1">
        <f t="array" aca="1" ref="D69" ca="1">INDEX(Data_DBD!$D:$D,$A69)</f>
        <v>21</v>
      </c>
      <c r="E69" s="32" cm="1">
        <f t="array" aca="1" ref="E69" ca="1">INDEX(Data_DBD!$E:$E,$A69)</f>
        <v>0</v>
      </c>
      <c r="F69" s="32" cm="1">
        <f t="array" aca="1" ref="F69" ca="1">INDEX(Data_DBD!$F:$F,$A69)</f>
        <v>3</v>
      </c>
      <c r="H69" s="32">
        <v>35</v>
      </c>
      <c r="I69" s="32">
        <v>40</v>
      </c>
      <c r="J69" s="32">
        <v>3</v>
      </c>
      <c r="K69" s="32">
        <v>4</v>
      </c>
      <c r="L69" s="32">
        <v>1</v>
      </c>
      <c r="M69" s="32">
        <v>1</v>
      </c>
    </row>
    <row r="70" spans="1:13">
      <c r="A70" s="32">
        <f t="shared" ca="1" si="1"/>
        <v>129</v>
      </c>
      <c r="B70" s="32" cm="1">
        <f t="array" aca="1" ref="B70" ca="1">INDEX(Data_DBD!$B:$B,$A70)</f>
        <v>4.5</v>
      </c>
      <c r="C70" s="32" cm="1">
        <f t="array" aca="1" ref="C70" ca="1">INDEX(Data_DBD!$C:$C,$A70)</f>
        <v>3</v>
      </c>
      <c r="D70" s="32" cm="1">
        <f t="array" aca="1" ref="D70" ca="1">INDEX(Data_DBD!$D:$D,$A70)</f>
        <v>33</v>
      </c>
      <c r="E70" s="32" cm="1">
        <f t="array" aca="1" ref="E70" ca="1">INDEX(Data_DBD!$E:$E,$A70)</f>
        <v>0</v>
      </c>
      <c r="F70" s="32" cm="1">
        <f t="array" aca="1" ref="F70" ca="1">INDEX(Data_DBD!$F:$F,$A70)</f>
        <v>3</v>
      </c>
      <c r="H70" s="32">
        <v>128</v>
      </c>
      <c r="I70" s="32">
        <v>38</v>
      </c>
      <c r="J70" s="32">
        <v>2</v>
      </c>
      <c r="K70" s="32">
        <v>33</v>
      </c>
      <c r="L70" s="32">
        <v>0</v>
      </c>
      <c r="M70" s="32">
        <v>3</v>
      </c>
    </row>
    <row r="71" spans="1:13">
      <c r="A71" s="32">
        <f t="shared" ca="1" si="1"/>
        <v>143</v>
      </c>
      <c r="B71" s="32" cm="1">
        <f t="array" aca="1" ref="B71" ca="1">INDEX(Data_DBD!$B:$B,$A71)</f>
        <v>20</v>
      </c>
      <c r="C71" s="32" cm="1">
        <f t="array" aca="1" ref="C71" ca="1">INDEX(Data_DBD!$C:$C,$A71)</f>
        <v>4</v>
      </c>
      <c r="D71" s="32" cm="1">
        <f t="array" aca="1" ref="D71" ca="1">INDEX(Data_DBD!$D:$D,$A71)</f>
        <v>21</v>
      </c>
      <c r="E71" s="32" cm="1">
        <f t="array" aca="1" ref="E71" ca="1">INDEX(Data_DBD!$E:$E,$A71)</f>
        <v>1</v>
      </c>
      <c r="F71" s="32" cm="1">
        <f t="array" aca="1" ref="F71" ca="1">INDEX(Data_DBD!$F:$F,$A71)</f>
        <v>3</v>
      </c>
      <c r="H71" s="32">
        <v>19</v>
      </c>
      <c r="I71" s="32">
        <v>8</v>
      </c>
      <c r="J71" s="32">
        <v>4</v>
      </c>
      <c r="K71" s="32">
        <v>7</v>
      </c>
      <c r="L71" s="32">
        <v>0</v>
      </c>
      <c r="M71" s="32">
        <v>1</v>
      </c>
    </row>
    <row r="72" spans="1:13">
      <c r="A72" s="32">
        <f t="shared" ca="1" si="1"/>
        <v>154</v>
      </c>
      <c r="B72" s="32" cm="1">
        <f t="array" aca="1" ref="B72" ca="1">INDEX(Data_DBD!$B:$B,$A72)</f>
        <v>18</v>
      </c>
      <c r="C72" s="32" cm="1">
        <f t="array" aca="1" ref="C72" ca="1">INDEX(Data_DBD!$C:$C,$A72)</f>
        <v>5</v>
      </c>
      <c r="D72" s="32" cm="1">
        <f t="array" aca="1" ref="D72" ca="1">INDEX(Data_DBD!$D:$D,$A72)</f>
        <v>21</v>
      </c>
      <c r="E72" s="32" cm="1">
        <f t="array" aca="1" ref="E72" ca="1">INDEX(Data_DBD!$E:$E,$A72)</f>
        <v>1</v>
      </c>
      <c r="F72" s="32" cm="1">
        <f t="array" aca="1" ref="F72" ca="1">INDEX(Data_DBD!$F:$F,$A72)</f>
        <v>3</v>
      </c>
      <c r="H72" s="32">
        <v>97</v>
      </c>
      <c r="I72" s="32">
        <v>16</v>
      </c>
      <c r="J72" s="32">
        <v>2</v>
      </c>
      <c r="K72" s="32">
        <v>18</v>
      </c>
      <c r="L72" s="32">
        <v>1</v>
      </c>
      <c r="M72" s="32">
        <v>3</v>
      </c>
    </row>
    <row r="73" spans="1:13">
      <c r="A73" s="32">
        <f t="shared" ca="1" si="1"/>
        <v>132</v>
      </c>
      <c r="B73" s="32" cm="1">
        <f t="array" aca="1" ref="B73" ca="1">INDEX(Data_DBD!$B:$B,$A73)</f>
        <v>10</v>
      </c>
      <c r="C73" s="32" cm="1">
        <f t="array" aca="1" ref="C73" ca="1">INDEX(Data_DBD!$C:$C,$A73)</f>
        <v>3</v>
      </c>
      <c r="D73" s="32" cm="1">
        <f t="array" aca="1" ref="D73" ca="1">INDEX(Data_DBD!$D:$D,$A73)</f>
        <v>33</v>
      </c>
      <c r="E73" s="32" cm="1">
        <f t="array" aca="1" ref="E73" ca="1">INDEX(Data_DBD!$E:$E,$A73)</f>
        <v>1</v>
      </c>
      <c r="F73" s="32" cm="1">
        <f t="array" aca="1" ref="F73" ca="1">INDEX(Data_DBD!$F:$F,$A73)</f>
        <v>3</v>
      </c>
      <c r="H73" s="32">
        <v>153</v>
      </c>
      <c r="I73" s="32">
        <v>73</v>
      </c>
      <c r="J73" s="32">
        <v>7</v>
      </c>
      <c r="K73" s="32">
        <v>21</v>
      </c>
      <c r="L73" s="32">
        <v>1</v>
      </c>
      <c r="M73" s="32">
        <v>3</v>
      </c>
    </row>
    <row r="74" spans="1:13">
      <c r="A74" s="32">
        <f t="shared" ca="1" si="1"/>
        <v>120</v>
      </c>
      <c r="B74" s="32" cm="1">
        <f t="array" aca="1" ref="B74" ca="1">INDEX(Data_DBD!$B:$B,$A74)</f>
        <v>26</v>
      </c>
      <c r="C74" s="32" cm="1">
        <f t="array" aca="1" ref="C74" ca="1">INDEX(Data_DBD!$C:$C,$A74)</f>
        <v>4</v>
      </c>
      <c r="D74" s="32" cm="1">
        <f t="array" aca="1" ref="D74" ca="1">INDEX(Data_DBD!$D:$D,$A74)</f>
        <v>33</v>
      </c>
      <c r="E74" s="32" cm="1">
        <f t="array" aca="1" ref="E74" ca="1">INDEX(Data_DBD!$E:$E,$A74)</f>
        <v>1</v>
      </c>
      <c r="F74" s="32" cm="1">
        <f t="array" aca="1" ref="F74" ca="1">INDEX(Data_DBD!$F:$F,$A74)</f>
        <v>3</v>
      </c>
      <c r="H74" s="32">
        <v>51</v>
      </c>
      <c r="I74" s="32">
        <v>48</v>
      </c>
      <c r="J74" s="32">
        <v>4</v>
      </c>
      <c r="K74" s="32">
        <v>13</v>
      </c>
      <c r="L74" s="32">
        <v>0</v>
      </c>
      <c r="M74" s="32">
        <v>2</v>
      </c>
    </row>
    <row r="75" spans="1:13">
      <c r="A75" s="32">
        <f t="shared" ca="1" si="1"/>
        <v>147</v>
      </c>
      <c r="B75" s="32" cm="1">
        <f t="array" aca="1" ref="B75" ca="1">INDEX(Data_DBD!$B:$B,$A75)</f>
        <v>66</v>
      </c>
      <c r="C75" s="32" cm="1">
        <f t="array" aca="1" ref="C75" ca="1">INDEX(Data_DBD!$C:$C,$A75)</f>
        <v>10</v>
      </c>
      <c r="D75" s="32" cm="1">
        <f t="array" aca="1" ref="D75" ca="1">INDEX(Data_DBD!$D:$D,$A75)</f>
        <v>21</v>
      </c>
      <c r="E75" s="32" cm="1">
        <f t="array" aca="1" ref="E75" ca="1">INDEX(Data_DBD!$E:$E,$A75)</f>
        <v>1</v>
      </c>
      <c r="F75" s="32" cm="1">
        <f t="array" aca="1" ref="F75" ca="1">INDEX(Data_DBD!$F:$F,$A75)</f>
        <v>3</v>
      </c>
      <c r="H75" s="32">
        <v>67</v>
      </c>
      <c r="I75" s="32">
        <v>21</v>
      </c>
      <c r="J75" s="32">
        <v>3</v>
      </c>
      <c r="K75" s="32">
        <v>10</v>
      </c>
      <c r="L75" s="32">
        <v>1</v>
      </c>
      <c r="M75" s="32">
        <v>2</v>
      </c>
    </row>
    <row r="76" spans="1:13">
      <c r="A76" s="32">
        <f t="shared" ca="1" si="1"/>
        <v>17</v>
      </c>
      <c r="B76" s="32" cm="1">
        <f t="array" aca="1" ref="B76" ca="1">INDEX(Data_DBD!$B:$B,$A76)</f>
        <v>2</v>
      </c>
      <c r="C76" s="32" cm="1">
        <f t="array" aca="1" ref="C76" ca="1">INDEX(Data_DBD!$C:$C,$A76)</f>
        <v>3</v>
      </c>
      <c r="D76" s="32" cm="1">
        <f t="array" aca="1" ref="D76" ca="1">INDEX(Data_DBD!$D:$D,$A76)</f>
        <v>7</v>
      </c>
      <c r="E76" s="32" cm="1">
        <f t="array" aca="1" ref="E76" ca="1">INDEX(Data_DBD!$E:$E,$A76)</f>
        <v>0</v>
      </c>
      <c r="F76" s="32" cm="1">
        <f t="array" aca="1" ref="F76" ca="1">INDEX(Data_DBD!$F:$F,$A76)</f>
        <v>1</v>
      </c>
      <c r="H76" s="32">
        <v>44</v>
      </c>
      <c r="I76" s="32">
        <v>28</v>
      </c>
      <c r="J76" s="32">
        <v>5</v>
      </c>
      <c r="K76" s="32">
        <v>13</v>
      </c>
      <c r="L76" s="32">
        <v>1</v>
      </c>
      <c r="M76" s="32">
        <v>2</v>
      </c>
    </row>
    <row r="77" spans="1:13">
      <c r="A77" s="32">
        <f t="shared" ca="1" si="1"/>
        <v>2</v>
      </c>
      <c r="B77" s="32" cm="1">
        <f t="array" aca="1" ref="B77" ca="1">INDEX(Data_DBD!$B:$B,$A77)</f>
        <v>34</v>
      </c>
      <c r="C77" s="32" cm="1">
        <f t="array" aca="1" ref="C77" ca="1">INDEX(Data_DBD!$C:$C,$A77)</f>
        <v>3</v>
      </c>
      <c r="D77" s="32" cm="1">
        <f t="array" aca="1" ref="D77" ca="1">INDEX(Data_DBD!$D:$D,$A77)</f>
        <v>12</v>
      </c>
      <c r="E77" s="32" cm="1">
        <f t="array" aca="1" ref="E77" ca="1">INDEX(Data_DBD!$E:$E,$A77)</f>
        <v>0</v>
      </c>
      <c r="F77" s="32" cm="1">
        <f t="array" aca="1" ref="F77" ca="1">INDEX(Data_DBD!$F:$F,$A77)</f>
        <v>2</v>
      </c>
      <c r="H77" s="32">
        <v>5</v>
      </c>
      <c r="I77" s="32">
        <v>18</v>
      </c>
      <c r="J77" s="32">
        <v>2</v>
      </c>
      <c r="K77" s="32">
        <v>12</v>
      </c>
      <c r="L77" s="32">
        <v>1</v>
      </c>
      <c r="M77" s="32">
        <v>2</v>
      </c>
    </row>
    <row r="78" spans="1:13">
      <c r="A78" s="32">
        <f t="shared" ca="1" si="1"/>
        <v>159</v>
      </c>
      <c r="B78" s="32" cm="1">
        <f t="array" aca="1" ref="B78" ca="1">INDEX(Data_DBD!$B:$B,$A78)</f>
        <v>17</v>
      </c>
      <c r="C78" s="32" cm="1">
        <f t="array" aca="1" ref="C78" ca="1">INDEX(Data_DBD!$C:$C,$A78)</f>
        <v>2</v>
      </c>
      <c r="D78" s="32" cm="1">
        <f t="array" aca="1" ref="D78" ca="1">INDEX(Data_DBD!$D:$D,$A78)</f>
        <v>21</v>
      </c>
      <c r="E78" s="32" cm="1">
        <f t="array" aca="1" ref="E78" ca="1">INDEX(Data_DBD!$E:$E,$A78)</f>
        <v>0</v>
      </c>
      <c r="F78" s="32" cm="1">
        <f t="array" aca="1" ref="F78" ca="1">INDEX(Data_DBD!$F:$F,$A78)</f>
        <v>3</v>
      </c>
      <c r="H78" s="32">
        <v>117</v>
      </c>
      <c r="I78" s="32">
        <v>49</v>
      </c>
      <c r="J78" s="32">
        <v>4</v>
      </c>
      <c r="K78" s="32">
        <v>33</v>
      </c>
      <c r="L78" s="32">
        <v>1</v>
      </c>
      <c r="M78" s="32">
        <v>3</v>
      </c>
    </row>
    <row r="79" spans="1:13">
      <c r="A79" s="32">
        <f t="shared" ca="1" si="1"/>
        <v>98</v>
      </c>
      <c r="B79" s="32" cm="1">
        <f t="array" aca="1" ref="B79" ca="1">INDEX(Data_DBD!$B:$B,$A79)</f>
        <v>16</v>
      </c>
      <c r="C79" s="32" cm="1">
        <f t="array" aca="1" ref="C79" ca="1">INDEX(Data_DBD!$C:$C,$A79)</f>
        <v>2</v>
      </c>
      <c r="D79" s="32" cm="1">
        <f t="array" aca="1" ref="D79" ca="1">INDEX(Data_DBD!$D:$D,$A79)</f>
        <v>18</v>
      </c>
      <c r="E79" s="32" cm="1">
        <f t="array" aca="1" ref="E79" ca="1">INDEX(Data_DBD!$E:$E,$A79)</f>
        <v>1</v>
      </c>
      <c r="F79" s="32" cm="1">
        <f t="array" aca="1" ref="F79" ca="1">INDEX(Data_DBD!$F:$F,$A79)</f>
        <v>3</v>
      </c>
      <c r="H79" s="32">
        <v>129</v>
      </c>
      <c r="I79" s="32">
        <v>4.5</v>
      </c>
      <c r="J79" s="32">
        <v>3</v>
      </c>
      <c r="K79" s="32">
        <v>33</v>
      </c>
      <c r="L79" s="32">
        <v>0</v>
      </c>
      <c r="M79" s="32">
        <v>3</v>
      </c>
    </row>
    <row r="80" spans="1:13">
      <c r="A80" s="32">
        <f t="shared" ca="1" si="1"/>
        <v>67</v>
      </c>
      <c r="B80" s="32" cm="1">
        <f t="array" aca="1" ref="B80" ca="1">INDEX(Data_DBD!$B:$B,$A80)</f>
        <v>21</v>
      </c>
      <c r="C80" s="32" cm="1">
        <f t="array" aca="1" ref="C80" ca="1">INDEX(Data_DBD!$C:$C,$A80)</f>
        <v>3</v>
      </c>
      <c r="D80" s="32" cm="1">
        <f t="array" aca="1" ref="D80" ca="1">INDEX(Data_DBD!$D:$D,$A80)</f>
        <v>10</v>
      </c>
      <c r="E80" s="32" cm="1">
        <f t="array" aca="1" ref="E80" ca="1">INDEX(Data_DBD!$E:$E,$A80)</f>
        <v>1</v>
      </c>
      <c r="F80" s="32" cm="1">
        <f t="array" aca="1" ref="F80" ca="1">INDEX(Data_DBD!$F:$F,$A80)</f>
        <v>2</v>
      </c>
      <c r="H80" s="32">
        <v>116</v>
      </c>
      <c r="I80" s="32">
        <v>32</v>
      </c>
      <c r="J80" s="32">
        <v>4</v>
      </c>
      <c r="K80" s="32">
        <v>33</v>
      </c>
      <c r="L80" s="32">
        <v>1</v>
      </c>
      <c r="M80" s="32">
        <v>3</v>
      </c>
    </row>
    <row r="81" spans="1:13">
      <c r="A81" s="32">
        <f t="shared" ca="1" si="1"/>
        <v>66</v>
      </c>
      <c r="B81" s="32" cm="1">
        <f t="array" aca="1" ref="B81" ca="1">INDEX(Data_DBD!$B:$B,$A81)</f>
        <v>21</v>
      </c>
      <c r="C81" s="32" cm="1">
        <f t="array" aca="1" ref="C81" ca="1">INDEX(Data_DBD!$C:$C,$A81)</f>
        <v>5</v>
      </c>
      <c r="D81" s="32" cm="1">
        <f t="array" aca="1" ref="D81" ca="1">INDEX(Data_DBD!$D:$D,$A81)</f>
        <v>15</v>
      </c>
      <c r="E81" s="32" cm="1">
        <f t="array" aca="1" ref="E81" ca="1">INDEX(Data_DBD!$E:$E,$A81)</f>
        <v>1</v>
      </c>
      <c r="F81" s="32" cm="1">
        <f t="array" aca="1" ref="F81" ca="1">INDEX(Data_DBD!$F:$F,$A81)</f>
        <v>2</v>
      </c>
      <c r="H81" s="32">
        <v>115</v>
      </c>
      <c r="I81" s="32">
        <v>52</v>
      </c>
      <c r="J81" s="32">
        <v>3</v>
      </c>
      <c r="K81" s="32">
        <v>33</v>
      </c>
      <c r="L81" s="32">
        <v>1</v>
      </c>
      <c r="M81" s="32">
        <v>3</v>
      </c>
    </row>
    <row r="82" spans="1:13">
      <c r="A82" s="32">
        <f t="shared" ca="1" si="1"/>
        <v>84</v>
      </c>
      <c r="B82" s="32" cm="1">
        <f t="array" aca="1" ref="B82" ca="1">INDEX(Data_DBD!$B:$B,$A82)</f>
        <v>42</v>
      </c>
      <c r="C82" s="32" cm="1">
        <f t="array" aca="1" ref="C82" ca="1">INDEX(Data_DBD!$C:$C,$A82)</f>
        <v>4</v>
      </c>
      <c r="D82" s="32" cm="1">
        <f t="array" aca="1" ref="D82" ca="1">INDEX(Data_DBD!$D:$D,$A82)</f>
        <v>13</v>
      </c>
      <c r="E82" s="32" cm="1">
        <f t="array" aca="1" ref="E82" ca="1">INDEX(Data_DBD!$E:$E,$A82)</f>
        <v>1</v>
      </c>
      <c r="F82" s="32" cm="1">
        <f t="array" aca="1" ref="F82" ca="1">INDEX(Data_DBD!$F:$F,$A82)</f>
        <v>2</v>
      </c>
      <c r="H82" s="32">
        <v>74</v>
      </c>
      <c r="I82" s="32">
        <v>9</v>
      </c>
      <c r="J82" s="32">
        <v>4</v>
      </c>
      <c r="K82" s="32">
        <v>10</v>
      </c>
      <c r="L82" s="32">
        <v>0</v>
      </c>
      <c r="M82" s="32">
        <v>2</v>
      </c>
    </row>
    <row r="83" spans="1:13">
      <c r="A83" s="32">
        <f t="shared" ca="1" si="1"/>
        <v>117</v>
      </c>
      <c r="B83" s="32" cm="1">
        <f t="array" aca="1" ref="B83" ca="1">INDEX(Data_DBD!$B:$B,$A83)</f>
        <v>49</v>
      </c>
      <c r="C83" s="32" cm="1">
        <f t="array" aca="1" ref="C83" ca="1">INDEX(Data_DBD!$C:$C,$A83)</f>
        <v>4</v>
      </c>
      <c r="D83" s="32" cm="1">
        <f t="array" aca="1" ref="D83" ca="1">INDEX(Data_DBD!$D:$D,$A83)</f>
        <v>33</v>
      </c>
      <c r="E83" s="32" cm="1">
        <f t="array" aca="1" ref="E83" ca="1">INDEX(Data_DBD!$E:$E,$A83)</f>
        <v>1</v>
      </c>
      <c r="F83" s="32" cm="1">
        <f t="array" aca="1" ref="F83" ca="1">INDEX(Data_DBD!$F:$F,$A83)</f>
        <v>3</v>
      </c>
      <c r="H83" s="32">
        <v>53</v>
      </c>
      <c r="I83" s="32">
        <v>35</v>
      </c>
      <c r="J83" s="32">
        <v>4</v>
      </c>
      <c r="K83" s="32">
        <v>15</v>
      </c>
      <c r="L83" s="32">
        <v>1</v>
      </c>
      <c r="M83" s="32">
        <v>2</v>
      </c>
    </row>
    <row r="84" spans="1:13">
      <c r="A84" s="32">
        <f t="shared" ca="1" si="1"/>
        <v>50</v>
      </c>
      <c r="B84" s="32" cm="1">
        <f t="array" aca="1" ref="B84" ca="1">INDEX(Data_DBD!$B:$B,$A84)</f>
        <v>19</v>
      </c>
      <c r="C84" s="32" cm="1">
        <f t="array" aca="1" ref="C84" ca="1">INDEX(Data_DBD!$C:$C,$A84)</f>
        <v>5</v>
      </c>
      <c r="D84" s="32" cm="1">
        <f t="array" aca="1" ref="D84" ca="1">INDEX(Data_DBD!$D:$D,$A84)</f>
        <v>13</v>
      </c>
      <c r="E84" s="32" cm="1">
        <f t="array" aca="1" ref="E84" ca="1">INDEX(Data_DBD!$E:$E,$A84)</f>
        <v>0</v>
      </c>
      <c r="F84" s="32" cm="1">
        <f t="array" aca="1" ref="F84" ca="1">INDEX(Data_DBD!$F:$F,$A84)</f>
        <v>2</v>
      </c>
      <c r="H84" s="32">
        <v>17</v>
      </c>
      <c r="I84" s="32">
        <v>2</v>
      </c>
      <c r="J84" s="32">
        <v>3</v>
      </c>
      <c r="K84" s="32">
        <v>7</v>
      </c>
      <c r="L84" s="32">
        <v>0</v>
      </c>
      <c r="M84" s="32">
        <v>1</v>
      </c>
    </row>
    <row r="85" spans="1:13">
      <c r="A85" s="32">
        <f t="shared" ca="1" si="1"/>
        <v>37</v>
      </c>
      <c r="B85" s="32" cm="1">
        <f t="array" aca="1" ref="B85" ca="1">INDEX(Data_DBD!$B:$B,$A85)</f>
        <v>28</v>
      </c>
      <c r="C85" s="32" cm="1">
        <f t="array" aca="1" ref="C85" ca="1">INDEX(Data_DBD!$C:$C,$A85)</f>
        <v>4</v>
      </c>
      <c r="D85" s="32" cm="1">
        <f t="array" aca="1" ref="D85" ca="1">INDEX(Data_DBD!$D:$D,$A85)</f>
        <v>4</v>
      </c>
      <c r="E85" s="32" cm="1">
        <f t="array" aca="1" ref="E85" ca="1">INDEX(Data_DBD!$E:$E,$A85)</f>
        <v>1</v>
      </c>
      <c r="F85" s="32" cm="1">
        <f t="array" aca="1" ref="F85" ca="1">INDEX(Data_DBD!$F:$F,$A85)</f>
        <v>1</v>
      </c>
      <c r="H85" s="32">
        <v>75</v>
      </c>
      <c r="I85" s="32">
        <v>2</v>
      </c>
      <c r="J85" s="32">
        <v>2</v>
      </c>
      <c r="K85" s="32">
        <v>10</v>
      </c>
      <c r="L85" s="32">
        <v>1</v>
      </c>
      <c r="M85" s="32">
        <v>2</v>
      </c>
    </row>
    <row r="86" spans="1:13">
      <c r="A86" s="32">
        <f t="shared" ca="1" si="1"/>
        <v>19</v>
      </c>
      <c r="B86" s="32" cm="1">
        <f t="array" aca="1" ref="B86" ca="1">INDEX(Data_DBD!$B:$B,$A86)</f>
        <v>8</v>
      </c>
      <c r="C86" s="32" cm="1">
        <f t="array" aca="1" ref="C86" ca="1">INDEX(Data_DBD!$C:$C,$A86)</f>
        <v>4</v>
      </c>
      <c r="D86" s="32" cm="1">
        <f t="array" aca="1" ref="D86" ca="1">INDEX(Data_DBD!$D:$D,$A86)</f>
        <v>7</v>
      </c>
      <c r="E86" s="32" cm="1">
        <f t="array" aca="1" ref="E86" ca="1">INDEX(Data_DBD!$E:$E,$A86)</f>
        <v>0</v>
      </c>
      <c r="F86" s="32" cm="1">
        <f t="array" aca="1" ref="F86" ca="1">INDEX(Data_DBD!$F:$F,$A86)</f>
        <v>1</v>
      </c>
      <c r="H86" s="32">
        <v>141</v>
      </c>
      <c r="I86" s="32">
        <v>36</v>
      </c>
      <c r="J86" s="32">
        <v>2</v>
      </c>
      <c r="K86" s="32">
        <v>21</v>
      </c>
      <c r="L86" s="32">
        <v>0</v>
      </c>
      <c r="M86" s="32">
        <v>3</v>
      </c>
    </row>
    <row r="87" spans="1:13">
      <c r="A87" s="32">
        <f t="shared" ca="1" si="1"/>
        <v>38</v>
      </c>
      <c r="B87" s="32" cm="1">
        <f t="array" aca="1" ref="B87" ca="1">INDEX(Data_DBD!$B:$B,$A87)</f>
        <v>52</v>
      </c>
      <c r="C87" s="32" cm="1">
        <f t="array" aca="1" ref="C87" ca="1">INDEX(Data_DBD!$C:$C,$A87)</f>
        <v>3</v>
      </c>
      <c r="D87" s="32" cm="1">
        <f t="array" aca="1" ref="D87" ca="1">INDEX(Data_DBD!$D:$D,$A87)</f>
        <v>4</v>
      </c>
      <c r="E87" s="32" cm="1">
        <f t="array" aca="1" ref="E87" ca="1">INDEX(Data_DBD!$E:$E,$A87)</f>
        <v>1</v>
      </c>
      <c r="F87" s="32" cm="1">
        <f t="array" aca="1" ref="F87" ca="1">INDEX(Data_DBD!$F:$F,$A87)</f>
        <v>1</v>
      </c>
      <c r="H87" s="32">
        <v>130</v>
      </c>
      <c r="I87" s="32">
        <v>12</v>
      </c>
      <c r="J87" s="32">
        <v>4</v>
      </c>
      <c r="K87" s="32">
        <v>33</v>
      </c>
      <c r="L87" s="32">
        <v>0</v>
      </c>
      <c r="M87" s="32">
        <v>3</v>
      </c>
    </row>
    <row r="88" spans="1:13">
      <c r="A88" s="32">
        <f t="shared" ca="1" si="1"/>
        <v>52</v>
      </c>
      <c r="B88" s="32" cm="1">
        <f t="array" aca="1" ref="B88" ca="1">INDEX(Data_DBD!$B:$B,$A88)</f>
        <v>59</v>
      </c>
      <c r="C88" s="32" cm="1">
        <f t="array" aca="1" ref="C88" ca="1">INDEX(Data_DBD!$C:$C,$A88)</f>
        <v>4</v>
      </c>
      <c r="D88" s="32" cm="1">
        <f t="array" aca="1" ref="D88" ca="1">INDEX(Data_DBD!$D:$D,$A88)</f>
        <v>15</v>
      </c>
      <c r="E88" s="32" cm="1">
        <f t="array" aca="1" ref="E88" ca="1">INDEX(Data_DBD!$E:$E,$A88)</f>
        <v>1</v>
      </c>
      <c r="F88" s="32" cm="1">
        <f t="array" aca="1" ref="F88" ca="1">INDEX(Data_DBD!$F:$F,$A88)</f>
        <v>2</v>
      </c>
      <c r="H88" s="32">
        <v>102</v>
      </c>
      <c r="I88" s="32">
        <v>41</v>
      </c>
      <c r="J88" s="32">
        <v>4</v>
      </c>
      <c r="K88" s="32">
        <v>18</v>
      </c>
      <c r="L88" s="32">
        <v>0</v>
      </c>
      <c r="M88" s="32">
        <v>3</v>
      </c>
    </row>
    <row r="89" spans="1:13">
      <c r="A89" s="32">
        <f t="shared" ca="1" si="1"/>
        <v>98</v>
      </c>
      <c r="B89" s="32" cm="1">
        <f t="array" aca="1" ref="B89" ca="1">INDEX(Data_DBD!$B:$B,$A89)</f>
        <v>16</v>
      </c>
      <c r="C89" s="32" cm="1">
        <f t="array" aca="1" ref="C89" ca="1">INDEX(Data_DBD!$C:$C,$A89)</f>
        <v>2</v>
      </c>
      <c r="D89" s="32" cm="1">
        <f t="array" aca="1" ref="D89" ca="1">INDEX(Data_DBD!$D:$D,$A89)</f>
        <v>18</v>
      </c>
      <c r="E89" s="32" cm="1">
        <f t="array" aca="1" ref="E89" ca="1">INDEX(Data_DBD!$E:$E,$A89)</f>
        <v>1</v>
      </c>
      <c r="F89" s="32" cm="1">
        <f t="array" aca="1" ref="F89" ca="1">INDEX(Data_DBD!$F:$F,$A89)</f>
        <v>3</v>
      </c>
      <c r="H89" s="32">
        <v>137</v>
      </c>
      <c r="I89" s="32">
        <v>3.5</v>
      </c>
      <c r="J89" s="32">
        <v>1</v>
      </c>
      <c r="K89" s="32">
        <v>33</v>
      </c>
      <c r="L89" s="32">
        <v>1</v>
      </c>
      <c r="M89" s="32">
        <v>3</v>
      </c>
    </row>
    <row r="90" spans="1:13">
      <c r="A90" s="32">
        <f t="shared" ca="1" si="1"/>
        <v>27</v>
      </c>
      <c r="B90" s="32" cm="1">
        <f t="array" aca="1" ref="B90" ca="1">INDEX(Data_DBD!$B:$B,$A90)</f>
        <v>37</v>
      </c>
      <c r="C90" s="32" cm="1">
        <f t="array" aca="1" ref="C90" ca="1">INDEX(Data_DBD!$C:$C,$A90)</f>
        <v>4</v>
      </c>
      <c r="D90" s="32" cm="1">
        <f t="array" aca="1" ref="D90" ca="1">INDEX(Data_DBD!$D:$D,$A90)</f>
        <v>14</v>
      </c>
      <c r="E90" s="32" cm="1">
        <f t="array" aca="1" ref="E90" ca="1">INDEX(Data_DBD!$E:$E,$A90)</f>
        <v>1</v>
      </c>
      <c r="F90" s="32" cm="1">
        <f t="array" aca="1" ref="F90" ca="1">INDEX(Data_DBD!$F:$F,$A90)</f>
        <v>2</v>
      </c>
      <c r="H90" s="32">
        <v>162</v>
      </c>
      <c r="I90" s="32">
        <v>22</v>
      </c>
      <c r="J90" s="32">
        <v>3</v>
      </c>
      <c r="K90" s="32">
        <v>3</v>
      </c>
      <c r="L90" s="32">
        <v>1</v>
      </c>
      <c r="M90" s="32">
        <v>1</v>
      </c>
    </row>
    <row r="91" spans="1:13">
      <c r="A91" s="32">
        <f t="shared" ca="1" si="1"/>
        <v>87</v>
      </c>
      <c r="B91" s="32" cm="1">
        <f t="array" aca="1" ref="B91" ca="1">INDEX(Data_DBD!$B:$B,$A91)</f>
        <v>21</v>
      </c>
      <c r="C91" s="32" cm="1">
        <f t="array" aca="1" ref="C91" ca="1">INDEX(Data_DBD!$C:$C,$A91)</f>
        <v>3</v>
      </c>
      <c r="D91" s="32" cm="1">
        <f t="array" aca="1" ref="D91" ca="1">INDEX(Data_DBD!$D:$D,$A91)</f>
        <v>13</v>
      </c>
      <c r="E91" s="32" cm="1">
        <f t="array" aca="1" ref="E91" ca="1">INDEX(Data_DBD!$E:$E,$A91)</f>
        <v>0</v>
      </c>
      <c r="F91" s="32" cm="1">
        <f t="array" aca="1" ref="F91" ca="1">INDEX(Data_DBD!$F:$F,$A91)</f>
        <v>2</v>
      </c>
      <c r="H91" s="32">
        <v>2</v>
      </c>
      <c r="I91" s="32">
        <v>34</v>
      </c>
      <c r="J91" s="32">
        <v>3</v>
      </c>
      <c r="K91" s="32">
        <v>12</v>
      </c>
      <c r="L91" s="32">
        <v>0</v>
      </c>
      <c r="M91" s="32">
        <v>2</v>
      </c>
    </row>
    <row r="92" spans="1:13">
      <c r="A92" s="32">
        <f t="shared" ca="1" si="1"/>
        <v>104</v>
      </c>
      <c r="B92" s="32" cm="1">
        <f t="array" aca="1" ref="B92" ca="1">INDEX(Data_DBD!$B:$B,$A92)</f>
        <v>37</v>
      </c>
      <c r="C92" s="32" cm="1">
        <f t="array" aca="1" ref="C92" ca="1">INDEX(Data_DBD!$C:$C,$A92)</f>
        <v>4</v>
      </c>
      <c r="D92" s="32" cm="1">
        <f t="array" aca="1" ref="D92" ca="1">INDEX(Data_DBD!$D:$D,$A92)</f>
        <v>18</v>
      </c>
      <c r="E92" s="32" cm="1">
        <f t="array" aca="1" ref="E92" ca="1">INDEX(Data_DBD!$E:$E,$A92)</f>
        <v>1</v>
      </c>
      <c r="F92" s="32" cm="1">
        <f t="array" aca="1" ref="F92" ca="1">INDEX(Data_DBD!$F:$F,$A92)</f>
        <v>3</v>
      </c>
      <c r="H92" s="32">
        <v>74</v>
      </c>
      <c r="I92" s="32">
        <v>9</v>
      </c>
      <c r="J92" s="32">
        <v>4</v>
      </c>
      <c r="K92" s="32">
        <v>10</v>
      </c>
      <c r="L92" s="32">
        <v>0</v>
      </c>
      <c r="M92" s="32">
        <v>2</v>
      </c>
    </row>
    <row r="93" spans="1:13">
      <c r="A93" s="32">
        <f t="shared" ca="1" si="1"/>
        <v>73</v>
      </c>
      <c r="B93" s="32" cm="1">
        <f t="array" aca="1" ref="B93" ca="1">INDEX(Data_DBD!$B:$B,$A93)</f>
        <v>15</v>
      </c>
      <c r="C93" s="32" cm="1">
        <f t="array" aca="1" ref="C93" ca="1">INDEX(Data_DBD!$C:$C,$A93)</f>
        <v>3</v>
      </c>
      <c r="D93" s="32" cm="1">
        <f t="array" aca="1" ref="D93" ca="1">INDEX(Data_DBD!$D:$D,$A93)</f>
        <v>10</v>
      </c>
      <c r="E93" s="32" cm="1">
        <f t="array" aca="1" ref="E93" ca="1">INDEX(Data_DBD!$E:$E,$A93)</f>
        <v>1</v>
      </c>
      <c r="F93" s="32" cm="1">
        <f t="array" aca="1" ref="F93" ca="1">INDEX(Data_DBD!$F:$F,$A93)</f>
        <v>2</v>
      </c>
      <c r="H93" s="32">
        <v>158</v>
      </c>
      <c r="I93" s="32">
        <v>5</v>
      </c>
      <c r="J93" s="32">
        <v>2</v>
      </c>
      <c r="K93" s="32">
        <v>21</v>
      </c>
      <c r="L93" s="32">
        <v>0</v>
      </c>
      <c r="M93" s="32">
        <v>3</v>
      </c>
    </row>
    <row r="94" spans="1:13">
      <c r="A94" s="32">
        <f t="shared" ca="1" si="1"/>
        <v>61</v>
      </c>
      <c r="B94" s="32" cm="1">
        <f t="array" aca="1" ref="B94" ca="1">INDEX(Data_DBD!$B:$B,$A94)</f>
        <v>29</v>
      </c>
      <c r="C94" s="32" cm="1">
        <f t="array" aca="1" ref="C94" ca="1">INDEX(Data_DBD!$C:$C,$A94)</f>
        <v>3</v>
      </c>
      <c r="D94" s="32" cm="1">
        <f t="array" aca="1" ref="D94" ca="1">INDEX(Data_DBD!$D:$D,$A94)</f>
        <v>15</v>
      </c>
      <c r="E94" s="32" cm="1">
        <f t="array" aca="1" ref="E94" ca="1">INDEX(Data_DBD!$E:$E,$A94)</f>
        <v>1</v>
      </c>
      <c r="F94" s="32" cm="1">
        <f t="array" aca="1" ref="F94" ca="1">INDEX(Data_DBD!$F:$F,$A94)</f>
        <v>2</v>
      </c>
      <c r="H94" s="32">
        <v>157</v>
      </c>
      <c r="I94" s="32">
        <v>15</v>
      </c>
      <c r="J94" s="32">
        <v>4</v>
      </c>
      <c r="K94" s="32">
        <v>21</v>
      </c>
      <c r="L94" s="32">
        <v>1</v>
      </c>
      <c r="M94" s="32">
        <v>3</v>
      </c>
    </row>
    <row r="95" spans="1:13">
      <c r="A95" s="32">
        <f t="shared" ca="1" si="1"/>
        <v>139</v>
      </c>
      <c r="B95" s="32" cm="1">
        <f t="array" aca="1" ref="B95" ca="1">INDEX(Data_DBD!$B:$B,$A95)</f>
        <v>52</v>
      </c>
      <c r="C95" s="32" cm="1">
        <f t="array" aca="1" ref="C95" ca="1">INDEX(Data_DBD!$C:$C,$A95)</f>
        <v>7</v>
      </c>
      <c r="D95" s="32" cm="1">
        <f t="array" aca="1" ref="D95" ca="1">INDEX(Data_DBD!$D:$D,$A95)</f>
        <v>21</v>
      </c>
      <c r="E95" s="32" cm="1">
        <f t="array" aca="1" ref="E95" ca="1">INDEX(Data_DBD!$E:$E,$A95)</f>
        <v>0</v>
      </c>
      <c r="F95" s="32" cm="1">
        <f t="array" aca="1" ref="F95" ca="1">INDEX(Data_DBD!$F:$F,$A95)</f>
        <v>3</v>
      </c>
      <c r="H95" s="32">
        <v>125</v>
      </c>
      <c r="I95" s="32">
        <v>39</v>
      </c>
      <c r="J95" s="32">
        <v>4</v>
      </c>
      <c r="K95" s="32">
        <v>33</v>
      </c>
      <c r="L95" s="32">
        <v>0</v>
      </c>
      <c r="M95" s="32">
        <v>3</v>
      </c>
    </row>
    <row r="96" spans="1:13">
      <c r="A96" s="32">
        <f t="shared" ca="1" si="1"/>
        <v>61</v>
      </c>
      <c r="B96" s="32" cm="1">
        <f t="array" aca="1" ref="B96" ca="1">INDEX(Data_DBD!$B:$B,$A96)</f>
        <v>29</v>
      </c>
      <c r="C96" s="32" cm="1">
        <f t="array" aca="1" ref="C96" ca="1">INDEX(Data_DBD!$C:$C,$A96)</f>
        <v>3</v>
      </c>
      <c r="D96" s="32" cm="1">
        <f t="array" aca="1" ref="D96" ca="1">INDEX(Data_DBD!$D:$D,$A96)</f>
        <v>15</v>
      </c>
      <c r="E96" s="32" cm="1">
        <f t="array" aca="1" ref="E96" ca="1">INDEX(Data_DBD!$E:$E,$A96)</f>
        <v>1</v>
      </c>
      <c r="F96" s="32" cm="1">
        <f t="array" aca="1" ref="F96" ca="1">INDEX(Data_DBD!$F:$F,$A96)</f>
        <v>2</v>
      </c>
      <c r="H96" s="32">
        <v>152</v>
      </c>
      <c r="I96" s="32">
        <v>47</v>
      </c>
      <c r="J96" s="32">
        <v>3</v>
      </c>
      <c r="K96" s="32">
        <v>21</v>
      </c>
      <c r="L96" s="32">
        <v>1</v>
      </c>
      <c r="M96" s="32">
        <v>3</v>
      </c>
    </row>
    <row r="97" spans="1:13">
      <c r="A97" s="32">
        <f t="shared" ca="1" si="1"/>
        <v>141</v>
      </c>
      <c r="B97" s="32" cm="1">
        <f t="array" aca="1" ref="B97" ca="1">INDEX(Data_DBD!$B:$B,$A97)</f>
        <v>36</v>
      </c>
      <c r="C97" s="32" cm="1">
        <f t="array" aca="1" ref="C97" ca="1">INDEX(Data_DBD!$C:$C,$A97)</f>
        <v>2</v>
      </c>
      <c r="D97" s="32" cm="1">
        <f t="array" aca="1" ref="D97" ca="1">INDEX(Data_DBD!$D:$D,$A97)</f>
        <v>21</v>
      </c>
      <c r="E97" s="32" cm="1">
        <f t="array" aca="1" ref="E97" ca="1">INDEX(Data_DBD!$E:$E,$A97)</f>
        <v>0</v>
      </c>
      <c r="F97" s="32" cm="1">
        <f t="array" aca="1" ref="F97" ca="1">INDEX(Data_DBD!$F:$F,$A97)</f>
        <v>3</v>
      </c>
      <c r="H97" s="32">
        <v>142</v>
      </c>
      <c r="I97" s="32">
        <v>39</v>
      </c>
      <c r="J97" s="32">
        <v>2</v>
      </c>
      <c r="K97" s="32">
        <v>21</v>
      </c>
      <c r="L97" s="32">
        <v>1</v>
      </c>
      <c r="M97" s="32">
        <v>3</v>
      </c>
    </row>
    <row r="98" spans="1:13">
      <c r="A98" s="32">
        <f t="shared" ca="1" si="1"/>
        <v>94</v>
      </c>
      <c r="B98" s="32" cm="1">
        <f t="array" aca="1" ref="B98" ca="1">INDEX(Data_DBD!$B:$B,$A98)</f>
        <v>12</v>
      </c>
      <c r="C98" s="32" cm="1">
        <f t="array" aca="1" ref="C98" ca="1">INDEX(Data_DBD!$C:$C,$A98)</f>
        <v>4</v>
      </c>
      <c r="D98" s="32" cm="1">
        <f t="array" aca="1" ref="D98" ca="1">INDEX(Data_DBD!$D:$D,$A98)</f>
        <v>18</v>
      </c>
      <c r="E98" s="32" cm="1">
        <f t="array" aca="1" ref="E98" ca="1">INDEX(Data_DBD!$E:$E,$A98)</f>
        <v>0</v>
      </c>
      <c r="F98" s="32" cm="1">
        <f t="array" aca="1" ref="F98" ca="1">INDEX(Data_DBD!$F:$F,$A98)</f>
        <v>3</v>
      </c>
      <c r="H98" s="32">
        <v>11</v>
      </c>
      <c r="I98" s="32">
        <v>24</v>
      </c>
      <c r="J98" s="32">
        <v>5</v>
      </c>
      <c r="K98" s="32">
        <v>12</v>
      </c>
      <c r="L98" s="32">
        <v>1</v>
      </c>
      <c r="M98" s="32">
        <v>2</v>
      </c>
    </row>
    <row r="99" spans="1:13">
      <c r="A99" s="32">
        <f t="shared" ca="1" si="1"/>
        <v>28</v>
      </c>
      <c r="B99" s="32" cm="1">
        <f t="array" aca="1" ref="B99" ca="1">INDEX(Data_DBD!$B:$B,$A99)</f>
        <v>22</v>
      </c>
      <c r="C99" s="32" cm="1">
        <f t="array" aca="1" ref="C99" ca="1">INDEX(Data_DBD!$C:$C,$A99)</f>
        <v>2</v>
      </c>
      <c r="D99" s="32" cm="1">
        <f t="array" aca="1" ref="D99" ca="1">INDEX(Data_DBD!$D:$D,$A99)</f>
        <v>14</v>
      </c>
      <c r="E99" s="32" cm="1">
        <f t="array" aca="1" ref="E99" ca="1">INDEX(Data_DBD!$E:$E,$A99)</f>
        <v>1</v>
      </c>
      <c r="F99" s="32" cm="1">
        <f t="array" aca="1" ref="F99" ca="1">INDEX(Data_DBD!$F:$F,$A99)</f>
        <v>2</v>
      </c>
      <c r="H99" s="32">
        <v>55</v>
      </c>
      <c r="I99" s="32">
        <v>7</v>
      </c>
      <c r="J99" s="32">
        <v>4</v>
      </c>
      <c r="K99" s="32">
        <v>15</v>
      </c>
      <c r="L99" s="32">
        <v>1</v>
      </c>
      <c r="M99" s="32">
        <v>2</v>
      </c>
    </row>
    <row r="100" spans="1:13">
      <c r="A100" s="32">
        <f t="shared" ca="1" si="1"/>
        <v>31</v>
      </c>
      <c r="B100" s="32" cm="1">
        <f t="array" aca="1" ref="B100" ca="1">INDEX(Data_DBD!$B:$B,$A100)</f>
        <v>64</v>
      </c>
      <c r="C100" s="32" cm="1">
        <f t="array" aca="1" ref="C100" ca="1">INDEX(Data_DBD!$C:$C,$A100)</f>
        <v>4</v>
      </c>
      <c r="D100" s="32" cm="1">
        <f t="array" aca="1" ref="D100" ca="1">INDEX(Data_DBD!$D:$D,$A100)</f>
        <v>14</v>
      </c>
      <c r="E100" s="32" cm="1">
        <f t="array" aca="1" ref="E100" ca="1">INDEX(Data_DBD!$E:$E,$A100)</f>
        <v>1</v>
      </c>
      <c r="F100" s="32" cm="1">
        <f t="array" aca="1" ref="F100" ca="1">INDEX(Data_DBD!$F:$F,$A100)</f>
        <v>2</v>
      </c>
      <c r="H100" s="32">
        <v>38</v>
      </c>
      <c r="I100" s="32">
        <v>52</v>
      </c>
      <c r="J100" s="32">
        <v>3</v>
      </c>
      <c r="K100" s="32">
        <v>4</v>
      </c>
      <c r="L100" s="32">
        <v>1</v>
      </c>
      <c r="M100" s="32">
        <v>1</v>
      </c>
    </row>
    <row r="101" spans="1:13">
      <c r="A101" s="32">
        <f t="shared" ca="1" si="1"/>
        <v>52</v>
      </c>
      <c r="B101" s="32" cm="1">
        <f t="array" aca="1" ref="B101" ca="1">INDEX(Data_DBD!$B:$B,$A101)</f>
        <v>59</v>
      </c>
      <c r="C101" s="32" cm="1">
        <f t="array" aca="1" ref="C101" ca="1">INDEX(Data_DBD!$C:$C,$A101)</f>
        <v>4</v>
      </c>
      <c r="D101" s="32" cm="1">
        <f t="array" aca="1" ref="D101" ca="1">INDEX(Data_DBD!$D:$D,$A101)</f>
        <v>15</v>
      </c>
      <c r="E101" s="32" cm="1">
        <f t="array" aca="1" ref="E101" ca="1">INDEX(Data_DBD!$E:$E,$A101)</f>
        <v>1</v>
      </c>
      <c r="F101" s="32" cm="1">
        <f t="array" aca="1" ref="F101" ca="1">INDEX(Data_DBD!$F:$F,$A101)</f>
        <v>2</v>
      </c>
      <c r="H101" s="32">
        <v>50</v>
      </c>
      <c r="I101" s="32">
        <v>19</v>
      </c>
      <c r="J101" s="32">
        <v>5</v>
      </c>
      <c r="K101" s="32">
        <v>13</v>
      </c>
      <c r="L101" s="32">
        <v>0</v>
      </c>
      <c r="M101" s="32">
        <v>2</v>
      </c>
    </row>
    <row r="102" spans="1:13">
      <c r="A102" s="32">
        <f t="shared" ca="1" si="1"/>
        <v>50</v>
      </c>
      <c r="B102" s="32" cm="1">
        <f t="array" aca="1" ref="B102" ca="1">INDEX(Data_DBD!$B:$B,$A102)</f>
        <v>19</v>
      </c>
      <c r="C102" s="32" cm="1">
        <f t="array" aca="1" ref="C102" ca="1">INDEX(Data_DBD!$C:$C,$A102)</f>
        <v>5</v>
      </c>
      <c r="D102" s="32" cm="1">
        <f t="array" aca="1" ref="D102" ca="1">INDEX(Data_DBD!$D:$D,$A102)</f>
        <v>13</v>
      </c>
      <c r="E102" s="32" cm="1">
        <f t="array" aca="1" ref="E102" ca="1">INDEX(Data_DBD!$E:$E,$A102)</f>
        <v>0</v>
      </c>
      <c r="F102" s="32" cm="1">
        <f t="array" aca="1" ref="F102" ca="1">INDEX(Data_DBD!$F:$F,$A102)</f>
        <v>2</v>
      </c>
      <c r="H102" s="32">
        <v>158</v>
      </c>
      <c r="I102" s="32">
        <v>5</v>
      </c>
      <c r="J102" s="32">
        <v>2</v>
      </c>
      <c r="K102" s="32">
        <v>21</v>
      </c>
      <c r="L102" s="32">
        <v>0</v>
      </c>
      <c r="M102" s="32">
        <v>3</v>
      </c>
    </row>
    <row r="103" spans="1:13">
      <c r="A103" s="32">
        <f t="shared" ca="1" si="1"/>
        <v>44</v>
      </c>
      <c r="B103" s="32" cm="1">
        <f t="array" aca="1" ref="B103" ca="1">INDEX(Data_DBD!$B:$B,$A103)</f>
        <v>28</v>
      </c>
      <c r="C103" s="32" cm="1">
        <f t="array" aca="1" ref="C103" ca="1">INDEX(Data_DBD!$C:$C,$A103)</f>
        <v>5</v>
      </c>
      <c r="D103" s="32" cm="1">
        <f t="array" aca="1" ref="D103" ca="1">INDEX(Data_DBD!$D:$D,$A103)</f>
        <v>13</v>
      </c>
      <c r="E103" s="32" cm="1">
        <f t="array" aca="1" ref="E103" ca="1">INDEX(Data_DBD!$E:$E,$A103)</f>
        <v>1</v>
      </c>
      <c r="F103" s="32" cm="1">
        <f t="array" aca="1" ref="F103" ca="1">INDEX(Data_DBD!$F:$F,$A103)</f>
        <v>2</v>
      </c>
      <c r="H103" s="32">
        <v>75</v>
      </c>
      <c r="I103" s="32">
        <v>2</v>
      </c>
      <c r="J103" s="32">
        <v>2</v>
      </c>
      <c r="K103" s="32">
        <v>10</v>
      </c>
      <c r="L103" s="32">
        <v>1</v>
      </c>
      <c r="M103" s="32">
        <v>2</v>
      </c>
    </row>
    <row r="104" spans="1:13">
      <c r="A104" s="32">
        <f t="shared" ca="1" si="1"/>
        <v>4</v>
      </c>
      <c r="B104" s="32" cm="1">
        <f t="array" aca="1" ref="B104" ca="1">INDEX(Data_DBD!$B:$B,$A104)</f>
        <v>23</v>
      </c>
      <c r="C104" s="32" cm="1">
        <f t="array" aca="1" ref="C104" ca="1">INDEX(Data_DBD!$C:$C,$A104)</f>
        <v>5</v>
      </c>
      <c r="D104" s="32" cm="1">
        <f t="array" aca="1" ref="D104" ca="1">INDEX(Data_DBD!$D:$D,$A104)</f>
        <v>12</v>
      </c>
      <c r="E104" s="32" cm="1">
        <f t="array" aca="1" ref="E104" ca="1">INDEX(Data_DBD!$E:$E,$A104)</f>
        <v>0</v>
      </c>
      <c r="F104" s="32" cm="1">
        <f t="array" aca="1" ref="F104" ca="1">INDEX(Data_DBD!$F:$F,$A104)</f>
        <v>2</v>
      </c>
      <c r="H104" s="32">
        <v>67</v>
      </c>
      <c r="I104" s="32">
        <v>21</v>
      </c>
      <c r="J104" s="32">
        <v>3</v>
      </c>
      <c r="K104" s="32">
        <v>10</v>
      </c>
      <c r="L104" s="32">
        <v>1</v>
      </c>
      <c r="M104" s="32">
        <v>2</v>
      </c>
    </row>
    <row r="105" spans="1:13">
      <c r="A105" s="32">
        <f t="shared" ca="1" si="1"/>
        <v>140</v>
      </c>
      <c r="B105" s="32" cm="1">
        <f t="array" aca="1" ref="B105" ca="1">INDEX(Data_DBD!$B:$B,$A105)</f>
        <v>74</v>
      </c>
      <c r="C105" s="32" cm="1">
        <f t="array" aca="1" ref="C105" ca="1">INDEX(Data_DBD!$C:$C,$A105)</f>
        <v>5</v>
      </c>
      <c r="D105" s="32" cm="1">
        <f t="array" aca="1" ref="D105" ca="1">INDEX(Data_DBD!$D:$D,$A105)</f>
        <v>21</v>
      </c>
      <c r="E105" s="32" cm="1">
        <f t="array" aca="1" ref="E105" ca="1">INDEX(Data_DBD!$E:$E,$A105)</f>
        <v>1</v>
      </c>
      <c r="F105" s="32" cm="1">
        <f t="array" aca="1" ref="F105" ca="1">INDEX(Data_DBD!$F:$F,$A105)</f>
        <v>3</v>
      </c>
      <c r="H105" s="32">
        <v>25</v>
      </c>
      <c r="I105" s="32">
        <v>81</v>
      </c>
      <c r="J105" s="32">
        <v>5</v>
      </c>
      <c r="K105" s="32">
        <v>14</v>
      </c>
      <c r="L105" s="32">
        <v>0</v>
      </c>
      <c r="M105" s="32">
        <v>2</v>
      </c>
    </row>
    <row r="106" spans="1:13">
      <c r="A106" s="32">
        <f t="shared" ca="1" si="1"/>
        <v>57</v>
      </c>
      <c r="B106" s="32" cm="1">
        <f t="array" aca="1" ref="B106" ca="1">INDEX(Data_DBD!$B:$B,$A106)</f>
        <v>2</v>
      </c>
      <c r="C106" s="32" cm="1">
        <f t="array" aca="1" ref="C106" ca="1">INDEX(Data_DBD!$C:$C,$A106)</f>
        <v>2</v>
      </c>
      <c r="D106" s="32" cm="1">
        <f t="array" aca="1" ref="D106" ca="1">INDEX(Data_DBD!$D:$D,$A106)</f>
        <v>15</v>
      </c>
      <c r="E106" s="32" cm="1">
        <f t="array" aca="1" ref="E106" ca="1">INDEX(Data_DBD!$E:$E,$A106)</f>
        <v>1</v>
      </c>
      <c r="F106" s="32" cm="1">
        <f t="array" aca="1" ref="F106" ca="1">INDEX(Data_DBD!$F:$F,$A106)</f>
        <v>2</v>
      </c>
      <c r="H106" s="32">
        <v>104</v>
      </c>
      <c r="I106" s="32">
        <v>37</v>
      </c>
      <c r="J106" s="32">
        <v>4</v>
      </c>
      <c r="K106" s="32">
        <v>18</v>
      </c>
      <c r="L106" s="32">
        <v>1</v>
      </c>
      <c r="M106" s="32">
        <v>3</v>
      </c>
    </row>
    <row r="107" spans="1:13">
      <c r="A107" s="32">
        <f t="shared" ca="1" si="1"/>
        <v>139</v>
      </c>
      <c r="B107" s="32" cm="1">
        <f t="array" aca="1" ref="B107" ca="1">INDEX(Data_DBD!$B:$B,$A107)</f>
        <v>52</v>
      </c>
      <c r="C107" s="32" cm="1">
        <f t="array" aca="1" ref="C107" ca="1">INDEX(Data_DBD!$C:$C,$A107)</f>
        <v>7</v>
      </c>
      <c r="D107" s="32" cm="1">
        <f t="array" aca="1" ref="D107" ca="1">INDEX(Data_DBD!$D:$D,$A107)</f>
        <v>21</v>
      </c>
      <c r="E107" s="32" cm="1">
        <f t="array" aca="1" ref="E107" ca="1">INDEX(Data_DBD!$E:$E,$A107)</f>
        <v>0</v>
      </c>
      <c r="F107" s="32" cm="1">
        <f t="array" aca="1" ref="F107" ca="1">INDEX(Data_DBD!$F:$F,$A107)</f>
        <v>3</v>
      </c>
      <c r="H107" s="32">
        <v>21</v>
      </c>
      <c r="I107" s="32">
        <v>10</v>
      </c>
      <c r="J107" s="32">
        <v>5</v>
      </c>
      <c r="K107" s="32">
        <v>14</v>
      </c>
      <c r="L107" s="32">
        <v>1</v>
      </c>
      <c r="M107" s="32">
        <v>2</v>
      </c>
    </row>
    <row r="108" spans="1:13">
      <c r="A108" s="32">
        <f t="shared" ca="1" si="1"/>
        <v>146</v>
      </c>
      <c r="B108" s="32" cm="1">
        <f t="array" aca="1" ref="B108" ca="1">INDEX(Data_DBD!$B:$B,$A108)</f>
        <v>34</v>
      </c>
      <c r="C108" s="32" cm="1">
        <f t="array" aca="1" ref="C108" ca="1">INDEX(Data_DBD!$C:$C,$A108)</f>
        <v>2</v>
      </c>
      <c r="D108" s="32" cm="1">
        <f t="array" aca="1" ref="D108" ca="1">INDEX(Data_DBD!$D:$D,$A108)</f>
        <v>21</v>
      </c>
      <c r="E108" s="32" cm="1">
        <f t="array" aca="1" ref="E108" ca="1">INDEX(Data_DBD!$E:$E,$A108)</f>
        <v>1</v>
      </c>
      <c r="F108" s="32" cm="1">
        <f t="array" aca="1" ref="F108" ca="1">INDEX(Data_DBD!$F:$F,$A108)</f>
        <v>3</v>
      </c>
      <c r="H108" s="32">
        <v>108</v>
      </c>
      <c r="I108" s="32">
        <v>69</v>
      </c>
      <c r="J108" s="32">
        <v>7</v>
      </c>
      <c r="K108" s="32">
        <v>33</v>
      </c>
      <c r="L108" s="32">
        <v>1</v>
      </c>
      <c r="M108" s="32">
        <v>3</v>
      </c>
    </row>
    <row r="109" spans="1:13">
      <c r="A109" s="32">
        <f t="shared" ca="1" si="1"/>
        <v>96</v>
      </c>
      <c r="B109" s="32" cm="1">
        <f t="array" aca="1" ref="B109" ca="1">INDEX(Data_DBD!$B:$B,$A109)</f>
        <v>56</v>
      </c>
      <c r="C109" s="32" cm="1">
        <f t="array" aca="1" ref="C109" ca="1">INDEX(Data_DBD!$C:$C,$A109)</f>
        <v>4</v>
      </c>
      <c r="D109" s="32" cm="1">
        <f t="array" aca="1" ref="D109" ca="1">INDEX(Data_DBD!$D:$D,$A109)</f>
        <v>18</v>
      </c>
      <c r="E109" s="32" cm="1">
        <f t="array" aca="1" ref="E109" ca="1">INDEX(Data_DBD!$E:$E,$A109)</f>
        <v>0</v>
      </c>
      <c r="F109" s="32" cm="1">
        <f t="array" aca="1" ref="F109" ca="1">INDEX(Data_DBD!$F:$F,$A109)</f>
        <v>3</v>
      </c>
      <c r="H109" s="32">
        <v>140</v>
      </c>
      <c r="I109" s="32">
        <v>74</v>
      </c>
      <c r="J109" s="32">
        <v>5</v>
      </c>
      <c r="K109" s="32">
        <v>21</v>
      </c>
      <c r="L109" s="32">
        <v>1</v>
      </c>
      <c r="M109" s="32">
        <v>3</v>
      </c>
    </row>
    <row r="110" spans="1:13">
      <c r="A110" s="32">
        <f t="shared" ca="1" si="1"/>
        <v>99</v>
      </c>
      <c r="B110" s="32" cm="1">
        <f t="array" aca="1" ref="B110" ca="1">INDEX(Data_DBD!$B:$B,$A110)</f>
        <v>4</v>
      </c>
      <c r="C110" s="32" cm="1">
        <f t="array" aca="1" ref="C110" ca="1">INDEX(Data_DBD!$C:$C,$A110)</f>
        <v>2</v>
      </c>
      <c r="D110" s="32" cm="1">
        <f t="array" aca="1" ref="D110" ca="1">INDEX(Data_DBD!$D:$D,$A110)</f>
        <v>18</v>
      </c>
      <c r="E110" s="32" cm="1">
        <f t="array" aca="1" ref="E110" ca="1">INDEX(Data_DBD!$E:$E,$A110)</f>
        <v>1</v>
      </c>
      <c r="F110" s="32" cm="1">
        <f t="array" aca="1" ref="F110" ca="1">INDEX(Data_DBD!$F:$F,$A110)</f>
        <v>3</v>
      </c>
      <c r="H110" s="32">
        <v>141</v>
      </c>
      <c r="I110" s="32">
        <v>36</v>
      </c>
      <c r="J110" s="32">
        <v>2</v>
      </c>
      <c r="K110" s="32">
        <v>21</v>
      </c>
      <c r="L110" s="32">
        <v>0</v>
      </c>
      <c r="M110" s="32">
        <v>3</v>
      </c>
    </row>
    <row r="111" spans="1:13">
      <c r="A111" s="32">
        <f t="shared" ca="1" si="1"/>
        <v>142</v>
      </c>
      <c r="B111" s="32" cm="1">
        <f t="array" aca="1" ref="B111" ca="1">INDEX(Data_DBD!$B:$B,$A111)</f>
        <v>39</v>
      </c>
      <c r="C111" s="32" cm="1">
        <f t="array" aca="1" ref="C111" ca="1">INDEX(Data_DBD!$C:$C,$A111)</f>
        <v>2</v>
      </c>
      <c r="D111" s="32" cm="1">
        <f t="array" aca="1" ref="D111" ca="1">INDEX(Data_DBD!$D:$D,$A111)</f>
        <v>21</v>
      </c>
      <c r="E111" s="32" cm="1">
        <f t="array" aca="1" ref="E111" ca="1">INDEX(Data_DBD!$E:$E,$A111)</f>
        <v>1</v>
      </c>
      <c r="F111" s="32" cm="1">
        <f t="array" aca="1" ref="F111" ca="1">INDEX(Data_DBD!$F:$F,$A111)</f>
        <v>3</v>
      </c>
      <c r="H111" s="32">
        <v>138</v>
      </c>
      <c r="I111" s="32">
        <v>13</v>
      </c>
      <c r="J111" s="32">
        <v>3</v>
      </c>
      <c r="K111" s="32">
        <v>33</v>
      </c>
      <c r="L111" s="32">
        <v>1</v>
      </c>
      <c r="M111" s="32">
        <v>3</v>
      </c>
    </row>
    <row r="112" spans="1:13">
      <c r="A112" s="32">
        <f t="shared" ca="1" si="1"/>
        <v>118</v>
      </c>
      <c r="B112" s="32" cm="1">
        <f t="array" aca="1" ref="B112" ca="1">INDEX(Data_DBD!$B:$B,$A112)</f>
        <v>67</v>
      </c>
      <c r="C112" s="32" cm="1">
        <f t="array" aca="1" ref="C112" ca="1">INDEX(Data_DBD!$C:$C,$A112)</f>
        <v>4</v>
      </c>
      <c r="D112" s="32" cm="1">
        <f t="array" aca="1" ref="D112" ca="1">INDEX(Data_DBD!$D:$D,$A112)</f>
        <v>33</v>
      </c>
      <c r="E112" s="32" cm="1">
        <f t="array" aca="1" ref="E112" ca="1">INDEX(Data_DBD!$E:$E,$A112)</f>
        <v>1</v>
      </c>
      <c r="F112" s="32" cm="1">
        <f t="array" aca="1" ref="F112" ca="1">INDEX(Data_DBD!$F:$F,$A112)</f>
        <v>3</v>
      </c>
      <c r="H112" s="32">
        <v>100</v>
      </c>
      <c r="I112" s="32">
        <v>19</v>
      </c>
      <c r="J112" s="32">
        <v>6</v>
      </c>
      <c r="K112" s="32">
        <v>18</v>
      </c>
      <c r="L112" s="32">
        <v>0</v>
      </c>
      <c r="M112" s="32">
        <v>3</v>
      </c>
    </row>
    <row r="113" spans="1:13">
      <c r="A113" s="32">
        <f t="shared" ca="1" si="1"/>
        <v>71</v>
      </c>
      <c r="B113" s="32" cm="1">
        <f t="array" aca="1" ref="B113" ca="1">INDEX(Data_DBD!$B:$B,$A113)</f>
        <v>84</v>
      </c>
      <c r="C113" s="32" cm="1">
        <f t="array" aca="1" ref="C113" ca="1">INDEX(Data_DBD!$C:$C,$A113)</f>
        <v>3</v>
      </c>
      <c r="D113" s="32" cm="1">
        <f t="array" aca="1" ref="D113" ca="1">INDEX(Data_DBD!$D:$D,$A113)</f>
        <v>10</v>
      </c>
      <c r="E113" s="32" cm="1">
        <f t="array" aca="1" ref="E113" ca="1">INDEX(Data_DBD!$E:$E,$A113)</f>
        <v>0</v>
      </c>
      <c r="F113" s="32" cm="1">
        <f t="array" aca="1" ref="F113" ca="1">INDEX(Data_DBD!$F:$F,$A113)</f>
        <v>2</v>
      </c>
      <c r="H113" s="32">
        <v>53</v>
      </c>
      <c r="I113" s="32">
        <v>35</v>
      </c>
      <c r="J113" s="32">
        <v>4</v>
      </c>
      <c r="K113" s="32">
        <v>15</v>
      </c>
      <c r="L113" s="32">
        <v>1</v>
      </c>
      <c r="M113" s="32">
        <v>2</v>
      </c>
    </row>
    <row r="114" spans="1:13">
      <c r="A114" s="32">
        <f t="shared" ca="1" si="1"/>
        <v>71</v>
      </c>
      <c r="B114" s="32" cm="1">
        <f t="array" aca="1" ref="B114" ca="1">INDEX(Data_DBD!$B:$B,$A114)</f>
        <v>84</v>
      </c>
      <c r="C114" s="32" cm="1">
        <f t="array" aca="1" ref="C114" ca="1">INDEX(Data_DBD!$C:$C,$A114)</f>
        <v>3</v>
      </c>
      <c r="D114" s="32" cm="1">
        <f t="array" aca="1" ref="D114" ca="1">INDEX(Data_DBD!$D:$D,$A114)</f>
        <v>10</v>
      </c>
      <c r="E114" s="32" cm="1">
        <f t="array" aca="1" ref="E114" ca="1">INDEX(Data_DBD!$E:$E,$A114)</f>
        <v>0</v>
      </c>
      <c r="F114" s="32" cm="1">
        <f t="array" aca="1" ref="F114" ca="1">INDEX(Data_DBD!$F:$F,$A114)</f>
        <v>2</v>
      </c>
      <c r="H114" s="32">
        <v>28</v>
      </c>
      <c r="I114" s="32">
        <v>22</v>
      </c>
      <c r="J114" s="32">
        <v>2</v>
      </c>
      <c r="K114" s="32">
        <v>14</v>
      </c>
      <c r="L114" s="32">
        <v>1</v>
      </c>
      <c r="M114" s="32">
        <v>2</v>
      </c>
    </row>
    <row r="115" spans="1:13">
      <c r="A115" s="32">
        <f t="shared" ca="1" si="1"/>
        <v>133</v>
      </c>
      <c r="B115" s="32" cm="1">
        <f t="array" aca="1" ref="B115" ca="1">INDEX(Data_DBD!$B:$B,$A115)</f>
        <v>6</v>
      </c>
      <c r="C115" s="32" cm="1">
        <f t="array" aca="1" ref="C115" ca="1">INDEX(Data_DBD!$C:$C,$A115)</f>
        <v>4</v>
      </c>
      <c r="D115" s="32" cm="1">
        <f t="array" aca="1" ref="D115" ca="1">INDEX(Data_DBD!$D:$D,$A115)</f>
        <v>33</v>
      </c>
      <c r="E115" s="32" cm="1">
        <f t="array" aca="1" ref="E115" ca="1">INDEX(Data_DBD!$E:$E,$A115)</f>
        <v>0</v>
      </c>
      <c r="F115" s="32" cm="1">
        <f t="array" aca="1" ref="F115" ca="1">INDEX(Data_DBD!$F:$F,$A115)</f>
        <v>3</v>
      </c>
      <c r="H115" s="32">
        <v>106</v>
      </c>
      <c r="I115" s="32">
        <v>23</v>
      </c>
      <c r="J115" s="32">
        <v>3</v>
      </c>
      <c r="K115" s="32">
        <v>18</v>
      </c>
      <c r="L115" s="32">
        <v>1</v>
      </c>
      <c r="M115" s="32">
        <v>3</v>
      </c>
    </row>
    <row r="116" spans="1:13">
      <c r="A116" s="32">
        <f t="shared" ca="1" si="1"/>
        <v>129</v>
      </c>
      <c r="B116" s="32" cm="1">
        <f t="array" aca="1" ref="B116" ca="1">INDEX(Data_DBD!$B:$B,$A116)</f>
        <v>4.5</v>
      </c>
      <c r="C116" s="32" cm="1">
        <f t="array" aca="1" ref="C116" ca="1">INDEX(Data_DBD!$C:$C,$A116)</f>
        <v>3</v>
      </c>
      <c r="D116" s="32" cm="1">
        <f t="array" aca="1" ref="D116" ca="1">INDEX(Data_DBD!$D:$D,$A116)</f>
        <v>33</v>
      </c>
      <c r="E116" s="32" cm="1">
        <f t="array" aca="1" ref="E116" ca="1">INDEX(Data_DBD!$E:$E,$A116)</f>
        <v>0</v>
      </c>
      <c r="F116" s="32" cm="1">
        <f t="array" aca="1" ref="F116" ca="1">INDEX(Data_DBD!$F:$F,$A116)</f>
        <v>3</v>
      </c>
      <c r="H116" s="32">
        <v>73</v>
      </c>
      <c r="I116" s="32">
        <v>15</v>
      </c>
      <c r="J116" s="32">
        <v>3</v>
      </c>
      <c r="K116" s="32">
        <v>10</v>
      </c>
      <c r="L116" s="32">
        <v>1</v>
      </c>
      <c r="M116" s="32">
        <v>2</v>
      </c>
    </row>
    <row r="117" spans="1:13">
      <c r="A117" s="32">
        <f t="shared" ca="1" si="1"/>
        <v>3</v>
      </c>
      <c r="B117" s="32" cm="1">
        <f t="array" aca="1" ref="B117" ca="1">INDEX(Data_DBD!$B:$B,$A117)</f>
        <v>43</v>
      </c>
      <c r="C117" s="32" cm="1">
        <f t="array" aca="1" ref="C117" ca="1">INDEX(Data_DBD!$C:$C,$A117)</f>
        <v>3</v>
      </c>
      <c r="D117" s="32" cm="1">
        <f t="array" aca="1" ref="D117" ca="1">INDEX(Data_DBD!$D:$D,$A117)</f>
        <v>12</v>
      </c>
      <c r="E117" s="32" cm="1">
        <f t="array" aca="1" ref="E117" ca="1">INDEX(Data_DBD!$E:$E,$A117)</f>
        <v>1</v>
      </c>
      <c r="F117" s="32" cm="1">
        <f t="array" aca="1" ref="F117" ca="1">INDEX(Data_DBD!$F:$F,$A117)</f>
        <v>2</v>
      </c>
      <c r="H117" s="32">
        <v>67</v>
      </c>
      <c r="I117" s="32">
        <v>21</v>
      </c>
      <c r="J117" s="32">
        <v>3</v>
      </c>
      <c r="K117" s="32">
        <v>10</v>
      </c>
      <c r="L117" s="32">
        <v>1</v>
      </c>
      <c r="M117" s="32">
        <v>2</v>
      </c>
    </row>
    <row r="118" spans="1:13">
      <c r="A118" s="32">
        <f t="shared" ca="1" si="1"/>
        <v>136</v>
      </c>
      <c r="B118" s="32" cm="1">
        <f t="array" aca="1" ref="B118" ca="1">INDEX(Data_DBD!$B:$B,$A118)</f>
        <v>6</v>
      </c>
      <c r="C118" s="32" cm="1">
        <f t="array" aca="1" ref="C118" ca="1">INDEX(Data_DBD!$C:$C,$A118)</f>
        <v>2</v>
      </c>
      <c r="D118" s="32" cm="1">
        <f t="array" aca="1" ref="D118" ca="1">INDEX(Data_DBD!$D:$D,$A118)</f>
        <v>33</v>
      </c>
      <c r="E118" s="32" cm="1">
        <f t="array" aca="1" ref="E118" ca="1">INDEX(Data_DBD!$E:$E,$A118)</f>
        <v>0</v>
      </c>
      <c r="F118" s="32" cm="1">
        <f t="array" aca="1" ref="F118" ca="1">INDEX(Data_DBD!$F:$F,$A118)</f>
        <v>3</v>
      </c>
      <c r="H118" s="32">
        <v>57</v>
      </c>
      <c r="I118" s="32">
        <v>2</v>
      </c>
      <c r="J118" s="32">
        <v>2</v>
      </c>
      <c r="K118" s="32">
        <v>15</v>
      </c>
      <c r="L118" s="32">
        <v>1</v>
      </c>
      <c r="M118" s="32">
        <v>2</v>
      </c>
    </row>
    <row r="119" spans="1:13">
      <c r="A119" s="32">
        <f t="shared" ca="1" si="1"/>
        <v>92</v>
      </c>
      <c r="B119" s="32" cm="1">
        <f t="array" aca="1" ref="B119" ca="1">INDEX(Data_DBD!$B:$B,$A119)</f>
        <v>55</v>
      </c>
      <c r="C119" s="32" cm="1">
        <f t="array" aca="1" ref="C119" ca="1">INDEX(Data_DBD!$C:$C,$A119)</f>
        <v>7</v>
      </c>
      <c r="D119" s="32" cm="1">
        <f t="array" aca="1" ref="D119" ca="1">INDEX(Data_DBD!$D:$D,$A119)</f>
        <v>18</v>
      </c>
      <c r="E119" s="32" cm="1">
        <f t="array" aca="1" ref="E119" ca="1">INDEX(Data_DBD!$E:$E,$A119)</f>
        <v>0</v>
      </c>
      <c r="F119" s="32" cm="1">
        <f t="array" aca="1" ref="F119" ca="1">INDEX(Data_DBD!$F:$F,$A119)</f>
        <v>3</v>
      </c>
      <c r="H119" s="32">
        <v>139</v>
      </c>
      <c r="I119" s="32">
        <v>52</v>
      </c>
      <c r="J119" s="32">
        <v>7</v>
      </c>
      <c r="K119" s="32">
        <v>21</v>
      </c>
      <c r="L119" s="32">
        <v>0</v>
      </c>
      <c r="M119" s="32">
        <v>3</v>
      </c>
    </row>
    <row r="120" spans="1:13">
      <c r="A120" s="32">
        <f t="shared" ca="1" si="1"/>
        <v>110</v>
      </c>
      <c r="B120" s="32" cm="1">
        <f t="array" aca="1" ref="B120" ca="1">INDEX(Data_DBD!$B:$B,$A120)</f>
        <v>42</v>
      </c>
      <c r="C120" s="32" cm="1">
        <f t="array" aca="1" ref="C120" ca="1">INDEX(Data_DBD!$C:$C,$A120)</f>
        <v>2</v>
      </c>
      <c r="D120" s="32" cm="1">
        <f t="array" aca="1" ref="D120" ca="1">INDEX(Data_DBD!$D:$D,$A120)</f>
        <v>33</v>
      </c>
      <c r="E120" s="32" cm="1">
        <f t="array" aca="1" ref="E120" ca="1">INDEX(Data_DBD!$E:$E,$A120)</f>
        <v>1</v>
      </c>
      <c r="F120" s="32" cm="1">
        <f t="array" aca="1" ref="F120" ca="1">INDEX(Data_DBD!$F:$F,$A120)</f>
        <v>3</v>
      </c>
      <c r="H120" s="32">
        <v>156</v>
      </c>
      <c r="I120" s="32">
        <v>5</v>
      </c>
      <c r="J120" s="32">
        <v>2</v>
      </c>
      <c r="K120" s="32">
        <v>21</v>
      </c>
      <c r="L120" s="32">
        <v>0</v>
      </c>
      <c r="M120" s="32">
        <v>3</v>
      </c>
    </row>
    <row r="121" spans="1:13">
      <c r="A121" s="32">
        <f t="shared" ca="1" si="1"/>
        <v>98</v>
      </c>
      <c r="B121" s="32" cm="1">
        <f t="array" aca="1" ref="B121" ca="1">INDEX(Data_DBD!$B:$B,$A121)</f>
        <v>16</v>
      </c>
      <c r="C121" s="32" cm="1">
        <f t="array" aca="1" ref="C121" ca="1">INDEX(Data_DBD!$C:$C,$A121)</f>
        <v>2</v>
      </c>
      <c r="D121" s="32" cm="1">
        <f t="array" aca="1" ref="D121" ca="1">INDEX(Data_DBD!$D:$D,$A121)</f>
        <v>18</v>
      </c>
      <c r="E121" s="32" cm="1">
        <f t="array" aca="1" ref="E121" ca="1">INDEX(Data_DBD!$E:$E,$A121)</f>
        <v>1</v>
      </c>
      <c r="F121" s="32" cm="1">
        <f t="array" aca="1" ref="F121" ca="1">INDEX(Data_DBD!$F:$F,$A121)</f>
        <v>3</v>
      </c>
      <c r="H121" s="32">
        <v>66</v>
      </c>
      <c r="I121" s="32">
        <v>21</v>
      </c>
      <c r="J121" s="32">
        <v>5</v>
      </c>
      <c r="K121" s="32">
        <v>15</v>
      </c>
      <c r="L121" s="32">
        <v>1</v>
      </c>
      <c r="M121" s="32">
        <v>2</v>
      </c>
    </row>
    <row r="122" spans="1:13">
      <c r="A122" s="32">
        <f t="shared" ca="1" si="1"/>
        <v>90</v>
      </c>
      <c r="B122" s="32" cm="1">
        <f t="array" aca="1" ref="B122" ca="1">INDEX(Data_DBD!$B:$B,$A122)</f>
        <v>47</v>
      </c>
      <c r="C122" s="32" cm="1">
        <f t="array" aca="1" ref="C122" ca="1">INDEX(Data_DBD!$C:$C,$A122)</f>
        <v>3</v>
      </c>
      <c r="D122" s="32" cm="1">
        <f t="array" aca="1" ref="D122" ca="1">INDEX(Data_DBD!$D:$D,$A122)</f>
        <v>18</v>
      </c>
      <c r="E122" s="32" cm="1">
        <f t="array" aca="1" ref="E122" ca="1">INDEX(Data_DBD!$E:$E,$A122)</f>
        <v>0</v>
      </c>
      <c r="F122" s="32" cm="1">
        <f t="array" aca="1" ref="F122" ca="1">INDEX(Data_DBD!$F:$F,$A122)</f>
        <v>3</v>
      </c>
      <c r="H122" s="32">
        <v>13</v>
      </c>
      <c r="I122" s="32">
        <v>47</v>
      </c>
      <c r="J122" s="32">
        <v>2</v>
      </c>
      <c r="K122" s="32">
        <v>12</v>
      </c>
      <c r="L122" s="32">
        <v>0</v>
      </c>
      <c r="M122" s="32">
        <v>2</v>
      </c>
    </row>
    <row r="123" spans="1:13">
      <c r="A123" s="32">
        <f t="shared" ca="1" si="1"/>
        <v>147</v>
      </c>
      <c r="B123" s="32" cm="1">
        <f t="array" aca="1" ref="B123" ca="1">INDEX(Data_DBD!$B:$B,$A123)</f>
        <v>66</v>
      </c>
      <c r="C123" s="32" cm="1">
        <f t="array" aca="1" ref="C123" ca="1">INDEX(Data_DBD!$C:$C,$A123)</f>
        <v>10</v>
      </c>
      <c r="D123" s="32" cm="1">
        <f t="array" aca="1" ref="D123" ca="1">INDEX(Data_DBD!$D:$D,$A123)</f>
        <v>21</v>
      </c>
      <c r="E123" s="32" cm="1">
        <f t="array" aca="1" ref="E123" ca="1">INDEX(Data_DBD!$E:$E,$A123)</f>
        <v>1</v>
      </c>
      <c r="F123" s="32" cm="1">
        <f t="array" aca="1" ref="F123" ca="1">INDEX(Data_DBD!$F:$F,$A123)</f>
        <v>3</v>
      </c>
      <c r="H123" s="32">
        <v>74</v>
      </c>
      <c r="I123" s="32">
        <v>9</v>
      </c>
      <c r="J123" s="32">
        <v>4</v>
      </c>
      <c r="K123" s="32">
        <v>10</v>
      </c>
      <c r="L123" s="32">
        <v>0</v>
      </c>
      <c r="M123" s="32">
        <v>2</v>
      </c>
    </row>
    <row r="124" spans="1:13">
      <c r="A124" s="32">
        <f t="shared" ca="1" si="1"/>
        <v>112</v>
      </c>
      <c r="B124" s="32" cm="1">
        <f t="array" aca="1" ref="B124" ca="1">INDEX(Data_DBD!$B:$B,$A124)</f>
        <v>61</v>
      </c>
      <c r="C124" s="32" cm="1">
        <f t="array" aca="1" ref="C124" ca="1">INDEX(Data_DBD!$C:$C,$A124)</f>
        <v>3</v>
      </c>
      <c r="D124" s="32" cm="1">
        <f t="array" aca="1" ref="D124" ca="1">INDEX(Data_DBD!$D:$D,$A124)</f>
        <v>33</v>
      </c>
      <c r="E124" s="32" cm="1">
        <f t="array" aca="1" ref="E124" ca="1">INDEX(Data_DBD!$E:$E,$A124)</f>
        <v>1</v>
      </c>
      <c r="F124" s="32" cm="1">
        <f t="array" aca="1" ref="F124" ca="1">INDEX(Data_DBD!$F:$F,$A124)</f>
        <v>3</v>
      </c>
      <c r="H124" s="32">
        <v>56</v>
      </c>
      <c r="I124" s="32">
        <v>4</v>
      </c>
      <c r="J124" s="32">
        <v>3</v>
      </c>
      <c r="K124" s="32">
        <v>15</v>
      </c>
      <c r="L124" s="32">
        <v>0</v>
      </c>
      <c r="M124" s="32">
        <v>2</v>
      </c>
    </row>
    <row r="125" spans="1:13">
      <c r="A125" s="32">
        <f t="shared" ca="1" si="1"/>
        <v>143</v>
      </c>
      <c r="B125" s="32" cm="1">
        <f t="array" aca="1" ref="B125" ca="1">INDEX(Data_DBD!$B:$B,$A125)</f>
        <v>20</v>
      </c>
      <c r="C125" s="32" cm="1">
        <f t="array" aca="1" ref="C125" ca="1">INDEX(Data_DBD!$C:$C,$A125)</f>
        <v>4</v>
      </c>
      <c r="D125" s="32" cm="1">
        <f t="array" aca="1" ref="D125" ca="1">INDEX(Data_DBD!$D:$D,$A125)</f>
        <v>21</v>
      </c>
      <c r="E125" s="32" cm="1">
        <f t="array" aca="1" ref="E125" ca="1">INDEX(Data_DBD!$E:$E,$A125)</f>
        <v>1</v>
      </c>
      <c r="F125" s="32" cm="1">
        <f t="array" aca="1" ref="F125" ca="1">INDEX(Data_DBD!$F:$F,$A125)</f>
        <v>3</v>
      </c>
      <c r="H125" s="32">
        <v>134</v>
      </c>
      <c r="I125" s="32">
        <v>4</v>
      </c>
      <c r="J125" s="32">
        <v>2</v>
      </c>
      <c r="K125" s="32">
        <v>33</v>
      </c>
      <c r="L125" s="32">
        <v>1</v>
      </c>
      <c r="M125" s="32">
        <v>3</v>
      </c>
    </row>
    <row r="126" spans="1:13">
      <c r="A126" s="32">
        <f t="shared" ca="1" si="1"/>
        <v>154</v>
      </c>
      <c r="B126" s="32" cm="1">
        <f t="array" aca="1" ref="B126" ca="1">INDEX(Data_DBD!$B:$B,$A126)</f>
        <v>18</v>
      </c>
      <c r="C126" s="32" cm="1">
        <f t="array" aca="1" ref="C126" ca="1">INDEX(Data_DBD!$C:$C,$A126)</f>
        <v>5</v>
      </c>
      <c r="D126" s="32" cm="1">
        <f t="array" aca="1" ref="D126" ca="1">INDEX(Data_DBD!$D:$D,$A126)</f>
        <v>21</v>
      </c>
      <c r="E126" s="32" cm="1">
        <f t="array" aca="1" ref="E126" ca="1">INDEX(Data_DBD!$E:$E,$A126)</f>
        <v>1</v>
      </c>
      <c r="F126" s="32" cm="1">
        <f t="array" aca="1" ref="F126" ca="1">INDEX(Data_DBD!$F:$F,$A126)</f>
        <v>3</v>
      </c>
      <c r="H126" s="32">
        <v>111</v>
      </c>
      <c r="I126" s="32">
        <v>25</v>
      </c>
      <c r="J126" s="32">
        <v>4</v>
      </c>
      <c r="K126" s="32">
        <v>33</v>
      </c>
      <c r="L126" s="32">
        <v>0</v>
      </c>
      <c r="M126" s="32">
        <v>3</v>
      </c>
    </row>
    <row r="127" spans="1:13">
      <c r="A127" s="32">
        <f t="shared" ca="1" si="1"/>
        <v>7</v>
      </c>
      <c r="B127" s="32" cm="1">
        <f t="array" aca="1" ref="B127" ca="1">INDEX(Data_DBD!$B:$B,$A127)</f>
        <v>12</v>
      </c>
      <c r="C127" s="32" cm="1">
        <f t="array" aca="1" ref="C127" ca="1">INDEX(Data_DBD!$C:$C,$A127)</f>
        <v>1</v>
      </c>
      <c r="D127" s="32" cm="1">
        <f t="array" aca="1" ref="D127" ca="1">INDEX(Data_DBD!$D:$D,$A127)</f>
        <v>12</v>
      </c>
      <c r="E127" s="32" cm="1">
        <f t="array" aca="1" ref="E127" ca="1">INDEX(Data_DBD!$E:$E,$A127)</f>
        <v>1</v>
      </c>
      <c r="F127" s="32" cm="1">
        <f t="array" aca="1" ref="F127" ca="1">INDEX(Data_DBD!$F:$F,$A127)</f>
        <v>2</v>
      </c>
      <c r="H127" s="32">
        <v>71</v>
      </c>
      <c r="I127" s="32">
        <v>84</v>
      </c>
      <c r="J127" s="32">
        <v>3</v>
      </c>
      <c r="K127" s="32">
        <v>10</v>
      </c>
      <c r="L127" s="32">
        <v>0</v>
      </c>
      <c r="M127" s="32">
        <v>2</v>
      </c>
    </row>
    <row r="128" spans="1:13">
      <c r="A128" s="32">
        <f t="shared" ca="1" si="1"/>
        <v>68</v>
      </c>
      <c r="B128" s="32" cm="1">
        <f t="array" aca="1" ref="B128" ca="1">INDEX(Data_DBD!$B:$B,$A128)</f>
        <v>44</v>
      </c>
      <c r="C128" s="32" cm="1">
        <f t="array" aca="1" ref="C128" ca="1">INDEX(Data_DBD!$C:$C,$A128)</f>
        <v>5</v>
      </c>
      <c r="D128" s="32" cm="1">
        <f t="array" aca="1" ref="D128" ca="1">INDEX(Data_DBD!$D:$D,$A128)</f>
        <v>10</v>
      </c>
      <c r="E128" s="32" cm="1">
        <f t="array" aca="1" ref="E128" ca="1">INDEX(Data_DBD!$E:$E,$A128)</f>
        <v>0</v>
      </c>
      <c r="F128" s="32" cm="1">
        <f t="array" aca="1" ref="F128" ca="1">INDEX(Data_DBD!$F:$F,$A128)</f>
        <v>2</v>
      </c>
      <c r="H128" s="32">
        <v>35</v>
      </c>
      <c r="I128" s="32">
        <v>40</v>
      </c>
      <c r="J128" s="32">
        <v>3</v>
      </c>
      <c r="K128" s="32">
        <v>4</v>
      </c>
      <c r="L128" s="32">
        <v>1</v>
      </c>
      <c r="M128" s="32">
        <v>1</v>
      </c>
    </row>
    <row r="129" spans="1:13">
      <c r="A129" s="32">
        <f t="shared" ca="1" si="1"/>
        <v>116</v>
      </c>
      <c r="B129" s="32" cm="1">
        <f t="array" aca="1" ref="B129" ca="1">INDEX(Data_DBD!$B:$B,$A129)</f>
        <v>32</v>
      </c>
      <c r="C129" s="32" cm="1">
        <f t="array" aca="1" ref="C129" ca="1">INDEX(Data_DBD!$C:$C,$A129)</f>
        <v>4</v>
      </c>
      <c r="D129" s="32" cm="1">
        <f t="array" aca="1" ref="D129" ca="1">INDEX(Data_DBD!$D:$D,$A129)</f>
        <v>33</v>
      </c>
      <c r="E129" s="32" cm="1">
        <f t="array" aca="1" ref="E129" ca="1">INDEX(Data_DBD!$E:$E,$A129)</f>
        <v>1</v>
      </c>
      <c r="F129" s="32" cm="1">
        <f t="array" aca="1" ref="F129" ca="1">INDEX(Data_DBD!$F:$F,$A129)</f>
        <v>3</v>
      </c>
      <c r="H129" s="32">
        <v>4</v>
      </c>
      <c r="I129" s="32">
        <v>23</v>
      </c>
      <c r="J129" s="32">
        <v>5</v>
      </c>
      <c r="K129" s="32">
        <v>12</v>
      </c>
      <c r="L129" s="32">
        <v>0</v>
      </c>
      <c r="M129" s="32">
        <v>2</v>
      </c>
    </row>
    <row r="130" spans="1:13">
      <c r="A130" s="32">
        <f t="shared" ca="1" si="1"/>
        <v>161</v>
      </c>
      <c r="B130" s="32" cm="1">
        <f t="array" aca="1" ref="B130" ca="1">INDEX(Data_DBD!$B:$B,$A130)</f>
        <v>12</v>
      </c>
      <c r="C130" s="32" cm="1">
        <f t="array" aca="1" ref="C130" ca="1">INDEX(Data_DBD!$C:$C,$A130)</f>
        <v>3</v>
      </c>
      <c r="D130" s="32" cm="1">
        <f t="array" aca="1" ref="D130" ca="1">INDEX(Data_DBD!$D:$D,$A130)</f>
        <v>21</v>
      </c>
      <c r="E130" s="32" cm="1">
        <f t="array" aca="1" ref="E130" ca="1">INDEX(Data_DBD!$E:$E,$A130)</f>
        <v>1</v>
      </c>
      <c r="F130" s="32" cm="1">
        <f t="array" aca="1" ref="F130" ca="1">INDEX(Data_DBD!$F:$F,$A130)</f>
        <v>3</v>
      </c>
      <c r="H130" s="32">
        <v>45</v>
      </c>
      <c r="I130" s="32">
        <v>75</v>
      </c>
      <c r="J130" s="32">
        <v>3</v>
      </c>
      <c r="K130" s="32">
        <v>13</v>
      </c>
      <c r="L130" s="32">
        <v>1</v>
      </c>
      <c r="M130" s="32">
        <v>2</v>
      </c>
    </row>
    <row r="131" spans="1:13">
      <c r="A131" s="32">
        <f t="shared" ref="A131:A164" ca="1" si="2">RANDBETWEEN(2,164)</f>
        <v>30</v>
      </c>
      <c r="B131" s="32" t="str" cm="1">
        <f t="array" aca="1" ref="B131" ca="1">INDEX(Data_DBD!$B:$B,$A131)</f>
        <v>2,8</v>
      </c>
      <c r="C131" s="32" cm="1">
        <f t="array" aca="1" ref="C131" ca="1">INDEX(Data_DBD!$C:$C,$A131)</f>
        <v>2</v>
      </c>
      <c r="D131" s="32" cm="1">
        <f t="array" aca="1" ref="D131" ca="1">INDEX(Data_DBD!$D:$D,$A131)</f>
        <v>14</v>
      </c>
      <c r="E131" s="32" cm="1">
        <f t="array" aca="1" ref="E131" ca="1">INDEX(Data_DBD!$E:$E,$A131)</f>
        <v>1</v>
      </c>
      <c r="F131" s="32" cm="1">
        <f t="array" aca="1" ref="F131" ca="1">INDEX(Data_DBD!$F:$F,$A131)</f>
        <v>2</v>
      </c>
      <c r="H131" s="32">
        <v>38</v>
      </c>
      <c r="I131" s="32">
        <v>52</v>
      </c>
      <c r="J131" s="32">
        <v>3</v>
      </c>
      <c r="K131" s="32">
        <v>4</v>
      </c>
      <c r="L131" s="32">
        <v>1</v>
      </c>
      <c r="M131" s="32">
        <v>1</v>
      </c>
    </row>
    <row r="132" spans="1:13">
      <c r="A132" s="32">
        <f t="shared" ca="1" si="2"/>
        <v>14</v>
      </c>
      <c r="B132" s="32" cm="1">
        <f t="array" aca="1" ref="B132" ca="1">INDEX(Data_DBD!$B:$B,$A132)</f>
        <v>49</v>
      </c>
      <c r="C132" s="32" cm="1">
        <f t="array" aca="1" ref="C132" ca="1">INDEX(Data_DBD!$C:$C,$A132)</f>
        <v>4</v>
      </c>
      <c r="D132" s="32" cm="1">
        <f t="array" aca="1" ref="D132" ca="1">INDEX(Data_DBD!$D:$D,$A132)</f>
        <v>7</v>
      </c>
      <c r="E132" s="32" cm="1">
        <f t="array" aca="1" ref="E132" ca="1">INDEX(Data_DBD!$E:$E,$A132)</f>
        <v>1</v>
      </c>
      <c r="F132" s="32" cm="1">
        <f t="array" aca="1" ref="F132" ca="1">INDEX(Data_DBD!$F:$F,$A132)</f>
        <v>1</v>
      </c>
      <c r="H132" s="32">
        <v>8</v>
      </c>
      <c r="I132" s="32">
        <v>4</v>
      </c>
      <c r="J132" s="32">
        <v>2</v>
      </c>
      <c r="K132" s="32">
        <v>12</v>
      </c>
      <c r="L132" s="32">
        <v>0</v>
      </c>
      <c r="M132" s="32">
        <v>2</v>
      </c>
    </row>
    <row r="133" spans="1:13">
      <c r="A133" s="32">
        <f t="shared" ca="1" si="2"/>
        <v>53</v>
      </c>
      <c r="B133" s="32" cm="1">
        <f t="array" aca="1" ref="B133" ca="1">INDEX(Data_DBD!$B:$B,$A133)</f>
        <v>35</v>
      </c>
      <c r="C133" s="32" cm="1">
        <f t="array" aca="1" ref="C133" ca="1">INDEX(Data_DBD!$C:$C,$A133)</f>
        <v>4</v>
      </c>
      <c r="D133" s="32" cm="1">
        <f t="array" aca="1" ref="D133" ca="1">INDEX(Data_DBD!$D:$D,$A133)</f>
        <v>15</v>
      </c>
      <c r="E133" s="32" cm="1">
        <f t="array" aca="1" ref="E133" ca="1">INDEX(Data_DBD!$E:$E,$A133)</f>
        <v>1</v>
      </c>
      <c r="F133" s="32" cm="1">
        <f t="array" aca="1" ref="F133" ca="1">INDEX(Data_DBD!$F:$F,$A133)</f>
        <v>2</v>
      </c>
      <c r="H133" s="32">
        <v>144</v>
      </c>
      <c r="I133" s="32">
        <v>61</v>
      </c>
      <c r="J133" s="32">
        <v>4</v>
      </c>
      <c r="K133" s="32">
        <v>21</v>
      </c>
      <c r="L133" s="32">
        <v>1</v>
      </c>
      <c r="M133" s="32">
        <v>3</v>
      </c>
    </row>
    <row r="134" spans="1:13">
      <c r="A134" s="32">
        <f t="shared" ca="1" si="2"/>
        <v>146</v>
      </c>
      <c r="B134" s="32" cm="1">
        <f t="array" aca="1" ref="B134" ca="1">INDEX(Data_DBD!$B:$B,$A134)</f>
        <v>34</v>
      </c>
      <c r="C134" s="32" cm="1">
        <f t="array" aca="1" ref="C134" ca="1">INDEX(Data_DBD!$C:$C,$A134)</f>
        <v>2</v>
      </c>
      <c r="D134" s="32" cm="1">
        <f t="array" aca="1" ref="D134" ca="1">INDEX(Data_DBD!$D:$D,$A134)</f>
        <v>21</v>
      </c>
      <c r="E134" s="32" cm="1">
        <f t="array" aca="1" ref="E134" ca="1">INDEX(Data_DBD!$E:$E,$A134)</f>
        <v>1</v>
      </c>
      <c r="F134" s="32" cm="1">
        <f t="array" aca="1" ref="F134" ca="1">INDEX(Data_DBD!$F:$F,$A134)</f>
        <v>3</v>
      </c>
      <c r="H134" s="32">
        <v>118</v>
      </c>
      <c r="I134" s="32">
        <v>67</v>
      </c>
      <c r="J134" s="32">
        <v>4</v>
      </c>
      <c r="K134" s="32">
        <v>33</v>
      </c>
      <c r="L134" s="32">
        <v>1</v>
      </c>
      <c r="M134" s="32">
        <v>3</v>
      </c>
    </row>
    <row r="135" spans="1:13">
      <c r="A135" s="32">
        <f t="shared" ca="1" si="2"/>
        <v>86</v>
      </c>
      <c r="B135" s="32" cm="1">
        <f t="array" aca="1" ref="B135" ca="1">INDEX(Data_DBD!$B:$B,$A135)</f>
        <v>23</v>
      </c>
      <c r="C135" s="32" cm="1">
        <f t="array" aca="1" ref="C135" ca="1">INDEX(Data_DBD!$C:$C,$A135)</f>
        <v>3</v>
      </c>
      <c r="D135" s="32" cm="1">
        <f t="array" aca="1" ref="D135" ca="1">INDEX(Data_DBD!$D:$D,$A135)</f>
        <v>13</v>
      </c>
      <c r="E135" s="32" cm="1">
        <f t="array" aca="1" ref="E135" ca="1">INDEX(Data_DBD!$E:$E,$A135)</f>
        <v>0</v>
      </c>
      <c r="F135" s="32" cm="1">
        <f t="array" aca="1" ref="F135" ca="1">INDEX(Data_DBD!$F:$F,$A135)</f>
        <v>2</v>
      </c>
      <c r="H135" s="32">
        <v>122</v>
      </c>
      <c r="I135" s="32">
        <v>28</v>
      </c>
      <c r="J135" s="32">
        <v>3</v>
      </c>
      <c r="K135" s="32">
        <v>33</v>
      </c>
      <c r="L135" s="32">
        <v>1</v>
      </c>
      <c r="M135" s="32">
        <v>3</v>
      </c>
    </row>
    <row r="136" spans="1:13">
      <c r="A136" s="32">
        <f t="shared" ca="1" si="2"/>
        <v>104</v>
      </c>
      <c r="B136" s="32" cm="1">
        <f t="array" aca="1" ref="B136" ca="1">INDEX(Data_DBD!$B:$B,$A136)</f>
        <v>37</v>
      </c>
      <c r="C136" s="32" cm="1">
        <f t="array" aca="1" ref="C136" ca="1">INDEX(Data_DBD!$C:$C,$A136)</f>
        <v>4</v>
      </c>
      <c r="D136" s="32" cm="1">
        <f t="array" aca="1" ref="D136" ca="1">INDEX(Data_DBD!$D:$D,$A136)</f>
        <v>18</v>
      </c>
      <c r="E136" s="32" cm="1">
        <f t="array" aca="1" ref="E136" ca="1">INDEX(Data_DBD!$E:$E,$A136)</f>
        <v>1</v>
      </c>
      <c r="F136" s="32" cm="1">
        <f t="array" aca="1" ref="F136" ca="1">INDEX(Data_DBD!$F:$F,$A136)</f>
        <v>3</v>
      </c>
      <c r="H136" s="32">
        <v>87</v>
      </c>
      <c r="I136" s="32">
        <v>21</v>
      </c>
      <c r="J136" s="32">
        <v>3</v>
      </c>
      <c r="K136" s="32">
        <v>13</v>
      </c>
      <c r="L136" s="32">
        <v>0</v>
      </c>
      <c r="M136" s="32">
        <v>2</v>
      </c>
    </row>
    <row r="137" spans="1:13">
      <c r="A137" s="32">
        <f t="shared" ca="1" si="2"/>
        <v>38</v>
      </c>
      <c r="B137" s="32" cm="1">
        <f t="array" aca="1" ref="B137" ca="1">INDEX(Data_DBD!$B:$B,$A137)</f>
        <v>52</v>
      </c>
      <c r="C137" s="32" cm="1">
        <f t="array" aca="1" ref="C137" ca="1">INDEX(Data_DBD!$C:$C,$A137)</f>
        <v>3</v>
      </c>
      <c r="D137" s="32" cm="1">
        <f t="array" aca="1" ref="D137" ca="1">INDEX(Data_DBD!$D:$D,$A137)</f>
        <v>4</v>
      </c>
      <c r="E137" s="32" cm="1">
        <f t="array" aca="1" ref="E137" ca="1">INDEX(Data_DBD!$E:$E,$A137)</f>
        <v>1</v>
      </c>
      <c r="F137" s="32" cm="1">
        <f t="array" aca="1" ref="F137" ca="1">INDEX(Data_DBD!$F:$F,$A137)</f>
        <v>1</v>
      </c>
      <c r="H137" s="32">
        <v>77</v>
      </c>
      <c r="I137" s="32">
        <v>16</v>
      </c>
      <c r="J137" s="32">
        <v>4</v>
      </c>
      <c r="K137" s="32">
        <v>13</v>
      </c>
      <c r="L137" s="32">
        <v>1</v>
      </c>
      <c r="M137" s="32">
        <v>2</v>
      </c>
    </row>
    <row r="138" spans="1:13">
      <c r="A138" s="32">
        <f t="shared" ca="1" si="2"/>
        <v>93</v>
      </c>
      <c r="B138" s="32" cm="1">
        <f t="array" aca="1" ref="B138" ca="1">INDEX(Data_DBD!$B:$B,$A138)</f>
        <v>65</v>
      </c>
      <c r="C138" s="32" cm="1">
        <f t="array" aca="1" ref="C138" ca="1">INDEX(Data_DBD!$C:$C,$A138)</f>
        <v>4</v>
      </c>
      <c r="D138" s="32" cm="1">
        <f t="array" aca="1" ref="D138" ca="1">INDEX(Data_DBD!$D:$D,$A138)</f>
        <v>18</v>
      </c>
      <c r="E138" s="32" cm="1">
        <f t="array" aca="1" ref="E138" ca="1">INDEX(Data_DBD!$E:$E,$A138)</f>
        <v>0</v>
      </c>
      <c r="F138" s="32" cm="1">
        <f t="array" aca="1" ref="F138" ca="1">INDEX(Data_DBD!$F:$F,$A138)</f>
        <v>3</v>
      </c>
      <c r="H138" s="32">
        <v>74</v>
      </c>
      <c r="I138" s="32">
        <v>9</v>
      </c>
      <c r="J138" s="32">
        <v>4</v>
      </c>
      <c r="K138" s="32">
        <v>10</v>
      </c>
      <c r="L138" s="32">
        <v>0</v>
      </c>
      <c r="M138" s="32">
        <v>2</v>
      </c>
    </row>
    <row r="139" spans="1:13">
      <c r="A139" s="32">
        <f t="shared" ca="1" si="2"/>
        <v>119</v>
      </c>
      <c r="B139" s="32" cm="1">
        <f t="array" aca="1" ref="B139" ca="1">INDEX(Data_DBD!$B:$B,$A139)</f>
        <v>30</v>
      </c>
      <c r="C139" s="32" cm="1">
        <f t="array" aca="1" ref="C139" ca="1">INDEX(Data_DBD!$C:$C,$A139)</f>
        <v>7</v>
      </c>
      <c r="D139" s="32" cm="1">
        <f t="array" aca="1" ref="D139" ca="1">INDEX(Data_DBD!$D:$D,$A139)</f>
        <v>33</v>
      </c>
      <c r="E139" s="32" cm="1">
        <f t="array" aca="1" ref="E139" ca="1">INDEX(Data_DBD!$E:$E,$A139)</f>
        <v>0</v>
      </c>
      <c r="F139" s="32" cm="1">
        <f t="array" aca="1" ref="F139" ca="1">INDEX(Data_DBD!$F:$F,$A139)</f>
        <v>3</v>
      </c>
      <c r="H139" s="32">
        <v>111</v>
      </c>
      <c r="I139" s="32">
        <v>25</v>
      </c>
      <c r="J139" s="32">
        <v>4</v>
      </c>
      <c r="K139" s="32">
        <v>33</v>
      </c>
      <c r="L139" s="32">
        <v>0</v>
      </c>
      <c r="M139" s="32">
        <v>3</v>
      </c>
    </row>
    <row r="140" spans="1:13">
      <c r="A140" s="32">
        <f t="shared" ca="1" si="2"/>
        <v>88</v>
      </c>
      <c r="B140" s="32" cm="1">
        <f t="array" aca="1" ref="B140" ca="1">INDEX(Data_DBD!$B:$B,$A140)</f>
        <v>20</v>
      </c>
      <c r="C140" s="32" cm="1">
        <f t="array" aca="1" ref="C140" ca="1">INDEX(Data_DBD!$C:$C,$A140)</f>
        <v>4</v>
      </c>
      <c r="D140" s="32" cm="1">
        <f t="array" aca="1" ref="D140" ca="1">INDEX(Data_DBD!$D:$D,$A140)</f>
        <v>13</v>
      </c>
      <c r="E140" s="32" cm="1">
        <f t="array" aca="1" ref="E140" ca="1">INDEX(Data_DBD!$E:$E,$A140)</f>
        <v>1</v>
      </c>
      <c r="F140" s="32" cm="1">
        <f t="array" aca="1" ref="F140" ca="1">INDEX(Data_DBD!$F:$F,$A140)</f>
        <v>2</v>
      </c>
      <c r="H140" s="32">
        <v>25</v>
      </c>
      <c r="I140" s="32">
        <v>81</v>
      </c>
      <c r="J140" s="32">
        <v>5</v>
      </c>
      <c r="K140" s="32">
        <v>14</v>
      </c>
      <c r="L140" s="32">
        <v>0</v>
      </c>
      <c r="M140" s="32">
        <v>2</v>
      </c>
    </row>
    <row r="141" spans="1:13">
      <c r="A141" s="32">
        <f t="shared" ca="1" si="2"/>
        <v>90</v>
      </c>
      <c r="B141" s="32" cm="1">
        <f t="array" aca="1" ref="B141" ca="1">INDEX(Data_DBD!$B:$B,$A141)</f>
        <v>47</v>
      </c>
      <c r="C141" s="32" cm="1">
        <f t="array" aca="1" ref="C141" ca="1">INDEX(Data_DBD!$C:$C,$A141)</f>
        <v>3</v>
      </c>
      <c r="D141" s="32" cm="1">
        <f t="array" aca="1" ref="D141" ca="1">INDEX(Data_DBD!$D:$D,$A141)</f>
        <v>18</v>
      </c>
      <c r="E141" s="32" cm="1">
        <f t="array" aca="1" ref="E141" ca="1">INDEX(Data_DBD!$E:$E,$A141)</f>
        <v>0</v>
      </c>
      <c r="F141" s="32" cm="1">
        <f t="array" aca="1" ref="F141" ca="1">INDEX(Data_DBD!$F:$F,$A141)</f>
        <v>3</v>
      </c>
      <c r="H141" s="32">
        <v>151</v>
      </c>
      <c r="I141" s="32">
        <v>24</v>
      </c>
      <c r="J141" s="32">
        <v>3</v>
      </c>
      <c r="K141" s="32">
        <v>21</v>
      </c>
      <c r="L141" s="32">
        <v>0</v>
      </c>
      <c r="M141" s="32">
        <v>3</v>
      </c>
    </row>
    <row r="142" spans="1:13">
      <c r="A142" s="32">
        <f t="shared" ca="1" si="2"/>
        <v>88</v>
      </c>
      <c r="B142" s="32" cm="1">
        <f t="array" aca="1" ref="B142" ca="1">INDEX(Data_DBD!$B:$B,$A142)</f>
        <v>20</v>
      </c>
      <c r="C142" s="32" cm="1">
        <f t="array" aca="1" ref="C142" ca="1">INDEX(Data_DBD!$C:$C,$A142)</f>
        <v>4</v>
      </c>
      <c r="D142" s="32" cm="1">
        <f t="array" aca="1" ref="D142" ca="1">INDEX(Data_DBD!$D:$D,$A142)</f>
        <v>13</v>
      </c>
      <c r="E142" s="32" cm="1">
        <f t="array" aca="1" ref="E142" ca="1">INDEX(Data_DBD!$E:$E,$A142)</f>
        <v>1</v>
      </c>
      <c r="F142" s="32" cm="1">
        <f t="array" aca="1" ref="F142" ca="1">INDEX(Data_DBD!$F:$F,$A142)</f>
        <v>2</v>
      </c>
      <c r="H142" s="32">
        <v>17</v>
      </c>
      <c r="I142" s="32">
        <v>2</v>
      </c>
      <c r="J142" s="32">
        <v>3</v>
      </c>
      <c r="K142" s="32">
        <v>7</v>
      </c>
      <c r="L142" s="32">
        <v>0</v>
      </c>
      <c r="M142" s="32">
        <v>1</v>
      </c>
    </row>
    <row r="143" spans="1:13">
      <c r="A143" s="32">
        <f t="shared" ca="1" si="2"/>
        <v>133</v>
      </c>
      <c r="B143" s="32" cm="1">
        <f t="array" aca="1" ref="B143" ca="1">INDEX(Data_DBD!$B:$B,$A143)</f>
        <v>6</v>
      </c>
      <c r="C143" s="32" cm="1">
        <f t="array" aca="1" ref="C143" ca="1">INDEX(Data_DBD!$C:$C,$A143)</f>
        <v>4</v>
      </c>
      <c r="D143" s="32" cm="1">
        <f t="array" aca="1" ref="D143" ca="1">INDEX(Data_DBD!$D:$D,$A143)</f>
        <v>33</v>
      </c>
      <c r="E143" s="32" cm="1">
        <f t="array" aca="1" ref="E143" ca="1">INDEX(Data_DBD!$E:$E,$A143)</f>
        <v>0</v>
      </c>
      <c r="F143" s="32" cm="1">
        <f t="array" aca="1" ref="F143" ca="1">INDEX(Data_DBD!$F:$F,$A143)</f>
        <v>3</v>
      </c>
      <c r="H143" s="32">
        <v>164</v>
      </c>
      <c r="I143" s="32">
        <v>10</v>
      </c>
      <c r="J143" s="32">
        <v>6</v>
      </c>
      <c r="K143" s="32">
        <v>3</v>
      </c>
      <c r="L143" s="32">
        <v>0</v>
      </c>
      <c r="M143" s="32">
        <v>1</v>
      </c>
    </row>
    <row r="144" spans="1:13">
      <c r="A144" s="32">
        <f t="shared" ca="1" si="2"/>
        <v>2</v>
      </c>
      <c r="B144" s="32" cm="1">
        <f t="array" aca="1" ref="B144" ca="1">INDEX(Data_DBD!$B:$B,$A144)</f>
        <v>34</v>
      </c>
      <c r="C144" s="32" cm="1">
        <f t="array" aca="1" ref="C144" ca="1">INDEX(Data_DBD!$C:$C,$A144)</f>
        <v>3</v>
      </c>
      <c r="D144" s="32" cm="1">
        <f t="array" aca="1" ref="D144" ca="1">INDEX(Data_DBD!$D:$D,$A144)</f>
        <v>12</v>
      </c>
      <c r="E144" s="32" cm="1">
        <f t="array" aca="1" ref="E144" ca="1">INDEX(Data_DBD!$E:$E,$A144)</f>
        <v>0</v>
      </c>
      <c r="F144" s="32" cm="1">
        <f t="array" aca="1" ref="F144" ca="1">INDEX(Data_DBD!$F:$F,$A144)</f>
        <v>2</v>
      </c>
      <c r="H144" s="32">
        <v>137</v>
      </c>
      <c r="I144" s="32">
        <v>3.5</v>
      </c>
      <c r="J144" s="32">
        <v>1</v>
      </c>
      <c r="K144" s="32">
        <v>33</v>
      </c>
      <c r="L144" s="32">
        <v>1</v>
      </c>
      <c r="M144" s="32">
        <v>3</v>
      </c>
    </row>
    <row r="145" spans="1:13">
      <c r="A145" s="32">
        <f t="shared" ca="1" si="2"/>
        <v>131</v>
      </c>
      <c r="B145" s="32" cm="1">
        <f t="array" aca="1" ref="B145" ca="1">INDEX(Data_DBD!$B:$B,$A145)</f>
        <v>10</v>
      </c>
      <c r="C145" s="32" cm="1">
        <f t="array" aca="1" ref="C145" ca="1">INDEX(Data_DBD!$C:$C,$A145)</f>
        <v>2</v>
      </c>
      <c r="D145" s="32" cm="1">
        <f t="array" aca="1" ref="D145" ca="1">INDEX(Data_DBD!$D:$D,$A145)</f>
        <v>33</v>
      </c>
      <c r="E145" s="32" cm="1">
        <f t="array" aca="1" ref="E145" ca="1">INDEX(Data_DBD!$E:$E,$A145)</f>
        <v>0</v>
      </c>
      <c r="F145" s="32" cm="1">
        <f t="array" aca="1" ref="F145" ca="1">INDEX(Data_DBD!$F:$F,$A145)</f>
        <v>3</v>
      </c>
      <c r="H145" s="32">
        <v>120</v>
      </c>
      <c r="I145" s="32">
        <v>26</v>
      </c>
      <c r="J145" s="32">
        <v>4</v>
      </c>
      <c r="K145" s="32">
        <v>33</v>
      </c>
      <c r="L145" s="32">
        <v>1</v>
      </c>
      <c r="M145" s="32">
        <v>3</v>
      </c>
    </row>
    <row r="146" spans="1:13">
      <c r="A146" s="32">
        <f t="shared" ca="1" si="2"/>
        <v>113</v>
      </c>
      <c r="B146" s="32" cm="1">
        <f t="array" aca="1" ref="B146" ca="1">INDEX(Data_DBD!$B:$B,$A146)</f>
        <v>69</v>
      </c>
      <c r="C146" s="32" cm="1">
        <f t="array" aca="1" ref="C146" ca="1">INDEX(Data_DBD!$C:$C,$A146)</f>
        <v>1</v>
      </c>
      <c r="D146" s="32" cm="1">
        <f t="array" aca="1" ref="D146" ca="1">INDEX(Data_DBD!$D:$D,$A146)</f>
        <v>33</v>
      </c>
      <c r="E146" s="32" cm="1">
        <f t="array" aca="1" ref="E146" ca="1">INDEX(Data_DBD!$E:$E,$A146)</f>
        <v>1</v>
      </c>
      <c r="F146" s="32" cm="1">
        <f t="array" aca="1" ref="F146" ca="1">INDEX(Data_DBD!$F:$F,$A146)</f>
        <v>3</v>
      </c>
      <c r="H146" s="32">
        <v>24</v>
      </c>
      <c r="I146" s="32">
        <v>60</v>
      </c>
      <c r="J146" s="32">
        <v>4</v>
      </c>
      <c r="K146" s="32">
        <v>14</v>
      </c>
      <c r="L146" s="32">
        <v>0</v>
      </c>
      <c r="M146" s="32">
        <v>2</v>
      </c>
    </row>
    <row r="147" spans="1:13">
      <c r="A147" s="32">
        <f t="shared" ca="1" si="2"/>
        <v>43</v>
      </c>
      <c r="B147" s="32" cm="1">
        <f t="array" aca="1" ref="B147" ca="1">INDEX(Data_DBD!$B:$B,$A147)</f>
        <v>15</v>
      </c>
      <c r="C147" s="32" cm="1">
        <f t="array" aca="1" ref="C147" ca="1">INDEX(Data_DBD!$C:$C,$A147)</f>
        <v>4</v>
      </c>
      <c r="D147" s="32" cm="1">
        <f t="array" aca="1" ref="D147" ca="1">INDEX(Data_DBD!$D:$D,$A147)</f>
        <v>13</v>
      </c>
      <c r="E147" s="32" cm="1">
        <f t="array" aca="1" ref="E147" ca="1">INDEX(Data_DBD!$E:$E,$A147)</f>
        <v>0</v>
      </c>
      <c r="F147" s="32" cm="1">
        <f t="array" aca="1" ref="F147" ca="1">INDEX(Data_DBD!$F:$F,$A147)</f>
        <v>2</v>
      </c>
      <c r="H147" s="32">
        <v>71</v>
      </c>
      <c r="I147" s="32">
        <v>84</v>
      </c>
      <c r="J147" s="32">
        <v>3</v>
      </c>
      <c r="K147" s="32">
        <v>10</v>
      </c>
      <c r="L147" s="32">
        <v>0</v>
      </c>
      <c r="M147" s="32">
        <v>2</v>
      </c>
    </row>
    <row r="148" spans="1:13">
      <c r="A148" s="32">
        <f t="shared" ca="1" si="2"/>
        <v>83</v>
      </c>
      <c r="B148" s="32" cm="1">
        <f t="array" aca="1" ref="B148" ca="1">INDEX(Data_DBD!$B:$B,$A148)</f>
        <v>50</v>
      </c>
      <c r="C148" s="32" cm="1">
        <f t="array" aca="1" ref="C148" ca="1">INDEX(Data_DBD!$C:$C,$A148)</f>
        <v>3</v>
      </c>
      <c r="D148" s="32" cm="1">
        <f t="array" aca="1" ref="D148" ca="1">INDEX(Data_DBD!$D:$D,$A148)</f>
        <v>13</v>
      </c>
      <c r="E148" s="32" cm="1">
        <f t="array" aca="1" ref="E148" ca="1">INDEX(Data_DBD!$E:$E,$A148)</f>
        <v>0</v>
      </c>
      <c r="F148" s="32" cm="1">
        <f t="array" aca="1" ref="F148" ca="1">INDEX(Data_DBD!$F:$F,$A148)</f>
        <v>2</v>
      </c>
      <c r="H148" s="32">
        <v>56</v>
      </c>
      <c r="I148" s="32">
        <v>4</v>
      </c>
      <c r="J148" s="32">
        <v>3</v>
      </c>
      <c r="K148" s="32">
        <v>15</v>
      </c>
      <c r="L148" s="32">
        <v>0</v>
      </c>
      <c r="M148" s="32">
        <v>2</v>
      </c>
    </row>
    <row r="149" spans="1:13">
      <c r="A149" s="32">
        <f t="shared" ca="1" si="2"/>
        <v>52</v>
      </c>
      <c r="B149" s="32" cm="1">
        <f t="array" aca="1" ref="B149" ca="1">INDEX(Data_DBD!$B:$B,$A149)</f>
        <v>59</v>
      </c>
      <c r="C149" s="32" cm="1">
        <f t="array" aca="1" ref="C149" ca="1">INDEX(Data_DBD!$C:$C,$A149)</f>
        <v>4</v>
      </c>
      <c r="D149" s="32" cm="1">
        <f t="array" aca="1" ref="D149" ca="1">INDEX(Data_DBD!$D:$D,$A149)</f>
        <v>15</v>
      </c>
      <c r="E149" s="32" cm="1">
        <f t="array" aca="1" ref="E149" ca="1">INDEX(Data_DBD!$E:$E,$A149)</f>
        <v>1</v>
      </c>
      <c r="F149" s="32" cm="1">
        <f t="array" aca="1" ref="F149" ca="1">INDEX(Data_DBD!$F:$F,$A149)</f>
        <v>2</v>
      </c>
      <c r="H149" s="32">
        <v>45</v>
      </c>
      <c r="I149" s="32">
        <v>75</v>
      </c>
      <c r="J149" s="32">
        <v>3</v>
      </c>
      <c r="K149" s="32">
        <v>13</v>
      </c>
      <c r="L149" s="32">
        <v>1</v>
      </c>
      <c r="M149" s="32">
        <v>2</v>
      </c>
    </row>
    <row r="150" spans="1:13">
      <c r="A150" s="32">
        <f t="shared" ca="1" si="2"/>
        <v>93</v>
      </c>
      <c r="B150" s="32" cm="1">
        <f t="array" aca="1" ref="B150" ca="1">INDEX(Data_DBD!$B:$B,$A150)</f>
        <v>65</v>
      </c>
      <c r="C150" s="32" cm="1">
        <f t="array" aca="1" ref="C150" ca="1">INDEX(Data_DBD!$C:$C,$A150)</f>
        <v>4</v>
      </c>
      <c r="D150" s="32" cm="1">
        <f t="array" aca="1" ref="D150" ca="1">INDEX(Data_DBD!$D:$D,$A150)</f>
        <v>18</v>
      </c>
      <c r="E150" s="32" cm="1">
        <f t="array" aca="1" ref="E150" ca="1">INDEX(Data_DBD!$E:$E,$A150)</f>
        <v>0</v>
      </c>
      <c r="F150" s="32" cm="1">
        <f t="array" aca="1" ref="F150" ca="1">INDEX(Data_DBD!$F:$F,$A150)</f>
        <v>3</v>
      </c>
      <c r="H150" s="32">
        <v>46</v>
      </c>
      <c r="I150" s="32">
        <v>62</v>
      </c>
      <c r="J150" s="32">
        <v>2</v>
      </c>
      <c r="K150" s="32">
        <v>13</v>
      </c>
      <c r="L150" s="32">
        <v>0</v>
      </c>
      <c r="M150" s="32">
        <v>2</v>
      </c>
    </row>
    <row r="151" spans="1:13">
      <c r="A151" s="32">
        <f t="shared" ca="1" si="2"/>
        <v>110</v>
      </c>
      <c r="B151" s="32" cm="1">
        <f t="array" aca="1" ref="B151" ca="1">INDEX(Data_DBD!$B:$B,$A151)</f>
        <v>42</v>
      </c>
      <c r="C151" s="32" cm="1">
        <f t="array" aca="1" ref="C151" ca="1">INDEX(Data_DBD!$C:$C,$A151)</f>
        <v>2</v>
      </c>
      <c r="D151" s="32" cm="1">
        <f t="array" aca="1" ref="D151" ca="1">INDEX(Data_DBD!$D:$D,$A151)</f>
        <v>33</v>
      </c>
      <c r="E151" s="32" cm="1">
        <f t="array" aca="1" ref="E151" ca="1">INDEX(Data_DBD!$E:$E,$A151)</f>
        <v>1</v>
      </c>
      <c r="F151" s="32" cm="1">
        <f t="array" aca="1" ref="F151" ca="1">INDEX(Data_DBD!$F:$F,$A151)</f>
        <v>3</v>
      </c>
      <c r="H151" s="32">
        <v>66</v>
      </c>
      <c r="I151" s="32">
        <v>21</v>
      </c>
      <c r="J151" s="32">
        <v>5</v>
      </c>
      <c r="K151" s="32">
        <v>15</v>
      </c>
      <c r="L151" s="32">
        <v>1</v>
      </c>
      <c r="M151" s="32">
        <v>2</v>
      </c>
    </row>
    <row r="152" spans="1:13">
      <c r="A152" s="32">
        <f t="shared" ca="1" si="2"/>
        <v>104</v>
      </c>
      <c r="B152" s="32" cm="1">
        <f t="array" aca="1" ref="B152" ca="1">INDEX(Data_DBD!$B:$B,$A152)</f>
        <v>37</v>
      </c>
      <c r="C152" s="32" cm="1">
        <f t="array" aca="1" ref="C152" ca="1">INDEX(Data_DBD!$C:$C,$A152)</f>
        <v>4</v>
      </c>
      <c r="D152" s="32" cm="1">
        <f t="array" aca="1" ref="D152" ca="1">INDEX(Data_DBD!$D:$D,$A152)</f>
        <v>18</v>
      </c>
      <c r="E152" s="32" cm="1">
        <f t="array" aca="1" ref="E152" ca="1">INDEX(Data_DBD!$E:$E,$A152)</f>
        <v>1</v>
      </c>
      <c r="F152" s="32" cm="1">
        <f t="array" aca="1" ref="F152" ca="1">INDEX(Data_DBD!$F:$F,$A152)</f>
        <v>3</v>
      </c>
      <c r="H152" s="32">
        <v>163</v>
      </c>
      <c r="I152" s="32">
        <v>34</v>
      </c>
      <c r="J152" s="32">
        <v>4</v>
      </c>
      <c r="K152" s="32">
        <v>3</v>
      </c>
      <c r="L152" s="32">
        <v>1</v>
      </c>
      <c r="M152" s="32">
        <v>1</v>
      </c>
    </row>
    <row r="153" spans="1:13">
      <c r="A153" s="32">
        <f t="shared" ca="1" si="2"/>
        <v>59</v>
      </c>
      <c r="B153" s="32" cm="1">
        <f t="array" aca="1" ref="B153" ca="1">INDEX(Data_DBD!$B:$B,$A153)</f>
        <v>28</v>
      </c>
      <c r="C153" s="32" cm="1">
        <f t="array" aca="1" ref="C153" ca="1">INDEX(Data_DBD!$C:$C,$A153)</f>
        <v>4</v>
      </c>
      <c r="D153" s="32" cm="1">
        <f t="array" aca="1" ref="D153" ca="1">INDEX(Data_DBD!$D:$D,$A153)</f>
        <v>15</v>
      </c>
      <c r="E153" s="32" cm="1">
        <f t="array" aca="1" ref="E153" ca="1">INDEX(Data_DBD!$E:$E,$A153)</f>
        <v>0</v>
      </c>
      <c r="F153" s="32" cm="1">
        <f t="array" aca="1" ref="F153" ca="1">INDEX(Data_DBD!$F:$F,$A153)</f>
        <v>2</v>
      </c>
      <c r="H153" s="32">
        <v>131</v>
      </c>
      <c r="I153" s="32">
        <v>10</v>
      </c>
      <c r="J153" s="32">
        <v>2</v>
      </c>
      <c r="K153" s="32">
        <v>33</v>
      </c>
      <c r="L153" s="32">
        <v>0</v>
      </c>
      <c r="M153" s="32">
        <v>3</v>
      </c>
    </row>
    <row r="154" spans="1:13">
      <c r="A154" s="32">
        <f t="shared" ca="1" si="2"/>
        <v>68</v>
      </c>
      <c r="B154" s="32" cm="1">
        <f t="array" aca="1" ref="B154" ca="1">INDEX(Data_DBD!$B:$B,$A154)</f>
        <v>44</v>
      </c>
      <c r="C154" s="32" cm="1">
        <f t="array" aca="1" ref="C154" ca="1">INDEX(Data_DBD!$C:$C,$A154)</f>
        <v>5</v>
      </c>
      <c r="D154" s="32" cm="1">
        <f t="array" aca="1" ref="D154" ca="1">INDEX(Data_DBD!$D:$D,$A154)</f>
        <v>10</v>
      </c>
      <c r="E154" s="32" cm="1">
        <f t="array" aca="1" ref="E154" ca="1">INDEX(Data_DBD!$E:$E,$A154)</f>
        <v>0</v>
      </c>
      <c r="F154" s="32" cm="1">
        <f t="array" aca="1" ref="F154" ca="1">INDEX(Data_DBD!$F:$F,$A154)</f>
        <v>2</v>
      </c>
      <c r="H154" s="32">
        <v>89</v>
      </c>
      <c r="I154" s="32">
        <v>32</v>
      </c>
      <c r="J154" s="32">
        <v>4</v>
      </c>
      <c r="K154" s="32">
        <v>13</v>
      </c>
      <c r="L154" s="32">
        <v>0</v>
      </c>
      <c r="M154" s="32">
        <v>2</v>
      </c>
    </row>
    <row r="155" spans="1:13">
      <c r="A155" s="32">
        <f t="shared" ca="1" si="2"/>
        <v>85</v>
      </c>
      <c r="B155" s="32" cm="1">
        <f t="array" aca="1" ref="B155" ca="1">INDEX(Data_DBD!$B:$B,$A155)</f>
        <v>27</v>
      </c>
      <c r="C155" s="32" cm="1">
        <f t="array" aca="1" ref="C155" ca="1">INDEX(Data_DBD!$C:$C,$A155)</f>
        <v>9</v>
      </c>
      <c r="D155" s="32" cm="1">
        <f t="array" aca="1" ref="D155" ca="1">INDEX(Data_DBD!$D:$D,$A155)</f>
        <v>13</v>
      </c>
      <c r="E155" s="32" cm="1">
        <f t="array" aca="1" ref="E155" ca="1">INDEX(Data_DBD!$E:$E,$A155)</f>
        <v>0</v>
      </c>
      <c r="F155" s="32" cm="1">
        <f t="array" aca="1" ref="F155" ca="1">INDEX(Data_DBD!$F:$F,$A155)</f>
        <v>2</v>
      </c>
      <c r="H155" s="32">
        <v>37</v>
      </c>
      <c r="I155" s="32">
        <v>28</v>
      </c>
      <c r="J155" s="32">
        <v>4</v>
      </c>
      <c r="K155" s="32">
        <v>4</v>
      </c>
      <c r="L155" s="32">
        <v>1</v>
      </c>
      <c r="M155" s="32">
        <v>1</v>
      </c>
    </row>
    <row r="156" spans="1:13">
      <c r="A156" s="32">
        <f t="shared" ca="1" si="2"/>
        <v>108</v>
      </c>
      <c r="B156" s="32" cm="1">
        <f t="array" aca="1" ref="B156" ca="1">INDEX(Data_DBD!$B:$B,$A156)</f>
        <v>69</v>
      </c>
      <c r="C156" s="32" cm="1">
        <f t="array" aca="1" ref="C156" ca="1">INDEX(Data_DBD!$C:$C,$A156)</f>
        <v>7</v>
      </c>
      <c r="D156" s="32" cm="1">
        <f t="array" aca="1" ref="D156" ca="1">INDEX(Data_DBD!$D:$D,$A156)</f>
        <v>33</v>
      </c>
      <c r="E156" s="32" cm="1">
        <f t="array" aca="1" ref="E156" ca="1">INDEX(Data_DBD!$E:$E,$A156)</f>
        <v>1</v>
      </c>
      <c r="F156" s="32" cm="1">
        <f t="array" aca="1" ref="F156" ca="1">INDEX(Data_DBD!$F:$F,$A156)</f>
        <v>3</v>
      </c>
      <c r="H156" s="32">
        <v>31</v>
      </c>
      <c r="I156" s="32">
        <v>64</v>
      </c>
      <c r="J156" s="32">
        <v>4</v>
      </c>
      <c r="K156" s="32">
        <v>14</v>
      </c>
      <c r="L156" s="32">
        <v>1</v>
      </c>
      <c r="M156" s="32">
        <v>2</v>
      </c>
    </row>
    <row r="157" spans="1:13">
      <c r="A157" s="32">
        <f t="shared" ca="1" si="2"/>
        <v>30</v>
      </c>
      <c r="B157" s="32" t="str" cm="1">
        <f t="array" aca="1" ref="B157" ca="1">INDEX(Data_DBD!$B:$B,$A157)</f>
        <v>2,8</v>
      </c>
      <c r="C157" s="32" cm="1">
        <f t="array" aca="1" ref="C157" ca="1">INDEX(Data_DBD!$C:$C,$A157)</f>
        <v>2</v>
      </c>
      <c r="D157" s="32" cm="1">
        <f t="array" aca="1" ref="D157" ca="1">INDEX(Data_DBD!$D:$D,$A157)</f>
        <v>14</v>
      </c>
      <c r="E157" s="32" cm="1">
        <f t="array" aca="1" ref="E157" ca="1">INDEX(Data_DBD!$E:$E,$A157)</f>
        <v>1</v>
      </c>
      <c r="F157" s="32" cm="1">
        <f t="array" aca="1" ref="F157" ca="1">INDEX(Data_DBD!$F:$F,$A157)</f>
        <v>2</v>
      </c>
      <c r="H157" s="32">
        <v>89</v>
      </c>
      <c r="I157" s="32">
        <v>32</v>
      </c>
      <c r="J157" s="32">
        <v>4</v>
      </c>
      <c r="K157" s="32">
        <v>13</v>
      </c>
      <c r="L157" s="32">
        <v>0</v>
      </c>
      <c r="M157" s="32">
        <v>2</v>
      </c>
    </row>
    <row r="158" spans="1:13" ht="15.75">
      <c r="A158" s="32">
        <f t="shared" ca="1" si="2"/>
        <v>114</v>
      </c>
      <c r="B158" s="32" cm="1">
        <f t="array" aca="1" ref="B158" ca="1">INDEX(Data_DBD!$B:$B,$A158)</f>
        <v>14</v>
      </c>
      <c r="C158" s="32" cm="1">
        <f t="array" aca="1" ref="C158" ca="1">INDEX(Data_DBD!$C:$C,$A158)</f>
        <v>2</v>
      </c>
      <c r="D158" s="32" cm="1">
        <f t="array" aca="1" ref="D158" ca="1">INDEX(Data_DBD!$D:$D,$A158)</f>
        <v>33</v>
      </c>
      <c r="E158" s="32" cm="1">
        <f t="array" aca="1" ref="E158" ca="1">INDEX(Data_DBD!$E:$E,$A158)</f>
        <v>1</v>
      </c>
      <c r="F158" s="32" cm="1">
        <f t="array" aca="1" ref="F158" ca="1">INDEX(Data_DBD!$F:$F,$A158)</f>
        <v>3</v>
      </c>
      <c r="H158" s="32">
        <v>132</v>
      </c>
      <c r="I158" s="32">
        <v>10</v>
      </c>
      <c r="J158" s="32">
        <v>3</v>
      </c>
      <c r="K158" s="32">
        <v>33</v>
      </c>
      <c r="L158" s="58">
        <v>1</v>
      </c>
      <c r="M158" s="32">
        <v>3</v>
      </c>
    </row>
    <row r="159" spans="1:13" ht="15.75">
      <c r="A159" s="32">
        <f t="shared" ca="1" si="2"/>
        <v>134</v>
      </c>
      <c r="B159" s="32" cm="1">
        <f t="array" aca="1" ref="B159" ca="1">INDEX(Data_DBD!$B:$B,$A159)</f>
        <v>4</v>
      </c>
      <c r="C159" s="32" cm="1">
        <f t="array" aca="1" ref="C159" ca="1">INDEX(Data_DBD!$C:$C,$A159)</f>
        <v>2</v>
      </c>
      <c r="D159" s="32" cm="1">
        <f t="array" aca="1" ref="D159" ca="1">INDEX(Data_DBD!$D:$D,$A159)</f>
        <v>33</v>
      </c>
      <c r="E159" s="32" cm="1">
        <f t="array" aca="1" ref="E159" ca="1">INDEX(Data_DBD!$E:$E,$A159)</f>
        <v>1</v>
      </c>
      <c r="F159" s="32" cm="1">
        <f t="array" aca="1" ref="F159" ca="1">INDEX(Data_DBD!$F:$F,$A159)</f>
        <v>3</v>
      </c>
      <c r="H159" s="32">
        <v>44</v>
      </c>
      <c r="I159" s="32">
        <v>28</v>
      </c>
      <c r="J159" s="32">
        <v>5</v>
      </c>
      <c r="K159" s="32">
        <v>13</v>
      </c>
      <c r="L159" s="59">
        <v>1</v>
      </c>
      <c r="M159" s="32">
        <v>2</v>
      </c>
    </row>
    <row r="160" spans="1:13" ht="15.75">
      <c r="A160" s="32">
        <f t="shared" ca="1" si="2"/>
        <v>151</v>
      </c>
      <c r="B160" s="32" cm="1">
        <f t="array" aca="1" ref="B160" ca="1">INDEX(Data_DBD!$B:$B,$A160)</f>
        <v>24</v>
      </c>
      <c r="C160" s="32" cm="1">
        <f t="array" aca="1" ref="C160" ca="1">INDEX(Data_DBD!$C:$C,$A160)</f>
        <v>3</v>
      </c>
      <c r="D160" s="32" cm="1">
        <f t="array" aca="1" ref="D160" ca="1">INDEX(Data_DBD!$D:$D,$A160)</f>
        <v>21</v>
      </c>
      <c r="E160" s="32" cm="1">
        <f t="array" aca="1" ref="E160" ca="1">INDEX(Data_DBD!$E:$E,$A160)</f>
        <v>0</v>
      </c>
      <c r="F160" s="32" cm="1">
        <f t="array" aca="1" ref="F160" ca="1">INDEX(Data_DBD!$F:$F,$A160)</f>
        <v>3</v>
      </c>
      <c r="H160" s="32">
        <v>76</v>
      </c>
      <c r="I160" s="32">
        <v>70</v>
      </c>
      <c r="J160" s="32">
        <v>2</v>
      </c>
      <c r="K160" s="32">
        <v>10</v>
      </c>
      <c r="L160" s="60">
        <v>0</v>
      </c>
      <c r="M160" s="32">
        <v>2</v>
      </c>
    </row>
    <row r="161" spans="1:22" ht="15.75">
      <c r="A161" s="32">
        <f t="shared" ca="1" si="2"/>
        <v>16</v>
      </c>
      <c r="B161" s="32" cm="1">
        <f t="array" aca="1" ref="B161" ca="1">INDEX(Data_DBD!$B:$B,$A161)</f>
        <v>66</v>
      </c>
      <c r="C161" s="32" cm="1">
        <f t="array" aca="1" ref="C161" ca="1">INDEX(Data_DBD!$C:$C,$A161)</f>
        <v>5</v>
      </c>
      <c r="D161" s="32" cm="1">
        <f t="array" aca="1" ref="D161" ca="1">INDEX(Data_DBD!$D:$D,$A161)</f>
        <v>7</v>
      </c>
      <c r="E161" s="32" cm="1">
        <f t="array" aca="1" ref="E161" ca="1">INDEX(Data_DBD!$E:$E,$A161)</f>
        <v>1</v>
      </c>
      <c r="F161" s="32" cm="1">
        <f t="array" aca="1" ref="F161" ca="1">INDEX(Data_DBD!$F:$F,$A161)</f>
        <v>1</v>
      </c>
      <c r="H161" s="32">
        <v>116</v>
      </c>
      <c r="I161" s="32">
        <v>32</v>
      </c>
      <c r="J161" s="32">
        <v>4</v>
      </c>
      <c r="K161" s="32">
        <v>33</v>
      </c>
      <c r="L161" s="60">
        <v>1</v>
      </c>
      <c r="M161" s="32">
        <v>3</v>
      </c>
    </row>
    <row r="162" spans="1:22" ht="15.75">
      <c r="A162" s="32">
        <f t="shared" ca="1" si="2"/>
        <v>45</v>
      </c>
      <c r="B162" s="32" cm="1">
        <f t="array" aca="1" ref="B162" ca="1">INDEX(Data_DBD!$B:$B,$A162)</f>
        <v>75</v>
      </c>
      <c r="C162" s="32" cm="1">
        <f t="array" aca="1" ref="C162" ca="1">INDEX(Data_DBD!$C:$C,$A162)</f>
        <v>3</v>
      </c>
      <c r="D162" s="32" cm="1">
        <f t="array" aca="1" ref="D162" ca="1">INDEX(Data_DBD!$D:$D,$A162)</f>
        <v>13</v>
      </c>
      <c r="E162" s="32" cm="1">
        <f t="array" aca="1" ref="E162" ca="1">INDEX(Data_DBD!$E:$E,$A162)</f>
        <v>1</v>
      </c>
      <c r="F162" s="32" cm="1">
        <f t="array" aca="1" ref="F162" ca="1">INDEX(Data_DBD!$F:$F,$A162)</f>
        <v>2</v>
      </c>
      <c r="H162" s="32">
        <v>162</v>
      </c>
      <c r="I162" s="32">
        <v>22</v>
      </c>
      <c r="J162" s="32">
        <v>3</v>
      </c>
      <c r="K162" s="32">
        <v>3</v>
      </c>
      <c r="L162" s="59">
        <v>1</v>
      </c>
      <c r="M162" s="32">
        <v>1</v>
      </c>
    </row>
    <row r="163" spans="1:22" ht="15.75">
      <c r="A163" s="32">
        <f t="shared" ca="1" si="2"/>
        <v>38</v>
      </c>
      <c r="B163" s="32" cm="1">
        <f t="array" aca="1" ref="B163" ca="1">INDEX(Data_DBD!$B:$B,$A163)</f>
        <v>52</v>
      </c>
      <c r="C163" s="32" cm="1">
        <f t="array" aca="1" ref="C163" ca="1">INDEX(Data_DBD!$C:$C,$A163)</f>
        <v>3</v>
      </c>
      <c r="D163" s="32" cm="1">
        <f t="array" aca="1" ref="D163" ca="1">INDEX(Data_DBD!$D:$D,$A163)</f>
        <v>4</v>
      </c>
      <c r="E163" s="32" cm="1">
        <f t="array" aca="1" ref="E163" ca="1">INDEX(Data_DBD!$E:$E,$A163)</f>
        <v>1</v>
      </c>
      <c r="F163" s="32" cm="1">
        <f t="array" aca="1" ref="F163" ca="1">INDEX(Data_DBD!$F:$F,$A163)</f>
        <v>1</v>
      </c>
      <c r="H163" s="32">
        <v>40</v>
      </c>
      <c r="I163" s="32">
        <v>65</v>
      </c>
      <c r="J163" s="32">
        <v>3</v>
      </c>
      <c r="K163" s="32">
        <v>13</v>
      </c>
      <c r="L163" s="60">
        <v>1</v>
      </c>
      <c r="M163" s="32">
        <v>2</v>
      </c>
    </row>
    <row r="164" spans="1:22">
      <c r="A164" s="32">
        <f t="shared" ca="1" si="2"/>
        <v>64</v>
      </c>
      <c r="B164" s="32" cm="1">
        <f t="array" aca="1" ref="B164" ca="1">INDEX(Data_DBD!$B:$B,$A164)</f>
        <v>35</v>
      </c>
      <c r="C164" s="32" cm="1">
        <f t="array" aca="1" ref="C164" ca="1">INDEX(Data_DBD!$C:$C,$A164)</f>
        <v>1</v>
      </c>
      <c r="D164" s="32" cm="1">
        <f t="array" aca="1" ref="D164" ca="1">INDEX(Data_DBD!$D:$D,$A164)</f>
        <v>15</v>
      </c>
      <c r="E164" s="32" cm="1">
        <f t="array" aca="1" ref="E164" ca="1">INDEX(Data_DBD!$E:$E,$A164)</f>
        <v>0</v>
      </c>
      <c r="F164" s="32" cm="1">
        <f t="array" aca="1" ref="F164" ca="1">INDEX(Data_DBD!$F:$F,$A164)</f>
        <v>2</v>
      </c>
      <c r="H164" s="32">
        <v>77</v>
      </c>
      <c r="I164" s="32">
        <v>16</v>
      </c>
      <c r="J164" s="32">
        <v>4</v>
      </c>
      <c r="K164" s="32">
        <v>13</v>
      </c>
      <c r="L164" s="32">
        <v>1</v>
      </c>
      <c r="M164" s="32">
        <v>2</v>
      </c>
    </row>
    <row r="165" spans="1:22">
      <c r="I165">
        <f>AVERAGE(I2:I164)</f>
        <v>32.116564417177912</v>
      </c>
      <c r="J165">
        <f>AVERAGE(J2:J164)</f>
        <v>3.5276073619631902</v>
      </c>
      <c r="K165">
        <f>AVERAGE(K2:K164)</f>
        <v>17.190184049079754</v>
      </c>
      <c r="L165">
        <f>AVERAGE(L2:L164)</f>
        <v>0.57055214723926384</v>
      </c>
    </row>
    <row r="166" spans="1:22">
      <c r="B166">
        <v>93</v>
      </c>
    </row>
    <row r="168" spans="1:22">
      <c r="E168" s="38" t="s">
        <v>188</v>
      </c>
      <c r="J168" s="38" t="s">
        <v>189</v>
      </c>
      <c r="O168" s="38" t="s">
        <v>190</v>
      </c>
      <c r="T168" s="38" t="s">
        <v>191</v>
      </c>
    </row>
    <row r="169" spans="1:22">
      <c r="E169" s="32" t="s">
        <v>1</v>
      </c>
      <c r="F169" s="32">
        <f>AVERAGEIF($I$2:$I$164,"&lt;="&amp;$I$165)</f>
        <v>16.103092783505154</v>
      </c>
      <c r="G169" s="32">
        <f>AVERAGEIF($I$2:$I$164,"&gt;"&amp;$I$165)</f>
        <v>55.651515151515149</v>
      </c>
      <c r="J169" s="32" t="s">
        <v>192</v>
      </c>
      <c r="K169" s="32">
        <f>AVERAGEIF($J$2:$J$164,"&lt;="&amp;$J$165)</f>
        <v>2.4819277108433737</v>
      </c>
      <c r="L169" s="32">
        <f>AVERAGEIF($J$2:$J$164,"&gt;"&amp;$J$165)</f>
        <v>4.6124999999999998</v>
      </c>
      <c r="O169" s="32" t="s">
        <v>193</v>
      </c>
      <c r="P169" s="32">
        <f>AVERAGEIF($K$2:$K$164,"&lt;="&amp;$K$165)</f>
        <v>11.31</v>
      </c>
      <c r="Q169" s="32">
        <f>AVERAGEIF($K$2:$K$164,"&gt;"&amp;$K$165)</f>
        <v>26.523809523809526</v>
      </c>
      <c r="T169" s="32" t="s">
        <v>194</v>
      </c>
      <c r="U169" s="32">
        <f>AVERAGEIF($L$2:$L$164,"&lt;="&amp;$L$165)</f>
        <v>0</v>
      </c>
      <c r="V169" s="32">
        <f>AVERAGEIF($L$2:$L$164,"&gt;"&amp;$L$165)</f>
        <v>1</v>
      </c>
    </row>
    <row r="170" spans="1:22">
      <c r="E170" s="32" t="str" cm="1">
        <f t="array" ref="E170:E332">IF($I$2:$I$164&lt;$F$169,"kiri",IF($I$2:$I$164&lt;$G$169,"tengah","kanan"))</f>
        <v>tengah</v>
      </c>
      <c r="F170" s="55" t="s">
        <v>269</v>
      </c>
      <c r="G170" s="32"/>
      <c r="J170" s="32" t="str" cm="1">
        <f t="array" ref="J170:J332">IF($J$2:$J$164&lt;$K$169,"kiri",IF($J$2:$J$164&lt;$L$169,"tengah","kanan"))</f>
        <v>tengah</v>
      </c>
      <c r="K170" s="55" t="s">
        <v>271</v>
      </c>
      <c r="L170" s="32"/>
      <c r="O170" s="32" t="str" cm="1">
        <f t="array" ref="O170:O332">IF($K$2:$K$164&lt;$P$169,"kiri",IF($K$2:$K$164&lt;$Q$169,"tengah","kanan"))</f>
        <v>tengah</v>
      </c>
      <c r="P170" s="55" t="s">
        <v>279</v>
      </c>
      <c r="Q170" s="32"/>
      <c r="T170" s="32" t="str" cm="1">
        <f t="array" ref="T170:T332">IF($L$2:$L$164&lt;$U$169,"kiri",IF($L$2:$L$164&lt;$V$169,"tengah","kanan"))</f>
        <v>tengah</v>
      </c>
      <c r="U170" s="32" t="s">
        <v>195</v>
      </c>
      <c r="V170" s="32"/>
    </row>
    <row r="171" spans="1:22">
      <c r="E171" s="32" t="str">
        <v>kiri</v>
      </c>
      <c r="F171" s="32">
        <f>COUNTIFS($E$170:$E$332,"Kanan",$M$2:$M$164,"1")</f>
        <v>2</v>
      </c>
      <c r="G171" s="32">
        <f>F171/31</f>
        <v>6.4516129032258063E-2</v>
      </c>
      <c r="J171" s="32" t="str">
        <v>kiri</v>
      </c>
      <c r="K171" s="32" cm="1">
        <f t="array" ref="K171">SUMPRODUCT((J170:J332="Kanan")*(M2:M164=1))</f>
        <v>3</v>
      </c>
      <c r="L171" s="32">
        <f>K171/36</f>
        <v>8.3333333333333329E-2</v>
      </c>
      <c r="O171" s="32" t="str">
        <v>kanan</v>
      </c>
      <c r="P171" s="32">
        <f>COUNTIFS($O$170:$O$332,"Kanan",$M$2:$M$164,"1")</f>
        <v>0</v>
      </c>
      <c r="Q171" s="32">
        <f>P171/32</f>
        <v>0</v>
      </c>
      <c r="T171" s="32" t="str">
        <v>tengah</v>
      </c>
      <c r="U171" s="32">
        <f>COUNTIFS($T$170:$T$332,"Kanan",$M$2:$M$164,"1")</f>
        <v>12</v>
      </c>
      <c r="V171" s="32">
        <f>U171/83</f>
        <v>0.14457831325301204</v>
      </c>
    </row>
    <row r="172" spans="1:22">
      <c r="E172" s="32" t="str">
        <v>kanan</v>
      </c>
      <c r="F172" s="32">
        <f>COUNTIFS($E$170:$E$332,"Kanan",$M$2:$M$164,"2")</f>
        <v>16</v>
      </c>
      <c r="G172" s="32">
        <f t="shared" ref="G172:G173" si="3">F172/31</f>
        <v>0.5161290322580645</v>
      </c>
      <c r="J172" s="32" t="str">
        <v>kanan</v>
      </c>
      <c r="K172" s="32">
        <f>COUNTIFS($J$170:$J$332,"Kanan",$M$2:$M$164,"2")</f>
        <v>21</v>
      </c>
      <c r="L172" s="32">
        <f t="shared" ref="L172:L173" si="4">K172/36</f>
        <v>0.58333333333333337</v>
      </c>
      <c r="O172" s="32" t="str">
        <v>tengah</v>
      </c>
      <c r="P172" s="32">
        <f>COUNTIFS($O$170:$O$332,"Kanan",$M$2:$M$164,"2")</f>
        <v>0</v>
      </c>
      <c r="Q172" s="32">
        <f t="shared" ref="Q172:Q173" si="5">P172/32</f>
        <v>0</v>
      </c>
      <c r="T172" s="32" t="str">
        <v>kanan</v>
      </c>
      <c r="U172" s="32">
        <f>COUNTIFS($T$170:$T$332,"Kanan",$M$2:$M$164,"2")</f>
        <v>45</v>
      </c>
      <c r="V172" s="32">
        <f t="shared" ref="V172:V173" si="6">U172/83</f>
        <v>0.54216867469879515</v>
      </c>
    </row>
    <row r="173" spans="1:22">
      <c r="E173" s="32" t="str">
        <v>tengah</v>
      </c>
      <c r="F173" s="32" cm="1">
        <f t="array" ref="F173">SUMPRODUCT((E170:E332="KANAN")*(M2:M164=3))</f>
        <v>13</v>
      </c>
      <c r="G173" s="32">
        <f t="shared" si="3"/>
        <v>0.41935483870967744</v>
      </c>
      <c r="J173" s="32" t="str">
        <v>tengah</v>
      </c>
      <c r="K173" s="32">
        <f>COUNTIFS($J$170:$J$332,"Kanan",$M$2:$M$164,"3")</f>
        <v>12</v>
      </c>
      <c r="L173" s="32">
        <f t="shared" si="4"/>
        <v>0.33333333333333331</v>
      </c>
      <c r="O173" s="32" t="str">
        <v>tengah</v>
      </c>
      <c r="P173" s="32">
        <f>COUNTIFS($O$170:$O$332,"Kanan",$M$2:$M$164,"3")</f>
        <v>32</v>
      </c>
      <c r="Q173" s="32">
        <f t="shared" si="5"/>
        <v>1</v>
      </c>
      <c r="T173" s="32" t="str">
        <v>tengah</v>
      </c>
      <c r="U173" s="32">
        <f>COUNTIFS($T$170:$T$332,"Kanan",$M$2:$M$164,"3")</f>
        <v>36</v>
      </c>
      <c r="V173" s="32">
        <f t="shared" si="6"/>
        <v>0.43373493975903615</v>
      </c>
    </row>
    <row r="174" spans="1:22">
      <c r="E174" s="32" t="str">
        <v>kiri</v>
      </c>
      <c r="F174" s="32" t="s">
        <v>196</v>
      </c>
      <c r="G174" s="32">
        <f>-(IFERROR(G171*LOG(G171,2),0)+IFERROR(G172*LOG(G172,2),0)+IFERROR(G173*LOG(G173,2),0))</f>
        <v>1.2733667511664173</v>
      </c>
      <c r="J174" s="32" t="str">
        <v>tengah</v>
      </c>
      <c r="K174" s="32" t="s">
        <v>196</v>
      </c>
      <c r="L174" s="32">
        <f>-(IFERROR(L171*LOG(L171,2),0)+IFERROR(L172*LOG(L172,2),0)+IFERROR(L173*LOG(L173,2),0))</f>
        <v>1.2806721295208869</v>
      </c>
      <c r="O174" s="32" t="str">
        <v>kiri</v>
      </c>
      <c r="P174" s="32" t="s">
        <v>196</v>
      </c>
      <c r="Q174" s="32">
        <f>-(IFERROR(Q171*LOG(Q171,2),0)+IFERROR(Q172*LOG(Q172,2),0)+IFERROR(Q173*LOG(Q173,2),0))</f>
        <v>0</v>
      </c>
      <c r="T174" s="32" t="str">
        <v>tengah</v>
      </c>
      <c r="U174" s="32" t="s">
        <v>196</v>
      </c>
      <c r="V174" s="32">
        <f>-(IFERROR(V171*LOG(V171,2),0)+IFERROR(V172*LOG(V172,2),0)+IFERROR(V173*LOG(V173,2),0))</f>
        <v>1.4049208159018254</v>
      </c>
    </row>
    <row r="175" spans="1:22">
      <c r="E175" s="32" t="str">
        <v>tengah</v>
      </c>
      <c r="F175" s="32"/>
      <c r="G175" s="32">
        <f>SUM(F171:F173)/163</f>
        <v>0.19018404907975461</v>
      </c>
      <c r="J175" s="32" t="str">
        <v>tengah</v>
      </c>
      <c r="K175" s="32"/>
      <c r="L175" s="32">
        <f>SUM(K171:K173)/163</f>
        <v>0.22085889570552147</v>
      </c>
      <c r="O175" s="32" t="str">
        <v>tengah</v>
      </c>
      <c r="P175" s="32"/>
      <c r="Q175" s="32">
        <f>SUM(P171:P173)/163</f>
        <v>0.19631901840490798</v>
      </c>
      <c r="T175" s="32" t="str">
        <v>tengah</v>
      </c>
      <c r="U175" s="32"/>
      <c r="V175" s="32">
        <f>SUM(U171:U173)/163</f>
        <v>0.57055214723926384</v>
      </c>
    </row>
    <row r="176" spans="1:22">
      <c r="E176" s="32" t="str">
        <v>kanan</v>
      </c>
      <c r="F176" s="32"/>
      <c r="G176" s="39">
        <f>G174*G175</f>
        <v>0.24217404470036158</v>
      </c>
      <c r="J176" s="32" t="str">
        <v>kanan</v>
      </c>
      <c r="K176" s="32"/>
      <c r="L176" s="39">
        <f>L174*L175</f>
        <v>0.28284783228682164</v>
      </c>
      <c r="O176" s="32" t="str">
        <v>kanan</v>
      </c>
      <c r="P176" s="32"/>
      <c r="Q176" s="39">
        <f>Q174*Q175</f>
        <v>0</v>
      </c>
      <c r="T176" s="32" t="str">
        <v>kanan</v>
      </c>
      <c r="U176" s="32"/>
      <c r="V176" s="39">
        <f>V174*V175</f>
        <v>0.80158058821392497</v>
      </c>
    </row>
    <row r="177" spans="5:22">
      <c r="E177" s="32" t="str">
        <v>tengah</v>
      </c>
      <c r="F177" s="32"/>
      <c r="G177" s="32"/>
      <c r="J177" s="32" t="str">
        <v>tengah</v>
      </c>
      <c r="K177" s="32"/>
      <c r="L177" s="32"/>
      <c r="O177" s="32" t="str">
        <v>tengah</v>
      </c>
      <c r="P177" s="32"/>
      <c r="Q177" s="32"/>
      <c r="T177" s="32" t="str">
        <v>kanan</v>
      </c>
      <c r="U177" s="32"/>
      <c r="V177" s="32"/>
    </row>
    <row r="178" spans="5:22">
      <c r="E178" s="32" t="str">
        <v>kanan</v>
      </c>
      <c r="F178" s="32"/>
      <c r="G178" s="32"/>
      <c r="J178" s="32" t="str">
        <v>tengah</v>
      </c>
      <c r="K178" s="32"/>
      <c r="L178" s="32"/>
      <c r="O178" s="32" t="str">
        <v>kanan</v>
      </c>
      <c r="P178" s="32"/>
      <c r="Q178" s="32"/>
      <c r="T178" s="32" t="str">
        <v>kanan</v>
      </c>
      <c r="U178" s="32"/>
      <c r="V178" s="32"/>
    </row>
    <row r="179" spans="5:22">
      <c r="E179" s="32" t="str">
        <v>tengah</v>
      </c>
      <c r="F179" s="55" t="s">
        <v>270</v>
      </c>
      <c r="G179" s="32"/>
      <c r="J179" s="32" t="str">
        <v>kiri</v>
      </c>
      <c r="K179" s="55" t="s">
        <v>272</v>
      </c>
      <c r="L179" s="32"/>
      <c r="O179" s="32" t="str">
        <v>tengah</v>
      </c>
      <c r="P179" s="55" t="s">
        <v>277</v>
      </c>
      <c r="Q179" s="32"/>
      <c r="T179" s="32" t="str">
        <v>tengah</v>
      </c>
      <c r="U179" s="32" t="s">
        <v>197</v>
      </c>
      <c r="V179" s="32"/>
    </row>
    <row r="180" spans="5:22">
      <c r="E180" s="32" t="str">
        <v>tengah</v>
      </c>
      <c r="F180" s="32" cm="1">
        <f t="array" ref="F180">SUMPRODUCT((E170:E332="kiri")*(M2:M164=1))</f>
        <v>6</v>
      </c>
      <c r="G180" s="32">
        <f>F180/47</f>
        <v>0.1276595744680851</v>
      </c>
      <c r="J180" s="32" t="str">
        <v>tengah</v>
      </c>
      <c r="K180" s="32">
        <f>COUNTIFS($J$170:$J$332,"Kiri",$M$2:$M$164,"1")</f>
        <v>0</v>
      </c>
      <c r="L180" s="32">
        <f>K180/37</f>
        <v>0</v>
      </c>
      <c r="O180" s="32" t="str">
        <v>tengah</v>
      </c>
      <c r="P180" s="32">
        <f>COUNTIFS($O$170:$O$332,"Kiri",$M$2:$M$164,"1")</f>
        <v>18</v>
      </c>
      <c r="Q180" s="32">
        <f>P180/32</f>
        <v>0.5625</v>
      </c>
      <c r="T180" s="32" t="str">
        <v>tengah</v>
      </c>
      <c r="U180" s="32">
        <f>COUNTIFS($T$170:$T$332,"Kiri",$M$2:$M$164,"1")</f>
        <v>0</v>
      </c>
      <c r="V180" s="32">
        <f>U180/57</f>
        <v>0</v>
      </c>
    </row>
    <row r="181" spans="5:22">
      <c r="E181" s="32" t="str">
        <v>tengah</v>
      </c>
      <c r="F181" s="32" cm="1">
        <f t="array" ref="F181">SUMPRODUCT((E170:E332="kiri")*(M2:M164=2))</f>
        <v>22</v>
      </c>
      <c r="G181" s="32">
        <f t="shared" ref="G181:G182" si="7">F181/47</f>
        <v>0.46808510638297873</v>
      </c>
      <c r="J181" s="32" t="str">
        <v>tengah</v>
      </c>
      <c r="K181" s="32">
        <f>COUNTIFS($J$170:$J$332,"Kiri",$M$2:$M$164,"2")</f>
        <v>18</v>
      </c>
      <c r="L181" s="32">
        <f t="shared" ref="L181:L182" si="8">K181/37</f>
        <v>0.48648648648648651</v>
      </c>
      <c r="O181" s="32" t="str">
        <v>kiri</v>
      </c>
      <c r="P181" s="32">
        <f>COUNTIFS($O$170:$O$332,"Kiri",$M$2:$M$164,"2")</f>
        <v>14</v>
      </c>
      <c r="Q181" s="32">
        <f t="shared" ref="Q181:Q182" si="9">P181/32</f>
        <v>0.4375</v>
      </c>
      <c r="T181" s="32" t="str">
        <v>kanan</v>
      </c>
      <c r="U181" s="32">
        <f>COUNTIFS($T$170:$T$332,"Kiri",$M$2:$M$164,"2")</f>
        <v>0</v>
      </c>
      <c r="V181" s="32">
        <f>U181/57</f>
        <v>0</v>
      </c>
    </row>
    <row r="182" spans="5:22">
      <c r="E182" s="32" t="str">
        <v>tengah</v>
      </c>
      <c r="F182" s="32" cm="1">
        <f t="array" ref="F182">SUMPRODUCT((E170:E332="kiri")*(M2:M164=3))</f>
        <v>19</v>
      </c>
      <c r="G182" s="32">
        <f t="shared" si="7"/>
        <v>0.40425531914893614</v>
      </c>
      <c r="J182" s="32" t="str">
        <v>kanan</v>
      </c>
      <c r="K182" s="32">
        <f>COUNTIFS($J$170:$J$332,"Kiri",$M$2:$M$164,"3")</f>
        <v>19</v>
      </c>
      <c r="L182" s="32">
        <f t="shared" si="8"/>
        <v>0.51351351351351349</v>
      </c>
      <c r="O182" s="32" t="str">
        <v>tengah</v>
      </c>
      <c r="P182" s="32">
        <f>COUNTIFS($O$170:$O$332,"Kiri",$M$2:$M$164,"3")</f>
        <v>0</v>
      </c>
      <c r="Q182" s="32">
        <f t="shared" si="9"/>
        <v>0</v>
      </c>
      <c r="T182" s="32" t="str">
        <v>kanan</v>
      </c>
      <c r="U182" s="32">
        <f>COUNTIFS($T$170:$T$332,"Kiri",$M$2:$M$164,"3")</f>
        <v>0</v>
      </c>
      <c r="V182" s="32">
        <f>U182/57</f>
        <v>0</v>
      </c>
    </row>
    <row r="183" spans="5:22">
      <c r="E183" s="32" t="str">
        <v>kiri</v>
      </c>
      <c r="F183" s="32" t="s">
        <v>196</v>
      </c>
      <c r="G183" s="32">
        <f>-(IFERROR(G180*LOG(G180,2),0)+IFERROR(G181*LOG(G181,2),0)+IFERROR(G182*LOG(G182,2),0))</f>
        <v>1.4199528225334754</v>
      </c>
      <c r="J183" s="32" t="str">
        <v>tengah</v>
      </c>
      <c r="K183" s="32" t="s">
        <v>196</v>
      </c>
      <c r="L183" s="32">
        <f>-(IFERROR(L180*LOG(L180,2),0)+IFERROR(L181*LOG(L181,2),0)+IFERROR(L182*LOG(L182,2),0))</f>
        <v>0.99947302018598361</v>
      </c>
      <c r="O183" s="32" t="str">
        <v>tengah</v>
      </c>
      <c r="P183" s="32" t="s">
        <v>196</v>
      </c>
      <c r="Q183" s="32">
        <f>-(IFERROR(Q180*LOG(Q180,2),0)+IFERROR(Q181*LOG(Q181,2),0)+IFERROR(Q182*LOG(Q182,2),0))</f>
        <v>0.98869940828849745</v>
      </c>
      <c r="T183" s="32" t="str">
        <v>kanan</v>
      </c>
      <c r="U183" s="32" t="s">
        <v>196</v>
      </c>
      <c r="V183" s="32">
        <f>-(IFERROR(V180*LOG(V180,2),0)+IFERROR(V181*LOG(V181,2),0)+IFERROR(V182*LOG(V182,2),0))</f>
        <v>0</v>
      </c>
    </row>
    <row r="184" spans="5:22">
      <c r="E184" s="32" t="str">
        <v>kanan</v>
      </c>
      <c r="F184" s="32"/>
      <c r="G184" s="32">
        <f>SUM(F180:F182)/163</f>
        <v>0.28834355828220859</v>
      </c>
      <c r="J184" s="32" t="str">
        <v>tengah</v>
      </c>
      <c r="K184" s="32"/>
      <c r="L184" s="32">
        <f>SUM(K180:K182)/163</f>
        <v>0.22699386503067484</v>
      </c>
      <c r="O184" s="32" t="str">
        <v>tengah</v>
      </c>
      <c r="P184" s="32"/>
      <c r="Q184" s="32">
        <f>SUM(P180:P182)/163</f>
        <v>0.19631901840490798</v>
      </c>
      <c r="T184" s="32" t="str">
        <v>kanan</v>
      </c>
      <c r="U184" s="32"/>
      <c r="V184" s="32">
        <f>SUM(U180:U182)/163</f>
        <v>0</v>
      </c>
    </row>
    <row r="185" spans="5:22">
      <c r="E185" s="32" t="str">
        <v>kiri</v>
      </c>
      <c r="F185" s="32"/>
      <c r="G185" s="39">
        <f>G183*G184</f>
        <v>0.40943424944216777</v>
      </c>
      <c r="J185" s="32" t="str">
        <v>kiri</v>
      </c>
      <c r="K185" s="32"/>
      <c r="L185" s="39">
        <f>L183*L184</f>
        <v>0.2268742438458981</v>
      </c>
      <c r="O185" s="32" t="str">
        <v>tengah</v>
      </c>
      <c r="P185" s="32"/>
      <c r="Q185" s="39">
        <f>Q183*Q184</f>
        <v>0.19410049733271115</v>
      </c>
      <c r="T185" s="32" t="str">
        <v>kanan</v>
      </c>
      <c r="U185" s="32"/>
      <c r="V185" s="39">
        <f>V183*V184</f>
        <v>0</v>
      </c>
    </row>
    <row r="186" spans="5:22">
      <c r="E186" s="32" t="str">
        <v>kiri</v>
      </c>
      <c r="F186" s="32"/>
      <c r="G186" s="32"/>
      <c r="J186" s="32" t="str">
        <v>tengah</v>
      </c>
      <c r="K186" s="32"/>
      <c r="L186" s="32"/>
      <c r="O186" s="32" t="str">
        <v>kanan</v>
      </c>
      <c r="P186" s="32"/>
      <c r="Q186" s="32"/>
      <c r="T186" s="32" t="str">
        <v>tengah</v>
      </c>
      <c r="U186" s="32"/>
      <c r="V186" s="32"/>
    </row>
    <row r="187" spans="5:22">
      <c r="E187" s="32" t="str">
        <v>kanan</v>
      </c>
      <c r="F187" s="32"/>
      <c r="G187" s="32"/>
      <c r="J187" s="32" t="str">
        <v>tengah</v>
      </c>
      <c r="K187" s="32"/>
      <c r="L187" s="32"/>
      <c r="O187" s="32" t="str">
        <v>kanan</v>
      </c>
      <c r="P187" s="32"/>
      <c r="Q187" s="32"/>
      <c r="T187" s="32" t="str">
        <v>kanan</v>
      </c>
      <c r="U187" s="32"/>
      <c r="V187" s="32"/>
    </row>
    <row r="188" spans="5:22">
      <c r="E188" s="32" t="str">
        <v>kanan</v>
      </c>
      <c r="F188" s="32" t="s">
        <v>198</v>
      </c>
      <c r="G188" s="32"/>
      <c r="J188" s="32" t="str">
        <v>kanan</v>
      </c>
      <c r="K188" s="32" t="s">
        <v>198</v>
      </c>
      <c r="L188" s="32"/>
      <c r="O188" s="32" t="str">
        <v>tengah</v>
      </c>
      <c r="P188" s="32" t="s">
        <v>198</v>
      </c>
      <c r="Q188" s="32"/>
      <c r="T188" s="32" t="str">
        <v>tengah</v>
      </c>
      <c r="U188" s="32" t="s">
        <v>198</v>
      </c>
      <c r="V188" s="32"/>
    </row>
    <row r="189" spans="5:22">
      <c r="E189" s="32" t="str">
        <v>tengah</v>
      </c>
      <c r="F189" s="32" cm="1">
        <f t="array" ref="F189">SUMPRODUCT((E170:E332="tengah")*(M2:M164=1))</f>
        <v>10</v>
      </c>
      <c r="G189" s="32">
        <f>F189/85</f>
        <v>0.11764705882352941</v>
      </c>
      <c r="J189" s="32" t="str">
        <v>kiri</v>
      </c>
      <c r="K189" s="32">
        <f>COUNTIFS($J$170:$J$332,"Tengah",$M$2:$M$164,"1")</f>
        <v>15</v>
      </c>
      <c r="L189" s="32">
        <f>K189/90</f>
        <v>0.16666666666666666</v>
      </c>
      <c r="O189" s="32" t="str">
        <v>tengah</v>
      </c>
      <c r="P189" s="32">
        <f>COUNTIFS($O$170:$O$332,"Tengah",$M$2:$M$164,"1")</f>
        <v>0</v>
      </c>
      <c r="Q189" s="32">
        <f>P189/99</f>
        <v>0</v>
      </c>
      <c r="T189" s="32" t="str">
        <v>kanan</v>
      </c>
      <c r="U189" s="32">
        <f>COUNTIFS($T$170:$T$332,"Tengah",$M$2:$M$164,"1")</f>
        <v>6</v>
      </c>
      <c r="V189" s="32">
        <f>U189/82</f>
        <v>7.3170731707317069E-2</v>
      </c>
    </row>
    <row r="190" spans="5:22">
      <c r="E190" s="32" t="str">
        <v>tengah</v>
      </c>
      <c r="F190" s="32" cm="1">
        <f t="array" ref="F190">SUMPRODUCT((E170:E332="tengah")*(M2:M164=2))</f>
        <v>44</v>
      </c>
      <c r="G190" s="32">
        <f t="shared" ref="G190:G191" si="10">F190/85</f>
        <v>0.51764705882352946</v>
      </c>
      <c r="J190" s="32" t="str">
        <v>tengah</v>
      </c>
      <c r="K190" s="32">
        <f>COUNTIFS($J$170:$J$332,"Tengah",$M$2:$M$164,"2")</f>
        <v>43</v>
      </c>
      <c r="L190" s="32">
        <f t="shared" ref="L190:L191" si="11">K190/90</f>
        <v>0.4777777777777778</v>
      </c>
      <c r="O190" s="32" t="str">
        <v>tengah</v>
      </c>
      <c r="P190" s="32">
        <f>COUNTIFS($O$170:$O$332,"Tengah",$M$2:$M$164,"2")</f>
        <v>68</v>
      </c>
      <c r="Q190" s="32">
        <f t="shared" ref="Q190:Q191" si="12">P190/99</f>
        <v>0.68686868686868685</v>
      </c>
      <c r="T190" s="32" t="str">
        <v>tengah</v>
      </c>
      <c r="U190" s="32">
        <f>COUNTIFS($T$170:$T$332,"Tengah",$M$2:$M$164,"2")</f>
        <v>37</v>
      </c>
      <c r="V190" s="32">
        <f t="shared" ref="V190:V191" si="13">U190/82</f>
        <v>0.45121951219512196</v>
      </c>
    </row>
    <row r="191" spans="5:22">
      <c r="E191" s="32" t="str">
        <v>tengah</v>
      </c>
      <c r="F191" s="32" cm="1">
        <f t="array" ref="F191">SUMPRODUCT((E170:E332="tengah")*(M2:M164=3))</f>
        <v>31</v>
      </c>
      <c r="G191" s="32">
        <f t="shared" si="10"/>
        <v>0.36470588235294116</v>
      </c>
      <c r="J191" s="32" t="str">
        <v>tengah</v>
      </c>
      <c r="K191" s="32">
        <f>COUNTIFS($J$170:$J$332,"Tengah",$M$2:$M$164,"3")</f>
        <v>32</v>
      </c>
      <c r="L191" s="32">
        <f t="shared" si="11"/>
        <v>0.35555555555555557</v>
      </c>
      <c r="O191" s="32" t="str">
        <v>tengah</v>
      </c>
      <c r="P191" s="32">
        <f>COUNTIFS($O$170:$O$332,"Tengah",$M$2:$M$164,"3")</f>
        <v>31</v>
      </c>
      <c r="Q191" s="32">
        <f t="shared" si="12"/>
        <v>0.31313131313131315</v>
      </c>
      <c r="T191" s="32" t="str">
        <v>tengah</v>
      </c>
      <c r="U191" s="32">
        <f>COUNTIFS($T$170:$T$332,"Tengah",$M$2:$M$164,"3")</f>
        <v>27</v>
      </c>
      <c r="V191" s="32">
        <f t="shared" si="13"/>
        <v>0.32926829268292684</v>
      </c>
    </row>
    <row r="192" spans="5:22">
      <c r="E192" s="32" t="str">
        <v>tengah</v>
      </c>
      <c r="F192" s="32" t="s">
        <v>196</v>
      </c>
      <c r="G192" s="32">
        <f>-(IFERROR(G189*LOG(G189,2),0)+IFERROR(G190*LOG(G190,2),0)+IFERROR(G191*LOG(G191,2),0))</f>
        <v>1.385692609185845</v>
      </c>
      <c r="J192" s="32" t="str">
        <v>kiri</v>
      </c>
      <c r="K192" s="32" t="s">
        <v>196</v>
      </c>
      <c r="L192" s="32">
        <f>-(IFERROR(L189*LOG(L189,2),0)+IFERROR(L190*LOG(L190,2),0)+IFERROR(L191*LOG(L191,2),0))</f>
        <v>1.4703781698150307</v>
      </c>
      <c r="O192" s="32" t="str">
        <v>tengah</v>
      </c>
      <c r="P192" s="32" t="s">
        <v>196</v>
      </c>
      <c r="Q192" s="32">
        <f>-(IFERROR(Q189*LOG(Q189,2),0)+IFERROR(Q190*LOG(Q190,2),0)+IFERROR(Q191*LOG(Q191,2),0))</f>
        <v>0.89675501576631456</v>
      </c>
      <c r="T192" s="32" t="str">
        <v>kanan</v>
      </c>
      <c r="U192" s="32" t="s">
        <v>196</v>
      </c>
      <c r="V192" s="32">
        <f>-(IFERROR(V189*LOG(V189,2),0)+IFERROR(V190*LOG(V190,2),0)+IFERROR(V191*LOG(V191,2),0))</f>
        <v>1.3217942467348065</v>
      </c>
    </row>
    <row r="193" spans="5:22">
      <c r="E193" s="32" t="str">
        <v>kanan</v>
      </c>
      <c r="F193" s="32"/>
      <c r="G193" s="32">
        <f>SUM(F189:F191)/163</f>
        <v>0.5214723926380368</v>
      </c>
      <c r="J193" s="32" t="str">
        <v>tengah</v>
      </c>
      <c r="K193" s="32"/>
      <c r="L193" s="32">
        <f>SUM(K189:K191)/163</f>
        <v>0.55214723926380371</v>
      </c>
      <c r="O193" s="32" t="str">
        <v>kanan</v>
      </c>
      <c r="P193" s="32"/>
      <c r="Q193" s="32">
        <f>SUM(P189:P191)/163</f>
        <v>0.6073619631901841</v>
      </c>
      <c r="T193" s="32" t="str">
        <v>kanan</v>
      </c>
      <c r="U193" s="32"/>
      <c r="V193" s="32">
        <f>SUM(U189:U191)/163</f>
        <v>0.42944785276073622</v>
      </c>
    </row>
    <row r="194" spans="5:22">
      <c r="E194" s="32" t="str">
        <v>tengah</v>
      </c>
      <c r="F194" s="32"/>
      <c r="G194" s="39">
        <f>G192*G193</f>
        <v>0.72260044037298665</v>
      </c>
      <c r="J194" s="32" t="str">
        <v>tengah</v>
      </c>
      <c r="K194" s="32"/>
      <c r="L194" s="39">
        <f>L192*L193</f>
        <v>0.81186524713713359</v>
      </c>
      <c r="O194" s="32" t="str">
        <v>tengah</v>
      </c>
      <c r="P194" s="32"/>
      <c r="Q194" s="39">
        <f>Q192*Q193</f>
        <v>0.54465488687647334</v>
      </c>
      <c r="T194" s="32" t="str">
        <v>kanan</v>
      </c>
      <c r="U194" s="32"/>
      <c r="V194" s="39">
        <f>V192*V193</f>
        <v>0.56764170105175737</v>
      </c>
    </row>
    <row r="195" spans="5:22">
      <c r="E195" s="32" t="str">
        <v>tengah</v>
      </c>
      <c r="F195" s="32"/>
      <c r="G195" s="32"/>
      <c r="J195" s="32" t="str">
        <v>tengah</v>
      </c>
      <c r="K195" s="32"/>
      <c r="L195" s="32"/>
      <c r="O195" s="32" t="str">
        <v>tengah</v>
      </c>
      <c r="P195" s="32"/>
      <c r="Q195" s="32"/>
      <c r="T195" s="32" t="str">
        <v>tengah</v>
      </c>
      <c r="U195" s="32"/>
      <c r="V195" s="32"/>
    </row>
    <row r="196" spans="5:22">
      <c r="E196" s="32" t="str">
        <v>kanan</v>
      </c>
      <c r="F196" s="32" t="s">
        <v>199</v>
      </c>
      <c r="G196" s="40" t="s">
        <v>196</v>
      </c>
      <c r="J196" s="32" t="str">
        <v>kiri</v>
      </c>
      <c r="K196" s="32" t="s">
        <v>199</v>
      </c>
      <c r="L196" s="40" t="s">
        <v>196</v>
      </c>
      <c r="O196" s="32" t="str">
        <v>tengah</v>
      </c>
      <c r="P196" s="32" t="s">
        <v>199</v>
      </c>
      <c r="Q196" s="40" t="s">
        <v>196</v>
      </c>
      <c r="T196" s="32" t="str">
        <v>tengah</v>
      </c>
      <c r="U196" s="32" t="s">
        <v>199</v>
      </c>
      <c r="V196" s="40" t="s">
        <v>196</v>
      </c>
    </row>
    <row r="197" spans="5:22">
      <c r="E197" s="32" t="str">
        <v>tengah</v>
      </c>
      <c r="F197" s="41">
        <f>P5-(G176+G185+G194)</f>
        <v>5.5221829969160918E-3</v>
      </c>
      <c r="G197" s="39">
        <f>(G176+G185+G194)</f>
        <v>1.3742087345155161</v>
      </c>
      <c r="J197" s="32" t="str">
        <v>kanan</v>
      </c>
      <c r="K197" s="41">
        <f>P5-(L176+L185+L194)</f>
        <v>5.8143594242578978E-2</v>
      </c>
      <c r="L197" s="39">
        <f>(L176+L185+L194)</f>
        <v>1.3215873232698532</v>
      </c>
      <c r="O197" s="32" t="str">
        <v>tengah</v>
      </c>
      <c r="P197" s="41">
        <f>P5-(Q176+Q185+Q194)</f>
        <v>0.64097553330324764</v>
      </c>
      <c r="Q197" s="39">
        <f>(Q176+Q185+Q194)</f>
        <v>0.73875538420918452</v>
      </c>
      <c r="T197" s="32" t="str">
        <v>kanan</v>
      </c>
      <c r="U197" s="41">
        <f>P5-(V176+V185+V194)</f>
        <v>1.0508628246749918E-2</v>
      </c>
      <c r="V197" s="39">
        <f>(V176+V185+V194)</f>
        <v>1.3692222892656822</v>
      </c>
    </row>
    <row r="198" spans="5:22">
      <c r="E198" s="32" t="str">
        <v>kanan</v>
      </c>
      <c r="F198" s="32"/>
      <c r="G198" s="32"/>
      <c r="J198" s="32" t="str">
        <v>tengah</v>
      </c>
      <c r="K198" s="32"/>
      <c r="L198" s="32"/>
      <c r="O198" s="32" t="str">
        <v>tengah</v>
      </c>
      <c r="P198" s="32"/>
      <c r="Q198" s="32"/>
      <c r="T198" s="32" t="str">
        <v>kanan</v>
      </c>
      <c r="U198" s="32"/>
      <c r="V198" s="32"/>
    </row>
    <row r="199" spans="5:22">
      <c r="E199" s="32" t="str">
        <v>tengah</v>
      </c>
      <c r="F199" s="32"/>
      <c r="G199" s="32"/>
      <c r="J199" s="32" t="str">
        <v>kiri</v>
      </c>
      <c r="K199" s="32"/>
      <c r="L199" s="32"/>
      <c r="O199" s="32" t="str">
        <v>tengah</v>
      </c>
      <c r="P199" s="32"/>
      <c r="Q199" s="32"/>
      <c r="T199" s="32" t="str">
        <v>kanan</v>
      </c>
      <c r="U199" s="32"/>
      <c r="V199" s="32"/>
    </row>
    <row r="200" spans="5:22">
      <c r="E200" s="32" t="str">
        <v>tengah</v>
      </c>
      <c r="F200" s="32"/>
      <c r="G200" s="32"/>
      <c r="J200" s="32" t="str">
        <v>kiri</v>
      </c>
      <c r="K200" s="32"/>
      <c r="L200" s="32"/>
      <c r="O200" s="32" t="str">
        <v>tengah</v>
      </c>
      <c r="P200" s="32"/>
      <c r="Q200" s="32"/>
      <c r="T200" s="32" t="str">
        <v>tengah</v>
      </c>
      <c r="U200" s="32"/>
      <c r="V200" s="32"/>
    </row>
    <row r="201" spans="5:22">
      <c r="E201" s="32" t="str">
        <v>tengah</v>
      </c>
      <c r="F201" s="32"/>
      <c r="G201" s="32"/>
      <c r="J201" s="32" t="str">
        <v>tengah</v>
      </c>
      <c r="K201" s="32"/>
      <c r="L201" s="32"/>
      <c r="O201" s="32" t="str">
        <v>kanan</v>
      </c>
      <c r="P201" s="32"/>
      <c r="Q201" s="32"/>
      <c r="T201" s="32" t="str">
        <v>tengah</v>
      </c>
      <c r="U201" s="32"/>
      <c r="V201" s="32"/>
    </row>
    <row r="202" spans="5:22">
      <c r="E202" s="32" t="str">
        <v>tengah</v>
      </c>
      <c r="F202" s="32"/>
      <c r="G202" s="32"/>
      <c r="J202" s="32" t="str">
        <v>kanan</v>
      </c>
      <c r="K202" s="32"/>
      <c r="L202" s="32"/>
      <c r="O202" s="32" t="str">
        <v>kiri</v>
      </c>
      <c r="P202" s="32"/>
      <c r="Q202" s="32"/>
      <c r="T202" s="32" t="str">
        <v>tengah</v>
      </c>
      <c r="U202" s="32"/>
      <c r="V202" s="32"/>
    </row>
    <row r="203" spans="5:22">
      <c r="E203" s="32" t="str">
        <v>kanan</v>
      </c>
      <c r="F203" s="32"/>
      <c r="G203" s="32"/>
      <c r="J203" s="32" t="str">
        <v>kanan</v>
      </c>
      <c r="K203" s="32"/>
      <c r="L203" s="32"/>
      <c r="O203" s="32" t="str">
        <v>tengah</v>
      </c>
      <c r="P203" s="32"/>
      <c r="Q203" s="32"/>
      <c r="T203" s="32" t="str">
        <v>kanan</v>
      </c>
      <c r="U203" s="32"/>
      <c r="V203" s="32"/>
    </row>
    <row r="204" spans="5:22">
      <c r="E204" s="32" t="str">
        <v>kiri</v>
      </c>
      <c r="F204" s="32"/>
      <c r="G204" s="32"/>
      <c r="J204" s="32" t="str">
        <v>tengah</v>
      </c>
      <c r="K204" s="32"/>
      <c r="L204" s="32"/>
      <c r="O204" s="32" t="str">
        <v>tengah</v>
      </c>
      <c r="P204" s="32"/>
      <c r="Q204" s="32"/>
      <c r="T204" s="32" t="str">
        <v>kanan</v>
      </c>
      <c r="U204" s="32"/>
      <c r="V204" s="32"/>
    </row>
    <row r="205" spans="5:22">
      <c r="E205" s="32" t="str">
        <v>tengah</v>
      </c>
      <c r="F205" s="32"/>
      <c r="G205" s="32"/>
      <c r="J205" s="32" t="str">
        <v>kanan</v>
      </c>
      <c r="K205" s="32"/>
      <c r="L205" s="32"/>
      <c r="O205" s="32" t="str">
        <v>tengah</v>
      </c>
      <c r="P205" s="32"/>
      <c r="Q205" s="32"/>
      <c r="T205" s="32" t="str">
        <v>tengah</v>
      </c>
      <c r="U205" s="32"/>
      <c r="V205" s="32"/>
    </row>
    <row r="206" spans="5:22">
      <c r="E206" s="32" t="str">
        <v>tengah</v>
      </c>
      <c r="F206" s="32"/>
      <c r="G206" s="32"/>
      <c r="J206" s="32" t="str">
        <v>kiri</v>
      </c>
      <c r="K206" s="32"/>
      <c r="L206" s="32"/>
      <c r="O206" s="32" t="str">
        <v>tengah</v>
      </c>
      <c r="P206" s="32"/>
      <c r="Q206" s="32"/>
      <c r="T206" s="32" t="str">
        <v>kanan</v>
      </c>
      <c r="U206" s="32"/>
      <c r="V206" s="32"/>
    </row>
    <row r="207" spans="5:22">
      <c r="E207" s="32" t="str">
        <v>kiri</v>
      </c>
      <c r="F207" s="32"/>
      <c r="G207" s="32"/>
      <c r="J207" s="32" t="str">
        <v>tengah</v>
      </c>
      <c r="K207" s="32"/>
      <c r="L207" s="32"/>
      <c r="O207" s="32" t="str">
        <v>tengah</v>
      </c>
      <c r="P207" s="32"/>
      <c r="Q207" s="32"/>
      <c r="T207" s="32" t="str">
        <v>kanan</v>
      </c>
      <c r="U207" s="32"/>
      <c r="V207" s="32"/>
    </row>
    <row r="208" spans="5:22">
      <c r="E208" s="32" t="str">
        <v>tengah</v>
      </c>
      <c r="F208" s="32"/>
      <c r="G208" s="32"/>
      <c r="J208" s="32" t="str">
        <v>kanan</v>
      </c>
      <c r="K208" s="32"/>
      <c r="L208" s="32"/>
      <c r="O208" s="32" t="str">
        <v>tengah</v>
      </c>
      <c r="P208" s="32"/>
      <c r="Q208" s="32"/>
      <c r="T208" s="32" t="str">
        <v>kanan</v>
      </c>
      <c r="U208" s="32"/>
      <c r="V208" s="32"/>
    </row>
    <row r="209" spans="5:22">
      <c r="E209" s="32" t="str">
        <v>tengah</v>
      </c>
      <c r="F209" s="32"/>
      <c r="G209" s="32"/>
      <c r="J209" s="32" t="str">
        <v>kanan</v>
      </c>
      <c r="K209" s="32"/>
      <c r="L209" s="32"/>
      <c r="O209" s="32" t="str">
        <v>kanan</v>
      </c>
      <c r="P209" s="32"/>
      <c r="Q209" s="32"/>
      <c r="T209" s="32" t="str">
        <v>tengah</v>
      </c>
      <c r="U209" s="32"/>
      <c r="V209" s="32"/>
    </row>
    <row r="210" spans="5:22">
      <c r="E210" s="32" t="str">
        <v>kanan</v>
      </c>
      <c r="F210" s="32"/>
      <c r="G210" s="32"/>
      <c r="J210" s="32" t="str">
        <v>tengah</v>
      </c>
      <c r="K210" s="32"/>
      <c r="L210" s="32"/>
      <c r="O210" s="32" t="str">
        <v>tengah</v>
      </c>
      <c r="P210" s="32"/>
      <c r="Q210" s="32"/>
      <c r="T210" s="32" t="str">
        <v>tengah</v>
      </c>
      <c r="U210" s="32"/>
      <c r="V210" s="32"/>
    </row>
    <row r="211" spans="5:22">
      <c r="E211" s="32" t="str">
        <v>tengah</v>
      </c>
      <c r="F211" s="32"/>
      <c r="G211" s="32"/>
      <c r="J211" s="32" t="str">
        <v>tengah</v>
      </c>
      <c r="K211" s="32"/>
      <c r="L211" s="32"/>
      <c r="O211" s="32" t="str">
        <v>tengah</v>
      </c>
      <c r="P211" s="32"/>
      <c r="Q211" s="32"/>
      <c r="T211" s="32" t="str">
        <v>tengah</v>
      </c>
      <c r="U211" s="32"/>
      <c r="V211" s="32"/>
    </row>
    <row r="212" spans="5:22">
      <c r="E212" s="32" t="str">
        <v>kiri</v>
      </c>
      <c r="F212" s="32"/>
      <c r="G212" s="32"/>
      <c r="J212" s="32" t="str">
        <v>kiri</v>
      </c>
      <c r="K212" s="32"/>
      <c r="L212" s="32"/>
      <c r="O212" s="32" t="str">
        <v>kanan</v>
      </c>
      <c r="P212" s="32"/>
      <c r="Q212" s="32"/>
      <c r="T212" s="32" t="str">
        <v>kanan</v>
      </c>
      <c r="U212" s="32"/>
      <c r="V212" s="32"/>
    </row>
    <row r="213" spans="5:22">
      <c r="E213" s="32" t="str">
        <v>tengah</v>
      </c>
      <c r="F213" s="32"/>
      <c r="G213" s="32"/>
      <c r="J213" s="32" t="str">
        <v>kanan</v>
      </c>
      <c r="K213" s="32"/>
      <c r="L213" s="32"/>
      <c r="O213" s="32" t="str">
        <v>tengah</v>
      </c>
      <c r="P213" s="32"/>
      <c r="Q213" s="32"/>
      <c r="T213" s="32" t="str">
        <v>tengah</v>
      </c>
      <c r="U213" s="32"/>
      <c r="V213" s="32"/>
    </row>
    <row r="214" spans="5:22">
      <c r="E214" s="32" t="str">
        <v>tengah</v>
      </c>
      <c r="F214" s="32"/>
      <c r="G214" s="32"/>
      <c r="J214" s="32" t="str">
        <v>kanan</v>
      </c>
      <c r="K214" s="32"/>
      <c r="L214" s="32"/>
      <c r="O214" s="32" t="str">
        <v>tengah</v>
      </c>
      <c r="P214" s="32"/>
      <c r="Q214" s="32"/>
      <c r="T214" s="32" t="str">
        <v>tengah</v>
      </c>
      <c r="U214" s="32"/>
      <c r="V214" s="32"/>
    </row>
    <row r="215" spans="5:22">
      <c r="E215" s="32" t="str">
        <v>tengah</v>
      </c>
      <c r="F215" s="32"/>
      <c r="G215" s="32"/>
      <c r="J215" s="32" t="str">
        <v>tengah</v>
      </c>
      <c r="K215" s="32"/>
      <c r="L215" s="32"/>
      <c r="O215" s="32" t="str">
        <v>tengah</v>
      </c>
      <c r="P215" s="32"/>
      <c r="Q215" s="32"/>
      <c r="T215" s="32" t="str">
        <v>tengah</v>
      </c>
      <c r="U215" s="32"/>
      <c r="V215" s="32"/>
    </row>
    <row r="216" spans="5:22">
      <c r="E216" s="32" t="str">
        <v>kiri</v>
      </c>
      <c r="F216" s="32"/>
      <c r="G216" s="32"/>
      <c r="J216" s="32" t="str">
        <v>kiri</v>
      </c>
      <c r="K216" s="32"/>
      <c r="L216" s="32"/>
      <c r="O216" s="32" t="str">
        <v>tengah</v>
      </c>
      <c r="P216" s="32"/>
      <c r="Q216" s="32"/>
      <c r="T216" s="32" t="str">
        <v>kanan</v>
      </c>
      <c r="U216" s="32"/>
      <c r="V216" s="32"/>
    </row>
    <row r="217" spans="5:22">
      <c r="E217" s="32" t="str">
        <v>tengah</v>
      </c>
      <c r="F217" s="32"/>
      <c r="G217" s="32"/>
      <c r="J217" s="32" t="str">
        <v>kiri</v>
      </c>
      <c r="K217" s="32"/>
      <c r="L217" s="32"/>
      <c r="O217" s="32" t="str">
        <v>kanan</v>
      </c>
      <c r="P217" s="32"/>
      <c r="Q217" s="32"/>
      <c r="T217" s="32" t="str">
        <v>kanan</v>
      </c>
      <c r="U217" s="32"/>
      <c r="V217" s="32"/>
    </row>
    <row r="218" spans="5:22">
      <c r="E218" s="32" t="str">
        <v>kanan</v>
      </c>
      <c r="F218" s="32"/>
      <c r="G218" s="32"/>
      <c r="J218" s="32" t="str">
        <v>tengah</v>
      </c>
      <c r="K218" s="32"/>
      <c r="L218" s="32"/>
      <c r="O218" s="32" t="str">
        <v>tengah</v>
      </c>
      <c r="P218" s="32"/>
      <c r="Q218" s="32"/>
      <c r="T218" s="32" t="str">
        <v>kanan</v>
      </c>
      <c r="U218" s="32"/>
      <c r="V218" s="32"/>
    </row>
    <row r="219" spans="5:22">
      <c r="E219" s="32" t="str">
        <v>tengah</v>
      </c>
      <c r="F219" s="32"/>
      <c r="G219" s="32"/>
      <c r="J219" s="32" t="str">
        <v>kanan</v>
      </c>
      <c r="K219" s="32"/>
      <c r="L219" s="32"/>
      <c r="O219" s="32" t="str">
        <v>tengah</v>
      </c>
      <c r="P219" s="32"/>
      <c r="Q219" s="32"/>
      <c r="T219" s="32" t="str">
        <v>kanan</v>
      </c>
      <c r="U219" s="32"/>
      <c r="V219" s="32"/>
    </row>
    <row r="220" spans="5:22">
      <c r="E220" s="32" t="str">
        <v>kanan</v>
      </c>
      <c r="F220" s="32"/>
      <c r="G220" s="32"/>
      <c r="J220" s="32" t="str">
        <v>tengah</v>
      </c>
      <c r="K220" s="32"/>
      <c r="L220" s="32"/>
      <c r="O220" s="32" t="str">
        <v>kanan</v>
      </c>
      <c r="P220" s="32"/>
      <c r="Q220" s="32"/>
      <c r="T220" s="32" t="str">
        <v>kanan</v>
      </c>
      <c r="U220" s="32"/>
      <c r="V220" s="32"/>
    </row>
    <row r="221" spans="5:22">
      <c r="E221" s="32" t="str">
        <v>kanan</v>
      </c>
      <c r="F221" s="32"/>
      <c r="G221" s="32"/>
      <c r="J221" s="32" t="str">
        <v>kanan</v>
      </c>
      <c r="K221" s="32"/>
      <c r="L221" s="32"/>
      <c r="O221" s="32" t="str">
        <v>kiri</v>
      </c>
      <c r="P221" s="32"/>
      <c r="Q221" s="32"/>
      <c r="T221" s="32" t="str">
        <v>kanan</v>
      </c>
      <c r="U221" s="32"/>
      <c r="V221" s="32"/>
    </row>
    <row r="222" spans="5:22">
      <c r="E222" s="32" t="str">
        <v>tengah</v>
      </c>
      <c r="F222" s="32"/>
      <c r="G222" s="32"/>
      <c r="J222" s="32" t="str">
        <v>tengah</v>
      </c>
      <c r="K222" s="32"/>
      <c r="L222" s="32"/>
      <c r="O222" s="32" t="str">
        <v>tengah</v>
      </c>
      <c r="P222" s="32"/>
      <c r="Q222" s="32"/>
      <c r="T222" s="32" t="str">
        <v>tengah</v>
      </c>
      <c r="U222" s="32"/>
      <c r="V222" s="32"/>
    </row>
    <row r="223" spans="5:22">
      <c r="E223" s="32" t="str">
        <v>tengah</v>
      </c>
      <c r="F223" s="32"/>
      <c r="G223" s="32"/>
      <c r="J223" s="32" t="str">
        <v>tengah</v>
      </c>
      <c r="K223" s="32"/>
      <c r="L223" s="32"/>
      <c r="O223" s="32" t="str">
        <v>kiri</v>
      </c>
      <c r="P223" s="32"/>
      <c r="Q223" s="32"/>
      <c r="T223" s="32" t="str">
        <v>kanan</v>
      </c>
      <c r="U223" s="32"/>
      <c r="V223" s="32"/>
    </row>
    <row r="224" spans="5:22">
      <c r="E224" s="32" t="str">
        <v>tengah</v>
      </c>
      <c r="F224" s="32"/>
      <c r="G224" s="32"/>
      <c r="J224" s="32" t="str">
        <v>kanan</v>
      </c>
      <c r="K224" s="32"/>
      <c r="L224" s="32"/>
      <c r="O224" s="32" t="str">
        <v>tengah</v>
      </c>
      <c r="P224" s="32"/>
      <c r="Q224" s="32"/>
      <c r="T224" s="32" t="str">
        <v>kanan</v>
      </c>
      <c r="U224" s="32"/>
      <c r="V224" s="32"/>
    </row>
    <row r="225" spans="5:22">
      <c r="E225" s="32" t="str">
        <v>kiri</v>
      </c>
      <c r="F225" s="32"/>
      <c r="G225" s="32"/>
      <c r="J225" s="32" t="str">
        <v>tengah</v>
      </c>
      <c r="K225" s="32"/>
      <c r="L225" s="32"/>
      <c r="O225" s="32" t="str">
        <v>kiri</v>
      </c>
      <c r="P225" s="32"/>
      <c r="Q225" s="32"/>
      <c r="T225" s="32" t="str">
        <v>tengah</v>
      </c>
      <c r="U225" s="32"/>
      <c r="V225" s="32"/>
    </row>
    <row r="226" spans="5:22">
      <c r="E226" s="32" t="str">
        <v>kiri</v>
      </c>
      <c r="F226" s="32"/>
      <c r="G226" s="32"/>
      <c r="J226" s="32" t="str">
        <v>tengah</v>
      </c>
      <c r="K226" s="32"/>
      <c r="L226" s="32"/>
      <c r="O226" s="32" t="str">
        <v>tengah</v>
      </c>
      <c r="P226" s="32"/>
      <c r="Q226" s="32"/>
      <c r="T226" s="32" t="str">
        <v>kanan</v>
      </c>
      <c r="U226" s="32"/>
      <c r="V226" s="32"/>
    </row>
    <row r="227" spans="5:22">
      <c r="E227" s="32" t="str">
        <v>kiri</v>
      </c>
      <c r="F227" s="32"/>
      <c r="G227" s="32"/>
      <c r="J227" s="32" t="str">
        <v>kiri</v>
      </c>
      <c r="K227" s="32"/>
      <c r="L227" s="32"/>
      <c r="O227" s="32" t="str">
        <v>tengah</v>
      </c>
      <c r="P227" s="32"/>
      <c r="Q227" s="32"/>
      <c r="T227" s="32" t="str">
        <v>kanan</v>
      </c>
      <c r="U227" s="32"/>
      <c r="V227" s="32"/>
    </row>
    <row r="228" spans="5:22">
      <c r="E228" s="32" t="str">
        <v>kanan</v>
      </c>
      <c r="F228" s="32"/>
      <c r="G228" s="32"/>
      <c r="J228" s="32" t="str">
        <v>kanan</v>
      </c>
      <c r="K228" s="32"/>
      <c r="L228" s="32"/>
      <c r="O228" s="32" t="str">
        <v>kiri</v>
      </c>
      <c r="P228" s="32"/>
      <c r="Q228" s="32"/>
      <c r="T228" s="32" t="str">
        <v>kanan</v>
      </c>
      <c r="U228" s="32"/>
      <c r="V228" s="32"/>
    </row>
    <row r="229" spans="5:22">
      <c r="E229" s="32" t="str">
        <v>tengah</v>
      </c>
      <c r="F229" s="32"/>
      <c r="G229" s="32"/>
      <c r="J229" s="32" t="str">
        <v>kiri</v>
      </c>
      <c r="K229" s="32"/>
      <c r="L229" s="32"/>
      <c r="O229" s="32" t="str">
        <v>tengah</v>
      </c>
      <c r="P229" s="32"/>
      <c r="Q229" s="32"/>
      <c r="T229" s="32" t="str">
        <v>kanan</v>
      </c>
      <c r="U229" s="32"/>
      <c r="V229" s="32"/>
    </row>
    <row r="230" spans="5:22">
      <c r="E230" s="32" t="str">
        <v>tengah</v>
      </c>
      <c r="F230" s="32"/>
      <c r="G230" s="32"/>
      <c r="J230" s="32" t="str">
        <v>tengah</v>
      </c>
      <c r="K230" s="32"/>
      <c r="L230" s="32"/>
      <c r="O230" s="32" t="str">
        <v>tengah</v>
      </c>
      <c r="P230" s="32"/>
      <c r="Q230" s="32"/>
      <c r="T230" s="32" t="str">
        <v>kanan</v>
      </c>
      <c r="U230" s="32"/>
      <c r="V230" s="32"/>
    </row>
    <row r="231" spans="5:22">
      <c r="E231" s="32" t="str">
        <v>kiri</v>
      </c>
      <c r="F231" s="32"/>
      <c r="G231" s="32"/>
      <c r="J231" s="32" t="str">
        <v>kiri</v>
      </c>
      <c r="K231" s="32"/>
      <c r="L231" s="32"/>
      <c r="O231" s="32" t="str">
        <v>kanan</v>
      </c>
      <c r="P231" s="32"/>
      <c r="Q231" s="32"/>
      <c r="T231" s="32" t="str">
        <v>tengah</v>
      </c>
      <c r="U231" s="32"/>
      <c r="V231" s="32"/>
    </row>
    <row r="232" spans="5:22">
      <c r="E232" s="32" t="str">
        <v>kiri</v>
      </c>
      <c r="F232" s="32"/>
      <c r="G232" s="32"/>
      <c r="J232" s="32" t="str">
        <v>kanan</v>
      </c>
      <c r="K232" s="32"/>
      <c r="L232" s="32"/>
      <c r="O232" s="32" t="str">
        <v>tengah</v>
      </c>
      <c r="P232" s="32"/>
      <c r="Q232" s="32"/>
      <c r="T232" s="32" t="str">
        <v>kanan</v>
      </c>
      <c r="U232" s="32"/>
      <c r="V232" s="32"/>
    </row>
    <row r="233" spans="5:22">
      <c r="E233" s="32" t="str">
        <v>kiri</v>
      </c>
      <c r="F233" s="32"/>
      <c r="G233" s="32"/>
      <c r="J233" s="32" t="str">
        <v>kiri</v>
      </c>
      <c r="K233" s="32"/>
      <c r="L233" s="32"/>
      <c r="O233" s="32" t="str">
        <v>tengah</v>
      </c>
      <c r="P233" s="32"/>
      <c r="Q233" s="32"/>
      <c r="T233" s="32" t="str">
        <v>kanan</v>
      </c>
      <c r="U233" s="32"/>
      <c r="V233" s="32"/>
    </row>
    <row r="234" spans="5:22">
      <c r="E234" s="32" t="str">
        <v>tengah</v>
      </c>
      <c r="F234" s="32"/>
      <c r="G234" s="32"/>
      <c r="J234" s="32" t="str">
        <v>kanan</v>
      </c>
      <c r="K234" s="32"/>
      <c r="L234" s="32"/>
      <c r="O234" s="32" t="str">
        <v>tengah</v>
      </c>
      <c r="P234" s="32"/>
      <c r="Q234" s="32"/>
      <c r="T234" s="32" t="str">
        <v>kanan</v>
      </c>
      <c r="U234" s="32"/>
      <c r="V234" s="32"/>
    </row>
    <row r="235" spans="5:22">
      <c r="E235" s="32" t="str">
        <v>tengah</v>
      </c>
      <c r="F235" s="32"/>
      <c r="G235" s="32"/>
      <c r="J235" s="32" t="str">
        <v>kanan</v>
      </c>
      <c r="K235" s="32"/>
      <c r="L235" s="32"/>
      <c r="O235" s="32" t="str">
        <v>tengah</v>
      </c>
      <c r="P235" s="32"/>
      <c r="Q235" s="32"/>
      <c r="T235" s="32" t="str">
        <v>tengah</v>
      </c>
      <c r="U235" s="32"/>
      <c r="V235" s="32"/>
    </row>
    <row r="236" spans="5:22">
      <c r="E236" s="32" t="str">
        <v>tengah</v>
      </c>
      <c r="F236" s="32"/>
      <c r="G236" s="32"/>
      <c r="J236" s="32" t="str">
        <v>kanan</v>
      </c>
      <c r="K236" s="32"/>
      <c r="L236" s="32"/>
      <c r="O236" s="32" t="str">
        <v>tengah</v>
      </c>
      <c r="P236" s="32"/>
      <c r="Q236" s="32"/>
      <c r="T236" s="32" t="str">
        <v>tengah</v>
      </c>
      <c r="U236" s="32"/>
      <c r="V236" s="32"/>
    </row>
    <row r="237" spans="5:22">
      <c r="E237" s="32" t="str">
        <v>tengah</v>
      </c>
      <c r="F237" s="32"/>
      <c r="G237" s="32"/>
      <c r="J237" s="32" t="str">
        <v>tengah</v>
      </c>
      <c r="K237" s="32"/>
      <c r="L237" s="32"/>
      <c r="O237" s="32" t="str">
        <v>kiri</v>
      </c>
      <c r="P237" s="32"/>
      <c r="Q237" s="32"/>
      <c r="T237" s="32" t="str">
        <v>kanan</v>
      </c>
      <c r="U237" s="32"/>
      <c r="V237" s="32"/>
    </row>
    <row r="238" spans="5:22">
      <c r="E238" s="32" t="str">
        <v>tengah</v>
      </c>
      <c r="F238" s="32"/>
      <c r="G238" s="32"/>
      <c r="J238" s="32" t="str">
        <v>kiri</v>
      </c>
      <c r="K238" s="32"/>
      <c r="L238" s="32"/>
      <c r="O238" s="32" t="str">
        <v>kanan</v>
      </c>
      <c r="P238" s="32"/>
      <c r="Q238" s="32"/>
      <c r="T238" s="32" t="str">
        <v>tengah</v>
      </c>
      <c r="U238" s="32"/>
      <c r="V238" s="32"/>
    </row>
    <row r="239" spans="5:22">
      <c r="E239" s="32" t="str">
        <v>kiri</v>
      </c>
      <c r="F239" s="32"/>
      <c r="G239" s="32"/>
      <c r="J239" s="32" t="str">
        <v>tengah</v>
      </c>
      <c r="K239" s="32"/>
      <c r="L239" s="32"/>
      <c r="O239" s="32" t="str">
        <v>kiri</v>
      </c>
      <c r="P239" s="32"/>
      <c r="Q239" s="32"/>
      <c r="T239" s="32" t="str">
        <v>tengah</v>
      </c>
      <c r="U239" s="32"/>
      <c r="V239" s="32"/>
    </row>
    <row r="240" spans="5:22">
      <c r="E240" s="32" t="str">
        <v>kiri</v>
      </c>
      <c r="F240" s="32"/>
      <c r="G240" s="32"/>
      <c r="J240" s="32" t="str">
        <v>kiri</v>
      </c>
      <c r="K240" s="32"/>
      <c r="L240" s="32"/>
      <c r="O240" s="32" t="str">
        <v>tengah</v>
      </c>
      <c r="P240" s="32"/>
      <c r="Q240" s="32"/>
      <c r="T240" s="32" t="str">
        <v>kanan</v>
      </c>
      <c r="U240" s="32"/>
      <c r="V240" s="32"/>
    </row>
    <row r="241" spans="5:22">
      <c r="E241" s="32" t="str">
        <v>kanan</v>
      </c>
      <c r="F241" s="32"/>
      <c r="G241" s="32"/>
      <c r="J241" s="32" t="str">
        <v>kanan</v>
      </c>
      <c r="K241" s="32"/>
      <c r="L241" s="32"/>
      <c r="O241" s="32" t="str">
        <v>tengah</v>
      </c>
      <c r="P241" s="32"/>
      <c r="Q241" s="32"/>
      <c r="T241" s="32" t="str">
        <v>kanan</v>
      </c>
      <c r="U241" s="32"/>
      <c r="V241" s="32"/>
    </row>
    <row r="242" spans="5:22">
      <c r="E242" s="32" t="str">
        <v>tengah</v>
      </c>
      <c r="F242" s="32"/>
      <c r="G242" s="32"/>
      <c r="J242" s="32" t="str">
        <v>tengah</v>
      </c>
      <c r="K242" s="32"/>
      <c r="L242" s="32"/>
      <c r="O242" s="32" t="str">
        <v>tengah</v>
      </c>
      <c r="P242" s="32"/>
      <c r="Q242" s="32"/>
      <c r="T242" s="32" t="str">
        <v>tengah</v>
      </c>
      <c r="U242" s="32"/>
      <c r="V242" s="32"/>
    </row>
    <row r="243" spans="5:22">
      <c r="E243" s="32" t="str">
        <v>tengah</v>
      </c>
      <c r="F243" s="32"/>
      <c r="G243" s="32"/>
      <c r="J243" s="32" t="str">
        <v>tengah</v>
      </c>
      <c r="K243" s="32"/>
      <c r="L243" s="32"/>
      <c r="O243" s="32" t="str">
        <v>kiri</v>
      </c>
      <c r="P243" s="32"/>
      <c r="Q243" s="32"/>
      <c r="T243" s="32" t="str">
        <v>kanan</v>
      </c>
      <c r="U243" s="32"/>
      <c r="V243" s="32"/>
    </row>
    <row r="244" spans="5:22">
      <c r="E244" s="32" t="str">
        <v>tengah</v>
      </c>
      <c r="F244" s="32"/>
      <c r="G244" s="32"/>
      <c r="J244" s="32" t="str">
        <v>kanan</v>
      </c>
      <c r="K244" s="32"/>
      <c r="L244" s="32"/>
      <c r="O244" s="32" t="str">
        <v>tengah</v>
      </c>
      <c r="P244" s="32"/>
      <c r="Q244" s="32"/>
      <c r="T244" s="32" t="str">
        <v>kanan</v>
      </c>
      <c r="U244" s="32"/>
      <c r="V244" s="32"/>
    </row>
    <row r="245" spans="5:22">
      <c r="E245" s="32" t="str">
        <v>tengah</v>
      </c>
      <c r="F245" s="32"/>
      <c r="G245" s="32"/>
      <c r="J245" s="32" t="str">
        <v>kiri</v>
      </c>
      <c r="K245" s="32"/>
      <c r="L245" s="32"/>
      <c r="O245" s="32" t="str">
        <v>tengah</v>
      </c>
      <c r="P245" s="32"/>
      <c r="Q245" s="32"/>
      <c r="T245" s="32" t="str">
        <v>kanan</v>
      </c>
      <c r="U245" s="32"/>
      <c r="V245" s="32"/>
    </row>
    <row r="246" spans="5:22">
      <c r="E246" s="32" t="str">
        <v>tengah</v>
      </c>
      <c r="F246" s="32"/>
      <c r="G246" s="32"/>
      <c r="J246" s="32" t="str">
        <v>tengah</v>
      </c>
      <c r="K246" s="32"/>
      <c r="L246" s="32"/>
      <c r="O246" s="32" t="str">
        <v>kanan</v>
      </c>
      <c r="P246" s="32"/>
      <c r="Q246" s="32"/>
      <c r="T246" s="32" t="str">
        <v>kanan</v>
      </c>
      <c r="U246" s="32"/>
      <c r="V246" s="32"/>
    </row>
    <row r="247" spans="5:22">
      <c r="E247" s="32" t="str">
        <v>kiri</v>
      </c>
      <c r="F247" s="32"/>
      <c r="G247" s="32"/>
      <c r="J247" s="32" t="str">
        <v>tengah</v>
      </c>
      <c r="K247" s="32"/>
      <c r="L247" s="32"/>
      <c r="O247" s="32" t="str">
        <v>kanan</v>
      </c>
      <c r="P247" s="32"/>
      <c r="Q247" s="32"/>
      <c r="T247" s="32" t="str">
        <v>tengah</v>
      </c>
      <c r="U247" s="32"/>
      <c r="V247" s="32"/>
    </row>
    <row r="248" spans="5:22">
      <c r="E248" s="32" t="str">
        <v>tengah</v>
      </c>
      <c r="F248" s="32"/>
      <c r="G248" s="32"/>
      <c r="J248" s="32" t="str">
        <v>tengah</v>
      </c>
      <c r="K248" s="32"/>
      <c r="L248" s="32"/>
      <c r="O248" s="32" t="str">
        <v>kanan</v>
      </c>
      <c r="P248" s="32"/>
      <c r="Q248" s="32"/>
      <c r="T248" s="32" t="str">
        <v>kanan</v>
      </c>
      <c r="U248" s="32"/>
      <c r="V248" s="32"/>
    </row>
    <row r="249" spans="5:22">
      <c r="E249" s="32" t="str">
        <v>tengah</v>
      </c>
      <c r="F249" s="32"/>
      <c r="G249" s="32"/>
      <c r="J249" s="32" t="str">
        <v>tengah</v>
      </c>
      <c r="K249" s="32"/>
      <c r="L249" s="32"/>
      <c r="O249" s="32" t="str">
        <v>kanan</v>
      </c>
      <c r="P249" s="32"/>
      <c r="Q249" s="32"/>
      <c r="T249" s="32" t="str">
        <v>kanan</v>
      </c>
      <c r="U249" s="32"/>
      <c r="V249" s="32"/>
    </row>
    <row r="250" spans="5:22">
      <c r="E250" s="32" t="str">
        <v>kiri</v>
      </c>
      <c r="F250" s="32"/>
      <c r="G250" s="32"/>
      <c r="J250" s="32" t="str">
        <v>tengah</v>
      </c>
      <c r="K250" s="32"/>
      <c r="L250" s="32"/>
      <c r="O250" s="32" t="str">
        <v>kiri</v>
      </c>
      <c r="P250" s="32"/>
      <c r="Q250" s="32"/>
      <c r="T250" s="32" t="str">
        <v>tengah</v>
      </c>
      <c r="U250" s="32"/>
      <c r="V250" s="32"/>
    </row>
    <row r="251" spans="5:22">
      <c r="E251" s="32" t="str">
        <v>tengah</v>
      </c>
      <c r="F251" s="32"/>
      <c r="G251" s="32"/>
      <c r="J251" s="32" t="str">
        <v>tengah</v>
      </c>
      <c r="K251" s="32"/>
      <c r="L251" s="32"/>
      <c r="O251" s="32" t="str">
        <v>tengah</v>
      </c>
      <c r="P251" s="32"/>
      <c r="Q251" s="32"/>
      <c r="T251" s="32" t="str">
        <v>kanan</v>
      </c>
      <c r="U251" s="32"/>
      <c r="V251" s="32"/>
    </row>
    <row r="252" spans="5:22">
      <c r="E252" s="32" t="str">
        <v>kiri</v>
      </c>
      <c r="F252" s="32"/>
      <c r="G252" s="32"/>
      <c r="J252" s="32" t="str">
        <v>tengah</v>
      </c>
      <c r="K252" s="32"/>
      <c r="L252" s="32"/>
      <c r="O252" s="32" t="str">
        <v>kiri</v>
      </c>
      <c r="P252" s="32"/>
      <c r="Q252" s="32"/>
      <c r="T252" s="32" t="str">
        <v>tengah</v>
      </c>
      <c r="U252" s="32"/>
      <c r="V252" s="32"/>
    </row>
    <row r="253" spans="5:22">
      <c r="E253" s="32" t="str">
        <v>kiri</v>
      </c>
      <c r="F253" s="32"/>
      <c r="G253" s="32"/>
      <c r="J253" s="32" t="str">
        <v>kiri</v>
      </c>
      <c r="K253" s="32"/>
      <c r="L253" s="32"/>
      <c r="O253" s="32" t="str">
        <v>kiri</v>
      </c>
      <c r="P253" s="32"/>
      <c r="Q253" s="32"/>
      <c r="T253" s="32" t="str">
        <v>kanan</v>
      </c>
      <c r="U253" s="32"/>
      <c r="V253" s="32"/>
    </row>
    <row r="254" spans="5:22">
      <c r="E254" s="32" t="str">
        <v>tengah</v>
      </c>
      <c r="F254" s="32"/>
      <c r="G254" s="32"/>
      <c r="J254" s="32" t="str">
        <v>kiri</v>
      </c>
      <c r="K254" s="32"/>
      <c r="L254" s="32"/>
      <c r="O254" s="32" t="str">
        <v>tengah</v>
      </c>
      <c r="P254" s="32"/>
      <c r="Q254" s="32"/>
      <c r="T254" s="32" t="str">
        <v>tengah</v>
      </c>
      <c r="U254" s="32"/>
      <c r="V254" s="32"/>
    </row>
    <row r="255" spans="5:22">
      <c r="E255" s="32" t="str">
        <v>kiri</v>
      </c>
      <c r="F255" s="32"/>
      <c r="G255" s="32"/>
      <c r="J255" s="32" t="str">
        <v>tengah</v>
      </c>
      <c r="K255" s="32"/>
      <c r="L255" s="32"/>
      <c r="O255" s="32" t="str">
        <v>kanan</v>
      </c>
      <c r="P255" s="32"/>
      <c r="Q255" s="32"/>
      <c r="T255" s="32" t="str">
        <v>tengah</v>
      </c>
      <c r="U255" s="32"/>
      <c r="V255" s="32"/>
    </row>
    <row r="256" spans="5:22">
      <c r="E256" s="32" t="str">
        <v>tengah</v>
      </c>
      <c r="F256" s="32"/>
      <c r="G256" s="32"/>
      <c r="J256" s="32" t="str">
        <v>tengah</v>
      </c>
      <c r="K256" s="32"/>
      <c r="L256" s="32"/>
      <c r="O256" s="32" t="str">
        <v>tengah</v>
      </c>
      <c r="P256" s="32"/>
      <c r="Q256" s="32"/>
      <c r="T256" s="32" t="str">
        <v>tengah</v>
      </c>
      <c r="U256" s="32"/>
      <c r="V256" s="32"/>
    </row>
    <row r="257" spans="5:22">
      <c r="E257" s="32" t="str">
        <v>kiri</v>
      </c>
      <c r="F257" s="32"/>
      <c r="G257" s="32"/>
      <c r="J257" s="32" t="str">
        <v>kiri</v>
      </c>
      <c r="K257" s="32"/>
      <c r="L257" s="32"/>
      <c r="O257" s="32" t="str">
        <v>kanan</v>
      </c>
      <c r="P257" s="32"/>
      <c r="Q257" s="32"/>
      <c r="T257" s="32" t="str">
        <v>kanan</v>
      </c>
      <c r="U257" s="32"/>
      <c r="V257" s="32"/>
    </row>
    <row r="258" spans="5:22">
      <c r="E258" s="32" t="str">
        <v>tengah</v>
      </c>
      <c r="F258" s="32"/>
      <c r="G258" s="32"/>
      <c r="J258" s="32" t="str">
        <v>tengah</v>
      </c>
      <c r="K258" s="32"/>
      <c r="L258" s="32"/>
      <c r="O258" s="32" t="str">
        <v>kiri</v>
      </c>
      <c r="P258" s="32"/>
      <c r="Q258" s="32"/>
      <c r="T258" s="32" t="str">
        <v>kanan</v>
      </c>
      <c r="U258" s="32"/>
      <c r="V258" s="32"/>
    </row>
    <row r="259" spans="5:22">
      <c r="E259" s="32" t="str">
        <v>tengah</v>
      </c>
      <c r="F259" s="32"/>
      <c r="G259" s="32"/>
      <c r="J259" s="32" t="str">
        <v>tengah</v>
      </c>
      <c r="K259" s="32"/>
      <c r="L259" s="32"/>
      <c r="O259" s="32" t="str">
        <v>tengah</v>
      </c>
      <c r="P259" s="32"/>
      <c r="Q259" s="32"/>
      <c r="T259" s="32" t="str">
        <v>tengah</v>
      </c>
      <c r="U259" s="32"/>
      <c r="V259" s="32"/>
    </row>
    <row r="260" spans="5:22">
      <c r="E260" s="32" t="str">
        <v>kiri</v>
      </c>
      <c r="F260" s="32"/>
      <c r="G260" s="32"/>
      <c r="J260" s="32" t="str">
        <v>tengah</v>
      </c>
      <c r="K260" s="32"/>
      <c r="L260" s="32"/>
      <c r="O260" s="32" t="str">
        <v>kiri</v>
      </c>
      <c r="P260" s="32"/>
      <c r="Q260" s="32"/>
      <c r="T260" s="32" t="str">
        <v>tengah</v>
      </c>
      <c r="U260" s="32"/>
      <c r="V260" s="32"/>
    </row>
    <row r="261" spans="5:22">
      <c r="E261" s="32" t="str">
        <v>kiri</v>
      </c>
      <c r="F261" s="32"/>
      <c r="G261" s="32"/>
      <c r="J261" s="32" t="str">
        <v>kiri</v>
      </c>
      <c r="K261" s="32"/>
      <c r="L261" s="32"/>
      <c r="O261" s="32" t="str">
        <v>tengah</v>
      </c>
      <c r="P261" s="32"/>
      <c r="Q261" s="32"/>
      <c r="T261" s="32" t="str">
        <v>tengah</v>
      </c>
      <c r="U261" s="32"/>
      <c r="V261" s="32"/>
    </row>
    <row r="262" spans="5:22">
      <c r="E262" s="32" t="str">
        <v>kiri</v>
      </c>
      <c r="F262" s="32"/>
      <c r="G262" s="32"/>
      <c r="J262" s="32" t="str">
        <v>tengah</v>
      </c>
      <c r="K262" s="32"/>
      <c r="L262" s="32"/>
      <c r="O262" s="32" t="str">
        <v>tengah</v>
      </c>
      <c r="P262" s="32"/>
      <c r="Q262" s="32"/>
      <c r="T262" s="32" t="str">
        <v>kanan</v>
      </c>
      <c r="U262" s="32"/>
      <c r="V262" s="32"/>
    </row>
    <row r="263" spans="5:22">
      <c r="E263" s="32" t="str">
        <v>tengah</v>
      </c>
      <c r="F263" s="32"/>
      <c r="G263" s="32"/>
      <c r="J263" s="32" t="str">
        <v>tengah</v>
      </c>
      <c r="K263" s="32"/>
      <c r="L263" s="32"/>
      <c r="O263" s="32" t="str">
        <v>kanan</v>
      </c>
      <c r="P263" s="32"/>
      <c r="Q263" s="32"/>
      <c r="T263" s="32" t="str">
        <v>tengah</v>
      </c>
      <c r="U263" s="32"/>
      <c r="V263" s="32"/>
    </row>
    <row r="264" spans="5:22">
      <c r="E264" s="32" t="str">
        <v>tengah</v>
      </c>
      <c r="F264" s="32"/>
      <c r="G264" s="32"/>
      <c r="J264" s="32" t="str">
        <v>tengah</v>
      </c>
      <c r="K264" s="32"/>
      <c r="L264" s="32"/>
      <c r="O264" s="32" t="str">
        <v>tengah</v>
      </c>
      <c r="P264" s="32"/>
      <c r="Q264" s="32"/>
      <c r="T264" s="32" t="str">
        <v>kanan</v>
      </c>
      <c r="U264" s="32"/>
      <c r="V264" s="32"/>
    </row>
    <row r="265" spans="5:22">
      <c r="E265" s="32" t="str">
        <v>tengah</v>
      </c>
      <c r="F265" s="32"/>
      <c r="G265" s="32"/>
      <c r="J265" s="32" t="str">
        <v>kiri</v>
      </c>
      <c r="K265" s="32"/>
      <c r="L265" s="32"/>
      <c r="O265" s="32" t="str">
        <v>tengah</v>
      </c>
      <c r="P265" s="32"/>
      <c r="Q265" s="32"/>
      <c r="T265" s="32" t="str">
        <v>kanan</v>
      </c>
      <c r="U265" s="32"/>
      <c r="V265" s="32"/>
    </row>
    <row r="266" spans="5:22">
      <c r="E266" s="32" t="str">
        <v>tengah</v>
      </c>
      <c r="F266" s="32"/>
      <c r="G266" s="32"/>
      <c r="J266" s="32" t="str">
        <v>kanan</v>
      </c>
      <c r="K266" s="32"/>
      <c r="L266" s="32"/>
      <c r="O266" s="32" t="str">
        <v>tengah</v>
      </c>
      <c r="P266" s="32"/>
      <c r="Q266" s="32"/>
      <c r="T266" s="32" t="str">
        <v>kanan</v>
      </c>
      <c r="U266" s="32"/>
      <c r="V266" s="32"/>
    </row>
    <row r="267" spans="5:22">
      <c r="E267" s="32" t="str">
        <v>kiri</v>
      </c>
      <c r="F267" s="32"/>
      <c r="G267" s="32"/>
      <c r="J267" s="32" t="str">
        <v>tengah</v>
      </c>
      <c r="K267" s="32"/>
      <c r="L267" s="32"/>
      <c r="O267" s="32" t="str">
        <v>tengah</v>
      </c>
      <c r="P267" s="32"/>
      <c r="Q267" s="32"/>
      <c r="T267" s="32" t="str">
        <v>kanan</v>
      </c>
      <c r="U267" s="32"/>
      <c r="V267" s="32"/>
    </row>
    <row r="268" spans="5:22">
      <c r="E268" s="32" t="str">
        <v>tengah</v>
      </c>
      <c r="F268" s="32"/>
      <c r="G268" s="32"/>
      <c r="J268" s="32" t="str">
        <v>tengah</v>
      </c>
      <c r="K268" s="32"/>
      <c r="L268" s="32"/>
      <c r="O268" s="32" t="str">
        <v>kiri</v>
      </c>
      <c r="P268" s="32"/>
      <c r="Q268" s="32"/>
      <c r="T268" s="32" t="str">
        <v>kanan</v>
      </c>
      <c r="U268" s="32"/>
      <c r="V268" s="32"/>
    </row>
    <row r="269" spans="5:22">
      <c r="E269" s="32" t="str">
        <v>tengah</v>
      </c>
      <c r="F269" s="32"/>
      <c r="G269" s="32"/>
      <c r="J269" s="32" t="str">
        <v>kanan</v>
      </c>
      <c r="K269" s="32"/>
      <c r="L269" s="32"/>
      <c r="O269" s="32" t="str">
        <v>tengah</v>
      </c>
      <c r="P269" s="32"/>
      <c r="Q269" s="32"/>
      <c r="T269" s="32" t="str">
        <v>tengah</v>
      </c>
      <c r="U269" s="32"/>
      <c r="V269" s="32"/>
    </row>
    <row r="270" spans="5:22">
      <c r="E270" s="32" t="str">
        <v>kiri</v>
      </c>
      <c r="F270" s="32"/>
      <c r="G270" s="32"/>
      <c r="J270" s="32" t="str">
        <v>kiri</v>
      </c>
      <c r="K270" s="32"/>
      <c r="L270" s="32"/>
      <c r="O270" s="32" t="str">
        <v>tengah</v>
      </c>
      <c r="P270" s="32"/>
      <c r="Q270" s="32"/>
      <c r="T270" s="32" t="str">
        <v>tengah</v>
      </c>
      <c r="U270" s="32"/>
      <c r="V270" s="32"/>
    </row>
    <row r="271" spans="5:22">
      <c r="E271" s="32" t="str">
        <v>kiri</v>
      </c>
      <c r="F271" s="32"/>
      <c r="G271" s="32"/>
      <c r="J271" s="32" t="str">
        <v>kiri</v>
      </c>
      <c r="K271" s="32"/>
      <c r="L271" s="32"/>
      <c r="O271" s="32" t="str">
        <v>kiri</v>
      </c>
      <c r="P271" s="32"/>
      <c r="Q271" s="32"/>
      <c r="T271" s="32" t="str">
        <v>kanan</v>
      </c>
      <c r="U271" s="32"/>
      <c r="V271" s="32"/>
    </row>
    <row r="272" spans="5:22">
      <c r="E272" s="32" t="str">
        <v>tengah</v>
      </c>
      <c r="F272" s="32"/>
      <c r="G272" s="32"/>
      <c r="J272" s="32" t="str">
        <v>tengah</v>
      </c>
      <c r="K272" s="32"/>
      <c r="L272" s="32"/>
      <c r="O272" s="32" t="str">
        <v>kiri</v>
      </c>
      <c r="P272" s="32"/>
      <c r="Q272" s="32"/>
      <c r="T272" s="32" t="str">
        <v>kanan</v>
      </c>
      <c r="U272" s="32"/>
      <c r="V272" s="32"/>
    </row>
    <row r="273" spans="5:22">
      <c r="E273" s="32" t="str">
        <v>kanan</v>
      </c>
      <c r="F273" s="32"/>
      <c r="G273" s="32"/>
      <c r="J273" s="32" t="str">
        <v>kanan</v>
      </c>
      <c r="K273" s="32"/>
      <c r="L273" s="32"/>
      <c r="O273" s="32" t="str">
        <v>tengah</v>
      </c>
      <c r="P273" s="32"/>
      <c r="Q273" s="32"/>
      <c r="T273" s="32" t="str">
        <v>tengah</v>
      </c>
      <c r="U273" s="32"/>
      <c r="V273" s="32"/>
    </row>
    <row r="274" spans="5:22">
      <c r="E274" s="32" t="str">
        <v>tengah</v>
      </c>
      <c r="F274" s="32"/>
      <c r="G274" s="32"/>
      <c r="J274" s="32" t="str">
        <v>tengah</v>
      </c>
      <c r="K274" s="32"/>
      <c r="L274" s="32"/>
      <c r="O274" s="32" t="str">
        <v>tengah</v>
      </c>
      <c r="P274" s="32"/>
      <c r="Q274" s="32"/>
      <c r="T274" s="32" t="str">
        <v>kanan</v>
      </c>
      <c r="U274" s="32"/>
      <c r="V274" s="32"/>
    </row>
    <row r="275" spans="5:22">
      <c r="E275" s="32" t="str">
        <v>kiri</v>
      </c>
      <c r="F275" s="32"/>
      <c r="G275" s="32"/>
      <c r="J275" s="32" t="str">
        <v>kanan</v>
      </c>
      <c r="K275" s="32"/>
      <c r="L275" s="32"/>
      <c r="O275" s="32" t="str">
        <v>tengah</v>
      </c>
      <c r="P275" s="32"/>
      <c r="Q275" s="32"/>
      <c r="T275" s="32" t="str">
        <v>kanan</v>
      </c>
      <c r="U275" s="32"/>
      <c r="V275" s="32"/>
    </row>
    <row r="276" spans="5:22">
      <c r="E276" s="32" t="str">
        <v>kanan</v>
      </c>
      <c r="F276" s="32"/>
      <c r="G276" s="32"/>
      <c r="J276" s="32" t="str">
        <v>kanan</v>
      </c>
      <c r="K276" s="32"/>
      <c r="L276" s="32"/>
      <c r="O276" s="32" t="str">
        <v>kanan</v>
      </c>
      <c r="P276" s="32"/>
      <c r="Q276" s="32"/>
      <c r="T276" s="32" t="str">
        <v>kanan</v>
      </c>
      <c r="U276" s="32"/>
      <c r="V276" s="32"/>
    </row>
    <row r="277" spans="5:22">
      <c r="E277" s="32" t="str">
        <v>kanan</v>
      </c>
      <c r="F277" s="32"/>
      <c r="G277" s="32"/>
      <c r="J277" s="32" t="str">
        <v>kanan</v>
      </c>
      <c r="K277" s="32"/>
      <c r="L277" s="32"/>
      <c r="O277" s="32" t="str">
        <v>tengah</v>
      </c>
      <c r="P277" s="32"/>
      <c r="Q277" s="32"/>
      <c r="T277" s="32" t="str">
        <v>kanan</v>
      </c>
      <c r="U277" s="32"/>
      <c r="V277" s="32"/>
    </row>
    <row r="278" spans="5:22">
      <c r="E278" s="32" t="str">
        <v>tengah</v>
      </c>
      <c r="F278" s="32"/>
      <c r="G278" s="32"/>
      <c r="J278" s="32" t="str">
        <v>kiri</v>
      </c>
      <c r="K278" s="32"/>
      <c r="L278" s="32"/>
      <c r="O278" s="32" t="str">
        <v>tengah</v>
      </c>
      <c r="P278" s="32"/>
      <c r="Q278" s="32"/>
      <c r="T278" s="32" t="str">
        <v>tengah</v>
      </c>
      <c r="U278" s="32"/>
      <c r="V278" s="32"/>
    </row>
    <row r="279" spans="5:22">
      <c r="E279" s="32" t="str">
        <v>kiri</v>
      </c>
      <c r="F279" s="32"/>
      <c r="G279" s="32"/>
      <c r="J279" s="32" t="str">
        <v>tengah</v>
      </c>
      <c r="K279" s="32"/>
      <c r="L279" s="32"/>
      <c r="O279" s="32" t="str">
        <v>kanan</v>
      </c>
      <c r="P279" s="32"/>
      <c r="Q279" s="32"/>
      <c r="T279" s="32" t="str">
        <v>kanan</v>
      </c>
      <c r="U279" s="32"/>
      <c r="V279" s="32"/>
    </row>
    <row r="280" spans="5:22">
      <c r="E280" s="32" t="str">
        <v>tengah</v>
      </c>
      <c r="F280" s="32"/>
      <c r="G280" s="32"/>
      <c r="J280" s="32" t="str">
        <v>kanan</v>
      </c>
      <c r="K280" s="32"/>
      <c r="L280" s="32"/>
      <c r="O280" s="32" t="str">
        <v>tengah</v>
      </c>
      <c r="P280" s="32"/>
      <c r="Q280" s="32"/>
      <c r="T280" s="32" t="str">
        <v>tengah</v>
      </c>
      <c r="U280" s="32"/>
      <c r="V280" s="32"/>
    </row>
    <row r="281" spans="5:22">
      <c r="E281" s="32" t="str">
        <v>tengah</v>
      </c>
      <c r="F281" s="32"/>
      <c r="G281" s="32"/>
      <c r="J281" s="32" t="str">
        <v>tengah</v>
      </c>
      <c r="K281" s="32"/>
      <c r="L281" s="32"/>
      <c r="O281" s="32" t="str">
        <v>tengah</v>
      </c>
      <c r="P281" s="32"/>
      <c r="Q281" s="32"/>
      <c r="T281" s="32" t="str">
        <v>kanan</v>
      </c>
      <c r="U281" s="32"/>
      <c r="V281" s="32"/>
    </row>
    <row r="282" spans="5:22">
      <c r="E282" s="32" t="str">
        <v>tengah</v>
      </c>
      <c r="F282" s="32"/>
      <c r="G282" s="32"/>
      <c r="J282" s="32" t="str">
        <v>kiri</v>
      </c>
      <c r="K282" s="32"/>
      <c r="L282" s="32"/>
      <c r="O282" s="32" t="str">
        <v>tengah</v>
      </c>
      <c r="P282" s="32"/>
      <c r="Q282" s="32"/>
      <c r="T282" s="32" t="str">
        <v>kanan</v>
      </c>
      <c r="U282" s="32"/>
      <c r="V282" s="32"/>
    </row>
    <row r="283" spans="5:22">
      <c r="E283" s="32" t="str">
        <v>tengah</v>
      </c>
      <c r="F283" s="32"/>
      <c r="G283" s="32"/>
      <c r="J283" s="32" t="str">
        <v>tengah</v>
      </c>
      <c r="K283" s="32"/>
      <c r="L283" s="32"/>
      <c r="O283" s="32" t="str">
        <v>tengah</v>
      </c>
      <c r="P283" s="32"/>
      <c r="Q283" s="32"/>
      <c r="T283" s="32" t="str">
        <v>kanan</v>
      </c>
      <c r="U283" s="32"/>
      <c r="V283" s="32"/>
    </row>
    <row r="284" spans="5:22">
      <c r="E284" s="32" t="str">
        <v>kiri</v>
      </c>
      <c r="F284" s="32"/>
      <c r="G284" s="32"/>
      <c r="J284" s="32" t="str">
        <v>tengah</v>
      </c>
      <c r="K284" s="32"/>
      <c r="L284" s="32"/>
      <c r="O284" s="32" t="str">
        <v>kiri</v>
      </c>
      <c r="P284" s="32"/>
      <c r="Q284" s="32"/>
      <c r="T284" s="32" t="str">
        <v>kanan</v>
      </c>
      <c r="U284" s="32"/>
      <c r="V284" s="32"/>
    </row>
    <row r="285" spans="5:22">
      <c r="E285" s="32" t="str">
        <v>tengah</v>
      </c>
      <c r="F285" s="32"/>
      <c r="G285" s="32"/>
      <c r="J285" s="32" t="str">
        <v>tengah</v>
      </c>
      <c r="K285" s="32"/>
      <c r="L285" s="32"/>
      <c r="O285" s="32" t="str">
        <v>kiri</v>
      </c>
      <c r="P285" s="32"/>
      <c r="Q285" s="32"/>
      <c r="T285" s="32" t="str">
        <v>kanan</v>
      </c>
      <c r="U285" s="32"/>
      <c r="V285" s="32"/>
    </row>
    <row r="286" spans="5:22">
      <c r="E286" s="32" t="str">
        <v>kiri</v>
      </c>
      <c r="F286" s="32"/>
      <c r="G286" s="32"/>
      <c r="J286" s="32" t="str">
        <v>kiri</v>
      </c>
      <c r="K286" s="32"/>
      <c r="L286" s="32"/>
      <c r="O286" s="32" t="str">
        <v>tengah</v>
      </c>
      <c r="P286" s="32"/>
      <c r="Q286" s="32"/>
      <c r="T286" s="32" t="str">
        <v>kanan</v>
      </c>
      <c r="U286" s="32"/>
      <c r="V286" s="32"/>
    </row>
    <row r="287" spans="5:22">
      <c r="E287" s="32" t="str">
        <v>tengah</v>
      </c>
      <c r="F287" s="32"/>
      <c r="G287" s="32"/>
      <c r="J287" s="32" t="str">
        <v>kanan</v>
      </c>
      <c r="K287" s="32"/>
      <c r="L287" s="32"/>
      <c r="O287" s="32" t="str">
        <v>tengah</v>
      </c>
      <c r="P287" s="32"/>
      <c r="Q287" s="32"/>
      <c r="T287" s="32" t="str">
        <v>tengah</v>
      </c>
      <c r="U287" s="32"/>
      <c r="V287" s="32"/>
    </row>
    <row r="288" spans="5:22">
      <c r="E288" s="32" t="str">
        <v>kiri</v>
      </c>
      <c r="F288" s="32"/>
      <c r="G288" s="32"/>
      <c r="J288" s="32" t="str">
        <v>kiri</v>
      </c>
      <c r="K288" s="32"/>
      <c r="L288" s="32"/>
      <c r="O288" s="32" t="str">
        <v>tengah</v>
      </c>
      <c r="P288" s="32"/>
      <c r="Q288" s="32"/>
      <c r="T288" s="32" t="str">
        <v>tengah</v>
      </c>
      <c r="U288" s="32"/>
      <c r="V288" s="32"/>
    </row>
    <row r="289" spans="5:22">
      <c r="E289" s="32" t="str">
        <v>tengah</v>
      </c>
      <c r="F289" s="32"/>
      <c r="G289" s="32"/>
      <c r="J289" s="32" t="str">
        <v>kanan</v>
      </c>
      <c r="K289" s="32"/>
      <c r="L289" s="32"/>
      <c r="O289" s="32" t="str">
        <v>tengah</v>
      </c>
      <c r="P289" s="32"/>
      <c r="Q289" s="32"/>
      <c r="T289" s="32" t="str">
        <v>kanan</v>
      </c>
      <c r="U289" s="32"/>
      <c r="V289" s="32"/>
    </row>
    <row r="290" spans="5:22">
      <c r="E290" s="32" t="str">
        <v>tengah</v>
      </c>
      <c r="F290" s="32"/>
      <c r="G290" s="32"/>
      <c r="J290" s="32" t="str">
        <v>kiri</v>
      </c>
      <c r="K290" s="32"/>
      <c r="L290" s="32"/>
      <c r="O290" s="32" t="str">
        <v>tengah</v>
      </c>
      <c r="P290" s="32"/>
      <c r="Q290" s="32"/>
      <c r="T290" s="32" t="str">
        <v>tengah</v>
      </c>
      <c r="U290" s="32"/>
      <c r="V290" s="32"/>
    </row>
    <row r="291" spans="5:22">
      <c r="E291" s="32" t="str">
        <v>kiri</v>
      </c>
      <c r="F291" s="32"/>
      <c r="G291" s="32"/>
      <c r="J291" s="32" t="str">
        <v>tengah</v>
      </c>
      <c r="K291" s="32"/>
      <c r="L291" s="32"/>
      <c r="O291" s="32" t="str">
        <v>kiri</v>
      </c>
      <c r="P291" s="32"/>
      <c r="Q291" s="32"/>
      <c r="T291" s="32" t="str">
        <v>tengah</v>
      </c>
      <c r="U291" s="32"/>
      <c r="V291" s="32"/>
    </row>
    <row r="292" spans="5:22">
      <c r="E292" s="32" t="str">
        <v>kiri</v>
      </c>
      <c r="F292" s="32"/>
      <c r="G292" s="32"/>
      <c r="J292" s="32" t="str">
        <v>tengah</v>
      </c>
      <c r="K292" s="32"/>
      <c r="L292" s="32"/>
      <c r="O292" s="32" t="str">
        <v>tengah</v>
      </c>
      <c r="P292" s="32"/>
      <c r="Q292" s="32"/>
      <c r="T292" s="32" t="str">
        <v>tengah</v>
      </c>
      <c r="U292" s="32"/>
      <c r="V292" s="32"/>
    </row>
    <row r="293" spans="5:22">
      <c r="E293" s="32" t="str">
        <v>kiri</v>
      </c>
      <c r="F293" s="32"/>
      <c r="G293" s="32"/>
      <c r="J293" s="32" t="str">
        <v>kiri</v>
      </c>
      <c r="K293" s="32"/>
      <c r="L293" s="32"/>
      <c r="O293" s="32" t="str">
        <v>kanan</v>
      </c>
      <c r="P293" s="32"/>
      <c r="Q293" s="32"/>
      <c r="T293" s="32" t="str">
        <v>kanan</v>
      </c>
      <c r="U293" s="32"/>
      <c r="V293" s="32"/>
    </row>
    <row r="294" spans="5:22">
      <c r="E294" s="32" t="str">
        <v>tengah</v>
      </c>
      <c r="F294" s="32"/>
      <c r="G294" s="32"/>
      <c r="J294" s="32" t="str">
        <v>tengah</v>
      </c>
      <c r="K294" s="32"/>
      <c r="L294" s="32"/>
      <c r="O294" s="32" t="str">
        <v>kanan</v>
      </c>
      <c r="P294" s="32"/>
      <c r="Q294" s="32"/>
      <c r="T294" s="32" t="str">
        <v>tengah</v>
      </c>
      <c r="U294" s="32"/>
      <c r="V294" s="32"/>
    </row>
    <row r="295" spans="5:22">
      <c r="E295" s="32" t="str">
        <v>kanan</v>
      </c>
      <c r="F295" s="32"/>
      <c r="G295" s="32"/>
      <c r="J295" s="32" t="str">
        <v>tengah</v>
      </c>
      <c r="K295" s="32"/>
      <c r="L295" s="32"/>
      <c r="O295" s="32" t="str">
        <v>kiri</v>
      </c>
      <c r="P295" s="32"/>
      <c r="Q295" s="32"/>
      <c r="T295" s="32" t="str">
        <v>tengah</v>
      </c>
      <c r="U295" s="32"/>
      <c r="V295" s="32"/>
    </row>
    <row r="296" spans="5:22">
      <c r="E296" s="32" t="str">
        <v>tengah</v>
      </c>
      <c r="F296" s="32"/>
      <c r="G296" s="32"/>
      <c r="J296" s="32" t="str">
        <v>tengah</v>
      </c>
      <c r="K296" s="32"/>
      <c r="L296" s="32"/>
      <c r="O296" s="32" t="str">
        <v>kiri</v>
      </c>
      <c r="P296" s="32"/>
      <c r="Q296" s="32"/>
      <c r="T296" s="32" t="str">
        <v>kanan</v>
      </c>
      <c r="U296" s="32"/>
      <c r="V296" s="32"/>
    </row>
    <row r="297" spans="5:22">
      <c r="E297" s="32" t="str">
        <v>tengah</v>
      </c>
      <c r="F297" s="32"/>
      <c r="G297" s="32"/>
      <c r="J297" s="32" t="str">
        <v>kanan</v>
      </c>
      <c r="K297" s="32"/>
      <c r="L297" s="32"/>
      <c r="O297" s="32" t="str">
        <v>tengah</v>
      </c>
      <c r="P297" s="32"/>
      <c r="Q297" s="32"/>
      <c r="T297" s="32" t="str">
        <v>tengah</v>
      </c>
      <c r="U297" s="32"/>
      <c r="V297" s="32"/>
    </row>
    <row r="298" spans="5:22">
      <c r="E298" s="32" t="str">
        <v>kanan</v>
      </c>
      <c r="F298" s="32"/>
      <c r="G298" s="32"/>
      <c r="J298" s="32" t="str">
        <v>tengah</v>
      </c>
      <c r="K298" s="32"/>
      <c r="L298" s="32"/>
      <c r="O298" s="32" t="str">
        <v>tengah</v>
      </c>
      <c r="P298" s="32"/>
      <c r="Q298" s="32"/>
      <c r="T298" s="32" t="str">
        <v>kanan</v>
      </c>
      <c r="U298" s="32"/>
      <c r="V298" s="32"/>
    </row>
    <row r="299" spans="5:22">
      <c r="E299" s="32" t="str">
        <v>tengah</v>
      </c>
      <c r="F299" s="32"/>
      <c r="G299" s="32"/>
      <c r="J299" s="32" t="str">
        <v>tengah</v>
      </c>
      <c r="K299" s="32"/>
      <c r="L299" s="32"/>
      <c r="O299" s="32" t="str">
        <v>kiri</v>
      </c>
      <c r="P299" s="32"/>
      <c r="Q299" s="32"/>
      <c r="T299" s="32" t="str">
        <v>kanan</v>
      </c>
      <c r="U299" s="32"/>
      <c r="V299" s="32"/>
    </row>
    <row r="300" spans="5:22">
      <c r="E300" s="32" t="str">
        <v>kiri</v>
      </c>
      <c r="F300" s="32"/>
      <c r="G300" s="32"/>
      <c r="J300" s="32" t="str">
        <v>kiri</v>
      </c>
      <c r="K300" s="32"/>
      <c r="L300" s="32"/>
      <c r="O300" s="32" t="str">
        <v>tengah</v>
      </c>
      <c r="P300" s="32"/>
      <c r="Q300" s="32"/>
      <c r="T300" s="32" t="str">
        <v>tengah</v>
      </c>
      <c r="U300" s="32"/>
      <c r="V300" s="32"/>
    </row>
    <row r="301" spans="5:22">
      <c r="E301" s="32" t="str">
        <v>kanan</v>
      </c>
      <c r="F301" s="32"/>
      <c r="G301" s="32"/>
      <c r="J301" s="32" t="str">
        <v>tengah</v>
      </c>
      <c r="K301" s="32"/>
      <c r="L301" s="32"/>
      <c r="O301" s="32" t="str">
        <v>tengah</v>
      </c>
      <c r="P301" s="32"/>
      <c r="Q301" s="32"/>
      <c r="T301" s="32" t="str">
        <v>kanan</v>
      </c>
      <c r="U301" s="32"/>
      <c r="V301" s="32"/>
    </row>
    <row r="302" spans="5:22">
      <c r="E302" s="32" t="str">
        <v>kanan</v>
      </c>
      <c r="F302" s="32"/>
      <c r="G302" s="32"/>
      <c r="J302" s="32" t="str">
        <v>tengah</v>
      </c>
      <c r="K302" s="32"/>
      <c r="L302" s="32"/>
      <c r="O302" s="32" t="str">
        <v>kanan</v>
      </c>
      <c r="P302" s="32"/>
      <c r="Q302" s="32"/>
      <c r="T302" s="32" t="str">
        <v>kanan</v>
      </c>
      <c r="U302" s="32"/>
      <c r="V302" s="32"/>
    </row>
    <row r="303" spans="5:22">
      <c r="E303" s="32" t="str">
        <v>tengah</v>
      </c>
      <c r="F303" s="32"/>
      <c r="G303" s="32"/>
      <c r="J303" s="32" t="str">
        <v>tengah</v>
      </c>
      <c r="K303" s="32"/>
      <c r="L303" s="32"/>
      <c r="O303" s="32" t="str">
        <v>kanan</v>
      </c>
      <c r="P303" s="32"/>
      <c r="Q303" s="32"/>
      <c r="T303" s="32" t="str">
        <v>kanan</v>
      </c>
      <c r="U303" s="32"/>
      <c r="V303" s="32"/>
    </row>
    <row r="304" spans="5:22">
      <c r="E304" s="32" t="str">
        <v>tengah</v>
      </c>
      <c r="F304" s="32"/>
      <c r="G304" s="32"/>
      <c r="J304" s="32" t="str">
        <v>tengah</v>
      </c>
      <c r="K304" s="32"/>
      <c r="L304" s="32"/>
      <c r="O304" s="32" t="str">
        <v>tengah</v>
      </c>
      <c r="P304" s="32"/>
      <c r="Q304" s="32"/>
      <c r="T304" s="32" t="str">
        <v>tengah</v>
      </c>
      <c r="U304" s="32"/>
      <c r="V304" s="32"/>
    </row>
    <row r="305" spans="5:22">
      <c r="E305" s="32" t="str">
        <v>kiri</v>
      </c>
      <c r="F305" s="32"/>
      <c r="G305" s="32"/>
      <c r="J305" s="32" t="str">
        <v>tengah</v>
      </c>
      <c r="K305" s="32"/>
      <c r="L305" s="32"/>
      <c r="O305" s="32" t="str">
        <v>tengah</v>
      </c>
      <c r="P305" s="32"/>
      <c r="Q305" s="32"/>
      <c r="T305" s="32" t="str">
        <v>kanan</v>
      </c>
      <c r="U305" s="32"/>
      <c r="V305" s="32"/>
    </row>
    <row r="306" spans="5:22">
      <c r="E306" s="32" t="str">
        <v>kiri</v>
      </c>
      <c r="F306" s="32"/>
      <c r="G306" s="32"/>
      <c r="J306" s="32" t="str">
        <v>tengah</v>
      </c>
      <c r="K306" s="32"/>
      <c r="L306" s="32"/>
      <c r="O306" s="32" t="str">
        <v>kiri</v>
      </c>
      <c r="P306" s="32"/>
      <c r="Q306" s="32"/>
      <c r="T306" s="32" t="str">
        <v>tengah</v>
      </c>
      <c r="U306" s="32"/>
      <c r="V306" s="32"/>
    </row>
    <row r="307" spans="5:22">
      <c r="E307" s="32" t="str">
        <v>tengah</v>
      </c>
      <c r="F307" s="32"/>
      <c r="G307" s="32"/>
      <c r="J307" s="32" t="str">
        <v>tengah</v>
      </c>
      <c r="K307" s="32"/>
      <c r="L307" s="32"/>
      <c r="O307" s="32" t="str">
        <v>kanan</v>
      </c>
      <c r="P307" s="32"/>
      <c r="Q307" s="32"/>
      <c r="T307" s="32" t="str">
        <v>tengah</v>
      </c>
      <c r="U307" s="32"/>
      <c r="V307" s="32"/>
    </row>
    <row r="308" spans="5:22">
      <c r="E308" s="32" t="str">
        <v>kanan</v>
      </c>
      <c r="F308" s="32"/>
      <c r="G308" s="32"/>
      <c r="J308" s="32" t="str">
        <v>kanan</v>
      </c>
      <c r="K308" s="32"/>
      <c r="L308" s="32"/>
      <c r="O308" s="32" t="str">
        <v>tengah</v>
      </c>
      <c r="P308" s="32"/>
      <c r="Q308" s="32"/>
      <c r="T308" s="32" t="str">
        <v>tengah</v>
      </c>
      <c r="U308" s="32"/>
      <c r="V308" s="32"/>
    </row>
    <row r="309" spans="5:22">
      <c r="E309" s="32" t="str">
        <v>tengah</v>
      </c>
      <c r="F309" s="32"/>
      <c r="G309" s="32"/>
      <c r="J309" s="32" t="str">
        <v>tengah</v>
      </c>
      <c r="K309" s="32"/>
      <c r="L309" s="32"/>
      <c r="O309" s="32" t="str">
        <v>tengah</v>
      </c>
      <c r="P309" s="32"/>
      <c r="Q309" s="32"/>
      <c r="T309" s="32" t="str">
        <v>tengah</v>
      </c>
      <c r="U309" s="32"/>
      <c r="V309" s="32"/>
    </row>
    <row r="310" spans="5:22">
      <c r="E310" s="32" t="str">
        <v>kiri</v>
      </c>
      <c r="F310" s="32"/>
      <c r="G310" s="32"/>
      <c r="J310" s="32" t="str">
        <v>tengah</v>
      </c>
      <c r="K310" s="32"/>
      <c r="L310" s="32"/>
      <c r="O310" s="32" t="str">
        <v>kiri</v>
      </c>
      <c r="P310" s="32"/>
      <c r="Q310" s="32"/>
      <c r="T310" s="32" t="str">
        <v>tengah</v>
      </c>
      <c r="U310" s="32"/>
      <c r="V310" s="32"/>
    </row>
    <row r="311" spans="5:22">
      <c r="E311" s="32" t="str">
        <v>kiri</v>
      </c>
      <c r="F311" s="32"/>
      <c r="G311" s="32"/>
      <c r="J311" s="32" t="str">
        <v>kanan</v>
      </c>
      <c r="K311" s="32"/>
      <c r="L311" s="32"/>
      <c r="O311" s="32" t="str">
        <v>kiri</v>
      </c>
      <c r="P311" s="32"/>
      <c r="Q311" s="32"/>
      <c r="T311" s="32" t="str">
        <v>tengah</v>
      </c>
      <c r="U311" s="32"/>
      <c r="V311" s="32"/>
    </row>
    <row r="312" spans="5:22">
      <c r="E312" s="32" t="str">
        <v>kiri</v>
      </c>
      <c r="F312" s="32"/>
      <c r="G312" s="32"/>
      <c r="J312" s="32" t="str">
        <v>kiri</v>
      </c>
      <c r="K312" s="32"/>
      <c r="L312" s="32"/>
      <c r="O312" s="32" t="str">
        <v>kanan</v>
      </c>
      <c r="P312" s="32"/>
      <c r="Q312" s="32"/>
      <c r="T312" s="32" t="str">
        <v>kanan</v>
      </c>
      <c r="U312" s="32"/>
      <c r="V312" s="32"/>
    </row>
    <row r="313" spans="5:22">
      <c r="E313" s="32" t="str">
        <v>tengah</v>
      </c>
      <c r="F313" s="32"/>
      <c r="G313" s="32"/>
      <c r="J313" s="32" t="str">
        <v>tengah</v>
      </c>
      <c r="K313" s="32"/>
      <c r="L313" s="32"/>
      <c r="O313" s="32" t="str">
        <v>kanan</v>
      </c>
      <c r="P313" s="32"/>
      <c r="Q313" s="32"/>
      <c r="T313" s="32" t="str">
        <v>kanan</v>
      </c>
      <c r="U313" s="32"/>
      <c r="V313" s="32"/>
    </row>
    <row r="314" spans="5:22">
      <c r="E314" s="32" t="str">
        <v>kanan</v>
      </c>
      <c r="F314" s="32"/>
      <c r="G314" s="32"/>
      <c r="J314" s="32" t="str">
        <v>tengah</v>
      </c>
      <c r="K314" s="32"/>
      <c r="L314" s="32"/>
      <c r="O314" s="32" t="str">
        <v>tengah</v>
      </c>
      <c r="P314" s="32"/>
      <c r="Q314" s="32"/>
      <c r="T314" s="32" t="str">
        <v>tengah</v>
      </c>
      <c r="U314" s="32"/>
      <c r="V314" s="32"/>
    </row>
    <row r="315" spans="5:22">
      <c r="E315" s="32" t="str">
        <v>kanan</v>
      </c>
      <c r="F315" s="32"/>
      <c r="G315" s="32"/>
      <c r="J315" s="32" t="str">
        <v>tengah</v>
      </c>
      <c r="K315" s="32"/>
      <c r="L315" s="32"/>
      <c r="O315" s="32" t="str">
        <v>kiri</v>
      </c>
      <c r="P315" s="32"/>
      <c r="Q315" s="32"/>
      <c r="T315" s="32" t="str">
        <v>tengah</v>
      </c>
      <c r="U315" s="32"/>
      <c r="V315" s="32"/>
    </row>
    <row r="316" spans="5:22">
      <c r="E316" s="32" t="str">
        <v>kiri</v>
      </c>
      <c r="F316" s="32"/>
      <c r="G316" s="32"/>
      <c r="J316" s="32" t="str">
        <v>tengah</v>
      </c>
      <c r="K316" s="32"/>
      <c r="L316" s="32"/>
      <c r="O316" s="32" t="str">
        <v>tengah</v>
      </c>
      <c r="P316" s="32"/>
      <c r="Q316" s="32"/>
      <c r="T316" s="32" t="str">
        <v>tengah</v>
      </c>
      <c r="U316" s="32"/>
      <c r="V316" s="32"/>
    </row>
    <row r="317" spans="5:22">
      <c r="E317" s="32" t="str">
        <v>kanan</v>
      </c>
      <c r="F317" s="32"/>
      <c r="G317" s="32"/>
      <c r="J317" s="32" t="str">
        <v>tengah</v>
      </c>
      <c r="K317" s="32"/>
      <c r="L317" s="32"/>
      <c r="O317" s="32" t="str">
        <v>tengah</v>
      </c>
      <c r="P317" s="32"/>
      <c r="Q317" s="32"/>
      <c r="T317" s="32" t="str">
        <v>kanan</v>
      </c>
      <c r="U317" s="32"/>
      <c r="V317" s="32"/>
    </row>
    <row r="318" spans="5:22">
      <c r="E318" s="32" t="str">
        <v>kanan</v>
      </c>
      <c r="F318" s="32"/>
      <c r="G318" s="32"/>
      <c r="J318" s="32" t="str">
        <v>kiri</v>
      </c>
      <c r="K318" s="32"/>
      <c r="L318" s="32"/>
      <c r="O318" s="32" t="str">
        <v>tengah</v>
      </c>
      <c r="P318" s="32"/>
      <c r="Q318" s="32"/>
      <c r="T318" s="32" t="str">
        <v>tengah</v>
      </c>
      <c r="U318" s="32"/>
      <c r="V318" s="32"/>
    </row>
    <row r="319" spans="5:22">
      <c r="E319" s="32" t="str">
        <v>tengah</v>
      </c>
      <c r="F319" s="32"/>
      <c r="G319" s="32"/>
      <c r="J319" s="32" t="str">
        <v>kanan</v>
      </c>
      <c r="K319" s="32"/>
      <c r="L319" s="32"/>
      <c r="O319" s="32" t="str">
        <v>tengah</v>
      </c>
      <c r="P319" s="32"/>
      <c r="Q319" s="32"/>
      <c r="T319" s="32" t="str">
        <v>kanan</v>
      </c>
      <c r="U319" s="32"/>
      <c r="V319" s="32"/>
    </row>
    <row r="320" spans="5:22">
      <c r="E320" s="32" t="str">
        <v>tengah</v>
      </c>
      <c r="F320" s="32"/>
      <c r="G320" s="32"/>
      <c r="J320" s="32" t="str">
        <v>tengah</v>
      </c>
      <c r="K320" s="32"/>
      <c r="L320" s="32"/>
      <c r="O320" s="32" t="str">
        <v>kiri</v>
      </c>
      <c r="P320" s="32"/>
      <c r="Q320" s="32"/>
      <c r="T320" s="32" t="str">
        <v>kanan</v>
      </c>
      <c r="U320" s="32"/>
      <c r="V320" s="32"/>
    </row>
    <row r="321" spans="5:22">
      <c r="E321" s="32" t="str">
        <v>kiri</v>
      </c>
      <c r="F321" s="32"/>
      <c r="G321" s="32"/>
      <c r="J321" s="32" t="str">
        <v>kiri</v>
      </c>
      <c r="K321" s="32"/>
      <c r="L321" s="32"/>
      <c r="O321" s="32" t="str">
        <v>kanan</v>
      </c>
      <c r="P321" s="32"/>
      <c r="Q321" s="32"/>
      <c r="T321" s="32" t="str">
        <v>tengah</v>
      </c>
      <c r="U321" s="32"/>
      <c r="V321" s="32"/>
    </row>
    <row r="322" spans="5:22">
      <c r="E322" s="32" t="str">
        <v>tengah</v>
      </c>
      <c r="F322" s="32"/>
      <c r="G322" s="32"/>
      <c r="J322" s="32" t="str">
        <v>tengah</v>
      </c>
      <c r="K322" s="32"/>
      <c r="L322" s="32"/>
      <c r="O322" s="32" t="str">
        <v>tengah</v>
      </c>
      <c r="P322" s="32"/>
      <c r="Q322" s="32"/>
      <c r="T322" s="32" t="str">
        <v>tengah</v>
      </c>
      <c r="U322" s="32"/>
      <c r="V322" s="32"/>
    </row>
    <row r="323" spans="5:22">
      <c r="E323" s="32" t="str">
        <v>tengah</v>
      </c>
      <c r="F323" s="32"/>
      <c r="G323" s="32"/>
      <c r="J323" s="32" t="str">
        <v>tengah</v>
      </c>
      <c r="K323" s="32"/>
      <c r="L323" s="32"/>
      <c r="O323" s="32" t="str">
        <v>kiri</v>
      </c>
      <c r="P323" s="32"/>
      <c r="Q323" s="32"/>
      <c r="T323" s="32" t="str">
        <v>kanan</v>
      </c>
      <c r="U323" s="32"/>
      <c r="V323" s="32"/>
    </row>
    <row r="324" spans="5:22">
      <c r="E324" s="32" t="str">
        <v>kanan</v>
      </c>
      <c r="F324" s="32"/>
      <c r="G324" s="32"/>
      <c r="J324" s="32" t="str">
        <v>tengah</v>
      </c>
      <c r="K324" s="32"/>
      <c r="L324" s="32"/>
      <c r="O324" s="32" t="str">
        <v>tengah</v>
      </c>
      <c r="P324" s="32"/>
      <c r="Q324" s="32"/>
      <c r="T324" s="32" t="str">
        <v>kanan</v>
      </c>
      <c r="U324" s="32"/>
      <c r="V324" s="32"/>
    </row>
    <row r="325" spans="5:22">
      <c r="E325" s="32" t="str">
        <v>tengah</v>
      </c>
      <c r="F325" s="32"/>
      <c r="G325" s="32"/>
      <c r="J325" s="32" t="str">
        <v>tengah</v>
      </c>
      <c r="K325" s="32"/>
      <c r="L325" s="32"/>
      <c r="O325" s="32" t="str">
        <v>tengah</v>
      </c>
      <c r="P325" s="32"/>
      <c r="Q325" s="32"/>
      <c r="T325" s="32" t="str">
        <v>tengah</v>
      </c>
      <c r="U325" s="32"/>
      <c r="V325" s="32"/>
    </row>
    <row r="326" spans="5:22">
      <c r="E326" s="32" t="str">
        <v>kiri</v>
      </c>
      <c r="F326" s="32"/>
      <c r="G326" s="32"/>
      <c r="J326" s="32" t="str">
        <v>tengah</v>
      </c>
      <c r="K326" s="32"/>
      <c r="L326" s="32"/>
      <c r="O326" s="32" t="str">
        <v>kanan</v>
      </c>
      <c r="P326" s="32"/>
      <c r="Q326" s="32"/>
      <c r="T326" s="32" t="str">
        <v>kanan</v>
      </c>
      <c r="U326" s="32"/>
      <c r="V326" s="32"/>
    </row>
    <row r="327" spans="5:22">
      <c r="E327" s="32" t="str">
        <v>tengah</v>
      </c>
      <c r="F327" s="32"/>
      <c r="G327" s="32"/>
      <c r="J327" s="32" t="str">
        <v>kanan</v>
      </c>
      <c r="K327" s="32"/>
      <c r="L327" s="32"/>
      <c r="O327" s="32" t="str">
        <v>tengah</v>
      </c>
      <c r="P327" s="32"/>
      <c r="Q327" s="32"/>
      <c r="T327" s="32" t="str">
        <v>kanan</v>
      </c>
      <c r="U327" s="32"/>
      <c r="V327" s="32"/>
    </row>
    <row r="328" spans="5:22">
      <c r="E328" s="32" t="str">
        <v>kanan</v>
      </c>
      <c r="F328" s="32"/>
      <c r="G328" s="32"/>
      <c r="J328" s="32" t="str">
        <v>kiri</v>
      </c>
      <c r="K328" s="32"/>
      <c r="L328" s="32"/>
      <c r="O328" s="32" t="str">
        <v>kiri</v>
      </c>
      <c r="P328" s="32"/>
      <c r="Q328" s="32"/>
      <c r="T328" s="32" t="str">
        <v>tengah</v>
      </c>
      <c r="U328" s="32"/>
      <c r="V328" s="32"/>
    </row>
    <row r="329" spans="5:22">
      <c r="E329" s="32" t="str">
        <v>tengah</v>
      </c>
      <c r="F329" s="32"/>
      <c r="G329" s="32"/>
      <c r="J329" s="32" t="str">
        <v>tengah</v>
      </c>
      <c r="K329" s="32"/>
      <c r="L329" s="32"/>
      <c r="O329" s="32" t="str">
        <v>kanan</v>
      </c>
      <c r="P329" s="32"/>
      <c r="Q329" s="32"/>
      <c r="T329" s="32" t="str">
        <v>kanan</v>
      </c>
      <c r="U329" s="32"/>
      <c r="V329" s="32"/>
    </row>
    <row r="330" spans="5:22">
      <c r="E330" s="32" t="str">
        <v>tengah</v>
      </c>
      <c r="F330" s="32"/>
      <c r="G330" s="32"/>
      <c r="J330" s="32" t="str">
        <v>tengah</v>
      </c>
      <c r="K330" s="32"/>
      <c r="L330" s="32"/>
      <c r="O330" s="32" t="str">
        <v>kiri</v>
      </c>
      <c r="P330" s="32"/>
      <c r="Q330" s="32"/>
      <c r="T330" s="32" t="str">
        <v>kanan</v>
      </c>
      <c r="U330" s="32"/>
      <c r="V330" s="32"/>
    </row>
    <row r="331" spans="5:22">
      <c r="E331" s="32" t="str">
        <v>kanan</v>
      </c>
      <c r="F331" s="32"/>
      <c r="G331" s="32"/>
      <c r="J331" s="32" t="str">
        <v>tengah</v>
      </c>
      <c r="K331" s="32"/>
      <c r="L331" s="32"/>
      <c r="O331" s="32" t="str">
        <v>tengah</v>
      </c>
      <c r="P331" s="32"/>
      <c r="Q331" s="32"/>
      <c r="T331" s="32" t="str">
        <v>kanan</v>
      </c>
      <c r="U331" s="32"/>
      <c r="V331" s="32"/>
    </row>
    <row r="332" spans="5:22">
      <c r="E332" s="32" t="str">
        <v>kiri</v>
      </c>
      <c r="F332" s="32"/>
      <c r="G332" s="32"/>
      <c r="J332" s="32" t="str">
        <v>tengah</v>
      </c>
      <c r="K332" s="32"/>
      <c r="L332" s="32"/>
      <c r="O332" s="32" t="str">
        <v>tengah</v>
      </c>
      <c r="P332" s="32"/>
      <c r="Q332" s="32"/>
      <c r="T332" s="32" t="str">
        <v>kanan</v>
      </c>
      <c r="U332" s="32"/>
      <c r="V332" s="3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4559E-2E02-4B37-843B-684BF3E39DD3}">
  <dimension ref="A1:V332"/>
  <sheetViews>
    <sheetView topLeftCell="N190" zoomScale="98" zoomScaleNormal="98" workbookViewId="0">
      <selection activeCell="O157" sqref="O157"/>
    </sheetView>
  </sheetViews>
  <sheetFormatPr defaultColWidth="9" defaultRowHeight="15"/>
  <cols>
    <col min="2" max="2" width="15.85546875" customWidth="1"/>
    <col min="3" max="3" width="16.7109375" bestFit="1" customWidth="1"/>
    <col min="4" max="4" width="13.85546875" customWidth="1"/>
    <col min="6" max="6" width="14.42578125" bestFit="1" customWidth="1"/>
    <col min="8" max="8" width="14.28515625" customWidth="1"/>
    <col min="9" max="9" width="13.28515625" customWidth="1"/>
    <col min="10" max="10" width="13.85546875" customWidth="1"/>
    <col min="11" max="11" width="22" bestFit="1" customWidth="1"/>
    <col min="13" max="13" width="14.42578125" bestFit="1" customWidth="1"/>
    <col min="15" max="15" width="25.28515625" bestFit="1" customWidth="1"/>
    <col min="16" max="16" width="12.85546875" bestFit="1" customWidth="1"/>
    <col min="17" max="17" width="11.7109375" customWidth="1"/>
    <col min="20" max="20" width="14.42578125" bestFit="1" customWidth="1"/>
  </cols>
  <sheetData>
    <row r="1" spans="1:17">
      <c r="A1" s="30" t="s">
        <v>174</v>
      </c>
      <c r="B1" s="30" t="s">
        <v>1</v>
      </c>
      <c r="C1" s="30" t="s">
        <v>2</v>
      </c>
      <c r="D1" s="30" t="s">
        <v>173</v>
      </c>
      <c r="E1" s="30" t="s">
        <v>4</v>
      </c>
      <c r="F1" s="30" t="s">
        <v>5</v>
      </c>
      <c r="H1" s="61" t="s">
        <v>174</v>
      </c>
      <c r="I1" s="61" t="s">
        <v>1</v>
      </c>
      <c r="J1" s="61" t="s">
        <v>2</v>
      </c>
      <c r="K1" s="61" t="s">
        <v>173</v>
      </c>
      <c r="L1" s="61" t="s">
        <v>4</v>
      </c>
      <c r="M1" s="61" t="s">
        <v>5</v>
      </c>
      <c r="O1" s="30" t="s">
        <v>175</v>
      </c>
      <c r="P1" s="31"/>
      <c r="Q1" s="31"/>
    </row>
    <row r="2" spans="1:17">
      <c r="A2" s="32">
        <f ca="1">RANDBETWEEN(2,164)</f>
        <v>5</v>
      </c>
      <c r="B2" s="32" cm="1">
        <f t="array" aca="1" ref="B2" ca="1">INDEX(Data_DBD!$B:$B,$A2)</f>
        <v>18</v>
      </c>
      <c r="C2" s="32" cm="1">
        <f t="array" aca="1" ref="C2" ca="1">INDEX(Data_DBD!$C:$C,$A2)</f>
        <v>2</v>
      </c>
      <c r="D2" s="32" cm="1">
        <f t="array" aca="1" ref="D2" ca="1">INDEX(Data_DBD!$D:$D,$A2)</f>
        <v>12</v>
      </c>
      <c r="E2" s="32" cm="1">
        <f t="array" aca="1" ref="E2" ca="1">INDEX(Data_DBD!$E:$E,$A2)</f>
        <v>1</v>
      </c>
      <c r="F2" s="32" cm="1">
        <f t="array" aca="1" ref="F2" ca="1">INDEX(Data_DBD!$F:$F,$A2)</f>
        <v>2</v>
      </c>
      <c r="H2" s="32">
        <v>58</v>
      </c>
      <c r="I2" s="32">
        <v>17</v>
      </c>
      <c r="J2" s="32">
        <v>3</v>
      </c>
      <c r="K2" s="32">
        <v>15</v>
      </c>
      <c r="L2" s="32">
        <v>0</v>
      </c>
      <c r="M2" s="32">
        <v>2</v>
      </c>
      <c r="O2" s="54">
        <v>1</v>
      </c>
      <c r="P2" s="31">
        <f>COUNTIF(M2:M164,"1")</f>
        <v>15</v>
      </c>
      <c r="Q2" s="31">
        <f>P2/163</f>
        <v>9.202453987730061E-2</v>
      </c>
    </row>
    <row r="3" spans="1:17">
      <c r="A3" s="32">
        <f t="shared" ref="A3:A66" ca="1" si="0">RANDBETWEEN(2,164)</f>
        <v>50</v>
      </c>
      <c r="B3" s="32" cm="1">
        <f t="array" aca="1" ref="B3" ca="1">INDEX(Data_DBD!$B:$B,$A3)</f>
        <v>19</v>
      </c>
      <c r="C3" s="32" cm="1">
        <f t="array" aca="1" ref="C3" ca="1">INDEX(Data_DBD!$C:$C,$A3)</f>
        <v>5</v>
      </c>
      <c r="D3" s="32" cm="1">
        <f t="array" aca="1" ref="D3" ca="1">INDEX(Data_DBD!$D:$D,$A3)</f>
        <v>13</v>
      </c>
      <c r="E3" s="32" cm="1">
        <f t="array" aca="1" ref="E3" ca="1">INDEX(Data_DBD!$E:$E,$A3)</f>
        <v>0</v>
      </c>
      <c r="F3" s="32" cm="1">
        <f t="array" aca="1" ref="F3" ca="1">INDEX(Data_DBD!$F:$F,$A3)</f>
        <v>2</v>
      </c>
      <c r="H3" s="32">
        <v>52</v>
      </c>
      <c r="I3" s="32">
        <v>59</v>
      </c>
      <c r="J3" s="32">
        <v>4</v>
      </c>
      <c r="K3" s="32">
        <v>15</v>
      </c>
      <c r="L3" s="32">
        <v>1</v>
      </c>
      <c r="M3" s="32">
        <v>2</v>
      </c>
      <c r="O3" s="31">
        <v>2</v>
      </c>
      <c r="P3" s="31">
        <f>COUNTIF(M2:M164,"2")</f>
        <v>87</v>
      </c>
      <c r="Q3" s="31">
        <f>P3/163</f>
        <v>0.53374233128834359</v>
      </c>
    </row>
    <row r="4" spans="1:17">
      <c r="A4" s="32">
        <f t="shared" ca="1" si="0"/>
        <v>41</v>
      </c>
      <c r="B4" s="32" cm="1">
        <f t="array" aca="1" ref="B4" ca="1">INDEX(Data_DBD!$B:$B,$A4)</f>
        <v>8</v>
      </c>
      <c r="C4" s="32" cm="1">
        <f t="array" aca="1" ref="C4" ca="1">INDEX(Data_DBD!$C:$C,$A4)</f>
        <v>4</v>
      </c>
      <c r="D4" s="32" cm="1">
        <f t="array" aca="1" ref="D4" ca="1">INDEX(Data_DBD!$D:$D,$A4)</f>
        <v>13</v>
      </c>
      <c r="E4" s="32" cm="1">
        <f t="array" aca="1" ref="E4" ca="1">INDEX(Data_DBD!$E:$E,$A4)</f>
        <v>0</v>
      </c>
      <c r="F4" s="32" cm="1">
        <f t="array" aca="1" ref="F4" ca="1">INDEX(Data_DBD!$F:$F,$A4)</f>
        <v>2</v>
      </c>
      <c r="H4" s="32">
        <v>120</v>
      </c>
      <c r="I4" s="32">
        <v>26</v>
      </c>
      <c r="J4" s="32">
        <v>4</v>
      </c>
      <c r="K4" s="32">
        <v>33</v>
      </c>
      <c r="L4" s="32">
        <v>1</v>
      </c>
      <c r="M4" s="32">
        <v>3</v>
      </c>
      <c r="O4" s="31">
        <v>3</v>
      </c>
      <c r="P4" s="31">
        <f>COUNTIF(M2:M164,"3")</f>
        <v>61</v>
      </c>
      <c r="Q4" s="31">
        <f>P4/163</f>
        <v>0.37423312883435583</v>
      </c>
    </row>
    <row r="5" spans="1:17">
      <c r="A5" s="32">
        <f t="shared" ca="1" si="0"/>
        <v>132</v>
      </c>
      <c r="B5" s="32" cm="1">
        <f t="array" aca="1" ref="B5" ca="1">INDEX(Data_DBD!$B:$B,$A5)</f>
        <v>10</v>
      </c>
      <c r="C5" s="32" cm="1">
        <f t="array" aca="1" ref="C5" ca="1">INDEX(Data_DBD!$C:$C,$A5)</f>
        <v>3</v>
      </c>
      <c r="D5" s="32" cm="1">
        <f t="array" aca="1" ref="D5" ca="1">INDEX(Data_DBD!$D:$D,$A5)</f>
        <v>33</v>
      </c>
      <c r="E5" s="32" cm="1">
        <f t="array" aca="1" ref="E5" ca="1">INDEX(Data_DBD!$E:$E,$A5)</f>
        <v>1</v>
      </c>
      <c r="F5" s="32" cm="1">
        <f t="array" aca="1" ref="F5" ca="1">INDEX(Data_DBD!$F:$F,$A5)</f>
        <v>3</v>
      </c>
      <c r="H5" s="32">
        <v>144</v>
      </c>
      <c r="I5" s="32">
        <v>61</v>
      </c>
      <c r="J5" s="32">
        <v>4</v>
      </c>
      <c r="K5" s="32">
        <v>21</v>
      </c>
      <c r="L5" s="32">
        <v>1</v>
      </c>
      <c r="M5" s="32">
        <v>3</v>
      </c>
      <c r="O5" s="34" t="s">
        <v>176</v>
      </c>
      <c r="P5">
        <f>-(IFERROR(Q2*LOG(Q2,2),0)+IFERROR(Q3*LOG(Q3,2),0)+IFERROR(Q4*LOG(Q4,2),0))</f>
        <v>1.3308482728549844</v>
      </c>
    </row>
    <row r="6" spans="1:17">
      <c r="A6" s="32">
        <f t="shared" ca="1" si="0"/>
        <v>124</v>
      </c>
      <c r="B6" s="32" cm="1">
        <f t="array" aca="1" ref="B6" ca="1">INDEX(Data_DBD!$B:$B,$A6)</f>
        <v>24</v>
      </c>
      <c r="C6" s="32" cm="1">
        <f t="array" aca="1" ref="C6" ca="1">INDEX(Data_DBD!$C:$C,$A6)</f>
        <v>3</v>
      </c>
      <c r="D6" s="32" cm="1">
        <f t="array" aca="1" ref="D6" ca="1">INDEX(Data_DBD!$D:$D,$A6)</f>
        <v>33</v>
      </c>
      <c r="E6" s="32" cm="1">
        <f t="array" aca="1" ref="E6" ca="1">INDEX(Data_DBD!$E:$E,$A6)</f>
        <v>1</v>
      </c>
      <c r="F6" s="32" cm="1">
        <f t="array" aca="1" ref="F6" ca="1">INDEX(Data_DBD!$F:$F,$A6)</f>
        <v>3</v>
      </c>
      <c r="H6" s="32">
        <v>110</v>
      </c>
      <c r="I6" s="32">
        <v>42</v>
      </c>
      <c r="J6" s="32">
        <v>2</v>
      </c>
      <c r="K6" s="32">
        <v>33</v>
      </c>
      <c r="L6" s="32">
        <v>1</v>
      </c>
      <c r="M6" s="32">
        <v>3</v>
      </c>
    </row>
    <row r="7" spans="1:17">
      <c r="A7" s="32">
        <f t="shared" ca="1" si="0"/>
        <v>31</v>
      </c>
      <c r="B7" s="32" cm="1">
        <f t="array" aca="1" ref="B7" ca="1">INDEX(Data_DBD!$B:$B,$A7)</f>
        <v>64</v>
      </c>
      <c r="C7" s="32" cm="1">
        <f t="array" aca="1" ref="C7" ca="1">INDEX(Data_DBD!$C:$C,$A7)</f>
        <v>4</v>
      </c>
      <c r="D7" s="32" cm="1">
        <f t="array" aca="1" ref="D7" ca="1">INDEX(Data_DBD!$D:$D,$A7)</f>
        <v>14</v>
      </c>
      <c r="E7" s="32" cm="1">
        <f t="array" aca="1" ref="E7" ca="1">INDEX(Data_DBD!$E:$E,$A7)</f>
        <v>1</v>
      </c>
      <c r="F7" s="32" cm="1">
        <f t="array" aca="1" ref="F7" ca="1">INDEX(Data_DBD!$F:$F,$A7)</f>
        <v>2</v>
      </c>
      <c r="H7" s="32">
        <v>50</v>
      </c>
      <c r="I7" s="32">
        <v>19</v>
      </c>
      <c r="J7" s="32">
        <v>5</v>
      </c>
      <c r="K7" s="32">
        <v>13</v>
      </c>
      <c r="L7" s="32">
        <v>0</v>
      </c>
      <c r="M7" s="32">
        <v>2</v>
      </c>
    </row>
    <row r="8" spans="1:17">
      <c r="A8" s="32">
        <f t="shared" ca="1" si="0"/>
        <v>19</v>
      </c>
      <c r="B8" s="32" cm="1">
        <f t="array" aca="1" ref="B8" ca="1">INDEX(Data_DBD!$B:$B,$A8)</f>
        <v>8</v>
      </c>
      <c r="C8" s="32" cm="1">
        <f t="array" aca="1" ref="C8" ca="1">INDEX(Data_DBD!$C:$C,$A8)</f>
        <v>4</v>
      </c>
      <c r="D8" s="32" cm="1">
        <f t="array" aca="1" ref="D8" ca="1">INDEX(Data_DBD!$D:$D,$A8)</f>
        <v>7</v>
      </c>
      <c r="E8" s="32" cm="1">
        <f t="array" aca="1" ref="E8" ca="1">INDEX(Data_DBD!$E:$E,$A8)</f>
        <v>0</v>
      </c>
      <c r="F8" s="32" cm="1">
        <f t="array" aca="1" ref="F8" ca="1">INDEX(Data_DBD!$F:$F,$A8)</f>
        <v>1</v>
      </c>
      <c r="H8" s="32">
        <v>131</v>
      </c>
      <c r="I8" s="32">
        <v>10</v>
      </c>
      <c r="J8" s="32">
        <v>2</v>
      </c>
      <c r="K8" s="32">
        <v>33</v>
      </c>
      <c r="L8" s="32">
        <v>0</v>
      </c>
      <c r="M8" s="32">
        <v>3</v>
      </c>
    </row>
    <row r="9" spans="1:17">
      <c r="A9" s="32">
        <f t="shared" ca="1" si="0"/>
        <v>109</v>
      </c>
      <c r="B9" s="32" cm="1">
        <f t="array" aca="1" ref="B9" ca="1">INDEX(Data_DBD!$B:$B,$A9)</f>
        <v>40</v>
      </c>
      <c r="C9" s="32" cm="1">
        <f t="array" aca="1" ref="C9" ca="1">INDEX(Data_DBD!$C:$C,$A9)</f>
        <v>3</v>
      </c>
      <c r="D9" s="32" cm="1">
        <f t="array" aca="1" ref="D9" ca="1">INDEX(Data_DBD!$D:$D,$A9)</f>
        <v>33</v>
      </c>
      <c r="E9" s="32" cm="1">
        <f t="array" aca="1" ref="E9" ca="1">INDEX(Data_DBD!$E:$E,$A9)</f>
        <v>1</v>
      </c>
      <c r="F9" s="32" cm="1">
        <f t="array" aca="1" ref="F9" ca="1">INDEX(Data_DBD!$F:$F,$A9)</f>
        <v>3</v>
      </c>
      <c r="H9" s="32">
        <v>55</v>
      </c>
      <c r="I9" s="32">
        <v>7</v>
      </c>
      <c r="J9" s="32">
        <v>4</v>
      </c>
      <c r="K9" s="32">
        <v>15</v>
      </c>
      <c r="L9" s="32">
        <v>1</v>
      </c>
      <c r="M9" s="32">
        <v>2</v>
      </c>
    </row>
    <row r="10" spans="1:17">
      <c r="A10" s="32">
        <f t="shared" ca="1" si="0"/>
        <v>93</v>
      </c>
      <c r="B10" s="32" cm="1">
        <f t="array" aca="1" ref="B10" ca="1">INDEX(Data_DBD!$B:$B,$A10)</f>
        <v>65</v>
      </c>
      <c r="C10" s="32" cm="1">
        <f t="array" aca="1" ref="C10" ca="1">INDEX(Data_DBD!$C:$C,$A10)</f>
        <v>4</v>
      </c>
      <c r="D10" s="32" cm="1">
        <f t="array" aca="1" ref="D10" ca="1">INDEX(Data_DBD!$D:$D,$A10)</f>
        <v>18</v>
      </c>
      <c r="E10" s="32" cm="1">
        <f t="array" aca="1" ref="E10" ca="1">INDEX(Data_DBD!$E:$E,$A10)</f>
        <v>0</v>
      </c>
      <c r="F10" s="32" cm="1">
        <f t="array" aca="1" ref="F10" ca="1">INDEX(Data_DBD!$F:$F,$A10)</f>
        <v>3</v>
      </c>
      <c r="H10" s="32">
        <v>23</v>
      </c>
      <c r="I10" s="32">
        <v>28</v>
      </c>
      <c r="J10" s="32">
        <v>4</v>
      </c>
      <c r="K10" s="32">
        <v>14</v>
      </c>
      <c r="L10" s="32">
        <v>1</v>
      </c>
      <c r="M10" s="32">
        <v>2</v>
      </c>
    </row>
    <row r="11" spans="1:17">
      <c r="A11" s="32">
        <f t="shared" ca="1" si="0"/>
        <v>42</v>
      </c>
      <c r="B11" s="32" cm="1">
        <f t="array" aca="1" ref="B11" ca="1">INDEX(Data_DBD!$B:$B,$A11)</f>
        <v>21</v>
      </c>
      <c r="C11" s="32" cm="1">
        <f t="array" aca="1" ref="C11" ca="1">INDEX(Data_DBD!$C:$C,$A11)</f>
        <v>5</v>
      </c>
      <c r="D11" s="32" cm="1">
        <f t="array" aca="1" ref="D11" ca="1">INDEX(Data_DBD!$D:$D,$A11)</f>
        <v>13</v>
      </c>
      <c r="E11" s="32" cm="1">
        <f t="array" aca="1" ref="E11" ca="1">INDEX(Data_DBD!$E:$E,$A11)</f>
        <v>1</v>
      </c>
      <c r="F11" s="32" cm="1">
        <f t="array" aca="1" ref="F11" ca="1">INDEX(Data_DBD!$F:$F,$A11)</f>
        <v>2</v>
      </c>
      <c r="H11" s="32">
        <v>67</v>
      </c>
      <c r="I11" s="32">
        <v>21</v>
      </c>
      <c r="J11" s="32">
        <v>3</v>
      </c>
      <c r="K11" s="32">
        <v>10</v>
      </c>
      <c r="L11" s="32">
        <v>1</v>
      </c>
      <c r="M11" s="32">
        <v>2</v>
      </c>
    </row>
    <row r="12" spans="1:17">
      <c r="A12" s="32">
        <f t="shared" ca="1" si="0"/>
        <v>95</v>
      </c>
      <c r="B12" s="32" cm="1">
        <f t="array" aca="1" ref="B12" ca="1">INDEX(Data_DBD!$B:$B,$A12)</f>
        <v>11</v>
      </c>
      <c r="C12" s="32" cm="1">
        <f t="array" aca="1" ref="C12" ca="1">INDEX(Data_DBD!$C:$C,$A12)</f>
        <v>3</v>
      </c>
      <c r="D12" s="32" cm="1">
        <f t="array" aca="1" ref="D12" ca="1">INDEX(Data_DBD!$D:$D,$A12)</f>
        <v>18</v>
      </c>
      <c r="E12" s="32" cm="1">
        <f t="array" aca="1" ref="E12" ca="1">INDEX(Data_DBD!$E:$E,$A12)</f>
        <v>1</v>
      </c>
      <c r="F12" s="32" cm="1">
        <f t="array" aca="1" ref="F12" ca="1">INDEX(Data_DBD!$F:$F,$A12)</f>
        <v>3</v>
      </c>
      <c r="H12" s="32">
        <v>123</v>
      </c>
      <c r="I12" s="32">
        <v>22</v>
      </c>
      <c r="J12" s="32">
        <v>4</v>
      </c>
      <c r="K12" s="32">
        <v>33</v>
      </c>
      <c r="L12" s="32">
        <v>0</v>
      </c>
      <c r="M12" s="32">
        <v>3</v>
      </c>
    </row>
    <row r="13" spans="1:17">
      <c r="A13" s="32">
        <f t="shared" ca="1" si="0"/>
        <v>160</v>
      </c>
      <c r="B13" s="32" cm="1">
        <f t="array" aca="1" ref="B13" ca="1">INDEX(Data_DBD!$B:$B,$A13)</f>
        <v>16</v>
      </c>
      <c r="C13" s="32" cm="1">
        <f t="array" aca="1" ref="C13" ca="1">INDEX(Data_DBD!$C:$C,$A13)</f>
        <v>3</v>
      </c>
      <c r="D13" s="32" cm="1">
        <f t="array" aca="1" ref="D13" ca="1">INDEX(Data_DBD!$D:$D,$A13)</f>
        <v>21</v>
      </c>
      <c r="E13" s="32" cm="1">
        <f t="array" aca="1" ref="E13" ca="1">INDEX(Data_DBD!$E:$E,$A13)</f>
        <v>0</v>
      </c>
      <c r="F13" s="32" cm="1">
        <f t="array" aca="1" ref="F13" ca="1">INDEX(Data_DBD!$F:$F,$A13)</f>
        <v>3</v>
      </c>
      <c r="H13" s="32">
        <v>35</v>
      </c>
      <c r="I13" s="32">
        <v>40</v>
      </c>
      <c r="J13" s="32">
        <v>3</v>
      </c>
      <c r="K13" s="32">
        <v>4</v>
      </c>
      <c r="L13" s="32">
        <v>1</v>
      </c>
      <c r="M13" s="32">
        <v>1</v>
      </c>
    </row>
    <row r="14" spans="1:17">
      <c r="A14" s="32">
        <f t="shared" ca="1" si="0"/>
        <v>34</v>
      </c>
      <c r="B14" s="32" cm="1">
        <f t="array" aca="1" ref="B14" ca="1">INDEX(Data_DBD!$B:$B,$A14)</f>
        <v>55</v>
      </c>
      <c r="C14" s="32" cm="1">
        <f t="array" aca="1" ref="C14" ca="1">INDEX(Data_DBD!$C:$C,$A14)</f>
        <v>3</v>
      </c>
      <c r="D14" s="32" cm="1">
        <f t="array" aca="1" ref="D14" ca="1">INDEX(Data_DBD!$D:$D,$A14)</f>
        <v>14</v>
      </c>
      <c r="E14" s="32" cm="1">
        <f t="array" aca="1" ref="E14" ca="1">INDEX(Data_DBD!$E:$E,$A14)</f>
        <v>0</v>
      </c>
      <c r="F14" s="32" cm="1">
        <f t="array" aca="1" ref="F14" ca="1">INDEX(Data_DBD!$F:$F,$A14)</f>
        <v>2</v>
      </c>
      <c r="H14" s="32">
        <v>147</v>
      </c>
      <c r="I14" s="32">
        <v>66</v>
      </c>
      <c r="J14" s="32">
        <v>10</v>
      </c>
      <c r="K14" s="32">
        <v>21</v>
      </c>
      <c r="L14" s="32">
        <v>1</v>
      </c>
      <c r="M14" s="32">
        <v>3</v>
      </c>
    </row>
    <row r="15" spans="1:17">
      <c r="A15" s="32">
        <f t="shared" ca="1" si="0"/>
        <v>143</v>
      </c>
      <c r="B15" s="32" cm="1">
        <f t="array" aca="1" ref="B15" ca="1">INDEX(Data_DBD!$B:$B,$A15)</f>
        <v>20</v>
      </c>
      <c r="C15" s="32" cm="1">
        <f t="array" aca="1" ref="C15" ca="1">INDEX(Data_DBD!$C:$C,$A15)</f>
        <v>4</v>
      </c>
      <c r="D15" s="32" cm="1">
        <f t="array" aca="1" ref="D15" ca="1">INDEX(Data_DBD!$D:$D,$A15)</f>
        <v>21</v>
      </c>
      <c r="E15" s="32" cm="1">
        <f t="array" aca="1" ref="E15" ca="1">INDEX(Data_DBD!$E:$E,$A15)</f>
        <v>1</v>
      </c>
      <c r="F15" s="32" cm="1">
        <f t="array" aca="1" ref="F15" ca="1">INDEX(Data_DBD!$F:$F,$A15)</f>
        <v>3</v>
      </c>
      <c r="H15" s="32">
        <v>89</v>
      </c>
      <c r="I15" s="32">
        <v>32</v>
      </c>
      <c r="J15" s="32">
        <v>4</v>
      </c>
      <c r="K15" s="32">
        <v>13</v>
      </c>
      <c r="L15" s="32">
        <v>0</v>
      </c>
      <c r="M15" s="32">
        <v>2</v>
      </c>
    </row>
    <row r="16" spans="1:17">
      <c r="A16" s="32">
        <f t="shared" ca="1" si="0"/>
        <v>48</v>
      </c>
      <c r="B16" s="32" cm="1">
        <f t="array" aca="1" ref="B16" ca="1">INDEX(Data_DBD!$B:$B,$A16)</f>
        <v>50</v>
      </c>
      <c r="C16" s="32" cm="1">
        <f t="array" aca="1" ref="C16" ca="1">INDEX(Data_DBD!$C:$C,$A16)</f>
        <v>5</v>
      </c>
      <c r="D16" s="32" cm="1">
        <f t="array" aca="1" ref="D16" ca="1">INDEX(Data_DBD!$D:$D,$A16)</f>
        <v>13</v>
      </c>
      <c r="E16" s="32" cm="1">
        <f t="array" aca="1" ref="E16" ca="1">INDEX(Data_DBD!$E:$E,$A16)</f>
        <v>1</v>
      </c>
      <c r="F16" s="32" cm="1">
        <f t="array" aca="1" ref="F16" ca="1">INDEX(Data_DBD!$F:$F,$A16)</f>
        <v>2</v>
      </c>
      <c r="H16" s="32">
        <v>41</v>
      </c>
      <c r="I16" s="32">
        <v>8</v>
      </c>
      <c r="J16" s="32">
        <v>4</v>
      </c>
      <c r="K16" s="32">
        <v>13</v>
      </c>
      <c r="L16" s="32">
        <v>0</v>
      </c>
      <c r="M16" s="32">
        <v>2</v>
      </c>
    </row>
    <row r="17" spans="1:13">
      <c r="A17" s="32">
        <f t="shared" ca="1" si="0"/>
        <v>141</v>
      </c>
      <c r="B17" s="32" cm="1">
        <f t="array" aca="1" ref="B17" ca="1">INDEX(Data_DBD!$B:$B,$A17)</f>
        <v>36</v>
      </c>
      <c r="C17" s="32" cm="1">
        <f t="array" aca="1" ref="C17" ca="1">INDEX(Data_DBD!$C:$C,$A17)</f>
        <v>2</v>
      </c>
      <c r="D17" s="32" cm="1">
        <f t="array" aca="1" ref="D17" ca="1">INDEX(Data_DBD!$D:$D,$A17)</f>
        <v>21</v>
      </c>
      <c r="E17" s="32" cm="1">
        <f t="array" aca="1" ref="E17" ca="1">INDEX(Data_DBD!$E:$E,$A17)</f>
        <v>0</v>
      </c>
      <c r="F17" s="32" cm="1">
        <f t="array" aca="1" ref="F17" ca="1">INDEX(Data_DBD!$F:$F,$A17)</f>
        <v>3</v>
      </c>
      <c r="H17" s="32">
        <v>66</v>
      </c>
      <c r="I17" s="32">
        <v>21</v>
      </c>
      <c r="J17" s="32">
        <v>5</v>
      </c>
      <c r="K17" s="32">
        <v>15</v>
      </c>
      <c r="L17" s="32">
        <v>1</v>
      </c>
      <c r="M17" s="32">
        <v>2</v>
      </c>
    </row>
    <row r="18" spans="1:13">
      <c r="A18" s="32">
        <f t="shared" ca="1" si="0"/>
        <v>35</v>
      </c>
      <c r="B18" s="32" cm="1">
        <f t="array" aca="1" ref="B18" ca="1">INDEX(Data_DBD!$B:$B,$A18)</f>
        <v>40</v>
      </c>
      <c r="C18" s="32" cm="1">
        <f t="array" aca="1" ref="C18" ca="1">INDEX(Data_DBD!$C:$C,$A18)</f>
        <v>3</v>
      </c>
      <c r="D18" s="32" cm="1">
        <f t="array" aca="1" ref="D18" ca="1">INDEX(Data_DBD!$D:$D,$A18)</f>
        <v>4</v>
      </c>
      <c r="E18" s="32" cm="1">
        <f t="array" aca="1" ref="E18" ca="1">INDEX(Data_DBD!$E:$E,$A18)</f>
        <v>1</v>
      </c>
      <c r="F18" s="32" cm="1">
        <f t="array" aca="1" ref="F18" ca="1">INDEX(Data_DBD!$F:$F,$A18)</f>
        <v>1</v>
      </c>
      <c r="H18" s="32">
        <v>17</v>
      </c>
      <c r="I18" s="32">
        <v>2</v>
      </c>
      <c r="J18" s="32">
        <v>3</v>
      </c>
      <c r="K18" s="32">
        <v>7</v>
      </c>
      <c r="L18" s="32">
        <v>0</v>
      </c>
      <c r="M18" s="32">
        <v>1</v>
      </c>
    </row>
    <row r="19" spans="1:13">
      <c r="A19" s="32">
        <f t="shared" ca="1" si="0"/>
        <v>139</v>
      </c>
      <c r="B19" s="32" cm="1">
        <f t="array" aca="1" ref="B19" ca="1">INDEX(Data_DBD!$B:$B,$A19)</f>
        <v>52</v>
      </c>
      <c r="C19" s="32" cm="1">
        <f t="array" aca="1" ref="C19" ca="1">INDEX(Data_DBD!$C:$C,$A19)</f>
        <v>7</v>
      </c>
      <c r="D19" s="32" cm="1">
        <f t="array" aca="1" ref="D19" ca="1">INDEX(Data_DBD!$D:$D,$A19)</f>
        <v>21</v>
      </c>
      <c r="E19" s="32" cm="1">
        <f t="array" aca="1" ref="E19" ca="1">INDEX(Data_DBD!$E:$E,$A19)</f>
        <v>0</v>
      </c>
      <c r="F19" s="32" cm="1">
        <f t="array" aca="1" ref="F19" ca="1">INDEX(Data_DBD!$F:$F,$A19)</f>
        <v>3</v>
      </c>
      <c r="H19" s="32">
        <v>54</v>
      </c>
      <c r="I19" s="32">
        <v>7</v>
      </c>
      <c r="J19" s="32">
        <v>3</v>
      </c>
      <c r="K19" s="32">
        <v>15</v>
      </c>
      <c r="L19" s="32">
        <v>0</v>
      </c>
      <c r="M19" s="32">
        <v>2</v>
      </c>
    </row>
    <row r="20" spans="1:13">
      <c r="A20" s="32">
        <f t="shared" ca="1" si="0"/>
        <v>99</v>
      </c>
      <c r="B20" s="32" cm="1">
        <f t="array" aca="1" ref="B20" ca="1">INDEX(Data_DBD!$B:$B,$A20)</f>
        <v>4</v>
      </c>
      <c r="C20" s="32" cm="1">
        <f t="array" aca="1" ref="C20" ca="1">INDEX(Data_DBD!$C:$C,$A20)</f>
        <v>2</v>
      </c>
      <c r="D20" s="32" cm="1">
        <f t="array" aca="1" ref="D20" ca="1">INDEX(Data_DBD!$D:$D,$A20)</f>
        <v>18</v>
      </c>
      <c r="E20" s="32" cm="1">
        <f t="array" aca="1" ref="E20" ca="1">INDEX(Data_DBD!$E:$E,$A20)</f>
        <v>1</v>
      </c>
      <c r="F20" s="32" cm="1">
        <f t="array" aca="1" ref="F20" ca="1">INDEX(Data_DBD!$F:$F,$A20)</f>
        <v>3</v>
      </c>
      <c r="H20" s="32">
        <v>143</v>
      </c>
      <c r="I20" s="32">
        <v>20</v>
      </c>
      <c r="J20" s="32">
        <v>4</v>
      </c>
      <c r="K20" s="32">
        <v>21</v>
      </c>
      <c r="L20" s="32">
        <v>1</v>
      </c>
      <c r="M20" s="32">
        <v>3</v>
      </c>
    </row>
    <row r="21" spans="1:13">
      <c r="A21" s="32">
        <f t="shared" ca="1" si="0"/>
        <v>133</v>
      </c>
      <c r="B21" s="32" cm="1">
        <f t="array" aca="1" ref="B21" ca="1">INDEX(Data_DBD!$B:$B,$A21)</f>
        <v>6</v>
      </c>
      <c r="C21" s="32" cm="1">
        <f t="array" aca="1" ref="C21" ca="1">INDEX(Data_DBD!$C:$C,$A21)</f>
        <v>4</v>
      </c>
      <c r="D21" s="32" cm="1">
        <f t="array" aca="1" ref="D21" ca="1">INDEX(Data_DBD!$D:$D,$A21)</f>
        <v>33</v>
      </c>
      <c r="E21" s="32" cm="1">
        <f t="array" aca="1" ref="E21" ca="1">INDEX(Data_DBD!$E:$E,$A21)</f>
        <v>0</v>
      </c>
      <c r="F21" s="32" cm="1">
        <f t="array" aca="1" ref="F21" ca="1">INDEX(Data_DBD!$F:$F,$A21)</f>
        <v>3</v>
      </c>
      <c r="H21" s="32">
        <v>13</v>
      </c>
      <c r="I21" s="32">
        <v>47</v>
      </c>
      <c r="J21" s="32">
        <v>2</v>
      </c>
      <c r="K21" s="32">
        <v>12</v>
      </c>
      <c r="L21" s="32">
        <v>0</v>
      </c>
      <c r="M21" s="32">
        <v>2</v>
      </c>
    </row>
    <row r="22" spans="1:13">
      <c r="A22" s="32">
        <f t="shared" ca="1" si="0"/>
        <v>5</v>
      </c>
      <c r="B22" s="32" cm="1">
        <f t="array" aca="1" ref="B22" ca="1">INDEX(Data_DBD!$B:$B,$A22)</f>
        <v>18</v>
      </c>
      <c r="C22" s="32" cm="1">
        <f t="array" aca="1" ref="C22" ca="1">INDEX(Data_DBD!$C:$C,$A22)</f>
        <v>2</v>
      </c>
      <c r="D22" s="32" cm="1">
        <f t="array" aca="1" ref="D22" ca="1">INDEX(Data_DBD!$D:$D,$A22)</f>
        <v>12</v>
      </c>
      <c r="E22" s="32" cm="1">
        <f t="array" aca="1" ref="E22" ca="1">INDEX(Data_DBD!$E:$E,$A22)</f>
        <v>1</v>
      </c>
      <c r="F22" s="32" cm="1">
        <f t="array" aca="1" ref="F22" ca="1">INDEX(Data_DBD!$F:$F,$A22)</f>
        <v>2</v>
      </c>
      <c r="H22" s="32">
        <v>152</v>
      </c>
      <c r="I22" s="32">
        <v>47</v>
      </c>
      <c r="J22" s="32">
        <v>3</v>
      </c>
      <c r="K22" s="32">
        <v>21</v>
      </c>
      <c r="L22" s="32">
        <v>1</v>
      </c>
      <c r="M22" s="32">
        <v>3</v>
      </c>
    </row>
    <row r="23" spans="1:13">
      <c r="A23" s="32">
        <f t="shared" ca="1" si="0"/>
        <v>114</v>
      </c>
      <c r="B23" s="32" cm="1">
        <f t="array" aca="1" ref="B23" ca="1">INDEX(Data_DBD!$B:$B,$A23)</f>
        <v>14</v>
      </c>
      <c r="C23" s="32" cm="1">
        <f t="array" aca="1" ref="C23" ca="1">INDEX(Data_DBD!$C:$C,$A23)</f>
        <v>2</v>
      </c>
      <c r="D23" s="32" cm="1">
        <f t="array" aca="1" ref="D23" ca="1">INDEX(Data_DBD!$D:$D,$A23)</f>
        <v>33</v>
      </c>
      <c r="E23" s="32" cm="1">
        <f t="array" aca="1" ref="E23" ca="1">INDEX(Data_DBD!$E:$E,$A23)</f>
        <v>1</v>
      </c>
      <c r="F23" s="32" cm="1">
        <f t="array" aca="1" ref="F23" ca="1">INDEX(Data_DBD!$F:$F,$A23)</f>
        <v>3</v>
      </c>
      <c r="H23" s="32">
        <v>29</v>
      </c>
      <c r="I23" s="32">
        <v>19</v>
      </c>
      <c r="J23" s="32">
        <v>2</v>
      </c>
      <c r="K23" s="32">
        <v>14</v>
      </c>
      <c r="L23" s="32">
        <v>1</v>
      </c>
      <c r="M23" s="32">
        <v>2</v>
      </c>
    </row>
    <row r="24" spans="1:13">
      <c r="A24" s="32">
        <f t="shared" ca="1" si="0"/>
        <v>102</v>
      </c>
      <c r="B24" s="32" cm="1">
        <f t="array" aca="1" ref="B24" ca="1">INDEX(Data_DBD!$B:$B,$A24)</f>
        <v>41</v>
      </c>
      <c r="C24" s="32" cm="1">
        <f t="array" aca="1" ref="C24" ca="1">INDEX(Data_DBD!$C:$C,$A24)</f>
        <v>4</v>
      </c>
      <c r="D24" s="32" cm="1">
        <f t="array" aca="1" ref="D24" ca="1">INDEX(Data_DBD!$D:$D,$A24)</f>
        <v>18</v>
      </c>
      <c r="E24" s="32" cm="1">
        <f t="array" aca="1" ref="E24" ca="1">INDEX(Data_DBD!$E:$E,$A24)</f>
        <v>0</v>
      </c>
      <c r="F24" s="32" cm="1">
        <f t="array" aca="1" ref="F24" ca="1">INDEX(Data_DBD!$F:$F,$A24)</f>
        <v>3</v>
      </c>
      <c r="H24" s="32">
        <v>34</v>
      </c>
      <c r="I24" s="32">
        <v>55</v>
      </c>
      <c r="J24" s="32">
        <v>3</v>
      </c>
      <c r="K24" s="32">
        <v>14</v>
      </c>
      <c r="L24" s="32">
        <v>0</v>
      </c>
      <c r="M24" s="32">
        <v>2</v>
      </c>
    </row>
    <row r="25" spans="1:13">
      <c r="A25" s="32">
        <f t="shared" ca="1" si="0"/>
        <v>106</v>
      </c>
      <c r="B25" s="32" cm="1">
        <f t="array" aca="1" ref="B25" ca="1">INDEX(Data_DBD!$B:$B,$A25)</f>
        <v>23</v>
      </c>
      <c r="C25" s="32" cm="1">
        <f t="array" aca="1" ref="C25" ca="1">INDEX(Data_DBD!$C:$C,$A25)</f>
        <v>3</v>
      </c>
      <c r="D25" s="32" cm="1">
        <f t="array" aca="1" ref="D25" ca="1">INDEX(Data_DBD!$D:$D,$A25)</f>
        <v>18</v>
      </c>
      <c r="E25" s="32" cm="1">
        <f t="array" aca="1" ref="E25" ca="1">INDEX(Data_DBD!$E:$E,$A25)</f>
        <v>1</v>
      </c>
      <c r="F25" s="32" cm="1">
        <f t="array" aca="1" ref="F25" ca="1">INDEX(Data_DBD!$F:$F,$A25)</f>
        <v>3</v>
      </c>
      <c r="H25" s="32">
        <v>55</v>
      </c>
      <c r="I25" s="32">
        <v>7</v>
      </c>
      <c r="J25" s="32">
        <v>4</v>
      </c>
      <c r="K25" s="32">
        <v>15</v>
      </c>
      <c r="L25" s="32">
        <v>1</v>
      </c>
      <c r="M25" s="32">
        <v>2</v>
      </c>
    </row>
    <row r="26" spans="1:13">
      <c r="A26" s="32">
        <f t="shared" ca="1" si="0"/>
        <v>143</v>
      </c>
      <c r="B26" s="32" cm="1">
        <f t="array" aca="1" ref="B26" ca="1">INDEX(Data_DBD!$B:$B,$A26)</f>
        <v>20</v>
      </c>
      <c r="C26" s="32" cm="1">
        <f t="array" aca="1" ref="C26" ca="1">INDEX(Data_DBD!$C:$C,$A26)</f>
        <v>4</v>
      </c>
      <c r="D26" s="32" cm="1">
        <f t="array" aca="1" ref="D26" ca="1">INDEX(Data_DBD!$D:$D,$A26)</f>
        <v>21</v>
      </c>
      <c r="E26" s="32" cm="1">
        <f t="array" aca="1" ref="E26" ca="1">INDEX(Data_DBD!$E:$E,$A26)</f>
        <v>1</v>
      </c>
      <c r="F26" s="32" cm="1">
        <f t="array" aca="1" ref="F26" ca="1">INDEX(Data_DBD!$F:$F,$A26)</f>
        <v>3</v>
      </c>
      <c r="H26" s="32">
        <v>157</v>
      </c>
      <c r="I26" s="32">
        <v>15</v>
      </c>
      <c r="J26" s="32">
        <v>4</v>
      </c>
      <c r="K26" s="32">
        <v>21</v>
      </c>
      <c r="L26" s="32">
        <v>1</v>
      </c>
      <c r="M26" s="32">
        <v>3</v>
      </c>
    </row>
    <row r="27" spans="1:13">
      <c r="A27" s="32">
        <f t="shared" ca="1" si="0"/>
        <v>124</v>
      </c>
      <c r="B27" s="32" cm="1">
        <f t="array" aca="1" ref="B27" ca="1">INDEX(Data_DBD!$B:$B,$A27)</f>
        <v>24</v>
      </c>
      <c r="C27" s="32" cm="1">
        <f t="array" aca="1" ref="C27" ca="1">INDEX(Data_DBD!$C:$C,$A27)</f>
        <v>3</v>
      </c>
      <c r="D27" s="32" cm="1">
        <f t="array" aca="1" ref="D27" ca="1">INDEX(Data_DBD!$D:$D,$A27)</f>
        <v>33</v>
      </c>
      <c r="E27" s="32" cm="1">
        <f t="array" aca="1" ref="E27" ca="1">INDEX(Data_DBD!$E:$E,$A27)</f>
        <v>1</v>
      </c>
      <c r="F27" s="32" cm="1">
        <f t="array" aca="1" ref="F27" ca="1">INDEX(Data_DBD!$F:$F,$A27)</f>
        <v>3</v>
      </c>
      <c r="H27" s="32">
        <v>152</v>
      </c>
      <c r="I27" s="32">
        <v>47</v>
      </c>
      <c r="J27" s="32">
        <v>3</v>
      </c>
      <c r="K27" s="32">
        <v>21</v>
      </c>
      <c r="L27" s="32">
        <v>1</v>
      </c>
      <c r="M27" s="32">
        <v>3</v>
      </c>
    </row>
    <row r="28" spans="1:13">
      <c r="A28" s="32">
        <f t="shared" ca="1" si="0"/>
        <v>150</v>
      </c>
      <c r="B28" s="32" cm="1">
        <f t="array" aca="1" ref="B28" ca="1">INDEX(Data_DBD!$B:$B,$A28)</f>
        <v>61</v>
      </c>
      <c r="C28" s="32" cm="1">
        <f t="array" aca="1" ref="C28" ca="1">INDEX(Data_DBD!$C:$C,$A28)</f>
        <v>5</v>
      </c>
      <c r="D28" s="32" cm="1">
        <f t="array" aca="1" ref="D28" ca="1">INDEX(Data_DBD!$D:$D,$A28)</f>
        <v>21</v>
      </c>
      <c r="E28" s="32" cm="1">
        <f t="array" aca="1" ref="E28" ca="1">INDEX(Data_DBD!$E:$E,$A28)</f>
        <v>1</v>
      </c>
      <c r="F28" s="32" cm="1">
        <f t="array" aca="1" ref="F28" ca="1">INDEX(Data_DBD!$F:$F,$A28)</f>
        <v>3</v>
      </c>
      <c r="H28" s="32">
        <v>41</v>
      </c>
      <c r="I28" s="32">
        <v>8</v>
      </c>
      <c r="J28" s="32">
        <v>4</v>
      </c>
      <c r="K28" s="32">
        <v>13</v>
      </c>
      <c r="L28" s="32">
        <v>0</v>
      </c>
      <c r="M28" s="32">
        <v>2</v>
      </c>
    </row>
    <row r="29" spans="1:13">
      <c r="A29" s="32">
        <f t="shared" ca="1" si="0"/>
        <v>4</v>
      </c>
      <c r="B29" s="32" cm="1">
        <f t="array" aca="1" ref="B29" ca="1">INDEX(Data_DBD!$B:$B,$A29)</f>
        <v>23</v>
      </c>
      <c r="C29" s="32" cm="1">
        <f t="array" aca="1" ref="C29" ca="1">INDEX(Data_DBD!$C:$C,$A29)</f>
        <v>5</v>
      </c>
      <c r="D29" s="32" cm="1">
        <f t="array" aca="1" ref="D29" ca="1">INDEX(Data_DBD!$D:$D,$A29)</f>
        <v>12</v>
      </c>
      <c r="E29" s="32" cm="1">
        <f t="array" aca="1" ref="E29" ca="1">INDEX(Data_DBD!$E:$E,$A29)</f>
        <v>0</v>
      </c>
      <c r="F29" s="32" cm="1">
        <f t="array" aca="1" ref="F29" ca="1">INDEX(Data_DBD!$F:$F,$A29)</f>
        <v>2</v>
      </c>
      <c r="H29" s="32">
        <v>132</v>
      </c>
      <c r="I29" s="32">
        <v>10</v>
      </c>
      <c r="J29" s="32">
        <v>3</v>
      </c>
      <c r="K29" s="32">
        <v>33</v>
      </c>
      <c r="L29" s="32">
        <v>1</v>
      </c>
      <c r="M29" s="32">
        <v>3</v>
      </c>
    </row>
    <row r="30" spans="1:13">
      <c r="A30" s="32">
        <f t="shared" ca="1" si="0"/>
        <v>144</v>
      </c>
      <c r="B30" s="32" cm="1">
        <f t="array" aca="1" ref="B30" ca="1">INDEX(Data_DBD!$B:$B,$A30)</f>
        <v>61</v>
      </c>
      <c r="C30" s="32" cm="1">
        <f t="array" aca="1" ref="C30" ca="1">INDEX(Data_DBD!$C:$C,$A30)</f>
        <v>4</v>
      </c>
      <c r="D30" s="32" cm="1">
        <f t="array" aca="1" ref="D30" ca="1">INDEX(Data_DBD!$D:$D,$A30)</f>
        <v>21</v>
      </c>
      <c r="E30" s="32" cm="1">
        <f t="array" aca="1" ref="E30" ca="1">INDEX(Data_DBD!$E:$E,$A30)</f>
        <v>1</v>
      </c>
      <c r="F30" s="32" cm="1">
        <f t="array" aca="1" ref="F30" ca="1">INDEX(Data_DBD!$F:$F,$A30)</f>
        <v>3</v>
      </c>
      <c r="H30" s="32">
        <v>28</v>
      </c>
      <c r="I30" s="32">
        <v>22</v>
      </c>
      <c r="J30" s="32">
        <v>2</v>
      </c>
      <c r="K30" s="32">
        <v>14</v>
      </c>
      <c r="L30" s="32">
        <v>1</v>
      </c>
      <c r="M30" s="32">
        <v>2</v>
      </c>
    </row>
    <row r="31" spans="1:13">
      <c r="A31" s="32">
        <f t="shared" ca="1" si="0"/>
        <v>29</v>
      </c>
      <c r="B31" s="32" cm="1">
        <f t="array" aca="1" ref="B31" ca="1">INDEX(Data_DBD!$B:$B,$A31)</f>
        <v>19</v>
      </c>
      <c r="C31" s="32" cm="1">
        <f t="array" aca="1" ref="C31" ca="1">INDEX(Data_DBD!$C:$C,$A31)</f>
        <v>2</v>
      </c>
      <c r="D31" s="32" cm="1">
        <f t="array" aca="1" ref="D31" ca="1">INDEX(Data_DBD!$D:$D,$A31)</f>
        <v>14</v>
      </c>
      <c r="E31" s="32" cm="1">
        <f t="array" aca="1" ref="E31" ca="1">INDEX(Data_DBD!$E:$E,$A31)</f>
        <v>1</v>
      </c>
      <c r="F31" s="32" cm="1">
        <f t="array" aca="1" ref="F31" ca="1">INDEX(Data_DBD!$F:$F,$A31)</f>
        <v>2</v>
      </c>
      <c r="H31" s="32">
        <v>143</v>
      </c>
      <c r="I31" s="32">
        <v>20</v>
      </c>
      <c r="J31" s="32">
        <v>4</v>
      </c>
      <c r="K31" s="32">
        <v>21</v>
      </c>
      <c r="L31" s="32">
        <v>1</v>
      </c>
      <c r="M31" s="32">
        <v>3</v>
      </c>
    </row>
    <row r="32" spans="1:13">
      <c r="A32" s="32">
        <f t="shared" ca="1" si="0"/>
        <v>41</v>
      </c>
      <c r="B32" s="32" cm="1">
        <f t="array" aca="1" ref="B32" ca="1">INDEX(Data_DBD!$B:$B,$A32)</f>
        <v>8</v>
      </c>
      <c r="C32" s="32" cm="1">
        <f t="array" aca="1" ref="C32" ca="1">INDEX(Data_DBD!$C:$C,$A32)</f>
        <v>4</v>
      </c>
      <c r="D32" s="32" cm="1">
        <f t="array" aca="1" ref="D32" ca="1">INDEX(Data_DBD!$D:$D,$A32)</f>
        <v>13</v>
      </c>
      <c r="E32" s="32" cm="1">
        <f t="array" aca="1" ref="E32" ca="1">INDEX(Data_DBD!$E:$E,$A32)</f>
        <v>0</v>
      </c>
      <c r="F32" s="32" cm="1">
        <f t="array" aca="1" ref="F32" ca="1">INDEX(Data_DBD!$F:$F,$A32)</f>
        <v>2</v>
      </c>
      <c r="H32" s="32">
        <v>32</v>
      </c>
      <c r="I32" s="32">
        <v>54</v>
      </c>
      <c r="J32" s="32">
        <v>4</v>
      </c>
      <c r="K32" s="32">
        <v>14</v>
      </c>
      <c r="L32" s="32">
        <v>0</v>
      </c>
      <c r="M32" s="32">
        <v>2</v>
      </c>
    </row>
    <row r="33" spans="1:13">
      <c r="A33" s="32">
        <f t="shared" ca="1" si="0"/>
        <v>128</v>
      </c>
      <c r="B33" s="32" cm="1">
        <f t="array" aca="1" ref="B33" ca="1">INDEX(Data_DBD!$B:$B,$A33)</f>
        <v>38</v>
      </c>
      <c r="C33" s="32" cm="1">
        <f t="array" aca="1" ref="C33" ca="1">INDEX(Data_DBD!$C:$C,$A33)</f>
        <v>2</v>
      </c>
      <c r="D33" s="32" cm="1">
        <f t="array" aca="1" ref="D33" ca="1">INDEX(Data_DBD!$D:$D,$A33)</f>
        <v>33</v>
      </c>
      <c r="E33" s="32" cm="1">
        <f t="array" aca="1" ref="E33" ca="1">INDEX(Data_DBD!$E:$E,$A33)</f>
        <v>0</v>
      </c>
      <c r="F33" s="32" cm="1">
        <f t="array" aca="1" ref="F33" ca="1">INDEX(Data_DBD!$F:$F,$A33)</f>
        <v>3</v>
      </c>
      <c r="H33" s="32">
        <v>64</v>
      </c>
      <c r="I33" s="32">
        <v>35</v>
      </c>
      <c r="J33" s="32">
        <v>1</v>
      </c>
      <c r="K33" s="32">
        <v>15</v>
      </c>
      <c r="L33" s="32">
        <v>0</v>
      </c>
      <c r="M33" s="32">
        <v>2</v>
      </c>
    </row>
    <row r="34" spans="1:13">
      <c r="A34" s="32">
        <f t="shared" ca="1" si="0"/>
        <v>135</v>
      </c>
      <c r="B34" s="32" cm="1">
        <f t="array" aca="1" ref="B34" ca="1">INDEX(Data_DBD!$B:$B,$A34)</f>
        <v>10</v>
      </c>
      <c r="C34" s="32" cm="1">
        <f t="array" aca="1" ref="C34" ca="1">INDEX(Data_DBD!$C:$C,$A34)</f>
        <v>2</v>
      </c>
      <c r="D34" s="32" cm="1">
        <f t="array" aca="1" ref="D34" ca="1">INDEX(Data_DBD!$D:$D,$A34)</f>
        <v>33</v>
      </c>
      <c r="E34" s="32" cm="1">
        <f t="array" aca="1" ref="E34" ca="1">INDEX(Data_DBD!$E:$E,$A34)</f>
        <v>0</v>
      </c>
      <c r="F34" s="32" cm="1">
        <f t="array" aca="1" ref="F34" ca="1">INDEX(Data_DBD!$F:$F,$A34)</f>
        <v>3</v>
      </c>
      <c r="H34" s="32">
        <v>27</v>
      </c>
      <c r="I34" s="32">
        <v>37</v>
      </c>
      <c r="J34" s="32">
        <v>4</v>
      </c>
      <c r="K34" s="32">
        <v>14</v>
      </c>
      <c r="L34" s="32">
        <v>1</v>
      </c>
      <c r="M34" s="32">
        <v>2</v>
      </c>
    </row>
    <row r="35" spans="1:13">
      <c r="A35" s="32">
        <f t="shared" ca="1" si="0"/>
        <v>99</v>
      </c>
      <c r="B35" s="32" cm="1">
        <f t="array" aca="1" ref="B35" ca="1">INDEX(Data_DBD!$B:$B,$A35)</f>
        <v>4</v>
      </c>
      <c r="C35" s="32" cm="1">
        <f t="array" aca="1" ref="C35" ca="1">INDEX(Data_DBD!$C:$C,$A35)</f>
        <v>2</v>
      </c>
      <c r="D35" s="32" cm="1">
        <f t="array" aca="1" ref="D35" ca="1">INDEX(Data_DBD!$D:$D,$A35)</f>
        <v>18</v>
      </c>
      <c r="E35" s="32" cm="1">
        <f t="array" aca="1" ref="E35" ca="1">INDEX(Data_DBD!$E:$E,$A35)</f>
        <v>1</v>
      </c>
      <c r="F35" s="32" cm="1">
        <f t="array" aca="1" ref="F35" ca="1">INDEX(Data_DBD!$F:$F,$A35)</f>
        <v>3</v>
      </c>
      <c r="H35" s="32">
        <v>78</v>
      </c>
      <c r="I35" s="32">
        <v>6</v>
      </c>
      <c r="J35" s="32">
        <v>3</v>
      </c>
      <c r="K35" s="32">
        <v>13</v>
      </c>
      <c r="L35" s="32">
        <v>0</v>
      </c>
      <c r="M35" s="32">
        <v>2</v>
      </c>
    </row>
    <row r="36" spans="1:13">
      <c r="A36" s="32">
        <f t="shared" ca="1" si="0"/>
        <v>127</v>
      </c>
      <c r="B36" s="32" cm="1">
        <f t="array" aca="1" ref="B36" ca="1">INDEX(Data_DBD!$B:$B,$A36)</f>
        <v>21</v>
      </c>
      <c r="C36" s="32" cm="1">
        <f t="array" aca="1" ref="C36" ca="1">INDEX(Data_DBD!$C:$C,$A36)</f>
        <v>2</v>
      </c>
      <c r="D36" s="32" cm="1">
        <f t="array" aca="1" ref="D36" ca="1">INDEX(Data_DBD!$D:$D,$A36)</f>
        <v>33</v>
      </c>
      <c r="E36" s="32" cm="1">
        <f t="array" aca="1" ref="E36" ca="1">INDEX(Data_DBD!$E:$E,$A36)</f>
        <v>0</v>
      </c>
      <c r="F36" s="32" cm="1">
        <f t="array" aca="1" ref="F36" ca="1">INDEX(Data_DBD!$F:$F,$A36)</f>
        <v>3</v>
      </c>
      <c r="H36" s="32">
        <v>108</v>
      </c>
      <c r="I36" s="32">
        <v>69</v>
      </c>
      <c r="J36" s="32">
        <v>7</v>
      </c>
      <c r="K36" s="32">
        <v>33</v>
      </c>
      <c r="L36" s="32">
        <v>1</v>
      </c>
      <c r="M36" s="32">
        <v>3</v>
      </c>
    </row>
    <row r="37" spans="1:13">
      <c r="A37" s="32">
        <f t="shared" ca="1" si="0"/>
        <v>116</v>
      </c>
      <c r="B37" s="32" cm="1">
        <f t="array" aca="1" ref="B37" ca="1">INDEX(Data_DBD!$B:$B,$A37)</f>
        <v>32</v>
      </c>
      <c r="C37" s="32" cm="1">
        <f t="array" aca="1" ref="C37" ca="1">INDEX(Data_DBD!$C:$C,$A37)</f>
        <v>4</v>
      </c>
      <c r="D37" s="32" cm="1">
        <f t="array" aca="1" ref="D37" ca="1">INDEX(Data_DBD!$D:$D,$A37)</f>
        <v>33</v>
      </c>
      <c r="E37" s="32" cm="1">
        <f t="array" aca="1" ref="E37" ca="1">INDEX(Data_DBD!$E:$E,$A37)</f>
        <v>1</v>
      </c>
      <c r="F37" s="32" cm="1">
        <f t="array" aca="1" ref="F37" ca="1">INDEX(Data_DBD!$F:$F,$A37)</f>
        <v>3</v>
      </c>
      <c r="H37" s="32">
        <v>96</v>
      </c>
      <c r="I37" s="32">
        <v>56</v>
      </c>
      <c r="J37" s="32">
        <v>4</v>
      </c>
      <c r="K37" s="32">
        <v>18</v>
      </c>
      <c r="L37" s="32">
        <v>0</v>
      </c>
      <c r="M37" s="32">
        <v>3</v>
      </c>
    </row>
    <row r="38" spans="1:13">
      <c r="A38" s="32">
        <f t="shared" ca="1" si="0"/>
        <v>153</v>
      </c>
      <c r="B38" s="32" cm="1">
        <f t="array" aca="1" ref="B38" ca="1">INDEX(Data_DBD!$B:$B,$A38)</f>
        <v>73</v>
      </c>
      <c r="C38" s="32" cm="1">
        <f t="array" aca="1" ref="C38" ca="1">INDEX(Data_DBD!$C:$C,$A38)</f>
        <v>7</v>
      </c>
      <c r="D38" s="32" cm="1">
        <f t="array" aca="1" ref="D38" ca="1">INDEX(Data_DBD!$D:$D,$A38)</f>
        <v>21</v>
      </c>
      <c r="E38" s="32" cm="1">
        <f t="array" aca="1" ref="E38" ca="1">INDEX(Data_DBD!$E:$E,$A38)</f>
        <v>1</v>
      </c>
      <c r="F38" s="32" cm="1">
        <f t="array" aca="1" ref="F38" ca="1">INDEX(Data_DBD!$F:$F,$A38)</f>
        <v>3</v>
      </c>
      <c r="H38" s="32">
        <v>36</v>
      </c>
      <c r="I38" s="32">
        <v>27</v>
      </c>
      <c r="J38" s="32">
        <v>1</v>
      </c>
      <c r="K38" s="32">
        <v>4</v>
      </c>
      <c r="L38" s="32">
        <v>1</v>
      </c>
      <c r="M38" s="32">
        <v>1</v>
      </c>
    </row>
    <row r="39" spans="1:13">
      <c r="A39" s="32">
        <f t="shared" ca="1" si="0"/>
        <v>49</v>
      </c>
      <c r="B39" s="32" cm="1">
        <f t="array" aca="1" ref="B39" ca="1">INDEX(Data_DBD!$B:$B,$A39)</f>
        <v>64</v>
      </c>
      <c r="C39" s="32" cm="1">
        <f t="array" aca="1" ref="C39" ca="1">INDEX(Data_DBD!$C:$C,$A39)</f>
        <v>5</v>
      </c>
      <c r="D39" s="32" cm="1">
        <f t="array" aca="1" ref="D39" ca="1">INDEX(Data_DBD!$D:$D,$A39)</f>
        <v>13</v>
      </c>
      <c r="E39" s="32" cm="1">
        <f t="array" aca="1" ref="E39" ca="1">INDEX(Data_DBD!$E:$E,$A39)</f>
        <v>0</v>
      </c>
      <c r="F39" s="32" cm="1">
        <f t="array" aca="1" ref="F39" ca="1">INDEX(Data_DBD!$F:$F,$A39)</f>
        <v>2</v>
      </c>
      <c r="H39" s="32">
        <v>76</v>
      </c>
      <c r="I39" s="32">
        <v>70</v>
      </c>
      <c r="J39" s="32">
        <v>2</v>
      </c>
      <c r="K39" s="32">
        <v>10</v>
      </c>
      <c r="L39" s="32">
        <v>0</v>
      </c>
      <c r="M39" s="32">
        <v>2</v>
      </c>
    </row>
    <row r="40" spans="1:13">
      <c r="A40" s="32">
        <f t="shared" ca="1" si="0"/>
        <v>12</v>
      </c>
      <c r="B40" s="32" cm="1">
        <f t="array" aca="1" ref="B40" ca="1">INDEX(Data_DBD!$B:$B,$A40)</f>
        <v>23</v>
      </c>
      <c r="C40" s="32" cm="1">
        <f t="array" aca="1" ref="C40" ca="1">INDEX(Data_DBD!$C:$C,$A40)</f>
        <v>3</v>
      </c>
      <c r="D40" s="32" cm="1">
        <f t="array" aca="1" ref="D40" ca="1">INDEX(Data_DBD!$D:$D,$A40)</f>
        <v>12</v>
      </c>
      <c r="E40" s="32" cm="1">
        <f t="array" aca="1" ref="E40" ca="1">INDEX(Data_DBD!$E:$E,$A40)</f>
        <v>0</v>
      </c>
      <c r="F40" s="32" cm="1">
        <f t="array" aca="1" ref="F40" ca="1">INDEX(Data_DBD!$F:$F,$A40)</f>
        <v>2</v>
      </c>
      <c r="H40" s="32">
        <v>80</v>
      </c>
      <c r="I40" s="32">
        <v>27</v>
      </c>
      <c r="J40" s="32">
        <v>3</v>
      </c>
      <c r="K40" s="32">
        <v>13</v>
      </c>
      <c r="L40" s="32">
        <v>1</v>
      </c>
      <c r="M40" s="32">
        <v>2</v>
      </c>
    </row>
    <row r="41" spans="1:13">
      <c r="A41" s="32">
        <f t="shared" ca="1" si="0"/>
        <v>61</v>
      </c>
      <c r="B41" s="32" cm="1">
        <f t="array" aca="1" ref="B41" ca="1">INDEX(Data_DBD!$B:$B,$A41)</f>
        <v>29</v>
      </c>
      <c r="C41" s="32" cm="1">
        <f t="array" aca="1" ref="C41" ca="1">INDEX(Data_DBD!$C:$C,$A41)</f>
        <v>3</v>
      </c>
      <c r="D41" s="32" cm="1">
        <f t="array" aca="1" ref="D41" ca="1">INDEX(Data_DBD!$D:$D,$A41)</f>
        <v>15</v>
      </c>
      <c r="E41" s="32" cm="1">
        <f t="array" aca="1" ref="E41" ca="1">INDEX(Data_DBD!$E:$E,$A41)</f>
        <v>1</v>
      </c>
      <c r="F41" s="32" cm="1">
        <f t="array" aca="1" ref="F41" ca="1">INDEX(Data_DBD!$F:$F,$A41)</f>
        <v>2</v>
      </c>
      <c r="H41" s="32">
        <v>74</v>
      </c>
      <c r="I41" s="32">
        <v>9</v>
      </c>
      <c r="J41" s="32">
        <v>4</v>
      </c>
      <c r="K41" s="32">
        <v>10</v>
      </c>
      <c r="L41" s="32">
        <v>0</v>
      </c>
      <c r="M41" s="32">
        <v>2</v>
      </c>
    </row>
    <row r="42" spans="1:13">
      <c r="A42" s="32">
        <f t="shared" ca="1" si="0"/>
        <v>164</v>
      </c>
      <c r="B42" s="32" cm="1">
        <f t="array" aca="1" ref="B42" ca="1">INDEX(Data_DBD!$B:$B,$A42)</f>
        <v>10</v>
      </c>
      <c r="C42" s="32" cm="1">
        <f t="array" aca="1" ref="C42" ca="1">INDEX(Data_DBD!$C:$C,$A42)</f>
        <v>6</v>
      </c>
      <c r="D42" s="32" cm="1">
        <f t="array" aca="1" ref="D42" ca="1">INDEX(Data_DBD!$D:$D,$A42)</f>
        <v>3</v>
      </c>
      <c r="E42" s="32" cm="1">
        <f t="array" aca="1" ref="E42" ca="1">INDEX(Data_DBD!$E:$E,$A42)</f>
        <v>0</v>
      </c>
      <c r="F42" s="32" cm="1">
        <f t="array" aca="1" ref="F42" ca="1">INDEX(Data_DBD!$F:$F,$A42)</f>
        <v>1</v>
      </c>
      <c r="H42" s="32">
        <v>3</v>
      </c>
      <c r="I42" s="32">
        <v>43</v>
      </c>
      <c r="J42" s="32">
        <v>3</v>
      </c>
      <c r="K42" s="32">
        <v>12</v>
      </c>
      <c r="L42" s="32">
        <v>1</v>
      </c>
      <c r="M42" s="32">
        <v>2</v>
      </c>
    </row>
    <row r="43" spans="1:13">
      <c r="A43" s="32">
        <f t="shared" ca="1" si="0"/>
        <v>15</v>
      </c>
      <c r="B43" s="32" cm="1">
        <f t="array" aca="1" ref="B43" ca="1">INDEX(Data_DBD!$B:$B,$A43)</f>
        <v>21</v>
      </c>
      <c r="C43" s="32" cm="1">
        <f t="array" aca="1" ref="C43" ca="1">INDEX(Data_DBD!$C:$C,$A43)</f>
        <v>2</v>
      </c>
      <c r="D43" s="32" cm="1">
        <f t="array" aca="1" ref="D43" ca="1">INDEX(Data_DBD!$D:$D,$A43)</f>
        <v>7</v>
      </c>
      <c r="E43" s="32" cm="1">
        <f t="array" aca="1" ref="E43" ca="1">INDEX(Data_DBD!$E:$E,$A43)</f>
        <v>0</v>
      </c>
      <c r="F43" s="32" cm="1">
        <f t="array" aca="1" ref="F43" ca="1">INDEX(Data_DBD!$F:$F,$A43)</f>
        <v>1</v>
      </c>
      <c r="H43" s="32">
        <v>87</v>
      </c>
      <c r="I43" s="32">
        <v>21</v>
      </c>
      <c r="J43" s="32">
        <v>3</v>
      </c>
      <c r="K43" s="32">
        <v>13</v>
      </c>
      <c r="L43" s="32">
        <v>0</v>
      </c>
      <c r="M43" s="32">
        <v>2</v>
      </c>
    </row>
    <row r="44" spans="1:13">
      <c r="A44" s="32">
        <f t="shared" ca="1" si="0"/>
        <v>154</v>
      </c>
      <c r="B44" s="32" cm="1">
        <f t="array" aca="1" ref="B44" ca="1">INDEX(Data_DBD!$B:$B,$A44)</f>
        <v>18</v>
      </c>
      <c r="C44" s="32" cm="1">
        <f t="array" aca="1" ref="C44" ca="1">INDEX(Data_DBD!$C:$C,$A44)</f>
        <v>5</v>
      </c>
      <c r="D44" s="32" cm="1">
        <f t="array" aca="1" ref="D44" ca="1">INDEX(Data_DBD!$D:$D,$A44)</f>
        <v>21</v>
      </c>
      <c r="E44" s="32" cm="1">
        <f t="array" aca="1" ref="E44" ca="1">INDEX(Data_DBD!$E:$E,$A44)</f>
        <v>1</v>
      </c>
      <c r="F44" s="32" cm="1">
        <f t="array" aca="1" ref="F44" ca="1">INDEX(Data_DBD!$F:$F,$A44)</f>
        <v>3</v>
      </c>
      <c r="H44" s="32">
        <v>55</v>
      </c>
      <c r="I44" s="32">
        <v>7</v>
      </c>
      <c r="J44" s="32">
        <v>4</v>
      </c>
      <c r="K44" s="32">
        <v>15</v>
      </c>
      <c r="L44" s="32">
        <v>1</v>
      </c>
      <c r="M44" s="32">
        <v>2</v>
      </c>
    </row>
    <row r="45" spans="1:13">
      <c r="A45" s="32">
        <f t="shared" ca="1" si="0"/>
        <v>103</v>
      </c>
      <c r="B45" s="32" cm="1">
        <f t="array" aca="1" ref="B45" ca="1">INDEX(Data_DBD!$B:$B,$A45)</f>
        <v>22</v>
      </c>
      <c r="C45" s="32" cm="1">
        <f t="array" aca="1" ref="C45" ca="1">INDEX(Data_DBD!$C:$C,$A45)</f>
        <v>5</v>
      </c>
      <c r="D45" s="32" cm="1">
        <f t="array" aca="1" ref="D45" ca="1">INDEX(Data_DBD!$D:$D,$A45)</f>
        <v>18</v>
      </c>
      <c r="E45" s="32" cm="1">
        <f t="array" aca="1" ref="E45" ca="1">INDEX(Data_DBD!$E:$E,$A45)</f>
        <v>0</v>
      </c>
      <c r="F45" s="32" cm="1">
        <f t="array" aca="1" ref="F45" ca="1">INDEX(Data_DBD!$F:$F,$A45)</f>
        <v>3</v>
      </c>
      <c r="H45" s="32">
        <v>17</v>
      </c>
      <c r="I45" s="32">
        <v>2</v>
      </c>
      <c r="J45" s="32">
        <v>3</v>
      </c>
      <c r="K45" s="32">
        <v>7</v>
      </c>
      <c r="L45" s="32">
        <v>0</v>
      </c>
      <c r="M45" s="32">
        <v>1</v>
      </c>
    </row>
    <row r="46" spans="1:13">
      <c r="A46" s="32">
        <f t="shared" ca="1" si="0"/>
        <v>88</v>
      </c>
      <c r="B46" s="32" cm="1">
        <f t="array" aca="1" ref="B46" ca="1">INDEX(Data_DBD!$B:$B,$A46)</f>
        <v>20</v>
      </c>
      <c r="C46" s="32" cm="1">
        <f t="array" aca="1" ref="C46" ca="1">INDEX(Data_DBD!$C:$C,$A46)</f>
        <v>4</v>
      </c>
      <c r="D46" s="32" cm="1">
        <f t="array" aca="1" ref="D46" ca="1">INDEX(Data_DBD!$D:$D,$A46)</f>
        <v>13</v>
      </c>
      <c r="E46" s="32" cm="1">
        <f t="array" aca="1" ref="E46" ca="1">INDEX(Data_DBD!$E:$E,$A46)</f>
        <v>1</v>
      </c>
      <c r="F46" s="32" cm="1">
        <f t="array" aca="1" ref="F46" ca="1">INDEX(Data_DBD!$F:$F,$A46)</f>
        <v>2</v>
      </c>
      <c r="H46" s="32">
        <v>20</v>
      </c>
      <c r="I46" s="32">
        <v>15</v>
      </c>
      <c r="J46" s="32">
        <v>5</v>
      </c>
      <c r="K46" s="32">
        <v>7</v>
      </c>
      <c r="L46" s="32">
        <v>0</v>
      </c>
      <c r="M46" s="32">
        <v>1</v>
      </c>
    </row>
    <row r="47" spans="1:13">
      <c r="A47" s="32">
        <f t="shared" ca="1" si="0"/>
        <v>17</v>
      </c>
      <c r="B47" s="32" cm="1">
        <f t="array" aca="1" ref="B47" ca="1">INDEX(Data_DBD!$B:$B,$A47)</f>
        <v>2</v>
      </c>
      <c r="C47" s="32" cm="1">
        <f t="array" aca="1" ref="C47" ca="1">INDEX(Data_DBD!$C:$C,$A47)</f>
        <v>3</v>
      </c>
      <c r="D47" s="32" cm="1">
        <f t="array" aca="1" ref="D47" ca="1">INDEX(Data_DBD!$D:$D,$A47)</f>
        <v>7</v>
      </c>
      <c r="E47" s="32" cm="1">
        <f t="array" aca="1" ref="E47" ca="1">INDEX(Data_DBD!$E:$E,$A47)</f>
        <v>0</v>
      </c>
      <c r="F47" s="32" cm="1">
        <f t="array" aca="1" ref="F47" ca="1">INDEX(Data_DBD!$F:$F,$A47)</f>
        <v>1</v>
      </c>
      <c r="H47" s="32">
        <v>76</v>
      </c>
      <c r="I47" s="32">
        <v>70</v>
      </c>
      <c r="J47" s="32">
        <v>2</v>
      </c>
      <c r="K47" s="32">
        <v>10</v>
      </c>
      <c r="L47" s="32">
        <v>0</v>
      </c>
      <c r="M47" s="32">
        <v>2</v>
      </c>
    </row>
    <row r="48" spans="1:13">
      <c r="A48" s="32">
        <f t="shared" ca="1" si="0"/>
        <v>106</v>
      </c>
      <c r="B48" s="32" cm="1">
        <f t="array" aca="1" ref="B48" ca="1">INDEX(Data_DBD!$B:$B,$A48)</f>
        <v>23</v>
      </c>
      <c r="C48" s="32" cm="1">
        <f t="array" aca="1" ref="C48" ca="1">INDEX(Data_DBD!$C:$C,$A48)</f>
        <v>3</v>
      </c>
      <c r="D48" s="32" cm="1">
        <f t="array" aca="1" ref="D48" ca="1">INDEX(Data_DBD!$D:$D,$A48)</f>
        <v>18</v>
      </c>
      <c r="E48" s="32" cm="1">
        <f t="array" aca="1" ref="E48" ca="1">INDEX(Data_DBD!$E:$E,$A48)</f>
        <v>1</v>
      </c>
      <c r="F48" s="32" cm="1">
        <f t="array" aca="1" ref="F48" ca="1">INDEX(Data_DBD!$F:$F,$A48)</f>
        <v>3</v>
      </c>
      <c r="H48" s="32">
        <v>77</v>
      </c>
      <c r="I48" s="32">
        <v>16</v>
      </c>
      <c r="J48" s="32">
        <v>4</v>
      </c>
      <c r="K48" s="32">
        <v>13</v>
      </c>
      <c r="L48" s="32">
        <v>1</v>
      </c>
      <c r="M48" s="32">
        <v>2</v>
      </c>
    </row>
    <row r="49" spans="1:13">
      <c r="A49" s="32">
        <f t="shared" ca="1" si="0"/>
        <v>117</v>
      </c>
      <c r="B49" s="32" cm="1">
        <f t="array" aca="1" ref="B49" ca="1">INDEX(Data_DBD!$B:$B,$A49)</f>
        <v>49</v>
      </c>
      <c r="C49" s="32" cm="1">
        <f t="array" aca="1" ref="C49" ca="1">INDEX(Data_DBD!$C:$C,$A49)</f>
        <v>4</v>
      </c>
      <c r="D49" s="32" cm="1">
        <f t="array" aca="1" ref="D49" ca="1">INDEX(Data_DBD!$D:$D,$A49)</f>
        <v>33</v>
      </c>
      <c r="E49" s="32" cm="1">
        <f t="array" aca="1" ref="E49" ca="1">INDEX(Data_DBD!$E:$E,$A49)</f>
        <v>1</v>
      </c>
      <c r="F49" s="32" cm="1">
        <f t="array" aca="1" ref="F49" ca="1">INDEX(Data_DBD!$F:$F,$A49)</f>
        <v>3</v>
      </c>
      <c r="H49" s="32">
        <v>134</v>
      </c>
      <c r="I49" s="32">
        <v>4</v>
      </c>
      <c r="J49" s="32">
        <v>2</v>
      </c>
      <c r="K49" s="32">
        <v>33</v>
      </c>
      <c r="L49" s="32">
        <v>1</v>
      </c>
      <c r="M49" s="32">
        <v>3</v>
      </c>
    </row>
    <row r="50" spans="1:13">
      <c r="A50" s="32">
        <f t="shared" ca="1" si="0"/>
        <v>79</v>
      </c>
      <c r="B50" s="32" cm="1">
        <f t="array" aca="1" ref="B50" ca="1">INDEX(Data_DBD!$B:$B,$A50)</f>
        <v>29</v>
      </c>
      <c r="C50" s="32" cm="1">
        <f t="array" aca="1" ref="C50" ca="1">INDEX(Data_DBD!$C:$C,$A50)</f>
        <v>3</v>
      </c>
      <c r="D50" s="32" cm="1">
        <f t="array" aca="1" ref="D50" ca="1">INDEX(Data_DBD!$D:$D,$A50)</f>
        <v>13</v>
      </c>
      <c r="E50" s="32" cm="1">
        <f t="array" aca="1" ref="E50" ca="1">INDEX(Data_DBD!$E:$E,$A50)</f>
        <v>0</v>
      </c>
      <c r="F50" s="32" cm="1">
        <f t="array" aca="1" ref="F50" ca="1">INDEX(Data_DBD!$F:$F,$A50)</f>
        <v>2</v>
      </c>
      <c r="H50" s="32">
        <v>7</v>
      </c>
      <c r="I50" s="32">
        <v>12</v>
      </c>
      <c r="J50" s="32">
        <v>1</v>
      </c>
      <c r="K50" s="32">
        <v>12</v>
      </c>
      <c r="L50" s="32">
        <v>1</v>
      </c>
      <c r="M50" s="32">
        <v>2</v>
      </c>
    </row>
    <row r="51" spans="1:13">
      <c r="A51" s="32">
        <f t="shared" ca="1" si="0"/>
        <v>137</v>
      </c>
      <c r="B51" s="32" cm="1">
        <f t="array" aca="1" ref="B51" ca="1">INDEX(Data_DBD!$B:$B,$A51)</f>
        <v>3.5</v>
      </c>
      <c r="C51" s="32" cm="1">
        <f t="array" aca="1" ref="C51" ca="1">INDEX(Data_DBD!$C:$C,$A51)</f>
        <v>1</v>
      </c>
      <c r="D51" s="32" cm="1">
        <f t="array" aca="1" ref="D51" ca="1">INDEX(Data_DBD!$D:$D,$A51)</f>
        <v>33</v>
      </c>
      <c r="E51" s="32" cm="1">
        <f t="array" aca="1" ref="E51" ca="1">INDEX(Data_DBD!$E:$E,$A51)</f>
        <v>1</v>
      </c>
      <c r="F51" s="32" cm="1">
        <f t="array" aca="1" ref="F51" ca="1">INDEX(Data_DBD!$F:$F,$A51)</f>
        <v>3</v>
      </c>
      <c r="H51" s="32">
        <v>114</v>
      </c>
      <c r="I51" s="32">
        <v>14</v>
      </c>
      <c r="J51" s="32">
        <v>2</v>
      </c>
      <c r="K51" s="32">
        <v>33</v>
      </c>
      <c r="L51" s="32">
        <v>1</v>
      </c>
      <c r="M51" s="32">
        <v>3</v>
      </c>
    </row>
    <row r="52" spans="1:13">
      <c r="A52" s="32">
        <f t="shared" ca="1" si="0"/>
        <v>16</v>
      </c>
      <c r="B52" s="32" cm="1">
        <f t="array" aca="1" ref="B52" ca="1">INDEX(Data_DBD!$B:$B,$A52)</f>
        <v>66</v>
      </c>
      <c r="C52" s="32" cm="1">
        <f t="array" aca="1" ref="C52" ca="1">INDEX(Data_DBD!$C:$C,$A52)</f>
        <v>5</v>
      </c>
      <c r="D52" s="32" cm="1">
        <f t="array" aca="1" ref="D52" ca="1">INDEX(Data_DBD!$D:$D,$A52)</f>
        <v>7</v>
      </c>
      <c r="E52" s="32" cm="1">
        <f t="array" aca="1" ref="E52" ca="1">INDEX(Data_DBD!$E:$E,$A52)</f>
        <v>1</v>
      </c>
      <c r="F52" s="32" cm="1">
        <f t="array" aca="1" ref="F52" ca="1">INDEX(Data_DBD!$F:$F,$A52)</f>
        <v>1</v>
      </c>
      <c r="H52" s="32">
        <v>46</v>
      </c>
      <c r="I52" s="32">
        <v>62</v>
      </c>
      <c r="J52" s="32">
        <v>2</v>
      </c>
      <c r="K52" s="32">
        <v>13</v>
      </c>
      <c r="L52" s="32">
        <v>0</v>
      </c>
      <c r="M52" s="32">
        <v>2</v>
      </c>
    </row>
    <row r="53" spans="1:13">
      <c r="A53" s="32">
        <f t="shared" ca="1" si="0"/>
        <v>159</v>
      </c>
      <c r="B53" s="32" cm="1">
        <f t="array" aca="1" ref="B53" ca="1">INDEX(Data_DBD!$B:$B,$A53)</f>
        <v>17</v>
      </c>
      <c r="C53" s="32" cm="1">
        <f t="array" aca="1" ref="C53" ca="1">INDEX(Data_DBD!$C:$C,$A53)</f>
        <v>2</v>
      </c>
      <c r="D53" s="32" cm="1">
        <f t="array" aca="1" ref="D53" ca="1">INDEX(Data_DBD!$D:$D,$A53)</f>
        <v>21</v>
      </c>
      <c r="E53" s="32" cm="1">
        <f t="array" aca="1" ref="E53" ca="1">INDEX(Data_DBD!$E:$E,$A53)</f>
        <v>0</v>
      </c>
      <c r="F53" s="32" cm="1">
        <f t="array" aca="1" ref="F53" ca="1">INDEX(Data_DBD!$F:$F,$A53)</f>
        <v>3</v>
      </c>
      <c r="H53" s="32">
        <v>78</v>
      </c>
      <c r="I53" s="32">
        <v>6</v>
      </c>
      <c r="J53" s="32">
        <v>3</v>
      </c>
      <c r="K53" s="32">
        <v>13</v>
      </c>
      <c r="L53" s="32">
        <v>0</v>
      </c>
      <c r="M53" s="32">
        <v>2</v>
      </c>
    </row>
    <row r="54" spans="1:13">
      <c r="A54" s="32">
        <f t="shared" ca="1" si="0"/>
        <v>3</v>
      </c>
      <c r="B54" s="32" cm="1">
        <f t="array" aca="1" ref="B54" ca="1">INDEX(Data_DBD!$B:$B,$A54)</f>
        <v>43</v>
      </c>
      <c r="C54" s="32" cm="1">
        <f t="array" aca="1" ref="C54" ca="1">INDEX(Data_DBD!$C:$C,$A54)</f>
        <v>3</v>
      </c>
      <c r="D54" s="32" cm="1">
        <f t="array" aca="1" ref="D54" ca="1">INDEX(Data_DBD!$D:$D,$A54)</f>
        <v>12</v>
      </c>
      <c r="E54" s="32" cm="1">
        <f t="array" aca="1" ref="E54" ca="1">INDEX(Data_DBD!$E:$E,$A54)</f>
        <v>1</v>
      </c>
      <c r="F54" s="32" cm="1">
        <f t="array" aca="1" ref="F54" ca="1">INDEX(Data_DBD!$F:$F,$A54)</f>
        <v>2</v>
      </c>
      <c r="H54" s="32">
        <v>41</v>
      </c>
      <c r="I54" s="32">
        <v>8</v>
      </c>
      <c r="J54" s="32">
        <v>4</v>
      </c>
      <c r="K54" s="32">
        <v>13</v>
      </c>
      <c r="L54" s="32">
        <v>0</v>
      </c>
      <c r="M54" s="32">
        <v>2</v>
      </c>
    </row>
    <row r="55" spans="1:13">
      <c r="A55" s="32">
        <f t="shared" ca="1" si="0"/>
        <v>74</v>
      </c>
      <c r="B55" s="32" cm="1">
        <f t="array" aca="1" ref="B55" ca="1">INDEX(Data_DBD!$B:$B,$A55)</f>
        <v>9</v>
      </c>
      <c r="C55" s="32" cm="1">
        <f t="array" aca="1" ref="C55" ca="1">INDEX(Data_DBD!$C:$C,$A55)</f>
        <v>4</v>
      </c>
      <c r="D55" s="32" cm="1">
        <f t="array" aca="1" ref="D55" ca="1">INDEX(Data_DBD!$D:$D,$A55)</f>
        <v>10</v>
      </c>
      <c r="E55" s="32" cm="1">
        <f t="array" aca="1" ref="E55" ca="1">INDEX(Data_DBD!$E:$E,$A55)</f>
        <v>0</v>
      </c>
      <c r="F55" s="32" cm="1">
        <f t="array" aca="1" ref="F55" ca="1">INDEX(Data_DBD!$F:$F,$A55)</f>
        <v>2</v>
      </c>
      <c r="H55" s="32">
        <v>21</v>
      </c>
      <c r="I55" s="32">
        <v>10</v>
      </c>
      <c r="J55" s="32">
        <v>5</v>
      </c>
      <c r="K55" s="32">
        <v>14</v>
      </c>
      <c r="L55" s="32">
        <v>1</v>
      </c>
      <c r="M55" s="32">
        <v>2</v>
      </c>
    </row>
    <row r="56" spans="1:13">
      <c r="A56" s="32">
        <f t="shared" ca="1" si="0"/>
        <v>147</v>
      </c>
      <c r="B56" s="32" cm="1">
        <f t="array" aca="1" ref="B56" ca="1">INDEX(Data_DBD!$B:$B,$A56)</f>
        <v>66</v>
      </c>
      <c r="C56" s="32" cm="1">
        <f t="array" aca="1" ref="C56" ca="1">INDEX(Data_DBD!$C:$C,$A56)</f>
        <v>10</v>
      </c>
      <c r="D56" s="32" cm="1">
        <f t="array" aca="1" ref="D56" ca="1">INDEX(Data_DBD!$D:$D,$A56)</f>
        <v>21</v>
      </c>
      <c r="E56" s="32" cm="1">
        <f t="array" aca="1" ref="E56" ca="1">INDEX(Data_DBD!$E:$E,$A56)</f>
        <v>1</v>
      </c>
      <c r="F56" s="32" cm="1">
        <f t="array" aca="1" ref="F56" ca="1">INDEX(Data_DBD!$F:$F,$A56)</f>
        <v>3</v>
      </c>
      <c r="H56" s="32">
        <v>91</v>
      </c>
      <c r="I56" s="32">
        <v>35</v>
      </c>
      <c r="J56" s="32">
        <v>1</v>
      </c>
      <c r="K56" s="32">
        <v>18</v>
      </c>
      <c r="L56" s="32">
        <v>1</v>
      </c>
      <c r="M56" s="32">
        <v>3</v>
      </c>
    </row>
    <row r="57" spans="1:13">
      <c r="A57" s="32">
        <f t="shared" ca="1" si="0"/>
        <v>56</v>
      </c>
      <c r="B57" s="32" cm="1">
        <f t="array" aca="1" ref="B57" ca="1">INDEX(Data_DBD!$B:$B,$A57)</f>
        <v>4</v>
      </c>
      <c r="C57" s="32" cm="1">
        <f t="array" aca="1" ref="C57" ca="1">INDEX(Data_DBD!$C:$C,$A57)</f>
        <v>3</v>
      </c>
      <c r="D57" s="32" cm="1">
        <f t="array" aca="1" ref="D57" ca="1">INDEX(Data_DBD!$D:$D,$A57)</f>
        <v>15</v>
      </c>
      <c r="E57" s="32" cm="1">
        <f t="array" aca="1" ref="E57" ca="1">INDEX(Data_DBD!$E:$E,$A57)</f>
        <v>0</v>
      </c>
      <c r="F57" s="32" cm="1">
        <f t="array" aca="1" ref="F57" ca="1">INDEX(Data_DBD!$F:$F,$A57)</f>
        <v>2</v>
      </c>
      <c r="H57" s="32">
        <v>161</v>
      </c>
      <c r="I57" s="32">
        <v>12</v>
      </c>
      <c r="J57" s="32">
        <v>3</v>
      </c>
      <c r="K57" s="32">
        <v>21</v>
      </c>
      <c r="L57" s="32">
        <v>1</v>
      </c>
      <c r="M57" s="32">
        <v>3</v>
      </c>
    </row>
    <row r="58" spans="1:13">
      <c r="A58" s="32">
        <f t="shared" ca="1" si="0"/>
        <v>74</v>
      </c>
      <c r="B58" s="32" cm="1">
        <f t="array" aca="1" ref="B58" ca="1">INDEX(Data_DBD!$B:$B,$A58)</f>
        <v>9</v>
      </c>
      <c r="C58" s="32" cm="1">
        <f t="array" aca="1" ref="C58" ca="1">INDEX(Data_DBD!$C:$C,$A58)</f>
        <v>4</v>
      </c>
      <c r="D58" s="32" cm="1">
        <f t="array" aca="1" ref="D58" ca="1">INDEX(Data_DBD!$D:$D,$A58)</f>
        <v>10</v>
      </c>
      <c r="E58" s="32" cm="1">
        <f t="array" aca="1" ref="E58" ca="1">INDEX(Data_DBD!$E:$E,$A58)</f>
        <v>0</v>
      </c>
      <c r="F58" s="32" cm="1">
        <f t="array" aca="1" ref="F58" ca="1">INDEX(Data_DBD!$F:$F,$A58)</f>
        <v>2</v>
      </c>
      <c r="H58" s="32">
        <v>17</v>
      </c>
      <c r="I58" s="32">
        <v>2</v>
      </c>
      <c r="J58" s="32">
        <v>3</v>
      </c>
      <c r="K58" s="32">
        <v>7</v>
      </c>
      <c r="L58" s="32">
        <v>0</v>
      </c>
      <c r="M58" s="32">
        <v>1</v>
      </c>
    </row>
    <row r="59" spans="1:13">
      <c r="A59" s="32">
        <f t="shared" ca="1" si="0"/>
        <v>150</v>
      </c>
      <c r="B59" s="32" cm="1">
        <f t="array" aca="1" ref="B59" ca="1">INDEX(Data_DBD!$B:$B,$A59)</f>
        <v>61</v>
      </c>
      <c r="C59" s="32" cm="1">
        <f t="array" aca="1" ref="C59" ca="1">INDEX(Data_DBD!$C:$C,$A59)</f>
        <v>5</v>
      </c>
      <c r="D59" s="32" cm="1">
        <f t="array" aca="1" ref="D59" ca="1">INDEX(Data_DBD!$D:$D,$A59)</f>
        <v>21</v>
      </c>
      <c r="E59" s="32" cm="1">
        <f t="array" aca="1" ref="E59" ca="1">INDEX(Data_DBD!$E:$E,$A59)</f>
        <v>1</v>
      </c>
      <c r="F59" s="32" cm="1">
        <f t="array" aca="1" ref="F59" ca="1">INDEX(Data_DBD!$F:$F,$A59)</f>
        <v>3</v>
      </c>
      <c r="H59" s="32">
        <v>70</v>
      </c>
      <c r="I59" s="32">
        <v>26</v>
      </c>
      <c r="J59" s="32">
        <v>3</v>
      </c>
      <c r="K59" s="32">
        <v>10</v>
      </c>
      <c r="L59" s="32">
        <v>1</v>
      </c>
      <c r="M59" s="32">
        <v>2</v>
      </c>
    </row>
    <row r="60" spans="1:13">
      <c r="A60" s="32">
        <f t="shared" ca="1" si="0"/>
        <v>120</v>
      </c>
      <c r="B60" s="32" cm="1">
        <f t="array" aca="1" ref="B60" ca="1">INDEX(Data_DBD!$B:$B,$A60)</f>
        <v>26</v>
      </c>
      <c r="C60" s="32" cm="1">
        <f t="array" aca="1" ref="C60" ca="1">INDEX(Data_DBD!$C:$C,$A60)</f>
        <v>4</v>
      </c>
      <c r="D60" s="32" cm="1">
        <f t="array" aca="1" ref="D60" ca="1">INDEX(Data_DBD!$D:$D,$A60)</f>
        <v>33</v>
      </c>
      <c r="E60" s="32" cm="1">
        <f t="array" aca="1" ref="E60" ca="1">INDEX(Data_DBD!$E:$E,$A60)</f>
        <v>1</v>
      </c>
      <c r="F60" s="32" cm="1">
        <f t="array" aca="1" ref="F60" ca="1">INDEX(Data_DBD!$F:$F,$A60)</f>
        <v>3</v>
      </c>
      <c r="H60" s="32">
        <v>46</v>
      </c>
      <c r="I60" s="32">
        <v>62</v>
      </c>
      <c r="J60" s="32">
        <v>2</v>
      </c>
      <c r="K60" s="32">
        <v>13</v>
      </c>
      <c r="L60" s="32">
        <v>0</v>
      </c>
      <c r="M60" s="32">
        <v>2</v>
      </c>
    </row>
    <row r="61" spans="1:13">
      <c r="A61" s="32">
        <f t="shared" ca="1" si="0"/>
        <v>23</v>
      </c>
      <c r="B61" s="32" cm="1">
        <f t="array" aca="1" ref="B61" ca="1">INDEX(Data_DBD!$B:$B,$A61)</f>
        <v>28</v>
      </c>
      <c r="C61" s="32" cm="1">
        <f t="array" aca="1" ref="C61" ca="1">INDEX(Data_DBD!$C:$C,$A61)</f>
        <v>4</v>
      </c>
      <c r="D61" s="32" cm="1">
        <f t="array" aca="1" ref="D61" ca="1">INDEX(Data_DBD!$D:$D,$A61)</f>
        <v>14</v>
      </c>
      <c r="E61" s="32" cm="1">
        <f t="array" aca="1" ref="E61" ca="1">INDEX(Data_DBD!$E:$E,$A61)</f>
        <v>1</v>
      </c>
      <c r="F61" s="32" cm="1">
        <f t="array" aca="1" ref="F61" ca="1">INDEX(Data_DBD!$F:$F,$A61)</f>
        <v>2</v>
      </c>
      <c r="H61" s="32">
        <v>77</v>
      </c>
      <c r="I61" s="32">
        <v>16</v>
      </c>
      <c r="J61" s="32">
        <v>4</v>
      </c>
      <c r="K61" s="32">
        <v>13</v>
      </c>
      <c r="L61" s="32">
        <v>1</v>
      </c>
      <c r="M61" s="32">
        <v>2</v>
      </c>
    </row>
    <row r="62" spans="1:13">
      <c r="A62" s="32">
        <f t="shared" ca="1" si="0"/>
        <v>41</v>
      </c>
      <c r="B62" s="32" cm="1">
        <f t="array" aca="1" ref="B62" ca="1">INDEX(Data_DBD!$B:$B,$A62)</f>
        <v>8</v>
      </c>
      <c r="C62" s="32" cm="1">
        <f t="array" aca="1" ref="C62" ca="1">INDEX(Data_DBD!$C:$C,$A62)</f>
        <v>4</v>
      </c>
      <c r="D62" s="32" cm="1">
        <f t="array" aca="1" ref="D62" ca="1">INDEX(Data_DBD!$D:$D,$A62)</f>
        <v>13</v>
      </c>
      <c r="E62" s="32" cm="1">
        <f t="array" aca="1" ref="E62" ca="1">INDEX(Data_DBD!$E:$E,$A62)</f>
        <v>0</v>
      </c>
      <c r="F62" s="32" cm="1">
        <f t="array" aca="1" ref="F62" ca="1">INDEX(Data_DBD!$F:$F,$A62)</f>
        <v>2</v>
      </c>
      <c r="H62" s="32">
        <v>15</v>
      </c>
      <c r="I62" s="32">
        <v>21</v>
      </c>
      <c r="J62" s="32">
        <v>2</v>
      </c>
      <c r="K62" s="32">
        <v>7</v>
      </c>
      <c r="L62" s="32">
        <v>0</v>
      </c>
      <c r="M62" s="32">
        <v>1</v>
      </c>
    </row>
    <row r="63" spans="1:13">
      <c r="A63" s="32">
        <f t="shared" ca="1" si="0"/>
        <v>91</v>
      </c>
      <c r="B63" s="32" cm="1">
        <f t="array" aca="1" ref="B63" ca="1">INDEX(Data_DBD!$B:$B,$A63)</f>
        <v>35</v>
      </c>
      <c r="C63" s="32" cm="1">
        <f t="array" aca="1" ref="C63" ca="1">INDEX(Data_DBD!$C:$C,$A63)</f>
        <v>1</v>
      </c>
      <c r="D63" s="32" cm="1">
        <f t="array" aca="1" ref="D63" ca="1">INDEX(Data_DBD!$D:$D,$A63)</f>
        <v>18</v>
      </c>
      <c r="E63" s="32" cm="1">
        <f t="array" aca="1" ref="E63" ca="1">INDEX(Data_DBD!$E:$E,$A63)</f>
        <v>1</v>
      </c>
      <c r="F63" s="32" cm="1">
        <f t="array" aca="1" ref="F63" ca="1">INDEX(Data_DBD!$F:$F,$A63)</f>
        <v>3</v>
      </c>
      <c r="H63" s="32">
        <v>16</v>
      </c>
      <c r="I63" s="32">
        <v>66</v>
      </c>
      <c r="J63" s="32">
        <v>5</v>
      </c>
      <c r="K63" s="32">
        <v>7</v>
      </c>
      <c r="L63" s="32">
        <v>1</v>
      </c>
      <c r="M63" s="32">
        <v>1</v>
      </c>
    </row>
    <row r="64" spans="1:13">
      <c r="A64" s="32">
        <f t="shared" ca="1" si="0"/>
        <v>160</v>
      </c>
      <c r="B64" s="32" cm="1">
        <f t="array" aca="1" ref="B64" ca="1">INDEX(Data_DBD!$B:$B,$A64)</f>
        <v>16</v>
      </c>
      <c r="C64" s="32" cm="1">
        <f t="array" aca="1" ref="C64" ca="1">INDEX(Data_DBD!$C:$C,$A64)</f>
        <v>3</v>
      </c>
      <c r="D64" s="32" cm="1">
        <f t="array" aca="1" ref="D64" ca="1">INDEX(Data_DBD!$D:$D,$A64)</f>
        <v>21</v>
      </c>
      <c r="E64" s="32" cm="1">
        <f t="array" aca="1" ref="E64" ca="1">INDEX(Data_DBD!$E:$E,$A64)</f>
        <v>0</v>
      </c>
      <c r="F64" s="32" cm="1">
        <f t="array" aca="1" ref="F64" ca="1">INDEX(Data_DBD!$F:$F,$A64)</f>
        <v>3</v>
      </c>
      <c r="H64" s="32">
        <v>94</v>
      </c>
      <c r="I64" s="32">
        <v>12</v>
      </c>
      <c r="J64" s="32">
        <v>4</v>
      </c>
      <c r="K64" s="32">
        <v>18</v>
      </c>
      <c r="L64" s="32">
        <v>0</v>
      </c>
      <c r="M64" s="32">
        <v>3</v>
      </c>
    </row>
    <row r="65" spans="1:13">
      <c r="A65" s="32">
        <f t="shared" ca="1" si="0"/>
        <v>110</v>
      </c>
      <c r="B65" s="32" cm="1">
        <f t="array" aca="1" ref="B65" ca="1">INDEX(Data_DBD!$B:$B,$A65)</f>
        <v>42</v>
      </c>
      <c r="C65" s="32" cm="1">
        <f t="array" aca="1" ref="C65" ca="1">INDEX(Data_DBD!$C:$C,$A65)</f>
        <v>2</v>
      </c>
      <c r="D65" s="32" cm="1">
        <f t="array" aca="1" ref="D65" ca="1">INDEX(Data_DBD!$D:$D,$A65)</f>
        <v>33</v>
      </c>
      <c r="E65" s="32" cm="1">
        <f t="array" aca="1" ref="E65" ca="1">INDEX(Data_DBD!$E:$E,$A65)</f>
        <v>1</v>
      </c>
      <c r="F65" s="32" cm="1">
        <f t="array" aca="1" ref="F65" ca="1">INDEX(Data_DBD!$F:$F,$A65)</f>
        <v>3</v>
      </c>
      <c r="H65" s="32">
        <v>121</v>
      </c>
      <c r="I65" s="32">
        <v>82</v>
      </c>
      <c r="J65" s="32">
        <v>5</v>
      </c>
      <c r="K65" s="32">
        <v>33</v>
      </c>
      <c r="L65" s="32">
        <v>1</v>
      </c>
      <c r="M65" s="32">
        <v>3</v>
      </c>
    </row>
    <row r="66" spans="1:13">
      <c r="A66" s="32">
        <f t="shared" ca="1" si="0"/>
        <v>83</v>
      </c>
      <c r="B66" s="32" cm="1">
        <f t="array" aca="1" ref="B66" ca="1">INDEX(Data_DBD!$B:$B,$A66)</f>
        <v>50</v>
      </c>
      <c r="C66" s="32" cm="1">
        <f t="array" aca="1" ref="C66" ca="1">INDEX(Data_DBD!$C:$C,$A66)</f>
        <v>3</v>
      </c>
      <c r="D66" s="32" cm="1">
        <f t="array" aca="1" ref="D66" ca="1">INDEX(Data_DBD!$D:$D,$A66)</f>
        <v>13</v>
      </c>
      <c r="E66" s="32" cm="1">
        <f t="array" aca="1" ref="E66" ca="1">INDEX(Data_DBD!$E:$E,$A66)</f>
        <v>0</v>
      </c>
      <c r="F66" s="32" cm="1">
        <f t="array" aca="1" ref="F66" ca="1">INDEX(Data_DBD!$F:$F,$A66)</f>
        <v>2</v>
      </c>
      <c r="H66" s="32">
        <v>68</v>
      </c>
      <c r="I66" s="32">
        <v>44</v>
      </c>
      <c r="J66" s="32">
        <v>5</v>
      </c>
      <c r="K66" s="32">
        <v>10</v>
      </c>
      <c r="L66" s="32">
        <v>0</v>
      </c>
      <c r="M66" s="32">
        <v>2</v>
      </c>
    </row>
    <row r="67" spans="1:13">
      <c r="A67" s="32">
        <f t="shared" ref="A67:A130" ca="1" si="1">RANDBETWEEN(2,164)</f>
        <v>41</v>
      </c>
      <c r="B67" s="32" cm="1">
        <f t="array" aca="1" ref="B67" ca="1">INDEX(Data_DBD!$B:$B,$A67)</f>
        <v>8</v>
      </c>
      <c r="C67" s="32" cm="1">
        <f t="array" aca="1" ref="C67" ca="1">INDEX(Data_DBD!$C:$C,$A67)</f>
        <v>4</v>
      </c>
      <c r="D67" s="32" cm="1">
        <f t="array" aca="1" ref="D67" ca="1">INDEX(Data_DBD!$D:$D,$A67)</f>
        <v>13</v>
      </c>
      <c r="E67" s="32" cm="1">
        <f t="array" aca="1" ref="E67" ca="1">INDEX(Data_DBD!$E:$E,$A67)</f>
        <v>0</v>
      </c>
      <c r="F67" s="32" cm="1">
        <f t="array" aca="1" ref="F67" ca="1">INDEX(Data_DBD!$F:$F,$A67)</f>
        <v>2</v>
      </c>
      <c r="H67" s="32">
        <v>118</v>
      </c>
      <c r="I67" s="32">
        <v>67</v>
      </c>
      <c r="J67" s="32">
        <v>4</v>
      </c>
      <c r="K67" s="32">
        <v>33</v>
      </c>
      <c r="L67" s="32">
        <v>1</v>
      </c>
      <c r="M67" s="32">
        <v>3</v>
      </c>
    </row>
    <row r="68" spans="1:13">
      <c r="A68" s="32">
        <f t="shared" ca="1" si="1"/>
        <v>9</v>
      </c>
      <c r="B68" s="32" cm="1">
        <f t="array" aca="1" ref="B68" ca="1">INDEX(Data_DBD!$B:$B,$A68)</f>
        <v>16</v>
      </c>
      <c r="C68" s="32" cm="1">
        <f t="array" aca="1" ref="C68" ca="1">INDEX(Data_DBD!$C:$C,$A68)</f>
        <v>6</v>
      </c>
      <c r="D68" s="32" cm="1">
        <f t="array" aca="1" ref="D68" ca="1">INDEX(Data_DBD!$D:$D,$A68)</f>
        <v>12</v>
      </c>
      <c r="E68" s="32" cm="1">
        <f t="array" aca="1" ref="E68" ca="1">INDEX(Data_DBD!$E:$E,$A68)</f>
        <v>1</v>
      </c>
      <c r="F68" s="32" cm="1">
        <f t="array" aca="1" ref="F68" ca="1">INDEX(Data_DBD!$F:$F,$A68)</f>
        <v>2</v>
      </c>
      <c r="H68" s="32">
        <v>131</v>
      </c>
      <c r="I68" s="32">
        <v>10</v>
      </c>
      <c r="J68" s="32">
        <v>2</v>
      </c>
      <c r="K68" s="32">
        <v>33</v>
      </c>
      <c r="L68" s="32">
        <v>0</v>
      </c>
      <c r="M68" s="32">
        <v>3</v>
      </c>
    </row>
    <row r="69" spans="1:13">
      <c r="A69" s="32">
        <f t="shared" ca="1" si="1"/>
        <v>133</v>
      </c>
      <c r="B69" s="32" cm="1">
        <f t="array" aca="1" ref="B69" ca="1">INDEX(Data_DBD!$B:$B,$A69)</f>
        <v>6</v>
      </c>
      <c r="C69" s="32" cm="1">
        <f t="array" aca="1" ref="C69" ca="1">INDEX(Data_DBD!$C:$C,$A69)</f>
        <v>4</v>
      </c>
      <c r="D69" s="32" cm="1">
        <f t="array" aca="1" ref="D69" ca="1">INDEX(Data_DBD!$D:$D,$A69)</f>
        <v>33</v>
      </c>
      <c r="E69" s="32" cm="1">
        <f t="array" aca="1" ref="E69" ca="1">INDEX(Data_DBD!$E:$E,$A69)</f>
        <v>0</v>
      </c>
      <c r="F69" s="32" cm="1">
        <f t="array" aca="1" ref="F69" ca="1">INDEX(Data_DBD!$F:$F,$A69)</f>
        <v>3</v>
      </c>
      <c r="H69" s="32">
        <v>25</v>
      </c>
      <c r="I69" s="32">
        <v>81</v>
      </c>
      <c r="J69" s="32">
        <v>5</v>
      </c>
      <c r="K69" s="32">
        <v>14</v>
      </c>
      <c r="L69" s="32">
        <v>0</v>
      </c>
      <c r="M69" s="32">
        <v>2</v>
      </c>
    </row>
    <row r="70" spans="1:13">
      <c r="A70" s="32">
        <f t="shared" ca="1" si="1"/>
        <v>68</v>
      </c>
      <c r="B70" s="32" cm="1">
        <f t="array" aca="1" ref="B70" ca="1">INDEX(Data_DBD!$B:$B,$A70)</f>
        <v>44</v>
      </c>
      <c r="C70" s="32" cm="1">
        <f t="array" aca="1" ref="C70" ca="1">INDEX(Data_DBD!$C:$C,$A70)</f>
        <v>5</v>
      </c>
      <c r="D70" s="32" cm="1">
        <f t="array" aca="1" ref="D70" ca="1">INDEX(Data_DBD!$D:$D,$A70)</f>
        <v>10</v>
      </c>
      <c r="E70" s="32" cm="1">
        <f t="array" aca="1" ref="E70" ca="1">INDEX(Data_DBD!$E:$E,$A70)</f>
        <v>0</v>
      </c>
      <c r="F70" s="32" cm="1">
        <f t="array" aca="1" ref="F70" ca="1">INDEX(Data_DBD!$F:$F,$A70)</f>
        <v>2</v>
      </c>
      <c r="H70" s="32">
        <v>68</v>
      </c>
      <c r="I70" s="32">
        <v>44</v>
      </c>
      <c r="J70" s="32">
        <v>5</v>
      </c>
      <c r="K70" s="32">
        <v>10</v>
      </c>
      <c r="L70" s="32">
        <v>0</v>
      </c>
      <c r="M70" s="32">
        <v>2</v>
      </c>
    </row>
    <row r="71" spans="1:13">
      <c r="A71" s="32">
        <f t="shared" ca="1" si="1"/>
        <v>67</v>
      </c>
      <c r="B71" s="32" cm="1">
        <f t="array" aca="1" ref="B71" ca="1">INDEX(Data_DBD!$B:$B,$A71)</f>
        <v>21</v>
      </c>
      <c r="C71" s="32" cm="1">
        <f t="array" aca="1" ref="C71" ca="1">INDEX(Data_DBD!$C:$C,$A71)</f>
        <v>3</v>
      </c>
      <c r="D71" s="32" cm="1">
        <f t="array" aca="1" ref="D71" ca="1">INDEX(Data_DBD!$D:$D,$A71)</f>
        <v>10</v>
      </c>
      <c r="E71" s="32" cm="1">
        <f t="array" aca="1" ref="E71" ca="1">INDEX(Data_DBD!$E:$E,$A71)</f>
        <v>1</v>
      </c>
      <c r="F71" s="32" cm="1">
        <f t="array" aca="1" ref="F71" ca="1">INDEX(Data_DBD!$F:$F,$A71)</f>
        <v>2</v>
      </c>
      <c r="H71" s="32">
        <v>69</v>
      </c>
      <c r="I71" s="32">
        <v>24</v>
      </c>
      <c r="J71" s="32">
        <v>4</v>
      </c>
      <c r="K71" s="32">
        <v>10</v>
      </c>
      <c r="L71" s="32">
        <v>1</v>
      </c>
      <c r="M71" s="32">
        <v>2</v>
      </c>
    </row>
    <row r="72" spans="1:13">
      <c r="A72" s="32">
        <f t="shared" ca="1" si="1"/>
        <v>122</v>
      </c>
      <c r="B72" s="32" cm="1">
        <f t="array" aca="1" ref="B72" ca="1">INDEX(Data_DBD!$B:$B,$A72)</f>
        <v>28</v>
      </c>
      <c r="C72" s="32" cm="1">
        <f t="array" aca="1" ref="C72" ca="1">INDEX(Data_DBD!$C:$C,$A72)</f>
        <v>3</v>
      </c>
      <c r="D72" s="32" cm="1">
        <f t="array" aca="1" ref="D72" ca="1">INDEX(Data_DBD!$D:$D,$A72)</f>
        <v>33</v>
      </c>
      <c r="E72" s="32" cm="1">
        <f t="array" aca="1" ref="E72" ca="1">INDEX(Data_DBD!$E:$E,$A72)</f>
        <v>1</v>
      </c>
      <c r="F72" s="32" cm="1">
        <f t="array" aca="1" ref="F72" ca="1">INDEX(Data_DBD!$F:$F,$A72)</f>
        <v>3</v>
      </c>
      <c r="H72" s="32">
        <v>115</v>
      </c>
      <c r="I72" s="32">
        <v>52</v>
      </c>
      <c r="J72" s="32">
        <v>3</v>
      </c>
      <c r="K72" s="32">
        <v>33</v>
      </c>
      <c r="L72" s="32">
        <v>1</v>
      </c>
      <c r="M72" s="32">
        <v>3</v>
      </c>
    </row>
    <row r="73" spans="1:13">
      <c r="A73" s="32">
        <f t="shared" ca="1" si="1"/>
        <v>50</v>
      </c>
      <c r="B73" s="32" cm="1">
        <f t="array" aca="1" ref="B73" ca="1">INDEX(Data_DBD!$B:$B,$A73)</f>
        <v>19</v>
      </c>
      <c r="C73" s="32" cm="1">
        <f t="array" aca="1" ref="C73" ca="1">INDEX(Data_DBD!$C:$C,$A73)</f>
        <v>5</v>
      </c>
      <c r="D73" s="32" cm="1">
        <f t="array" aca="1" ref="D73" ca="1">INDEX(Data_DBD!$D:$D,$A73)</f>
        <v>13</v>
      </c>
      <c r="E73" s="32" cm="1">
        <f t="array" aca="1" ref="E73" ca="1">INDEX(Data_DBD!$E:$E,$A73)</f>
        <v>0</v>
      </c>
      <c r="F73" s="32" cm="1">
        <f t="array" aca="1" ref="F73" ca="1">INDEX(Data_DBD!$F:$F,$A73)</f>
        <v>2</v>
      </c>
      <c r="H73" s="32">
        <v>118</v>
      </c>
      <c r="I73" s="32">
        <v>67</v>
      </c>
      <c r="J73" s="32">
        <v>4</v>
      </c>
      <c r="K73" s="32">
        <v>33</v>
      </c>
      <c r="L73" s="32">
        <v>1</v>
      </c>
      <c r="M73" s="32">
        <v>3</v>
      </c>
    </row>
    <row r="74" spans="1:13">
      <c r="A74" s="32">
        <f t="shared" ca="1" si="1"/>
        <v>142</v>
      </c>
      <c r="B74" s="32" cm="1">
        <f t="array" aca="1" ref="B74" ca="1">INDEX(Data_DBD!$B:$B,$A74)</f>
        <v>39</v>
      </c>
      <c r="C74" s="32" cm="1">
        <f t="array" aca="1" ref="C74" ca="1">INDEX(Data_DBD!$C:$C,$A74)</f>
        <v>2</v>
      </c>
      <c r="D74" s="32" cm="1">
        <f t="array" aca="1" ref="D74" ca="1">INDEX(Data_DBD!$D:$D,$A74)</f>
        <v>21</v>
      </c>
      <c r="E74" s="32" cm="1">
        <f t="array" aca="1" ref="E74" ca="1">INDEX(Data_DBD!$E:$E,$A74)</f>
        <v>1</v>
      </c>
      <c r="F74" s="32" cm="1">
        <f t="array" aca="1" ref="F74" ca="1">INDEX(Data_DBD!$F:$F,$A74)</f>
        <v>3</v>
      </c>
      <c r="H74" s="32">
        <v>42</v>
      </c>
      <c r="I74" s="32">
        <v>21</v>
      </c>
      <c r="J74" s="32">
        <v>5</v>
      </c>
      <c r="K74" s="32">
        <v>13</v>
      </c>
      <c r="L74" s="32">
        <v>1</v>
      </c>
      <c r="M74" s="32">
        <v>2</v>
      </c>
    </row>
    <row r="75" spans="1:13">
      <c r="A75" s="32">
        <f t="shared" ca="1" si="1"/>
        <v>56</v>
      </c>
      <c r="B75" s="32" cm="1">
        <f t="array" aca="1" ref="B75" ca="1">INDEX(Data_DBD!$B:$B,$A75)</f>
        <v>4</v>
      </c>
      <c r="C75" s="32" cm="1">
        <f t="array" aca="1" ref="C75" ca="1">INDEX(Data_DBD!$C:$C,$A75)</f>
        <v>3</v>
      </c>
      <c r="D75" s="32" cm="1">
        <f t="array" aca="1" ref="D75" ca="1">INDEX(Data_DBD!$D:$D,$A75)</f>
        <v>15</v>
      </c>
      <c r="E75" s="32" cm="1">
        <f t="array" aca="1" ref="E75" ca="1">INDEX(Data_DBD!$E:$E,$A75)</f>
        <v>0</v>
      </c>
      <c r="F75" s="32" cm="1">
        <f t="array" aca="1" ref="F75" ca="1">INDEX(Data_DBD!$F:$F,$A75)</f>
        <v>2</v>
      </c>
      <c r="H75" s="32">
        <v>5</v>
      </c>
      <c r="I75" s="32">
        <v>18</v>
      </c>
      <c r="J75" s="32">
        <v>2</v>
      </c>
      <c r="K75" s="32">
        <v>12</v>
      </c>
      <c r="L75" s="32">
        <v>1</v>
      </c>
      <c r="M75" s="32">
        <v>2</v>
      </c>
    </row>
    <row r="76" spans="1:13">
      <c r="A76" s="32">
        <f t="shared" ca="1" si="1"/>
        <v>113</v>
      </c>
      <c r="B76" s="32" cm="1">
        <f t="array" aca="1" ref="B76" ca="1">INDEX(Data_DBD!$B:$B,$A76)</f>
        <v>69</v>
      </c>
      <c r="C76" s="32" cm="1">
        <f t="array" aca="1" ref="C76" ca="1">INDEX(Data_DBD!$C:$C,$A76)</f>
        <v>1</v>
      </c>
      <c r="D76" s="32" cm="1">
        <f t="array" aca="1" ref="D76" ca="1">INDEX(Data_DBD!$D:$D,$A76)</f>
        <v>33</v>
      </c>
      <c r="E76" s="32" cm="1">
        <f t="array" aca="1" ref="E76" ca="1">INDEX(Data_DBD!$E:$E,$A76)</f>
        <v>1</v>
      </c>
      <c r="F76" s="32" cm="1">
        <f t="array" aca="1" ref="F76" ca="1">INDEX(Data_DBD!$F:$F,$A76)</f>
        <v>3</v>
      </c>
      <c r="H76" s="32">
        <v>130</v>
      </c>
      <c r="I76" s="32">
        <v>12</v>
      </c>
      <c r="J76" s="32">
        <v>4</v>
      </c>
      <c r="K76" s="32">
        <v>33</v>
      </c>
      <c r="L76" s="32">
        <v>0</v>
      </c>
      <c r="M76" s="32">
        <v>3</v>
      </c>
    </row>
    <row r="77" spans="1:13">
      <c r="A77" s="32">
        <f t="shared" ca="1" si="1"/>
        <v>94</v>
      </c>
      <c r="B77" s="32" cm="1">
        <f t="array" aca="1" ref="B77" ca="1">INDEX(Data_DBD!$B:$B,$A77)</f>
        <v>12</v>
      </c>
      <c r="C77" s="32" cm="1">
        <f t="array" aca="1" ref="C77" ca="1">INDEX(Data_DBD!$C:$C,$A77)</f>
        <v>4</v>
      </c>
      <c r="D77" s="32" cm="1">
        <f t="array" aca="1" ref="D77" ca="1">INDEX(Data_DBD!$D:$D,$A77)</f>
        <v>18</v>
      </c>
      <c r="E77" s="32" cm="1">
        <f t="array" aca="1" ref="E77" ca="1">INDEX(Data_DBD!$E:$E,$A77)</f>
        <v>0</v>
      </c>
      <c r="F77" s="32" cm="1">
        <f t="array" aca="1" ref="F77" ca="1">INDEX(Data_DBD!$F:$F,$A77)</f>
        <v>3</v>
      </c>
      <c r="H77" s="32">
        <v>62</v>
      </c>
      <c r="I77" s="32">
        <v>43</v>
      </c>
      <c r="J77" s="32">
        <v>4</v>
      </c>
      <c r="K77" s="32">
        <v>15</v>
      </c>
      <c r="L77" s="32">
        <v>1</v>
      </c>
      <c r="M77" s="32">
        <v>2</v>
      </c>
    </row>
    <row r="78" spans="1:13">
      <c r="A78" s="32">
        <f t="shared" ca="1" si="1"/>
        <v>128</v>
      </c>
      <c r="B78" s="32" cm="1">
        <f t="array" aca="1" ref="B78" ca="1">INDEX(Data_DBD!$B:$B,$A78)</f>
        <v>38</v>
      </c>
      <c r="C78" s="32" cm="1">
        <f t="array" aca="1" ref="C78" ca="1">INDEX(Data_DBD!$C:$C,$A78)</f>
        <v>2</v>
      </c>
      <c r="D78" s="32" cm="1">
        <f t="array" aca="1" ref="D78" ca="1">INDEX(Data_DBD!$D:$D,$A78)</f>
        <v>33</v>
      </c>
      <c r="E78" s="32" cm="1">
        <f t="array" aca="1" ref="E78" ca="1">INDEX(Data_DBD!$E:$E,$A78)</f>
        <v>0</v>
      </c>
      <c r="F78" s="32" cm="1">
        <f t="array" aca="1" ref="F78" ca="1">INDEX(Data_DBD!$F:$F,$A78)</f>
        <v>3</v>
      </c>
      <c r="H78" s="32">
        <v>91</v>
      </c>
      <c r="I78" s="32">
        <v>35</v>
      </c>
      <c r="J78" s="32">
        <v>1</v>
      </c>
      <c r="K78" s="32">
        <v>18</v>
      </c>
      <c r="L78" s="32">
        <v>1</v>
      </c>
      <c r="M78" s="32">
        <v>3</v>
      </c>
    </row>
    <row r="79" spans="1:13">
      <c r="A79" s="32">
        <f t="shared" ca="1" si="1"/>
        <v>50</v>
      </c>
      <c r="B79" s="32" cm="1">
        <f t="array" aca="1" ref="B79" ca="1">INDEX(Data_DBD!$B:$B,$A79)</f>
        <v>19</v>
      </c>
      <c r="C79" s="32" cm="1">
        <f t="array" aca="1" ref="C79" ca="1">INDEX(Data_DBD!$C:$C,$A79)</f>
        <v>5</v>
      </c>
      <c r="D79" s="32" cm="1">
        <f t="array" aca="1" ref="D79" ca="1">INDEX(Data_DBD!$D:$D,$A79)</f>
        <v>13</v>
      </c>
      <c r="E79" s="32" cm="1">
        <f t="array" aca="1" ref="E79" ca="1">INDEX(Data_DBD!$E:$E,$A79)</f>
        <v>0</v>
      </c>
      <c r="F79" s="32" cm="1">
        <f t="array" aca="1" ref="F79" ca="1">INDEX(Data_DBD!$F:$F,$A79)</f>
        <v>2</v>
      </c>
      <c r="H79" s="32">
        <v>77</v>
      </c>
      <c r="I79" s="32">
        <v>16</v>
      </c>
      <c r="J79" s="32">
        <v>4</v>
      </c>
      <c r="K79" s="32">
        <v>13</v>
      </c>
      <c r="L79" s="32">
        <v>1</v>
      </c>
      <c r="M79" s="32">
        <v>2</v>
      </c>
    </row>
    <row r="80" spans="1:13">
      <c r="A80" s="32">
        <f t="shared" ca="1" si="1"/>
        <v>3</v>
      </c>
      <c r="B80" s="32" cm="1">
        <f t="array" aca="1" ref="B80" ca="1">INDEX(Data_DBD!$B:$B,$A80)</f>
        <v>43</v>
      </c>
      <c r="C80" s="32" cm="1">
        <f t="array" aca="1" ref="C80" ca="1">INDEX(Data_DBD!$C:$C,$A80)</f>
        <v>3</v>
      </c>
      <c r="D80" s="32" cm="1">
        <f t="array" aca="1" ref="D80" ca="1">INDEX(Data_DBD!$D:$D,$A80)</f>
        <v>12</v>
      </c>
      <c r="E80" s="32" cm="1">
        <f t="array" aca="1" ref="E80" ca="1">INDEX(Data_DBD!$E:$E,$A80)</f>
        <v>1</v>
      </c>
      <c r="F80" s="32" cm="1">
        <f t="array" aca="1" ref="F80" ca="1">INDEX(Data_DBD!$F:$F,$A80)</f>
        <v>2</v>
      </c>
      <c r="H80" s="32">
        <v>32</v>
      </c>
      <c r="I80" s="32">
        <v>54</v>
      </c>
      <c r="J80" s="32">
        <v>4</v>
      </c>
      <c r="K80" s="32">
        <v>14</v>
      </c>
      <c r="L80" s="32">
        <v>0</v>
      </c>
      <c r="M80" s="32">
        <v>2</v>
      </c>
    </row>
    <row r="81" spans="1:13">
      <c r="A81" s="32">
        <f t="shared" ca="1" si="1"/>
        <v>149</v>
      </c>
      <c r="B81" s="32" cm="1">
        <f t="array" aca="1" ref="B81" ca="1">INDEX(Data_DBD!$B:$B,$A81)</f>
        <v>19</v>
      </c>
      <c r="C81" s="32" cm="1">
        <f t="array" aca="1" ref="C81" ca="1">INDEX(Data_DBD!$C:$C,$A81)</f>
        <v>5</v>
      </c>
      <c r="D81" s="32" cm="1">
        <f t="array" aca="1" ref="D81" ca="1">INDEX(Data_DBD!$D:$D,$A81)</f>
        <v>21</v>
      </c>
      <c r="E81" s="32" cm="1">
        <f t="array" aca="1" ref="E81" ca="1">INDEX(Data_DBD!$E:$E,$A81)</f>
        <v>0</v>
      </c>
      <c r="F81" s="32" cm="1">
        <f t="array" aca="1" ref="F81" ca="1">INDEX(Data_DBD!$F:$F,$A81)</f>
        <v>3</v>
      </c>
      <c r="H81" s="32">
        <v>50</v>
      </c>
      <c r="I81" s="32">
        <v>19</v>
      </c>
      <c r="J81" s="32">
        <v>5</v>
      </c>
      <c r="K81" s="32">
        <v>13</v>
      </c>
      <c r="L81" s="32">
        <v>0</v>
      </c>
      <c r="M81" s="32">
        <v>2</v>
      </c>
    </row>
    <row r="82" spans="1:13">
      <c r="A82" s="32">
        <f t="shared" ca="1" si="1"/>
        <v>132</v>
      </c>
      <c r="B82" s="32" cm="1">
        <f t="array" aca="1" ref="B82" ca="1">INDEX(Data_DBD!$B:$B,$A82)</f>
        <v>10</v>
      </c>
      <c r="C82" s="32" cm="1">
        <f t="array" aca="1" ref="C82" ca="1">INDEX(Data_DBD!$C:$C,$A82)</f>
        <v>3</v>
      </c>
      <c r="D82" s="32" cm="1">
        <f t="array" aca="1" ref="D82" ca="1">INDEX(Data_DBD!$D:$D,$A82)</f>
        <v>33</v>
      </c>
      <c r="E82" s="32" cm="1">
        <f t="array" aca="1" ref="E82" ca="1">INDEX(Data_DBD!$E:$E,$A82)</f>
        <v>1</v>
      </c>
      <c r="F82" s="32" cm="1">
        <f t="array" aca="1" ref="F82" ca="1">INDEX(Data_DBD!$F:$F,$A82)</f>
        <v>3</v>
      </c>
      <c r="H82" s="32">
        <v>8</v>
      </c>
      <c r="I82" s="32">
        <v>4</v>
      </c>
      <c r="J82" s="32">
        <v>2</v>
      </c>
      <c r="K82" s="32">
        <v>12</v>
      </c>
      <c r="L82" s="32">
        <v>0</v>
      </c>
      <c r="M82" s="32">
        <v>2</v>
      </c>
    </row>
    <row r="83" spans="1:13">
      <c r="A83" s="32">
        <f t="shared" ca="1" si="1"/>
        <v>84</v>
      </c>
      <c r="B83" s="32" cm="1">
        <f t="array" aca="1" ref="B83" ca="1">INDEX(Data_DBD!$B:$B,$A83)</f>
        <v>42</v>
      </c>
      <c r="C83" s="32" cm="1">
        <f t="array" aca="1" ref="C83" ca="1">INDEX(Data_DBD!$C:$C,$A83)</f>
        <v>4</v>
      </c>
      <c r="D83" s="32" cm="1">
        <f t="array" aca="1" ref="D83" ca="1">INDEX(Data_DBD!$D:$D,$A83)</f>
        <v>13</v>
      </c>
      <c r="E83" s="32" cm="1">
        <f t="array" aca="1" ref="E83" ca="1">INDEX(Data_DBD!$E:$E,$A83)</f>
        <v>1</v>
      </c>
      <c r="F83" s="32" cm="1">
        <f t="array" aca="1" ref="F83" ca="1">INDEX(Data_DBD!$F:$F,$A83)</f>
        <v>2</v>
      </c>
      <c r="H83" s="32">
        <v>89</v>
      </c>
      <c r="I83" s="32">
        <v>32</v>
      </c>
      <c r="J83" s="32">
        <v>4</v>
      </c>
      <c r="K83" s="32">
        <v>13</v>
      </c>
      <c r="L83" s="32">
        <v>0</v>
      </c>
      <c r="M83" s="32">
        <v>2</v>
      </c>
    </row>
    <row r="84" spans="1:13">
      <c r="A84" s="32">
        <f t="shared" ca="1" si="1"/>
        <v>73</v>
      </c>
      <c r="B84" s="32" cm="1">
        <f t="array" aca="1" ref="B84" ca="1">INDEX(Data_DBD!$B:$B,$A84)</f>
        <v>15</v>
      </c>
      <c r="C84" s="32" cm="1">
        <f t="array" aca="1" ref="C84" ca="1">INDEX(Data_DBD!$C:$C,$A84)</f>
        <v>3</v>
      </c>
      <c r="D84" s="32" cm="1">
        <f t="array" aca="1" ref="D84" ca="1">INDEX(Data_DBD!$D:$D,$A84)</f>
        <v>10</v>
      </c>
      <c r="E84" s="32" cm="1">
        <f t="array" aca="1" ref="E84" ca="1">INDEX(Data_DBD!$E:$E,$A84)</f>
        <v>1</v>
      </c>
      <c r="F84" s="32" cm="1">
        <f t="array" aca="1" ref="F84" ca="1">INDEX(Data_DBD!$F:$F,$A84)</f>
        <v>2</v>
      </c>
      <c r="H84" s="32">
        <v>10</v>
      </c>
      <c r="I84" s="32">
        <v>18</v>
      </c>
      <c r="J84" s="32">
        <v>5</v>
      </c>
      <c r="K84" s="32">
        <v>12</v>
      </c>
      <c r="L84" s="32">
        <v>0</v>
      </c>
      <c r="M84" s="32">
        <v>2</v>
      </c>
    </row>
    <row r="85" spans="1:13">
      <c r="A85" s="32">
        <f t="shared" ca="1" si="1"/>
        <v>86</v>
      </c>
      <c r="B85" s="32" cm="1">
        <f t="array" aca="1" ref="B85" ca="1">INDEX(Data_DBD!$B:$B,$A85)</f>
        <v>23</v>
      </c>
      <c r="C85" s="32" cm="1">
        <f t="array" aca="1" ref="C85" ca="1">INDEX(Data_DBD!$C:$C,$A85)</f>
        <v>3</v>
      </c>
      <c r="D85" s="32" cm="1">
        <f t="array" aca="1" ref="D85" ca="1">INDEX(Data_DBD!$D:$D,$A85)</f>
        <v>13</v>
      </c>
      <c r="E85" s="32" cm="1">
        <f t="array" aca="1" ref="E85" ca="1">INDEX(Data_DBD!$E:$E,$A85)</f>
        <v>0</v>
      </c>
      <c r="F85" s="32" cm="1">
        <f t="array" aca="1" ref="F85" ca="1">INDEX(Data_DBD!$F:$F,$A85)</f>
        <v>2</v>
      </c>
      <c r="H85" s="32">
        <v>47</v>
      </c>
      <c r="I85" s="32">
        <v>19</v>
      </c>
      <c r="J85" s="32">
        <v>2</v>
      </c>
      <c r="K85" s="32">
        <v>13</v>
      </c>
      <c r="L85" s="32">
        <v>0</v>
      </c>
      <c r="M85" s="32">
        <v>2</v>
      </c>
    </row>
    <row r="86" spans="1:13">
      <c r="A86" s="32">
        <f t="shared" ca="1" si="1"/>
        <v>75</v>
      </c>
      <c r="B86" s="32" cm="1">
        <f t="array" aca="1" ref="B86" ca="1">INDEX(Data_DBD!$B:$B,$A86)</f>
        <v>2</v>
      </c>
      <c r="C86" s="32" cm="1">
        <f t="array" aca="1" ref="C86" ca="1">INDEX(Data_DBD!$C:$C,$A86)</f>
        <v>2</v>
      </c>
      <c r="D86" s="32" cm="1">
        <f t="array" aca="1" ref="D86" ca="1">INDEX(Data_DBD!$D:$D,$A86)</f>
        <v>10</v>
      </c>
      <c r="E86" s="32" cm="1">
        <f t="array" aca="1" ref="E86" ca="1">INDEX(Data_DBD!$E:$E,$A86)</f>
        <v>1</v>
      </c>
      <c r="F86" s="32" cm="1">
        <f t="array" aca="1" ref="F86" ca="1">INDEX(Data_DBD!$F:$F,$A86)</f>
        <v>2</v>
      </c>
      <c r="H86" s="32">
        <v>37</v>
      </c>
      <c r="I86" s="32">
        <v>28</v>
      </c>
      <c r="J86" s="32">
        <v>4</v>
      </c>
      <c r="K86" s="32">
        <v>4</v>
      </c>
      <c r="L86" s="32">
        <v>1</v>
      </c>
      <c r="M86" s="32">
        <v>1</v>
      </c>
    </row>
    <row r="87" spans="1:13">
      <c r="A87" s="32">
        <f t="shared" ca="1" si="1"/>
        <v>20</v>
      </c>
      <c r="B87" s="32" cm="1">
        <f t="array" aca="1" ref="B87" ca="1">INDEX(Data_DBD!$B:$B,$A87)</f>
        <v>15</v>
      </c>
      <c r="C87" s="32" cm="1">
        <f t="array" aca="1" ref="C87" ca="1">INDEX(Data_DBD!$C:$C,$A87)</f>
        <v>5</v>
      </c>
      <c r="D87" s="32" cm="1">
        <f t="array" aca="1" ref="D87" ca="1">INDEX(Data_DBD!$D:$D,$A87)</f>
        <v>7</v>
      </c>
      <c r="E87" s="32" cm="1">
        <f t="array" aca="1" ref="E87" ca="1">INDEX(Data_DBD!$E:$E,$A87)</f>
        <v>0</v>
      </c>
      <c r="F87" s="32" cm="1">
        <f t="array" aca="1" ref="F87" ca="1">INDEX(Data_DBD!$F:$F,$A87)</f>
        <v>1</v>
      </c>
      <c r="H87" s="32">
        <v>129</v>
      </c>
      <c r="I87" s="32">
        <v>4.5</v>
      </c>
      <c r="J87" s="32">
        <v>3</v>
      </c>
      <c r="K87" s="32">
        <v>33</v>
      </c>
      <c r="L87" s="32">
        <v>0</v>
      </c>
      <c r="M87" s="32">
        <v>3</v>
      </c>
    </row>
    <row r="88" spans="1:13">
      <c r="A88" s="32">
        <f t="shared" ca="1" si="1"/>
        <v>64</v>
      </c>
      <c r="B88" s="32" cm="1">
        <f t="array" aca="1" ref="B88" ca="1">INDEX(Data_DBD!$B:$B,$A88)</f>
        <v>35</v>
      </c>
      <c r="C88" s="32" cm="1">
        <f t="array" aca="1" ref="C88" ca="1">INDEX(Data_DBD!$C:$C,$A88)</f>
        <v>1</v>
      </c>
      <c r="D88" s="32" cm="1">
        <f t="array" aca="1" ref="D88" ca="1">INDEX(Data_DBD!$D:$D,$A88)</f>
        <v>15</v>
      </c>
      <c r="E88" s="32" cm="1">
        <f t="array" aca="1" ref="E88" ca="1">INDEX(Data_DBD!$E:$E,$A88)</f>
        <v>0</v>
      </c>
      <c r="F88" s="32" cm="1">
        <f t="array" aca="1" ref="F88" ca="1">INDEX(Data_DBD!$F:$F,$A88)</f>
        <v>2</v>
      </c>
      <c r="H88" s="32">
        <v>59</v>
      </c>
      <c r="I88" s="32">
        <v>28</v>
      </c>
      <c r="J88" s="32">
        <v>4</v>
      </c>
      <c r="K88" s="32">
        <v>15</v>
      </c>
      <c r="L88" s="32">
        <v>0</v>
      </c>
      <c r="M88" s="32">
        <v>2</v>
      </c>
    </row>
    <row r="89" spans="1:13">
      <c r="A89" s="32">
        <f t="shared" ca="1" si="1"/>
        <v>113</v>
      </c>
      <c r="B89" s="32" cm="1">
        <f t="array" aca="1" ref="B89" ca="1">INDEX(Data_DBD!$B:$B,$A89)</f>
        <v>69</v>
      </c>
      <c r="C89" s="32" cm="1">
        <f t="array" aca="1" ref="C89" ca="1">INDEX(Data_DBD!$C:$C,$A89)</f>
        <v>1</v>
      </c>
      <c r="D89" s="32" cm="1">
        <f t="array" aca="1" ref="D89" ca="1">INDEX(Data_DBD!$D:$D,$A89)</f>
        <v>33</v>
      </c>
      <c r="E89" s="32" cm="1">
        <f t="array" aca="1" ref="E89" ca="1">INDEX(Data_DBD!$E:$E,$A89)</f>
        <v>1</v>
      </c>
      <c r="F89" s="32" cm="1">
        <f t="array" aca="1" ref="F89" ca="1">INDEX(Data_DBD!$F:$F,$A89)</f>
        <v>3</v>
      </c>
      <c r="H89" s="32">
        <v>11</v>
      </c>
      <c r="I89" s="32">
        <v>24</v>
      </c>
      <c r="J89" s="32">
        <v>5</v>
      </c>
      <c r="K89" s="32">
        <v>12</v>
      </c>
      <c r="L89" s="32">
        <v>1</v>
      </c>
      <c r="M89" s="32">
        <v>2</v>
      </c>
    </row>
    <row r="90" spans="1:13">
      <c r="A90" s="32">
        <f t="shared" ca="1" si="1"/>
        <v>34</v>
      </c>
      <c r="B90" s="32" cm="1">
        <f t="array" aca="1" ref="B90" ca="1">INDEX(Data_DBD!$B:$B,$A90)</f>
        <v>55</v>
      </c>
      <c r="C90" s="32" cm="1">
        <f t="array" aca="1" ref="C90" ca="1">INDEX(Data_DBD!$C:$C,$A90)</f>
        <v>3</v>
      </c>
      <c r="D90" s="32" cm="1">
        <f t="array" aca="1" ref="D90" ca="1">INDEX(Data_DBD!$D:$D,$A90)</f>
        <v>14</v>
      </c>
      <c r="E90" s="32" cm="1">
        <f t="array" aca="1" ref="E90" ca="1">INDEX(Data_DBD!$E:$E,$A90)</f>
        <v>0</v>
      </c>
      <c r="F90" s="32" cm="1">
        <f t="array" aca="1" ref="F90" ca="1">INDEX(Data_DBD!$F:$F,$A90)</f>
        <v>2</v>
      </c>
      <c r="H90" s="32">
        <v>22</v>
      </c>
      <c r="I90" s="32">
        <v>6</v>
      </c>
      <c r="J90" s="32">
        <v>3</v>
      </c>
      <c r="K90" s="32">
        <v>14</v>
      </c>
      <c r="L90" s="32">
        <v>0</v>
      </c>
      <c r="M90" s="32">
        <v>2</v>
      </c>
    </row>
    <row r="91" spans="1:13">
      <c r="A91" s="32">
        <f t="shared" ca="1" si="1"/>
        <v>98</v>
      </c>
      <c r="B91" s="32" cm="1">
        <f t="array" aca="1" ref="B91" ca="1">INDEX(Data_DBD!$B:$B,$A91)</f>
        <v>16</v>
      </c>
      <c r="C91" s="32" cm="1">
        <f t="array" aca="1" ref="C91" ca="1">INDEX(Data_DBD!$C:$C,$A91)</f>
        <v>2</v>
      </c>
      <c r="D91" s="32" cm="1">
        <f t="array" aca="1" ref="D91" ca="1">INDEX(Data_DBD!$D:$D,$A91)</f>
        <v>18</v>
      </c>
      <c r="E91" s="32" cm="1">
        <f t="array" aca="1" ref="E91" ca="1">INDEX(Data_DBD!$E:$E,$A91)</f>
        <v>1</v>
      </c>
      <c r="F91" s="32" cm="1">
        <f t="array" aca="1" ref="F91" ca="1">INDEX(Data_DBD!$F:$F,$A91)</f>
        <v>3</v>
      </c>
      <c r="H91" s="32">
        <v>101</v>
      </c>
      <c r="I91" s="32">
        <v>42</v>
      </c>
      <c r="J91" s="32">
        <v>5</v>
      </c>
      <c r="K91" s="32">
        <v>18</v>
      </c>
      <c r="L91" s="32">
        <v>0</v>
      </c>
      <c r="M91" s="32">
        <v>3</v>
      </c>
    </row>
    <row r="92" spans="1:13">
      <c r="A92" s="32">
        <f t="shared" ca="1" si="1"/>
        <v>145</v>
      </c>
      <c r="B92" s="32" cm="1">
        <f t="array" aca="1" ref="B92" ca="1">INDEX(Data_DBD!$B:$B,$A92)</f>
        <v>28</v>
      </c>
      <c r="C92" s="32" cm="1">
        <f t="array" aca="1" ref="C92" ca="1">INDEX(Data_DBD!$C:$C,$A92)</f>
        <v>4</v>
      </c>
      <c r="D92" s="32" cm="1">
        <f t="array" aca="1" ref="D92" ca="1">INDEX(Data_DBD!$D:$D,$A92)</f>
        <v>21</v>
      </c>
      <c r="E92" s="32" cm="1">
        <f t="array" aca="1" ref="E92" ca="1">INDEX(Data_DBD!$E:$E,$A92)</f>
        <v>1</v>
      </c>
      <c r="F92" s="32" cm="1">
        <f t="array" aca="1" ref="F92" ca="1">INDEX(Data_DBD!$F:$F,$A92)</f>
        <v>3</v>
      </c>
      <c r="H92" s="32">
        <v>19</v>
      </c>
      <c r="I92" s="32">
        <v>8</v>
      </c>
      <c r="J92" s="32">
        <v>4</v>
      </c>
      <c r="K92" s="32">
        <v>7</v>
      </c>
      <c r="L92" s="32">
        <v>0</v>
      </c>
      <c r="M92" s="32">
        <v>1</v>
      </c>
    </row>
    <row r="93" spans="1:13">
      <c r="A93" s="32">
        <f t="shared" ca="1" si="1"/>
        <v>117</v>
      </c>
      <c r="B93" s="32" cm="1">
        <f t="array" aca="1" ref="B93" ca="1">INDEX(Data_DBD!$B:$B,$A93)</f>
        <v>49</v>
      </c>
      <c r="C93" s="32" cm="1">
        <f t="array" aca="1" ref="C93" ca="1">INDEX(Data_DBD!$C:$C,$A93)</f>
        <v>4</v>
      </c>
      <c r="D93" s="32" cm="1">
        <f t="array" aca="1" ref="D93" ca="1">INDEX(Data_DBD!$D:$D,$A93)</f>
        <v>33</v>
      </c>
      <c r="E93" s="32" cm="1">
        <f t="array" aca="1" ref="E93" ca="1">INDEX(Data_DBD!$E:$E,$A93)</f>
        <v>1</v>
      </c>
      <c r="F93" s="32" cm="1">
        <f t="array" aca="1" ref="F93" ca="1">INDEX(Data_DBD!$F:$F,$A93)</f>
        <v>3</v>
      </c>
      <c r="H93" s="32">
        <v>121</v>
      </c>
      <c r="I93" s="32">
        <v>82</v>
      </c>
      <c r="J93" s="32">
        <v>5</v>
      </c>
      <c r="K93" s="32">
        <v>33</v>
      </c>
      <c r="L93" s="32">
        <v>1</v>
      </c>
      <c r="M93" s="32">
        <v>3</v>
      </c>
    </row>
    <row r="94" spans="1:13">
      <c r="A94" s="32">
        <f t="shared" ca="1" si="1"/>
        <v>93</v>
      </c>
      <c r="B94" s="32" cm="1">
        <f t="array" aca="1" ref="B94" ca="1">INDEX(Data_DBD!$B:$B,$A94)</f>
        <v>65</v>
      </c>
      <c r="C94" s="32" cm="1">
        <f t="array" aca="1" ref="C94" ca="1">INDEX(Data_DBD!$C:$C,$A94)</f>
        <v>4</v>
      </c>
      <c r="D94" s="32" cm="1">
        <f t="array" aca="1" ref="D94" ca="1">INDEX(Data_DBD!$D:$D,$A94)</f>
        <v>18</v>
      </c>
      <c r="E94" s="32" cm="1">
        <f t="array" aca="1" ref="E94" ca="1">INDEX(Data_DBD!$E:$E,$A94)</f>
        <v>0</v>
      </c>
      <c r="F94" s="32" cm="1">
        <f t="array" aca="1" ref="F94" ca="1">INDEX(Data_DBD!$F:$F,$A94)</f>
        <v>3</v>
      </c>
      <c r="H94" s="32">
        <v>143</v>
      </c>
      <c r="I94" s="32">
        <v>20</v>
      </c>
      <c r="J94" s="32">
        <v>4</v>
      </c>
      <c r="K94" s="32">
        <v>21</v>
      </c>
      <c r="L94" s="32">
        <v>1</v>
      </c>
      <c r="M94" s="32">
        <v>3</v>
      </c>
    </row>
    <row r="95" spans="1:13">
      <c r="A95" s="32">
        <f t="shared" ca="1" si="1"/>
        <v>97</v>
      </c>
      <c r="B95" s="32" cm="1">
        <f t="array" aca="1" ref="B95" ca="1">INDEX(Data_DBD!$B:$B,$A95)</f>
        <v>16</v>
      </c>
      <c r="C95" s="32" cm="1">
        <f t="array" aca="1" ref="C95" ca="1">INDEX(Data_DBD!$C:$C,$A95)</f>
        <v>2</v>
      </c>
      <c r="D95" s="32" cm="1">
        <f t="array" aca="1" ref="D95" ca="1">INDEX(Data_DBD!$D:$D,$A95)</f>
        <v>18</v>
      </c>
      <c r="E95" s="32" cm="1">
        <f t="array" aca="1" ref="E95" ca="1">INDEX(Data_DBD!$E:$E,$A95)</f>
        <v>1</v>
      </c>
      <c r="F95" s="32" cm="1">
        <f t="array" aca="1" ref="F95" ca="1">INDEX(Data_DBD!$F:$F,$A95)</f>
        <v>3</v>
      </c>
      <c r="H95" s="32">
        <v>23</v>
      </c>
      <c r="I95" s="32">
        <v>28</v>
      </c>
      <c r="J95" s="32">
        <v>4</v>
      </c>
      <c r="K95" s="32">
        <v>14</v>
      </c>
      <c r="L95" s="32">
        <v>1</v>
      </c>
      <c r="M95" s="32">
        <v>2</v>
      </c>
    </row>
    <row r="96" spans="1:13">
      <c r="A96" s="32">
        <f t="shared" ca="1" si="1"/>
        <v>27</v>
      </c>
      <c r="B96" s="32" cm="1">
        <f t="array" aca="1" ref="B96" ca="1">INDEX(Data_DBD!$B:$B,$A96)</f>
        <v>37</v>
      </c>
      <c r="C96" s="32" cm="1">
        <f t="array" aca="1" ref="C96" ca="1">INDEX(Data_DBD!$C:$C,$A96)</f>
        <v>4</v>
      </c>
      <c r="D96" s="32" cm="1">
        <f t="array" aca="1" ref="D96" ca="1">INDEX(Data_DBD!$D:$D,$A96)</f>
        <v>14</v>
      </c>
      <c r="E96" s="32" cm="1">
        <f t="array" aca="1" ref="E96" ca="1">INDEX(Data_DBD!$E:$E,$A96)</f>
        <v>1</v>
      </c>
      <c r="F96" s="32" cm="1">
        <f t="array" aca="1" ref="F96" ca="1">INDEX(Data_DBD!$F:$F,$A96)</f>
        <v>2</v>
      </c>
      <c r="H96" s="32">
        <v>90</v>
      </c>
      <c r="I96" s="32">
        <v>47</v>
      </c>
      <c r="J96" s="32">
        <v>3</v>
      </c>
      <c r="K96" s="32">
        <v>18</v>
      </c>
      <c r="L96" s="32">
        <v>0</v>
      </c>
      <c r="M96" s="32">
        <v>3</v>
      </c>
    </row>
    <row r="97" spans="1:13">
      <c r="A97" s="32">
        <f t="shared" ca="1" si="1"/>
        <v>143</v>
      </c>
      <c r="B97" s="32" cm="1">
        <f t="array" aca="1" ref="B97" ca="1">INDEX(Data_DBD!$B:$B,$A97)</f>
        <v>20</v>
      </c>
      <c r="C97" s="32" cm="1">
        <f t="array" aca="1" ref="C97" ca="1">INDEX(Data_DBD!$C:$C,$A97)</f>
        <v>4</v>
      </c>
      <c r="D97" s="32" cm="1">
        <f t="array" aca="1" ref="D97" ca="1">INDEX(Data_DBD!$D:$D,$A97)</f>
        <v>21</v>
      </c>
      <c r="E97" s="32" cm="1">
        <f t="array" aca="1" ref="E97" ca="1">INDEX(Data_DBD!$E:$E,$A97)</f>
        <v>1</v>
      </c>
      <c r="F97" s="32" cm="1">
        <f t="array" aca="1" ref="F97" ca="1">INDEX(Data_DBD!$F:$F,$A97)</f>
        <v>3</v>
      </c>
      <c r="H97" s="32">
        <v>60</v>
      </c>
      <c r="I97" s="32">
        <v>68</v>
      </c>
      <c r="J97" s="32">
        <v>4</v>
      </c>
      <c r="K97" s="32">
        <v>15</v>
      </c>
      <c r="L97" s="32">
        <v>0</v>
      </c>
      <c r="M97" s="32">
        <v>2</v>
      </c>
    </row>
    <row r="98" spans="1:13">
      <c r="A98" s="32">
        <f t="shared" ca="1" si="1"/>
        <v>30</v>
      </c>
      <c r="B98" s="32" t="str" cm="1">
        <f t="array" aca="1" ref="B98" ca="1">INDEX(Data_DBD!$B:$B,$A98)</f>
        <v>2,8</v>
      </c>
      <c r="C98" s="32" cm="1">
        <f t="array" aca="1" ref="C98" ca="1">INDEX(Data_DBD!$C:$C,$A98)</f>
        <v>2</v>
      </c>
      <c r="D98" s="32" cm="1">
        <f t="array" aca="1" ref="D98" ca="1">INDEX(Data_DBD!$D:$D,$A98)</f>
        <v>14</v>
      </c>
      <c r="E98" s="32" cm="1">
        <f t="array" aca="1" ref="E98" ca="1">INDEX(Data_DBD!$E:$E,$A98)</f>
        <v>1</v>
      </c>
      <c r="F98" s="32" cm="1">
        <f t="array" aca="1" ref="F98" ca="1">INDEX(Data_DBD!$F:$F,$A98)</f>
        <v>2</v>
      </c>
      <c r="H98" s="32">
        <v>53</v>
      </c>
      <c r="I98" s="32">
        <v>35</v>
      </c>
      <c r="J98" s="32">
        <v>4</v>
      </c>
      <c r="K98" s="32">
        <v>15</v>
      </c>
      <c r="L98" s="32">
        <v>1</v>
      </c>
      <c r="M98" s="32">
        <v>2</v>
      </c>
    </row>
    <row r="99" spans="1:13">
      <c r="A99" s="32">
        <f t="shared" ca="1" si="1"/>
        <v>15</v>
      </c>
      <c r="B99" s="32" cm="1">
        <f t="array" aca="1" ref="B99" ca="1">INDEX(Data_DBD!$B:$B,$A99)</f>
        <v>21</v>
      </c>
      <c r="C99" s="32" cm="1">
        <f t="array" aca="1" ref="C99" ca="1">INDEX(Data_DBD!$C:$C,$A99)</f>
        <v>2</v>
      </c>
      <c r="D99" s="32" cm="1">
        <f t="array" aca="1" ref="D99" ca="1">INDEX(Data_DBD!$D:$D,$A99)</f>
        <v>7</v>
      </c>
      <c r="E99" s="32" cm="1">
        <f t="array" aca="1" ref="E99" ca="1">INDEX(Data_DBD!$E:$E,$A99)</f>
        <v>0</v>
      </c>
      <c r="F99" s="32" cm="1">
        <f t="array" aca="1" ref="F99" ca="1">INDEX(Data_DBD!$F:$F,$A99)</f>
        <v>1</v>
      </c>
      <c r="H99" s="32">
        <v>62</v>
      </c>
      <c r="I99" s="32">
        <v>43</v>
      </c>
      <c r="J99" s="32">
        <v>4</v>
      </c>
      <c r="K99" s="32">
        <v>15</v>
      </c>
      <c r="L99" s="32">
        <v>1</v>
      </c>
      <c r="M99" s="32">
        <v>2</v>
      </c>
    </row>
    <row r="100" spans="1:13">
      <c r="A100" s="32">
        <f t="shared" ca="1" si="1"/>
        <v>21</v>
      </c>
      <c r="B100" s="32" cm="1">
        <f t="array" aca="1" ref="B100" ca="1">INDEX(Data_DBD!$B:$B,$A100)</f>
        <v>10</v>
      </c>
      <c r="C100" s="32" cm="1">
        <f t="array" aca="1" ref="C100" ca="1">INDEX(Data_DBD!$C:$C,$A100)</f>
        <v>5</v>
      </c>
      <c r="D100" s="32" cm="1">
        <f t="array" aca="1" ref="D100" ca="1">INDEX(Data_DBD!$D:$D,$A100)</f>
        <v>14</v>
      </c>
      <c r="E100" s="32" cm="1">
        <f t="array" aca="1" ref="E100" ca="1">INDEX(Data_DBD!$E:$E,$A100)</f>
        <v>1</v>
      </c>
      <c r="F100" s="32" cm="1">
        <f t="array" aca="1" ref="F100" ca="1">INDEX(Data_DBD!$F:$F,$A100)</f>
        <v>2</v>
      </c>
      <c r="H100" s="32">
        <v>148</v>
      </c>
      <c r="I100" s="32">
        <v>55</v>
      </c>
      <c r="J100" s="32">
        <v>3</v>
      </c>
      <c r="K100" s="32">
        <v>21</v>
      </c>
      <c r="L100" s="32">
        <v>1</v>
      </c>
      <c r="M100" s="32">
        <v>3</v>
      </c>
    </row>
    <row r="101" spans="1:13">
      <c r="A101" s="32">
        <f t="shared" ca="1" si="1"/>
        <v>39</v>
      </c>
      <c r="B101" s="32" cm="1">
        <f t="array" aca="1" ref="B101" ca="1">INDEX(Data_DBD!$B:$B,$A101)</f>
        <v>12</v>
      </c>
      <c r="C101" s="32" cm="1">
        <f t="array" aca="1" ref="C101" ca="1">INDEX(Data_DBD!$C:$C,$A101)</f>
        <v>5</v>
      </c>
      <c r="D101" s="32" cm="1">
        <f t="array" aca="1" ref="D101" ca="1">INDEX(Data_DBD!$D:$D,$A101)</f>
        <v>13</v>
      </c>
      <c r="E101" s="32" cm="1">
        <f t="array" aca="1" ref="E101" ca="1">INDEX(Data_DBD!$E:$E,$A101)</f>
        <v>1</v>
      </c>
      <c r="F101" s="32" cm="1">
        <f t="array" aca="1" ref="F101" ca="1">INDEX(Data_DBD!$F:$F,$A101)</f>
        <v>2</v>
      </c>
      <c r="H101" s="32">
        <v>86</v>
      </c>
      <c r="I101" s="32">
        <v>23</v>
      </c>
      <c r="J101" s="32">
        <v>3</v>
      </c>
      <c r="K101" s="32">
        <v>13</v>
      </c>
      <c r="L101" s="32">
        <v>0</v>
      </c>
      <c r="M101" s="32">
        <v>2</v>
      </c>
    </row>
    <row r="102" spans="1:13">
      <c r="A102" s="32">
        <f t="shared" ca="1" si="1"/>
        <v>130</v>
      </c>
      <c r="B102" s="32" cm="1">
        <f t="array" aca="1" ref="B102" ca="1">INDEX(Data_DBD!$B:$B,$A102)</f>
        <v>12</v>
      </c>
      <c r="C102" s="32" cm="1">
        <f t="array" aca="1" ref="C102" ca="1">INDEX(Data_DBD!$C:$C,$A102)</f>
        <v>4</v>
      </c>
      <c r="D102" s="32" cm="1">
        <f t="array" aca="1" ref="D102" ca="1">INDEX(Data_DBD!$D:$D,$A102)</f>
        <v>33</v>
      </c>
      <c r="E102" s="32" cm="1">
        <f t="array" aca="1" ref="E102" ca="1">INDEX(Data_DBD!$E:$E,$A102)</f>
        <v>0</v>
      </c>
      <c r="F102" s="32" cm="1">
        <f t="array" aca="1" ref="F102" ca="1">INDEX(Data_DBD!$F:$F,$A102)</f>
        <v>3</v>
      </c>
      <c r="H102" s="32">
        <v>151</v>
      </c>
      <c r="I102" s="32">
        <v>24</v>
      </c>
      <c r="J102" s="32">
        <v>3</v>
      </c>
      <c r="K102" s="32">
        <v>21</v>
      </c>
      <c r="L102" s="32">
        <v>0</v>
      </c>
      <c r="M102" s="32">
        <v>3</v>
      </c>
    </row>
    <row r="103" spans="1:13">
      <c r="A103" s="32">
        <f t="shared" ca="1" si="1"/>
        <v>75</v>
      </c>
      <c r="B103" s="32" cm="1">
        <f t="array" aca="1" ref="B103" ca="1">INDEX(Data_DBD!$B:$B,$A103)</f>
        <v>2</v>
      </c>
      <c r="C103" s="32" cm="1">
        <f t="array" aca="1" ref="C103" ca="1">INDEX(Data_DBD!$C:$C,$A103)</f>
        <v>2</v>
      </c>
      <c r="D103" s="32" cm="1">
        <f t="array" aca="1" ref="D103" ca="1">INDEX(Data_DBD!$D:$D,$A103)</f>
        <v>10</v>
      </c>
      <c r="E103" s="32" cm="1">
        <f t="array" aca="1" ref="E103" ca="1">INDEX(Data_DBD!$E:$E,$A103)</f>
        <v>1</v>
      </c>
      <c r="F103" s="32" cm="1">
        <f t="array" aca="1" ref="F103" ca="1">INDEX(Data_DBD!$F:$F,$A103)</f>
        <v>2</v>
      </c>
      <c r="H103" s="32">
        <v>149</v>
      </c>
      <c r="I103" s="32">
        <v>19</v>
      </c>
      <c r="J103" s="32">
        <v>5</v>
      </c>
      <c r="K103" s="32">
        <v>21</v>
      </c>
      <c r="L103" s="32">
        <v>0</v>
      </c>
      <c r="M103" s="32">
        <v>3</v>
      </c>
    </row>
    <row r="104" spans="1:13">
      <c r="A104" s="32">
        <f t="shared" ca="1" si="1"/>
        <v>148</v>
      </c>
      <c r="B104" s="32" cm="1">
        <f t="array" aca="1" ref="B104" ca="1">INDEX(Data_DBD!$B:$B,$A104)</f>
        <v>55</v>
      </c>
      <c r="C104" s="32" cm="1">
        <f t="array" aca="1" ref="C104" ca="1">INDEX(Data_DBD!$C:$C,$A104)</f>
        <v>3</v>
      </c>
      <c r="D104" s="32" cm="1">
        <f t="array" aca="1" ref="D104" ca="1">INDEX(Data_DBD!$D:$D,$A104)</f>
        <v>21</v>
      </c>
      <c r="E104" s="32" cm="1">
        <f t="array" aca="1" ref="E104" ca="1">INDEX(Data_DBD!$E:$E,$A104)</f>
        <v>1</v>
      </c>
      <c r="F104" s="32" cm="1">
        <f t="array" aca="1" ref="F104" ca="1">INDEX(Data_DBD!$F:$F,$A104)</f>
        <v>3</v>
      </c>
      <c r="H104" s="32">
        <v>113</v>
      </c>
      <c r="I104" s="32">
        <v>69</v>
      </c>
      <c r="J104" s="32">
        <v>1</v>
      </c>
      <c r="K104" s="32">
        <v>33</v>
      </c>
      <c r="L104" s="32">
        <v>1</v>
      </c>
      <c r="M104" s="32">
        <v>3</v>
      </c>
    </row>
    <row r="105" spans="1:13">
      <c r="A105" s="32">
        <f t="shared" ca="1" si="1"/>
        <v>95</v>
      </c>
      <c r="B105" s="32" cm="1">
        <f t="array" aca="1" ref="B105" ca="1">INDEX(Data_DBD!$B:$B,$A105)</f>
        <v>11</v>
      </c>
      <c r="C105" s="32" cm="1">
        <f t="array" aca="1" ref="C105" ca="1">INDEX(Data_DBD!$C:$C,$A105)</f>
        <v>3</v>
      </c>
      <c r="D105" s="32" cm="1">
        <f t="array" aca="1" ref="D105" ca="1">INDEX(Data_DBD!$D:$D,$A105)</f>
        <v>18</v>
      </c>
      <c r="E105" s="32" cm="1">
        <f t="array" aca="1" ref="E105" ca="1">INDEX(Data_DBD!$E:$E,$A105)</f>
        <v>1</v>
      </c>
      <c r="F105" s="32" cm="1">
        <f t="array" aca="1" ref="F105" ca="1">INDEX(Data_DBD!$F:$F,$A105)</f>
        <v>3</v>
      </c>
      <c r="H105" s="32">
        <v>152</v>
      </c>
      <c r="I105" s="32">
        <v>47</v>
      </c>
      <c r="J105" s="32">
        <v>3</v>
      </c>
      <c r="K105" s="32">
        <v>21</v>
      </c>
      <c r="L105" s="32">
        <v>1</v>
      </c>
      <c r="M105" s="32">
        <v>3</v>
      </c>
    </row>
    <row r="106" spans="1:13">
      <c r="A106" s="32">
        <f t="shared" ca="1" si="1"/>
        <v>10</v>
      </c>
      <c r="B106" s="32" cm="1">
        <f t="array" aca="1" ref="B106" ca="1">INDEX(Data_DBD!$B:$B,$A106)</f>
        <v>18</v>
      </c>
      <c r="C106" s="32" cm="1">
        <f t="array" aca="1" ref="C106" ca="1">INDEX(Data_DBD!$C:$C,$A106)</f>
        <v>5</v>
      </c>
      <c r="D106" s="32" cm="1">
        <f t="array" aca="1" ref="D106" ca="1">INDEX(Data_DBD!$D:$D,$A106)</f>
        <v>12</v>
      </c>
      <c r="E106" s="32" cm="1">
        <f t="array" aca="1" ref="E106" ca="1">INDEX(Data_DBD!$E:$E,$A106)</f>
        <v>0</v>
      </c>
      <c r="F106" s="32" cm="1">
        <f t="array" aca="1" ref="F106" ca="1">INDEX(Data_DBD!$F:$F,$A106)</f>
        <v>2</v>
      </c>
      <c r="H106" s="32">
        <v>108</v>
      </c>
      <c r="I106" s="32">
        <v>69</v>
      </c>
      <c r="J106" s="32">
        <v>7</v>
      </c>
      <c r="K106" s="32">
        <v>33</v>
      </c>
      <c r="L106" s="32">
        <v>1</v>
      </c>
      <c r="M106" s="32">
        <v>3</v>
      </c>
    </row>
    <row r="107" spans="1:13">
      <c r="A107" s="32">
        <f t="shared" ca="1" si="1"/>
        <v>115</v>
      </c>
      <c r="B107" s="32" cm="1">
        <f t="array" aca="1" ref="B107" ca="1">INDEX(Data_DBD!$B:$B,$A107)</f>
        <v>52</v>
      </c>
      <c r="C107" s="32" cm="1">
        <f t="array" aca="1" ref="C107" ca="1">INDEX(Data_DBD!$C:$C,$A107)</f>
        <v>3</v>
      </c>
      <c r="D107" s="32" cm="1">
        <f t="array" aca="1" ref="D107" ca="1">INDEX(Data_DBD!$D:$D,$A107)</f>
        <v>33</v>
      </c>
      <c r="E107" s="32" cm="1">
        <f t="array" aca="1" ref="E107" ca="1">INDEX(Data_DBD!$E:$E,$A107)</f>
        <v>1</v>
      </c>
      <c r="F107" s="32" cm="1">
        <f t="array" aca="1" ref="F107" ca="1">INDEX(Data_DBD!$F:$F,$A107)</f>
        <v>3</v>
      </c>
      <c r="H107" s="32">
        <v>153</v>
      </c>
      <c r="I107" s="32">
        <v>73</v>
      </c>
      <c r="J107" s="32">
        <v>7</v>
      </c>
      <c r="K107" s="32">
        <v>21</v>
      </c>
      <c r="L107" s="32">
        <v>1</v>
      </c>
      <c r="M107" s="32">
        <v>3</v>
      </c>
    </row>
    <row r="108" spans="1:13">
      <c r="A108" s="32">
        <f t="shared" ca="1" si="1"/>
        <v>114</v>
      </c>
      <c r="B108" s="32" cm="1">
        <f t="array" aca="1" ref="B108" ca="1">INDEX(Data_DBD!$B:$B,$A108)</f>
        <v>14</v>
      </c>
      <c r="C108" s="32" cm="1">
        <f t="array" aca="1" ref="C108" ca="1">INDEX(Data_DBD!$C:$C,$A108)</f>
        <v>2</v>
      </c>
      <c r="D108" s="32" cm="1">
        <f t="array" aca="1" ref="D108" ca="1">INDEX(Data_DBD!$D:$D,$A108)</f>
        <v>33</v>
      </c>
      <c r="E108" s="32" cm="1">
        <f t="array" aca="1" ref="E108" ca="1">INDEX(Data_DBD!$E:$E,$A108)</f>
        <v>1</v>
      </c>
      <c r="F108" s="32" cm="1">
        <f t="array" aca="1" ref="F108" ca="1">INDEX(Data_DBD!$F:$F,$A108)</f>
        <v>3</v>
      </c>
      <c r="H108" s="32">
        <v>118</v>
      </c>
      <c r="I108" s="32">
        <v>67</v>
      </c>
      <c r="J108" s="32">
        <v>4</v>
      </c>
      <c r="K108" s="32">
        <v>33</v>
      </c>
      <c r="L108" s="32">
        <v>1</v>
      </c>
      <c r="M108" s="32">
        <v>3</v>
      </c>
    </row>
    <row r="109" spans="1:13">
      <c r="A109" s="32">
        <f t="shared" ca="1" si="1"/>
        <v>4</v>
      </c>
      <c r="B109" s="32" cm="1">
        <f t="array" aca="1" ref="B109" ca="1">INDEX(Data_DBD!$B:$B,$A109)</f>
        <v>23</v>
      </c>
      <c r="C109" s="32" cm="1">
        <f t="array" aca="1" ref="C109" ca="1">INDEX(Data_DBD!$C:$C,$A109)</f>
        <v>5</v>
      </c>
      <c r="D109" s="32" cm="1">
        <f t="array" aca="1" ref="D109" ca="1">INDEX(Data_DBD!$D:$D,$A109)</f>
        <v>12</v>
      </c>
      <c r="E109" s="32" cm="1">
        <f t="array" aca="1" ref="E109" ca="1">INDEX(Data_DBD!$E:$E,$A109)</f>
        <v>0</v>
      </c>
      <c r="F109" s="32" cm="1">
        <f t="array" aca="1" ref="F109" ca="1">INDEX(Data_DBD!$F:$F,$A109)</f>
        <v>2</v>
      </c>
      <c r="H109" s="32">
        <v>27</v>
      </c>
      <c r="I109" s="32">
        <v>37</v>
      </c>
      <c r="J109" s="32">
        <v>4</v>
      </c>
      <c r="K109" s="32">
        <v>14</v>
      </c>
      <c r="L109" s="32">
        <v>1</v>
      </c>
      <c r="M109" s="32">
        <v>2</v>
      </c>
    </row>
    <row r="110" spans="1:13">
      <c r="A110" s="32">
        <f t="shared" ca="1" si="1"/>
        <v>113</v>
      </c>
      <c r="B110" s="32" cm="1">
        <f t="array" aca="1" ref="B110" ca="1">INDEX(Data_DBD!$B:$B,$A110)</f>
        <v>69</v>
      </c>
      <c r="C110" s="32" cm="1">
        <f t="array" aca="1" ref="C110" ca="1">INDEX(Data_DBD!$C:$C,$A110)</f>
        <v>1</v>
      </c>
      <c r="D110" s="32" cm="1">
        <f t="array" aca="1" ref="D110" ca="1">INDEX(Data_DBD!$D:$D,$A110)</f>
        <v>33</v>
      </c>
      <c r="E110" s="32" cm="1">
        <f t="array" aca="1" ref="E110" ca="1">INDEX(Data_DBD!$E:$E,$A110)</f>
        <v>1</v>
      </c>
      <c r="F110" s="32" cm="1">
        <f t="array" aca="1" ref="F110" ca="1">INDEX(Data_DBD!$F:$F,$A110)</f>
        <v>3</v>
      </c>
      <c r="H110" s="32">
        <v>23</v>
      </c>
      <c r="I110" s="32">
        <v>28</v>
      </c>
      <c r="J110" s="32">
        <v>4</v>
      </c>
      <c r="K110" s="32">
        <v>14</v>
      </c>
      <c r="L110" s="32">
        <v>1</v>
      </c>
      <c r="M110" s="32">
        <v>2</v>
      </c>
    </row>
    <row r="111" spans="1:13">
      <c r="A111" s="32">
        <f t="shared" ca="1" si="1"/>
        <v>47</v>
      </c>
      <c r="B111" s="32" cm="1">
        <f t="array" aca="1" ref="B111" ca="1">INDEX(Data_DBD!$B:$B,$A111)</f>
        <v>19</v>
      </c>
      <c r="C111" s="32" cm="1">
        <f t="array" aca="1" ref="C111" ca="1">INDEX(Data_DBD!$C:$C,$A111)</f>
        <v>2</v>
      </c>
      <c r="D111" s="32" cm="1">
        <f t="array" aca="1" ref="D111" ca="1">INDEX(Data_DBD!$D:$D,$A111)</f>
        <v>13</v>
      </c>
      <c r="E111" s="32" cm="1">
        <f t="array" aca="1" ref="E111" ca="1">INDEX(Data_DBD!$E:$E,$A111)</f>
        <v>0</v>
      </c>
      <c r="F111" s="32" cm="1">
        <f t="array" aca="1" ref="F111" ca="1">INDEX(Data_DBD!$F:$F,$A111)</f>
        <v>2</v>
      </c>
      <c r="H111" s="32">
        <v>76</v>
      </c>
      <c r="I111" s="32">
        <v>70</v>
      </c>
      <c r="J111" s="32">
        <v>2</v>
      </c>
      <c r="K111" s="32">
        <v>10</v>
      </c>
      <c r="L111" s="32">
        <v>0</v>
      </c>
      <c r="M111" s="32">
        <v>2</v>
      </c>
    </row>
    <row r="112" spans="1:13">
      <c r="A112" s="32">
        <f t="shared" ca="1" si="1"/>
        <v>117</v>
      </c>
      <c r="B112" s="32" cm="1">
        <f t="array" aca="1" ref="B112" ca="1">INDEX(Data_DBD!$B:$B,$A112)</f>
        <v>49</v>
      </c>
      <c r="C112" s="32" cm="1">
        <f t="array" aca="1" ref="C112" ca="1">INDEX(Data_DBD!$C:$C,$A112)</f>
        <v>4</v>
      </c>
      <c r="D112" s="32" cm="1">
        <f t="array" aca="1" ref="D112" ca="1">INDEX(Data_DBD!$D:$D,$A112)</f>
        <v>33</v>
      </c>
      <c r="E112" s="32" cm="1">
        <f t="array" aca="1" ref="E112" ca="1">INDEX(Data_DBD!$E:$E,$A112)</f>
        <v>1</v>
      </c>
      <c r="F112" s="32" cm="1">
        <f t="array" aca="1" ref="F112" ca="1">INDEX(Data_DBD!$F:$F,$A112)</f>
        <v>3</v>
      </c>
      <c r="H112" s="32">
        <v>60</v>
      </c>
      <c r="I112" s="32">
        <v>68</v>
      </c>
      <c r="J112" s="32">
        <v>4</v>
      </c>
      <c r="K112" s="32">
        <v>15</v>
      </c>
      <c r="L112" s="32">
        <v>0</v>
      </c>
      <c r="M112" s="32">
        <v>2</v>
      </c>
    </row>
    <row r="113" spans="1:13">
      <c r="A113" s="32">
        <f t="shared" ca="1" si="1"/>
        <v>67</v>
      </c>
      <c r="B113" s="32" cm="1">
        <f t="array" aca="1" ref="B113" ca="1">INDEX(Data_DBD!$B:$B,$A113)</f>
        <v>21</v>
      </c>
      <c r="C113" s="32" cm="1">
        <f t="array" aca="1" ref="C113" ca="1">INDEX(Data_DBD!$C:$C,$A113)</f>
        <v>3</v>
      </c>
      <c r="D113" s="32" cm="1">
        <f t="array" aca="1" ref="D113" ca="1">INDEX(Data_DBD!$D:$D,$A113)</f>
        <v>10</v>
      </c>
      <c r="E113" s="32" cm="1">
        <f t="array" aca="1" ref="E113" ca="1">INDEX(Data_DBD!$E:$E,$A113)</f>
        <v>1</v>
      </c>
      <c r="F113" s="32" cm="1">
        <f t="array" aca="1" ref="F113" ca="1">INDEX(Data_DBD!$F:$F,$A113)</f>
        <v>2</v>
      </c>
      <c r="H113" s="32">
        <v>65</v>
      </c>
      <c r="I113" s="32">
        <v>49</v>
      </c>
      <c r="J113" s="32">
        <v>3</v>
      </c>
      <c r="K113" s="32">
        <v>15</v>
      </c>
      <c r="L113" s="32">
        <v>0</v>
      </c>
      <c r="M113" s="32">
        <v>2</v>
      </c>
    </row>
    <row r="114" spans="1:13">
      <c r="A114" s="32">
        <f t="shared" ca="1" si="1"/>
        <v>102</v>
      </c>
      <c r="B114" s="32" cm="1">
        <f t="array" aca="1" ref="B114" ca="1">INDEX(Data_DBD!$B:$B,$A114)</f>
        <v>41</v>
      </c>
      <c r="C114" s="32" cm="1">
        <f t="array" aca="1" ref="C114" ca="1">INDEX(Data_DBD!$C:$C,$A114)</f>
        <v>4</v>
      </c>
      <c r="D114" s="32" cm="1">
        <f t="array" aca="1" ref="D114" ca="1">INDEX(Data_DBD!$D:$D,$A114)</f>
        <v>18</v>
      </c>
      <c r="E114" s="32" cm="1">
        <f t="array" aca="1" ref="E114" ca="1">INDEX(Data_DBD!$E:$E,$A114)</f>
        <v>0</v>
      </c>
      <c r="F114" s="32" cm="1">
        <f t="array" aca="1" ref="F114" ca="1">INDEX(Data_DBD!$F:$F,$A114)</f>
        <v>3</v>
      </c>
      <c r="H114" s="32">
        <v>135</v>
      </c>
      <c r="I114" s="32">
        <v>10</v>
      </c>
      <c r="J114" s="32">
        <v>2</v>
      </c>
      <c r="K114" s="32">
        <v>33</v>
      </c>
      <c r="L114" s="32">
        <v>0</v>
      </c>
      <c r="M114" s="32">
        <v>3</v>
      </c>
    </row>
    <row r="115" spans="1:13">
      <c r="A115" s="32">
        <f t="shared" ca="1" si="1"/>
        <v>23</v>
      </c>
      <c r="B115" s="32" cm="1">
        <f t="array" aca="1" ref="B115" ca="1">INDEX(Data_DBD!$B:$B,$A115)</f>
        <v>28</v>
      </c>
      <c r="C115" s="32" cm="1">
        <f t="array" aca="1" ref="C115" ca="1">INDEX(Data_DBD!$C:$C,$A115)</f>
        <v>4</v>
      </c>
      <c r="D115" s="32" cm="1">
        <f t="array" aca="1" ref="D115" ca="1">INDEX(Data_DBD!$D:$D,$A115)</f>
        <v>14</v>
      </c>
      <c r="E115" s="32" cm="1">
        <f t="array" aca="1" ref="E115" ca="1">INDEX(Data_DBD!$E:$E,$A115)</f>
        <v>1</v>
      </c>
      <c r="F115" s="32" cm="1">
        <f t="array" aca="1" ref="F115" ca="1">INDEX(Data_DBD!$F:$F,$A115)</f>
        <v>2</v>
      </c>
      <c r="H115" s="32">
        <v>44</v>
      </c>
      <c r="I115" s="32">
        <v>28</v>
      </c>
      <c r="J115" s="32">
        <v>5</v>
      </c>
      <c r="K115" s="32">
        <v>13</v>
      </c>
      <c r="L115" s="32">
        <v>1</v>
      </c>
      <c r="M115" s="32">
        <v>2</v>
      </c>
    </row>
    <row r="116" spans="1:13">
      <c r="A116" s="32">
        <f t="shared" ca="1" si="1"/>
        <v>55</v>
      </c>
      <c r="B116" s="32" cm="1">
        <f t="array" aca="1" ref="B116" ca="1">INDEX(Data_DBD!$B:$B,$A116)</f>
        <v>7</v>
      </c>
      <c r="C116" s="32" cm="1">
        <f t="array" aca="1" ref="C116" ca="1">INDEX(Data_DBD!$C:$C,$A116)</f>
        <v>4</v>
      </c>
      <c r="D116" s="32" cm="1">
        <f t="array" aca="1" ref="D116" ca="1">INDEX(Data_DBD!$D:$D,$A116)</f>
        <v>15</v>
      </c>
      <c r="E116" s="32" cm="1">
        <f t="array" aca="1" ref="E116" ca="1">INDEX(Data_DBD!$E:$E,$A116)</f>
        <v>1</v>
      </c>
      <c r="F116" s="32" cm="1">
        <f t="array" aca="1" ref="F116" ca="1">INDEX(Data_DBD!$F:$F,$A116)</f>
        <v>2</v>
      </c>
      <c r="H116" s="32">
        <v>44</v>
      </c>
      <c r="I116" s="32">
        <v>28</v>
      </c>
      <c r="J116" s="32">
        <v>5</v>
      </c>
      <c r="K116" s="32">
        <v>13</v>
      </c>
      <c r="L116" s="32">
        <v>1</v>
      </c>
      <c r="M116" s="32">
        <v>2</v>
      </c>
    </row>
    <row r="117" spans="1:13">
      <c r="A117" s="32">
        <f t="shared" ca="1" si="1"/>
        <v>78</v>
      </c>
      <c r="B117" s="32" cm="1">
        <f t="array" aca="1" ref="B117" ca="1">INDEX(Data_DBD!$B:$B,$A117)</f>
        <v>6</v>
      </c>
      <c r="C117" s="32" cm="1">
        <f t="array" aca="1" ref="C117" ca="1">INDEX(Data_DBD!$C:$C,$A117)</f>
        <v>3</v>
      </c>
      <c r="D117" s="32" cm="1">
        <f t="array" aca="1" ref="D117" ca="1">INDEX(Data_DBD!$D:$D,$A117)</f>
        <v>13</v>
      </c>
      <c r="E117" s="32" cm="1">
        <f t="array" aca="1" ref="E117" ca="1">INDEX(Data_DBD!$E:$E,$A117)</f>
        <v>0</v>
      </c>
      <c r="F117" s="32" cm="1">
        <f t="array" aca="1" ref="F117" ca="1">INDEX(Data_DBD!$F:$F,$A117)</f>
        <v>2</v>
      </c>
      <c r="H117" s="32">
        <v>131</v>
      </c>
      <c r="I117" s="32">
        <v>10</v>
      </c>
      <c r="J117" s="32">
        <v>2</v>
      </c>
      <c r="K117" s="32">
        <v>33</v>
      </c>
      <c r="L117" s="32">
        <v>0</v>
      </c>
      <c r="M117" s="32">
        <v>3</v>
      </c>
    </row>
    <row r="118" spans="1:13">
      <c r="A118" s="32">
        <f t="shared" ca="1" si="1"/>
        <v>164</v>
      </c>
      <c r="B118" s="32" cm="1">
        <f t="array" aca="1" ref="B118" ca="1">INDEX(Data_DBD!$B:$B,$A118)</f>
        <v>10</v>
      </c>
      <c r="C118" s="32" cm="1">
        <f t="array" aca="1" ref="C118" ca="1">INDEX(Data_DBD!$C:$C,$A118)</f>
        <v>6</v>
      </c>
      <c r="D118" s="32" cm="1">
        <f t="array" aca="1" ref="D118" ca="1">INDEX(Data_DBD!$D:$D,$A118)</f>
        <v>3</v>
      </c>
      <c r="E118" s="32" cm="1">
        <f t="array" aca="1" ref="E118" ca="1">INDEX(Data_DBD!$E:$E,$A118)</f>
        <v>0</v>
      </c>
      <c r="F118" s="32" cm="1">
        <f t="array" aca="1" ref="F118" ca="1">INDEX(Data_DBD!$F:$F,$A118)</f>
        <v>1</v>
      </c>
      <c r="H118" s="32">
        <v>63</v>
      </c>
      <c r="I118" s="32">
        <v>25</v>
      </c>
      <c r="J118" s="32">
        <v>3</v>
      </c>
      <c r="K118" s="32">
        <v>15</v>
      </c>
      <c r="L118" s="32">
        <v>0</v>
      </c>
      <c r="M118" s="32">
        <v>2</v>
      </c>
    </row>
    <row r="119" spans="1:13">
      <c r="A119" s="32">
        <f t="shared" ca="1" si="1"/>
        <v>38</v>
      </c>
      <c r="B119" s="32" cm="1">
        <f t="array" aca="1" ref="B119" ca="1">INDEX(Data_DBD!$B:$B,$A119)</f>
        <v>52</v>
      </c>
      <c r="C119" s="32" cm="1">
        <f t="array" aca="1" ref="C119" ca="1">INDEX(Data_DBD!$C:$C,$A119)</f>
        <v>3</v>
      </c>
      <c r="D119" s="32" cm="1">
        <f t="array" aca="1" ref="D119" ca="1">INDEX(Data_DBD!$D:$D,$A119)</f>
        <v>4</v>
      </c>
      <c r="E119" s="32" cm="1">
        <f t="array" aca="1" ref="E119" ca="1">INDEX(Data_DBD!$E:$E,$A119)</f>
        <v>1</v>
      </c>
      <c r="F119" s="32" cm="1">
        <f t="array" aca="1" ref="F119" ca="1">INDEX(Data_DBD!$F:$F,$A119)</f>
        <v>1</v>
      </c>
      <c r="H119" s="32">
        <v>43</v>
      </c>
      <c r="I119" s="32">
        <v>15</v>
      </c>
      <c r="J119" s="32">
        <v>4</v>
      </c>
      <c r="K119" s="32">
        <v>13</v>
      </c>
      <c r="L119" s="32">
        <v>0</v>
      </c>
      <c r="M119" s="32">
        <v>2</v>
      </c>
    </row>
    <row r="120" spans="1:13">
      <c r="A120" s="32">
        <f t="shared" ca="1" si="1"/>
        <v>134</v>
      </c>
      <c r="B120" s="32" cm="1">
        <f t="array" aca="1" ref="B120" ca="1">INDEX(Data_DBD!$B:$B,$A120)</f>
        <v>4</v>
      </c>
      <c r="C120" s="32" cm="1">
        <f t="array" aca="1" ref="C120" ca="1">INDEX(Data_DBD!$C:$C,$A120)</f>
        <v>2</v>
      </c>
      <c r="D120" s="32" cm="1">
        <f t="array" aca="1" ref="D120" ca="1">INDEX(Data_DBD!$D:$D,$A120)</f>
        <v>33</v>
      </c>
      <c r="E120" s="32" cm="1">
        <f t="array" aca="1" ref="E120" ca="1">INDEX(Data_DBD!$E:$E,$A120)</f>
        <v>1</v>
      </c>
      <c r="F120" s="32" cm="1">
        <f t="array" aca="1" ref="F120" ca="1">INDEX(Data_DBD!$F:$F,$A120)</f>
        <v>3</v>
      </c>
      <c r="H120" s="32">
        <v>33</v>
      </c>
      <c r="I120" s="32">
        <v>19</v>
      </c>
      <c r="J120" s="32">
        <v>4</v>
      </c>
      <c r="K120" s="32">
        <v>14</v>
      </c>
      <c r="L120" s="32">
        <v>1</v>
      </c>
      <c r="M120" s="32">
        <v>2</v>
      </c>
    </row>
    <row r="121" spans="1:13">
      <c r="A121" s="32">
        <f t="shared" ca="1" si="1"/>
        <v>23</v>
      </c>
      <c r="B121" s="32" cm="1">
        <f t="array" aca="1" ref="B121" ca="1">INDEX(Data_DBD!$B:$B,$A121)</f>
        <v>28</v>
      </c>
      <c r="C121" s="32" cm="1">
        <f t="array" aca="1" ref="C121" ca="1">INDEX(Data_DBD!$C:$C,$A121)</f>
        <v>4</v>
      </c>
      <c r="D121" s="32" cm="1">
        <f t="array" aca="1" ref="D121" ca="1">INDEX(Data_DBD!$D:$D,$A121)</f>
        <v>14</v>
      </c>
      <c r="E121" s="32" cm="1">
        <f t="array" aca="1" ref="E121" ca="1">INDEX(Data_DBD!$E:$E,$A121)</f>
        <v>1</v>
      </c>
      <c r="F121" s="32" cm="1">
        <f t="array" aca="1" ref="F121" ca="1">INDEX(Data_DBD!$F:$F,$A121)</f>
        <v>2</v>
      </c>
      <c r="H121" s="32">
        <v>113</v>
      </c>
      <c r="I121" s="32">
        <v>69</v>
      </c>
      <c r="J121" s="32">
        <v>1</v>
      </c>
      <c r="K121" s="32">
        <v>33</v>
      </c>
      <c r="L121" s="32">
        <v>1</v>
      </c>
      <c r="M121" s="32">
        <v>3</v>
      </c>
    </row>
    <row r="122" spans="1:13">
      <c r="A122" s="32">
        <f t="shared" ca="1" si="1"/>
        <v>8</v>
      </c>
      <c r="B122" s="32" cm="1">
        <f t="array" aca="1" ref="B122" ca="1">INDEX(Data_DBD!$B:$B,$A122)</f>
        <v>4</v>
      </c>
      <c r="C122" s="32" cm="1">
        <f t="array" aca="1" ref="C122" ca="1">INDEX(Data_DBD!$C:$C,$A122)</f>
        <v>2</v>
      </c>
      <c r="D122" s="32" cm="1">
        <f t="array" aca="1" ref="D122" ca="1">INDEX(Data_DBD!$D:$D,$A122)</f>
        <v>12</v>
      </c>
      <c r="E122" s="32" cm="1">
        <f t="array" aca="1" ref="E122" ca="1">INDEX(Data_DBD!$E:$E,$A122)</f>
        <v>0</v>
      </c>
      <c r="F122" s="32" cm="1">
        <f t="array" aca="1" ref="F122" ca="1">INDEX(Data_DBD!$F:$F,$A122)</f>
        <v>2</v>
      </c>
      <c r="H122" s="32">
        <v>92</v>
      </c>
      <c r="I122" s="32">
        <v>55</v>
      </c>
      <c r="J122" s="32">
        <v>7</v>
      </c>
      <c r="K122" s="32">
        <v>18</v>
      </c>
      <c r="L122" s="32">
        <v>0</v>
      </c>
      <c r="M122" s="32">
        <v>3</v>
      </c>
    </row>
    <row r="123" spans="1:13">
      <c r="A123" s="32">
        <f t="shared" ca="1" si="1"/>
        <v>164</v>
      </c>
      <c r="B123" s="32" cm="1">
        <f t="array" aca="1" ref="B123" ca="1">INDEX(Data_DBD!$B:$B,$A123)</f>
        <v>10</v>
      </c>
      <c r="C123" s="32" cm="1">
        <f t="array" aca="1" ref="C123" ca="1">INDEX(Data_DBD!$C:$C,$A123)</f>
        <v>6</v>
      </c>
      <c r="D123" s="32" cm="1">
        <f t="array" aca="1" ref="D123" ca="1">INDEX(Data_DBD!$D:$D,$A123)</f>
        <v>3</v>
      </c>
      <c r="E123" s="32" cm="1">
        <f t="array" aca="1" ref="E123" ca="1">INDEX(Data_DBD!$E:$E,$A123)</f>
        <v>0</v>
      </c>
      <c r="F123" s="32" cm="1">
        <f t="array" aca="1" ref="F123" ca="1">INDEX(Data_DBD!$F:$F,$A123)</f>
        <v>1</v>
      </c>
      <c r="H123" s="32">
        <v>103</v>
      </c>
      <c r="I123" s="32">
        <v>22</v>
      </c>
      <c r="J123" s="32">
        <v>5</v>
      </c>
      <c r="K123" s="32">
        <v>18</v>
      </c>
      <c r="L123" s="32">
        <v>0</v>
      </c>
      <c r="M123" s="32">
        <v>3</v>
      </c>
    </row>
    <row r="124" spans="1:13">
      <c r="A124" s="32">
        <f t="shared" ca="1" si="1"/>
        <v>36</v>
      </c>
      <c r="B124" s="32" cm="1">
        <f t="array" aca="1" ref="B124" ca="1">INDEX(Data_DBD!$B:$B,$A124)</f>
        <v>27</v>
      </c>
      <c r="C124" s="32" cm="1">
        <f t="array" aca="1" ref="C124" ca="1">INDEX(Data_DBD!$C:$C,$A124)</f>
        <v>1</v>
      </c>
      <c r="D124" s="32" cm="1">
        <f t="array" aca="1" ref="D124" ca="1">INDEX(Data_DBD!$D:$D,$A124)</f>
        <v>4</v>
      </c>
      <c r="E124" s="32" cm="1">
        <f t="array" aca="1" ref="E124" ca="1">INDEX(Data_DBD!$E:$E,$A124)</f>
        <v>1</v>
      </c>
      <c r="F124" s="32" cm="1">
        <f t="array" aca="1" ref="F124" ca="1">INDEX(Data_DBD!$F:$F,$A124)</f>
        <v>1</v>
      </c>
      <c r="H124" s="32">
        <v>65</v>
      </c>
      <c r="I124" s="32">
        <v>49</v>
      </c>
      <c r="J124" s="32">
        <v>3</v>
      </c>
      <c r="K124" s="32">
        <v>15</v>
      </c>
      <c r="L124" s="32">
        <v>0</v>
      </c>
      <c r="M124" s="32">
        <v>2</v>
      </c>
    </row>
    <row r="125" spans="1:13">
      <c r="A125" s="32">
        <f t="shared" ca="1" si="1"/>
        <v>57</v>
      </c>
      <c r="B125" s="32" cm="1">
        <f t="array" aca="1" ref="B125" ca="1">INDEX(Data_DBD!$B:$B,$A125)</f>
        <v>2</v>
      </c>
      <c r="C125" s="32" cm="1">
        <f t="array" aca="1" ref="C125" ca="1">INDEX(Data_DBD!$C:$C,$A125)</f>
        <v>2</v>
      </c>
      <c r="D125" s="32" cm="1">
        <f t="array" aca="1" ref="D125" ca="1">INDEX(Data_DBD!$D:$D,$A125)</f>
        <v>15</v>
      </c>
      <c r="E125" s="32" cm="1">
        <f t="array" aca="1" ref="E125" ca="1">INDEX(Data_DBD!$E:$E,$A125)</f>
        <v>1</v>
      </c>
      <c r="F125" s="32" cm="1">
        <f t="array" aca="1" ref="F125" ca="1">INDEX(Data_DBD!$F:$F,$A125)</f>
        <v>2</v>
      </c>
      <c r="H125" s="32">
        <v>143</v>
      </c>
      <c r="I125" s="32">
        <v>20</v>
      </c>
      <c r="J125" s="32">
        <v>4</v>
      </c>
      <c r="K125" s="32">
        <v>21</v>
      </c>
      <c r="L125" s="32">
        <v>1</v>
      </c>
      <c r="M125" s="32">
        <v>3</v>
      </c>
    </row>
    <row r="126" spans="1:13">
      <c r="A126" s="32">
        <f t="shared" ca="1" si="1"/>
        <v>78</v>
      </c>
      <c r="B126" s="32" cm="1">
        <f t="array" aca="1" ref="B126" ca="1">INDEX(Data_DBD!$B:$B,$A126)</f>
        <v>6</v>
      </c>
      <c r="C126" s="32" cm="1">
        <f t="array" aca="1" ref="C126" ca="1">INDEX(Data_DBD!$C:$C,$A126)</f>
        <v>3</v>
      </c>
      <c r="D126" s="32" cm="1">
        <f t="array" aca="1" ref="D126" ca="1">INDEX(Data_DBD!$D:$D,$A126)</f>
        <v>13</v>
      </c>
      <c r="E126" s="32" cm="1">
        <f t="array" aca="1" ref="E126" ca="1">INDEX(Data_DBD!$E:$E,$A126)</f>
        <v>0</v>
      </c>
      <c r="F126" s="32" cm="1">
        <f t="array" aca="1" ref="F126" ca="1">INDEX(Data_DBD!$F:$F,$A126)</f>
        <v>2</v>
      </c>
      <c r="H126" s="32">
        <v>26</v>
      </c>
      <c r="I126" s="32">
        <v>75</v>
      </c>
      <c r="J126" s="32">
        <v>4</v>
      </c>
      <c r="K126" s="32">
        <v>14</v>
      </c>
      <c r="L126" s="32">
        <v>1</v>
      </c>
      <c r="M126" s="32">
        <v>2</v>
      </c>
    </row>
    <row r="127" spans="1:13">
      <c r="A127" s="32">
        <f t="shared" ca="1" si="1"/>
        <v>66</v>
      </c>
      <c r="B127" s="32" cm="1">
        <f t="array" aca="1" ref="B127" ca="1">INDEX(Data_DBD!$B:$B,$A127)</f>
        <v>21</v>
      </c>
      <c r="C127" s="32" cm="1">
        <f t="array" aca="1" ref="C127" ca="1">INDEX(Data_DBD!$C:$C,$A127)</f>
        <v>5</v>
      </c>
      <c r="D127" s="32" cm="1">
        <f t="array" aca="1" ref="D127" ca="1">INDEX(Data_DBD!$D:$D,$A127)</f>
        <v>15</v>
      </c>
      <c r="E127" s="32" cm="1">
        <f t="array" aca="1" ref="E127" ca="1">INDEX(Data_DBD!$E:$E,$A127)</f>
        <v>1</v>
      </c>
      <c r="F127" s="32" cm="1">
        <f t="array" aca="1" ref="F127" ca="1">INDEX(Data_DBD!$F:$F,$A127)</f>
        <v>2</v>
      </c>
      <c r="H127" s="32">
        <v>135</v>
      </c>
      <c r="I127" s="32">
        <v>10</v>
      </c>
      <c r="J127" s="32">
        <v>2</v>
      </c>
      <c r="K127" s="32">
        <v>33</v>
      </c>
      <c r="L127" s="32">
        <v>0</v>
      </c>
      <c r="M127" s="32">
        <v>3</v>
      </c>
    </row>
    <row r="128" spans="1:13">
      <c r="A128" s="32">
        <f t="shared" ca="1" si="1"/>
        <v>57</v>
      </c>
      <c r="B128" s="32" cm="1">
        <f t="array" aca="1" ref="B128" ca="1">INDEX(Data_DBD!$B:$B,$A128)</f>
        <v>2</v>
      </c>
      <c r="C128" s="32" cm="1">
        <f t="array" aca="1" ref="C128" ca="1">INDEX(Data_DBD!$C:$C,$A128)</f>
        <v>2</v>
      </c>
      <c r="D128" s="32" cm="1">
        <f t="array" aca="1" ref="D128" ca="1">INDEX(Data_DBD!$D:$D,$A128)</f>
        <v>15</v>
      </c>
      <c r="E128" s="32" cm="1">
        <f t="array" aca="1" ref="E128" ca="1">INDEX(Data_DBD!$E:$E,$A128)</f>
        <v>1</v>
      </c>
      <c r="F128" s="32" cm="1">
        <f t="array" aca="1" ref="F128" ca="1">INDEX(Data_DBD!$F:$F,$A128)</f>
        <v>2</v>
      </c>
      <c r="H128" s="32">
        <v>132</v>
      </c>
      <c r="I128" s="32">
        <v>10</v>
      </c>
      <c r="J128" s="32">
        <v>3</v>
      </c>
      <c r="K128" s="32">
        <v>33</v>
      </c>
      <c r="L128" s="32">
        <v>1</v>
      </c>
      <c r="M128" s="32">
        <v>3</v>
      </c>
    </row>
    <row r="129" spans="1:13">
      <c r="A129" s="32">
        <f t="shared" ca="1" si="1"/>
        <v>62</v>
      </c>
      <c r="B129" s="32" cm="1">
        <f t="array" aca="1" ref="B129" ca="1">INDEX(Data_DBD!$B:$B,$A129)</f>
        <v>43</v>
      </c>
      <c r="C129" s="32" cm="1">
        <f t="array" aca="1" ref="C129" ca="1">INDEX(Data_DBD!$C:$C,$A129)</f>
        <v>4</v>
      </c>
      <c r="D129" s="32" cm="1">
        <f t="array" aca="1" ref="D129" ca="1">INDEX(Data_DBD!$D:$D,$A129)</f>
        <v>15</v>
      </c>
      <c r="E129" s="32" cm="1">
        <f t="array" aca="1" ref="E129" ca="1">INDEX(Data_DBD!$E:$E,$A129)</f>
        <v>1</v>
      </c>
      <c r="F129" s="32" cm="1">
        <f t="array" aca="1" ref="F129" ca="1">INDEX(Data_DBD!$F:$F,$A129)</f>
        <v>2</v>
      </c>
      <c r="H129" s="32">
        <v>106</v>
      </c>
      <c r="I129" s="32">
        <v>23</v>
      </c>
      <c r="J129" s="32">
        <v>3</v>
      </c>
      <c r="K129" s="32">
        <v>18</v>
      </c>
      <c r="L129" s="32">
        <v>1</v>
      </c>
      <c r="M129" s="32">
        <v>3</v>
      </c>
    </row>
    <row r="130" spans="1:13">
      <c r="A130" s="32">
        <f t="shared" ca="1" si="1"/>
        <v>102</v>
      </c>
      <c r="B130" s="32" cm="1">
        <f t="array" aca="1" ref="B130" ca="1">INDEX(Data_DBD!$B:$B,$A130)</f>
        <v>41</v>
      </c>
      <c r="C130" s="32" cm="1">
        <f t="array" aca="1" ref="C130" ca="1">INDEX(Data_DBD!$C:$C,$A130)</f>
        <v>4</v>
      </c>
      <c r="D130" s="32" cm="1">
        <f t="array" aca="1" ref="D130" ca="1">INDEX(Data_DBD!$D:$D,$A130)</f>
        <v>18</v>
      </c>
      <c r="E130" s="32" cm="1">
        <f t="array" aca="1" ref="E130" ca="1">INDEX(Data_DBD!$E:$E,$A130)</f>
        <v>0</v>
      </c>
      <c r="F130" s="32" cm="1">
        <f t="array" aca="1" ref="F130" ca="1">INDEX(Data_DBD!$F:$F,$A130)</f>
        <v>3</v>
      </c>
      <c r="H130" s="32">
        <v>116</v>
      </c>
      <c r="I130" s="32">
        <v>32</v>
      </c>
      <c r="J130" s="32">
        <v>4</v>
      </c>
      <c r="K130" s="32">
        <v>33</v>
      </c>
      <c r="L130" s="32">
        <v>1</v>
      </c>
      <c r="M130" s="32">
        <v>3</v>
      </c>
    </row>
    <row r="131" spans="1:13">
      <c r="A131" s="32">
        <f t="shared" ref="A131:A164" ca="1" si="2">RANDBETWEEN(2,164)</f>
        <v>146</v>
      </c>
      <c r="B131" s="32" cm="1">
        <f t="array" aca="1" ref="B131" ca="1">INDEX(Data_DBD!$B:$B,$A131)</f>
        <v>34</v>
      </c>
      <c r="C131" s="32" cm="1">
        <f t="array" aca="1" ref="C131" ca="1">INDEX(Data_DBD!$C:$C,$A131)</f>
        <v>2</v>
      </c>
      <c r="D131" s="32" cm="1">
        <f t="array" aca="1" ref="D131" ca="1">INDEX(Data_DBD!$D:$D,$A131)</f>
        <v>21</v>
      </c>
      <c r="E131" s="32" cm="1">
        <f t="array" aca="1" ref="E131" ca="1">INDEX(Data_DBD!$E:$E,$A131)</f>
        <v>1</v>
      </c>
      <c r="F131" s="32" cm="1">
        <f t="array" aca="1" ref="F131" ca="1">INDEX(Data_DBD!$F:$F,$A131)</f>
        <v>3</v>
      </c>
      <c r="H131" s="32">
        <v>80</v>
      </c>
      <c r="I131" s="32">
        <v>27</v>
      </c>
      <c r="J131" s="32">
        <v>3</v>
      </c>
      <c r="K131" s="32">
        <v>13</v>
      </c>
      <c r="L131" s="32">
        <v>1</v>
      </c>
      <c r="M131" s="32">
        <v>2</v>
      </c>
    </row>
    <row r="132" spans="1:13">
      <c r="A132" s="32">
        <f t="shared" ca="1" si="2"/>
        <v>118</v>
      </c>
      <c r="B132" s="32" cm="1">
        <f t="array" aca="1" ref="B132" ca="1">INDEX(Data_DBD!$B:$B,$A132)</f>
        <v>67</v>
      </c>
      <c r="C132" s="32" cm="1">
        <f t="array" aca="1" ref="C132" ca="1">INDEX(Data_DBD!$C:$C,$A132)</f>
        <v>4</v>
      </c>
      <c r="D132" s="32" cm="1">
        <f t="array" aca="1" ref="D132" ca="1">INDEX(Data_DBD!$D:$D,$A132)</f>
        <v>33</v>
      </c>
      <c r="E132" s="32" cm="1">
        <f t="array" aca="1" ref="E132" ca="1">INDEX(Data_DBD!$E:$E,$A132)</f>
        <v>1</v>
      </c>
      <c r="F132" s="32" cm="1">
        <f t="array" aca="1" ref="F132" ca="1">INDEX(Data_DBD!$F:$F,$A132)</f>
        <v>3</v>
      </c>
      <c r="H132" s="32">
        <v>130</v>
      </c>
      <c r="I132" s="32">
        <v>12</v>
      </c>
      <c r="J132" s="32">
        <v>4</v>
      </c>
      <c r="K132" s="32">
        <v>33</v>
      </c>
      <c r="L132" s="32">
        <v>0</v>
      </c>
      <c r="M132" s="32">
        <v>3</v>
      </c>
    </row>
    <row r="133" spans="1:13">
      <c r="A133" s="32">
        <f t="shared" ca="1" si="2"/>
        <v>164</v>
      </c>
      <c r="B133" s="32" cm="1">
        <f t="array" aca="1" ref="B133" ca="1">INDEX(Data_DBD!$B:$B,$A133)</f>
        <v>10</v>
      </c>
      <c r="C133" s="32" cm="1">
        <f t="array" aca="1" ref="C133" ca="1">INDEX(Data_DBD!$C:$C,$A133)</f>
        <v>6</v>
      </c>
      <c r="D133" s="32" cm="1">
        <f t="array" aca="1" ref="D133" ca="1">INDEX(Data_DBD!$D:$D,$A133)</f>
        <v>3</v>
      </c>
      <c r="E133" s="32" cm="1">
        <f t="array" aca="1" ref="E133" ca="1">INDEX(Data_DBD!$E:$E,$A133)</f>
        <v>0</v>
      </c>
      <c r="F133" s="32" cm="1">
        <f t="array" aca="1" ref="F133" ca="1">INDEX(Data_DBD!$F:$F,$A133)</f>
        <v>1</v>
      </c>
      <c r="H133" s="32">
        <v>57</v>
      </c>
      <c r="I133" s="32">
        <v>2</v>
      </c>
      <c r="J133" s="32">
        <v>2</v>
      </c>
      <c r="K133" s="32">
        <v>15</v>
      </c>
      <c r="L133" s="32">
        <v>1</v>
      </c>
      <c r="M133" s="32">
        <v>2</v>
      </c>
    </row>
    <row r="134" spans="1:13">
      <c r="A134" s="32">
        <f t="shared" ca="1" si="2"/>
        <v>107</v>
      </c>
      <c r="B134" s="32" cm="1">
        <f t="array" aca="1" ref="B134" ca="1">INDEX(Data_DBD!$B:$B,$A134)</f>
        <v>48</v>
      </c>
      <c r="C134" s="32" cm="1">
        <f t="array" aca="1" ref="C134" ca="1">INDEX(Data_DBD!$C:$C,$A134)</f>
        <v>5</v>
      </c>
      <c r="D134" s="32" cm="1">
        <f t="array" aca="1" ref="D134" ca="1">INDEX(Data_DBD!$D:$D,$A134)</f>
        <v>18</v>
      </c>
      <c r="E134" s="32" cm="1">
        <f t="array" aca="1" ref="E134" ca="1">INDEX(Data_DBD!$E:$E,$A134)</f>
        <v>0</v>
      </c>
      <c r="F134" s="32" cm="1">
        <f t="array" aca="1" ref="F134" ca="1">INDEX(Data_DBD!$F:$F,$A134)</f>
        <v>3</v>
      </c>
      <c r="H134" s="32">
        <v>4</v>
      </c>
      <c r="I134" s="32">
        <v>23</v>
      </c>
      <c r="J134" s="32">
        <v>5</v>
      </c>
      <c r="K134" s="32">
        <v>12</v>
      </c>
      <c r="L134" s="32">
        <v>0</v>
      </c>
      <c r="M134" s="32">
        <v>2</v>
      </c>
    </row>
    <row r="135" spans="1:13">
      <c r="A135" s="32">
        <f t="shared" ca="1" si="2"/>
        <v>90</v>
      </c>
      <c r="B135" s="32" cm="1">
        <f t="array" aca="1" ref="B135" ca="1">INDEX(Data_DBD!$B:$B,$A135)</f>
        <v>47</v>
      </c>
      <c r="C135" s="32" cm="1">
        <f t="array" aca="1" ref="C135" ca="1">INDEX(Data_DBD!$C:$C,$A135)</f>
        <v>3</v>
      </c>
      <c r="D135" s="32" cm="1">
        <f t="array" aca="1" ref="D135" ca="1">INDEX(Data_DBD!$D:$D,$A135)</f>
        <v>18</v>
      </c>
      <c r="E135" s="32" cm="1">
        <f t="array" aca="1" ref="E135" ca="1">INDEX(Data_DBD!$E:$E,$A135)</f>
        <v>0</v>
      </c>
      <c r="F135" s="32" cm="1">
        <f t="array" aca="1" ref="F135" ca="1">INDEX(Data_DBD!$F:$F,$A135)</f>
        <v>3</v>
      </c>
      <c r="H135" s="32">
        <v>62</v>
      </c>
      <c r="I135" s="32">
        <v>43</v>
      </c>
      <c r="J135" s="32">
        <v>4</v>
      </c>
      <c r="K135" s="32">
        <v>15</v>
      </c>
      <c r="L135" s="32">
        <v>1</v>
      </c>
      <c r="M135" s="32">
        <v>2</v>
      </c>
    </row>
    <row r="136" spans="1:13">
      <c r="A136" s="32">
        <f t="shared" ca="1" si="2"/>
        <v>132</v>
      </c>
      <c r="B136" s="32" cm="1">
        <f t="array" aca="1" ref="B136" ca="1">INDEX(Data_DBD!$B:$B,$A136)</f>
        <v>10</v>
      </c>
      <c r="C136" s="32" cm="1">
        <f t="array" aca="1" ref="C136" ca="1">INDEX(Data_DBD!$C:$C,$A136)</f>
        <v>3</v>
      </c>
      <c r="D136" s="32" cm="1">
        <f t="array" aca="1" ref="D136" ca="1">INDEX(Data_DBD!$D:$D,$A136)</f>
        <v>33</v>
      </c>
      <c r="E136" s="32" cm="1">
        <f t="array" aca="1" ref="E136" ca="1">INDEX(Data_DBD!$E:$E,$A136)</f>
        <v>1</v>
      </c>
      <c r="F136" s="32" cm="1">
        <f t="array" aca="1" ref="F136" ca="1">INDEX(Data_DBD!$F:$F,$A136)</f>
        <v>3</v>
      </c>
      <c r="H136" s="32">
        <v>65</v>
      </c>
      <c r="I136" s="32">
        <v>49</v>
      </c>
      <c r="J136" s="32">
        <v>3</v>
      </c>
      <c r="K136" s="32">
        <v>15</v>
      </c>
      <c r="L136" s="32">
        <v>0</v>
      </c>
      <c r="M136" s="32">
        <v>2</v>
      </c>
    </row>
    <row r="137" spans="1:13">
      <c r="A137" s="32">
        <f t="shared" ca="1" si="2"/>
        <v>150</v>
      </c>
      <c r="B137" s="32" cm="1">
        <f t="array" aca="1" ref="B137" ca="1">INDEX(Data_DBD!$B:$B,$A137)</f>
        <v>61</v>
      </c>
      <c r="C137" s="32" cm="1">
        <f t="array" aca="1" ref="C137" ca="1">INDEX(Data_DBD!$C:$C,$A137)</f>
        <v>5</v>
      </c>
      <c r="D137" s="32" cm="1">
        <f t="array" aca="1" ref="D137" ca="1">INDEX(Data_DBD!$D:$D,$A137)</f>
        <v>21</v>
      </c>
      <c r="E137" s="32" cm="1">
        <f t="array" aca="1" ref="E137" ca="1">INDEX(Data_DBD!$E:$E,$A137)</f>
        <v>1</v>
      </c>
      <c r="F137" s="32" cm="1">
        <f t="array" aca="1" ref="F137" ca="1">INDEX(Data_DBD!$F:$F,$A137)</f>
        <v>3</v>
      </c>
      <c r="H137" s="32">
        <v>85</v>
      </c>
      <c r="I137" s="32">
        <v>27</v>
      </c>
      <c r="J137" s="32">
        <v>9</v>
      </c>
      <c r="K137" s="32">
        <v>13</v>
      </c>
      <c r="L137" s="32">
        <v>0</v>
      </c>
      <c r="M137" s="32">
        <v>2</v>
      </c>
    </row>
    <row r="138" spans="1:13">
      <c r="A138" s="32">
        <f t="shared" ca="1" si="2"/>
        <v>83</v>
      </c>
      <c r="B138" s="32" cm="1">
        <f t="array" aca="1" ref="B138" ca="1">INDEX(Data_DBD!$B:$B,$A138)</f>
        <v>50</v>
      </c>
      <c r="C138" s="32" cm="1">
        <f t="array" aca="1" ref="C138" ca="1">INDEX(Data_DBD!$C:$C,$A138)</f>
        <v>3</v>
      </c>
      <c r="D138" s="32" cm="1">
        <f t="array" aca="1" ref="D138" ca="1">INDEX(Data_DBD!$D:$D,$A138)</f>
        <v>13</v>
      </c>
      <c r="E138" s="32" cm="1">
        <f t="array" aca="1" ref="E138" ca="1">INDEX(Data_DBD!$E:$E,$A138)</f>
        <v>0</v>
      </c>
      <c r="F138" s="32" cm="1">
        <f t="array" aca="1" ref="F138" ca="1">INDEX(Data_DBD!$F:$F,$A138)</f>
        <v>2</v>
      </c>
      <c r="H138" s="32">
        <v>87</v>
      </c>
      <c r="I138" s="32">
        <v>21</v>
      </c>
      <c r="J138" s="32">
        <v>3</v>
      </c>
      <c r="K138" s="32">
        <v>13</v>
      </c>
      <c r="L138" s="32">
        <v>0</v>
      </c>
      <c r="M138" s="32">
        <v>2</v>
      </c>
    </row>
    <row r="139" spans="1:13">
      <c r="A139" s="32">
        <f t="shared" ca="1" si="2"/>
        <v>141</v>
      </c>
      <c r="B139" s="32" cm="1">
        <f t="array" aca="1" ref="B139" ca="1">INDEX(Data_DBD!$B:$B,$A139)</f>
        <v>36</v>
      </c>
      <c r="C139" s="32" cm="1">
        <f t="array" aca="1" ref="C139" ca="1">INDEX(Data_DBD!$C:$C,$A139)</f>
        <v>2</v>
      </c>
      <c r="D139" s="32" cm="1">
        <f t="array" aca="1" ref="D139" ca="1">INDEX(Data_DBD!$D:$D,$A139)</f>
        <v>21</v>
      </c>
      <c r="E139" s="32" cm="1">
        <f t="array" aca="1" ref="E139" ca="1">INDEX(Data_DBD!$E:$E,$A139)</f>
        <v>0</v>
      </c>
      <c r="F139" s="32" cm="1">
        <f t="array" aca="1" ref="F139" ca="1">INDEX(Data_DBD!$F:$F,$A139)</f>
        <v>3</v>
      </c>
      <c r="H139" s="32">
        <v>46</v>
      </c>
      <c r="I139" s="32">
        <v>62</v>
      </c>
      <c r="J139" s="32">
        <v>2</v>
      </c>
      <c r="K139" s="32">
        <v>13</v>
      </c>
      <c r="L139" s="32">
        <v>0</v>
      </c>
      <c r="M139" s="32">
        <v>2</v>
      </c>
    </row>
    <row r="140" spans="1:13">
      <c r="A140" s="32">
        <f t="shared" ca="1" si="2"/>
        <v>36</v>
      </c>
      <c r="B140" s="32" cm="1">
        <f t="array" aca="1" ref="B140" ca="1">INDEX(Data_DBD!$B:$B,$A140)</f>
        <v>27</v>
      </c>
      <c r="C140" s="32" cm="1">
        <f t="array" aca="1" ref="C140" ca="1">INDEX(Data_DBD!$C:$C,$A140)</f>
        <v>1</v>
      </c>
      <c r="D140" s="32" cm="1">
        <f t="array" aca="1" ref="D140" ca="1">INDEX(Data_DBD!$D:$D,$A140)</f>
        <v>4</v>
      </c>
      <c r="E140" s="32" cm="1">
        <f t="array" aca="1" ref="E140" ca="1">INDEX(Data_DBD!$E:$E,$A140)</f>
        <v>1</v>
      </c>
      <c r="F140" s="32" cm="1">
        <f t="array" aca="1" ref="F140" ca="1">INDEX(Data_DBD!$F:$F,$A140)</f>
        <v>1</v>
      </c>
      <c r="H140" s="32">
        <v>91</v>
      </c>
      <c r="I140" s="32">
        <v>35</v>
      </c>
      <c r="J140" s="32">
        <v>1</v>
      </c>
      <c r="K140" s="32">
        <v>18</v>
      </c>
      <c r="L140" s="32">
        <v>1</v>
      </c>
      <c r="M140" s="32">
        <v>3</v>
      </c>
    </row>
    <row r="141" spans="1:13">
      <c r="A141" s="32">
        <f t="shared" ca="1" si="2"/>
        <v>31</v>
      </c>
      <c r="B141" s="32" cm="1">
        <f t="array" aca="1" ref="B141" ca="1">INDEX(Data_DBD!$B:$B,$A141)</f>
        <v>64</v>
      </c>
      <c r="C141" s="32" cm="1">
        <f t="array" aca="1" ref="C141" ca="1">INDEX(Data_DBD!$C:$C,$A141)</f>
        <v>4</v>
      </c>
      <c r="D141" s="32" cm="1">
        <f t="array" aca="1" ref="D141" ca="1">INDEX(Data_DBD!$D:$D,$A141)</f>
        <v>14</v>
      </c>
      <c r="E141" s="32" cm="1">
        <f t="array" aca="1" ref="E141" ca="1">INDEX(Data_DBD!$E:$E,$A141)</f>
        <v>1</v>
      </c>
      <c r="F141" s="32" cm="1">
        <f t="array" aca="1" ref="F141" ca="1">INDEX(Data_DBD!$F:$F,$A141)</f>
        <v>2</v>
      </c>
      <c r="H141" s="32">
        <v>24</v>
      </c>
      <c r="I141" s="32">
        <v>60</v>
      </c>
      <c r="J141" s="32">
        <v>4</v>
      </c>
      <c r="K141" s="32">
        <v>14</v>
      </c>
      <c r="L141" s="32">
        <v>0</v>
      </c>
      <c r="M141" s="32">
        <v>2</v>
      </c>
    </row>
    <row r="142" spans="1:13">
      <c r="A142" s="32">
        <f t="shared" ca="1" si="2"/>
        <v>20</v>
      </c>
      <c r="B142" s="32" cm="1">
        <f t="array" aca="1" ref="B142" ca="1">INDEX(Data_DBD!$B:$B,$A142)</f>
        <v>15</v>
      </c>
      <c r="C142" s="32" cm="1">
        <f t="array" aca="1" ref="C142" ca="1">INDEX(Data_DBD!$C:$C,$A142)</f>
        <v>5</v>
      </c>
      <c r="D142" s="32" cm="1">
        <f t="array" aca="1" ref="D142" ca="1">INDEX(Data_DBD!$D:$D,$A142)</f>
        <v>7</v>
      </c>
      <c r="E142" s="32" cm="1">
        <f t="array" aca="1" ref="E142" ca="1">INDEX(Data_DBD!$E:$E,$A142)</f>
        <v>0</v>
      </c>
      <c r="F142" s="32" cm="1">
        <f t="array" aca="1" ref="F142" ca="1">INDEX(Data_DBD!$F:$F,$A142)</f>
        <v>1</v>
      </c>
      <c r="H142" s="32">
        <v>45</v>
      </c>
      <c r="I142" s="32">
        <v>75</v>
      </c>
      <c r="J142" s="32">
        <v>3</v>
      </c>
      <c r="K142" s="32">
        <v>13</v>
      </c>
      <c r="L142" s="32">
        <v>1</v>
      </c>
      <c r="M142" s="32">
        <v>2</v>
      </c>
    </row>
    <row r="143" spans="1:13">
      <c r="A143" s="32">
        <f t="shared" ca="1" si="2"/>
        <v>137</v>
      </c>
      <c r="B143" s="32" cm="1">
        <f t="array" aca="1" ref="B143" ca="1">INDEX(Data_DBD!$B:$B,$A143)</f>
        <v>3.5</v>
      </c>
      <c r="C143" s="32" cm="1">
        <f t="array" aca="1" ref="C143" ca="1">INDEX(Data_DBD!$C:$C,$A143)</f>
        <v>1</v>
      </c>
      <c r="D143" s="32" cm="1">
        <f t="array" aca="1" ref="D143" ca="1">INDEX(Data_DBD!$D:$D,$A143)</f>
        <v>33</v>
      </c>
      <c r="E143" s="32" cm="1">
        <f t="array" aca="1" ref="E143" ca="1">INDEX(Data_DBD!$E:$E,$A143)</f>
        <v>1</v>
      </c>
      <c r="F143" s="32" cm="1">
        <f t="array" aca="1" ref="F143" ca="1">INDEX(Data_DBD!$F:$F,$A143)</f>
        <v>3</v>
      </c>
      <c r="H143" s="32">
        <v>16</v>
      </c>
      <c r="I143" s="32">
        <v>66</v>
      </c>
      <c r="J143" s="32">
        <v>5</v>
      </c>
      <c r="K143" s="32">
        <v>7</v>
      </c>
      <c r="L143" s="32">
        <v>1</v>
      </c>
      <c r="M143" s="32">
        <v>1</v>
      </c>
    </row>
    <row r="144" spans="1:13">
      <c r="A144" s="32">
        <f t="shared" ca="1" si="2"/>
        <v>109</v>
      </c>
      <c r="B144" s="32" cm="1">
        <f t="array" aca="1" ref="B144" ca="1">INDEX(Data_DBD!$B:$B,$A144)</f>
        <v>40</v>
      </c>
      <c r="C144" s="32" cm="1">
        <f t="array" aca="1" ref="C144" ca="1">INDEX(Data_DBD!$C:$C,$A144)</f>
        <v>3</v>
      </c>
      <c r="D144" s="32" cm="1">
        <f t="array" aca="1" ref="D144" ca="1">INDEX(Data_DBD!$D:$D,$A144)</f>
        <v>33</v>
      </c>
      <c r="E144" s="32" cm="1">
        <f t="array" aca="1" ref="E144" ca="1">INDEX(Data_DBD!$E:$E,$A144)</f>
        <v>1</v>
      </c>
      <c r="F144" s="32" cm="1">
        <f t="array" aca="1" ref="F144" ca="1">INDEX(Data_DBD!$F:$F,$A144)</f>
        <v>3</v>
      </c>
      <c r="H144" s="32">
        <v>135</v>
      </c>
      <c r="I144" s="32">
        <v>10</v>
      </c>
      <c r="J144" s="32">
        <v>2</v>
      </c>
      <c r="K144" s="32">
        <v>33</v>
      </c>
      <c r="L144" s="32">
        <v>0</v>
      </c>
      <c r="M144" s="32">
        <v>3</v>
      </c>
    </row>
    <row r="145" spans="1:13">
      <c r="A145" s="32">
        <f t="shared" ca="1" si="2"/>
        <v>61</v>
      </c>
      <c r="B145" s="32" cm="1">
        <f t="array" aca="1" ref="B145" ca="1">INDEX(Data_DBD!$B:$B,$A145)</f>
        <v>29</v>
      </c>
      <c r="C145" s="32" cm="1">
        <f t="array" aca="1" ref="C145" ca="1">INDEX(Data_DBD!$C:$C,$A145)</f>
        <v>3</v>
      </c>
      <c r="D145" s="32" cm="1">
        <f t="array" aca="1" ref="D145" ca="1">INDEX(Data_DBD!$D:$D,$A145)</f>
        <v>15</v>
      </c>
      <c r="E145" s="32" cm="1">
        <f t="array" aca="1" ref="E145" ca="1">INDEX(Data_DBD!$E:$E,$A145)</f>
        <v>1</v>
      </c>
      <c r="F145" s="32" cm="1">
        <f t="array" aca="1" ref="F145" ca="1">INDEX(Data_DBD!$F:$F,$A145)</f>
        <v>2</v>
      </c>
      <c r="H145" s="32">
        <v>15</v>
      </c>
      <c r="I145" s="32">
        <v>21</v>
      </c>
      <c r="J145" s="32">
        <v>2</v>
      </c>
      <c r="K145" s="32">
        <v>7</v>
      </c>
      <c r="L145" s="32">
        <v>0</v>
      </c>
      <c r="M145" s="32">
        <v>1</v>
      </c>
    </row>
    <row r="146" spans="1:13">
      <c r="A146" s="32">
        <f t="shared" ca="1" si="2"/>
        <v>112</v>
      </c>
      <c r="B146" s="32" cm="1">
        <f t="array" aca="1" ref="B146" ca="1">INDEX(Data_DBD!$B:$B,$A146)</f>
        <v>61</v>
      </c>
      <c r="C146" s="32" cm="1">
        <f t="array" aca="1" ref="C146" ca="1">INDEX(Data_DBD!$C:$C,$A146)</f>
        <v>3</v>
      </c>
      <c r="D146" s="32" cm="1">
        <f t="array" aca="1" ref="D146" ca="1">INDEX(Data_DBD!$D:$D,$A146)</f>
        <v>33</v>
      </c>
      <c r="E146" s="32" cm="1">
        <f t="array" aca="1" ref="E146" ca="1">INDEX(Data_DBD!$E:$E,$A146)</f>
        <v>1</v>
      </c>
      <c r="F146" s="32" cm="1">
        <f t="array" aca="1" ref="F146" ca="1">INDEX(Data_DBD!$F:$F,$A146)</f>
        <v>3</v>
      </c>
      <c r="H146" s="32">
        <v>14</v>
      </c>
      <c r="I146" s="32">
        <v>49</v>
      </c>
      <c r="J146" s="32">
        <v>4</v>
      </c>
      <c r="K146" s="32">
        <v>7</v>
      </c>
      <c r="L146" s="32">
        <v>1</v>
      </c>
      <c r="M146" s="32">
        <v>1</v>
      </c>
    </row>
    <row r="147" spans="1:13">
      <c r="A147" s="32">
        <f t="shared" ca="1" si="2"/>
        <v>124</v>
      </c>
      <c r="B147" s="32" cm="1">
        <f t="array" aca="1" ref="B147" ca="1">INDEX(Data_DBD!$B:$B,$A147)</f>
        <v>24</v>
      </c>
      <c r="C147" s="32" cm="1">
        <f t="array" aca="1" ref="C147" ca="1">INDEX(Data_DBD!$C:$C,$A147)</f>
        <v>3</v>
      </c>
      <c r="D147" s="32" cm="1">
        <f t="array" aca="1" ref="D147" ca="1">INDEX(Data_DBD!$D:$D,$A147)</f>
        <v>33</v>
      </c>
      <c r="E147" s="32" cm="1">
        <f t="array" aca="1" ref="E147" ca="1">INDEX(Data_DBD!$E:$E,$A147)</f>
        <v>1</v>
      </c>
      <c r="F147" s="32" cm="1">
        <f t="array" aca="1" ref="F147" ca="1">INDEX(Data_DBD!$F:$F,$A147)</f>
        <v>3</v>
      </c>
      <c r="H147" s="32">
        <v>48</v>
      </c>
      <c r="I147" s="32">
        <v>50</v>
      </c>
      <c r="J147" s="32">
        <v>5</v>
      </c>
      <c r="K147" s="32">
        <v>13</v>
      </c>
      <c r="L147" s="32">
        <v>1</v>
      </c>
      <c r="M147" s="32">
        <v>2</v>
      </c>
    </row>
    <row r="148" spans="1:13">
      <c r="A148" s="32">
        <f t="shared" ca="1" si="2"/>
        <v>72</v>
      </c>
      <c r="B148" s="32" cm="1">
        <f t="array" aca="1" ref="B148" ca="1">INDEX(Data_DBD!$B:$B,$A148)</f>
        <v>3</v>
      </c>
      <c r="C148" s="32" cm="1">
        <f t="array" aca="1" ref="C148" ca="1">INDEX(Data_DBD!$C:$C,$A148)</f>
        <v>5</v>
      </c>
      <c r="D148" s="32" cm="1">
        <f t="array" aca="1" ref="D148" ca="1">INDEX(Data_DBD!$D:$D,$A148)</f>
        <v>10</v>
      </c>
      <c r="E148" s="32" cm="1">
        <f t="array" aca="1" ref="E148" ca="1">INDEX(Data_DBD!$E:$E,$A148)</f>
        <v>1</v>
      </c>
      <c r="F148" s="32" cm="1">
        <f t="array" aca="1" ref="F148" ca="1">INDEX(Data_DBD!$F:$F,$A148)</f>
        <v>2</v>
      </c>
      <c r="H148" s="32">
        <v>137</v>
      </c>
      <c r="I148" s="32">
        <v>3.5</v>
      </c>
      <c r="J148" s="32">
        <v>1</v>
      </c>
      <c r="K148" s="32">
        <v>33</v>
      </c>
      <c r="L148" s="32">
        <v>1</v>
      </c>
      <c r="M148" s="32">
        <v>3</v>
      </c>
    </row>
    <row r="149" spans="1:13">
      <c r="A149" s="32">
        <f t="shared" ca="1" si="2"/>
        <v>51</v>
      </c>
      <c r="B149" s="32" cm="1">
        <f t="array" aca="1" ref="B149" ca="1">INDEX(Data_DBD!$B:$B,$A149)</f>
        <v>48</v>
      </c>
      <c r="C149" s="32" cm="1">
        <f t="array" aca="1" ref="C149" ca="1">INDEX(Data_DBD!$C:$C,$A149)</f>
        <v>4</v>
      </c>
      <c r="D149" s="32" cm="1">
        <f t="array" aca="1" ref="D149" ca="1">INDEX(Data_DBD!$D:$D,$A149)</f>
        <v>13</v>
      </c>
      <c r="E149" s="32" cm="1">
        <f t="array" aca="1" ref="E149" ca="1">INDEX(Data_DBD!$E:$E,$A149)</f>
        <v>0</v>
      </c>
      <c r="F149" s="32" cm="1">
        <f t="array" aca="1" ref="F149" ca="1">INDEX(Data_DBD!$F:$F,$A149)</f>
        <v>2</v>
      </c>
      <c r="H149" s="32">
        <v>49</v>
      </c>
      <c r="I149" s="32">
        <v>64</v>
      </c>
      <c r="J149" s="32">
        <v>5</v>
      </c>
      <c r="K149" s="32">
        <v>13</v>
      </c>
      <c r="L149" s="32">
        <v>0</v>
      </c>
      <c r="M149" s="32">
        <v>2</v>
      </c>
    </row>
    <row r="150" spans="1:13">
      <c r="A150" s="32">
        <f t="shared" ca="1" si="2"/>
        <v>94</v>
      </c>
      <c r="B150" s="32" cm="1">
        <f t="array" aca="1" ref="B150" ca="1">INDEX(Data_DBD!$B:$B,$A150)</f>
        <v>12</v>
      </c>
      <c r="C150" s="32" cm="1">
        <f t="array" aca="1" ref="C150" ca="1">INDEX(Data_DBD!$C:$C,$A150)</f>
        <v>4</v>
      </c>
      <c r="D150" s="32" cm="1">
        <f t="array" aca="1" ref="D150" ca="1">INDEX(Data_DBD!$D:$D,$A150)</f>
        <v>18</v>
      </c>
      <c r="E150" s="32" cm="1">
        <f t="array" aca="1" ref="E150" ca="1">INDEX(Data_DBD!$E:$E,$A150)</f>
        <v>0</v>
      </c>
      <c r="F150" s="32" cm="1">
        <f t="array" aca="1" ref="F150" ca="1">INDEX(Data_DBD!$F:$F,$A150)</f>
        <v>3</v>
      </c>
      <c r="H150" s="32">
        <v>158</v>
      </c>
      <c r="I150" s="32">
        <v>5</v>
      </c>
      <c r="J150" s="32">
        <v>2</v>
      </c>
      <c r="K150" s="32">
        <v>21</v>
      </c>
      <c r="L150" s="32">
        <v>0</v>
      </c>
      <c r="M150" s="32">
        <v>3</v>
      </c>
    </row>
    <row r="151" spans="1:13">
      <c r="A151" s="32">
        <f t="shared" ca="1" si="2"/>
        <v>75</v>
      </c>
      <c r="B151" s="32" cm="1">
        <f t="array" aca="1" ref="B151" ca="1">INDEX(Data_DBD!$B:$B,$A151)</f>
        <v>2</v>
      </c>
      <c r="C151" s="32" cm="1">
        <f t="array" aca="1" ref="C151" ca="1">INDEX(Data_DBD!$C:$C,$A151)</f>
        <v>2</v>
      </c>
      <c r="D151" s="32" cm="1">
        <f t="array" aca="1" ref="D151" ca="1">INDEX(Data_DBD!$D:$D,$A151)</f>
        <v>10</v>
      </c>
      <c r="E151" s="32" cm="1">
        <f t="array" aca="1" ref="E151" ca="1">INDEX(Data_DBD!$E:$E,$A151)</f>
        <v>1</v>
      </c>
      <c r="F151" s="32" cm="1">
        <f t="array" aca="1" ref="F151" ca="1">INDEX(Data_DBD!$F:$F,$A151)</f>
        <v>2</v>
      </c>
      <c r="H151" s="32">
        <v>96</v>
      </c>
      <c r="I151" s="32">
        <v>56</v>
      </c>
      <c r="J151" s="32">
        <v>4</v>
      </c>
      <c r="K151" s="32">
        <v>18</v>
      </c>
      <c r="L151" s="32">
        <v>0</v>
      </c>
      <c r="M151" s="32">
        <v>3</v>
      </c>
    </row>
    <row r="152" spans="1:13">
      <c r="A152" s="32">
        <f t="shared" ca="1" si="2"/>
        <v>53</v>
      </c>
      <c r="B152" s="32" cm="1">
        <f t="array" aca="1" ref="B152" ca="1">INDEX(Data_DBD!$B:$B,$A152)</f>
        <v>35</v>
      </c>
      <c r="C152" s="32" cm="1">
        <f t="array" aca="1" ref="C152" ca="1">INDEX(Data_DBD!$C:$C,$A152)</f>
        <v>4</v>
      </c>
      <c r="D152" s="32" cm="1">
        <f t="array" aca="1" ref="D152" ca="1">INDEX(Data_DBD!$D:$D,$A152)</f>
        <v>15</v>
      </c>
      <c r="E152" s="32" cm="1">
        <f t="array" aca="1" ref="E152" ca="1">INDEX(Data_DBD!$E:$E,$A152)</f>
        <v>1</v>
      </c>
      <c r="F152" s="32" cm="1">
        <f t="array" aca="1" ref="F152" ca="1">INDEX(Data_DBD!$F:$F,$A152)</f>
        <v>2</v>
      </c>
      <c r="H152" s="32">
        <v>23</v>
      </c>
      <c r="I152" s="32">
        <v>28</v>
      </c>
      <c r="J152" s="32">
        <v>4</v>
      </c>
      <c r="K152" s="32">
        <v>14</v>
      </c>
      <c r="L152" s="32">
        <v>1</v>
      </c>
      <c r="M152" s="32">
        <v>2</v>
      </c>
    </row>
    <row r="153" spans="1:13">
      <c r="A153" s="32">
        <f t="shared" ca="1" si="2"/>
        <v>34</v>
      </c>
      <c r="B153" s="32" cm="1">
        <f t="array" aca="1" ref="B153" ca="1">INDEX(Data_DBD!$B:$B,$A153)</f>
        <v>55</v>
      </c>
      <c r="C153" s="32" cm="1">
        <f t="array" aca="1" ref="C153" ca="1">INDEX(Data_DBD!$C:$C,$A153)</f>
        <v>3</v>
      </c>
      <c r="D153" s="32" cm="1">
        <f t="array" aca="1" ref="D153" ca="1">INDEX(Data_DBD!$D:$D,$A153)</f>
        <v>14</v>
      </c>
      <c r="E153" s="32" cm="1">
        <f t="array" aca="1" ref="E153" ca="1">INDEX(Data_DBD!$E:$E,$A153)</f>
        <v>0</v>
      </c>
      <c r="F153" s="32" cm="1">
        <f t="array" aca="1" ref="F153" ca="1">INDEX(Data_DBD!$F:$F,$A153)</f>
        <v>2</v>
      </c>
      <c r="H153" s="32">
        <v>76</v>
      </c>
      <c r="I153" s="32">
        <v>70</v>
      </c>
      <c r="J153" s="32">
        <v>2</v>
      </c>
      <c r="K153" s="32">
        <v>10</v>
      </c>
      <c r="L153" s="32">
        <v>0</v>
      </c>
      <c r="M153" s="32">
        <v>2</v>
      </c>
    </row>
    <row r="154" spans="1:13">
      <c r="A154" s="32">
        <f t="shared" ca="1" si="2"/>
        <v>80</v>
      </c>
      <c r="B154" s="32" cm="1">
        <f t="array" aca="1" ref="B154" ca="1">INDEX(Data_DBD!$B:$B,$A154)</f>
        <v>27</v>
      </c>
      <c r="C154" s="32" cm="1">
        <f t="array" aca="1" ref="C154" ca="1">INDEX(Data_DBD!$C:$C,$A154)</f>
        <v>3</v>
      </c>
      <c r="D154" s="32" cm="1">
        <f t="array" aca="1" ref="D154" ca="1">INDEX(Data_DBD!$D:$D,$A154)</f>
        <v>13</v>
      </c>
      <c r="E154" s="32" cm="1">
        <f t="array" aca="1" ref="E154" ca="1">INDEX(Data_DBD!$E:$E,$A154)</f>
        <v>1</v>
      </c>
      <c r="F154" s="32" cm="1">
        <f t="array" aca="1" ref="F154" ca="1">INDEX(Data_DBD!$F:$F,$A154)</f>
        <v>2</v>
      </c>
      <c r="H154" s="32">
        <v>129</v>
      </c>
      <c r="I154" s="32">
        <v>4.5</v>
      </c>
      <c r="J154" s="32">
        <v>3</v>
      </c>
      <c r="K154" s="32">
        <v>33</v>
      </c>
      <c r="L154" s="32">
        <v>0</v>
      </c>
      <c r="M154" s="32">
        <v>3</v>
      </c>
    </row>
    <row r="155" spans="1:13">
      <c r="A155" s="32">
        <f t="shared" ca="1" si="2"/>
        <v>13</v>
      </c>
      <c r="B155" s="32" cm="1">
        <f t="array" aca="1" ref="B155" ca="1">INDEX(Data_DBD!$B:$B,$A155)</f>
        <v>47</v>
      </c>
      <c r="C155" s="32" cm="1">
        <f t="array" aca="1" ref="C155" ca="1">INDEX(Data_DBD!$C:$C,$A155)</f>
        <v>2</v>
      </c>
      <c r="D155" s="32" cm="1">
        <f t="array" aca="1" ref="D155" ca="1">INDEX(Data_DBD!$D:$D,$A155)</f>
        <v>12</v>
      </c>
      <c r="E155" s="32" cm="1">
        <f t="array" aca="1" ref="E155" ca="1">INDEX(Data_DBD!$E:$E,$A155)</f>
        <v>0</v>
      </c>
      <c r="F155" s="32" cm="1">
        <f t="array" aca="1" ref="F155" ca="1">INDEX(Data_DBD!$F:$F,$A155)</f>
        <v>2</v>
      </c>
      <c r="H155" s="32">
        <v>13</v>
      </c>
      <c r="I155" s="32">
        <v>47</v>
      </c>
      <c r="J155" s="32">
        <v>2</v>
      </c>
      <c r="K155" s="32">
        <v>12</v>
      </c>
      <c r="L155" s="32">
        <v>0</v>
      </c>
      <c r="M155" s="32">
        <v>2</v>
      </c>
    </row>
    <row r="156" spans="1:13">
      <c r="A156" s="32">
        <f t="shared" ca="1" si="2"/>
        <v>5</v>
      </c>
      <c r="B156" s="32" cm="1">
        <f t="array" aca="1" ref="B156" ca="1">INDEX(Data_DBD!$B:$B,$A156)</f>
        <v>18</v>
      </c>
      <c r="C156" s="32" cm="1">
        <f t="array" aca="1" ref="C156" ca="1">INDEX(Data_DBD!$C:$C,$A156)</f>
        <v>2</v>
      </c>
      <c r="D156" s="32" cm="1">
        <f t="array" aca="1" ref="D156" ca="1">INDEX(Data_DBD!$D:$D,$A156)</f>
        <v>12</v>
      </c>
      <c r="E156" s="32" cm="1">
        <f t="array" aca="1" ref="E156" ca="1">INDEX(Data_DBD!$E:$E,$A156)</f>
        <v>1</v>
      </c>
      <c r="F156" s="32" cm="1">
        <f t="array" aca="1" ref="F156" ca="1">INDEX(Data_DBD!$F:$F,$A156)</f>
        <v>2</v>
      </c>
      <c r="H156" s="32">
        <v>15</v>
      </c>
      <c r="I156" s="32">
        <v>21</v>
      </c>
      <c r="J156" s="32">
        <v>2</v>
      </c>
      <c r="K156" s="32">
        <v>7</v>
      </c>
      <c r="L156" s="32">
        <v>0</v>
      </c>
      <c r="M156" s="32">
        <v>1</v>
      </c>
    </row>
    <row r="157" spans="1:13">
      <c r="A157" s="32">
        <f t="shared" ca="1" si="2"/>
        <v>95</v>
      </c>
      <c r="B157" s="32" cm="1">
        <f t="array" aca="1" ref="B157" ca="1">INDEX(Data_DBD!$B:$B,$A157)</f>
        <v>11</v>
      </c>
      <c r="C157" s="32" cm="1">
        <f t="array" aca="1" ref="C157" ca="1">INDEX(Data_DBD!$C:$C,$A157)</f>
        <v>3</v>
      </c>
      <c r="D157" s="32" cm="1">
        <f t="array" aca="1" ref="D157" ca="1">INDEX(Data_DBD!$D:$D,$A157)</f>
        <v>18</v>
      </c>
      <c r="E157" s="32" cm="1">
        <f t="array" aca="1" ref="E157" ca="1">INDEX(Data_DBD!$E:$E,$A157)</f>
        <v>1</v>
      </c>
      <c r="F157" s="32" cm="1">
        <f t="array" aca="1" ref="F157" ca="1">INDEX(Data_DBD!$F:$F,$A157)</f>
        <v>3</v>
      </c>
      <c r="H157" s="32">
        <v>68</v>
      </c>
      <c r="I157" s="32">
        <v>44</v>
      </c>
      <c r="J157" s="32">
        <v>5</v>
      </c>
      <c r="K157" s="32">
        <v>10</v>
      </c>
      <c r="L157" s="32">
        <v>0</v>
      </c>
      <c r="M157" s="32">
        <v>2</v>
      </c>
    </row>
    <row r="158" spans="1:13" ht="15.75">
      <c r="A158" s="32">
        <f t="shared" ca="1" si="2"/>
        <v>45</v>
      </c>
      <c r="B158" s="32" cm="1">
        <f t="array" aca="1" ref="B158" ca="1">INDEX(Data_DBD!$B:$B,$A158)</f>
        <v>75</v>
      </c>
      <c r="C158" s="32" cm="1">
        <f t="array" aca="1" ref="C158" ca="1">INDEX(Data_DBD!$C:$C,$A158)</f>
        <v>3</v>
      </c>
      <c r="D158" s="32" cm="1">
        <f t="array" aca="1" ref="D158" ca="1">INDEX(Data_DBD!$D:$D,$A158)</f>
        <v>13</v>
      </c>
      <c r="E158" s="32" cm="1">
        <f t="array" aca="1" ref="E158" ca="1">INDEX(Data_DBD!$E:$E,$A158)</f>
        <v>1</v>
      </c>
      <c r="F158" s="32" cm="1">
        <f t="array" aca="1" ref="F158" ca="1">INDEX(Data_DBD!$F:$F,$A158)</f>
        <v>2</v>
      </c>
      <c r="H158" s="32">
        <v>103</v>
      </c>
      <c r="I158" s="32">
        <v>22</v>
      </c>
      <c r="J158" s="32">
        <v>5</v>
      </c>
      <c r="K158" s="32">
        <v>18</v>
      </c>
      <c r="L158" s="58">
        <v>0</v>
      </c>
      <c r="M158" s="32">
        <v>3</v>
      </c>
    </row>
    <row r="159" spans="1:13" ht="15.75">
      <c r="A159" s="32">
        <f t="shared" ca="1" si="2"/>
        <v>11</v>
      </c>
      <c r="B159" s="32" cm="1">
        <f t="array" aca="1" ref="B159" ca="1">INDEX(Data_DBD!$B:$B,$A159)</f>
        <v>24</v>
      </c>
      <c r="C159" s="32" cm="1">
        <f t="array" aca="1" ref="C159" ca="1">INDEX(Data_DBD!$C:$C,$A159)</f>
        <v>5</v>
      </c>
      <c r="D159" s="32" cm="1">
        <f t="array" aca="1" ref="D159" ca="1">INDEX(Data_DBD!$D:$D,$A159)</f>
        <v>12</v>
      </c>
      <c r="E159" s="32" cm="1">
        <f t="array" aca="1" ref="E159" ca="1">INDEX(Data_DBD!$E:$E,$A159)</f>
        <v>1</v>
      </c>
      <c r="F159" s="32" cm="1">
        <f t="array" aca="1" ref="F159" ca="1">INDEX(Data_DBD!$F:$F,$A159)</f>
        <v>2</v>
      </c>
      <c r="H159" s="32">
        <v>134</v>
      </c>
      <c r="I159" s="32">
        <v>4</v>
      </c>
      <c r="J159" s="32">
        <v>2</v>
      </c>
      <c r="K159" s="32">
        <v>33</v>
      </c>
      <c r="L159" s="59">
        <v>1</v>
      </c>
      <c r="M159" s="32">
        <v>3</v>
      </c>
    </row>
    <row r="160" spans="1:13" ht="15.75">
      <c r="A160" s="32">
        <f t="shared" ca="1" si="2"/>
        <v>112</v>
      </c>
      <c r="B160" s="32" cm="1">
        <f t="array" aca="1" ref="B160" ca="1">INDEX(Data_DBD!$B:$B,$A160)</f>
        <v>61</v>
      </c>
      <c r="C160" s="32" cm="1">
        <f t="array" aca="1" ref="C160" ca="1">INDEX(Data_DBD!$C:$C,$A160)</f>
        <v>3</v>
      </c>
      <c r="D160" s="32" cm="1">
        <f t="array" aca="1" ref="D160" ca="1">INDEX(Data_DBD!$D:$D,$A160)</f>
        <v>33</v>
      </c>
      <c r="E160" s="32" cm="1">
        <f t="array" aca="1" ref="E160" ca="1">INDEX(Data_DBD!$E:$E,$A160)</f>
        <v>1</v>
      </c>
      <c r="F160" s="32" cm="1">
        <f t="array" aca="1" ref="F160" ca="1">INDEX(Data_DBD!$F:$F,$A160)</f>
        <v>3</v>
      </c>
      <c r="H160" s="32">
        <v>102</v>
      </c>
      <c r="I160" s="32">
        <v>41</v>
      </c>
      <c r="J160" s="32">
        <v>4</v>
      </c>
      <c r="K160" s="32">
        <v>18</v>
      </c>
      <c r="L160" s="60">
        <v>0</v>
      </c>
      <c r="M160" s="32">
        <v>3</v>
      </c>
    </row>
    <row r="161" spans="1:22" ht="15.75">
      <c r="A161" s="32">
        <f t="shared" ca="1" si="2"/>
        <v>160</v>
      </c>
      <c r="B161" s="32" cm="1">
        <f t="array" aca="1" ref="B161" ca="1">INDEX(Data_DBD!$B:$B,$A161)</f>
        <v>16</v>
      </c>
      <c r="C161" s="32" cm="1">
        <f t="array" aca="1" ref="C161" ca="1">INDEX(Data_DBD!$C:$C,$A161)</f>
        <v>3</v>
      </c>
      <c r="D161" s="32" cm="1">
        <f t="array" aca="1" ref="D161" ca="1">INDEX(Data_DBD!$D:$D,$A161)</f>
        <v>21</v>
      </c>
      <c r="E161" s="32" cm="1">
        <f t="array" aca="1" ref="E161" ca="1">INDEX(Data_DBD!$E:$E,$A161)</f>
        <v>0</v>
      </c>
      <c r="F161" s="32" cm="1">
        <f t="array" aca="1" ref="F161" ca="1">INDEX(Data_DBD!$F:$F,$A161)</f>
        <v>3</v>
      </c>
      <c r="H161" s="32">
        <v>28</v>
      </c>
      <c r="I161" s="32">
        <v>22</v>
      </c>
      <c r="J161" s="32">
        <v>2</v>
      </c>
      <c r="K161" s="32">
        <v>14</v>
      </c>
      <c r="L161" s="60">
        <v>1</v>
      </c>
      <c r="M161" s="32">
        <v>2</v>
      </c>
    </row>
    <row r="162" spans="1:22" ht="15.75">
      <c r="A162" s="32">
        <f t="shared" ca="1" si="2"/>
        <v>36</v>
      </c>
      <c r="B162" s="32" cm="1">
        <f t="array" aca="1" ref="B162" ca="1">INDEX(Data_DBD!$B:$B,$A162)</f>
        <v>27</v>
      </c>
      <c r="C162" s="32" cm="1">
        <f t="array" aca="1" ref="C162" ca="1">INDEX(Data_DBD!$C:$C,$A162)</f>
        <v>1</v>
      </c>
      <c r="D162" s="32" cm="1">
        <f t="array" aca="1" ref="D162" ca="1">INDEX(Data_DBD!$D:$D,$A162)</f>
        <v>4</v>
      </c>
      <c r="E162" s="32" cm="1">
        <f t="array" aca="1" ref="E162" ca="1">INDEX(Data_DBD!$E:$E,$A162)</f>
        <v>1</v>
      </c>
      <c r="F162" s="32" cm="1">
        <f t="array" aca="1" ref="F162" ca="1">INDEX(Data_DBD!$F:$F,$A162)</f>
        <v>1</v>
      </c>
      <c r="H162" s="32">
        <v>147</v>
      </c>
      <c r="I162" s="32">
        <v>66</v>
      </c>
      <c r="J162" s="32">
        <v>10</v>
      </c>
      <c r="K162" s="32">
        <v>21</v>
      </c>
      <c r="L162" s="59">
        <v>1</v>
      </c>
      <c r="M162" s="32">
        <v>3</v>
      </c>
    </row>
    <row r="163" spans="1:22" ht="15.75">
      <c r="A163" s="32">
        <f t="shared" ca="1" si="2"/>
        <v>49</v>
      </c>
      <c r="B163" s="32" cm="1">
        <f t="array" aca="1" ref="B163" ca="1">INDEX(Data_DBD!$B:$B,$A163)</f>
        <v>64</v>
      </c>
      <c r="C163" s="32" cm="1">
        <f t="array" aca="1" ref="C163" ca="1">INDEX(Data_DBD!$C:$C,$A163)</f>
        <v>5</v>
      </c>
      <c r="D163" s="32" cm="1">
        <f t="array" aca="1" ref="D163" ca="1">INDEX(Data_DBD!$D:$D,$A163)</f>
        <v>13</v>
      </c>
      <c r="E163" s="32" cm="1">
        <f t="array" aca="1" ref="E163" ca="1">INDEX(Data_DBD!$E:$E,$A163)</f>
        <v>0</v>
      </c>
      <c r="F163" s="32" cm="1">
        <f t="array" aca="1" ref="F163" ca="1">INDEX(Data_DBD!$F:$F,$A163)</f>
        <v>2</v>
      </c>
      <c r="H163" s="32">
        <v>164</v>
      </c>
      <c r="I163" s="32">
        <v>10</v>
      </c>
      <c r="J163" s="32">
        <v>6</v>
      </c>
      <c r="K163" s="32">
        <v>3</v>
      </c>
      <c r="L163" s="60">
        <v>0</v>
      </c>
      <c r="M163" s="32">
        <v>1</v>
      </c>
    </row>
    <row r="164" spans="1:22">
      <c r="A164" s="32">
        <f t="shared" ca="1" si="2"/>
        <v>18</v>
      </c>
      <c r="B164" s="32" cm="1">
        <f t="array" aca="1" ref="B164" ca="1">INDEX(Data_DBD!$B:$B,$A164)</f>
        <v>49</v>
      </c>
      <c r="C164" s="32" cm="1">
        <f t="array" aca="1" ref="C164" ca="1">INDEX(Data_DBD!$C:$C,$A164)</f>
        <v>4</v>
      </c>
      <c r="D164" s="32" cm="1">
        <f t="array" aca="1" ref="D164" ca="1">INDEX(Data_DBD!$D:$D,$A164)</f>
        <v>7</v>
      </c>
      <c r="E164" s="32" cm="1">
        <f t="array" aca="1" ref="E164" ca="1">INDEX(Data_DBD!$E:$E,$A164)</f>
        <v>1</v>
      </c>
      <c r="F164" s="32" cm="1">
        <f t="array" aca="1" ref="F164" ca="1">INDEX(Data_DBD!$F:$F,$A164)</f>
        <v>1</v>
      </c>
      <c r="H164" s="32">
        <v>160</v>
      </c>
      <c r="I164" s="32">
        <v>16</v>
      </c>
      <c r="J164" s="32">
        <v>3</v>
      </c>
      <c r="K164" s="32">
        <v>21</v>
      </c>
      <c r="L164" s="32">
        <v>0</v>
      </c>
      <c r="M164" s="32">
        <v>3</v>
      </c>
    </row>
    <row r="165" spans="1:22">
      <c r="I165">
        <f>AVERAGE(I2:I164)</f>
        <v>32.616564417177912</v>
      </c>
      <c r="J165">
        <f>AVERAGE(J2:J164)</f>
        <v>3.5828220858895707</v>
      </c>
      <c r="K165">
        <f>AVERAGE(K2:K164)</f>
        <v>17.429447852760735</v>
      </c>
      <c r="L165">
        <f>AVERAGE(L2:L164)</f>
        <v>0.50306748466257667</v>
      </c>
    </row>
    <row r="166" spans="1:22">
      <c r="B166">
        <v>88</v>
      </c>
    </row>
    <row r="168" spans="1:22">
      <c r="E168" s="38" t="s">
        <v>188</v>
      </c>
      <c r="J168" s="38" t="s">
        <v>189</v>
      </c>
      <c r="O168" s="38" t="s">
        <v>190</v>
      </c>
      <c r="T168" s="38" t="s">
        <v>191</v>
      </c>
    </row>
    <row r="169" spans="1:22">
      <c r="E169" s="32" t="s">
        <v>1</v>
      </c>
      <c r="F169" s="32">
        <f>AVERAGEIF($I$2:$I$164,"&lt;="&amp;$I$165)</f>
        <v>16.442708333333332</v>
      </c>
      <c r="G169" s="32">
        <f>AVERAGEIF($I$2:$I$164,"&gt;"&amp;$I$165)</f>
        <v>55.791044776119406</v>
      </c>
      <c r="J169" s="32" t="s">
        <v>192</v>
      </c>
      <c r="K169" s="32">
        <f>AVERAGEIF($J$2:$J$164,"&lt;="&amp;$J$165)</f>
        <v>2.3684210526315788</v>
      </c>
      <c r="L169" s="32">
        <f>AVERAGEIF($J$2:$J$164,"&gt;"&amp;$J$165)</f>
        <v>4.6436781609195403</v>
      </c>
      <c r="O169" s="32" t="s">
        <v>193</v>
      </c>
      <c r="P169" s="32">
        <f>AVERAGEIF($K$2:$K$164,"&lt;="&amp;$K$165)</f>
        <v>12.147058823529411</v>
      </c>
      <c r="Q169" s="32">
        <f>AVERAGEIF($K$2:$K$164,"&gt;"&amp;$K$165)</f>
        <v>26.262295081967213</v>
      </c>
      <c r="T169" s="32" t="s">
        <v>194</v>
      </c>
      <c r="U169" s="32">
        <f>AVERAGEIF($L$2:$L$164,"&lt;="&amp;$L$165)</f>
        <v>0</v>
      </c>
      <c r="V169" s="32">
        <f>AVERAGEIF($L$2:$L$164,"&gt;"&amp;$L$165)</f>
        <v>1</v>
      </c>
    </row>
    <row r="170" spans="1:22">
      <c r="E170" s="32" t="str" cm="1">
        <f t="array" ref="E170:E332">IF($I$2:$I$164&lt;$F$169,"kiri",IF($I$2:$I$164&lt;$G$169,"tengah","kanan"))</f>
        <v>tengah</v>
      </c>
      <c r="F170" s="55" t="s">
        <v>269</v>
      </c>
      <c r="G170" s="32"/>
      <c r="J170" s="32" t="str" cm="1">
        <f t="array" ref="J170:J332">IF($J$2:$J$164&lt;$K$169,"kiri",IF($J$2:$J$164&lt;$L$169,"tengah","kanan"))</f>
        <v>tengah</v>
      </c>
      <c r="K170" s="55" t="s">
        <v>271</v>
      </c>
      <c r="L170" s="32"/>
      <c r="O170" s="32" t="str" cm="1">
        <f t="array" ref="O170:O332">IF($K$2:$K$164&lt;$P$169,"kiri",IF($K$2:$K$164&lt;$Q$169,"tengah","kanan"))</f>
        <v>tengah</v>
      </c>
      <c r="P170" s="55" t="s">
        <v>280</v>
      </c>
      <c r="Q170" s="32"/>
      <c r="T170" s="32" t="str" cm="1">
        <f t="array" ref="T170:T332">IF($L$2:$L$164&lt;$U$169,"kiri",IF($L$2:$L$164&lt;$V$169,"tengah","kanan"))</f>
        <v>tengah</v>
      </c>
      <c r="U170" s="32" t="s">
        <v>195</v>
      </c>
      <c r="V170" s="32"/>
    </row>
    <row r="171" spans="1:22">
      <c r="E171" s="32" t="str">
        <v>kanan</v>
      </c>
      <c r="F171" s="32">
        <f>COUNTIFS($E$170:$E$332,"Kanan",$M$2:$M$164,"1")</f>
        <v>2</v>
      </c>
      <c r="G171" s="32">
        <f>F171/32</f>
        <v>6.25E-2</v>
      </c>
      <c r="J171" s="32" t="str">
        <v>tengah</v>
      </c>
      <c r="K171" s="32" cm="1">
        <f t="array" ref="K171">SUMPRODUCT((J170:J332="Kanan")*(M2:M164=1))</f>
        <v>4</v>
      </c>
      <c r="L171" s="32">
        <f>K171/33</f>
        <v>0.12121212121212122</v>
      </c>
      <c r="O171" s="32" t="str">
        <v>tengah</v>
      </c>
      <c r="P171" s="32">
        <f>COUNTIFS($O$170:$O$332,"Kanan",$M$2:$M$164,"1")</f>
        <v>0</v>
      </c>
      <c r="Q171" s="32">
        <f>P171/30</f>
        <v>0</v>
      </c>
      <c r="T171" s="32" t="str">
        <v>kanan</v>
      </c>
      <c r="U171" s="32">
        <f>COUNTIFS($T$170:$T$332,"Kanan",$M$2:$M$164,"1")</f>
        <v>6</v>
      </c>
      <c r="V171" s="32">
        <f>U171/83</f>
        <v>7.2289156626506021E-2</v>
      </c>
    </row>
    <row r="172" spans="1:22">
      <c r="E172" s="32" t="str">
        <v>tengah</v>
      </c>
      <c r="F172" s="32">
        <f>COUNTIFS($E$170:$E$332,"Kanan",$M$2:$M$164,"2")</f>
        <v>15</v>
      </c>
      <c r="G172" s="32">
        <f t="shared" ref="G172:G173" si="3">F172/32</f>
        <v>0.46875</v>
      </c>
      <c r="J172" s="32" t="str">
        <v>tengah</v>
      </c>
      <c r="K172" s="32">
        <f>COUNTIFS($J$170:$J$332,"Kanan",$M$2:$M$164,"2")</f>
        <v>17</v>
      </c>
      <c r="L172" s="32">
        <f t="shared" ref="L172:L173" si="4">K172/33</f>
        <v>0.51515151515151514</v>
      </c>
      <c r="O172" s="32" t="str">
        <v>kanan</v>
      </c>
      <c r="P172" s="32">
        <f>COUNTIFS($O$170:$O$332,"Kanan",$M$2:$M$164,"2")</f>
        <v>0</v>
      </c>
      <c r="Q172" s="32">
        <f t="shared" ref="Q172:Q173" si="5">P172/30</f>
        <v>0</v>
      </c>
      <c r="T172" s="32" t="str">
        <v>kanan</v>
      </c>
      <c r="U172" s="32">
        <f>COUNTIFS($T$170:$T$332,"Kanan",$M$2:$M$164,"2")</f>
        <v>39</v>
      </c>
      <c r="V172" s="32">
        <f t="shared" ref="V172:V173" si="6">U172/83</f>
        <v>0.46987951807228917</v>
      </c>
    </row>
    <row r="173" spans="1:22">
      <c r="E173" s="32" t="str">
        <v>kanan</v>
      </c>
      <c r="F173" s="32" cm="1">
        <f t="array" ref="F173">SUMPRODUCT((E170:E332="KANAN")*(M2:M164=3))</f>
        <v>15</v>
      </c>
      <c r="G173" s="32">
        <f t="shared" si="3"/>
        <v>0.46875</v>
      </c>
      <c r="J173" s="32" t="str">
        <v>tengah</v>
      </c>
      <c r="K173" s="32">
        <f>COUNTIFS($J$170:$J$332,"Kanan",$M$2:$M$164,"3")</f>
        <v>12</v>
      </c>
      <c r="L173" s="32">
        <f t="shared" si="4"/>
        <v>0.36363636363636365</v>
      </c>
      <c r="O173" s="32" t="str">
        <v>tengah</v>
      </c>
      <c r="P173" s="32">
        <f>COUNTIFS($O$170:$O$332,"Kanan",$M$2:$M$164,"3")</f>
        <v>30</v>
      </c>
      <c r="Q173" s="32">
        <f t="shared" si="5"/>
        <v>1</v>
      </c>
      <c r="T173" s="32" t="str">
        <v>kanan</v>
      </c>
      <c r="U173" s="32">
        <f>COUNTIFS($T$170:$T$332,"Kanan",$M$2:$M$164,"3")</f>
        <v>37</v>
      </c>
      <c r="V173" s="32">
        <f t="shared" si="6"/>
        <v>0.44578313253012047</v>
      </c>
    </row>
    <row r="174" spans="1:22">
      <c r="E174" s="32" t="str">
        <v>tengah</v>
      </c>
      <c r="F174" s="32" t="s">
        <v>196</v>
      </c>
      <c r="G174" s="32">
        <f>-(IFERROR(G171*LOG(G171,2),0)+IFERROR(G172*LOG(G172,2),0)+IFERROR(G173*LOG(G173,2),0))</f>
        <v>1.274790066617014</v>
      </c>
      <c r="J174" s="32" t="str">
        <v>kiri</v>
      </c>
      <c r="K174" s="32" t="s">
        <v>196</v>
      </c>
      <c r="L174" s="32">
        <f>-(IFERROR(L171*LOG(L171,2),0)+IFERROR(L172*LOG(L172,2),0)+IFERROR(L173*LOG(L173,2),0))</f>
        <v>1.3926844736036157</v>
      </c>
      <c r="O174" s="32" t="str">
        <v>kanan</v>
      </c>
      <c r="P174" s="32" t="s">
        <v>196</v>
      </c>
      <c r="Q174" s="32">
        <f>-(IFERROR(Q171*LOG(Q171,2),0)+IFERROR(Q172*LOG(Q172,2),0)+IFERROR(Q173*LOG(Q173,2),0))</f>
        <v>0</v>
      </c>
      <c r="T174" s="32" t="str">
        <v>kanan</v>
      </c>
      <c r="U174" s="32" t="s">
        <v>196</v>
      </c>
      <c r="V174" s="32">
        <f>-(IFERROR(V171*LOG(V171,2),0)+IFERROR(V172*LOG(V172,2),0)+IFERROR(V173*LOG(V173,2),0))</f>
        <v>1.3055782807496636</v>
      </c>
    </row>
    <row r="175" spans="1:22">
      <c r="E175" s="32" t="str">
        <v>tengah</v>
      </c>
      <c r="F175" s="32"/>
      <c r="G175" s="32">
        <f>SUM(F171:F173)/163</f>
        <v>0.19631901840490798</v>
      </c>
      <c r="J175" s="32" t="str">
        <v>kanan</v>
      </c>
      <c r="K175" s="32"/>
      <c r="L175" s="32">
        <f>SUM(K171:K173)/163</f>
        <v>0.20245398773006135</v>
      </c>
      <c r="O175" s="32" t="str">
        <v>tengah</v>
      </c>
      <c r="P175" s="32"/>
      <c r="Q175" s="32">
        <f>SUM(P171:P173)/163</f>
        <v>0.18404907975460122</v>
      </c>
      <c r="T175" s="32" t="str">
        <v>tengah</v>
      </c>
      <c r="U175" s="32"/>
      <c r="V175" s="32">
        <f>SUM(U171:U173)/163</f>
        <v>0.50306748466257667</v>
      </c>
    </row>
    <row r="176" spans="1:22">
      <c r="E176" s="32" t="str">
        <v>kiri</v>
      </c>
      <c r="F176" s="32"/>
      <c r="G176" s="39">
        <f>G174*G175</f>
        <v>0.25026553455057943</v>
      </c>
      <c r="J176" s="32" t="str">
        <v>kiri</v>
      </c>
      <c r="K176" s="32"/>
      <c r="L176" s="39">
        <f>L174*L175</f>
        <v>0.28195452533079335</v>
      </c>
      <c r="O176" s="32" t="str">
        <v>kanan</v>
      </c>
      <c r="P176" s="32"/>
      <c r="Q176" s="39">
        <f>Q174*Q175</f>
        <v>0</v>
      </c>
      <c r="T176" s="32" t="str">
        <v>tengah</v>
      </c>
      <c r="U176" s="32"/>
      <c r="V176" s="39">
        <f>V174*V175</f>
        <v>0.65679398172682468</v>
      </c>
    </row>
    <row r="177" spans="5:22">
      <c r="E177" s="32" t="str">
        <v>kiri</v>
      </c>
      <c r="F177" s="32"/>
      <c r="G177" s="32"/>
      <c r="J177" s="32" t="str">
        <v>tengah</v>
      </c>
      <c r="K177" s="32"/>
      <c r="L177" s="32"/>
      <c r="O177" s="32" t="str">
        <v>tengah</v>
      </c>
      <c r="P177" s="32"/>
      <c r="Q177" s="32"/>
      <c r="T177" s="32" t="str">
        <v>kanan</v>
      </c>
      <c r="U177" s="32"/>
      <c r="V177" s="32"/>
    </row>
    <row r="178" spans="5:22">
      <c r="E178" s="32" t="str">
        <v>tengah</v>
      </c>
      <c r="F178" s="32"/>
      <c r="G178" s="32"/>
      <c r="J178" s="32" t="str">
        <v>tengah</v>
      </c>
      <c r="K178" s="32"/>
      <c r="L178" s="32"/>
      <c r="O178" s="32" t="str">
        <v>tengah</v>
      </c>
      <c r="P178" s="32"/>
      <c r="Q178" s="32"/>
      <c r="T178" s="32" t="str">
        <v>kanan</v>
      </c>
      <c r="U178" s="32"/>
      <c r="V178" s="32"/>
    </row>
    <row r="179" spans="5:22">
      <c r="E179" s="32" t="str">
        <v>tengah</v>
      </c>
      <c r="F179" s="55" t="s">
        <v>270</v>
      </c>
      <c r="G179" s="32"/>
      <c r="J179" s="32" t="str">
        <v>tengah</v>
      </c>
      <c r="K179" s="55" t="s">
        <v>272</v>
      </c>
      <c r="L179" s="32"/>
      <c r="O179" s="32" t="str">
        <v>kiri</v>
      </c>
      <c r="P179" s="55" t="s">
        <v>281</v>
      </c>
      <c r="Q179" s="32"/>
      <c r="T179" s="32" t="str">
        <v>kanan</v>
      </c>
      <c r="U179" s="32" t="s">
        <v>197</v>
      </c>
      <c r="V179" s="32"/>
    </row>
    <row r="180" spans="5:22">
      <c r="E180" s="32" t="str">
        <v>tengah</v>
      </c>
      <c r="F180" s="32" cm="1">
        <f t="array" ref="F180">SUMPRODUCT((E170:E332="kiri")*(M2:M164=1))</f>
        <v>6</v>
      </c>
      <c r="G180" s="32">
        <f>F180/46</f>
        <v>0.13043478260869565</v>
      </c>
      <c r="J180" s="32" t="str">
        <v>tengah</v>
      </c>
      <c r="K180" s="32">
        <f>COUNTIFS($J$170:$J$332,"Kiri",$M$2:$M$164,"1")</f>
        <v>4</v>
      </c>
      <c r="L180" s="32">
        <f>K180/39</f>
        <v>0.10256410256410256</v>
      </c>
      <c r="O180" s="32" t="str">
        <v>kanan</v>
      </c>
      <c r="P180" s="32">
        <f>COUNTIFS($O$170:$O$332,"Kiri",$M$2:$M$164,"1")</f>
        <v>15</v>
      </c>
      <c r="Q180" s="32">
        <f>P180/35</f>
        <v>0.42857142857142855</v>
      </c>
      <c r="T180" s="32" t="str">
        <v>tengah</v>
      </c>
      <c r="U180" s="32">
        <f>COUNTIFS($T$170:$T$332,"Kiri",$M$2:$M$164,"1")</f>
        <v>0</v>
      </c>
      <c r="V180" s="32">
        <f>U180/57</f>
        <v>0</v>
      </c>
    </row>
    <row r="181" spans="5:22">
      <c r="E181" s="32" t="str">
        <v>tengah</v>
      </c>
      <c r="F181" s="32" cm="1">
        <f t="array" ref="F181">SUMPRODUCT((E170:E332="kiri")*(M2:M164=2))</f>
        <v>19</v>
      </c>
      <c r="G181" s="32">
        <f t="shared" ref="G181:G182" si="7">F181/46</f>
        <v>0.41304347826086957</v>
      </c>
      <c r="J181" s="32" t="str">
        <v>tengah</v>
      </c>
      <c r="K181" s="32">
        <f>COUNTIFS($J$170:$J$332,"Kiri",$M$2:$M$164,"2")</f>
        <v>18</v>
      </c>
      <c r="L181" s="32">
        <f t="shared" ref="L181:L182" si="8">K181/39</f>
        <v>0.46153846153846156</v>
      </c>
      <c r="O181" s="32" t="str">
        <v>kiri</v>
      </c>
      <c r="P181" s="32">
        <f>COUNTIFS($O$170:$O$332,"Kiri",$M$2:$M$164,"2")</f>
        <v>20</v>
      </c>
      <c r="Q181" s="32">
        <f t="shared" ref="Q181:Q182" si="9">P181/35</f>
        <v>0.5714285714285714</v>
      </c>
      <c r="T181" s="32" t="str">
        <v>kanan</v>
      </c>
      <c r="U181" s="32">
        <f>COUNTIFS($T$170:$T$332,"Kiri",$M$2:$M$164,"2")</f>
        <v>0</v>
      </c>
      <c r="V181" s="32">
        <f>U181/57</f>
        <v>0</v>
      </c>
    </row>
    <row r="182" spans="5:22">
      <c r="E182" s="32" t="str">
        <v>kanan</v>
      </c>
      <c r="F182" s="32" cm="1">
        <f t="array" ref="F182">SUMPRODUCT((E170:E332="kiri")*(M2:M164=3))</f>
        <v>21</v>
      </c>
      <c r="G182" s="32">
        <f t="shared" si="7"/>
        <v>0.45652173913043476</v>
      </c>
      <c r="J182" s="32" t="str">
        <v>kanan</v>
      </c>
      <c r="K182" s="32">
        <f>COUNTIFS($J$170:$J$332,"Kiri",$M$2:$M$164,"3")</f>
        <v>17</v>
      </c>
      <c r="L182" s="32">
        <f t="shared" si="8"/>
        <v>0.4358974358974359</v>
      </c>
      <c r="O182" s="32" t="str">
        <v>tengah</v>
      </c>
      <c r="P182" s="32">
        <f>COUNTIFS($O$170:$O$332,"Kiri",$M$2:$M$164,"3")</f>
        <v>0</v>
      </c>
      <c r="Q182" s="32">
        <f t="shared" si="9"/>
        <v>0</v>
      </c>
      <c r="T182" s="32" t="str">
        <v>kanan</v>
      </c>
      <c r="U182" s="32">
        <f>COUNTIFS($T$170:$T$332,"Kiri",$M$2:$M$164,"3")</f>
        <v>0</v>
      </c>
      <c r="V182" s="32">
        <f>U182/57</f>
        <v>0</v>
      </c>
    </row>
    <row r="183" spans="5:22">
      <c r="E183" s="32" t="str">
        <v>tengah</v>
      </c>
      <c r="F183" s="32" t="s">
        <v>196</v>
      </c>
      <c r="G183" s="32">
        <f>-(IFERROR(G180*LOG(G180,2),0)+IFERROR(G181*LOG(G181,2),0)+IFERROR(G182*LOG(G182,2),0))</f>
        <v>1.4266257900111645</v>
      </c>
      <c r="J183" s="32" t="str">
        <v>tengah</v>
      </c>
      <c r="K183" s="32" t="s">
        <v>196</v>
      </c>
      <c r="L183" s="32">
        <f>-(IFERROR(L180*LOG(L180,2),0)+IFERROR(L181*LOG(L181,2),0)+IFERROR(L182*LOG(L182,2),0))</f>
        <v>1.3739786720105203</v>
      </c>
      <c r="O183" s="32" t="str">
        <v>tengah</v>
      </c>
      <c r="P183" s="32" t="s">
        <v>196</v>
      </c>
      <c r="Q183" s="32">
        <f>-(IFERROR(Q180*LOG(Q180,2),0)+IFERROR(Q181*LOG(Q181,2),0)+IFERROR(Q182*LOG(Q182,2),0))</f>
        <v>0.98522813603425163</v>
      </c>
      <c r="T183" s="32" t="str">
        <v>tengah</v>
      </c>
      <c r="U183" s="32" t="s">
        <v>196</v>
      </c>
      <c r="V183" s="32">
        <f>-(IFERROR(V180*LOG(V180,2),0)+IFERROR(V181*LOG(V181,2),0)+IFERROR(V182*LOG(V182,2),0))</f>
        <v>0</v>
      </c>
    </row>
    <row r="184" spans="5:22">
      <c r="E184" s="32" t="str">
        <v>kiri</v>
      </c>
      <c r="F184" s="32"/>
      <c r="G184" s="32">
        <f>SUM(F180:F182)/163</f>
        <v>0.2822085889570552</v>
      </c>
      <c r="J184" s="32" t="str">
        <v>tengah</v>
      </c>
      <c r="K184" s="32"/>
      <c r="L184" s="32">
        <f>SUM(K180:K182)/163</f>
        <v>0.2392638036809816</v>
      </c>
      <c r="O184" s="32" t="str">
        <v>tengah</v>
      </c>
      <c r="P184" s="32"/>
      <c r="Q184" s="32">
        <f>SUM(P180:P182)/163</f>
        <v>0.21472392638036811</v>
      </c>
      <c r="T184" s="32" t="str">
        <v>tengah</v>
      </c>
      <c r="U184" s="32"/>
      <c r="V184" s="32">
        <f>SUM(U180:U182)/163</f>
        <v>0</v>
      </c>
    </row>
    <row r="185" spans="5:22">
      <c r="E185" s="32" t="str">
        <v>tengah</v>
      </c>
      <c r="F185" s="32"/>
      <c r="G185" s="39">
        <f>G183*G184</f>
        <v>0.40260605116879489</v>
      </c>
      <c r="J185" s="32" t="str">
        <v>kanan</v>
      </c>
      <c r="K185" s="32"/>
      <c r="L185" s="39">
        <f>L183*L184</f>
        <v>0.32874336324178094</v>
      </c>
      <c r="O185" s="32" t="str">
        <v>tengah</v>
      </c>
      <c r="P185" s="32"/>
      <c r="Q185" s="39">
        <f>Q183*Q184</f>
        <v>0.21155205374968594</v>
      </c>
      <c r="T185" s="32" t="str">
        <v>kanan</v>
      </c>
      <c r="U185" s="32"/>
      <c r="V185" s="39">
        <f>V183*V184</f>
        <v>0</v>
      </c>
    </row>
    <row r="186" spans="5:22">
      <c r="E186" s="32" t="str">
        <v>kiri</v>
      </c>
      <c r="F186" s="32"/>
      <c r="G186" s="32"/>
      <c r="J186" s="32" t="str">
        <v>tengah</v>
      </c>
      <c r="K186" s="32"/>
      <c r="L186" s="32"/>
      <c r="O186" s="32" t="str">
        <v>kiri</v>
      </c>
      <c r="P186" s="32"/>
      <c r="Q186" s="32"/>
      <c r="T186" s="32" t="str">
        <v>tengah</v>
      </c>
      <c r="U186" s="32"/>
      <c r="V186" s="32"/>
    </row>
    <row r="187" spans="5:22">
      <c r="E187" s="32" t="str">
        <v>kiri</v>
      </c>
      <c r="F187" s="32"/>
      <c r="G187" s="32"/>
      <c r="J187" s="32" t="str">
        <v>tengah</v>
      </c>
      <c r="K187" s="32"/>
      <c r="L187" s="32"/>
      <c r="O187" s="32" t="str">
        <v>tengah</v>
      </c>
      <c r="P187" s="32"/>
      <c r="Q187" s="32"/>
      <c r="T187" s="32" t="str">
        <v>tengah</v>
      </c>
      <c r="U187" s="32"/>
      <c r="V187" s="32"/>
    </row>
    <row r="188" spans="5:22">
      <c r="E188" s="32" t="str">
        <v>tengah</v>
      </c>
      <c r="F188" s="32" t="s">
        <v>198</v>
      </c>
      <c r="G188" s="32"/>
      <c r="J188" s="32" t="str">
        <v>tengah</v>
      </c>
      <c r="K188" s="32" t="s">
        <v>198</v>
      </c>
      <c r="L188" s="32"/>
      <c r="O188" s="32" t="str">
        <v>tengah</v>
      </c>
      <c r="P188" s="32" t="s">
        <v>198</v>
      </c>
      <c r="Q188" s="32"/>
      <c r="T188" s="32" t="str">
        <v>kanan</v>
      </c>
      <c r="U188" s="32" t="s">
        <v>198</v>
      </c>
      <c r="V188" s="32"/>
    </row>
    <row r="189" spans="5:22">
      <c r="E189" s="32" t="str">
        <v>tengah</v>
      </c>
      <c r="F189" s="32" cm="1">
        <f t="array" ref="F189">SUMPRODUCT((E170:E332="tengah")*(M2:M164=1))</f>
        <v>7</v>
      </c>
      <c r="G189" s="32">
        <f>F189/85</f>
        <v>8.2352941176470587E-2</v>
      </c>
      <c r="J189" s="32" t="str">
        <v>kiri</v>
      </c>
      <c r="K189" s="32">
        <f>COUNTIFS($J$170:$J$332,"Tengah",$M$2:$M$164,"1")</f>
        <v>7</v>
      </c>
      <c r="L189" s="32">
        <f>K189/91</f>
        <v>7.6923076923076927E-2</v>
      </c>
      <c r="O189" s="32" t="str">
        <v>kiri</v>
      </c>
      <c r="P189" s="32">
        <f>COUNTIFS($O$170:$O$332,"Tengah",$M$2:$M$164,"1")</f>
        <v>0</v>
      </c>
      <c r="Q189" s="32">
        <f>P189/98</f>
        <v>0</v>
      </c>
      <c r="T189" s="32" t="str">
        <v>tengah</v>
      </c>
      <c r="U189" s="32">
        <f>COUNTIFS($T$170:$T$332,"Tengah",$M$2:$M$164,"1")</f>
        <v>9</v>
      </c>
      <c r="V189" s="32">
        <f>U189/82</f>
        <v>0.10975609756097561</v>
      </c>
    </row>
    <row r="190" spans="5:22">
      <c r="E190" s="32" t="str">
        <v>tengah</v>
      </c>
      <c r="F190" s="32" cm="1">
        <f t="array" ref="F190">SUMPRODUCT((E170:E332="tengah")*(M2:M164=2))</f>
        <v>53</v>
      </c>
      <c r="G190" s="32">
        <f t="shared" ref="G190:G191" si="10">F190/85</f>
        <v>0.62352941176470589</v>
      </c>
      <c r="J190" s="32" t="str">
        <v>tengah</v>
      </c>
      <c r="K190" s="32">
        <f>COUNTIFS($J$170:$J$332,"Tengah",$M$2:$M$164,"2")</f>
        <v>52</v>
      </c>
      <c r="L190" s="32">
        <f t="shared" ref="L190:L191" si="11">K190/91</f>
        <v>0.5714285714285714</v>
      </c>
      <c r="O190" s="32" t="str">
        <v>tengah</v>
      </c>
      <c r="P190" s="32">
        <f>COUNTIFS($O$170:$O$332,"Tengah",$M$2:$M$164,"2")</f>
        <v>67</v>
      </c>
      <c r="Q190" s="32">
        <f t="shared" ref="Q190:Q191" si="12">P190/98</f>
        <v>0.68367346938775508</v>
      </c>
      <c r="T190" s="32" t="str">
        <v>kanan</v>
      </c>
      <c r="U190" s="32">
        <f>COUNTIFS($T$170:$T$332,"Tengah",$M$2:$M$164,"2")</f>
        <v>48</v>
      </c>
      <c r="V190" s="32">
        <f t="shared" ref="V190:V191" si="13">U190/82</f>
        <v>0.58536585365853655</v>
      </c>
    </row>
    <row r="191" spans="5:22">
      <c r="E191" s="32" t="str">
        <v>tengah</v>
      </c>
      <c r="F191" s="32" cm="1">
        <f t="array" ref="F191">SUMPRODUCT((E170:E332="tengah")*(M2:M164=3))</f>
        <v>25</v>
      </c>
      <c r="G191" s="32">
        <f t="shared" si="10"/>
        <v>0.29411764705882354</v>
      </c>
      <c r="J191" s="32" t="str">
        <v>kiri</v>
      </c>
      <c r="K191" s="32">
        <f>COUNTIFS($J$170:$J$332,"Tengah",$M$2:$M$164,"3")</f>
        <v>32</v>
      </c>
      <c r="L191" s="32">
        <f t="shared" si="11"/>
        <v>0.35164835164835168</v>
      </c>
      <c r="O191" s="32" t="str">
        <v>tengah</v>
      </c>
      <c r="P191" s="32">
        <f>COUNTIFS($O$170:$O$332,"Tengah",$M$2:$M$164,"3")</f>
        <v>31</v>
      </c>
      <c r="Q191" s="32">
        <f t="shared" si="12"/>
        <v>0.31632653061224492</v>
      </c>
      <c r="T191" s="32" t="str">
        <v>kanan</v>
      </c>
      <c r="U191" s="32">
        <f>COUNTIFS($T$170:$T$332,"Tengah",$M$2:$M$164,"3")</f>
        <v>24</v>
      </c>
      <c r="V191" s="32">
        <f t="shared" si="13"/>
        <v>0.29268292682926828</v>
      </c>
    </row>
    <row r="192" spans="5:22">
      <c r="E192" s="32" t="str">
        <v>tengah</v>
      </c>
      <c r="F192" s="32" t="s">
        <v>196</v>
      </c>
      <c r="G192" s="32">
        <f>-(IFERROR(G189*LOG(G189,2),0)+IFERROR(G190*LOG(G190,2),0)+IFERROR(G191*LOG(G191,2),0))</f>
        <v>1.2408300738951028</v>
      </c>
      <c r="J192" s="32" t="str">
        <v>tengah</v>
      </c>
      <c r="K192" s="32" t="s">
        <v>196</v>
      </c>
      <c r="L192" s="32">
        <f>-(IFERROR(L189*LOG(L189,2),0)+IFERROR(L190*LOG(L190,2),0)+IFERROR(L191*LOG(L191,2),0))</f>
        <v>1.27620837868507</v>
      </c>
      <c r="O192" s="32" t="str">
        <v>tengah</v>
      </c>
      <c r="P192" s="32" t="s">
        <v>196</v>
      </c>
      <c r="Q192" s="32">
        <f>-(IFERROR(Q189*LOG(Q189,2),0)+IFERROR(Q190*LOG(Q190,2),0)+IFERROR(Q191*LOG(Q191,2),0))</f>
        <v>0.90034187082271966</v>
      </c>
      <c r="T192" s="32" t="str">
        <v>tengah</v>
      </c>
      <c r="U192" s="32" t="s">
        <v>196</v>
      </c>
      <c r="V192" s="32">
        <f>-(IFERROR(V189*LOG(V189,2),0)+IFERROR(V190*LOG(V190,2),0)+IFERROR(V191*LOG(V191,2),0))</f>
        <v>1.3209156988922039</v>
      </c>
    </row>
    <row r="193" spans="5:22">
      <c r="E193" s="32" t="str">
        <v>kiri</v>
      </c>
      <c r="F193" s="32"/>
      <c r="G193" s="32">
        <f>SUM(F189:F191)/163</f>
        <v>0.5214723926380368</v>
      </c>
      <c r="J193" s="32" t="str">
        <v>tengah</v>
      </c>
      <c r="K193" s="32"/>
      <c r="L193" s="32">
        <f>SUM(K189:K191)/163</f>
        <v>0.55828220858895705</v>
      </c>
      <c r="O193" s="32" t="str">
        <v>tengah</v>
      </c>
      <c r="P193" s="32"/>
      <c r="Q193" s="32">
        <f>SUM(P189:P191)/163</f>
        <v>0.60122699386503065</v>
      </c>
      <c r="T193" s="32" t="str">
        <v>kanan</v>
      </c>
      <c r="U193" s="32"/>
      <c r="V193" s="32">
        <f>SUM(U189:U191)/163</f>
        <v>0.49693251533742333</v>
      </c>
    </row>
    <row r="194" spans="5:22">
      <c r="E194" s="32" t="str">
        <v>kiri</v>
      </c>
      <c r="F194" s="32"/>
      <c r="G194" s="39">
        <f>G192*G193</f>
        <v>0.64705862749131127</v>
      </c>
      <c r="J194" s="32" t="str">
        <v>tengah</v>
      </c>
      <c r="K194" s="32"/>
      <c r="L194" s="39">
        <f>L192*L193</f>
        <v>0.71248443227203295</v>
      </c>
      <c r="O194" s="32" t="str">
        <v>tengah</v>
      </c>
      <c r="P194" s="32"/>
      <c r="Q194" s="39">
        <f>Q192*Q193</f>
        <v>0.54130983644556152</v>
      </c>
      <c r="T194" s="32" t="str">
        <v>kanan</v>
      </c>
      <c r="U194" s="32"/>
      <c r="V194" s="39">
        <f>V192*V193</f>
        <v>0.65640596079919344</v>
      </c>
    </row>
    <row r="195" spans="5:22">
      <c r="E195" s="32" t="str">
        <v>tengah</v>
      </c>
      <c r="F195" s="32"/>
      <c r="G195" s="32"/>
      <c r="J195" s="32" t="str">
        <v>tengah</v>
      </c>
      <c r="K195" s="32"/>
      <c r="L195" s="32"/>
      <c r="O195" s="32" t="str">
        <v>tengah</v>
      </c>
      <c r="P195" s="32"/>
      <c r="Q195" s="32"/>
      <c r="T195" s="32" t="str">
        <v>kanan</v>
      </c>
      <c r="U195" s="32"/>
      <c r="V195" s="32"/>
    </row>
    <row r="196" spans="5:22">
      <c r="E196" s="32" t="str">
        <v>kiri</v>
      </c>
      <c r="F196" s="32" t="s">
        <v>199</v>
      </c>
      <c r="G196" s="40" t="s">
        <v>196</v>
      </c>
      <c r="J196" s="32" t="str">
        <v>tengah</v>
      </c>
      <c r="K196" s="32" t="s">
        <v>199</v>
      </c>
      <c r="L196" s="40" t="s">
        <v>196</v>
      </c>
      <c r="O196" s="32" t="str">
        <v>tengah</v>
      </c>
      <c r="P196" s="32" t="s">
        <v>199</v>
      </c>
      <c r="Q196" s="40" t="s">
        <v>196</v>
      </c>
      <c r="T196" s="32" t="str">
        <v>tengah</v>
      </c>
      <c r="U196" s="32" t="s">
        <v>199</v>
      </c>
      <c r="V196" s="40" t="s">
        <v>196</v>
      </c>
    </row>
    <row r="197" spans="5:22">
      <c r="E197" s="32" t="str">
        <v>kiri</v>
      </c>
      <c r="F197" s="41">
        <f>P5-(G176+G185+G194)</f>
        <v>3.0918059644298834E-2</v>
      </c>
      <c r="G197" s="39">
        <f>(G176+G185+G194)</f>
        <v>1.2999302132106856</v>
      </c>
      <c r="J197" s="32" t="str">
        <v>tengah</v>
      </c>
      <c r="K197" s="41">
        <f>P5-(L176+L185+L194)</f>
        <v>7.6659520103772305E-3</v>
      </c>
      <c r="L197" s="39">
        <f>(L176+L185+L194)</f>
        <v>1.3231823208446072</v>
      </c>
      <c r="O197" s="32" t="str">
        <v>kanan</v>
      </c>
      <c r="P197" s="41">
        <f>P5-(Q176+Q185+Q194)</f>
        <v>0.5779863826597369</v>
      </c>
      <c r="Q197" s="39">
        <f>(Q176+Q185+Q194)</f>
        <v>0.75286189019524752</v>
      </c>
      <c r="T197" s="32" t="str">
        <v>kanan</v>
      </c>
      <c r="U197" s="41">
        <f>P5-(V176+V185+V194)</f>
        <v>1.7648330328966289E-2</v>
      </c>
      <c r="V197" s="39">
        <f>(V176+V185+V194)</f>
        <v>1.3131999425260181</v>
      </c>
    </row>
    <row r="198" spans="5:22">
      <c r="E198" s="32" t="str">
        <v>tengah</v>
      </c>
      <c r="F198" s="32"/>
      <c r="G198" s="32"/>
      <c r="J198" s="32" t="str">
        <v>kiri</v>
      </c>
      <c r="K198" s="32"/>
      <c r="L198" s="32"/>
      <c r="O198" s="32" t="str">
        <v>tengah</v>
      </c>
      <c r="P198" s="32"/>
      <c r="Q198" s="32"/>
      <c r="T198" s="32" t="str">
        <v>kanan</v>
      </c>
      <c r="U198" s="32"/>
      <c r="V198" s="32"/>
    </row>
    <row r="199" spans="5:22">
      <c r="E199" s="32" t="str">
        <v>tengah</v>
      </c>
      <c r="F199" s="32"/>
      <c r="G199" s="32"/>
      <c r="J199" s="32" t="str">
        <v>tengah</v>
      </c>
      <c r="K199" s="32"/>
      <c r="L199" s="32"/>
      <c r="O199" s="32" t="str">
        <v>tengah</v>
      </c>
      <c r="P199" s="32"/>
      <c r="Q199" s="32"/>
      <c r="T199" s="32" t="str">
        <v>kanan</v>
      </c>
      <c r="U199" s="32"/>
      <c r="V199" s="32"/>
    </row>
    <row r="200" spans="5:22">
      <c r="E200" s="32" t="str">
        <v>tengah</v>
      </c>
      <c r="F200" s="32"/>
      <c r="G200" s="32"/>
      <c r="J200" s="32" t="str">
        <v>tengah</v>
      </c>
      <c r="K200" s="32"/>
      <c r="L200" s="32"/>
      <c r="O200" s="32" t="str">
        <v>tengah</v>
      </c>
      <c r="P200" s="32"/>
      <c r="Q200" s="32"/>
      <c r="T200" s="32" t="str">
        <v>tengah</v>
      </c>
      <c r="U200" s="32"/>
      <c r="V200" s="32"/>
    </row>
    <row r="201" spans="5:22">
      <c r="E201" s="32" t="str">
        <v>tengah</v>
      </c>
      <c r="F201" s="32"/>
      <c r="G201" s="32"/>
      <c r="J201" s="32" t="str">
        <v>kiri</v>
      </c>
      <c r="K201" s="32"/>
      <c r="L201" s="32"/>
      <c r="O201" s="32" t="str">
        <v>tengah</v>
      </c>
      <c r="P201" s="32"/>
      <c r="Q201" s="32"/>
      <c r="T201" s="32" t="str">
        <v>tengah</v>
      </c>
      <c r="U201" s="32"/>
      <c r="V201" s="32"/>
    </row>
    <row r="202" spans="5:22">
      <c r="E202" s="32" t="str">
        <v>tengah</v>
      </c>
      <c r="F202" s="32"/>
      <c r="G202" s="32"/>
      <c r="J202" s="32" t="str">
        <v>tengah</v>
      </c>
      <c r="K202" s="32"/>
      <c r="L202" s="32"/>
      <c r="O202" s="32" t="str">
        <v>tengah</v>
      </c>
      <c r="P202" s="32"/>
      <c r="Q202" s="32"/>
      <c r="T202" s="32" t="str">
        <v>kanan</v>
      </c>
      <c r="U202" s="32"/>
      <c r="V202" s="32"/>
    </row>
    <row r="203" spans="5:22">
      <c r="E203" s="32" t="str">
        <v>kiri</v>
      </c>
      <c r="F203" s="32"/>
      <c r="G203" s="32"/>
      <c r="J203" s="32" t="str">
        <v>tengah</v>
      </c>
      <c r="K203" s="32"/>
      <c r="L203" s="32"/>
      <c r="O203" s="32" t="str">
        <v>tengah</v>
      </c>
      <c r="P203" s="32"/>
      <c r="Q203" s="32"/>
      <c r="T203" s="32" t="str">
        <v>tengah</v>
      </c>
      <c r="U203" s="32"/>
      <c r="V203" s="32"/>
    </row>
    <row r="204" spans="5:22">
      <c r="E204" s="32" t="str">
        <v>kanan</v>
      </c>
      <c r="F204" s="32"/>
      <c r="G204" s="32"/>
      <c r="J204" s="32" t="str">
        <v>kanan</v>
      </c>
      <c r="K204" s="32"/>
      <c r="L204" s="32"/>
      <c r="O204" s="32" t="str">
        <v>kanan</v>
      </c>
      <c r="P204" s="32"/>
      <c r="Q204" s="32"/>
      <c r="T204" s="32" t="str">
        <v>kanan</v>
      </c>
      <c r="U204" s="32"/>
      <c r="V204" s="32"/>
    </row>
    <row r="205" spans="5:22">
      <c r="E205" s="32" t="str">
        <v>kanan</v>
      </c>
      <c r="F205" s="32"/>
      <c r="G205" s="32"/>
      <c r="J205" s="32" t="str">
        <v>tengah</v>
      </c>
      <c r="K205" s="32"/>
      <c r="L205" s="32"/>
      <c r="O205" s="32" t="str">
        <v>tengah</v>
      </c>
      <c r="P205" s="32"/>
      <c r="Q205" s="32"/>
      <c r="T205" s="32" t="str">
        <v>tengah</v>
      </c>
      <c r="U205" s="32"/>
      <c r="V205" s="32"/>
    </row>
    <row r="206" spans="5:22">
      <c r="E206" s="32" t="str">
        <v>tengah</v>
      </c>
      <c r="F206" s="32"/>
      <c r="G206" s="32"/>
      <c r="J206" s="32" t="str">
        <v>kiri</v>
      </c>
      <c r="K206" s="32"/>
      <c r="L206" s="32"/>
      <c r="O206" s="32" t="str">
        <v>kiri</v>
      </c>
      <c r="P206" s="32"/>
      <c r="Q206" s="32"/>
      <c r="T206" s="32" t="str">
        <v>kanan</v>
      </c>
      <c r="U206" s="32"/>
      <c r="V206" s="32"/>
    </row>
    <row r="207" spans="5:22">
      <c r="E207" s="32" t="str">
        <v>kanan</v>
      </c>
      <c r="F207" s="32"/>
      <c r="G207" s="32"/>
      <c r="J207" s="32" t="str">
        <v>kiri</v>
      </c>
      <c r="K207" s="32"/>
      <c r="L207" s="32"/>
      <c r="O207" s="32" t="str">
        <v>kiri</v>
      </c>
      <c r="P207" s="32"/>
      <c r="Q207" s="32"/>
      <c r="T207" s="32" t="str">
        <v>tengah</v>
      </c>
      <c r="U207" s="32"/>
      <c r="V207" s="32"/>
    </row>
    <row r="208" spans="5:22">
      <c r="E208" s="32" t="str">
        <v>tengah</v>
      </c>
      <c r="F208" s="32"/>
      <c r="G208" s="32"/>
      <c r="J208" s="32" t="str">
        <v>tengah</v>
      </c>
      <c r="K208" s="32"/>
      <c r="L208" s="32"/>
      <c r="O208" s="32" t="str">
        <v>tengah</v>
      </c>
      <c r="P208" s="32"/>
      <c r="Q208" s="32"/>
      <c r="T208" s="32" t="str">
        <v>kanan</v>
      </c>
      <c r="U208" s="32"/>
      <c r="V208" s="32"/>
    </row>
    <row r="209" spans="5:22">
      <c r="E209" s="32" t="str">
        <v>kiri</v>
      </c>
      <c r="F209" s="32"/>
      <c r="G209" s="32"/>
      <c r="J209" s="32" t="str">
        <v>tengah</v>
      </c>
      <c r="K209" s="32"/>
      <c r="L209" s="32"/>
      <c r="O209" s="32" t="str">
        <v>kiri</v>
      </c>
      <c r="P209" s="32"/>
      <c r="Q209" s="32"/>
      <c r="T209" s="32" t="str">
        <v>tengah</v>
      </c>
      <c r="U209" s="32"/>
      <c r="V209" s="32"/>
    </row>
    <row r="210" spans="5:22">
      <c r="E210" s="32" t="str">
        <v>tengah</v>
      </c>
      <c r="F210" s="32"/>
      <c r="G210" s="32"/>
      <c r="J210" s="32" t="str">
        <v>tengah</v>
      </c>
      <c r="K210" s="32"/>
      <c r="L210" s="32"/>
      <c r="O210" s="32" t="str">
        <v>kiri</v>
      </c>
      <c r="P210" s="32"/>
      <c r="Q210" s="32"/>
      <c r="T210" s="32" t="str">
        <v>kanan</v>
      </c>
      <c r="U210" s="32"/>
      <c r="V210" s="32"/>
    </row>
    <row r="211" spans="5:22">
      <c r="E211" s="32" t="str">
        <v>tengah</v>
      </c>
      <c r="F211" s="32"/>
      <c r="G211" s="32"/>
      <c r="J211" s="32" t="str">
        <v>tengah</v>
      </c>
      <c r="K211" s="32"/>
      <c r="L211" s="32"/>
      <c r="O211" s="32" t="str">
        <v>tengah</v>
      </c>
      <c r="P211" s="32"/>
      <c r="Q211" s="32"/>
      <c r="T211" s="32" t="str">
        <v>tengah</v>
      </c>
      <c r="U211" s="32"/>
      <c r="V211" s="32"/>
    </row>
    <row r="212" spans="5:22">
      <c r="E212" s="32" t="str">
        <v>kiri</v>
      </c>
      <c r="F212" s="32"/>
      <c r="G212" s="32"/>
      <c r="J212" s="32" t="str">
        <v>tengah</v>
      </c>
      <c r="K212" s="32"/>
      <c r="L212" s="32"/>
      <c r="O212" s="32" t="str">
        <v>tengah</v>
      </c>
      <c r="P212" s="32"/>
      <c r="Q212" s="32"/>
      <c r="T212" s="32" t="str">
        <v>kanan</v>
      </c>
      <c r="U212" s="32"/>
      <c r="V212" s="32"/>
    </row>
    <row r="213" spans="5:22">
      <c r="E213" s="32" t="str">
        <v>kiri</v>
      </c>
      <c r="F213" s="32"/>
      <c r="G213" s="32"/>
      <c r="J213" s="32" t="str">
        <v>tengah</v>
      </c>
      <c r="K213" s="32"/>
      <c r="L213" s="32"/>
      <c r="O213" s="32" t="str">
        <v>kiri</v>
      </c>
      <c r="P213" s="32"/>
      <c r="Q213" s="32"/>
      <c r="T213" s="32" t="str">
        <v>tengah</v>
      </c>
      <c r="U213" s="32"/>
      <c r="V213" s="32"/>
    </row>
    <row r="214" spans="5:22">
      <c r="E214" s="32" t="str">
        <v>kiri</v>
      </c>
      <c r="F214" s="32"/>
      <c r="G214" s="32"/>
      <c r="J214" s="32" t="str">
        <v>kanan</v>
      </c>
      <c r="K214" s="32"/>
      <c r="L214" s="32"/>
      <c r="O214" s="32" t="str">
        <v>kiri</v>
      </c>
      <c r="P214" s="32"/>
      <c r="Q214" s="32"/>
      <c r="T214" s="32" t="str">
        <v>tengah</v>
      </c>
      <c r="U214" s="32"/>
      <c r="V214" s="32"/>
    </row>
    <row r="215" spans="5:22">
      <c r="E215" s="32" t="str">
        <v>kanan</v>
      </c>
      <c r="F215" s="32"/>
      <c r="G215" s="32"/>
      <c r="J215" s="32" t="str">
        <v>kiri</v>
      </c>
      <c r="K215" s="32"/>
      <c r="L215" s="32"/>
      <c r="O215" s="32" t="str">
        <v>kiri</v>
      </c>
      <c r="P215" s="32"/>
      <c r="Q215" s="32"/>
      <c r="T215" s="32" t="str">
        <v>tengah</v>
      </c>
      <c r="U215" s="32"/>
      <c r="V215" s="32"/>
    </row>
    <row r="216" spans="5:22">
      <c r="E216" s="32" t="str">
        <v>kiri</v>
      </c>
      <c r="F216" s="32"/>
      <c r="G216" s="32"/>
      <c r="J216" s="32" t="str">
        <v>tengah</v>
      </c>
      <c r="K216" s="32"/>
      <c r="L216" s="32"/>
      <c r="O216" s="32" t="str">
        <v>tengah</v>
      </c>
      <c r="P216" s="32"/>
      <c r="Q216" s="32"/>
      <c r="T216" s="32" t="str">
        <v>kanan</v>
      </c>
      <c r="U216" s="32"/>
      <c r="V216" s="32"/>
    </row>
    <row r="217" spans="5:22">
      <c r="E217" s="32" t="str">
        <v>kiri</v>
      </c>
      <c r="F217" s="32"/>
      <c r="G217" s="32"/>
      <c r="J217" s="32" t="str">
        <v>kiri</v>
      </c>
      <c r="K217" s="32"/>
      <c r="L217" s="32"/>
      <c r="O217" s="32" t="str">
        <v>kanan</v>
      </c>
      <c r="P217" s="32"/>
      <c r="Q217" s="32"/>
      <c r="T217" s="32" t="str">
        <v>kanan</v>
      </c>
      <c r="U217" s="32"/>
      <c r="V217" s="32"/>
    </row>
    <row r="218" spans="5:22">
      <c r="E218" s="32" t="str">
        <v>kiri</v>
      </c>
      <c r="F218" s="32"/>
      <c r="G218" s="32"/>
      <c r="J218" s="32" t="str">
        <v>kiri</v>
      </c>
      <c r="K218" s="32"/>
      <c r="L218" s="32"/>
      <c r="O218" s="32" t="str">
        <v>kiri</v>
      </c>
      <c r="P218" s="32"/>
      <c r="Q218" s="32"/>
      <c r="T218" s="32" t="str">
        <v>kanan</v>
      </c>
      <c r="U218" s="32"/>
      <c r="V218" s="32"/>
    </row>
    <row r="219" spans="5:22">
      <c r="E219" s="32" t="str">
        <v>kiri</v>
      </c>
      <c r="F219" s="32"/>
      <c r="G219" s="32"/>
      <c r="J219" s="32" t="str">
        <v>kiri</v>
      </c>
      <c r="K219" s="32"/>
      <c r="L219" s="32"/>
      <c r="O219" s="32" t="str">
        <v>kanan</v>
      </c>
      <c r="P219" s="32"/>
      <c r="Q219" s="32"/>
      <c r="T219" s="32" t="str">
        <v>kanan</v>
      </c>
      <c r="U219" s="32"/>
      <c r="V219" s="32"/>
    </row>
    <row r="220" spans="5:22">
      <c r="E220" s="32" t="str">
        <v>kanan</v>
      </c>
      <c r="F220" s="32"/>
      <c r="G220" s="32"/>
      <c r="J220" s="32" t="str">
        <v>kiri</v>
      </c>
      <c r="K220" s="32"/>
      <c r="L220" s="32"/>
      <c r="O220" s="32" t="str">
        <v>tengah</v>
      </c>
      <c r="P220" s="32"/>
      <c r="Q220" s="32"/>
      <c r="T220" s="32" t="str">
        <v>tengah</v>
      </c>
      <c r="U220" s="32"/>
      <c r="V220" s="32"/>
    </row>
    <row r="221" spans="5:22">
      <c r="E221" s="32" t="str">
        <v>kiri</v>
      </c>
      <c r="F221" s="32"/>
      <c r="G221" s="32"/>
      <c r="J221" s="32" t="str">
        <v>tengah</v>
      </c>
      <c r="K221" s="32"/>
      <c r="L221" s="32"/>
      <c r="O221" s="32" t="str">
        <v>tengah</v>
      </c>
      <c r="P221" s="32"/>
      <c r="Q221" s="32"/>
      <c r="T221" s="32" t="str">
        <v>tengah</v>
      </c>
      <c r="U221" s="32"/>
      <c r="V221" s="32"/>
    </row>
    <row r="222" spans="5:22">
      <c r="E222" s="32" t="str">
        <v>kiri</v>
      </c>
      <c r="F222" s="32"/>
      <c r="G222" s="32"/>
      <c r="J222" s="32" t="str">
        <v>tengah</v>
      </c>
      <c r="K222" s="32"/>
      <c r="L222" s="32"/>
      <c r="O222" s="32" t="str">
        <v>tengah</v>
      </c>
      <c r="P222" s="32"/>
      <c r="Q222" s="32"/>
      <c r="T222" s="32" t="str">
        <v>tengah</v>
      </c>
      <c r="U222" s="32"/>
      <c r="V222" s="32"/>
    </row>
    <row r="223" spans="5:22">
      <c r="E223" s="32" t="str">
        <v>kiri</v>
      </c>
      <c r="F223" s="32"/>
      <c r="G223" s="32"/>
      <c r="J223" s="32" t="str">
        <v>kanan</v>
      </c>
      <c r="K223" s="32"/>
      <c r="L223" s="32"/>
      <c r="O223" s="32" t="str">
        <v>tengah</v>
      </c>
      <c r="P223" s="32"/>
      <c r="Q223" s="32"/>
      <c r="T223" s="32" t="str">
        <v>kanan</v>
      </c>
      <c r="U223" s="32"/>
      <c r="V223" s="32"/>
    </row>
    <row r="224" spans="5:22">
      <c r="E224" s="32" t="str">
        <v>tengah</v>
      </c>
      <c r="F224" s="32"/>
      <c r="G224" s="32"/>
      <c r="J224" s="32" t="str">
        <v>kiri</v>
      </c>
      <c r="K224" s="32"/>
      <c r="L224" s="32"/>
      <c r="O224" s="32" t="str">
        <v>tengah</v>
      </c>
      <c r="P224" s="32"/>
      <c r="Q224" s="32"/>
      <c r="T224" s="32" t="str">
        <v>kanan</v>
      </c>
      <c r="U224" s="32"/>
      <c r="V224" s="32"/>
    </row>
    <row r="225" spans="5:22">
      <c r="E225" s="32" t="str">
        <v>kiri</v>
      </c>
      <c r="F225" s="32"/>
      <c r="G225" s="32"/>
      <c r="J225" s="32" t="str">
        <v>tengah</v>
      </c>
      <c r="K225" s="32"/>
      <c r="L225" s="32"/>
      <c r="O225" s="32" t="str">
        <v>tengah</v>
      </c>
      <c r="P225" s="32"/>
      <c r="Q225" s="32"/>
      <c r="T225" s="32" t="str">
        <v>kanan</v>
      </c>
      <c r="U225" s="32"/>
      <c r="V225" s="32"/>
    </row>
    <row r="226" spans="5:22">
      <c r="E226" s="32" t="str">
        <v>kiri</v>
      </c>
      <c r="F226" s="32"/>
      <c r="G226" s="32"/>
      <c r="J226" s="32" t="str">
        <v>tengah</v>
      </c>
      <c r="K226" s="32"/>
      <c r="L226" s="32"/>
      <c r="O226" s="32" t="str">
        <v>kiri</v>
      </c>
      <c r="P226" s="32"/>
      <c r="Q226" s="32"/>
      <c r="T226" s="32" t="str">
        <v>tengah</v>
      </c>
      <c r="U226" s="32"/>
      <c r="V226" s="32"/>
    </row>
    <row r="227" spans="5:22">
      <c r="E227" s="32" t="str">
        <v>tengah</v>
      </c>
      <c r="F227" s="32"/>
      <c r="G227" s="32"/>
      <c r="J227" s="32" t="str">
        <v>tengah</v>
      </c>
      <c r="K227" s="32"/>
      <c r="L227" s="32"/>
      <c r="O227" s="32" t="str">
        <v>kiri</v>
      </c>
      <c r="P227" s="32"/>
      <c r="Q227" s="32"/>
      <c r="T227" s="32" t="str">
        <v>kanan</v>
      </c>
      <c r="U227" s="32"/>
      <c r="V227" s="32"/>
    </row>
    <row r="228" spans="5:22">
      <c r="E228" s="32" t="str">
        <v>kanan</v>
      </c>
      <c r="F228" s="32"/>
      <c r="G228" s="32"/>
      <c r="J228" s="32" t="str">
        <v>kiri</v>
      </c>
      <c r="K228" s="32"/>
      <c r="L228" s="32"/>
      <c r="O228" s="32" t="str">
        <v>tengah</v>
      </c>
      <c r="P228" s="32"/>
      <c r="Q228" s="32"/>
      <c r="T228" s="32" t="str">
        <v>tengah</v>
      </c>
      <c r="U228" s="32"/>
      <c r="V228" s="32"/>
    </row>
    <row r="229" spans="5:22">
      <c r="E229" s="32" t="str">
        <v>kiri</v>
      </c>
      <c r="F229" s="32"/>
      <c r="G229" s="32"/>
      <c r="J229" s="32" t="str">
        <v>tengah</v>
      </c>
      <c r="K229" s="32"/>
      <c r="L229" s="32"/>
      <c r="O229" s="32" t="str">
        <v>tengah</v>
      </c>
      <c r="P229" s="32"/>
      <c r="Q229" s="32"/>
      <c r="T229" s="32" t="str">
        <v>kanan</v>
      </c>
      <c r="U229" s="32"/>
      <c r="V229" s="32"/>
    </row>
    <row r="230" spans="5:22">
      <c r="E230" s="32" t="str">
        <v>tengah</v>
      </c>
      <c r="F230" s="32"/>
      <c r="G230" s="32"/>
      <c r="J230" s="32" t="str">
        <v>kiri</v>
      </c>
      <c r="K230" s="32"/>
      <c r="L230" s="32"/>
      <c r="O230" s="32" t="str">
        <v>kiri</v>
      </c>
      <c r="P230" s="32"/>
      <c r="Q230" s="32"/>
      <c r="T230" s="32" t="str">
        <v>tengah</v>
      </c>
      <c r="U230" s="32"/>
      <c r="V230" s="32"/>
    </row>
    <row r="231" spans="5:22">
      <c r="E231" s="32" t="str">
        <v>kanan</v>
      </c>
      <c r="F231" s="32"/>
      <c r="G231" s="32"/>
      <c r="J231" s="32" t="str">
        <v>kanan</v>
      </c>
      <c r="K231" s="32"/>
      <c r="L231" s="32"/>
      <c r="O231" s="32" t="str">
        <v>kiri</v>
      </c>
      <c r="P231" s="32"/>
      <c r="Q231" s="32"/>
      <c r="T231" s="32" t="str">
        <v>kanan</v>
      </c>
      <c r="U231" s="32"/>
      <c r="V231" s="32"/>
    </row>
    <row r="232" spans="5:22">
      <c r="E232" s="32" t="str">
        <v>kiri</v>
      </c>
      <c r="F232" s="32"/>
      <c r="G232" s="32"/>
      <c r="J232" s="32" t="str">
        <v>tengah</v>
      </c>
      <c r="K232" s="32"/>
      <c r="L232" s="32"/>
      <c r="O232" s="32" t="str">
        <v>tengah</v>
      </c>
      <c r="P232" s="32"/>
      <c r="Q232" s="32"/>
      <c r="T232" s="32" t="str">
        <v>tengah</v>
      </c>
      <c r="U232" s="32"/>
      <c r="V232" s="32"/>
    </row>
    <row r="233" spans="5:22">
      <c r="E233" s="32" t="str">
        <v>kanan</v>
      </c>
      <c r="F233" s="32"/>
      <c r="G233" s="32"/>
      <c r="J233" s="32" t="str">
        <v>kanan</v>
      </c>
      <c r="K233" s="32"/>
      <c r="L233" s="32"/>
      <c r="O233" s="32" t="str">
        <v>kanan</v>
      </c>
      <c r="P233" s="32"/>
      <c r="Q233" s="32"/>
      <c r="T233" s="32" t="str">
        <v>kanan</v>
      </c>
      <c r="U233" s="32"/>
      <c r="V233" s="32"/>
    </row>
    <row r="234" spans="5:22">
      <c r="E234" s="32" t="str">
        <v>tengah</v>
      </c>
      <c r="F234" s="32"/>
      <c r="G234" s="32"/>
      <c r="J234" s="32" t="str">
        <v>kanan</v>
      </c>
      <c r="K234" s="32"/>
      <c r="L234" s="32"/>
      <c r="O234" s="32" t="str">
        <v>kiri</v>
      </c>
      <c r="P234" s="32"/>
      <c r="Q234" s="32"/>
      <c r="T234" s="32" t="str">
        <v>tengah</v>
      </c>
      <c r="U234" s="32"/>
      <c r="V234" s="32"/>
    </row>
    <row r="235" spans="5:22">
      <c r="E235" s="32" t="str">
        <v>kanan</v>
      </c>
      <c r="F235" s="32"/>
      <c r="G235" s="32"/>
      <c r="J235" s="32" t="str">
        <v>tengah</v>
      </c>
      <c r="K235" s="32"/>
      <c r="L235" s="32"/>
      <c r="O235" s="32" t="str">
        <v>kanan</v>
      </c>
      <c r="P235" s="32"/>
      <c r="Q235" s="32"/>
      <c r="T235" s="32" t="str">
        <v>kanan</v>
      </c>
      <c r="U235" s="32"/>
      <c r="V235" s="32"/>
    </row>
    <row r="236" spans="5:22">
      <c r="E236" s="32" t="str">
        <v>kiri</v>
      </c>
      <c r="F236" s="32"/>
      <c r="G236" s="32"/>
      <c r="J236" s="32" t="str">
        <v>kiri</v>
      </c>
      <c r="K236" s="32"/>
      <c r="L236" s="32"/>
      <c r="O236" s="32" t="str">
        <v>kanan</v>
      </c>
      <c r="P236" s="32"/>
      <c r="Q236" s="32"/>
      <c r="T236" s="32" t="str">
        <v>tengah</v>
      </c>
      <c r="U236" s="32"/>
      <c r="V236" s="32"/>
    </row>
    <row r="237" spans="5:22">
      <c r="E237" s="32" t="str">
        <v>kanan</v>
      </c>
      <c r="F237" s="32"/>
      <c r="G237" s="32"/>
      <c r="J237" s="32" t="str">
        <v>kanan</v>
      </c>
      <c r="K237" s="32"/>
      <c r="L237" s="32"/>
      <c r="O237" s="32" t="str">
        <v>tengah</v>
      </c>
      <c r="P237" s="32"/>
      <c r="Q237" s="32"/>
      <c r="T237" s="32" t="str">
        <v>tengah</v>
      </c>
      <c r="U237" s="32"/>
      <c r="V237" s="32"/>
    </row>
    <row r="238" spans="5:22">
      <c r="E238" s="32" t="str">
        <v>tengah</v>
      </c>
      <c r="F238" s="32"/>
      <c r="G238" s="32"/>
      <c r="J238" s="32" t="str">
        <v>kanan</v>
      </c>
      <c r="K238" s="32"/>
      <c r="L238" s="32"/>
      <c r="O238" s="32" t="str">
        <v>kiri</v>
      </c>
      <c r="P238" s="32"/>
      <c r="Q238" s="32"/>
      <c r="T238" s="32" t="str">
        <v>tengah</v>
      </c>
      <c r="U238" s="32"/>
      <c r="V238" s="32"/>
    </row>
    <row r="239" spans="5:22">
      <c r="E239" s="32" t="str">
        <v>tengah</v>
      </c>
      <c r="F239" s="32"/>
      <c r="G239" s="32"/>
      <c r="J239" s="32" t="str">
        <v>tengah</v>
      </c>
      <c r="K239" s="32"/>
      <c r="L239" s="32"/>
      <c r="O239" s="32" t="str">
        <v>kiri</v>
      </c>
      <c r="P239" s="32"/>
      <c r="Q239" s="32"/>
      <c r="T239" s="32" t="str">
        <v>kanan</v>
      </c>
      <c r="U239" s="32"/>
      <c r="V239" s="32"/>
    </row>
    <row r="240" spans="5:22">
      <c r="E240" s="32" t="str">
        <v>tengah</v>
      </c>
      <c r="F240" s="32"/>
      <c r="G240" s="32"/>
      <c r="J240" s="32" t="str">
        <v>tengah</v>
      </c>
      <c r="K240" s="32"/>
      <c r="L240" s="32"/>
      <c r="O240" s="32" t="str">
        <v>kanan</v>
      </c>
      <c r="P240" s="32"/>
      <c r="Q240" s="32"/>
      <c r="T240" s="32" t="str">
        <v>kanan</v>
      </c>
      <c r="U240" s="32"/>
      <c r="V240" s="32"/>
    </row>
    <row r="241" spans="5:22">
      <c r="E241" s="32" t="str">
        <v>kanan</v>
      </c>
      <c r="F241" s="32"/>
      <c r="G241" s="32"/>
      <c r="J241" s="32" t="str">
        <v>tengah</v>
      </c>
      <c r="K241" s="32"/>
      <c r="L241" s="32"/>
      <c r="O241" s="32" t="str">
        <v>kanan</v>
      </c>
      <c r="P241" s="32"/>
      <c r="Q241" s="32"/>
      <c r="T241" s="32" t="str">
        <v>kanan</v>
      </c>
      <c r="U241" s="32"/>
      <c r="V241" s="32"/>
    </row>
    <row r="242" spans="5:22">
      <c r="E242" s="32" t="str">
        <v>tengah</v>
      </c>
      <c r="F242" s="32"/>
      <c r="G242" s="32"/>
      <c r="J242" s="32" t="str">
        <v>kanan</v>
      </c>
      <c r="K242" s="32"/>
      <c r="L242" s="32"/>
      <c r="O242" s="32" t="str">
        <v>tengah</v>
      </c>
      <c r="P242" s="32"/>
      <c r="Q242" s="32"/>
      <c r="T242" s="32" t="str">
        <v>kanan</v>
      </c>
      <c r="U242" s="32"/>
      <c r="V242" s="32"/>
    </row>
    <row r="243" spans="5:22">
      <c r="E243" s="32" t="str">
        <v>tengah</v>
      </c>
      <c r="F243" s="32"/>
      <c r="G243" s="32"/>
      <c r="J243" s="32" t="str">
        <v>kiri</v>
      </c>
      <c r="K243" s="32"/>
      <c r="L243" s="32"/>
      <c r="O243" s="32" t="str">
        <v>kiri</v>
      </c>
      <c r="P243" s="32"/>
      <c r="Q243" s="32"/>
      <c r="T243" s="32" t="str">
        <v>kanan</v>
      </c>
      <c r="U243" s="32"/>
      <c r="V243" s="32"/>
    </row>
    <row r="244" spans="5:22">
      <c r="E244" s="32" t="str">
        <v>kiri</v>
      </c>
      <c r="F244" s="32"/>
      <c r="G244" s="32"/>
      <c r="J244" s="32" t="str">
        <v>tengah</v>
      </c>
      <c r="K244" s="32"/>
      <c r="L244" s="32"/>
      <c r="O244" s="32" t="str">
        <v>kanan</v>
      </c>
      <c r="P244" s="32"/>
      <c r="Q244" s="32"/>
      <c r="T244" s="32" t="str">
        <v>tengah</v>
      </c>
      <c r="U244" s="32"/>
      <c r="V244" s="32"/>
    </row>
    <row r="245" spans="5:22">
      <c r="E245" s="32" t="str">
        <v>tengah</v>
      </c>
      <c r="F245" s="32"/>
      <c r="G245" s="32"/>
      <c r="J245" s="32" t="str">
        <v>tengah</v>
      </c>
      <c r="K245" s="32"/>
      <c r="L245" s="32"/>
      <c r="O245" s="32" t="str">
        <v>tengah</v>
      </c>
      <c r="P245" s="32"/>
      <c r="Q245" s="32"/>
      <c r="T245" s="32" t="str">
        <v>kanan</v>
      </c>
      <c r="U245" s="32"/>
      <c r="V245" s="32"/>
    </row>
    <row r="246" spans="5:22">
      <c r="E246" s="32" t="str">
        <v>tengah</v>
      </c>
      <c r="F246" s="32"/>
      <c r="G246" s="32"/>
      <c r="J246" s="32" t="str">
        <v>kiri</v>
      </c>
      <c r="K246" s="32"/>
      <c r="L246" s="32"/>
      <c r="O246" s="32" t="str">
        <v>tengah</v>
      </c>
      <c r="P246" s="32"/>
      <c r="Q246" s="32"/>
      <c r="T246" s="32" t="str">
        <v>kanan</v>
      </c>
      <c r="U246" s="32"/>
      <c r="V246" s="32"/>
    </row>
    <row r="247" spans="5:22">
      <c r="E247" s="32" t="str">
        <v>kiri</v>
      </c>
      <c r="F247" s="32"/>
      <c r="G247" s="32"/>
      <c r="J247" s="32" t="str">
        <v>tengah</v>
      </c>
      <c r="K247" s="32"/>
      <c r="L247" s="32"/>
      <c r="O247" s="32" t="str">
        <v>tengah</v>
      </c>
      <c r="P247" s="32"/>
      <c r="Q247" s="32"/>
      <c r="T247" s="32" t="str">
        <v>kanan</v>
      </c>
      <c r="U247" s="32"/>
      <c r="V247" s="32"/>
    </row>
    <row r="248" spans="5:22">
      <c r="E248" s="32" t="str">
        <v>tengah</v>
      </c>
      <c r="F248" s="32"/>
      <c r="G248" s="32"/>
      <c r="J248" s="32" t="str">
        <v>tengah</v>
      </c>
      <c r="K248" s="32"/>
      <c r="L248" s="32"/>
      <c r="O248" s="32" t="str">
        <v>tengah</v>
      </c>
      <c r="P248" s="32"/>
      <c r="Q248" s="32"/>
      <c r="T248" s="32" t="str">
        <v>tengah</v>
      </c>
      <c r="U248" s="32"/>
      <c r="V248" s="32"/>
    </row>
    <row r="249" spans="5:22">
      <c r="E249" s="32" t="str">
        <v>tengah</v>
      </c>
      <c r="F249" s="32"/>
      <c r="G249" s="32"/>
      <c r="J249" s="32" t="str">
        <v>kanan</v>
      </c>
      <c r="K249" s="32"/>
      <c r="L249" s="32"/>
      <c r="O249" s="32" t="str">
        <v>tengah</v>
      </c>
      <c r="P249" s="32"/>
      <c r="Q249" s="32"/>
      <c r="T249" s="32" t="str">
        <v>tengah</v>
      </c>
      <c r="U249" s="32"/>
      <c r="V249" s="32"/>
    </row>
    <row r="250" spans="5:22">
      <c r="E250" s="32" t="str">
        <v>kiri</v>
      </c>
      <c r="F250" s="32"/>
      <c r="G250" s="32"/>
      <c r="J250" s="32" t="str">
        <v>kiri</v>
      </c>
      <c r="K250" s="32"/>
      <c r="L250" s="32"/>
      <c r="O250" s="32" t="str">
        <v>kiri</v>
      </c>
      <c r="P250" s="32"/>
      <c r="Q250" s="32"/>
      <c r="T250" s="32" t="str">
        <v>tengah</v>
      </c>
      <c r="U250" s="32"/>
      <c r="V250" s="32"/>
    </row>
    <row r="251" spans="5:22">
      <c r="E251" s="32" t="str">
        <v>tengah</v>
      </c>
      <c r="F251" s="32"/>
      <c r="G251" s="32"/>
      <c r="J251" s="32" t="str">
        <v>tengah</v>
      </c>
      <c r="K251" s="32"/>
      <c r="L251" s="32"/>
      <c r="O251" s="32" t="str">
        <v>tengah</v>
      </c>
      <c r="P251" s="32"/>
      <c r="Q251" s="32"/>
      <c r="T251" s="32" t="str">
        <v>tengah</v>
      </c>
      <c r="U251" s="32"/>
      <c r="V251" s="32"/>
    </row>
    <row r="252" spans="5:22">
      <c r="E252" s="32" t="str">
        <v>tengah</v>
      </c>
      <c r="F252" s="32"/>
      <c r="G252" s="32"/>
      <c r="J252" s="32" t="str">
        <v>kanan</v>
      </c>
      <c r="K252" s="32"/>
      <c r="L252" s="32"/>
      <c r="O252" s="32" t="str">
        <v>kiri</v>
      </c>
      <c r="P252" s="32"/>
      <c r="Q252" s="32"/>
      <c r="T252" s="32" t="str">
        <v>tengah</v>
      </c>
      <c r="U252" s="32"/>
      <c r="V252" s="32"/>
    </row>
    <row r="253" spans="5:22">
      <c r="E253" s="32" t="str">
        <v>tengah</v>
      </c>
      <c r="F253" s="32"/>
      <c r="G253" s="32"/>
      <c r="J253" s="32" t="str">
        <v>kiri</v>
      </c>
      <c r="K253" s="32"/>
      <c r="L253" s="32"/>
      <c r="O253" s="32" t="str">
        <v>tengah</v>
      </c>
      <c r="P253" s="32"/>
      <c r="Q253" s="32"/>
      <c r="T253" s="32" t="str">
        <v>tengah</v>
      </c>
      <c r="U253" s="32"/>
      <c r="V253" s="32"/>
    </row>
    <row r="254" spans="5:22">
      <c r="E254" s="32" t="str">
        <v>tengah</v>
      </c>
      <c r="F254" s="32"/>
      <c r="G254" s="32"/>
      <c r="J254" s="32" t="str">
        <v>tengah</v>
      </c>
      <c r="K254" s="32"/>
      <c r="L254" s="32"/>
      <c r="O254" s="32" t="str">
        <v>kiri</v>
      </c>
      <c r="P254" s="32"/>
      <c r="Q254" s="32"/>
      <c r="T254" s="32" t="str">
        <v>kanan</v>
      </c>
      <c r="U254" s="32"/>
      <c r="V254" s="32"/>
    </row>
    <row r="255" spans="5:22">
      <c r="E255" s="32" t="str">
        <v>kiri</v>
      </c>
      <c r="F255" s="32"/>
      <c r="G255" s="32"/>
      <c r="J255" s="32" t="str">
        <v>tengah</v>
      </c>
      <c r="K255" s="32"/>
      <c r="L255" s="32"/>
      <c r="O255" s="32" t="str">
        <v>kanan</v>
      </c>
      <c r="P255" s="32"/>
      <c r="Q255" s="32"/>
      <c r="T255" s="32" t="str">
        <v>tengah</v>
      </c>
      <c r="U255" s="32"/>
      <c r="V255" s="32"/>
    </row>
    <row r="256" spans="5:22">
      <c r="E256" s="32" t="str">
        <v>tengah</v>
      </c>
      <c r="F256" s="32"/>
      <c r="G256" s="32"/>
      <c r="J256" s="32" t="str">
        <v>tengah</v>
      </c>
      <c r="K256" s="32"/>
      <c r="L256" s="32"/>
      <c r="O256" s="32" t="str">
        <v>tengah</v>
      </c>
      <c r="P256" s="32"/>
      <c r="Q256" s="32"/>
      <c r="T256" s="32" t="str">
        <v>tengah</v>
      </c>
      <c r="U256" s="32"/>
      <c r="V256" s="32"/>
    </row>
    <row r="257" spans="5:22">
      <c r="E257" s="32" t="str">
        <v>tengah</v>
      </c>
      <c r="F257" s="32"/>
      <c r="G257" s="32"/>
      <c r="J257" s="32" t="str">
        <v>kanan</v>
      </c>
      <c r="K257" s="32"/>
      <c r="L257" s="32"/>
      <c r="O257" s="32" t="str">
        <v>kiri</v>
      </c>
      <c r="P257" s="32"/>
      <c r="Q257" s="32"/>
      <c r="T257" s="32" t="str">
        <v>kanan</v>
      </c>
      <c r="U257" s="32"/>
      <c r="V257" s="32"/>
    </row>
    <row r="258" spans="5:22">
      <c r="E258" s="32" t="str">
        <v>kiri</v>
      </c>
      <c r="F258" s="32"/>
      <c r="G258" s="32"/>
      <c r="J258" s="32" t="str">
        <v>tengah</v>
      </c>
      <c r="K258" s="32"/>
      <c r="L258" s="32"/>
      <c r="O258" s="32" t="str">
        <v>tengah</v>
      </c>
      <c r="P258" s="32"/>
      <c r="Q258" s="32"/>
      <c r="T258" s="32" t="str">
        <v>tengah</v>
      </c>
      <c r="U258" s="32"/>
      <c r="V258" s="32"/>
    </row>
    <row r="259" spans="5:22">
      <c r="E259" s="32" t="str">
        <v>tengah</v>
      </c>
      <c r="F259" s="32"/>
      <c r="G259" s="32"/>
      <c r="J259" s="32" t="str">
        <v>kanan</v>
      </c>
      <c r="K259" s="32"/>
      <c r="L259" s="32"/>
      <c r="O259" s="32" t="str">
        <v>tengah</v>
      </c>
      <c r="P259" s="32"/>
      <c r="Q259" s="32"/>
      <c r="T259" s="32" t="str">
        <v>tengah</v>
      </c>
      <c r="U259" s="32"/>
      <c r="V259" s="32"/>
    </row>
    <row r="260" spans="5:22">
      <c r="E260" s="32" t="str">
        <v>kiri</v>
      </c>
      <c r="F260" s="32"/>
      <c r="G260" s="32"/>
      <c r="J260" s="32" t="str">
        <v>tengah</v>
      </c>
      <c r="K260" s="32"/>
      <c r="L260" s="32"/>
      <c r="O260" s="32" t="str">
        <v>kiri</v>
      </c>
      <c r="P260" s="32"/>
      <c r="Q260" s="32"/>
      <c r="T260" s="32" t="str">
        <v>tengah</v>
      </c>
      <c r="U260" s="32"/>
      <c r="V260" s="32"/>
    </row>
    <row r="261" spans="5:22">
      <c r="E261" s="32" t="str">
        <v>kanan</v>
      </c>
      <c r="F261" s="32"/>
      <c r="G261" s="32"/>
      <c r="J261" s="32" t="str">
        <v>kanan</v>
      </c>
      <c r="K261" s="32"/>
      <c r="L261" s="32"/>
      <c r="O261" s="32" t="str">
        <v>kanan</v>
      </c>
      <c r="P261" s="32"/>
      <c r="Q261" s="32"/>
      <c r="T261" s="32" t="str">
        <v>kanan</v>
      </c>
      <c r="U261" s="32"/>
      <c r="V261" s="32"/>
    </row>
    <row r="262" spans="5:22">
      <c r="E262" s="32" t="str">
        <v>tengah</v>
      </c>
      <c r="F262" s="32"/>
      <c r="G262" s="32"/>
      <c r="J262" s="32" t="str">
        <v>tengah</v>
      </c>
      <c r="K262" s="32"/>
      <c r="L262" s="32"/>
      <c r="O262" s="32" t="str">
        <v>tengah</v>
      </c>
      <c r="P262" s="32"/>
      <c r="Q262" s="32"/>
      <c r="T262" s="32" t="str">
        <v>kanan</v>
      </c>
      <c r="U262" s="32"/>
      <c r="V262" s="32"/>
    </row>
    <row r="263" spans="5:22">
      <c r="E263" s="32" t="str">
        <v>tengah</v>
      </c>
      <c r="F263" s="32"/>
      <c r="G263" s="32"/>
      <c r="J263" s="32" t="str">
        <v>tengah</v>
      </c>
      <c r="K263" s="32"/>
      <c r="L263" s="32"/>
      <c r="O263" s="32" t="str">
        <v>tengah</v>
      </c>
      <c r="P263" s="32"/>
      <c r="Q263" s="32"/>
      <c r="T263" s="32" t="str">
        <v>kanan</v>
      </c>
      <c r="U263" s="32"/>
      <c r="V263" s="32"/>
    </row>
    <row r="264" spans="5:22">
      <c r="E264" s="32" t="str">
        <v>tengah</v>
      </c>
      <c r="F264" s="32"/>
      <c r="G264" s="32"/>
      <c r="J264" s="32" t="str">
        <v>tengah</v>
      </c>
      <c r="K264" s="32"/>
      <c r="L264" s="32"/>
      <c r="O264" s="32" t="str">
        <v>tengah</v>
      </c>
      <c r="P264" s="32"/>
      <c r="Q264" s="32"/>
      <c r="T264" s="32" t="str">
        <v>tengah</v>
      </c>
      <c r="U264" s="32"/>
      <c r="V264" s="32"/>
    </row>
    <row r="265" spans="5:22">
      <c r="E265" s="32" t="str">
        <v>kanan</v>
      </c>
      <c r="F265" s="32"/>
      <c r="G265" s="32"/>
      <c r="J265" s="32" t="str">
        <v>tengah</v>
      </c>
      <c r="K265" s="32"/>
      <c r="L265" s="32"/>
      <c r="O265" s="32" t="str">
        <v>tengah</v>
      </c>
      <c r="P265" s="32"/>
      <c r="Q265" s="32"/>
      <c r="T265" s="32" t="str">
        <v>tengah</v>
      </c>
      <c r="U265" s="32"/>
      <c r="V265" s="32"/>
    </row>
    <row r="266" spans="5:22">
      <c r="E266" s="32" t="str">
        <v>tengah</v>
      </c>
      <c r="F266" s="32"/>
      <c r="G266" s="32"/>
      <c r="J266" s="32" t="str">
        <v>tengah</v>
      </c>
      <c r="K266" s="32"/>
      <c r="L266" s="32"/>
      <c r="O266" s="32" t="str">
        <v>tengah</v>
      </c>
      <c r="P266" s="32"/>
      <c r="Q266" s="32"/>
      <c r="T266" s="32" t="str">
        <v>kanan</v>
      </c>
      <c r="U266" s="32"/>
      <c r="V266" s="32"/>
    </row>
    <row r="267" spans="5:22">
      <c r="E267" s="32" t="str">
        <v>tengah</v>
      </c>
      <c r="F267" s="32"/>
      <c r="G267" s="32"/>
      <c r="J267" s="32" t="str">
        <v>tengah</v>
      </c>
      <c r="K267" s="32"/>
      <c r="L267" s="32"/>
      <c r="O267" s="32" t="str">
        <v>tengah</v>
      </c>
      <c r="P267" s="32"/>
      <c r="Q267" s="32"/>
      <c r="T267" s="32" t="str">
        <v>kanan</v>
      </c>
      <c r="U267" s="32"/>
      <c r="V267" s="32"/>
    </row>
    <row r="268" spans="5:22">
      <c r="E268" s="32" t="str">
        <v>tengah</v>
      </c>
      <c r="F268" s="32"/>
      <c r="G268" s="32"/>
      <c r="J268" s="32" t="str">
        <v>tengah</v>
      </c>
      <c r="K268" s="32"/>
      <c r="L268" s="32"/>
      <c r="O268" s="32" t="str">
        <v>tengah</v>
      </c>
      <c r="P268" s="32"/>
      <c r="Q268" s="32"/>
      <c r="T268" s="32" t="str">
        <v>kanan</v>
      </c>
      <c r="U268" s="32"/>
      <c r="V268" s="32"/>
    </row>
    <row r="269" spans="5:22">
      <c r="E269" s="32" t="str">
        <v>tengah</v>
      </c>
      <c r="F269" s="32"/>
      <c r="G269" s="32"/>
      <c r="J269" s="32" t="str">
        <v>tengah</v>
      </c>
      <c r="K269" s="32"/>
      <c r="L269" s="32"/>
      <c r="O269" s="32" t="str">
        <v>tengah</v>
      </c>
      <c r="P269" s="32"/>
      <c r="Q269" s="32"/>
      <c r="T269" s="32" t="str">
        <v>tengah</v>
      </c>
      <c r="U269" s="32"/>
      <c r="V269" s="32"/>
    </row>
    <row r="270" spans="5:22">
      <c r="E270" s="32" t="str">
        <v>tengah</v>
      </c>
      <c r="F270" s="32"/>
      <c r="G270" s="32"/>
      <c r="J270" s="32" t="str">
        <v>tengah</v>
      </c>
      <c r="K270" s="32"/>
      <c r="L270" s="32"/>
      <c r="O270" s="32" t="str">
        <v>tengah</v>
      </c>
      <c r="P270" s="32"/>
      <c r="Q270" s="32"/>
      <c r="T270" s="32" t="str">
        <v>tengah</v>
      </c>
      <c r="U270" s="32"/>
      <c r="V270" s="32"/>
    </row>
    <row r="271" spans="5:22">
      <c r="E271" s="32" t="str">
        <v>tengah</v>
      </c>
      <c r="F271" s="32"/>
      <c r="G271" s="32"/>
      <c r="J271" s="32" t="str">
        <v>kanan</v>
      </c>
      <c r="K271" s="32"/>
      <c r="L271" s="32"/>
      <c r="O271" s="32" t="str">
        <v>tengah</v>
      </c>
      <c r="P271" s="32"/>
      <c r="Q271" s="32"/>
      <c r="T271" s="32" t="str">
        <v>tengah</v>
      </c>
      <c r="U271" s="32"/>
      <c r="V271" s="32"/>
    </row>
    <row r="272" spans="5:22">
      <c r="E272" s="32" t="str">
        <v>kanan</v>
      </c>
      <c r="F272" s="32"/>
      <c r="G272" s="32"/>
      <c r="J272" s="32" t="str">
        <v>kiri</v>
      </c>
      <c r="K272" s="32"/>
      <c r="L272" s="32"/>
      <c r="O272" s="32" t="str">
        <v>kanan</v>
      </c>
      <c r="P272" s="32"/>
      <c r="Q272" s="32"/>
      <c r="T272" s="32" t="str">
        <v>kanan</v>
      </c>
      <c r="U272" s="32"/>
      <c r="V272" s="32"/>
    </row>
    <row r="273" spans="5:22">
      <c r="E273" s="32" t="str">
        <v>tengah</v>
      </c>
      <c r="F273" s="32"/>
      <c r="G273" s="32"/>
      <c r="J273" s="32" t="str">
        <v>tengah</v>
      </c>
      <c r="K273" s="32"/>
      <c r="L273" s="32"/>
      <c r="O273" s="32" t="str">
        <v>tengah</v>
      </c>
      <c r="P273" s="32"/>
      <c r="Q273" s="32"/>
      <c r="T273" s="32" t="str">
        <v>kanan</v>
      </c>
      <c r="U273" s="32"/>
      <c r="V273" s="32"/>
    </row>
    <row r="274" spans="5:22">
      <c r="E274" s="32" t="str">
        <v>kanan</v>
      </c>
      <c r="F274" s="32"/>
      <c r="G274" s="32"/>
      <c r="J274" s="32" t="str">
        <v>kanan</v>
      </c>
      <c r="K274" s="32"/>
      <c r="L274" s="32"/>
      <c r="O274" s="32" t="str">
        <v>kanan</v>
      </c>
      <c r="P274" s="32"/>
      <c r="Q274" s="32"/>
      <c r="T274" s="32" t="str">
        <v>kanan</v>
      </c>
      <c r="U274" s="32"/>
      <c r="V274" s="32"/>
    </row>
    <row r="275" spans="5:22">
      <c r="E275" s="32" t="str">
        <v>kanan</v>
      </c>
      <c r="F275" s="32"/>
      <c r="G275" s="32"/>
      <c r="J275" s="32" t="str">
        <v>kanan</v>
      </c>
      <c r="K275" s="32"/>
      <c r="L275" s="32"/>
      <c r="O275" s="32" t="str">
        <v>tengah</v>
      </c>
      <c r="P275" s="32"/>
      <c r="Q275" s="32"/>
      <c r="T275" s="32" t="str">
        <v>kanan</v>
      </c>
      <c r="U275" s="32"/>
      <c r="V275" s="32"/>
    </row>
    <row r="276" spans="5:22">
      <c r="E276" s="32" t="str">
        <v>kanan</v>
      </c>
      <c r="F276" s="32"/>
      <c r="G276" s="32"/>
      <c r="J276" s="32" t="str">
        <v>tengah</v>
      </c>
      <c r="K276" s="32"/>
      <c r="L276" s="32"/>
      <c r="O276" s="32" t="str">
        <v>kanan</v>
      </c>
      <c r="P276" s="32"/>
      <c r="Q276" s="32"/>
      <c r="T276" s="32" t="str">
        <v>kanan</v>
      </c>
      <c r="U276" s="32"/>
      <c r="V276" s="32"/>
    </row>
    <row r="277" spans="5:22">
      <c r="E277" s="32" t="str">
        <v>tengah</v>
      </c>
      <c r="F277" s="32"/>
      <c r="G277" s="32"/>
      <c r="J277" s="32" t="str">
        <v>tengah</v>
      </c>
      <c r="K277" s="32"/>
      <c r="L277" s="32"/>
      <c r="O277" s="32" t="str">
        <v>tengah</v>
      </c>
      <c r="P277" s="32"/>
      <c r="Q277" s="32"/>
      <c r="T277" s="32" t="str">
        <v>kanan</v>
      </c>
      <c r="U277" s="32"/>
      <c r="V277" s="32"/>
    </row>
    <row r="278" spans="5:22">
      <c r="E278" s="32" t="str">
        <v>tengah</v>
      </c>
      <c r="F278" s="32"/>
      <c r="G278" s="32"/>
      <c r="J278" s="32" t="str">
        <v>tengah</v>
      </c>
      <c r="K278" s="32"/>
      <c r="L278" s="32"/>
      <c r="O278" s="32" t="str">
        <v>tengah</v>
      </c>
      <c r="P278" s="32"/>
      <c r="Q278" s="32"/>
      <c r="T278" s="32" t="str">
        <v>kanan</v>
      </c>
      <c r="U278" s="32"/>
      <c r="V278" s="32"/>
    </row>
    <row r="279" spans="5:22">
      <c r="E279" s="32" t="str">
        <v>kanan</v>
      </c>
      <c r="F279" s="32"/>
      <c r="G279" s="32"/>
      <c r="J279" s="32" t="str">
        <v>kiri</v>
      </c>
      <c r="K279" s="32"/>
      <c r="L279" s="32"/>
      <c r="O279" s="32" t="str">
        <v>kiri</v>
      </c>
      <c r="P279" s="32"/>
      <c r="Q279" s="32"/>
      <c r="T279" s="32" t="str">
        <v>tengah</v>
      </c>
      <c r="U279" s="32"/>
      <c r="V279" s="32"/>
    </row>
    <row r="280" spans="5:22">
      <c r="E280" s="32" t="str">
        <v>kanan</v>
      </c>
      <c r="F280" s="32"/>
      <c r="G280" s="32"/>
      <c r="J280" s="32" t="str">
        <v>tengah</v>
      </c>
      <c r="K280" s="32"/>
      <c r="L280" s="32"/>
      <c r="O280" s="32" t="str">
        <v>tengah</v>
      </c>
      <c r="P280" s="32"/>
      <c r="Q280" s="32"/>
      <c r="T280" s="32" t="str">
        <v>tengah</v>
      </c>
      <c r="U280" s="32"/>
      <c r="V280" s="32"/>
    </row>
    <row r="281" spans="5:22">
      <c r="E281" s="32" t="str">
        <v>tengah</v>
      </c>
      <c r="F281" s="32"/>
      <c r="G281" s="32"/>
      <c r="J281" s="32" t="str">
        <v>tengah</v>
      </c>
      <c r="K281" s="32"/>
      <c r="L281" s="32"/>
      <c r="O281" s="32" t="str">
        <v>tengah</v>
      </c>
      <c r="P281" s="32"/>
      <c r="Q281" s="32"/>
      <c r="T281" s="32" t="str">
        <v>tengah</v>
      </c>
      <c r="U281" s="32"/>
      <c r="V281" s="32"/>
    </row>
    <row r="282" spans="5:22">
      <c r="E282" s="32" t="str">
        <v>kiri</v>
      </c>
      <c r="F282" s="32"/>
      <c r="G282" s="32"/>
      <c r="J282" s="32" t="str">
        <v>kiri</v>
      </c>
      <c r="K282" s="32"/>
      <c r="L282" s="32"/>
      <c r="O282" s="32" t="str">
        <v>kanan</v>
      </c>
      <c r="P282" s="32"/>
      <c r="Q282" s="32"/>
      <c r="T282" s="32" t="str">
        <v>tengah</v>
      </c>
      <c r="U282" s="32"/>
      <c r="V282" s="32"/>
    </row>
    <row r="283" spans="5:22">
      <c r="E283" s="32" t="str">
        <v>tengah</v>
      </c>
      <c r="F283" s="32"/>
      <c r="G283" s="32"/>
      <c r="J283" s="32" t="str">
        <v>kanan</v>
      </c>
      <c r="K283" s="32"/>
      <c r="L283" s="32"/>
      <c r="O283" s="32" t="str">
        <v>tengah</v>
      </c>
      <c r="P283" s="32"/>
      <c r="Q283" s="32"/>
      <c r="T283" s="32" t="str">
        <v>kanan</v>
      </c>
      <c r="U283" s="32"/>
      <c r="V283" s="32"/>
    </row>
    <row r="284" spans="5:22">
      <c r="E284" s="32" t="str">
        <v>tengah</v>
      </c>
      <c r="F284" s="32"/>
      <c r="G284" s="32"/>
      <c r="J284" s="32" t="str">
        <v>kanan</v>
      </c>
      <c r="K284" s="32"/>
      <c r="L284" s="32"/>
      <c r="O284" s="32" t="str">
        <v>tengah</v>
      </c>
      <c r="P284" s="32"/>
      <c r="Q284" s="32"/>
      <c r="T284" s="32" t="str">
        <v>kanan</v>
      </c>
      <c r="U284" s="32"/>
      <c r="V284" s="32"/>
    </row>
    <row r="285" spans="5:22">
      <c r="E285" s="32" t="str">
        <v>kiri</v>
      </c>
      <c r="F285" s="32"/>
      <c r="G285" s="32"/>
      <c r="J285" s="32" t="str">
        <v>kiri</v>
      </c>
      <c r="K285" s="32"/>
      <c r="L285" s="32"/>
      <c r="O285" s="32" t="str">
        <v>kanan</v>
      </c>
      <c r="P285" s="32"/>
      <c r="Q285" s="32"/>
      <c r="T285" s="32" t="str">
        <v>tengah</v>
      </c>
      <c r="U285" s="32"/>
      <c r="V285" s="32"/>
    </row>
    <row r="286" spans="5:22">
      <c r="E286" s="32" t="str">
        <v>tengah</v>
      </c>
      <c r="F286" s="32"/>
      <c r="G286" s="32"/>
      <c r="J286" s="32" t="str">
        <v>tengah</v>
      </c>
      <c r="K286" s="32"/>
      <c r="L286" s="32"/>
      <c r="O286" s="32" t="str">
        <v>tengah</v>
      </c>
      <c r="P286" s="32"/>
      <c r="Q286" s="32"/>
      <c r="T286" s="32" t="str">
        <v>tengah</v>
      </c>
      <c r="U286" s="32"/>
      <c r="V286" s="32"/>
    </row>
    <row r="287" spans="5:22">
      <c r="E287" s="32" t="str">
        <v>kiri</v>
      </c>
      <c r="F287" s="32"/>
      <c r="G287" s="32"/>
      <c r="J287" s="32" t="str">
        <v>tengah</v>
      </c>
      <c r="K287" s="32"/>
      <c r="L287" s="32"/>
      <c r="O287" s="32" t="str">
        <v>tengah</v>
      </c>
      <c r="P287" s="32"/>
      <c r="Q287" s="32"/>
      <c r="T287" s="32" t="str">
        <v>tengah</v>
      </c>
      <c r="U287" s="32"/>
      <c r="V287" s="32"/>
    </row>
    <row r="288" spans="5:22">
      <c r="E288" s="32" t="str">
        <v>tengah</v>
      </c>
      <c r="F288" s="32"/>
      <c r="G288" s="32"/>
      <c r="J288" s="32" t="str">
        <v>tengah</v>
      </c>
      <c r="K288" s="32"/>
      <c r="L288" s="32"/>
      <c r="O288" s="32" t="str">
        <v>tengah</v>
      </c>
      <c r="P288" s="32"/>
      <c r="Q288" s="32"/>
      <c r="T288" s="32" t="str">
        <v>kanan</v>
      </c>
      <c r="U288" s="32"/>
      <c r="V288" s="32"/>
    </row>
    <row r="289" spans="5:22">
      <c r="E289" s="32" t="str">
        <v>kanan</v>
      </c>
      <c r="F289" s="32"/>
      <c r="G289" s="32"/>
      <c r="J289" s="32" t="str">
        <v>kiri</v>
      </c>
      <c r="K289" s="32"/>
      <c r="L289" s="32"/>
      <c r="O289" s="32" t="str">
        <v>kanan</v>
      </c>
      <c r="P289" s="32"/>
      <c r="Q289" s="32"/>
      <c r="T289" s="32" t="str">
        <v>kanan</v>
      </c>
      <c r="U289" s="32"/>
      <c r="V289" s="32"/>
    </row>
    <row r="290" spans="5:22">
      <c r="E290" s="32" t="str">
        <v>tengah</v>
      </c>
      <c r="F290" s="32"/>
      <c r="G290" s="32"/>
      <c r="J290" s="32" t="str">
        <v>kanan</v>
      </c>
      <c r="K290" s="32"/>
      <c r="L290" s="32"/>
      <c r="O290" s="32" t="str">
        <v>tengah</v>
      </c>
      <c r="P290" s="32"/>
      <c r="Q290" s="32"/>
      <c r="T290" s="32" t="str">
        <v>tengah</v>
      </c>
      <c r="U290" s="32"/>
      <c r="V290" s="32"/>
    </row>
    <row r="291" spans="5:22">
      <c r="E291" s="32" t="str">
        <v>tengah</v>
      </c>
      <c r="F291" s="32"/>
      <c r="G291" s="32"/>
      <c r="J291" s="32" t="str">
        <v>kanan</v>
      </c>
      <c r="K291" s="32"/>
      <c r="L291" s="32"/>
      <c r="O291" s="32" t="str">
        <v>tengah</v>
      </c>
      <c r="P291" s="32"/>
      <c r="Q291" s="32"/>
      <c r="T291" s="32" t="str">
        <v>tengah</v>
      </c>
      <c r="U291" s="32"/>
      <c r="V291" s="32"/>
    </row>
    <row r="292" spans="5:22">
      <c r="E292" s="32" t="str">
        <v>tengah</v>
      </c>
      <c r="F292" s="32"/>
      <c r="G292" s="32"/>
      <c r="J292" s="32" t="str">
        <v>tengah</v>
      </c>
      <c r="K292" s="32"/>
      <c r="L292" s="32"/>
      <c r="O292" s="32" t="str">
        <v>tengah</v>
      </c>
      <c r="P292" s="32"/>
      <c r="Q292" s="32"/>
      <c r="T292" s="32" t="str">
        <v>tengah</v>
      </c>
      <c r="U292" s="32"/>
      <c r="V292" s="32"/>
    </row>
    <row r="293" spans="5:22">
      <c r="E293" s="32" t="str">
        <v>tengah</v>
      </c>
      <c r="F293" s="32"/>
      <c r="G293" s="32"/>
      <c r="J293" s="32" t="str">
        <v>tengah</v>
      </c>
      <c r="K293" s="32"/>
      <c r="L293" s="32"/>
      <c r="O293" s="32" t="str">
        <v>tengah</v>
      </c>
      <c r="P293" s="32"/>
      <c r="Q293" s="32"/>
      <c r="T293" s="32" t="str">
        <v>kanan</v>
      </c>
      <c r="U293" s="32"/>
      <c r="V293" s="32"/>
    </row>
    <row r="294" spans="5:22">
      <c r="E294" s="32" t="str">
        <v>kanan</v>
      </c>
      <c r="F294" s="32"/>
      <c r="G294" s="32"/>
      <c r="J294" s="32" t="str">
        <v>tengah</v>
      </c>
      <c r="K294" s="32"/>
      <c r="L294" s="32"/>
      <c r="O294" s="32" t="str">
        <v>tengah</v>
      </c>
      <c r="P294" s="32"/>
      <c r="Q294" s="32"/>
      <c r="T294" s="32" t="str">
        <v>kanan</v>
      </c>
      <c r="U294" s="32"/>
      <c r="V294" s="32"/>
    </row>
    <row r="295" spans="5:22">
      <c r="E295" s="32" t="str">
        <v>kiri</v>
      </c>
      <c r="F295" s="32"/>
      <c r="G295" s="32"/>
      <c r="J295" s="32" t="str">
        <v>kiri</v>
      </c>
      <c r="K295" s="32"/>
      <c r="L295" s="32"/>
      <c r="O295" s="32" t="str">
        <v>kanan</v>
      </c>
      <c r="P295" s="32"/>
      <c r="Q295" s="32"/>
      <c r="T295" s="32" t="str">
        <v>tengah</v>
      </c>
      <c r="U295" s="32"/>
      <c r="V295" s="32"/>
    </row>
    <row r="296" spans="5:22">
      <c r="E296" s="32" t="str">
        <v>kiri</v>
      </c>
      <c r="F296" s="32"/>
      <c r="G296" s="32"/>
      <c r="J296" s="32" t="str">
        <v>tengah</v>
      </c>
      <c r="K296" s="32"/>
      <c r="L296" s="32"/>
      <c r="O296" s="32" t="str">
        <v>kanan</v>
      </c>
      <c r="P296" s="32"/>
      <c r="Q296" s="32"/>
      <c r="T296" s="32" t="str">
        <v>kanan</v>
      </c>
      <c r="U296" s="32"/>
      <c r="V296" s="32"/>
    </row>
    <row r="297" spans="5:22">
      <c r="E297" s="32" t="str">
        <v>tengah</v>
      </c>
      <c r="F297" s="32"/>
      <c r="G297" s="32"/>
      <c r="J297" s="32" t="str">
        <v>tengah</v>
      </c>
      <c r="K297" s="32"/>
      <c r="L297" s="32"/>
      <c r="O297" s="32" t="str">
        <v>tengah</v>
      </c>
      <c r="P297" s="32"/>
      <c r="Q297" s="32"/>
      <c r="T297" s="32" t="str">
        <v>kanan</v>
      </c>
      <c r="U297" s="32"/>
      <c r="V297" s="32"/>
    </row>
    <row r="298" spans="5:22">
      <c r="E298" s="32" t="str">
        <v>tengah</v>
      </c>
      <c r="F298" s="32"/>
      <c r="G298" s="32"/>
      <c r="J298" s="32" t="str">
        <v>tengah</v>
      </c>
      <c r="K298" s="32"/>
      <c r="L298" s="32"/>
      <c r="O298" s="32" t="str">
        <v>kanan</v>
      </c>
      <c r="P298" s="32"/>
      <c r="Q298" s="32"/>
      <c r="T298" s="32" t="str">
        <v>kanan</v>
      </c>
      <c r="U298" s="32"/>
      <c r="V298" s="32"/>
    </row>
    <row r="299" spans="5:22">
      <c r="E299" s="32" t="str">
        <v>tengah</v>
      </c>
      <c r="F299" s="32"/>
      <c r="G299" s="32"/>
      <c r="J299" s="32" t="str">
        <v>tengah</v>
      </c>
      <c r="K299" s="32"/>
      <c r="L299" s="32"/>
      <c r="O299" s="32" t="str">
        <v>tengah</v>
      </c>
      <c r="P299" s="32"/>
      <c r="Q299" s="32"/>
      <c r="T299" s="32" t="str">
        <v>kanan</v>
      </c>
      <c r="U299" s="32"/>
      <c r="V299" s="32"/>
    </row>
    <row r="300" spans="5:22">
      <c r="E300" s="32" t="str">
        <v>kiri</v>
      </c>
      <c r="F300" s="32"/>
      <c r="G300" s="32"/>
      <c r="J300" s="32" t="str">
        <v>tengah</v>
      </c>
      <c r="K300" s="32"/>
      <c r="L300" s="32"/>
      <c r="O300" s="32" t="str">
        <v>kanan</v>
      </c>
      <c r="P300" s="32"/>
      <c r="Q300" s="32"/>
      <c r="T300" s="32" t="str">
        <v>tengah</v>
      </c>
      <c r="U300" s="32"/>
      <c r="V300" s="32"/>
    </row>
    <row r="301" spans="5:22">
      <c r="E301" s="32" t="str">
        <v>kiri</v>
      </c>
      <c r="F301" s="32"/>
      <c r="G301" s="32"/>
      <c r="J301" s="32" t="str">
        <v>kiri</v>
      </c>
      <c r="K301" s="32"/>
      <c r="L301" s="32"/>
      <c r="O301" s="32" t="str">
        <v>tengah</v>
      </c>
      <c r="P301" s="32"/>
      <c r="Q301" s="32"/>
      <c r="T301" s="32" t="str">
        <v>kanan</v>
      </c>
      <c r="U301" s="32"/>
      <c r="V301" s="32"/>
    </row>
    <row r="302" spans="5:22">
      <c r="E302" s="32" t="str">
        <v>tengah</v>
      </c>
      <c r="F302" s="32"/>
      <c r="G302" s="32"/>
      <c r="J302" s="32" t="str">
        <v>kanan</v>
      </c>
      <c r="K302" s="32"/>
      <c r="L302" s="32"/>
      <c r="O302" s="32" t="str">
        <v>kiri</v>
      </c>
      <c r="P302" s="32"/>
      <c r="Q302" s="32"/>
      <c r="T302" s="32" t="str">
        <v>tengah</v>
      </c>
      <c r="U302" s="32"/>
      <c r="V302" s="32"/>
    </row>
    <row r="303" spans="5:22">
      <c r="E303" s="32" t="str">
        <v>tengah</v>
      </c>
      <c r="F303" s="32"/>
      <c r="G303" s="32"/>
      <c r="J303" s="32" t="str">
        <v>tengah</v>
      </c>
      <c r="K303" s="32"/>
      <c r="L303" s="32"/>
      <c r="O303" s="32" t="str">
        <v>tengah</v>
      </c>
      <c r="P303" s="32"/>
      <c r="Q303" s="32"/>
      <c r="T303" s="32" t="str">
        <v>kanan</v>
      </c>
      <c r="U303" s="32"/>
      <c r="V303" s="32"/>
    </row>
    <row r="304" spans="5:22">
      <c r="E304" s="32" t="str">
        <v>tengah</v>
      </c>
      <c r="F304" s="32"/>
      <c r="G304" s="32"/>
      <c r="J304" s="32" t="str">
        <v>tengah</v>
      </c>
      <c r="K304" s="32"/>
      <c r="L304" s="32"/>
      <c r="O304" s="32" t="str">
        <v>tengah</v>
      </c>
      <c r="P304" s="32"/>
      <c r="Q304" s="32"/>
      <c r="T304" s="32" t="str">
        <v>tengah</v>
      </c>
      <c r="U304" s="32"/>
      <c r="V304" s="32"/>
    </row>
    <row r="305" spans="5:22">
      <c r="E305" s="32" t="str">
        <v>tengah</v>
      </c>
      <c r="F305" s="32"/>
      <c r="G305" s="32"/>
      <c r="J305" s="32" t="str">
        <v>kanan</v>
      </c>
      <c r="K305" s="32"/>
      <c r="L305" s="32"/>
      <c r="O305" s="32" t="str">
        <v>tengah</v>
      </c>
      <c r="P305" s="32"/>
      <c r="Q305" s="32"/>
      <c r="T305" s="32" t="str">
        <v>tengah</v>
      </c>
      <c r="U305" s="32"/>
      <c r="V305" s="32"/>
    </row>
    <row r="306" spans="5:22">
      <c r="E306" s="32" t="str">
        <v>tengah</v>
      </c>
      <c r="F306" s="32"/>
      <c r="G306" s="32"/>
      <c r="J306" s="32" t="str">
        <v>tengah</v>
      </c>
      <c r="K306" s="32"/>
      <c r="L306" s="32"/>
      <c r="O306" s="32" t="str">
        <v>tengah</v>
      </c>
      <c r="P306" s="32"/>
      <c r="Q306" s="32"/>
      <c r="T306" s="32" t="str">
        <v>tengah</v>
      </c>
      <c r="U306" s="32"/>
      <c r="V306" s="32"/>
    </row>
    <row r="307" spans="5:22">
      <c r="E307" s="32" t="str">
        <v>kanan</v>
      </c>
      <c r="F307" s="32"/>
      <c r="G307" s="32"/>
      <c r="J307" s="32" t="str">
        <v>kiri</v>
      </c>
      <c r="K307" s="32"/>
      <c r="L307" s="32"/>
      <c r="O307" s="32" t="str">
        <v>tengah</v>
      </c>
      <c r="P307" s="32"/>
      <c r="Q307" s="32"/>
      <c r="T307" s="32" t="str">
        <v>tengah</v>
      </c>
      <c r="U307" s="32"/>
      <c r="V307" s="32"/>
    </row>
    <row r="308" spans="5:22">
      <c r="E308" s="32" t="str">
        <v>tengah</v>
      </c>
      <c r="F308" s="32"/>
      <c r="G308" s="32"/>
      <c r="J308" s="32" t="str">
        <v>kiri</v>
      </c>
      <c r="K308" s="32"/>
      <c r="L308" s="32"/>
      <c r="O308" s="32" t="str">
        <v>tengah</v>
      </c>
      <c r="P308" s="32"/>
      <c r="Q308" s="32"/>
      <c r="T308" s="32" t="str">
        <v>kanan</v>
      </c>
      <c r="U308" s="32"/>
      <c r="V308" s="32"/>
    </row>
    <row r="309" spans="5:22">
      <c r="E309" s="32" t="str">
        <v>kanan</v>
      </c>
      <c r="F309" s="32"/>
      <c r="G309" s="32"/>
      <c r="J309" s="32" t="str">
        <v>tengah</v>
      </c>
      <c r="K309" s="32"/>
      <c r="L309" s="32"/>
      <c r="O309" s="32" t="str">
        <v>tengah</v>
      </c>
      <c r="P309" s="32"/>
      <c r="Q309" s="32"/>
      <c r="T309" s="32" t="str">
        <v>tengah</v>
      </c>
      <c r="U309" s="32"/>
      <c r="V309" s="32"/>
    </row>
    <row r="310" spans="5:22">
      <c r="E310" s="32" t="str">
        <v>kanan</v>
      </c>
      <c r="F310" s="32"/>
      <c r="G310" s="32"/>
      <c r="J310" s="32" t="str">
        <v>tengah</v>
      </c>
      <c r="K310" s="32"/>
      <c r="L310" s="32"/>
      <c r="O310" s="32" t="str">
        <v>tengah</v>
      </c>
      <c r="P310" s="32"/>
      <c r="Q310" s="32"/>
      <c r="T310" s="32" t="str">
        <v>kanan</v>
      </c>
      <c r="U310" s="32"/>
      <c r="V310" s="32"/>
    </row>
    <row r="311" spans="5:22">
      <c r="E311" s="32" t="str">
        <v>kanan</v>
      </c>
      <c r="F311" s="32"/>
      <c r="G311" s="32"/>
      <c r="J311" s="32" t="str">
        <v>kanan</v>
      </c>
      <c r="K311" s="32"/>
      <c r="L311" s="32"/>
      <c r="O311" s="32" t="str">
        <v>kiri</v>
      </c>
      <c r="P311" s="32"/>
      <c r="Q311" s="32"/>
      <c r="T311" s="32" t="str">
        <v>kanan</v>
      </c>
      <c r="U311" s="32"/>
      <c r="V311" s="32"/>
    </row>
    <row r="312" spans="5:22">
      <c r="E312" s="32" t="str">
        <v>kiri</v>
      </c>
      <c r="F312" s="32"/>
      <c r="G312" s="32"/>
      <c r="J312" s="32" t="str">
        <v>kiri</v>
      </c>
      <c r="K312" s="32"/>
      <c r="L312" s="32"/>
      <c r="O312" s="32" t="str">
        <v>kanan</v>
      </c>
      <c r="P312" s="32"/>
      <c r="Q312" s="32"/>
      <c r="T312" s="32" t="str">
        <v>tengah</v>
      </c>
      <c r="U312" s="32"/>
      <c r="V312" s="32"/>
    </row>
    <row r="313" spans="5:22">
      <c r="E313" s="32" t="str">
        <v>tengah</v>
      </c>
      <c r="F313" s="32"/>
      <c r="G313" s="32"/>
      <c r="J313" s="32" t="str">
        <v>kiri</v>
      </c>
      <c r="K313" s="32"/>
      <c r="L313" s="32"/>
      <c r="O313" s="32" t="str">
        <v>kiri</v>
      </c>
      <c r="P313" s="32"/>
      <c r="Q313" s="32"/>
      <c r="T313" s="32" t="str">
        <v>tengah</v>
      </c>
      <c r="U313" s="32"/>
      <c r="V313" s="32"/>
    </row>
    <row r="314" spans="5:22">
      <c r="E314" s="32" t="str">
        <v>tengah</v>
      </c>
      <c r="F314" s="32"/>
      <c r="G314" s="32"/>
      <c r="J314" s="32" t="str">
        <v>tengah</v>
      </c>
      <c r="K314" s="32"/>
      <c r="L314" s="32"/>
      <c r="O314" s="32" t="str">
        <v>kiri</v>
      </c>
      <c r="P314" s="32"/>
      <c r="Q314" s="32"/>
      <c r="T314" s="32" t="str">
        <v>kanan</v>
      </c>
      <c r="U314" s="32"/>
      <c r="V314" s="32"/>
    </row>
    <row r="315" spans="5:22">
      <c r="E315" s="32" t="str">
        <v>tengah</v>
      </c>
      <c r="F315" s="32"/>
      <c r="G315" s="32"/>
      <c r="J315" s="32" t="str">
        <v>kanan</v>
      </c>
      <c r="K315" s="32"/>
      <c r="L315" s="32"/>
      <c r="O315" s="32" t="str">
        <v>tengah</v>
      </c>
      <c r="P315" s="32"/>
      <c r="Q315" s="32"/>
      <c r="T315" s="32" t="str">
        <v>kanan</v>
      </c>
      <c r="U315" s="32"/>
      <c r="V315" s="32"/>
    </row>
    <row r="316" spans="5:22">
      <c r="E316" s="32" t="str">
        <v>kiri</v>
      </c>
      <c r="F316" s="32"/>
      <c r="G316" s="32"/>
      <c r="J316" s="32" t="str">
        <v>kiri</v>
      </c>
      <c r="K316" s="32"/>
      <c r="L316" s="32"/>
      <c r="O316" s="32" t="str">
        <v>kanan</v>
      </c>
      <c r="P316" s="32"/>
      <c r="Q316" s="32"/>
      <c r="T316" s="32" t="str">
        <v>kanan</v>
      </c>
      <c r="U316" s="32"/>
      <c r="V316" s="32"/>
    </row>
    <row r="317" spans="5:22">
      <c r="E317" s="32" t="str">
        <v>kanan</v>
      </c>
      <c r="F317" s="32"/>
      <c r="G317" s="32"/>
      <c r="J317" s="32" t="str">
        <v>kanan</v>
      </c>
      <c r="K317" s="32"/>
      <c r="L317" s="32"/>
      <c r="O317" s="32" t="str">
        <v>tengah</v>
      </c>
      <c r="P317" s="32"/>
      <c r="Q317" s="32"/>
      <c r="T317" s="32" t="str">
        <v>tengah</v>
      </c>
      <c r="U317" s="32"/>
      <c r="V317" s="32"/>
    </row>
    <row r="318" spans="5:22">
      <c r="E318" s="32" t="str">
        <v>kiri</v>
      </c>
      <c r="F318" s="32"/>
      <c r="G318" s="32"/>
      <c r="J318" s="32" t="str">
        <v>kiri</v>
      </c>
      <c r="K318" s="32"/>
      <c r="L318" s="32"/>
      <c r="O318" s="32" t="str">
        <v>tengah</v>
      </c>
      <c r="P318" s="32"/>
      <c r="Q318" s="32"/>
      <c r="T318" s="32" t="str">
        <v>tengah</v>
      </c>
      <c r="U318" s="32"/>
      <c r="V318" s="32"/>
    </row>
    <row r="319" spans="5:22">
      <c r="E319" s="32" t="str">
        <v>kanan</v>
      </c>
      <c r="F319" s="32"/>
      <c r="G319" s="32"/>
      <c r="J319" s="32" t="str">
        <v>tengah</v>
      </c>
      <c r="K319" s="32"/>
      <c r="L319" s="32"/>
      <c r="O319" s="32" t="str">
        <v>tengah</v>
      </c>
      <c r="P319" s="32"/>
      <c r="Q319" s="32"/>
      <c r="T319" s="32" t="str">
        <v>tengah</v>
      </c>
      <c r="U319" s="32"/>
      <c r="V319" s="32"/>
    </row>
    <row r="320" spans="5:22">
      <c r="E320" s="32" t="str">
        <v>tengah</v>
      </c>
      <c r="F320" s="32"/>
      <c r="G320" s="32"/>
      <c r="J320" s="32" t="str">
        <v>tengah</v>
      </c>
      <c r="K320" s="32"/>
      <c r="L320" s="32"/>
      <c r="O320" s="32" t="str">
        <v>tengah</v>
      </c>
      <c r="P320" s="32"/>
      <c r="Q320" s="32"/>
      <c r="T320" s="32" t="str">
        <v>kanan</v>
      </c>
      <c r="U320" s="32"/>
      <c r="V320" s="32"/>
    </row>
    <row r="321" spans="5:22">
      <c r="E321" s="32" t="str">
        <v>kanan</v>
      </c>
      <c r="F321" s="32"/>
      <c r="G321" s="32"/>
      <c r="J321" s="32" t="str">
        <v>kiri</v>
      </c>
      <c r="K321" s="32"/>
      <c r="L321" s="32"/>
      <c r="O321" s="32" t="str">
        <v>kiri</v>
      </c>
      <c r="P321" s="32"/>
      <c r="Q321" s="32"/>
      <c r="T321" s="32" t="str">
        <v>tengah</v>
      </c>
      <c r="U321" s="32"/>
      <c r="V321" s="32"/>
    </row>
    <row r="322" spans="5:22">
      <c r="E322" s="32" t="str">
        <v>kiri</v>
      </c>
      <c r="F322" s="32"/>
      <c r="G322" s="32"/>
      <c r="J322" s="32" t="str">
        <v>tengah</v>
      </c>
      <c r="K322" s="32"/>
      <c r="L322" s="32"/>
      <c r="O322" s="32" t="str">
        <v>kanan</v>
      </c>
      <c r="P322" s="32"/>
      <c r="Q322" s="32"/>
      <c r="T322" s="32" t="str">
        <v>tengah</v>
      </c>
      <c r="U322" s="32"/>
      <c r="V322" s="32"/>
    </row>
    <row r="323" spans="5:22">
      <c r="E323" s="32" t="str">
        <v>tengah</v>
      </c>
      <c r="F323" s="32"/>
      <c r="G323" s="32"/>
      <c r="J323" s="32" t="str">
        <v>kiri</v>
      </c>
      <c r="K323" s="32"/>
      <c r="L323" s="32"/>
      <c r="O323" s="32" t="str">
        <v>kiri</v>
      </c>
      <c r="P323" s="32"/>
      <c r="Q323" s="32"/>
      <c r="T323" s="32" t="str">
        <v>tengah</v>
      </c>
      <c r="U323" s="32"/>
      <c r="V323" s="32"/>
    </row>
    <row r="324" spans="5:22">
      <c r="E324" s="32" t="str">
        <v>tengah</v>
      </c>
      <c r="F324" s="32"/>
      <c r="G324" s="32"/>
      <c r="J324" s="32" t="str">
        <v>kiri</v>
      </c>
      <c r="K324" s="32"/>
      <c r="L324" s="32"/>
      <c r="O324" s="32" t="str">
        <v>kiri</v>
      </c>
      <c r="P324" s="32"/>
      <c r="Q324" s="32"/>
      <c r="T324" s="32" t="str">
        <v>tengah</v>
      </c>
      <c r="U324" s="32"/>
      <c r="V324" s="32"/>
    </row>
    <row r="325" spans="5:22">
      <c r="E325" s="32" t="str">
        <v>tengah</v>
      </c>
      <c r="F325" s="32"/>
      <c r="G325" s="32"/>
      <c r="J325" s="32" t="str">
        <v>kanan</v>
      </c>
      <c r="K325" s="32"/>
      <c r="L325" s="32"/>
      <c r="O325" s="32" t="str">
        <v>kiri</v>
      </c>
      <c r="P325" s="32"/>
      <c r="Q325" s="32"/>
      <c r="T325" s="32" t="str">
        <v>tengah</v>
      </c>
      <c r="U325" s="32"/>
      <c r="V325" s="32"/>
    </row>
    <row r="326" spans="5:22">
      <c r="E326" s="32" t="str">
        <v>tengah</v>
      </c>
      <c r="F326" s="32"/>
      <c r="G326" s="32"/>
      <c r="J326" s="32" t="str">
        <v>kanan</v>
      </c>
      <c r="K326" s="32"/>
      <c r="L326" s="32"/>
      <c r="O326" s="32" t="str">
        <v>tengah</v>
      </c>
      <c r="P326" s="32"/>
      <c r="Q326" s="32"/>
      <c r="T326" s="32" t="str">
        <v>tengah</v>
      </c>
      <c r="U326" s="32"/>
      <c r="V326" s="32"/>
    </row>
    <row r="327" spans="5:22">
      <c r="E327" s="32" t="str">
        <v>kiri</v>
      </c>
      <c r="F327" s="32"/>
      <c r="G327" s="32"/>
      <c r="J327" s="32" t="str">
        <v>kiri</v>
      </c>
      <c r="K327" s="32"/>
      <c r="L327" s="32"/>
      <c r="O327" s="32" t="str">
        <v>kanan</v>
      </c>
      <c r="P327" s="32"/>
      <c r="Q327" s="32"/>
      <c r="T327" s="32" t="str">
        <v>kanan</v>
      </c>
      <c r="U327" s="32"/>
      <c r="V327" s="32"/>
    </row>
    <row r="328" spans="5:22">
      <c r="E328" s="32" t="str">
        <v>tengah</v>
      </c>
      <c r="F328" s="32"/>
      <c r="G328" s="32"/>
      <c r="J328" s="32" t="str">
        <v>tengah</v>
      </c>
      <c r="K328" s="32"/>
      <c r="L328" s="32"/>
      <c r="O328" s="32" t="str">
        <v>tengah</v>
      </c>
      <c r="P328" s="32"/>
      <c r="Q328" s="32"/>
      <c r="T328" s="32" t="str">
        <v>tengah</v>
      </c>
      <c r="U328" s="32"/>
      <c r="V328" s="32"/>
    </row>
    <row r="329" spans="5:22">
      <c r="E329" s="32" t="str">
        <v>tengah</v>
      </c>
      <c r="F329" s="32"/>
      <c r="G329" s="32"/>
      <c r="J329" s="32" t="str">
        <v>kiri</v>
      </c>
      <c r="K329" s="32"/>
      <c r="L329" s="32"/>
      <c r="O329" s="32" t="str">
        <v>tengah</v>
      </c>
      <c r="P329" s="32"/>
      <c r="Q329" s="32"/>
      <c r="T329" s="32" t="str">
        <v>kanan</v>
      </c>
      <c r="U329" s="32"/>
      <c r="V329" s="32"/>
    </row>
    <row r="330" spans="5:22">
      <c r="E330" s="32" t="str">
        <v>kanan</v>
      </c>
      <c r="F330" s="32"/>
      <c r="G330" s="32"/>
      <c r="J330" s="32" t="str">
        <v>kanan</v>
      </c>
      <c r="K330" s="32"/>
      <c r="L330" s="32"/>
      <c r="O330" s="32" t="str">
        <v>tengah</v>
      </c>
      <c r="P330" s="32"/>
      <c r="Q330" s="32"/>
      <c r="T330" s="32" t="str">
        <v>kanan</v>
      </c>
      <c r="U330" s="32"/>
      <c r="V330" s="32"/>
    </row>
    <row r="331" spans="5:22">
      <c r="E331" s="32" t="str">
        <v>kiri</v>
      </c>
      <c r="F331" s="32"/>
      <c r="G331" s="32"/>
      <c r="J331" s="32" t="str">
        <v>kanan</v>
      </c>
      <c r="K331" s="32"/>
      <c r="L331" s="32"/>
      <c r="O331" s="32" t="str">
        <v>kiri</v>
      </c>
      <c r="P331" s="32"/>
      <c r="Q331" s="32"/>
      <c r="T331" s="32" t="str">
        <v>tengah</v>
      </c>
      <c r="U331" s="32"/>
      <c r="V331" s="32"/>
    </row>
    <row r="332" spans="5:22">
      <c r="E332" s="32" t="str">
        <v>kiri</v>
      </c>
      <c r="F332" s="32"/>
      <c r="G332" s="32"/>
      <c r="J332" s="32" t="str">
        <v>tengah</v>
      </c>
      <c r="K332" s="32"/>
      <c r="L332" s="32"/>
      <c r="O332" s="32" t="str">
        <v>tengah</v>
      </c>
      <c r="P332" s="32"/>
      <c r="Q332" s="32"/>
      <c r="T332" s="32" t="str">
        <v>tengah</v>
      </c>
      <c r="U332" s="32"/>
      <c r="V332" s="32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30E8-0D89-4079-BCFF-6B4F051F8AE4}">
  <dimension ref="A1:V332"/>
  <sheetViews>
    <sheetView topLeftCell="N193" zoomScale="98" zoomScaleNormal="98" workbookViewId="0">
      <selection activeCell="R171" sqref="R171"/>
    </sheetView>
  </sheetViews>
  <sheetFormatPr defaultColWidth="9" defaultRowHeight="15"/>
  <cols>
    <col min="2" max="2" width="15.85546875" customWidth="1"/>
    <col min="3" max="3" width="16.7109375" bestFit="1" customWidth="1"/>
    <col min="4" max="4" width="13.85546875" customWidth="1"/>
    <col min="6" max="6" width="14.42578125" bestFit="1" customWidth="1"/>
    <col min="8" max="8" width="14.28515625" customWidth="1"/>
    <col min="9" max="9" width="13.28515625" customWidth="1"/>
    <col min="10" max="10" width="13.85546875" customWidth="1"/>
    <col min="11" max="11" width="22" bestFit="1" customWidth="1"/>
    <col min="13" max="13" width="14.42578125" bestFit="1" customWidth="1"/>
    <col min="15" max="15" width="25.28515625" bestFit="1" customWidth="1"/>
    <col min="16" max="16" width="12.85546875" bestFit="1" customWidth="1"/>
    <col min="17" max="17" width="11.7109375" customWidth="1"/>
    <col min="20" max="20" width="14.42578125" bestFit="1" customWidth="1"/>
  </cols>
  <sheetData>
    <row r="1" spans="1:17">
      <c r="A1" s="30" t="s">
        <v>174</v>
      </c>
      <c r="B1" s="30" t="s">
        <v>1</v>
      </c>
      <c r="C1" s="30" t="s">
        <v>2</v>
      </c>
      <c r="D1" s="30" t="s">
        <v>173</v>
      </c>
      <c r="E1" s="30" t="s">
        <v>4</v>
      </c>
      <c r="F1" s="30" t="s">
        <v>5</v>
      </c>
      <c r="H1" s="61" t="s">
        <v>174</v>
      </c>
      <c r="I1" s="61" t="s">
        <v>1</v>
      </c>
      <c r="J1" s="61" t="s">
        <v>2</v>
      </c>
      <c r="K1" s="61" t="s">
        <v>173</v>
      </c>
      <c r="L1" s="61" t="s">
        <v>4</v>
      </c>
      <c r="M1" s="61" t="s">
        <v>5</v>
      </c>
      <c r="O1" s="30" t="s">
        <v>175</v>
      </c>
      <c r="P1" s="31"/>
      <c r="Q1" s="31"/>
    </row>
    <row r="2" spans="1:17">
      <c r="A2" s="32">
        <f ca="1">RANDBETWEEN(2,164)</f>
        <v>35</v>
      </c>
      <c r="B2" s="32" cm="1">
        <f t="array" aca="1" ref="B2" ca="1">INDEX(Data_DBD!$B:$B,$A2)</f>
        <v>40</v>
      </c>
      <c r="C2" s="32" cm="1">
        <f t="array" aca="1" ref="C2" ca="1">INDEX(Data_DBD!$C:$C,$A2)</f>
        <v>3</v>
      </c>
      <c r="D2" s="32" cm="1">
        <f t="array" aca="1" ref="D2" ca="1">INDEX(Data_DBD!$D:$D,$A2)</f>
        <v>4</v>
      </c>
      <c r="E2" s="32" cm="1">
        <f t="array" aca="1" ref="E2" ca="1">INDEX(Data_DBD!$E:$E,$A2)</f>
        <v>1</v>
      </c>
      <c r="F2" s="32" cm="1">
        <f t="array" aca="1" ref="F2" ca="1">INDEX(Data_DBD!$F:$F,$A2)</f>
        <v>1</v>
      </c>
      <c r="H2" s="32">
        <v>38</v>
      </c>
      <c r="I2" s="32">
        <v>52</v>
      </c>
      <c r="J2" s="32">
        <v>3</v>
      </c>
      <c r="K2" s="32">
        <v>4</v>
      </c>
      <c r="L2" s="32">
        <v>1</v>
      </c>
      <c r="M2" s="32">
        <v>1</v>
      </c>
      <c r="O2" s="54">
        <v>1</v>
      </c>
      <c r="P2" s="31">
        <f>COUNTIF(M2:M164,"1")</f>
        <v>12</v>
      </c>
      <c r="Q2" s="31">
        <f>P2/163</f>
        <v>7.3619631901840496E-2</v>
      </c>
    </row>
    <row r="3" spans="1:17">
      <c r="A3" s="32">
        <f t="shared" ref="A3:A66" ca="1" si="0">RANDBETWEEN(2,164)</f>
        <v>39</v>
      </c>
      <c r="B3" s="32" cm="1">
        <f t="array" aca="1" ref="B3" ca="1">INDEX(Data_DBD!$B:$B,$A3)</f>
        <v>12</v>
      </c>
      <c r="C3" s="32" cm="1">
        <f t="array" aca="1" ref="C3" ca="1">INDEX(Data_DBD!$C:$C,$A3)</f>
        <v>5</v>
      </c>
      <c r="D3" s="32" cm="1">
        <f t="array" aca="1" ref="D3" ca="1">INDEX(Data_DBD!$D:$D,$A3)</f>
        <v>13</v>
      </c>
      <c r="E3" s="32" cm="1">
        <f t="array" aca="1" ref="E3" ca="1">INDEX(Data_DBD!$E:$E,$A3)</f>
        <v>1</v>
      </c>
      <c r="F3" s="32" cm="1">
        <f t="array" aca="1" ref="F3" ca="1">INDEX(Data_DBD!$F:$F,$A3)</f>
        <v>2</v>
      </c>
      <c r="H3" s="32">
        <v>8</v>
      </c>
      <c r="I3" s="32">
        <v>4</v>
      </c>
      <c r="J3" s="32">
        <v>2</v>
      </c>
      <c r="K3" s="32">
        <v>12</v>
      </c>
      <c r="L3" s="32">
        <v>0</v>
      </c>
      <c r="M3" s="32">
        <v>2</v>
      </c>
      <c r="O3" s="31">
        <v>2</v>
      </c>
      <c r="P3" s="31">
        <f>COUNTIF(M2:M164,"2")</f>
        <v>73</v>
      </c>
      <c r="Q3" s="31">
        <f>P3/163</f>
        <v>0.44785276073619634</v>
      </c>
    </row>
    <row r="4" spans="1:17">
      <c r="A4" s="32">
        <f t="shared" ca="1" si="0"/>
        <v>60</v>
      </c>
      <c r="B4" s="32" cm="1">
        <f t="array" aca="1" ref="B4" ca="1">INDEX(Data_DBD!$B:$B,$A4)</f>
        <v>68</v>
      </c>
      <c r="C4" s="32" cm="1">
        <f t="array" aca="1" ref="C4" ca="1">INDEX(Data_DBD!$C:$C,$A4)</f>
        <v>4</v>
      </c>
      <c r="D4" s="32" cm="1">
        <f t="array" aca="1" ref="D4" ca="1">INDEX(Data_DBD!$D:$D,$A4)</f>
        <v>15</v>
      </c>
      <c r="E4" s="32" cm="1">
        <f t="array" aca="1" ref="E4" ca="1">INDEX(Data_DBD!$E:$E,$A4)</f>
        <v>0</v>
      </c>
      <c r="F4" s="32" cm="1">
        <f t="array" aca="1" ref="F4" ca="1">INDEX(Data_DBD!$F:$F,$A4)</f>
        <v>2</v>
      </c>
      <c r="H4" s="32">
        <v>66</v>
      </c>
      <c r="I4" s="32">
        <v>21</v>
      </c>
      <c r="J4" s="32">
        <v>5</v>
      </c>
      <c r="K4" s="32">
        <v>15</v>
      </c>
      <c r="L4" s="32">
        <v>1</v>
      </c>
      <c r="M4" s="32">
        <v>2</v>
      </c>
      <c r="O4" s="31">
        <v>3</v>
      </c>
      <c r="P4" s="31">
        <f>COUNTIF(M2:M164,"3")</f>
        <v>78</v>
      </c>
      <c r="Q4" s="31">
        <f>P4/163</f>
        <v>0.4785276073619632</v>
      </c>
    </row>
    <row r="5" spans="1:17">
      <c r="A5" s="32">
        <f t="shared" ca="1" si="0"/>
        <v>28</v>
      </c>
      <c r="B5" s="32" cm="1">
        <f t="array" aca="1" ref="B5" ca="1">INDEX(Data_DBD!$B:$B,$A5)</f>
        <v>22</v>
      </c>
      <c r="C5" s="32" cm="1">
        <f t="array" aca="1" ref="C5" ca="1">INDEX(Data_DBD!$C:$C,$A5)</f>
        <v>2</v>
      </c>
      <c r="D5" s="32" cm="1">
        <f t="array" aca="1" ref="D5" ca="1">INDEX(Data_DBD!$D:$D,$A5)</f>
        <v>14</v>
      </c>
      <c r="E5" s="32" cm="1">
        <f t="array" aca="1" ref="E5" ca="1">INDEX(Data_DBD!$E:$E,$A5)</f>
        <v>1</v>
      </c>
      <c r="F5" s="32" cm="1">
        <f t="array" aca="1" ref="F5" ca="1">INDEX(Data_DBD!$F:$F,$A5)</f>
        <v>2</v>
      </c>
      <c r="H5" s="32">
        <v>28</v>
      </c>
      <c r="I5" s="32">
        <v>22</v>
      </c>
      <c r="J5" s="32">
        <v>2</v>
      </c>
      <c r="K5" s="32">
        <v>14</v>
      </c>
      <c r="L5" s="32">
        <v>1</v>
      </c>
      <c r="M5" s="32">
        <v>2</v>
      </c>
      <c r="O5" s="34" t="s">
        <v>176</v>
      </c>
      <c r="P5">
        <f>-(IFERROR(Q2*LOG(Q2,2),0)+IFERROR(Q3*LOG(Q3,2),0)+IFERROR(Q4*LOG(Q4,2),0))</f>
        <v>1.3049360322792338</v>
      </c>
    </row>
    <row r="6" spans="1:17">
      <c r="A6" s="32">
        <f t="shared" ca="1" si="0"/>
        <v>19</v>
      </c>
      <c r="B6" s="32" cm="1">
        <f t="array" aca="1" ref="B6" ca="1">INDEX(Data_DBD!$B:$B,$A6)</f>
        <v>8</v>
      </c>
      <c r="C6" s="32" cm="1">
        <f t="array" aca="1" ref="C6" ca="1">INDEX(Data_DBD!$C:$C,$A6)</f>
        <v>4</v>
      </c>
      <c r="D6" s="32" cm="1">
        <f t="array" aca="1" ref="D6" ca="1">INDEX(Data_DBD!$D:$D,$A6)</f>
        <v>7</v>
      </c>
      <c r="E6" s="32" cm="1">
        <f t="array" aca="1" ref="E6" ca="1">INDEX(Data_DBD!$E:$E,$A6)</f>
        <v>0</v>
      </c>
      <c r="F6" s="32" cm="1">
        <f t="array" aca="1" ref="F6" ca="1">INDEX(Data_DBD!$F:$F,$A6)</f>
        <v>1</v>
      </c>
      <c r="H6" s="32">
        <v>26</v>
      </c>
      <c r="I6" s="32">
        <v>75</v>
      </c>
      <c r="J6" s="32">
        <v>4</v>
      </c>
      <c r="K6" s="32">
        <v>14</v>
      </c>
      <c r="L6" s="32">
        <v>1</v>
      </c>
      <c r="M6" s="32">
        <v>2</v>
      </c>
    </row>
    <row r="7" spans="1:17">
      <c r="A7" s="32">
        <f t="shared" ca="1" si="0"/>
        <v>16</v>
      </c>
      <c r="B7" s="32" cm="1">
        <f t="array" aca="1" ref="B7" ca="1">INDEX(Data_DBD!$B:$B,$A7)</f>
        <v>66</v>
      </c>
      <c r="C7" s="32" cm="1">
        <f t="array" aca="1" ref="C7" ca="1">INDEX(Data_DBD!$C:$C,$A7)</f>
        <v>5</v>
      </c>
      <c r="D7" s="32" cm="1">
        <f t="array" aca="1" ref="D7" ca="1">INDEX(Data_DBD!$D:$D,$A7)</f>
        <v>7</v>
      </c>
      <c r="E7" s="32" cm="1">
        <f t="array" aca="1" ref="E7" ca="1">INDEX(Data_DBD!$E:$E,$A7)</f>
        <v>1</v>
      </c>
      <c r="F7" s="32" cm="1">
        <f t="array" aca="1" ref="F7" ca="1">INDEX(Data_DBD!$F:$F,$A7)</f>
        <v>1</v>
      </c>
      <c r="H7" s="32">
        <v>21</v>
      </c>
      <c r="I7" s="32">
        <v>10</v>
      </c>
      <c r="J7" s="32">
        <v>5</v>
      </c>
      <c r="K7" s="32">
        <v>14</v>
      </c>
      <c r="L7" s="32">
        <v>1</v>
      </c>
      <c r="M7" s="32">
        <v>2</v>
      </c>
    </row>
    <row r="8" spans="1:17">
      <c r="A8" s="32">
        <f t="shared" ca="1" si="0"/>
        <v>64</v>
      </c>
      <c r="B8" s="32" cm="1">
        <f t="array" aca="1" ref="B8" ca="1">INDEX(Data_DBD!$B:$B,$A8)</f>
        <v>35</v>
      </c>
      <c r="C8" s="32" cm="1">
        <f t="array" aca="1" ref="C8" ca="1">INDEX(Data_DBD!$C:$C,$A8)</f>
        <v>1</v>
      </c>
      <c r="D8" s="32" cm="1">
        <f t="array" aca="1" ref="D8" ca="1">INDEX(Data_DBD!$D:$D,$A8)</f>
        <v>15</v>
      </c>
      <c r="E8" s="32" cm="1">
        <f t="array" aca="1" ref="E8" ca="1">INDEX(Data_DBD!$E:$E,$A8)</f>
        <v>0</v>
      </c>
      <c r="F8" s="32" cm="1">
        <f t="array" aca="1" ref="F8" ca="1">INDEX(Data_DBD!$F:$F,$A8)</f>
        <v>2</v>
      </c>
      <c r="H8" s="32">
        <v>47</v>
      </c>
      <c r="I8" s="32">
        <v>19</v>
      </c>
      <c r="J8" s="32">
        <v>2</v>
      </c>
      <c r="K8" s="32">
        <v>13</v>
      </c>
      <c r="L8" s="32">
        <v>0</v>
      </c>
      <c r="M8" s="32">
        <v>2</v>
      </c>
    </row>
    <row r="9" spans="1:17">
      <c r="A9" s="32">
        <f t="shared" ca="1" si="0"/>
        <v>4</v>
      </c>
      <c r="B9" s="32" cm="1">
        <f t="array" aca="1" ref="B9" ca="1">INDEX(Data_DBD!$B:$B,$A9)</f>
        <v>23</v>
      </c>
      <c r="C9" s="32" cm="1">
        <f t="array" aca="1" ref="C9" ca="1">INDEX(Data_DBD!$C:$C,$A9)</f>
        <v>5</v>
      </c>
      <c r="D9" s="32" cm="1">
        <f t="array" aca="1" ref="D9" ca="1">INDEX(Data_DBD!$D:$D,$A9)</f>
        <v>12</v>
      </c>
      <c r="E9" s="32" cm="1">
        <f t="array" aca="1" ref="E9" ca="1">INDEX(Data_DBD!$E:$E,$A9)</f>
        <v>0</v>
      </c>
      <c r="F9" s="32" cm="1">
        <f t="array" aca="1" ref="F9" ca="1">INDEX(Data_DBD!$F:$F,$A9)</f>
        <v>2</v>
      </c>
      <c r="H9" s="32">
        <v>115</v>
      </c>
      <c r="I9" s="32">
        <v>52</v>
      </c>
      <c r="J9" s="32">
        <v>3</v>
      </c>
      <c r="K9" s="32">
        <v>33</v>
      </c>
      <c r="L9" s="32">
        <v>1</v>
      </c>
      <c r="M9" s="32">
        <v>3</v>
      </c>
    </row>
    <row r="10" spans="1:17">
      <c r="A10" s="32">
        <f t="shared" ca="1" si="0"/>
        <v>20</v>
      </c>
      <c r="B10" s="32" cm="1">
        <f t="array" aca="1" ref="B10" ca="1">INDEX(Data_DBD!$B:$B,$A10)</f>
        <v>15</v>
      </c>
      <c r="C10" s="32" cm="1">
        <f t="array" aca="1" ref="C10" ca="1">INDEX(Data_DBD!$C:$C,$A10)</f>
        <v>5</v>
      </c>
      <c r="D10" s="32" cm="1">
        <f t="array" aca="1" ref="D10" ca="1">INDEX(Data_DBD!$D:$D,$A10)</f>
        <v>7</v>
      </c>
      <c r="E10" s="32" cm="1">
        <f t="array" aca="1" ref="E10" ca="1">INDEX(Data_DBD!$E:$E,$A10)</f>
        <v>0</v>
      </c>
      <c r="F10" s="32" cm="1">
        <f t="array" aca="1" ref="F10" ca="1">INDEX(Data_DBD!$F:$F,$A10)</f>
        <v>1</v>
      </c>
      <c r="H10" s="32">
        <v>29</v>
      </c>
      <c r="I10" s="32">
        <v>19</v>
      </c>
      <c r="J10" s="32">
        <v>2</v>
      </c>
      <c r="K10" s="32">
        <v>14</v>
      </c>
      <c r="L10" s="32">
        <v>1</v>
      </c>
      <c r="M10" s="32">
        <v>2</v>
      </c>
    </row>
    <row r="11" spans="1:17">
      <c r="A11" s="32">
        <f t="shared" ca="1" si="0"/>
        <v>33</v>
      </c>
      <c r="B11" s="32" cm="1">
        <f t="array" aca="1" ref="B11" ca="1">INDEX(Data_DBD!$B:$B,$A11)</f>
        <v>19</v>
      </c>
      <c r="C11" s="32" cm="1">
        <f t="array" aca="1" ref="C11" ca="1">INDEX(Data_DBD!$C:$C,$A11)</f>
        <v>4</v>
      </c>
      <c r="D11" s="32" cm="1">
        <f t="array" aca="1" ref="D11" ca="1">INDEX(Data_DBD!$D:$D,$A11)</f>
        <v>14</v>
      </c>
      <c r="E11" s="32" cm="1">
        <f t="array" aca="1" ref="E11" ca="1">INDEX(Data_DBD!$E:$E,$A11)</f>
        <v>1</v>
      </c>
      <c r="F11" s="32" cm="1">
        <f t="array" aca="1" ref="F11" ca="1">INDEX(Data_DBD!$F:$F,$A11)</f>
        <v>2</v>
      </c>
      <c r="H11" s="32">
        <v>61</v>
      </c>
      <c r="I11" s="32">
        <v>29</v>
      </c>
      <c r="J11" s="32">
        <v>3</v>
      </c>
      <c r="K11" s="32">
        <v>15</v>
      </c>
      <c r="L11" s="32">
        <v>1</v>
      </c>
      <c r="M11" s="32">
        <v>2</v>
      </c>
    </row>
    <row r="12" spans="1:17">
      <c r="A12" s="32">
        <f t="shared" ca="1" si="0"/>
        <v>88</v>
      </c>
      <c r="B12" s="32" cm="1">
        <f t="array" aca="1" ref="B12" ca="1">INDEX(Data_DBD!$B:$B,$A12)</f>
        <v>20</v>
      </c>
      <c r="C12" s="32" cm="1">
        <f t="array" aca="1" ref="C12" ca="1">INDEX(Data_DBD!$C:$C,$A12)</f>
        <v>4</v>
      </c>
      <c r="D12" s="32" cm="1">
        <f t="array" aca="1" ref="D12" ca="1">INDEX(Data_DBD!$D:$D,$A12)</f>
        <v>13</v>
      </c>
      <c r="E12" s="32" cm="1">
        <f t="array" aca="1" ref="E12" ca="1">INDEX(Data_DBD!$E:$E,$A12)</f>
        <v>1</v>
      </c>
      <c r="F12" s="32" cm="1">
        <f t="array" aca="1" ref="F12" ca="1">INDEX(Data_DBD!$F:$F,$A12)</f>
        <v>2</v>
      </c>
      <c r="H12" s="32">
        <v>35</v>
      </c>
      <c r="I12" s="32">
        <v>40</v>
      </c>
      <c r="J12" s="32">
        <v>3</v>
      </c>
      <c r="K12" s="32">
        <v>4</v>
      </c>
      <c r="L12" s="32">
        <v>1</v>
      </c>
      <c r="M12" s="32">
        <v>1</v>
      </c>
    </row>
    <row r="13" spans="1:17">
      <c r="A13" s="32">
        <f t="shared" ca="1" si="0"/>
        <v>34</v>
      </c>
      <c r="B13" s="32" cm="1">
        <f t="array" aca="1" ref="B13" ca="1">INDEX(Data_DBD!$B:$B,$A13)</f>
        <v>55</v>
      </c>
      <c r="C13" s="32" cm="1">
        <f t="array" aca="1" ref="C13" ca="1">INDEX(Data_DBD!$C:$C,$A13)</f>
        <v>3</v>
      </c>
      <c r="D13" s="32" cm="1">
        <f t="array" aca="1" ref="D13" ca="1">INDEX(Data_DBD!$D:$D,$A13)</f>
        <v>14</v>
      </c>
      <c r="E13" s="32" cm="1">
        <f t="array" aca="1" ref="E13" ca="1">INDEX(Data_DBD!$E:$E,$A13)</f>
        <v>0</v>
      </c>
      <c r="F13" s="32" cm="1">
        <f t="array" aca="1" ref="F13" ca="1">INDEX(Data_DBD!$F:$F,$A13)</f>
        <v>2</v>
      </c>
      <c r="H13" s="32">
        <v>52</v>
      </c>
      <c r="I13" s="32">
        <v>59</v>
      </c>
      <c r="J13" s="32">
        <v>4</v>
      </c>
      <c r="K13" s="32">
        <v>15</v>
      </c>
      <c r="L13" s="32">
        <v>1</v>
      </c>
      <c r="M13" s="32">
        <v>2</v>
      </c>
    </row>
    <row r="14" spans="1:17">
      <c r="A14" s="32">
        <f t="shared" ca="1" si="0"/>
        <v>100</v>
      </c>
      <c r="B14" s="32" cm="1">
        <f t="array" aca="1" ref="B14" ca="1">INDEX(Data_DBD!$B:$B,$A14)</f>
        <v>19</v>
      </c>
      <c r="C14" s="32" cm="1">
        <f t="array" aca="1" ref="C14" ca="1">INDEX(Data_DBD!$C:$C,$A14)</f>
        <v>6</v>
      </c>
      <c r="D14" s="32" cm="1">
        <f t="array" aca="1" ref="D14" ca="1">INDEX(Data_DBD!$D:$D,$A14)</f>
        <v>18</v>
      </c>
      <c r="E14" s="32" cm="1">
        <f t="array" aca="1" ref="E14" ca="1">INDEX(Data_DBD!$E:$E,$A14)</f>
        <v>0</v>
      </c>
      <c r="F14" s="32" cm="1">
        <f t="array" aca="1" ref="F14" ca="1">INDEX(Data_DBD!$F:$F,$A14)</f>
        <v>3</v>
      </c>
      <c r="H14" s="32">
        <v>94</v>
      </c>
      <c r="I14" s="32">
        <v>12</v>
      </c>
      <c r="J14" s="32">
        <v>4</v>
      </c>
      <c r="K14" s="32">
        <v>18</v>
      </c>
      <c r="L14" s="32">
        <v>0</v>
      </c>
      <c r="M14" s="32">
        <v>3</v>
      </c>
    </row>
    <row r="15" spans="1:17">
      <c r="A15" s="32">
        <f t="shared" ca="1" si="0"/>
        <v>164</v>
      </c>
      <c r="B15" s="32" cm="1">
        <f t="array" aca="1" ref="B15" ca="1">INDEX(Data_DBD!$B:$B,$A15)</f>
        <v>10</v>
      </c>
      <c r="C15" s="32" cm="1">
        <f t="array" aca="1" ref="C15" ca="1">INDEX(Data_DBD!$C:$C,$A15)</f>
        <v>6</v>
      </c>
      <c r="D15" s="32" cm="1">
        <f t="array" aca="1" ref="D15" ca="1">INDEX(Data_DBD!$D:$D,$A15)</f>
        <v>3</v>
      </c>
      <c r="E15" s="32" cm="1">
        <f t="array" aca="1" ref="E15" ca="1">INDEX(Data_DBD!$E:$E,$A15)</f>
        <v>0</v>
      </c>
      <c r="F15" s="32" cm="1">
        <f t="array" aca="1" ref="F15" ca="1">INDEX(Data_DBD!$F:$F,$A15)</f>
        <v>1</v>
      </c>
      <c r="H15" s="32">
        <v>73</v>
      </c>
      <c r="I15" s="32">
        <v>15</v>
      </c>
      <c r="J15" s="32">
        <v>3</v>
      </c>
      <c r="K15" s="32">
        <v>10</v>
      </c>
      <c r="L15" s="32">
        <v>1</v>
      </c>
      <c r="M15" s="32">
        <v>2</v>
      </c>
    </row>
    <row r="16" spans="1:17">
      <c r="A16" s="32">
        <f t="shared" ca="1" si="0"/>
        <v>157</v>
      </c>
      <c r="B16" s="32" cm="1">
        <f t="array" aca="1" ref="B16" ca="1">INDEX(Data_DBD!$B:$B,$A16)</f>
        <v>15</v>
      </c>
      <c r="C16" s="32" cm="1">
        <f t="array" aca="1" ref="C16" ca="1">INDEX(Data_DBD!$C:$C,$A16)</f>
        <v>4</v>
      </c>
      <c r="D16" s="32" cm="1">
        <f t="array" aca="1" ref="D16" ca="1">INDEX(Data_DBD!$D:$D,$A16)</f>
        <v>21</v>
      </c>
      <c r="E16" s="32" cm="1">
        <f t="array" aca="1" ref="E16" ca="1">INDEX(Data_DBD!$E:$E,$A16)</f>
        <v>1</v>
      </c>
      <c r="F16" s="32" cm="1">
        <f t="array" aca="1" ref="F16" ca="1">INDEX(Data_DBD!$F:$F,$A16)</f>
        <v>3</v>
      </c>
      <c r="H16" s="32">
        <v>143</v>
      </c>
      <c r="I16" s="32">
        <v>20</v>
      </c>
      <c r="J16" s="32">
        <v>4</v>
      </c>
      <c r="K16" s="32">
        <v>21</v>
      </c>
      <c r="L16" s="32">
        <v>1</v>
      </c>
      <c r="M16" s="32">
        <v>3</v>
      </c>
    </row>
    <row r="17" spans="1:13">
      <c r="A17" s="32">
        <f t="shared" ca="1" si="0"/>
        <v>11</v>
      </c>
      <c r="B17" s="32" cm="1">
        <f t="array" aca="1" ref="B17" ca="1">INDEX(Data_DBD!$B:$B,$A17)</f>
        <v>24</v>
      </c>
      <c r="C17" s="32" cm="1">
        <f t="array" aca="1" ref="C17" ca="1">INDEX(Data_DBD!$C:$C,$A17)</f>
        <v>5</v>
      </c>
      <c r="D17" s="32" cm="1">
        <f t="array" aca="1" ref="D17" ca="1">INDEX(Data_DBD!$D:$D,$A17)</f>
        <v>12</v>
      </c>
      <c r="E17" s="32" cm="1">
        <f t="array" aca="1" ref="E17" ca="1">INDEX(Data_DBD!$E:$E,$A17)</f>
        <v>1</v>
      </c>
      <c r="F17" s="32" cm="1">
        <f t="array" aca="1" ref="F17" ca="1">INDEX(Data_DBD!$F:$F,$A17)</f>
        <v>2</v>
      </c>
      <c r="H17" s="32">
        <v>100</v>
      </c>
      <c r="I17" s="32">
        <v>19</v>
      </c>
      <c r="J17" s="32">
        <v>6</v>
      </c>
      <c r="K17" s="32">
        <v>18</v>
      </c>
      <c r="L17" s="32">
        <v>0</v>
      </c>
      <c r="M17" s="32">
        <v>3</v>
      </c>
    </row>
    <row r="18" spans="1:13">
      <c r="A18" s="32">
        <f t="shared" ca="1" si="0"/>
        <v>163</v>
      </c>
      <c r="B18" s="32" cm="1">
        <f t="array" aca="1" ref="B18" ca="1">INDEX(Data_DBD!$B:$B,$A18)</f>
        <v>34</v>
      </c>
      <c r="C18" s="32" cm="1">
        <f t="array" aca="1" ref="C18" ca="1">INDEX(Data_DBD!$C:$C,$A18)</f>
        <v>4</v>
      </c>
      <c r="D18" s="32" cm="1">
        <f t="array" aca="1" ref="D18" ca="1">INDEX(Data_DBD!$D:$D,$A18)</f>
        <v>3</v>
      </c>
      <c r="E18" s="32" cm="1">
        <f t="array" aca="1" ref="E18" ca="1">INDEX(Data_DBD!$E:$E,$A18)</f>
        <v>1</v>
      </c>
      <c r="F18" s="32" cm="1">
        <f t="array" aca="1" ref="F18" ca="1">INDEX(Data_DBD!$F:$F,$A18)</f>
        <v>1</v>
      </c>
      <c r="H18" s="32">
        <v>103</v>
      </c>
      <c r="I18" s="32">
        <v>22</v>
      </c>
      <c r="J18" s="32">
        <v>5</v>
      </c>
      <c r="K18" s="32">
        <v>18</v>
      </c>
      <c r="L18" s="32">
        <v>0</v>
      </c>
      <c r="M18" s="32">
        <v>3</v>
      </c>
    </row>
    <row r="19" spans="1:13">
      <c r="A19" s="32">
        <f t="shared" ca="1" si="0"/>
        <v>13</v>
      </c>
      <c r="B19" s="32" cm="1">
        <f t="array" aca="1" ref="B19" ca="1">INDEX(Data_DBD!$B:$B,$A19)</f>
        <v>47</v>
      </c>
      <c r="C19" s="32" cm="1">
        <f t="array" aca="1" ref="C19" ca="1">INDEX(Data_DBD!$C:$C,$A19)</f>
        <v>2</v>
      </c>
      <c r="D19" s="32" cm="1">
        <f t="array" aca="1" ref="D19" ca="1">INDEX(Data_DBD!$D:$D,$A19)</f>
        <v>12</v>
      </c>
      <c r="E19" s="32" cm="1">
        <f t="array" aca="1" ref="E19" ca="1">INDEX(Data_DBD!$E:$E,$A19)</f>
        <v>0</v>
      </c>
      <c r="F19" s="32" cm="1">
        <f t="array" aca="1" ref="F19" ca="1">INDEX(Data_DBD!$F:$F,$A19)</f>
        <v>2</v>
      </c>
      <c r="H19" s="32">
        <v>156</v>
      </c>
      <c r="I19" s="32">
        <v>5</v>
      </c>
      <c r="J19" s="32">
        <v>2</v>
      </c>
      <c r="K19" s="32">
        <v>21</v>
      </c>
      <c r="L19" s="32">
        <v>0</v>
      </c>
      <c r="M19" s="32">
        <v>3</v>
      </c>
    </row>
    <row r="20" spans="1:13">
      <c r="A20" s="32">
        <f t="shared" ca="1" si="0"/>
        <v>53</v>
      </c>
      <c r="B20" s="32" cm="1">
        <f t="array" aca="1" ref="B20" ca="1">INDEX(Data_DBD!$B:$B,$A20)</f>
        <v>35</v>
      </c>
      <c r="C20" s="32" cm="1">
        <f t="array" aca="1" ref="C20" ca="1">INDEX(Data_DBD!$C:$C,$A20)</f>
        <v>4</v>
      </c>
      <c r="D20" s="32" cm="1">
        <f t="array" aca="1" ref="D20" ca="1">INDEX(Data_DBD!$D:$D,$A20)</f>
        <v>15</v>
      </c>
      <c r="E20" s="32" cm="1">
        <f t="array" aca="1" ref="E20" ca="1">INDEX(Data_DBD!$E:$E,$A20)</f>
        <v>1</v>
      </c>
      <c r="F20" s="32" cm="1">
        <f t="array" aca="1" ref="F20" ca="1">INDEX(Data_DBD!$F:$F,$A20)</f>
        <v>2</v>
      </c>
      <c r="H20" s="32">
        <v>75</v>
      </c>
      <c r="I20" s="32">
        <v>2</v>
      </c>
      <c r="J20" s="32">
        <v>2</v>
      </c>
      <c r="K20" s="32">
        <v>10</v>
      </c>
      <c r="L20" s="32">
        <v>1</v>
      </c>
      <c r="M20" s="32">
        <v>2</v>
      </c>
    </row>
    <row r="21" spans="1:13">
      <c r="A21" s="32">
        <f t="shared" ca="1" si="0"/>
        <v>114</v>
      </c>
      <c r="B21" s="32" cm="1">
        <f t="array" aca="1" ref="B21" ca="1">INDEX(Data_DBD!$B:$B,$A21)</f>
        <v>14</v>
      </c>
      <c r="C21" s="32" cm="1">
        <f t="array" aca="1" ref="C21" ca="1">INDEX(Data_DBD!$C:$C,$A21)</f>
        <v>2</v>
      </c>
      <c r="D21" s="32" cm="1">
        <f t="array" aca="1" ref="D21" ca="1">INDEX(Data_DBD!$D:$D,$A21)</f>
        <v>33</v>
      </c>
      <c r="E21" s="32" cm="1">
        <f t="array" aca="1" ref="E21" ca="1">INDEX(Data_DBD!$E:$E,$A21)</f>
        <v>1</v>
      </c>
      <c r="F21" s="32" cm="1">
        <f t="array" aca="1" ref="F21" ca="1">INDEX(Data_DBD!$F:$F,$A21)</f>
        <v>3</v>
      </c>
      <c r="H21" s="32">
        <v>79</v>
      </c>
      <c r="I21" s="32">
        <v>29</v>
      </c>
      <c r="J21" s="32">
        <v>3</v>
      </c>
      <c r="K21" s="32">
        <v>13</v>
      </c>
      <c r="L21" s="32">
        <v>0</v>
      </c>
      <c r="M21" s="32">
        <v>2</v>
      </c>
    </row>
    <row r="22" spans="1:13">
      <c r="A22" s="32">
        <f t="shared" ca="1" si="0"/>
        <v>50</v>
      </c>
      <c r="B22" s="32" cm="1">
        <f t="array" aca="1" ref="B22" ca="1">INDEX(Data_DBD!$B:$B,$A22)</f>
        <v>19</v>
      </c>
      <c r="C22" s="32" cm="1">
        <f t="array" aca="1" ref="C22" ca="1">INDEX(Data_DBD!$C:$C,$A22)</f>
        <v>5</v>
      </c>
      <c r="D22" s="32" cm="1">
        <f t="array" aca="1" ref="D22" ca="1">INDEX(Data_DBD!$D:$D,$A22)</f>
        <v>13</v>
      </c>
      <c r="E22" s="32" cm="1">
        <f t="array" aca="1" ref="E22" ca="1">INDEX(Data_DBD!$E:$E,$A22)</f>
        <v>0</v>
      </c>
      <c r="F22" s="32" cm="1">
        <f t="array" aca="1" ref="F22" ca="1">INDEX(Data_DBD!$F:$F,$A22)</f>
        <v>2</v>
      </c>
      <c r="H22" s="32">
        <v>159</v>
      </c>
      <c r="I22" s="32">
        <v>17</v>
      </c>
      <c r="J22" s="32">
        <v>2</v>
      </c>
      <c r="K22" s="32">
        <v>21</v>
      </c>
      <c r="L22" s="32">
        <v>0</v>
      </c>
      <c r="M22" s="32">
        <v>3</v>
      </c>
    </row>
    <row r="23" spans="1:13">
      <c r="A23" s="32">
        <f t="shared" ca="1" si="0"/>
        <v>136</v>
      </c>
      <c r="B23" s="32" cm="1">
        <f t="array" aca="1" ref="B23" ca="1">INDEX(Data_DBD!$B:$B,$A23)</f>
        <v>6</v>
      </c>
      <c r="C23" s="32" cm="1">
        <f t="array" aca="1" ref="C23" ca="1">INDEX(Data_DBD!$C:$C,$A23)</f>
        <v>2</v>
      </c>
      <c r="D23" s="32" cm="1">
        <f t="array" aca="1" ref="D23" ca="1">INDEX(Data_DBD!$D:$D,$A23)</f>
        <v>33</v>
      </c>
      <c r="E23" s="32" cm="1">
        <f t="array" aca="1" ref="E23" ca="1">INDEX(Data_DBD!$E:$E,$A23)</f>
        <v>0</v>
      </c>
      <c r="F23" s="32" cm="1">
        <f t="array" aca="1" ref="F23" ca="1">INDEX(Data_DBD!$F:$F,$A23)</f>
        <v>3</v>
      </c>
      <c r="H23" s="32">
        <v>42</v>
      </c>
      <c r="I23" s="32">
        <v>21</v>
      </c>
      <c r="J23" s="32">
        <v>5</v>
      </c>
      <c r="K23" s="32">
        <v>13</v>
      </c>
      <c r="L23" s="32">
        <v>1</v>
      </c>
      <c r="M23" s="32">
        <v>2</v>
      </c>
    </row>
    <row r="24" spans="1:13">
      <c r="A24" s="32">
        <f t="shared" ca="1" si="0"/>
        <v>74</v>
      </c>
      <c r="B24" s="32" cm="1">
        <f t="array" aca="1" ref="B24" ca="1">INDEX(Data_DBD!$B:$B,$A24)</f>
        <v>9</v>
      </c>
      <c r="C24" s="32" cm="1">
        <f t="array" aca="1" ref="C24" ca="1">INDEX(Data_DBD!$C:$C,$A24)</f>
        <v>4</v>
      </c>
      <c r="D24" s="32" cm="1">
        <f t="array" aca="1" ref="D24" ca="1">INDEX(Data_DBD!$D:$D,$A24)</f>
        <v>10</v>
      </c>
      <c r="E24" s="32" cm="1">
        <f t="array" aca="1" ref="E24" ca="1">INDEX(Data_DBD!$E:$E,$A24)</f>
        <v>0</v>
      </c>
      <c r="F24" s="32" cm="1">
        <f t="array" aca="1" ref="F24" ca="1">INDEX(Data_DBD!$F:$F,$A24)</f>
        <v>2</v>
      </c>
      <c r="H24" s="32">
        <v>139</v>
      </c>
      <c r="I24" s="32">
        <v>52</v>
      </c>
      <c r="J24" s="32">
        <v>7</v>
      </c>
      <c r="K24" s="32">
        <v>21</v>
      </c>
      <c r="L24" s="32">
        <v>0</v>
      </c>
      <c r="M24" s="32">
        <v>3</v>
      </c>
    </row>
    <row r="25" spans="1:13">
      <c r="A25" s="32">
        <f t="shared" ca="1" si="0"/>
        <v>35</v>
      </c>
      <c r="B25" s="32" cm="1">
        <f t="array" aca="1" ref="B25" ca="1">INDEX(Data_DBD!$B:$B,$A25)</f>
        <v>40</v>
      </c>
      <c r="C25" s="32" cm="1">
        <f t="array" aca="1" ref="C25" ca="1">INDEX(Data_DBD!$C:$C,$A25)</f>
        <v>3</v>
      </c>
      <c r="D25" s="32" cm="1">
        <f t="array" aca="1" ref="D25" ca="1">INDEX(Data_DBD!$D:$D,$A25)</f>
        <v>4</v>
      </c>
      <c r="E25" s="32" cm="1">
        <f t="array" aca="1" ref="E25" ca="1">INDEX(Data_DBD!$E:$E,$A25)</f>
        <v>1</v>
      </c>
      <c r="F25" s="32" cm="1">
        <f t="array" aca="1" ref="F25" ca="1">INDEX(Data_DBD!$F:$F,$A25)</f>
        <v>1</v>
      </c>
      <c r="H25" s="32">
        <v>99</v>
      </c>
      <c r="I25" s="32">
        <v>4</v>
      </c>
      <c r="J25" s="32">
        <v>2</v>
      </c>
      <c r="K25" s="32">
        <v>18</v>
      </c>
      <c r="L25" s="32">
        <v>1</v>
      </c>
      <c r="M25" s="32">
        <v>3</v>
      </c>
    </row>
    <row r="26" spans="1:13">
      <c r="A26" s="32">
        <f t="shared" ca="1" si="0"/>
        <v>32</v>
      </c>
      <c r="B26" s="32" cm="1">
        <f t="array" aca="1" ref="B26" ca="1">INDEX(Data_DBD!$B:$B,$A26)</f>
        <v>54</v>
      </c>
      <c r="C26" s="32" cm="1">
        <f t="array" aca="1" ref="C26" ca="1">INDEX(Data_DBD!$C:$C,$A26)</f>
        <v>4</v>
      </c>
      <c r="D26" s="32" cm="1">
        <f t="array" aca="1" ref="D26" ca="1">INDEX(Data_DBD!$D:$D,$A26)</f>
        <v>14</v>
      </c>
      <c r="E26" s="32" cm="1">
        <f t="array" aca="1" ref="E26" ca="1">INDEX(Data_DBD!$E:$E,$A26)</f>
        <v>0</v>
      </c>
      <c r="F26" s="32" cm="1">
        <f t="array" aca="1" ref="F26" ca="1">INDEX(Data_DBD!$F:$F,$A26)</f>
        <v>2</v>
      </c>
      <c r="H26" s="32">
        <v>93</v>
      </c>
      <c r="I26" s="32">
        <v>65</v>
      </c>
      <c r="J26" s="32">
        <v>4</v>
      </c>
      <c r="K26" s="32">
        <v>18</v>
      </c>
      <c r="L26" s="32">
        <v>0</v>
      </c>
      <c r="M26" s="32">
        <v>3</v>
      </c>
    </row>
    <row r="27" spans="1:13">
      <c r="A27" s="32">
        <f t="shared" ca="1" si="0"/>
        <v>62</v>
      </c>
      <c r="B27" s="32" cm="1">
        <f t="array" aca="1" ref="B27" ca="1">INDEX(Data_DBD!$B:$B,$A27)</f>
        <v>43</v>
      </c>
      <c r="C27" s="32" cm="1">
        <f t="array" aca="1" ref="C27" ca="1">INDEX(Data_DBD!$C:$C,$A27)</f>
        <v>4</v>
      </c>
      <c r="D27" s="32" cm="1">
        <f t="array" aca="1" ref="D27" ca="1">INDEX(Data_DBD!$D:$D,$A27)</f>
        <v>15</v>
      </c>
      <c r="E27" s="32" cm="1">
        <f t="array" aca="1" ref="E27" ca="1">INDEX(Data_DBD!$E:$E,$A27)</f>
        <v>1</v>
      </c>
      <c r="F27" s="32" cm="1">
        <f t="array" aca="1" ref="F27" ca="1">INDEX(Data_DBD!$F:$F,$A27)</f>
        <v>2</v>
      </c>
      <c r="H27" s="32">
        <v>83</v>
      </c>
      <c r="I27" s="32">
        <v>50</v>
      </c>
      <c r="J27" s="32">
        <v>3</v>
      </c>
      <c r="K27" s="32">
        <v>13</v>
      </c>
      <c r="L27" s="32">
        <v>0</v>
      </c>
      <c r="M27" s="32">
        <v>2</v>
      </c>
    </row>
    <row r="28" spans="1:13">
      <c r="A28" s="32">
        <f t="shared" ca="1" si="0"/>
        <v>129</v>
      </c>
      <c r="B28" s="32" cm="1">
        <f t="array" aca="1" ref="B28" ca="1">INDEX(Data_DBD!$B:$B,$A28)</f>
        <v>4.5</v>
      </c>
      <c r="C28" s="32" cm="1">
        <f t="array" aca="1" ref="C28" ca="1">INDEX(Data_DBD!$C:$C,$A28)</f>
        <v>3</v>
      </c>
      <c r="D28" s="32" cm="1">
        <f t="array" aca="1" ref="D28" ca="1">INDEX(Data_DBD!$D:$D,$A28)</f>
        <v>33</v>
      </c>
      <c r="E28" s="32" cm="1">
        <f t="array" aca="1" ref="E28" ca="1">INDEX(Data_DBD!$E:$E,$A28)</f>
        <v>0</v>
      </c>
      <c r="F28" s="32" cm="1">
        <f t="array" aca="1" ref="F28" ca="1">INDEX(Data_DBD!$F:$F,$A28)</f>
        <v>3</v>
      </c>
      <c r="H28" s="32">
        <v>130</v>
      </c>
      <c r="I28" s="32">
        <v>12</v>
      </c>
      <c r="J28" s="32">
        <v>4</v>
      </c>
      <c r="K28" s="32">
        <v>33</v>
      </c>
      <c r="L28" s="32">
        <v>0</v>
      </c>
      <c r="M28" s="32">
        <v>3</v>
      </c>
    </row>
    <row r="29" spans="1:13">
      <c r="A29" s="32">
        <f t="shared" ca="1" si="0"/>
        <v>75</v>
      </c>
      <c r="B29" s="32" cm="1">
        <f t="array" aca="1" ref="B29" ca="1">INDEX(Data_DBD!$B:$B,$A29)</f>
        <v>2</v>
      </c>
      <c r="C29" s="32" cm="1">
        <f t="array" aca="1" ref="C29" ca="1">INDEX(Data_DBD!$C:$C,$A29)</f>
        <v>2</v>
      </c>
      <c r="D29" s="32" cm="1">
        <f t="array" aca="1" ref="D29" ca="1">INDEX(Data_DBD!$D:$D,$A29)</f>
        <v>10</v>
      </c>
      <c r="E29" s="32" cm="1">
        <f t="array" aca="1" ref="E29" ca="1">INDEX(Data_DBD!$E:$E,$A29)</f>
        <v>1</v>
      </c>
      <c r="F29" s="32" cm="1">
        <f t="array" aca="1" ref="F29" ca="1">INDEX(Data_DBD!$F:$F,$A29)</f>
        <v>2</v>
      </c>
      <c r="H29" s="32">
        <v>111</v>
      </c>
      <c r="I29" s="32">
        <v>25</v>
      </c>
      <c r="J29" s="32">
        <v>4</v>
      </c>
      <c r="K29" s="32">
        <v>33</v>
      </c>
      <c r="L29" s="32">
        <v>0</v>
      </c>
      <c r="M29" s="32">
        <v>3</v>
      </c>
    </row>
    <row r="30" spans="1:13">
      <c r="A30" s="32">
        <f t="shared" ca="1" si="0"/>
        <v>148</v>
      </c>
      <c r="B30" s="32" cm="1">
        <f t="array" aca="1" ref="B30" ca="1">INDEX(Data_DBD!$B:$B,$A30)</f>
        <v>55</v>
      </c>
      <c r="C30" s="32" cm="1">
        <f t="array" aca="1" ref="C30" ca="1">INDEX(Data_DBD!$C:$C,$A30)</f>
        <v>3</v>
      </c>
      <c r="D30" s="32" cm="1">
        <f t="array" aca="1" ref="D30" ca="1">INDEX(Data_DBD!$D:$D,$A30)</f>
        <v>21</v>
      </c>
      <c r="E30" s="32" cm="1">
        <f t="array" aca="1" ref="E30" ca="1">INDEX(Data_DBD!$E:$E,$A30)</f>
        <v>1</v>
      </c>
      <c r="F30" s="32" cm="1">
        <f t="array" aca="1" ref="F30" ca="1">INDEX(Data_DBD!$F:$F,$A30)</f>
        <v>3</v>
      </c>
      <c r="H30" s="32">
        <v>15</v>
      </c>
      <c r="I30" s="32">
        <v>21</v>
      </c>
      <c r="J30" s="32">
        <v>2</v>
      </c>
      <c r="K30" s="32">
        <v>7</v>
      </c>
      <c r="L30" s="32">
        <v>0</v>
      </c>
      <c r="M30" s="32">
        <v>1</v>
      </c>
    </row>
    <row r="31" spans="1:13">
      <c r="A31" s="32">
        <f t="shared" ca="1" si="0"/>
        <v>90</v>
      </c>
      <c r="B31" s="32" cm="1">
        <f t="array" aca="1" ref="B31" ca="1">INDEX(Data_DBD!$B:$B,$A31)</f>
        <v>47</v>
      </c>
      <c r="C31" s="32" cm="1">
        <f t="array" aca="1" ref="C31" ca="1">INDEX(Data_DBD!$C:$C,$A31)</f>
        <v>3</v>
      </c>
      <c r="D31" s="32" cm="1">
        <f t="array" aca="1" ref="D31" ca="1">INDEX(Data_DBD!$D:$D,$A31)</f>
        <v>18</v>
      </c>
      <c r="E31" s="32" cm="1">
        <f t="array" aca="1" ref="E31" ca="1">INDEX(Data_DBD!$E:$E,$A31)</f>
        <v>0</v>
      </c>
      <c r="F31" s="32" cm="1">
        <f t="array" aca="1" ref="F31" ca="1">INDEX(Data_DBD!$F:$F,$A31)</f>
        <v>3</v>
      </c>
      <c r="H31" s="32">
        <v>80</v>
      </c>
      <c r="I31" s="32">
        <v>27</v>
      </c>
      <c r="J31" s="32">
        <v>3</v>
      </c>
      <c r="K31" s="32">
        <v>13</v>
      </c>
      <c r="L31" s="32">
        <v>1</v>
      </c>
      <c r="M31" s="32">
        <v>2</v>
      </c>
    </row>
    <row r="32" spans="1:13">
      <c r="A32" s="32">
        <f t="shared" ca="1" si="0"/>
        <v>130</v>
      </c>
      <c r="B32" s="32" cm="1">
        <f t="array" aca="1" ref="B32" ca="1">INDEX(Data_DBD!$B:$B,$A32)</f>
        <v>12</v>
      </c>
      <c r="C32" s="32" cm="1">
        <f t="array" aca="1" ref="C32" ca="1">INDEX(Data_DBD!$C:$C,$A32)</f>
        <v>4</v>
      </c>
      <c r="D32" s="32" cm="1">
        <f t="array" aca="1" ref="D32" ca="1">INDEX(Data_DBD!$D:$D,$A32)</f>
        <v>33</v>
      </c>
      <c r="E32" s="32" cm="1">
        <f t="array" aca="1" ref="E32" ca="1">INDEX(Data_DBD!$E:$E,$A32)</f>
        <v>0</v>
      </c>
      <c r="F32" s="32" cm="1">
        <f t="array" aca="1" ref="F32" ca="1">INDEX(Data_DBD!$F:$F,$A32)</f>
        <v>3</v>
      </c>
      <c r="H32" s="32">
        <v>60</v>
      </c>
      <c r="I32" s="32">
        <v>68</v>
      </c>
      <c r="J32" s="32">
        <v>4</v>
      </c>
      <c r="K32" s="32">
        <v>15</v>
      </c>
      <c r="L32" s="32">
        <v>0</v>
      </c>
      <c r="M32" s="32">
        <v>2</v>
      </c>
    </row>
    <row r="33" spans="1:13">
      <c r="A33" s="32">
        <f t="shared" ca="1" si="0"/>
        <v>162</v>
      </c>
      <c r="B33" s="32" cm="1">
        <f t="array" aca="1" ref="B33" ca="1">INDEX(Data_DBD!$B:$B,$A33)</f>
        <v>22</v>
      </c>
      <c r="C33" s="32" cm="1">
        <f t="array" aca="1" ref="C33" ca="1">INDEX(Data_DBD!$C:$C,$A33)</f>
        <v>3</v>
      </c>
      <c r="D33" s="32" cm="1">
        <f t="array" aca="1" ref="D33" ca="1">INDEX(Data_DBD!$D:$D,$A33)</f>
        <v>3</v>
      </c>
      <c r="E33" s="32" cm="1">
        <f t="array" aca="1" ref="E33" ca="1">INDEX(Data_DBD!$E:$E,$A33)</f>
        <v>1</v>
      </c>
      <c r="F33" s="32" cm="1">
        <f t="array" aca="1" ref="F33" ca="1">INDEX(Data_DBD!$F:$F,$A33)</f>
        <v>1</v>
      </c>
      <c r="H33" s="32">
        <v>137</v>
      </c>
      <c r="I33" s="32">
        <v>3.5</v>
      </c>
      <c r="J33" s="32">
        <v>1</v>
      </c>
      <c r="K33" s="32">
        <v>33</v>
      </c>
      <c r="L33" s="32">
        <v>1</v>
      </c>
      <c r="M33" s="32">
        <v>3</v>
      </c>
    </row>
    <row r="34" spans="1:13">
      <c r="A34" s="32">
        <f t="shared" ca="1" si="0"/>
        <v>160</v>
      </c>
      <c r="B34" s="32" cm="1">
        <f t="array" aca="1" ref="B34" ca="1">INDEX(Data_DBD!$B:$B,$A34)</f>
        <v>16</v>
      </c>
      <c r="C34" s="32" cm="1">
        <f t="array" aca="1" ref="C34" ca="1">INDEX(Data_DBD!$C:$C,$A34)</f>
        <v>3</v>
      </c>
      <c r="D34" s="32" cm="1">
        <f t="array" aca="1" ref="D34" ca="1">INDEX(Data_DBD!$D:$D,$A34)</f>
        <v>21</v>
      </c>
      <c r="E34" s="32" cm="1">
        <f t="array" aca="1" ref="E34" ca="1">INDEX(Data_DBD!$E:$E,$A34)</f>
        <v>0</v>
      </c>
      <c r="F34" s="32" cm="1">
        <f t="array" aca="1" ref="F34" ca="1">INDEX(Data_DBD!$F:$F,$A34)</f>
        <v>3</v>
      </c>
      <c r="H34" s="32">
        <v>125</v>
      </c>
      <c r="I34" s="32">
        <v>39</v>
      </c>
      <c r="J34" s="32">
        <v>4</v>
      </c>
      <c r="K34" s="32">
        <v>33</v>
      </c>
      <c r="L34" s="32">
        <v>0</v>
      </c>
      <c r="M34" s="32">
        <v>3</v>
      </c>
    </row>
    <row r="35" spans="1:13">
      <c r="A35" s="32">
        <f t="shared" ca="1" si="0"/>
        <v>90</v>
      </c>
      <c r="B35" s="32" cm="1">
        <f t="array" aca="1" ref="B35" ca="1">INDEX(Data_DBD!$B:$B,$A35)</f>
        <v>47</v>
      </c>
      <c r="C35" s="32" cm="1">
        <f t="array" aca="1" ref="C35" ca="1">INDEX(Data_DBD!$C:$C,$A35)</f>
        <v>3</v>
      </c>
      <c r="D35" s="32" cm="1">
        <f t="array" aca="1" ref="D35" ca="1">INDEX(Data_DBD!$D:$D,$A35)</f>
        <v>18</v>
      </c>
      <c r="E35" s="32" cm="1">
        <f t="array" aca="1" ref="E35" ca="1">INDEX(Data_DBD!$E:$E,$A35)</f>
        <v>0</v>
      </c>
      <c r="F35" s="32" cm="1">
        <f t="array" aca="1" ref="F35" ca="1">INDEX(Data_DBD!$F:$F,$A35)</f>
        <v>3</v>
      </c>
      <c r="H35" s="32">
        <v>74</v>
      </c>
      <c r="I35" s="32">
        <v>9</v>
      </c>
      <c r="J35" s="32">
        <v>4</v>
      </c>
      <c r="K35" s="32">
        <v>10</v>
      </c>
      <c r="L35" s="32">
        <v>0</v>
      </c>
      <c r="M35" s="32">
        <v>2</v>
      </c>
    </row>
    <row r="36" spans="1:13">
      <c r="A36" s="32">
        <f t="shared" ca="1" si="0"/>
        <v>59</v>
      </c>
      <c r="B36" s="32" cm="1">
        <f t="array" aca="1" ref="B36" ca="1">INDEX(Data_DBD!$B:$B,$A36)</f>
        <v>28</v>
      </c>
      <c r="C36" s="32" cm="1">
        <f t="array" aca="1" ref="C36" ca="1">INDEX(Data_DBD!$C:$C,$A36)</f>
        <v>4</v>
      </c>
      <c r="D36" s="32" cm="1">
        <f t="array" aca="1" ref="D36" ca="1">INDEX(Data_DBD!$D:$D,$A36)</f>
        <v>15</v>
      </c>
      <c r="E36" s="32" cm="1">
        <f t="array" aca="1" ref="E36" ca="1">INDEX(Data_DBD!$E:$E,$A36)</f>
        <v>0</v>
      </c>
      <c r="F36" s="32" cm="1">
        <f t="array" aca="1" ref="F36" ca="1">INDEX(Data_DBD!$F:$F,$A36)</f>
        <v>2</v>
      </c>
      <c r="H36" s="32">
        <v>42</v>
      </c>
      <c r="I36" s="32">
        <v>21</v>
      </c>
      <c r="J36" s="32">
        <v>5</v>
      </c>
      <c r="K36" s="32">
        <v>13</v>
      </c>
      <c r="L36" s="32">
        <v>1</v>
      </c>
      <c r="M36" s="32">
        <v>2</v>
      </c>
    </row>
    <row r="37" spans="1:13">
      <c r="A37" s="32">
        <f t="shared" ca="1" si="0"/>
        <v>37</v>
      </c>
      <c r="B37" s="32" cm="1">
        <f t="array" aca="1" ref="B37" ca="1">INDEX(Data_DBD!$B:$B,$A37)</f>
        <v>28</v>
      </c>
      <c r="C37" s="32" cm="1">
        <f t="array" aca="1" ref="C37" ca="1">INDEX(Data_DBD!$C:$C,$A37)</f>
        <v>4</v>
      </c>
      <c r="D37" s="32" cm="1">
        <f t="array" aca="1" ref="D37" ca="1">INDEX(Data_DBD!$D:$D,$A37)</f>
        <v>4</v>
      </c>
      <c r="E37" s="32" cm="1">
        <f t="array" aca="1" ref="E37" ca="1">INDEX(Data_DBD!$E:$E,$A37)</f>
        <v>1</v>
      </c>
      <c r="F37" s="32" cm="1">
        <f t="array" aca="1" ref="F37" ca="1">INDEX(Data_DBD!$F:$F,$A37)</f>
        <v>1</v>
      </c>
      <c r="H37" s="32">
        <v>76</v>
      </c>
      <c r="I37" s="32">
        <v>70</v>
      </c>
      <c r="J37" s="32">
        <v>2</v>
      </c>
      <c r="K37" s="32">
        <v>10</v>
      </c>
      <c r="L37" s="32">
        <v>0</v>
      </c>
      <c r="M37" s="32">
        <v>2</v>
      </c>
    </row>
    <row r="38" spans="1:13">
      <c r="A38" s="32">
        <f t="shared" ca="1" si="0"/>
        <v>2</v>
      </c>
      <c r="B38" s="32" cm="1">
        <f t="array" aca="1" ref="B38" ca="1">INDEX(Data_DBD!$B:$B,$A38)</f>
        <v>34</v>
      </c>
      <c r="C38" s="32" cm="1">
        <f t="array" aca="1" ref="C38" ca="1">INDEX(Data_DBD!$C:$C,$A38)</f>
        <v>3</v>
      </c>
      <c r="D38" s="32" cm="1">
        <f t="array" aca="1" ref="D38" ca="1">INDEX(Data_DBD!$D:$D,$A38)</f>
        <v>12</v>
      </c>
      <c r="E38" s="32" cm="1">
        <f t="array" aca="1" ref="E38" ca="1">INDEX(Data_DBD!$E:$E,$A38)</f>
        <v>0</v>
      </c>
      <c r="F38" s="32" cm="1">
        <f t="array" aca="1" ref="F38" ca="1">INDEX(Data_DBD!$F:$F,$A38)</f>
        <v>2</v>
      </c>
      <c r="H38" s="32">
        <v>125</v>
      </c>
      <c r="I38" s="32">
        <v>39</v>
      </c>
      <c r="J38" s="32">
        <v>4</v>
      </c>
      <c r="K38" s="32">
        <v>33</v>
      </c>
      <c r="L38" s="32">
        <v>0</v>
      </c>
      <c r="M38" s="32">
        <v>3</v>
      </c>
    </row>
    <row r="39" spans="1:13">
      <c r="A39" s="32">
        <f t="shared" ca="1" si="0"/>
        <v>6</v>
      </c>
      <c r="B39" s="32" cm="1">
        <f t="array" aca="1" ref="B39" ca="1">INDEX(Data_DBD!$B:$B,$A39)</f>
        <v>14</v>
      </c>
      <c r="C39" s="32" cm="1">
        <f t="array" aca="1" ref="C39" ca="1">INDEX(Data_DBD!$C:$C,$A39)</f>
        <v>4</v>
      </c>
      <c r="D39" s="32" cm="1">
        <f t="array" aca="1" ref="D39" ca="1">INDEX(Data_DBD!$D:$D,$A39)</f>
        <v>12</v>
      </c>
      <c r="E39" s="32" cm="1">
        <f t="array" aca="1" ref="E39" ca="1">INDEX(Data_DBD!$E:$E,$A39)</f>
        <v>0</v>
      </c>
      <c r="F39" s="32" cm="1">
        <f t="array" aca="1" ref="F39" ca="1">INDEX(Data_DBD!$F:$F,$A39)</f>
        <v>2</v>
      </c>
      <c r="H39" s="32">
        <v>35</v>
      </c>
      <c r="I39" s="32">
        <v>40</v>
      </c>
      <c r="J39" s="32">
        <v>3</v>
      </c>
      <c r="K39" s="32">
        <v>4</v>
      </c>
      <c r="L39" s="32">
        <v>1</v>
      </c>
      <c r="M39" s="32">
        <v>1</v>
      </c>
    </row>
    <row r="40" spans="1:13">
      <c r="A40" s="32">
        <f t="shared" ca="1" si="0"/>
        <v>160</v>
      </c>
      <c r="B40" s="32" cm="1">
        <f t="array" aca="1" ref="B40" ca="1">INDEX(Data_DBD!$B:$B,$A40)</f>
        <v>16</v>
      </c>
      <c r="C40" s="32" cm="1">
        <f t="array" aca="1" ref="C40" ca="1">INDEX(Data_DBD!$C:$C,$A40)</f>
        <v>3</v>
      </c>
      <c r="D40" s="32" cm="1">
        <f t="array" aca="1" ref="D40" ca="1">INDEX(Data_DBD!$D:$D,$A40)</f>
        <v>21</v>
      </c>
      <c r="E40" s="32" cm="1">
        <f t="array" aca="1" ref="E40" ca="1">INDEX(Data_DBD!$E:$E,$A40)</f>
        <v>0</v>
      </c>
      <c r="F40" s="32" cm="1">
        <f t="array" aca="1" ref="F40" ca="1">INDEX(Data_DBD!$F:$F,$A40)</f>
        <v>3</v>
      </c>
      <c r="H40" s="32">
        <v>125</v>
      </c>
      <c r="I40" s="32">
        <v>39</v>
      </c>
      <c r="J40" s="32">
        <v>4</v>
      </c>
      <c r="K40" s="32">
        <v>33</v>
      </c>
      <c r="L40" s="32">
        <v>0</v>
      </c>
      <c r="M40" s="32">
        <v>3</v>
      </c>
    </row>
    <row r="41" spans="1:13">
      <c r="A41" s="32">
        <f t="shared" ca="1" si="0"/>
        <v>101</v>
      </c>
      <c r="B41" s="32" cm="1">
        <f t="array" aca="1" ref="B41" ca="1">INDEX(Data_DBD!$B:$B,$A41)</f>
        <v>42</v>
      </c>
      <c r="C41" s="32" cm="1">
        <f t="array" aca="1" ref="C41" ca="1">INDEX(Data_DBD!$C:$C,$A41)</f>
        <v>5</v>
      </c>
      <c r="D41" s="32" cm="1">
        <f t="array" aca="1" ref="D41" ca="1">INDEX(Data_DBD!$D:$D,$A41)</f>
        <v>18</v>
      </c>
      <c r="E41" s="32" cm="1">
        <f t="array" aca="1" ref="E41" ca="1">INDEX(Data_DBD!$E:$E,$A41)</f>
        <v>0</v>
      </c>
      <c r="F41" s="32" cm="1">
        <f t="array" aca="1" ref="F41" ca="1">INDEX(Data_DBD!$F:$F,$A41)</f>
        <v>3</v>
      </c>
      <c r="H41" s="32">
        <v>148</v>
      </c>
      <c r="I41" s="32">
        <v>55</v>
      </c>
      <c r="J41" s="32">
        <v>3</v>
      </c>
      <c r="K41" s="32">
        <v>21</v>
      </c>
      <c r="L41" s="32">
        <v>1</v>
      </c>
      <c r="M41" s="32">
        <v>3</v>
      </c>
    </row>
    <row r="42" spans="1:13">
      <c r="A42" s="32">
        <f t="shared" ca="1" si="0"/>
        <v>157</v>
      </c>
      <c r="B42" s="32" cm="1">
        <f t="array" aca="1" ref="B42" ca="1">INDEX(Data_DBD!$B:$B,$A42)</f>
        <v>15</v>
      </c>
      <c r="C42" s="32" cm="1">
        <f t="array" aca="1" ref="C42" ca="1">INDEX(Data_DBD!$C:$C,$A42)</f>
        <v>4</v>
      </c>
      <c r="D42" s="32" cm="1">
        <f t="array" aca="1" ref="D42" ca="1">INDEX(Data_DBD!$D:$D,$A42)</f>
        <v>21</v>
      </c>
      <c r="E42" s="32" cm="1">
        <f t="array" aca="1" ref="E42" ca="1">INDEX(Data_DBD!$E:$E,$A42)</f>
        <v>1</v>
      </c>
      <c r="F42" s="32" cm="1">
        <f t="array" aca="1" ref="F42" ca="1">INDEX(Data_DBD!$F:$F,$A42)</f>
        <v>3</v>
      </c>
      <c r="H42" s="32">
        <v>147</v>
      </c>
      <c r="I42" s="32">
        <v>66</v>
      </c>
      <c r="J42" s="32">
        <v>10</v>
      </c>
      <c r="K42" s="32">
        <v>21</v>
      </c>
      <c r="L42" s="32">
        <v>1</v>
      </c>
      <c r="M42" s="32">
        <v>3</v>
      </c>
    </row>
    <row r="43" spans="1:13">
      <c r="A43" s="32">
        <f t="shared" ca="1" si="0"/>
        <v>89</v>
      </c>
      <c r="B43" s="32" cm="1">
        <f t="array" aca="1" ref="B43" ca="1">INDEX(Data_DBD!$B:$B,$A43)</f>
        <v>32</v>
      </c>
      <c r="C43" s="32" cm="1">
        <f t="array" aca="1" ref="C43" ca="1">INDEX(Data_DBD!$C:$C,$A43)</f>
        <v>4</v>
      </c>
      <c r="D43" s="32" cm="1">
        <f t="array" aca="1" ref="D43" ca="1">INDEX(Data_DBD!$D:$D,$A43)</f>
        <v>13</v>
      </c>
      <c r="E43" s="32" cm="1">
        <f t="array" aca="1" ref="E43" ca="1">INDEX(Data_DBD!$E:$E,$A43)</f>
        <v>0</v>
      </c>
      <c r="F43" s="32" cm="1">
        <f t="array" aca="1" ref="F43" ca="1">INDEX(Data_DBD!$F:$F,$A43)</f>
        <v>2</v>
      </c>
      <c r="H43" s="32">
        <v>130</v>
      </c>
      <c r="I43" s="32">
        <v>12</v>
      </c>
      <c r="J43" s="32">
        <v>4</v>
      </c>
      <c r="K43" s="32">
        <v>33</v>
      </c>
      <c r="L43" s="32">
        <v>0</v>
      </c>
      <c r="M43" s="32">
        <v>3</v>
      </c>
    </row>
    <row r="44" spans="1:13">
      <c r="A44" s="32">
        <f t="shared" ca="1" si="0"/>
        <v>45</v>
      </c>
      <c r="B44" s="32" cm="1">
        <f t="array" aca="1" ref="B44" ca="1">INDEX(Data_DBD!$B:$B,$A44)</f>
        <v>75</v>
      </c>
      <c r="C44" s="32" cm="1">
        <f t="array" aca="1" ref="C44" ca="1">INDEX(Data_DBD!$C:$C,$A44)</f>
        <v>3</v>
      </c>
      <c r="D44" s="32" cm="1">
        <f t="array" aca="1" ref="D44" ca="1">INDEX(Data_DBD!$D:$D,$A44)</f>
        <v>13</v>
      </c>
      <c r="E44" s="32" cm="1">
        <f t="array" aca="1" ref="E44" ca="1">INDEX(Data_DBD!$E:$E,$A44)</f>
        <v>1</v>
      </c>
      <c r="F44" s="32" cm="1">
        <f t="array" aca="1" ref="F44" ca="1">INDEX(Data_DBD!$F:$F,$A44)</f>
        <v>2</v>
      </c>
      <c r="H44" s="32">
        <v>131</v>
      </c>
      <c r="I44" s="32">
        <v>10</v>
      </c>
      <c r="J44" s="32">
        <v>2</v>
      </c>
      <c r="K44" s="32">
        <v>33</v>
      </c>
      <c r="L44" s="32">
        <v>0</v>
      </c>
      <c r="M44" s="32">
        <v>3</v>
      </c>
    </row>
    <row r="45" spans="1:13">
      <c r="A45" s="32">
        <f t="shared" ca="1" si="0"/>
        <v>103</v>
      </c>
      <c r="B45" s="32" cm="1">
        <f t="array" aca="1" ref="B45" ca="1">INDEX(Data_DBD!$B:$B,$A45)</f>
        <v>22</v>
      </c>
      <c r="C45" s="32" cm="1">
        <f t="array" aca="1" ref="C45" ca="1">INDEX(Data_DBD!$C:$C,$A45)</f>
        <v>5</v>
      </c>
      <c r="D45" s="32" cm="1">
        <f t="array" aca="1" ref="D45" ca="1">INDEX(Data_DBD!$D:$D,$A45)</f>
        <v>18</v>
      </c>
      <c r="E45" s="32" cm="1">
        <f t="array" aca="1" ref="E45" ca="1">INDEX(Data_DBD!$E:$E,$A45)</f>
        <v>0</v>
      </c>
      <c r="F45" s="32" cm="1">
        <f t="array" aca="1" ref="F45" ca="1">INDEX(Data_DBD!$F:$F,$A45)</f>
        <v>3</v>
      </c>
      <c r="H45" s="32">
        <v>126</v>
      </c>
      <c r="I45" s="32">
        <v>51</v>
      </c>
      <c r="J45" s="32">
        <v>3</v>
      </c>
      <c r="K45" s="32">
        <v>33</v>
      </c>
      <c r="L45" s="32">
        <v>1</v>
      </c>
      <c r="M45" s="32">
        <v>3</v>
      </c>
    </row>
    <row r="46" spans="1:13">
      <c r="A46" s="32">
        <f t="shared" ca="1" si="0"/>
        <v>56</v>
      </c>
      <c r="B46" s="32" cm="1">
        <f t="array" aca="1" ref="B46" ca="1">INDEX(Data_DBD!$B:$B,$A46)</f>
        <v>4</v>
      </c>
      <c r="C46" s="32" cm="1">
        <f t="array" aca="1" ref="C46" ca="1">INDEX(Data_DBD!$C:$C,$A46)</f>
        <v>3</v>
      </c>
      <c r="D46" s="32" cm="1">
        <f t="array" aca="1" ref="D46" ca="1">INDEX(Data_DBD!$D:$D,$A46)</f>
        <v>15</v>
      </c>
      <c r="E46" s="32" cm="1">
        <f t="array" aca="1" ref="E46" ca="1">INDEX(Data_DBD!$E:$E,$A46)</f>
        <v>0</v>
      </c>
      <c r="F46" s="32" cm="1">
        <f t="array" aca="1" ref="F46" ca="1">INDEX(Data_DBD!$F:$F,$A46)</f>
        <v>2</v>
      </c>
      <c r="H46" s="32">
        <v>54</v>
      </c>
      <c r="I46" s="32">
        <v>7</v>
      </c>
      <c r="J46" s="32">
        <v>3</v>
      </c>
      <c r="K46" s="32">
        <v>15</v>
      </c>
      <c r="L46" s="32">
        <v>0</v>
      </c>
      <c r="M46" s="32">
        <v>2</v>
      </c>
    </row>
    <row r="47" spans="1:13">
      <c r="A47" s="32">
        <f t="shared" ca="1" si="0"/>
        <v>52</v>
      </c>
      <c r="B47" s="32" cm="1">
        <f t="array" aca="1" ref="B47" ca="1">INDEX(Data_DBD!$B:$B,$A47)</f>
        <v>59</v>
      </c>
      <c r="C47" s="32" cm="1">
        <f t="array" aca="1" ref="C47" ca="1">INDEX(Data_DBD!$C:$C,$A47)</f>
        <v>4</v>
      </c>
      <c r="D47" s="32" cm="1">
        <f t="array" aca="1" ref="D47" ca="1">INDEX(Data_DBD!$D:$D,$A47)</f>
        <v>15</v>
      </c>
      <c r="E47" s="32" cm="1">
        <f t="array" aca="1" ref="E47" ca="1">INDEX(Data_DBD!$E:$E,$A47)</f>
        <v>1</v>
      </c>
      <c r="F47" s="32" cm="1">
        <f t="array" aca="1" ref="F47" ca="1">INDEX(Data_DBD!$F:$F,$A47)</f>
        <v>2</v>
      </c>
      <c r="H47" s="32">
        <v>3</v>
      </c>
      <c r="I47" s="32">
        <v>43</v>
      </c>
      <c r="J47" s="32">
        <v>3</v>
      </c>
      <c r="K47" s="32">
        <v>12</v>
      </c>
      <c r="L47" s="32">
        <v>1</v>
      </c>
      <c r="M47" s="32">
        <v>2</v>
      </c>
    </row>
    <row r="48" spans="1:13">
      <c r="A48" s="32">
        <f t="shared" ca="1" si="0"/>
        <v>88</v>
      </c>
      <c r="B48" s="32" cm="1">
        <f t="array" aca="1" ref="B48" ca="1">INDEX(Data_DBD!$B:$B,$A48)</f>
        <v>20</v>
      </c>
      <c r="C48" s="32" cm="1">
        <f t="array" aca="1" ref="C48" ca="1">INDEX(Data_DBD!$C:$C,$A48)</f>
        <v>4</v>
      </c>
      <c r="D48" s="32" cm="1">
        <f t="array" aca="1" ref="D48" ca="1">INDEX(Data_DBD!$D:$D,$A48)</f>
        <v>13</v>
      </c>
      <c r="E48" s="32" cm="1">
        <f t="array" aca="1" ref="E48" ca="1">INDEX(Data_DBD!$E:$E,$A48)</f>
        <v>1</v>
      </c>
      <c r="F48" s="32" cm="1">
        <f t="array" aca="1" ref="F48" ca="1">INDEX(Data_DBD!$F:$F,$A48)</f>
        <v>2</v>
      </c>
      <c r="H48" s="32">
        <v>33</v>
      </c>
      <c r="I48" s="32">
        <v>19</v>
      </c>
      <c r="J48" s="32">
        <v>4</v>
      </c>
      <c r="K48" s="32">
        <v>14</v>
      </c>
      <c r="L48" s="32">
        <v>1</v>
      </c>
      <c r="M48" s="32">
        <v>2</v>
      </c>
    </row>
    <row r="49" spans="1:13">
      <c r="A49" s="32">
        <f t="shared" ca="1" si="0"/>
        <v>53</v>
      </c>
      <c r="B49" s="32" cm="1">
        <f t="array" aca="1" ref="B49" ca="1">INDEX(Data_DBD!$B:$B,$A49)</f>
        <v>35</v>
      </c>
      <c r="C49" s="32" cm="1">
        <f t="array" aca="1" ref="C49" ca="1">INDEX(Data_DBD!$C:$C,$A49)</f>
        <v>4</v>
      </c>
      <c r="D49" s="32" cm="1">
        <f t="array" aca="1" ref="D49" ca="1">INDEX(Data_DBD!$D:$D,$A49)</f>
        <v>15</v>
      </c>
      <c r="E49" s="32" cm="1">
        <f t="array" aca="1" ref="E49" ca="1">INDEX(Data_DBD!$E:$E,$A49)</f>
        <v>1</v>
      </c>
      <c r="F49" s="32" cm="1">
        <f t="array" aca="1" ref="F49" ca="1">INDEX(Data_DBD!$F:$F,$A49)</f>
        <v>2</v>
      </c>
      <c r="H49" s="32">
        <v>153</v>
      </c>
      <c r="I49" s="32">
        <v>73</v>
      </c>
      <c r="J49" s="32">
        <v>7</v>
      </c>
      <c r="K49" s="32">
        <v>21</v>
      </c>
      <c r="L49" s="32">
        <v>1</v>
      </c>
      <c r="M49" s="32">
        <v>3</v>
      </c>
    </row>
    <row r="50" spans="1:13">
      <c r="A50" s="32">
        <f t="shared" ca="1" si="0"/>
        <v>2</v>
      </c>
      <c r="B50" s="32" cm="1">
        <f t="array" aca="1" ref="B50" ca="1">INDEX(Data_DBD!$B:$B,$A50)</f>
        <v>34</v>
      </c>
      <c r="C50" s="32" cm="1">
        <f t="array" aca="1" ref="C50" ca="1">INDEX(Data_DBD!$C:$C,$A50)</f>
        <v>3</v>
      </c>
      <c r="D50" s="32" cm="1">
        <f t="array" aca="1" ref="D50" ca="1">INDEX(Data_DBD!$D:$D,$A50)</f>
        <v>12</v>
      </c>
      <c r="E50" s="32" cm="1">
        <f t="array" aca="1" ref="E50" ca="1">INDEX(Data_DBD!$E:$E,$A50)</f>
        <v>0</v>
      </c>
      <c r="F50" s="32" cm="1">
        <f t="array" aca="1" ref="F50" ca="1">INDEX(Data_DBD!$F:$F,$A50)</f>
        <v>2</v>
      </c>
      <c r="H50" s="32">
        <v>146</v>
      </c>
      <c r="I50" s="32">
        <v>34</v>
      </c>
      <c r="J50" s="32">
        <v>2</v>
      </c>
      <c r="K50" s="32">
        <v>21</v>
      </c>
      <c r="L50" s="32">
        <v>1</v>
      </c>
      <c r="M50" s="32">
        <v>3</v>
      </c>
    </row>
    <row r="51" spans="1:13">
      <c r="A51" s="32">
        <f t="shared" ca="1" si="0"/>
        <v>101</v>
      </c>
      <c r="B51" s="32" cm="1">
        <f t="array" aca="1" ref="B51" ca="1">INDEX(Data_DBD!$B:$B,$A51)</f>
        <v>42</v>
      </c>
      <c r="C51" s="32" cm="1">
        <f t="array" aca="1" ref="C51" ca="1">INDEX(Data_DBD!$C:$C,$A51)</f>
        <v>5</v>
      </c>
      <c r="D51" s="32" cm="1">
        <f t="array" aca="1" ref="D51" ca="1">INDEX(Data_DBD!$D:$D,$A51)</f>
        <v>18</v>
      </c>
      <c r="E51" s="32" cm="1">
        <f t="array" aca="1" ref="E51" ca="1">INDEX(Data_DBD!$E:$E,$A51)</f>
        <v>0</v>
      </c>
      <c r="F51" s="32" cm="1">
        <f t="array" aca="1" ref="F51" ca="1">INDEX(Data_DBD!$F:$F,$A51)</f>
        <v>3</v>
      </c>
      <c r="H51" s="32">
        <v>100</v>
      </c>
      <c r="I51" s="32">
        <v>19</v>
      </c>
      <c r="J51" s="32">
        <v>6</v>
      </c>
      <c r="K51" s="32">
        <v>18</v>
      </c>
      <c r="L51" s="32">
        <v>0</v>
      </c>
      <c r="M51" s="32">
        <v>3</v>
      </c>
    </row>
    <row r="52" spans="1:13">
      <c r="A52" s="32">
        <f t="shared" ca="1" si="0"/>
        <v>73</v>
      </c>
      <c r="B52" s="32" cm="1">
        <f t="array" aca="1" ref="B52" ca="1">INDEX(Data_DBD!$B:$B,$A52)</f>
        <v>15</v>
      </c>
      <c r="C52" s="32" cm="1">
        <f t="array" aca="1" ref="C52" ca="1">INDEX(Data_DBD!$C:$C,$A52)</f>
        <v>3</v>
      </c>
      <c r="D52" s="32" cm="1">
        <f t="array" aca="1" ref="D52" ca="1">INDEX(Data_DBD!$D:$D,$A52)</f>
        <v>10</v>
      </c>
      <c r="E52" s="32" cm="1">
        <f t="array" aca="1" ref="E52" ca="1">INDEX(Data_DBD!$E:$E,$A52)</f>
        <v>1</v>
      </c>
      <c r="F52" s="32" cm="1">
        <f t="array" aca="1" ref="F52" ca="1">INDEX(Data_DBD!$F:$F,$A52)</f>
        <v>2</v>
      </c>
      <c r="H52" s="32">
        <v>124</v>
      </c>
      <c r="I52" s="32">
        <v>24</v>
      </c>
      <c r="J52" s="32">
        <v>3</v>
      </c>
      <c r="K52" s="32">
        <v>33</v>
      </c>
      <c r="L52" s="32">
        <v>1</v>
      </c>
      <c r="M52" s="32">
        <v>3</v>
      </c>
    </row>
    <row r="53" spans="1:13">
      <c r="A53" s="32">
        <f t="shared" ca="1" si="0"/>
        <v>120</v>
      </c>
      <c r="B53" s="32" cm="1">
        <f t="array" aca="1" ref="B53" ca="1">INDEX(Data_DBD!$B:$B,$A53)</f>
        <v>26</v>
      </c>
      <c r="C53" s="32" cm="1">
        <f t="array" aca="1" ref="C53" ca="1">INDEX(Data_DBD!$C:$C,$A53)</f>
        <v>4</v>
      </c>
      <c r="D53" s="32" cm="1">
        <f t="array" aca="1" ref="D53" ca="1">INDEX(Data_DBD!$D:$D,$A53)</f>
        <v>33</v>
      </c>
      <c r="E53" s="32" cm="1">
        <f t="array" aca="1" ref="E53" ca="1">INDEX(Data_DBD!$E:$E,$A53)</f>
        <v>1</v>
      </c>
      <c r="F53" s="32" cm="1">
        <f t="array" aca="1" ref="F53" ca="1">INDEX(Data_DBD!$F:$F,$A53)</f>
        <v>3</v>
      </c>
      <c r="H53" s="32">
        <v>19</v>
      </c>
      <c r="I53" s="32">
        <v>8</v>
      </c>
      <c r="J53" s="32">
        <v>4</v>
      </c>
      <c r="K53" s="32">
        <v>7</v>
      </c>
      <c r="L53" s="32">
        <v>0</v>
      </c>
      <c r="M53" s="32">
        <v>1</v>
      </c>
    </row>
    <row r="54" spans="1:13">
      <c r="A54" s="32">
        <f t="shared" ca="1" si="0"/>
        <v>76</v>
      </c>
      <c r="B54" s="32" cm="1">
        <f t="array" aca="1" ref="B54" ca="1">INDEX(Data_DBD!$B:$B,$A54)</f>
        <v>70</v>
      </c>
      <c r="C54" s="32" cm="1">
        <f t="array" aca="1" ref="C54" ca="1">INDEX(Data_DBD!$C:$C,$A54)</f>
        <v>2</v>
      </c>
      <c r="D54" s="32" cm="1">
        <f t="array" aca="1" ref="D54" ca="1">INDEX(Data_DBD!$D:$D,$A54)</f>
        <v>10</v>
      </c>
      <c r="E54" s="32" cm="1">
        <f t="array" aca="1" ref="E54" ca="1">INDEX(Data_DBD!$E:$E,$A54)</f>
        <v>0</v>
      </c>
      <c r="F54" s="32" cm="1">
        <f t="array" aca="1" ref="F54" ca="1">INDEX(Data_DBD!$F:$F,$A54)</f>
        <v>2</v>
      </c>
      <c r="H54" s="32">
        <v>154</v>
      </c>
      <c r="I54" s="32">
        <v>18</v>
      </c>
      <c r="J54" s="32">
        <v>5</v>
      </c>
      <c r="K54" s="32">
        <v>21</v>
      </c>
      <c r="L54" s="32">
        <v>1</v>
      </c>
      <c r="M54" s="32">
        <v>3</v>
      </c>
    </row>
    <row r="55" spans="1:13">
      <c r="A55" s="32">
        <f t="shared" ca="1" si="0"/>
        <v>129</v>
      </c>
      <c r="B55" s="32" cm="1">
        <f t="array" aca="1" ref="B55" ca="1">INDEX(Data_DBD!$B:$B,$A55)</f>
        <v>4.5</v>
      </c>
      <c r="C55" s="32" cm="1">
        <f t="array" aca="1" ref="C55" ca="1">INDEX(Data_DBD!$C:$C,$A55)</f>
        <v>3</v>
      </c>
      <c r="D55" s="32" cm="1">
        <f t="array" aca="1" ref="D55" ca="1">INDEX(Data_DBD!$D:$D,$A55)</f>
        <v>33</v>
      </c>
      <c r="E55" s="32" cm="1">
        <f t="array" aca="1" ref="E55" ca="1">INDEX(Data_DBD!$E:$E,$A55)</f>
        <v>0</v>
      </c>
      <c r="F55" s="32" cm="1">
        <f t="array" aca="1" ref="F55" ca="1">INDEX(Data_DBD!$F:$F,$A55)</f>
        <v>3</v>
      </c>
      <c r="H55" s="32">
        <v>47</v>
      </c>
      <c r="I55" s="32">
        <v>19</v>
      </c>
      <c r="J55" s="32">
        <v>2</v>
      </c>
      <c r="K55" s="32">
        <v>13</v>
      </c>
      <c r="L55" s="32">
        <v>0</v>
      </c>
      <c r="M55" s="32">
        <v>2</v>
      </c>
    </row>
    <row r="56" spans="1:13">
      <c r="A56" s="32">
        <f t="shared" ca="1" si="0"/>
        <v>90</v>
      </c>
      <c r="B56" s="32" cm="1">
        <f t="array" aca="1" ref="B56" ca="1">INDEX(Data_DBD!$B:$B,$A56)</f>
        <v>47</v>
      </c>
      <c r="C56" s="32" cm="1">
        <f t="array" aca="1" ref="C56" ca="1">INDEX(Data_DBD!$C:$C,$A56)</f>
        <v>3</v>
      </c>
      <c r="D56" s="32" cm="1">
        <f t="array" aca="1" ref="D56" ca="1">INDEX(Data_DBD!$D:$D,$A56)</f>
        <v>18</v>
      </c>
      <c r="E56" s="32" cm="1">
        <f t="array" aca="1" ref="E56" ca="1">INDEX(Data_DBD!$E:$E,$A56)</f>
        <v>0</v>
      </c>
      <c r="F56" s="32" cm="1">
        <f t="array" aca="1" ref="F56" ca="1">INDEX(Data_DBD!$F:$F,$A56)</f>
        <v>3</v>
      </c>
      <c r="H56" s="32">
        <v>150</v>
      </c>
      <c r="I56" s="32">
        <v>61</v>
      </c>
      <c r="J56" s="32">
        <v>5</v>
      </c>
      <c r="K56" s="32">
        <v>21</v>
      </c>
      <c r="L56" s="32">
        <v>1</v>
      </c>
      <c r="M56" s="32">
        <v>3</v>
      </c>
    </row>
    <row r="57" spans="1:13">
      <c r="A57" s="32">
        <f t="shared" ca="1" si="0"/>
        <v>157</v>
      </c>
      <c r="B57" s="32" cm="1">
        <f t="array" aca="1" ref="B57" ca="1">INDEX(Data_DBD!$B:$B,$A57)</f>
        <v>15</v>
      </c>
      <c r="C57" s="32" cm="1">
        <f t="array" aca="1" ref="C57" ca="1">INDEX(Data_DBD!$C:$C,$A57)</f>
        <v>4</v>
      </c>
      <c r="D57" s="32" cm="1">
        <f t="array" aca="1" ref="D57" ca="1">INDEX(Data_DBD!$D:$D,$A57)</f>
        <v>21</v>
      </c>
      <c r="E57" s="32" cm="1">
        <f t="array" aca="1" ref="E57" ca="1">INDEX(Data_DBD!$E:$E,$A57)</f>
        <v>1</v>
      </c>
      <c r="F57" s="32" cm="1">
        <f t="array" aca="1" ref="F57" ca="1">INDEX(Data_DBD!$F:$F,$A57)</f>
        <v>3</v>
      </c>
      <c r="H57" s="32">
        <v>91</v>
      </c>
      <c r="I57" s="32">
        <v>35</v>
      </c>
      <c r="J57" s="32">
        <v>1</v>
      </c>
      <c r="K57" s="32">
        <v>18</v>
      </c>
      <c r="L57" s="32">
        <v>1</v>
      </c>
      <c r="M57" s="32">
        <v>3</v>
      </c>
    </row>
    <row r="58" spans="1:13">
      <c r="A58" s="32">
        <f t="shared" ca="1" si="0"/>
        <v>48</v>
      </c>
      <c r="B58" s="32" cm="1">
        <f t="array" aca="1" ref="B58" ca="1">INDEX(Data_DBD!$B:$B,$A58)</f>
        <v>50</v>
      </c>
      <c r="C58" s="32" cm="1">
        <f t="array" aca="1" ref="C58" ca="1">INDEX(Data_DBD!$C:$C,$A58)</f>
        <v>5</v>
      </c>
      <c r="D58" s="32" cm="1">
        <f t="array" aca="1" ref="D58" ca="1">INDEX(Data_DBD!$D:$D,$A58)</f>
        <v>13</v>
      </c>
      <c r="E58" s="32" cm="1">
        <f t="array" aca="1" ref="E58" ca="1">INDEX(Data_DBD!$E:$E,$A58)</f>
        <v>1</v>
      </c>
      <c r="F58" s="32" cm="1">
        <f t="array" aca="1" ref="F58" ca="1">INDEX(Data_DBD!$F:$F,$A58)</f>
        <v>2</v>
      </c>
      <c r="H58" s="32">
        <v>58</v>
      </c>
      <c r="I58" s="32">
        <v>17</v>
      </c>
      <c r="J58" s="32">
        <v>3</v>
      </c>
      <c r="K58" s="32">
        <v>15</v>
      </c>
      <c r="L58" s="32">
        <v>0</v>
      </c>
      <c r="M58" s="32">
        <v>2</v>
      </c>
    </row>
    <row r="59" spans="1:13">
      <c r="A59" s="32">
        <f t="shared" ca="1" si="0"/>
        <v>86</v>
      </c>
      <c r="B59" s="32" cm="1">
        <f t="array" aca="1" ref="B59" ca="1">INDEX(Data_DBD!$B:$B,$A59)</f>
        <v>23</v>
      </c>
      <c r="C59" s="32" cm="1">
        <f t="array" aca="1" ref="C59" ca="1">INDEX(Data_DBD!$C:$C,$A59)</f>
        <v>3</v>
      </c>
      <c r="D59" s="32" cm="1">
        <f t="array" aca="1" ref="D59" ca="1">INDEX(Data_DBD!$D:$D,$A59)</f>
        <v>13</v>
      </c>
      <c r="E59" s="32" cm="1">
        <f t="array" aca="1" ref="E59" ca="1">INDEX(Data_DBD!$E:$E,$A59)</f>
        <v>0</v>
      </c>
      <c r="F59" s="32" cm="1">
        <f t="array" aca="1" ref="F59" ca="1">INDEX(Data_DBD!$F:$F,$A59)</f>
        <v>2</v>
      </c>
      <c r="H59" s="32">
        <v>86</v>
      </c>
      <c r="I59" s="32">
        <v>23</v>
      </c>
      <c r="J59" s="32">
        <v>3</v>
      </c>
      <c r="K59" s="32">
        <v>13</v>
      </c>
      <c r="L59" s="32">
        <v>0</v>
      </c>
      <c r="M59" s="32">
        <v>2</v>
      </c>
    </row>
    <row r="60" spans="1:13">
      <c r="A60" s="32">
        <f t="shared" ca="1" si="0"/>
        <v>95</v>
      </c>
      <c r="B60" s="32" cm="1">
        <f t="array" aca="1" ref="B60" ca="1">INDEX(Data_DBD!$B:$B,$A60)</f>
        <v>11</v>
      </c>
      <c r="C60" s="32" cm="1">
        <f t="array" aca="1" ref="C60" ca="1">INDEX(Data_DBD!$C:$C,$A60)</f>
        <v>3</v>
      </c>
      <c r="D60" s="32" cm="1">
        <f t="array" aca="1" ref="D60" ca="1">INDEX(Data_DBD!$D:$D,$A60)</f>
        <v>18</v>
      </c>
      <c r="E60" s="32" cm="1">
        <f t="array" aca="1" ref="E60" ca="1">INDEX(Data_DBD!$E:$E,$A60)</f>
        <v>1</v>
      </c>
      <c r="F60" s="32" cm="1">
        <f t="array" aca="1" ref="F60" ca="1">INDEX(Data_DBD!$F:$F,$A60)</f>
        <v>3</v>
      </c>
      <c r="H60" s="32">
        <v>18</v>
      </c>
      <c r="I60" s="32">
        <v>49</v>
      </c>
      <c r="J60" s="32">
        <v>4</v>
      </c>
      <c r="K60" s="32">
        <v>7</v>
      </c>
      <c r="L60" s="32">
        <v>1</v>
      </c>
      <c r="M60" s="32">
        <v>1</v>
      </c>
    </row>
    <row r="61" spans="1:13">
      <c r="A61" s="32">
        <f t="shared" ca="1" si="0"/>
        <v>100</v>
      </c>
      <c r="B61" s="32" cm="1">
        <f t="array" aca="1" ref="B61" ca="1">INDEX(Data_DBD!$B:$B,$A61)</f>
        <v>19</v>
      </c>
      <c r="C61" s="32" cm="1">
        <f t="array" aca="1" ref="C61" ca="1">INDEX(Data_DBD!$C:$C,$A61)</f>
        <v>6</v>
      </c>
      <c r="D61" s="32" cm="1">
        <f t="array" aca="1" ref="D61" ca="1">INDEX(Data_DBD!$D:$D,$A61)</f>
        <v>18</v>
      </c>
      <c r="E61" s="32" cm="1">
        <f t="array" aca="1" ref="E61" ca="1">INDEX(Data_DBD!$E:$E,$A61)</f>
        <v>0</v>
      </c>
      <c r="F61" s="32" cm="1">
        <f t="array" aca="1" ref="F61" ca="1">INDEX(Data_DBD!$F:$F,$A61)</f>
        <v>3</v>
      </c>
      <c r="H61" s="32">
        <v>149</v>
      </c>
      <c r="I61" s="32">
        <v>19</v>
      </c>
      <c r="J61" s="32">
        <v>5</v>
      </c>
      <c r="K61" s="32">
        <v>21</v>
      </c>
      <c r="L61" s="32">
        <v>0</v>
      </c>
      <c r="M61" s="32">
        <v>3</v>
      </c>
    </row>
    <row r="62" spans="1:13">
      <c r="A62" s="32">
        <f t="shared" ca="1" si="0"/>
        <v>22</v>
      </c>
      <c r="B62" s="32" cm="1">
        <f t="array" aca="1" ref="B62" ca="1">INDEX(Data_DBD!$B:$B,$A62)</f>
        <v>6</v>
      </c>
      <c r="C62" s="32" cm="1">
        <f t="array" aca="1" ref="C62" ca="1">INDEX(Data_DBD!$C:$C,$A62)</f>
        <v>3</v>
      </c>
      <c r="D62" s="32" cm="1">
        <f t="array" aca="1" ref="D62" ca="1">INDEX(Data_DBD!$D:$D,$A62)</f>
        <v>14</v>
      </c>
      <c r="E62" s="32" cm="1">
        <f t="array" aca="1" ref="E62" ca="1">INDEX(Data_DBD!$E:$E,$A62)</f>
        <v>0</v>
      </c>
      <c r="F62" s="32" cm="1">
        <f t="array" aca="1" ref="F62" ca="1">INDEX(Data_DBD!$F:$F,$A62)</f>
        <v>2</v>
      </c>
      <c r="H62" s="32">
        <v>2</v>
      </c>
      <c r="I62" s="32">
        <v>34</v>
      </c>
      <c r="J62" s="32">
        <v>3</v>
      </c>
      <c r="K62" s="32">
        <v>12</v>
      </c>
      <c r="L62" s="32">
        <v>0</v>
      </c>
      <c r="M62" s="32">
        <v>2</v>
      </c>
    </row>
    <row r="63" spans="1:13">
      <c r="A63" s="32">
        <f t="shared" ca="1" si="0"/>
        <v>138</v>
      </c>
      <c r="B63" s="32" cm="1">
        <f t="array" aca="1" ref="B63" ca="1">INDEX(Data_DBD!$B:$B,$A63)</f>
        <v>13</v>
      </c>
      <c r="C63" s="32" cm="1">
        <f t="array" aca="1" ref="C63" ca="1">INDEX(Data_DBD!$C:$C,$A63)</f>
        <v>3</v>
      </c>
      <c r="D63" s="32" cm="1">
        <f t="array" aca="1" ref="D63" ca="1">INDEX(Data_DBD!$D:$D,$A63)</f>
        <v>33</v>
      </c>
      <c r="E63" s="32" cm="1">
        <f t="array" aca="1" ref="E63" ca="1">INDEX(Data_DBD!$E:$E,$A63)</f>
        <v>1</v>
      </c>
      <c r="F63" s="32" cm="1">
        <f t="array" aca="1" ref="F63" ca="1">INDEX(Data_DBD!$F:$F,$A63)</f>
        <v>3</v>
      </c>
      <c r="H63" s="32">
        <v>52</v>
      </c>
      <c r="I63" s="32">
        <v>59</v>
      </c>
      <c r="J63" s="32">
        <v>4</v>
      </c>
      <c r="K63" s="32">
        <v>15</v>
      </c>
      <c r="L63" s="32">
        <v>1</v>
      </c>
      <c r="M63" s="32">
        <v>2</v>
      </c>
    </row>
    <row r="64" spans="1:13">
      <c r="A64" s="32">
        <f t="shared" ca="1" si="0"/>
        <v>19</v>
      </c>
      <c r="B64" s="32" cm="1">
        <f t="array" aca="1" ref="B64" ca="1">INDEX(Data_DBD!$B:$B,$A64)</f>
        <v>8</v>
      </c>
      <c r="C64" s="32" cm="1">
        <f t="array" aca="1" ref="C64" ca="1">INDEX(Data_DBD!$C:$C,$A64)</f>
        <v>4</v>
      </c>
      <c r="D64" s="32" cm="1">
        <f t="array" aca="1" ref="D64" ca="1">INDEX(Data_DBD!$D:$D,$A64)</f>
        <v>7</v>
      </c>
      <c r="E64" s="32" cm="1">
        <f t="array" aca="1" ref="E64" ca="1">INDEX(Data_DBD!$E:$E,$A64)</f>
        <v>0</v>
      </c>
      <c r="F64" s="32" cm="1">
        <f t="array" aca="1" ref="F64" ca="1">INDEX(Data_DBD!$F:$F,$A64)</f>
        <v>1</v>
      </c>
      <c r="H64" s="32">
        <v>80</v>
      </c>
      <c r="I64" s="32">
        <v>27</v>
      </c>
      <c r="J64" s="32">
        <v>3</v>
      </c>
      <c r="K64" s="32">
        <v>13</v>
      </c>
      <c r="L64" s="32">
        <v>1</v>
      </c>
      <c r="M64" s="32">
        <v>2</v>
      </c>
    </row>
    <row r="65" spans="1:13">
      <c r="A65" s="32">
        <f t="shared" ca="1" si="0"/>
        <v>95</v>
      </c>
      <c r="B65" s="32" cm="1">
        <f t="array" aca="1" ref="B65" ca="1">INDEX(Data_DBD!$B:$B,$A65)</f>
        <v>11</v>
      </c>
      <c r="C65" s="32" cm="1">
        <f t="array" aca="1" ref="C65" ca="1">INDEX(Data_DBD!$C:$C,$A65)</f>
        <v>3</v>
      </c>
      <c r="D65" s="32" cm="1">
        <f t="array" aca="1" ref="D65" ca="1">INDEX(Data_DBD!$D:$D,$A65)</f>
        <v>18</v>
      </c>
      <c r="E65" s="32" cm="1">
        <f t="array" aca="1" ref="E65" ca="1">INDEX(Data_DBD!$E:$E,$A65)</f>
        <v>1</v>
      </c>
      <c r="F65" s="32" cm="1">
        <f t="array" aca="1" ref="F65" ca="1">INDEX(Data_DBD!$F:$F,$A65)</f>
        <v>3</v>
      </c>
      <c r="H65" s="32">
        <v>145</v>
      </c>
      <c r="I65" s="32">
        <v>28</v>
      </c>
      <c r="J65" s="32">
        <v>4</v>
      </c>
      <c r="K65" s="32">
        <v>21</v>
      </c>
      <c r="L65" s="32">
        <v>1</v>
      </c>
      <c r="M65" s="32">
        <v>3</v>
      </c>
    </row>
    <row r="66" spans="1:13">
      <c r="A66" s="32">
        <f t="shared" ca="1" si="0"/>
        <v>161</v>
      </c>
      <c r="B66" s="32" cm="1">
        <f t="array" aca="1" ref="B66" ca="1">INDEX(Data_DBD!$B:$B,$A66)</f>
        <v>12</v>
      </c>
      <c r="C66" s="32" cm="1">
        <f t="array" aca="1" ref="C66" ca="1">INDEX(Data_DBD!$C:$C,$A66)</f>
        <v>3</v>
      </c>
      <c r="D66" s="32" cm="1">
        <f t="array" aca="1" ref="D66" ca="1">INDEX(Data_DBD!$D:$D,$A66)</f>
        <v>21</v>
      </c>
      <c r="E66" s="32" cm="1">
        <f t="array" aca="1" ref="E66" ca="1">INDEX(Data_DBD!$E:$E,$A66)</f>
        <v>1</v>
      </c>
      <c r="F66" s="32" cm="1">
        <f t="array" aca="1" ref="F66" ca="1">INDEX(Data_DBD!$F:$F,$A66)</f>
        <v>3</v>
      </c>
      <c r="H66" s="32">
        <v>154</v>
      </c>
      <c r="I66" s="32">
        <v>18</v>
      </c>
      <c r="J66" s="32">
        <v>5</v>
      </c>
      <c r="K66" s="32">
        <v>21</v>
      </c>
      <c r="L66" s="32">
        <v>1</v>
      </c>
      <c r="M66" s="32">
        <v>3</v>
      </c>
    </row>
    <row r="67" spans="1:13">
      <c r="A67" s="32">
        <f t="shared" ref="A67:A130" ca="1" si="1">RANDBETWEEN(2,164)</f>
        <v>142</v>
      </c>
      <c r="B67" s="32" cm="1">
        <f t="array" aca="1" ref="B67" ca="1">INDEX(Data_DBD!$B:$B,$A67)</f>
        <v>39</v>
      </c>
      <c r="C67" s="32" cm="1">
        <f t="array" aca="1" ref="C67" ca="1">INDEX(Data_DBD!$C:$C,$A67)</f>
        <v>2</v>
      </c>
      <c r="D67" s="32" cm="1">
        <f t="array" aca="1" ref="D67" ca="1">INDEX(Data_DBD!$D:$D,$A67)</f>
        <v>21</v>
      </c>
      <c r="E67" s="32" cm="1">
        <f t="array" aca="1" ref="E67" ca="1">INDEX(Data_DBD!$E:$E,$A67)</f>
        <v>1</v>
      </c>
      <c r="F67" s="32" cm="1">
        <f t="array" aca="1" ref="F67" ca="1">INDEX(Data_DBD!$F:$F,$A67)</f>
        <v>3</v>
      </c>
      <c r="H67" s="32">
        <v>57</v>
      </c>
      <c r="I67" s="32">
        <v>2</v>
      </c>
      <c r="J67" s="32">
        <v>2</v>
      </c>
      <c r="K67" s="32">
        <v>15</v>
      </c>
      <c r="L67" s="32">
        <v>1</v>
      </c>
      <c r="M67" s="32">
        <v>2</v>
      </c>
    </row>
    <row r="68" spans="1:13">
      <c r="A68" s="32">
        <f t="shared" ca="1" si="1"/>
        <v>161</v>
      </c>
      <c r="B68" s="32" cm="1">
        <f t="array" aca="1" ref="B68" ca="1">INDEX(Data_DBD!$B:$B,$A68)</f>
        <v>12</v>
      </c>
      <c r="C68" s="32" cm="1">
        <f t="array" aca="1" ref="C68" ca="1">INDEX(Data_DBD!$C:$C,$A68)</f>
        <v>3</v>
      </c>
      <c r="D68" s="32" cm="1">
        <f t="array" aca="1" ref="D68" ca="1">INDEX(Data_DBD!$D:$D,$A68)</f>
        <v>21</v>
      </c>
      <c r="E68" s="32" cm="1">
        <f t="array" aca="1" ref="E68" ca="1">INDEX(Data_DBD!$E:$E,$A68)</f>
        <v>1</v>
      </c>
      <c r="F68" s="32" cm="1">
        <f t="array" aca="1" ref="F68" ca="1">INDEX(Data_DBD!$F:$F,$A68)</f>
        <v>3</v>
      </c>
      <c r="H68" s="32">
        <v>104</v>
      </c>
      <c r="I68" s="32">
        <v>37</v>
      </c>
      <c r="J68" s="32">
        <v>4</v>
      </c>
      <c r="K68" s="32">
        <v>18</v>
      </c>
      <c r="L68" s="32">
        <v>1</v>
      </c>
      <c r="M68" s="32">
        <v>3</v>
      </c>
    </row>
    <row r="69" spans="1:13">
      <c r="A69" s="32">
        <f t="shared" ca="1" si="1"/>
        <v>141</v>
      </c>
      <c r="B69" s="32" cm="1">
        <f t="array" aca="1" ref="B69" ca="1">INDEX(Data_DBD!$B:$B,$A69)</f>
        <v>36</v>
      </c>
      <c r="C69" s="32" cm="1">
        <f t="array" aca="1" ref="C69" ca="1">INDEX(Data_DBD!$C:$C,$A69)</f>
        <v>2</v>
      </c>
      <c r="D69" s="32" cm="1">
        <f t="array" aca="1" ref="D69" ca="1">INDEX(Data_DBD!$D:$D,$A69)</f>
        <v>21</v>
      </c>
      <c r="E69" s="32" cm="1">
        <f t="array" aca="1" ref="E69" ca="1">INDEX(Data_DBD!$E:$E,$A69)</f>
        <v>0</v>
      </c>
      <c r="F69" s="32" cm="1">
        <f t="array" aca="1" ref="F69" ca="1">INDEX(Data_DBD!$F:$F,$A69)</f>
        <v>3</v>
      </c>
      <c r="H69" s="32">
        <v>37</v>
      </c>
      <c r="I69" s="32">
        <v>28</v>
      </c>
      <c r="J69" s="32">
        <v>4</v>
      </c>
      <c r="K69" s="32">
        <v>4</v>
      </c>
      <c r="L69" s="32">
        <v>1</v>
      </c>
      <c r="M69" s="32">
        <v>1</v>
      </c>
    </row>
    <row r="70" spans="1:13">
      <c r="A70" s="32">
        <f t="shared" ca="1" si="1"/>
        <v>8</v>
      </c>
      <c r="B70" s="32" cm="1">
        <f t="array" aca="1" ref="B70" ca="1">INDEX(Data_DBD!$B:$B,$A70)</f>
        <v>4</v>
      </c>
      <c r="C70" s="32" cm="1">
        <f t="array" aca="1" ref="C70" ca="1">INDEX(Data_DBD!$C:$C,$A70)</f>
        <v>2</v>
      </c>
      <c r="D70" s="32" cm="1">
        <f t="array" aca="1" ref="D70" ca="1">INDEX(Data_DBD!$D:$D,$A70)</f>
        <v>12</v>
      </c>
      <c r="E70" s="32" cm="1">
        <f t="array" aca="1" ref="E70" ca="1">INDEX(Data_DBD!$E:$E,$A70)</f>
        <v>0</v>
      </c>
      <c r="F70" s="32" cm="1">
        <f t="array" aca="1" ref="F70" ca="1">INDEX(Data_DBD!$F:$F,$A70)</f>
        <v>2</v>
      </c>
      <c r="H70" s="32">
        <v>93</v>
      </c>
      <c r="I70" s="32">
        <v>65</v>
      </c>
      <c r="J70" s="32">
        <v>4</v>
      </c>
      <c r="K70" s="32">
        <v>18</v>
      </c>
      <c r="L70" s="32">
        <v>0</v>
      </c>
      <c r="M70" s="32">
        <v>3</v>
      </c>
    </row>
    <row r="71" spans="1:13">
      <c r="A71" s="32">
        <f t="shared" ca="1" si="1"/>
        <v>91</v>
      </c>
      <c r="B71" s="32" cm="1">
        <f t="array" aca="1" ref="B71" ca="1">INDEX(Data_DBD!$B:$B,$A71)</f>
        <v>35</v>
      </c>
      <c r="C71" s="32" cm="1">
        <f t="array" aca="1" ref="C71" ca="1">INDEX(Data_DBD!$C:$C,$A71)</f>
        <v>1</v>
      </c>
      <c r="D71" s="32" cm="1">
        <f t="array" aca="1" ref="D71" ca="1">INDEX(Data_DBD!$D:$D,$A71)</f>
        <v>18</v>
      </c>
      <c r="E71" s="32" cm="1">
        <f t="array" aca="1" ref="E71" ca="1">INDEX(Data_DBD!$E:$E,$A71)</f>
        <v>1</v>
      </c>
      <c r="F71" s="32" cm="1">
        <f t="array" aca="1" ref="F71" ca="1">INDEX(Data_DBD!$F:$F,$A71)</f>
        <v>3</v>
      </c>
      <c r="H71" s="32">
        <v>4</v>
      </c>
      <c r="I71" s="32">
        <v>23</v>
      </c>
      <c r="J71" s="32">
        <v>5</v>
      </c>
      <c r="K71" s="32">
        <v>12</v>
      </c>
      <c r="L71" s="32">
        <v>0</v>
      </c>
      <c r="M71" s="32">
        <v>2</v>
      </c>
    </row>
    <row r="72" spans="1:13">
      <c r="A72" s="32">
        <f t="shared" ca="1" si="1"/>
        <v>154</v>
      </c>
      <c r="B72" s="32" cm="1">
        <f t="array" aca="1" ref="B72" ca="1">INDEX(Data_DBD!$B:$B,$A72)</f>
        <v>18</v>
      </c>
      <c r="C72" s="32" cm="1">
        <f t="array" aca="1" ref="C72" ca="1">INDEX(Data_DBD!$C:$C,$A72)</f>
        <v>5</v>
      </c>
      <c r="D72" s="32" cm="1">
        <f t="array" aca="1" ref="D72" ca="1">INDEX(Data_DBD!$D:$D,$A72)</f>
        <v>21</v>
      </c>
      <c r="E72" s="32" cm="1">
        <f t="array" aca="1" ref="E72" ca="1">INDEX(Data_DBD!$E:$E,$A72)</f>
        <v>1</v>
      </c>
      <c r="F72" s="32" cm="1">
        <f t="array" aca="1" ref="F72" ca="1">INDEX(Data_DBD!$F:$F,$A72)</f>
        <v>3</v>
      </c>
      <c r="H72" s="32">
        <v>121</v>
      </c>
      <c r="I72" s="32">
        <v>82</v>
      </c>
      <c r="J72" s="32">
        <v>5</v>
      </c>
      <c r="K72" s="32">
        <v>33</v>
      </c>
      <c r="L72" s="32">
        <v>1</v>
      </c>
      <c r="M72" s="32">
        <v>3</v>
      </c>
    </row>
    <row r="73" spans="1:13">
      <c r="A73" s="32">
        <f t="shared" ca="1" si="1"/>
        <v>40</v>
      </c>
      <c r="B73" s="32" cm="1">
        <f t="array" aca="1" ref="B73" ca="1">INDEX(Data_DBD!$B:$B,$A73)</f>
        <v>65</v>
      </c>
      <c r="C73" s="32" cm="1">
        <f t="array" aca="1" ref="C73" ca="1">INDEX(Data_DBD!$C:$C,$A73)</f>
        <v>3</v>
      </c>
      <c r="D73" s="32" cm="1">
        <f t="array" aca="1" ref="D73" ca="1">INDEX(Data_DBD!$D:$D,$A73)</f>
        <v>13</v>
      </c>
      <c r="E73" s="32" cm="1">
        <f t="array" aca="1" ref="E73" ca="1">INDEX(Data_DBD!$E:$E,$A73)</f>
        <v>1</v>
      </c>
      <c r="F73" s="32" cm="1">
        <f t="array" aca="1" ref="F73" ca="1">INDEX(Data_DBD!$F:$F,$A73)</f>
        <v>2</v>
      </c>
      <c r="H73" s="32">
        <v>31</v>
      </c>
      <c r="I73" s="32">
        <v>64</v>
      </c>
      <c r="J73" s="32">
        <v>4</v>
      </c>
      <c r="K73" s="32">
        <v>14</v>
      </c>
      <c r="L73" s="32">
        <v>1</v>
      </c>
      <c r="M73" s="32">
        <v>2</v>
      </c>
    </row>
    <row r="74" spans="1:13">
      <c r="A74" s="32">
        <f t="shared" ca="1" si="1"/>
        <v>8</v>
      </c>
      <c r="B74" s="32" cm="1">
        <f t="array" aca="1" ref="B74" ca="1">INDEX(Data_DBD!$B:$B,$A74)</f>
        <v>4</v>
      </c>
      <c r="C74" s="32" cm="1">
        <f t="array" aca="1" ref="C74" ca="1">INDEX(Data_DBD!$C:$C,$A74)</f>
        <v>2</v>
      </c>
      <c r="D74" s="32" cm="1">
        <f t="array" aca="1" ref="D74" ca="1">INDEX(Data_DBD!$D:$D,$A74)</f>
        <v>12</v>
      </c>
      <c r="E74" s="32" cm="1">
        <f t="array" aca="1" ref="E74" ca="1">INDEX(Data_DBD!$E:$E,$A74)</f>
        <v>0</v>
      </c>
      <c r="F74" s="32" cm="1">
        <f t="array" aca="1" ref="F74" ca="1">INDEX(Data_DBD!$F:$F,$A74)</f>
        <v>2</v>
      </c>
      <c r="H74" s="32">
        <v>30</v>
      </c>
      <c r="I74" s="32" t="s">
        <v>37</v>
      </c>
      <c r="J74" s="32">
        <v>2</v>
      </c>
      <c r="K74" s="32">
        <v>14</v>
      </c>
      <c r="L74" s="32">
        <v>1</v>
      </c>
      <c r="M74" s="32">
        <v>2</v>
      </c>
    </row>
    <row r="75" spans="1:13">
      <c r="A75" s="32">
        <f t="shared" ca="1" si="1"/>
        <v>31</v>
      </c>
      <c r="B75" s="32" cm="1">
        <f t="array" aca="1" ref="B75" ca="1">INDEX(Data_DBD!$B:$B,$A75)</f>
        <v>64</v>
      </c>
      <c r="C75" s="32" cm="1">
        <f t="array" aca="1" ref="C75" ca="1">INDEX(Data_DBD!$C:$C,$A75)</f>
        <v>4</v>
      </c>
      <c r="D75" s="32" cm="1">
        <f t="array" aca="1" ref="D75" ca="1">INDEX(Data_DBD!$D:$D,$A75)</f>
        <v>14</v>
      </c>
      <c r="E75" s="32" cm="1">
        <f t="array" aca="1" ref="E75" ca="1">INDEX(Data_DBD!$E:$E,$A75)</f>
        <v>1</v>
      </c>
      <c r="F75" s="32" cm="1">
        <f t="array" aca="1" ref="F75" ca="1">INDEX(Data_DBD!$F:$F,$A75)</f>
        <v>2</v>
      </c>
      <c r="H75" s="32">
        <v>78</v>
      </c>
      <c r="I75" s="32">
        <v>6</v>
      </c>
      <c r="J75" s="32">
        <v>3</v>
      </c>
      <c r="K75" s="32">
        <v>13</v>
      </c>
      <c r="L75" s="32">
        <v>0</v>
      </c>
      <c r="M75" s="32">
        <v>2</v>
      </c>
    </row>
    <row r="76" spans="1:13">
      <c r="A76" s="32">
        <f t="shared" ca="1" si="1"/>
        <v>110</v>
      </c>
      <c r="B76" s="32" cm="1">
        <f t="array" aca="1" ref="B76" ca="1">INDEX(Data_DBD!$B:$B,$A76)</f>
        <v>42</v>
      </c>
      <c r="C76" s="32" cm="1">
        <f t="array" aca="1" ref="C76" ca="1">INDEX(Data_DBD!$C:$C,$A76)</f>
        <v>2</v>
      </c>
      <c r="D76" s="32" cm="1">
        <f t="array" aca="1" ref="D76" ca="1">INDEX(Data_DBD!$D:$D,$A76)</f>
        <v>33</v>
      </c>
      <c r="E76" s="32" cm="1">
        <f t="array" aca="1" ref="E76" ca="1">INDEX(Data_DBD!$E:$E,$A76)</f>
        <v>1</v>
      </c>
      <c r="F76" s="32" cm="1">
        <f t="array" aca="1" ref="F76" ca="1">INDEX(Data_DBD!$F:$F,$A76)</f>
        <v>3</v>
      </c>
      <c r="H76" s="32">
        <v>61</v>
      </c>
      <c r="I76" s="32">
        <v>29</v>
      </c>
      <c r="J76" s="32">
        <v>3</v>
      </c>
      <c r="K76" s="32">
        <v>15</v>
      </c>
      <c r="L76" s="32">
        <v>1</v>
      </c>
      <c r="M76" s="32">
        <v>2</v>
      </c>
    </row>
    <row r="77" spans="1:13">
      <c r="A77" s="32">
        <f t="shared" ca="1" si="1"/>
        <v>68</v>
      </c>
      <c r="B77" s="32" cm="1">
        <f t="array" aca="1" ref="B77" ca="1">INDEX(Data_DBD!$B:$B,$A77)</f>
        <v>44</v>
      </c>
      <c r="C77" s="32" cm="1">
        <f t="array" aca="1" ref="C77" ca="1">INDEX(Data_DBD!$C:$C,$A77)</f>
        <v>5</v>
      </c>
      <c r="D77" s="32" cm="1">
        <f t="array" aca="1" ref="D77" ca="1">INDEX(Data_DBD!$D:$D,$A77)</f>
        <v>10</v>
      </c>
      <c r="E77" s="32" cm="1">
        <f t="array" aca="1" ref="E77" ca="1">INDEX(Data_DBD!$E:$E,$A77)</f>
        <v>0</v>
      </c>
      <c r="F77" s="32" cm="1">
        <f t="array" aca="1" ref="F77" ca="1">INDEX(Data_DBD!$F:$F,$A77)</f>
        <v>2</v>
      </c>
      <c r="H77" s="32">
        <v>20</v>
      </c>
      <c r="I77" s="32">
        <v>15</v>
      </c>
      <c r="J77" s="32">
        <v>5</v>
      </c>
      <c r="K77" s="32">
        <v>7</v>
      </c>
      <c r="L77" s="32">
        <v>0</v>
      </c>
      <c r="M77" s="32">
        <v>1</v>
      </c>
    </row>
    <row r="78" spans="1:13">
      <c r="A78" s="32">
        <f t="shared" ca="1" si="1"/>
        <v>161</v>
      </c>
      <c r="B78" s="32" cm="1">
        <f t="array" aca="1" ref="B78" ca="1">INDEX(Data_DBD!$B:$B,$A78)</f>
        <v>12</v>
      </c>
      <c r="C78" s="32" cm="1">
        <f t="array" aca="1" ref="C78" ca="1">INDEX(Data_DBD!$C:$C,$A78)</f>
        <v>3</v>
      </c>
      <c r="D78" s="32" cm="1">
        <f t="array" aca="1" ref="D78" ca="1">INDEX(Data_DBD!$D:$D,$A78)</f>
        <v>21</v>
      </c>
      <c r="E78" s="32" cm="1">
        <f t="array" aca="1" ref="E78" ca="1">INDEX(Data_DBD!$E:$E,$A78)</f>
        <v>1</v>
      </c>
      <c r="F78" s="32" cm="1">
        <f t="array" aca="1" ref="F78" ca="1">INDEX(Data_DBD!$F:$F,$A78)</f>
        <v>3</v>
      </c>
      <c r="H78" s="32">
        <v>57</v>
      </c>
      <c r="I78" s="32">
        <v>2</v>
      </c>
      <c r="J78" s="32">
        <v>2</v>
      </c>
      <c r="K78" s="32">
        <v>15</v>
      </c>
      <c r="L78" s="32">
        <v>1</v>
      </c>
      <c r="M78" s="32">
        <v>2</v>
      </c>
    </row>
    <row r="79" spans="1:13">
      <c r="A79" s="32">
        <f t="shared" ca="1" si="1"/>
        <v>27</v>
      </c>
      <c r="B79" s="32" cm="1">
        <f t="array" aca="1" ref="B79" ca="1">INDEX(Data_DBD!$B:$B,$A79)</f>
        <v>37</v>
      </c>
      <c r="C79" s="32" cm="1">
        <f t="array" aca="1" ref="C79" ca="1">INDEX(Data_DBD!$C:$C,$A79)</f>
        <v>4</v>
      </c>
      <c r="D79" s="32" cm="1">
        <f t="array" aca="1" ref="D79" ca="1">INDEX(Data_DBD!$D:$D,$A79)</f>
        <v>14</v>
      </c>
      <c r="E79" s="32" cm="1">
        <f t="array" aca="1" ref="E79" ca="1">INDEX(Data_DBD!$E:$E,$A79)</f>
        <v>1</v>
      </c>
      <c r="F79" s="32" cm="1">
        <f t="array" aca="1" ref="F79" ca="1">INDEX(Data_DBD!$F:$F,$A79)</f>
        <v>2</v>
      </c>
      <c r="H79" s="32">
        <v>70</v>
      </c>
      <c r="I79" s="32">
        <v>26</v>
      </c>
      <c r="J79" s="32">
        <v>3</v>
      </c>
      <c r="K79" s="32">
        <v>10</v>
      </c>
      <c r="L79" s="32">
        <v>1</v>
      </c>
      <c r="M79" s="32">
        <v>2</v>
      </c>
    </row>
    <row r="80" spans="1:13">
      <c r="A80" s="32">
        <f t="shared" ca="1" si="1"/>
        <v>131</v>
      </c>
      <c r="B80" s="32" cm="1">
        <f t="array" aca="1" ref="B80" ca="1">INDEX(Data_DBD!$B:$B,$A80)</f>
        <v>10</v>
      </c>
      <c r="C80" s="32" cm="1">
        <f t="array" aca="1" ref="C80" ca="1">INDEX(Data_DBD!$C:$C,$A80)</f>
        <v>2</v>
      </c>
      <c r="D80" s="32" cm="1">
        <f t="array" aca="1" ref="D80" ca="1">INDEX(Data_DBD!$D:$D,$A80)</f>
        <v>33</v>
      </c>
      <c r="E80" s="32" cm="1">
        <f t="array" aca="1" ref="E80" ca="1">INDEX(Data_DBD!$E:$E,$A80)</f>
        <v>0</v>
      </c>
      <c r="F80" s="32" cm="1">
        <f t="array" aca="1" ref="F80" ca="1">INDEX(Data_DBD!$F:$F,$A80)</f>
        <v>3</v>
      </c>
      <c r="H80" s="32">
        <v>107</v>
      </c>
      <c r="I80" s="32">
        <v>48</v>
      </c>
      <c r="J80" s="32">
        <v>5</v>
      </c>
      <c r="K80" s="32">
        <v>18</v>
      </c>
      <c r="L80" s="32">
        <v>0</v>
      </c>
      <c r="M80" s="32">
        <v>3</v>
      </c>
    </row>
    <row r="81" spans="1:13">
      <c r="A81" s="32">
        <f t="shared" ca="1" si="1"/>
        <v>104</v>
      </c>
      <c r="B81" s="32" cm="1">
        <f t="array" aca="1" ref="B81" ca="1">INDEX(Data_DBD!$B:$B,$A81)</f>
        <v>37</v>
      </c>
      <c r="C81" s="32" cm="1">
        <f t="array" aca="1" ref="C81" ca="1">INDEX(Data_DBD!$C:$C,$A81)</f>
        <v>4</v>
      </c>
      <c r="D81" s="32" cm="1">
        <f t="array" aca="1" ref="D81" ca="1">INDEX(Data_DBD!$D:$D,$A81)</f>
        <v>18</v>
      </c>
      <c r="E81" s="32" cm="1">
        <f t="array" aca="1" ref="E81" ca="1">INDEX(Data_DBD!$E:$E,$A81)</f>
        <v>1</v>
      </c>
      <c r="F81" s="32" cm="1">
        <f t="array" aca="1" ref="F81" ca="1">INDEX(Data_DBD!$F:$F,$A81)</f>
        <v>3</v>
      </c>
      <c r="H81" s="32">
        <v>54</v>
      </c>
      <c r="I81" s="32">
        <v>7</v>
      </c>
      <c r="J81" s="32">
        <v>3</v>
      </c>
      <c r="K81" s="32">
        <v>15</v>
      </c>
      <c r="L81" s="32">
        <v>0</v>
      </c>
      <c r="M81" s="32">
        <v>2</v>
      </c>
    </row>
    <row r="82" spans="1:13">
      <c r="A82" s="32">
        <f t="shared" ca="1" si="1"/>
        <v>136</v>
      </c>
      <c r="B82" s="32" cm="1">
        <f t="array" aca="1" ref="B82" ca="1">INDEX(Data_DBD!$B:$B,$A82)</f>
        <v>6</v>
      </c>
      <c r="C82" s="32" cm="1">
        <f t="array" aca="1" ref="C82" ca="1">INDEX(Data_DBD!$C:$C,$A82)</f>
        <v>2</v>
      </c>
      <c r="D82" s="32" cm="1">
        <f t="array" aca="1" ref="D82" ca="1">INDEX(Data_DBD!$D:$D,$A82)</f>
        <v>33</v>
      </c>
      <c r="E82" s="32" cm="1">
        <f t="array" aca="1" ref="E82" ca="1">INDEX(Data_DBD!$E:$E,$A82)</f>
        <v>0</v>
      </c>
      <c r="F82" s="32" cm="1">
        <f t="array" aca="1" ref="F82" ca="1">INDEX(Data_DBD!$F:$F,$A82)</f>
        <v>3</v>
      </c>
      <c r="H82" s="32">
        <v>51</v>
      </c>
      <c r="I82" s="32">
        <v>48</v>
      </c>
      <c r="J82" s="32">
        <v>4</v>
      </c>
      <c r="K82" s="32">
        <v>13</v>
      </c>
      <c r="L82" s="32">
        <v>0</v>
      </c>
      <c r="M82" s="32">
        <v>2</v>
      </c>
    </row>
    <row r="83" spans="1:13">
      <c r="A83" s="32">
        <f t="shared" ca="1" si="1"/>
        <v>68</v>
      </c>
      <c r="B83" s="32" cm="1">
        <f t="array" aca="1" ref="B83" ca="1">INDEX(Data_DBD!$B:$B,$A83)</f>
        <v>44</v>
      </c>
      <c r="C83" s="32" cm="1">
        <f t="array" aca="1" ref="C83" ca="1">INDEX(Data_DBD!$C:$C,$A83)</f>
        <v>5</v>
      </c>
      <c r="D83" s="32" cm="1">
        <f t="array" aca="1" ref="D83" ca="1">INDEX(Data_DBD!$D:$D,$A83)</f>
        <v>10</v>
      </c>
      <c r="E83" s="32" cm="1">
        <f t="array" aca="1" ref="E83" ca="1">INDEX(Data_DBD!$E:$E,$A83)</f>
        <v>0</v>
      </c>
      <c r="F83" s="32" cm="1">
        <f t="array" aca="1" ref="F83" ca="1">INDEX(Data_DBD!$F:$F,$A83)</f>
        <v>2</v>
      </c>
      <c r="H83" s="32">
        <v>159</v>
      </c>
      <c r="I83" s="32">
        <v>17</v>
      </c>
      <c r="J83" s="32">
        <v>2</v>
      </c>
      <c r="K83" s="32">
        <v>21</v>
      </c>
      <c r="L83" s="32">
        <v>0</v>
      </c>
      <c r="M83" s="32">
        <v>3</v>
      </c>
    </row>
    <row r="84" spans="1:13">
      <c r="A84" s="32">
        <f t="shared" ca="1" si="1"/>
        <v>49</v>
      </c>
      <c r="B84" s="32" cm="1">
        <f t="array" aca="1" ref="B84" ca="1">INDEX(Data_DBD!$B:$B,$A84)</f>
        <v>64</v>
      </c>
      <c r="C84" s="32" cm="1">
        <f t="array" aca="1" ref="C84" ca="1">INDEX(Data_DBD!$C:$C,$A84)</f>
        <v>5</v>
      </c>
      <c r="D84" s="32" cm="1">
        <f t="array" aca="1" ref="D84" ca="1">INDEX(Data_DBD!$D:$D,$A84)</f>
        <v>13</v>
      </c>
      <c r="E84" s="32" cm="1">
        <f t="array" aca="1" ref="E84" ca="1">INDEX(Data_DBD!$E:$E,$A84)</f>
        <v>0</v>
      </c>
      <c r="F84" s="32" cm="1">
        <f t="array" aca="1" ref="F84" ca="1">INDEX(Data_DBD!$F:$F,$A84)</f>
        <v>2</v>
      </c>
      <c r="H84" s="32">
        <v>43</v>
      </c>
      <c r="I84" s="32">
        <v>15</v>
      </c>
      <c r="J84" s="32">
        <v>4</v>
      </c>
      <c r="K84" s="32">
        <v>13</v>
      </c>
      <c r="L84" s="32">
        <v>0</v>
      </c>
      <c r="M84" s="32">
        <v>2</v>
      </c>
    </row>
    <row r="85" spans="1:13">
      <c r="A85" s="32">
        <f t="shared" ca="1" si="1"/>
        <v>81</v>
      </c>
      <c r="B85" s="32" cm="1">
        <f t="array" aca="1" ref="B85" ca="1">INDEX(Data_DBD!$B:$B,$A85)</f>
        <v>23</v>
      </c>
      <c r="C85" s="32" cm="1">
        <f t="array" aca="1" ref="C85" ca="1">INDEX(Data_DBD!$C:$C,$A85)</f>
        <v>5</v>
      </c>
      <c r="D85" s="32" cm="1">
        <f t="array" aca="1" ref="D85" ca="1">INDEX(Data_DBD!$D:$D,$A85)</f>
        <v>13</v>
      </c>
      <c r="E85" s="32" cm="1">
        <f t="array" aca="1" ref="E85" ca="1">INDEX(Data_DBD!$E:$E,$A85)</f>
        <v>1</v>
      </c>
      <c r="F85" s="32" cm="1">
        <f t="array" aca="1" ref="F85" ca="1">INDEX(Data_DBD!$F:$F,$A85)</f>
        <v>2</v>
      </c>
      <c r="H85" s="32">
        <v>155</v>
      </c>
      <c r="I85" s="32">
        <v>19</v>
      </c>
      <c r="J85" s="32">
        <v>5</v>
      </c>
      <c r="K85" s="32">
        <v>21</v>
      </c>
      <c r="L85" s="32">
        <v>1</v>
      </c>
      <c r="M85" s="32">
        <v>3</v>
      </c>
    </row>
    <row r="86" spans="1:13">
      <c r="A86" s="32">
        <f t="shared" ca="1" si="1"/>
        <v>6</v>
      </c>
      <c r="B86" s="32" cm="1">
        <f t="array" aca="1" ref="B86" ca="1">INDEX(Data_DBD!$B:$B,$A86)</f>
        <v>14</v>
      </c>
      <c r="C86" s="32" cm="1">
        <f t="array" aca="1" ref="C86" ca="1">INDEX(Data_DBD!$C:$C,$A86)</f>
        <v>4</v>
      </c>
      <c r="D86" s="32" cm="1">
        <f t="array" aca="1" ref="D86" ca="1">INDEX(Data_DBD!$D:$D,$A86)</f>
        <v>12</v>
      </c>
      <c r="E86" s="32" cm="1">
        <f t="array" aca="1" ref="E86" ca="1">INDEX(Data_DBD!$E:$E,$A86)</f>
        <v>0</v>
      </c>
      <c r="F86" s="32" cm="1">
        <f t="array" aca="1" ref="F86" ca="1">INDEX(Data_DBD!$F:$F,$A86)</f>
        <v>2</v>
      </c>
      <c r="H86" s="32">
        <v>60</v>
      </c>
      <c r="I86" s="32">
        <v>68</v>
      </c>
      <c r="J86" s="32">
        <v>4</v>
      </c>
      <c r="K86" s="32">
        <v>15</v>
      </c>
      <c r="L86" s="32">
        <v>0</v>
      </c>
      <c r="M86" s="32">
        <v>2</v>
      </c>
    </row>
    <row r="87" spans="1:13">
      <c r="A87" s="32">
        <f t="shared" ca="1" si="1"/>
        <v>154</v>
      </c>
      <c r="B87" s="32" cm="1">
        <f t="array" aca="1" ref="B87" ca="1">INDEX(Data_DBD!$B:$B,$A87)</f>
        <v>18</v>
      </c>
      <c r="C87" s="32" cm="1">
        <f t="array" aca="1" ref="C87" ca="1">INDEX(Data_DBD!$C:$C,$A87)</f>
        <v>5</v>
      </c>
      <c r="D87" s="32" cm="1">
        <f t="array" aca="1" ref="D87" ca="1">INDEX(Data_DBD!$D:$D,$A87)</f>
        <v>21</v>
      </c>
      <c r="E87" s="32" cm="1">
        <f t="array" aca="1" ref="E87" ca="1">INDEX(Data_DBD!$E:$E,$A87)</f>
        <v>1</v>
      </c>
      <c r="F87" s="32" cm="1">
        <f t="array" aca="1" ref="F87" ca="1">INDEX(Data_DBD!$F:$F,$A87)</f>
        <v>3</v>
      </c>
      <c r="H87" s="32">
        <v>122</v>
      </c>
      <c r="I87" s="32">
        <v>28</v>
      </c>
      <c r="J87" s="32">
        <v>3</v>
      </c>
      <c r="K87" s="32">
        <v>33</v>
      </c>
      <c r="L87" s="32">
        <v>1</v>
      </c>
      <c r="M87" s="32">
        <v>3</v>
      </c>
    </row>
    <row r="88" spans="1:13">
      <c r="A88" s="32">
        <f t="shared" ca="1" si="1"/>
        <v>28</v>
      </c>
      <c r="B88" s="32" cm="1">
        <f t="array" aca="1" ref="B88" ca="1">INDEX(Data_DBD!$B:$B,$A88)</f>
        <v>22</v>
      </c>
      <c r="C88" s="32" cm="1">
        <f t="array" aca="1" ref="C88" ca="1">INDEX(Data_DBD!$C:$C,$A88)</f>
        <v>2</v>
      </c>
      <c r="D88" s="32" cm="1">
        <f t="array" aca="1" ref="D88" ca="1">INDEX(Data_DBD!$D:$D,$A88)</f>
        <v>14</v>
      </c>
      <c r="E88" s="32" cm="1">
        <f t="array" aca="1" ref="E88" ca="1">INDEX(Data_DBD!$E:$E,$A88)</f>
        <v>1</v>
      </c>
      <c r="F88" s="32" cm="1">
        <f t="array" aca="1" ref="F88" ca="1">INDEX(Data_DBD!$F:$F,$A88)</f>
        <v>2</v>
      </c>
      <c r="H88" s="32">
        <v>62</v>
      </c>
      <c r="I88" s="32">
        <v>43</v>
      </c>
      <c r="J88" s="32">
        <v>4</v>
      </c>
      <c r="K88" s="32">
        <v>15</v>
      </c>
      <c r="L88" s="32">
        <v>1</v>
      </c>
      <c r="M88" s="32">
        <v>2</v>
      </c>
    </row>
    <row r="89" spans="1:13">
      <c r="A89" s="32">
        <f t="shared" ca="1" si="1"/>
        <v>76</v>
      </c>
      <c r="B89" s="32" cm="1">
        <f t="array" aca="1" ref="B89" ca="1">INDEX(Data_DBD!$B:$B,$A89)</f>
        <v>70</v>
      </c>
      <c r="C89" s="32" cm="1">
        <f t="array" aca="1" ref="C89" ca="1">INDEX(Data_DBD!$C:$C,$A89)</f>
        <v>2</v>
      </c>
      <c r="D89" s="32" cm="1">
        <f t="array" aca="1" ref="D89" ca="1">INDEX(Data_DBD!$D:$D,$A89)</f>
        <v>10</v>
      </c>
      <c r="E89" s="32" cm="1">
        <f t="array" aca="1" ref="E89" ca="1">INDEX(Data_DBD!$E:$E,$A89)</f>
        <v>0</v>
      </c>
      <c r="F89" s="32" cm="1">
        <f t="array" aca="1" ref="F89" ca="1">INDEX(Data_DBD!$F:$F,$A89)</f>
        <v>2</v>
      </c>
      <c r="H89" s="32">
        <v>45</v>
      </c>
      <c r="I89" s="32">
        <v>75</v>
      </c>
      <c r="J89" s="32">
        <v>3</v>
      </c>
      <c r="K89" s="32">
        <v>13</v>
      </c>
      <c r="L89" s="32">
        <v>1</v>
      </c>
      <c r="M89" s="32">
        <v>2</v>
      </c>
    </row>
    <row r="90" spans="1:13">
      <c r="A90" s="32">
        <f t="shared" ca="1" si="1"/>
        <v>48</v>
      </c>
      <c r="B90" s="32" cm="1">
        <f t="array" aca="1" ref="B90" ca="1">INDEX(Data_DBD!$B:$B,$A90)</f>
        <v>50</v>
      </c>
      <c r="C90" s="32" cm="1">
        <f t="array" aca="1" ref="C90" ca="1">INDEX(Data_DBD!$C:$C,$A90)</f>
        <v>5</v>
      </c>
      <c r="D90" s="32" cm="1">
        <f t="array" aca="1" ref="D90" ca="1">INDEX(Data_DBD!$D:$D,$A90)</f>
        <v>13</v>
      </c>
      <c r="E90" s="32" cm="1">
        <f t="array" aca="1" ref="E90" ca="1">INDEX(Data_DBD!$E:$E,$A90)</f>
        <v>1</v>
      </c>
      <c r="F90" s="32" cm="1">
        <f t="array" aca="1" ref="F90" ca="1">INDEX(Data_DBD!$F:$F,$A90)</f>
        <v>2</v>
      </c>
      <c r="H90" s="32">
        <v>32</v>
      </c>
      <c r="I90" s="32">
        <v>54</v>
      </c>
      <c r="J90" s="32">
        <v>4</v>
      </c>
      <c r="K90" s="32">
        <v>14</v>
      </c>
      <c r="L90" s="32">
        <v>0</v>
      </c>
      <c r="M90" s="32">
        <v>2</v>
      </c>
    </row>
    <row r="91" spans="1:13">
      <c r="A91" s="32">
        <f t="shared" ca="1" si="1"/>
        <v>137</v>
      </c>
      <c r="B91" s="32" cm="1">
        <f t="array" aca="1" ref="B91" ca="1">INDEX(Data_DBD!$B:$B,$A91)</f>
        <v>3.5</v>
      </c>
      <c r="C91" s="32" cm="1">
        <f t="array" aca="1" ref="C91" ca="1">INDEX(Data_DBD!$C:$C,$A91)</f>
        <v>1</v>
      </c>
      <c r="D91" s="32" cm="1">
        <f t="array" aca="1" ref="D91" ca="1">INDEX(Data_DBD!$D:$D,$A91)</f>
        <v>33</v>
      </c>
      <c r="E91" s="32" cm="1">
        <f t="array" aca="1" ref="E91" ca="1">INDEX(Data_DBD!$E:$E,$A91)</f>
        <v>1</v>
      </c>
      <c r="F91" s="32" cm="1">
        <f t="array" aca="1" ref="F91" ca="1">INDEX(Data_DBD!$F:$F,$A91)</f>
        <v>3</v>
      </c>
      <c r="H91" s="32">
        <v>28</v>
      </c>
      <c r="I91" s="32">
        <v>22</v>
      </c>
      <c r="J91" s="32">
        <v>2</v>
      </c>
      <c r="K91" s="32">
        <v>14</v>
      </c>
      <c r="L91" s="32">
        <v>1</v>
      </c>
      <c r="M91" s="32">
        <v>2</v>
      </c>
    </row>
    <row r="92" spans="1:13">
      <c r="A92" s="32">
        <f t="shared" ca="1" si="1"/>
        <v>56</v>
      </c>
      <c r="B92" s="32" cm="1">
        <f t="array" aca="1" ref="B92" ca="1">INDEX(Data_DBD!$B:$B,$A92)</f>
        <v>4</v>
      </c>
      <c r="C92" s="32" cm="1">
        <f t="array" aca="1" ref="C92" ca="1">INDEX(Data_DBD!$C:$C,$A92)</f>
        <v>3</v>
      </c>
      <c r="D92" s="32" cm="1">
        <f t="array" aca="1" ref="D92" ca="1">INDEX(Data_DBD!$D:$D,$A92)</f>
        <v>15</v>
      </c>
      <c r="E92" s="32" cm="1">
        <f t="array" aca="1" ref="E92" ca="1">INDEX(Data_DBD!$E:$E,$A92)</f>
        <v>0</v>
      </c>
      <c r="F92" s="32" cm="1">
        <f t="array" aca="1" ref="F92" ca="1">INDEX(Data_DBD!$F:$F,$A92)</f>
        <v>2</v>
      </c>
      <c r="H92" s="32">
        <v>90</v>
      </c>
      <c r="I92" s="32">
        <v>47</v>
      </c>
      <c r="J92" s="32">
        <v>3</v>
      </c>
      <c r="K92" s="32">
        <v>18</v>
      </c>
      <c r="L92" s="32">
        <v>0</v>
      </c>
      <c r="M92" s="32">
        <v>3</v>
      </c>
    </row>
    <row r="93" spans="1:13">
      <c r="A93" s="32">
        <f t="shared" ca="1" si="1"/>
        <v>80</v>
      </c>
      <c r="B93" s="32" cm="1">
        <f t="array" aca="1" ref="B93" ca="1">INDEX(Data_DBD!$B:$B,$A93)</f>
        <v>27</v>
      </c>
      <c r="C93" s="32" cm="1">
        <f t="array" aca="1" ref="C93" ca="1">INDEX(Data_DBD!$C:$C,$A93)</f>
        <v>3</v>
      </c>
      <c r="D93" s="32" cm="1">
        <f t="array" aca="1" ref="D93" ca="1">INDEX(Data_DBD!$D:$D,$A93)</f>
        <v>13</v>
      </c>
      <c r="E93" s="32" cm="1">
        <f t="array" aca="1" ref="E93" ca="1">INDEX(Data_DBD!$E:$E,$A93)</f>
        <v>1</v>
      </c>
      <c r="F93" s="32" cm="1">
        <f t="array" aca="1" ref="F93" ca="1">INDEX(Data_DBD!$F:$F,$A93)</f>
        <v>2</v>
      </c>
      <c r="H93" s="32">
        <v>136</v>
      </c>
      <c r="I93" s="32">
        <v>6</v>
      </c>
      <c r="J93" s="32">
        <v>2</v>
      </c>
      <c r="K93" s="32">
        <v>33</v>
      </c>
      <c r="L93" s="32">
        <v>0</v>
      </c>
      <c r="M93" s="32">
        <v>3</v>
      </c>
    </row>
    <row r="94" spans="1:13">
      <c r="A94" s="32">
        <f t="shared" ca="1" si="1"/>
        <v>60</v>
      </c>
      <c r="B94" s="32" cm="1">
        <f t="array" aca="1" ref="B94" ca="1">INDEX(Data_DBD!$B:$B,$A94)</f>
        <v>68</v>
      </c>
      <c r="C94" s="32" cm="1">
        <f t="array" aca="1" ref="C94" ca="1">INDEX(Data_DBD!$C:$C,$A94)</f>
        <v>4</v>
      </c>
      <c r="D94" s="32" cm="1">
        <f t="array" aca="1" ref="D94" ca="1">INDEX(Data_DBD!$D:$D,$A94)</f>
        <v>15</v>
      </c>
      <c r="E94" s="32" cm="1">
        <f t="array" aca="1" ref="E94" ca="1">INDEX(Data_DBD!$E:$E,$A94)</f>
        <v>0</v>
      </c>
      <c r="F94" s="32" cm="1">
        <f t="array" aca="1" ref="F94" ca="1">INDEX(Data_DBD!$F:$F,$A94)</f>
        <v>2</v>
      </c>
      <c r="H94" s="32">
        <v>118</v>
      </c>
      <c r="I94" s="32">
        <v>67</v>
      </c>
      <c r="J94" s="32">
        <v>4</v>
      </c>
      <c r="K94" s="32">
        <v>33</v>
      </c>
      <c r="L94" s="32">
        <v>1</v>
      </c>
      <c r="M94" s="32">
        <v>3</v>
      </c>
    </row>
    <row r="95" spans="1:13">
      <c r="A95" s="32">
        <f t="shared" ca="1" si="1"/>
        <v>81</v>
      </c>
      <c r="B95" s="32" cm="1">
        <f t="array" aca="1" ref="B95" ca="1">INDEX(Data_DBD!$B:$B,$A95)</f>
        <v>23</v>
      </c>
      <c r="C95" s="32" cm="1">
        <f t="array" aca="1" ref="C95" ca="1">INDEX(Data_DBD!$C:$C,$A95)</f>
        <v>5</v>
      </c>
      <c r="D95" s="32" cm="1">
        <f t="array" aca="1" ref="D95" ca="1">INDEX(Data_DBD!$D:$D,$A95)</f>
        <v>13</v>
      </c>
      <c r="E95" s="32" cm="1">
        <f t="array" aca="1" ref="E95" ca="1">INDEX(Data_DBD!$E:$E,$A95)</f>
        <v>1</v>
      </c>
      <c r="F95" s="32" cm="1">
        <f t="array" aca="1" ref="F95" ca="1">INDEX(Data_DBD!$F:$F,$A95)</f>
        <v>2</v>
      </c>
      <c r="H95" s="32">
        <v>111</v>
      </c>
      <c r="I95" s="32">
        <v>25</v>
      </c>
      <c r="J95" s="32">
        <v>4</v>
      </c>
      <c r="K95" s="32">
        <v>33</v>
      </c>
      <c r="L95" s="32">
        <v>0</v>
      </c>
      <c r="M95" s="32">
        <v>3</v>
      </c>
    </row>
    <row r="96" spans="1:13">
      <c r="A96" s="32">
        <f t="shared" ca="1" si="1"/>
        <v>160</v>
      </c>
      <c r="B96" s="32" cm="1">
        <f t="array" aca="1" ref="B96" ca="1">INDEX(Data_DBD!$B:$B,$A96)</f>
        <v>16</v>
      </c>
      <c r="C96" s="32" cm="1">
        <f t="array" aca="1" ref="C96" ca="1">INDEX(Data_DBD!$C:$C,$A96)</f>
        <v>3</v>
      </c>
      <c r="D96" s="32" cm="1">
        <f t="array" aca="1" ref="D96" ca="1">INDEX(Data_DBD!$D:$D,$A96)</f>
        <v>21</v>
      </c>
      <c r="E96" s="32" cm="1">
        <f t="array" aca="1" ref="E96" ca="1">INDEX(Data_DBD!$E:$E,$A96)</f>
        <v>0</v>
      </c>
      <c r="F96" s="32" cm="1">
        <f t="array" aca="1" ref="F96" ca="1">INDEX(Data_DBD!$F:$F,$A96)</f>
        <v>3</v>
      </c>
      <c r="H96" s="32">
        <v>125</v>
      </c>
      <c r="I96" s="32">
        <v>39</v>
      </c>
      <c r="J96" s="32">
        <v>4</v>
      </c>
      <c r="K96" s="32">
        <v>33</v>
      </c>
      <c r="L96" s="32">
        <v>0</v>
      </c>
      <c r="M96" s="32">
        <v>3</v>
      </c>
    </row>
    <row r="97" spans="1:13">
      <c r="A97" s="32">
        <f t="shared" ca="1" si="1"/>
        <v>150</v>
      </c>
      <c r="B97" s="32" cm="1">
        <f t="array" aca="1" ref="B97" ca="1">INDEX(Data_DBD!$B:$B,$A97)</f>
        <v>61</v>
      </c>
      <c r="C97" s="32" cm="1">
        <f t="array" aca="1" ref="C97" ca="1">INDEX(Data_DBD!$C:$C,$A97)</f>
        <v>5</v>
      </c>
      <c r="D97" s="32" cm="1">
        <f t="array" aca="1" ref="D97" ca="1">INDEX(Data_DBD!$D:$D,$A97)</f>
        <v>21</v>
      </c>
      <c r="E97" s="32" cm="1">
        <f t="array" aca="1" ref="E97" ca="1">INDEX(Data_DBD!$E:$E,$A97)</f>
        <v>1</v>
      </c>
      <c r="F97" s="32" cm="1">
        <f t="array" aca="1" ref="F97" ca="1">INDEX(Data_DBD!$F:$F,$A97)</f>
        <v>3</v>
      </c>
      <c r="H97" s="32">
        <v>63</v>
      </c>
      <c r="I97" s="32">
        <v>25</v>
      </c>
      <c r="J97" s="32">
        <v>3</v>
      </c>
      <c r="K97" s="32">
        <v>15</v>
      </c>
      <c r="L97" s="32">
        <v>0</v>
      </c>
      <c r="M97" s="32">
        <v>2</v>
      </c>
    </row>
    <row r="98" spans="1:13">
      <c r="A98" s="32">
        <f t="shared" ca="1" si="1"/>
        <v>92</v>
      </c>
      <c r="B98" s="32" cm="1">
        <f t="array" aca="1" ref="B98" ca="1">INDEX(Data_DBD!$B:$B,$A98)</f>
        <v>55</v>
      </c>
      <c r="C98" s="32" cm="1">
        <f t="array" aca="1" ref="C98" ca="1">INDEX(Data_DBD!$C:$C,$A98)</f>
        <v>7</v>
      </c>
      <c r="D98" s="32" cm="1">
        <f t="array" aca="1" ref="D98" ca="1">INDEX(Data_DBD!$D:$D,$A98)</f>
        <v>18</v>
      </c>
      <c r="E98" s="32" cm="1">
        <f t="array" aca="1" ref="E98" ca="1">INDEX(Data_DBD!$E:$E,$A98)</f>
        <v>0</v>
      </c>
      <c r="F98" s="32" cm="1">
        <f t="array" aca="1" ref="F98" ca="1">INDEX(Data_DBD!$F:$F,$A98)</f>
        <v>3</v>
      </c>
      <c r="H98" s="32">
        <v>81</v>
      </c>
      <c r="I98" s="32">
        <v>23</v>
      </c>
      <c r="J98" s="32">
        <v>5</v>
      </c>
      <c r="K98" s="32">
        <v>13</v>
      </c>
      <c r="L98" s="32">
        <v>1</v>
      </c>
      <c r="M98" s="32">
        <v>2</v>
      </c>
    </row>
    <row r="99" spans="1:13">
      <c r="A99" s="32">
        <f t="shared" ca="1" si="1"/>
        <v>21</v>
      </c>
      <c r="B99" s="32" cm="1">
        <f t="array" aca="1" ref="B99" ca="1">INDEX(Data_DBD!$B:$B,$A99)</f>
        <v>10</v>
      </c>
      <c r="C99" s="32" cm="1">
        <f t="array" aca="1" ref="C99" ca="1">INDEX(Data_DBD!$C:$C,$A99)</f>
        <v>5</v>
      </c>
      <c r="D99" s="32" cm="1">
        <f t="array" aca="1" ref="D99" ca="1">INDEX(Data_DBD!$D:$D,$A99)</f>
        <v>14</v>
      </c>
      <c r="E99" s="32" cm="1">
        <f t="array" aca="1" ref="E99" ca="1">INDEX(Data_DBD!$E:$E,$A99)</f>
        <v>1</v>
      </c>
      <c r="F99" s="32" cm="1">
        <f t="array" aca="1" ref="F99" ca="1">INDEX(Data_DBD!$F:$F,$A99)</f>
        <v>2</v>
      </c>
      <c r="H99" s="32">
        <v>46</v>
      </c>
      <c r="I99" s="32">
        <v>62</v>
      </c>
      <c r="J99" s="32">
        <v>2</v>
      </c>
      <c r="K99" s="32">
        <v>13</v>
      </c>
      <c r="L99" s="32">
        <v>0</v>
      </c>
      <c r="M99" s="32">
        <v>2</v>
      </c>
    </row>
    <row r="100" spans="1:13">
      <c r="A100" s="32">
        <f t="shared" ca="1" si="1"/>
        <v>107</v>
      </c>
      <c r="B100" s="32" cm="1">
        <f t="array" aca="1" ref="B100" ca="1">INDEX(Data_DBD!$B:$B,$A100)</f>
        <v>48</v>
      </c>
      <c r="C100" s="32" cm="1">
        <f t="array" aca="1" ref="C100" ca="1">INDEX(Data_DBD!$C:$C,$A100)</f>
        <v>5</v>
      </c>
      <c r="D100" s="32" cm="1">
        <f t="array" aca="1" ref="D100" ca="1">INDEX(Data_DBD!$D:$D,$A100)</f>
        <v>18</v>
      </c>
      <c r="E100" s="32" cm="1">
        <f t="array" aca="1" ref="E100" ca="1">INDEX(Data_DBD!$E:$E,$A100)</f>
        <v>0</v>
      </c>
      <c r="F100" s="32" cm="1">
        <f t="array" aca="1" ref="F100" ca="1">INDEX(Data_DBD!$F:$F,$A100)</f>
        <v>3</v>
      </c>
      <c r="H100" s="32">
        <v>147</v>
      </c>
      <c r="I100" s="32">
        <v>66</v>
      </c>
      <c r="J100" s="32">
        <v>10</v>
      </c>
      <c r="K100" s="32">
        <v>21</v>
      </c>
      <c r="L100" s="32">
        <v>1</v>
      </c>
      <c r="M100" s="32">
        <v>3</v>
      </c>
    </row>
    <row r="101" spans="1:13">
      <c r="A101" s="32">
        <f t="shared" ca="1" si="1"/>
        <v>59</v>
      </c>
      <c r="B101" s="32" cm="1">
        <f t="array" aca="1" ref="B101" ca="1">INDEX(Data_DBD!$B:$B,$A101)</f>
        <v>28</v>
      </c>
      <c r="C101" s="32" cm="1">
        <f t="array" aca="1" ref="C101" ca="1">INDEX(Data_DBD!$C:$C,$A101)</f>
        <v>4</v>
      </c>
      <c r="D101" s="32" cm="1">
        <f t="array" aca="1" ref="D101" ca="1">INDEX(Data_DBD!$D:$D,$A101)</f>
        <v>15</v>
      </c>
      <c r="E101" s="32" cm="1">
        <f t="array" aca="1" ref="E101" ca="1">INDEX(Data_DBD!$E:$E,$A101)</f>
        <v>0</v>
      </c>
      <c r="F101" s="32" cm="1">
        <f t="array" aca="1" ref="F101" ca="1">INDEX(Data_DBD!$F:$F,$A101)</f>
        <v>2</v>
      </c>
      <c r="H101" s="32">
        <v>2</v>
      </c>
      <c r="I101" s="32">
        <v>34</v>
      </c>
      <c r="J101" s="32">
        <v>3</v>
      </c>
      <c r="K101" s="32">
        <v>12</v>
      </c>
      <c r="L101" s="32">
        <v>0</v>
      </c>
      <c r="M101" s="32">
        <v>2</v>
      </c>
    </row>
    <row r="102" spans="1:13">
      <c r="A102" s="32">
        <f t="shared" ca="1" si="1"/>
        <v>41</v>
      </c>
      <c r="B102" s="32" cm="1">
        <f t="array" aca="1" ref="B102" ca="1">INDEX(Data_DBD!$B:$B,$A102)</f>
        <v>8</v>
      </c>
      <c r="C102" s="32" cm="1">
        <f t="array" aca="1" ref="C102" ca="1">INDEX(Data_DBD!$C:$C,$A102)</f>
        <v>4</v>
      </c>
      <c r="D102" s="32" cm="1">
        <f t="array" aca="1" ref="D102" ca="1">INDEX(Data_DBD!$D:$D,$A102)</f>
        <v>13</v>
      </c>
      <c r="E102" s="32" cm="1">
        <f t="array" aca="1" ref="E102" ca="1">INDEX(Data_DBD!$E:$E,$A102)</f>
        <v>0</v>
      </c>
      <c r="F102" s="32" cm="1">
        <f t="array" aca="1" ref="F102" ca="1">INDEX(Data_DBD!$F:$F,$A102)</f>
        <v>2</v>
      </c>
      <c r="H102" s="32">
        <v>53</v>
      </c>
      <c r="I102" s="32">
        <v>35</v>
      </c>
      <c r="J102" s="32">
        <v>4</v>
      </c>
      <c r="K102" s="32">
        <v>15</v>
      </c>
      <c r="L102" s="32">
        <v>1</v>
      </c>
      <c r="M102" s="32">
        <v>2</v>
      </c>
    </row>
    <row r="103" spans="1:13">
      <c r="A103" s="32">
        <f t="shared" ca="1" si="1"/>
        <v>128</v>
      </c>
      <c r="B103" s="32" cm="1">
        <f t="array" aca="1" ref="B103" ca="1">INDEX(Data_DBD!$B:$B,$A103)</f>
        <v>38</v>
      </c>
      <c r="C103" s="32" cm="1">
        <f t="array" aca="1" ref="C103" ca="1">INDEX(Data_DBD!$C:$C,$A103)</f>
        <v>2</v>
      </c>
      <c r="D103" s="32" cm="1">
        <f t="array" aca="1" ref="D103" ca="1">INDEX(Data_DBD!$D:$D,$A103)</f>
        <v>33</v>
      </c>
      <c r="E103" s="32" cm="1">
        <f t="array" aca="1" ref="E103" ca="1">INDEX(Data_DBD!$E:$E,$A103)</f>
        <v>0</v>
      </c>
      <c r="F103" s="32" cm="1">
        <f t="array" aca="1" ref="F103" ca="1">INDEX(Data_DBD!$F:$F,$A103)</f>
        <v>3</v>
      </c>
      <c r="H103" s="32">
        <v>78</v>
      </c>
      <c r="I103" s="32">
        <v>6</v>
      </c>
      <c r="J103" s="32">
        <v>3</v>
      </c>
      <c r="K103" s="32">
        <v>13</v>
      </c>
      <c r="L103" s="32">
        <v>0</v>
      </c>
      <c r="M103" s="32">
        <v>2</v>
      </c>
    </row>
    <row r="104" spans="1:13">
      <c r="A104" s="32">
        <f t="shared" ca="1" si="1"/>
        <v>27</v>
      </c>
      <c r="B104" s="32" cm="1">
        <f t="array" aca="1" ref="B104" ca="1">INDEX(Data_DBD!$B:$B,$A104)</f>
        <v>37</v>
      </c>
      <c r="C104" s="32" cm="1">
        <f t="array" aca="1" ref="C104" ca="1">INDEX(Data_DBD!$C:$C,$A104)</f>
        <v>4</v>
      </c>
      <c r="D104" s="32" cm="1">
        <f t="array" aca="1" ref="D104" ca="1">INDEX(Data_DBD!$D:$D,$A104)</f>
        <v>14</v>
      </c>
      <c r="E104" s="32" cm="1">
        <f t="array" aca="1" ref="E104" ca="1">INDEX(Data_DBD!$E:$E,$A104)</f>
        <v>1</v>
      </c>
      <c r="F104" s="32" cm="1">
        <f t="array" aca="1" ref="F104" ca="1">INDEX(Data_DBD!$F:$F,$A104)</f>
        <v>2</v>
      </c>
      <c r="H104" s="32">
        <v>106</v>
      </c>
      <c r="I104" s="32">
        <v>23</v>
      </c>
      <c r="J104" s="32">
        <v>3</v>
      </c>
      <c r="K104" s="32">
        <v>18</v>
      </c>
      <c r="L104" s="32">
        <v>1</v>
      </c>
      <c r="M104" s="32">
        <v>3</v>
      </c>
    </row>
    <row r="105" spans="1:13">
      <c r="A105" s="32">
        <f t="shared" ca="1" si="1"/>
        <v>14</v>
      </c>
      <c r="B105" s="32" cm="1">
        <f t="array" aca="1" ref="B105" ca="1">INDEX(Data_DBD!$B:$B,$A105)</f>
        <v>49</v>
      </c>
      <c r="C105" s="32" cm="1">
        <f t="array" aca="1" ref="C105" ca="1">INDEX(Data_DBD!$C:$C,$A105)</f>
        <v>4</v>
      </c>
      <c r="D105" s="32" cm="1">
        <f t="array" aca="1" ref="D105" ca="1">INDEX(Data_DBD!$D:$D,$A105)</f>
        <v>7</v>
      </c>
      <c r="E105" s="32" cm="1">
        <f t="array" aca="1" ref="E105" ca="1">INDEX(Data_DBD!$E:$E,$A105)</f>
        <v>1</v>
      </c>
      <c r="F105" s="32" cm="1">
        <f t="array" aca="1" ref="F105" ca="1">INDEX(Data_DBD!$F:$F,$A105)</f>
        <v>1</v>
      </c>
      <c r="H105" s="32">
        <v>152</v>
      </c>
      <c r="I105" s="32">
        <v>47</v>
      </c>
      <c r="J105" s="32">
        <v>3</v>
      </c>
      <c r="K105" s="32">
        <v>21</v>
      </c>
      <c r="L105" s="32">
        <v>1</v>
      </c>
      <c r="M105" s="32">
        <v>3</v>
      </c>
    </row>
    <row r="106" spans="1:13">
      <c r="A106" s="32">
        <f t="shared" ca="1" si="1"/>
        <v>42</v>
      </c>
      <c r="B106" s="32" cm="1">
        <f t="array" aca="1" ref="B106" ca="1">INDEX(Data_DBD!$B:$B,$A106)</f>
        <v>21</v>
      </c>
      <c r="C106" s="32" cm="1">
        <f t="array" aca="1" ref="C106" ca="1">INDEX(Data_DBD!$C:$C,$A106)</f>
        <v>5</v>
      </c>
      <c r="D106" s="32" cm="1">
        <f t="array" aca="1" ref="D106" ca="1">INDEX(Data_DBD!$D:$D,$A106)</f>
        <v>13</v>
      </c>
      <c r="E106" s="32" cm="1">
        <f t="array" aca="1" ref="E106" ca="1">INDEX(Data_DBD!$E:$E,$A106)</f>
        <v>1</v>
      </c>
      <c r="F106" s="32" cm="1">
        <f t="array" aca="1" ref="F106" ca="1">INDEX(Data_DBD!$F:$F,$A106)</f>
        <v>2</v>
      </c>
      <c r="H106" s="32">
        <v>5</v>
      </c>
      <c r="I106" s="32">
        <v>18</v>
      </c>
      <c r="J106" s="32">
        <v>2</v>
      </c>
      <c r="K106" s="32">
        <v>12</v>
      </c>
      <c r="L106" s="32">
        <v>1</v>
      </c>
      <c r="M106" s="32">
        <v>2</v>
      </c>
    </row>
    <row r="107" spans="1:13">
      <c r="A107" s="32">
        <f t="shared" ca="1" si="1"/>
        <v>88</v>
      </c>
      <c r="B107" s="32" cm="1">
        <f t="array" aca="1" ref="B107" ca="1">INDEX(Data_DBD!$B:$B,$A107)</f>
        <v>20</v>
      </c>
      <c r="C107" s="32" cm="1">
        <f t="array" aca="1" ref="C107" ca="1">INDEX(Data_DBD!$C:$C,$A107)</f>
        <v>4</v>
      </c>
      <c r="D107" s="32" cm="1">
        <f t="array" aca="1" ref="D107" ca="1">INDEX(Data_DBD!$D:$D,$A107)</f>
        <v>13</v>
      </c>
      <c r="E107" s="32" cm="1">
        <f t="array" aca="1" ref="E107" ca="1">INDEX(Data_DBD!$E:$E,$A107)</f>
        <v>1</v>
      </c>
      <c r="F107" s="32" cm="1">
        <f t="array" aca="1" ref="F107" ca="1">INDEX(Data_DBD!$F:$F,$A107)</f>
        <v>2</v>
      </c>
      <c r="H107" s="32">
        <v>160</v>
      </c>
      <c r="I107" s="32">
        <v>16</v>
      </c>
      <c r="J107" s="32">
        <v>3</v>
      </c>
      <c r="K107" s="32">
        <v>21</v>
      </c>
      <c r="L107" s="32">
        <v>0</v>
      </c>
      <c r="M107" s="32">
        <v>3</v>
      </c>
    </row>
    <row r="108" spans="1:13">
      <c r="A108" s="32">
        <f t="shared" ca="1" si="1"/>
        <v>57</v>
      </c>
      <c r="B108" s="32" cm="1">
        <f t="array" aca="1" ref="B108" ca="1">INDEX(Data_DBD!$B:$B,$A108)</f>
        <v>2</v>
      </c>
      <c r="C108" s="32" cm="1">
        <f t="array" aca="1" ref="C108" ca="1">INDEX(Data_DBD!$C:$C,$A108)</f>
        <v>2</v>
      </c>
      <c r="D108" s="32" cm="1">
        <f t="array" aca="1" ref="D108" ca="1">INDEX(Data_DBD!$D:$D,$A108)</f>
        <v>15</v>
      </c>
      <c r="E108" s="32" cm="1">
        <f t="array" aca="1" ref="E108" ca="1">INDEX(Data_DBD!$E:$E,$A108)</f>
        <v>1</v>
      </c>
      <c r="F108" s="32" cm="1">
        <f t="array" aca="1" ref="F108" ca="1">INDEX(Data_DBD!$F:$F,$A108)</f>
        <v>2</v>
      </c>
      <c r="H108" s="32">
        <v>99</v>
      </c>
      <c r="I108" s="32">
        <v>4</v>
      </c>
      <c r="J108" s="32">
        <v>2</v>
      </c>
      <c r="K108" s="32">
        <v>18</v>
      </c>
      <c r="L108" s="32">
        <v>1</v>
      </c>
      <c r="M108" s="32">
        <v>3</v>
      </c>
    </row>
    <row r="109" spans="1:13">
      <c r="A109" s="32">
        <f t="shared" ca="1" si="1"/>
        <v>122</v>
      </c>
      <c r="B109" s="32" cm="1">
        <f t="array" aca="1" ref="B109" ca="1">INDEX(Data_DBD!$B:$B,$A109)</f>
        <v>28</v>
      </c>
      <c r="C109" s="32" cm="1">
        <f t="array" aca="1" ref="C109" ca="1">INDEX(Data_DBD!$C:$C,$A109)</f>
        <v>3</v>
      </c>
      <c r="D109" s="32" cm="1">
        <f t="array" aca="1" ref="D109" ca="1">INDEX(Data_DBD!$D:$D,$A109)</f>
        <v>33</v>
      </c>
      <c r="E109" s="32" cm="1">
        <f t="array" aca="1" ref="E109" ca="1">INDEX(Data_DBD!$E:$E,$A109)</f>
        <v>1</v>
      </c>
      <c r="F109" s="32" cm="1">
        <f t="array" aca="1" ref="F109" ca="1">INDEX(Data_DBD!$F:$F,$A109)</f>
        <v>3</v>
      </c>
      <c r="H109" s="32">
        <v>3</v>
      </c>
      <c r="I109" s="32">
        <v>43</v>
      </c>
      <c r="J109" s="32">
        <v>3</v>
      </c>
      <c r="K109" s="32">
        <v>12</v>
      </c>
      <c r="L109" s="32">
        <v>1</v>
      </c>
      <c r="M109" s="32">
        <v>2</v>
      </c>
    </row>
    <row r="110" spans="1:13">
      <c r="A110" s="32">
        <f t="shared" ca="1" si="1"/>
        <v>44</v>
      </c>
      <c r="B110" s="32" cm="1">
        <f t="array" aca="1" ref="B110" ca="1">INDEX(Data_DBD!$B:$B,$A110)</f>
        <v>28</v>
      </c>
      <c r="C110" s="32" cm="1">
        <f t="array" aca="1" ref="C110" ca="1">INDEX(Data_DBD!$C:$C,$A110)</f>
        <v>5</v>
      </c>
      <c r="D110" s="32" cm="1">
        <f t="array" aca="1" ref="D110" ca="1">INDEX(Data_DBD!$D:$D,$A110)</f>
        <v>13</v>
      </c>
      <c r="E110" s="32" cm="1">
        <f t="array" aca="1" ref="E110" ca="1">INDEX(Data_DBD!$E:$E,$A110)</f>
        <v>1</v>
      </c>
      <c r="F110" s="32" cm="1">
        <f t="array" aca="1" ref="F110" ca="1">INDEX(Data_DBD!$F:$F,$A110)</f>
        <v>2</v>
      </c>
      <c r="H110" s="32">
        <v>133</v>
      </c>
      <c r="I110" s="32">
        <v>6</v>
      </c>
      <c r="J110" s="32">
        <v>4</v>
      </c>
      <c r="K110" s="32">
        <v>33</v>
      </c>
      <c r="L110" s="32">
        <v>0</v>
      </c>
      <c r="M110" s="32">
        <v>3</v>
      </c>
    </row>
    <row r="111" spans="1:13">
      <c r="A111" s="32">
        <f t="shared" ca="1" si="1"/>
        <v>91</v>
      </c>
      <c r="B111" s="32" cm="1">
        <f t="array" aca="1" ref="B111" ca="1">INDEX(Data_DBD!$B:$B,$A111)</f>
        <v>35</v>
      </c>
      <c r="C111" s="32" cm="1">
        <f t="array" aca="1" ref="C111" ca="1">INDEX(Data_DBD!$C:$C,$A111)</f>
        <v>1</v>
      </c>
      <c r="D111" s="32" cm="1">
        <f t="array" aca="1" ref="D111" ca="1">INDEX(Data_DBD!$D:$D,$A111)</f>
        <v>18</v>
      </c>
      <c r="E111" s="32" cm="1">
        <f t="array" aca="1" ref="E111" ca="1">INDEX(Data_DBD!$E:$E,$A111)</f>
        <v>1</v>
      </c>
      <c r="F111" s="32" cm="1">
        <f t="array" aca="1" ref="F111" ca="1">INDEX(Data_DBD!$F:$F,$A111)</f>
        <v>3</v>
      </c>
      <c r="H111" s="32">
        <v>164</v>
      </c>
      <c r="I111" s="32">
        <v>10</v>
      </c>
      <c r="J111" s="32">
        <v>6</v>
      </c>
      <c r="K111" s="32">
        <v>3</v>
      </c>
      <c r="L111" s="32">
        <v>0</v>
      </c>
      <c r="M111" s="32">
        <v>1</v>
      </c>
    </row>
    <row r="112" spans="1:13">
      <c r="A112" s="32">
        <f t="shared" ca="1" si="1"/>
        <v>32</v>
      </c>
      <c r="B112" s="32" cm="1">
        <f t="array" aca="1" ref="B112" ca="1">INDEX(Data_DBD!$B:$B,$A112)</f>
        <v>54</v>
      </c>
      <c r="C112" s="32" cm="1">
        <f t="array" aca="1" ref="C112" ca="1">INDEX(Data_DBD!$C:$C,$A112)</f>
        <v>4</v>
      </c>
      <c r="D112" s="32" cm="1">
        <f t="array" aca="1" ref="D112" ca="1">INDEX(Data_DBD!$D:$D,$A112)</f>
        <v>14</v>
      </c>
      <c r="E112" s="32" cm="1">
        <f t="array" aca="1" ref="E112" ca="1">INDEX(Data_DBD!$E:$E,$A112)</f>
        <v>0</v>
      </c>
      <c r="F112" s="32" cm="1">
        <f t="array" aca="1" ref="F112" ca="1">INDEX(Data_DBD!$F:$F,$A112)</f>
        <v>2</v>
      </c>
      <c r="H112" s="32">
        <v>57</v>
      </c>
      <c r="I112" s="32">
        <v>2</v>
      </c>
      <c r="J112" s="32">
        <v>2</v>
      </c>
      <c r="K112" s="32">
        <v>15</v>
      </c>
      <c r="L112" s="32">
        <v>1</v>
      </c>
      <c r="M112" s="32">
        <v>2</v>
      </c>
    </row>
    <row r="113" spans="1:13">
      <c r="A113" s="32">
        <f t="shared" ca="1" si="1"/>
        <v>79</v>
      </c>
      <c r="B113" s="32" cm="1">
        <f t="array" aca="1" ref="B113" ca="1">INDEX(Data_DBD!$B:$B,$A113)</f>
        <v>29</v>
      </c>
      <c r="C113" s="32" cm="1">
        <f t="array" aca="1" ref="C113" ca="1">INDEX(Data_DBD!$C:$C,$A113)</f>
        <v>3</v>
      </c>
      <c r="D113" s="32" cm="1">
        <f t="array" aca="1" ref="D113" ca="1">INDEX(Data_DBD!$D:$D,$A113)</f>
        <v>13</v>
      </c>
      <c r="E113" s="32" cm="1">
        <f t="array" aca="1" ref="E113" ca="1">INDEX(Data_DBD!$E:$E,$A113)</f>
        <v>0</v>
      </c>
      <c r="F113" s="32" cm="1">
        <f t="array" aca="1" ref="F113" ca="1">INDEX(Data_DBD!$F:$F,$A113)</f>
        <v>2</v>
      </c>
      <c r="H113" s="32">
        <v>159</v>
      </c>
      <c r="I113" s="32">
        <v>17</v>
      </c>
      <c r="J113" s="32">
        <v>2</v>
      </c>
      <c r="K113" s="32">
        <v>21</v>
      </c>
      <c r="L113" s="32">
        <v>0</v>
      </c>
      <c r="M113" s="32">
        <v>3</v>
      </c>
    </row>
    <row r="114" spans="1:13">
      <c r="A114" s="32">
        <f t="shared" ca="1" si="1"/>
        <v>141</v>
      </c>
      <c r="B114" s="32" cm="1">
        <f t="array" aca="1" ref="B114" ca="1">INDEX(Data_DBD!$B:$B,$A114)</f>
        <v>36</v>
      </c>
      <c r="C114" s="32" cm="1">
        <f t="array" aca="1" ref="C114" ca="1">INDEX(Data_DBD!$C:$C,$A114)</f>
        <v>2</v>
      </c>
      <c r="D114" s="32" cm="1">
        <f t="array" aca="1" ref="D114" ca="1">INDEX(Data_DBD!$D:$D,$A114)</f>
        <v>21</v>
      </c>
      <c r="E114" s="32" cm="1">
        <f t="array" aca="1" ref="E114" ca="1">INDEX(Data_DBD!$E:$E,$A114)</f>
        <v>0</v>
      </c>
      <c r="F114" s="32" cm="1">
        <f t="array" aca="1" ref="F114" ca="1">INDEX(Data_DBD!$F:$F,$A114)</f>
        <v>3</v>
      </c>
      <c r="H114" s="32">
        <v>17</v>
      </c>
      <c r="I114" s="32">
        <v>2</v>
      </c>
      <c r="J114" s="32">
        <v>3</v>
      </c>
      <c r="K114" s="32">
        <v>7</v>
      </c>
      <c r="L114" s="32">
        <v>0</v>
      </c>
      <c r="M114" s="32">
        <v>1</v>
      </c>
    </row>
    <row r="115" spans="1:13">
      <c r="A115" s="32">
        <f t="shared" ca="1" si="1"/>
        <v>25</v>
      </c>
      <c r="B115" s="32" cm="1">
        <f t="array" aca="1" ref="B115" ca="1">INDEX(Data_DBD!$B:$B,$A115)</f>
        <v>81</v>
      </c>
      <c r="C115" s="32" cm="1">
        <f t="array" aca="1" ref="C115" ca="1">INDEX(Data_DBD!$C:$C,$A115)</f>
        <v>5</v>
      </c>
      <c r="D115" s="32" cm="1">
        <f t="array" aca="1" ref="D115" ca="1">INDEX(Data_DBD!$D:$D,$A115)</f>
        <v>14</v>
      </c>
      <c r="E115" s="32" cm="1">
        <f t="array" aca="1" ref="E115" ca="1">INDEX(Data_DBD!$E:$E,$A115)</f>
        <v>0</v>
      </c>
      <c r="F115" s="32" cm="1">
        <f t="array" aca="1" ref="F115" ca="1">INDEX(Data_DBD!$F:$F,$A115)</f>
        <v>2</v>
      </c>
      <c r="H115" s="32">
        <v>148</v>
      </c>
      <c r="I115" s="32">
        <v>55</v>
      </c>
      <c r="J115" s="32">
        <v>3</v>
      </c>
      <c r="K115" s="32">
        <v>21</v>
      </c>
      <c r="L115" s="32">
        <v>1</v>
      </c>
      <c r="M115" s="32">
        <v>3</v>
      </c>
    </row>
    <row r="116" spans="1:13">
      <c r="A116" s="32">
        <f t="shared" ca="1" si="1"/>
        <v>77</v>
      </c>
      <c r="B116" s="32" cm="1">
        <f t="array" aca="1" ref="B116" ca="1">INDEX(Data_DBD!$B:$B,$A116)</f>
        <v>16</v>
      </c>
      <c r="C116" s="32" cm="1">
        <f t="array" aca="1" ref="C116" ca="1">INDEX(Data_DBD!$C:$C,$A116)</f>
        <v>4</v>
      </c>
      <c r="D116" s="32" cm="1">
        <f t="array" aca="1" ref="D116" ca="1">INDEX(Data_DBD!$D:$D,$A116)</f>
        <v>13</v>
      </c>
      <c r="E116" s="32" cm="1">
        <f t="array" aca="1" ref="E116" ca="1">INDEX(Data_DBD!$E:$E,$A116)</f>
        <v>1</v>
      </c>
      <c r="F116" s="32" cm="1">
        <f t="array" aca="1" ref="F116" ca="1">INDEX(Data_DBD!$F:$F,$A116)</f>
        <v>2</v>
      </c>
      <c r="H116" s="32">
        <v>125</v>
      </c>
      <c r="I116" s="32">
        <v>39</v>
      </c>
      <c r="J116" s="32">
        <v>4</v>
      </c>
      <c r="K116" s="32">
        <v>33</v>
      </c>
      <c r="L116" s="32">
        <v>0</v>
      </c>
      <c r="M116" s="32">
        <v>3</v>
      </c>
    </row>
    <row r="117" spans="1:13">
      <c r="A117" s="32">
        <f t="shared" ca="1" si="1"/>
        <v>115</v>
      </c>
      <c r="B117" s="32" cm="1">
        <f t="array" aca="1" ref="B117" ca="1">INDEX(Data_DBD!$B:$B,$A117)</f>
        <v>52</v>
      </c>
      <c r="C117" s="32" cm="1">
        <f t="array" aca="1" ref="C117" ca="1">INDEX(Data_DBD!$C:$C,$A117)</f>
        <v>3</v>
      </c>
      <c r="D117" s="32" cm="1">
        <f t="array" aca="1" ref="D117" ca="1">INDEX(Data_DBD!$D:$D,$A117)</f>
        <v>33</v>
      </c>
      <c r="E117" s="32" cm="1">
        <f t="array" aca="1" ref="E117" ca="1">INDEX(Data_DBD!$E:$E,$A117)</f>
        <v>1</v>
      </c>
      <c r="F117" s="32" cm="1">
        <f t="array" aca="1" ref="F117" ca="1">INDEX(Data_DBD!$F:$F,$A117)</f>
        <v>3</v>
      </c>
      <c r="H117" s="32">
        <v>127</v>
      </c>
      <c r="I117" s="32">
        <v>21</v>
      </c>
      <c r="J117" s="32">
        <v>2</v>
      </c>
      <c r="K117" s="32">
        <v>33</v>
      </c>
      <c r="L117" s="32">
        <v>0</v>
      </c>
      <c r="M117" s="32">
        <v>3</v>
      </c>
    </row>
    <row r="118" spans="1:13">
      <c r="A118" s="32">
        <f t="shared" ca="1" si="1"/>
        <v>105</v>
      </c>
      <c r="B118" s="32" cm="1">
        <f t="array" aca="1" ref="B118" ca="1">INDEX(Data_DBD!$B:$B,$A118)</f>
        <v>61</v>
      </c>
      <c r="C118" s="32" cm="1">
        <f t="array" aca="1" ref="C118" ca="1">INDEX(Data_DBD!$C:$C,$A118)</f>
        <v>3</v>
      </c>
      <c r="D118" s="32" cm="1">
        <f t="array" aca="1" ref="D118" ca="1">INDEX(Data_DBD!$D:$D,$A118)</f>
        <v>18</v>
      </c>
      <c r="E118" s="32" cm="1">
        <f t="array" aca="1" ref="E118" ca="1">INDEX(Data_DBD!$E:$E,$A118)</f>
        <v>1</v>
      </c>
      <c r="F118" s="32" cm="1">
        <f t="array" aca="1" ref="F118" ca="1">INDEX(Data_DBD!$F:$F,$A118)</f>
        <v>3</v>
      </c>
      <c r="H118" s="32">
        <v>147</v>
      </c>
      <c r="I118" s="32">
        <v>66</v>
      </c>
      <c r="J118" s="32">
        <v>10</v>
      </c>
      <c r="K118" s="32">
        <v>21</v>
      </c>
      <c r="L118" s="32">
        <v>1</v>
      </c>
      <c r="M118" s="32">
        <v>3</v>
      </c>
    </row>
    <row r="119" spans="1:13">
      <c r="A119" s="32">
        <f t="shared" ca="1" si="1"/>
        <v>52</v>
      </c>
      <c r="B119" s="32" cm="1">
        <f t="array" aca="1" ref="B119" ca="1">INDEX(Data_DBD!$B:$B,$A119)</f>
        <v>59</v>
      </c>
      <c r="C119" s="32" cm="1">
        <f t="array" aca="1" ref="C119" ca="1">INDEX(Data_DBD!$C:$C,$A119)</f>
        <v>4</v>
      </c>
      <c r="D119" s="32" cm="1">
        <f t="array" aca="1" ref="D119" ca="1">INDEX(Data_DBD!$D:$D,$A119)</f>
        <v>15</v>
      </c>
      <c r="E119" s="32" cm="1">
        <f t="array" aca="1" ref="E119" ca="1">INDEX(Data_DBD!$E:$E,$A119)</f>
        <v>1</v>
      </c>
      <c r="F119" s="32" cm="1">
        <f t="array" aca="1" ref="F119" ca="1">INDEX(Data_DBD!$F:$F,$A119)</f>
        <v>2</v>
      </c>
      <c r="H119" s="32">
        <v>20</v>
      </c>
      <c r="I119" s="32">
        <v>15</v>
      </c>
      <c r="J119" s="32">
        <v>5</v>
      </c>
      <c r="K119" s="32">
        <v>7</v>
      </c>
      <c r="L119" s="32">
        <v>0</v>
      </c>
      <c r="M119" s="32">
        <v>1</v>
      </c>
    </row>
    <row r="120" spans="1:13">
      <c r="A120" s="32">
        <f t="shared" ca="1" si="1"/>
        <v>38</v>
      </c>
      <c r="B120" s="32" cm="1">
        <f t="array" aca="1" ref="B120" ca="1">INDEX(Data_DBD!$B:$B,$A120)</f>
        <v>52</v>
      </c>
      <c r="C120" s="32" cm="1">
        <f t="array" aca="1" ref="C120" ca="1">INDEX(Data_DBD!$C:$C,$A120)</f>
        <v>3</v>
      </c>
      <c r="D120" s="32" cm="1">
        <f t="array" aca="1" ref="D120" ca="1">INDEX(Data_DBD!$D:$D,$A120)</f>
        <v>4</v>
      </c>
      <c r="E120" s="32" cm="1">
        <f t="array" aca="1" ref="E120" ca="1">INDEX(Data_DBD!$E:$E,$A120)</f>
        <v>1</v>
      </c>
      <c r="F120" s="32" cm="1">
        <f t="array" aca="1" ref="F120" ca="1">INDEX(Data_DBD!$F:$F,$A120)</f>
        <v>1</v>
      </c>
      <c r="H120" s="32">
        <v>5</v>
      </c>
      <c r="I120" s="32">
        <v>18</v>
      </c>
      <c r="J120" s="32">
        <v>2</v>
      </c>
      <c r="K120" s="32">
        <v>12</v>
      </c>
      <c r="L120" s="32">
        <v>1</v>
      </c>
      <c r="M120" s="32">
        <v>2</v>
      </c>
    </row>
    <row r="121" spans="1:13">
      <c r="A121" s="32">
        <f t="shared" ca="1" si="1"/>
        <v>102</v>
      </c>
      <c r="B121" s="32" cm="1">
        <f t="array" aca="1" ref="B121" ca="1">INDEX(Data_DBD!$B:$B,$A121)</f>
        <v>41</v>
      </c>
      <c r="C121" s="32" cm="1">
        <f t="array" aca="1" ref="C121" ca="1">INDEX(Data_DBD!$C:$C,$A121)</f>
        <v>4</v>
      </c>
      <c r="D121" s="32" cm="1">
        <f t="array" aca="1" ref="D121" ca="1">INDEX(Data_DBD!$D:$D,$A121)</f>
        <v>18</v>
      </c>
      <c r="E121" s="32" cm="1">
        <f t="array" aca="1" ref="E121" ca="1">INDEX(Data_DBD!$E:$E,$A121)</f>
        <v>0</v>
      </c>
      <c r="F121" s="32" cm="1">
        <f t="array" aca="1" ref="F121" ca="1">INDEX(Data_DBD!$F:$F,$A121)</f>
        <v>3</v>
      </c>
      <c r="H121" s="32">
        <v>126</v>
      </c>
      <c r="I121" s="32">
        <v>51</v>
      </c>
      <c r="J121" s="32">
        <v>3</v>
      </c>
      <c r="K121" s="32">
        <v>33</v>
      </c>
      <c r="L121" s="32">
        <v>1</v>
      </c>
      <c r="M121" s="32">
        <v>3</v>
      </c>
    </row>
    <row r="122" spans="1:13">
      <c r="A122" s="32">
        <f t="shared" ca="1" si="1"/>
        <v>63</v>
      </c>
      <c r="B122" s="32" cm="1">
        <f t="array" aca="1" ref="B122" ca="1">INDEX(Data_DBD!$B:$B,$A122)</f>
        <v>25</v>
      </c>
      <c r="C122" s="32" cm="1">
        <f t="array" aca="1" ref="C122" ca="1">INDEX(Data_DBD!$C:$C,$A122)</f>
        <v>3</v>
      </c>
      <c r="D122" s="32" cm="1">
        <f t="array" aca="1" ref="D122" ca="1">INDEX(Data_DBD!$D:$D,$A122)</f>
        <v>15</v>
      </c>
      <c r="E122" s="32" cm="1">
        <f t="array" aca="1" ref="E122" ca="1">INDEX(Data_DBD!$E:$E,$A122)</f>
        <v>0</v>
      </c>
      <c r="F122" s="32" cm="1">
        <f t="array" aca="1" ref="F122" ca="1">INDEX(Data_DBD!$F:$F,$A122)</f>
        <v>2</v>
      </c>
      <c r="H122" s="32">
        <v>157</v>
      </c>
      <c r="I122" s="32">
        <v>15</v>
      </c>
      <c r="J122" s="32">
        <v>4</v>
      </c>
      <c r="K122" s="32">
        <v>21</v>
      </c>
      <c r="L122" s="32">
        <v>1</v>
      </c>
      <c r="M122" s="32">
        <v>3</v>
      </c>
    </row>
    <row r="123" spans="1:13">
      <c r="A123" s="32">
        <f t="shared" ca="1" si="1"/>
        <v>120</v>
      </c>
      <c r="B123" s="32" cm="1">
        <f t="array" aca="1" ref="B123" ca="1">INDEX(Data_DBD!$B:$B,$A123)</f>
        <v>26</v>
      </c>
      <c r="C123" s="32" cm="1">
        <f t="array" aca="1" ref="C123" ca="1">INDEX(Data_DBD!$C:$C,$A123)</f>
        <v>4</v>
      </c>
      <c r="D123" s="32" cm="1">
        <f t="array" aca="1" ref="D123" ca="1">INDEX(Data_DBD!$D:$D,$A123)</f>
        <v>33</v>
      </c>
      <c r="E123" s="32" cm="1">
        <f t="array" aca="1" ref="E123" ca="1">INDEX(Data_DBD!$E:$E,$A123)</f>
        <v>1</v>
      </c>
      <c r="F123" s="32" cm="1">
        <f t="array" aca="1" ref="F123" ca="1">INDEX(Data_DBD!$F:$F,$A123)</f>
        <v>3</v>
      </c>
      <c r="H123" s="32">
        <v>38</v>
      </c>
      <c r="I123" s="32">
        <v>52</v>
      </c>
      <c r="J123" s="32">
        <v>3</v>
      </c>
      <c r="K123" s="32">
        <v>4</v>
      </c>
      <c r="L123" s="32">
        <v>1</v>
      </c>
      <c r="M123" s="32">
        <v>1</v>
      </c>
    </row>
    <row r="124" spans="1:13">
      <c r="A124" s="32">
        <f t="shared" ca="1" si="1"/>
        <v>110</v>
      </c>
      <c r="B124" s="32" cm="1">
        <f t="array" aca="1" ref="B124" ca="1">INDEX(Data_DBD!$B:$B,$A124)</f>
        <v>42</v>
      </c>
      <c r="C124" s="32" cm="1">
        <f t="array" aca="1" ref="C124" ca="1">INDEX(Data_DBD!$C:$C,$A124)</f>
        <v>2</v>
      </c>
      <c r="D124" s="32" cm="1">
        <f t="array" aca="1" ref="D124" ca="1">INDEX(Data_DBD!$D:$D,$A124)</f>
        <v>33</v>
      </c>
      <c r="E124" s="32" cm="1">
        <f t="array" aca="1" ref="E124" ca="1">INDEX(Data_DBD!$E:$E,$A124)</f>
        <v>1</v>
      </c>
      <c r="F124" s="32" cm="1">
        <f t="array" aca="1" ref="F124" ca="1">INDEX(Data_DBD!$F:$F,$A124)</f>
        <v>3</v>
      </c>
      <c r="H124" s="32">
        <v>75</v>
      </c>
      <c r="I124" s="32">
        <v>2</v>
      </c>
      <c r="J124" s="32">
        <v>2</v>
      </c>
      <c r="K124" s="32">
        <v>10</v>
      </c>
      <c r="L124" s="32">
        <v>1</v>
      </c>
      <c r="M124" s="32">
        <v>2</v>
      </c>
    </row>
    <row r="125" spans="1:13">
      <c r="A125" s="32">
        <f t="shared" ca="1" si="1"/>
        <v>22</v>
      </c>
      <c r="B125" s="32" cm="1">
        <f t="array" aca="1" ref="B125" ca="1">INDEX(Data_DBD!$B:$B,$A125)</f>
        <v>6</v>
      </c>
      <c r="C125" s="32" cm="1">
        <f t="array" aca="1" ref="C125" ca="1">INDEX(Data_DBD!$C:$C,$A125)</f>
        <v>3</v>
      </c>
      <c r="D125" s="32" cm="1">
        <f t="array" aca="1" ref="D125" ca="1">INDEX(Data_DBD!$D:$D,$A125)</f>
        <v>14</v>
      </c>
      <c r="E125" s="32" cm="1">
        <f t="array" aca="1" ref="E125" ca="1">INDEX(Data_DBD!$E:$E,$A125)</f>
        <v>0</v>
      </c>
      <c r="F125" s="32" cm="1">
        <f t="array" aca="1" ref="F125" ca="1">INDEX(Data_DBD!$F:$F,$A125)</f>
        <v>2</v>
      </c>
      <c r="H125" s="32">
        <v>159</v>
      </c>
      <c r="I125" s="32">
        <v>17</v>
      </c>
      <c r="J125" s="32">
        <v>2</v>
      </c>
      <c r="K125" s="32">
        <v>21</v>
      </c>
      <c r="L125" s="32">
        <v>0</v>
      </c>
      <c r="M125" s="32">
        <v>3</v>
      </c>
    </row>
    <row r="126" spans="1:13">
      <c r="A126" s="32">
        <f t="shared" ca="1" si="1"/>
        <v>23</v>
      </c>
      <c r="B126" s="32" cm="1">
        <f t="array" aca="1" ref="B126" ca="1">INDEX(Data_DBD!$B:$B,$A126)</f>
        <v>28</v>
      </c>
      <c r="C126" s="32" cm="1">
        <f t="array" aca="1" ref="C126" ca="1">INDEX(Data_DBD!$C:$C,$A126)</f>
        <v>4</v>
      </c>
      <c r="D126" s="32" cm="1">
        <f t="array" aca="1" ref="D126" ca="1">INDEX(Data_DBD!$D:$D,$A126)</f>
        <v>14</v>
      </c>
      <c r="E126" s="32" cm="1">
        <f t="array" aca="1" ref="E126" ca="1">INDEX(Data_DBD!$E:$E,$A126)</f>
        <v>1</v>
      </c>
      <c r="F126" s="32" cm="1">
        <f t="array" aca="1" ref="F126" ca="1">INDEX(Data_DBD!$F:$F,$A126)</f>
        <v>2</v>
      </c>
      <c r="H126" s="32">
        <v>39</v>
      </c>
      <c r="I126" s="32">
        <v>12</v>
      </c>
      <c r="J126" s="32">
        <v>5</v>
      </c>
      <c r="K126" s="32">
        <v>13</v>
      </c>
      <c r="L126" s="32">
        <v>1</v>
      </c>
      <c r="M126" s="32">
        <v>2</v>
      </c>
    </row>
    <row r="127" spans="1:13">
      <c r="A127" s="32">
        <f t="shared" ca="1" si="1"/>
        <v>36</v>
      </c>
      <c r="B127" s="32" cm="1">
        <f t="array" aca="1" ref="B127" ca="1">INDEX(Data_DBD!$B:$B,$A127)</f>
        <v>27</v>
      </c>
      <c r="C127" s="32" cm="1">
        <f t="array" aca="1" ref="C127" ca="1">INDEX(Data_DBD!$C:$C,$A127)</f>
        <v>1</v>
      </c>
      <c r="D127" s="32" cm="1">
        <f t="array" aca="1" ref="D127" ca="1">INDEX(Data_DBD!$D:$D,$A127)</f>
        <v>4</v>
      </c>
      <c r="E127" s="32" cm="1">
        <f t="array" aca="1" ref="E127" ca="1">INDEX(Data_DBD!$E:$E,$A127)</f>
        <v>1</v>
      </c>
      <c r="F127" s="32" cm="1">
        <f t="array" aca="1" ref="F127" ca="1">INDEX(Data_DBD!$F:$F,$A127)</f>
        <v>1</v>
      </c>
      <c r="H127" s="32">
        <v>113</v>
      </c>
      <c r="I127" s="32">
        <v>69</v>
      </c>
      <c r="J127" s="32">
        <v>1</v>
      </c>
      <c r="K127" s="32">
        <v>33</v>
      </c>
      <c r="L127" s="32">
        <v>1</v>
      </c>
      <c r="M127" s="32">
        <v>3</v>
      </c>
    </row>
    <row r="128" spans="1:13">
      <c r="A128" s="32">
        <f t="shared" ca="1" si="1"/>
        <v>119</v>
      </c>
      <c r="B128" s="32" cm="1">
        <f t="array" aca="1" ref="B128" ca="1">INDEX(Data_DBD!$B:$B,$A128)</f>
        <v>30</v>
      </c>
      <c r="C128" s="32" cm="1">
        <f t="array" aca="1" ref="C128" ca="1">INDEX(Data_DBD!$C:$C,$A128)</f>
        <v>7</v>
      </c>
      <c r="D128" s="32" cm="1">
        <f t="array" aca="1" ref="D128" ca="1">INDEX(Data_DBD!$D:$D,$A128)</f>
        <v>33</v>
      </c>
      <c r="E128" s="32" cm="1">
        <f t="array" aca="1" ref="E128" ca="1">INDEX(Data_DBD!$E:$E,$A128)</f>
        <v>0</v>
      </c>
      <c r="F128" s="32" cm="1">
        <f t="array" aca="1" ref="F128" ca="1">INDEX(Data_DBD!$F:$F,$A128)</f>
        <v>3</v>
      </c>
      <c r="H128" s="32">
        <v>155</v>
      </c>
      <c r="I128" s="32">
        <v>19</v>
      </c>
      <c r="J128" s="32">
        <v>5</v>
      </c>
      <c r="K128" s="32">
        <v>21</v>
      </c>
      <c r="L128" s="32">
        <v>1</v>
      </c>
      <c r="M128" s="32">
        <v>3</v>
      </c>
    </row>
    <row r="129" spans="1:13">
      <c r="A129" s="32">
        <f t="shared" ca="1" si="1"/>
        <v>146</v>
      </c>
      <c r="B129" s="32" cm="1">
        <f t="array" aca="1" ref="B129" ca="1">INDEX(Data_DBD!$B:$B,$A129)</f>
        <v>34</v>
      </c>
      <c r="C129" s="32" cm="1">
        <f t="array" aca="1" ref="C129" ca="1">INDEX(Data_DBD!$C:$C,$A129)</f>
        <v>2</v>
      </c>
      <c r="D129" s="32" cm="1">
        <f t="array" aca="1" ref="D129" ca="1">INDEX(Data_DBD!$D:$D,$A129)</f>
        <v>21</v>
      </c>
      <c r="E129" s="32" cm="1">
        <f t="array" aca="1" ref="E129" ca="1">INDEX(Data_DBD!$E:$E,$A129)</f>
        <v>1</v>
      </c>
      <c r="F129" s="32" cm="1">
        <f t="array" aca="1" ref="F129" ca="1">INDEX(Data_DBD!$F:$F,$A129)</f>
        <v>3</v>
      </c>
      <c r="H129" s="32">
        <v>119</v>
      </c>
      <c r="I129" s="32">
        <v>30</v>
      </c>
      <c r="J129" s="32">
        <v>7</v>
      </c>
      <c r="K129" s="32">
        <v>33</v>
      </c>
      <c r="L129" s="32">
        <v>0</v>
      </c>
      <c r="M129" s="32">
        <v>3</v>
      </c>
    </row>
    <row r="130" spans="1:13">
      <c r="A130" s="32">
        <f t="shared" ca="1" si="1"/>
        <v>143</v>
      </c>
      <c r="B130" s="32" cm="1">
        <f t="array" aca="1" ref="B130" ca="1">INDEX(Data_DBD!$B:$B,$A130)</f>
        <v>20</v>
      </c>
      <c r="C130" s="32" cm="1">
        <f t="array" aca="1" ref="C130" ca="1">INDEX(Data_DBD!$C:$C,$A130)</f>
        <v>4</v>
      </c>
      <c r="D130" s="32" cm="1">
        <f t="array" aca="1" ref="D130" ca="1">INDEX(Data_DBD!$D:$D,$A130)</f>
        <v>21</v>
      </c>
      <c r="E130" s="32" cm="1">
        <f t="array" aca="1" ref="E130" ca="1">INDEX(Data_DBD!$E:$E,$A130)</f>
        <v>1</v>
      </c>
      <c r="F130" s="32" cm="1">
        <f t="array" aca="1" ref="F130" ca="1">INDEX(Data_DBD!$F:$F,$A130)</f>
        <v>3</v>
      </c>
      <c r="H130" s="32">
        <v>119</v>
      </c>
      <c r="I130" s="32">
        <v>30</v>
      </c>
      <c r="J130" s="32">
        <v>7</v>
      </c>
      <c r="K130" s="32">
        <v>33</v>
      </c>
      <c r="L130" s="32">
        <v>0</v>
      </c>
      <c r="M130" s="32">
        <v>3</v>
      </c>
    </row>
    <row r="131" spans="1:13">
      <c r="A131" s="32">
        <f t="shared" ref="A131:A164" ca="1" si="2">RANDBETWEEN(2,164)</f>
        <v>8</v>
      </c>
      <c r="B131" s="32" cm="1">
        <f t="array" aca="1" ref="B131" ca="1">INDEX(Data_DBD!$B:$B,$A131)</f>
        <v>4</v>
      </c>
      <c r="C131" s="32" cm="1">
        <f t="array" aca="1" ref="C131" ca="1">INDEX(Data_DBD!$C:$C,$A131)</f>
        <v>2</v>
      </c>
      <c r="D131" s="32" cm="1">
        <f t="array" aca="1" ref="D131" ca="1">INDEX(Data_DBD!$D:$D,$A131)</f>
        <v>12</v>
      </c>
      <c r="E131" s="32" cm="1">
        <f t="array" aca="1" ref="E131" ca="1">INDEX(Data_DBD!$E:$E,$A131)</f>
        <v>0</v>
      </c>
      <c r="F131" s="32" cm="1">
        <f t="array" aca="1" ref="F131" ca="1">INDEX(Data_DBD!$F:$F,$A131)</f>
        <v>2</v>
      </c>
      <c r="H131" s="32">
        <v>161</v>
      </c>
      <c r="I131" s="32">
        <v>12</v>
      </c>
      <c r="J131" s="32">
        <v>3</v>
      </c>
      <c r="K131" s="32">
        <v>21</v>
      </c>
      <c r="L131" s="32">
        <v>1</v>
      </c>
      <c r="M131" s="32">
        <v>3</v>
      </c>
    </row>
    <row r="132" spans="1:13">
      <c r="A132" s="32">
        <f t="shared" ca="1" si="2"/>
        <v>42</v>
      </c>
      <c r="B132" s="32" cm="1">
        <f t="array" aca="1" ref="B132" ca="1">INDEX(Data_DBD!$B:$B,$A132)</f>
        <v>21</v>
      </c>
      <c r="C132" s="32" cm="1">
        <f t="array" aca="1" ref="C132" ca="1">INDEX(Data_DBD!$C:$C,$A132)</f>
        <v>5</v>
      </c>
      <c r="D132" s="32" cm="1">
        <f t="array" aca="1" ref="D132" ca="1">INDEX(Data_DBD!$D:$D,$A132)</f>
        <v>13</v>
      </c>
      <c r="E132" s="32" cm="1">
        <f t="array" aca="1" ref="E132" ca="1">INDEX(Data_DBD!$E:$E,$A132)</f>
        <v>1</v>
      </c>
      <c r="F132" s="32" cm="1">
        <f t="array" aca="1" ref="F132" ca="1">INDEX(Data_DBD!$F:$F,$A132)</f>
        <v>2</v>
      </c>
      <c r="H132" s="32">
        <v>124</v>
      </c>
      <c r="I132" s="32">
        <v>24</v>
      </c>
      <c r="J132" s="32">
        <v>3</v>
      </c>
      <c r="K132" s="32">
        <v>33</v>
      </c>
      <c r="L132" s="32">
        <v>1</v>
      </c>
      <c r="M132" s="32">
        <v>3</v>
      </c>
    </row>
    <row r="133" spans="1:13">
      <c r="A133" s="32">
        <f t="shared" ca="1" si="2"/>
        <v>17</v>
      </c>
      <c r="B133" s="32" cm="1">
        <f t="array" aca="1" ref="B133" ca="1">INDEX(Data_DBD!$B:$B,$A133)</f>
        <v>2</v>
      </c>
      <c r="C133" s="32" cm="1">
        <f t="array" aca="1" ref="C133" ca="1">INDEX(Data_DBD!$C:$C,$A133)</f>
        <v>3</v>
      </c>
      <c r="D133" s="32" cm="1">
        <f t="array" aca="1" ref="D133" ca="1">INDEX(Data_DBD!$D:$D,$A133)</f>
        <v>7</v>
      </c>
      <c r="E133" s="32" cm="1">
        <f t="array" aca="1" ref="E133" ca="1">INDEX(Data_DBD!$E:$E,$A133)</f>
        <v>0</v>
      </c>
      <c r="F133" s="32" cm="1">
        <f t="array" aca="1" ref="F133" ca="1">INDEX(Data_DBD!$F:$F,$A133)</f>
        <v>1</v>
      </c>
      <c r="H133" s="32">
        <v>89</v>
      </c>
      <c r="I133" s="32">
        <v>32</v>
      </c>
      <c r="J133" s="32">
        <v>4</v>
      </c>
      <c r="K133" s="32">
        <v>13</v>
      </c>
      <c r="L133" s="32">
        <v>0</v>
      </c>
      <c r="M133" s="32">
        <v>2</v>
      </c>
    </row>
    <row r="134" spans="1:13">
      <c r="A134" s="32">
        <f t="shared" ca="1" si="2"/>
        <v>20</v>
      </c>
      <c r="B134" s="32" cm="1">
        <f t="array" aca="1" ref="B134" ca="1">INDEX(Data_DBD!$B:$B,$A134)</f>
        <v>15</v>
      </c>
      <c r="C134" s="32" cm="1">
        <f t="array" aca="1" ref="C134" ca="1">INDEX(Data_DBD!$C:$C,$A134)</f>
        <v>5</v>
      </c>
      <c r="D134" s="32" cm="1">
        <f t="array" aca="1" ref="D134" ca="1">INDEX(Data_DBD!$D:$D,$A134)</f>
        <v>7</v>
      </c>
      <c r="E134" s="32" cm="1">
        <f t="array" aca="1" ref="E134" ca="1">INDEX(Data_DBD!$E:$E,$A134)</f>
        <v>0</v>
      </c>
      <c r="F134" s="32" cm="1">
        <f t="array" aca="1" ref="F134" ca="1">INDEX(Data_DBD!$F:$F,$A134)</f>
        <v>1</v>
      </c>
      <c r="H134" s="32">
        <v>10</v>
      </c>
      <c r="I134" s="32">
        <v>18</v>
      </c>
      <c r="J134" s="32">
        <v>5</v>
      </c>
      <c r="K134" s="32">
        <v>12</v>
      </c>
      <c r="L134" s="32">
        <v>0</v>
      </c>
      <c r="M134" s="32">
        <v>2</v>
      </c>
    </row>
    <row r="135" spans="1:13">
      <c r="A135" s="32">
        <f t="shared" ca="1" si="2"/>
        <v>149</v>
      </c>
      <c r="B135" s="32" cm="1">
        <f t="array" aca="1" ref="B135" ca="1">INDEX(Data_DBD!$B:$B,$A135)</f>
        <v>19</v>
      </c>
      <c r="C135" s="32" cm="1">
        <f t="array" aca="1" ref="C135" ca="1">INDEX(Data_DBD!$C:$C,$A135)</f>
        <v>5</v>
      </c>
      <c r="D135" s="32" cm="1">
        <f t="array" aca="1" ref="D135" ca="1">INDEX(Data_DBD!$D:$D,$A135)</f>
        <v>21</v>
      </c>
      <c r="E135" s="32" cm="1">
        <f t="array" aca="1" ref="E135" ca="1">INDEX(Data_DBD!$E:$E,$A135)</f>
        <v>0</v>
      </c>
      <c r="F135" s="32" cm="1">
        <f t="array" aca="1" ref="F135" ca="1">INDEX(Data_DBD!$F:$F,$A135)</f>
        <v>3</v>
      </c>
      <c r="H135" s="32">
        <v>74</v>
      </c>
      <c r="I135" s="32">
        <v>9</v>
      </c>
      <c r="J135" s="32">
        <v>4</v>
      </c>
      <c r="K135" s="32">
        <v>10</v>
      </c>
      <c r="L135" s="32">
        <v>0</v>
      </c>
      <c r="M135" s="32">
        <v>2</v>
      </c>
    </row>
    <row r="136" spans="1:13">
      <c r="A136" s="32">
        <f t="shared" ca="1" si="2"/>
        <v>116</v>
      </c>
      <c r="B136" s="32" cm="1">
        <f t="array" aca="1" ref="B136" ca="1">INDEX(Data_DBD!$B:$B,$A136)</f>
        <v>32</v>
      </c>
      <c r="C136" s="32" cm="1">
        <f t="array" aca="1" ref="C136" ca="1">INDEX(Data_DBD!$C:$C,$A136)</f>
        <v>4</v>
      </c>
      <c r="D136" s="32" cm="1">
        <f t="array" aca="1" ref="D136" ca="1">INDEX(Data_DBD!$D:$D,$A136)</f>
        <v>33</v>
      </c>
      <c r="E136" s="32" cm="1">
        <f t="array" aca="1" ref="E136" ca="1">INDEX(Data_DBD!$E:$E,$A136)</f>
        <v>1</v>
      </c>
      <c r="F136" s="32" cm="1">
        <f t="array" aca="1" ref="F136" ca="1">INDEX(Data_DBD!$F:$F,$A136)</f>
        <v>3</v>
      </c>
      <c r="H136" s="32">
        <v>135</v>
      </c>
      <c r="I136" s="32">
        <v>10</v>
      </c>
      <c r="J136" s="32">
        <v>2</v>
      </c>
      <c r="K136" s="32">
        <v>33</v>
      </c>
      <c r="L136" s="32">
        <v>0</v>
      </c>
      <c r="M136" s="32">
        <v>3</v>
      </c>
    </row>
    <row r="137" spans="1:13">
      <c r="A137" s="32">
        <f t="shared" ca="1" si="2"/>
        <v>6</v>
      </c>
      <c r="B137" s="32" cm="1">
        <f t="array" aca="1" ref="B137" ca="1">INDEX(Data_DBD!$B:$B,$A137)</f>
        <v>14</v>
      </c>
      <c r="C137" s="32" cm="1">
        <f t="array" aca="1" ref="C137" ca="1">INDEX(Data_DBD!$C:$C,$A137)</f>
        <v>4</v>
      </c>
      <c r="D137" s="32" cm="1">
        <f t="array" aca="1" ref="D137" ca="1">INDEX(Data_DBD!$D:$D,$A137)</f>
        <v>12</v>
      </c>
      <c r="E137" s="32" cm="1">
        <f t="array" aca="1" ref="E137" ca="1">INDEX(Data_DBD!$E:$E,$A137)</f>
        <v>0</v>
      </c>
      <c r="F137" s="32" cm="1">
        <f t="array" aca="1" ref="F137" ca="1">INDEX(Data_DBD!$F:$F,$A137)</f>
        <v>2</v>
      </c>
      <c r="H137" s="32">
        <v>59</v>
      </c>
      <c r="I137" s="32">
        <v>28</v>
      </c>
      <c r="J137" s="32">
        <v>4</v>
      </c>
      <c r="K137" s="32">
        <v>15</v>
      </c>
      <c r="L137" s="32">
        <v>0</v>
      </c>
      <c r="M137" s="32">
        <v>2</v>
      </c>
    </row>
    <row r="138" spans="1:13">
      <c r="A138" s="32">
        <f t="shared" ca="1" si="2"/>
        <v>59</v>
      </c>
      <c r="B138" s="32" cm="1">
        <f t="array" aca="1" ref="B138" ca="1">INDEX(Data_DBD!$B:$B,$A138)</f>
        <v>28</v>
      </c>
      <c r="C138" s="32" cm="1">
        <f t="array" aca="1" ref="C138" ca="1">INDEX(Data_DBD!$C:$C,$A138)</f>
        <v>4</v>
      </c>
      <c r="D138" s="32" cm="1">
        <f t="array" aca="1" ref="D138" ca="1">INDEX(Data_DBD!$D:$D,$A138)</f>
        <v>15</v>
      </c>
      <c r="E138" s="32" cm="1">
        <f t="array" aca="1" ref="E138" ca="1">INDEX(Data_DBD!$E:$E,$A138)</f>
        <v>0</v>
      </c>
      <c r="F138" s="32" cm="1">
        <f t="array" aca="1" ref="F138" ca="1">INDEX(Data_DBD!$F:$F,$A138)</f>
        <v>2</v>
      </c>
      <c r="H138" s="32">
        <v>128</v>
      </c>
      <c r="I138" s="32">
        <v>38</v>
      </c>
      <c r="J138" s="32">
        <v>2</v>
      </c>
      <c r="K138" s="32">
        <v>33</v>
      </c>
      <c r="L138" s="32">
        <v>0</v>
      </c>
      <c r="M138" s="32">
        <v>3</v>
      </c>
    </row>
    <row r="139" spans="1:13">
      <c r="A139" s="32">
        <f t="shared" ca="1" si="2"/>
        <v>31</v>
      </c>
      <c r="B139" s="32" cm="1">
        <f t="array" aca="1" ref="B139" ca="1">INDEX(Data_DBD!$B:$B,$A139)</f>
        <v>64</v>
      </c>
      <c r="C139" s="32" cm="1">
        <f t="array" aca="1" ref="C139" ca="1">INDEX(Data_DBD!$C:$C,$A139)</f>
        <v>4</v>
      </c>
      <c r="D139" s="32" cm="1">
        <f t="array" aca="1" ref="D139" ca="1">INDEX(Data_DBD!$D:$D,$A139)</f>
        <v>14</v>
      </c>
      <c r="E139" s="32" cm="1">
        <f t="array" aca="1" ref="E139" ca="1">INDEX(Data_DBD!$E:$E,$A139)</f>
        <v>1</v>
      </c>
      <c r="F139" s="32" cm="1">
        <f t="array" aca="1" ref="F139" ca="1">INDEX(Data_DBD!$F:$F,$A139)</f>
        <v>2</v>
      </c>
      <c r="H139" s="32">
        <v>124</v>
      </c>
      <c r="I139" s="32">
        <v>24</v>
      </c>
      <c r="J139" s="32">
        <v>3</v>
      </c>
      <c r="K139" s="32">
        <v>33</v>
      </c>
      <c r="L139" s="32">
        <v>1</v>
      </c>
      <c r="M139" s="32">
        <v>3</v>
      </c>
    </row>
    <row r="140" spans="1:13">
      <c r="A140" s="32">
        <f t="shared" ca="1" si="2"/>
        <v>50</v>
      </c>
      <c r="B140" s="32" cm="1">
        <f t="array" aca="1" ref="B140" ca="1">INDEX(Data_DBD!$B:$B,$A140)</f>
        <v>19</v>
      </c>
      <c r="C140" s="32" cm="1">
        <f t="array" aca="1" ref="C140" ca="1">INDEX(Data_DBD!$C:$C,$A140)</f>
        <v>5</v>
      </c>
      <c r="D140" s="32" cm="1">
        <f t="array" aca="1" ref="D140" ca="1">INDEX(Data_DBD!$D:$D,$A140)</f>
        <v>13</v>
      </c>
      <c r="E140" s="32" cm="1">
        <f t="array" aca="1" ref="E140" ca="1">INDEX(Data_DBD!$E:$E,$A140)</f>
        <v>0</v>
      </c>
      <c r="F140" s="32" cm="1">
        <f t="array" aca="1" ref="F140" ca="1">INDEX(Data_DBD!$F:$F,$A140)</f>
        <v>2</v>
      </c>
      <c r="H140" s="32">
        <v>134</v>
      </c>
      <c r="I140" s="32">
        <v>4</v>
      </c>
      <c r="J140" s="32">
        <v>2</v>
      </c>
      <c r="K140" s="32">
        <v>33</v>
      </c>
      <c r="L140" s="32">
        <v>1</v>
      </c>
      <c r="M140" s="32">
        <v>3</v>
      </c>
    </row>
    <row r="141" spans="1:13">
      <c r="A141" s="32">
        <f t="shared" ca="1" si="2"/>
        <v>9</v>
      </c>
      <c r="B141" s="32" cm="1">
        <f t="array" aca="1" ref="B141" ca="1">INDEX(Data_DBD!$B:$B,$A141)</f>
        <v>16</v>
      </c>
      <c r="C141" s="32" cm="1">
        <f t="array" aca="1" ref="C141" ca="1">INDEX(Data_DBD!$C:$C,$A141)</f>
        <v>6</v>
      </c>
      <c r="D141" s="32" cm="1">
        <f t="array" aca="1" ref="D141" ca="1">INDEX(Data_DBD!$D:$D,$A141)</f>
        <v>12</v>
      </c>
      <c r="E141" s="32" cm="1">
        <f t="array" aca="1" ref="E141" ca="1">INDEX(Data_DBD!$E:$E,$A141)</f>
        <v>1</v>
      </c>
      <c r="F141" s="32" cm="1">
        <f t="array" aca="1" ref="F141" ca="1">INDEX(Data_DBD!$F:$F,$A141)</f>
        <v>2</v>
      </c>
      <c r="H141" s="32">
        <v>22</v>
      </c>
      <c r="I141" s="32">
        <v>6</v>
      </c>
      <c r="J141" s="32">
        <v>3</v>
      </c>
      <c r="K141" s="32">
        <v>14</v>
      </c>
      <c r="L141" s="32">
        <v>0</v>
      </c>
      <c r="M141" s="32">
        <v>2</v>
      </c>
    </row>
    <row r="142" spans="1:13">
      <c r="A142" s="32">
        <f t="shared" ca="1" si="2"/>
        <v>146</v>
      </c>
      <c r="B142" s="32" cm="1">
        <f t="array" aca="1" ref="B142" ca="1">INDEX(Data_DBD!$B:$B,$A142)</f>
        <v>34</v>
      </c>
      <c r="C142" s="32" cm="1">
        <f t="array" aca="1" ref="C142" ca="1">INDEX(Data_DBD!$C:$C,$A142)</f>
        <v>2</v>
      </c>
      <c r="D142" s="32" cm="1">
        <f t="array" aca="1" ref="D142" ca="1">INDEX(Data_DBD!$D:$D,$A142)</f>
        <v>21</v>
      </c>
      <c r="E142" s="32" cm="1">
        <f t="array" aca="1" ref="E142" ca="1">INDEX(Data_DBD!$E:$E,$A142)</f>
        <v>1</v>
      </c>
      <c r="F142" s="32" cm="1">
        <f t="array" aca="1" ref="F142" ca="1">INDEX(Data_DBD!$F:$F,$A142)</f>
        <v>3</v>
      </c>
      <c r="H142" s="32">
        <v>6</v>
      </c>
      <c r="I142" s="32">
        <v>14</v>
      </c>
      <c r="J142" s="32">
        <v>4</v>
      </c>
      <c r="K142" s="32">
        <v>12</v>
      </c>
      <c r="L142" s="32">
        <v>0</v>
      </c>
      <c r="M142" s="32">
        <v>2</v>
      </c>
    </row>
    <row r="143" spans="1:13">
      <c r="A143" s="32">
        <f t="shared" ca="1" si="2"/>
        <v>147</v>
      </c>
      <c r="B143" s="32" cm="1">
        <f t="array" aca="1" ref="B143" ca="1">INDEX(Data_DBD!$B:$B,$A143)</f>
        <v>66</v>
      </c>
      <c r="C143" s="32" cm="1">
        <f t="array" aca="1" ref="C143" ca="1">INDEX(Data_DBD!$C:$C,$A143)</f>
        <v>10</v>
      </c>
      <c r="D143" s="32" cm="1">
        <f t="array" aca="1" ref="D143" ca="1">INDEX(Data_DBD!$D:$D,$A143)</f>
        <v>21</v>
      </c>
      <c r="E143" s="32" cm="1">
        <f t="array" aca="1" ref="E143" ca="1">INDEX(Data_DBD!$E:$E,$A143)</f>
        <v>1</v>
      </c>
      <c r="F143" s="32" cm="1">
        <f t="array" aca="1" ref="F143" ca="1">INDEX(Data_DBD!$F:$F,$A143)</f>
        <v>3</v>
      </c>
      <c r="H143" s="32">
        <v>72</v>
      </c>
      <c r="I143" s="32">
        <v>3</v>
      </c>
      <c r="J143" s="32">
        <v>5</v>
      </c>
      <c r="K143" s="32">
        <v>10</v>
      </c>
      <c r="L143" s="32">
        <v>1</v>
      </c>
      <c r="M143" s="32">
        <v>2</v>
      </c>
    </row>
    <row r="144" spans="1:13">
      <c r="A144" s="32">
        <f t="shared" ca="1" si="2"/>
        <v>15</v>
      </c>
      <c r="B144" s="32" cm="1">
        <f t="array" aca="1" ref="B144" ca="1">INDEX(Data_DBD!$B:$B,$A144)</f>
        <v>21</v>
      </c>
      <c r="C144" s="32" cm="1">
        <f t="array" aca="1" ref="C144" ca="1">INDEX(Data_DBD!$C:$C,$A144)</f>
        <v>2</v>
      </c>
      <c r="D144" s="32" cm="1">
        <f t="array" aca="1" ref="D144" ca="1">INDEX(Data_DBD!$D:$D,$A144)</f>
        <v>7</v>
      </c>
      <c r="E144" s="32" cm="1">
        <f t="array" aca="1" ref="E144" ca="1">INDEX(Data_DBD!$E:$E,$A144)</f>
        <v>0</v>
      </c>
      <c r="F144" s="32" cm="1">
        <f t="array" aca="1" ref="F144" ca="1">INDEX(Data_DBD!$F:$F,$A144)</f>
        <v>1</v>
      </c>
      <c r="H144" s="32">
        <v>34</v>
      </c>
      <c r="I144" s="32">
        <v>55</v>
      </c>
      <c r="J144" s="32">
        <v>3</v>
      </c>
      <c r="K144" s="32">
        <v>14</v>
      </c>
      <c r="L144" s="32">
        <v>0</v>
      </c>
      <c r="M144" s="32">
        <v>2</v>
      </c>
    </row>
    <row r="145" spans="1:13">
      <c r="A145" s="32">
        <f t="shared" ca="1" si="2"/>
        <v>92</v>
      </c>
      <c r="B145" s="32" cm="1">
        <f t="array" aca="1" ref="B145" ca="1">INDEX(Data_DBD!$B:$B,$A145)</f>
        <v>55</v>
      </c>
      <c r="C145" s="32" cm="1">
        <f t="array" aca="1" ref="C145" ca="1">INDEX(Data_DBD!$C:$C,$A145)</f>
        <v>7</v>
      </c>
      <c r="D145" s="32" cm="1">
        <f t="array" aca="1" ref="D145" ca="1">INDEX(Data_DBD!$D:$D,$A145)</f>
        <v>18</v>
      </c>
      <c r="E145" s="32" cm="1">
        <f t="array" aca="1" ref="E145" ca="1">INDEX(Data_DBD!$E:$E,$A145)</f>
        <v>0</v>
      </c>
      <c r="F145" s="32" cm="1">
        <f t="array" aca="1" ref="F145" ca="1">INDEX(Data_DBD!$F:$F,$A145)</f>
        <v>3</v>
      </c>
      <c r="H145" s="32">
        <v>55</v>
      </c>
      <c r="I145" s="32">
        <v>7</v>
      </c>
      <c r="J145" s="32">
        <v>4</v>
      </c>
      <c r="K145" s="32">
        <v>15</v>
      </c>
      <c r="L145" s="32">
        <v>1</v>
      </c>
      <c r="M145" s="32">
        <v>2</v>
      </c>
    </row>
    <row r="146" spans="1:13">
      <c r="A146" s="32">
        <f t="shared" ca="1" si="2"/>
        <v>155</v>
      </c>
      <c r="B146" s="32" cm="1">
        <f t="array" aca="1" ref="B146" ca="1">INDEX(Data_DBD!$B:$B,$A146)</f>
        <v>19</v>
      </c>
      <c r="C146" s="32" cm="1">
        <f t="array" aca="1" ref="C146" ca="1">INDEX(Data_DBD!$C:$C,$A146)</f>
        <v>5</v>
      </c>
      <c r="D146" s="32" cm="1">
        <f t="array" aca="1" ref="D146" ca="1">INDEX(Data_DBD!$D:$D,$A146)</f>
        <v>21</v>
      </c>
      <c r="E146" s="32" cm="1">
        <f t="array" aca="1" ref="E146" ca="1">INDEX(Data_DBD!$E:$E,$A146)</f>
        <v>1</v>
      </c>
      <c r="F146" s="32" cm="1">
        <f t="array" aca="1" ref="F146" ca="1">INDEX(Data_DBD!$F:$F,$A146)</f>
        <v>3</v>
      </c>
      <c r="H146" s="32">
        <v>107</v>
      </c>
      <c r="I146" s="32">
        <v>48</v>
      </c>
      <c r="J146" s="32">
        <v>5</v>
      </c>
      <c r="K146" s="32">
        <v>18</v>
      </c>
      <c r="L146" s="32">
        <v>0</v>
      </c>
      <c r="M146" s="32">
        <v>3</v>
      </c>
    </row>
    <row r="147" spans="1:13">
      <c r="A147" s="32">
        <f t="shared" ca="1" si="2"/>
        <v>62</v>
      </c>
      <c r="B147" s="32" cm="1">
        <f t="array" aca="1" ref="B147" ca="1">INDEX(Data_DBD!$B:$B,$A147)</f>
        <v>43</v>
      </c>
      <c r="C147" s="32" cm="1">
        <f t="array" aca="1" ref="C147" ca="1">INDEX(Data_DBD!$C:$C,$A147)</f>
        <v>4</v>
      </c>
      <c r="D147" s="32" cm="1">
        <f t="array" aca="1" ref="D147" ca="1">INDEX(Data_DBD!$D:$D,$A147)</f>
        <v>15</v>
      </c>
      <c r="E147" s="32" cm="1">
        <f t="array" aca="1" ref="E147" ca="1">INDEX(Data_DBD!$E:$E,$A147)</f>
        <v>1</v>
      </c>
      <c r="F147" s="32" cm="1">
        <f t="array" aca="1" ref="F147" ca="1">INDEX(Data_DBD!$F:$F,$A147)</f>
        <v>2</v>
      </c>
      <c r="H147" s="32">
        <v>122</v>
      </c>
      <c r="I147" s="32">
        <v>28</v>
      </c>
      <c r="J147" s="32">
        <v>3</v>
      </c>
      <c r="K147" s="32">
        <v>33</v>
      </c>
      <c r="L147" s="32">
        <v>1</v>
      </c>
      <c r="M147" s="32">
        <v>3</v>
      </c>
    </row>
    <row r="148" spans="1:13">
      <c r="A148" s="32">
        <f t="shared" ca="1" si="2"/>
        <v>122</v>
      </c>
      <c r="B148" s="32" cm="1">
        <f t="array" aca="1" ref="B148" ca="1">INDEX(Data_DBD!$B:$B,$A148)</f>
        <v>28</v>
      </c>
      <c r="C148" s="32" cm="1">
        <f t="array" aca="1" ref="C148" ca="1">INDEX(Data_DBD!$C:$C,$A148)</f>
        <v>3</v>
      </c>
      <c r="D148" s="32" cm="1">
        <f t="array" aca="1" ref="D148" ca="1">INDEX(Data_DBD!$D:$D,$A148)</f>
        <v>33</v>
      </c>
      <c r="E148" s="32" cm="1">
        <f t="array" aca="1" ref="E148" ca="1">INDEX(Data_DBD!$E:$E,$A148)</f>
        <v>1</v>
      </c>
      <c r="F148" s="32" cm="1">
        <f t="array" aca="1" ref="F148" ca="1">INDEX(Data_DBD!$F:$F,$A148)</f>
        <v>3</v>
      </c>
      <c r="H148" s="32">
        <v>119</v>
      </c>
      <c r="I148" s="32">
        <v>30</v>
      </c>
      <c r="J148" s="32">
        <v>7</v>
      </c>
      <c r="K148" s="32">
        <v>33</v>
      </c>
      <c r="L148" s="32">
        <v>0</v>
      </c>
      <c r="M148" s="32">
        <v>3</v>
      </c>
    </row>
    <row r="149" spans="1:13">
      <c r="A149" s="32">
        <f t="shared" ca="1" si="2"/>
        <v>141</v>
      </c>
      <c r="B149" s="32" cm="1">
        <f t="array" aca="1" ref="B149" ca="1">INDEX(Data_DBD!$B:$B,$A149)</f>
        <v>36</v>
      </c>
      <c r="C149" s="32" cm="1">
        <f t="array" aca="1" ref="C149" ca="1">INDEX(Data_DBD!$C:$C,$A149)</f>
        <v>2</v>
      </c>
      <c r="D149" s="32" cm="1">
        <f t="array" aca="1" ref="D149" ca="1">INDEX(Data_DBD!$D:$D,$A149)</f>
        <v>21</v>
      </c>
      <c r="E149" s="32" cm="1">
        <f t="array" aca="1" ref="E149" ca="1">INDEX(Data_DBD!$E:$E,$A149)</f>
        <v>0</v>
      </c>
      <c r="F149" s="32" cm="1">
        <f t="array" aca="1" ref="F149" ca="1">INDEX(Data_DBD!$F:$F,$A149)</f>
        <v>3</v>
      </c>
      <c r="H149" s="32">
        <v>107</v>
      </c>
      <c r="I149" s="32">
        <v>48</v>
      </c>
      <c r="J149" s="32">
        <v>5</v>
      </c>
      <c r="K149" s="32">
        <v>18</v>
      </c>
      <c r="L149" s="32">
        <v>0</v>
      </c>
      <c r="M149" s="32">
        <v>3</v>
      </c>
    </row>
    <row r="150" spans="1:13">
      <c r="A150" s="32">
        <f t="shared" ca="1" si="2"/>
        <v>54</v>
      </c>
      <c r="B150" s="32" cm="1">
        <f t="array" aca="1" ref="B150" ca="1">INDEX(Data_DBD!$B:$B,$A150)</f>
        <v>7</v>
      </c>
      <c r="C150" s="32" cm="1">
        <f t="array" aca="1" ref="C150" ca="1">INDEX(Data_DBD!$C:$C,$A150)</f>
        <v>3</v>
      </c>
      <c r="D150" s="32" cm="1">
        <f t="array" aca="1" ref="D150" ca="1">INDEX(Data_DBD!$D:$D,$A150)</f>
        <v>15</v>
      </c>
      <c r="E150" s="32" cm="1">
        <f t="array" aca="1" ref="E150" ca="1">INDEX(Data_DBD!$E:$E,$A150)</f>
        <v>0</v>
      </c>
      <c r="F150" s="32" cm="1">
        <f t="array" aca="1" ref="F150" ca="1">INDEX(Data_DBD!$F:$F,$A150)</f>
        <v>2</v>
      </c>
      <c r="H150" s="32">
        <v>83</v>
      </c>
      <c r="I150" s="32">
        <v>50</v>
      </c>
      <c r="J150" s="32">
        <v>3</v>
      </c>
      <c r="K150" s="32">
        <v>13</v>
      </c>
      <c r="L150" s="32">
        <v>0</v>
      </c>
      <c r="M150" s="32">
        <v>2</v>
      </c>
    </row>
    <row r="151" spans="1:13">
      <c r="A151" s="32">
        <f t="shared" ca="1" si="2"/>
        <v>87</v>
      </c>
      <c r="B151" s="32" cm="1">
        <f t="array" aca="1" ref="B151" ca="1">INDEX(Data_DBD!$B:$B,$A151)</f>
        <v>21</v>
      </c>
      <c r="C151" s="32" cm="1">
        <f t="array" aca="1" ref="C151" ca="1">INDEX(Data_DBD!$C:$C,$A151)</f>
        <v>3</v>
      </c>
      <c r="D151" s="32" cm="1">
        <f t="array" aca="1" ref="D151" ca="1">INDEX(Data_DBD!$D:$D,$A151)</f>
        <v>13</v>
      </c>
      <c r="E151" s="32" cm="1">
        <f t="array" aca="1" ref="E151" ca="1">INDEX(Data_DBD!$E:$E,$A151)</f>
        <v>0</v>
      </c>
      <c r="F151" s="32" cm="1">
        <f t="array" aca="1" ref="F151" ca="1">INDEX(Data_DBD!$F:$F,$A151)</f>
        <v>2</v>
      </c>
      <c r="H151" s="32">
        <v>152</v>
      </c>
      <c r="I151" s="32">
        <v>47</v>
      </c>
      <c r="J151" s="32">
        <v>3</v>
      </c>
      <c r="K151" s="32">
        <v>21</v>
      </c>
      <c r="L151" s="32">
        <v>1</v>
      </c>
      <c r="M151" s="32">
        <v>3</v>
      </c>
    </row>
    <row r="152" spans="1:13">
      <c r="A152" s="32">
        <f t="shared" ca="1" si="2"/>
        <v>43</v>
      </c>
      <c r="B152" s="32" cm="1">
        <f t="array" aca="1" ref="B152" ca="1">INDEX(Data_DBD!$B:$B,$A152)</f>
        <v>15</v>
      </c>
      <c r="C152" s="32" cm="1">
        <f t="array" aca="1" ref="C152" ca="1">INDEX(Data_DBD!$C:$C,$A152)</f>
        <v>4</v>
      </c>
      <c r="D152" s="32" cm="1">
        <f t="array" aca="1" ref="D152" ca="1">INDEX(Data_DBD!$D:$D,$A152)</f>
        <v>13</v>
      </c>
      <c r="E152" s="32" cm="1">
        <f t="array" aca="1" ref="E152" ca="1">INDEX(Data_DBD!$E:$E,$A152)</f>
        <v>0</v>
      </c>
      <c r="F152" s="32" cm="1">
        <f t="array" aca="1" ref="F152" ca="1">INDEX(Data_DBD!$F:$F,$A152)</f>
        <v>2</v>
      </c>
      <c r="H152" s="32">
        <v>132</v>
      </c>
      <c r="I152" s="32">
        <v>10</v>
      </c>
      <c r="J152" s="32">
        <v>3</v>
      </c>
      <c r="K152" s="32">
        <v>33</v>
      </c>
      <c r="L152" s="32">
        <v>1</v>
      </c>
      <c r="M152" s="32">
        <v>3</v>
      </c>
    </row>
    <row r="153" spans="1:13">
      <c r="A153" s="32">
        <f t="shared" ca="1" si="2"/>
        <v>68</v>
      </c>
      <c r="B153" s="32" cm="1">
        <f t="array" aca="1" ref="B153" ca="1">INDEX(Data_DBD!$B:$B,$A153)</f>
        <v>44</v>
      </c>
      <c r="C153" s="32" cm="1">
        <f t="array" aca="1" ref="C153" ca="1">INDEX(Data_DBD!$C:$C,$A153)</f>
        <v>5</v>
      </c>
      <c r="D153" s="32" cm="1">
        <f t="array" aca="1" ref="D153" ca="1">INDEX(Data_DBD!$D:$D,$A153)</f>
        <v>10</v>
      </c>
      <c r="E153" s="32" cm="1">
        <f t="array" aca="1" ref="E153" ca="1">INDEX(Data_DBD!$E:$E,$A153)</f>
        <v>0</v>
      </c>
      <c r="F153" s="32" cm="1">
        <f t="array" aca="1" ref="F153" ca="1">INDEX(Data_DBD!$F:$F,$A153)</f>
        <v>2</v>
      </c>
      <c r="H153" s="32">
        <v>65</v>
      </c>
      <c r="I153" s="32">
        <v>49</v>
      </c>
      <c r="J153" s="32">
        <v>3</v>
      </c>
      <c r="K153" s="32">
        <v>15</v>
      </c>
      <c r="L153" s="32">
        <v>0</v>
      </c>
      <c r="M153" s="32">
        <v>2</v>
      </c>
    </row>
    <row r="154" spans="1:13">
      <c r="A154" s="32">
        <f t="shared" ca="1" si="2"/>
        <v>101</v>
      </c>
      <c r="B154" s="32" cm="1">
        <f t="array" aca="1" ref="B154" ca="1">INDEX(Data_DBD!$B:$B,$A154)</f>
        <v>42</v>
      </c>
      <c r="C154" s="32" cm="1">
        <f t="array" aca="1" ref="C154" ca="1">INDEX(Data_DBD!$C:$C,$A154)</f>
        <v>5</v>
      </c>
      <c r="D154" s="32" cm="1">
        <f t="array" aca="1" ref="D154" ca="1">INDEX(Data_DBD!$D:$D,$A154)</f>
        <v>18</v>
      </c>
      <c r="E154" s="32" cm="1">
        <f t="array" aca="1" ref="E154" ca="1">INDEX(Data_DBD!$E:$E,$A154)</f>
        <v>0</v>
      </c>
      <c r="F154" s="32" cm="1">
        <f t="array" aca="1" ref="F154" ca="1">INDEX(Data_DBD!$F:$F,$A154)</f>
        <v>3</v>
      </c>
      <c r="H154" s="32">
        <v>3</v>
      </c>
      <c r="I154" s="32">
        <v>43</v>
      </c>
      <c r="J154" s="32">
        <v>3</v>
      </c>
      <c r="K154" s="32">
        <v>12</v>
      </c>
      <c r="L154" s="32">
        <v>1</v>
      </c>
      <c r="M154" s="32">
        <v>2</v>
      </c>
    </row>
    <row r="155" spans="1:13">
      <c r="A155" s="32">
        <f t="shared" ca="1" si="2"/>
        <v>64</v>
      </c>
      <c r="B155" s="32" cm="1">
        <f t="array" aca="1" ref="B155" ca="1">INDEX(Data_DBD!$B:$B,$A155)</f>
        <v>35</v>
      </c>
      <c r="C155" s="32" cm="1">
        <f t="array" aca="1" ref="C155" ca="1">INDEX(Data_DBD!$C:$C,$A155)</f>
        <v>1</v>
      </c>
      <c r="D155" s="32" cm="1">
        <f t="array" aca="1" ref="D155" ca="1">INDEX(Data_DBD!$D:$D,$A155)</f>
        <v>15</v>
      </c>
      <c r="E155" s="32" cm="1">
        <f t="array" aca="1" ref="E155" ca="1">INDEX(Data_DBD!$E:$E,$A155)</f>
        <v>0</v>
      </c>
      <c r="F155" s="32" cm="1">
        <f t="array" aca="1" ref="F155" ca="1">INDEX(Data_DBD!$F:$F,$A155)</f>
        <v>2</v>
      </c>
      <c r="H155" s="32">
        <v>25</v>
      </c>
      <c r="I155" s="32">
        <v>81</v>
      </c>
      <c r="J155" s="32">
        <v>5</v>
      </c>
      <c r="K155" s="32">
        <v>14</v>
      </c>
      <c r="L155" s="32">
        <v>0</v>
      </c>
      <c r="M155" s="32">
        <v>2</v>
      </c>
    </row>
    <row r="156" spans="1:13">
      <c r="A156" s="32">
        <f t="shared" ca="1" si="2"/>
        <v>102</v>
      </c>
      <c r="B156" s="32" cm="1">
        <f t="array" aca="1" ref="B156" ca="1">INDEX(Data_DBD!$B:$B,$A156)</f>
        <v>41</v>
      </c>
      <c r="C156" s="32" cm="1">
        <f t="array" aca="1" ref="C156" ca="1">INDEX(Data_DBD!$C:$C,$A156)</f>
        <v>4</v>
      </c>
      <c r="D156" s="32" cm="1">
        <f t="array" aca="1" ref="D156" ca="1">INDEX(Data_DBD!$D:$D,$A156)</f>
        <v>18</v>
      </c>
      <c r="E156" s="32" cm="1">
        <f t="array" aca="1" ref="E156" ca="1">INDEX(Data_DBD!$E:$E,$A156)</f>
        <v>0</v>
      </c>
      <c r="F156" s="32" cm="1">
        <f t="array" aca="1" ref="F156" ca="1">INDEX(Data_DBD!$F:$F,$A156)</f>
        <v>3</v>
      </c>
      <c r="H156" s="32">
        <v>48</v>
      </c>
      <c r="I156" s="32">
        <v>50</v>
      </c>
      <c r="J156" s="32">
        <v>5</v>
      </c>
      <c r="K156" s="32">
        <v>13</v>
      </c>
      <c r="L156" s="32">
        <v>1</v>
      </c>
      <c r="M156" s="32">
        <v>2</v>
      </c>
    </row>
    <row r="157" spans="1:13">
      <c r="A157" s="32">
        <f t="shared" ca="1" si="2"/>
        <v>7</v>
      </c>
      <c r="B157" s="32" cm="1">
        <f t="array" aca="1" ref="B157" ca="1">INDEX(Data_DBD!$B:$B,$A157)</f>
        <v>12</v>
      </c>
      <c r="C157" s="32" cm="1">
        <f t="array" aca="1" ref="C157" ca="1">INDEX(Data_DBD!$C:$C,$A157)</f>
        <v>1</v>
      </c>
      <c r="D157" s="32" cm="1">
        <f t="array" aca="1" ref="D157" ca="1">INDEX(Data_DBD!$D:$D,$A157)</f>
        <v>12</v>
      </c>
      <c r="E157" s="32" cm="1">
        <f t="array" aca="1" ref="E157" ca="1">INDEX(Data_DBD!$E:$E,$A157)</f>
        <v>1</v>
      </c>
      <c r="F157" s="32" cm="1">
        <f t="array" aca="1" ref="F157" ca="1">INDEX(Data_DBD!$F:$F,$A157)</f>
        <v>2</v>
      </c>
      <c r="H157" s="32">
        <v>156</v>
      </c>
      <c r="I157" s="32">
        <v>5</v>
      </c>
      <c r="J157" s="32">
        <v>2</v>
      </c>
      <c r="K157" s="32">
        <v>21</v>
      </c>
      <c r="L157" s="32">
        <v>0</v>
      </c>
      <c r="M157" s="32">
        <v>3</v>
      </c>
    </row>
    <row r="158" spans="1:13" ht="15.75">
      <c r="A158" s="32">
        <f t="shared" ca="1" si="2"/>
        <v>19</v>
      </c>
      <c r="B158" s="32" cm="1">
        <f t="array" aca="1" ref="B158" ca="1">INDEX(Data_DBD!$B:$B,$A158)</f>
        <v>8</v>
      </c>
      <c r="C158" s="32" cm="1">
        <f t="array" aca="1" ref="C158" ca="1">INDEX(Data_DBD!$C:$C,$A158)</f>
        <v>4</v>
      </c>
      <c r="D158" s="32" cm="1">
        <f t="array" aca="1" ref="D158" ca="1">INDEX(Data_DBD!$D:$D,$A158)</f>
        <v>7</v>
      </c>
      <c r="E158" s="32" cm="1">
        <f t="array" aca="1" ref="E158" ca="1">INDEX(Data_DBD!$E:$E,$A158)</f>
        <v>0</v>
      </c>
      <c r="F158" s="32" cm="1">
        <f t="array" aca="1" ref="F158" ca="1">INDEX(Data_DBD!$F:$F,$A158)</f>
        <v>1</v>
      </c>
      <c r="H158" s="32">
        <v>63</v>
      </c>
      <c r="I158" s="32">
        <v>25</v>
      </c>
      <c r="J158" s="32">
        <v>3</v>
      </c>
      <c r="K158" s="32">
        <v>15</v>
      </c>
      <c r="L158" s="58">
        <v>0</v>
      </c>
      <c r="M158" s="32">
        <v>2</v>
      </c>
    </row>
    <row r="159" spans="1:13" ht="15.75">
      <c r="A159" s="32">
        <f t="shared" ca="1" si="2"/>
        <v>78</v>
      </c>
      <c r="B159" s="32" cm="1">
        <f t="array" aca="1" ref="B159" ca="1">INDEX(Data_DBD!$B:$B,$A159)</f>
        <v>6</v>
      </c>
      <c r="C159" s="32" cm="1">
        <f t="array" aca="1" ref="C159" ca="1">INDEX(Data_DBD!$C:$C,$A159)</f>
        <v>3</v>
      </c>
      <c r="D159" s="32" cm="1">
        <f t="array" aca="1" ref="D159" ca="1">INDEX(Data_DBD!$D:$D,$A159)</f>
        <v>13</v>
      </c>
      <c r="E159" s="32" cm="1">
        <f t="array" aca="1" ref="E159" ca="1">INDEX(Data_DBD!$E:$E,$A159)</f>
        <v>0</v>
      </c>
      <c r="F159" s="32" cm="1">
        <f t="array" aca="1" ref="F159" ca="1">INDEX(Data_DBD!$F:$F,$A159)</f>
        <v>2</v>
      </c>
      <c r="H159" s="32">
        <v>55</v>
      </c>
      <c r="I159" s="32">
        <v>7</v>
      </c>
      <c r="J159" s="32">
        <v>4</v>
      </c>
      <c r="K159" s="32">
        <v>15</v>
      </c>
      <c r="L159" s="59">
        <v>1</v>
      </c>
      <c r="M159" s="32">
        <v>2</v>
      </c>
    </row>
    <row r="160" spans="1:13" ht="15.75">
      <c r="A160" s="32">
        <f t="shared" ca="1" si="2"/>
        <v>74</v>
      </c>
      <c r="B160" s="32" cm="1">
        <f t="array" aca="1" ref="B160" ca="1">INDEX(Data_DBD!$B:$B,$A160)</f>
        <v>9</v>
      </c>
      <c r="C160" s="32" cm="1">
        <f t="array" aca="1" ref="C160" ca="1">INDEX(Data_DBD!$C:$C,$A160)</f>
        <v>4</v>
      </c>
      <c r="D160" s="32" cm="1">
        <f t="array" aca="1" ref="D160" ca="1">INDEX(Data_DBD!$D:$D,$A160)</f>
        <v>10</v>
      </c>
      <c r="E160" s="32" cm="1">
        <f t="array" aca="1" ref="E160" ca="1">INDEX(Data_DBD!$E:$E,$A160)</f>
        <v>0</v>
      </c>
      <c r="F160" s="32" cm="1">
        <f t="array" aca="1" ref="F160" ca="1">INDEX(Data_DBD!$F:$F,$A160)</f>
        <v>2</v>
      </c>
      <c r="H160" s="32">
        <v>127</v>
      </c>
      <c r="I160" s="32">
        <v>21</v>
      </c>
      <c r="J160" s="32">
        <v>2</v>
      </c>
      <c r="K160" s="32">
        <v>33</v>
      </c>
      <c r="L160" s="60">
        <v>0</v>
      </c>
      <c r="M160" s="32">
        <v>3</v>
      </c>
    </row>
    <row r="161" spans="1:22" ht="15.75">
      <c r="A161" s="32">
        <f t="shared" ca="1" si="2"/>
        <v>160</v>
      </c>
      <c r="B161" s="32" cm="1">
        <f t="array" aca="1" ref="B161" ca="1">INDEX(Data_DBD!$B:$B,$A161)</f>
        <v>16</v>
      </c>
      <c r="C161" s="32" cm="1">
        <f t="array" aca="1" ref="C161" ca="1">INDEX(Data_DBD!$C:$C,$A161)</f>
        <v>3</v>
      </c>
      <c r="D161" s="32" cm="1">
        <f t="array" aca="1" ref="D161" ca="1">INDEX(Data_DBD!$D:$D,$A161)</f>
        <v>21</v>
      </c>
      <c r="E161" s="32" cm="1">
        <f t="array" aca="1" ref="E161" ca="1">INDEX(Data_DBD!$E:$E,$A161)</f>
        <v>0</v>
      </c>
      <c r="F161" s="32" cm="1">
        <f t="array" aca="1" ref="F161" ca="1">INDEX(Data_DBD!$F:$F,$A161)</f>
        <v>3</v>
      </c>
      <c r="H161" s="32">
        <v>158</v>
      </c>
      <c r="I161" s="32">
        <v>5</v>
      </c>
      <c r="J161" s="32">
        <v>2</v>
      </c>
      <c r="K161" s="32">
        <v>21</v>
      </c>
      <c r="L161" s="60">
        <v>0</v>
      </c>
      <c r="M161" s="32">
        <v>3</v>
      </c>
    </row>
    <row r="162" spans="1:22" ht="15.75">
      <c r="A162" s="32">
        <f t="shared" ca="1" si="2"/>
        <v>109</v>
      </c>
      <c r="B162" s="32" cm="1">
        <f t="array" aca="1" ref="B162" ca="1">INDEX(Data_DBD!$B:$B,$A162)</f>
        <v>40</v>
      </c>
      <c r="C162" s="32" cm="1">
        <f t="array" aca="1" ref="C162" ca="1">INDEX(Data_DBD!$C:$C,$A162)</f>
        <v>3</v>
      </c>
      <c r="D162" s="32" cm="1">
        <f t="array" aca="1" ref="D162" ca="1">INDEX(Data_DBD!$D:$D,$A162)</f>
        <v>33</v>
      </c>
      <c r="E162" s="32" cm="1">
        <f t="array" aca="1" ref="E162" ca="1">INDEX(Data_DBD!$E:$E,$A162)</f>
        <v>1</v>
      </c>
      <c r="F162" s="32" cm="1">
        <f t="array" aca="1" ref="F162" ca="1">INDEX(Data_DBD!$F:$F,$A162)</f>
        <v>3</v>
      </c>
      <c r="H162" s="32">
        <v>60</v>
      </c>
      <c r="I162" s="32">
        <v>68</v>
      </c>
      <c r="J162" s="32">
        <v>4</v>
      </c>
      <c r="K162" s="32">
        <v>15</v>
      </c>
      <c r="L162" s="59">
        <v>0</v>
      </c>
      <c r="M162" s="32">
        <v>2</v>
      </c>
    </row>
    <row r="163" spans="1:22" ht="15.75">
      <c r="A163" s="32">
        <f t="shared" ca="1" si="2"/>
        <v>27</v>
      </c>
      <c r="B163" s="32" cm="1">
        <f t="array" aca="1" ref="B163" ca="1">INDEX(Data_DBD!$B:$B,$A163)</f>
        <v>37</v>
      </c>
      <c r="C163" s="32" cm="1">
        <f t="array" aca="1" ref="C163" ca="1">INDEX(Data_DBD!$C:$C,$A163)</f>
        <v>4</v>
      </c>
      <c r="D163" s="32" cm="1">
        <f t="array" aca="1" ref="D163" ca="1">INDEX(Data_DBD!$D:$D,$A163)</f>
        <v>14</v>
      </c>
      <c r="E163" s="32" cm="1">
        <f t="array" aca="1" ref="E163" ca="1">INDEX(Data_DBD!$E:$E,$A163)</f>
        <v>1</v>
      </c>
      <c r="F163" s="32" cm="1">
        <f t="array" aca="1" ref="F163" ca="1">INDEX(Data_DBD!$F:$F,$A163)</f>
        <v>2</v>
      </c>
      <c r="H163" s="32">
        <v>114</v>
      </c>
      <c r="I163" s="32">
        <v>14</v>
      </c>
      <c r="J163" s="32">
        <v>2</v>
      </c>
      <c r="K163" s="32">
        <v>33</v>
      </c>
      <c r="L163" s="60">
        <v>1</v>
      </c>
      <c r="M163" s="32">
        <v>3</v>
      </c>
    </row>
    <row r="164" spans="1:22">
      <c r="A164" s="32">
        <f t="shared" ca="1" si="2"/>
        <v>85</v>
      </c>
      <c r="B164" s="32" cm="1">
        <f t="array" aca="1" ref="B164" ca="1">INDEX(Data_DBD!$B:$B,$A164)</f>
        <v>27</v>
      </c>
      <c r="C164" s="32" cm="1">
        <f t="array" aca="1" ref="C164" ca="1">INDEX(Data_DBD!$C:$C,$A164)</f>
        <v>9</v>
      </c>
      <c r="D164" s="32" cm="1">
        <f t="array" aca="1" ref="D164" ca="1">INDEX(Data_DBD!$D:$D,$A164)</f>
        <v>13</v>
      </c>
      <c r="E164" s="32" cm="1">
        <f t="array" aca="1" ref="E164" ca="1">INDEX(Data_DBD!$E:$E,$A164)</f>
        <v>0</v>
      </c>
      <c r="F164" s="32" cm="1">
        <f t="array" aca="1" ref="F164" ca="1">INDEX(Data_DBD!$F:$F,$A164)</f>
        <v>2</v>
      </c>
      <c r="H164" s="32">
        <v>158</v>
      </c>
      <c r="I164" s="32">
        <v>5</v>
      </c>
      <c r="J164" s="32">
        <v>2</v>
      </c>
      <c r="K164" s="32">
        <v>21</v>
      </c>
      <c r="L164" s="32">
        <v>0</v>
      </c>
      <c r="M164" s="32">
        <v>3</v>
      </c>
    </row>
    <row r="165" spans="1:22">
      <c r="I165">
        <f>AVERAGE(I2:I164)</f>
        <v>29.947530864197532</v>
      </c>
      <c r="J165">
        <f>AVERAGE(J2:J164)</f>
        <v>3.5950920245398774</v>
      </c>
      <c r="K165">
        <f>AVERAGE(K2:K164)</f>
        <v>18.625766871165645</v>
      </c>
      <c r="L165">
        <f>AVERAGE(L2:L164)</f>
        <v>0.50306748466257667</v>
      </c>
    </row>
    <row r="166" spans="1:22">
      <c r="B166">
        <v>55</v>
      </c>
    </row>
    <row r="168" spans="1:22">
      <c r="E168" s="38" t="s">
        <v>188</v>
      </c>
      <c r="J168" s="38" t="s">
        <v>189</v>
      </c>
      <c r="O168" s="38" t="s">
        <v>190</v>
      </c>
      <c r="T168" s="38" t="s">
        <v>191</v>
      </c>
    </row>
    <row r="169" spans="1:22">
      <c r="E169" s="32" t="s">
        <v>1</v>
      </c>
      <c r="F169" s="32">
        <f>AVERAGEIF($I$2:$I$164,"&lt;="&amp;$I$165)</f>
        <v>15.427835051546392</v>
      </c>
      <c r="G169" s="32">
        <f>AVERAGEIF($I$2:$I$164,"&gt;"&amp;$I$165)</f>
        <v>51.615384615384613</v>
      </c>
      <c r="J169" s="32" t="s">
        <v>192</v>
      </c>
      <c r="K169" s="32">
        <f>AVERAGEIF($J$2:$J$164,"&lt;="&amp;$J$165)</f>
        <v>2.5172413793103448</v>
      </c>
      <c r="L169" s="32">
        <f>AVERAGEIF($J$2:$J$164,"&gt;"&amp;$J$165)</f>
        <v>4.8289473684210522</v>
      </c>
      <c r="O169" s="32" t="s">
        <v>193</v>
      </c>
      <c r="P169" s="32">
        <f>AVERAGEIF($K$2:$K$164,"&lt;="&amp;$K$165)</f>
        <v>13.05</v>
      </c>
      <c r="Q169" s="32">
        <f>AVERAGEIF($K$2:$K$164,"&gt;"&amp;$K$165)</f>
        <v>27.476190476190474</v>
      </c>
      <c r="T169" s="32" t="s">
        <v>194</v>
      </c>
      <c r="U169" s="32">
        <f>AVERAGEIF($L$2:$L$164,"&lt;="&amp;$L$165)</f>
        <v>0</v>
      </c>
      <c r="V169" s="32">
        <f>AVERAGEIF($L$2:$L$164,"&gt;"&amp;$L$165)</f>
        <v>1</v>
      </c>
    </row>
    <row r="170" spans="1:22">
      <c r="E170" s="32" t="str" cm="1">
        <f t="array" ref="E170:E332">IF($I$2:$I$164&lt;$F$169,"kiri",IF($I$2:$I$164&lt;$G$169,"tengah","kanan"))</f>
        <v>kanan</v>
      </c>
      <c r="F170" s="55" t="s">
        <v>269</v>
      </c>
      <c r="G170" s="32"/>
      <c r="J170" s="32" t="str" cm="1">
        <f t="array" ref="J170:J332">IF($J$2:$J$164&lt;$K$169,"kiri",IF($J$2:$J$164&lt;$L$169,"tengah","kanan"))</f>
        <v>tengah</v>
      </c>
      <c r="K170" s="55" t="s">
        <v>271</v>
      </c>
      <c r="L170" s="32"/>
      <c r="O170" s="32" t="str" cm="1">
        <f t="array" ref="O170:O332">IF($K$2:$K$164&lt;$P$169,"kiri",IF($K$2:$K$164&lt;$Q$169,"tengah","kanan"))</f>
        <v>kiri</v>
      </c>
      <c r="P170" s="55" t="s">
        <v>282</v>
      </c>
      <c r="Q170" s="32"/>
      <c r="T170" s="32" t="str" cm="1">
        <f t="array" ref="T170:T332">IF($L$2:$L$164&lt;$U$169,"kiri",IF($L$2:$L$164&lt;$V$169,"tengah","kanan"))</f>
        <v>kanan</v>
      </c>
      <c r="U170" s="32" t="s">
        <v>195</v>
      </c>
      <c r="V170" s="32"/>
    </row>
    <row r="171" spans="1:22">
      <c r="E171" s="32" t="str">
        <v>kiri</v>
      </c>
      <c r="F171" s="32">
        <f>COUNTIFS($E$170:$E$332,"Kanan",$M$2:$M$164,"1")</f>
        <v>2</v>
      </c>
      <c r="G171" s="32">
        <f>F171/30</f>
        <v>6.6666666666666666E-2</v>
      </c>
      <c r="J171" s="32" t="str">
        <v>kiri</v>
      </c>
      <c r="K171" s="32" cm="1">
        <f t="array" ref="K171">SUMPRODUCT((J170:J332="Kanan")*(M2:M164=1))</f>
        <v>3</v>
      </c>
      <c r="L171" s="32">
        <f>K171/35</f>
        <v>8.5714285714285715E-2</v>
      </c>
      <c r="O171" s="32" t="str">
        <v>kiri</v>
      </c>
      <c r="P171" s="32">
        <f>COUNTIFS($O$170:$O$332,"Kanan",$M$2:$M$164,"1")</f>
        <v>0</v>
      </c>
      <c r="Q171" s="32">
        <f>P171/34</f>
        <v>0</v>
      </c>
      <c r="T171" s="32" t="str">
        <v>tengah</v>
      </c>
      <c r="U171" s="32">
        <f>COUNTIFS($T$170:$T$332,"Kanan",$M$2:$M$164,"1")</f>
        <v>6</v>
      </c>
      <c r="V171" s="32">
        <f>U171/83</f>
        <v>7.2289156626506021E-2</v>
      </c>
    </row>
    <row r="172" spans="1:22">
      <c r="E172" s="32" t="str">
        <v>tengah</v>
      </c>
      <c r="F172" s="32">
        <f>COUNTIFS($E$170:$E$332,"Kanan",$M$2:$M$164,"2")</f>
        <v>14</v>
      </c>
      <c r="G172" s="32">
        <f t="shared" ref="G172:G173" si="3">F172/30</f>
        <v>0.46666666666666667</v>
      </c>
      <c r="J172" s="32" t="str">
        <v>kanan</v>
      </c>
      <c r="K172" s="32">
        <f>COUNTIFS($J$170:$J$332,"Kanan",$M$2:$M$164,"2")</f>
        <v>11</v>
      </c>
      <c r="L172" s="32">
        <f t="shared" ref="L172:L173" si="4">K172/35</f>
        <v>0.31428571428571428</v>
      </c>
      <c r="O172" s="32" t="str">
        <v>tengah</v>
      </c>
      <c r="P172" s="32">
        <f>COUNTIFS($O$170:$O$332,"Kanan",$M$2:$M$164,"2")</f>
        <v>0</v>
      </c>
      <c r="Q172" s="32">
        <f t="shared" ref="Q172:Q173" si="5">P172/34</f>
        <v>0</v>
      </c>
      <c r="T172" s="32" t="str">
        <v>kanan</v>
      </c>
      <c r="U172" s="32">
        <f>COUNTIFS($T$170:$T$332,"Kanan",$M$2:$M$164,"2")</f>
        <v>38</v>
      </c>
      <c r="V172" s="32">
        <f t="shared" ref="V172:V173" si="6">U172/83</f>
        <v>0.45783132530120479</v>
      </c>
    </row>
    <row r="173" spans="1:22">
      <c r="E173" s="32" t="str">
        <v>tengah</v>
      </c>
      <c r="F173" s="32" cm="1">
        <f t="array" ref="F173">SUMPRODUCT((E170:E332="KANAN")*(M2:M164=3))</f>
        <v>14</v>
      </c>
      <c r="G173" s="32">
        <f t="shared" si="3"/>
        <v>0.46666666666666667</v>
      </c>
      <c r="J173" s="32" t="str">
        <v>kiri</v>
      </c>
      <c r="K173" s="32">
        <f>COUNTIFS($J$170:$J$332,"Kanan",$M$2:$M$164,"3")</f>
        <v>21</v>
      </c>
      <c r="L173" s="32">
        <f t="shared" si="4"/>
        <v>0.6</v>
      </c>
      <c r="O173" s="32" t="str">
        <v>tengah</v>
      </c>
      <c r="P173" s="32">
        <f>COUNTIFS($O$170:$O$332,"Kanan",$M$2:$M$164,"3")</f>
        <v>34</v>
      </c>
      <c r="Q173" s="32">
        <f t="shared" si="5"/>
        <v>1</v>
      </c>
      <c r="T173" s="32" t="str">
        <v>kanan</v>
      </c>
      <c r="U173" s="32">
        <f>COUNTIFS($T$170:$T$332,"Kanan",$M$2:$M$164,"3")</f>
        <v>38</v>
      </c>
      <c r="V173" s="32">
        <f t="shared" si="6"/>
        <v>0.45783132530120479</v>
      </c>
    </row>
    <row r="174" spans="1:22">
      <c r="E174" s="32" t="str">
        <v>kanan</v>
      </c>
      <c r="F174" s="32" t="s">
        <v>196</v>
      </c>
      <c r="G174" s="32">
        <f>-(IFERROR(G171*LOG(G171,2),0)+IFERROR(G172*LOG(G172,2),0)+IFERROR(G173*LOG(G173,2),0))</f>
        <v>1.2866926683547546</v>
      </c>
      <c r="J174" s="32" t="str">
        <v>tengah</v>
      </c>
      <c r="K174" s="32" t="s">
        <v>196</v>
      </c>
      <c r="L174" s="32">
        <f>-(IFERROR(L171*LOG(L171,2),0)+IFERROR(L172*LOG(L172,2),0)+IFERROR(L173*LOG(L173,2),0))</f>
        <v>1.2707886973584608</v>
      </c>
      <c r="O174" s="32" t="str">
        <v>tengah</v>
      </c>
      <c r="P174" s="32" t="s">
        <v>196</v>
      </c>
      <c r="Q174" s="32">
        <f>-(IFERROR(Q171*LOG(Q171,2),0)+IFERROR(Q172*LOG(Q172,2),0)+IFERROR(Q173*LOG(Q173,2),0))</f>
        <v>0</v>
      </c>
      <c r="T174" s="32" t="str">
        <v>kanan</v>
      </c>
      <c r="U174" s="32" t="s">
        <v>196</v>
      </c>
      <c r="V174" s="32">
        <f>-(IFERROR(V171*LOG(V171,2),0)+IFERROR(V172*LOG(V172,2),0)+IFERROR(V173*LOG(V173,2),0))</f>
        <v>1.3060357511374505</v>
      </c>
    </row>
    <row r="175" spans="1:22">
      <c r="E175" s="32" t="str">
        <v>kiri</v>
      </c>
      <c r="F175" s="32"/>
      <c r="G175" s="32">
        <f>SUM(F171:F173)/163</f>
        <v>0.18404907975460122</v>
      </c>
      <c r="J175" s="32" t="str">
        <v>kanan</v>
      </c>
      <c r="K175" s="32"/>
      <c r="L175" s="32">
        <f>SUM(K171:K173)/163</f>
        <v>0.21472392638036811</v>
      </c>
      <c r="O175" s="32" t="str">
        <v>tengah</v>
      </c>
      <c r="P175" s="32"/>
      <c r="Q175" s="32">
        <f>SUM(P171:P173)/163</f>
        <v>0.20858895705521471</v>
      </c>
      <c r="T175" s="32" t="str">
        <v>kanan</v>
      </c>
      <c r="U175" s="32"/>
      <c r="V175" s="32">
        <f>SUM(U171:U173)/163</f>
        <v>0.50306748466257667</v>
      </c>
    </row>
    <row r="176" spans="1:22">
      <c r="E176" s="32" t="str">
        <v>tengah</v>
      </c>
      <c r="F176" s="32"/>
      <c r="G176" s="39">
        <f>G174*G175</f>
        <v>0.23681460153768488</v>
      </c>
      <c r="J176" s="32" t="str">
        <v>kiri</v>
      </c>
      <c r="K176" s="32"/>
      <c r="L176" s="39">
        <f>L174*L175</f>
        <v>0.272868738696602</v>
      </c>
      <c r="O176" s="32" t="str">
        <v>kiri</v>
      </c>
      <c r="P176" s="32"/>
      <c r="Q176" s="39">
        <f>Q174*Q175</f>
        <v>0</v>
      </c>
      <c r="T176" s="32" t="str">
        <v>tengah</v>
      </c>
      <c r="U176" s="32"/>
      <c r="V176" s="39">
        <f>V174*V175</f>
        <v>0.65702412020411616</v>
      </c>
    </row>
    <row r="177" spans="5:22">
      <c r="E177" s="32" t="str">
        <v>kanan</v>
      </c>
      <c r="F177" s="32"/>
      <c r="G177" s="32"/>
      <c r="J177" s="32" t="str">
        <v>tengah</v>
      </c>
      <c r="K177" s="32"/>
      <c r="L177" s="32"/>
      <c r="O177" s="32" t="str">
        <v>kanan</v>
      </c>
      <c r="P177" s="32"/>
      <c r="Q177" s="32"/>
      <c r="T177" s="32" t="str">
        <v>kanan</v>
      </c>
      <c r="U177" s="32"/>
      <c r="V177" s="32"/>
    </row>
    <row r="178" spans="5:22">
      <c r="E178" s="32" t="str">
        <v>tengah</v>
      </c>
      <c r="F178" s="32"/>
      <c r="G178" s="32"/>
      <c r="J178" s="32" t="str">
        <v>kiri</v>
      </c>
      <c r="K178" s="32"/>
      <c r="L178" s="32"/>
      <c r="O178" s="32" t="str">
        <v>tengah</v>
      </c>
      <c r="P178" s="32"/>
      <c r="Q178" s="32"/>
      <c r="T178" s="32" t="str">
        <v>kanan</v>
      </c>
      <c r="U178" s="32"/>
      <c r="V178" s="32"/>
    </row>
    <row r="179" spans="5:22">
      <c r="E179" s="32" t="str">
        <v>tengah</v>
      </c>
      <c r="F179" s="55" t="s">
        <v>270</v>
      </c>
      <c r="G179" s="32"/>
      <c r="J179" s="32" t="str">
        <v>tengah</v>
      </c>
      <c r="K179" s="55" t="s">
        <v>272</v>
      </c>
      <c r="L179" s="32"/>
      <c r="O179" s="32" t="str">
        <v>tengah</v>
      </c>
      <c r="P179" s="55" t="s">
        <v>268</v>
      </c>
      <c r="Q179" s="32"/>
      <c r="T179" s="32" t="str">
        <v>kanan</v>
      </c>
      <c r="U179" s="32" t="s">
        <v>197</v>
      </c>
      <c r="V179" s="32"/>
    </row>
    <row r="180" spans="5:22">
      <c r="E180" s="32" t="str">
        <v>tengah</v>
      </c>
      <c r="F180" s="32" cm="1">
        <f t="array" ref="F180">SUMPRODUCT((E170:E332="kiri")*(M2:M164=1))</f>
        <v>5</v>
      </c>
      <c r="G180" s="32">
        <f>F180/45</f>
        <v>0.1111111111111111</v>
      </c>
      <c r="J180" s="32" t="str">
        <v>tengah</v>
      </c>
      <c r="K180" s="32">
        <f>COUNTIFS($J$170:$J$332,"Kiri",$M$2:$M$164,"1")</f>
        <v>1</v>
      </c>
      <c r="L180" s="32">
        <f>K180/39</f>
        <v>2.564102564102564E-2</v>
      </c>
      <c r="O180" s="32" t="str">
        <v>kiri</v>
      </c>
      <c r="P180" s="32">
        <f>COUNTIFS($O$170:$O$332,"Kiri",$M$2:$M$164,"1")</f>
        <v>12</v>
      </c>
      <c r="Q180" s="32">
        <f>P180/51</f>
        <v>0.23529411764705882</v>
      </c>
      <c r="T180" s="32" t="str">
        <v>kanan</v>
      </c>
      <c r="U180" s="32">
        <f>COUNTIFS($T$170:$T$332,"Kiri",$M$2:$M$164,"1")</f>
        <v>0</v>
      </c>
      <c r="V180" s="32">
        <f>U180/57</f>
        <v>0</v>
      </c>
    </row>
    <row r="181" spans="5:22">
      <c r="E181" s="32" t="str">
        <v>kanan</v>
      </c>
      <c r="F181" s="32" cm="1">
        <f t="array" ref="F181">SUMPRODUCT((E170:E332="kiri")*(M2:M164=2))</f>
        <v>21</v>
      </c>
      <c r="G181" s="32">
        <f t="shared" ref="G181:G182" si="7">F181/45</f>
        <v>0.46666666666666667</v>
      </c>
      <c r="J181" s="32" t="str">
        <v>tengah</v>
      </c>
      <c r="K181" s="32">
        <f>COUNTIFS($J$170:$J$332,"Kiri",$M$2:$M$164,"2")</f>
        <v>16</v>
      </c>
      <c r="L181" s="32">
        <f t="shared" ref="L181:L182" si="8">K181/39</f>
        <v>0.41025641025641024</v>
      </c>
      <c r="O181" s="32" t="str">
        <v>tengah</v>
      </c>
      <c r="P181" s="32">
        <f>COUNTIFS($O$170:$O$332,"Kiri",$M$2:$M$164,"2")</f>
        <v>39</v>
      </c>
      <c r="Q181" s="32">
        <f t="shared" ref="Q181:Q182" si="9">P181/51</f>
        <v>0.76470588235294112</v>
      </c>
      <c r="T181" s="32" t="str">
        <v>kanan</v>
      </c>
      <c r="U181" s="32">
        <f>COUNTIFS($T$170:$T$332,"Kiri",$M$2:$M$164,"2")</f>
        <v>0</v>
      </c>
      <c r="V181" s="32">
        <f>U181/57</f>
        <v>0</v>
      </c>
    </row>
    <row r="182" spans="5:22">
      <c r="E182" s="32" t="str">
        <v>kiri</v>
      </c>
      <c r="F182" s="32" cm="1">
        <f t="array" ref="F182">SUMPRODUCT((E170:E332="kiri")*(M2:M164=3))</f>
        <v>19</v>
      </c>
      <c r="G182" s="32">
        <f t="shared" si="7"/>
        <v>0.42222222222222222</v>
      </c>
      <c r="J182" s="32" t="str">
        <v>tengah</v>
      </c>
      <c r="K182" s="32">
        <f>COUNTIFS($J$170:$J$332,"Kiri",$M$2:$M$164,"3")</f>
        <v>22</v>
      </c>
      <c r="L182" s="32">
        <f t="shared" si="8"/>
        <v>0.5641025641025641</v>
      </c>
      <c r="O182" s="32" t="str">
        <v>tengah</v>
      </c>
      <c r="P182" s="32">
        <f>COUNTIFS($O$170:$O$332,"Kiri",$M$2:$M$164,"3")</f>
        <v>0</v>
      </c>
      <c r="Q182" s="32">
        <f t="shared" si="9"/>
        <v>0</v>
      </c>
      <c r="T182" s="32" t="str">
        <v>tengah</v>
      </c>
      <c r="U182" s="32">
        <f>COUNTIFS($T$170:$T$332,"Kiri",$M$2:$M$164,"3")</f>
        <v>0</v>
      </c>
      <c r="V182" s="32">
        <f>U182/57</f>
        <v>0</v>
      </c>
    </row>
    <row r="183" spans="5:22">
      <c r="E183" s="32" t="str">
        <v>kiri</v>
      </c>
      <c r="F183" s="32" t="s">
        <v>196</v>
      </c>
      <c r="G183" s="32">
        <f>-(IFERROR(G180*LOG(G180,2),0)+IFERROR(G181*LOG(G181,2),0)+IFERROR(G182*LOG(G182,2),0))</f>
        <v>1.3905435605914769</v>
      </c>
      <c r="J183" s="32" t="str">
        <v>tengah</v>
      </c>
      <c r="K183" s="32" t="s">
        <v>196</v>
      </c>
      <c r="L183" s="32">
        <f>-(IFERROR(L180*LOG(L180,2),0)+IFERROR(L181*LOG(L181,2),0)+IFERROR(L182*LOG(L182,2),0))</f>
        <v>1.1287997673232599</v>
      </c>
      <c r="O183" s="32" t="str">
        <v>kiri</v>
      </c>
      <c r="P183" s="32" t="s">
        <v>196</v>
      </c>
      <c r="Q183" s="32">
        <f>-(IFERROR(Q180*LOG(Q180,2),0)+IFERROR(Q181*LOG(Q181,2),0)+IFERROR(Q182*LOG(Q182,2),0))</f>
        <v>0.78712658620126907</v>
      </c>
      <c r="T183" s="32" t="str">
        <v>kanan</v>
      </c>
      <c r="U183" s="32" t="s">
        <v>196</v>
      </c>
      <c r="V183" s="32">
        <f>-(IFERROR(V180*LOG(V180,2),0)+IFERROR(V181*LOG(V181,2),0)+IFERROR(V182*LOG(V182,2),0))</f>
        <v>0</v>
      </c>
    </row>
    <row r="184" spans="5:22">
      <c r="E184" s="32" t="str">
        <v>tengah</v>
      </c>
      <c r="F184" s="32"/>
      <c r="G184" s="32">
        <f>SUM(F180:F182)/163</f>
        <v>0.27607361963190186</v>
      </c>
      <c r="J184" s="32" t="str">
        <v>tengah</v>
      </c>
      <c r="K184" s="32"/>
      <c r="L184" s="32">
        <f>SUM(K180:K182)/163</f>
        <v>0.2392638036809816</v>
      </c>
      <c r="O184" s="32" t="str">
        <v>tengah</v>
      </c>
      <c r="P184" s="32"/>
      <c r="Q184" s="32">
        <f>SUM(P180:P182)/163</f>
        <v>0.31288343558282211</v>
      </c>
      <c r="T184" s="32" t="str">
        <v>kanan</v>
      </c>
      <c r="U184" s="32"/>
      <c r="V184" s="32">
        <f>SUM(U180:U182)/163</f>
        <v>0</v>
      </c>
    </row>
    <row r="185" spans="5:22">
      <c r="E185" s="32" t="str">
        <v>tengah</v>
      </c>
      <c r="F185" s="32"/>
      <c r="G185" s="39">
        <f>G183*G184</f>
        <v>0.38389239402832187</v>
      </c>
      <c r="J185" s="32" t="str">
        <v>kanan</v>
      </c>
      <c r="K185" s="32"/>
      <c r="L185" s="39">
        <f>L183*L184</f>
        <v>0.27008092592397015</v>
      </c>
      <c r="O185" s="32" t="str">
        <v>tengah</v>
      </c>
      <c r="P185" s="32"/>
      <c r="Q185" s="39">
        <f>Q183*Q184</f>
        <v>0.24627887052923145</v>
      </c>
      <c r="T185" s="32" t="str">
        <v>tengah</v>
      </c>
      <c r="U185" s="32"/>
      <c r="V185" s="39">
        <f>V183*V184</f>
        <v>0</v>
      </c>
    </row>
    <row r="186" spans="5:22">
      <c r="E186" s="32" t="str">
        <v>tengah</v>
      </c>
      <c r="F186" s="32"/>
      <c r="G186" s="32"/>
      <c r="J186" s="32" t="str">
        <v>kanan</v>
      </c>
      <c r="K186" s="32"/>
      <c r="L186" s="32"/>
      <c r="O186" s="32" t="str">
        <v>tengah</v>
      </c>
      <c r="P186" s="32"/>
      <c r="Q186" s="32"/>
      <c r="T186" s="32" t="str">
        <v>tengah</v>
      </c>
      <c r="U186" s="32"/>
      <c r="V186" s="32"/>
    </row>
    <row r="187" spans="5:22">
      <c r="E187" s="32" t="str">
        <v>kiri</v>
      </c>
      <c r="F187" s="32"/>
      <c r="G187" s="32"/>
      <c r="J187" s="32" t="str">
        <v>kiri</v>
      </c>
      <c r="K187" s="32"/>
      <c r="L187" s="32"/>
      <c r="O187" s="32" t="str">
        <v>tengah</v>
      </c>
      <c r="P187" s="32"/>
      <c r="Q187" s="32"/>
      <c r="T187" s="32" t="str">
        <v>tengah</v>
      </c>
      <c r="U187" s="32"/>
      <c r="V187" s="32"/>
    </row>
    <row r="188" spans="5:22">
      <c r="E188" s="32" t="str">
        <v>kiri</v>
      </c>
      <c r="F188" s="32" t="s">
        <v>198</v>
      </c>
      <c r="G188" s="32"/>
      <c r="J188" s="32" t="str">
        <v>kiri</v>
      </c>
      <c r="K188" s="32" t="s">
        <v>198</v>
      </c>
      <c r="L188" s="32"/>
      <c r="O188" s="32" t="str">
        <v>kiri</v>
      </c>
      <c r="P188" s="32" t="s">
        <v>198</v>
      </c>
      <c r="Q188" s="32"/>
      <c r="T188" s="32" t="str">
        <v>kanan</v>
      </c>
      <c r="U188" s="32" t="s">
        <v>198</v>
      </c>
      <c r="V188" s="32"/>
    </row>
    <row r="189" spans="5:22">
      <c r="E189" s="32" t="str">
        <v>tengah</v>
      </c>
      <c r="F189" s="32" cm="1">
        <f t="array" ref="F189">SUMPRODUCT((E170:E332="tengah")*(M2:M164=1))</f>
        <v>5</v>
      </c>
      <c r="G189" s="32">
        <f>F189/88</f>
        <v>5.6818181818181816E-2</v>
      </c>
      <c r="J189" s="32" t="str">
        <v>tengah</v>
      </c>
      <c r="K189" s="32">
        <f>COUNTIFS($J$170:$J$332,"Tengah",$M$2:$M$164,"1")</f>
        <v>8</v>
      </c>
      <c r="L189" s="32">
        <f>K189/89</f>
        <v>8.98876404494382E-2</v>
      </c>
      <c r="O189" s="32" t="str">
        <v>kiri</v>
      </c>
      <c r="P189" s="32">
        <f>COUNTIFS($O$170:$O$332,"Tengah",$M$2:$M$164,"1")</f>
        <v>0</v>
      </c>
      <c r="Q189" s="32">
        <f>P189/78</f>
        <v>0</v>
      </c>
      <c r="T189" s="32" t="str">
        <v>tengah</v>
      </c>
      <c r="U189" s="32">
        <f>COUNTIFS($T$170:$T$332,"Tengah",$M$2:$M$164,"1")</f>
        <v>6</v>
      </c>
      <c r="V189" s="32">
        <f>U189/82</f>
        <v>7.3170731707317069E-2</v>
      </c>
    </row>
    <row r="190" spans="5:22">
      <c r="E190" s="32" t="str">
        <v>tengah</v>
      </c>
      <c r="F190" s="32" cm="1">
        <f t="array" ref="F190">SUMPRODUCT((E170:E332="tengah")*(M2:M164=2))</f>
        <v>38</v>
      </c>
      <c r="G190" s="32">
        <f t="shared" ref="G190:G191" si="10">F190/88</f>
        <v>0.43181818181818182</v>
      </c>
      <c r="J190" s="32" t="str">
        <v>kiri</v>
      </c>
      <c r="K190" s="32">
        <f>COUNTIFS($J$170:$J$332,"Tengah",$M$2:$M$164,"2")</f>
        <v>46</v>
      </c>
      <c r="L190" s="32">
        <f t="shared" ref="L190:L191" si="11">K190/89</f>
        <v>0.5168539325842697</v>
      </c>
      <c r="O190" s="32" t="str">
        <v>tengah</v>
      </c>
      <c r="P190" s="32">
        <f>COUNTIFS($O$170:$O$332,"Tengah",$M$2:$M$164,"2")</f>
        <v>34</v>
      </c>
      <c r="Q190" s="32">
        <f t="shared" ref="Q190:Q191" si="12">P190/78</f>
        <v>0.4358974358974359</v>
      </c>
      <c r="T190" s="32" t="str">
        <v>tengah</v>
      </c>
      <c r="U190" s="32">
        <f>COUNTIFS($T$170:$T$332,"Tengah",$M$2:$M$164,"2")</f>
        <v>35</v>
      </c>
      <c r="V190" s="32">
        <f t="shared" ref="V190:V191" si="13">U190/82</f>
        <v>0.42682926829268292</v>
      </c>
    </row>
    <row r="191" spans="5:22">
      <c r="E191" s="32" t="str">
        <v>tengah</v>
      </c>
      <c r="F191" s="32" cm="1">
        <f t="array" ref="F191">SUMPRODUCT((E170:E332="tengah")*(M2:M164=3))</f>
        <v>45</v>
      </c>
      <c r="G191" s="32">
        <f t="shared" si="10"/>
        <v>0.51136363636363635</v>
      </c>
      <c r="J191" s="32" t="str">
        <v>kanan</v>
      </c>
      <c r="K191" s="32">
        <f>COUNTIFS($J$170:$J$332,"Tengah",$M$2:$M$164,"3")</f>
        <v>35</v>
      </c>
      <c r="L191" s="32">
        <f t="shared" si="11"/>
        <v>0.39325842696629215</v>
      </c>
      <c r="O191" s="32" t="str">
        <v>kiri</v>
      </c>
      <c r="P191" s="32">
        <f>COUNTIFS($O$170:$O$332,"Tengah",$M$2:$M$164,"3")</f>
        <v>44</v>
      </c>
      <c r="Q191" s="32">
        <f t="shared" si="12"/>
        <v>0.5641025641025641</v>
      </c>
      <c r="T191" s="32" t="str">
        <v>kanan</v>
      </c>
      <c r="U191" s="32">
        <f>COUNTIFS($T$170:$T$332,"Tengah",$M$2:$M$164,"3")</f>
        <v>40</v>
      </c>
      <c r="V191" s="32">
        <f t="shared" si="13"/>
        <v>0.48780487804878048</v>
      </c>
    </row>
    <row r="192" spans="5:22">
      <c r="E192" s="32" t="str">
        <v>kanan</v>
      </c>
      <c r="F192" s="32" t="s">
        <v>196</v>
      </c>
      <c r="G192" s="32">
        <f>-(IFERROR(G189*LOG(G189,2),0)+IFERROR(G190*LOG(G190,2),0)+IFERROR(G191*LOG(G191,2),0))</f>
        <v>1.2530193990903833</v>
      </c>
      <c r="J192" s="32" t="str">
        <v>kanan</v>
      </c>
      <c r="K192" s="32" t="s">
        <v>196</v>
      </c>
      <c r="L192" s="32">
        <f>-(IFERROR(L189*LOG(L189,2),0)+IFERROR(L190*LOG(L190,2),0)+IFERROR(L191*LOG(L191,2),0))</f>
        <v>1.3340620200484605</v>
      </c>
      <c r="O192" s="32" t="str">
        <v>tengah</v>
      </c>
      <c r="P192" s="32" t="s">
        <v>196</v>
      </c>
      <c r="Q192" s="32">
        <f>-(IFERROR(Q189*LOG(Q189,2),0)+IFERROR(Q190*LOG(Q190,2),0)+IFERROR(Q191*LOG(Q191,2),0))</f>
        <v>0.98811083652183007</v>
      </c>
      <c r="T192" s="32" t="str">
        <v>tengah</v>
      </c>
      <c r="U192" s="32" t="s">
        <v>196</v>
      </c>
      <c r="V192" s="32">
        <f>-(IFERROR(V189*LOG(V189,2),0)+IFERROR(V190*LOG(V190,2),0)+IFERROR(V191*LOG(V191,2),0))</f>
        <v>1.3054866826971896</v>
      </c>
    </row>
    <row r="193" spans="5:22">
      <c r="E193" s="32" t="str">
        <v>kiri</v>
      </c>
      <c r="F193" s="32"/>
      <c r="G193" s="32">
        <f>SUM(F189:F191)/163</f>
        <v>0.53987730061349692</v>
      </c>
      <c r="J193" s="32" t="str">
        <v>kiri</v>
      </c>
      <c r="K193" s="32"/>
      <c r="L193" s="32">
        <f>SUM(K189:K191)/163</f>
        <v>0.54601226993865026</v>
      </c>
      <c r="O193" s="32" t="str">
        <v>tengah</v>
      </c>
      <c r="P193" s="32"/>
      <c r="Q193" s="32">
        <f>SUM(P189:P191)/163</f>
        <v>0.4785276073619632</v>
      </c>
      <c r="T193" s="32" t="str">
        <v>kanan</v>
      </c>
      <c r="U193" s="32"/>
      <c r="V193" s="32">
        <f>SUM(U189:U191)/163</f>
        <v>0.49693251533742333</v>
      </c>
    </row>
    <row r="194" spans="5:22">
      <c r="E194" s="32" t="str">
        <v>kanan</v>
      </c>
      <c r="F194" s="32"/>
      <c r="G194" s="39">
        <f>G192*G193</f>
        <v>0.67647673079726212</v>
      </c>
      <c r="J194" s="32" t="str">
        <v>tengah</v>
      </c>
      <c r="K194" s="32"/>
      <c r="L194" s="39">
        <f>L192*L193</f>
        <v>0.72841423180560105</v>
      </c>
      <c r="O194" s="32" t="str">
        <v>tengah</v>
      </c>
      <c r="P194" s="32"/>
      <c r="Q194" s="39">
        <f>Q192*Q193</f>
        <v>0.47283831440921931</v>
      </c>
      <c r="T194" s="32" t="str">
        <v>tengah</v>
      </c>
      <c r="U194" s="32"/>
      <c r="V194" s="39">
        <f>V192*V193</f>
        <v>0.64873878097222304</v>
      </c>
    </row>
    <row r="195" spans="5:22">
      <c r="E195" s="32" t="str">
        <v>tengah</v>
      </c>
      <c r="F195" s="32"/>
      <c r="G195" s="32"/>
      <c r="J195" s="32" t="str">
        <v>tengah</v>
      </c>
      <c r="K195" s="32"/>
      <c r="L195" s="32"/>
      <c r="O195" s="32" t="str">
        <v>kiri</v>
      </c>
      <c r="P195" s="32"/>
      <c r="Q195" s="32"/>
      <c r="T195" s="32" t="str">
        <v>tengah</v>
      </c>
      <c r="U195" s="32"/>
      <c r="V195" s="32"/>
    </row>
    <row r="196" spans="5:22">
      <c r="E196" s="32" t="str">
        <v>kiri</v>
      </c>
      <c r="F196" s="32" t="s">
        <v>199</v>
      </c>
      <c r="G196" s="40" t="s">
        <v>196</v>
      </c>
      <c r="J196" s="32" t="str">
        <v>tengah</v>
      </c>
      <c r="K196" s="32" t="s">
        <v>199</v>
      </c>
      <c r="L196" s="40" t="s">
        <v>196</v>
      </c>
      <c r="O196" s="32" t="str">
        <v>kanan</v>
      </c>
      <c r="P196" s="32" t="s">
        <v>199</v>
      </c>
      <c r="Q196" s="40" t="s">
        <v>196</v>
      </c>
      <c r="T196" s="32" t="str">
        <v>tengah</v>
      </c>
      <c r="U196" s="32" t="s">
        <v>199</v>
      </c>
      <c r="V196" s="40" t="s">
        <v>196</v>
      </c>
    </row>
    <row r="197" spans="5:22">
      <c r="E197" s="32" t="str">
        <v>tengah</v>
      </c>
      <c r="F197" s="41">
        <f>P5-(G176+G185+G194)</f>
        <v>7.7523059159649854E-3</v>
      </c>
      <c r="G197" s="39">
        <f>(G176+G185+G194)</f>
        <v>1.2971837263632688</v>
      </c>
      <c r="J197" s="32" t="str">
        <v>tengah</v>
      </c>
      <c r="K197" s="41">
        <f>P5-(L176+L185+L194)</f>
        <v>3.3572135853060514E-2</v>
      </c>
      <c r="L197" s="39">
        <f>(L176+L185+L194)</f>
        <v>1.2713638964261733</v>
      </c>
      <c r="O197" s="32" t="str">
        <v>kanan</v>
      </c>
      <c r="P197" s="41">
        <f>P5-(Q176+Q185+Q194)</f>
        <v>0.58581884734078304</v>
      </c>
      <c r="Q197" s="39">
        <f>(Q176+Q185+Q194)</f>
        <v>0.71911718493845078</v>
      </c>
      <c r="T197" s="32" t="str">
        <v>tengah</v>
      </c>
      <c r="U197" s="41">
        <f>P5-(V176+V185+V194)</f>
        <v>-8.2686889710537059E-4</v>
      </c>
      <c r="V197" s="39">
        <f>(V176+V185+V194)</f>
        <v>1.3057629011763392</v>
      </c>
    </row>
    <row r="198" spans="5:22">
      <c r="E198" s="32" t="str">
        <v>tengah</v>
      </c>
      <c r="F198" s="32"/>
      <c r="G198" s="32"/>
      <c r="J198" s="32" t="str">
        <v>kiri</v>
      </c>
      <c r="K198" s="32"/>
      <c r="L198" s="32"/>
      <c r="O198" s="32" t="str">
        <v>kiri</v>
      </c>
      <c r="P198" s="32"/>
      <c r="Q198" s="32"/>
      <c r="T198" s="32" t="str">
        <v>tengah</v>
      </c>
      <c r="U198" s="32"/>
      <c r="V198" s="32"/>
    </row>
    <row r="199" spans="5:22">
      <c r="E199" s="32" t="str">
        <v>tengah</v>
      </c>
      <c r="F199" s="32"/>
      <c r="G199" s="32"/>
      <c r="J199" s="32" t="str">
        <v>tengah</v>
      </c>
      <c r="K199" s="32"/>
      <c r="L199" s="32"/>
      <c r="O199" s="32" t="str">
        <v>kiri</v>
      </c>
      <c r="P199" s="32"/>
      <c r="Q199" s="32"/>
      <c r="T199" s="32" t="str">
        <v>kanan</v>
      </c>
      <c r="U199" s="32"/>
      <c r="V199" s="32"/>
    </row>
    <row r="200" spans="5:22">
      <c r="E200" s="32" t="str">
        <v>kanan</v>
      </c>
      <c r="F200" s="32"/>
      <c r="G200" s="32"/>
      <c r="J200" s="32" t="str">
        <v>tengah</v>
      </c>
      <c r="K200" s="32"/>
      <c r="L200" s="32"/>
      <c r="O200" s="32" t="str">
        <v>tengah</v>
      </c>
      <c r="P200" s="32"/>
      <c r="Q200" s="32"/>
      <c r="T200" s="32" t="str">
        <v>tengah</v>
      </c>
      <c r="U200" s="32"/>
      <c r="V200" s="32"/>
    </row>
    <row r="201" spans="5:22">
      <c r="E201" s="32" t="str">
        <v>kiri</v>
      </c>
      <c r="F201" s="32"/>
      <c r="G201" s="32"/>
      <c r="J201" s="32" t="str">
        <v>kiri</v>
      </c>
      <c r="K201" s="32"/>
      <c r="L201" s="32"/>
      <c r="O201" s="32" t="str">
        <v>kanan</v>
      </c>
      <c r="P201" s="32"/>
      <c r="Q201" s="32"/>
      <c r="T201" s="32" t="str">
        <v>kanan</v>
      </c>
      <c r="U201" s="32"/>
      <c r="V201" s="32"/>
    </row>
    <row r="202" spans="5:22">
      <c r="E202" s="32" t="str">
        <v>tengah</v>
      </c>
      <c r="F202" s="32"/>
      <c r="G202" s="32"/>
      <c r="J202" s="32" t="str">
        <v>tengah</v>
      </c>
      <c r="K202" s="32"/>
      <c r="L202" s="32"/>
      <c r="O202" s="32" t="str">
        <v>kanan</v>
      </c>
      <c r="P202" s="32"/>
      <c r="Q202" s="32"/>
      <c r="T202" s="32" t="str">
        <v>tengah</v>
      </c>
      <c r="U202" s="32"/>
      <c r="V202" s="32"/>
    </row>
    <row r="203" spans="5:22">
      <c r="E203" s="32" t="str">
        <v>kiri</v>
      </c>
      <c r="F203" s="32"/>
      <c r="G203" s="32"/>
      <c r="J203" s="32" t="str">
        <v>tengah</v>
      </c>
      <c r="K203" s="32"/>
      <c r="L203" s="32"/>
      <c r="O203" s="32" t="str">
        <v>kiri</v>
      </c>
      <c r="P203" s="32"/>
      <c r="Q203" s="32"/>
      <c r="T203" s="32" t="str">
        <v>tengah</v>
      </c>
      <c r="U203" s="32"/>
      <c r="V203" s="32"/>
    </row>
    <row r="204" spans="5:22">
      <c r="E204" s="32" t="str">
        <v>tengah</v>
      </c>
      <c r="F204" s="32"/>
      <c r="G204" s="32"/>
      <c r="J204" s="32" t="str">
        <v>kanan</v>
      </c>
      <c r="K204" s="32"/>
      <c r="L204" s="32"/>
      <c r="O204" s="32" t="str">
        <v>kiri</v>
      </c>
      <c r="P204" s="32"/>
      <c r="Q204" s="32"/>
      <c r="T204" s="32" t="str">
        <v>kanan</v>
      </c>
      <c r="U204" s="32"/>
      <c r="V204" s="32"/>
    </row>
    <row r="205" spans="5:22">
      <c r="E205" s="32" t="str">
        <v>kanan</v>
      </c>
      <c r="F205" s="32"/>
      <c r="G205" s="32"/>
      <c r="J205" s="32" t="str">
        <v>kiri</v>
      </c>
      <c r="K205" s="32"/>
      <c r="L205" s="32"/>
      <c r="O205" s="32" t="str">
        <v>kiri</v>
      </c>
      <c r="P205" s="32"/>
      <c r="Q205" s="32"/>
      <c r="T205" s="32" t="str">
        <v>tengah</v>
      </c>
      <c r="U205" s="32"/>
      <c r="V205" s="32"/>
    </row>
    <row r="206" spans="5:22">
      <c r="E206" s="32" t="str">
        <v>tengah</v>
      </c>
      <c r="F206" s="32"/>
      <c r="G206" s="32"/>
      <c r="J206" s="32" t="str">
        <v>tengah</v>
      </c>
      <c r="K206" s="32"/>
      <c r="L206" s="32"/>
      <c r="O206" s="32" t="str">
        <v>kanan</v>
      </c>
      <c r="P206" s="32"/>
      <c r="Q206" s="32"/>
      <c r="T206" s="32" t="str">
        <v>tengah</v>
      </c>
      <c r="U206" s="32"/>
      <c r="V206" s="32"/>
    </row>
    <row r="207" spans="5:22">
      <c r="E207" s="32" t="str">
        <v>tengah</v>
      </c>
      <c r="F207" s="32"/>
      <c r="G207" s="32"/>
      <c r="J207" s="32" t="str">
        <v>tengah</v>
      </c>
      <c r="K207" s="32"/>
      <c r="L207" s="32"/>
      <c r="O207" s="32" t="str">
        <v>kiri</v>
      </c>
      <c r="P207" s="32"/>
      <c r="Q207" s="32"/>
      <c r="T207" s="32" t="str">
        <v>kanan</v>
      </c>
      <c r="U207" s="32"/>
      <c r="V207" s="32"/>
    </row>
    <row r="208" spans="5:22">
      <c r="E208" s="32" t="str">
        <v>tengah</v>
      </c>
      <c r="F208" s="32"/>
      <c r="G208" s="32"/>
      <c r="J208" s="32" t="str">
        <v>tengah</v>
      </c>
      <c r="K208" s="32"/>
      <c r="L208" s="32"/>
      <c r="O208" s="32" t="str">
        <v>kanan</v>
      </c>
      <c r="P208" s="32"/>
      <c r="Q208" s="32"/>
      <c r="T208" s="32" t="str">
        <v>tengah</v>
      </c>
      <c r="U208" s="32"/>
      <c r="V208" s="32"/>
    </row>
    <row r="209" spans="5:22">
      <c r="E209" s="32" t="str">
        <v>kanan</v>
      </c>
      <c r="F209" s="32"/>
      <c r="G209" s="32"/>
      <c r="J209" s="32" t="str">
        <v>tengah</v>
      </c>
      <c r="K209" s="32"/>
      <c r="L209" s="32"/>
      <c r="O209" s="32" t="str">
        <v>tengah</v>
      </c>
      <c r="P209" s="32"/>
      <c r="Q209" s="32"/>
      <c r="T209" s="32" t="str">
        <v>kanan</v>
      </c>
      <c r="U209" s="32"/>
      <c r="V209" s="32"/>
    </row>
    <row r="210" spans="5:22">
      <c r="E210" s="32" t="str">
        <v>kanan</v>
      </c>
      <c r="F210" s="32"/>
      <c r="G210" s="32"/>
      <c r="J210" s="32" t="str">
        <v>kanan</v>
      </c>
      <c r="K210" s="32"/>
      <c r="L210" s="32"/>
      <c r="O210" s="32" t="str">
        <v>tengah</v>
      </c>
      <c r="P210" s="32"/>
      <c r="Q210" s="32"/>
      <c r="T210" s="32" t="str">
        <v>kanan</v>
      </c>
      <c r="U210" s="32"/>
      <c r="V210" s="32"/>
    </row>
    <row r="211" spans="5:22">
      <c r="E211" s="32" t="str">
        <v>kiri</v>
      </c>
      <c r="F211" s="32"/>
      <c r="G211" s="32"/>
      <c r="J211" s="32" t="str">
        <v>tengah</v>
      </c>
      <c r="K211" s="32"/>
      <c r="L211" s="32"/>
      <c r="O211" s="32" t="str">
        <v>kanan</v>
      </c>
      <c r="P211" s="32"/>
      <c r="Q211" s="32"/>
      <c r="T211" s="32" t="str">
        <v>tengah</v>
      </c>
      <c r="U211" s="32"/>
      <c r="V211" s="32"/>
    </row>
    <row r="212" spans="5:22">
      <c r="E212" s="32" t="str">
        <v>kiri</v>
      </c>
      <c r="F212" s="32"/>
      <c r="G212" s="32"/>
      <c r="J212" s="32" t="str">
        <v>kiri</v>
      </c>
      <c r="K212" s="32"/>
      <c r="L212" s="32"/>
      <c r="O212" s="32" t="str">
        <v>kanan</v>
      </c>
      <c r="P212" s="32"/>
      <c r="Q212" s="32"/>
      <c r="T212" s="32" t="str">
        <v>tengah</v>
      </c>
      <c r="U212" s="32"/>
      <c r="V212" s="32"/>
    </row>
    <row r="213" spans="5:22">
      <c r="E213" s="32" t="str">
        <v>tengah</v>
      </c>
      <c r="F213" s="32"/>
      <c r="G213" s="32"/>
      <c r="J213" s="32" t="str">
        <v>tengah</v>
      </c>
      <c r="K213" s="32"/>
      <c r="L213" s="32"/>
      <c r="O213" s="32" t="str">
        <v>kanan</v>
      </c>
      <c r="P213" s="32"/>
      <c r="Q213" s="32"/>
      <c r="T213" s="32" t="str">
        <v>kanan</v>
      </c>
      <c r="U213" s="32"/>
      <c r="V213" s="32"/>
    </row>
    <row r="214" spans="5:22">
      <c r="E214" s="32" t="str">
        <v>kiri</v>
      </c>
      <c r="F214" s="32"/>
      <c r="G214" s="32"/>
      <c r="J214" s="32" t="str">
        <v>tengah</v>
      </c>
      <c r="K214" s="32"/>
      <c r="L214" s="32"/>
      <c r="O214" s="32" t="str">
        <v>tengah</v>
      </c>
      <c r="P214" s="32"/>
      <c r="Q214" s="32"/>
      <c r="T214" s="32" t="str">
        <v>tengah</v>
      </c>
      <c r="U214" s="32"/>
      <c r="V214" s="32"/>
    </row>
    <row r="215" spans="5:22">
      <c r="E215" s="32" t="str">
        <v>tengah</v>
      </c>
      <c r="F215" s="32"/>
      <c r="G215" s="32"/>
      <c r="J215" s="32" t="str">
        <v>tengah</v>
      </c>
      <c r="K215" s="32"/>
      <c r="L215" s="32"/>
      <c r="O215" s="32" t="str">
        <v>kiri</v>
      </c>
      <c r="P215" s="32"/>
      <c r="Q215" s="32"/>
      <c r="T215" s="32" t="str">
        <v>kanan</v>
      </c>
      <c r="U215" s="32"/>
      <c r="V215" s="32"/>
    </row>
    <row r="216" spans="5:22">
      <c r="E216" s="32" t="str">
        <v>tengah</v>
      </c>
      <c r="F216" s="32"/>
      <c r="G216" s="32"/>
      <c r="J216" s="32" t="str">
        <v>tengah</v>
      </c>
      <c r="K216" s="32"/>
      <c r="L216" s="32"/>
      <c r="O216" s="32" t="str">
        <v>tengah</v>
      </c>
      <c r="P216" s="32"/>
      <c r="Q216" s="32"/>
      <c r="T216" s="32" t="str">
        <v>kanan</v>
      </c>
      <c r="U216" s="32"/>
      <c r="V216" s="32"/>
    </row>
    <row r="217" spans="5:22">
      <c r="E217" s="32" t="str">
        <v>kanan</v>
      </c>
      <c r="F217" s="32"/>
      <c r="G217" s="32"/>
      <c r="J217" s="32" t="str">
        <v>kanan</v>
      </c>
      <c r="K217" s="32"/>
      <c r="L217" s="32"/>
      <c r="O217" s="32" t="str">
        <v>tengah</v>
      </c>
      <c r="P217" s="32"/>
      <c r="Q217" s="32"/>
      <c r="T217" s="32" t="str">
        <v>kanan</v>
      </c>
      <c r="U217" s="32"/>
      <c r="V217" s="32"/>
    </row>
    <row r="218" spans="5:22">
      <c r="E218" s="32" t="str">
        <v>tengah</v>
      </c>
      <c r="F218" s="32"/>
      <c r="G218" s="32"/>
      <c r="J218" s="32" t="str">
        <v>kiri</v>
      </c>
      <c r="K218" s="32"/>
      <c r="L218" s="32"/>
      <c r="O218" s="32" t="str">
        <v>tengah</v>
      </c>
      <c r="P218" s="32"/>
      <c r="Q218" s="32"/>
      <c r="T218" s="32" t="str">
        <v>kanan</v>
      </c>
      <c r="U218" s="32"/>
      <c r="V218" s="32"/>
    </row>
    <row r="219" spans="5:22">
      <c r="E219" s="32" t="str">
        <v>tengah</v>
      </c>
      <c r="F219" s="32"/>
      <c r="G219" s="32"/>
      <c r="J219" s="32" t="str">
        <v>kanan</v>
      </c>
      <c r="K219" s="32"/>
      <c r="L219" s="32"/>
      <c r="O219" s="32" t="str">
        <v>tengah</v>
      </c>
      <c r="P219" s="32"/>
      <c r="Q219" s="32"/>
      <c r="T219" s="32" t="str">
        <v>tengah</v>
      </c>
      <c r="U219" s="32"/>
      <c r="V219" s="32"/>
    </row>
    <row r="220" spans="5:22">
      <c r="E220" s="32" t="str">
        <v>tengah</v>
      </c>
      <c r="F220" s="32"/>
      <c r="G220" s="32"/>
      <c r="J220" s="32" t="str">
        <v>tengah</v>
      </c>
      <c r="K220" s="32"/>
      <c r="L220" s="32"/>
      <c r="O220" s="32" t="str">
        <v>kanan</v>
      </c>
      <c r="P220" s="32"/>
      <c r="Q220" s="32"/>
      <c r="T220" s="32" t="str">
        <v>kanan</v>
      </c>
      <c r="U220" s="32"/>
      <c r="V220" s="32"/>
    </row>
    <row r="221" spans="5:22">
      <c r="E221" s="32" t="str">
        <v>kiri</v>
      </c>
      <c r="F221" s="32"/>
      <c r="G221" s="32"/>
      <c r="J221" s="32" t="str">
        <v>tengah</v>
      </c>
      <c r="K221" s="32"/>
      <c r="L221" s="32"/>
      <c r="O221" s="32" t="str">
        <v>kiri</v>
      </c>
      <c r="P221" s="32"/>
      <c r="Q221" s="32"/>
      <c r="T221" s="32" t="str">
        <v>tengah</v>
      </c>
      <c r="U221" s="32"/>
      <c r="V221" s="32"/>
    </row>
    <row r="222" spans="5:22">
      <c r="E222" s="32" t="str">
        <v>tengah</v>
      </c>
      <c r="F222" s="32"/>
      <c r="G222" s="32"/>
      <c r="J222" s="32" t="str">
        <v>kanan</v>
      </c>
      <c r="K222" s="32"/>
      <c r="L222" s="32"/>
      <c r="O222" s="32" t="str">
        <v>tengah</v>
      </c>
      <c r="P222" s="32"/>
      <c r="Q222" s="32"/>
      <c r="T222" s="32" t="str">
        <v>kanan</v>
      </c>
      <c r="U222" s="32"/>
      <c r="V222" s="32"/>
    </row>
    <row r="223" spans="5:22">
      <c r="E223" s="32" t="str">
        <v>tengah</v>
      </c>
      <c r="F223" s="32"/>
      <c r="G223" s="32"/>
      <c r="J223" s="32" t="str">
        <v>kiri</v>
      </c>
      <c r="K223" s="32"/>
      <c r="L223" s="32"/>
      <c r="O223" s="32" t="str">
        <v>kiri</v>
      </c>
      <c r="P223" s="32"/>
      <c r="Q223" s="32"/>
      <c r="T223" s="32" t="str">
        <v>tengah</v>
      </c>
      <c r="U223" s="32"/>
      <c r="V223" s="32"/>
    </row>
    <row r="224" spans="5:22">
      <c r="E224" s="32" t="str">
        <v>kanan</v>
      </c>
      <c r="F224" s="32"/>
      <c r="G224" s="32"/>
      <c r="J224" s="32" t="str">
        <v>kanan</v>
      </c>
      <c r="K224" s="32"/>
      <c r="L224" s="32"/>
      <c r="O224" s="32" t="str">
        <v>tengah</v>
      </c>
      <c r="P224" s="32"/>
      <c r="Q224" s="32"/>
      <c r="T224" s="32" t="str">
        <v>kanan</v>
      </c>
      <c r="U224" s="32"/>
      <c r="V224" s="32"/>
    </row>
    <row r="225" spans="5:22">
      <c r="E225" s="32" t="str">
        <v>tengah</v>
      </c>
      <c r="F225" s="32"/>
      <c r="G225" s="32"/>
      <c r="J225" s="32" t="str">
        <v>kiri</v>
      </c>
      <c r="K225" s="32"/>
      <c r="L225" s="32"/>
      <c r="O225" s="32" t="str">
        <v>tengah</v>
      </c>
      <c r="P225" s="32"/>
      <c r="Q225" s="32"/>
      <c r="T225" s="32" t="str">
        <v>kanan</v>
      </c>
      <c r="U225" s="32"/>
      <c r="V225" s="32"/>
    </row>
    <row r="226" spans="5:22">
      <c r="E226" s="32" t="str">
        <v>tengah</v>
      </c>
      <c r="F226" s="32"/>
      <c r="G226" s="32"/>
      <c r="J226" s="32" t="str">
        <v>tengah</v>
      </c>
      <c r="K226" s="32"/>
      <c r="L226" s="32"/>
      <c r="O226" s="32" t="str">
        <v>tengah</v>
      </c>
      <c r="P226" s="32"/>
      <c r="Q226" s="32"/>
      <c r="T226" s="32" t="str">
        <v>tengah</v>
      </c>
      <c r="U226" s="32"/>
      <c r="V226" s="32"/>
    </row>
    <row r="227" spans="5:22">
      <c r="E227" s="32" t="str">
        <v>tengah</v>
      </c>
      <c r="F227" s="32"/>
      <c r="G227" s="32"/>
      <c r="J227" s="32" t="str">
        <v>tengah</v>
      </c>
      <c r="K227" s="32"/>
      <c r="L227" s="32"/>
      <c r="O227" s="32" t="str">
        <v>kiri</v>
      </c>
      <c r="P227" s="32"/>
      <c r="Q227" s="32"/>
      <c r="T227" s="32" t="str">
        <v>tengah</v>
      </c>
      <c r="U227" s="32"/>
      <c r="V227" s="32"/>
    </row>
    <row r="228" spans="5:22">
      <c r="E228" s="32" t="str">
        <v>tengah</v>
      </c>
      <c r="F228" s="32"/>
      <c r="G228" s="32"/>
      <c r="J228" s="32" t="str">
        <v>tengah</v>
      </c>
      <c r="K228" s="32"/>
      <c r="L228" s="32"/>
      <c r="O228" s="32" t="str">
        <v>kiri</v>
      </c>
      <c r="P228" s="32"/>
      <c r="Q228" s="32"/>
      <c r="T228" s="32" t="str">
        <v>kanan</v>
      </c>
      <c r="U228" s="32"/>
      <c r="V228" s="32"/>
    </row>
    <row r="229" spans="5:22">
      <c r="E229" s="32" t="str">
        <v>tengah</v>
      </c>
      <c r="F229" s="32"/>
      <c r="G229" s="32"/>
      <c r="J229" s="32" t="str">
        <v>kanan</v>
      </c>
      <c r="K229" s="32"/>
      <c r="L229" s="32"/>
      <c r="O229" s="32" t="str">
        <v>tengah</v>
      </c>
      <c r="P229" s="32"/>
      <c r="Q229" s="32"/>
      <c r="T229" s="32" t="str">
        <v>tengah</v>
      </c>
      <c r="U229" s="32"/>
      <c r="V229" s="32"/>
    </row>
    <row r="230" spans="5:22">
      <c r="E230" s="32" t="str">
        <v>tengah</v>
      </c>
      <c r="F230" s="32"/>
      <c r="G230" s="32"/>
      <c r="J230" s="32" t="str">
        <v>tengah</v>
      </c>
      <c r="K230" s="32"/>
      <c r="L230" s="32"/>
      <c r="O230" s="32" t="str">
        <v>kiri</v>
      </c>
      <c r="P230" s="32"/>
      <c r="Q230" s="32"/>
      <c r="T230" s="32" t="str">
        <v>tengah</v>
      </c>
      <c r="U230" s="32"/>
      <c r="V230" s="32"/>
    </row>
    <row r="231" spans="5:22">
      <c r="E231" s="32" t="str">
        <v>kanan</v>
      </c>
      <c r="F231" s="32"/>
      <c r="G231" s="32"/>
      <c r="J231" s="32" t="str">
        <v>tengah</v>
      </c>
      <c r="K231" s="32"/>
      <c r="L231" s="32"/>
      <c r="O231" s="32" t="str">
        <v>tengah</v>
      </c>
      <c r="P231" s="32"/>
      <c r="Q231" s="32"/>
      <c r="T231" s="32" t="str">
        <v>kanan</v>
      </c>
      <c r="U231" s="32"/>
      <c r="V231" s="32"/>
    </row>
    <row r="232" spans="5:22">
      <c r="E232" s="32" t="str">
        <v>tengah</v>
      </c>
      <c r="F232" s="32"/>
      <c r="G232" s="32"/>
      <c r="J232" s="32" t="str">
        <v>tengah</v>
      </c>
      <c r="K232" s="32"/>
      <c r="L232" s="32"/>
      <c r="O232" s="32" t="str">
        <v>kiri</v>
      </c>
      <c r="P232" s="32"/>
      <c r="Q232" s="32"/>
      <c r="T232" s="32" t="str">
        <v>kanan</v>
      </c>
      <c r="U232" s="32"/>
      <c r="V232" s="32"/>
    </row>
    <row r="233" spans="5:22">
      <c r="E233" s="32" t="str">
        <v>tengah</v>
      </c>
      <c r="F233" s="32"/>
      <c r="G233" s="32"/>
      <c r="J233" s="32" t="str">
        <v>tengah</v>
      </c>
      <c r="K233" s="32"/>
      <c r="L233" s="32"/>
      <c r="O233" s="32" t="str">
        <v>tengah</v>
      </c>
      <c r="P233" s="32"/>
      <c r="Q233" s="32"/>
      <c r="T233" s="32" t="str">
        <v>kanan</v>
      </c>
      <c r="U233" s="32"/>
      <c r="V233" s="32"/>
    </row>
    <row r="234" spans="5:22">
      <c r="E234" s="32" t="str">
        <v>tengah</v>
      </c>
      <c r="F234" s="32"/>
      <c r="G234" s="32"/>
      <c r="J234" s="32" t="str">
        <v>kanan</v>
      </c>
      <c r="K234" s="32"/>
      <c r="L234" s="32"/>
      <c r="O234" s="32" t="str">
        <v>tengah</v>
      </c>
      <c r="P234" s="32"/>
      <c r="Q234" s="32"/>
      <c r="T234" s="32" t="str">
        <v>kanan</v>
      </c>
      <c r="U234" s="32"/>
      <c r="V234" s="32"/>
    </row>
    <row r="235" spans="5:22">
      <c r="E235" s="32" t="str">
        <v>kiri</v>
      </c>
      <c r="F235" s="32"/>
      <c r="G235" s="32"/>
      <c r="J235" s="32" t="str">
        <v>kiri</v>
      </c>
      <c r="K235" s="32"/>
      <c r="L235" s="32"/>
      <c r="O235" s="32" t="str">
        <v>tengah</v>
      </c>
      <c r="P235" s="32"/>
      <c r="Q235" s="32"/>
      <c r="T235" s="32" t="str">
        <v>kanan</v>
      </c>
      <c r="U235" s="32"/>
      <c r="V235" s="32"/>
    </row>
    <row r="236" spans="5:22">
      <c r="E236" s="32" t="str">
        <v>tengah</v>
      </c>
      <c r="F236" s="32"/>
      <c r="G236" s="32"/>
      <c r="J236" s="32" t="str">
        <v>tengah</v>
      </c>
      <c r="K236" s="32"/>
      <c r="L236" s="32"/>
      <c r="O236" s="32" t="str">
        <v>tengah</v>
      </c>
      <c r="P236" s="32"/>
      <c r="Q236" s="32"/>
      <c r="T236" s="32" t="str">
        <v>kanan</v>
      </c>
      <c r="U236" s="32"/>
      <c r="V236" s="32"/>
    </row>
    <row r="237" spans="5:22">
      <c r="E237" s="32" t="str">
        <v>tengah</v>
      </c>
      <c r="F237" s="32"/>
      <c r="G237" s="32"/>
      <c r="J237" s="32" t="str">
        <v>tengah</v>
      </c>
      <c r="K237" s="32"/>
      <c r="L237" s="32"/>
      <c r="O237" s="32" t="str">
        <v>kiri</v>
      </c>
      <c r="P237" s="32"/>
      <c r="Q237" s="32"/>
      <c r="T237" s="32" t="str">
        <v>kanan</v>
      </c>
      <c r="U237" s="32"/>
      <c r="V237" s="32"/>
    </row>
    <row r="238" spans="5:22">
      <c r="E238" s="32" t="str">
        <v>kanan</v>
      </c>
      <c r="F238" s="32"/>
      <c r="G238" s="32"/>
      <c r="J238" s="32" t="str">
        <v>tengah</v>
      </c>
      <c r="K238" s="32"/>
      <c r="L238" s="32"/>
      <c r="O238" s="32" t="str">
        <v>tengah</v>
      </c>
      <c r="P238" s="32"/>
      <c r="Q238" s="32"/>
      <c r="T238" s="32" t="str">
        <v>tengah</v>
      </c>
      <c r="U238" s="32"/>
      <c r="V238" s="32"/>
    </row>
    <row r="239" spans="5:22">
      <c r="E239" s="32" t="str">
        <v>tengah</v>
      </c>
      <c r="F239" s="32"/>
      <c r="G239" s="32"/>
      <c r="J239" s="32" t="str">
        <v>kanan</v>
      </c>
      <c r="K239" s="32"/>
      <c r="L239" s="32"/>
      <c r="O239" s="32" t="str">
        <v>kiri</v>
      </c>
      <c r="P239" s="32"/>
      <c r="Q239" s="32"/>
      <c r="T239" s="32" t="str">
        <v>tengah</v>
      </c>
      <c r="U239" s="32"/>
      <c r="V239" s="32"/>
    </row>
    <row r="240" spans="5:22">
      <c r="E240" s="32" t="str">
        <v>kanan</v>
      </c>
      <c r="F240" s="32"/>
      <c r="G240" s="32"/>
      <c r="J240" s="32" t="str">
        <v>kanan</v>
      </c>
      <c r="K240" s="32"/>
      <c r="L240" s="32"/>
      <c r="O240" s="32" t="str">
        <v>kanan</v>
      </c>
      <c r="P240" s="32"/>
      <c r="Q240" s="32"/>
      <c r="T240" s="32" t="str">
        <v>kanan</v>
      </c>
      <c r="U240" s="32"/>
      <c r="V240" s="32"/>
    </row>
    <row r="241" spans="5:22">
      <c r="E241" s="32" t="str">
        <v>kanan</v>
      </c>
      <c r="F241" s="32"/>
      <c r="G241" s="32"/>
      <c r="J241" s="32" t="str">
        <v>tengah</v>
      </c>
      <c r="K241" s="32"/>
      <c r="L241" s="32"/>
      <c r="O241" s="32" t="str">
        <v>tengah</v>
      </c>
      <c r="P241" s="32"/>
      <c r="Q241" s="32"/>
      <c r="T241" s="32" t="str">
        <v>kanan</v>
      </c>
      <c r="U241" s="32"/>
      <c r="V241" s="32"/>
    </row>
    <row r="242" spans="5:22">
      <c r="E242" s="32" t="str">
        <v>kanan</v>
      </c>
      <c r="F242" s="32"/>
      <c r="G242" s="32"/>
      <c r="J242" s="32" t="str">
        <v>kiri</v>
      </c>
      <c r="K242" s="32"/>
      <c r="L242" s="32"/>
      <c r="O242" s="32" t="str">
        <v>tengah</v>
      </c>
      <c r="P242" s="32"/>
      <c r="Q242" s="32"/>
      <c r="T242" s="32" t="str">
        <v>kanan</v>
      </c>
      <c r="U242" s="32"/>
      <c r="V242" s="32"/>
    </row>
    <row r="243" spans="5:22">
      <c r="E243" s="32" t="str">
        <v>kiri</v>
      </c>
      <c r="F243" s="32"/>
      <c r="G243" s="32"/>
      <c r="J243" s="32" t="str">
        <v>tengah</v>
      </c>
      <c r="K243" s="32"/>
      <c r="L243" s="32"/>
      <c r="O243" s="32" t="str">
        <v>kiri</v>
      </c>
      <c r="P243" s="32"/>
      <c r="Q243" s="32"/>
      <c r="T243" s="32" t="str">
        <v>tengah</v>
      </c>
      <c r="U243" s="32"/>
      <c r="V243" s="32"/>
    </row>
    <row r="244" spans="5:22">
      <c r="E244" s="32" t="str">
        <v>tengah</v>
      </c>
      <c r="F244" s="32"/>
      <c r="G244" s="32"/>
      <c r="J244" s="32" t="str">
        <v>tengah</v>
      </c>
      <c r="K244" s="32"/>
      <c r="L244" s="32"/>
      <c r="O244" s="32" t="str">
        <v>tengah</v>
      </c>
      <c r="P244" s="32"/>
      <c r="Q244" s="32"/>
      <c r="T244" s="32" t="str">
        <v>kanan</v>
      </c>
      <c r="U244" s="32"/>
      <c r="V244" s="32"/>
    </row>
    <row r="245" spans="5:22">
      <c r="E245" s="32" t="str">
        <v>kiri</v>
      </c>
      <c r="F245" s="32"/>
      <c r="G245" s="32"/>
      <c r="J245" s="32" t="str">
        <v>kanan</v>
      </c>
      <c r="K245" s="32"/>
      <c r="L245" s="32"/>
      <c r="O245" s="32" t="str">
        <v>kiri</v>
      </c>
      <c r="P245" s="32"/>
      <c r="Q245" s="32"/>
      <c r="T245" s="32" t="str">
        <v>tengah</v>
      </c>
      <c r="U245" s="32"/>
      <c r="V245" s="32"/>
    </row>
    <row r="246" spans="5:22">
      <c r="E246" s="32" t="str">
        <v>kiri</v>
      </c>
      <c r="F246" s="32"/>
      <c r="G246" s="32"/>
      <c r="J246" s="32" t="str">
        <v>kiri</v>
      </c>
      <c r="K246" s="32"/>
      <c r="L246" s="32"/>
      <c r="O246" s="32" t="str">
        <v>tengah</v>
      </c>
      <c r="P246" s="32"/>
      <c r="Q246" s="32"/>
      <c r="T246" s="32" t="str">
        <v>kanan</v>
      </c>
      <c r="U246" s="32"/>
      <c r="V246" s="32"/>
    </row>
    <row r="247" spans="5:22">
      <c r="E247" s="32" t="str">
        <v>tengah</v>
      </c>
      <c r="F247" s="32"/>
      <c r="G247" s="32"/>
      <c r="J247" s="32" t="str">
        <v>tengah</v>
      </c>
      <c r="K247" s="32"/>
      <c r="L247" s="32"/>
      <c r="O247" s="32" t="str">
        <v>kiri</v>
      </c>
      <c r="P247" s="32"/>
      <c r="Q247" s="32"/>
      <c r="T247" s="32" t="str">
        <v>kanan</v>
      </c>
      <c r="U247" s="32"/>
      <c r="V247" s="32"/>
    </row>
    <row r="248" spans="5:22">
      <c r="E248" s="32" t="str">
        <v>tengah</v>
      </c>
      <c r="F248" s="32"/>
      <c r="G248" s="32"/>
      <c r="J248" s="32" t="str">
        <v>kanan</v>
      </c>
      <c r="K248" s="32"/>
      <c r="L248" s="32"/>
      <c r="O248" s="32" t="str">
        <v>tengah</v>
      </c>
      <c r="P248" s="32"/>
      <c r="Q248" s="32"/>
      <c r="T248" s="32" t="str">
        <v>tengah</v>
      </c>
      <c r="U248" s="32"/>
      <c r="V248" s="32"/>
    </row>
    <row r="249" spans="5:22">
      <c r="E249" s="32" t="str">
        <v>kiri</v>
      </c>
      <c r="F249" s="32"/>
      <c r="G249" s="32"/>
      <c r="J249" s="32" t="str">
        <v>tengah</v>
      </c>
      <c r="K249" s="32"/>
      <c r="L249" s="32"/>
      <c r="O249" s="32" t="str">
        <v>tengah</v>
      </c>
      <c r="P249" s="32"/>
      <c r="Q249" s="32"/>
      <c r="T249" s="32" t="str">
        <v>tengah</v>
      </c>
      <c r="U249" s="32"/>
      <c r="V249" s="32"/>
    </row>
    <row r="250" spans="5:22">
      <c r="E250" s="32" t="str">
        <v>tengah</v>
      </c>
      <c r="F250" s="32"/>
      <c r="G250" s="32"/>
      <c r="J250" s="32" t="str">
        <v>tengah</v>
      </c>
      <c r="K250" s="32"/>
      <c r="L250" s="32"/>
      <c r="O250" s="32" t="str">
        <v>kiri</v>
      </c>
      <c r="P250" s="32"/>
      <c r="Q250" s="32"/>
      <c r="T250" s="32" t="str">
        <v>tengah</v>
      </c>
      <c r="U250" s="32"/>
      <c r="V250" s="32"/>
    </row>
    <row r="251" spans="5:22">
      <c r="E251" s="32" t="str">
        <v>tengah</v>
      </c>
      <c r="F251" s="32"/>
      <c r="G251" s="32"/>
      <c r="J251" s="32" t="str">
        <v>kiri</v>
      </c>
      <c r="K251" s="32"/>
      <c r="L251" s="32"/>
      <c r="O251" s="32" t="str">
        <v>tengah</v>
      </c>
      <c r="P251" s="32"/>
      <c r="Q251" s="32"/>
      <c r="T251" s="32" t="str">
        <v>tengah</v>
      </c>
      <c r="U251" s="32"/>
      <c r="V251" s="32"/>
    </row>
    <row r="252" spans="5:22">
      <c r="E252" s="32" t="str">
        <v>kiri</v>
      </c>
      <c r="F252" s="32"/>
      <c r="G252" s="32"/>
      <c r="J252" s="32" t="str">
        <v>tengah</v>
      </c>
      <c r="K252" s="32"/>
      <c r="L252" s="32"/>
      <c r="O252" s="32" t="str">
        <v>kiri</v>
      </c>
      <c r="P252" s="32"/>
      <c r="Q252" s="32"/>
      <c r="T252" s="32" t="str">
        <v>tengah</v>
      </c>
      <c r="U252" s="32"/>
      <c r="V252" s="32"/>
    </row>
    <row r="253" spans="5:22">
      <c r="E253" s="32" t="str">
        <v>tengah</v>
      </c>
      <c r="F253" s="32"/>
      <c r="G253" s="32"/>
      <c r="J253" s="32" t="str">
        <v>kanan</v>
      </c>
      <c r="K253" s="32"/>
      <c r="L253" s="32"/>
      <c r="O253" s="32" t="str">
        <v>tengah</v>
      </c>
      <c r="P253" s="32"/>
      <c r="Q253" s="32"/>
      <c r="T253" s="32" t="str">
        <v>kanan</v>
      </c>
      <c r="U253" s="32"/>
      <c r="V253" s="32"/>
    </row>
    <row r="254" spans="5:22">
      <c r="E254" s="32" t="str">
        <v>kanan</v>
      </c>
      <c r="F254" s="32"/>
      <c r="G254" s="32"/>
      <c r="J254" s="32" t="str">
        <v>tengah</v>
      </c>
      <c r="K254" s="32"/>
      <c r="L254" s="32"/>
      <c r="O254" s="32" t="str">
        <v>tengah</v>
      </c>
      <c r="P254" s="32"/>
      <c r="Q254" s="32"/>
      <c r="T254" s="32" t="str">
        <v>tengah</v>
      </c>
      <c r="U254" s="32"/>
      <c r="V254" s="32"/>
    </row>
    <row r="255" spans="5:22">
      <c r="E255" s="32" t="str">
        <v>tengah</v>
      </c>
      <c r="F255" s="32"/>
      <c r="G255" s="32"/>
      <c r="J255" s="32" t="str">
        <v>tengah</v>
      </c>
      <c r="K255" s="32"/>
      <c r="L255" s="32"/>
      <c r="O255" s="32" t="str">
        <v>kanan</v>
      </c>
      <c r="P255" s="32"/>
      <c r="Q255" s="32"/>
      <c r="T255" s="32" t="str">
        <v>kanan</v>
      </c>
      <c r="U255" s="32"/>
      <c r="V255" s="32"/>
    </row>
    <row r="256" spans="5:22">
      <c r="E256" s="32" t="str">
        <v>tengah</v>
      </c>
      <c r="F256" s="32"/>
      <c r="G256" s="32"/>
      <c r="J256" s="32" t="str">
        <v>tengah</v>
      </c>
      <c r="K256" s="32"/>
      <c r="L256" s="32"/>
      <c r="O256" s="32" t="str">
        <v>tengah</v>
      </c>
      <c r="P256" s="32"/>
      <c r="Q256" s="32"/>
      <c r="T256" s="32" t="str">
        <v>kanan</v>
      </c>
      <c r="U256" s="32"/>
      <c r="V256" s="32"/>
    </row>
    <row r="257" spans="5:22">
      <c r="E257" s="32" t="str">
        <v>kanan</v>
      </c>
      <c r="F257" s="32"/>
      <c r="G257" s="32"/>
      <c r="J257" s="32" t="str">
        <v>tengah</v>
      </c>
      <c r="K257" s="32"/>
      <c r="L257" s="32"/>
      <c r="O257" s="32" t="str">
        <v>kiri</v>
      </c>
      <c r="P257" s="32"/>
      <c r="Q257" s="32"/>
      <c r="T257" s="32" t="str">
        <v>kanan</v>
      </c>
      <c r="U257" s="32"/>
      <c r="V257" s="32"/>
    </row>
    <row r="258" spans="5:22">
      <c r="E258" s="32" t="str">
        <v>kanan</v>
      </c>
      <c r="F258" s="32"/>
      <c r="G258" s="32"/>
      <c r="J258" s="32" t="str">
        <v>tengah</v>
      </c>
      <c r="K258" s="32"/>
      <c r="L258" s="32"/>
      <c r="O258" s="32" t="str">
        <v>tengah</v>
      </c>
      <c r="P258" s="32"/>
      <c r="Q258" s="32"/>
      <c r="T258" s="32" t="str">
        <v>tengah</v>
      </c>
      <c r="U258" s="32"/>
      <c r="V258" s="32"/>
    </row>
    <row r="259" spans="5:22">
      <c r="E259" s="32" t="str">
        <v>tengah</v>
      </c>
      <c r="F259" s="32"/>
      <c r="G259" s="32"/>
      <c r="J259" s="32" t="str">
        <v>kiri</v>
      </c>
      <c r="K259" s="32"/>
      <c r="L259" s="32"/>
      <c r="O259" s="32" t="str">
        <v>tengah</v>
      </c>
      <c r="P259" s="32"/>
      <c r="Q259" s="32"/>
      <c r="T259" s="32" t="str">
        <v>kanan</v>
      </c>
      <c r="U259" s="32"/>
      <c r="V259" s="32"/>
    </row>
    <row r="260" spans="5:22">
      <c r="E260" s="32" t="str">
        <v>tengah</v>
      </c>
      <c r="F260" s="32"/>
      <c r="G260" s="32"/>
      <c r="J260" s="32" t="str">
        <v>tengah</v>
      </c>
      <c r="K260" s="32"/>
      <c r="L260" s="32"/>
      <c r="O260" s="32" t="str">
        <v>tengah</v>
      </c>
      <c r="P260" s="32"/>
      <c r="Q260" s="32"/>
      <c r="T260" s="32" t="str">
        <v>tengah</v>
      </c>
      <c r="U260" s="32"/>
      <c r="V260" s="32"/>
    </row>
    <row r="261" spans="5:22">
      <c r="E261" s="32" t="str">
        <v>kiri</v>
      </c>
      <c r="F261" s="32"/>
      <c r="G261" s="32"/>
      <c r="J261" s="32" t="str">
        <v>kiri</v>
      </c>
      <c r="K261" s="32"/>
      <c r="L261" s="32"/>
      <c r="O261" s="32" t="str">
        <v>kanan</v>
      </c>
      <c r="P261" s="32"/>
      <c r="Q261" s="32"/>
      <c r="T261" s="32" t="str">
        <v>tengah</v>
      </c>
      <c r="U261" s="32"/>
      <c r="V261" s="32"/>
    </row>
    <row r="262" spans="5:22">
      <c r="E262" s="32" t="str">
        <v>kanan</v>
      </c>
      <c r="F262" s="32"/>
      <c r="G262" s="32"/>
      <c r="J262" s="32" t="str">
        <v>tengah</v>
      </c>
      <c r="K262" s="32"/>
      <c r="L262" s="32"/>
      <c r="O262" s="32" t="str">
        <v>kanan</v>
      </c>
      <c r="P262" s="32"/>
      <c r="Q262" s="32"/>
      <c r="T262" s="32" t="str">
        <v>kanan</v>
      </c>
      <c r="U262" s="32"/>
      <c r="V262" s="32"/>
    </row>
    <row r="263" spans="5:22">
      <c r="E263" s="32" t="str">
        <v>tengah</v>
      </c>
      <c r="F263" s="32"/>
      <c r="G263" s="32"/>
      <c r="J263" s="32" t="str">
        <v>tengah</v>
      </c>
      <c r="K263" s="32"/>
      <c r="L263" s="32"/>
      <c r="O263" s="32" t="str">
        <v>kanan</v>
      </c>
      <c r="P263" s="32"/>
      <c r="Q263" s="32"/>
      <c r="T263" s="32" t="str">
        <v>tengah</v>
      </c>
      <c r="U263" s="32"/>
      <c r="V263" s="32"/>
    </row>
    <row r="264" spans="5:22">
      <c r="E264" s="32" t="str">
        <v>tengah</v>
      </c>
      <c r="F264" s="32"/>
      <c r="G264" s="32"/>
      <c r="J264" s="32" t="str">
        <v>tengah</v>
      </c>
      <c r="K264" s="32"/>
      <c r="L264" s="32"/>
      <c r="O264" s="32" t="str">
        <v>kanan</v>
      </c>
      <c r="P264" s="32"/>
      <c r="Q264" s="32"/>
      <c r="T264" s="32" t="str">
        <v>tengah</v>
      </c>
      <c r="U264" s="32"/>
      <c r="V264" s="32"/>
    </row>
    <row r="265" spans="5:22">
      <c r="E265" s="32" t="str">
        <v>tengah</v>
      </c>
      <c r="F265" s="32"/>
      <c r="G265" s="32"/>
      <c r="J265" s="32" t="str">
        <v>tengah</v>
      </c>
      <c r="K265" s="32"/>
      <c r="L265" s="32"/>
      <c r="O265" s="32" t="str">
        <v>tengah</v>
      </c>
      <c r="P265" s="32"/>
      <c r="Q265" s="32"/>
      <c r="T265" s="32" t="str">
        <v>tengah</v>
      </c>
      <c r="U265" s="32"/>
      <c r="V265" s="32"/>
    </row>
    <row r="266" spans="5:22">
      <c r="E266" s="32" t="str">
        <v>tengah</v>
      </c>
      <c r="F266" s="32"/>
      <c r="G266" s="32"/>
      <c r="J266" s="32" t="str">
        <v>kanan</v>
      </c>
      <c r="K266" s="32"/>
      <c r="L266" s="32"/>
      <c r="O266" s="32" t="str">
        <v>kiri</v>
      </c>
      <c r="P266" s="32"/>
      <c r="Q266" s="32"/>
      <c r="T266" s="32" t="str">
        <v>kanan</v>
      </c>
      <c r="U266" s="32"/>
      <c r="V266" s="32"/>
    </row>
    <row r="267" spans="5:22">
      <c r="E267" s="32" t="str">
        <v>kanan</v>
      </c>
      <c r="F267" s="32"/>
      <c r="G267" s="32"/>
      <c r="J267" s="32" t="str">
        <v>kiri</v>
      </c>
      <c r="K267" s="32"/>
      <c r="L267" s="32"/>
      <c r="O267" s="32" t="str">
        <v>kiri</v>
      </c>
      <c r="P267" s="32"/>
      <c r="Q267" s="32"/>
      <c r="T267" s="32" t="str">
        <v>tengah</v>
      </c>
      <c r="U267" s="32"/>
      <c r="V267" s="32"/>
    </row>
    <row r="268" spans="5:22">
      <c r="E268" s="32" t="str">
        <v>kanan</v>
      </c>
      <c r="F268" s="32"/>
      <c r="G268" s="32"/>
      <c r="J268" s="32" t="str">
        <v>kanan</v>
      </c>
      <c r="K268" s="32"/>
      <c r="L268" s="32"/>
      <c r="O268" s="32" t="str">
        <v>tengah</v>
      </c>
      <c r="P268" s="32"/>
      <c r="Q268" s="32"/>
      <c r="T268" s="32" t="str">
        <v>kanan</v>
      </c>
      <c r="U268" s="32"/>
      <c r="V268" s="32"/>
    </row>
    <row r="269" spans="5:22">
      <c r="E269" s="32" t="str">
        <v>tengah</v>
      </c>
      <c r="F269" s="32"/>
      <c r="G269" s="32"/>
      <c r="J269" s="32" t="str">
        <v>tengah</v>
      </c>
      <c r="K269" s="32"/>
      <c r="L269" s="32"/>
      <c r="O269" s="32" t="str">
        <v>kiri</v>
      </c>
      <c r="P269" s="32"/>
      <c r="Q269" s="32"/>
      <c r="T269" s="32" t="str">
        <v>tengah</v>
      </c>
      <c r="U269" s="32"/>
      <c r="V269" s="32"/>
    </row>
    <row r="270" spans="5:22">
      <c r="E270" s="32" t="str">
        <v>tengah</v>
      </c>
      <c r="F270" s="32"/>
      <c r="G270" s="32"/>
      <c r="J270" s="32" t="str">
        <v>tengah</v>
      </c>
      <c r="K270" s="32"/>
      <c r="L270" s="32"/>
      <c r="O270" s="32" t="str">
        <v>tengah</v>
      </c>
      <c r="P270" s="32"/>
      <c r="Q270" s="32"/>
      <c r="T270" s="32" t="str">
        <v>kanan</v>
      </c>
      <c r="U270" s="32"/>
      <c r="V270" s="32"/>
    </row>
    <row r="271" spans="5:22">
      <c r="E271" s="32" t="str">
        <v>kiri</v>
      </c>
      <c r="F271" s="32"/>
      <c r="G271" s="32"/>
      <c r="J271" s="32" t="str">
        <v>tengah</v>
      </c>
      <c r="K271" s="32"/>
      <c r="L271" s="32"/>
      <c r="O271" s="32" t="str">
        <v>kiri</v>
      </c>
      <c r="P271" s="32"/>
      <c r="Q271" s="32"/>
      <c r="T271" s="32" t="str">
        <v>tengah</v>
      </c>
      <c r="U271" s="32"/>
      <c r="V271" s="32"/>
    </row>
    <row r="272" spans="5:22">
      <c r="E272" s="32" t="str">
        <v>tengah</v>
      </c>
      <c r="F272" s="32"/>
      <c r="G272" s="32"/>
      <c r="J272" s="32" t="str">
        <v>tengah</v>
      </c>
      <c r="K272" s="32"/>
      <c r="L272" s="32"/>
      <c r="O272" s="32" t="str">
        <v>tengah</v>
      </c>
      <c r="P272" s="32"/>
      <c r="Q272" s="32"/>
      <c r="T272" s="32" t="str">
        <v>kanan</v>
      </c>
      <c r="U272" s="32"/>
      <c r="V272" s="32"/>
    </row>
    <row r="273" spans="5:22">
      <c r="E273" s="32" t="str">
        <v>tengah</v>
      </c>
      <c r="F273" s="32"/>
      <c r="G273" s="32"/>
      <c r="J273" s="32" t="str">
        <v>tengah</v>
      </c>
      <c r="K273" s="32"/>
      <c r="L273" s="32"/>
      <c r="O273" s="32" t="str">
        <v>tengah</v>
      </c>
      <c r="P273" s="32"/>
      <c r="Q273" s="32"/>
      <c r="T273" s="32" t="str">
        <v>kanan</v>
      </c>
      <c r="U273" s="32"/>
      <c r="V273" s="32"/>
    </row>
    <row r="274" spans="5:22">
      <c r="E274" s="32" t="str">
        <v>tengah</v>
      </c>
      <c r="F274" s="32"/>
      <c r="G274" s="32"/>
      <c r="J274" s="32" t="str">
        <v>kiri</v>
      </c>
      <c r="K274" s="32"/>
      <c r="L274" s="32"/>
      <c r="O274" s="32" t="str">
        <v>kiri</v>
      </c>
      <c r="P274" s="32"/>
      <c r="Q274" s="32"/>
      <c r="T274" s="32" t="str">
        <v>kanan</v>
      </c>
      <c r="U274" s="32"/>
      <c r="V274" s="32"/>
    </row>
    <row r="275" spans="5:22">
      <c r="E275" s="32" t="str">
        <v>tengah</v>
      </c>
      <c r="F275" s="32"/>
      <c r="G275" s="32"/>
      <c r="J275" s="32" t="str">
        <v>tengah</v>
      </c>
      <c r="K275" s="32"/>
      <c r="L275" s="32"/>
      <c r="O275" s="32" t="str">
        <v>tengah</v>
      </c>
      <c r="P275" s="32"/>
      <c r="Q275" s="32"/>
      <c r="T275" s="32" t="str">
        <v>tengah</v>
      </c>
      <c r="U275" s="32"/>
      <c r="V275" s="32"/>
    </row>
    <row r="276" spans="5:22">
      <c r="E276" s="32" t="str">
        <v>kiri</v>
      </c>
      <c r="F276" s="32"/>
      <c r="G276" s="32"/>
      <c r="J276" s="32" t="str">
        <v>kiri</v>
      </c>
      <c r="K276" s="32"/>
      <c r="L276" s="32"/>
      <c r="O276" s="32" t="str">
        <v>tengah</v>
      </c>
      <c r="P276" s="32"/>
      <c r="Q276" s="32"/>
      <c r="T276" s="32" t="str">
        <v>kanan</v>
      </c>
      <c r="U276" s="32"/>
      <c r="V276" s="32"/>
    </row>
    <row r="277" spans="5:22">
      <c r="E277" s="32" t="str">
        <v>tengah</v>
      </c>
      <c r="F277" s="32"/>
      <c r="G277" s="32"/>
      <c r="J277" s="32" t="str">
        <v>tengah</v>
      </c>
      <c r="K277" s="32"/>
      <c r="L277" s="32"/>
      <c r="O277" s="32" t="str">
        <v>kiri</v>
      </c>
      <c r="P277" s="32"/>
      <c r="Q277" s="32"/>
      <c r="T277" s="32" t="str">
        <v>kanan</v>
      </c>
      <c r="U277" s="32"/>
      <c r="V277" s="32"/>
    </row>
    <row r="278" spans="5:22">
      <c r="E278" s="32" t="str">
        <v>kiri</v>
      </c>
      <c r="F278" s="32"/>
      <c r="G278" s="32"/>
      <c r="J278" s="32" t="str">
        <v>tengah</v>
      </c>
      <c r="K278" s="32"/>
      <c r="L278" s="32"/>
      <c r="O278" s="32" t="str">
        <v>kanan</v>
      </c>
      <c r="P278" s="32"/>
      <c r="Q278" s="32"/>
      <c r="T278" s="32" t="str">
        <v>tengah</v>
      </c>
      <c r="U278" s="32"/>
      <c r="V278" s="32"/>
    </row>
    <row r="279" spans="5:22">
      <c r="E279" s="32" t="str">
        <v>kiri</v>
      </c>
      <c r="F279" s="32"/>
      <c r="G279" s="32"/>
      <c r="J279" s="32" t="str">
        <v>kanan</v>
      </c>
      <c r="K279" s="32"/>
      <c r="L279" s="32"/>
      <c r="O279" s="32" t="str">
        <v>kiri</v>
      </c>
      <c r="P279" s="32"/>
      <c r="Q279" s="32"/>
      <c r="T279" s="32" t="str">
        <v>tengah</v>
      </c>
      <c r="U279" s="32"/>
      <c r="V279" s="32"/>
    </row>
    <row r="280" spans="5:22">
      <c r="E280" s="32" t="str">
        <v>kiri</v>
      </c>
      <c r="F280" s="32"/>
      <c r="G280" s="32"/>
      <c r="J280" s="32" t="str">
        <v>kiri</v>
      </c>
      <c r="K280" s="32"/>
      <c r="L280" s="32"/>
      <c r="O280" s="32" t="str">
        <v>tengah</v>
      </c>
      <c r="P280" s="32"/>
      <c r="Q280" s="32"/>
      <c r="T280" s="32" t="str">
        <v>kanan</v>
      </c>
      <c r="U280" s="32"/>
      <c r="V280" s="32"/>
    </row>
    <row r="281" spans="5:22">
      <c r="E281" s="32" t="str">
        <v>tengah</v>
      </c>
      <c r="F281" s="32"/>
      <c r="G281" s="32"/>
      <c r="J281" s="32" t="str">
        <v>kiri</v>
      </c>
      <c r="K281" s="32"/>
      <c r="L281" s="32"/>
      <c r="O281" s="32" t="str">
        <v>tengah</v>
      </c>
      <c r="P281" s="32"/>
      <c r="Q281" s="32"/>
      <c r="T281" s="32" t="str">
        <v>tengah</v>
      </c>
      <c r="U281" s="32"/>
      <c r="V281" s="32"/>
    </row>
    <row r="282" spans="5:22">
      <c r="E282" s="32" t="str">
        <v>kiri</v>
      </c>
      <c r="F282" s="32"/>
      <c r="G282" s="32"/>
      <c r="J282" s="32" t="str">
        <v>tengah</v>
      </c>
      <c r="K282" s="32"/>
      <c r="L282" s="32"/>
      <c r="O282" s="32" t="str">
        <v>kiri</v>
      </c>
      <c r="P282" s="32"/>
      <c r="Q282" s="32"/>
      <c r="T282" s="32" t="str">
        <v>tengah</v>
      </c>
      <c r="U282" s="32"/>
      <c r="V282" s="32"/>
    </row>
    <row r="283" spans="5:22">
      <c r="E283" s="32" t="str">
        <v>kanan</v>
      </c>
      <c r="F283" s="32"/>
      <c r="G283" s="32"/>
      <c r="J283" s="32" t="str">
        <v>tengah</v>
      </c>
      <c r="K283" s="32"/>
      <c r="L283" s="32"/>
      <c r="O283" s="32" t="str">
        <v>tengah</v>
      </c>
      <c r="P283" s="32"/>
      <c r="Q283" s="32"/>
      <c r="T283" s="32" t="str">
        <v>kanan</v>
      </c>
      <c r="U283" s="32"/>
      <c r="V283" s="32"/>
    </row>
    <row r="284" spans="5:22">
      <c r="E284" s="32" t="str">
        <v>tengah</v>
      </c>
      <c r="F284" s="32"/>
      <c r="G284" s="32"/>
      <c r="J284" s="32" t="str">
        <v>tengah</v>
      </c>
      <c r="K284" s="32"/>
      <c r="L284" s="32"/>
      <c r="O284" s="32" t="str">
        <v>kanan</v>
      </c>
      <c r="P284" s="32"/>
      <c r="Q284" s="32"/>
      <c r="T284" s="32" t="str">
        <v>tengah</v>
      </c>
      <c r="U284" s="32"/>
      <c r="V284" s="32"/>
    </row>
    <row r="285" spans="5:22">
      <c r="E285" s="32" t="str">
        <v>tengah</v>
      </c>
      <c r="F285" s="32"/>
      <c r="G285" s="32"/>
      <c r="J285" s="32" t="str">
        <v>kiri</v>
      </c>
      <c r="K285" s="32"/>
      <c r="L285" s="32"/>
      <c r="O285" s="32" t="str">
        <v>kanan</v>
      </c>
      <c r="P285" s="32"/>
      <c r="Q285" s="32"/>
      <c r="T285" s="32" t="str">
        <v>tengah</v>
      </c>
      <c r="U285" s="32"/>
      <c r="V285" s="32"/>
    </row>
    <row r="286" spans="5:22">
      <c r="E286" s="32" t="str">
        <v>kanan</v>
      </c>
      <c r="F286" s="32"/>
      <c r="G286" s="32"/>
      <c r="J286" s="32" t="str">
        <v>kanan</v>
      </c>
      <c r="K286" s="32"/>
      <c r="L286" s="32"/>
      <c r="O286" s="32" t="str">
        <v>tengah</v>
      </c>
      <c r="P286" s="32"/>
      <c r="Q286" s="32"/>
      <c r="T286" s="32" t="str">
        <v>kanan</v>
      </c>
      <c r="U286" s="32"/>
      <c r="V286" s="32"/>
    </row>
    <row r="287" spans="5:22">
      <c r="E287" s="32" t="str">
        <v>kiri</v>
      </c>
      <c r="F287" s="32"/>
      <c r="G287" s="32"/>
      <c r="J287" s="32" t="str">
        <v>kanan</v>
      </c>
      <c r="K287" s="32"/>
      <c r="L287" s="32"/>
      <c r="O287" s="32" t="str">
        <v>kiri</v>
      </c>
      <c r="P287" s="32"/>
      <c r="Q287" s="32"/>
      <c r="T287" s="32" t="str">
        <v>tengah</v>
      </c>
      <c r="U287" s="32"/>
      <c r="V287" s="32"/>
    </row>
    <row r="288" spans="5:22">
      <c r="E288" s="32" t="str">
        <v>tengah</v>
      </c>
      <c r="F288" s="32"/>
      <c r="G288" s="32"/>
      <c r="J288" s="32" t="str">
        <v>kiri</v>
      </c>
      <c r="K288" s="32"/>
      <c r="L288" s="32"/>
      <c r="O288" s="32" t="str">
        <v>kiri</v>
      </c>
      <c r="P288" s="32"/>
      <c r="Q288" s="32"/>
      <c r="T288" s="32" t="str">
        <v>kanan</v>
      </c>
      <c r="U288" s="32"/>
      <c r="V288" s="32"/>
    </row>
    <row r="289" spans="5:22">
      <c r="E289" s="32" t="str">
        <v>tengah</v>
      </c>
      <c r="F289" s="32"/>
      <c r="G289" s="32"/>
      <c r="J289" s="32" t="str">
        <v>tengah</v>
      </c>
      <c r="K289" s="32"/>
      <c r="L289" s="32"/>
      <c r="O289" s="32" t="str">
        <v>kanan</v>
      </c>
      <c r="P289" s="32"/>
      <c r="Q289" s="32"/>
      <c r="T289" s="32" t="str">
        <v>kanan</v>
      </c>
      <c r="U289" s="32"/>
      <c r="V289" s="32"/>
    </row>
    <row r="290" spans="5:22">
      <c r="E290" s="32" t="str">
        <v>kiri</v>
      </c>
      <c r="F290" s="32"/>
      <c r="G290" s="32"/>
      <c r="J290" s="32" t="str">
        <v>tengah</v>
      </c>
      <c r="K290" s="32"/>
      <c r="L290" s="32"/>
      <c r="O290" s="32" t="str">
        <v>tengah</v>
      </c>
      <c r="P290" s="32"/>
      <c r="Q290" s="32"/>
      <c r="T290" s="32" t="str">
        <v>kanan</v>
      </c>
      <c r="U290" s="32"/>
      <c r="V290" s="32"/>
    </row>
    <row r="291" spans="5:22">
      <c r="E291" s="32" t="str">
        <v>kanan</v>
      </c>
      <c r="F291" s="32"/>
      <c r="G291" s="32"/>
      <c r="J291" s="32" t="str">
        <v>tengah</v>
      </c>
      <c r="K291" s="32"/>
      <c r="L291" s="32"/>
      <c r="O291" s="32" t="str">
        <v>kiri</v>
      </c>
      <c r="P291" s="32"/>
      <c r="Q291" s="32"/>
      <c r="T291" s="32" t="str">
        <v>kanan</v>
      </c>
      <c r="U291" s="32"/>
      <c r="V291" s="32"/>
    </row>
    <row r="292" spans="5:22">
      <c r="E292" s="32" t="str">
        <v>kiri</v>
      </c>
      <c r="F292" s="32"/>
      <c r="G292" s="32"/>
      <c r="J292" s="32" t="str">
        <v>kiri</v>
      </c>
      <c r="K292" s="32"/>
      <c r="L292" s="32"/>
      <c r="O292" s="32" t="str">
        <v>kiri</v>
      </c>
      <c r="P292" s="32"/>
      <c r="Q292" s="32"/>
      <c r="T292" s="32" t="str">
        <v>kanan</v>
      </c>
      <c r="U292" s="32"/>
      <c r="V292" s="32"/>
    </row>
    <row r="293" spans="5:22">
      <c r="E293" s="32" t="str">
        <v>tengah</v>
      </c>
      <c r="F293" s="32"/>
      <c r="G293" s="32"/>
      <c r="J293" s="32" t="str">
        <v>kiri</v>
      </c>
      <c r="K293" s="32"/>
      <c r="L293" s="32"/>
      <c r="O293" s="32" t="str">
        <v>tengah</v>
      </c>
      <c r="P293" s="32"/>
      <c r="Q293" s="32"/>
      <c r="T293" s="32" t="str">
        <v>tengah</v>
      </c>
      <c r="U293" s="32"/>
      <c r="V293" s="32"/>
    </row>
    <row r="294" spans="5:22">
      <c r="E294" s="32" t="str">
        <v>kiri</v>
      </c>
      <c r="F294" s="32"/>
      <c r="G294" s="32"/>
      <c r="J294" s="32" t="str">
        <v>kanan</v>
      </c>
      <c r="K294" s="32"/>
      <c r="L294" s="32"/>
      <c r="O294" s="32" t="str">
        <v>kiri</v>
      </c>
      <c r="P294" s="32"/>
      <c r="Q294" s="32"/>
      <c r="T294" s="32" t="str">
        <v>kanan</v>
      </c>
      <c r="U294" s="32"/>
      <c r="V294" s="32"/>
    </row>
    <row r="295" spans="5:22">
      <c r="E295" s="32" t="str">
        <v>kanan</v>
      </c>
      <c r="F295" s="32"/>
      <c r="G295" s="32"/>
      <c r="J295" s="32" t="str">
        <v>kiri</v>
      </c>
      <c r="K295" s="32"/>
      <c r="L295" s="32"/>
      <c r="O295" s="32" t="str">
        <v>kanan</v>
      </c>
      <c r="P295" s="32"/>
      <c r="Q295" s="32"/>
      <c r="T295" s="32" t="str">
        <v>kanan</v>
      </c>
      <c r="U295" s="32"/>
      <c r="V295" s="32"/>
    </row>
    <row r="296" spans="5:22">
      <c r="E296" s="32" t="str">
        <v>tengah</v>
      </c>
      <c r="F296" s="32"/>
      <c r="G296" s="32"/>
      <c r="J296" s="32" t="str">
        <v>kanan</v>
      </c>
      <c r="K296" s="32"/>
      <c r="L296" s="32"/>
      <c r="O296" s="32" t="str">
        <v>tengah</v>
      </c>
      <c r="P296" s="32"/>
      <c r="Q296" s="32"/>
      <c r="T296" s="32" t="str">
        <v>kanan</v>
      </c>
      <c r="U296" s="32"/>
      <c r="V296" s="32"/>
    </row>
    <row r="297" spans="5:22">
      <c r="E297" s="32" t="str">
        <v>tengah</v>
      </c>
      <c r="F297" s="32"/>
      <c r="G297" s="32"/>
      <c r="J297" s="32" t="str">
        <v>kanan</v>
      </c>
      <c r="K297" s="32"/>
      <c r="L297" s="32"/>
      <c r="O297" s="32" t="str">
        <v>kanan</v>
      </c>
      <c r="P297" s="32"/>
      <c r="Q297" s="32"/>
      <c r="T297" s="32" t="str">
        <v>tengah</v>
      </c>
      <c r="U297" s="32"/>
      <c r="V297" s="32"/>
    </row>
    <row r="298" spans="5:22">
      <c r="E298" s="32" t="str">
        <v>tengah</v>
      </c>
      <c r="F298" s="32"/>
      <c r="G298" s="32"/>
      <c r="J298" s="32" t="str">
        <v>kanan</v>
      </c>
      <c r="K298" s="32"/>
      <c r="L298" s="32"/>
      <c r="O298" s="32" t="str">
        <v>kanan</v>
      </c>
      <c r="P298" s="32"/>
      <c r="Q298" s="32"/>
      <c r="T298" s="32" t="str">
        <v>tengah</v>
      </c>
      <c r="U298" s="32"/>
      <c r="V298" s="32"/>
    </row>
    <row r="299" spans="5:22">
      <c r="E299" s="32" t="str">
        <v>kiri</v>
      </c>
      <c r="F299" s="32"/>
      <c r="G299" s="32"/>
      <c r="J299" s="32" t="str">
        <v>tengah</v>
      </c>
      <c r="K299" s="32"/>
      <c r="L299" s="32"/>
      <c r="O299" s="32" t="str">
        <v>tengah</v>
      </c>
      <c r="P299" s="32"/>
      <c r="Q299" s="32"/>
      <c r="T299" s="32" t="str">
        <v>kanan</v>
      </c>
      <c r="U299" s="32"/>
      <c r="V299" s="32"/>
    </row>
    <row r="300" spans="5:22">
      <c r="E300" s="32" t="str">
        <v>tengah</v>
      </c>
      <c r="F300" s="32"/>
      <c r="G300" s="32"/>
      <c r="J300" s="32" t="str">
        <v>tengah</v>
      </c>
      <c r="K300" s="32"/>
      <c r="L300" s="32"/>
      <c r="O300" s="32" t="str">
        <v>kanan</v>
      </c>
      <c r="P300" s="32"/>
      <c r="Q300" s="32"/>
      <c r="T300" s="32" t="str">
        <v>kanan</v>
      </c>
      <c r="U300" s="32"/>
      <c r="V300" s="32"/>
    </row>
    <row r="301" spans="5:22">
      <c r="E301" s="32" t="str">
        <v>tengah</v>
      </c>
      <c r="F301" s="32"/>
      <c r="G301" s="32"/>
      <c r="J301" s="32" t="str">
        <v>tengah</v>
      </c>
      <c r="K301" s="32"/>
      <c r="L301" s="32"/>
      <c r="O301" s="32" t="str">
        <v>kiri</v>
      </c>
      <c r="P301" s="32"/>
      <c r="Q301" s="32"/>
      <c r="T301" s="32" t="str">
        <v>tengah</v>
      </c>
      <c r="U301" s="32"/>
      <c r="V301" s="32"/>
    </row>
    <row r="302" spans="5:22">
      <c r="E302" s="32" t="str">
        <v>tengah</v>
      </c>
      <c r="F302" s="32"/>
      <c r="G302" s="32"/>
      <c r="J302" s="32" t="str">
        <v>kanan</v>
      </c>
      <c r="K302" s="32"/>
      <c r="L302" s="32"/>
      <c r="O302" s="32" t="str">
        <v>kiri</v>
      </c>
      <c r="P302" s="32"/>
      <c r="Q302" s="32"/>
      <c r="T302" s="32" t="str">
        <v>tengah</v>
      </c>
      <c r="U302" s="32"/>
      <c r="V302" s="32"/>
    </row>
    <row r="303" spans="5:22">
      <c r="E303" s="32" t="str">
        <v>kiri</v>
      </c>
      <c r="F303" s="32"/>
      <c r="G303" s="32"/>
      <c r="J303" s="32" t="str">
        <v>tengah</v>
      </c>
      <c r="K303" s="32"/>
      <c r="L303" s="32"/>
      <c r="O303" s="32" t="str">
        <v>kiri</v>
      </c>
      <c r="P303" s="32"/>
      <c r="Q303" s="32"/>
      <c r="T303" s="32" t="str">
        <v>tengah</v>
      </c>
      <c r="U303" s="32"/>
      <c r="V303" s="32"/>
    </row>
    <row r="304" spans="5:22">
      <c r="E304" s="32" t="str">
        <v>kiri</v>
      </c>
      <c r="F304" s="32"/>
      <c r="G304" s="32"/>
      <c r="J304" s="32" t="str">
        <v>kiri</v>
      </c>
      <c r="K304" s="32"/>
      <c r="L304" s="32"/>
      <c r="O304" s="32" t="str">
        <v>kanan</v>
      </c>
      <c r="P304" s="32"/>
      <c r="Q304" s="32"/>
      <c r="T304" s="32" t="str">
        <v>tengah</v>
      </c>
      <c r="U304" s="32"/>
      <c r="V304" s="32"/>
    </row>
    <row r="305" spans="5:22">
      <c r="E305" s="32" t="str">
        <v>tengah</v>
      </c>
      <c r="F305" s="32"/>
      <c r="G305" s="32"/>
      <c r="J305" s="32" t="str">
        <v>tengah</v>
      </c>
      <c r="K305" s="32"/>
      <c r="L305" s="32"/>
      <c r="O305" s="32" t="str">
        <v>tengah</v>
      </c>
      <c r="P305" s="32"/>
      <c r="Q305" s="32"/>
      <c r="T305" s="32" t="str">
        <v>tengah</v>
      </c>
      <c r="U305" s="32"/>
      <c r="V305" s="32"/>
    </row>
    <row r="306" spans="5:22">
      <c r="E306" s="32" t="str">
        <v>tengah</v>
      </c>
      <c r="F306" s="32"/>
      <c r="G306" s="32"/>
      <c r="J306" s="32" t="str">
        <v>kiri</v>
      </c>
      <c r="K306" s="32"/>
      <c r="L306" s="32"/>
      <c r="O306" s="32" t="str">
        <v>kanan</v>
      </c>
      <c r="P306" s="32"/>
      <c r="Q306" s="32"/>
      <c r="T306" s="32" t="str">
        <v>tengah</v>
      </c>
      <c r="U306" s="32"/>
      <c r="V306" s="32"/>
    </row>
    <row r="307" spans="5:22">
      <c r="E307" s="32" t="str">
        <v>tengah</v>
      </c>
      <c r="F307" s="32"/>
      <c r="G307" s="32"/>
      <c r="J307" s="32" t="str">
        <v>tengah</v>
      </c>
      <c r="K307" s="32"/>
      <c r="L307" s="32"/>
      <c r="O307" s="32" t="str">
        <v>kanan</v>
      </c>
      <c r="P307" s="32"/>
      <c r="Q307" s="32"/>
      <c r="T307" s="32" t="str">
        <v>kanan</v>
      </c>
      <c r="U307" s="32"/>
      <c r="V307" s="32"/>
    </row>
    <row r="308" spans="5:22">
      <c r="E308" s="32" t="str">
        <v>kiri</v>
      </c>
      <c r="F308" s="32"/>
      <c r="G308" s="32"/>
      <c r="J308" s="32" t="str">
        <v>kiri</v>
      </c>
      <c r="K308" s="32"/>
      <c r="L308" s="32"/>
      <c r="O308" s="32" t="str">
        <v>kanan</v>
      </c>
      <c r="P308" s="32"/>
      <c r="Q308" s="32"/>
      <c r="T308" s="32" t="str">
        <v>kanan</v>
      </c>
      <c r="U308" s="32"/>
      <c r="V308" s="32"/>
    </row>
    <row r="309" spans="5:22">
      <c r="E309" s="32" t="str">
        <v>kiri</v>
      </c>
      <c r="F309" s="32"/>
      <c r="G309" s="32"/>
      <c r="J309" s="32" t="str">
        <v>tengah</v>
      </c>
      <c r="K309" s="32"/>
      <c r="L309" s="32"/>
      <c r="O309" s="32" t="str">
        <v>tengah</v>
      </c>
      <c r="P309" s="32"/>
      <c r="Q309" s="32"/>
      <c r="T309" s="32" t="str">
        <v>tengah</v>
      </c>
      <c r="U309" s="32"/>
      <c r="V309" s="32"/>
    </row>
    <row r="310" spans="5:22">
      <c r="E310" s="32" t="str">
        <v>kiri</v>
      </c>
      <c r="F310" s="32"/>
      <c r="G310" s="32"/>
      <c r="J310" s="32" t="str">
        <v>tengah</v>
      </c>
      <c r="K310" s="32"/>
      <c r="L310" s="32"/>
      <c r="O310" s="32" t="str">
        <v>kiri</v>
      </c>
      <c r="P310" s="32"/>
      <c r="Q310" s="32"/>
      <c r="T310" s="32" t="str">
        <v>tengah</v>
      </c>
      <c r="U310" s="32"/>
      <c r="V310" s="32"/>
    </row>
    <row r="311" spans="5:22">
      <c r="E311" s="32" t="str">
        <v>kiri</v>
      </c>
      <c r="F311" s="32"/>
      <c r="G311" s="32"/>
      <c r="J311" s="32" t="str">
        <v>kanan</v>
      </c>
      <c r="K311" s="32"/>
      <c r="L311" s="32"/>
      <c r="O311" s="32" t="str">
        <v>kiri</v>
      </c>
      <c r="P311" s="32"/>
      <c r="Q311" s="32"/>
      <c r="T311" s="32" t="str">
        <v>kanan</v>
      </c>
      <c r="U311" s="32"/>
      <c r="V311" s="32"/>
    </row>
    <row r="312" spans="5:22">
      <c r="E312" s="32" t="str">
        <v>kanan</v>
      </c>
      <c r="F312" s="32"/>
      <c r="G312" s="32"/>
      <c r="J312" s="32" t="str">
        <v>tengah</v>
      </c>
      <c r="K312" s="32"/>
      <c r="L312" s="32"/>
      <c r="O312" s="32" t="str">
        <v>tengah</v>
      </c>
      <c r="P312" s="32"/>
      <c r="Q312" s="32"/>
      <c r="T312" s="32" t="str">
        <v>tengah</v>
      </c>
      <c r="U312" s="32"/>
      <c r="V312" s="32"/>
    </row>
    <row r="313" spans="5:22">
      <c r="E313" s="32" t="str">
        <v>kiri</v>
      </c>
      <c r="F313" s="32"/>
      <c r="G313" s="32"/>
      <c r="J313" s="32" t="str">
        <v>tengah</v>
      </c>
      <c r="K313" s="32"/>
      <c r="L313" s="32"/>
      <c r="O313" s="32" t="str">
        <v>tengah</v>
      </c>
      <c r="P313" s="32"/>
      <c r="Q313" s="32"/>
      <c r="T313" s="32" t="str">
        <v>kanan</v>
      </c>
      <c r="U313" s="32"/>
      <c r="V313" s="32"/>
    </row>
    <row r="314" spans="5:22">
      <c r="E314" s="32" t="str">
        <v>tengah</v>
      </c>
      <c r="F314" s="32"/>
      <c r="G314" s="32"/>
      <c r="J314" s="32" t="str">
        <v>kanan</v>
      </c>
      <c r="K314" s="32"/>
      <c r="L314" s="32"/>
      <c r="O314" s="32" t="str">
        <v>tengah</v>
      </c>
      <c r="P314" s="32"/>
      <c r="Q314" s="32"/>
      <c r="T314" s="32" t="str">
        <v>tengah</v>
      </c>
      <c r="U314" s="32"/>
      <c r="V314" s="32"/>
    </row>
    <row r="315" spans="5:22">
      <c r="E315" s="32" t="str">
        <v>tengah</v>
      </c>
      <c r="F315" s="32"/>
      <c r="G315" s="32"/>
      <c r="J315" s="32" t="str">
        <v>tengah</v>
      </c>
      <c r="K315" s="32"/>
      <c r="L315" s="32"/>
      <c r="O315" s="32" t="str">
        <v>kanan</v>
      </c>
      <c r="P315" s="32"/>
      <c r="Q315" s="32"/>
      <c r="T315" s="32" t="str">
        <v>kanan</v>
      </c>
      <c r="U315" s="32"/>
      <c r="V315" s="32"/>
    </row>
    <row r="316" spans="5:22">
      <c r="E316" s="32" t="str">
        <v>tengah</v>
      </c>
      <c r="F316" s="32"/>
      <c r="G316" s="32"/>
      <c r="J316" s="32" t="str">
        <v>kanan</v>
      </c>
      <c r="K316" s="32"/>
      <c r="L316" s="32"/>
      <c r="O316" s="32" t="str">
        <v>kanan</v>
      </c>
      <c r="P316" s="32"/>
      <c r="Q316" s="32"/>
      <c r="T316" s="32" t="str">
        <v>tengah</v>
      </c>
      <c r="U316" s="32"/>
      <c r="V316" s="32"/>
    </row>
    <row r="317" spans="5:22">
      <c r="E317" s="32" t="str">
        <v>tengah</v>
      </c>
      <c r="F317" s="32"/>
      <c r="G317" s="32"/>
      <c r="J317" s="32" t="str">
        <v>kanan</v>
      </c>
      <c r="K317" s="32"/>
      <c r="L317" s="32"/>
      <c r="O317" s="32" t="str">
        <v>tengah</v>
      </c>
      <c r="P317" s="32"/>
      <c r="Q317" s="32"/>
      <c r="T317" s="32" t="str">
        <v>tengah</v>
      </c>
      <c r="U317" s="32"/>
      <c r="V317" s="32"/>
    </row>
    <row r="318" spans="5:22">
      <c r="E318" s="32" t="str">
        <v>tengah</v>
      </c>
      <c r="F318" s="32"/>
      <c r="G318" s="32"/>
      <c r="J318" s="32" t="str">
        <v>tengah</v>
      </c>
      <c r="K318" s="32"/>
      <c r="L318" s="32"/>
      <c r="O318" s="32" t="str">
        <v>kiri</v>
      </c>
      <c r="P318" s="32"/>
      <c r="Q318" s="32"/>
      <c r="T318" s="32" t="str">
        <v>tengah</v>
      </c>
      <c r="U318" s="32"/>
      <c r="V318" s="32"/>
    </row>
    <row r="319" spans="5:22">
      <c r="E319" s="32" t="str">
        <v>tengah</v>
      </c>
      <c r="F319" s="32"/>
      <c r="G319" s="32"/>
      <c r="J319" s="32" t="str">
        <v>tengah</v>
      </c>
      <c r="K319" s="32"/>
      <c r="L319" s="32"/>
      <c r="O319" s="32" t="str">
        <v>tengah</v>
      </c>
      <c r="P319" s="32"/>
      <c r="Q319" s="32"/>
      <c r="T319" s="32" t="str">
        <v>kanan</v>
      </c>
      <c r="U319" s="32"/>
      <c r="V319" s="32"/>
    </row>
    <row r="320" spans="5:22">
      <c r="E320" s="32" t="str">
        <v>kiri</v>
      </c>
      <c r="F320" s="32"/>
      <c r="G320" s="32"/>
      <c r="J320" s="32" t="str">
        <v>tengah</v>
      </c>
      <c r="K320" s="32"/>
      <c r="L320" s="32"/>
      <c r="O320" s="32" t="str">
        <v>kanan</v>
      </c>
      <c r="P320" s="32"/>
      <c r="Q320" s="32"/>
      <c r="T320" s="32" t="str">
        <v>kanan</v>
      </c>
      <c r="U320" s="32"/>
      <c r="V320" s="32"/>
    </row>
    <row r="321" spans="5:22">
      <c r="E321" s="32" t="str">
        <v>tengah</v>
      </c>
      <c r="F321" s="32"/>
      <c r="G321" s="32"/>
      <c r="J321" s="32" t="str">
        <v>tengah</v>
      </c>
      <c r="K321" s="32"/>
      <c r="L321" s="32"/>
      <c r="O321" s="32" t="str">
        <v>tengah</v>
      </c>
      <c r="P321" s="32"/>
      <c r="Q321" s="32"/>
      <c r="T321" s="32" t="str">
        <v>tengah</v>
      </c>
      <c r="U321" s="32"/>
      <c r="V321" s="32"/>
    </row>
    <row r="322" spans="5:22">
      <c r="E322" s="32" t="str">
        <v>tengah</v>
      </c>
      <c r="F322" s="32"/>
      <c r="G322" s="32"/>
      <c r="J322" s="32" t="str">
        <v>tengah</v>
      </c>
      <c r="K322" s="32"/>
      <c r="L322" s="32"/>
      <c r="O322" s="32" t="str">
        <v>kiri</v>
      </c>
      <c r="P322" s="32"/>
      <c r="Q322" s="32"/>
      <c r="T322" s="32" t="str">
        <v>kanan</v>
      </c>
      <c r="U322" s="32"/>
      <c r="V322" s="32"/>
    </row>
    <row r="323" spans="5:22">
      <c r="E323" s="32" t="str">
        <v>kanan</v>
      </c>
      <c r="F323" s="32"/>
      <c r="G323" s="32"/>
      <c r="J323" s="32" t="str">
        <v>kanan</v>
      </c>
      <c r="K323" s="32"/>
      <c r="L323" s="32"/>
      <c r="O323" s="32" t="str">
        <v>tengah</v>
      </c>
      <c r="P323" s="32"/>
      <c r="Q323" s="32"/>
      <c r="T323" s="32" t="str">
        <v>tengah</v>
      </c>
      <c r="U323" s="32"/>
      <c r="V323" s="32"/>
    </row>
    <row r="324" spans="5:22">
      <c r="E324" s="32" t="str">
        <v>tengah</v>
      </c>
      <c r="F324" s="32"/>
      <c r="G324" s="32"/>
      <c r="J324" s="32" t="str">
        <v>kanan</v>
      </c>
      <c r="K324" s="32"/>
      <c r="L324" s="32"/>
      <c r="O324" s="32" t="str">
        <v>kiri</v>
      </c>
      <c r="P324" s="32"/>
      <c r="Q324" s="32"/>
      <c r="T324" s="32" t="str">
        <v>kanan</v>
      </c>
      <c r="U324" s="32"/>
      <c r="V324" s="32"/>
    </row>
    <row r="325" spans="5:22">
      <c r="E325" s="32" t="str">
        <v>kiri</v>
      </c>
      <c r="F325" s="32"/>
      <c r="G325" s="32"/>
      <c r="J325" s="32" t="str">
        <v>kiri</v>
      </c>
      <c r="K325" s="32"/>
      <c r="L325" s="32"/>
      <c r="O325" s="32" t="str">
        <v>tengah</v>
      </c>
      <c r="P325" s="32"/>
      <c r="Q325" s="32"/>
      <c r="T325" s="32" t="str">
        <v>tengah</v>
      </c>
      <c r="U325" s="32"/>
      <c r="V325" s="32"/>
    </row>
    <row r="326" spans="5:22">
      <c r="E326" s="32" t="str">
        <v>tengah</v>
      </c>
      <c r="F326" s="32"/>
      <c r="G326" s="32"/>
      <c r="J326" s="32" t="str">
        <v>tengah</v>
      </c>
      <c r="K326" s="32"/>
      <c r="L326" s="32"/>
      <c r="O326" s="32" t="str">
        <v>tengah</v>
      </c>
      <c r="P326" s="32"/>
      <c r="Q326" s="32"/>
      <c r="T326" s="32" t="str">
        <v>tengah</v>
      </c>
      <c r="U326" s="32"/>
      <c r="V326" s="32"/>
    </row>
    <row r="327" spans="5:22">
      <c r="E327" s="32" t="str">
        <v>kiri</v>
      </c>
      <c r="F327" s="32"/>
      <c r="G327" s="32"/>
      <c r="J327" s="32" t="str">
        <v>tengah</v>
      </c>
      <c r="K327" s="32"/>
      <c r="L327" s="32"/>
      <c r="O327" s="32" t="str">
        <v>tengah</v>
      </c>
      <c r="P327" s="32"/>
      <c r="Q327" s="32"/>
      <c r="T327" s="32" t="str">
        <v>kanan</v>
      </c>
      <c r="U327" s="32"/>
      <c r="V327" s="32"/>
    </row>
    <row r="328" spans="5:22">
      <c r="E328" s="32" t="str">
        <v>tengah</v>
      </c>
      <c r="F328" s="32"/>
      <c r="G328" s="32"/>
      <c r="J328" s="32" t="str">
        <v>kiri</v>
      </c>
      <c r="K328" s="32"/>
      <c r="L328" s="32"/>
      <c r="O328" s="32" t="str">
        <v>kanan</v>
      </c>
      <c r="P328" s="32"/>
      <c r="Q328" s="32"/>
      <c r="T328" s="32" t="str">
        <v>tengah</v>
      </c>
      <c r="U328" s="32"/>
      <c r="V328" s="32"/>
    </row>
    <row r="329" spans="5:22">
      <c r="E329" s="32" t="str">
        <v>kiri</v>
      </c>
      <c r="F329" s="32"/>
      <c r="G329" s="32"/>
      <c r="J329" s="32" t="str">
        <v>kiri</v>
      </c>
      <c r="K329" s="32"/>
      <c r="L329" s="32"/>
      <c r="O329" s="32" t="str">
        <v>tengah</v>
      </c>
      <c r="P329" s="32"/>
      <c r="Q329" s="32"/>
      <c r="T329" s="32" t="str">
        <v>tengah</v>
      </c>
      <c r="U329" s="32"/>
      <c r="V329" s="32"/>
    </row>
    <row r="330" spans="5:22">
      <c r="E330" s="32" t="str">
        <v>kanan</v>
      </c>
      <c r="F330" s="32"/>
      <c r="G330" s="32"/>
      <c r="J330" s="32" t="str">
        <v>tengah</v>
      </c>
      <c r="K330" s="32"/>
      <c r="L330" s="32"/>
      <c r="O330" s="32" t="str">
        <v>tengah</v>
      </c>
      <c r="P330" s="32"/>
      <c r="Q330" s="32"/>
      <c r="T330" s="32" t="str">
        <v>tengah</v>
      </c>
      <c r="U330" s="32"/>
      <c r="V330" s="32"/>
    </row>
    <row r="331" spans="5:22">
      <c r="E331" s="32" t="str">
        <v>kiri</v>
      </c>
      <c r="F331" s="32"/>
      <c r="G331" s="32"/>
      <c r="J331" s="32" t="str">
        <v>kiri</v>
      </c>
      <c r="K331" s="32"/>
      <c r="L331" s="32"/>
      <c r="O331" s="32" t="str">
        <v>kanan</v>
      </c>
      <c r="P331" s="32"/>
      <c r="Q331" s="32"/>
      <c r="T331" s="32" t="str">
        <v>kanan</v>
      </c>
      <c r="U331" s="32"/>
      <c r="V331" s="32"/>
    </row>
    <row r="332" spans="5:22">
      <c r="E332" s="32" t="str">
        <v>kiri</v>
      </c>
      <c r="F332" s="32"/>
      <c r="G332" s="32"/>
      <c r="J332" s="32" t="str">
        <v>kiri</v>
      </c>
      <c r="K332" s="32"/>
      <c r="L332" s="32"/>
      <c r="O332" s="32" t="str">
        <v>tengah</v>
      </c>
      <c r="P332" s="32"/>
      <c r="Q332" s="32"/>
      <c r="T332" s="32" t="str">
        <v>tengah</v>
      </c>
      <c r="U332" s="32"/>
      <c r="V332" s="32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4951-18C7-4347-9167-074DF480A824}">
  <dimension ref="A1:V332"/>
  <sheetViews>
    <sheetView topLeftCell="P154" zoomScale="98" zoomScaleNormal="98" workbookViewId="0">
      <selection activeCell="O161" sqref="O161"/>
    </sheetView>
  </sheetViews>
  <sheetFormatPr defaultColWidth="9" defaultRowHeight="15"/>
  <cols>
    <col min="2" max="2" width="15.85546875" customWidth="1"/>
    <col min="3" max="3" width="16.7109375" bestFit="1" customWidth="1"/>
    <col min="4" max="4" width="13.85546875" customWidth="1"/>
    <col min="6" max="6" width="14.42578125" bestFit="1" customWidth="1"/>
    <col min="8" max="8" width="14.28515625" customWidth="1"/>
    <col min="9" max="9" width="13.28515625" customWidth="1"/>
    <col min="10" max="10" width="13.85546875" customWidth="1"/>
    <col min="11" max="11" width="22" bestFit="1" customWidth="1"/>
    <col min="13" max="13" width="14.42578125" bestFit="1" customWidth="1"/>
    <col min="15" max="15" width="25.28515625" bestFit="1" customWidth="1"/>
    <col min="16" max="16" width="12.85546875" bestFit="1" customWidth="1"/>
    <col min="17" max="17" width="11.7109375" customWidth="1"/>
    <col min="20" max="20" width="14.42578125" bestFit="1" customWidth="1"/>
  </cols>
  <sheetData>
    <row r="1" spans="1:17">
      <c r="A1" s="30" t="s">
        <v>174</v>
      </c>
      <c r="B1" s="30" t="s">
        <v>1</v>
      </c>
      <c r="C1" s="30" t="s">
        <v>2</v>
      </c>
      <c r="D1" s="30" t="s">
        <v>173</v>
      </c>
      <c r="E1" s="30" t="s">
        <v>4</v>
      </c>
      <c r="F1" s="30" t="s">
        <v>5</v>
      </c>
      <c r="H1" s="61" t="s">
        <v>174</v>
      </c>
      <c r="I1" s="61" t="s">
        <v>1</v>
      </c>
      <c r="J1" s="61" t="s">
        <v>2</v>
      </c>
      <c r="K1" s="61" t="s">
        <v>173</v>
      </c>
      <c r="L1" s="61" t="s">
        <v>4</v>
      </c>
      <c r="M1" s="61" t="s">
        <v>5</v>
      </c>
      <c r="O1" s="30" t="s">
        <v>175</v>
      </c>
      <c r="P1" s="31"/>
      <c r="Q1" s="31"/>
    </row>
    <row r="2" spans="1:17">
      <c r="A2" s="32">
        <f ca="1">RANDBETWEEN(2,164)</f>
        <v>120</v>
      </c>
      <c r="B2" s="32" cm="1">
        <f t="array" aca="1" ref="B2" ca="1">INDEX(Data_DBD!$B:$B,$A2)</f>
        <v>26</v>
      </c>
      <c r="C2" s="32" cm="1">
        <f t="array" aca="1" ref="C2" ca="1">INDEX(Data_DBD!$C:$C,$A2)</f>
        <v>4</v>
      </c>
      <c r="D2" s="32" cm="1">
        <f t="array" aca="1" ref="D2" ca="1">INDEX(Data_DBD!$D:$D,$A2)</f>
        <v>33</v>
      </c>
      <c r="E2" s="32" cm="1">
        <f t="array" aca="1" ref="E2" ca="1">INDEX(Data_DBD!$E:$E,$A2)</f>
        <v>1</v>
      </c>
      <c r="F2" s="32" cm="1">
        <f t="array" aca="1" ref="F2" ca="1">INDEX(Data_DBD!$F:$F,$A2)</f>
        <v>3</v>
      </c>
      <c r="H2" s="32">
        <v>5</v>
      </c>
      <c r="I2" s="32">
        <v>18</v>
      </c>
      <c r="J2" s="32">
        <v>2</v>
      </c>
      <c r="K2" s="32">
        <v>12</v>
      </c>
      <c r="L2" s="32">
        <v>1</v>
      </c>
      <c r="M2" s="32">
        <v>2</v>
      </c>
      <c r="O2" s="54">
        <v>1</v>
      </c>
      <c r="P2" s="31">
        <f>COUNTIF(M2:M164,"1")</f>
        <v>11</v>
      </c>
      <c r="Q2" s="31">
        <f>P2/163</f>
        <v>6.7484662576687116E-2</v>
      </c>
    </row>
    <row r="3" spans="1:17">
      <c r="A3" s="32">
        <f t="shared" ref="A3:A66" ca="1" si="0">RANDBETWEEN(2,164)</f>
        <v>111</v>
      </c>
      <c r="B3" s="32" cm="1">
        <f t="array" aca="1" ref="B3" ca="1">INDEX(Data_DBD!$B:$B,$A3)</f>
        <v>25</v>
      </c>
      <c r="C3" s="32" cm="1">
        <f t="array" aca="1" ref="C3" ca="1">INDEX(Data_DBD!$C:$C,$A3)</f>
        <v>4</v>
      </c>
      <c r="D3" s="32" cm="1">
        <f t="array" aca="1" ref="D3" ca="1">INDEX(Data_DBD!$D:$D,$A3)</f>
        <v>33</v>
      </c>
      <c r="E3" s="32" cm="1">
        <f t="array" aca="1" ref="E3" ca="1">INDEX(Data_DBD!$E:$E,$A3)</f>
        <v>0</v>
      </c>
      <c r="F3" s="32" cm="1">
        <f t="array" aca="1" ref="F3" ca="1">INDEX(Data_DBD!$F:$F,$A3)</f>
        <v>3</v>
      </c>
      <c r="H3" s="32">
        <v>44</v>
      </c>
      <c r="I3" s="32">
        <v>28</v>
      </c>
      <c r="J3" s="32">
        <v>5</v>
      </c>
      <c r="K3" s="32">
        <v>13</v>
      </c>
      <c r="L3" s="32">
        <v>1</v>
      </c>
      <c r="M3" s="32">
        <v>2</v>
      </c>
      <c r="O3" s="31">
        <v>2</v>
      </c>
      <c r="P3" s="31">
        <f>COUNTIF(M2:M164,"2")</f>
        <v>67</v>
      </c>
      <c r="Q3" s="31">
        <f>P3/163</f>
        <v>0.41104294478527609</v>
      </c>
    </row>
    <row r="4" spans="1:17">
      <c r="A4" s="32">
        <f t="shared" ca="1" si="0"/>
        <v>46</v>
      </c>
      <c r="B4" s="32" cm="1">
        <f t="array" aca="1" ref="B4" ca="1">INDEX(Data_DBD!$B:$B,$A4)</f>
        <v>62</v>
      </c>
      <c r="C4" s="32" cm="1">
        <f t="array" aca="1" ref="C4" ca="1">INDEX(Data_DBD!$C:$C,$A4)</f>
        <v>2</v>
      </c>
      <c r="D4" s="32" cm="1">
        <f t="array" aca="1" ref="D4" ca="1">INDEX(Data_DBD!$D:$D,$A4)</f>
        <v>13</v>
      </c>
      <c r="E4" s="32" cm="1">
        <f t="array" aca="1" ref="E4" ca="1">INDEX(Data_DBD!$E:$E,$A4)</f>
        <v>0</v>
      </c>
      <c r="F4" s="32" cm="1">
        <f t="array" aca="1" ref="F4" ca="1">INDEX(Data_DBD!$F:$F,$A4)</f>
        <v>2</v>
      </c>
      <c r="H4" s="32">
        <v>30</v>
      </c>
      <c r="I4" s="32" t="s">
        <v>37</v>
      </c>
      <c r="J4" s="32">
        <v>2</v>
      </c>
      <c r="K4" s="32">
        <v>14</v>
      </c>
      <c r="L4" s="32">
        <v>1</v>
      </c>
      <c r="M4" s="32">
        <v>2</v>
      </c>
      <c r="O4" s="31">
        <v>3</v>
      </c>
      <c r="P4" s="31">
        <f>COUNTIF(M2:M164,"3")</f>
        <v>85</v>
      </c>
      <c r="Q4" s="31">
        <f>P4/163</f>
        <v>0.5214723926380368</v>
      </c>
    </row>
    <row r="5" spans="1:17">
      <c r="A5" s="32">
        <f t="shared" ca="1" si="0"/>
        <v>126</v>
      </c>
      <c r="B5" s="32" cm="1">
        <f t="array" aca="1" ref="B5" ca="1">INDEX(Data_DBD!$B:$B,$A5)</f>
        <v>51</v>
      </c>
      <c r="C5" s="32" cm="1">
        <f t="array" aca="1" ref="C5" ca="1">INDEX(Data_DBD!$C:$C,$A5)</f>
        <v>3</v>
      </c>
      <c r="D5" s="32" cm="1">
        <f t="array" aca="1" ref="D5" ca="1">INDEX(Data_DBD!$D:$D,$A5)</f>
        <v>33</v>
      </c>
      <c r="E5" s="32" cm="1">
        <f t="array" aca="1" ref="E5" ca="1">INDEX(Data_DBD!$E:$E,$A5)</f>
        <v>1</v>
      </c>
      <c r="F5" s="32" cm="1">
        <f t="array" aca="1" ref="F5" ca="1">INDEX(Data_DBD!$F:$F,$A5)</f>
        <v>3</v>
      </c>
      <c r="H5" s="32">
        <v>9</v>
      </c>
      <c r="I5" s="32">
        <v>16</v>
      </c>
      <c r="J5" s="32">
        <v>6</v>
      </c>
      <c r="K5" s="32">
        <v>12</v>
      </c>
      <c r="L5" s="32">
        <v>1</v>
      </c>
      <c r="M5" s="32">
        <v>2</v>
      </c>
      <c r="O5" s="34" t="s">
        <v>176</v>
      </c>
      <c r="P5">
        <f>-(IFERROR(Q2*LOG(Q2,2),0)+IFERROR(Q3*LOG(Q3,2),0)+IFERROR(Q4*LOG(Q4,2),0))</f>
        <v>1.2795259877440488</v>
      </c>
    </row>
    <row r="6" spans="1:17">
      <c r="A6" s="32">
        <f t="shared" ca="1" si="0"/>
        <v>82</v>
      </c>
      <c r="B6" s="32" cm="1">
        <f t="array" aca="1" ref="B6" ca="1">INDEX(Data_DBD!$B:$B,$A6)</f>
        <v>28</v>
      </c>
      <c r="C6" s="32" cm="1">
        <f t="array" aca="1" ref="C6" ca="1">INDEX(Data_DBD!$C:$C,$A6)</f>
        <v>3</v>
      </c>
      <c r="D6" s="32" cm="1">
        <f t="array" aca="1" ref="D6" ca="1">INDEX(Data_DBD!$D:$D,$A6)</f>
        <v>13</v>
      </c>
      <c r="E6" s="32" cm="1">
        <f t="array" aca="1" ref="E6" ca="1">INDEX(Data_DBD!$E:$E,$A6)</f>
        <v>1</v>
      </c>
      <c r="F6" s="32" cm="1">
        <f t="array" aca="1" ref="F6" ca="1">INDEX(Data_DBD!$F:$F,$A6)</f>
        <v>2</v>
      </c>
      <c r="H6" s="32">
        <v>53</v>
      </c>
      <c r="I6" s="32">
        <v>35</v>
      </c>
      <c r="J6" s="32">
        <v>4</v>
      </c>
      <c r="K6" s="32">
        <v>15</v>
      </c>
      <c r="L6" s="32">
        <v>1</v>
      </c>
      <c r="M6" s="32">
        <v>2</v>
      </c>
    </row>
    <row r="7" spans="1:17">
      <c r="A7" s="32">
        <f t="shared" ca="1" si="0"/>
        <v>100</v>
      </c>
      <c r="B7" s="32" cm="1">
        <f t="array" aca="1" ref="B7" ca="1">INDEX(Data_DBD!$B:$B,$A7)</f>
        <v>19</v>
      </c>
      <c r="C7" s="32" cm="1">
        <f t="array" aca="1" ref="C7" ca="1">INDEX(Data_DBD!$C:$C,$A7)</f>
        <v>6</v>
      </c>
      <c r="D7" s="32" cm="1">
        <f t="array" aca="1" ref="D7" ca="1">INDEX(Data_DBD!$D:$D,$A7)</f>
        <v>18</v>
      </c>
      <c r="E7" s="32" cm="1">
        <f t="array" aca="1" ref="E7" ca="1">INDEX(Data_DBD!$E:$E,$A7)</f>
        <v>0</v>
      </c>
      <c r="F7" s="32" cm="1">
        <f t="array" aca="1" ref="F7" ca="1">INDEX(Data_DBD!$F:$F,$A7)</f>
        <v>3</v>
      </c>
      <c r="H7" s="32">
        <v>58</v>
      </c>
      <c r="I7" s="32">
        <v>17</v>
      </c>
      <c r="J7" s="32">
        <v>3</v>
      </c>
      <c r="K7" s="32">
        <v>15</v>
      </c>
      <c r="L7" s="32">
        <v>0</v>
      </c>
      <c r="M7" s="32">
        <v>2</v>
      </c>
    </row>
    <row r="8" spans="1:17">
      <c r="A8" s="32">
        <f t="shared" ca="1" si="0"/>
        <v>64</v>
      </c>
      <c r="B8" s="32" cm="1">
        <f t="array" aca="1" ref="B8" ca="1">INDEX(Data_DBD!$B:$B,$A8)</f>
        <v>35</v>
      </c>
      <c r="C8" s="32" cm="1">
        <f t="array" aca="1" ref="C8" ca="1">INDEX(Data_DBD!$C:$C,$A8)</f>
        <v>1</v>
      </c>
      <c r="D8" s="32" cm="1">
        <f t="array" aca="1" ref="D8" ca="1">INDEX(Data_DBD!$D:$D,$A8)</f>
        <v>15</v>
      </c>
      <c r="E8" s="32" cm="1">
        <f t="array" aca="1" ref="E8" ca="1">INDEX(Data_DBD!$E:$E,$A8)</f>
        <v>0</v>
      </c>
      <c r="F8" s="32" cm="1">
        <f t="array" aca="1" ref="F8" ca="1">INDEX(Data_DBD!$F:$F,$A8)</f>
        <v>2</v>
      </c>
      <c r="H8" s="32">
        <v>118</v>
      </c>
      <c r="I8" s="32">
        <v>67</v>
      </c>
      <c r="J8" s="32">
        <v>4</v>
      </c>
      <c r="K8" s="32">
        <v>33</v>
      </c>
      <c r="L8" s="32">
        <v>1</v>
      </c>
      <c r="M8" s="32">
        <v>3</v>
      </c>
    </row>
    <row r="9" spans="1:17">
      <c r="A9" s="32">
        <f t="shared" ca="1" si="0"/>
        <v>20</v>
      </c>
      <c r="B9" s="32" cm="1">
        <f t="array" aca="1" ref="B9" ca="1">INDEX(Data_DBD!$B:$B,$A9)</f>
        <v>15</v>
      </c>
      <c r="C9" s="32" cm="1">
        <f t="array" aca="1" ref="C9" ca="1">INDEX(Data_DBD!$C:$C,$A9)</f>
        <v>5</v>
      </c>
      <c r="D9" s="32" cm="1">
        <f t="array" aca="1" ref="D9" ca="1">INDEX(Data_DBD!$D:$D,$A9)</f>
        <v>7</v>
      </c>
      <c r="E9" s="32" cm="1">
        <f t="array" aca="1" ref="E9" ca="1">INDEX(Data_DBD!$E:$E,$A9)</f>
        <v>0</v>
      </c>
      <c r="F9" s="32" cm="1">
        <f t="array" aca="1" ref="F9" ca="1">INDEX(Data_DBD!$F:$F,$A9)</f>
        <v>1</v>
      </c>
      <c r="H9" s="32">
        <v>20</v>
      </c>
      <c r="I9" s="32">
        <v>15</v>
      </c>
      <c r="J9" s="32">
        <v>5</v>
      </c>
      <c r="K9" s="32">
        <v>7</v>
      </c>
      <c r="L9" s="32">
        <v>0</v>
      </c>
      <c r="M9" s="32">
        <v>1</v>
      </c>
    </row>
    <row r="10" spans="1:17">
      <c r="A10" s="32">
        <f t="shared" ca="1" si="0"/>
        <v>55</v>
      </c>
      <c r="B10" s="32" cm="1">
        <f t="array" aca="1" ref="B10" ca="1">INDEX(Data_DBD!$B:$B,$A10)</f>
        <v>7</v>
      </c>
      <c r="C10" s="32" cm="1">
        <f t="array" aca="1" ref="C10" ca="1">INDEX(Data_DBD!$C:$C,$A10)</f>
        <v>4</v>
      </c>
      <c r="D10" s="32" cm="1">
        <f t="array" aca="1" ref="D10" ca="1">INDEX(Data_DBD!$D:$D,$A10)</f>
        <v>15</v>
      </c>
      <c r="E10" s="32" cm="1">
        <f t="array" aca="1" ref="E10" ca="1">INDEX(Data_DBD!$E:$E,$A10)</f>
        <v>1</v>
      </c>
      <c r="F10" s="32" cm="1">
        <f t="array" aca="1" ref="F10" ca="1">INDEX(Data_DBD!$F:$F,$A10)</f>
        <v>2</v>
      </c>
      <c r="H10" s="32">
        <v>164</v>
      </c>
      <c r="I10" s="32">
        <v>10</v>
      </c>
      <c r="J10" s="32">
        <v>6</v>
      </c>
      <c r="K10" s="32">
        <v>3</v>
      </c>
      <c r="L10" s="32">
        <v>0</v>
      </c>
      <c r="M10" s="32">
        <v>1</v>
      </c>
    </row>
    <row r="11" spans="1:17">
      <c r="A11" s="32">
        <f t="shared" ca="1" si="0"/>
        <v>82</v>
      </c>
      <c r="B11" s="32" cm="1">
        <f t="array" aca="1" ref="B11" ca="1">INDEX(Data_DBD!$B:$B,$A11)</f>
        <v>28</v>
      </c>
      <c r="C11" s="32" cm="1">
        <f t="array" aca="1" ref="C11" ca="1">INDEX(Data_DBD!$C:$C,$A11)</f>
        <v>3</v>
      </c>
      <c r="D11" s="32" cm="1">
        <f t="array" aca="1" ref="D11" ca="1">INDEX(Data_DBD!$D:$D,$A11)</f>
        <v>13</v>
      </c>
      <c r="E11" s="32" cm="1">
        <f t="array" aca="1" ref="E11" ca="1">INDEX(Data_DBD!$E:$E,$A11)</f>
        <v>1</v>
      </c>
      <c r="F11" s="32" cm="1">
        <f t="array" aca="1" ref="F11" ca="1">INDEX(Data_DBD!$F:$F,$A11)</f>
        <v>2</v>
      </c>
      <c r="H11" s="32">
        <v>36</v>
      </c>
      <c r="I11" s="32">
        <v>27</v>
      </c>
      <c r="J11" s="32">
        <v>1</v>
      </c>
      <c r="K11" s="32">
        <v>4</v>
      </c>
      <c r="L11" s="32">
        <v>1</v>
      </c>
      <c r="M11" s="32">
        <v>1</v>
      </c>
    </row>
    <row r="12" spans="1:17">
      <c r="A12" s="32">
        <f t="shared" ca="1" si="0"/>
        <v>51</v>
      </c>
      <c r="B12" s="32" cm="1">
        <f t="array" aca="1" ref="B12" ca="1">INDEX(Data_DBD!$B:$B,$A12)</f>
        <v>48</v>
      </c>
      <c r="C12" s="32" cm="1">
        <f t="array" aca="1" ref="C12" ca="1">INDEX(Data_DBD!$C:$C,$A12)</f>
        <v>4</v>
      </c>
      <c r="D12" s="32" cm="1">
        <f t="array" aca="1" ref="D12" ca="1">INDEX(Data_DBD!$D:$D,$A12)</f>
        <v>13</v>
      </c>
      <c r="E12" s="32" cm="1">
        <f t="array" aca="1" ref="E12" ca="1">INDEX(Data_DBD!$E:$E,$A12)</f>
        <v>0</v>
      </c>
      <c r="F12" s="32" cm="1">
        <f t="array" aca="1" ref="F12" ca="1">INDEX(Data_DBD!$F:$F,$A12)</f>
        <v>2</v>
      </c>
      <c r="H12" s="32">
        <v>75</v>
      </c>
      <c r="I12" s="32">
        <v>2</v>
      </c>
      <c r="J12" s="32">
        <v>2</v>
      </c>
      <c r="K12" s="32">
        <v>10</v>
      </c>
      <c r="L12" s="32">
        <v>1</v>
      </c>
      <c r="M12" s="32">
        <v>2</v>
      </c>
    </row>
    <row r="13" spans="1:17">
      <c r="A13" s="32">
        <f t="shared" ca="1" si="0"/>
        <v>51</v>
      </c>
      <c r="B13" s="32" cm="1">
        <f t="array" aca="1" ref="B13" ca="1">INDEX(Data_DBD!$B:$B,$A13)</f>
        <v>48</v>
      </c>
      <c r="C13" s="32" cm="1">
        <f t="array" aca="1" ref="C13" ca="1">INDEX(Data_DBD!$C:$C,$A13)</f>
        <v>4</v>
      </c>
      <c r="D13" s="32" cm="1">
        <f t="array" aca="1" ref="D13" ca="1">INDEX(Data_DBD!$D:$D,$A13)</f>
        <v>13</v>
      </c>
      <c r="E13" s="32" cm="1">
        <f t="array" aca="1" ref="E13" ca="1">INDEX(Data_DBD!$E:$E,$A13)</f>
        <v>0</v>
      </c>
      <c r="F13" s="32" cm="1">
        <f t="array" aca="1" ref="F13" ca="1">INDEX(Data_DBD!$F:$F,$A13)</f>
        <v>2</v>
      </c>
      <c r="H13" s="32">
        <v>151</v>
      </c>
      <c r="I13" s="32">
        <v>24</v>
      </c>
      <c r="J13" s="32">
        <v>3</v>
      </c>
      <c r="K13" s="32">
        <v>21</v>
      </c>
      <c r="L13" s="32">
        <v>0</v>
      </c>
      <c r="M13" s="32">
        <v>3</v>
      </c>
    </row>
    <row r="14" spans="1:17">
      <c r="A14" s="32">
        <f t="shared" ca="1" si="0"/>
        <v>35</v>
      </c>
      <c r="B14" s="32" cm="1">
        <f t="array" aca="1" ref="B14" ca="1">INDEX(Data_DBD!$B:$B,$A14)</f>
        <v>40</v>
      </c>
      <c r="C14" s="32" cm="1">
        <f t="array" aca="1" ref="C14" ca="1">INDEX(Data_DBD!$C:$C,$A14)</f>
        <v>3</v>
      </c>
      <c r="D14" s="32" cm="1">
        <f t="array" aca="1" ref="D14" ca="1">INDEX(Data_DBD!$D:$D,$A14)</f>
        <v>4</v>
      </c>
      <c r="E14" s="32" cm="1">
        <f t="array" aca="1" ref="E14" ca="1">INDEX(Data_DBD!$E:$E,$A14)</f>
        <v>1</v>
      </c>
      <c r="F14" s="32" cm="1">
        <f t="array" aca="1" ref="F14" ca="1">INDEX(Data_DBD!$F:$F,$A14)</f>
        <v>1</v>
      </c>
      <c r="H14" s="32">
        <v>64</v>
      </c>
      <c r="I14" s="32">
        <v>35</v>
      </c>
      <c r="J14" s="32">
        <v>1</v>
      </c>
      <c r="K14" s="32">
        <v>15</v>
      </c>
      <c r="L14" s="32">
        <v>0</v>
      </c>
      <c r="M14" s="32">
        <v>2</v>
      </c>
    </row>
    <row r="15" spans="1:17">
      <c r="A15" s="32">
        <f t="shared" ca="1" si="0"/>
        <v>70</v>
      </c>
      <c r="B15" s="32" cm="1">
        <f t="array" aca="1" ref="B15" ca="1">INDEX(Data_DBD!$B:$B,$A15)</f>
        <v>26</v>
      </c>
      <c r="C15" s="32" cm="1">
        <f t="array" aca="1" ref="C15" ca="1">INDEX(Data_DBD!$C:$C,$A15)</f>
        <v>3</v>
      </c>
      <c r="D15" s="32" cm="1">
        <f t="array" aca="1" ref="D15" ca="1">INDEX(Data_DBD!$D:$D,$A15)</f>
        <v>10</v>
      </c>
      <c r="E15" s="32" cm="1">
        <f t="array" aca="1" ref="E15" ca="1">INDEX(Data_DBD!$E:$E,$A15)</f>
        <v>1</v>
      </c>
      <c r="F15" s="32" cm="1">
        <f t="array" aca="1" ref="F15" ca="1">INDEX(Data_DBD!$F:$F,$A15)</f>
        <v>2</v>
      </c>
      <c r="H15" s="32">
        <v>141</v>
      </c>
      <c r="I15" s="32">
        <v>36</v>
      </c>
      <c r="J15" s="32">
        <v>2</v>
      </c>
      <c r="K15" s="32">
        <v>21</v>
      </c>
      <c r="L15" s="32">
        <v>0</v>
      </c>
      <c r="M15" s="32">
        <v>3</v>
      </c>
    </row>
    <row r="16" spans="1:17">
      <c r="A16" s="32">
        <f t="shared" ca="1" si="0"/>
        <v>21</v>
      </c>
      <c r="B16" s="32" cm="1">
        <f t="array" aca="1" ref="B16" ca="1">INDEX(Data_DBD!$B:$B,$A16)</f>
        <v>10</v>
      </c>
      <c r="C16" s="32" cm="1">
        <f t="array" aca="1" ref="C16" ca="1">INDEX(Data_DBD!$C:$C,$A16)</f>
        <v>5</v>
      </c>
      <c r="D16" s="32" cm="1">
        <f t="array" aca="1" ref="D16" ca="1">INDEX(Data_DBD!$D:$D,$A16)</f>
        <v>14</v>
      </c>
      <c r="E16" s="32" cm="1">
        <f t="array" aca="1" ref="E16" ca="1">INDEX(Data_DBD!$E:$E,$A16)</f>
        <v>1</v>
      </c>
      <c r="F16" s="32" cm="1">
        <f t="array" aca="1" ref="F16" ca="1">INDEX(Data_DBD!$F:$F,$A16)</f>
        <v>2</v>
      </c>
      <c r="H16" s="32">
        <v>136</v>
      </c>
      <c r="I16" s="32">
        <v>6</v>
      </c>
      <c r="J16" s="32">
        <v>2</v>
      </c>
      <c r="K16" s="32">
        <v>33</v>
      </c>
      <c r="L16" s="32">
        <v>0</v>
      </c>
      <c r="M16" s="32">
        <v>3</v>
      </c>
    </row>
    <row r="17" spans="1:13">
      <c r="A17" s="32">
        <f t="shared" ca="1" si="0"/>
        <v>98</v>
      </c>
      <c r="B17" s="32" cm="1">
        <f t="array" aca="1" ref="B17" ca="1">INDEX(Data_DBD!$B:$B,$A17)</f>
        <v>16</v>
      </c>
      <c r="C17" s="32" cm="1">
        <f t="array" aca="1" ref="C17" ca="1">INDEX(Data_DBD!$C:$C,$A17)</f>
        <v>2</v>
      </c>
      <c r="D17" s="32" cm="1">
        <f t="array" aca="1" ref="D17" ca="1">INDEX(Data_DBD!$D:$D,$A17)</f>
        <v>18</v>
      </c>
      <c r="E17" s="32" cm="1">
        <f t="array" aca="1" ref="E17" ca="1">INDEX(Data_DBD!$E:$E,$A17)</f>
        <v>1</v>
      </c>
      <c r="F17" s="32" cm="1">
        <f t="array" aca="1" ref="F17" ca="1">INDEX(Data_DBD!$F:$F,$A17)</f>
        <v>3</v>
      </c>
      <c r="H17" s="32">
        <v>5</v>
      </c>
      <c r="I17" s="32">
        <v>18</v>
      </c>
      <c r="J17" s="32">
        <v>2</v>
      </c>
      <c r="K17" s="32">
        <v>12</v>
      </c>
      <c r="L17" s="32">
        <v>1</v>
      </c>
      <c r="M17" s="32">
        <v>2</v>
      </c>
    </row>
    <row r="18" spans="1:13">
      <c r="A18" s="32">
        <f t="shared" ca="1" si="0"/>
        <v>100</v>
      </c>
      <c r="B18" s="32" cm="1">
        <f t="array" aca="1" ref="B18" ca="1">INDEX(Data_DBD!$B:$B,$A18)</f>
        <v>19</v>
      </c>
      <c r="C18" s="32" cm="1">
        <f t="array" aca="1" ref="C18" ca="1">INDEX(Data_DBD!$C:$C,$A18)</f>
        <v>6</v>
      </c>
      <c r="D18" s="32" cm="1">
        <f t="array" aca="1" ref="D18" ca="1">INDEX(Data_DBD!$D:$D,$A18)</f>
        <v>18</v>
      </c>
      <c r="E18" s="32" cm="1">
        <f t="array" aca="1" ref="E18" ca="1">INDEX(Data_DBD!$E:$E,$A18)</f>
        <v>0</v>
      </c>
      <c r="F18" s="32" cm="1">
        <f t="array" aca="1" ref="F18" ca="1">INDEX(Data_DBD!$F:$F,$A18)</f>
        <v>3</v>
      </c>
      <c r="H18" s="32">
        <v>44</v>
      </c>
      <c r="I18" s="32">
        <v>28</v>
      </c>
      <c r="J18" s="32">
        <v>5</v>
      </c>
      <c r="K18" s="32">
        <v>13</v>
      </c>
      <c r="L18" s="32">
        <v>1</v>
      </c>
      <c r="M18" s="32">
        <v>2</v>
      </c>
    </row>
    <row r="19" spans="1:13">
      <c r="A19" s="32">
        <f t="shared" ca="1" si="0"/>
        <v>15</v>
      </c>
      <c r="B19" s="32" cm="1">
        <f t="array" aca="1" ref="B19" ca="1">INDEX(Data_DBD!$B:$B,$A19)</f>
        <v>21</v>
      </c>
      <c r="C19" s="32" cm="1">
        <f t="array" aca="1" ref="C19" ca="1">INDEX(Data_DBD!$C:$C,$A19)</f>
        <v>2</v>
      </c>
      <c r="D19" s="32" cm="1">
        <f t="array" aca="1" ref="D19" ca="1">INDEX(Data_DBD!$D:$D,$A19)</f>
        <v>7</v>
      </c>
      <c r="E19" s="32" cm="1">
        <f t="array" aca="1" ref="E19" ca="1">INDEX(Data_DBD!$E:$E,$A19)</f>
        <v>0</v>
      </c>
      <c r="F19" s="32" cm="1">
        <f t="array" aca="1" ref="F19" ca="1">INDEX(Data_DBD!$F:$F,$A19)</f>
        <v>1</v>
      </c>
      <c r="H19" s="32">
        <v>96</v>
      </c>
      <c r="I19" s="32">
        <v>56</v>
      </c>
      <c r="J19" s="32">
        <v>4</v>
      </c>
      <c r="K19" s="32">
        <v>18</v>
      </c>
      <c r="L19" s="32">
        <v>0</v>
      </c>
      <c r="M19" s="32">
        <v>3</v>
      </c>
    </row>
    <row r="20" spans="1:13">
      <c r="A20" s="32">
        <f t="shared" ca="1" si="0"/>
        <v>159</v>
      </c>
      <c r="B20" s="32" cm="1">
        <f t="array" aca="1" ref="B20" ca="1">INDEX(Data_DBD!$B:$B,$A20)</f>
        <v>17</v>
      </c>
      <c r="C20" s="32" cm="1">
        <f t="array" aca="1" ref="C20" ca="1">INDEX(Data_DBD!$C:$C,$A20)</f>
        <v>2</v>
      </c>
      <c r="D20" s="32" cm="1">
        <f t="array" aca="1" ref="D20" ca="1">INDEX(Data_DBD!$D:$D,$A20)</f>
        <v>21</v>
      </c>
      <c r="E20" s="32" cm="1">
        <f t="array" aca="1" ref="E20" ca="1">INDEX(Data_DBD!$E:$E,$A20)</f>
        <v>0</v>
      </c>
      <c r="F20" s="32" cm="1">
        <f t="array" aca="1" ref="F20" ca="1">INDEX(Data_DBD!$F:$F,$A20)</f>
        <v>3</v>
      </c>
      <c r="H20" s="32">
        <v>97</v>
      </c>
      <c r="I20" s="32">
        <v>16</v>
      </c>
      <c r="J20" s="32">
        <v>2</v>
      </c>
      <c r="K20" s="32">
        <v>18</v>
      </c>
      <c r="L20" s="32">
        <v>1</v>
      </c>
      <c r="M20" s="32">
        <v>3</v>
      </c>
    </row>
    <row r="21" spans="1:13">
      <c r="A21" s="32">
        <f t="shared" ca="1" si="0"/>
        <v>63</v>
      </c>
      <c r="B21" s="32" cm="1">
        <f t="array" aca="1" ref="B21" ca="1">INDEX(Data_DBD!$B:$B,$A21)</f>
        <v>25</v>
      </c>
      <c r="C21" s="32" cm="1">
        <f t="array" aca="1" ref="C21" ca="1">INDEX(Data_DBD!$C:$C,$A21)</f>
        <v>3</v>
      </c>
      <c r="D21" s="32" cm="1">
        <f t="array" aca="1" ref="D21" ca="1">INDEX(Data_DBD!$D:$D,$A21)</f>
        <v>15</v>
      </c>
      <c r="E21" s="32" cm="1">
        <f t="array" aca="1" ref="E21" ca="1">INDEX(Data_DBD!$E:$E,$A21)</f>
        <v>0</v>
      </c>
      <c r="F21" s="32" cm="1">
        <f t="array" aca="1" ref="F21" ca="1">INDEX(Data_DBD!$F:$F,$A21)</f>
        <v>2</v>
      </c>
      <c r="H21" s="32">
        <v>134</v>
      </c>
      <c r="I21" s="32">
        <v>4</v>
      </c>
      <c r="J21" s="32">
        <v>2</v>
      </c>
      <c r="K21" s="32">
        <v>33</v>
      </c>
      <c r="L21" s="32">
        <v>1</v>
      </c>
      <c r="M21" s="32">
        <v>3</v>
      </c>
    </row>
    <row r="22" spans="1:13">
      <c r="A22" s="32">
        <f t="shared" ca="1" si="0"/>
        <v>133</v>
      </c>
      <c r="B22" s="32" cm="1">
        <f t="array" aca="1" ref="B22" ca="1">INDEX(Data_DBD!$B:$B,$A22)</f>
        <v>6</v>
      </c>
      <c r="C22" s="32" cm="1">
        <f t="array" aca="1" ref="C22" ca="1">INDEX(Data_DBD!$C:$C,$A22)</f>
        <v>4</v>
      </c>
      <c r="D22" s="32" cm="1">
        <f t="array" aca="1" ref="D22" ca="1">INDEX(Data_DBD!$D:$D,$A22)</f>
        <v>33</v>
      </c>
      <c r="E22" s="32" cm="1">
        <f t="array" aca="1" ref="E22" ca="1">INDEX(Data_DBD!$E:$E,$A22)</f>
        <v>0</v>
      </c>
      <c r="F22" s="32" cm="1">
        <f t="array" aca="1" ref="F22" ca="1">INDEX(Data_DBD!$F:$F,$A22)</f>
        <v>3</v>
      </c>
      <c r="H22" s="32">
        <v>54</v>
      </c>
      <c r="I22" s="32">
        <v>7</v>
      </c>
      <c r="J22" s="32">
        <v>3</v>
      </c>
      <c r="K22" s="32">
        <v>15</v>
      </c>
      <c r="L22" s="32">
        <v>0</v>
      </c>
      <c r="M22" s="32">
        <v>2</v>
      </c>
    </row>
    <row r="23" spans="1:13">
      <c r="A23" s="32">
        <f t="shared" ca="1" si="0"/>
        <v>3</v>
      </c>
      <c r="B23" s="32" cm="1">
        <f t="array" aca="1" ref="B23" ca="1">INDEX(Data_DBD!$B:$B,$A23)</f>
        <v>43</v>
      </c>
      <c r="C23" s="32" cm="1">
        <f t="array" aca="1" ref="C23" ca="1">INDEX(Data_DBD!$C:$C,$A23)</f>
        <v>3</v>
      </c>
      <c r="D23" s="32" cm="1">
        <f t="array" aca="1" ref="D23" ca="1">INDEX(Data_DBD!$D:$D,$A23)</f>
        <v>12</v>
      </c>
      <c r="E23" s="32" cm="1">
        <f t="array" aca="1" ref="E23" ca="1">INDEX(Data_DBD!$E:$E,$A23)</f>
        <v>1</v>
      </c>
      <c r="F23" s="32" cm="1">
        <f t="array" aca="1" ref="F23" ca="1">INDEX(Data_DBD!$F:$F,$A23)</f>
        <v>2</v>
      </c>
      <c r="H23" s="32">
        <v>34</v>
      </c>
      <c r="I23" s="32">
        <v>55</v>
      </c>
      <c r="J23" s="32">
        <v>3</v>
      </c>
      <c r="K23" s="32">
        <v>14</v>
      </c>
      <c r="L23" s="32">
        <v>0</v>
      </c>
      <c r="M23" s="32">
        <v>2</v>
      </c>
    </row>
    <row r="24" spans="1:13">
      <c r="A24" s="32">
        <f t="shared" ca="1" si="0"/>
        <v>51</v>
      </c>
      <c r="B24" s="32" cm="1">
        <f t="array" aca="1" ref="B24" ca="1">INDEX(Data_DBD!$B:$B,$A24)</f>
        <v>48</v>
      </c>
      <c r="C24" s="32" cm="1">
        <f t="array" aca="1" ref="C24" ca="1">INDEX(Data_DBD!$C:$C,$A24)</f>
        <v>4</v>
      </c>
      <c r="D24" s="32" cm="1">
        <f t="array" aca="1" ref="D24" ca="1">INDEX(Data_DBD!$D:$D,$A24)</f>
        <v>13</v>
      </c>
      <c r="E24" s="32" cm="1">
        <f t="array" aca="1" ref="E24" ca="1">INDEX(Data_DBD!$E:$E,$A24)</f>
        <v>0</v>
      </c>
      <c r="F24" s="32" cm="1">
        <f t="array" aca="1" ref="F24" ca="1">INDEX(Data_DBD!$F:$F,$A24)</f>
        <v>2</v>
      </c>
      <c r="H24" s="32">
        <v>148</v>
      </c>
      <c r="I24" s="32">
        <v>55</v>
      </c>
      <c r="J24" s="32">
        <v>3</v>
      </c>
      <c r="K24" s="32">
        <v>21</v>
      </c>
      <c r="L24" s="32">
        <v>1</v>
      </c>
      <c r="M24" s="32">
        <v>3</v>
      </c>
    </row>
    <row r="25" spans="1:13">
      <c r="A25" s="32">
        <f t="shared" ca="1" si="0"/>
        <v>55</v>
      </c>
      <c r="B25" s="32" cm="1">
        <f t="array" aca="1" ref="B25" ca="1">INDEX(Data_DBD!$B:$B,$A25)</f>
        <v>7</v>
      </c>
      <c r="C25" s="32" cm="1">
        <f t="array" aca="1" ref="C25" ca="1">INDEX(Data_DBD!$C:$C,$A25)</f>
        <v>4</v>
      </c>
      <c r="D25" s="32" cm="1">
        <f t="array" aca="1" ref="D25" ca="1">INDEX(Data_DBD!$D:$D,$A25)</f>
        <v>15</v>
      </c>
      <c r="E25" s="32" cm="1">
        <f t="array" aca="1" ref="E25" ca="1">INDEX(Data_DBD!$E:$E,$A25)</f>
        <v>1</v>
      </c>
      <c r="F25" s="32" cm="1">
        <f t="array" aca="1" ref="F25" ca="1">INDEX(Data_DBD!$F:$F,$A25)</f>
        <v>2</v>
      </c>
      <c r="H25" s="32">
        <v>133</v>
      </c>
      <c r="I25" s="32">
        <v>6</v>
      </c>
      <c r="J25" s="32">
        <v>4</v>
      </c>
      <c r="K25" s="32">
        <v>33</v>
      </c>
      <c r="L25" s="32">
        <v>0</v>
      </c>
      <c r="M25" s="32">
        <v>3</v>
      </c>
    </row>
    <row r="26" spans="1:13">
      <c r="A26" s="32">
        <f t="shared" ca="1" si="0"/>
        <v>44</v>
      </c>
      <c r="B26" s="32" cm="1">
        <f t="array" aca="1" ref="B26" ca="1">INDEX(Data_DBD!$B:$B,$A26)</f>
        <v>28</v>
      </c>
      <c r="C26" s="32" cm="1">
        <f t="array" aca="1" ref="C26" ca="1">INDEX(Data_DBD!$C:$C,$A26)</f>
        <v>5</v>
      </c>
      <c r="D26" s="32" cm="1">
        <f t="array" aca="1" ref="D26" ca="1">INDEX(Data_DBD!$D:$D,$A26)</f>
        <v>13</v>
      </c>
      <c r="E26" s="32" cm="1">
        <f t="array" aca="1" ref="E26" ca="1">INDEX(Data_DBD!$E:$E,$A26)</f>
        <v>1</v>
      </c>
      <c r="F26" s="32" cm="1">
        <f t="array" aca="1" ref="F26" ca="1">INDEX(Data_DBD!$F:$F,$A26)</f>
        <v>2</v>
      </c>
      <c r="H26" s="32">
        <v>118</v>
      </c>
      <c r="I26" s="32">
        <v>67</v>
      </c>
      <c r="J26" s="32">
        <v>4</v>
      </c>
      <c r="K26" s="32">
        <v>33</v>
      </c>
      <c r="L26" s="32">
        <v>1</v>
      </c>
      <c r="M26" s="32">
        <v>3</v>
      </c>
    </row>
    <row r="27" spans="1:13">
      <c r="A27" s="32">
        <f t="shared" ca="1" si="0"/>
        <v>163</v>
      </c>
      <c r="B27" s="32" cm="1">
        <f t="array" aca="1" ref="B27" ca="1">INDEX(Data_DBD!$B:$B,$A27)</f>
        <v>34</v>
      </c>
      <c r="C27" s="32" cm="1">
        <f t="array" aca="1" ref="C27" ca="1">INDEX(Data_DBD!$C:$C,$A27)</f>
        <v>4</v>
      </c>
      <c r="D27" s="32" cm="1">
        <f t="array" aca="1" ref="D27" ca="1">INDEX(Data_DBD!$D:$D,$A27)</f>
        <v>3</v>
      </c>
      <c r="E27" s="32" cm="1">
        <f t="array" aca="1" ref="E27" ca="1">INDEX(Data_DBD!$E:$E,$A27)</f>
        <v>1</v>
      </c>
      <c r="F27" s="32" cm="1">
        <f t="array" aca="1" ref="F27" ca="1">INDEX(Data_DBD!$F:$F,$A27)</f>
        <v>1</v>
      </c>
      <c r="H27" s="32">
        <v>150</v>
      </c>
      <c r="I27" s="32">
        <v>61</v>
      </c>
      <c r="J27" s="32">
        <v>5</v>
      </c>
      <c r="K27" s="32">
        <v>21</v>
      </c>
      <c r="L27" s="32">
        <v>1</v>
      </c>
      <c r="M27" s="32">
        <v>3</v>
      </c>
    </row>
    <row r="28" spans="1:13">
      <c r="A28" s="32">
        <f t="shared" ca="1" si="0"/>
        <v>149</v>
      </c>
      <c r="B28" s="32" cm="1">
        <f t="array" aca="1" ref="B28" ca="1">INDEX(Data_DBD!$B:$B,$A28)</f>
        <v>19</v>
      </c>
      <c r="C28" s="32" cm="1">
        <f t="array" aca="1" ref="C28" ca="1">INDEX(Data_DBD!$C:$C,$A28)</f>
        <v>5</v>
      </c>
      <c r="D28" s="32" cm="1">
        <f t="array" aca="1" ref="D28" ca="1">INDEX(Data_DBD!$D:$D,$A28)</f>
        <v>21</v>
      </c>
      <c r="E28" s="32" cm="1">
        <f t="array" aca="1" ref="E28" ca="1">INDEX(Data_DBD!$E:$E,$A28)</f>
        <v>0</v>
      </c>
      <c r="F28" s="32" cm="1">
        <f t="array" aca="1" ref="F28" ca="1">INDEX(Data_DBD!$F:$F,$A28)</f>
        <v>3</v>
      </c>
      <c r="H28" s="32">
        <v>131</v>
      </c>
      <c r="I28" s="32">
        <v>10</v>
      </c>
      <c r="J28" s="32">
        <v>2</v>
      </c>
      <c r="K28" s="32">
        <v>33</v>
      </c>
      <c r="L28" s="32">
        <v>0</v>
      </c>
      <c r="M28" s="32">
        <v>3</v>
      </c>
    </row>
    <row r="29" spans="1:13">
      <c r="A29" s="32">
        <f t="shared" ca="1" si="0"/>
        <v>85</v>
      </c>
      <c r="B29" s="32" cm="1">
        <f t="array" aca="1" ref="B29" ca="1">INDEX(Data_DBD!$B:$B,$A29)</f>
        <v>27</v>
      </c>
      <c r="C29" s="32" cm="1">
        <f t="array" aca="1" ref="C29" ca="1">INDEX(Data_DBD!$C:$C,$A29)</f>
        <v>9</v>
      </c>
      <c r="D29" s="32" cm="1">
        <f t="array" aca="1" ref="D29" ca="1">INDEX(Data_DBD!$D:$D,$A29)</f>
        <v>13</v>
      </c>
      <c r="E29" s="32" cm="1">
        <f t="array" aca="1" ref="E29" ca="1">INDEX(Data_DBD!$E:$E,$A29)</f>
        <v>0</v>
      </c>
      <c r="F29" s="32" cm="1">
        <f t="array" aca="1" ref="F29" ca="1">INDEX(Data_DBD!$F:$F,$A29)</f>
        <v>2</v>
      </c>
      <c r="H29" s="32">
        <v>30</v>
      </c>
      <c r="I29" s="32" t="s">
        <v>37</v>
      </c>
      <c r="J29" s="32">
        <v>2</v>
      </c>
      <c r="K29" s="32">
        <v>14</v>
      </c>
      <c r="L29" s="32">
        <v>1</v>
      </c>
      <c r="M29" s="32">
        <v>2</v>
      </c>
    </row>
    <row r="30" spans="1:13">
      <c r="A30" s="32">
        <f t="shared" ca="1" si="0"/>
        <v>140</v>
      </c>
      <c r="B30" s="32" cm="1">
        <f t="array" aca="1" ref="B30" ca="1">INDEX(Data_DBD!$B:$B,$A30)</f>
        <v>74</v>
      </c>
      <c r="C30" s="32" cm="1">
        <f t="array" aca="1" ref="C30" ca="1">INDEX(Data_DBD!$C:$C,$A30)</f>
        <v>5</v>
      </c>
      <c r="D30" s="32" cm="1">
        <f t="array" aca="1" ref="D30" ca="1">INDEX(Data_DBD!$D:$D,$A30)</f>
        <v>21</v>
      </c>
      <c r="E30" s="32" cm="1">
        <f t="array" aca="1" ref="E30" ca="1">INDEX(Data_DBD!$E:$E,$A30)</f>
        <v>1</v>
      </c>
      <c r="F30" s="32" cm="1">
        <f t="array" aca="1" ref="F30" ca="1">INDEX(Data_DBD!$F:$F,$A30)</f>
        <v>3</v>
      </c>
      <c r="H30" s="32">
        <v>37</v>
      </c>
      <c r="I30" s="32">
        <v>28</v>
      </c>
      <c r="J30" s="32">
        <v>4</v>
      </c>
      <c r="K30" s="32">
        <v>4</v>
      </c>
      <c r="L30" s="32">
        <v>1</v>
      </c>
      <c r="M30" s="32">
        <v>1</v>
      </c>
    </row>
    <row r="31" spans="1:13">
      <c r="A31" s="32">
        <f t="shared" ca="1" si="0"/>
        <v>143</v>
      </c>
      <c r="B31" s="32" cm="1">
        <f t="array" aca="1" ref="B31" ca="1">INDEX(Data_DBD!$B:$B,$A31)</f>
        <v>20</v>
      </c>
      <c r="C31" s="32" cm="1">
        <f t="array" aca="1" ref="C31" ca="1">INDEX(Data_DBD!$C:$C,$A31)</f>
        <v>4</v>
      </c>
      <c r="D31" s="32" cm="1">
        <f t="array" aca="1" ref="D31" ca="1">INDEX(Data_DBD!$D:$D,$A31)</f>
        <v>21</v>
      </c>
      <c r="E31" s="32" cm="1">
        <f t="array" aca="1" ref="E31" ca="1">INDEX(Data_DBD!$E:$E,$A31)</f>
        <v>1</v>
      </c>
      <c r="F31" s="32" cm="1">
        <f t="array" aca="1" ref="F31" ca="1">INDEX(Data_DBD!$F:$F,$A31)</f>
        <v>3</v>
      </c>
      <c r="H31" s="32">
        <v>161</v>
      </c>
      <c r="I31" s="32">
        <v>12</v>
      </c>
      <c r="J31" s="32">
        <v>3</v>
      </c>
      <c r="K31" s="32">
        <v>21</v>
      </c>
      <c r="L31" s="32">
        <v>1</v>
      </c>
      <c r="M31" s="32">
        <v>3</v>
      </c>
    </row>
    <row r="32" spans="1:13">
      <c r="A32" s="32">
        <f t="shared" ca="1" si="0"/>
        <v>66</v>
      </c>
      <c r="B32" s="32" cm="1">
        <f t="array" aca="1" ref="B32" ca="1">INDEX(Data_DBD!$B:$B,$A32)</f>
        <v>21</v>
      </c>
      <c r="C32" s="32" cm="1">
        <f t="array" aca="1" ref="C32" ca="1">INDEX(Data_DBD!$C:$C,$A32)</f>
        <v>5</v>
      </c>
      <c r="D32" s="32" cm="1">
        <f t="array" aca="1" ref="D32" ca="1">INDEX(Data_DBD!$D:$D,$A32)</f>
        <v>15</v>
      </c>
      <c r="E32" s="32" cm="1">
        <f t="array" aca="1" ref="E32" ca="1">INDEX(Data_DBD!$E:$E,$A32)</f>
        <v>1</v>
      </c>
      <c r="F32" s="32" cm="1">
        <f t="array" aca="1" ref="F32" ca="1">INDEX(Data_DBD!$F:$F,$A32)</f>
        <v>2</v>
      </c>
      <c r="H32" s="32">
        <v>2</v>
      </c>
      <c r="I32" s="32">
        <v>34</v>
      </c>
      <c r="J32" s="32">
        <v>3</v>
      </c>
      <c r="K32" s="32">
        <v>12</v>
      </c>
      <c r="L32" s="32">
        <v>0</v>
      </c>
      <c r="M32" s="32">
        <v>2</v>
      </c>
    </row>
    <row r="33" spans="1:13">
      <c r="A33" s="32">
        <f t="shared" ca="1" si="0"/>
        <v>9</v>
      </c>
      <c r="B33" s="32" cm="1">
        <f t="array" aca="1" ref="B33" ca="1">INDEX(Data_DBD!$B:$B,$A33)</f>
        <v>16</v>
      </c>
      <c r="C33" s="32" cm="1">
        <f t="array" aca="1" ref="C33" ca="1">INDEX(Data_DBD!$C:$C,$A33)</f>
        <v>6</v>
      </c>
      <c r="D33" s="32" cm="1">
        <f t="array" aca="1" ref="D33" ca="1">INDEX(Data_DBD!$D:$D,$A33)</f>
        <v>12</v>
      </c>
      <c r="E33" s="32" cm="1">
        <f t="array" aca="1" ref="E33" ca="1">INDEX(Data_DBD!$E:$E,$A33)</f>
        <v>1</v>
      </c>
      <c r="F33" s="32" cm="1">
        <f t="array" aca="1" ref="F33" ca="1">INDEX(Data_DBD!$F:$F,$A33)</f>
        <v>2</v>
      </c>
      <c r="H33" s="32">
        <v>128</v>
      </c>
      <c r="I33" s="32">
        <v>38</v>
      </c>
      <c r="J33" s="32">
        <v>2</v>
      </c>
      <c r="K33" s="32">
        <v>33</v>
      </c>
      <c r="L33" s="32">
        <v>0</v>
      </c>
      <c r="M33" s="32">
        <v>3</v>
      </c>
    </row>
    <row r="34" spans="1:13">
      <c r="A34" s="32">
        <f t="shared" ca="1" si="0"/>
        <v>113</v>
      </c>
      <c r="B34" s="32" cm="1">
        <f t="array" aca="1" ref="B34" ca="1">INDEX(Data_DBD!$B:$B,$A34)</f>
        <v>69</v>
      </c>
      <c r="C34" s="32" cm="1">
        <f t="array" aca="1" ref="C34" ca="1">INDEX(Data_DBD!$C:$C,$A34)</f>
        <v>1</v>
      </c>
      <c r="D34" s="32" cm="1">
        <f t="array" aca="1" ref="D34" ca="1">INDEX(Data_DBD!$D:$D,$A34)</f>
        <v>33</v>
      </c>
      <c r="E34" s="32" cm="1">
        <f t="array" aca="1" ref="E34" ca="1">INDEX(Data_DBD!$E:$E,$A34)</f>
        <v>1</v>
      </c>
      <c r="F34" s="32" cm="1">
        <f t="array" aca="1" ref="F34" ca="1">INDEX(Data_DBD!$F:$F,$A34)</f>
        <v>3</v>
      </c>
      <c r="H34" s="32">
        <v>87</v>
      </c>
      <c r="I34" s="32">
        <v>21</v>
      </c>
      <c r="J34" s="32">
        <v>3</v>
      </c>
      <c r="K34" s="32">
        <v>13</v>
      </c>
      <c r="L34" s="32">
        <v>0</v>
      </c>
      <c r="M34" s="32">
        <v>2</v>
      </c>
    </row>
    <row r="35" spans="1:13">
      <c r="A35" s="32">
        <f t="shared" ca="1" si="0"/>
        <v>47</v>
      </c>
      <c r="B35" s="32" cm="1">
        <f t="array" aca="1" ref="B35" ca="1">INDEX(Data_DBD!$B:$B,$A35)</f>
        <v>19</v>
      </c>
      <c r="C35" s="32" cm="1">
        <f t="array" aca="1" ref="C35" ca="1">INDEX(Data_DBD!$C:$C,$A35)</f>
        <v>2</v>
      </c>
      <c r="D35" s="32" cm="1">
        <f t="array" aca="1" ref="D35" ca="1">INDEX(Data_DBD!$D:$D,$A35)</f>
        <v>13</v>
      </c>
      <c r="E35" s="32" cm="1">
        <f t="array" aca="1" ref="E35" ca="1">INDEX(Data_DBD!$E:$E,$A35)</f>
        <v>0</v>
      </c>
      <c r="F35" s="32" cm="1">
        <f t="array" aca="1" ref="F35" ca="1">INDEX(Data_DBD!$F:$F,$A35)</f>
        <v>2</v>
      </c>
      <c r="H35" s="32">
        <v>82</v>
      </c>
      <c r="I35" s="32">
        <v>28</v>
      </c>
      <c r="J35" s="32">
        <v>3</v>
      </c>
      <c r="K35" s="32">
        <v>13</v>
      </c>
      <c r="L35" s="32">
        <v>1</v>
      </c>
      <c r="M35" s="32">
        <v>2</v>
      </c>
    </row>
    <row r="36" spans="1:13">
      <c r="A36" s="32">
        <f t="shared" ca="1" si="0"/>
        <v>41</v>
      </c>
      <c r="B36" s="32" cm="1">
        <f t="array" aca="1" ref="B36" ca="1">INDEX(Data_DBD!$B:$B,$A36)</f>
        <v>8</v>
      </c>
      <c r="C36" s="32" cm="1">
        <f t="array" aca="1" ref="C36" ca="1">INDEX(Data_DBD!$C:$C,$A36)</f>
        <v>4</v>
      </c>
      <c r="D36" s="32" cm="1">
        <f t="array" aca="1" ref="D36" ca="1">INDEX(Data_DBD!$D:$D,$A36)</f>
        <v>13</v>
      </c>
      <c r="E36" s="32" cm="1">
        <f t="array" aca="1" ref="E36" ca="1">INDEX(Data_DBD!$E:$E,$A36)</f>
        <v>0</v>
      </c>
      <c r="F36" s="32" cm="1">
        <f t="array" aca="1" ref="F36" ca="1">INDEX(Data_DBD!$F:$F,$A36)</f>
        <v>2</v>
      </c>
      <c r="H36" s="32">
        <v>144</v>
      </c>
      <c r="I36" s="32">
        <v>61</v>
      </c>
      <c r="J36" s="32">
        <v>4</v>
      </c>
      <c r="K36" s="32">
        <v>21</v>
      </c>
      <c r="L36" s="32">
        <v>1</v>
      </c>
      <c r="M36" s="32">
        <v>3</v>
      </c>
    </row>
    <row r="37" spans="1:13">
      <c r="A37" s="32">
        <f t="shared" ca="1" si="0"/>
        <v>56</v>
      </c>
      <c r="B37" s="32" cm="1">
        <f t="array" aca="1" ref="B37" ca="1">INDEX(Data_DBD!$B:$B,$A37)</f>
        <v>4</v>
      </c>
      <c r="C37" s="32" cm="1">
        <f t="array" aca="1" ref="C37" ca="1">INDEX(Data_DBD!$C:$C,$A37)</f>
        <v>3</v>
      </c>
      <c r="D37" s="32" cm="1">
        <f t="array" aca="1" ref="D37" ca="1">INDEX(Data_DBD!$D:$D,$A37)</f>
        <v>15</v>
      </c>
      <c r="E37" s="32" cm="1">
        <f t="array" aca="1" ref="E37" ca="1">INDEX(Data_DBD!$E:$E,$A37)</f>
        <v>0</v>
      </c>
      <c r="F37" s="32" cm="1">
        <f t="array" aca="1" ref="F37" ca="1">INDEX(Data_DBD!$F:$F,$A37)</f>
        <v>2</v>
      </c>
      <c r="H37" s="32">
        <v>32</v>
      </c>
      <c r="I37" s="32">
        <v>54</v>
      </c>
      <c r="J37" s="32">
        <v>4</v>
      </c>
      <c r="K37" s="32">
        <v>14</v>
      </c>
      <c r="L37" s="32">
        <v>0</v>
      </c>
      <c r="M37" s="32">
        <v>2</v>
      </c>
    </row>
    <row r="38" spans="1:13">
      <c r="A38" s="32">
        <f t="shared" ca="1" si="0"/>
        <v>65</v>
      </c>
      <c r="B38" s="32" cm="1">
        <f t="array" aca="1" ref="B38" ca="1">INDEX(Data_DBD!$B:$B,$A38)</f>
        <v>49</v>
      </c>
      <c r="C38" s="32" cm="1">
        <f t="array" aca="1" ref="C38" ca="1">INDEX(Data_DBD!$C:$C,$A38)</f>
        <v>3</v>
      </c>
      <c r="D38" s="32" cm="1">
        <f t="array" aca="1" ref="D38" ca="1">INDEX(Data_DBD!$D:$D,$A38)</f>
        <v>15</v>
      </c>
      <c r="E38" s="32" cm="1">
        <f t="array" aca="1" ref="E38" ca="1">INDEX(Data_DBD!$E:$E,$A38)</f>
        <v>0</v>
      </c>
      <c r="F38" s="32" cm="1">
        <f t="array" aca="1" ref="F38" ca="1">INDEX(Data_DBD!$F:$F,$A38)</f>
        <v>2</v>
      </c>
      <c r="H38" s="32">
        <v>152</v>
      </c>
      <c r="I38" s="32">
        <v>47</v>
      </c>
      <c r="J38" s="32">
        <v>3</v>
      </c>
      <c r="K38" s="32">
        <v>21</v>
      </c>
      <c r="L38" s="32">
        <v>1</v>
      </c>
      <c r="M38" s="32">
        <v>3</v>
      </c>
    </row>
    <row r="39" spans="1:13">
      <c r="A39" s="32">
        <f t="shared" ca="1" si="0"/>
        <v>108</v>
      </c>
      <c r="B39" s="32" cm="1">
        <f t="array" aca="1" ref="B39" ca="1">INDEX(Data_DBD!$B:$B,$A39)</f>
        <v>69</v>
      </c>
      <c r="C39" s="32" cm="1">
        <f t="array" aca="1" ref="C39" ca="1">INDEX(Data_DBD!$C:$C,$A39)</f>
        <v>7</v>
      </c>
      <c r="D39" s="32" cm="1">
        <f t="array" aca="1" ref="D39" ca="1">INDEX(Data_DBD!$D:$D,$A39)</f>
        <v>33</v>
      </c>
      <c r="E39" s="32" cm="1">
        <f t="array" aca="1" ref="E39" ca="1">INDEX(Data_DBD!$E:$E,$A39)</f>
        <v>1</v>
      </c>
      <c r="F39" s="32" cm="1">
        <f t="array" aca="1" ref="F39" ca="1">INDEX(Data_DBD!$F:$F,$A39)</f>
        <v>3</v>
      </c>
      <c r="H39" s="32">
        <v>75</v>
      </c>
      <c r="I39" s="32">
        <v>2</v>
      </c>
      <c r="J39" s="32">
        <v>2</v>
      </c>
      <c r="K39" s="32">
        <v>10</v>
      </c>
      <c r="L39" s="32">
        <v>1</v>
      </c>
      <c r="M39" s="32">
        <v>2</v>
      </c>
    </row>
    <row r="40" spans="1:13">
      <c r="A40" s="32">
        <f t="shared" ca="1" si="0"/>
        <v>3</v>
      </c>
      <c r="B40" s="32" cm="1">
        <f t="array" aca="1" ref="B40" ca="1">INDEX(Data_DBD!$B:$B,$A40)</f>
        <v>43</v>
      </c>
      <c r="C40" s="32" cm="1">
        <f t="array" aca="1" ref="C40" ca="1">INDEX(Data_DBD!$C:$C,$A40)</f>
        <v>3</v>
      </c>
      <c r="D40" s="32" cm="1">
        <f t="array" aca="1" ref="D40" ca="1">INDEX(Data_DBD!$D:$D,$A40)</f>
        <v>12</v>
      </c>
      <c r="E40" s="32" cm="1">
        <f t="array" aca="1" ref="E40" ca="1">INDEX(Data_DBD!$E:$E,$A40)</f>
        <v>1</v>
      </c>
      <c r="F40" s="32" cm="1">
        <f t="array" aca="1" ref="F40" ca="1">INDEX(Data_DBD!$F:$F,$A40)</f>
        <v>2</v>
      </c>
      <c r="H40" s="32">
        <v>107</v>
      </c>
      <c r="I40" s="32">
        <v>48</v>
      </c>
      <c r="J40" s="32">
        <v>5</v>
      </c>
      <c r="K40" s="32">
        <v>18</v>
      </c>
      <c r="L40" s="32">
        <v>0</v>
      </c>
      <c r="M40" s="32">
        <v>3</v>
      </c>
    </row>
    <row r="41" spans="1:13">
      <c r="A41" s="32">
        <f t="shared" ca="1" si="0"/>
        <v>13</v>
      </c>
      <c r="B41" s="32" cm="1">
        <f t="array" aca="1" ref="B41" ca="1">INDEX(Data_DBD!$B:$B,$A41)</f>
        <v>47</v>
      </c>
      <c r="C41" s="32" cm="1">
        <f t="array" aca="1" ref="C41" ca="1">INDEX(Data_DBD!$C:$C,$A41)</f>
        <v>2</v>
      </c>
      <c r="D41" s="32" cm="1">
        <f t="array" aca="1" ref="D41" ca="1">INDEX(Data_DBD!$D:$D,$A41)</f>
        <v>12</v>
      </c>
      <c r="E41" s="32" cm="1">
        <f t="array" aca="1" ref="E41" ca="1">INDEX(Data_DBD!$E:$E,$A41)</f>
        <v>0</v>
      </c>
      <c r="F41" s="32" cm="1">
        <f t="array" aca="1" ref="F41" ca="1">INDEX(Data_DBD!$F:$F,$A41)</f>
        <v>2</v>
      </c>
      <c r="H41" s="32">
        <v>142</v>
      </c>
      <c r="I41" s="32">
        <v>39</v>
      </c>
      <c r="J41" s="32">
        <v>2</v>
      </c>
      <c r="K41" s="32">
        <v>21</v>
      </c>
      <c r="L41" s="32">
        <v>1</v>
      </c>
      <c r="M41" s="32">
        <v>3</v>
      </c>
    </row>
    <row r="42" spans="1:13">
      <c r="A42" s="32">
        <f t="shared" ca="1" si="0"/>
        <v>47</v>
      </c>
      <c r="B42" s="32" cm="1">
        <f t="array" aca="1" ref="B42" ca="1">INDEX(Data_DBD!$B:$B,$A42)</f>
        <v>19</v>
      </c>
      <c r="C42" s="32" cm="1">
        <f t="array" aca="1" ref="C42" ca="1">INDEX(Data_DBD!$C:$C,$A42)</f>
        <v>2</v>
      </c>
      <c r="D42" s="32" cm="1">
        <f t="array" aca="1" ref="D42" ca="1">INDEX(Data_DBD!$D:$D,$A42)</f>
        <v>13</v>
      </c>
      <c r="E42" s="32" cm="1">
        <f t="array" aca="1" ref="E42" ca="1">INDEX(Data_DBD!$E:$E,$A42)</f>
        <v>0</v>
      </c>
      <c r="F42" s="32" cm="1">
        <f t="array" aca="1" ref="F42" ca="1">INDEX(Data_DBD!$F:$F,$A42)</f>
        <v>2</v>
      </c>
      <c r="H42" s="32">
        <v>41</v>
      </c>
      <c r="I42" s="32">
        <v>8</v>
      </c>
      <c r="J42" s="32">
        <v>4</v>
      </c>
      <c r="K42" s="32">
        <v>13</v>
      </c>
      <c r="L42" s="32">
        <v>0</v>
      </c>
      <c r="M42" s="32">
        <v>2</v>
      </c>
    </row>
    <row r="43" spans="1:13">
      <c r="A43" s="32">
        <f t="shared" ca="1" si="0"/>
        <v>117</v>
      </c>
      <c r="B43" s="32" cm="1">
        <f t="array" aca="1" ref="B43" ca="1">INDEX(Data_DBD!$B:$B,$A43)</f>
        <v>49</v>
      </c>
      <c r="C43" s="32" cm="1">
        <f t="array" aca="1" ref="C43" ca="1">INDEX(Data_DBD!$C:$C,$A43)</f>
        <v>4</v>
      </c>
      <c r="D43" s="32" cm="1">
        <f t="array" aca="1" ref="D43" ca="1">INDEX(Data_DBD!$D:$D,$A43)</f>
        <v>33</v>
      </c>
      <c r="E43" s="32" cm="1">
        <f t="array" aca="1" ref="E43" ca="1">INDEX(Data_DBD!$E:$E,$A43)</f>
        <v>1</v>
      </c>
      <c r="F43" s="32" cm="1">
        <f t="array" aca="1" ref="F43" ca="1">INDEX(Data_DBD!$F:$F,$A43)</f>
        <v>3</v>
      </c>
      <c r="H43" s="32">
        <v>136</v>
      </c>
      <c r="I43" s="32">
        <v>6</v>
      </c>
      <c r="J43" s="32">
        <v>2</v>
      </c>
      <c r="K43" s="32">
        <v>33</v>
      </c>
      <c r="L43" s="32">
        <v>0</v>
      </c>
      <c r="M43" s="32">
        <v>3</v>
      </c>
    </row>
    <row r="44" spans="1:13">
      <c r="A44" s="32">
        <f t="shared" ca="1" si="0"/>
        <v>119</v>
      </c>
      <c r="B44" s="32" cm="1">
        <f t="array" aca="1" ref="B44" ca="1">INDEX(Data_DBD!$B:$B,$A44)</f>
        <v>30</v>
      </c>
      <c r="C44" s="32" cm="1">
        <f t="array" aca="1" ref="C44" ca="1">INDEX(Data_DBD!$C:$C,$A44)</f>
        <v>7</v>
      </c>
      <c r="D44" s="32" cm="1">
        <f t="array" aca="1" ref="D44" ca="1">INDEX(Data_DBD!$D:$D,$A44)</f>
        <v>33</v>
      </c>
      <c r="E44" s="32" cm="1">
        <f t="array" aca="1" ref="E44" ca="1">INDEX(Data_DBD!$E:$E,$A44)</f>
        <v>0</v>
      </c>
      <c r="F44" s="32" cm="1">
        <f t="array" aca="1" ref="F44" ca="1">INDEX(Data_DBD!$F:$F,$A44)</f>
        <v>3</v>
      </c>
      <c r="H44" s="32">
        <v>104</v>
      </c>
      <c r="I44" s="32">
        <v>37</v>
      </c>
      <c r="J44" s="32">
        <v>4</v>
      </c>
      <c r="K44" s="32">
        <v>18</v>
      </c>
      <c r="L44" s="32">
        <v>1</v>
      </c>
      <c r="M44" s="32">
        <v>3</v>
      </c>
    </row>
    <row r="45" spans="1:13">
      <c r="A45" s="32">
        <f t="shared" ca="1" si="0"/>
        <v>99</v>
      </c>
      <c r="B45" s="32" cm="1">
        <f t="array" aca="1" ref="B45" ca="1">INDEX(Data_DBD!$B:$B,$A45)</f>
        <v>4</v>
      </c>
      <c r="C45" s="32" cm="1">
        <f t="array" aca="1" ref="C45" ca="1">INDEX(Data_DBD!$C:$C,$A45)</f>
        <v>2</v>
      </c>
      <c r="D45" s="32" cm="1">
        <f t="array" aca="1" ref="D45" ca="1">INDEX(Data_DBD!$D:$D,$A45)</f>
        <v>18</v>
      </c>
      <c r="E45" s="32" cm="1">
        <f t="array" aca="1" ref="E45" ca="1">INDEX(Data_DBD!$E:$E,$A45)</f>
        <v>1</v>
      </c>
      <c r="F45" s="32" cm="1">
        <f t="array" aca="1" ref="F45" ca="1">INDEX(Data_DBD!$F:$F,$A45)</f>
        <v>3</v>
      </c>
      <c r="H45" s="32">
        <v>151</v>
      </c>
      <c r="I45" s="32">
        <v>24</v>
      </c>
      <c r="J45" s="32">
        <v>3</v>
      </c>
      <c r="K45" s="32">
        <v>21</v>
      </c>
      <c r="L45" s="32">
        <v>0</v>
      </c>
      <c r="M45" s="32">
        <v>3</v>
      </c>
    </row>
    <row r="46" spans="1:13">
      <c r="A46" s="32">
        <f t="shared" ca="1" si="0"/>
        <v>23</v>
      </c>
      <c r="B46" s="32" cm="1">
        <f t="array" aca="1" ref="B46" ca="1">INDEX(Data_DBD!$B:$B,$A46)</f>
        <v>28</v>
      </c>
      <c r="C46" s="32" cm="1">
        <f t="array" aca="1" ref="C46" ca="1">INDEX(Data_DBD!$C:$C,$A46)</f>
        <v>4</v>
      </c>
      <c r="D46" s="32" cm="1">
        <f t="array" aca="1" ref="D46" ca="1">INDEX(Data_DBD!$D:$D,$A46)</f>
        <v>14</v>
      </c>
      <c r="E46" s="32" cm="1">
        <f t="array" aca="1" ref="E46" ca="1">INDEX(Data_DBD!$E:$E,$A46)</f>
        <v>1</v>
      </c>
      <c r="F46" s="32" cm="1">
        <f t="array" aca="1" ref="F46" ca="1">INDEX(Data_DBD!$F:$F,$A46)</f>
        <v>2</v>
      </c>
      <c r="H46" s="32">
        <v>25</v>
      </c>
      <c r="I46" s="32">
        <v>81</v>
      </c>
      <c r="J46" s="32">
        <v>5</v>
      </c>
      <c r="K46" s="32">
        <v>14</v>
      </c>
      <c r="L46" s="32">
        <v>0</v>
      </c>
      <c r="M46" s="32">
        <v>2</v>
      </c>
    </row>
    <row r="47" spans="1:13">
      <c r="A47" s="32">
        <f t="shared" ca="1" si="0"/>
        <v>51</v>
      </c>
      <c r="B47" s="32" cm="1">
        <f t="array" aca="1" ref="B47" ca="1">INDEX(Data_DBD!$B:$B,$A47)</f>
        <v>48</v>
      </c>
      <c r="C47" s="32" cm="1">
        <f t="array" aca="1" ref="C47" ca="1">INDEX(Data_DBD!$C:$C,$A47)</f>
        <v>4</v>
      </c>
      <c r="D47" s="32" cm="1">
        <f t="array" aca="1" ref="D47" ca="1">INDEX(Data_DBD!$D:$D,$A47)</f>
        <v>13</v>
      </c>
      <c r="E47" s="32" cm="1">
        <f t="array" aca="1" ref="E47" ca="1">INDEX(Data_DBD!$E:$E,$A47)</f>
        <v>0</v>
      </c>
      <c r="F47" s="32" cm="1">
        <f t="array" aca="1" ref="F47" ca="1">INDEX(Data_DBD!$F:$F,$A47)</f>
        <v>2</v>
      </c>
      <c r="H47" s="32">
        <v>19</v>
      </c>
      <c r="I47" s="32">
        <v>8</v>
      </c>
      <c r="J47" s="32">
        <v>4</v>
      </c>
      <c r="K47" s="32">
        <v>7</v>
      </c>
      <c r="L47" s="32">
        <v>0</v>
      </c>
      <c r="M47" s="32">
        <v>1</v>
      </c>
    </row>
    <row r="48" spans="1:13">
      <c r="A48" s="32">
        <f t="shared" ca="1" si="0"/>
        <v>95</v>
      </c>
      <c r="B48" s="32" cm="1">
        <f t="array" aca="1" ref="B48" ca="1">INDEX(Data_DBD!$B:$B,$A48)</f>
        <v>11</v>
      </c>
      <c r="C48" s="32" cm="1">
        <f t="array" aca="1" ref="C48" ca="1">INDEX(Data_DBD!$C:$C,$A48)</f>
        <v>3</v>
      </c>
      <c r="D48" s="32" cm="1">
        <f t="array" aca="1" ref="D48" ca="1">INDEX(Data_DBD!$D:$D,$A48)</f>
        <v>18</v>
      </c>
      <c r="E48" s="32" cm="1">
        <f t="array" aca="1" ref="E48" ca="1">INDEX(Data_DBD!$E:$E,$A48)</f>
        <v>1</v>
      </c>
      <c r="F48" s="32" cm="1">
        <f t="array" aca="1" ref="F48" ca="1">INDEX(Data_DBD!$F:$F,$A48)</f>
        <v>3</v>
      </c>
      <c r="H48" s="32">
        <v>104</v>
      </c>
      <c r="I48" s="32">
        <v>37</v>
      </c>
      <c r="J48" s="32">
        <v>4</v>
      </c>
      <c r="K48" s="32">
        <v>18</v>
      </c>
      <c r="L48" s="32">
        <v>1</v>
      </c>
      <c r="M48" s="32">
        <v>3</v>
      </c>
    </row>
    <row r="49" spans="1:13">
      <c r="A49" s="32">
        <f t="shared" ca="1" si="0"/>
        <v>48</v>
      </c>
      <c r="B49" s="32" cm="1">
        <f t="array" aca="1" ref="B49" ca="1">INDEX(Data_DBD!$B:$B,$A49)</f>
        <v>50</v>
      </c>
      <c r="C49" s="32" cm="1">
        <f t="array" aca="1" ref="C49" ca="1">INDEX(Data_DBD!$C:$C,$A49)</f>
        <v>5</v>
      </c>
      <c r="D49" s="32" cm="1">
        <f t="array" aca="1" ref="D49" ca="1">INDEX(Data_DBD!$D:$D,$A49)</f>
        <v>13</v>
      </c>
      <c r="E49" s="32" cm="1">
        <f t="array" aca="1" ref="E49" ca="1">INDEX(Data_DBD!$E:$E,$A49)</f>
        <v>1</v>
      </c>
      <c r="F49" s="32" cm="1">
        <f t="array" aca="1" ref="F49" ca="1">INDEX(Data_DBD!$F:$F,$A49)</f>
        <v>2</v>
      </c>
      <c r="H49" s="32">
        <v>26</v>
      </c>
      <c r="I49" s="32">
        <v>75</v>
      </c>
      <c r="J49" s="32">
        <v>4</v>
      </c>
      <c r="K49" s="32">
        <v>14</v>
      </c>
      <c r="L49" s="32">
        <v>1</v>
      </c>
      <c r="M49" s="32">
        <v>2</v>
      </c>
    </row>
    <row r="50" spans="1:13">
      <c r="A50" s="32">
        <f t="shared" ca="1" si="0"/>
        <v>61</v>
      </c>
      <c r="B50" s="32" cm="1">
        <f t="array" aca="1" ref="B50" ca="1">INDEX(Data_DBD!$B:$B,$A50)</f>
        <v>29</v>
      </c>
      <c r="C50" s="32" cm="1">
        <f t="array" aca="1" ref="C50" ca="1">INDEX(Data_DBD!$C:$C,$A50)</f>
        <v>3</v>
      </c>
      <c r="D50" s="32" cm="1">
        <f t="array" aca="1" ref="D50" ca="1">INDEX(Data_DBD!$D:$D,$A50)</f>
        <v>15</v>
      </c>
      <c r="E50" s="32" cm="1">
        <f t="array" aca="1" ref="E50" ca="1">INDEX(Data_DBD!$E:$E,$A50)</f>
        <v>1</v>
      </c>
      <c r="F50" s="32" cm="1">
        <f t="array" aca="1" ref="F50" ca="1">INDEX(Data_DBD!$F:$F,$A50)</f>
        <v>2</v>
      </c>
      <c r="H50" s="32">
        <v>160</v>
      </c>
      <c r="I50" s="32">
        <v>16</v>
      </c>
      <c r="J50" s="32">
        <v>3</v>
      </c>
      <c r="K50" s="32">
        <v>21</v>
      </c>
      <c r="L50" s="32">
        <v>0</v>
      </c>
      <c r="M50" s="32">
        <v>3</v>
      </c>
    </row>
    <row r="51" spans="1:13">
      <c r="A51" s="32">
        <f t="shared" ca="1" si="0"/>
        <v>80</v>
      </c>
      <c r="B51" s="32" cm="1">
        <f t="array" aca="1" ref="B51" ca="1">INDEX(Data_DBD!$B:$B,$A51)</f>
        <v>27</v>
      </c>
      <c r="C51" s="32" cm="1">
        <f t="array" aca="1" ref="C51" ca="1">INDEX(Data_DBD!$C:$C,$A51)</f>
        <v>3</v>
      </c>
      <c r="D51" s="32" cm="1">
        <f t="array" aca="1" ref="D51" ca="1">INDEX(Data_DBD!$D:$D,$A51)</f>
        <v>13</v>
      </c>
      <c r="E51" s="32" cm="1">
        <f t="array" aca="1" ref="E51" ca="1">INDEX(Data_DBD!$E:$E,$A51)</f>
        <v>1</v>
      </c>
      <c r="F51" s="32" cm="1">
        <f t="array" aca="1" ref="F51" ca="1">INDEX(Data_DBD!$F:$F,$A51)</f>
        <v>2</v>
      </c>
      <c r="H51" s="32">
        <v>94</v>
      </c>
      <c r="I51" s="32">
        <v>12</v>
      </c>
      <c r="J51" s="32">
        <v>4</v>
      </c>
      <c r="K51" s="32">
        <v>18</v>
      </c>
      <c r="L51" s="32">
        <v>0</v>
      </c>
      <c r="M51" s="32">
        <v>3</v>
      </c>
    </row>
    <row r="52" spans="1:13">
      <c r="A52" s="32">
        <f t="shared" ca="1" si="0"/>
        <v>139</v>
      </c>
      <c r="B52" s="32" cm="1">
        <f t="array" aca="1" ref="B52" ca="1">INDEX(Data_DBD!$B:$B,$A52)</f>
        <v>52</v>
      </c>
      <c r="C52" s="32" cm="1">
        <f t="array" aca="1" ref="C52" ca="1">INDEX(Data_DBD!$C:$C,$A52)</f>
        <v>7</v>
      </c>
      <c r="D52" s="32" cm="1">
        <f t="array" aca="1" ref="D52" ca="1">INDEX(Data_DBD!$D:$D,$A52)</f>
        <v>21</v>
      </c>
      <c r="E52" s="32" cm="1">
        <f t="array" aca="1" ref="E52" ca="1">INDEX(Data_DBD!$E:$E,$A52)</f>
        <v>0</v>
      </c>
      <c r="F52" s="32" cm="1">
        <f t="array" aca="1" ref="F52" ca="1">INDEX(Data_DBD!$F:$F,$A52)</f>
        <v>3</v>
      </c>
      <c r="H52" s="32">
        <v>57</v>
      </c>
      <c r="I52" s="32">
        <v>2</v>
      </c>
      <c r="J52" s="32">
        <v>2</v>
      </c>
      <c r="K52" s="32">
        <v>15</v>
      </c>
      <c r="L52" s="32">
        <v>1</v>
      </c>
      <c r="M52" s="32">
        <v>2</v>
      </c>
    </row>
    <row r="53" spans="1:13">
      <c r="A53" s="32">
        <f t="shared" ca="1" si="0"/>
        <v>156</v>
      </c>
      <c r="B53" s="32" cm="1">
        <f t="array" aca="1" ref="B53" ca="1">INDEX(Data_DBD!$B:$B,$A53)</f>
        <v>5</v>
      </c>
      <c r="C53" s="32" cm="1">
        <f t="array" aca="1" ref="C53" ca="1">INDEX(Data_DBD!$C:$C,$A53)</f>
        <v>2</v>
      </c>
      <c r="D53" s="32" cm="1">
        <f t="array" aca="1" ref="D53" ca="1">INDEX(Data_DBD!$D:$D,$A53)</f>
        <v>21</v>
      </c>
      <c r="E53" s="32" cm="1">
        <f t="array" aca="1" ref="E53" ca="1">INDEX(Data_DBD!$E:$E,$A53)</f>
        <v>0</v>
      </c>
      <c r="F53" s="32" cm="1">
        <f t="array" aca="1" ref="F53" ca="1">INDEX(Data_DBD!$F:$F,$A53)</f>
        <v>3</v>
      </c>
      <c r="H53" s="32">
        <v>20</v>
      </c>
      <c r="I53" s="32">
        <v>15</v>
      </c>
      <c r="J53" s="32">
        <v>5</v>
      </c>
      <c r="K53" s="32">
        <v>7</v>
      </c>
      <c r="L53" s="32">
        <v>0</v>
      </c>
      <c r="M53" s="32">
        <v>1</v>
      </c>
    </row>
    <row r="54" spans="1:13">
      <c r="A54" s="32">
        <f t="shared" ca="1" si="0"/>
        <v>113</v>
      </c>
      <c r="B54" s="32" cm="1">
        <f t="array" aca="1" ref="B54" ca="1">INDEX(Data_DBD!$B:$B,$A54)</f>
        <v>69</v>
      </c>
      <c r="C54" s="32" cm="1">
        <f t="array" aca="1" ref="C54" ca="1">INDEX(Data_DBD!$C:$C,$A54)</f>
        <v>1</v>
      </c>
      <c r="D54" s="32" cm="1">
        <f t="array" aca="1" ref="D54" ca="1">INDEX(Data_DBD!$D:$D,$A54)</f>
        <v>33</v>
      </c>
      <c r="E54" s="32" cm="1">
        <f t="array" aca="1" ref="E54" ca="1">INDEX(Data_DBD!$E:$E,$A54)</f>
        <v>1</v>
      </c>
      <c r="F54" s="32" cm="1">
        <f t="array" aca="1" ref="F54" ca="1">INDEX(Data_DBD!$F:$F,$A54)</f>
        <v>3</v>
      </c>
      <c r="H54" s="32">
        <v>66</v>
      </c>
      <c r="I54" s="32">
        <v>21</v>
      </c>
      <c r="J54" s="32">
        <v>5</v>
      </c>
      <c r="K54" s="32">
        <v>15</v>
      </c>
      <c r="L54" s="32">
        <v>1</v>
      </c>
      <c r="M54" s="32">
        <v>2</v>
      </c>
    </row>
    <row r="55" spans="1:13">
      <c r="A55" s="32">
        <f t="shared" ca="1" si="0"/>
        <v>74</v>
      </c>
      <c r="B55" s="32" cm="1">
        <f t="array" aca="1" ref="B55" ca="1">INDEX(Data_DBD!$B:$B,$A55)</f>
        <v>9</v>
      </c>
      <c r="C55" s="32" cm="1">
        <f t="array" aca="1" ref="C55" ca="1">INDEX(Data_DBD!$C:$C,$A55)</f>
        <v>4</v>
      </c>
      <c r="D55" s="32" cm="1">
        <f t="array" aca="1" ref="D55" ca="1">INDEX(Data_DBD!$D:$D,$A55)</f>
        <v>10</v>
      </c>
      <c r="E55" s="32" cm="1">
        <f t="array" aca="1" ref="E55" ca="1">INDEX(Data_DBD!$E:$E,$A55)</f>
        <v>0</v>
      </c>
      <c r="F55" s="32" cm="1">
        <f t="array" aca="1" ref="F55" ca="1">INDEX(Data_DBD!$F:$F,$A55)</f>
        <v>2</v>
      </c>
      <c r="H55" s="32">
        <v>153</v>
      </c>
      <c r="I55" s="32">
        <v>73</v>
      </c>
      <c r="J55" s="32">
        <v>7</v>
      </c>
      <c r="K55" s="32">
        <v>21</v>
      </c>
      <c r="L55" s="32">
        <v>1</v>
      </c>
      <c r="M55" s="32">
        <v>3</v>
      </c>
    </row>
    <row r="56" spans="1:13">
      <c r="A56" s="32">
        <f t="shared" ca="1" si="0"/>
        <v>140</v>
      </c>
      <c r="B56" s="32" cm="1">
        <f t="array" aca="1" ref="B56" ca="1">INDEX(Data_DBD!$B:$B,$A56)</f>
        <v>74</v>
      </c>
      <c r="C56" s="32" cm="1">
        <f t="array" aca="1" ref="C56" ca="1">INDEX(Data_DBD!$C:$C,$A56)</f>
        <v>5</v>
      </c>
      <c r="D56" s="32" cm="1">
        <f t="array" aca="1" ref="D56" ca="1">INDEX(Data_DBD!$D:$D,$A56)</f>
        <v>21</v>
      </c>
      <c r="E56" s="32" cm="1">
        <f t="array" aca="1" ref="E56" ca="1">INDEX(Data_DBD!$E:$E,$A56)</f>
        <v>1</v>
      </c>
      <c r="F56" s="32" cm="1">
        <f t="array" aca="1" ref="F56" ca="1">INDEX(Data_DBD!$F:$F,$A56)</f>
        <v>3</v>
      </c>
      <c r="H56" s="32">
        <v>148</v>
      </c>
      <c r="I56" s="32">
        <v>55</v>
      </c>
      <c r="J56" s="32">
        <v>3</v>
      </c>
      <c r="K56" s="32">
        <v>21</v>
      </c>
      <c r="L56" s="32">
        <v>1</v>
      </c>
      <c r="M56" s="32">
        <v>3</v>
      </c>
    </row>
    <row r="57" spans="1:13">
      <c r="A57" s="32">
        <f t="shared" ca="1" si="0"/>
        <v>73</v>
      </c>
      <c r="B57" s="32" cm="1">
        <f t="array" aca="1" ref="B57" ca="1">INDEX(Data_DBD!$B:$B,$A57)</f>
        <v>15</v>
      </c>
      <c r="C57" s="32" cm="1">
        <f t="array" aca="1" ref="C57" ca="1">INDEX(Data_DBD!$C:$C,$A57)</f>
        <v>3</v>
      </c>
      <c r="D57" s="32" cm="1">
        <f t="array" aca="1" ref="D57" ca="1">INDEX(Data_DBD!$D:$D,$A57)</f>
        <v>10</v>
      </c>
      <c r="E57" s="32" cm="1">
        <f t="array" aca="1" ref="E57" ca="1">INDEX(Data_DBD!$E:$E,$A57)</f>
        <v>1</v>
      </c>
      <c r="F57" s="32" cm="1">
        <f t="array" aca="1" ref="F57" ca="1">INDEX(Data_DBD!$F:$F,$A57)</f>
        <v>2</v>
      </c>
      <c r="H57" s="32">
        <v>93</v>
      </c>
      <c r="I57" s="32">
        <v>65</v>
      </c>
      <c r="J57" s="32">
        <v>4</v>
      </c>
      <c r="K57" s="32">
        <v>18</v>
      </c>
      <c r="L57" s="32">
        <v>0</v>
      </c>
      <c r="M57" s="32">
        <v>3</v>
      </c>
    </row>
    <row r="58" spans="1:13">
      <c r="A58" s="32">
        <f t="shared" ca="1" si="0"/>
        <v>102</v>
      </c>
      <c r="B58" s="32" cm="1">
        <f t="array" aca="1" ref="B58" ca="1">INDEX(Data_DBD!$B:$B,$A58)</f>
        <v>41</v>
      </c>
      <c r="C58" s="32" cm="1">
        <f t="array" aca="1" ref="C58" ca="1">INDEX(Data_DBD!$C:$C,$A58)</f>
        <v>4</v>
      </c>
      <c r="D58" s="32" cm="1">
        <f t="array" aca="1" ref="D58" ca="1">INDEX(Data_DBD!$D:$D,$A58)</f>
        <v>18</v>
      </c>
      <c r="E58" s="32" cm="1">
        <f t="array" aca="1" ref="E58" ca="1">INDEX(Data_DBD!$E:$E,$A58)</f>
        <v>0</v>
      </c>
      <c r="F58" s="32" cm="1">
        <f t="array" aca="1" ref="F58" ca="1">INDEX(Data_DBD!$F:$F,$A58)</f>
        <v>3</v>
      </c>
      <c r="H58" s="32">
        <v>86</v>
      </c>
      <c r="I58" s="32">
        <v>23</v>
      </c>
      <c r="J58" s="32">
        <v>3</v>
      </c>
      <c r="K58" s="32">
        <v>13</v>
      </c>
      <c r="L58" s="32">
        <v>0</v>
      </c>
      <c r="M58" s="32">
        <v>2</v>
      </c>
    </row>
    <row r="59" spans="1:13">
      <c r="A59" s="32">
        <f t="shared" ca="1" si="0"/>
        <v>98</v>
      </c>
      <c r="B59" s="32" cm="1">
        <f t="array" aca="1" ref="B59" ca="1">INDEX(Data_DBD!$B:$B,$A59)</f>
        <v>16</v>
      </c>
      <c r="C59" s="32" cm="1">
        <f t="array" aca="1" ref="C59" ca="1">INDEX(Data_DBD!$C:$C,$A59)</f>
        <v>2</v>
      </c>
      <c r="D59" s="32" cm="1">
        <f t="array" aca="1" ref="D59" ca="1">INDEX(Data_DBD!$D:$D,$A59)</f>
        <v>18</v>
      </c>
      <c r="E59" s="32" cm="1">
        <f t="array" aca="1" ref="E59" ca="1">INDEX(Data_DBD!$E:$E,$A59)</f>
        <v>1</v>
      </c>
      <c r="F59" s="32" cm="1">
        <f t="array" aca="1" ref="F59" ca="1">INDEX(Data_DBD!$F:$F,$A59)</f>
        <v>3</v>
      </c>
      <c r="H59" s="32">
        <v>142</v>
      </c>
      <c r="I59" s="32">
        <v>39</v>
      </c>
      <c r="J59" s="32">
        <v>2</v>
      </c>
      <c r="K59" s="32">
        <v>21</v>
      </c>
      <c r="L59" s="32">
        <v>1</v>
      </c>
      <c r="M59" s="32">
        <v>3</v>
      </c>
    </row>
    <row r="60" spans="1:13">
      <c r="A60" s="32">
        <f t="shared" ca="1" si="0"/>
        <v>60</v>
      </c>
      <c r="B60" s="32" cm="1">
        <f t="array" aca="1" ref="B60" ca="1">INDEX(Data_DBD!$B:$B,$A60)</f>
        <v>68</v>
      </c>
      <c r="C60" s="32" cm="1">
        <f t="array" aca="1" ref="C60" ca="1">INDEX(Data_DBD!$C:$C,$A60)</f>
        <v>4</v>
      </c>
      <c r="D60" s="32" cm="1">
        <f t="array" aca="1" ref="D60" ca="1">INDEX(Data_DBD!$D:$D,$A60)</f>
        <v>15</v>
      </c>
      <c r="E60" s="32" cm="1">
        <f t="array" aca="1" ref="E60" ca="1">INDEX(Data_DBD!$E:$E,$A60)</f>
        <v>0</v>
      </c>
      <c r="F60" s="32" cm="1">
        <f t="array" aca="1" ref="F60" ca="1">INDEX(Data_DBD!$F:$F,$A60)</f>
        <v>2</v>
      </c>
      <c r="H60" s="32">
        <v>85</v>
      </c>
      <c r="I60" s="32">
        <v>27</v>
      </c>
      <c r="J60" s="32">
        <v>9</v>
      </c>
      <c r="K60" s="32">
        <v>13</v>
      </c>
      <c r="L60" s="32">
        <v>0</v>
      </c>
      <c r="M60" s="32">
        <v>2</v>
      </c>
    </row>
    <row r="61" spans="1:13">
      <c r="A61" s="32">
        <f t="shared" ca="1" si="0"/>
        <v>122</v>
      </c>
      <c r="B61" s="32" cm="1">
        <f t="array" aca="1" ref="B61" ca="1">INDEX(Data_DBD!$B:$B,$A61)</f>
        <v>28</v>
      </c>
      <c r="C61" s="32" cm="1">
        <f t="array" aca="1" ref="C61" ca="1">INDEX(Data_DBD!$C:$C,$A61)</f>
        <v>3</v>
      </c>
      <c r="D61" s="32" cm="1">
        <f t="array" aca="1" ref="D61" ca="1">INDEX(Data_DBD!$D:$D,$A61)</f>
        <v>33</v>
      </c>
      <c r="E61" s="32" cm="1">
        <f t="array" aca="1" ref="E61" ca="1">INDEX(Data_DBD!$E:$E,$A61)</f>
        <v>1</v>
      </c>
      <c r="F61" s="32" cm="1">
        <f t="array" aca="1" ref="F61" ca="1">INDEX(Data_DBD!$F:$F,$A61)</f>
        <v>3</v>
      </c>
      <c r="H61" s="32">
        <v>155</v>
      </c>
      <c r="I61" s="32">
        <v>19</v>
      </c>
      <c r="J61" s="32">
        <v>5</v>
      </c>
      <c r="K61" s="32">
        <v>21</v>
      </c>
      <c r="L61" s="32">
        <v>1</v>
      </c>
      <c r="M61" s="32">
        <v>3</v>
      </c>
    </row>
    <row r="62" spans="1:13">
      <c r="A62" s="32">
        <f t="shared" ca="1" si="0"/>
        <v>51</v>
      </c>
      <c r="B62" s="32" cm="1">
        <f t="array" aca="1" ref="B62" ca="1">INDEX(Data_DBD!$B:$B,$A62)</f>
        <v>48</v>
      </c>
      <c r="C62" s="32" cm="1">
        <f t="array" aca="1" ref="C62" ca="1">INDEX(Data_DBD!$C:$C,$A62)</f>
        <v>4</v>
      </c>
      <c r="D62" s="32" cm="1">
        <f t="array" aca="1" ref="D62" ca="1">INDEX(Data_DBD!$D:$D,$A62)</f>
        <v>13</v>
      </c>
      <c r="E62" s="32" cm="1">
        <f t="array" aca="1" ref="E62" ca="1">INDEX(Data_DBD!$E:$E,$A62)</f>
        <v>0</v>
      </c>
      <c r="F62" s="32" cm="1">
        <f t="array" aca="1" ref="F62" ca="1">INDEX(Data_DBD!$F:$F,$A62)</f>
        <v>2</v>
      </c>
      <c r="H62" s="32">
        <v>124</v>
      </c>
      <c r="I62" s="32">
        <v>24</v>
      </c>
      <c r="J62" s="32">
        <v>3</v>
      </c>
      <c r="K62" s="32">
        <v>33</v>
      </c>
      <c r="L62" s="32">
        <v>1</v>
      </c>
      <c r="M62" s="32">
        <v>3</v>
      </c>
    </row>
    <row r="63" spans="1:13">
      <c r="A63" s="32">
        <f t="shared" ca="1" si="0"/>
        <v>104</v>
      </c>
      <c r="B63" s="32" cm="1">
        <f t="array" aca="1" ref="B63" ca="1">INDEX(Data_DBD!$B:$B,$A63)</f>
        <v>37</v>
      </c>
      <c r="C63" s="32" cm="1">
        <f t="array" aca="1" ref="C63" ca="1">INDEX(Data_DBD!$C:$C,$A63)</f>
        <v>4</v>
      </c>
      <c r="D63" s="32" cm="1">
        <f t="array" aca="1" ref="D63" ca="1">INDEX(Data_DBD!$D:$D,$A63)</f>
        <v>18</v>
      </c>
      <c r="E63" s="32" cm="1">
        <f t="array" aca="1" ref="E63" ca="1">INDEX(Data_DBD!$E:$E,$A63)</f>
        <v>1</v>
      </c>
      <c r="F63" s="32" cm="1">
        <f t="array" aca="1" ref="F63" ca="1">INDEX(Data_DBD!$F:$F,$A63)</f>
        <v>3</v>
      </c>
      <c r="H63" s="32">
        <v>119</v>
      </c>
      <c r="I63" s="32">
        <v>30</v>
      </c>
      <c r="J63" s="32">
        <v>7</v>
      </c>
      <c r="K63" s="32">
        <v>33</v>
      </c>
      <c r="L63" s="32">
        <v>0</v>
      </c>
      <c r="M63" s="32">
        <v>3</v>
      </c>
    </row>
    <row r="64" spans="1:13">
      <c r="A64" s="32">
        <f t="shared" ca="1" si="0"/>
        <v>21</v>
      </c>
      <c r="B64" s="32" cm="1">
        <f t="array" aca="1" ref="B64" ca="1">INDEX(Data_DBD!$B:$B,$A64)</f>
        <v>10</v>
      </c>
      <c r="C64" s="32" cm="1">
        <f t="array" aca="1" ref="C64" ca="1">INDEX(Data_DBD!$C:$C,$A64)</f>
        <v>5</v>
      </c>
      <c r="D64" s="32" cm="1">
        <f t="array" aca="1" ref="D64" ca="1">INDEX(Data_DBD!$D:$D,$A64)</f>
        <v>14</v>
      </c>
      <c r="E64" s="32" cm="1">
        <f t="array" aca="1" ref="E64" ca="1">INDEX(Data_DBD!$E:$E,$A64)</f>
        <v>1</v>
      </c>
      <c r="F64" s="32" cm="1">
        <f t="array" aca="1" ref="F64" ca="1">INDEX(Data_DBD!$F:$F,$A64)</f>
        <v>2</v>
      </c>
      <c r="H64" s="32">
        <v>108</v>
      </c>
      <c r="I64" s="32">
        <v>69</v>
      </c>
      <c r="J64" s="32">
        <v>7</v>
      </c>
      <c r="K64" s="32">
        <v>33</v>
      </c>
      <c r="L64" s="32">
        <v>1</v>
      </c>
      <c r="M64" s="32">
        <v>3</v>
      </c>
    </row>
    <row r="65" spans="1:13">
      <c r="A65" s="32">
        <f t="shared" ca="1" si="0"/>
        <v>6</v>
      </c>
      <c r="B65" s="32" cm="1">
        <f t="array" aca="1" ref="B65" ca="1">INDEX(Data_DBD!$B:$B,$A65)</f>
        <v>14</v>
      </c>
      <c r="C65" s="32" cm="1">
        <f t="array" aca="1" ref="C65" ca="1">INDEX(Data_DBD!$C:$C,$A65)</f>
        <v>4</v>
      </c>
      <c r="D65" s="32" cm="1">
        <f t="array" aca="1" ref="D65" ca="1">INDEX(Data_DBD!$D:$D,$A65)</f>
        <v>12</v>
      </c>
      <c r="E65" s="32" cm="1">
        <f t="array" aca="1" ref="E65" ca="1">INDEX(Data_DBD!$E:$E,$A65)</f>
        <v>0</v>
      </c>
      <c r="F65" s="32" cm="1">
        <f t="array" aca="1" ref="F65" ca="1">INDEX(Data_DBD!$F:$F,$A65)</f>
        <v>2</v>
      </c>
      <c r="H65" s="32">
        <v>45</v>
      </c>
      <c r="I65" s="32">
        <v>75</v>
      </c>
      <c r="J65" s="32">
        <v>3</v>
      </c>
      <c r="K65" s="32">
        <v>13</v>
      </c>
      <c r="L65" s="32">
        <v>1</v>
      </c>
      <c r="M65" s="32">
        <v>2</v>
      </c>
    </row>
    <row r="66" spans="1:13">
      <c r="A66" s="32">
        <f t="shared" ca="1" si="0"/>
        <v>35</v>
      </c>
      <c r="B66" s="32" cm="1">
        <f t="array" aca="1" ref="B66" ca="1">INDEX(Data_DBD!$B:$B,$A66)</f>
        <v>40</v>
      </c>
      <c r="C66" s="32" cm="1">
        <f t="array" aca="1" ref="C66" ca="1">INDEX(Data_DBD!$C:$C,$A66)</f>
        <v>3</v>
      </c>
      <c r="D66" s="32" cm="1">
        <f t="array" aca="1" ref="D66" ca="1">INDEX(Data_DBD!$D:$D,$A66)</f>
        <v>4</v>
      </c>
      <c r="E66" s="32" cm="1">
        <f t="array" aca="1" ref="E66" ca="1">INDEX(Data_DBD!$E:$E,$A66)</f>
        <v>1</v>
      </c>
      <c r="F66" s="32" cm="1">
        <f t="array" aca="1" ref="F66" ca="1">INDEX(Data_DBD!$F:$F,$A66)</f>
        <v>1</v>
      </c>
      <c r="H66" s="32">
        <v>145</v>
      </c>
      <c r="I66" s="32">
        <v>28</v>
      </c>
      <c r="J66" s="32">
        <v>4</v>
      </c>
      <c r="K66" s="32">
        <v>21</v>
      </c>
      <c r="L66" s="32">
        <v>1</v>
      </c>
      <c r="M66" s="32">
        <v>3</v>
      </c>
    </row>
    <row r="67" spans="1:13">
      <c r="A67" s="32">
        <f t="shared" ref="A67:A130" ca="1" si="1">RANDBETWEEN(2,164)</f>
        <v>125</v>
      </c>
      <c r="B67" s="32" cm="1">
        <f t="array" aca="1" ref="B67" ca="1">INDEX(Data_DBD!$B:$B,$A67)</f>
        <v>39</v>
      </c>
      <c r="C67" s="32" cm="1">
        <f t="array" aca="1" ref="C67" ca="1">INDEX(Data_DBD!$C:$C,$A67)</f>
        <v>4</v>
      </c>
      <c r="D67" s="32" cm="1">
        <f t="array" aca="1" ref="D67" ca="1">INDEX(Data_DBD!$D:$D,$A67)</f>
        <v>33</v>
      </c>
      <c r="E67" s="32" cm="1">
        <f t="array" aca="1" ref="E67" ca="1">INDEX(Data_DBD!$E:$E,$A67)</f>
        <v>0</v>
      </c>
      <c r="F67" s="32" cm="1">
        <f t="array" aca="1" ref="F67" ca="1">INDEX(Data_DBD!$F:$F,$A67)</f>
        <v>3</v>
      </c>
      <c r="H67" s="32">
        <v>12</v>
      </c>
      <c r="I67" s="32">
        <v>23</v>
      </c>
      <c r="J67" s="32">
        <v>3</v>
      </c>
      <c r="K67" s="32">
        <v>12</v>
      </c>
      <c r="L67" s="32">
        <v>0</v>
      </c>
      <c r="M67" s="32">
        <v>2</v>
      </c>
    </row>
    <row r="68" spans="1:13">
      <c r="A68" s="32">
        <f t="shared" ca="1" si="1"/>
        <v>114</v>
      </c>
      <c r="B68" s="32" cm="1">
        <f t="array" aca="1" ref="B68" ca="1">INDEX(Data_DBD!$B:$B,$A68)</f>
        <v>14</v>
      </c>
      <c r="C68" s="32" cm="1">
        <f t="array" aca="1" ref="C68" ca="1">INDEX(Data_DBD!$C:$C,$A68)</f>
        <v>2</v>
      </c>
      <c r="D68" s="32" cm="1">
        <f t="array" aca="1" ref="D68" ca="1">INDEX(Data_DBD!$D:$D,$A68)</f>
        <v>33</v>
      </c>
      <c r="E68" s="32" cm="1">
        <f t="array" aca="1" ref="E68" ca="1">INDEX(Data_DBD!$E:$E,$A68)</f>
        <v>1</v>
      </c>
      <c r="F68" s="32" cm="1">
        <f t="array" aca="1" ref="F68" ca="1">INDEX(Data_DBD!$F:$F,$A68)</f>
        <v>3</v>
      </c>
      <c r="H68" s="32">
        <v>107</v>
      </c>
      <c r="I68" s="32">
        <v>48</v>
      </c>
      <c r="J68" s="32">
        <v>5</v>
      </c>
      <c r="K68" s="32">
        <v>18</v>
      </c>
      <c r="L68" s="32">
        <v>0</v>
      </c>
      <c r="M68" s="32">
        <v>3</v>
      </c>
    </row>
    <row r="69" spans="1:13">
      <c r="A69" s="32">
        <f t="shared" ca="1" si="1"/>
        <v>101</v>
      </c>
      <c r="B69" s="32" cm="1">
        <f t="array" aca="1" ref="B69" ca="1">INDEX(Data_DBD!$B:$B,$A69)</f>
        <v>42</v>
      </c>
      <c r="C69" s="32" cm="1">
        <f t="array" aca="1" ref="C69" ca="1">INDEX(Data_DBD!$C:$C,$A69)</f>
        <v>5</v>
      </c>
      <c r="D69" s="32" cm="1">
        <f t="array" aca="1" ref="D69" ca="1">INDEX(Data_DBD!$D:$D,$A69)</f>
        <v>18</v>
      </c>
      <c r="E69" s="32" cm="1">
        <f t="array" aca="1" ref="E69" ca="1">INDEX(Data_DBD!$E:$E,$A69)</f>
        <v>0</v>
      </c>
      <c r="F69" s="32" cm="1">
        <f t="array" aca="1" ref="F69" ca="1">INDEX(Data_DBD!$F:$F,$A69)</f>
        <v>3</v>
      </c>
      <c r="H69" s="32">
        <v>47</v>
      </c>
      <c r="I69" s="32">
        <v>19</v>
      </c>
      <c r="J69" s="32">
        <v>2</v>
      </c>
      <c r="K69" s="32">
        <v>13</v>
      </c>
      <c r="L69" s="32">
        <v>0</v>
      </c>
      <c r="M69" s="32">
        <v>2</v>
      </c>
    </row>
    <row r="70" spans="1:13">
      <c r="A70" s="32">
        <f t="shared" ca="1" si="1"/>
        <v>155</v>
      </c>
      <c r="B70" s="32" cm="1">
        <f t="array" aca="1" ref="B70" ca="1">INDEX(Data_DBD!$B:$B,$A70)</f>
        <v>19</v>
      </c>
      <c r="C70" s="32" cm="1">
        <f t="array" aca="1" ref="C70" ca="1">INDEX(Data_DBD!$C:$C,$A70)</f>
        <v>5</v>
      </c>
      <c r="D70" s="32" cm="1">
        <f t="array" aca="1" ref="D70" ca="1">INDEX(Data_DBD!$D:$D,$A70)</f>
        <v>21</v>
      </c>
      <c r="E70" s="32" cm="1">
        <f t="array" aca="1" ref="E70" ca="1">INDEX(Data_DBD!$E:$E,$A70)</f>
        <v>1</v>
      </c>
      <c r="F70" s="32" cm="1">
        <f t="array" aca="1" ref="F70" ca="1">INDEX(Data_DBD!$F:$F,$A70)</f>
        <v>3</v>
      </c>
      <c r="H70" s="32">
        <v>102</v>
      </c>
      <c r="I70" s="32">
        <v>41</v>
      </c>
      <c r="J70" s="32">
        <v>4</v>
      </c>
      <c r="K70" s="32">
        <v>18</v>
      </c>
      <c r="L70" s="32">
        <v>0</v>
      </c>
      <c r="M70" s="32">
        <v>3</v>
      </c>
    </row>
    <row r="71" spans="1:13">
      <c r="A71" s="32">
        <f t="shared" ca="1" si="1"/>
        <v>35</v>
      </c>
      <c r="B71" s="32" cm="1">
        <f t="array" aca="1" ref="B71" ca="1">INDEX(Data_DBD!$B:$B,$A71)</f>
        <v>40</v>
      </c>
      <c r="C71" s="32" cm="1">
        <f t="array" aca="1" ref="C71" ca="1">INDEX(Data_DBD!$C:$C,$A71)</f>
        <v>3</v>
      </c>
      <c r="D71" s="32" cm="1">
        <f t="array" aca="1" ref="D71" ca="1">INDEX(Data_DBD!$D:$D,$A71)</f>
        <v>4</v>
      </c>
      <c r="E71" s="32" cm="1">
        <f t="array" aca="1" ref="E71" ca="1">INDEX(Data_DBD!$E:$E,$A71)</f>
        <v>1</v>
      </c>
      <c r="F71" s="32" cm="1">
        <f t="array" aca="1" ref="F71" ca="1">INDEX(Data_DBD!$F:$F,$A71)</f>
        <v>1</v>
      </c>
      <c r="H71" s="32">
        <v>132</v>
      </c>
      <c r="I71" s="32">
        <v>10</v>
      </c>
      <c r="J71" s="32">
        <v>3</v>
      </c>
      <c r="K71" s="32">
        <v>33</v>
      </c>
      <c r="L71" s="32">
        <v>1</v>
      </c>
      <c r="M71" s="32">
        <v>3</v>
      </c>
    </row>
    <row r="72" spans="1:13">
      <c r="A72" s="32">
        <f t="shared" ca="1" si="1"/>
        <v>8</v>
      </c>
      <c r="B72" s="32" cm="1">
        <f t="array" aca="1" ref="B72" ca="1">INDEX(Data_DBD!$B:$B,$A72)</f>
        <v>4</v>
      </c>
      <c r="C72" s="32" cm="1">
        <f t="array" aca="1" ref="C72" ca="1">INDEX(Data_DBD!$C:$C,$A72)</f>
        <v>2</v>
      </c>
      <c r="D72" s="32" cm="1">
        <f t="array" aca="1" ref="D72" ca="1">INDEX(Data_DBD!$D:$D,$A72)</f>
        <v>12</v>
      </c>
      <c r="E72" s="32" cm="1">
        <f t="array" aca="1" ref="E72" ca="1">INDEX(Data_DBD!$E:$E,$A72)</f>
        <v>0</v>
      </c>
      <c r="F72" s="32" cm="1">
        <f t="array" aca="1" ref="F72" ca="1">INDEX(Data_DBD!$F:$F,$A72)</f>
        <v>2</v>
      </c>
      <c r="H72" s="32">
        <v>64</v>
      </c>
      <c r="I72" s="32">
        <v>35</v>
      </c>
      <c r="J72" s="32">
        <v>1</v>
      </c>
      <c r="K72" s="32">
        <v>15</v>
      </c>
      <c r="L72" s="32">
        <v>0</v>
      </c>
      <c r="M72" s="32">
        <v>2</v>
      </c>
    </row>
    <row r="73" spans="1:13">
      <c r="A73" s="32">
        <f t="shared" ca="1" si="1"/>
        <v>133</v>
      </c>
      <c r="B73" s="32" cm="1">
        <f t="array" aca="1" ref="B73" ca="1">INDEX(Data_DBD!$B:$B,$A73)</f>
        <v>6</v>
      </c>
      <c r="C73" s="32" cm="1">
        <f t="array" aca="1" ref="C73" ca="1">INDEX(Data_DBD!$C:$C,$A73)</f>
        <v>4</v>
      </c>
      <c r="D73" s="32" cm="1">
        <f t="array" aca="1" ref="D73" ca="1">INDEX(Data_DBD!$D:$D,$A73)</f>
        <v>33</v>
      </c>
      <c r="E73" s="32" cm="1">
        <f t="array" aca="1" ref="E73" ca="1">INDEX(Data_DBD!$E:$E,$A73)</f>
        <v>0</v>
      </c>
      <c r="F73" s="32" cm="1">
        <f t="array" aca="1" ref="F73" ca="1">INDEX(Data_DBD!$F:$F,$A73)</f>
        <v>3</v>
      </c>
      <c r="H73" s="32">
        <v>52</v>
      </c>
      <c r="I73" s="32">
        <v>59</v>
      </c>
      <c r="J73" s="32">
        <v>4</v>
      </c>
      <c r="K73" s="32">
        <v>15</v>
      </c>
      <c r="L73" s="32">
        <v>1</v>
      </c>
      <c r="M73" s="32">
        <v>2</v>
      </c>
    </row>
    <row r="74" spans="1:13">
      <c r="A74" s="32">
        <f t="shared" ca="1" si="1"/>
        <v>160</v>
      </c>
      <c r="B74" s="32" cm="1">
        <f t="array" aca="1" ref="B74" ca="1">INDEX(Data_DBD!$B:$B,$A74)</f>
        <v>16</v>
      </c>
      <c r="C74" s="32" cm="1">
        <f t="array" aca="1" ref="C74" ca="1">INDEX(Data_DBD!$C:$C,$A74)</f>
        <v>3</v>
      </c>
      <c r="D74" s="32" cm="1">
        <f t="array" aca="1" ref="D74" ca="1">INDEX(Data_DBD!$D:$D,$A74)</f>
        <v>21</v>
      </c>
      <c r="E74" s="32" cm="1">
        <f t="array" aca="1" ref="E74" ca="1">INDEX(Data_DBD!$E:$E,$A74)</f>
        <v>0</v>
      </c>
      <c r="F74" s="32" cm="1">
        <f t="array" aca="1" ref="F74" ca="1">INDEX(Data_DBD!$F:$F,$A74)</f>
        <v>3</v>
      </c>
      <c r="H74" s="32">
        <v>134</v>
      </c>
      <c r="I74" s="32">
        <v>4</v>
      </c>
      <c r="J74" s="32">
        <v>2</v>
      </c>
      <c r="K74" s="32">
        <v>33</v>
      </c>
      <c r="L74" s="32">
        <v>1</v>
      </c>
      <c r="M74" s="32">
        <v>3</v>
      </c>
    </row>
    <row r="75" spans="1:13">
      <c r="A75" s="32">
        <f t="shared" ca="1" si="1"/>
        <v>148</v>
      </c>
      <c r="B75" s="32" cm="1">
        <f t="array" aca="1" ref="B75" ca="1">INDEX(Data_DBD!$B:$B,$A75)</f>
        <v>55</v>
      </c>
      <c r="C75" s="32" cm="1">
        <f t="array" aca="1" ref="C75" ca="1">INDEX(Data_DBD!$C:$C,$A75)</f>
        <v>3</v>
      </c>
      <c r="D75" s="32" cm="1">
        <f t="array" aca="1" ref="D75" ca="1">INDEX(Data_DBD!$D:$D,$A75)</f>
        <v>21</v>
      </c>
      <c r="E75" s="32" cm="1">
        <f t="array" aca="1" ref="E75" ca="1">INDEX(Data_DBD!$E:$E,$A75)</f>
        <v>1</v>
      </c>
      <c r="F75" s="32" cm="1">
        <f t="array" aca="1" ref="F75" ca="1">INDEX(Data_DBD!$F:$F,$A75)</f>
        <v>3</v>
      </c>
      <c r="H75" s="32">
        <v>104</v>
      </c>
      <c r="I75" s="32">
        <v>37</v>
      </c>
      <c r="J75" s="32">
        <v>4</v>
      </c>
      <c r="K75" s="32">
        <v>18</v>
      </c>
      <c r="L75" s="32">
        <v>1</v>
      </c>
      <c r="M75" s="32">
        <v>3</v>
      </c>
    </row>
    <row r="76" spans="1:13">
      <c r="A76" s="32">
        <f t="shared" ca="1" si="1"/>
        <v>10</v>
      </c>
      <c r="B76" s="32" cm="1">
        <f t="array" aca="1" ref="B76" ca="1">INDEX(Data_DBD!$B:$B,$A76)</f>
        <v>18</v>
      </c>
      <c r="C76" s="32" cm="1">
        <f t="array" aca="1" ref="C76" ca="1">INDEX(Data_DBD!$C:$C,$A76)</f>
        <v>5</v>
      </c>
      <c r="D76" s="32" cm="1">
        <f t="array" aca="1" ref="D76" ca="1">INDEX(Data_DBD!$D:$D,$A76)</f>
        <v>12</v>
      </c>
      <c r="E76" s="32" cm="1">
        <f t="array" aca="1" ref="E76" ca="1">INDEX(Data_DBD!$E:$E,$A76)</f>
        <v>0</v>
      </c>
      <c r="F76" s="32" cm="1">
        <f t="array" aca="1" ref="F76" ca="1">INDEX(Data_DBD!$F:$F,$A76)</f>
        <v>2</v>
      </c>
      <c r="H76" s="32">
        <v>30</v>
      </c>
      <c r="I76" s="32" t="s">
        <v>37</v>
      </c>
      <c r="J76" s="32">
        <v>2</v>
      </c>
      <c r="K76" s="32">
        <v>14</v>
      </c>
      <c r="L76" s="32">
        <v>1</v>
      </c>
      <c r="M76" s="32">
        <v>2</v>
      </c>
    </row>
    <row r="77" spans="1:13">
      <c r="A77" s="32">
        <f t="shared" ca="1" si="1"/>
        <v>36</v>
      </c>
      <c r="B77" s="32" cm="1">
        <f t="array" aca="1" ref="B77" ca="1">INDEX(Data_DBD!$B:$B,$A77)</f>
        <v>27</v>
      </c>
      <c r="C77" s="32" cm="1">
        <f t="array" aca="1" ref="C77" ca="1">INDEX(Data_DBD!$C:$C,$A77)</f>
        <v>1</v>
      </c>
      <c r="D77" s="32" cm="1">
        <f t="array" aca="1" ref="D77" ca="1">INDEX(Data_DBD!$D:$D,$A77)</f>
        <v>4</v>
      </c>
      <c r="E77" s="32" cm="1">
        <f t="array" aca="1" ref="E77" ca="1">INDEX(Data_DBD!$E:$E,$A77)</f>
        <v>1</v>
      </c>
      <c r="F77" s="32" cm="1">
        <f t="array" aca="1" ref="F77" ca="1">INDEX(Data_DBD!$F:$F,$A77)</f>
        <v>1</v>
      </c>
      <c r="H77" s="32">
        <v>114</v>
      </c>
      <c r="I77" s="32">
        <v>14</v>
      </c>
      <c r="J77" s="32">
        <v>2</v>
      </c>
      <c r="K77" s="32">
        <v>33</v>
      </c>
      <c r="L77" s="32">
        <v>1</v>
      </c>
      <c r="M77" s="32">
        <v>3</v>
      </c>
    </row>
    <row r="78" spans="1:13">
      <c r="A78" s="32">
        <f t="shared" ca="1" si="1"/>
        <v>143</v>
      </c>
      <c r="B78" s="32" cm="1">
        <f t="array" aca="1" ref="B78" ca="1">INDEX(Data_DBD!$B:$B,$A78)</f>
        <v>20</v>
      </c>
      <c r="C78" s="32" cm="1">
        <f t="array" aca="1" ref="C78" ca="1">INDEX(Data_DBD!$C:$C,$A78)</f>
        <v>4</v>
      </c>
      <c r="D78" s="32" cm="1">
        <f t="array" aca="1" ref="D78" ca="1">INDEX(Data_DBD!$D:$D,$A78)</f>
        <v>21</v>
      </c>
      <c r="E78" s="32" cm="1">
        <f t="array" aca="1" ref="E78" ca="1">INDEX(Data_DBD!$E:$E,$A78)</f>
        <v>1</v>
      </c>
      <c r="F78" s="32" cm="1">
        <f t="array" aca="1" ref="F78" ca="1">INDEX(Data_DBD!$F:$F,$A78)</f>
        <v>3</v>
      </c>
      <c r="H78" s="32">
        <v>54</v>
      </c>
      <c r="I78" s="32">
        <v>7</v>
      </c>
      <c r="J78" s="32">
        <v>3</v>
      </c>
      <c r="K78" s="32">
        <v>15</v>
      </c>
      <c r="L78" s="32">
        <v>0</v>
      </c>
      <c r="M78" s="32">
        <v>2</v>
      </c>
    </row>
    <row r="79" spans="1:13">
      <c r="A79" s="32">
        <f t="shared" ca="1" si="1"/>
        <v>17</v>
      </c>
      <c r="B79" s="32" cm="1">
        <f t="array" aca="1" ref="B79" ca="1">INDEX(Data_DBD!$B:$B,$A79)</f>
        <v>2</v>
      </c>
      <c r="C79" s="32" cm="1">
        <f t="array" aca="1" ref="C79" ca="1">INDEX(Data_DBD!$C:$C,$A79)</f>
        <v>3</v>
      </c>
      <c r="D79" s="32" cm="1">
        <f t="array" aca="1" ref="D79" ca="1">INDEX(Data_DBD!$D:$D,$A79)</f>
        <v>7</v>
      </c>
      <c r="E79" s="32" cm="1">
        <f t="array" aca="1" ref="E79" ca="1">INDEX(Data_DBD!$E:$E,$A79)</f>
        <v>0</v>
      </c>
      <c r="F79" s="32" cm="1">
        <f t="array" aca="1" ref="F79" ca="1">INDEX(Data_DBD!$F:$F,$A79)</f>
        <v>1</v>
      </c>
      <c r="H79" s="32">
        <v>28</v>
      </c>
      <c r="I79" s="32">
        <v>22</v>
      </c>
      <c r="J79" s="32">
        <v>2</v>
      </c>
      <c r="K79" s="32">
        <v>14</v>
      </c>
      <c r="L79" s="32">
        <v>1</v>
      </c>
      <c r="M79" s="32">
        <v>2</v>
      </c>
    </row>
    <row r="80" spans="1:13">
      <c r="A80" s="32">
        <f t="shared" ca="1" si="1"/>
        <v>53</v>
      </c>
      <c r="B80" s="32" cm="1">
        <f t="array" aca="1" ref="B80" ca="1">INDEX(Data_DBD!$B:$B,$A80)</f>
        <v>35</v>
      </c>
      <c r="C80" s="32" cm="1">
        <f t="array" aca="1" ref="C80" ca="1">INDEX(Data_DBD!$C:$C,$A80)</f>
        <v>4</v>
      </c>
      <c r="D80" s="32" cm="1">
        <f t="array" aca="1" ref="D80" ca="1">INDEX(Data_DBD!$D:$D,$A80)</f>
        <v>15</v>
      </c>
      <c r="E80" s="32" cm="1">
        <f t="array" aca="1" ref="E80" ca="1">INDEX(Data_DBD!$E:$E,$A80)</f>
        <v>1</v>
      </c>
      <c r="F80" s="32" cm="1">
        <f t="array" aca="1" ref="F80" ca="1">INDEX(Data_DBD!$F:$F,$A80)</f>
        <v>2</v>
      </c>
      <c r="H80" s="32">
        <v>100</v>
      </c>
      <c r="I80" s="32">
        <v>19</v>
      </c>
      <c r="J80" s="32">
        <v>6</v>
      </c>
      <c r="K80" s="32">
        <v>18</v>
      </c>
      <c r="L80" s="32">
        <v>0</v>
      </c>
      <c r="M80" s="32">
        <v>3</v>
      </c>
    </row>
    <row r="81" spans="1:13">
      <c r="A81" s="32">
        <f t="shared" ca="1" si="1"/>
        <v>123</v>
      </c>
      <c r="B81" s="32" cm="1">
        <f t="array" aca="1" ref="B81" ca="1">INDEX(Data_DBD!$B:$B,$A81)</f>
        <v>22</v>
      </c>
      <c r="C81" s="32" cm="1">
        <f t="array" aca="1" ref="C81" ca="1">INDEX(Data_DBD!$C:$C,$A81)</f>
        <v>4</v>
      </c>
      <c r="D81" s="32" cm="1">
        <f t="array" aca="1" ref="D81" ca="1">INDEX(Data_DBD!$D:$D,$A81)</f>
        <v>33</v>
      </c>
      <c r="E81" s="32" cm="1">
        <f t="array" aca="1" ref="E81" ca="1">INDEX(Data_DBD!$E:$E,$A81)</f>
        <v>0</v>
      </c>
      <c r="F81" s="32" cm="1">
        <f t="array" aca="1" ref="F81" ca="1">INDEX(Data_DBD!$F:$F,$A81)</f>
        <v>3</v>
      </c>
      <c r="H81" s="32">
        <v>18</v>
      </c>
      <c r="I81" s="32">
        <v>49</v>
      </c>
      <c r="J81" s="32">
        <v>4</v>
      </c>
      <c r="K81" s="32">
        <v>7</v>
      </c>
      <c r="L81" s="32">
        <v>1</v>
      </c>
      <c r="M81" s="32">
        <v>1</v>
      </c>
    </row>
    <row r="82" spans="1:13">
      <c r="A82" s="32">
        <f t="shared" ca="1" si="1"/>
        <v>37</v>
      </c>
      <c r="B82" s="32" cm="1">
        <f t="array" aca="1" ref="B82" ca="1">INDEX(Data_DBD!$B:$B,$A82)</f>
        <v>28</v>
      </c>
      <c r="C82" s="32" cm="1">
        <f t="array" aca="1" ref="C82" ca="1">INDEX(Data_DBD!$C:$C,$A82)</f>
        <v>4</v>
      </c>
      <c r="D82" s="32" cm="1">
        <f t="array" aca="1" ref="D82" ca="1">INDEX(Data_DBD!$D:$D,$A82)</f>
        <v>4</v>
      </c>
      <c r="E82" s="32" cm="1">
        <f t="array" aca="1" ref="E82" ca="1">INDEX(Data_DBD!$E:$E,$A82)</f>
        <v>1</v>
      </c>
      <c r="F82" s="32" cm="1">
        <f t="array" aca="1" ref="F82" ca="1">INDEX(Data_DBD!$F:$F,$A82)</f>
        <v>1</v>
      </c>
      <c r="H82" s="32">
        <v>118</v>
      </c>
      <c r="I82" s="32">
        <v>67</v>
      </c>
      <c r="J82" s="32">
        <v>4</v>
      </c>
      <c r="K82" s="32">
        <v>33</v>
      </c>
      <c r="L82" s="32">
        <v>1</v>
      </c>
      <c r="M82" s="32">
        <v>3</v>
      </c>
    </row>
    <row r="83" spans="1:13">
      <c r="A83" s="32">
        <f t="shared" ca="1" si="1"/>
        <v>10</v>
      </c>
      <c r="B83" s="32" cm="1">
        <f t="array" aca="1" ref="B83" ca="1">INDEX(Data_DBD!$B:$B,$A83)</f>
        <v>18</v>
      </c>
      <c r="C83" s="32" cm="1">
        <f t="array" aca="1" ref="C83" ca="1">INDEX(Data_DBD!$C:$C,$A83)</f>
        <v>5</v>
      </c>
      <c r="D83" s="32" cm="1">
        <f t="array" aca="1" ref="D83" ca="1">INDEX(Data_DBD!$D:$D,$A83)</f>
        <v>12</v>
      </c>
      <c r="E83" s="32" cm="1">
        <f t="array" aca="1" ref="E83" ca="1">INDEX(Data_DBD!$E:$E,$A83)</f>
        <v>0</v>
      </c>
      <c r="F83" s="32" cm="1">
        <f t="array" aca="1" ref="F83" ca="1">INDEX(Data_DBD!$F:$F,$A83)</f>
        <v>2</v>
      </c>
      <c r="H83" s="32">
        <v>20</v>
      </c>
      <c r="I83" s="32">
        <v>15</v>
      </c>
      <c r="J83" s="32">
        <v>5</v>
      </c>
      <c r="K83" s="32">
        <v>7</v>
      </c>
      <c r="L83" s="32">
        <v>0</v>
      </c>
      <c r="M83" s="32">
        <v>1</v>
      </c>
    </row>
    <row r="84" spans="1:13">
      <c r="A84" s="32">
        <f t="shared" ca="1" si="1"/>
        <v>143</v>
      </c>
      <c r="B84" s="32" cm="1">
        <f t="array" aca="1" ref="B84" ca="1">INDEX(Data_DBD!$B:$B,$A84)</f>
        <v>20</v>
      </c>
      <c r="C84" s="32" cm="1">
        <f t="array" aca="1" ref="C84" ca="1">INDEX(Data_DBD!$C:$C,$A84)</f>
        <v>4</v>
      </c>
      <c r="D84" s="32" cm="1">
        <f t="array" aca="1" ref="D84" ca="1">INDEX(Data_DBD!$D:$D,$A84)</f>
        <v>21</v>
      </c>
      <c r="E84" s="32" cm="1">
        <f t="array" aca="1" ref="E84" ca="1">INDEX(Data_DBD!$E:$E,$A84)</f>
        <v>1</v>
      </c>
      <c r="F84" s="32" cm="1">
        <f t="array" aca="1" ref="F84" ca="1">INDEX(Data_DBD!$F:$F,$A84)</f>
        <v>3</v>
      </c>
      <c r="H84" s="32">
        <v>105</v>
      </c>
      <c r="I84" s="32">
        <v>61</v>
      </c>
      <c r="J84" s="32">
        <v>3</v>
      </c>
      <c r="K84" s="32">
        <v>18</v>
      </c>
      <c r="L84" s="32">
        <v>1</v>
      </c>
      <c r="M84" s="32">
        <v>3</v>
      </c>
    </row>
    <row r="85" spans="1:13">
      <c r="A85" s="32">
        <f t="shared" ca="1" si="1"/>
        <v>144</v>
      </c>
      <c r="B85" s="32" cm="1">
        <f t="array" aca="1" ref="B85" ca="1">INDEX(Data_DBD!$B:$B,$A85)</f>
        <v>61</v>
      </c>
      <c r="C85" s="32" cm="1">
        <f t="array" aca="1" ref="C85" ca="1">INDEX(Data_DBD!$C:$C,$A85)</f>
        <v>4</v>
      </c>
      <c r="D85" s="32" cm="1">
        <f t="array" aca="1" ref="D85" ca="1">INDEX(Data_DBD!$D:$D,$A85)</f>
        <v>21</v>
      </c>
      <c r="E85" s="32" cm="1">
        <f t="array" aca="1" ref="E85" ca="1">INDEX(Data_DBD!$E:$E,$A85)</f>
        <v>1</v>
      </c>
      <c r="F85" s="32" cm="1">
        <f t="array" aca="1" ref="F85" ca="1">INDEX(Data_DBD!$F:$F,$A85)</f>
        <v>3</v>
      </c>
      <c r="H85" s="32">
        <v>112</v>
      </c>
      <c r="I85" s="32">
        <v>61</v>
      </c>
      <c r="J85" s="32">
        <v>3</v>
      </c>
      <c r="K85" s="32">
        <v>33</v>
      </c>
      <c r="L85" s="32">
        <v>1</v>
      </c>
      <c r="M85" s="32">
        <v>3</v>
      </c>
    </row>
    <row r="86" spans="1:13">
      <c r="A86" s="32">
        <f t="shared" ca="1" si="1"/>
        <v>155</v>
      </c>
      <c r="B86" s="32" cm="1">
        <f t="array" aca="1" ref="B86" ca="1">INDEX(Data_DBD!$B:$B,$A86)</f>
        <v>19</v>
      </c>
      <c r="C86" s="32" cm="1">
        <f t="array" aca="1" ref="C86" ca="1">INDEX(Data_DBD!$C:$C,$A86)</f>
        <v>5</v>
      </c>
      <c r="D86" s="32" cm="1">
        <f t="array" aca="1" ref="D86" ca="1">INDEX(Data_DBD!$D:$D,$A86)</f>
        <v>21</v>
      </c>
      <c r="E86" s="32" cm="1">
        <f t="array" aca="1" ref="E86" ca="1">INDEX(Data_DBD!$E:$E,$A86)</f>
        <v>1</v>
      </c>
      <c r="F86" s="32" cm="1">
        <f t="array" aca="1" ref="F86" ca="1">INDEX(Data_DBD!$F:$F,$A86)</f>
        <v>3</v>
      </c>
      <c r="H86" s="32">
        <v>55</v>
      </c>
      <c r="I86" s="32">
        <v>7</v>
      </c>
      <c r="J86" s="32">
        <v>4</v>
      </c>
      <c r="K86" s="32">
        <v>15</v>
      </c>
      <c r="L86" s="32">
        <v>1</v>
      </c>
      <c r="M86" s="32">
        <v>2</v>
      </c>
    </row>
    <row r="87" spans="1:13">
      <c r="A87" s="32">
        <f t="shared" ca="1" si="1"/>
        <v>61</v>
      </c>
      <c r="B87" s="32" cm="1">
        <f t="array" aca="1" ref="B87" ca="1">INDEX(Data_DBD!$B:$B,$A87)</f>
        <v>29</v>
      </c>
      <c r="C87" s="32" cm="1">
        <f t="array" aca="1" ref="C87" ca="1">INDEX(Data_DBD!$C:$C,$A87)</f>
        <v>3</v>
      </c>
      <c r="D87" s="32" cm="1">
        <f t="array" aca="1" ref="D87" ca="1">INDEX(Data_DBD!$D:$D,$A87)</f>
        <v>15</v>
      </c>
      <c r="E87" s="32" cm="1">
        <f t="array" aca="1" ref="E87" ca="1">INDEX(Data_DBD!$E:$E,$A87)</f>
        <v>1</v>
      </c>
      <c r="F87" s="32" cm="1">
        <f t="array" aca="1" ref="F87" ca="1">INDEX(Data_DBD!$F:$F,$A87)</f>
        <v>2</v>
      </c>
      <c r="H87" s="32">
        <v>80</v>
      </c>
      <c r="I87" s="32">
        <v>27</v>
      </c>
      <c r="J87" s="32">
        <v>3</v>
      </c>
      <c r="K87" s="32">
        <v>13</v>
      </c>
      <c r="L87" s="32">
        <v>1</v>
      </c>
      <c r="M87" s="32">
        <v>2</v>
      </c>
    </row>
    <row r="88" spans="1:13">
      <c r="A88" s="32">
        <f t="shared" ca="1" si="1"/>
        <v>36</v>
      </c>
      <c r="B88" s="32" cm="1">
        <f t="array" aca="1" ref="B88" ca="1">INDEX(Data_DBD!$B:$B,$A88)</f>
        <v>27</v>
      </c>
      <c r="C88" s="32" cm="1">
        <f t="array" aca="1" ref="C88" ca="1">INDEX(Data_DBD!$C:$C,$A88)</f>
        <v>1</v>
      </c>
      <c r="D88" s="32" cm="1">
        <f t="array" aca="1" ref="D88" ca="1">INDEX(Data_DBD!$D:$D,$A88)</f>
        <v>4</v>
      </c>
      <c r="E88" s="32" cm="1">
        <f t="array" aca="1" ref="E88" ca="1">INDEX(Data_DBD!$E:$E,$A88)</f>
        <v>1</v>
      </c>
      <c r="F88" s="32" cm="1">
        <f t="array" aca="1" ref="F88" ca="1">INDEX(Data_DBD!$F:$F,$A88)</f>
        <v>1</v>
      </c>
      <c r="H88" s="32">
        <v>70</v>
      </c>
      <c r="I88" s="32">
        <v>26</v>
      </c>
      <c r="J88" s="32">
        <v>3</v>
      </c>
      <c r="K88" s="32">
        <v>10</v>
      </c>
      <c r="L88" s="32">
        <v>1</v>
      </c>
      <c r="M88" s="32">
        <v>2</v>
      </c>
    </row>
    <row r="89" spans="1:13">
      <c r="A89" s="32">
        <f t="shared" ca="1" si="1"/>
        <v>98</v>
      </c>
      <c r="B89" s="32" cm="1">
        <f t="array" aca="1" ref="B89" ca="1">INDEX(Data_DBD!$B:$B,$A89)</f>
        <v>16</v>
      </c>
      <c r="C89" s="32" cm="1">
        <f t="array" aca="1" ref="C89" ca="1">INDEX(Data_DBD!$C:$C,$A89)</f>
        <v>2</v>
      </c>
      <c r="D89" s="32" cm="1">
        <f t="array" aca="1" ref="D89" ca="1">INDEX(Data_DBD!$D:$D,$A89)</f>
        <v>18</v>
      </c>
      <c r="E89" s="32" cm="1">
        <f t="array" aca="1" ref="E89" ca="1">INDEX(Data_DBD!$E:$E,$A89)</f>
        <v>1</v>
      </c>
      <c r="F89" s="32" cm="1">
        <f t="array" aca="1" ref="F89" ca="1">INDEX(Data_DBD!$F:$F,$A89)</f>
        <v>3</v>
      </c>
      <c r="H89" s="32">
        <v>80</v>
      </c>
      <c r="I89" s="32">
        <v>27</v>
      </c>
      <c r="J89" s="32">
        <v>3</v>
      </c>
      <c r="K89" s="32">
        <v>13</v>
      </c>
      <c r="L89" s="32">
        <v>1</v>
      </c>
      <c r="M89" s="32">
        <v>2</v>
      </c>
    </row>
    <row r="90" spans="1:13">
      <c r="A90" s="32">
        <f t="shared" ca="1" si="1"/>
        <v>111</v>
      </c>
      <c r="B90" s="32" cm="1">
        <f t="array" aca="1" ref="B90" ca="1">INDEX(Data_DBD!$B:$B,$A90)</f>
        <v>25</v>
      </c>
      <c r="C90" s="32" cm="1">
        <f t="array" aca="1" ref="C90" ca="1">INDEX(Data_DBD!$C:$C,$A90)</f>
        <v>4</v>
      </c>
      <c r="D90" s="32" cm="1">
        <f t="array" aca="1" ref="D90" ca="1">INDEX(Data_DBD!$D:$D,$A90)</f>
        <v>33</v>
      </c>
      <c r="E90" s="32" cm="1">
        <f t="array" aca="1" ref="E90" ca="1">INDEX(Data_DBD!$E:$E,$A90)</f>
        <v>0</v>
      </c>
      <c r="F90" s="32" cm="1">
        <f t="array" aca="1" ref="F90" ca="1">INDEX(Data_DBD!$F:$F,$A90)</f>
        <v>3</v>
      </c>
      <c r="H90" s="32">
        <v>54</v>
      </c>
      <c r="I90" s="32">
        <v>7</v>
      </c>
      <c r="J90" s="32">
        <v>3</v>
      </c>
      <c r="K90" s="32">
        <v>15</v>
      </c>
      <c r="L90" s="32">
        <v>0</v>
      </c>
      <c r="M90" s="32">
        <v>2</v>
      </c>
    </row>
    <row r="91" spans="1:13">
      <c r="A91" s="32">
        <f t="shared" ca="1" si="1"/>
        <v>93</v>
      </c>
      <c r="B91" s="32" cm="1">
        <f t="array" aca="1" ref="B91" ca="1">INDEX(Data_DBD!$B:$B,$A91)</f>
        <v>65</v>
      </c>
      <c r="C91" s="32" cm="1">
        <f t="array" aca="1" ref="C91" ca="1">INDEX(Data_DBD!$C:$C,$A91)</f>
        <v>4</v>
      </c>
      <c r="D91" s="32" cm="1">
        <f t="array" aca="1" ref="D91" ca="1">INDEX(Data_DBD!$D:$D,$A91)</f>
        <v>18</v>
      </c>
      <c r="E91" s="32" cm="1">
        <f t="array" aca="1" ref="E91" ca="1">INDEX(Data_DBD!$E:$E,$A91)</f>
        <v>0</v>
      </c>
      <c r="F91" s="32" cm="1">
        <f t="array" aca="1" ref="F91" ca="1">INDEX(Data_DBD!$F:$F,$A91)</f>
        <v>3</v>
      </c>
      <c r="H91" s="32">
        <v>73</v>
      </c>
      <c r="I91" s="32">
        <v>15</v>
      </c>
      <c r="J91" s="32">
        <v>3</v>
      </c>
      <c r="K91" s="32">
        <v>10</v>
      </c>
      <c r="L91" s="32">
        <v>1</v>
      </c>
      <c r="M91" s="32">
        <v>2</v>
      </c>
    </row>
    <row r="92" spans="1:13">
      <c r="A92" s="32">
        <f t="shared" ca="1" si="1"/>
        <v>108</v>
      </c>
      <c r="B92" s="32" cm="1">
        <f t="array" aca="1" ref="B92" ca="1">INDEX(Data_DBD!$B:$B,$A92)</f>
        <v>69</v>
      </c>
      <c r="C92" s="32" cm="1">
        <f t="array" aca="1" ref="C92" ca="1">INDEX(Data_DBD!$C:$C,$A92)</f>
        <v>7</v>
      </c>
      <c r="D92" s="32" cm="1">
        <f t="array" aca="1" ref="D92" ca="1">INDEX(Data_DBD!$D:$D,$A92)</f>
        <v>33</v>
      </c>
      <c r="E92" s="32" cm="1">
        <f t="array" aca="1" ref="E92" ca="1">INDEX(Data_DBD!$E:$E,$A92)</f>
        <v>1</v>
      </c>
      <c r="F92" s="32" cm="1">
        <f t="array" aca="1" ref="F92" ca="1">INDEX(Data_DBD!$F:$F,$A92)</f>
        <v>3</v>
      </c>
      <c r="H92" s="32">
        <v>154</v>
      </c>
      <c r="I92" s="32">
        <v>18</v>
      </c>
      <c r="J92" s="32">
        <v>5</v>
      </c>
      <c r="K92" s="32">
        <v>21</v>
      </c>
      <c r="L92" s="32">
        <v>1</v>
      </c>
      <c r="M92" s="32">
        <v>3</v>
      </c>
    </row>
    <row r="93" spans="1:13">
      <c r="A93" s="32">
        <f t="shared" ca="1" si="1"/>
        <v>127</v>
      </c>
      <c r="B93" s="32" cm="1">
        <f t="array" aca="1" ref="B93" ca="1">INDEX(Data_DBD!$B:$B,$A93)</f>
        <v>21</v>
      </c>
      <c r="C93" s="32" cm="1">
        <f t="array" aca="1" ref="C93" ca="1">INDEX(Data_DBD!$C:$C,$A93)</f>
        <v>2</v>
      </c>
      <c r="D93" s="32" cm="1">
        <f t="array" aca="1" ref="D93" ca="1">INDEX(Data_DBD!$D:$D,$A93)</f>
        <v>33</v>
      </c>
      <c r="E93" s="32" cm="1">
        <f t="array" aca="1" ref="E93" ca="1">INDEX(Data_DBD!$E:$E,$A93)</f>
        <v>0</v>
      </c>
      <c r="F93" s="32" cm="1">
        <f t="array" aca="1" ref="F93" ca="1">INDEX(Data_DBD!$F:$F,$A93)</f>
        <v>3</v>
      </c>
      <c r="H93" s="32">
        <v>93</v>
      </c>
      <c r="I93" s="32">
        <v>65</v>
      </c>
      <c r="J93" s="32">
        <v>4</v>
      </c>
      <c r="K93" s="32">
        <v>18</v>
      </c>
      <c r="L93" s="32">
        <v>0</v>
      </c>
      <c r="M93" s="32">
        <v>3</v>
      </c>
    </row>
    <row r="94" spans="1:13">
      <c r="A94" s="32">
        <f t="shared" ca="1" si="1"/>
        <v>86</v>
      </c>
      <c r="B94" s="32" cm="1">
        <f t="array" aca="1" ref="B94" ca="1">INDEX(Data_DBD!$B:$B,$A94)</f>
        <v>23</v>
      </c>
      <c r="C94" s="32" cm="1">
        <f t="array" aca="1" ref="C94" ca="1">INDEX(Data_DBD!$C:$C,$A94)</f>
        <v>3</v>
      </c>
      <c r="D94" s="32" cm="1">
        <f t="array" aca="1" ref="D94" ca="1">INDEX(Data_DBD!$D:$D,$A94)</f>
        <v>13</v>
      </c>
      <c r="E94" s="32" cm="1">
        <f t="array" aca="1" ref="E94" ca="1">INDEX(Data_DBD!$E:$E,$A94)</f>
        <v>0</v>
      </c>
      <c r="F94" s="32" cm="1">
        <f t="array" aca="1" ref="F94" ca="1">INDEX(Data_DBD!$F:$F,$A94)</f>
        <v>2</v>
      </c>
      <c r="H94" s="32">
        <v>44</v>
      </c>
      <c r="I94" s="32">
        <v>28</v>
      </c>
      <c r="J94" s="32">
        <v>5</v>
      </c>
      <c r="K94" s="32">
        <v>13</v>
      </c>
      <c r="L94" s="32">
        <v>1</v>
      </c>
      <c r="M94" s="32">
        <v>2</v>
      </c>
    </row>
    <row r="95" spans="1:13">
      <c r="A95" s="32">
        <f t="shared" ca="1" si="1"/>
        <v>59</v>
      </c>
      <c r="B95" s="32" cm="1">
        <f t="array" aca="1" ref="B95" ca="1">INDEX(Data_DBD!$B:$B,$A95)</f>
        <v>28</v>
      </c>
      <c r="C95" s="32" cm="1">
        <f t="array" aca="1" ref="C95" ca="1">INDEX(Data_DBD!$C:$C,$A95)</f>
        <v>4</v>
      </c>
      <c r="D95" s="32" cm="1">
        <f t="array" aca="1" ref="D95" ca="1">INDEX(Data_DBD!$D:$D,$A95)</f>
        <v>15</v>
      </c>
      <c r="E95" s="32" cm="1">
        <f t="array" aca="1" ref="E95" ca="1">INDEX(Data_DBD!$E:$E,$A95)</f>
        <v>0</v>
      </c>
      <c r="F95" s="32" cm="1">
        <f t="array" aca="1" ref="F95" ca="1">INDEX(Data_DBD!$F:$F,$A95)</f>
        <v>2</v>
      </c>
      <c r="H95" s="32">
        <v>135</v>
      </c>
      <c r="I95" s="32">
        <v>10</v>
      </c>
      <c r="J95" s="32">
        <v>2</v>
      </c>
      <c r="K95" s="32">
        <v>33</v>
      </c>
      <c r="L95" s="32">
        <v>0</v>
      </c>
      <c r="M95" s="32">
        <v>3</v>
      </c>
    </row>
    <row r="96" spans="1:13">
      <c r="A96" s="32">
        <f t="shared" ca="1" si="1"/>
        <v>36</v>
      </c>
      <c r="B96" s="32" cm="1">
        <f t="array" aca="1" ref="B96" ca="1">INDEX(Data_DBD!$B:$B,$A96)</f>
        <v>27</v>
      </c>
      <c r="C96" s="32" cm="1">
        <f t="array" aca="1" ref="C96" ca="1">INDEX(Data_DBD!$C:$C,$A96)</f>
        <v>1</v>
      </c>
      <c r="D96" s="32" cm="1">
        <f t="array" aca="1" ref="D96" ca="1">INDEX(Data_DBD!$D:$D,$A96)</f>
        <v>4</v>
      </c>
      <c r="E96" s="32" cm="1">
        <f t="array" aca="1" ref="E96" ca="1">INDEX(Data_DBD!$E:$E,$A96)</f>
        <v>1</v>
      </c>
      <c r="F96" s="32" cm="1">
        <f t="array" aca="1" ref="F96" ca="1">INDEX(Data_DBD!$F:$F,$A96)</f>
        <v>1</v>
      </c>
      <c r="H96" s="32">
        <v>108</v>
      </c>
      <c r="I96" s="32">
        <v>69</v>
      </c>
      <c r="J96" s="32">
        <v>7</v>
      </c>
      <c r="K96" s="32">
        <v>33</v>
      </c>
      <c r="L96" s="32">
        <v>1</v>
      </c>
      <c r="M96" s="32">
        <v>3</v>
      </c>
    </row>
    <row r="97" spans="1:13">
      <c r="A97" s="32">
        <f t="shared" ca="1" si="1"/>
        <v>11</v>
      </c>
      <c r="B97" s="32" cm="1">
        <f t="array" aca="1" ref="B97" ca="1">INDEX(Data_DBD!$B:$B,$A97)</f>
        <v>24</v>
      </c>
      <c r="C97" s="32" cm="1">
        <f t="array" aca="1" ref="C97" ca="1">INDEX(Data_DBD!$C:$C,$A97)</f>
        <v>5</v>
      </c>
      <c r="D97" s="32" cm="1">
        <f t="array" aca="1" ref="D97" ca="1">INDEX(Data_DBD!$D:$D,$A97)</f>
        <v>12</v>
      </c>
      <c r="E97" s="32" cm="1">
        <f t="array" aca="1" ref="E97" ca="1">INDEX(Data_DBD!$E:$E,$A97)</f>
        <v>1</v>
      </c>
      <c r="F97" s="32" cm="1">
        <f t="array" aca="1" ref="F97" ca="1">INDEX(Data_DBD!$F:$F,$A97)</f>
        <v>2</v>
      </c>
      <c r="H97" s="32">
        <v>158</v>
      </c>
      <c r="I97" s="32">
        <v>5</v>
      </c>
      <c r="J97" s="32">
        <v>2</v>
      </c>
      <c r="K97" s="32">
        <v>21</v>
      </c>
      <c r="L97" s="32">
        <v>0</v>
      </c>
      <c r="M97" s="32">
        <v>3</v>
      </c>
    </row>
    <row r="98" spans="1:13">
      <c r="A98" s="32">
        <f t="shared" ca="1" si="1"/>
        <v>90</v>
      </c>
      <c r="B98" s="32" cm="1">
        <f t="array" aca="1" ref="B98" ca="1">INDEX(Data_DBD!$B:$B,$A98)</f>
        <v>47</v>
      </c>
      <c r="C98" s="32" cm="1">
        <f t="array" aca="1" ref="C98" ca="1">INDEX(Data_DBD!$C:$C,$A98)</f>
        <v>3</v>
      </c>
      <c r="D98" s="32" cm="1">
        <f t="array" aca="1" ref="D98" ca="1">INDEX(Data_DBD!$D:$D,$A98)</f>
        <v>18</v>
      </c>
      <c r="E98" s="32" cm="1">
        <f t="array" aca="1" ref="E98" ca="1">INDEX(Data_DBD!$E:$E,$A98)</f>
        <v>0</v>
      </c>
      <c r="F98" s="32" cm="1">
        <f t="array" aca="1" ref="F98" ca="1">INDEX(Data_DBD!$F:$F,$A98)</f>
        <v>3</v>
      </c>
      <c r="H98" s="32">
        <v>105</v>
      </c>
      <c r="I98" s="32">
        <v>61</v>
      </c>
      <c r="J98" s="32">
        <v>3</v>
      </c>
      <c r="K98" s="32">
        <v>18</v>
      </c>
      <c r="L98" s="32">
        <v>1</v>
      </c>
      <c r="M98" s="32">
        <v>3</v>
      </c>
    </row>
    <row r="99" spans="1:13">
      <c r="A99" s="32">
        <f t="shared" ca="1" si="1"/>
        <v>26</v>
      </c>
      <c r="B99" s="32" cm="1">
        <f t="array" aca="1" ref="B99" ca="1">INDEX(Data_DBD!$B:$B,$A99)</f>
        <v>75</v>
      </c>
      <c r="C99" s="32" cm="1">
        <f t="array" aca="1" ref="C99" ca="1">INDEX(Data_DBD!$C:$C,$A99)</f>
        <v>4</v>
      </c>
      <c r="D99" s="32" cm="1">
        <f t="array" aca="1" ref="D99" ca="1">INDEX(Data_DBD!$D:$D,$A99)</f>
        <v>14</v>
      </c>
      <c r="E99" s="32" cm="1">
        <f t="array" aca="1" ref="E99" ca="1">INDEX(Data_DBD!$E:$E,$A99)</f>
        <v>1</v>
      </c>
      <c r="F99" s="32" cm="1">
        <f t="array" aca="1" ref="F99" ca="1">INDEX(Data_DBD!$F:$F,$A99)</f>
        <v>2</v>
      </c>
      <c r="H99" s="32">
        <v>107</v>
      </c>
      <c r="I99" s="32">
        <v>48</v>
      </c>
      <c r="J99" s="32">
        <v>5</v>
      </c>
      <c r="K99" s="32">
        <v>18</v>
      </c>
      <c r="L99" s="32">
        <v>0</v>
      </c>
      <c r="M99" s="32">
        <v>3</v>
      </c>
    </row>
    <row r="100" spans="1:13">
      <c r="A100" s="32">
        <f t="shared" ca="1" si="1"/>
        <v>148</v>
      </c>
      <c r="B100" s="32" cm="1">
        <f t="array" aca="1" ref="B100" ca="1">INDEX(Data_DBD!$B:$B,$A100)</f>
        <v>55</v>
      </c>
      <c r="C100" s="32" cm="1">
        <f t="array" aca="1" ref="C100" ca="1">INDEX(Data_DBD!$C:$C,$A100)</f>
        <v>3</v>
      </c>
      <c r="D100" s="32" cm="1">
        <f t="array" aca="1" ref="D100" ca="1">INDEX(Data_DBD!$D:$D,$A100)</f>
        <v>21</v>
      </c>
      <c r="E100" s="32" cm="1">
        <f t="array" aca="1" ref="E100" ca="1">INDEX(Data_DBD!$E:$E,$A100)</f>
        <v>1</v>
      </c>
      <c r="F100" s="32" cm="1">
        <f t="array" aca="1" ref="F100" ca="1">INDEX(Data_DBD!$F:$F,$A100)</f>
        <v>3</v>
      </c>
      <c r="H100" s="32">
        <v>44</v>
      </c>
      <c r="I100" s="32">
        <v>28</v>
      </c>
      <c r="J100" s="32">
        <v>5</v>
      </c>
      <c r="K100" s="32">
        <v>13</v>
      </c>
      <c r="L100" s="32">
        <v>1</v>
      </c>
      <c r="M100" s="32">
        <v>2</v>
      </c>
    </row>
    <row r="101" spans="1:13">
      <c r="A101" s="32">
        <f t="shared" ca="1" si="1"/>
        <v>150</v>
      </c>
      <c r="B101" s="32" cm="1">
        <f t="array" aca="1" ref="B101" ca="1">INDEX(Data_DBD!$B:$B,$A101)</f>
        <v>61</v>
      </c>
      <c r="C101" s="32" cm="1">
        <f t="array" aca="1" ref="C101" ca="1">INDEX(Data_DBD!$C:$C,$A101)</f>
        <v>5</v>
      </c>
      <c r="D101" s="32" cm="1">
        <f t="array" aca="1" ref="D101" ca="1">INDEX(Data_DBD!$D:$D,$A101)</f>
        <v>21</v>
      </c>
      <c r="E101" s="32" cm="1">
        <f t="array" aca="1" ref="E101" ca="1">INDEX(Data_DBD!$E:$E,$A101)</f>
        <v>1</v>
      </c>
      <c r="F101" s="32" cm="1">
        <f t="array" aca="1" ref="F101" ca="1">INDEX(Data_DBD!$F:$F,$A101)</f>
        <v>3</v>
      </c>
      <c r="H101" s="32">
        <v>144</v>
      </c>
      <c r="I101" s="32">
        <v>61</v>
      </c>
      <c r="J101" s="32">
        <v>4</v>
      </c>
      <c r="K101" s="32">
        <v>21</v>
      </c>
      <c r="L101" s="32">
        <v>1</v>
      </c>
      <c r="M101" s="32">
        <v>3</v>
      </c>
    </row>
    <row r="102" spans="1:13">
      <c r="A102" s="32">
        <f t="shared" ca="1" si="1"/>
        <v>13</v>
      </c>
      <c r="B102" s="32" cm="1">
        <f t="array" aca="1" ref="B102" ca="1">INDEX(Data_DBD!$B:$B,$A102)</f>
        <v>47</v>
      </c>
      <c r="C102" s="32" cm="1">
        <f t="array" aca="1" ref="C102" ca="1">INDEX(Data_DBD!$C:$C,$A102)</f>
        <v>2</v>
      </c>
      <c r="D102" s="32" cm="1">
        <f t="array" aca="1" ref="D102" ca="1">INDEX(Data_DBD!$D:$D,$A102)</f>
        <v>12</v>
      </c>
      <c r="E102" s="32" cm="1">
        <f t="array" aca="1" ref="E102" ca="1">INDEX(Data_DBD!$E:$E,$A102)</f>
        <v>0</v>
      </c>
      <c r="F102" s="32" cm="1">
        <f t="array" aca="1" ref="F102" ca="1">INDEX(Data_DBD!$F:$F,$A102)</f>
        <v>2</v>
      </c>
      <c r="H102" s="32">
        <v>45</v>
      </c>
      <c r="I102" s="32">
        <v>75</v>
      </c>
      <c r="J102" s="32">
        <v>3</v>
      </c>
      <c r="K102" s="32">
        <v>13</v>
      </c>
      <c r="L102" s="32">
        <v>1</v>
      </c>
      <c r="M102" s="32">
        <v>2</v>
      </c>
    </row>
    <row r="103" spans="1:13">
      <c r="A103" s="32">
        <f t="shared" ca="1" si="1"/>
        <v>27</v>
      </c>
      <c r="B103" s="32" cm="1">
        <f t="array" aca="1" ref="B103" ca="1">INDEX(Data_DBD!$B:$B,$A103)</f>
        <v>37</v>
      </c>
      <c r="C103" s="32" cm="1">
        <f t="array" aca="1" ref="C103" ca="1">INDEX(Data_DBD!$C:$C,$A103)</f>
        <v>4</v>
      </c>
      <c r="D103" s="32" cm="1">
        <f t="array" aca="1" ref="D103" ca="1">INDEX(Data_DBD!$D:$D,$A103)</f>
        <v>14</v>
      </c>
      <c r="E103" s="32" cm="1">
        <f t="array" aca="1" ref="E103" ca="1">INDEX(Data_DBD!$E:$E,$A103)</f>
        <v>1</v>
      </c>
      <c r="F103" s="32" cm="1">
        <f t="array" aca="1" ref="F103" ca="1">INDEX(Data_DBD!$F:$F,$A103)</f>
        <v>2</v>
      </c>
      <c r="H103" s="32">
        <v>133</v>
      </c>
      <c r="I103" s="32">
        <v>6</v>
      </c>
      <c r="J103" s="32">
        <v>4</v>
      </c>
      <c r="K103" s="32">
        <v>33</v>
      </c>
      <c r="L103" s="32">
        <v>0</v>
      </c>
      <c r="M103" s="32">
        <v>3</v>
      </c>
    </row>
    <row r="104" spans="1:13">
      <c r="A104" s="32">
        <f t="shared" ca="1" si="1"/>
        <v>48</v>
      </c>
      <c r="B104" s="32" cm="1">
        <f t="array" aca="1" ref="B104" ca="1">INDEX(Data_DBD!$B:$B,$A104)</f>
        <v>50</v>
      </c>
      <c r="C104" s="32" cm="1">
        <f t="array" aca="1" ref="C104" ca="1">INDEX(Data_DBD!$C:$C,$A104)</f>
        <v>5</v>
      </c>
      <c r="D104" s="32" cm="1">
        <f t="array" aca="1" ref="D104" ca="1">INDEX(Data_DBD!$D:$D,$A104)</f>
        <v>13</v>
      </c>
      <c r="E104" s="32" cm="1">
        <f t="array" aca="1" ref="E104" ca="1">INDEX(Data_DBD!$E:$E,$A104)</f>
        <v>1</v>
      </c>
      <c r="F104" s="32" cm="1">
        <f t="array" aca="1" ref="F104" ca="1">INDEX(Data_DBD!$F:$F,$A104)</f>
        <v>2</v>
      </c>
      <c r="H104" s="32">
        <v>3</v>
      </c>
      <c r="I104" s="32">
        <v>43</v>
      </c>
      <c r="J104" s="32">
        <v>3</v>
      </c>
      <c r="K104" s="32">
        <v>12</v>
      </c>
      <c r="L104" s="32">
        <v>1</v>
      </c>
      <c r="M104" s="32">
        <v>2</v>
      </c>
    </row>
    <row r="105" spans="1:13">
      <c r="A105" s="32">
        <f t="shared" ca="1" si="1"/>
        <v>140</v>
      </c>
      <c r="B105" s="32" cm="1">
        <f t="array" aca="1" ref="B105" ca="1">INDEX(Data_DBD!$B:$B,$A105)</f>
        <v>74</v>
      </c>
      <c r="C105" s="32" cm="1">
        <f t="array" aca="1" ref="C105" ca="1">INDEX(Data_DBD!$C:$C,$A105)</f>
        <v>5</v>
      </c>
      <c r="D105" s="32" cm="1">
        <f t="array" aca="1" ref="D105" ca="1">INDEX(Data_DBD!$D:$D,$A105)</f>
        <v>21</v>
      </c>
      <c r="E105" s="32" cm="1">
        <f t="array" aca="1" ref="E105" ca="1">INDEX(Data_DBD!$E:$E,$A105)</f>
        <v>1</v>
      </c>
      <c r="F105" s="32" cm="1">
        <f t="array" aca="1" ref="F105" ca="1">INDEX(Data_DBD!$F:$F,$A105)</f>
        <v>3</v>
      </c>
      <c r="H105" s="32">
        <v>99</v>
      </c>
      <c r="I105" s="32">
        <v>4</v>
      </c>
      <c r="J105" s="32">
        <v>2</v>
      </c>
      <c r="K105" s="32">
        <v>18</v>
      </c>
      <c r="L105" s="32">
        <v>1</v>
      </c>
      <c r="M105" s="32">
        <v>3</v>
      </c>
    </row>
    <row r="106" spans="1:13">
      <c r="A106" s="32">
        <f t="shared" ca="1" si="1"/>
        <v>69</v>
      </c>
      <c r="B106" s="32" cm="1">
        <f t="array" aca="1" ref="B106" ca="1">INDEX(Data_DBD!$B:$B,$A106)</f>
        <v>24</v>
      </c>
      <c r="C106" s="32" cm="1">
        <f t="array" aca="1" ref="C106" ca="1">INDEX(Data_DBD!$C:$C,$A106)</f>
        <v>4</v>
      </c>
      <c r="D106" s="32" cm="1">
        <f t="array" aca="1" ref="D106" ca="1">INDEX(Data_DBD!$D:$D,$A106)</f>
        <v>10</v>
      </c>
      <c r="E106" s="32" cm="1">
        <f t="array" aca="1" ref="E106" ca="1">INDEX(Data_DBD!$E:$E,$A106)</f>
        <v>1</v>
      </c>
      <c r="F106" s="32" cm="1">
        <f t="array" aca="1" ref="F106" ca="1">INDEX(Data_DBD!$F:$F,$A106)</f>
        <v>2</v>
      </c>
      <c r="H106" s="32">
        <v>20</v>
      </c>
      <c r="I106" s="32">
        <v>15</v>
      </c>
      <c r="J106" s="32">
        <v>5</v>
      </c>
      <c r="K106" s="32">
        <v>7</v>
      </c>
      <c r="L106" s="32">
        <v>0</v>
      </c>
      <c r="M106" s="32">
        <v>1</v>
      </c>
    </row>
    <row r="107" spans="1:13">
      <c r="A107" s="32">
        <f t="shared" ca="1" si="1"/>
        <v>12</v>
      </c>
      <c r="B107" s="32" cm="1">
        <f t="array" aca="1" ref="B107" ca="1">INDEX(Data_DBD!$B:$B,$A107)</f>
        <v>23</v>
      </c>
      <c r="C107" s="32" cm="1">
        <f t="array" aca="1" ref="C107" ca="1">INDEX(Data_DBD!$C:$C,$A107)</f>
        <v>3</v>
      </c>
      <c r="D107" s="32" cm="1">
        <f t="array" aca="1" ref="D107" ca="1">INDEX(Data_DBD!$D:$D,$A107)</f>
        <v>12</v>
      </c>
      <c r="E107" s="32" cm="1">
        <f t="array" aca="1" ref="E107" ca="1">INDEX(Data_DBD!$E:$E,$A107)</f>
        <v>0</v>
      </c>
      <c r="F107" s="32" cm="1">
        <f t="array" aca="1" ref="F107" ca="1">INDEX(Data_DBD!$F:$F,$A107)</f>
        <v>2</v>
      </c>
      <c r="H107" s="32">
        <v>54</v>
      </c>
      <c r="I107" s="32">
        <v>7</v>
      </c>
      <c r="J107" s="32">
        <v>3</v>
      </c>
      <c r="K107" s="32">
        <v>15</v>
      </c>
      <c r="L107" s="32">
        <v>0</v>
      </c>
      <c r="M107" s="32">
        <v>2</v>
      </c>
    </row>
    <row r="108" spans="1:13">
      <c r="A108" s="32">
        <f t="shared" ca="1" si="1"/>
        <v>88</v>
      </c>
      <c r="B108" s="32" cm="1">
        <f t="array" aca="1" ref="B108" ca="1">INDEX(Data_DBD!$B:$B,$A108)</f>
        <v>20</v>
      </c>
      <c r="C108" s="32" cm="1">
        <f t="array" aca="1" ref="C108" ca="1">INDEX(Data_DBD!$C:$C,$A108)</f>
        <v>4</v>
      </c>
      <c r="D108" s="32" cm="1">
        <f t="array" aca="1" ref="D108" ca="1">INDEX(Data_DBD!$D:$D,$A108)</f>
        <v>13</v>
      </c>
      <c r="E108" s="32" cm="1">
        <f t="array" aca="1" ref="E108" ca="1">INDEX(Data_DBD!$E:$E,$A108)</f>
        <v>1</v>
      </c>
      <c r="F108" s="32" cm="1">
        <f t="array" aca="1" ref="F108" ca="1">INDEX(Data_DBD!$F:$F,$A108)</f>
        <v>2</v>
      </c>
      <c r="H108" s="32">
        <v>46</v>
      </c>
      <c r="I108" s="32">
        <v>62</v>
      </c>
      <c r="J108" s="32">
        <v>2</v>
      </c>
      <c r="K108" s="32">
        <v>13</v>
      </c>
      <c r="L108" s="32">
        <v>0</v>
      </c>
      <c r="M108" s="32">
        <v>2</v>
      </c>
    </row>
    <row r="109" spans="1:13">
      <c r="A109" s="32">
        <f t="shared" ca="1" si="1"/>
        <v>96</v>
      </c>
      <c r="B109" s="32" cm="1">
        <f t="array" aca="1" ref="B109" ca="1">INDEX(Data_DBD!$B:$B,$A109)</f>
        <v>56</v>
      </c>
      <c r="C109" s="32" cm="1">
        <f t="array" aca="1" ref="C109" ca="1">INDEX(Data_DBD!$C:$C,$A109)</f>
        <v>4</v>
      </c>
      <c r="D109" s="32" cm="1">
        <f t="array" aca="1" ref="D109" ca="1">INDEX(Data_DBD!$D:$D,$A109)</f>
        <v>18</v>
      </c>
      <c r="E109" s="32" cm="1">
        <f t="array" aca="1" ref="E109" ca="1">INDEX(Data_DBD!$E:$E,$A109)</f>
        <v>0</v>
      </c>
      <c r="F109" s="32" cm="1">
        <f t="array" aca="1" ref="F109" ca="1">INDEX(Data_DBD!$F:$F,$A109)</f>
        <v>3</v>
      </c>
      <c r="H109" s="32">
        <v>11</v>
      </c>
      <c r="I109" s="32">
        <v>24</v>
      </c>
      <c r="J109" s="32">
        <v>5</v>
      </c>
      <c r="K109" s="32">
        <v>12</v>
      </c>
      <c r="L109" s="32">
        <v>1</v>
      </c>
      <c r="M109" s="32">
        <v>2</v>
      </c>
    </row>
    <row r="110" spans="1:13">
      <c r="A110" s="32">
        <f t="shared" ca="1" si="1"/>
        <v>68</v>
      </c>
      <c r="B110" s="32" cm="1">
        <f t="array" aca="1" ref="B110" ca="1">INDEX(Data_DBD!$B:$B,$A110)</f>
        <v>44</v>
      </c>
      <c r="C110" s="32" cm="1">
        <f t="array" aca="1" ref="C110" ca="1">INDEX(Data_DBD!$C:$C,$A110)</f>
        <v>5</v>
      </c>
      <c r="D110" s="32" cm="1">
        <f t="array" aca="1" ref="D110" ca="1">INDEX(Data_DBD!$D:$D,$A110)</f>
        <v>10</v>
      </c>
      <c r="E110" s="32" cm="1">
        <f t="array" aca="1" ref="E110" ca="1">INDEX(Data_DBD!$E:$E,$A110)</f>
        <v>0</v>
      </c>
      <c r="F110" s="32" cm="1">
        <f t="array" aca="1" ref="F110" ca="1">INDEX(Data_DBD!$F:$F,$A110)</f>
        <v>2</v>
      </c>
      <c r="H110" s="32">
        <v>146</v>
      </c>
      <c r="I110" s="32">
        <v>34</v>
      </c>
      <c r="J110" s="32">
        <v>2</v>
      </c>
      <c r="K110" s="32">
        <v>21</v>
      </c>
      <c r="L110" s="32">
        <v>1</v>
      </c>
      <c r="M110" s="32">
        <v>3</v>
      </c>
    </row>
    <row r="111" spans="1:13">
      <c r="A111" s="32">
        <f t="shared" ca="1" si="1"/>
        <v>57</v>
      </c>
      <c r="B111" s="32" cm="1">
        <f t="array" aca="1" ref="B111" ca="1">INDEX(Data_DBD!$B:$B,$A111)</f>
        <v>2</v>
      </c>
      <c r="C111" s="32" cm="1">
        <f t="array" aca="1" ref="C111" ca="1">INDEX(Data_DBD!$C:$C,$A111)</f>
        <v>2</v>
      </c>
      <c r="D111" s="32" cm="1">
        <f t="array" aca="1" ref="D111" ca="1">INDEX(Data_DBD!$D:$D,$A111)</f>
        <v>15</v>
      </c>
      <c r="E111" s="32" cm="1">
        <f t="array" aca="1" ref="E111" ca="1">INDEX(Data_DBD!$E:$E,$A111)</f>
        <v>1</v>
      </c>
      <c r="F111" s="32" cm="1">
        <f t="array" aca="1" ref="F111" ca="1">INDEX(Data_DBD!$F:$F,$A111)</f>
        <v>2</v>
      </c>
      <c r="H111" s="32">
        <v>107</v>
      </c>
      <c r="I111" s="32">
        <v>48</v>
      </c>
      <c r="J111" s="32">
        <v>5</v>
      </c>
      <c r="K111" s="32">
        <v>18</v>
      </c>
      <c r="L111" s="32">
        <v>0</v>
      </c>
      <c r="M111" s="32">
        <v>3</v>
      </c>
    </row>
    <row r="112" spans="1:13">
      <c r="A112" s="32">
        <f t="shared" ca="1" si="1"/>
        <v>117</v>
      </c>
      <c r="B112" s="32" cm="1">
        <f t="array" aca="1" ref="B112" ca="1">INDEX(Data_DBD!$B:$B,$A112)</f>
        <v>49</v>
      </c>
      <c r="C112" s="32" cm="1">
        <f t="array" aca="1" ref="C112" ca="1">INDEX(Data_DBD!$C:$C,$A112)</f>
        <v>4</v>
      </c>
      <c r="D112" s="32" cm="1">
        <f t="array" aca="1" ref="D112" ca="1">INDEX(Data_DBD!$D:$D,$A112)</f>
        <v>33</v>
      </c>
      <c r="E112" s="32" cm="1">
        <f t="array" aca="1" ref="E112" ca="1">INDEX(Data_DBD!$E:$E,$A112)</f>
        <v>1</v>
      </c>
      <c r="F112" s="32" cm="1">
        <f t="array" aca="1" ref="F112" ca="1">INDEX(Data_DBD!$F:$F,$A112)</f>
        <v>3</v>
      </c>
      <c r="H112" s="32">
        <v>110</v>
      </c>
      <c r="I112" s="32">
        <v>42</v>
      </c>
      <c r="J112" s="32">
        <v>2</v>
      </c>
      <c r="K112" s="32">
        <v>33</v>
      </c>
      <c r="L112" s="32">
        <v>1</v>
      </c>
      <c r="M112" s="32">
        <v>3</v>
      </c>
    </row>
    <row r="113" spans="1:13">
      <c r="A113" s="32">
        <f t="shared" ca="1" si="1"/>
        <v>6</v>
      </c>
      <c r="B113" s="32" cm="1">
        <f t="array" aca="1" ref="B113" ca="1">INDEX(Data_DBD!$B:$B,$A113)</f>
        <v>14</v>
      </c>
      <c r="C113" s="32" cm="1">
        <f t="array" aca="1" ref="C113" ca="1">INDEX(Data_DBD!$C:$C,$A113)</f>
        <v>4</v>
      </c>
      <c r="D113" s="32" cm="1">
        <f t="array" aca="1" ref="D113" ca="1">INDEX(Data_DBD!$D:$D,$A113)</f>
        <v>12</v>
      </c>
      <c r="E113" s="32" cm="1">
        <f t="array" aca="1" ref="E113" ca="1">INDEX(Data_DBD!$E:$E,$A113)</f>
        <v>0</v>
      </c>
      <c r="F113" s="32" cm="1">
        <f t="array" aca="1" ref="F113" ca="1">INDEX(Data_DBD!$F:$F,$A113)</f>
        <v>2</v>
      </c>
      <c r="H113" s="32">
        <v>12</v>
      </c>
      <c r="I113" s="32">
        <v>23</v>
      </c>
      <c r="J113" s="32">
        <v>3</v>
      </c>
      <c r="K113" s="32">
        <v>12</v>
      </c>
      <c r="L113" s="32">
        <v>0</v>
      </c>
      <c r="M113" s="32">
        <v>2</v>
      </c>
    </row>
    <row r="114" spans="1:13">
      <c r="A114" s="32">
        <f t="shared" ca="1" si="1"/>
        <v>83</v>
      </c>
      <c r="B114" s="32" cm="1">
        <f t="array" aca="1" ref="B114" ca="1">INDEX(Data_DBD!$B:$B,$A114)</f>
        <v>50</v>
      </c>
      <c r="C114" s="32" cm="1">
        <f t="array" aca="1" ref="C114" ca="1">INDEX(Data_DBD!$C:$C,$A114)</f>
        <v>3</v>
      </c>
      <c r="D114" s="32" cm="1">
        <f t="array" aca="1" ref="D114" ca="1">INDEX(Data_DBD!$D:$D,$A114)</f>
        <v>13</v>
      </c>
      <c r="E114" s="32" cm="1">
        <f t="array" aca="1" ref="E114" ca="1">INDEX(Data_DBD!$E:$E,$A114)</f>
        <v>0</v>
      </c>
      <c r="F114" s="32" cm="1">
        <f t="array" aca="1" ref="F114" ca="1">INDEX(Data_DBD!$F:$F,$A114)</f>
        <v>2</v>
      </c>
      <c r="H114" s="32">
        <v>148</v>
      </c>
      <c r="I114" s="32">
        <v>55</v>
      </c>
      <c r="J114" s="32">
        <v>3</v>
      </c>
      <c r="K114" s="32">
        <v>21</v>
      </c>
      <c r="L114" s="32">
        <v>1</v>
      </c>
      <c r="M114" s="32">
        <v>3</v>
      </c>
    </row>
    <row r="115" spans="1:13">
      <c r="A115" s="32">
        <f t="shared" ca="1" si="1"/>
        <v>73</v>
      </c>
      <c r="B115" s="32" cm="1">
        <f t="array" aca="1" ref="B115" ca="1">INDEX(Data_DBD!$B:$B,$A115)</f>
        <v>15</v>
      </c>
      <c r="C115" s="32" cm="1">
        <f t="array" aca="1" ref="C115" ca="1">INDEX(Data_DBD!$C:$C,$A115)</f>
        <v>3</v>
      </c>
      <c r="D115" s="32" cm="1">
        <f t="array" aca="1" ref="D115" ca="1">INDEX(Data_DBD!$D:$D,$A115)</f>
        <v>10</v>
      </c>
      <c r="E115" s="32" cm="1">
        <f t="array" aca="1" ref="E115" ca="1">INDEX(Data_DBD!$E:$E,$A115)</f>
        <v>1</v>
      </c>
      <c r="F115" s="32" cm="1">
        <f t="array" aca="1" ref="F115" ca="1">INDEX(Data_DBD!$F:$F,$A115)</f>
        <v>2</v>
      </c>
      <c r="H115" s="32">
        <v>107</v>
      </c>
      <c r="I115" s="32">
        <v>48</v>
      </c>
      <c r="J115" s="32">
        <v>5</v>
      </c>
      <c r="K115" s="32">
        <v>18</v>
      </c>
      <c r="L115" s="32">
        <v>0</v>
      </c>
      <c r="M115" s="32">
        <v>3</v>
      </c>
    </row>
    <row r="116" spans="1:13">
      <c r="A116" s="32">
        <f t="shared" ca="1" si="1"/>
        <v>154</v>
      </c>
      <c r="B116" s="32" cm="1">
        <f t="array" aca="1" ref="B116" ca="1">INDEX(Data_DBD!$B:$B,$A116)</f>
        <v>18</v>
      </c>
      <c r="C116" s="32" cm="1">
        <f t="array" aca="1" ref="C116" ca="1">INDEX(Data_DBD!$C:$C,$A116)</f>
        <v>5</v>
      </c>
      <c r="D116" s="32" cm="1">
        <f t="array" aca="1" ref="D116" ca="1">INDEX(Data_DBD!$D:$D,$A116)</f>
        <v>21</v>
      </c>
      <c r="E116" s="32" cm="1">
        <f t="array" aca="1" ref="E116" ca="1">INDEX(Data_DBD!$E:$E,$A116)</f>
        <v>1</v>
      </c>
      <c r="F116" s="32" cm="1">
        <f t="array" aca="1" ref="F116" ca="1">INDEX(Data_DBD!$F:$F,$A116)</f>
        <v>3</v>
      </c>
      <c r="H116" s="32">
        <v>63</v>
      </c>
      <c r="I116" s="32">
        <v>25</v>
      </c>
      <c r="J116" s="32">
        <v>3</v>
      </c>
      <c r="K116" s="32">
        <v>15</v>
      </c>
      <c r="L116" s="32">
        <v>0</v>
      </c>
      <c r="M116" s="32">
        <v>2</v>
      </c>
    </row>
    <row r="117" spans="1:13">
      <c r="A117" s="32">
        <f t="shared" ca="1" si="1"/>
        <v>113</v>
      </c>
      <c r="B117" s="32" cm="1">
        <f t="array" aca="1" ref="B117" ca="1">INDEX(Data_DBD!$B:$B,$A117)</f>
        <v>69</v>
      </c>
      <c r="C117" s="32" cm="1">
        <f t="array" aca="1" ref="C117" ca="1">INDEX(Data_DBD!$C:$C,$A117)</f>
        <v>1</v>
      </c>
      <c r="D117" s="32" cm="1">
        <f t="array" aca="1" ref="D117" ca="1">INDEX(Data_DBD!$D:$D,$A117)</f>
        <v>33</v>
      </c>
      <c r="E117" s="32" cm="1">
        <f t="array" aca="1" ref="E117" ca="1">INDEX(Data_DBD!$E:$E,$A117)</f>
        <v>1</v>
      </c>
      <c r="F117" s="32" cm="1">
        <f t="array" aca="1" ref="F117" ca="1">INDEX(Data_DBD!$F:$F,$A117)</f>
        <v>3</v>
      </c>
      <c r="H117" s="32">
        <v>139</v>
      </c>
      <c r="I117" s="32">
        <v>52</v>
      </c>
      <c r="J117" s="32">
        <v>7</v>
      </c>
      <c r="K117" s="32">
        <v>21</v>
      </c>
      <c r="L117" s="32">
        <v>0</v>
      </c>
      <c r="M117" s="32">
        <v>3</v>
      </c>
    </row>
    <row r="118" spans="1:13">
      <c r="A118" s="32">
        <f t="shared" ca="1" si="1"/>
        <v>81</v>
      </c>
      <c r="B118" s="32" cm="1">
        <f t="array" aca="1" ref="B118" ca="1">INDEX(Data_DBD!$B:$B,$A118)</f>
        <v>23</v>
      </c>
      <c r="C118" s="32" cm="1">
        <f t="array" aca="1" ref="C118" ca="1">INDEX(Data_DBD!$C:$C,$A118)</f>
        <v>5</v>
      </c>
      <c r="D118" s="32" cm="1">
        <f t="array" aca="1" ref="D118" ca="1">INDEX(Data_DBD!$D:$D,$A118)</f>
        <v>13</v>
      </c>
      <c r="E118" s="32" cm="1">
        <f t="array" aca="1" ref="E118" ca="1">INDEX(Data_DBD!$E:$E,$A118)</f>
        <v>1</v>
      </c>
      <c r="F118" s="32" cm="1">
        <f t="array" aca="1" ref="F118" ca="1">INDEX(Data_DBD!$F:$F,$A118)</f>
        <v>2</v>
      </c>
      <c r="H118" s="32">
        <v>3</v>
      </c>
      <c r="I118" s="32">
        <v>43</v>
      </c>
      <c r="J118" s="32">
        <v>3</v>
      </c>
      <c r="K118" s="32">
        <v>12</v>
      </c>
      <c r="L118" s="32">
        <v>1</v>
      </c>
      <c r="M118" s="32">
        <v>2</v>
      </c>
    </row>
    <row r="119" spans="1:13">
      <c r="A119" s="32">
        <f t="shared" ca="1" si="1"/>
        <v>7</v>
      </c>
      <c r="B119" s="32" cm="1">
        <f t="array" aca="1" ref="B119" ca="1">INDEX(Data_DBD!$B:$B,$A119)</f>
        <v>12</v>
      </c>
      <c r="C119" s="32" cm="1">
        <f t="array" aca="1" ref="C119" ca="1">INDEX(Data_DBD!$C:$C,$A119)</f>
        <v>1</v>
      </c>
      <c r="D119" s="32" cm="1">
        <f t="array" aca="1" ref="D119" ca="1">INDEX(Data_DBD!$D:$D,$A119)</f>
        <v>12</v>
      </c>
      <c r="E119" s="32" cm="1">
        <f t="array" aca="1" ref="E119" ca="1">INDEX(Data_DBD!$E:$E,$A119)</f>
        <v>1</v>
      </c>
      <c r="F119" s="32" cm="1">
        <f t="array" aca="1" ref="F119" ca="1">INDEX(Data_DBD!$F:$F,$A119)</f>
        <v>2</v>
      </c>
      <c r="H119" s="32">
        <v>155</v>
      </c>
      <c r="I119" s="32">
        <v>19</v>
      </c>
      <c r="J119" s="32">
        <v>5</v>
      </c>
      <c r="K119" s="32">
        <v>21</v>
      </c>
      <c r="L119" s="32">
        <v>1</v>
      </c>
      <c r="M119" s="32">
        <v>3</v>
      </c>
    </row>
    <row r="120" spans="1:13">
      <c r="A120" s="32">
        <f t="shared" ca="1" si="1"/>
        <v>96</v>
      </c>
      <c r="B120" s="32" cm="1">
        <f t="array" aca="1" ref="B120" ca="1">INDEX(Data_DBD!$B:$B,$A120)</f>
        <v>56</v>
      </c>
      <c r="C120" s="32" cm="1">
        <f t="array" aca="1" ref="C120" ca="1">INDEX(Data_DBD!$C:$C,$A120)</f>
        <v>4</v>
      </c>
      <c r="D120" s="32" cm="1">
        <f t="array" aca="1" ref="D120" ca="1">INDEX(Data_DBD!$D:$D,$A120)</f>
        <v>18</v>
      </c>
      <c r="E120" s="32" cm="1">
        <f t="array" aca="1" ref="E120" ca="1">INDEX(Data_DBD!$E:$E,$A120)</f>
        <v>0</v>
      </c>
      <c r="F120" s="32" cm="1">
        <f t="array" aca="1" ref="F120" ca="1">INDEX(Data_DBD!$F:$F,$A120)</f>
        <v>3</v>
      </c>
      <c r="H120" s="32">
        <v>55</v>
      </c>
      <c r="I120" s="32">
        <v>7</v>
      </c>
      <c r="J120" s="32">
        <v>4</v>
      </c>
      <c r="K120" s="32">
        <v>15</v>
      </c>
      <c r="L120" s="32">
        <v>1</v>
      </c>
      <c r="M120" s="32">
        <v>2</v>
      </c>
    </row>
    <row r="121" spans="1:13">
      <c r="A121" s="32">
        <f t="shared" ca="1" si="1"/>
        <v>91</v>
      </c>
      <c r="B121" s="32" cm="1">
        <f t="array" aca="1" ref="B121" ca="1">INDEX(Data_DBD!$B:$B,$A121)</f>
        <v>35</v>
      </c>
      <c r="C121" s="32" cm="1">
        <f t="array" aca="1" ref="C121" ca="1">INDEX(Data_DBD!$C:$C,$A121)</f>
        <v>1</v>
      </c>
      <c r="D121" s="32" cm="1">
        <f t="array" aca="1" ref="D121" ca="1">INDEX(Data_DBD!$D:$D,$A121)</f>
        <v>18</v>
      </c>
      <c r="E121" s="32" cm="1">
        <f t="array" aca="1" ref="E121" ca="1">INDEX(Data_DBD!$E:$E,$A121)</f>
        <v>1</v>
      </c>
      <c r="F121" s="32" cm="1">
        <f t="array" aca="1" ref="F121" ca="1">INDEX(Data_DBD!$F:$F,$A121)</f>
        <v>3</v>
      </c>
      <c r="H121" s="32">
        <v>93</v>
      </c>
      <c r="I121" s="32">
        <v>65</v>
      </c>
      <c r="J121" s="32">
        <v>4</v>
      </c>
      <c r="K121" s="32">
        <v>18</v>
      </c>
      <c r="L121" s="32">
        <v>0</v>
      </c>
      <c r="M121" s="32">
        <v>3</v>
      </c>
    </row>
    <row r="122" spans="1:13">
      <c r="A122" s="32">
        <f t="shared" ca="1" si="1"/>
        <v>45</v>
      </c>
      <c r="B122" s="32" cm="1">
        <f t="array" aca="1" ref="B122" ca="1">INDEX(Data_DBD!$B:$B,$A122)</f>
        <v>75</v>
      </c>
      <c r="C122" s="32" cm="1">
        <f t="array" aca="1" ref="C122" ca="1">INDEX(Data_DBD!$C:$C,$A122)</f>
        <v>3</v>
      </c>
      <c r="D122" s="32" cm="1">
        <f t="array" aca="1" ref="D122" ca="1">INDEX(Data_DBD!$D:$D,$A122)</f>
        <v>13</v>
      </c>
      <c r="E122" s="32" cm="1">
        <f t="array" aca="1" ref="E122" ca="1">INDEX(Data_DBD!$E:$E,$A122)</f>
        <v>1</v>
      </c>
      <c r="F122" s="32" cm="1">
        <f t="array" aca="1" ref="F122" ca="1">INDEX(Data_DBD!$F:$F,$A122)</f>
        <v>2</v>
      </c>
      <c r="H122" s="32">
        <v>147</v>
      </c>
      <c r="I122" s="32">
        <v>66</v>
      </c>
      <c r="J122" s="32">
        <v>10</v>
      </c>
      <c r="K122" s="32">
        <v>21</v>
      </c>
      <c r="L122" s="32">
        <v>1</v>
      </c>
      <c r="M122" s="32">
        <v>3</v>
      </c>
    </row>
    <row r="123" spans="1:13">
      <c r="A123" s="32">
        <f t="shared" ca="1" si="1"/>
        <v>134</v>
      </c>
      <c r="B123" s="32" cm="1">
        <f t="array" aca="1" ref="B123" ca="1">INDEX(Data_DBD!$B:$B,$A123)</f>
        <v>4</v>
      </c>
      <c r="C123" s="32" cm="1">
        <f t="array" aca="1" ref="C123" ca="1">INDEX(Data_DBD!$C:$C,$A123)</f>
        <v>2</v>
      </c>
      <c r="D123" s="32" cm="1">
        <f t="array" aca="1" ref="D123" ca="1">INDEX(Data_DBD!$D:$D,$A123)</f>
        <v>33</v>
      </c>
      <c r="E123" s="32" cm="1">
        <f t="array" aca="1" ref="E123" ca="1">INDEX(Data_DBD!$E:$E,$A123)</f>
        <v>1</v>
      </c>
      <c r="F123" s="32" cm="1">
        <f t="array" aca="1" ref="F123" ca="1">INDEX(Data_DBD!$F:$F,$A123)</f>
        <v>3</v>
      </c>
      <c r="H123" s="32">
        <v>122</v>
      </c>
      <c r="I123" s="32">
        <v>28</v>
      </c>
      <c r="J123" s="32">
        <v>3</v>
      </c>
      <c r="K123" s="32">
        <v>33</v>
      </c>
      <c r="L123" s="32">
        <v>1</v>
      </c>
      <c r="M123" s="32">
        <v>3</v>
      </c>
    </row>
    <row r="124" spans="1:13">
      <c r="A124" s="32">
        <f t="shared" ca="1" si="1"/>
        <v>142</v>
      </c>
      <c r="B124" s="32" cm="1">
        <f t="array" aca="1" ref="B124" ca="1">INDEX(Data_DBD!$B:$B,$A124)</f>
        <v>39</v>
      </c>
      <c r="C124" s="32" cm="1">
        <f t="array" aca="1" ref="C124" ca="1">INDEX(Data_DBD!$C:$C,$A124)</f>
        <v>2</v>
      </c>
      <c r="D124" s="32" cm="1">
        <f t="array" aca="1" ref="D124" ca="1">INDEX(Data_DBD!$D:$D,$A124)</f>
        <v>21</v>
      </c>
      <c r="E124" s="32" cm="1">
        <f t="array" aca="1" ref="E124" ca="1">INDEX(Data_DBD!$E:$E,$A124)</f>
        <v>1</v>
      </c>
      <c r="F124" s="32" cm="1">
        <f t="array" aca="1" ref="F124" ca="1">INDEX(Data_DBD!$F:$F,$A124)</f>
        <v>3</v>
      </c>
      <c r="H124" s="32">
        <v>46</v>
      </c>
      <c r="I124" s="32">
        <v>62</v>
      </c>
      <c r="J124" s="32">
        <v>2</v>
      </c>
      <c r="K124" s="32">
        <v>13</v>
      </c>
      <c r="L124" s="32">
        <v>0</v>
      </c>
      <c r="M124" s="32">
        <v>2</v>
      </c>
    </row>
    <row r="125" spans="1:13">
      <c r="A125" s="32">
        <f t="shared" ca="1" si="1"/>
        <v>56</v>
      </c>
      <c r="B125" s="32" cm="1">
        <f t="array" aca="1" ref="B125" ca="1">INDEX(Data_DBD!$B:$B,$A125)</f>
        <v>4</v>
      </c>
      <c r="C125" s="32" cm="1">
        <f t="array" aca="1" ref="C125" ca="1">INDEX(Data_DBD!$C:$C,$A125)</f>
        <v>3</v>
      </c>
      <c r="D125" s="32" cm="1">
        <f t="array" aca="1" ref="D125" ca="1">INDEX(Data_DBD!$D:$D,$A125)</f>
        <v>15</v>
      </c>
      <c r="E125" s="32" cm="1">
        <f t="array" aca="1" ref="E125" ca="1">INDEX(Data_DBD!$E:$E,$A125)</f>
        <v>0</v>
      </c>
      <c r="F125" s="32" cm="1">
        <f t="array" aca="1" ref="F125" ca="1">INDEX(Data_DBD!$F:$F,$A125)</f>
        <v>2</v>
      </c>
      <c r="H125" s="32">
        <v>79</v>
      </c>
      <c r="I125" s="32">
        <v>29</v>
      </c>
      <c r="J125" s="32">
        <v>3</v>
      </c>
      <c r="K125" s="32">
        <v>13</v>
      </c>
      <c r="L125" s="32">
        <v>0</v>
      </c>
      <c r="M125" s="32">
        <v>2</v>
      </c>
    </row>
    <row r="126" spans="1:13">
      <c r="A126" s="32">
        <f t="shared" ca="1" si="1"/>
        <v>81</v>
      </c>
      <c r="B126" s="32" cm="1">
        <f t="array" aca="1" ref="B126" ca="1">INDEX(Data_DBD!$B:$B,$A126)</f>
        <v>23</v>
      </c>
      <c r="C126" s="32" cm="1">
        <f t="array" aca="1" ref="C126" ca="1">INDEX(Data_DBD!$C:$C,$A126)</f>
        <v>5</v>
      </c>
      <c r="D126" s="32" cm="1">
        <f t="array" aca="1" ref="D126" ca="1">INDEX(Data_DBD!$D:$D,$A126)</f>
        <v>13</v>
      </c>
      <c r="E126" s="32" cm="1">
        <f t="array" aca="1" ref="E126" ca="1">INDEX(Data_DBD!$E:$E,$A126)</f>
        <v>1</v>
      </c>
      <c r="F126" s="32" cm="1">
        <f t="array" aca="1" ref="F126" ca="1">INDEX(Data_DBD!$F:$F,$A126)</f>
        <v>2</v>
      </c>
      <c r="H126" s="32">
        <v>90</v>
      </c>
      <c r="I126" s="32">
        <v>47</v>
      </c>
      <c r="J126" s="32">
        <v>3</v>
      </c>
      <c r="K126" s="32">
        <v>18</v>
      </c>
      <c r="L126" s="32">
        <v>0</v>
      </c>
      <c r="M126" s="32">
        <v>3</v>
      </c>
    </row>
    <row r="127" spans="1:13">
      <c r="A127" s="32">
        <f t="shared" ca="1" si="1"/>
        <v>2</v>
      </c>
      <c r="B127" s="32" cm="1">
        <f t="array" aca="1" ref="B127" ca="1">INDEX(Data_DBD!$B:$B,$A127)</f>
        <v>34</v>
      </c>
      <c r="C127" s="32" cm="1">
        <f t="array" aca="1" ref="C127" ca="1">INDEX(Data_DBD!$C:$C,$A127)</f>
        <v>3</v>
      </c>
      <c r="D127" s="32" cm="1">
        <f t="array" aca="1" ref="D127" ca="1">INDEX(Data_DBD!$D:$D,$A127)</f>
        <v>12</v>
      </c>
      <c r="E127" s="32" cm="1">
        <f t="array" aca="1" ref="E127" ca="1">INDEX(Data_DBD!$E:$E,$A127)</f>
        <v>0</v>
      </c>
      <c r="F127" s="32" cm="1">
        <f t="array" aca="1" ref="F127" ca="1">INDEX(Data_DBD!$F:$F,$A127)</f>
        <v>2</v>
      </c>
      <c r="H127" s="32">
        <v>85</v>
      </c>
      <c r="I127" s="32">
        <v>27</v>
      </c>
      <c r="J127" s="32">
        <v>9</v>
      </c>
      <c r="K127" s="32">
        <v>13</v>
      </c>
      <c r="L127" s="32">
        <v>0</v>
      </c>
      <c r="M127" s="32">
        <v>2</v>
      </c>
    </row>
    <row r="128" spans="1:13">
      <c r="A128" s="32">
        <f t="shared" ca="1" si="1"/>
        <v>4</v>
      </c>
      <c r="B128" s="32" cm="1">
        <f t="array" aca="1" ref="B128" ca="1">INDEX(Data_DBD!$B:$B,$A128)</f>
        <v>23</v>
      </c>
      <c r="C128" s="32" cm="1">
        <f t="array" aca="1" ref="C128" ca="1">INDEX(Data_DBD!$C:$C,$A128)</f>
        <v>5</v>
      </c>
      <c r="D128" s="32" cm="1">
        <f t="array" aca="1" ref="D128" ca="1">INDEX(Data_DBD!$D:$D,$A128)</f>
        <v>12</v>
      </c>
      <c r="E128" s="32" cm="1">
        <f t="array" aca="1" ref="E128" ca="1">INDEX(Data_DBD!$E:$E,$A128)</f>
        <v>0</v>
      </c>
      <c r="F128" s="32" cm="1">
        <f t="array" aca="1" ref="F128" ca="1">INDEX(Data_DBD!$F:$F,$A128)</f>
        <v>2</v>
      </c>
      <c r="H128" s="32">
        <v>71</v>
      </c>
      <c r="I128" s="32">
        <v>84</v>
      </c>
      <c r="J128" s="32">
        <v>3</v>
      </c>
      <c r="K128" s="32">
        <v>10</v>
      </c>
      <c r="L128" s="32">
        <v>0</v>
      </c>
      <c r="M128" s="32">
        <v>2</v>
      </c>
    </row>
    <row r="129" spans="1:13">
      <c r="A129" s="32">
        <f t="shared" ca="1" si="1"/>
        <v>129</v>
      </c>
      <c r="B129" s="32" cm="1">
        <f t="array" aca="1" ref="B129" ca="1">INDEX(Data_DBD!$B:$B,$A129)</f>
        <v>4.5</v>
      </c>
      <c r="C129" s="32" cm="1">
        <f t="array" aca="1" ref="C129" ca="1">INDEX(Data_DBD!$C:$C,$A129)</f>
        <v>3</v>
      </c>
      <c r="D129" s="32" cm="1">
        <f t="array" aca="1" ref="D129" ca="1">INDEX(Data_DBD!$D:$D,$A129)</f>
        <v>33</v>
      </c>
      <c r="E129" s="32" cm="1">
        <f t="array" aca="1" ref="E129" ca="1">INDEX(Data_DBD!$E:$E,$A129)</f>
        <v>0</v>
      </c>
      <c r="F129" s="32" cm="1">
        <f t="array" aca="1" ref="F129" ca="1">INDEX(Data_DBD!$F:$F,$A129)</f>
        <v>3</v>
      </c>
      <c r="H129" s="32">
        <v>136</v>
      </c>
      <c r="I129" s="32">
        <v>6</v>
      </c>
      <c r="J129" s="32">
        <v>2</v>
      </c>
      <c r="K129" s="32">
        <v>33</v>
      </c>
      <c r="L129" s="32">
        <v>0</v>
      </c>
      <c r="M129" s="32">
        <v>3</v>
      </c>
    </row>
    <row r="130" spans="1:13">
      <c r="A130" s="32">
        <f t="shared" ca="1" si="1"/>
        <v>92</v>
      </c>
      <c r="B130" s="32" cm="1">
        <f t="array" aca="1" ref="B130" ca="1">INDEX(Data_DBD!$B:$B,$A130)</f>
        <v>55</v>
      </c>
      <c r="C130" s="32" cm="1">
        <f t="array" aca="1" ref="C130" ca="1">INDEX(Data_DBD!$C:$C,$A130)</f>
        <v>7</v>
      </c>
      <c r="D130" s="32" cm="1">
        <f t="array" aca="1" ref="D130" ca="1">INDEX(Data_DBD!$D:$D,$A130)</f>
        <v>18</v>
      </c>
      <c r="E130" s="32" cm="1">
        <f t="array" aca="1" ref="E130" ca="1">INDEX(Data_DBD!$E:$E,$A130)</f>
        <v>0</v>
      </c>
      <c r="F130" s="32" cm="1">
        <f t="array" aca="1" ref="F130" ca="1">INDEX(Data_DBD!$F:$F,$A130)</f>
        <v>3</v>
      </c>
      <c r="H130" s="32">
        <v>140</v>
      </c>
      <c r="I130" s="32">
        <v>74</v>
      </c>
      <c r="J130" s="32">
        <v>5</v>
      </c>
      <c r="K130" s="32">
        <v>21</v>
      </c>
      <c r="L130" s="32">
        <v>1</v>
      </c>
      <c r="M130" s="32">
        <v>3</v>
      </c>
    </row>
    <row r="131" spans="1:13">
      <c r="A131" s="32">
        <f t="shared" ref="A131:A164" ca="1" si="2">RANDBETWEEN(2,164)</f>
        <v>8</v>
      </c>
      <c r="B131" s="32" cm="1">
        <f t="array" aca="1" ref="B131" ca="1">INDEX(Data_DBD!$B:$B,$A131)</f>
        <v>4</v>
      </c>
      <c r="C131" s="32" cm="1">
        <f t="array" aca="1" ref="C131" ca="1">INDEX(Data_DBD!$C:$C,$A131)</f>
        <v>2</v>
      </c>
      <c r="D131" s="32" cm="1">
        <f t="array" aca="1" ref="D131" ca="1">INDEX(Data_DBD!$D:$D,$A131)</f>
        <v>12</v>
      </c>
      <c r="E131" s="32" cm="1">
        <f t="array" aca="1" ref="E131" ca="1">INDEX(Data_DBD!$E:$E,$A131)</f>
        <v>0</v>
      </c>
      <c r="F131" s="32" cm="1">
        <f t="array" aca="1" ref="F131" ca="1">INDEX(Data_DBD!$F:$F,$A131)</f>
        <v>2</v>
      </c>
      <c r="H131" s="32">
        <v>34</v>
      </c>
      <c r="I131" s="32">
        <v>55</v>
      </c>
      <c r="J131" s="32">
        <v>3</v>
      </c>
      <c r="K131" s="32">
        <v>14</v>
      </c>
      <c r="L131" s="32">
        <v>0</v>
      </c>
      <c r="M131" s="32">
        <v>2</v>
      </c>
    </row>
    <row r="132" spans="1:13">
      <c r="A132" s="32">
        <f t="shared" ca="1" si="2"/>
        <v>145</v>
      </c>
      <c r="B132" s="32" cm="1">
        <f t="array" aca="1" ref="B132" ca="1">INDEX(Data_DBD!$B:$B,$A132)</f>
        <v>28</v>
      </c>
      <c r="C132" s="32" cm="1">
        <f t="array" aca="1" ref="C132" ca="1">INDEX(Data_DBD!$C:$C,$A132)</f>
        <v>4</v>
      </c>
      <c r="D132" s="32" cm="1">
        <f t="array" aca="1" ref="D132" ca="1">INDEX(Data_DBD!$D:$D,$A132)</f>
        <v>21</v>
      </c>
      <c r="E132" s="32" cm="1">
        <f t="array" aca="1" ref="E132" ca="1">INDEX(Data_DBD!$E:$E,$A132)</f>
        <v>1</v>
      </c>
      <c r="F132" s="32" cm="1">
        <f t="array" aca="1" ref="F132" ca="1">INDEX(Data_DBD!$F:$F,$A132)</f>
        <v>3</v>
      </c>
      <c r="H132" s="32">
        <v>31</v>
      </c>
      <c r="I132" s="32">
        <v>64</v>
      </c>
      <c r="J132" s="32">
        <v>4</v>
      </c>
      <c r="K132" s="32">
        <v>14</v>
      </c>
      <c r="L132" s="32">
        <v>1</v>
      </c>
      <c r="M132" s="32">
        <v>2</v>
      </c>
    </row>
    <row r="133" spans="1:13">
      <c r="A133" s="32">
        <f t="shared" ca="1" si="2"/>
        <v>9</v>
      </c>
      <c r="B133" s="32" cm="1">
        <f t="array" aca="1" ref="B133" ca="1">INDEX(Data_DBD!$B:$B,$A133)</f>
        <v>16</v>
      </c>
      <c r="C133" s="32" cm="1">
        <f t="array" aca="1" ref="C133" ca="1">INDEX(Data_DBD!$C:$C,$A133)</f>
        <v>6</v>
      </c>
      <c r="D133" s="32" cm="1">
        <f t="array" aca="1" ref="D133" ca="1">INDEX(Data_DBD!$D:$D,$A133)</f>
        <v>12</v>
      </c>
      <c r="E133" s="32" cm="1">
        <f t="array" aca="1" ref="E133" ca="1">INDEX(Data_DBD!$E:$E,$A133)</f>
        <v>1</v>
      </c>
      <c r="F133" s="32" cm="1">
        <f t="array" aca="1" ref="F133" ca="1">INDEX(Data_DBD!$F:$F,$A133)</f>
        <v>2</v>
      </c>
      <c r="H133" s="32">
        <v>131</v>
      </c>
      <c r="I133" s="32">
        <v>10</v>
      </c>
      <c r="J133" s="32">
        <v>2</v>
      </c>
      <c r="K133" s="32">
        <v>33</v>
      </c>
      <c r="L133" s="32">
        <v>0</v>
      </c>
      <c r="M133" s="32">
        <v>3</v>
      </c>
    </row>
    <row r="134" spans="1:13">
      <c r="A134" s="32">
        <f t="shared" ca="1" si="2"/>
        <v>108</v>
      </c>
      <c r="B134" s="32" cm="1">
        <f t="array" aca="1" ref="B134" ca="1">INDEX(Data_DBD!$B:$B,$A134)</f>
        <v>69</v>
      </c>
      <c r="C134" s="32" cm="1">
        <f t="array" aca="1" ref="C134" ca="1">INDEX(Data_DBD!$C:$C,$A134)</f>
        <v>7</v>
      </c>
      <c r="D134" s="32" cm="1">
        <f t="array" aca="1" ref="D134" ca="1">INDEX(Data_DBD!$D:$D,$A134)</f>
        <v>33</v>
      </c>
      <c r="E134" s="32" cm="1">
        <f t="array" aca="1" ref="E134" ca="1">INDEX(Data_DBD!$E:$E,$A134)</f>
        <v>1</v>
      </c>
      <c r="F134" s="32" cm="1">
        <f t="array" aca="1" ref="F134" ca="1">INDEX(Data_DBD!$F:$F,$A134)</f>
        <v>3</v>
      </c>
      <c r="H134" s="32">
        <v>94</v>
      </c>
      <c r="I134" s="32">
        <v>12</v>
      </c>
      <c r="J134" s="32">
        <v>4</v>
      </c>
      <c r="K134" s="32">
        <v>18</v>
      </c>
      <c r="L134" s="32">
        <v>0</v>
      </c>
      <c r="M134" s="32">
        <v>3</v>
      </c>
    </row>
    <row r="135" spans="1:13">
      <c r="A135" s="32">
        <f t="shared" ca="1" si="2"/>
        <v>33</v>
      </c>
      <c r="B135" s="32" cm="1">
        <f t="array" aca="1" ref="B135" ca="1">INDEX(Data_DBD!$B:$B,$A135)</f>
        <v>19</v>
      </c>
      <c r="C135" s="32" cm="1">
        <f t="array" aca="1" ref="C135" ca="1">INDEX(Data_DBD!$C:$C,$A135)</f>
        <v>4</v>
      </c>
      <c r="D135" s="32" cm="1">
        <f t="array" aca="1" ref="D135" ca="1">INDEX(Data_DBD!$D:$D,$A135)</f>
        <v>14</v>
      </c>
      <c r="E135" s="32" cm="1">
        <f t="array" aca="1" ref="E135" ca="1">INDEX(Data_DBD!$E:$E,$A135)</f>
        <v>1</v>
      </c>
      <c r="F135" s="32" cm="1">
        <f t="array" aca="1" ref="F135" ca="1">INDEX(Data_DBD!$F:$F,$A135)</f>
        <v>2</v>
      </c>
      <c r="H135" s="32">
        <v>108</v>
      </c>
      <c r="I135" s="32">
        <v>69</v>
      </c>
      <c r="J135" s="32">
        <v>7</v>
      </c>
      <c r="K135" s="32">
        <v>33</v>
      </c>
      <c r="L135" s="32">
        <v>1</v>
      </c>
      <c r="M135" s="32">
        <v>3</v>
      </c>
    </row>
    <row r="136" spans="1:13">
      <c r="A136" s="32">
        <f t="shared" ca="1" si="2"/>
        <v>56</v>
      </c>
      <c r="B136" s="32" cm="1">
        <f t="array" aca="1" ref="B136" ca="1">INDEX(Data_DBD!$B:$B,$A136)</f>
        <v>4</v>
      </c>
      <c r="C136" s="32" cm="1">
        <f t="array" aca="1" ref="C136" ca="1">INDEX(Data_DBD!$C:$C,$A136)</f>
        <v>3</v>
      </c>
      <c r="D136" s="32" cm="1">
        <f t="array" aca="1" ref="D136" ca="1">INDEX(Data_DBD!$D:$D,$A136)</f>
        <v>15</v>
      </c>
      <c r="E136" s="32" cm="1">
        <f t="array" aca="1" ref="E136" ca="1">INDEX(Data_DBD!$E:$E,$A136)</f>
        <v>0</v>
      </c>
      <c r="F136" s="32" cm="1">
        <f t="array" aca="1" ref="F136" ca="1">INDEX(Data_DBD!$F:$F,$A136)</f>
        <v>2</v>
      </c>
      <c r="H136" s="32">
        <v>156</v>
      </c>
      <c r="I136" s="32">
        <v>5</v>
      </c>
      <c r="J136" s="32">
        <v>2</v>
      </c>
      <c r="K136" s="32">
        <v>21</v>
      </c>
      <c r="L136" s="32">
        <v>0</v>
      </c>
      <c r="M136" s="32">
        <v>3</v>
      </c>
    </row>
    <row r="137" spans="1:13">
      <c r="A137" s="32">
        <f t="shared" ca="1" si="2"/>
        <v>139</v>
      </c>
      <c r="B137" s="32" cm="1">
        <f t="array" aca="1" ref="B137" ca="1">INDEX(Data_DBD!$B:$B,$A137)</f>
        <v>52</v>
      </c>
      <c r="C137" s="32" cm="1">
        <f t="array" aca="1" ref="C137" ca="1">INDEX(Data_DBD!$C:$C,$A137)</f>
        <v>7</v>
      </c>
      <c r="D137" s="32" cm="1">
        <f t="array" aca="1" ref="D137" ca="1">INDEX(Data_DBD!$D:$D,$A137)</f>
        <v>21</v>
      </c>
      <c r="E137" s="32" cm="1">
        <f t="array" aca="1" ref="E137" ca="1">INDEX(Data_DBD!$E:$E,$A137)</f>
        <v>0</v>
      </c>
      <c r="F137" s="32" cm="1">
        <f t="array" aca="1" ref="F137" ca="1">INDEX(Data_DBD!$F:$F,$A137)</f>
        <v>3</v>
      </c>
      <c r="H137" s="32">
        <v>157</v>
      </c>
      <c r="I137" s="32">
        <v>15</v>
      </c>
      <c r="J137" s="32">
        <v>4</v>
      </c>
      <c r="K137" s="32">
        <v>21</v>
      </c>
      <c r="L137" s="32">
        <v>1</v>
      </c>
      <c r="M137" s="32">
        <v>3</v>
      </c>
    </row>
    <row r="138" spans="1:13">
      <c r="A138" s="32">
        <f t="shared" ca="1" si="2"/>
        <v>158</v>
      </c>
      <c r="B138" s="32" cm="1">
        <f t="array" aca="1" ref="B138" ca="1">INDEX(Data_DBD!$B:$B,$A138)</f>
        <v>5</v>
      </c>
      <c r="C138" s="32" cm="1">
        <f t="array" aca="1" ref="C138" ca="1">INDEX(Data_DBD!$C:$C,$A138)</f>
        <v>2</v>
      </c>
      <c r="D138" s="32" cm="1">
        <f t="array" aca="1" ref="D138" ca="1">INDEX(Data_DBD!$D:$D,$A138)</f>
        <v>21</v>
      </c>
      <c r="E138" s="32" cm="1">
        <f t="array" aca="1" ref="E138" ca="1">INDEX(Data_DBD!$E:$E,$A138)</f>
        <v>0</v>
      </c>
      <c r="F138" s="32" cm="1">
        <f t="array" aca="1" ref="F138" ca="1">INDEX(Data_DBD!$F:$F,$A138)</f>
        <v>3</v>
      </c>
      <c r="H138" s="32">
        <v>154</v>
      </c>
      <c r="I138" s="32">
        <v>18</v>
      </c>
      <c r="J138" s="32">
        <v>5</v>
      </c>
      <c r="K138" s="32">
        <v>21</v>
      </c>
      <c r="L138" s="32">
        <v>1</v>
      </c>
      <c r="M138" s="32">
        <v>3</v>
      </c>
    </row>
    <row r="139" spans="1:13">
      <c r="A139" s="32">
        <f t="shared" ca="1" si="2"/>
        <v>148</v>
      </c>
      <c r="B139" s="32" cm="1">
        <f t="array" aca="1" ref="B139" ca="1">INDEX(Data_DBD!$B:$B,$A139)</f>
        <v>55</v>
      </c>
      <c r="C139" s="32" cm="1">
        <f t="array" aca="1" ref="C139" ca="1">INDEX(Data_DBD!$C:$C,$A139)</f>
        <v>3</v>
      </c>
      <c r="D139" s="32" cm="1">
        <f t="array" aca="1" ref="D139" ca="1">INDEX(Data_DBD!$D:$D,$A139)</f>
        <v>21</v>
      </c>
      <c r="E139" s="32" cm="1">
        <f t="array" aca="1" ref="E139" ca="1">INDEX(Data_DBD!$E:$E,$A139)</f>
        <v>1</v>
      </c>
      <c r="F139" s="32" cm="1">
        <f t="array" aca="1" ref="F139" ca="1">INDEX(Data_DBD!$F:$F,$A139)</f>
        <v>3</v>
      </c>
      <c r="H139" s="32">
        <v>53</v>
      </c>
      <c r="I139" s="32">
        <v>35</v>
      </c>
      <c r="J139" s="32">
        <v>4</v>
      </c>
      <c r="K139" s="32">
        <v>15</v>
      </c>
      <c r="L139" s="32">
        <v>1</v>
      </c>
      <c r="M139" s="32">
        <v>2</v>
      </c>
    </row>
    <row r="140" spans="1:13">
      <c r="A140" s="32">
        <f t="shared" ca="1" si="2"/>
        <v>69</v>
      </c>
      <c r="B140" s="32" cm="1">
        <f t="array" aca="1" ref="B140" ca="1">INDEX(Data_DBD!$B:$B,$A140)</f>
        <v>24</v>
      </c>
      <c r="C140" s="32" cm="1">
        <f t="array" aca="1" ref="C140" ca="1">INDEX(Data_DBD!$C:$C,$A140)</f>
        <v>4</v>
      </c>
      <c r="D140" s="32" cm="1">
        <f t="array" aca="1" ref="D140" ca="1">INDEX(Data_DBD!$D:$D,$A140)</f>
        <v>10</v>
      </c>
      <c r="E140" s="32" cm="1">
        <f t="array" aca="1" ref="E140" ca="1">INDEX(Data_DBD!$E:$E,$A140)</f>
        <v>1</v>
      </c>
      <c r="F140" s="32" cm="1">
        <f t="array" aca="1" ref="F140" ca="1">INDEX(Data_DBD!$F:$F,$A140)</f>
        <v>2</v>
      </c>
      <c r="H140" s="32">
        <v>155</v>
      </c>
      <c r="I140" s="32">
        <v>19</v>
      </c>
      <c r="J140" s="32">
        <v>5</v>
      </c>
      <c r="K140" s="32">
        <v>21</v>
      </c>
      <c r="L140" s="32">
        <v>1</v>
      </c>
      <c r="M140" s="32">
        <v>3</v>
      </c>
    </row>
    <row r="141" spans="1:13">
      <c r="A141" s="32">
        <f t="shared" ca="1" si="2"/>
        <v>43</v>
      </c>
      <c r="B141" s="32" cm="1">
        <f t="array" aca="1" ref="B141" ca="1">INDEX(Data_DBD!$B:$B,$A141)</f>
        <v>15</v>
      </c>
      <c r="C141" s="32" cm="1">
        <f t="array" aca="1" ref="C141" ca="1">INDEX(Data_DBD!$C:$C,$A141)</f>
        <v>4</v>
      </c>
      <c r="D141" s="32" cm="1">
        <f t="array" aca="1" ref="D141" ca="1">INDEX(Data_DBD!$D:$D,$A141)</f>
        <v>13</v>
      </c>
      <c r="E141" s="32" cm="1">
        <f t="array" aca="1" ref="E141" ca="1">INDEX(Data_DBD!$E:$E,$A141)</f>
        <v>0</v>
      </c>
      <c r="F141" s="32" cm="1">
        <f t="array" aca="1" ref="F141" ca="1">INDEX(Data_DBD!$F:$F,$A141)</f>
        <v>2</v>
      </c>
      <c r="H141" s="32">
        <v>50</v>
      </c>
      <c r="I141" s="32">
        <v>19</v>
      </c>
      <c r="J141" s="32">
        <v>5</v>
      </c>
      <c r="K141" s="32">
        <v>13</v>
      </c>
      <c r="L141" s="32">
        <v>0</v>
      </c>
      <c r="M141" s="32">
        <v>2</v>
      </c>
    </row>
    <row r="142" spans="1:13">
      <c r="A142" s="32">
        <f t="shared" ca="1" si="2"/>
        <v>40</v>
      </c>
      <c r="B142" s="32" cm="1">
        <f t="array" aca="1" ref="B142" ca="1">INDEX(Data_DBD!$B:$B,$A142)</f>
        <v>65</v>
      </c>
      <c r="C142" s="32" cm="1">
        <f t="array" aca="1" ref="C142" ca="1">INDEX(Data_DBD!$C:$C,$A142)</f>
        <v>3</v>
      </c>
      <c r="D142" s="32" cm="1">
        <f t="array" aca="1" ref="D142" ca="1">INDEX(Data_DBD!$D:$D,$A142)</f>
        <v>13</v>
      </c>
      <c r="E142" s="32" cm="1">
        <f t="array" aca="1" ref="E142" ca="1">INDEX(Data_DBD!$E:$E,$A142)</f>
        <v>1</v>
      </c>
      <c r="F142" s="32" cm="1">
        <f t="array" aca="1" ref="F142" ca="1">INDEX(Data_DBD!$F:$F,$A142)</f>
        <v>2</v>
      </c>
      <c r="H142" s="32">
        <v>17</v>
      </c>
      <c r="I142" s="32">
        <v>2</v>
      </c>
      <c r="J142" s="32">
        <v>3</v>
      </c>
      <c r="K142" s="32">
        <v>7</v>
      </c>
      <c r="L142" s="32">
        <v>0</v>
      </c>
      <c r="M142" s="32">
        <v>1</v>
      </c>
    </row>
    <row r="143" spans="1:13">
      <c r="A143" s="32">
        <f t="shared" ca="1" si="2"/>
        <v>60</v>
      </c>
      <c r="B143" s="32" cm="1">
        <f t="array" aca="1" ref="B143" ca="1">INDEX(Data_DBD!$B:$B,$A143)</f>
        <v>68</v>
      </c>
      <c r="C143" s="32" cm="1">
        <f t="array" aca="1" ref="C143" ca="1">INDEX(Data_DBD!$C:$C,$A143)</f>
        <v>4</v>
      </c>
      <c r="D143" s="32" cm="1">
        <f t="array" aca="1" ref="D143" ca="1">INDEX(Data_DBD!$D:$D,$A143)</f>
        <v>15</v>
      </c>
      <c r="E143" s="32" cm="1">
        <f t="array" aca="1" ref="E143" ca="1">INDEX(Data_DBD!$E:$E,$A143)</f>
        <v>0</v>
      </c>
      <c r="F143" s="32" cm="1">
        <f t="array" aca="1" ref="F143" ca="1">INDEX(Data_DBD!$F:$F,$A143)</f>
        <v>2</v>
      </c>
      <c r="H143" s="32">
        <v>102</v>
      </c>
      <c r="I143" s="32">
        <v>41</v>
      </c>
      <c r="J143" s="32">
        <v>4</v>
      </c>
      <c r="K143" s="32">
        <v>18</v>
      </c>
      <c r="L143" s="32">
        <v>0</v>
      </c>
      <c r="M143" s="32">
        <v>3</v>
      </c>
    </row>
    <row r="144" spans="1:13">
      <c r="A144" s="32">
        <f t="shared" ca="1" si="2"/>
        <v>67</v>
      </c>
      <c r="B144" s="32" cm="1">
        <f t="array" aca="1" ref="B144" ca="1">INDEX(Data_DBD!$B:$B,$A144)</f>
        <v>21</v>
      </c>
      <c r="C144" s="32" cm="1">
        <f t="array" aca="1" ref="C144" ca="1">INDEX(Data_DBD!$C:$C,$A144)</f>
        <v>3</v>
      </c>
      <c r="D144" s="32" cm="1">
        <f t="array" aca="1" ref="D144" ca="1">INDEX(Data_DBD!$D:$D,$A144)</f>
        <v>10</v>
      </c>
      <c r="E144" s="32" cm="1">
        <f t="array" aca="1" ref="E144" ca="1">INDEX(Data_DBD!$E:$E,$A144)</f>
        <v>1</v>
      </c>
      <c r="F144" s="32" cm="1">
        <f t="array" aca="1" ref="F144" ca="1">INDEX(Data_DBD!$F:$F,$A144)</f>
        <v>2</v>
      </c>
      <c r="H144" s="32">
        <v>142</v>
      </c>
      <c r="I144" s="32">
        <v>39</v>
      </c>
      <c r="J144" s="32">
        <v>2</v>
      </c>
      <c r="K144" s="32">
        <v>21</v>
      </c>
      <c r="L144" s="32">
        <v>1</v>
      </c>
      <c r="M144" s="32">
        <v>3</v>
      </c>
    </row>
    <row r="145" spans="1:13">
      <c r="A145" s="32">
        <f t="shared" ca="1" si="2"/>
        <v>128</v>
      </c>
      <c r="B145" s="32" cm="1">
        <f t="array" aca="1" ref="B145" ca="1">INDEX(Data_DBD!$B:$B,$A145)</f>
        <v>38</v>
      </c>
      <c r="C145" s="32" cm="1">
        <f t="array" aca="1" ref="C145" ca="1">INDEX(Data_DBD!$C:$C,$A145)</f>
        <v>2</v>
      </c>
      <c r="D145" s="32" cm="1">
        <f t="array" aca="1" ref="D145" ca="1">INDEX(Data_DBD!$D:$D,$A145)</f>
        <v>33</v>
      </c>
      <c r="E145" s="32" cm="1">
        <f t="array" aca="1" ref="E145" ca="1">INDEX(Data_DBD!$E:$E,$A145)</f>
        <v>0</v>
      </c>
      <c r="F145" s="32" cm="1">
        <f t="array" aca="1" ref="F145" ca="1">INDEX(Data_DBD!$F:$F,$A145)</f>
        <v>3</v>
      </c>
      <c r="H145" s="32">
        <v>93</v>
      </c>
      <c r="I145" s="32">
        <v>65</v>
      </c>
      <c r="J145" s="32">
        <v>4</v>
      </c>
      <c r="K145" s="32">
        <v>18</v>
      </c>
      <c r="L145" s="32">
        <v>0</v>
      </c>
      <c r="M145" s="32">
        <v>3</v>
      </c>
    </row>
    <row r="146" spans="1:13">
      <c r="A146" s="32">
        <f t="shared" ca="1" si="2"/>
        <v>149</v>
      </c>
      <c r="B146" s="32" cm="1">
        <f t="array" aca="1" ref="B146" ca="1">INDEX(Data_DBD!$B:$B,$A146)</f>
        <v>19</v>
      </c>
      <c r="C146" s="32" cm="1">
        <f t="array" aca="1" ref="C146" ca="1">INDEX(Data_DBD!$C:$C,$A146)</f>
        <v>5</v>
      </c>
      <c r="D146" s="32" cm="1">
        <f t="array" aca="1" ref="D146" ca="1">INDEX(Data_DBD!$D:$D,$A146)</f>
        <v>21</v>
      </c>
      <c r="E146" s="32" cm="1">
        <f t="array" aca="1" ref="E146" ca="1">INDEX(Data_DBD!$E:$E,$A146)</f>
        <v>0</v>
      </c>
      <c r="F146" s="32" cm="1">
        <f t="array" aca="1" ref="F146" ca="1">INDEX(Data_DBD!$F:$F,$A146)</f>
        <v>3</v>
      </c>
      <c r="H146" s="32">
        <v>60</v>
      </c>
      <c r="I146" s="32">
        <v>68</v>
      </c>
      <c r="J146" s="32">
        <v>4</v>
      </c>
      <c r="K146" s="32">
        <v>15</v>
      </c>
      <c r="L146" s="32">
        <v>0</v>
      </c>
      <c r="M146" s="32">
        <v>2</v>
      </c>
    </row>
    <row r="147" spans="1:13">
      <c r="A147" s="32">
        <f t="shared" ca="1" si="2"/>
        <v>76</v>
      </c>
      <c r="B147" s="32" cm="1">
        <f t="array" aca="1" ref="B147" ca="1">INDEX(Data_DBD!$B:$B,$A147)</f>
        <v>70</v>
      </c>
      <c r="C147" s="32" cm="1">
        <f t="array" aca="1" ref="C147" ca="1">INDEX(Data_DBD!$C:$C,$A147)</f>
        <v>2</v>
      </c>
      <c r="D147" s="32" cm="1">
        <f t="array" aca="1" ref="D147" ca="1">INDEX(Data_DBD!$D:$D,$A147)</f>
        <v>10</v>
      </c>
      <c r="E147" s="32" cm="1">
        <f t="array" aca="1" ref="E147" ca="1">INDEX(Data_DBD!$E:$E,$A147)</f>
        <v>0</v>
      </c>
      <c r="F147" s="32" cm="1">
        <f t="array" aca="1" ref="F147" ca="1">INDEX(Data_DBD!$F:$F,$A147)</f>
        <v>2</v>
      </c>
      <c r="H147" s="32">
        <v>55</v>
      </c>
      <c r="I147" s="32">
        <v>7</v>
      </c>
      <c r="J147" s="32">
        <v>4</v>
      </c>
      <c r="K147" s="32">
        <v>15</v>
      </c>
      <c r="L147" s="32">
        <v>1</v>
      </c>
      <c r="M147" s="32">
        <v>2</v>
      </c>
    </row>
    <row r="148" spans="1:13">
      <c r="A148" s="32">
        <f t="shared" ca="1" si="2"/>
        <v>141</v>
      </c>
      <c r="B148" s="32" cm="1">
        <f t="array" aca="1" ref="B148" ca="1">INDEX(Data_DBD!$B:$B,$A148)</f>
        <v>36</v>
      </c>
      <c r="C148" s="32" cm="1">
        <f t="array" aca="1" ref="C148" ca="1">INDEX(Data_DBD!$C:$C,$A148)</f>
        <v>2</v>
      </c>
      <c r="D148" s="32" cm="1">
        <f t="array" aca="1" ref="D148" ca="1">INDEX(Data_DBD!$D:$D,$A148)</f>
        <v>21</v>
      </c>
      <c r="E148" s="32" cm="1">
        <f t="array" aca="1" ref="E148" ca="1">INDEX(Data_DBD!$E:$E,$A148)</f>
        <v>0</v>
      </c>
      <c r="F148" s="32" cm="1">
        <f t="array" aca="1" ref="F148" ca="1">INDEX(Data_DBD!$F:$F,$A148)</f>
        <v>3</v>
      </c>
      <c r="H148" s="32">
        <v>93</v>
      </c>
      <c r="I148" s="32">
        <v>65</v>
      </c>
      <c r="J148" s="32">
        <v>4</v>
      </c>
      <c r="K148" s="32">
        <v>18</v>
      </c>
      <c r="L148" s="32">
        <v>0</v>
      </c>
      <c r="M148" s="32">
        <v>3</v>
      </c>
    </row>
    <row r="149" spans="1:13">
      <c r="A149" s="32">
        <f t="shared" ca="1" si="2"/>
        <v>88</v>
      </c>
      <c r="B149" s="32" cm="1">
        <f t="array" aca="1" ref="B149" ca="1">INDEX(Data_DBD!$B:$B,$A149)</f>
        <v>20</v>
      </c>
      <c r="C149" s="32" cm="1">
        <f t="array" aca="1" ref="C149" ca="1">INDEX(Data_DBD!$C:$C,$A149)</f>
        <v>4</v>
      </c>
      <c r="D149" s="32" cm="1">
        <f t="array" aca="1" ref="D149" ca="1">INDEX(Data_DBD!$D:$D,$A149)</f>
        <v>13</v>
      </c>
      <c r="E149" s="32" cm="1">
        <f t="array" aca="1" ref="E149" ca="1">INDEX(Data_DBD!$E:$E,$A149)</f>
        <v>1</v>
      </c>
      <c r="F149" s="32" cm="1">
        <f t="array" aca="1" ref="F149" ca="1">INDEX(Data_DBD!$F:$F,$A149)</f>
        <v>2</v>
      </c>
      <c r="H149" s="32">
        <v>65</v>
      </c>
      <c r="I149" s="32">
        <v>49</v>
      </c>
      <c r="J149" s="32">
        <v>3</v>
      </c>
      <c r="K149" s="32">
        <v>15</v>
      </c>
      <c r="L149" s="32">
        <v>0</v>
      </c>
      <c r="M149" s="32">
        <v>2</v>
      </c>
    </row>
    <row r="150" spans="1:13">
      <c r="A150" s="32">
        <f t="shared" ca="1" si="2"/>
        <v>147</v>
      </c>
      <c r="B150" s="32" cm="1">
        <f t="array" aca="1" ref="B150" ca="1">INDEX(Data_DBD!$B:$B,$A150)</f>
        <v>66</v>
      </c>
      <c r="C150" s="32" cm="1">
        <f t="array" aca="1" ref="C150" ca="1">INDEX(Data_DBD!$C:$C,$A150)</f>
        <v>10</v>
      </c>
      <c r="D150" s="32" cm="1">
        <f t="array" aca="1" ref="D150" ca="1">INDEX(Data_DBD!$D:$D,$A150)</f>
        <v>21</v>
      </c>
      <c r="E150" s="32" cm="1">
        <f t="array" aca="1" ref="E150" ca="1">INDEX(Data_DBD!$E:$E,$A150)</f>
        <v>1</v>
      </c>
      <c r="F150" s="32" cm="1">
        <f t="array" aca="1" ref="F150" ca="1">INDEX(Data_DBD!$F:$F,$A150)</f>
        <v>3</v>
      </c>
      <c r="H150" s="32">
        <v>83</v>
      </c>
      <c r="I150" s="32">
        <v>50</v>
      </c>
      <c r="J150" s="32">
        <v>3</v>
      </c>
      <c r="K150" s="32">
        <v>13</v>
      </c>
      <c r="L150" s="32">
        <v>0</v>
      </c>
      <c r="M150" s="32">
        <v>2</v>
      </c>
    </row>
    <row r="151" spans="1:13">
      <c r="A151" s="32">
        <f t="shared" ca="1" si="2"/>
        <v>69</v>
      </c>
      <c r="B151" s="32" cm="1">
        <f t="array" aca="1" ref="B151" ca="1">INDEX(Data_DBD!$B:$B,$A151)</f>
        <v>24</v>
      </c>
      <c r="C151" s="32" cm="1">
        <f t="array" aca="1" ref="C151" ca="1">INDEX(Data_DBD!$C:$C,$A151)</f>
        <v>4</v>
      </c>
      <c r="D151" s="32" cm="1">
        <f t="array" aca="1" ref="D151" ca="1">INDEX(Data_DBD!$D:$D,$A151)</f>
        <v>10</v>
      </c>
      <c r="E151" s="32" cm="1">
        <f t="array" aca="1" ref="E151" ca="1">INDEX(Data_DBD!$E:$E,$A151)</f>
        <v>1</v>
      </c>
      <c r="F151" s="32" cm="1">
        <f t="array" aca="1" ref="F151" ca="1">INDEX(Data_DBD!$F:$F,$A151)</f>
        <v>2</v>
      </c>
      <c r="H151" s="32">
        <v>86</v>
      </c>
      <c r="I151" s="32">
        <v>23</v>
      </c>
      <c r="J151" s="32">
        <v>3</v>
      </c>
      <c r="K151" s="32">
        <v>13</v>
      </c>
      <c r="L151" s="32">
        <v>0</v>
      </c>
      <c r="M151" s="32">
        <v>2</v>
      </c>
    </row>
    <row r="152" spans="1:13">
      <c r="A152" s="32">
        <f t="shared" ca="1" si="2"/>
        <v>110</v>
      </c>
      <c r="B152" s="32" cm="1">
        <f t="array" aca="1" ref="B152" ca="1">INDEX(Data_DBD!$B:$B,$A152)</f>
        <v>42</v>
      </c>
      <c r="C152" s="32" cm="1">
        <f t="array" aca="1" ref="C152" ca="1">INDEX(Data_DBD!$C:$C,$A152)</f>
        <v>2</v>
      </c>
      <c r="D152" s="32" cm="1">
        <f t="array" aca="1" ref="D152" ca="1">INDEX(Data_DBD!$D:$D,$A152)</f>
        <v>33</v>
      </c>
      <c r="E152" s="32" cm="1">
        <f t="array" aca="1" ref="E152" ca="1">INDEX(Data_DBD!$E:$E,$A152)</f>
        <v>1</v>
      </c>
      <c r="F152" s="32" cm="1">
        <f t="array" aca="1" ref="F152" ca="1">INDEX(Data_DBD!$F:$F,$A152)</f>
        <v>3</v>
      </c>
      <c r="H152" s="32">
        <v>93</v>
      </c>
      <c r="I152" s="32">
        <v>65</v>
      </c>
      <c r="J152" s="32">
        <v>4</v>
      </c>
      <c r="K152" s="32">
        <v>18</v>
      </c>
      <c r="L152" s="32">
        <v>0</v>
      </c>
      <c r="M152" s="32">
        <v>3</v>
      </c>
    </row>
    <row r="153" spans="1:13">
      <c r="A153" s="32">
        <f t="shared" ca="1" si="2"/>
        <v>53</v>
      </c>
      <c r="B153" s="32" cm="1">
        <f t="array" aca="1" ref="B153" ca="1">INDEX(Data_DBD!$B:$B,$A153)</f>
        <v>35</v>
      </c>
      <c r="C153" s="32" cm="1">
        <f t="array" aca="1" ref="C153" ca="1">INDEX(Data_DBD!$C:$C,$A153)</f>
        <v>4</v>
      </c>
      <c r="D153" s="32" cm="1">
        <f t="array" aca="1" ref="D153" ca="1">INDEX(Data_DBD!$D:$D,$A153)</f>
        <v>15</v>
      </c>
      <c r="E153" s="32" cm="1">
        <f t="array" aca="1" ref="E153" ca="1">INDEX(Data_DBD!$E:$E,$A153)</f>
        <v>1</v>
      </c>
      <c r="F153" s="32" cm="1">
        <f t="array" aca="1" ref="F153" ca="1">INDEX(Data_DBD!$F:$F,$A153)</f>
        <v>2</v>
      </c>
      <c r="H153" s="32">
        <v>32</v>
      </c>
      <c r="I153" s="32">
        <v>54</v>
      </c>
      <c r="J153" s="32">
        <v>4</v>
      </c>
      <c r="K153" s="32">
        <v>14</v>
      </c>
      <c r="L153" s="32">
        <v>0</v>
      </c>
      <c r="M153" s="32">
        <v>2</v>
      </c>
    </row>
    <row r="154" spans="1:13">
      <c r="A154" s="32">
        <f t="shared" ca="1" si="2"/>
        <v>124</v>
      </c>
      <c r="B154" s="32" cm="1">
        <f t="array" aca="1" ref="B154" ca="1">INDEX(Data_DBD!$B:$B,$A154)</f>
        <v>24</v>
      </c>
      <c r="C154" s="32" cm="1">
        <f t="array" aca="1" ref="C154" ca="1">INDEX(Data_DBD!$C:$C,$A154)</f>
        <v>3</v>
      </c>
      <c r="D154" s="32" cm="1">
        <f t="array" aca="1" ref="D154" ca="1">INDEX(Data_DBD!$D:$D,$A154)</f>
        <v>33</v>
      </c>
      <c r="E154" s="32" cm="1">
        <f t="array" aca="1" ref="E154" ca="1">INDEX(Data_DBD!$E:$E,$A154)</f>
        <v>1</v>
      </c>
      <c r="F154" s="32" cm="1">
        <f t="array" aca="1" ref="F154" ca="1">INDEX(Data_DBD!$F:$F,$A154)</f>
        <v>3</v>
      </c>
      <c r="H154" s="32">
        <v>123</v>
      </c>
      <c r="I154" s="32">
        <v>22</v>
      </c>
      <c r="J154" s="32">
        <v>4</v>
      </c>
      <c r="K154" s="32">
        <v>33</v>
      </c>
      <c r="L154" s="32">
        <v>0</v>
      </c>
      <c r="M154" s="32">
        <v>3</v>
      </c>
    </row>
    <row r="155" spans="1:13">
      <c r="A155" s="32">
        <f t="shared" ca="1" si="2"/>
        <v>72</v>
      </c>
      <c r="B155" s="32" cm="1">
        <f t="array" aca="1" ref="B155" ca="1">INDEX(Data_DBD!$B:$B,$A155)</f>
        <v>3</v>
      </c>
      <c r="C155" s="32" cm="1">
        <f t="array" aca="1" ref="C155" ca="1">INDEX(Data_DBD!$C:$C,$A155)</f>
        <v>5</v>
      </c>
      <c r="D155" s="32" cm="1">
        <f t="array" aca="1" ref="D155" ca="1">INDEX(Data_DBD!$D:$D,$A155)</f>
        <v>10</v>
      </c>
      <c r="E155" s="32" cm="1">
        <f t="array" aca="1" ref="E155" ca="1">INDEX(Data_DBD!$E:$E,$A155)</f>
        <v>1</v>
      </c>
      <c r="F155" s="32" cm="1">
        <f t="array" aca="1" ref="F155" ca="1">INDEX(Data_DBD!$F:$F,$A155)</f>
        <v>2</v>
      </c>
      <c r="H155" s="32">
        <v>54</v>
      </c>
      <c r="I155" s="32">
        <v>7</v>
      </c>
      <c r="J155" s="32">
        <v>3</v>
      </c>
      <c r="K155" s="32">
        <v>15</v>
      </c>
      <c r="L155" s="32">
        <v>0</v>
      </c>
      <c r="M155" s="32">
        <v>2</v>
      </c>
    </row>
    <row r="156" spans="1:13">
      <c r="A156" s="32">
        <f t="shared" ca="1" si="2"/>
        <v>31</v>
      </c>
      <c r="B156" s="32" cm="1">
        <f t="array" aca="1" ref="B156" ca="1">INDEX(Data_DBD!$B:$B,$A156)</f>
        <v>64</v>
      </c>
      <c r="C156" s="32" cm="1">
        <f t="array" aca="1" ref="C156" ca="1">INDEX(Data_DBD!$C:$C,$A156)</f>
        <v>4</v>
      </c>
      <c r="D156" s="32" cm="1">
        <f t="array" aca="1" ref="D156" ca="1">INDEX(Data_DBD!$D:$D,$A156)</f>
        <v>14</v>
      </c>
      <c r="E156" s="32" cm="1">
        <f t="array" aca="1" ref="E156" ca="1">INDEX(Data_DBD!$E:$E,$A156)</f>
        <v>1</v>
      </c>
      <c r="F156" s="32" cm="1">
        <f t="array" aca="1" ref="F156" ca="1">INDEX(Data_DBD!$F:$F,$A156)</f>
        <v>2</v>
      </c>
      <c r="H156" s="32">
        <v>145</v>
      </c>
      <c r="I156" s="32">
        <v>28</v>
      </c>
      <c r="J156" s="32">
        <v>4</v>
      </c>
      <c r="K156" s="32">
        <v>21</v>
      </c>
      <c r="L156" s="32">
        <v>1</v>
      </c>
      <c r="M156" s="32">
        <v>3</v>
      </c>
    </row>
    <row r="157" spans="1:13">
      <c r="A157" s="32">
        <f t="shared" ca="1" si="2"/>
        <v>35</v>
      </c>
      <c r="B157" s="32" cm="1">
        <f t="array" aca="1" ref="B157" ca="1">INDEX(Data_DBD!$B:$B,$A157)</f>
        <v>40</v>
      </c>
      <c r="C157" s="32" cm="1">
        <f t="array" aca="1" ref="C157" ca="1">INDEX(Data_DBD!$C:$C,$A157)</f>
        <v>3</v>
      </c>
      <c r="D157" s="32" cm="1">
        <f t="array" aca="1" ref="D157" ca="1">INDEX(Data_DBD!$D:$D,$A157)</f>
        <v>4</v>
      </c>
      <c r="E157" s="32" cm="1">
        <f t="array" aca="1" ref="E157" ca="1">INDEX(Data_DBD!$E:$E,$A157)</f>
        <v>1</v>
      </c>
      <c r="F157" s="32" cm="1">
        <f t="array" aca="1" ref="F157" ca="1">INDEX(Data_DBD!$F:$F,$A157)</f>
        <v>1</v>
      </c>
      <c r="H157" s="32">
        <v>137</v>
      </c>
      <c r="I157" s="32">
        <v>3.5</v>
      </c>
      <c r="J157" s="32">
        <v>1</v>
      </c>
      <c r="K157" s="32">
        <v>33</v>
      </c>
      <c r="L157" s="32">
        <v>1</v>
      </c>
      <c r="M157" s="32">
        <v>3</v>
      </c>
    </row>
    <row r="158" spans="1:13" ht="15.75">
      <c r="A158" s="32">
        <f t="shared" ca="1" si="2"/>
        <v>104</v>
      </c>
      <c r="B158" s="32" cm="1">
        <f t="array" aca="1" ref="B158" ca="1">INDEX(Data_DBD!$B:$B,$A158)</f>
        <v>37</v>
      </c>
      <c r="C158" s="32" cm="1">
        <f t="array" aca="1" ref="C158" ca="1">INDEX(Data_DBD!$C:$C,$A158)</f>
        <v>4</v>
      </c>
      <c r="D158" s="32" cm="1">
        <f t="array" aca="1" ref="D158" ca="1">INDEX(Data_DBD!$D:$D,$A158)</f>
        <v>18</v>
      </c>
      <c r="E158" s="32" cm="1">
        <f t="array" aca="1" ref="E158" ca="1">INDEX(Data_DBD!$E:$E,$A158)</f>
        <v>1</v>
      </c>
      <c r="F158" s="32" cm="1">
        <f t="array" aca="1" ref="F158" ca="1">INDEX(Data_DBD!$F:$F,$A158)</f>
        <v>3</v>
      </c>
      <c r="H158" s="32">
        <v>16</v>
      </c>
      <c r="I158" s="32">
        <v>66</v>
      </c>
      <c r="J158" s="32">
        <v>5</v>
      </c>
      <c r="K158" s="32">
        <v>7</v>
      </c>
      <c r="L158" s="58">
        <v>1</v>
      </c>
      <c r="M158" s="32">
        <v>1</v>
      </c>
    </row>
    <row r="159" spans="1:13" ht="15.75">
      <c r="A159" s="32">
        <f t="shared" ca="1" si="2"/>
        <v>127</v>
      </c>
      <c r="B159" s="32" cm="1">
        <f t="array" aca="1" ref="B159" ca="1">INDEX(Data_DBD!$B:$B,$A159)</f>
        <v>21</v>
      </c>
      <c r="C159" s="32" cm="1">
        <f t="array" aca="1" ref="C159" ca="1">INDEX(Data_DBD!$C:$C,$A159)</f>
        <v>2</v>
      </c>
      <c r="D159" s="32" cm="1">
        <f t="array" aca="1" ref="D159" ca="1">INDEX(Data_DBD!$D:$D,$A159)</f>
        <v>33</v>
      </c>
      <c r="E159" s="32" cm="1">
        <f t="array" aca="1" ref="E159" ca="1">INDEX(Data_DBD!$E:$E,$A159)</f>
        <v>0</v>
      </c>
      <c r="F159" s="32" cm="1">
        <f t="array" aca="1" ref="F159" ca="1">INDEX(Data_DBD!$F:$F,$A159)</f>
        <v>3</v>
      </c>
      <c r="H159" s="32">
        <v>108</v>
      </c>
      <c r="I159" s="32">
        <v>69</v>
      </c>
      <c r="J159" s="32">
        <v>7</v>
      </c>
      <c r="K159" s="32">
        <v>33</v>
      </c>
      <c r="L159" s="59">
        <v>1</v>
      </c>
      <c r="M159" s="32">
        <v>3</v>
      </c>
    </row>
    <row r="160" spans="1:13" ht="15.75">
      <c r="A160" s="32">
        <f t="shared" ca="1" si="2"/>
        <v>40</v>
      </c>
      <c r="B160" s="32" cm="1">
        <f t="array" aca="1" ref="B160" ca="1">INDEX(Data_DBD!$B:$B,$A160)</f>
        <v>65</v>
      </c>
      <c r="C160" s="32" cm="1">
        <f t="array" aca="1" ref="C160" ca="1">INDEX(Data_DBD!$C:$C,$A160)</f>
        <v>3</v>
      </c>
      <c r="D160" s="32" cm="1">
        <f t="array" aca="1" ref="D160" ca="1">INDEX(Data_DBD!$D:$D,$A160)</f>
        <v>13</v>
      </c>
      <c r="E160" s="32" cm="1">
        <f t="array" aca="1" ref="E160" ca="1">INDEX(Data_DBD!$E:$E,$A160)</f>
        <v>1</v>
      </c>
      <c r="F160" s="32" cm="1">
        <f t="array" aca="1" ref="F160" ca="1">INDEX(Data_DBD!$F:$F,$A160)</f>
        <v>2</v>
      </c>
      <c r="H160" s="32">
        <v>151</v>
      </c>
      <c r="I160" s="32">
        <v>24</v>
      </c>
      <c r="J160" s="32">
        <v>3</v>
      </c>
      <c r="K160" s="32">
        <v>21</v>
      </c>
      <c r="L160" s="60">
        <v>0</v>
      </c>
      <c r="M160" s="32">
        <v>3</v>
      </c>
    </row>
    <row r="161" spans="1:22" ht="15.75">
      <c r="A161" s="32">
        <f t="shared" ca="1" si="2"/>
        <v>118</v>
      </c>
      <c r="B161" s="32" cm="1">
        <f t="array" aca="1" ref="B161" ca="1">INDEX(Data_DBD!$B:$B,$A161)</f>
        <v>67</v>
      </c>
      <c r="C161" s="32" cm="1">
        <f t="array" aca="1" ref="C161" ca="1">INDEX(Data_DBD!$C:$C,$A161)</f>
        <v>4</v>
      </c>
      <c r="D161" s="32" cm="1">
        <f t="array" aca="1" ref="D161" ca="1">INDEX(Data_DBD!$D:$D,$A161)</f>
        <v>33</v>
      </c>
      <c r="E161" s="32" cm="1">
        <f t="array" aca="1" ref="E161" ca="1">INDEX(Data_DBD!$E:$E,$A161)</f>
        <v>1</v>
      </c>
      <c r="F161" s="32" cm="1">
        <f t="array" aca="1" ref="F161" ca="1">INDEX(Data_DBD!$F:$F,$A161)</f>
        <v>3</v>
      </c>
      <c r="H161" s="32">
        <v>4</v>
      </c>
      <c r="I161" s="32">
        <v>23</v>
      </c>
      <c r="J161" s="32">
        <v>5</v>
      </c>
      <c r="K161" s="32">
        <v>12</v>
      </c>
      <c r="L161" s="60">
        <v>0</v>
      </c>
      <c r="M161" s="32">
        <v>2</v>
      </c>
    </row>
    <row r="162" spans="1:22" ht="15.75">
      <c r="A162" s="32">
        <f t="shared" ca="1" si="2"/>
        <v>109</v>
      </c>
      <c r="B162" s="32" cm="1">
        <f t="array" aca="1" ref="B162" ca="1">INDEX(Data_DBD!$B:$B,$A162)</f>
        <v>40</v>
      </c>
      <c r="C162" s="32" cm="1">
        <f t="array" aca="1" ref="C162" ca="1">INDEX(Data_DBD!$C:$C,$A162)</f>
        <v>3</v>
      </c>
      <c r="D162" s="32" cm="1">
        <f t="array" aca="1" ref="D162" ca="1">INDEX(Data_DBD!$D:$D,$A162)</f>
        <v>33</v>
      </c>
      <c r="E162" s="32" cm="1">
        <f t="array" aca="1" ref="E162" ca="1">INDEX(Data_DBD!$E:$E,$A162)</f>
        <v>1</v>
      </c>
      <c r="F162" s="32" cm="1">
        <f t="array" aca="1" ref="F162" ca="1">INDEX(Data_DBD!$F:$F,$A162)</f>
        <v>3</v>
      </c>
      <c r="H162" s="32">
        <v>6</v>
      </c>
      <c r="I162" s="32">
        <v>14</v>
      </c>
      <c r="J162" s="32">
        <v>4</v>
      </c>
      <c r="K162" s="32">
        <v>12</v>
      </c>
      <c r="L162" s="59">
        <v>0</v>
      </c>
      <c r="M162" s="32">
        <v>2</v>
      </c>
    </row>
    <row r="163" spans="1:22" ht="15.75">
      <c r="A163" s="32">
        <f t="shared" ca="1" si="2"/>
        <v>77</v>
      </c>
      <c r="B163" s="32" cm="1">
        <f t="array" aca="1" ref="B163" ca="1">INDEX(Data_DBD!$B:$B,$A163)</f>
        <v>16</v>
      </c>
      <c r="C163" s="32" cm="1">
        <f t="array" aca="1" ref="C163" ca="1">INDEX(Data_DBD!$C:$C,$A163)</f>
        <v>4</v>
      </c>
      <c r="D163" s="32" cm="1">
        <f t="array" aca="1" ref="D163" ca="1">INDEX(Data_DBD!$D:$D,$A163)</f>
        <v>13</v>
      </c>
      <c r="E163" s="32" cm="1">
        <f t="array" aca="1" ref="E163" ca="1">INDEX(Data_DBD!$E:$E,$A163)</f>
        <v>1</v>
      </c>
      <c r="F163" s="32" cm="1">
        <f t="array" aca="1" ref="F163" ca="1">INDEX(Data_DBD!$F:$F,$A163)</f>
        <v>2</v>
      </c>
      <c r="H163" s="32">
        <v>156</v>
      </c>
      <c r="I163" s="32">
        <v>5</v>
      </c>
      <c r="J163" s="32">
        <v>2</v>
      </c>
      <c r="K163" s="32">
        <v>21</v>
      </c>
      <c r="L163" s="60">
        <v>0</v>
      </c>
      <c r="M163" s="32">
        <v>3</v>
      </c>
    </row>
    <row r="164" spans="1:22">
      <c r="A164" s="32">
        <f t="shared" ca="1" si="2"/>
        <v>43</v>
      </c>
      <c r="B164" s="32" cm="1">
        <f t="array" aca="1" ref="B164" ca="1">INDEX(Data_DBD!$B:$B,$A164)</f>
        <v>15</v>
      </c>
      <c r="C164" s="32" cm="1">
        <f t="array" aca="1" ref="C164" ca="1">INDEX(Data_DBD!$C:$C,$A164)</f>
        <v>4</v>
      </c>
      <c r="D164" s="32" cm="1">
        <f t="array" aca="1" ref="D164" ca="1">INDEX(Data_DBD!$D:$D,$A164)</f>
        <v>13</v>
      </c>
      <c r="E164" s="32" cm="1">
        <f t="array" aca="1" ref="E164" ca="1">INDEX(Data_DBD!$E:$E,$A164)</f>
        <v>0</v>
      </c>
      <c r="F164" s="32" cm="1">
        <f t="array" aca="1" ref="F164" ca="1">INDEX(Data_DBD!$F:$F,$A164)</f>
        <v>2</v>
      </c>
      <c r="H164" s="32">
        <v>126</v>
      </c>
      <c r="I164" s="32">
        <v>51</v>
      </c>
      <c r="J164" s="32">
        <v>3</v>
      </c>
      <c r="K164" s="32">
        <v>33</v>
      </c>
      <c r="L164" s="32">
        <v>1</v>
      </c>
      <c r="M164" s="32">
        <v>3</v>
      </c>
    </row>
    <row r="165" spans="1:22">
      <c r="I165">
        <f>AVERAGE(I2:I164)</f>
        <v>33.590625000000003</v>
      </c>
      <c r="J165">
        <f>AVERAGE(J2:J164)</f>
        <v>3.6625766871165646</v>
      </c>
      <c r="K165">
        <f>AVERAGE(K2:K164)</f>
        <v>18.447852760736197</v>
      </c>
      <c r="L165">
        <f>AVERAGE(L2:L164)</f>
        <v>0.51533742331288346</v>
      </c>
    </row>
    <row r="166" spans="1:22">
      <c r="B166">
        <v>93</v>
      </c>
    </row>
    <row r="168" spans="1:22">
      <c r="E168" s="38" t="s">
        <v>188</v>
      </c>
      <c r="J168" s="38" t="s">
        <v>189</v>
      </c>
      <c r="O168" s="38" t="s">
        <v>190</v>
      </c>
      <c r="T168" s="38" t="s">
        <v>191</v>
      </c>
    </row>
    <row r="169" spans="1:22">
      <c r="E169" s="32" t="s">
        <v>1</v>
      </c>
      <c r="F169" s="32">
        <f>AVERAGEIF($I$2:$I$164,"&lt;="&amp;$I$165)</f>
        <v>16.0625</v>
      </c>
      <c r="G169" s="32">
        <f>AVERAGEIF($I$2:$I$164,"&gt;"&amp;$I$165)</f>
        <v>55.013888888888886</v>
      </c>
      <c r="J169" s="32" t="s">
        <v>192</v>
      </c>
      <c r="K169" s="32">
        <f>AVERAGEIF($J$2:$J$164,"&lt;="&amp;$J$165)</f>
        <v>2.5060240963855422</v>
      </c>
      <c r="L169" s="32">
        <f>AVERAGEIF($J$2:$J$164,"&gt;"&amp;$J$165)</f>
        <v>4.8624999999999998</v>
      </c>
      <c r="O169" s="32" t="s">
        <v>193</v>
      </c>
      <c r="P169" s="32">
        <f>AVERAGEIF($K$2:$K$164,"&lt;="&amp;$K$165)</f>
        <v>13.699029126213592</v>
      </c>
      <c r="Q169" s="32">
        <f>AVERAGEIF($K$2:$K$164,"&gt;"&amp;$K$165)</f>
        <v>26.6</v>
      </c>
      <c r="T169" s="32" t="s">
        <v>194</v>
      </c>
      <c r="U169" s="32">
        <f>AVERAGEIF($L$2:$L$164,"&lt;="&amp;$L$165)</f>
        <v>0</v>
      </c>
      <c r="V169" s="32">
        <f>AVERAGEIF($L$2:$L$164,"&gt;"&amp;$L$165)</f>
        <v>1</v>
      </c>
    </row>
    <row r="170" spans="1:22">
      <c r="E170" s="32" t="str" cm="1">
        <f t="array" ref="E170:E332">IF($I$2:$I$164&lt;$F$169,"kiri",IF($I$2:$I$164&lt;$G$169,"tengah","kanan"))</f>
        <v>tengah</v>
      </c>
      <c r="F170" s="55" t="s">
        <v>269</v>
      </c>
      <c r="G170" s="32"/>
      <c r="J170" s="32" t="str" cm="1">
        <f t="array" ref="J170:J332">IF($J$2:$J$164&lt;$K$169,"kiri",IF($J$2:$J$164&lt;$L$169,"tengah","kanan"))</f>
        <v>kiri</v>
      </c>
      <c r="K170" s="55" t="s">
        <v>271</v>
      </c>
      <c r="L170" s="32"/>
      <c r="O170" s="32" t="str" cm="1">
        <f t="array" ref="O170:O332">IF($K$2:$K$164&lt;$P$169,"kiri",IF($K$2:$K$164&lt;$Q$169,"tengah","kanan"))</f>
        <v>kiri</v>
      </c>
      <c r="P170" s="55" t="s">
        <v>283</v>
      </c>
      <c r="Q170" s="32"/>
      <c r="T170" s="32" t="str" cm="1">
        <f t="array" ref="T170:T332">IF($L$2:$L$164&lt;$U$169,"kiri",IF($L$2:$L$164&lt;$V$169,"tengah","kanan"))</f>
        <v>kanan</v>
      </c>
      <c r="U170" s="32" t="s">
        <v>195</v>
      </c>
      <c r="V170" s="32"/>
    </row>
    <row r="171" spans="1:22">
      <c r="E171" s="32" t="str">
        <v>tengah</v>
      </c>
      <c r="F171" s="32">
        <f>COUNTIFS($E$170:$E$332,"Kanan",$M$2:$M$164,"1")</f>
        <v>1</v>
      </c>
      <c r="G171" s="32">
        <f>F171/37</f>
        <v>2.7027027027027029E-2</v>
      </c>
      <c r="J171" s="32" t="str">
        <v>kanan</v>
      </c>
      <c r="K171" s="32" cm="1">
        <f t="array" ref="K171">SUMPRODUCT((J170:J332="Kanan")*(M2:M164=1))</f>
        <v>6</v>
      </c>
      <c r="L171" s="32">
        <f>K171/39</f>
        <v>0.15384615384615385</v>
      </c>
      <c r="O171" s="32" t="str">
        <v>kiri</v>
      </c>
      <c r="P171" s="32">
        <f>COUNTIFS($O$170:$O$332,"Kanan",$M$2:$M$164,"1")</f>
        <v>0</v>
      </c>
      <c r="Q171" s="32">
        <f>P171/28</f>
        <v>0</v>
      </c>
      <c r="T171" s="32" t="str">
        <v>kanan</v>
      </c>
      <c r="U171" s="32">
        <f>COUNTIFS($T$170:$T$332,"Kanan",$M$2:$M$164,"1")</f>
        <v>4</v>
      </c>
      <c r="V171" s="32">
        <f>U171/83</f>
        <v>4.8192771084337352E-2</v>
      </c>
    </row>
    <row r="172" spans="1:22">
      <c r="E172" s="32" t="str">
        <v>kanan</v>
      </c>
      <c r="F172" s="32">
        <f>COUNTIFS($E$170:$E$332,"Kanan",$M$2:$M$164,"2")</f>
        <v>13</v>
      </c>
      <c r="G172" s="32">
        <f t="shared" ref="G172:G173" si="3">F172/37</f>
        <v>0.35135135135135137</v>
      </c>
      <c r="J172" s="32" t="str">
        <v>kiri</v>
      </c>
      <c r="K172" s="32">
        <f>COUNTIFS($J$170:$J$332,"Kanan",$M$2:$M$164,"2")</f>
        <v>12</v>
      </c>
      <c r="L172" s="32">
        <f t="shared" ref="L172:L173" si="4">K172/39</f>
        <v>0.30769230769230771</v>
      </c>
      <c r="O172" s="32" t="str">
        <v>tengah</v>
      </c>
      <c r="P172" s="32">
        <f>COUNTIFS($O$170:$O$332,"Kanan",$M$2:$M$164,"2")</f>
        <v>0</v>
      </c>
      <c r="Q172" s="32">
        <f t="shared" ref="Q172:Q173" si="5">P172/28</f>
        <v>0</v>
      </c>
      <c r="T172" s="32" t="str">
        <v>kanan</v>
      </c>
      <c r="U172" s="32">
        <f>COUNTIFS($T$170:$T$332,"Kanan",$M$2:$M$164,"2")</f>
        <v>33</v>
      </c>
      <c r="V172" s="32">
        <f t="shared" ref="V172:V173" si="6">U172/83</f>
        <v>0.39759036144578314</v>
      </c>
    </row>
    <row r="173" spans="1:22">
      <c r="E173" s="32" t="str">
        <v>kiri</v>
      </c>
      <c r="F173" s="32" cm="1">
        <f t="array" ref="F173">SUMPRODUCT((E170:E332="KANAN")*(M2:M164=3))</f>
        <v>23</v>
      </c>
      <c r="G173" s="32">
        <f t="shared" si="3"/>
        <v>0.6216216216216216</v>
      </c>
      <c r="J173" s="32" t="str">
        <v>kanan</v>
      </c>
      <c r="K173" s="32">
        <f>COUNTIFS($J$170:$J$332,"Kanan",$M$2:$M$164,"3")</f>
        <v>21</v>
      </c>
      <c r="L173" s="32">
        <f t="shared" si="4"/>
        <v>0.53846153846153844</v>
      </c>
      <c r="O173" s="32" t="str">
        <v>kiri</v>
      </c>
      <c r="P173" s="32">
        <f>COUNTIFS($O$170:$O$332,"Kanan",$M$2:$M$164,"3")</f>
        <v>28</v>
      </c>
      <c r="Q173" s="32">
        <f t="shared" si="5"/>
        <v>1</v>
      </c>
      <c r="T173" s="32" t="str">
        <v>kanan</v>
      </c>
      <c r="U173" s="32">
        <f>COUNTIFS($T$170:$T$332,"Kanan",$M$2:$M$164,"3")</f>
        <v>47</v>
      </c>
      <c r="V173" s="32">
        <f t="shared" si="6"/>
        <v>0.5662650602409639</v>
      </c>
    </row>
    <row r="174" spans="1:22">
      <c r="E174" s="32" t="str">
        <v>tengah</v>
      </c>
      <c r="F174" s="32" t="s">
        <v>196</v>
      </c>
      <c r="G174" s="32">
        <f>-(IFERROR(G171*LOG(G171,2),0)+IFERROR(G172*LOG(G172,2),0)+IFERROR(G173*LOG(G173,2),0))</f>
        <v>1.0973549514358283</v>
      </c>
      <c r="J174" s="32" t="str">
        <v>tengah</v>
      </c>
      <c r="K174" s="32" t="s">
        <v>196</v>
      </c>
      <c r="L174" s="32">
        <f>-(IFERROR(L171*LOG(L171,2),0)+IFERROR(L172*LOG(L172,2),0)+IFERROR(L173*LOG(L173,2),0))</f>
        <v>1.4195562985716133</v>
      </c>
      <c r="O174" s="32" t="str">
        <v>tengah</v>
      </c>
      <c r="P174" s="32" t="s">
        <v>196</v>
      </c>
      <c r="Q174" s="32">
        <f>-(IFERROR(Q171*LOG(Q171,2),0)+IFERROR(Q172*LOG(Q172,2),0)+IFERROR(Q173*LOG(Q173,2),0))</f>
        <v>0</v>
      </c>
      <c r="T174" s="32" t="str">
        <v>kanan</v>
      </c>
      <c r="U174" s="32" t="s">
        <v>196</v>
      </c>
      <c r="V174" s="32">
        <f>-(IFERROR(V171*LOG(V171,2),0)+IFERROR(V172*LOG(V172,2),0)+IFERROR(V173*LOG(V173,2),0))</f>
        <v>1.2044895212706477</v>
      </c>
    </row>
    <row r="175" spans="1:22">
      <c r="E175" s="32" t="str">
        <v>tengah</v>
      </c>
      <c r="F175" s="32"/>
      <c r="G175" s="32">
        <f>SUM(F171:F173)/163</f>
        <v>0.22699386503067484</v>
      </c>
      <c r="J175" s="32" t="str">
        <v>tengah</v>
      </c>
      <c r="K175" s="32"/>
      <c r="L175" s="32">
        <f>SUM(K171:K173)/163</f>
        <v>0.2392638036809816</v>
      </c>
      <c r="O175" s="32" t="str">
        <v>tengah</v>
      </c>
      <c r="P175" s="32"/>
      <c r="Q175" s="32">
        <f>SUM(P171:P173)/163</f>
        <v>0.17177914110429449</v>
      </c>
      <c r="T175" s="32" t="str">
        <v>tengah</v>
      </c>
      <c r="U175" s="32"/>
      <c r="V175" s="32">
        <f>SUM(U171:U173)/163</f>
        <v>0.51533742331288346</v>
      </c>
    </row>
    <row r="176" spans="1:22">
      <c r="E176" s="32" t="str">
        <v>kanan</v>
      </c>
      <c r="F176" s="32"/>
      <c r="G176" s="39">
        <f>G174*G175</f>
        <v>0.24909284173696716</v>
      </c>
      <c r="J176" s="32" t="str">
        <v>tengah</v>
      </c>
      <c r="K176" s="32"/>
      <c r="L176" s="39">
        <f>L174*L175</f>
        <v>0.33964843953553936</v>
      </c>
      <c r="O176" s="32" t="str">
        <v>kanan</v>
      </c>
      <c r="P176" s="32"/>
      <c r="Q176" s="39">
        <f>Q174*Q175</f>
        <v>0</v>
      </c>
      <c r="T176" s="32" t="str">
        <v>kanan</v>
      </c>
      <c r="U176" s="32"/>
      <c r="V176" s="39">
        <f>V174*V175</f>
        <v>0.62071852629898405</v>
      </c>
    </row>
    <row r="177" spans="5:22">
      <c r="E177" s="32" t="str">
        <v>kiri</v>
      </c>
      <c r="F177" s="32"/>
      <c r="G177" s="32"/>
      <c r="J177" s="32" t="str">
        <v>kanan</v>
      </c>
      <c r="K177" s="32"/>
      <c r="L177" s="32"/>
      <c r="O177" s="32" t="str">
        <v>kiri</v>
      </c>
      <c r="P177" s="32"/>
      <c r="Q177" s="32"/>
      <c r="T177" s="32" t="str">
        <v>tengah</v>
      </c>
      <c r="U177" s="32"/>
      <c r="V177" s="32"/>
    </row>
    <row r="178" spans="5:22">
      <c r="E178" s="32" t="str">
        <v>kiri</v>
      </c>
      <c r="F178" s="32"/>
      <c r="G178" s="32"/>
      <c r="J178" s="32" t="str">
        <v>kanan</v>
      </c>
      <c r="K178" s="32"/>
      <c r="L178" s="32"/>
      <c r="O178" s="32" t="str">
        <v>kiri</v>
      </c>
      <c r="P178" s="32"/>
      <c r="Q178" s="32"/>
      <c r="T178" s="32" t="str">
        <v>tengah</v>
      </c>
      <c r="U178" s="32"/>
      <c r="V178" s="32"/>
    </row>
    <row r="179" spans="5:22">
      <c r="E179" s="32" t="str">
        <v>tengah</v>
      </c>
      <c r="F179" s="55" t="s">
        <v>270</v>
      </c>
      <c r="G179" s="32"/>
      <c r="J179" s="32" t="str">
        <v>kiri</v>
      </c>
      <c r="K179" s="55" t="s">
        <v>272</v>
      </c>
      <c r="L179" s="32"/>
      <c r="O179" s="32" t="str">
        <v>kiri</v>
      </c>
      <c r="P179" s="55" t="s">
        <v>268</v>
      </c>
      <c r="Q179" s="32"/>
      <c r="T179" s="32" t="str">
        <v>kanan</v>
      </c>
      <c r="U179" s="32" t="s">
        <v>197</v>
      </c>
      <c r="V179" s="32"/>
    </row>
    <row r="180" spans="5:22">
      <c r="E180" s="32" t="str">
        <v>kiri</v>
      </c>
      <c r="F180" s="32" cm="1">
        <f t="array" ref="F180">SUMPRODUCT((E170:E332="kiri")*(M2:M164=1))</f>
        <v>7</v>
      </c>
      <c r="G180" s="32">
        <f>F180/45</f>
        <v>0.15555555555555556</v>
      </c>
      <c r="J180" s="32" t="str">
        <v>kiri</v>
      </c>
      <c r="K180" s="32">
        <f>COUNTIFS($J$170:$J$332,"Kiri",$M$2:$M$164,"1")</f>
        <v>1</v>
      </c>
      <c r="L180" s="32">
        <f>K180/37</f>
        <v>2.7027027027027029E-2</v>
      </c>
      <c r="O180" s="32" t="str">
        <v>kiri</v>
      </c>
      <c r="P180" s="32">
        <f>COUNTIFS($O$170:$O$332,"Kiri",$M$2:$M$164,"1")</f>
        <v>11</v>
      </c>
      <c r="Q180" s="32">
        <f>P180/48</f>
        <v>0.22916666666666666</v>
      </c>
      <c r="T180" s="32" t="str">
        <v>kanan</v>
      </c>
      <c r="U180" s="32">
        <f>COUNTIFS($T$170:$T$332,"Kiri",$M$2:$M$164,"1")</f>
        <v>0</v>
      </c>
      <c r="V180" s="32">
        <f>U180/57</f>
        <v>0</v>
      </c>
    </row>
    <row r="181" spans="5:22">
      <c r="E181" s="32" t="str">
        <v>tengah</v>
      </c>
      <c r="F181" s="32" cm="1">
        <f t="array" ref="F181">SUMPRODUCT((E170:E332="kiri")*(M2:M164=2))</f>
        <v>15</v>
      </c>
      <c r="G181" s="32">
        <f t="shared" ref="G181:G182" si="7">F181/45</f>
        <v>0.33333333333333331</v>
      </c>
      <c r="J181" s="32" t="str">
        <v>tengah</v>
      </c>
      <c r="K181" s="32">
        <f>COUNTIFS($J$170:$J$332,"Kiri",$M$2:$M$164,"2")</f>
        <v>14</v>
      </c>
      <c r="L181" s="32">
        <f t="shared" ref="L181:L182" si="8">K181/37</f>
        <v>0.3783783783783784</v>
      </c>
      <c r="O181" s="32" t="str">
        <v>tengah</v>
      </c>
      <c r="P181" s="32">
        <f>COUNTIFS($O$170:$O$332,"Kiri",$M$2:$M$164,"2")</f>
        <v>37</v>
      </c>
      <c r="Q181" s="32">
        <f t="shared" ref="Q181:Q182" si="9">P181/48</f>
        <v>0.77083333333333337</v>
      </c>
      <c r="T181" s="32" t="str">
        <v>tengah</v>
      </c>
      <c r="U181" s="32">
        <f>COUNTIFS($T$170:$T$332,"Kiri",$M$2:$M$164,"2")</f>
        <v>0</v>
      </c>
      <c r="V181" s="32">
        <f>U181/57</f>
        <v>0</v>
      </c>
    </row>
    <row r="182" spans="5:22">
      <c r="E182" s="32" t="str">
        <v>tengah</v>
      </c>
      <c r="F182" s="32" cm="1">
        <f t="array" ref="F182">SUMPRODUCT((E170:E332="kiri")*(M2:M164=3))</f>
        <v>23</v>
      </c>
      <c r="G182" s="32">
        <f t="shared" si="7"/>
        <v>0.51111111111111107</v>
      </c>
      <c r="J182" s="32" t="str">
        <v>kiri</v>
      </c>
      <c r="K182" s="32">
        <f>COUNTIFS($J$170:$J$332,"Kiri",$M$2:$M$164,"3")</f>
        <v>22</v>
      </c>
      <c r="L182" s="32">
        <f t="shared" si="8"/>
        <v>0.59459459459459463</v>
      </c>
      <c r="O182" s="32" t="str">
        <v>tengah</v>
      </c>
      <c r="P182" s="32">
        <f>COUNTIFS($O$170:$O$332,"Kiri",$M$2:$M$164,"3")</f>
        <v>0</v>
      </c>
      <c r="Q182" s="32">
        <f t="shared" si="9"/>
        <v>0</v>
      </c>
      <c r="T182" s="32" t="str">
        <v>tengah</v>
      </c>
      <c r="U182" s="32">
        <f>COUNTIFS($T$170:$T$332,"Kiri",$M$2:$M$164,"3")</f>
        <v>0</v>
      </c>
      <c r="V182" s="32">
        <f>U182/57</f>
        <v>0</v>
      </c>
    </row>
    <row r="183" spans="5:22">
      <c r="E183" s="32" t="str">
        <v>tengah</v>
      </c>
      <c r="F183" s="32" t="s">
        <v>196</v>
      </c>
      <c r="G183" s="32">
        <f>-(IFERROR(G180*LOG(G180,2),0)+IFERROR(G181*LOG(G181,2),0)+IFERROR(G182*LOG(G182,2),0))</f>
        <v>1.4408137990442902</v>
      </c>
      <c r="J183" s="32" t="str">
        <v>kiri</v>
      </c>
      <c r="K183" s="32" t="s">
        <v>196</v>
      </c>
      <c r="L183" s="32">
        <f>-(IFERROR(L180*LOG(L180,2),0)+IFERROR(L181*LOG(L181,2),0)+IFERROR(L182*LOG(L182,2),0))</f>
        <v>1.1172786489038959</v>
      </c>
      <c r="O183" s="32" t="str">
        <v>tengah</v>
      </c>
      <c r="P183" s="32" t="s">
        <v>196</v>
      </c>
      <c r="Q183" s="32">
        <f>-(IFERROR(Q180*LOG(Q180,2),0)+IFERROR(Q181*LOG(Q181,2),0)+IFERROR(Q182*LOG(Q182,2),0))</f>
        <v>0.77655578544446002</v>
      </c>
      <c r="T183" s="32" t="str">
        <v>tengah</v>
      </c>
      <c r="U183" s="32" t="s">
        <v>196</v>
      </c>
      <c r="V183" s="32">
        <f>-(IFERROR(V180*LOG(V180,2),0)+IFERROR(V181*LOG(V181,2),0)+IFERROR(V182*LOG(V182,2),0))</f>
        <v>0</v>
      </c>
    </row>
    <row r="184" spans="5:22">
      <c r="E184" s="32" t="str">
        <v>kiri</v>
      </c>
      <c r="F184" s="32"/>
      <c r="G184" s="32">
        <f>SUM(F180:F182)/163</f>
        <v>0.27607361963190186</v>
      </c>
      <c r="J184" s="32" t="str">
        <v>kiri</v>
      </c>
      <c r="K184" s="32"/>
      <c r="L184" s="32">
        <f>SUM(K180:K182)/163</f>
        <v>0.22699386503067484</v>
      </c>
      <c r="O184" s="32" t="str">
        <v>kanan</v>
      </c>
      <c r="P184" s="32"/>
      <c r="Q184" s="32">
        <f>SUM(P180:P182)/163</f>
        <v>0.29447852760736198</v>
      </c>
      <c r="T184" s="32" t="str">
        <v>tengah</v>
      </c>
      <c r="U184" s="32"/>
      <c r="V184" s="32">
        <f>SUM(U180:U182)/163</f>
        <v>0</v>
      </c>
    </row>
    <row r="185" spans="5:22">
      <c r="E185" s="32" t="str">
        <v>tengah</v>
      </c>
      <c r="F185" s="32"/>
      <c r="G185" s="39">
        <f>G183*G184</f>
        <v>0.39777068071774885</v>
      </c>
      <c r="J185" s="32" t="str">
        <v>kiri</v>
      </c>
      <c r="K185" s="32"/>
      <c r="L185" s="39">
        <f>L183*L184</f>
        <v>0.25361539883094569</v>
      </c>
      <c r="O185" s="32" t="str">
        <v>kiri</v>
      </c>
      <c r="P185" s="32"/>
      <c r="Q185" s="39">
        <f>Q183*Q184</f>
        <v>0.22867900430266308</v>
      </c>
      <c r="T185" s="32" t="str">
        <v>kanan</v>
      </c>
      <c r="U185" s="32"/>
      <c r="V185" s="39">
        <f>V183*V184</f>
        <v>0</v>
      </c>
    </row>
    <row r="186" spans="5:22">
      <c r="E186" s="32" t="str">
        <v>tengah</v>
      </c>
      <c r="F186" s="32"/>
      <c r="G186" s="32"/>
      <c r="J186" s="32" t="str">
        <v>kanan</v>
      </c>
      <c r="K186" s="32"/>
      <c r="L186" s="32"/>
      <c r="O186" s="32" t="str">
        <v>kiri</v>
      </c>
      <c r="P186" s="32"/>
      <c r="Q186" s="32"/>
      <c r="T186" s="32" t="str">
        <v>kanan</v>
      </c>
      <c r="U186" s="32"/>
      <c r="V186" s="32"/>
    </row>
    <row r="187" spans="5:22">
      <c r="E187" s="32" t="str">
        <v>kanan</v>
      </c>
      <c r="F187" s="32"/>
      <c r="G187" s="32"/>
      <c r="J187" s="32" t="str">
        <v>tengah</v>
      </c>
      <c r="K187" s="32"/>
      <c r="L187" s="32"/>
      <c r="O187" s="32" t="str">
        <v>tengah</v>
      </c>
      <c r="P187" s="32"/>
      <c r="Q187" s="32"/>
      <c r="T187" s="32" t="str">
        <v>tengah</v>
      </c>
      <c r="U187" s="32"/>
      <c r="V187" s="32"/>
    </row>
    <row r="188" spans="5:22">
      <c r="E188" s="32" t="str">
        <v>kiri</v>
      </c>
      <c r="F188" s="32" t="s">
        <v>198</v>
      </c>
      <c r="G188" s="32"/>
      <c r="J188" s="32" t="str">
        <v>kiri</v>
      </c>
      <c r="K188" s="32" t="s">
        <v>198</v>
      </c>
      <c r="L188" s="32"/>
      <c r="O188" s="32" t="str">
        <v>tengah</v>
      </c>
      <c r="P188" s="32" t="s">
        <v>198</v>
      </c>
      <c r="Q188" s="32"/>
      <c r="T188" s="32" t="str">
        <v>kanan</v>
      </c>
      <c r="U188" s="32" t="s">
        <v>198</v>
      </c>
      <c r="V188" s="32"/>
    </row>
    <row r="189" spans="5:22">
      <c r="E189" s="32" t="str">
        <v>kiri</v>
      </c>
      <c r="F189" s="32" cm="1">
        <f t="array" ref="F189">SUMPRODUCT((E170:E332="tengah")*(M2:M164=1))</f>
        <v>3</v>
      </c>
      <c r="G189" s="32">
        <f>F189/81</f>
        <v>3.7037037037037035E-2</v>
      </c>
      <c r="J189" s="32" t="str">
        <v>kiri</v>
      </c>
      <c r="K189" s="32">
        <f>COUNTIFS($J$170:$J$332,"Tengah",$M$2:$M$164,"1")</f>
        <v>4</v>
      </c>
      <c r="L189" s="32">
        <f>K189/87</f>
        <v>4.5977011494252873E-2</v>
      </c>
      <c r="O189" s="32" t="str">
        <v>kanan</v>
      </c>
      <c r="P189" s="32">
        <f>COUNTIFS($O$170:$O$332,"Tengah",$M$2:$M$164,"1")</f>
        <v>0</v>
      </c>
      <c r="Q189" s="32">
        <f>P189/87</f>
        <v>0</v>
      </c>
      <c r="T189" s="32" t="str">
        <v>kanan</v>
      </c>
      <c r="U189" s="32">
        <f>COUNTIFS($T$170:$T$332,"Tengah",$M$2:$M$164,"1")</f>
        <v>7</v>
      </c>
      <c r="V189" s="32">
        <f>U189/82</f>
        <v>8.5365853658536592E-2</v>
      </c>
    </row>
    <row r="190" spans="5:22">
      <c r="E190" s="32" t="str">
        <v>kiri</v>
      </c>
      <c r="F190" s="32" cm="1">
        <f t="array" ref="F190">SUMPRODUCT((E170:E332="tengah")*(M2:M164=2))</f>
        <v>39</v>
      </c>
      <c r="G190" s="32">
        <f t="shared" ref="G190:G191" si="10">F190/81</f>
        <v>0.48148148148148145</v>
      </c>
      <c r="J190" s="32" t="str">
        <v>tengah</v>
      </c>
      <c r="K190" s="32">
        <f>COUNTIFS($J$170:$J$332,"Tengah",$M$2:$M$164,"2")</f>
        <v>41</v>
      </c>
      <c r="L190" s="32">
        <f t="shared" ref="L190:L191" si="11">K190/87</f>
        <v>0.47126436781609193</v>
      </c>
      <c r="O190" s="32" t="str">
        <v>tengah</v>
      </c>
      <c r="P190" s="32">
        <f>COUNTIFS($O$170:$O$332,"Tengah",$M$2:$M$164,"2")</f>
        <v>30</v>
      </c>
      <c r="Q190" s="32">
        <f t="shared" ref="Q190:Q191" si="12">P190/87</f>
        <v>0.34482758620689657</v>
      </c>
      <c r="T190" s="32" t="str">
        <v>tengah</v>
      </c>
      <c r="U190" s="32">
        <f>COUNTIFS($T$170:$T$332,"Tengah",$M$2:$M$164,"2")</f>
        <v>34</v>
      </c>
      <c r="V190" s="32">
        <f t="shared" ref="V190:V191" si="13">U190/82</f>
        <v>0.41463414634146339</v>
      </c>
    </row>
    <row r="191" spans="5:22">
      <c r="E191" s="32" t="str">
        <v>tengah</v>
      </c>
      <c r="F191" s="32" cm="1">
        <f t="array" ref="F191">SUMPRODUCT((E170:E332="tengah")*(M2:M164=3))</f>
        <v>39</v>
      </c>
      <c r="G191" s="32">
        <f t="shared" si="10"/>
        <v>0.48148148148148145</v>
      </c>
      <c r="J191" s="32" t="str">
        <v>tengah</v>
      </c>
      <c r="K191" s="32">
        <f>COUNTIFS($J$170:$J$332,"Tengah",$M$2:$M$164,"3")</f>
        <v>42</v>
      </c>
      <c r="L191" s="32">
        <f t="shared" si="11"/>
        <v>0.48275862068965519</v>
      </c>
      <c r="O191" s="32" t="str">
        <v>tengah</v>
      </c>
      <c r="P191" s="32">
        <f>COUNTIFS($O$170:$O$332,"Tengah",$M$2:$M$164,"3")</f>
        <v>57</v>
      </c>
      <c r="Q191" s="32">
        <f t="shared" si="12"/>
        <v>0.65517241379310343</v>
      </c>
      <c r="T191" s="32" t="str">
        <v>tengah</v>
      </c>
      <c r="U191" s="32">
        <f>COUNTIFS($T$170:$T$332,"Tengah",$M$2:$M$164,"3")</f>
        <v>38</v>
      </c>
      <c r="V191" s="32">
        <f t="shared" si="13"/>
        <v>0.46341463414634149</v>
      </c>
    </row>
    <row r="192" spans="5:22">
      <c r="E192" s="32" t="str">
        <v>tengah</v>
      </c>
      <c r="F192" s="32" t="s">
        <v>196</v>
      </c>
      <c r="G192" s="32">
        <f>-(IFERROR(G189*LOG(G189,2),0)+IFERROR(G190*LOG(G190,2),0)+IFERROR(G191*LOG(G191,2),0))</f>
        <v>1.1915011069164909</v>
      </c>
      <c r="J192" s="32" t="str">
        <v>tengah</v>
      </c>
      <c r="K192" s="32" t="s">
        <v>196</v>
      </c>
      <c r="L192" s="32">
        <f>-(IFERROR(L189*LOG(L189,2),0)+IFERROR(L190*LOG(L190,2),0)+IFERROR(L191*LOG(L191,2),0))</f>
        <v>1.2229783930205747</v>
      </c>
      <c r="O192" s="32" t="str">
        <v>tengah</v>
      </c>
      <c r="P192" s="32" t="s">
        <v>196</v>
      </c>
      <c r="Q192" s="32">
        <f>-(IFERROR(Q189*LOG(Q189,2),0)+IFERROR(Q190*LOG(Q190,2),0)+IFERROR(Q191*LOG(Q191,2),0))</f>
        <v>0.92936362601371869</v>
      </c>
      <c r="T192" s="32" t="str">
        <v>kanan</v>
      </c>
      <c r="U192" s="32" t="s">
        <v>196</v>
      </c>
      <c r="V192" s="32">
        <f>-(IFERROR(V189*LOG(V189,2),0)+IFERROR(V190*LOG(V190,2),0)+IFERROR(V191*LOG(V191,2),0))</f>
        <v>1.3439041682567998</v>
      </c>
    </row>
    <row r="193" spans="5:22">
      <c r="E193" s="32" t="str">
        <v>kiri</v>
      </c>
      <c r="F193" s="32"/>
      <c r="G193" s="32">
        <f>SUM(F189:F191)/163</f>
        <v>0.49693251533742333</v>
      </c>
      <c r="J193" s="32" t="str">
        <v>tengah</v>
      </c>
      <c r="K193" s="32"/>
      <c r="L193" s="32">
        <f>SUM(K189:K191)/163</f>
        <v>0.53374233128834359</v>
      </c>
      <c r="O193" s="32" t="str">
        <v>kanan</v>
      </c>
      <c r="P193" s="32"/>
      <c r="Q193" s="32">
        <f>SUM(P189:P191)/163</f>
        <v>0.53374233128834359</v>
      </c>
      <c r="T193" s="32" t="str">
        <v>tengah</v>
      </c>
      <c r="U193" s="32"/>
      <c r="V193" s="32">
        <f>SUM(U189:U191)/163</f>
        <v>0.48466257668711654</v>
      </c>
    </row>
    <row r="194" spans="5:22">
      <c r="E194" s="32" t="str">
        <v>kanan</v>
      </c>
      <c r="F194" s="32"/>
      <c r="G194" s="39">
        <f>G192*G193</f>
        <v>0.592095642087336</v>
      </c>
      <c r="J194" s="32" t="str">
        <v>tengah</v>
      </c>
      <c r="K194" s="32"/>
      <c r="L194" s="39">
        <f>L192*L193</f>
        <v>0.6527553386060736</v>
      </c>
      <c r="O194" s="32" t="str">
        <v>kanan</v>
      </c>
      <c r="P194" s="32"/>
      <c r="Q194" s="39">
        <f>Q192*Q193</f>
        <v>0.49604070836315051</v>
      </c>
      <c r="T194" s="32" t="str">
        <v>kanan</v>
      </c>
      <c r="U194" s="32"/>
      <c r="V194" s="39">
        <f>V192*V193</f>
        <v>0.65134005700789677</v>
      </c>
    </row>
    <row r="195" spans="5:22">
      <c r="E195" s="32" t="str">
        <v>kanan</v>
      </c>
      <c r="F195" s="32"/>
      <c r="G195" s="32"/>
      <c r="J195" s="32" t="str">
        <v>kanan</v>
      </c>
      <c r="K195" s="32"/>
      <c r="L195" s="32"/>
      <c r="O195" s="32" t="str">
        <v>tengah</v>
      </c>
      <c r="P195" s="32"/>
      <c r="Q195" s="32"/>
      <c r="T195" s="32" t="str">
        <v>kanan</v>
      </c>
      <c r="U195" s="32"/>
      <c r="V195" s="32"/>
    </row>
    <row r="196" spans="5:22">
      <c r="E196" s="32" t="str">
        <v>kiri</v>
      </c>
      <c r="F196" s="32" t="s">
        <v>199</v>
      </c>
      <c r="G196" s="40" t="s">
        <v>196</v>
      </c>
      <c r="J196" s="32" t="str">
        <v>kiri</v>
      </c>
      <c r="K196" s="32" t="s">
        <v>199</v>
      </c>
      <c r="L196" s="40" t="s">
        <v>196</v>
      </c>
      <c r="O196" s="32" t="str">
        <v>kanan</v>
      </c>
      <c r="P196" s="32" t="s">
        <v>199</v>
      </c>
      <c r="Q196" s="40" t="s">
        <v>196</v>
      </c>
      <c r="T196" s="32" t="str">
        <v>tengah</v>
      </c>
      <c r="U196" s="32" t="s">
        <v>199</v>
      </c>
      <c r="V196" s="40" t="s">
        <v>196</v>
      </c>
    </row>
    <row r="197" spans="5:22">
      <c r="E197" s="32" t="str">
        <v>kanan</v>
      </c>
      <c r="F197" s="41">
        <f>P5-(G176+G185+G194)</f>
        <v>4.0566823201996893E-2</v>
      </c>
      <c r="G197" s="39">
        <f>(G176+G185+G194)</f>
        <v>1.2389591645420519</v>
      </c>
      <c r="J197" s="32" t="str">
        <v>kiri</v>
      </c>
      <c r="K197" s="41">
        <f>P5-(L176+L185+L194)</f>
        <v>3.3506810771490203E-2</v>
      </c>
      <c r="L197" s="39">
        <f>(L176+L185+L194)</f>
        <v>1.2460191769725586</v>
      </c>
      <c r="O197" s="32" t="str">
        <v>tengah</v>
      </c>
      <c r="P197" s="41">
        <f>P5-(Q176+Q185+Q194)</f>
        <v>0.55480627507823521</v>
      </c>
      <c r="Q197" s="39">
        <f>(Q176+Q185+Q194)</f>
        <v>0.72471971266581359</v>
      </c>
      <c r="T197" s="32" t="str">
        <v>kanan</v>
      </c>
      <c r="U197" s="41">
        <f>P5-(V176+V185+V194)</f>
        <v>7.4674044371678683E-3</v>
      </c>
      <c r="V197" s="39">
        <f>(V176+V185+V194)</f>
        <v>1.2720585833068809</v>
      </c>
    </row>
    <row r="198" spans="5:22">
      <c r="E198" s="32" t="str">
        <v>tengah</v>
      </c>
      <c r="F198" s="32"/>
      <c r="G198" s="32"/>
      <c r="J198" s="32" t="str">
        <v>tengah</v>
      </c>
      <c r="K198" s="32"/>
      <c r="L198" s="32"/>
      <c r="O198" s="32" t="str">
        <v>kiri</v>
      </c>
      <c r="P198" s="32"/>
      <c r="Q198" s="32"/>
      <c r="T198" s="32" t="str">
        <v>kanan</v>
      </c>
      <c r="U198" s="32"/>
      <c r="V198" s="32"/>
    </row>
    <row r="199" spans="5:22">
      <c r="E199" s="32" t="str">
        <v>kiri</v>
      </c>
      <c r="F199" s="32"/>
      <c r="G199" s="32"/>
      <c r="J199" s="32" t="str">
        <v>tengah</v>
      </c>
      <c r="K199" s="32"/>
      <c r="L199" s="32"/>
      <c r="O199" s="32" t="str">
        <v>tengah</v>
      </c>
      <c r="P199" s="32"/>
      <c r="Q199" s="32"/>
      <c r="T199" s="32" t="str">
        <v>kanan</v>
      </c>
      <c r="U199" s="32"/>
      <c r="V199" s="32"/>
    </row>
    <row r="200" spans="5:22">
      <c r="E200" s="32" t="str">
        <v>tengah</v>
      </c>
      <c r="F200" s="32"/>
      <c r="G200" s="32"/>
      <c r="J200" s="32" t="str">
        <v>tengah</v>
      </c>
      <c r="K200" s="32"/>
      <c r="L200" s="32"/>
      <c r="O200" s="32" t="str">
        <v>kiri</v>
      </c>
      <c r="P200" s="32"/>
      <c r="Q200" s="32"/>
      <c r="T200" s="32" t="str">
        <v>tengah</v>
      </c>
      <c r="U200" s="32"/>
      <c r="V200" s="32"/>
    </row>
    <row r="201" spans="5:22">
      <c r="E201" s="32" t="str">
        <v>tengah</v>
      </c>
      <c r="F201" s="32"/>
      <c r="G201" s="32"/>
      <c r="J201" s="32" t="str">
        <v>kiri</v>
      </c>
      <c r="K201" s="32"/>
      <c r="L201" s="32"/>
      <c r="O201" s="32" t="str">
        <v>kanan</v>
      </c>
      <c r="P201" s="32"/>
      <c r="Q201" s="32"/>
      <c r="T201" s="32" t="str">
        <v>tengah</v>
      </c>
      <c r="U201" s="32"/>
      <c r="V201" s="32"/>
    </row>
    <row r="202" spans="5:22">
      <c r="E202" s="32" t="str">
        <v>tengah</v>
      </c>
      <c r="F202" s="32"/>
      <c r="G202" s="32"/>
      <c r="J202" s="32" t="str">
        <v>tengah</v>
      </c>
      <c r="K202" s="32"/>
      <c r="L202" s="32"/>
      <c r="O202" s="32" t="str">
        <v>kiri</v>
      </c>
      <c r="P202" s="32"/>
      <c r="Q202" s="32"/>
      <c r="T202" s="32" t="str">
        <v>tengah</v>
      </c>
      <c r="U202" s="32"/>
      <c r="V202" s="32"/>
    </row>
    <row r="203" spans="5:22">
      <c r="E203" s="32" t="str">
        <v>tengah</v>
      </c>
      <c r="F203" s="32"/>
      <c r="G203" s="32"/>
      <c r="J203" s="32" t="str">
        <v>tengah</v>
      </c>
      <c r="K203" s="32"/>
      <c r="L203" s="32"/>
      <c r="O203" s="32" t="str">
        <v>kiri</v>
      </c>
      <c r="P203" s="32"/>
      <c r="Q203" s="32"/>
      <c r="T203" s="32" t="str">
        <v>kanan</v>
      </c>
      <c r="U203" s="32"/>
      <c r="V203" s="32"/>
    </row>
    <row r="204" spans="5:22">
      <c r="E204" s="32" t="str">
        <v>kanan</v>
      </c>
      <c r="F204" s="32"/>
      <c r="G204" s="32"/>
      <c r="J204" s="32" t="str">
        <v>tengah</v>
      </c>
      <c r="K204" s="32"/>
      <c r="L204" s="32"/>
      <c r="O204" s="32" t="str">
        <v>tengah</v>
      </c>
      <c r="P204" s="32"/>
      <c r="Q204" s="32"/>
      <c r="T204" s="32" t="str">
        <v>kanan</v>
      </c>
      <c r="U204" s="32"/>
      <c r="V204" s="32"/>
    </row>
    <row r="205" spans="5:22">
      <c r="E205" s="32" t="str">
        <v>tengah</v>
      </c>
      <c r="F205" s="32"/>
      <c r="G205" s="32"/>
      <c r="J205" s="32" t="str">
        <v>tengah</v>
      </c>
      <c r="K205" s="32"/>
      <c r="L205" s="32"/>
      <c r="O205" s="32" t="str">
        <v>tengah</v>
      </c>
      <c r="P205" s="32"/>
      <c r="Q205" s="32"/>
      <c r="T205" s="32" t="str">
        <v>tengah</v>
      </c>
      <c r="U205" s="32"/>
      <c r="V205" s="32"/>
    </row>
    <row r="206" spans="5:22">
      <c r="E206" s="32" t="str">
        <v>tengah</v>
      </c>
      <c r="F206" s="32"/>
      <c r="G206" s="32"/>
      <c r="J206" s="32" t="str">
        <v>tengah</v>
      </c>
      <c r="K206" s="32"/>
      <c r="L206" s="32"/>
      <c r="O206" s="32" t="str">
        <v>tengah</v>
      </c>
      <c r="P206" s="32"/>
      <c r="Q206" s="32"/>
      <c r="T206" s="32" t="str">
        <v>kanan</v>
      </c>
      <c r="U206" s="32"/>
      <c r="V206" s="32"/>
    </row>
    <row r="207" spans="5:22">
      <c r="E207" s="32" t="str">
        <v>kiri</v>
      </c>
      <c r="F207" s="32"/>
      <c r="G207" s="32"/>
      <c r="J207" s="32" t="str">
        <v>kiri</v>
      </c>
      <c r="K207" s="32"/>
      <c r="L207" s="32"/>
      <c r="O207" s="32" t="str">
        <v>kiri</v>
      </c>
      <c r="P207" s="32"/>
      <c r="Q207" s="32"/>
      <c r="T207" s="32" t="str">
        <v>kanan</v>
      </c>
      <c r="U207" s="32"/>
      <c r="V207" s="32"/>
    </row>
    <row r="208" spans="5:22">
      <c r="E208" s="32" t="str">
        <v>tengah</v>
      </c>
      <c r="F208" s="32"/>
      <c r="G208" s="32"/>
      <c r="J208" s="32" t="str">
        <v>kanan</v>
      </c>
      <c r="K208" s="32"/>
      <c r="L208" s="32"/>
      <c r="O208" s="32" t="str">
        <v>tengah</v>
      </c>
      <c r="P208" s="32"/>
      <c r="Q208" s="32"/>
      <c r="T208" s="32" t="str">
        <v>tengah</v>
      </c>
      <c r="U208" s="32"/>
      <c r="V208" s="32"/>
    </row>
    <row r="209" spans="5:22">
      <c r="E209" s="32" t="str">
        <v>tengah</v>
      </c>
      <c r="F209" s="32"/>
      <c r="G209" s="32"/>
      <c r="J209" s="32" t="str">
        <v>kiri</v>
      </c>
      <c r="K209" s="32"/>
      <c r="L209" s="32"/>
      <c r="O209" s="32" t="str">
        <v>tengah</v>
      </c>
      <c r="P209" s="32"/>
      <c r="Q209" s="32"/>
      <c r="T209" s="32" t="str">
        <v>kanan</v>
      </c>
      <c r="U209" s="32"/>
      <c r="V209" s="32"/>
    </row>
    <row r="210" spans="5:22">
      <c r="E210" s="32" t="str">
        <v>kiri</v>
      </c>
      <c r="F210" s="32"/>
      <c r="G210" s="32"/>
      <c r="J210" s="32" t="str">
        <v>tengah</v>
      </c>
      <c r="K210" s="32"/>
      <c r="L210" s="32"/>
      <c r="O210" s="32" t="str">
        <v>kiri</v>
      </c>
      <c r="P210" s="32"/>
      <c r="Q210" s="32"/>
      <c r="T210" s="32" t="str">
        <v>tengah</v>
      </c>
      <c r="U210" s="32"/>
      <c r="V210" s="32"/>
    </row>
    <row r="211" spans="5:22">
      <c r="E211" s="32" t="str">
        <v>kiri</v>
      </c>
      <c r="F211" s="32"/>
      <c r="G211" s="32"/>
      <c r="J211" s="32" t="str">
        <v>kiri</v>
      </c>
      <c r="K211" s="32"/>
      <c r="L211" s="32"/>
      <c r="O211" s="32" t="str">
        <v>kanan</v>
      </c>
      <c r="P211" s="32"/>
      <c r="Q211" s="32"/>
      <c r="T211" s="32" t="str">
        <v>tengah</v>
      </c>
      <c r="U211" s="32"/>
      <c r="V211" s="32"/>
    </row>
    <row r="212" spans="5:22">
      <c r="E212" s="32" t="str">
        <v>tengah</v>
      </c>
      <c r="F212" s="32"/>
      <c r="G212" s="32"/>
      <c r="J212" s="32" t="str">
        <v>tengah</v>
      </c>
      <c r="K212" s="32"/>
      <c r="L212" s="32"/>
      <c r="O212" s="32" t="str">
        <v>tengah</v>
      </c>
      <c r="P212" s="32"/>
      <c r="Q212" s="32"/>
      <c r="T212" s="32" t="str">
        <v>kanan</v>
      </c>
      <c r="U212" s="32"/>
      <c r="V212" s="32"/>
    </row>
    <row r="213" spans="5:22">
      <c r="E213" s="32" t="str">
        <v>tengah</v>
      </c>
      <c r="F213" s="32"/>
      <c r="G213" s="32"/>
      <c r="J213" s="32" t="str">
        <v>tengah</v>
      </c>
      <c r="K213" s="32"/>
      <c r="L213" s="32"/>
      <c r="O213" s="32" t="str">
        <v>tengah</v>
      </c>
      <c r="P213" s="32"/>
      <c r="Q213" s="32"/>
      <c r="T213" s="32" t="str">
        <v>tengah</v>
      </c>
      <c r="U213" s="32"/>
      <c r="V213" s="32"/>
    </row>
    <row r="214" spans="5:22">
      <c r="E214" s="32" t="str">
        <v>kanan</v>
      </c>
      <c r="F214" s="32"/>
      <c r="G214" s="32"/>
      <c r="J214" s="32" t="str">
        <v>kanan</v>
      </c>
      <c r="K214" s="32"/>
      <c r="L214" s="32"/>
      <c r="O214" s="32" t="str">
        <v>tengah</v>
      </c>
      <c r="P214" s="32"/>
      <c r="Q214" s="32"/>
      <c r="T214" s="32" t="str">
        <v>tengah</v>
      </c>
      <c r="U214" s="32"/>
      <c r="V214" s="32"/>
    </row>
    <row r="215" spans="5:22">
      <c r="E215" s="32" t="str">
        <v>kiri</v>
      </c>
      <c r="F215" s="32"/>
      <c r="G215" s="32"/>
      <c r="J215" s="32" t="str">
        <v>tengah</v>
      </c>
      <c r="K215" s="32"/>
      <c r="L215" s="32"/>
      <c r="O215" s="32" t="str">
        <v>kiri</v>
      </c>
      <c r="P215" s="32"/>
      <c r="Q215" s="32"/>
      <c r="T215" s="32" t="str">
        <v>tengah</v>
      </c>
      <c r="U215" s="32"/>
      <c r="V215" s="32"/>
    </row>
    <row r="216" spans="5:22">
      <c r="E216" s="32" t="str">
        <v>tengah</v>
      </c>
      <c r="F216" s="32"/>
      <c r="G216" s="32"/>
      <c r="J216" s="32" t="str">
        <v>tengah</v>
      </c>
      <c r="K216" s="32"/>
      <c r="L216" s="32"/>
      <c r="O216" s="32" t="str">
        <v>tengah</v>
      </c>
      <c r="P216" s="32"/>
      <c r="Q216" s="32"/>
      <c r="T216" s="32" t="str">
        <v>kanan</v>
      </c>
      <c r="U216" s="32"/>
      <c r="V216" s="32"/>
    </row>
    <row r="217" spans="5:22">
      <c r="E217" s="32" t="str">
        <v>kanan</v>
      </c>
      <c r="F217" s="32"/>
      <c r="G217" s="32"/>
      <c r="J217" s="32" t="str">
        <v>tengah</v>
      </c>
      <c r="K217" s="32"/>
      <c r="L217" s="32"/>
      <c r="O217" s="32" t="str">
        <v>tengah</v>
      </c>
      <c r="P217" s="32"/>
      <c r="Q217" s="32"/>
      <c r="T217" s="32" t="str">
        <v>kanan</v>
      </c>
      <c r="U217" s="32"/>
      <c r="V217" s="32"/>
    </row>
    <row r="218" spans="5:22">
      <c r="E218" s="32" t="str">
        <v>kiri</v>
      </c>
      <c r="F218" s="32"/>
      <c r="G218" s="32"/>
      <c r="J218" s="32" t="str">
        <v>tengah</v>
      </c>
      <c r="K218" s="32"/>
      <c r="L218" s="32"/>
      <c r="O218" s="32" t="str">
        <v>tengah</v>
      </c>
      <c r="P218" s="32"/>
      <c r="Q218" s="32"/>
      <c r="T218" s="32" t="str">
        <v>tengah</v>
      </c>
      <c r="U218" s="32"/>
      <c r="V218" s="32"/>
    </row>
    <row r="219" spans="5:22">
      <c r="E219" s="32" t="str">
        <v>kiri</v>
      </c>
      <c r="F219" s="32"/>
      <c r="G219" s="32"/>
      <c r="J219" s="32" t="str">
        <v>tengah</v>
      </c>
      <c r="K219" s="32"/>
      <c r="L219" s="32"/>
      <c r="O219" s="32" t="str">
        <v>tengah</v>
      </c>
      <c r="P219" s="32"/>
      <c r="Q219" s="32"/>
      <c r="T219" s="32" t="str">
        <v>tengah</v>
      </c>
      <c r="U219" s="32"/>
      <c r="V219" s="32"/>
    </row>
    <row r="220" spans="5:22">
      <c r="E220" s="32" t="str">
        <v>kiri</v>
      </c>
      <c r="F220" s="32"/>
      <c r="G220" s="32"/>
      <c r="J220" s="32" t="str">
        <v>kiri</v>
      </c>
      <c r="K220" s="32"/>
      <c r="L220" s="32"/>
      <c r="O220" s="32" t="str">
        <v>tengah</v>
      </c>
      <c r="P220" s="32"/>
      <c r="Q220" s="32"/>
      <c r="T220" s="32" t="str">
        <v>kanan</v>
      </c>
      <c r="U220" s="32"/>
      <c r="V220" s="32"/>
    </row>
    <row r="221" spans="5:22">
      <c r="E221" s="32" t="str">
        <v>kiri</v>
      </c>
      <c r="F221" s="32"/>
      <c r="G221" s="32"/>
      <c r="J221" s="32" t="str">
        <v>kanan</v>
      </c>
      <c r="K221" s="32"/>
      <c r="L221" s="32"/>
      <c r="O221" s="32" t="str">
        <v>kiri</v>
      </c>
      <c r="P221" s="32"/>
      <c r="Q221" s="32"/>
      <c r="T221" s="32" t="str">
        <v>tengah</v>
      </c>
      <c r="U221" s="32"/>
      <c r="V221" s="32"/>
    </row>
    <row r="222" spans="5:22">
      <c r="E222" s="32" t="str">
        <v>tengah</v>
      </c>
      <c r="F222" s="32"/>
      <c r="G222" s="32"/>
      <c r="J222" s="32" t="str">
        <v>kanan</v>
      </c>
      <c r="K222" s="32"/>
      <c r="L222" s="32"/>
      <c r="O222" s="32" t="str">
        <v>tengah</v>
      </c>
      <c r="P222" s="32"/>
      <c r="Q222" s="32"/>
      <c r="T222" s="32" t="str">
        <v>kanan</v>
      </c>
      <c r="U222" s="32"/>
      <c r="V222" s="32"/>
    </row>
    <row r="223" spans="5:22">
      <c r="E223" s="32" t="str">
        <v>kanan</v>
      </c>
      <c r="F223" s="32"/>
      <c r="G223" s="32"/>
      <c r="J223" s="32" t="str">
        <v>kanan</v>
      </c>
      <c r="K223" s="32"/>
      <c r="L223" s="32"/>
      <c r="O223" s="32" t="str">
        <v>tengah</v>
      </c>
      <c r="P223" s="32"/>
      <c r="Q223" s="32"/>
      <c r="T223" s="32" t="str">
        <v>kanan</v>
      </c>
      <c r="U223" s="32"/>
      <c r="V223" s="32"/>
    </row>
    <row r="224" spans="5:22">
      <c r="E224" s="32" t="str">
        <v>tengah</v>
      </c>
      <c r="F224" s="32"/>
      <c r="G224" s="32"/>
      <c r="J224" s="32" t="str">
        <v>tengah</v>
      </c>
      <c r="K224" s="32"/>
      <c r="L224" s="32"/>
      <c r="O224" s="32" t="str">
        <v>tengah</v>
      </c>
      <c r="P224" s="32"/>
      <c r="Q224" s="32"/>
      <c r="T224" s="32" t="str">
        <v>kanan</v>
      </c>
      <c r="U224" s="32"/>
      <c r="V224" s="32"/>
    </row>
    <row r="225" spans="5:22">
      <c r="E225" s="32" t="str">
        <v>kanan</v>
      </c>
      <c r="F225" s="32"/>
      <c r="G225" s="32"/>
      <c r="J225" s="32" t="str">
        <v>tengah</v>
      </c>
      <c r="K225" s="32"/>
      <c r="L225" s="32"/>
      <c r="O225" s="32" t="str">
        <v>tengah</v>
      </c>
      <c r="P225" s="32"/>
      <c r="Q225" s="32"/>
      <c r="T225" s="32" t="str">
        <v>tengah</v>
      </c>
      <c r="U225" s="32"/>
      <c r="V225" s="32"/>
    </row>
    <row r="226" spans="5:22">
      <c r="E226" s="32" t="str">
        <v>tengah</v>
      </c>
      <c r="F226" s="32"/>
      <c r="G226" s="32"/>
      <c r="J226" s="32" t="str">
        <v>tengah</v>
      </c>
      <c r="K226" s="32"/>
      <c r="L226" s="32"/>
      <c r="O226" s="32" t="str">
        <v>kiri</v>
      </c>
      <c r="P226" s="32"/>
      <c r="Q226" s="32"/>
      <c r="T226" s="32" t="str">
        <v>tengah</v>
      </c>
      <c r="U226" s="32"/>
      <c r="V226" s="32"/>
    </row>
    <row r="227" spans="5:22">
      <c r="E227" s="32" t="str">
        <v>tengah</v>
      </c>
      <c r="F227" s="32"/>
      <c r="G227" s="32"/>
      <c r="J227" s="32" t="str">
        <v>kiri</v>
      </c>
      <c r="K227" s="32"/>
      <c r="L227" s="32"/>
      <c r="O227" s="32" t="str">
        <v>tengah</v>
      </c>
      <c r="P227" s="32"/>
      <c r="Q227" s="32"/>
      <c r="T227" s="32" t="str">
        <v>kanan</v>
      </c>
      <c r="U227" s="32"/>
      <c r="V227" s="32"/>
    </row>
    <row r="228" spans="5:22">
      <c r="E228" s="32" t="str">
        <v>tengah</v>
      </c>
      <c r="F228" s="32"/>
      <c r="G228" s="32"/>
      <c r="J228" s="32" t="str">
        <v>kanan</v>
      </c>
      <c r="K228" s="32"/>
      <c r="L228" s="32"/>
      <c r="O228" s="32" t="str">
        <v>kiri</v>
      </c>
      <c r="P228" s="32"/>
      <c r="Q228" s="32"/>
      <c r="T228" s="32" t="str">
        <v>tengah</v>
      </c>
      <c r="U228" s="32"/>
      <c r="V228" s="32"/>
    </row>
    <row r="229" spans="5:22">
      <c r="E229" s="32" t="str">
        <v>tengah</v>
      </c>
      <c r="F229" s="32"/>
      <c r="G229" s="32"/>
      <c r="J229" s="32" t="str">
        <v>kanan</v>
      </c>
      <c r="K229" s="32"/>
      <c r="L229" s="32"/>
      <c r="O229" s="32" t="str">
        <v>tengah</v>
      </c>
      <c r="P229" s="32"/>
      <c r="Q229" s="32"/>
      <c r="T229" s="32" t="str">
        <v>kanan</v>
      </c>
      <c r="U229" s="32"/>
      <c r="V229" s="32"/>
    </row>
    <row r="230" spans="5:22">
      <c r="E230" s="32" t="str">
        <v>tengah</v>
      </c>
      <c r="F230" s="32"/>
      <c r="G230" s="32"/>
      <c r="J230" s="32" t="str">
        <v>tengah</v>
      </c>
      <c r="K230" s="32"/>
      <c r="L230" s="32"/>
      <c r="O230" s="32" t="str">
        <v>kanan</v>
      </c>
      <c r="P230" s="32"/>
      <c r="Q230" s="32"/>
      <c r="T230" s="32" t="str">
        <v>kanan</v>
      </c>
      <c r="U230" s="32"/>
      <c r="V230" s="32"/>
    </row>
    <row r="231" spans="5:22">
      <c r="E231" s="32" t="str">
        <v>tengah</v>
      </c>
      <c r="F231" s="32"/>
      <c r="G231" s="32"/>
      <c r="J231" s="32" t="str">
        <v>kanan</v>
      </c>
      <c r="K231" s="32"/>
      <c r="L231" s="32"/>
      <c r="O231" s="32" t="str">
        <v>kanan</v>
      </c>
      <c r="P231" s="32"/>
      <c r="Q231" s="32"/>
      <c r="T231" s="32" t="str">
        <v>tengah</v>
      </c>
      <c r="U231" s="32"/>
      <c r="V231" s="32"/>
    </row>
    <row r="232" spans="5:22">
      <c r="E232" s="32" t="str">
        <v>kanan</v>
      </c>
      <c r="F232" s="32"/>
      <c r="G232" s="32"/>
      <c r="J232" s="32" t="str">
        <v>kanan</v>
      </c>
      <c r="K232" s="32"/>
      <c r="L232" s="32"/>
      <c r="O232" s="32" t="str">
        <v>kanan</v>
      </c>
      <c r="P232" s="32"/>
      <c r="Q232" s="32"/>
      <c r="T232" s="32" t="str">
        <v>kanan</v>
      </c>
      <c r="U232" s="32"/>
      <c r="V232" s="32"/>
    </row>
    <row r="233" spans="5:22">
      <c r="E233" s="32" t="str">
        <v>kanan</v>
      </c>
      <c r="F233" s="32"/>
      <c r="G233" s="32"/>
      <c r="J233" s="32" t="str">
        <v>tengah</v>
      </c>
      <c r="K233" s="32"/>
      <c r="L233" s="32"/>
      <c r="O233" s="32" t="str">
        <v>kiri</v>
      </c>
      <c r="P233" s="32"/>
      <c r="Q233" s="32"/>
      <c r="T233" s="32" t="str">
        <v>kanan</v>
      </c>
      <c r="U233" s="32"/>
      <c r="V233" s="32"/>
    </row>
    <row r="234" spans="5:22">
      <c r="E234" s="32" t="str">
        <v>tengah</v>
      </c>
      <c r="F234" s="32"/>
      <c r="G234" s="32"/>
      <c r="J234" s="32" t="str">
        <v>tengah</v>
      </c>
      <c r="K234" s="32"/>
      <c r="L234" s="32"/>
      <c r="O234" s="32" t="str">
        <v>tengah</v>
      </c>
      <c r="P234" s="32"/>
      <c r="Q234" s="32"/>
      <c r="T234" s="32" t="str">
        <v>kanan</v>
      </c>
      <c r="U234" s="32"/>
      <c r="V234" s="32"/>
    </row>
    <row r="235" spans="5:22">
      <c r="E235" s="32" t="str">
        <v>tengah</v>
      </c>
      <c r="F235" s="32"/>
      <c r="G235" s="32"/>
      <c r="J235" s="32" t="str">
        <v>tengah</v>
      </c>
      <c r="K235" s="32"/>
      <c r="L235" s="32"/>
      <c r="O235" s="32" t="str">
        <v>kiri</v>
      </c>
      <c r="P235" s="32"/>
      <c r="Q235" s="32"/>
      <c r="T235" s="32" t="str">
        <v>tengah</v>
      </c>
      <c r="U235" s="32"/>
      <c r="V235" s="32"/>
    </row>
    <row r="236" spans="5:22">
      <c r="E236" s="32" t="str">
        <v>tengah</v>
      </c>
      <c r="F236" s="32"/>
      <c r="G236" s="32"/>
      <c r="J236" s="32" t="str">
        <v>kanan</v>
      </c>
      <c r="K236" s="32"/>
      <c r="L236" s="32"/>
      <c r="O236" s="32" t="str">
        <v>tengah</v>
      </c>
      <c r="P236" s="32"/>
      <c r="Q236" s="32"/>
      <c r="T236" s="32" t="str">
        <v>tengah</v>
      </c>
      <c r="U236" s="32"/>
      <c r="V236" s="32"/>
    </row>
    <row r="237" spans="5:22">
      <c r="E237" s="32" t="str">
        <v>tengah</v>
      </c>
      <c r="F237" s="32"/>
      <c r="G237" s="32"/>
      <c r="J237" s="32" t="str">
        <v>kiri</v>
      </c>
      <c r="K237" s="32"/>
      <c r="L237" s="32"/>
      <c r="O237" s="32" t="str">
        <v>kiri</v>
      </c>
      <c r="P237" s="32"/>
      <c r="Q237" s="32"/>
      <c r="T237" s="32" t="str">
        <v>tengah</v>
      </c>
      <c r="U237" s="32"/>
      <c r="V237" s="32"/>
    </row>
    <row r="238" spans="5:22">
      <c r="E238" s="32" t="str">
        <v>tengah</v>
      </c>
      <c r="F238" s="32"/>
      <c r="G238" s="32"/>
      <c r="J238" s="32" t="str">
        <v>tengah</v>
      </c>
      <c r="K238" s="32"/>
      <c r="L238" s="32"/>
      <c r="O238" s="32" t="str">
        <v>tengah</v>
      </c>
      <c r="P238" s="32"/>
      <c r="Q238" s="32"/>
      <c r="T238" s="32" t="str">
        <v>tengah</v>
      </c>
      <c r="U238" s="32"/>
      <c r="V238" s="32"/>
    </row>
    <row r="239" spans="5:22">
      <c r="E239" s="32" t="str">
        <v>kiri</v>
      </c>
      <c r="F239" s="32"/>
      <c r="G239" s="32"/>
      <c r="J239" s="32" t="str">
        <v>tengah</v>
      </c>
      <c r="K239" s="32"/>
      <c r="L239" s="32"/>
      <c r="O239" s="32" t="str">
        <v>kanan</v>
      </c>
      <c r="P239" s="32"/>
      <c r="Q239" s="32"/>
      <c r="T239" s="32" t="str">
        <v>kanan</v>
      </c>
      <c r="U239" s="32"/>
      <c r="V239" s="32"/>
    </row>
    <row r="240" spans="5:22">
      <c r="E240" s="32" t="str">
        <v>tengah</v>
      </c>
      <c r="F240" s="32"/>
      <c r="G240" s="32"/>
      <c r="J240" s="32" t="str">
        <v>kiri</v>
      </c>
      <c r="K240" s="32"/>
      <c r="L240" s="32"/>
      <c r="O240" s="32" t="str">
        <v>tengah</v>
      </c>
      <c r="P240" s="32"/>
      <c r="Q240" s="32"/>
      <c r="T240" s="32" t="str">
        <v>tengah</v>
      </c>
      <c r="U240" s="32"/>
      <c r="V240" s="32"/>
    </row>
    <row r="241" spans="5:22">
      <c r="E241" s="32" t="str">
        <v>kanan</v>
      </c>
      <c r="F241" s="32"/>
      <c r="G241" s="32"/>
      <c r="J241" s="32" t="str">
        <v>tengah</v>
      </c>
      <c r="K241" s="32"/>
      <c r="L241" s="32"/>
      <c r="O241" s="32" t="str">
        <v>tengah</v>
      </c>
      <c r="P241" s="32"/>
      <c r="Q241" s="32"/>
      <c r="T241" s="32" t="str">
        <v>kanan</v>
      </c>
      <c r="U241" s="32"/>
      <c r="V241" s="32"/>
    </row>
    <row r="242" spans="5:22">
      <c r="E242" s="32" t="str">
        <v>kiri</v>
      </c>
      <c r="F242" s="32"/>
      <c r="G242" s="32"/>
      <c r="J242" s="32" t="str">
        <v>kiri</v>
      </c>
      <c r="K242" s="32"/>
      <c r="L242" s="32"/>
      <c r="O242" s="32" t="str">
        <v>kanan</v>
      </c>
      <c r="P242" s="32"/>
      <c r="Q242" s="32"/>
      <c r="T242" s="32" t="str">
        <v>kanan</v>
      </c>
      <c r="U242" s="32"/>
      <c r="V242" s="32"/>
    </row>
    <row r="243" spans="5:22">
      <c r="E243" s="32" t="str">
        <v>tengah</v>
      </c>
      <c r="F243" s="32"/>
      <c r="G243" s="32"/>
      <c r="J243" s="32" t="str">
        <v>tengah</v>
      </c>
      <c r="K243" s="32"/>
      <c r="L243" s="32"/>
      <c r="O243" s="32" t="str">
        <v>tengah</v>
      </c>
      <c r="P243" s="32"/>
      <c r="Q243" s="32"/>
      <c r="T243" s="32" t="str">
        <v>kanan</v>
      </c>
      <c r="U243" s="32"/>
      <c r="V243" s="32"/>
    </row>
    <row r="244" spans="5:22">
      <c r="E244" s="32" t="str">
        <v>kanan</v>
      </c>
      <c r="F244" s="32"/>
      <c r="G244" s="32"/>
      <c r="J244" s="32" t="str">
        <v>kiri</v>
      </c>
      <c r="K244" s="32"/>
      <c r="L244" s="32"/>
      <c r="O244" s="32" t="str">
        <v>tengah</v>
      </c>
      <c r="P244" s="32"/>
      <c r="Q244" s="32"/>
      <c r="T244" s="32" t="str">
        <v>kanan</v>
      </c>
      <c r="U244" s="32"/>
      <c r="V244" s="32"/>
    </row>
    <row r="245" spans="5:22">
      <c r="E245" s="32" t="str">
        <v>kiri</v>
      </c>
      <c r="F245" s="32"/>
      <c r="G245" s="32"/>
      <c r="J245" s="32" t="str">
        <v>kiri</v>
      </c>
      <c r="K245" s="32"/>
      <c r="L245" s="32"/>
      <c r="O245" s="32" t="str">
        <v>kanan</v>
      </c>
      <c r="P245" s="32"/>
      <c r="Q245" s="32"/>
      <c r="T245" s="32" t="str">
        <v>kanan</v>
      </c>
      <c r="U245" s="32"/>
      <c r="V245" s="32"/>
    </row>
    <row r="246" spans="5:22">
      <c r="E246" s="32" t="str">
        <v>kiri</v>
      </c>
      <c r="F246" s="32"/>
      <c r="G246" s="32"/>
      <c r="J246" s="32" t="str">
        <v>tengah</v>
      </c>
      <c r="K246" s="32"/>
      <c r="L246" s="32"/>
      <c r="O246" s="32" t="str">
        <v>tengah</v>
      </c>
      <c r="P246" s="32"/>
      <c r="Q246" s="32"/>
      <c r="T246" s="32" t="str">
        <v>tengah</v>
      </c>
      <c r="U246" s="32"/>
      <c r="V246" s="32"/>
    </row>
    <row r="247" spans="5:22">
      <c r="E247" s="32" t="str">
        <v>tengah</v>
      </c>
      <c r="F247" s="32"/>
      <c r="G247" s="32"/>
      <c r="J247" s="32" t="str">
        <v>kiri</v>
      </c>
      <c r="K247" s="32"/>
      <c r="L247" s="32"/>
      <c r="O247" s="32" t="str">
        <v>tengah</v>
      </c>
      <c r="P247" s="32"/>
      <c r="Q247" s="32"/>
      <c r="T247" s="32" t="str">
        <v>kanan</v>
      </c>
      <c r="U247" s="32"/>
      <c r="V247" s="32"/>
    </row>
    <row r="248" spans="5:22">
      <c r="E248" s="32" t="str">
        <v>tengah</v>
      </c>
      <c r="F248" s="32"/>
      <c r="G248" s="32"/>
      <c r="J248" s="32" t="str">
        <v>kanan</v>
      </c>
      <c r="K248" s="32"/>
      <c r="L248" s="32"/>
      <c r="O248" s="32" t="str">
        <v>tengah</v>
      </c>
      <c r="P248" s="32"/>
      <c r="Q248" s="32"/>
      <c r="T248" s="32" t="str">
        <v>tengah</v>
      </c>
      <c r="U248" s="32"/>
      <c r="V248" s="32"/>
    </row>
    <row r="249" spans="5:22">
      <c r="E249" s="32" t="str">
        <v>tengah</v>
      </c>
      <c r="F249" s="32"/>
      <c r="G249" s="32"/>
      <c r="J249" s="32" t="str">
        <v>tengah</v>
      </c>
      <c r="K249" s="32"/>
      <c r="L249" s="32"/>
      <c r="O249" s="32" t="str">
        <v>kiri</v>
      </c>
      <c r="P249" s="32"/>
      <c r="Q249" s="32"/>
      <c r="T249" s="32" t="str">
        <v>kanan</v>
      </c>
      <c r="U249" s="32"/>
      <c r="V249" s="32"/>
    </row>
    <row r="250" spans="5:22">
      <c r="E250" s="32" t="str">
        <v>kanan</v>
      </c>
      <c r="F250" s="32"/>
      <c r="G250" s="32"/>
      <c r="J250" s="32" t="str">
        <v>tengah</v>
      </c>
      <c r="K250" s="32"/>
      <c r="L250" s="32"/>
      <c r="O250" s="32" t="str">
        <v>kanan</v>
      </c>
      <c r="P250" s="32"/>
      <c r="Q250" s="32"/>
      <c r="T250" s="32" t="str">
        <v>kanan</v>
      </c>
      <c r="U250" s="32"/>
      <c r="V250" s="32"/>
    </row>
    <row r="251" spans="5:22">
      <c r="E251" s="32" t="str">
        <v>kiri</v>
      </c>
      <c r="F251" s="32"/>
      <c r="G251" s="32"/>
      <c r="J251" s="32" t="str">
        <v>kanan</v>
      </c>
      <c r="K251" s="32"/>
      <c r="L251" s="32"/>
      <c r="O251" s="32" t="str">
        <v>kiri</v>
      </c>
      <c r="P251" s="32"/>
      <c r="Q251" s="32"/>
      <c r="T251" s="32" t="str">
        <v>tengah</v>
      </c>
      <c r="U251" s="32"/>
      <c r="V251" s="32"/>
    </row>
    <row r="252" spans="5:22">
      <c r="E252" s="32" t="str">
        <v>kanan</v>
      </c>
      <c r="F252" s="32"/>
      <c r="G252" s="32"/>
      <c r="J252" s="32" t="str">
        <v>tengah</v>
      </c>
      <c r="K252" s="32"/>
      <c r="L252" s="32"/>
      <c r="O252" s="32" t="str">
        <v>tengah</v>
      </c>
      <c r="P252" s="32"/>
      <c r="Q252" s="32"/>
      <c r="T252" s="32" t="str">
        <v>kanan</v>
      </c>
      <c r="U252" s="32"/>
      <c r="V252" s="32"/>
    </row>
    <row r="253" spans="5:22">
      <c r="E253" s="32" t="str">
        <v>kanan</v>
      </c>
      <c r="F253" s="32"/>
      <c r="G253" s="32"/>
      <c r="J253" s="32" t="str">
        <v>tengah</v>
      </c>
      <c r="K253" s="32"/>
      <c r="L253" s="32"/>
      <c r="O253" s="32" t="str">
        <v>kanan</v>
      </c>
      <c r="P253" s="32"/>
      <c r="Q253" s="32"/>
      <c r="T253" s="32" t="str">
        <v>kanan</v>
      </c>
      <c r="U253" s="32"/>
      <c r="V253" s="32"/>
    </row>
    <row r="254" spans="5:22">
      <c r="E254" s="32" t="str">
        <v>kiri</v>
      </c>
      <c r="F254" s="32"/>
      <c r="G254" s="32"/>
      <c r="J254" s="32" t="str">
        <v>tengah</v>
      </c>
      <c r="K254" s="32"/>
      <c r="L254" s="32"/>
      <c r="O254" s="32" t="str">
        <v>tengah</v>
      </c>
      <c r="P254" s="32"/>
      <c r="Q254" s="32"/>
      <c r="T254" s="32" t="str">
        <v>kanan</v>
      </c>
      <c r="U254" s="32"/>
      <c r="V254" s="32"/>
    </row>
    <row r="255" spans="5:22">
      <c r="E255" s="32" t="str">
        <v>tengah</v>
      </c>
      <c r="F255" s="32"/>
      <c r="G255" s="32"/>
      <c r="J255" s="32" t="str">
        <v>tengah</v>
      </c>
      <c r="K255" s="32"/>
      <c r="L255" s="32"/>
      <c r="O255" s="32" t="str">
        <v>kiri</v>
      </c>
      <c r="P255" s="32"/>
      <c r="Q255" s="32"/>
      <c r="T255" s="32" t="str">
        <v>kanan</v>
      </c>
      <c r="U255" s="32"/>
      <c r="V255" s="32"/>
    </row>
    <row r="256" spans="5:22">
      <c r="E256" s="32" t="str">
        <v>tengah</v>
      </c>
      <c r="F256" s="32"/>
      <c r="G256" s="32"/>
      <c r="J256" s="32" t="str">
        <v>tengah</v>
      </c>
      <c r="K256" s="32"/>
      <c r="L256" s="32"/>
      <c r="O256" s="32" t="str">
        <v>kiri</v>
      </c>
      <c r="P256" s="32"/>
      <c r="Q256" s="32"/>
      <c r="T256" s="32" t="str">
        <v>kanan</v>
      </c>
      <c r="U256" s="32"/>
      <c r="V256" s="32"/>
    </row>
    <row r="257" spans="5:22">
      <c r="E257" s="32" t="str">
        <v>tengah</v>
      </c>
      <c r="F257" s="32"/>
      <c r="G257" s="32"/>
      <c r="J257" s="32" t="str">
        <v>tengah</v>
      </c>
      <c r="K257" s="32"/>
      <c r="L257" s="32"/>
      <c r="O257" s="32" t="str">
        <v>kiri</v>
      </c>
      <c r="P257" s="32"/>
      <c r="Q257" s="32"/>
      <c r="T257" s="32" t="str">
        <v>kanan</v>
      </c>
      <c r="U257" s="32"/>
      <c r="V257" s="32"/>
    </row>
    <row r="258" spans="5:22">
      <c r="E258" s="32" t="str">
        <v>kiri</v>
      </c>
      <c r="F258" s="32"/>
      <c r="G258" s="32"/>
      <c r="J258" s="32" t="str">
        <v>tengah</v>
      </c>
      <c r="K258" s="32"/>
      <c r="L258" s="32"/>
      <c r="O258" s="32" t="str">
        <v>tengah</v>
      </c>
      <c r="P258" s="32"/>
      <c r="Q258" s="32"/>
      <c r="T258" s="32" t="str">
        <v>tengah</v>
      </c>
      <c r="U258" s="32"/>
      <c r="V258" s="32"/>
    </row>
    <row r="259" spans="5:22">
      <c r="E259" s="32" t="str">
        <v>kiri</v>
      </c>
      <c r="F259" s="32"/>
      <c r="G259" s="32"/>
      <c r="J259" s="32" t="str">
        <v>tengah</v>
      </c>
      <c r="K259" s="32"/>
      <c r="L259" s="32"/>
      <c r="O259" s="32" t="str">
        <v>kiri</v>
      </c>
      <c r="P259" s="32"/>
      <c r="Q259" s="32"/>
      <c r="T259" s="32" t="str">
        <v>kanan</v>
      </c>
      <c r="U259" s="32"/>
      <c r="V259" s="32"/>
    </row>
    <row r="260" spans="5:22">
      <c r="E260" s="32" t="str">
        <v>tengah</v>
      </c>
      <c r="F260" s="32"/>
      <c r="G260" s="32"/>
      <c r="J260" s="32" t="str">
        <v>kanan</v>
      </c>
      <c r="K260" s="32"/>
      <c r="L260" s="32"/>
      <c r="O260" s="32" t="str">
        <v>tengah</v>
      </c>
      <c r="P260" s="32"/>
      <c r="Q260" s="32"/>
      <c r="T260" s="32" t="str">
        <v>kanan</v>
      </c>
      <c r="U260" s="32"/>
      <c r="V260" s="32"/>
    </row>
    <row r="261" spans="5:22">
      <c r="E261" s="32" t="str">
        <v>kanan</v>
      </c>
      <c r="F261" s="32"/>
      <c r="G261" s="32"/>
      <c r="J261" s="32" t="str">
        <v>tengah</v>
      </c>
      <c r="K261" s="32"/>
      <c r="L261" s="32"/>
      <c r="O261" s="32" t="str">
        <v>tengah</v>
      </c>
      <c r="P261" s="32"/>
      <c r="Q261" s="32"/>
      <c r="T261" s="32" t="str">
        <v>tengah</v>
      </c>
      <c r="U261" s="32"/>
      <c r="V261" s="32"/>
    </row>
    <row r="262" spans="5:22">
      <c r="E262" s="32" t="str">
        <v>tengah</v>
      </c>
      <c r="F262" s="32"/>
      <c r="G262" s="32"/>
      <c r="J262" s="32" t="str">
        <v>kanan</v>
      </c>
      <c r="K262" s="32"/>
      <c r="L262" s="32"/>
      <c r="O262" s="32" t="str">
        <v>kiri</v>
      </c>
      <c r="P262" s="32"/>
      <c r="Q262" s="32"/>
      <c r="T262" s="32" t="str">
        <v>kanan</v>
      </c>
      <c r="U262" s="32"/>
      <c r="V262" s="32"/>
    </row>
    <row r="263" spans="5:22">
      <c r="E263" s="32" t="str">
        <v>kiri</v>
      </c>
      <c r="F263" s="32"/>
      <c r="G263" s="32"/>
      <c r="J263" s="32" t="str">
        <v>kiri</v>
      </c>
      <c r="K263" s="32"/>
      <c r="L263" s="32"/>
      <c r="O263" s="32" t="str">
        <v>kanan</v>
      </c>
      <c r="P263" s="32"/>
      <c r="Q263" s="32"/>
      <c r="T263" s="32" t="str">
        <v>tengah</v>
      </c>
      <c r="U263" s="32"/>
      <c r="V263" s="32"/>
    </row>
    <row r="264" spans="5:22">
      <c r="E264" s="32" t="str">
        <v>kanan</v>
      </c>
      <c r="F264" s="32"/>
      <c r="G264" s="32"/>
      <c r="J264" s="32" t="str">
        <v>kanan</v>
      </c>
      <c r="K264" s="32"/>
      <c r="L264" s="32"/>
      <c r="O264" s="32" t="str">
        <v>kanan</v>
      </c>
      <c r="P264" s="32"/>
      <c r="Q264" s="32"/>
      <c r="T264" s="32" t="str">
        <v>kanan</v>
      </c>
      <c r="U264" s="32"/>
      <c r="V264" s="32"/>
    </row>
    <row r="265" spans="5:22">
      <c r="E265" s="32" t="str">
        <v>kiri</v>
      </c>
      <c r="F265" s="32"/>
      <c r="G265" s="32"/>
      <c r="J265" s="32" t="str">
        <v>kiri</v>
      </c>
      <c r="K265" s="32"/>
      <c r="L265" s="32"/>
      <c r="O265" s="32" t="str">
        <v>tengah</v>
      </c>
      <c r="P265" s="32"/>
      <c r="Q265" s="32"/>
      <c r="T265" s="32" t="str">
        <v>tengah</v>
      </c>
      <c r="U265" s="32"/>
      <c r="V265" s="32"/>
    </row>
    <row r="266" spans="5:22">
      <c r="E266" s="32" t="str">
        <v>kanan</v>
      </c>
      <c r="F266" s="32"/>
      <c r="G266" s="32"/>
      <c r="J266" s="32" t="str">
        <v>tengah</v>
      </c>
      <c r="K266" s="32"/>
      <c r="L266" s="32"/>
      <c r="O266" s="32" t="str">
        <v>tengah</v>
      </c>
      <c r="P266" s="32"/>
      <c r="Q266" s="32"/>
      <c r="T266" s="32" t="str">
        <v>kanan</v>
      </c>
      <c r="U266" s="32"/>
      <c r="V266" s="32"/>
    </row>
    <row r="267" spans="5:22">
      <c r="E267" s="32" t="str">
        <v>tengah</v>
      </c>
      <c r="F267" s="32"/>
      <c r="G267" s="32"/>
      <c r="J267" s="32" t="str">
        <v>kanan</v>
      </c>
      <c r="K267" s="32"/>
      <c r="L267" s="32"/>
      <c r="O267" s="32" t="str">
        <v>tengah</v>
      </c>
      <c r="P267" s="32"/>
      <c r="Q267" s="32"/>
      <c r="T267" s="32" t="str">
        <v>tengah</v>
      </c>
      <c r="U267" s="32"/>
      <c r="V267" s="32"/>
    </row>
    <row r="268" spans="5:22">
      <c r="E268" s="32" t="str">
        <v>tengah</v>
      </c>
      <c r="F268" s="32"/>
      <c r="G268" s="32"/>
      <c r="J268" s="32" t="str">
        <v>kanan</v>
      </c>
      <c r="K268" s="32"/>
      <c r="L268" s="32"/>
      <c r="O268" s="32" t="str">
        <v>kiri</v>
      </c>
      <c r="P268" s="32"/>
      <c r="Q268" s="32"/>
      <c r="T268" s="32" t="str">
        <v>kanan</v>
      </c>
      <c r="U268" s="32"/>
      <c r="V268" s="32"/>
    </row>
    <row r="269" spans="5:22">
      <c r="E269" s="32" t="str">
        <v>kanan</v>
      </c>
      <c r="F269" s="32"/>
      <c r="G269" s="32"/>
      <c r="J269" s="32" t="str">
        <v>tengah</v>
      </c>
      <c r="K269" s="32"/>
      <c r="L269" s="32"/>
      <c r="O269" s="32" t="str">
        <v>tengah</v>
      </c>
      <c r="P269" s="32"/>
      <c r="Q269" s="32"/>
      <c r="T269" s="32" t="str">
        <v>kanan</v>
      </c>
      <c r="U269" s="32"/>
      <c r="V269" s="32"/>
    </row>
    <row r="270" spans="5:22">
      <c r="E270" s="32" t="str">
        <v>kanan</v>
      </c>
      <c r="F270" s="32"/>
      <c r="G270" s="32"/>
      <c r="J270" s="32" t="str">
        <v>tengah</v>
      </c>
      <c r="K270" s="32"/>
      <c r="L270" s="32"/>
      <c r="O270" s="32" t="str">
        <v>kiri</v>
      </c>
      <c r="P270" s="32"/>
      <c r="Q270" s="32"/>
      <c r="T270" s="32" t="str">
        <v>kanan</v>
      </c>
      <c r="U270" s="32"/>
      <c r="V270" s="32"/>
    </row>
    <row r="271" spans="5:22">
      <c r="E271" s="32" t="str">
        <v>kiri</v>
      </c>
      <c r="F271" s="32"/>
      <c r="G271" s="32"/>
      <c r="J271" s="32" t="str">
        <v>tengah</v>
      </c>
      <c r="K271" s="32"/>
      <c r="L271" s="32"/>
      <c r="O271" s="32" t="str">
        <v>kanan</v>
      </c>
      <c r="P271" s="32"/>
      <c r="Q271" s="32"/>
      <c r="T271" s="32" t="str">
        <v>tengah</v>
      </c>
      <c r="U271" s="32"/>
      <c r="V271" s="32"/>
    </row>
    <row r="272" spans="5:22">
      <c r="E272" s="32" t="str">
        <v>tengah</v>
      </c>
      <c r="F272" s="32"/>
      <c r="G272" s="32"/>
      <c r="J272" s="32" t="str">
        <v>tengah</v>
      </c>
      <c r="K272" s="32"/>
      <c r="L272" s="32"/>
      <c r="O272" s="32" t="str">
        <v>kiri</v>
      </c>
      <c r="P272" s="32"/>
      <c r="Q272" s="32"/>
      <c r="T272" s="32" t="str">
        <v>kanan</v>
      </c>
      <c r="U272" s="32"/>
      <c r="V272" s="32"/>
    </row>
    <row r="273" spans="5:22">
      <c r="E273" s="32" t="str">
        <v>kiri</v>
      </c>
      <c r="F273" s="32"/>
      <c r="G273" s="32"/>
      <c r="J273" s="32" t="str">
        <v>kiri</v>
      </c>
      <c r="K273" s="32"/>
      <c r="L273" s="32"/>
      <c r="O273" s="32" t="str">
        <v>tengah</v>
      </c>
      <c r="P273" s="32"/>
      <c r="Q273" s="32"/>
      <c r="T273" s="32" t="str">
        <v>kanan</v>
      </c>
      <c r="U273" s="32"/>
      <c r="V273" s="32"/>
    </row>
    <row r="274" spans="5:22">
      <c r="E274" s="32" t="str">
        <v>kiri</v>
      </c>
      <c r="F274" s="32"/>
      <c r="G274" s="32"/>
      <c r="J274" s="32" t="str">
        <v>kanan</v>
      </c>
      <c r="K274" s="32"/>
      <c r="L274" s="32"/>
      <c r="O274" s="32" t="str">
        <v>kiri</v>
      </c>
      <c r="P274" s="32"/>
      <c r="Q274" s="32"/>
      <c r="T274" s="32" t="str">
        <v>tengah</v>
      </c>
      <c r="U274" s="32"/>
      <c r="V274" s="32"/>
    </row>
    <row r="275" spans="5:22">
      <c r="E275" s="32" t="str">
        <v>kiri</v>
      </c>
      <c r="F275" s="32"/>
      <c r="G275" s="32"/>
      <c r="J275" s="32" t="str">
        <v>tengah</v>
      </c>
      <c r="K275" s="32"/>
      <c r="L275" s="32"/>
      <c r="O275" s="32" t="str">
        <v>tengah</v>
      </c>
      <c r="P275" s="32"/>
      <c r="Q275" s="32"/>
      <c r="T275" s="32" t="str">
        <v>tengah</v>
      </c>
      <c r="U275" s="32"/>
      <c r="V275" s="32"/>
    </row>
    <row r="276" spans="5:22">
      <c r="E276" s="32" t="str">
        <v>kanan</v>
      </c>
      <c r="F276" s="32"/>
      <c r="G276" s="32"/>
      <c r="J276" s="32" t="str">
        <v>kiri</v>
      </c>
      <c r="K276" s="32"/>
      <c r="L276" s="32"/>
      <c r="O276" s="32" t="str">
        <v>kiri</v>
      </c>
      <c r="P276" s="32"/>
      <c r="Q276" s="32"/>
      <c r="T276" s="32" t="str">
        <v>tengah</v>
      </c>
      <c r="U276" s="32"/>
      <c r="V276" s="32"/>
    </row>
    <row r="277" spans="5:22">
      <c r="E277" s="32" t="str">
        <v>tengah</v>
      </c>
      <c r="F277" s="32"/>
      <c r="G277" s="32"/>
      <c r="J277" s="32" t="str">
        <v>kanan</v>
      </c>
      <c r="K277" s="32"/>
      <c r="L277" s="32"/>
      <c r="O277" s="32" t="str">
        <v>kiri</v>
      </c>
      <c r="P277" s="32"/>
      <c r="Q277" s="32"/>
      <c r="T277" s="32" t="str">
        <v>kanan</v>
      </c>
      <c r="U277" s="32"/>
      <c r="V277" s="32"/>
    </row>
    <row r="278" spans="5:22">
      <c r="E278" s="32" t="str">
        <v>tengah</v>
      </c>
      <c r="F278" s="32"/>
      <c r="G278" s="32"/>
      <c r="J278" s="32" t="str">
        <v>kiri</v>
      </c>
      <c r="K278" s="32"/>
      <c r="L278" s="32"/>
      <c r="O278" s="32" t="str">
        <v>tengah</v>
      </c>
      <c r="P278" s="32"/>
      <c r="Q278" s="32"/>
      <c r="T278" s="32" t="str">
        <v>kanan</v>
      </c>
      <c r="U278" s="32"/>
      <c r="V278" s="32"/>
    </row>
    <row r="279" spans="5:22">
      <c r="E279" s="32" t="str">
        <v>tengah</v>
      </c>
      <c r="F279" s="32"/>
      <c r="G279" s="32"/>
      <c r="J279" s="32" t="str">
        <v>kanan</v>
      </c>
      <c r="K279" s="32"/>
      <c r="L279" s="32"/>
      <c r="O279" s="32" t="str">
        <v>tengah</v>
      </c>
      <c r="P279" s="32"/>
      <c r="Q279" s="32"/>
      <c r="T279" s="32" t="str">
        <v>tengah</v>
      </c>
      <c r="U279" s="32"/>
      <c r="V279" s="32"/>
    </row>
    <row r="280" spans="5:22">
      <c r="E280" s="32" t="str">
        <v>tengah</v>
      </c>
      <c r="F280" s="32"/>
      <c r="G280" s="32"/>
      <c r="J280" s="32" t="str">
        <v>kiri</v>
      </c>
      <c r="K280" s="32"/>
      <c r="L280" s="32"/>
      <c r="O280" s="32" t="str">
        <v>kanan</v>
      </c>
      <c r="P280" s="32"/>
      <c r="Q280" s="32"/>
      <c r="T280" s="32" t="str">
        <v>kanan</v>
      </c>
      <c r="U280" s="32"/>
      <c r="V280" s="32"/>
    </row>
    <row r="281" spans="5:22">
      <c r="E281" s="32" t="str">
        <v>tengah</v>
      </c>
      <c r="F281" s="32"/>
      <c r="G281" s="32"/>
      <c r="J281" s="32" t="str">
        <v>tengah</v>
      </c>
      <c r="K281" s="32"/>
      <c r="L281" s="32"/>
      <c r="O281" s="32" t="str">
        <v>kiri</v>
      </c>
      <c r="P281" s="32"/>
      <c r="Q281" s="32"/>
      <c r="T281" s="32" t="str">
        <v>tengah</v>
      </c>
      <c r="U281" s="32"/>
      <c r="V281" s="32"/>
    </row>
    <row r="282" spans="5:22">
      <c r="E282" s="32" t="str">
        <v>tengah</v>
      </c>
      <c r="F282" s="32"/>
      <c r="G282" s="32"/>
      <c r="J282" s="32" t="str">
        <v>tengah</v>
      </c>
      <c r="K282" s="32"/>
      <c r="L282" s="32"/>
      <c r="O282" s="32" t="str">
        <v>tengah</v>
      </c>
      <c r="P282" s="32"/>
      <c r="Q282" s="32"/>
      <c r="T282" s="32" t="str">
        <v>kanan</v>
      </c>
      <c r="U282" s="32"/>
      <c r="V282" s="32"/>
    </row>
    <row r="283" spans="5:22">
      <c r="E283" s="32" t="str">
        <v>tengah</v>
      </c>
      <c r="F283" s="32"/>
      <c r="G283" s="32"/>
      <c r="J283" s="32" t="str">
        <v>kanan</v>
      </c>
      <c r="K283" s="32"/>
      <c r="L283" s="32"/>
      <c r="O283" s="32" t="str">
        <v>tengah</v>
      </c>
      <c r="P283" s="32"/>
      <c r="Q283" s="32"/>
      <c r="T283" s="32" t="str">
        <v>tengah</v>
      </c>
      <c r="U283" s="32"/>
      <c r="V283" s="32"/>
    </row>
    <row r="284" spans="5:22">
      <c r="E284" s="32" t="str">
        <v>tengah</v>
      </c>
      <c r="F284" s="32"/>
      <c r="G284" s="32"/>
      <c r="J284" s="32" t="str">
        <v>tengah</v>
      </c>
      <c r="K284" s="32"/>
      <c r="L284" s="32"/>
      <c r="O284" s="32" t="str">
        <v>tengah</v>
      </c>
      <c r="P284" s="32"/>
      <c r="Q284" s="32"/>
      <c r="T284" s="32" t="str">
        <v>tengah</v>
      </c>
      <c r="U284" s="32"/>
      <c r="V284" s="32"/>
    </row>
    <row r="285" spans="5:22">
      <c r="E285" s="32" t="str">
        <v>tengah</v>
      </c>
      <c r="F285" s="32"/>
      <c r="G285" s="32"/>
      <c r="J285" s="32" t="str">
        <v>kanan</v>
      </c>
      <c r="K285" s="32"/>
      <c r="L285" s="32"/>
      <c r="O285" s="32" t="str">
        <v>tengah</v>
      </c>
      <c r="P285" s="32"/>
      <c r="Q285" s="32"/>
      <c r="T285" s="32" t="str">
        <v>tengah</v>
      </c>
      <c r="U285" s="32"/>
      <c r="V285" s="32"/>
    </row>
    <row r="286" spans="5:22">
      <c r="E286" s="32" t="str">
        <v>tengah</v>
      </c>
      <c r="F286" s="32"/>
      <c r="G286" s="32"/>
      <c r="J286" s="32" t="str">
        <v>tengah</v>
      </c>
      <c r="K286" s="32"/>
      <c r="L286" s="32"/>
      <c r="O286" s="32" t="str">
        <v>kiri</v>
      </c>
      <c r="P286" s="32"/>
      <c r="Q286" s="32"/>
      <c r="T286" s="32" t="str">
        <v>kanan</v>
      </c>
      <c r="U286" s="32"/>
      <c r="V286" s="32"/>
    </row>
    <row r="287" spans="5:22">
      <c r="E287" s="32" t="str">
        <v>tengah</v>
      </c>
      <c r="F287" s="32"/>
      <c r="G287" s="32"/>
      <c r="J287" s="32" t="str">
        <v>kanan</v>
      </c>
      <c r="K287" s="32"/>
      <c r="L287" s="32"/>
      <c r="O287" s="32" t="str">
        <v>tengah</v>
      </c>
      <c r="P287" s="32"/>
      <c r="Q287" s="32"/>
      <c r="T287" s="32" t="str">
        <v>kanan</v>
      </c>
      <c r="U287" s="32"/>
      <c r="V287" s="32"/>
    </row>
    <row r="288" spans="5:22">
      <c r="E288" s="32" t="str">
        <v>kiri</v>
      </c>
      <c r="F288" s="32"/>
      <c r="G288" s="32"/>
      <c r="J288" s="32" t="str">
        <v>tengah</v>
      </c>
      <c r="K288" s="32"/>
      <c r="L288" s="32"/>
      <c r="O288" s="32" t="str">
        <v>tengah</v>
      </c>
      <c r="P288" s="32"/>
      <c r="Q288" s="32"/>
      <c r="T288" s="32" t="str">
        <v>kanan</v>
      </c>
      <c r="U288" s="32"/>
      <c r="V288" s="32"/>
    </row>
    <row r="289" spans="5:22">
      <c r="E289" s="32" t="str">
        <v>kanan</v>
      </c>
      <c r="F289" s="32"/>
      <c r="G289" s="32"/>
      <c r="J289" s="32" t="str">
        <v>tengah</v>
      </c>
      <c r="K289" s="32"/>
      <c r="L289" s="32"/>
      <c r="O289" s="32" t="str">
        <v>tengah</v>
      </c>
      <c r="P289" s="32"/>
      <c r="Q289" s="32"/>
      <c r="T289" s="32" t="str">
        <v>tengah</v>
      </c>
      <c r="U289" s="32"/>
      <c r="V289" s="32"/>
    </row>
    <row r="290" spans="5:22">
      <c r="E290" s="32" t="str">
        <v>kanan</v>
      </c>
      <c r="F290" s="32"/>
      <c r="G290" s="32"/>
      <c r="J290" s="32" t="str">
        <v>kanan</v>
      </c>
      <c r="K290" s="32"/>
      <c r="L290" s="32"/>
      <c r="O290" s="32" t="str">
        <v>tengah</v>
      </c>
      <c r="P290" s="32"/>
      <c r="Q290" s="32"/>
      <c r="T290" s="32" t="str">
        <v>kanan</v>
      </c>
      <c r="U290" s="32"/>
      <c r="V290" s="32"/>
    </row>
    <row r="291" spans="5:22">
      <c r="E291" s="32" t="str">
        <v>tengah</v>
      </c>
      <c r="F291" s="32"/>
      <c r="G291" s="32"/>
      <c r="J291" s="32" t="str">
        <v>tengah</v>
      </c>
      <c r="K291" s="32"/>
      <c r="L291" s="32"/>
      <c r="O291" s="32" t="str">
        <v>kanan</v>
      </c>
      <c r="P291" s="32"/>
      <c r="Q291" s="32"/>
      <c r="T291" s="32" t="str">
        <v>kanan</v>
      </c>
      <c r="U291" s="32"/>
      <c r="V291" s="32"/>
    </row>
    <row r="292" spans="5:22">
      <c r="E292" s="32" t="str">
        <v>kanan</v>
      </c>
      <c r="F292" s="32"/>
      <c r="G292" s="32"/>
      <c r="J292" s="32" t="str">
        <v>kiri</v>
      </c>
      <c r="K292" s="32"/>
      <c r="L292" s="32"/>
      <c r="O292" s="32" t="str">
        <v>kiri</v>
      </c>
      <c r="P292" s="32"/>
      <c r="Q292" s="32"/>
      <c r="T292" s="32" t="str">
        <v>tengah</v>
      </c>
      <c r="U292" s="32"/>
      <c r="V292" s="32"/>
    </row>
    <row r="293" spans="5:22">
      <c r="E293" s="32" t="str">
        <v>tengah</v>
      </c>
      <c r="F293" s="32"/>
      <c r="G293" s="32"/>
      <c r="J293" s="32" t="str">
        <v>tengah</v>
      </c>
      <c r="K293" s="32"/>
      <c r="L293" s="32"/>
      <c r="O293" s="32" t="str">
        <v>kiri</v>
      </c>
      <c r="P293" s="32"/>
      <c r="Q293" s="32"/>
      <c r="T293" s="32" t="str">
        <v>tengah</v>
      </c>
      <c r="U293" s="32"/>
      <c r="V293" s="32"/>
    </row>
    <row r="294" spans="5:22">
      <c r="E294" s="32" t="str">
        <v>tengah</v>
      </c>
      <c r="F294" s="32"/>
      <c r="G294" s="32"/>
      <c r="J294" s="32" t="str">
        <v>tengah</v>
      </c>
      <c r="K294" s="32"/>
      <c r="L294" s="32"/>
      <c r="O294" s="32" t="str">
        <v>tengah</v>
      </c>
      <c r="P294" s="32"/>
      <c r="Q294" s="32"/>
      <c r="T294" s="32" t="str">
        <v>tengah</v>
      </c>
      <c r="U294" s="32"/>
      <c r="V294" s="32"/>
    </row>
    <row r="295" spans="5:22">
      <c r="E295" s="32" t="str">
        <v>tengah</v>
      </c>
      <c r="F295" s="32"/>
      <c r="G295" s="32"/>
      <c r="J295" s="32" t="str">
        <v>kanan</v>
      </c>
      <c r="K295" s="32"/>
      <c r="L295" s="32"/>
      <c r="O295" s="32" t="str">
        <v>kiri</v>
      </c>
      <c r="P295" s="32"/>
      <c r="Q295" s="32"/>
      <c r="T295" s="32" t="str">
        <v>tengah</v>
      </c>
      <c r="U295" s="32"/>
      <c r="V295" s="32"/>
    </row>
    <row r="296" spans="5:22">
      <c r="E296" s="32" t="str">
        <v>kanan</v>
      </c>
      <c r="F296" s="32"/>
      <c r="G296" s="32"/>
      <c r="J296" s="32" t="str">
        <v>tengah</v>
      </c>
      <c r="K296" s="32"/>
      <c r="L296" s="32"/>
      <c r="O296" s="32" t="str">
        <v>kiri</v>
      </c>
      <c r="P296" s="32"/>
      <c r="Q296" s="32"/>
      <c r="T296" s="32" t="str">
        <v>tengah</v>
      </c>
      <c r="U296" s="32"/>
      <c r="V296" s="32"/>
    </row>
    <row r="297" spans="5:22">
      <c r="E297" s="32" t="str">
        <v>kiri</v>
      </c>
      <c r="F297" s="32"/>
      <c r="G297" s="32"/>
      <c r="J297" s="32" t="str">
        <v>kiri</v>
      </c>
      <c r="K297" s="32"/>
      <c r="L297" s="32"/>
      <c r="O297" s="32" t="str">
        <v>kanan</v>
      </c>
      <c r="P297" s="32"/>
      <c r="Q297" s="32"/>
      <c r="T297" s="32" t="str">
        <v>tengah</v>
      </c>
      <c r="U297" s="32"/>
      <c r="V297" s="32"/>
    </row>
    <row r="298" spans="5:22">
      <c r="E298" s="32" t="str">
        <v>kanan</v>
      </c>
      <c r="F298" s="32"/>
      <c r="G298" s="32"/>
      <c r="J298" s="32" t="str">
        <v>kanan</v>
      </c>
      <c r="K298" s="32"/>
      <c r="L298" s="32"/>
      <c r="O298" s="32" t="str">
        <v>tengah</v>
      </c>
      <c r="P298" s="32"/>
      <c r="Q298" s="32"/>
      <c r="T298" s="32" t="str">
        <v>kanan</v>
      </c>
      <c r="U298" s="32"/>
      <c r="V298" s="32"/>
    </row>
    <row r="299" spans="5:22">
      <c r="E299" s="32" t="str">
        <v>tengah</v>
      </c>
      <c r="F299" s="32"/>
      <c r="G299" s="32"/>
      <c r="J299" s="32" t="str">
        <v>tengah</v>
      </c>
      <c r="K299" s="32"/>
      <c r="L299" s="32"/>
      <c r="O299" s="32" t="str">
        <v>tengah</v>
      </c>
      <c r="P299" s="32"/>
      <c r="Q299" s="32"/>
      <c r="T299" s="32" t="str">
        <v>tengah</v>
      </c>
      <c r="U299" s="32"/>
      <c r="V299" s="32"/>
    </row>
    <row r="300" spans="5:22">
      <c r="E300" s="32" t="str">
        <v>kanan</v>
      </c>
      <c r="F300" s="32"/>
      <c r="G300" s="32"/>
      <c r="J300" s="32" t="str">
        <v>tengah</v>
      </c>
      <c r="K300" s="32"/>
      <c r="L300" s="32"/>
      <c r="O300" s="32" t="str">
        <v>tengah</v>
      </c>
      <c r="P300" s="32"/>
      <c r="Q300" s="32"/>
      <c r="T300" s="32" t="str">
        <v>kanan</v>
      </c>
      <c r="U300" s="32"/>
      <c r="V300" s="32"/>
    </row>
    <row r="301" spans="5:22">
      <c r="E301" s="32" t="str">
        <v>kiri</v>
      </c>
      <c r="F301" s="32"/>
      <c r="G301" s="32"/>
      <c r="J301" s="32" t="str">
        <v>kiri</v>
      </c>
      <c r="K301" s="32"/>
      <c r="L301" s="32"/>
      <c r="O301" s="32" t="str">
        <v>kanan</v>
      </c>
      <c r="P301" s="32"/>
      <c r="Q301" s="32"/>
      <c r="T301" s="32" t="str">
        <v>tengah</v>
      </c>
      <c r="U301" s="32"/>
      <c r="V301" s="32"/>
    </row>
    <row r="302" spans="5:22">
      <c r="E302" s="32" t="str">
        <v>kiri</v>
      </c>
      <c r="F302" s="32"/>
      <c r="G302" s="32"/>
      <c r="J302" s="32" t="str">
        <v>tengah</v>
      </c>
      <c r="K302" s="32"/>
      <c r="L302" s="32"/>
      <c r="O302" s="32" t="str">
        <v>tengah</v>
      </c>
      <c r="P302" s="32"/>
      <c r="Q302" s="32"/>
      <c r="T302" s="32" t="str">
        <v>tengah</v>
      </c>
      <c r="U302" s="32"/>
      <c r="V302" s="32"/>
    </row>
    <row r="303" spans="5:22">
      <c r="E303" s="32" t="str">
        <v>kanan</v>
      </c>
      <c r="F303" s="32"/>
      <c r="G303" s="32"/>
      <c r="J303" s="32" t="str">
        <v>kanan</v>
      </c>
      <c r="K303" s="32"/>
      <c r="L303" s="32"/>
      <c r="O303" s="32" t="str">
        <v>kanan</v>
      </c>
      <c r="P303" s="32"/>
      <c r="Q303" s="32"/>
      <c r="T303" s="32" t="str">
        <v>kanan</v>
      </c>
      <c r="U303" s="32"/>
      <c r="V303" s="32"/>
    </row>
    <row r="304" spans="5:22">
      <c r="E304" s="32" t="str">
        <v>kiri</v>
      </c>
      <c r="F304" s="32"/>
      <c r="G304" s="32"/>
      <c r="J304" s="32" t="str">
        <v>kiri</v>
      </c>
      <c r="K304" s="32"/>
      <c r="L304" s="32"/>
      <c r="O304" s="32" t="str">
        <v>tengah</v>
      </c>
      <c r="P304" s="32"/>
      <c r="Q304" s="32"/>
      <c r="T304" s="32" t="str">
        <v>tengah</v>
      </c>
      <c r="U304" s="32"/>
      <c r="V304" s="32"/>
    </row>
    <row r="305" spans="5:22">
      <c r="E305" s="32" t="str">
        <v>kiri</v>
      </c>
      <c r="F305" s="32"/>
      <c r="G305" s="32"/>
      <c r="J305" s="32" t="str">
        <v>tengah</v>
      </c>
      <c r="K305" s="32"/>
      <c r="L305" s="32"/>
      <c r="O305" s="32" t="str">
        <v>tengah</v>
      </c>
      <c r="P305" s="32"/>
      <c r="Q305" s="32"/>
      <c r="T305" s="32" t="str">
        <v>kanan</v>
      </c>
      <c r="U305" s="32"/>
      <c r="V305" s="32"/>
    </row>
    <row r="306" spans="5:22">
      <c r="E306" s="32" t="str">
        <v>tengah</v>
      </c>
      <c r="F306" s="32"/>
      <c r="G306" s="32"/>
      <c r="J306" s="32" t="str">
        <v>kanan</v>
      </c>
      <c r="K306" s="32"/>
      <c r="L306" s="32"/>
      <c r="O306" s="32" t="str">
        <v>tengah</v>
      </c>
      <c r="P306" s="32"/>
      <c r="Q306" s="32"/>
      <c r="T306" s="32" t="str">
        <v>kanan</v>
      </c>
      <c r="U306" s="32"/>
      <c r="V306" s="32"/>
    </row>
    <row r="307" spans="5:22">
      <c r="E307" s="32" t="str">
        <v>tengah</v>
      </c>
      <c r="F307" s="32"/>
      <c r="G307" s="32"/>
      <c r="J307" s="32" t="str">
        <v>tengah</v>
      </c>
      <c r="K307" s="32"/>
      <c r="L307" s="32"/>
      <c r="O307" s="32" t="str">
        <v>tengah</v>
      </c>
      <c r="P307" s="32"/>
      <c r="Q307" s="32"/>
      <c r="T307" s="32" t="str">
        <v>kanan</v>
      </c>
      <c r="U307" s="32"/>
      <c r="V307" s="32"/>
    </row>
    <row r="308" spans="5:22">
      <c r="E308" s="32" t="str">
        <v>tengah</v>
      </c>
      <c r="F308" s="32"/>
      <c r="G308" s="32"/>
      <c r="J308" s="32" t="str">
        <v>kanan</v>
      </c>
      <c r="K308" s="32"/>
      <c r="L308" s="32"/>
      <c r="O308" s="32" t="str">
        <v>tengah</v>
      </c>
      <c r="P308" s="32"/>
      <c r="Q308" s="32"/>
      <c r="T308" s="32" t="str">
        <v>kanan</v>
      </c>
      <c r="U308" s="32"/>
      <c r="V308" s="32"/>
    </row>
    <row r="309" spans="5:22">
      <c r="E309" s="32" t="str">
        <v>tengah</v>
      </c>
      <c r="F309" s="32"/>
      <c r="G309" s="32"/>
      <c r="J309" s="32" t="str">
        <v>kanan</v>
      </c>
      <c r="K309" s="32"/>
      <c r="L309" s="32"/>
      <c r="O309" s="32" t="str">
        <v>kiri</v>
      </c>
      <c r="P309" s="32"/>
      <c r="Q309" s="32"/>
      <c r="T309" s="32" t="str">
        <v>tengah</v>
      </c>
      <c r="U309" s="32"/>
      <c r="V309" s="32"/>
    </row>
    <row r="310" spans="5:22">
      <c r="E310" s="32" t="str">
        <v>kiri</v>
      </c>
      <c r="F310" s="32"/>
      <c r="G310" s="32"/>
      <c r="J310" s="32" t="str">
        <v>tengah</v>
      </c>
      <c r="K310" s="32"/>
      <c r="L310" s="32"/>
      <c r="O310" s="32" t="str">
        <v>kiri</v>
      </c>
      <c r="P310" s="32"/>
      <c r="Q310" s="32"/>
      <c r="T310" s="32" t="str">
        <v>tengah</v>
      </c>
      <c r="U310" s="32"/>
      <c r="V310" s="32"/>
    </row>
    <row r="311" spans="5:22">
      <c r="E311" s="32" t="str">
        <v>tengah</v>
      </c>
      <c r="F311" s="32"/>
      <c r="G311" s="32"/>
      <c r="J311" s="32" t="str">
        <v>tengah</v>
      </c>
      <c r="K311" s="32"/>
      <c r="L311" s="32"/>
      <c r="O311" s="32" t="str">
        <v>tengah</v>
      </c>
      <c r="P311" s="32"/>
      <c r="Q311" s="32"/>
      <c r="T311" s="32" t="str">
        <v>tengah</v>
      </c>
      <c r="U311" s="32"/>
      <c r="V311" s="32"/>
    </row>
    <row r="312" spans="5:22">
      <c r="E312" s="32" t="str">
        <v>tengah</v>
      </c>
      <c r="F312" s="32"/>
      <c r="G312" s="32"/>
      <c r="J312" s="32" t="str">
        <v>kiri</v>
      </c>
      <c r="K312" s="32"/>
      <c r="L312" s="32"/>
      <c r="O312" s="32" t="str">
        <v>tengah</v>
      </c>
      <c r="P312" s="32"/>
      <c r="Q312" s="32"/>
      <c r="T312" s="32" t="str">
        <v>kanan</v>
      </c>
      <c r="U312" s="32"/>
      <c r="V312" s="32"/>
    </row>
    <row r="313" spans="5:22">
      <c r="E313" s="32" t="str">
        <v>kanan</v>
      </c>
      <c r="F313" s="32"/>
      <c r="G313" s="32"/>
      <c r="J313" s="32" t="str">
        <v>tengah</v>
      </c>
      <c r="K313" s="32"/>
      <c r="L313" s="32"/>
      <c r="O313" s="32" t="str">
        <v>tengah</v>
      </c>
      <c r="P313" s="32"/>
      <c r="Q313" s="32"/>
      <c r="T313" s="32" t="str">
        <v>tengah</v>
      </c>
      <c r="U313" s="32"/>
      <c r="V313" s="32"/>
    </row>
    <row r="314" spans="5:22">
      <c r="E314" s="32" t="str">
        <v>kanan</v>
      </c>
      <c r="F314" s="32"/>
      <c r="G314" s="32"/>
      <c r="J314" s="32" t="str">
        <v>tengah</v>
      </c>
      <c r="K314" s="32"/>
      <c r="L314" s="32"/>
      <c r="O314" s="32" t="str">
        <v>tengah</v>
      </c>
      <c r="P314" s="32"/>
      <c r="Q314" s="32"/>
      <c r="T314" s="32" t="str">
        <v>tengah</v>
      </c>
      <c r="U314" s="32"/>
      <c r="V314" s="32"/>
    </row>
    <row r="315" spans="5:22">
      <c r="E315" s="32" t="str">
        <v>kiri</v>
      </c>
      <c r="F315" s="32"/>
      <c r="G315" s="32"/>
      <c r="J315" s="32" t="str">
        <v>tengah</v>
      </c>
      <c r="K315" s="32"/>
      <c r="L315" s="32"/>
      <c r="O315" s="32" t="str">
        <v>tengah</v>
      </c>
      <c r="P315" s="32"/>
      <c r="Q315" s="32"/>
      <c r="T315" s="32" t="str">
        <v>kanan</v>
      </c>
      <c r="U315" s="32"/>
      <c r="V315" s="32"/>
    </row>
    <row r="316" spans="5:22">
      <c r="E316" s="32" t="str">
        <v>kanan</v>
      </c>
      <c r="F316" s="32"/>
      <c r="G316" s="32"/>
      <c r="J316" s="32" t="str">
        <v>tengah</v>
      </c>
      <c r="K316" s="32"/>
      <c r="L316" s="32"/>
      <c r="O316" s="32" t="str">
        <v>tengah</v>
      </c>
      <c r="P316" s="32"/>
      <c r="Q316" s="32"/>
      <c r="T316" s="32" t="str">
        <v>tengah</v>
      </c>
      <c r="U316" s="32"/>
      <c r="V316" s="32"/>
    </row>
    <row r="317" spans="5:22">
      <c r="E317" s="32" t="str">
        <v>tengah</v>
      </c>
      <c r="F317" s="32"/>
      <c r="G317" s="32"/>
      <c r="J317" s="32" t="str">
        <v>tengah</v>
      </c>
      <c r="K317" s="32"/>
      <c r="L317" s="32"/>
      <c r="O317" s="32" t="str">
        <v>tengah</v>
      </c>
      <c r="P317" s="32"/>
      <c r="Q317" s="32"/>
      <c r="T317" s="32" t="str">
        <v>tengah</v>
      </c>
      <c r="U317" s="32"/>
      <c r="V317" s="32"/>
    </row>
    <row r="318" spans="5:22">
      <c r="E318" s="32" t="str">
        <v>tengah</v>
      </c>
      <c r="F318" s="32"/>
      <c r="G318" s="32"/>
      <c r="J318" s="32" t="str">
        <v>tengah</v>
      </c>
      <c r="K318" s="32"/>
      <c r="L318" s="32"/>
      <c r="O318" s="32" t="str">
        <v>kiri</v>
      </c>
      <c r="P318" s="32"/>
      <c r="Q318" s="32"/>
      <c r="T318" s="32" t="str">
        <v>tengah</v>
      </c>
      <c r="U318" s="32"/>
      <c r="V318" s="32"/>
    </row>
    <row r="319" spans="5:22">
      <c r="E319" s="32" t="str">
        <v>tengah</v>
      </c>
      <c r="F319" s="32"/>
      <c r="G319" s="32"/>
      <c r="J319" s="32" t="str">
        <v>tengah</v>
      </c>
      <c r="K319" s="32"/>
      <c r="L319" s="32"/>
      <c r="O319" s="32" t="str">
        <v>kiri</v>
      </c>
      <c r="P319" s="32"/>
      <c r="Q319" s="32"/>
      <c r="T319" s="32" t="str">
        <v>tengah</v>
      </c>
      <c r="U319" s="32"/>
      <c r="V319" s="32"/>
    </row>
    <row r="320" spans="5:22">
      <c r="E320" s="32" t="str">
        <v>kanan</v>
      </c>
      <c r="F320" s="32"/>
      <c r="G320" s="32"/>
      <c r="J320" s="32" t="str">
        <v>tengah</v>
      </c>
      <c r="K320" s="32"/>
      <c r="L320" s="32"/>
      <c r="O320" s="32" t="str">
        <v>tengah</v>
      </c>
      <c r="P320" s="32"/>
      <c r="Q320" s="32"/>
      <c r="T320" s="32" t="str">
        <v>tengah</v>
      </c>
      <c r="U320" s="32"/>
      <c r="V320" s="32"/>
    </row>
    <row r="321" spans="5:22">
      <c r="E321" s="32" t="str">
        <v>tengah</v>
      </c>
      <c r="F321" s="32"/>
      <c r="G321" s="32"/>
      <c r="J321" s="32" t="str">
        <v>tengah</v>
      </c>
      <c r="K321" s="32"/>
      <c r="L321" s="32"/>
      <c r="O321" s="32" t="str">
        <v>tengah</v>
      </c>
      <c r="P321" s="32"/>
      <c r="Q321" s="32"/>
      <c r="T321" s="32" t="str">
        <v>tengah</v>
      </c>
      <c r="U321" s="32"/>
      <c r="V321" s="32"/>
    </row>
    <row r="322" spans="5:22">
      <c r="E322" s="32" t="str">
        <v>tengah</v>
      </c>
      <c r="F322" s="32"/>
      <c r="G322" s="32"/>
      <c r="J322" s="32" t="str">
        <v>tengah</v>
      </c>
      <c r="K322" s="32"/>
      <c r="L322" s="32"/>
      <c r="O322" s="32" t="str">
        <v>kanan</v>
      </c>
      <c r="P322" s="32"/>
      <c r="Q322" s="32"/>
      <c r="T322" s="32" t="str">
        <v>tengah</v>
      </c>
      <c r="U322" s="32"/>
      <c r="V322" s="32"/>
    </row>
    <row r="323" spans="5:22">
      <c r="E323" s="32" t="str">
        <v>kiri</v>
      </c>
      <c r="F323" s="32"/>
      <c r="G323" s="32"/>
      <c r="J323" s="32" t="str">
        <v>tengah</v>
      </c>
      <c r="K323" s="32"/>
      <c r="L323" s="32"/>
      <c r="O323" s="32" t="str">
        <v>tengah</v>
      </c>
      <c r="P323" s="32"/>
      <c r="Q323" s="32"/>
      <c r="T323" s="32" t="str">
        <v>tengah</v>
      </c>
      <c r="U323" s="32"/>
      <c r="V323" s="32"/>
    </row>
    <row r="324" spans="5:22">
      <c r="E324" s="32" t="str">
        <v>tengah</v>
      </c>
      <c r="F324" s="32"/>
      <c r="G324" s="32"/>
      <c r="J324" s="32" t="str">
        <v>tengah</v>
      </c>
      <c r="K324" s="32"/>
      <c r="L324" s="32"/>
      <c r="O324" s="32" t="str">
        <v>tengah</v>
      </c>
      <c r="P324" s="32"/>
      <c r="Q324" s="32"/>
      <c r="T324" s="32" t="str">
        <v>kanan</v>
      </c>
      <c r="U324" s="32"/>
      <c r="V324" s="32"/>
    </row>
    <row r="325" spans="5:22">
      <c r="E325" s="32" t="str">
        <v>kiri</v>
      </c>
      <c r="F325" s="32"/>
      <c r="G325" s="32"/>
      <c r="J325" s="32" t="str">
        <v>kiri</v>
      </c>
      <c r="K325" s="32"/>
      <c r="L325" s="32"/>
      <c r="O325" s="32" t="str">
        <v>kanan</v>
      </c>
      <c r="P325" s="32"/>
      <c r="Q325" s="32"/>
      <c r="T325" s="32" t="str">
        <v>kanan</v>
      </c>
      <c r="U325" s="32"/>
      <c r="V325" s="32"/>
    </row>
    <row r="326" spans="5:22">
      <c r="E326" s="32" t="str">
        <v>kanan</v>
      </c>
      <c r="F326" s="32"/>
      <c r="G326" s="32"/>
      <c r="J326" s="32" t="str">
        <v>kanan</v>
      </c>
      <c r="K326" s="32"/>
      <c r="L326" s="32"/>
      <c r="O326" s="32" t="str">
        <v>kiri</v>
      </c>
      <c r="P326" s="32"/>
      <c r="Q326" s="32"/>
      <c r="T326" s="32" t="str">
        <v>kanan</v>
      </c>
      <c r="U326" s="32"/>
      <c r="V326" s="32"/>
    </row>
    <row r="327" spans="5:22">
      <c r="E327" s="32" t="str">
        <v>kanan</v>
      </c>
      <c r="F327" s="32"/>
      <c r="G327" s="32"/>
      <c r="J327" s="32" t="str">
        <v>kanan</v>
      </c>
      <c r="K327" s="32"/>
      <c r="L327" s="32"/>
      <c r="O327" s="32" t="str">
        <v>kanan</v>
      </c>
      <c r="P327" s="32"/>
      <c r="Q327" s="32"/>
      <c r="T327" s="32" t="str">
        <v>kanan</v>
      </c>
      <c r="U327" s="32"/>
      <c r="V327" s="32"/>
    </row>
    <row r="328" spans="5:22">
      <c r="E328" s="32" t="str">
        <v>tengah</v>
      </c>
      <c r="F328" s="32"/>
      <c r="G328" s="32"/>
      <c r="J328" s="32" t="str">
        <v>tengah</v>
      </c>
      <c r="K328" s="32"/>
      <c r="L328" s="32"/>
      <c r="O328" s="32" t="str">
        <v>tengah</v>
      </c>
      <c r="P328" s="32"/>
      <c r="Q328" s="32"/>
      <c r="T328" s="32" t="str">
        <v>tengah</v>
      </c>
      <c r="U328" s="32"/>
      <c r="V328" s="32"/>
    </row>
    <row r="329" spans="5:22">
      <c r="E329" s="32" t="str">
        <v>tengah</v>
      </c>
      <c r="F329" s="32"/>
      <c r="G329" s="32"/>
      <c r="J329" s="32" t="str">
        <v>kanan</v>
      </c>
      <c r="K329" s="32"/>
      <c r="L329" s="32"/>
      <c r="O329" s="32" t="str">
        <v>kiri</v>
      </c>
      <c r="P329" s="32"/>
      <c r="Q329" s="32"/>
      <c r="T329" s="32" t="str">
        <v>tengah</v>
      </c>
      <c r="U329" s="32"/>
      <c r="V329" s="32"/>
    </row>
    <row r="330" spans="5:22">
      <c r="E330" s="32" t="str">
        <v>kiri</v>
      </c>
      <c r="F330" s="32"/>
      <c r="G330" s="32"/>
      <c r="J330" s="32" t="str">
        <v>tengah</v>
      </c>
      <c r="K330" s="32"/>
      <c r="L330" s="32"/>
      <c r="O330" s="32" t="str">
        <v>kiri</v>
      </c>
      <c r="P330" s="32"/>
      <c r="Q330" s="32"/>
      <c r="T330" s="32" t="str">
        <v>tengah</v>
      </c>
      <c r="U330" s="32"/>
      <c r="V330" s="32"/>
    </row>
    <row r="331" spans="5:22">
      <c r="E331" s="32" t="str">
        <v>kiri</v>
      </c>
      <c r="F331" s="32"/>
      <c r="G331" s="32"/>
      <c r="J331" s="32" t="str">
        <v>kiri</v>
      </c>
      <c r="K331" s="32"/>
      <c r="L331" s="32"/>
      <c r="O331" s="32" t="str">
        <v>tengah</v>
      </c>
      <c r="P331" s="32"/>
      <c r="Q331" s="32"/>
      <c r="T331" s="32" t="str">
        <v>tengah</v>
      </c>
      <c r="U331" s="32"/>
      <c r="V331" s="32"/>
    </row>
    <row r="332" spans="5:22">
      <c r="E332" s="32" t="str">
        <v>tengah</v>
      </c>
      <c r="F332" s="32"/>
      <c r="G332" s="32"/>
      <c r="J332" s="32" t="str">
        <v>tengah</v>
      </c>
      <c r="K332" s="32"/>
      <c r="L332" s="32"/>
      <c r="O332" s="32" t="str">
        <v>kanan</v>
      </c>
      <c r="P332" s="32"/>
      <c r="Q332" s="32"/>
      <c r="T332" s="32" t="str">
        <v>kanan</v>
      </c>
      <c r="U332" s="32"/>
      <c r="V332" s="32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70B9-686A-43AA-BAF2-F073DA8551A7}">
  <dimension ref="A1:V332"/>
  <sheetViews>
    <sheetView topLeftCell="M184" zoomScale="98" zoomScaleNormal="98" workbookViewId="0">
      <selection activeCell="O162" sqref="O162"/>
    </sheetView>
  </sheetViews>
  <sheetFormatPr defaultColWidth="9" defaultRowHeight="15"/>
  <cols>
    <col min="2" max="2" width="15.85546875" customWidth="1"/>
    <col min="3" max="3" width="16.7109375" bestFit="1" customWidth="1"/>
    <col min="4" max="4" width="13.85546875" customWidth="1"/>
    <col min="6" max="6" width="14.42578125" bestFit="1" customWidth="1"/>
    <col min="8" max="8" width="14.28515625" customWidth="1"/>
    <col min="9" max="9" width="13.28515625" customWidth="1"/>
    <col min="10" max="10" width="13.85546875" customWidth="1"/>
    <col min="11" max="11" width="22" bestFit="1" customWidth="1"/>
    <col min="13" max="13" width="14.42578125" bestFit="1" customWidth="1"/>
    <col min="15" max="15" width="25.28515625" bestFit="1" customWidth="1"/>
    <col min="16" max="16" width="12.85546875" bestFit="1" customWidth="1"/>
    <col min="17" max="17" width="11.7109375" customWidth="1"/>
    <col min="20" max="20" width="14.42578125" bestFit="1" customWidth="1"/>
  </cols>
  <sheetData>
    <row r="1" spans="1:17">
      <c r="A1" s="30" t="s">
        <v>174</v>
      </c>
      <c r="B1" s="30" t="s">
        <v>1</v>
      </c>
      <c r="C1" s="30" t="s">
        <v>2</v>
      </c>
      <c r="D1" s="30" t="s">
        <v>173</v>
      </c>
      <c r="E1" s="30" t="s">
        <v>4</v>
      </c>
      <c r="F1" s="30" t="s">
        <v>5</v>
      </c>
      <c r="H1" s="61" t="s">
        <v>174</v>
      </c>
      <c r="I1" s="61" t="s">
        <v>1</v>
      </c>
      <c r="J1" s="61" t="s">
        <v>2</v>
      </c>
      <c r="K1" s="61" t="s">
        <v>173</v>
      </c>
      <c r="L1" s="61" t="s">
        <v>4</v>
      </c>
      <c r="M1" s="61" t="s">
        <v>5</v>
      </c>
      <c r="O1" s="30" t="s">
        <v>175</v>
      </c>
      <c r="P1" s="31"/>
      <c r="Q1" s="31"/>
    </row>
    <row r="2" spans="1:17">
      <c r="A2" s="32">
        <f ca="1">RANDBETWEEN(2,164)</f>
        <v>135</v>
      </c>
      <c r="B2" s="32" cm="1">
        <f t="array" aca="1" ref="B2" ca="1">INDEX(Data_DBD!$B:$B,$A2)</f>
        <v>10</v>
      </c>
      <c r="C2" s="32" cm="1">
        <f t="array" aca="1" ref="C2" ca="1">INDEX(Data_DBD!$C:$C,$A2)</f>
        <v>2</v>
      </c>
      <c r="D2" s="32" cm="1">
        <f t="array" aca="1" ref="D2" ca="1">INDEX(Data_DBD!$D:$D,$A2)</f>
        <v>33</v>
      </c>
      <c r="E2" s="32" cm="1">
        <f t="array" aca="1" ref="E2" ca="1">INDEX(Data_DBD!$E:$E,$A2)</f>
        <v>0</v>
      </c>
      <c r="F2" s="32" cm="1">
        <f t="array" aca="1" ref="F2" ca="1">INDEX(Data_DBD!$F:$F,$A2)</f>
        <v>3</v>
      </c>
      <c r="H2" s="32">
        <v>53</v>
      </c>
      <c r="I2" s="32">
        <v>35</v>
      </c>
      <c r="J2" s="32">
        <v>4</v>
      </c>
      <c r="K2" s="32">
        <v>15</v>
      </c>
      <c r="L2" s="32">
        <v>1</v>
      </c>
      <c r="M2" s="32">
        <v>2</v>
      </c>
      <c r="O2" s="54">
        <v>1</v>
      </c>
      <c r="P2" s="31">
        <f>COUNTIF(M2:M164,"1")</f>
        <v>18</v>
      </c>
      <c r="Q2" s="31">
        <f>P2/163</f>
        <v>0.11042944785276074</v>
      </c>
    </row>
    <row r="3" spans="1:17">
      <c r="A3" s="32">
        <f t="shared" ref="A3:A66" ca="1" si="0">RANDBETWEEN(2,164)</f>
        <v>124</v>
      </c>
      <c r="B3" s="32" cm="1">
        <f t="array" aca="1" ref="B3" ca="1">INDEX(Data_DBD!$B:$B,$A3)</f>
        <v>24</v>
      </c>
      <c r="C3" s="32" cm="1">
        <f t="array" aca="1" ref="C3" ca="1">INDEX(Data_DBD!$C:$C,$A3)</f>
        <v>3</v>
      </c>
      <c r="D3" s="32" cm="1">
        <f t="array" aca="1" ref="D3" ca="1">INDEX(Data_DBD!$D:$D,$A3)</f>
        <v>33</v>
      </c>
      <c r="E3" s="32" cm="1">
        <f t="array" aca="1" ref="E3" ca="1">INDEX(Data_DBD!$E:$E,$A3)</f>
        <v>1</v>
      </c>
      <c r="F3" s="32" cm="1">
        <f t="array" aca="1" ref="F3" ca="1">INDEX(Data_DBD!$F:$F,$A3)</f>
        <v>3</v>
      </c>
      <c r="H3" s="32">
        <v>78</v>
      </c>
      <c r="I3" s="32">
        <v>6</v>
      </c>
      <c r="J3" s="32">
        <v>3</v>
      </c>
      <c r="K3" s="32">
        <v>13</v>
      </c>
      <c r="L3" s="32">
        <v>0</v>
      </c>
      <c r="M3" s="32">
        <v>2</v>
      </c>
      <c r="O3" s="31">
        <v>2</v>
      </c>
      <c r="P3" s="31">
        <f>COUNTIF(M2:M164,"2")</f>
        <v>71</v>
      </c>
      <c r="Q3" s="31">
        <f>P3/163</f>
        <v>0.43558282208588955</v>
      </c>
    </row>
    <row r="4" spans="1:17">
      <c r="A4" s="32">
        <f t="shared" ca="1" si="0"/>
        <v>21</v>
      </c>
      <c r="B4" s="32" cm="1">
        <f t="array" aca="1" ref="B4" ca="1">INDEX(Data_DBD!$B:$B,$A4)</f>
        <v>10</v>
      </c>
      <c r="C4" s="32" cm="1">
        <f t="array" aca="1" ref="C4" ca="1">INDEX(Data_DBD!$C:$C,$A4)</f>
        <v>5</v>
      </c>
      <c r="D4" s="32" cm="1">
        <f t="array" aca="1" ref="D4" ca="1">INDEX(Data_DBD!$D:$D,$A4)</f>
        <v>14</v>
      </c>
      <c r="E4" s="32" cm="1">
        <f t="array" aca="1" ref="E4" ca="1">INDEX(Data_DBD!$E:$E,$A4)</f>
        <v>1</v>
      </c>
      <c r="F4" s="32" cm="1">
        <f t="array" aca="1" ref="F4" ca="1">INDEX(Data_DBD!$F:$F,$A4)</f>
        <v>2</v>
      </c>
      <c r="H4" s="32">
        <v>103</v>
      </c>
      <c r="I4" s="32">
        <v>22</v>
      </c>
      <c r="J4" s="32">
        <v>5</v>
      </c>
      <c r="K4" s="32">
        <v>18</v>
      </c>
      <c r="L4" s="32">
        <v>0</v>
      </c>
      <c r="M4" s="32">
        <v>3</v>
      </c>
      <c r="O4" s="31">
        <v>3</v>
      </c>
      <c r="P4" s="31">
        <f>COUNTIF(M2:M164,"3")</f>
        <v>74</v>
      </c>
      <c r="Q4" s="31">
        <f>P4/163</f>
        <v>0.45398773006134968</v>
      </c>
    </row>
    <row r="5" spans="1:17">
      <c r="A5" s="32">
        <f t="shared" ca="1" si="0"/>
        <v>112</v>
      </c>
      <c r="B5" s="32" cm="1">
        <f t="array" aca="1" ref="B5" ca="1">INDEX(Data_DBD!$B:$B,$A5)</f>
        <v>61</v>
      </c>
      <c r="C5" s="32" cm="1">
        <f t="array" aca="1" ref="C5" ca="1">INDEX(Data_DBD!$C:$C,$A5)</f>
        <v>3</v>
      </c>
      <c r="D5" s="32" cm="1">
        <f t="array" aca="1" ref="D5" ca="1">INDEX(Data_DBD!$D:$D,$A5)</f>
        <v>33</v>
      </c>
      <c r="E5" s="32" cm="1">
        <f t="array" aca="1" ref="E5" ca="1">INDEX(Data_DBD!$E:$E,$A5)</f>
        <v>1</v>
      </c>
      <c r="F5" s="32" cm="1">
        <f t="array" aca="1" ref="F5" ca="1">INDEX(Data_DBD!$F:$F,$A5)</f>
        <v>3</v>
      </c>
      <c r="H5" s="32">
        <v>84</v>
      </c>
      <c r="I5" s="32">
        <v>42</v>
      </c>
      <c r="J5" s="32">
        <v>4</v>
      </c>
      <c r="K5" s="32">
        <v>13</v>
      </c>
      <c r="L5" s="32">
        <v>1</v>
      </c>
      <c r="M5" s="32">
        <v>2</v>
      </c>
      <c r="O5" s="34" t="s">
        <v>176</v>
      </c>
      <c r="P5">
        <f>-(IFERROR(Q2*LOG(Q2,2),0)+IFERROR(Q3*LOG(Q3,2),0)+IFERROR(Q4*LOG(Q4,2),0))</f>
        <v>1.3905057949222659</v>
      </c>
    </row>
    <row r="6" spans="1:17">
      <c r="A6" s="32">
        <f t="shared" ca="1" si="0"/>
        <v>141</v>
      </c>
      <c r="B6" s="32" cm="1">
        <f t="array" aca="1" ref="B6" ca="1">INDEX(Data_DBD!$B:$B,$A6)</f>
        <v>36</v>
      </c>
      <c r="C6" s="32" cm="1">
        <f t="array" aca="1" ref="C6" ca="1">INDEX(Data_DBD!$C:$C,$A6)</f>
        <v>2</v>
      </c>
      <c r="D6" s="32" cm="1">
        <f t="array" aca="1" ref="D6" ca="1">INDEX(Data_DBD!$D:$D,$A6)</f>
        <v>21</v>
      </c>
      <c r="E6" s="32" cm="1">
        <f t="array" aca="1" ref="E6" ca="1">INDEX(Data_DBD!$E:$E,$A6)</f>
        <v>0</v>
      </c>
      <c r="F6" s="32" cm="1">
        <f t="array" aca="1" ref="F6" ca="1">INDEX(Data_DBD!$F:$F,$A6)</f>
        <v>3</v>
      </c>
      <c r="H6" s="32">
        <v>156</v>
      </c>
      <c r="I6" s="32">
        <v>5</v>
      </c>
      <c r="J6" s="32">
        <v>2</v>
      </c>
      <c r="K6" s="32">
        <v>21</v>
      </c>
      <c r="L6" s="32">
        <v>0</v>
      </c>
      <c r="M6" s="32">
        <v>3</v>
      </c>
    </row>
    <row r="7" spans="1:17">
      <c r="A7" s="32">
        <f t="shared" ca="1" si="0"/>
        <v>111</v>
      </c>
      <c r="B7" s="32" cm="1">
        <f t="array" aca="1" ref="B7" ca="1">INDEX(Data_DBD!$B:$B,$A7)</f>
        <v>25</v>
      </c>
      <c r="C7" s="32" cm="1">
        <f t="array" aca="1" ref="C7" ca="1">INDEX(Data_DBD!$C:$C,$A7)</f>
        <v>4</v>
      </c>
      <c r="D7" s="32" cm="1">
        <f t="array" aca="1" ref="D7" ca="1">INDEX(Data_DBD!$D:$D,$A7)</f>
        <v>33</v>
      </c>
      <c r="E7" s="32" cm="1">
        <f t="array" aca="1" ref="E7" ca="1">INDEX(Data_DBD!$E:$E,$A7)</f>
        <v>0</v>
      </c>
      <c r="F7" s="32" cm="1">
        <f t="array" aca="1" ref="F7" ca="1">INDEX(Data_DBD!$F:$F,$A7)</f>
        <v>3</v>
      </c>
      <c r="H7" s="32">
        <v>155</v>
      </c>
      <c r="I7" s="32">
        <v>19</v>
      </c>
      <c r="J7" s="32">
        <v>5</v>
      </c>
      <c r="K7" s="32">
        <v>21</v>
      </c>
      <c r="L7" s="32">
        <v>1</v>
      </c>
      <c r="M7" s="32">
        <v>3</v>
      </c>
    </row>
    <row r="8" spans="1:17">
      <c r="A8" s="32">
        <f t="shared" ca="1" si="0"/>
        <v>107</v>
      </c>
      <c r="B8" s="32" cm="1">
        <f t="array" aca="1" ref="B8" ca="1">INDEX(Data_DBD!$B:$B,$A8)</f>
        <v>48</v>
      </c>
      <c r="C8" s="32" cm="1">
        <f t="array" aca="1" ref="C8" ca="1">INDEX(Data_DBD!$C:$C,$A8)</f>
        <v>5</v>
      </c>
      <c r="D8" s="32" cm="1">
        <f t="array" aca="1" ref="D8" ca="1">INDEX(Data_DBD!$D:$D,$A8)</f>
        <v>18</v>
      </c>
      <c r="E8" s="32" cm="1">
        <f t="array" aca="1" ref="E8" ca="1">INDEX(Data_DBD!$E:$E,$A8)</f>
        <v>0</v>
      </c>
      <c r="F8" s="32" cm="1">
        <f t="array" aca="1" ref="F8" ca="1">INDEX(Data_DBD!$F:$F,$A8)</f>
        <v>3</v>
      </c>
      <c r="H8" s="32">
        <v>76</v>
      </c>
      <c r="I8" s="32">
        <v>70</v>
      </c>
      <c r="J8" s="32">
        <v>2</v>
      </c>
      <c r="K8" s="32">
        <v>10</v>
      </c>
      <c r="L8" s="32">
        <v>0</v>
      </c>
      <c r="M8" s="32">
        <v>2</v>
      </c>
    </row>
    <row r="9" spans="1:17">
      <c r="A9" s="32">
        <f t="shared" ca="1" si="0"/>
        <v>113</v>
      </c>
      <c r="B9" s="32" cm="1">
        <f t="array" aca="1" ref="B9" ca="1">INDEX(Data_DBD!$B:$B,$A9)</f>
        <v>69</v>
      </c>
      <c r="C9" s="32" cm="1">
        <f t="array" aca="1" ref="C9" ca="1">INDEX(Data_DBD!$C:$C,$A9)</f>
        <v>1</v>
      </c>
      <c r="D9" s="32" cm="1">
        <f t="array" aca="1" ref="D9" ca="1">INDEX(Data_DBD!$D:$D,$A9)</f>
        <v>33</v>
      </c>
      <c r="E9" s="32" cm="1">
        <f t="array" aca="1" ref="E9" ca="1">INDEX(Data_DBD!$E:$E,$A9)</f>
        <v>1</v>
      </c>
      <c r="F9" s="32" cm="1">
        <f t="array" aca="1" ref="F9" ca="1">INDEX(Data_DBD!$F:$F,$A9)</f>
        <v>3</v>
      </c>
      <c r="H9" s="32">
        <v>116</v>
      </c>
      <c r="I9" s="32">
        <v>32</v>
      </c>
      <c r="J9" s="32">
        <v>4</v>
      </c>
      <c r="K9" s="32">
        <v>33</v>
      </c>
      <c r="L9" s="32">
        <v>1</v>
      </c>
      <c r="M9" s="32">
        <v>3</v>
      </c>
    </row>
    <row r="10" spans="1:17">
      <c r="A10" s="32">
        <f t="shared" ca="1" si="0"/>
        <v>127</v>
      </c>
      <c r="B10" s="32" cm="1">
        <f t="array" aca="1" ref="B10" ca="1">INDEX(Data_DBD!$B:$B,$A10)</f>
        <v>21</v>
      </c>
      <c r="C10" s="32" cm="1">
        <f t="array" aca="1" ref="C10" ca="1">INDEX(Data_DBD!$C:$C,$A10)</f>
        <v>2</v>
      </c>
      <c r="D10" s="32" cm="1">
        <f t="array" aca="1" ref="D10" ca="1">INDEX(Data_DBD!$D:$D,$A10)</f>
        <v>33</v>
      </c>
      <c r="E10" s="32" cm="1">
        <f t="array" aca="1" ref="E10" ca="1">INDEX(Data_DBD!$E:$E,$A10)</f>
        <v>0</v>
      </c>
      <c r="F10" s="32" cm="1">
        <f t="array" aca="1" ref="F10" ca="1">INDEX(Data_DBD!$F:$F,$A10)</f>
        <v>3</v>
      </c>
      <c r="H10" s="32">
        <v>17</v>
      </c>
      <c r="I10" s="32">
        <v>2</v>
      </c>
      <c r="J10" s="32">
        <v>3</v>
      </c>
      <c r="K10" s="32">
        <v>7</v>
      </c>
      <c r="L10" s="32">
        <v>0</v>
      </c>
      <c r="M10" s="32">
        <v>1</v>
      </c>
    </row>
    <row r="11" spans="1:17">
      <c r="A11" s="32">
        <f t="shared" ca="1" si="0"/>
        <v>68</v>
      </c>
      <c r="B11" s="32" cm="1">
        <f t="array" aca="1" ref="B11" ca="1">INDEX(Data_DBD!$B:$B,$A11)</f>
        <v>44</v>
      </c>
      <c r="C11" s="32" cm="1">
        <f t="array" aca="1" ref="C11" ca="1">INDEX(Data_DBD!$C:$C,$A11)</f>
        <v>5</v>
      </c>
      <c r="D11" s="32" cm="1">
        <f t="array" aca="1" ref="D11" ca="1">INDEX(Data_DBD!$D:$D,$A11)</f>
        <v>10</v>
      </c>
      <c r="E11" s="32" cm="1">
        <f t="array" aca="1" ref="E11" ca="1">INDEX(Data_DBD!$E:$E,$A11)</f>
        <v>0</v>
      </c>
      <c r="F11" s="32" cm="1">
        <f t="array" aca="1" ref="F11" ca="1">INDEX(Data_DBD!$F:$F,$A11)</f>
        <v>2</v>
      </c>
      <c r="H11" s="32">
        <v>156</v>
      </c>
      <c r="I11" s="32">
        <v>5</v>
      </c>
      <c r="J11" s="32">
        <v>2</v>
      </c>
      <c r="K11" s="32">
        <v>21</v>
      </c>
      <c r="L11" s="32">
        <v>0</v>
      </c>
      <c r="M11" s="32">
        <v>3</v>
      </c>
    </row>
    <row r="12" spans="1:17">
      <c r="A12" s="32">
        <f t="shared" ca="1" si="0"/>
        <v>147</v>
      </c>
      <c r="B12" s="32" cm="1">
        <f t="array" aca="1" ref="B12" ca="1">INDEX(Data_DBD!$B:$B,$A12)</f>
        <v>66</v>
      </c>
      <c r="C12" s="32" cm="1">
        <f t="array" aca="1" ref="C12" ca="1">INDEX(Data_DBD!$C:$C,$A12)</f>
        <v>10</v>
      </c>
      <c r="D12" s="32" cm="1">
        <f t="array" aca="1" ref="D12" ca="1">INDEX(Data_DBD!$D:$D,$A12)</f>
        <v>21</v>
      </c>
      <c r="E12" s="32" cm="1">
        <f t="array" aca="1" ref="E12" ca="1">INDEX(Data_DBD!$E:$E,$A12)</f>
        <v>1</v>
      </c>
      <c r="F12" s="32" cm="1">
        <f t="array" aca="1" ref="F12" ca="1">INDEX(Data_DBD!$F:$F,$A12)</f>
        <v>3</v>
      </c>
      <c r="H12" s="32">
        <v>47</v>
      </c>
      <c r="I12" s="32">
        <v>19</v>
      </c>
      <c r="J12" s="32">
        <v>2</v>
      </c>
      <c r="K12" s="32">
        <v>13</v>
      </c>
      <c r="L12" s="32">
        <v>0</v>
      </c>
      <c r="M12" s="32">
        <v>2</v>
      </c>
    </row>
    <row r="13" spans="1:17">
      <c r="A13" s="32">
        <f t="shared" ca="1" si="0"/>
        <v>80</v>
      </c>
      <c r="B13" s="32" cm="1">
        <f t="array" aca="1" ref="B13" ca="1">INDEX(Data_DBD!$B:$B,$A13)</f>
        <v>27</v>
      </c>
      <c r="C13" s="32" cm="1">
        <f t="array" aca="1" ref="C13" ca="1">INDEX(Data_DBD!$C:$C,$A13)</f>
        <v>3</v>
      </c>
      <c r="D13" s="32" cm="1">
        <f t="array" aca="1" ref="D13" ca="1">INDEX(Data_DBD!$D:$D,$A13)</f>
        <v>13</v>
      </c>
      <c r="E13" s="32" cm="1">
        <f t="array" aca="1" ref="E13" ca="1">INDEX(Data_DBD!$E:$E,$A13)</f>
        <v>1</v>
      </c>
      <c r="F13" s="32" cm="1">
        <f t="array" aca="1" ref="F13" ca="1">INDEX(Data_DBD!$F:$F,$A13)</f>
        <v>2</v>
      </c>
      <c r="H13" s="32">
        <v>156</v>
      </c>
      <c r="I13" s="32">
        <v>5</v>
      </c>
      <c r="J13" s="32">
        <v>2</v>
      </c>
      <c r="K13" s="32">
        <v>21</v>
      </c>
      <c r="L13" s="32">
        <v>0</v>
      </c>
      <c r="M13" s="32">
        <v>3</v>
      </c>
    </row>
    <row r="14" spans="1:17">
      <c r="A14" s="32">
        <f t="shared" ca="1" si="0"/>
        <v>125</v>
      </c>
      <c r="B14" s="32" cm="1">
        <f t="array" aca="1" ref="B14" ca="1">INDEX(Data_DBD!$B:$B,$A14)</f>
        <v>39</v>
      </c>
      <c r="C14" s="32" cm="1">
        <f t="array" aca="1" ref="C14" ca="1">INDEX(Data_DBD!$C:$C,$A14)</f>
        <v>4</v>
      </c>
      <c r="D14" s="32" cm="1">
        <f t="array" aca="1" ref="D14" ca="1">INDEX(Data_DBD!$D:$D,$A14)</f>
        <v>33</v>
      </c>
      <c r="E14" s="32" cm="1">
        <f t="array" aca="1" ref="E14" ca="1">INDEX(Data_DBD!$E:$E,$A14)</f>
        <v>0</v>
      </c>
      <c r="F14" s="32" cm="1">
        <f t="array" aca="1" ref="F14" ca="1">INDEX(Data_DBD!$F:$F,$A14)</f>
        <v>3</v>
      </c>
      <c r="H14" s="32">
        <v>158</v>
      </c>
      <c r="I14" s="32">
        <v>5</v>
      </c>
      <c r="J14" s="32">
        <v>2</v>
      </c>
      <c r="K14" s="32">
        <v>21</v>
      </c>
      <c r="L14" s="32">
        <v>0</v>
      </c>
      <c r="M14" s="32">
        <v>3</v>
      </c>
    </row>
    <row r="15" spans="1:17">
      <c r="A15" s="32">
        <f t="shared" ca="1" si="0"/>
        <v>14</v>
      </c>
      <c r="B15" s="32" cm="1">
        <f t="array" aca="1" ref="B15" ca="1">INDEX(Data_DBD!$B:$B,$A15)</f>
        <v>49</v>
      </c>
      <c r="C15" s="32" cm="1">
        <f t="array" aca="1" ref="C15" ca="1">INDEX(Data_DBD!$C:$C,$A15)</f>
        <v>4</v>
      </c>
      <c r="D15" s="32" cm="1">
        <f t="array" aca="1" ref="D15" ca="1">INDEX(Data_DBD!$D:$D,$A15)</f>
        <v>7</v>
      </c>
      <c r="E15" s="32" cm="1">
        <f t="array" aca="1" ref="E15" ca="1">INDEX(Data_DBD!$E:$E,$A15)</f>
        <v>1</v>
      </c>
      <c r="F15" s="32" cm="1">
        <f t="array" aca="1" ref="F15" ca="1">INDEX(Data_DBD!$F:$F,$A15)</f>
        <v>1</v>
      </c>
      <c r="H15" s="32">
        <v>146</v>
      </c>
      <c r="I15" s="32">
        <v>34</v>
      </c>
      <c r="J15" s="32">
        <v>2</v>
      </c>
      <c r="K15" s="32">
        <v>21</v>
      </c>
      <c r="L15" s="32">
        <v>1</v>
      </c>
      <c r="M15" s="32">
        <v>3</v>
      </c>
    </row>
    <row r="16" spans="1:17">
      <c r="A16" s="32">
        <f t="shared" ca="1" si="0"/>
        <v>4</v>
      </c>
      <c r="B16" s="32" cm="1">
        <f t="array" aca="1" ref="B16" ca="1">INDEX(Data_DBD!$B:$B,$A16)</f>
        <v>23</v>
      </c>
      <c r="C16" s="32" cm="1">
        <f t="array" aca="1" ref="C16" ca="1">INDEX(Data_DBD!$C:$C,$A16)</f>
        <v>5</v>
      </c>
      <c r="D16" s="32" cm="1">
        <f t="array" aca="1" ref="D16" ca="1">INDEX(Data_DBD!$D:$D,$A16)</f>
        <v>12</v>
      </c>
      <c r="E16" s="32" cm="1">
        <f t="array" aca="1" ref="E16" ca="1">INDEX(Data_DBD!$E:$E,$A16)</f>
        <v>0</v>
      </c>
      <c r="F16" s="32" cm="1">
        <f t="array" aca="1" ref="F16" ca="1">INDEX(Data_DBD!$F:$F,$A16)</f>
        <v>2</v>
      </c>
      <c r="H16" s="32">
        <v>9</v>
      </c>
      <c r="I16" s="32">
        <v>16</v>
      </c>
      <c r="J16" s="32">
        <v>6</v>
      </c>
      <c r="K16" s="32">
        <v>12</v>
      </c>
      <c r="L16" s="32">
        <v>1</v>
      </c>
      <c r="M16" s="32">
        <v>2</v>
      </c>
    </row>
    <row r="17" spans="1:13">
      <c r="A17" s="32">
        <f t="shared" ca="1" si="0"/>
        <v>152</v>
      </c>
      <c r="B17" s="32" cm="1">
        <f t="array" aca="1" ref="B17" ca="1">INDEX(Data_DBD!$B:$B,$A17)</f>
        <v>47</v>
      </c>
      <c r="C17" s="32" cm="1">
        <f t="array" aca="1" ref="C17" ca="1">INDEX(Data_DBD!$C:$C,$A17)</f>
        <v>3</v>
      </c>
      <c r="D17" s="32" cm="1">
        <f t="array" aca="1" ref="D17" ca="1">INDEX(Data_DBD!$D:$D,$A17)</f>
        <v>21</v>
      </c>
      <c r="E17" s="32" cm="1">
        <f t="array" aca="1" ref="E17" ca="1">INDEX(Data_DBD!$E:$E,$A17)</f>
        <v>1</v>
      </c>
      <c r="F17" s="32" cm="1">
        <f t="array" aca="1" ref="F17" ca="1">INDEX(Data_DBD!$F:$F,$A17)</f>
        <v>3</v>
      </c>
      <c r="H17" s="32">
        <v>37</v>
      </c>
      <c r="I17" s="32">
        <v>28</v>
      </c>
      <c r="J17" s="32">
        <v>4</v>
      </c>
      <c r="K17" s="32">
        <v>4</v>
      </c>
      <c r="L17" s="32">
        <v>1</v>
      </c>
      <c r="M17" s="32">
        <v>1</v>
      </c>
    </row>
    <row r="18" spans="1:13">
      <c r="A18" s="32">
        <f t="shared" ca="1" si="0"/>
        <v>22</v>
      </c>
      <c r="B18" s="32" cm="1">
        <f t="array" aca="1" ref="B18" ca="1">INDEX(Data_DBD!$B:$B,$A18)</f>
        <v>6</v>
      </c>
      <c r="C18" s="32" cm="1">
        <f t="array" aca="1" ref="C18" ca="1">INDEX(Data_DBD!$C:$C,$A18)</f>
        <v>3</v>
      </c>
      <c r="D18" s="32" cm="1">
        <f t="array" aca="1" ref="D18" ca="1">INDEX(Data_DBD!$D:$D,$A18)</f>
        <v>14</v>
      </c>
      <c r="E18" s="32" cm="1">
        <f t="array" aca="1" ref="E18" ca="1">INDEX(Data_DBD!$E:$E,$A18)</f>
        <v>0</v>
      </c>
      <c r="F18" s="32" cm="1">
        <f t="array" aca="1" ref="F18" ca="1">INDEX(Data_DBD!$F:$F,$A18)</f>
        <v>2</v>
      </c>
      <c r="H18" s="32">
        <v>37</v>
      </c>
      <c r="I18" s="32">
        <v>28</v>
      </c>
      <c r="J18" s="32">
        <v>4</v>
      </c>
      <c r="K18" s="32">
        <v>4</v>
      </c>
      <c r="L18" s="32">
        <v>1</v>
      </c>
      <c r="M18" s="32">
        <v>1</v>
      </c>
    </row>
    <row r="19" spans="1:13">
      <c r="A19" s="32">
        <f t="shared" ca="1" si="0"/>
        <v>133</v>
      </c>
      <c r="B19" s="32" cm="1">
        <f t="array" aca="1" ref="B19" ca="1">INDEX(Data_DBD!$B:$B,$A19)</f>
        <v>6</v>
      </c>
      <c r="C19" s="32" cm="1">
        <f t="array" aca="1" ref="C19" ca="1">INDEX(Data_DBD!$C:$C,$A19)</f>
        <v>4</v>
      </c>
      <c r="D19" s="32" cm="1">
        <f t="array" aca="1" ref="D19" ca="1">INDEX(Data_DBD!$D:$D,$A19)</f>
        <v>33</v>
      </c>
      <c r="E19" s="32" cm="1">
        <f t="array" aca="1" ref="E19" ca="1">INDEX(Data_DBD!$E:$E,$A19)</f>
        <v>0</v>
      </c>
      <c r="F19" s="32" cm="1">
        <f t="array" aca="1" ref="F19" ca="1">INDEX(Data_DBD!$F:$F,$A19)</f>
        <v>3</v>
      </c>
      <c r="H19" s="32">
        <v>115</v>
      </c>
      <c r="I19" s="32">
        <v>52</v>
      </c>
      <c r="J19" s="32">
        <v>3</v>
      </c>
      <c r="K19" s="32">
        <v>33</v>
      </c>
      <c r="L19" s="32">
        <v>1</v>
      </c>
      <c r="M19" s="32">
        <v>3</v>
      </c>
    </row>
    <row r="20" spans="1:13">
      <c r="A20" s="32">
        <f t="shared" ca="1" si="0"/>
        <v>120</v>
      </c>
      <c r="B20" s="32" cm="1">
        <f t="array" aca="1" ref="B20" ca="1">INDEX(Data_DBD!$B:$B,$A20)</f>
        <v>26</v>
      </c>
      <c r="C20" s="32" cm="1">
        <f t="array" aca="1" ref="C20" ca="1">INDEX(Data_DBD!$C:$C,$A20)</f>
        <v>4</v>
      </c>
      <c r="D20" s="32" cm="1">
        <f t="array" aca="1" ref="D20" ca="1">INDEX(Data_DBD!$D:$D,$A20)</f>
        <v>33</v>
      </c>
      <c r="E20" s="32" cm="1">
        <f t="array" aca="1" ref="E20" ca="1">INDEX(Data_DBD!$E:$E,$A20)</f>
        <v>1</v>
      </c>
      <c r="F20" s="32" cm="1">
        <f t="array" aca="1" ref="F20" ca="1">INDEX(Data_DBD!$F:$F,$A20)</f>
        <v>3</v>
      </c>
      <c r="H20" s="32">
        <v>50</v>
      </c>
      <c r="I20" s="32">
        <v>19</v>
      </c>
      <c r="J20" s="32">
        <v>5</v>
      </c>
      <c r="K20" s="32">
        <v>13</v>
      </c>
      <c r="L20" s="32">
        <v>0</v>
      </c>
      <c r="M20" s="32">
        <v>2</v>
      </c>
    </row>
    <row r="21" spans="1:13">
      <c r="A21" s="32">
        <f t="shared" ca="1" si="0"/>
        <v>10</v>
      </c>
      <c r="B21" s="32" cm="1">
        <f t="array" aca="1" ref="B21" ca="1">INDEX(Data_DBD!$B:$B,$A21)</f>
        <v>18</v>
      </c>
      <c r="C21" s="32" cm="1">
        <f t="array" aca="1" ref="C21" ca="1">INDEX(Data_DBD!$C:$C,$A21)</f>
        <v>5</v>
      </c>
      <c r="D21" s="32" cm="1">
        <f t="array" aca="1" ref="D21" ca="1">INDEX(Data_DBD!$D:$D,$A21)</f>
        <v>12</v>
      </c>
      <c r="E21" s="32" cm="1">
        <f t="array" aca="1" ref="E21" ca="1">INDEX(Data_DBD!$E:$E,$A21)</f>
        <v>0</v>
      </c>
      <c r="F21" s="32" cm="1">
        <f t="array" aca="1" ref="F21" ca="1">INDEX(Data_DBD!$F:$F,$A21)</f>
        <v>2</v>
      </c>
      <c r="H21" s="32">
        <v>85</v>
      </c>
      <c r="I21" s="32">
        <v>27</v>
      </c>
      <c r="J21" s="32">
        <v>9</v>
      </c>
      <c r="K21" s="32">
        <v>13</v>
      </c>
      <c r="L21" s="32">
        <v>0</v>
      </c>
      <c r="M21" s="32">
        <v>2</v>
      </c>
    </row>
    <row r="22" spans="1:13">
      <c r="A22" s="32">
        <f t="shared" ca="1" si="0"/>
        <v>53</v>
      </c>
      <c r="B22" s="32" cm="1">
        <f t="array" aca="1" ref="B22" ca="1">INDEX(Data_DBD!$B:$B,$A22)</f>
        <v>35</v>
      </c>
      <c r="C22" s="32" cm="1">
        <f t="array" aca="1" ref="C22" ca="1">INDEX(Data_DBD!$C:$C,$A22)</f>
        <v>4</v>
      </c>
      <c r="D22" s="32" cm="1">
        <f t="array" aca="1" ref="D22" ca="1">INDEX(Data_DBD!$D:$D,$A22)</f>
        <v>15</v>
      </c>
      <c r="E22" s="32" cm="1">
        <f t="array" aca="1" ref="E22" ca="1">INDEX(Data_DBD!$E:$E,$A22)</f>
        <v>1</v>
      </c>
      <c r="F22" s="32" cm="1">
        <f t="array" aca="1" ref="F22" ca="1">INDEX(Data_DBD!$F:$F,$A22)</f>
        <v>2</v>
      </c>
      <c r="H22" s="32">
        <v>14</v>
      </c>
      <c r="I22" s="32">
        <v>49</v>
      </c>
      <c r="J22" s="32">
        <v>4</v>
      </c>
      <c r="K22" s="32">
        <v>7</v>
      </c>
      <c r="L22" s="32">
        <v>1</v>
      </c>
      <c r="M22" s="32">
        <v>1</v>
      </c>
    </row>
    <row r="23" spans="1:13">
      <c r="A23" s="32">
        <f t="shared" ca="1" si="0"/>
        <v>41</v>
      </c>
      <c r="B23" s="32" cm="1">
        <f t="array" aca="1" ref="B23" ca="1">INDEX(Data_DBD!$B:$B,$A23)</f>
        <v>8</v>
      </c>
      <c r="C23" s="32" cm="1">
        <f t="array" aca="1" ref="C23" ca="1">INDEX(Data_DBD!$C:$C,$A23)</f>
        <v>4</v>
      </c>
      <c r="D23" s="32" cm="1">
        <f t="array" aca="1" ref="D23" ca="1">INDEX(Data_DBD!$D:$D,$A23)</f>
        <v>13</v>
      </c>
      <c r="E23" s="32" cm="1">
        <f t="array" aca="1" ref="E23" ca="1">INDEX(Data_DBD!$E:$E,$A23)</f>
        <v>0</v>
      </c>
      <c r="F23" s="32" cm="1">
        <f t="array" aca="1" ref="F23" ca="1">INDEX(Data_DBD!$F:$F,$A23)</f>
        <v>2</v>
      </c>
      <c r="H23" s="32">
        <v>33</v>
      </c>
      <c r="I23" s="32">
        <v>19</v>
      </c>
      <c r="J23" s="32">
        <v>4</v>
      </c>
      <c r="K23" s="32">
        <v>14</v>
      </c>
      <c r="L23" s="32">
        <v>1</v>
      </c>
      <c r="M23" s="32">
        <v>2</v>
      </c>
    </row>
    <row r="24" spans="1:13">
      <c r="A24" s="32">
        <f t="shared" ca="1" si="0"/>
        <v>57</v>
      </c>
      <c r="B24" s="32" cm="1">
        <f t="array" aca="1" ref="B24" ca="1">INDEX(Data_DBD!$B:$B,$A24)</f>
        <v>2</v>
      </c>
      <c r="C24" s="32" cm="1">
        <f t="array" aca="1" ref="C24" ca="1">INDEX(Data_DBD!$C:$C,$A24)</f>
        <v>2</v>
      </c>
      <c r="D24" s="32" cm="1">
        <f t="array" aca="1" ref="D24" ca="1">INDEX(Data_DBD!$D:$D,$A24)</f>
        <v>15</v>
      </c>
      <c r="E24" s="32" cm="1">
        <f t="array" aca="1" ref="E24" ca="1">INDEX(Data_DBD!$E:$E,$A24)</f>
        <v>1</v>
      </c>
      <c r="F24" s="32" cm="1">
        <f t="array" aca="1" ref="F24" ca="1">INDEX(Data_DBD!$F:$F,$A24)</f>
        <v>2</v>
      </c>
      <c r="H24" s="32">
        <v>6</v>
      </c>
      <c r="I24" s="32">
        <v>14</v>
      </c>
      <c r="J24" s="32">
        <v>4</v>
      </c>
      <c r="K24" s="32">
        <v>12</v>
      </c>
      <c r="L24" s="32">
        <v>0</v>
      </c>
      <c r="M24" s="32">
        <v>2</v>
      </c>
    </row>
    <row r="25" spans="1:13">
      <c r="A25" s="32">
        <f t="shared" ca="1" si="0"/>
        <v>25</v>
      </c>
      <c r="B25" s="32" cm="1">
        <f t="array" aca="1" ref="B25" ca="1">INDEX(Data_DBD!$B:$B,$A25)</f>
        <v>81</v>
      </c>
      <c r="C25" s="32" cm="1">
        <f t="array" aca="1" ref="C25" ca="1">INDEX(Data_DBD!$C:$C,$A25)</f>
        <v>5</v>
      </c>
      <c r="D25" s="32" cm="1">
        <f t="array" aca="1" ref="D25" ca="1">INDEX(Data_DBD!$D:$D,$A25)</f>
        <v>14</v>
      </c>
      <c r="E25" s="32" cm="1">
        <f t="array" aca="1" ref="E25" ca="1">INDEX(Data_DBD!$E:$E,$A25)</f>
        <v>0</v>
      </c>
      <c r="F25" s="32" cm="1">
        <f t="array" aca="1" ref="F25" ca="1">INDEX(Data_DBD!$F:$F,$A25)</f>
        <v>2</v>
      </c>
      <c r="H25" s="32">
        <v>4</v>
      </c>
      <c r="I25" s="32">
        <v>23</v>
      </c>
      <c r="J25" s="32">
        <v>5</v>
      </c>
      <c r="K25" s="32">
        <v>12</v>
      </c>
      <c r="L25" s="32">
        <v>0</v>
      </c>
      <c r="M25" s="32">
        <v>2</v>
      </c>
    </row>
    <row r="26" spans="1:13">
      <c r="A26" s="32">
        <f t="shared" ca="1" si="0"/>
        <v>34</v>
      </c>
      <c r="B26" s="32" cm="1">
        <f t="array" aca="1" ref="B26" ca="1">INDEX(Data_DBD!$B:$B,$A26)</f>
        <v>55</v>
      </c>
      <c r="C26" s="32" cm="1">
        <f t="array" aca="1" ref="C26" ca="1">INDEX(Data_DBD!$C:$C,$A26)</f>
        <v>3</v>
      </c>
      <c r="D26" s="32" cm="1">
        <f t="array" aca="1" ref="D26" ca="1">INDEX(Data_DBD!$D:$D,$A26)</f>
        <v>14</v>
      </c>
      <c r="E26" s="32" cm="1">
        <f t="array" aca="1" ref="E26" ca="1">INDEX(Data_DBD!$E:$E,$A26)</f>
        <v>0</v>
      </c>
      <c r="F26" s="32" cm="1">
        <f t="array" aca="1" ref="F26" ca="1">INDEX(Data_DBD!$F:$F,$A26)</f>
        <v>2</v>
      </c>
      <c r="H26" s="32">
        <v>71</v>
      </c>
      <c r="I26" s="32">
        <v>84</v>
      </c>
      <c r="J26" s="32">
        <v>3</v>
      </c>
      <c r="K26" s="32">
        <v>10</v>
      </c>
      <c r="L26" s="32">
        <v>0</v>
      </c>
      <c r="M26" s="32">
        <v>2</v>
      </c>
    </row>
    <row r="27" spans="1:13">
      <c r="A27" s="32">
        <f t="shared" ca="1" si="0"/>
        <v>140</v>
      </c>
      <c r="B27" s="32" cm="1">
        <f t="array" aca="1" ref="B27" ca="1">INDEX(Data_DBD!$B:$B,$A27)</f>
        <v>74</v>
      </c>
      <c r="C27" s="32" cm="1">
        <f t="array" aca="1" ref="C27" ca="1">INDEX(Data_DBD!$C:$C,$A27)</f>
        <v>5</v>
      </c>
      <c r="D27" s="32" cm="1">
        <f t="array" aca="1" ref="D27" ca="1">INDEX(Data_DBD!$D:$D,$A27)</f>
        <v>21</v>
      </c>
      <c r="E27" s="32" cm="1">
        <f t="array" aca="1" ref="E27" ca="1">INDEX(Data_DBD!$E:$E,$A27)</f>
        <v>1</v>
      </c>
      <c r="F27" s="32" cm="1">
        <f t="array" aca="1" ref="F27" ca="1">INDEX(Data_DBD!$F:$F,$A27)</f>
        <v>3</v>
      </c>
      <c r="H27" s="32">
        <v>106</v>
      </c>
      <c r="I27" s="32">
        <v>23</v>
      </c>
      <c r="J27" s="32">
        <v>3</v>
      </c>
      <c r="K27" s="32">
        <v>18</v>
      </c>
      <c r="L27" s="32">
        <v>1</v>
      </c>
      <c r="M27" s="32">
        <v>3</v>
      </c>
    </row>
    <row r="28" spans="1:13">
      <c r="A28" s="32">
        <f t="shared" ca="1" si="0"/>
        <v>45</v>
      </c>
      <c r="B28" s="32" cm="1">
        <f t="array" aca="1" ref="B28" ca="1">INDEX(Data_DBD!$B:$B,$A28)</f>
        <v>75</v>
      </c>
      <c r="C28" s="32" cm="1">
        <f t="array" aca="1" ref="C28" ca="1">INDEX(Data_DBD!$C:$C,$A28)</f>
        <v>3</v>
      </c>
      <c r="D28" s="32" cm="1">
        <f t="array" aca="1" ref="D28" ca="1">INDEX(Data_DBD!$D:$D,$A28)</f>
        <v>13</v>
      </c>
      <c r="E28" s="32" cm="1">
        <f t="array" aca="1" ref="E28" ca="1">INDEX(Data_DBD!$E:$E,$A28)</f>
        <v>1</v>
      </c>
      <c r="F28" s="32" cm="1">
        <f t="array" aca="1" ref="F28" ca="1">INDEX(Data_DBD!$F:$F,$A28)</f>
        <v>2</v>
      </c>
      <c r="H28" s="32">
        <v>50</v>
      </c>
      <c r="I28" s="32">
        <v>19</v>
      </c>
      <c r="J28" s="32">
        <v>5</v>
      </c>
      <c r="K28" s="32">
        <v>13</v>
      </c>
      <c r="L28" s="32">
        <v>0</v>
      </c>
      <c r="M28" s="32">
        <v>2</v>
      </c>
    </row>
    <row r="29" spans="1:13">
      <c r="A29" s="32">
        <f t="shared" ca="1" si="0"/>
        <v>161</v>
      </c>
      <c r="B29" s="32" cm="1">
        <f t="array" aca="1" ref="B29" ca="1">INDEX(Data_DBD!$B:$B,$A29)</f>
        <v>12</v>
      </c>
      <c r="C29" s="32" cm="1">
        <f t="array" aca="1" ref="C29" ca="1">INDEX(Data_DBD!$C:$C,$A29)</f>
        <v>3</v>
      </c>
      <c r="D29" s="32" cm="1">
        <f t="array" aca="1" ref="D29" ca="1">INDEX(Data_DBD!$D:$D,$A29)</f>
        <v>21</v>
      </c>
      <c r="E29" s="32" cm="1">
        <f t="array" aca="1" ref="E29" ca="1">INDEX(Data_DBD!$E:$E,$A29)</f>
        <v>1</v>
      </c>
      <c r="F29" s="32" cm="1">
        <f t="array" aca="1" ref="F29" ca="1">INDEX(Data_DBD!$F:$F,$A29)</f>
        <v>3</v>
      </c>
      <c r="H29" s="32">
        <v>163</v>
      </c>
      <c r="I29" s="32">
        <v>34</v>
      </c>
      <c r="J29" s="32">
        <v>4</v>
      </c>
      <c r="K29" s="32">
        <v>3</v>
      </c>
      <c r="L29" s="32">
        <v>1</v>
      </c>
      <c r="M29" s="32">
        <v>1</v>
      </c>
    </row>
    <row r="30" spans="1:13">
      <c r="A30" s="32">
        <f t="shared" ca="1" si="0"/>
        <v>118</v>
      </c>
      <c r="B30" s="32" cm="1">
        <f t="array" aca="1" ref="B30" ca="1">INDEX(Data_DBD!$B:$B,$A30)</f>
        <v>67</v>
      </c>
      <c r="C30" s="32" cm="1">
        <f t="array" aca="1" ref="C30" ca="1">INDEX(Data_DBD!$C:$C,$A30)</f>
        <v>4</v>
      </c>
      <c r="D30" s="32" cm="1">
        <f t="array" aca="1" ref="D30" ca="1">INDEX(Data_DBD!$D:$D,$A30)</f>
        <v>33</v>
      </c>
      <c r="E30" s="32" cm="1">
        <f t="array" aca="1" ref="E30" ca="1">INDEX(Data_DBD!$E:$E,$A30)</f>
        <v>1</v>
      </c>
      <c r="F30" s="32" cm="1">
        <f t="array" aca="1" ref="F30" ca="1">INDEX(Data_DBD!$F:$F,$A30)</f>
        <v>3</v>
      </c>
      <c r="H30" s="32">
        <v>19</v>
      </c>
      <c r="I30" s="32">
        <v>8</v>
      </c>
      <c r="J30" s="32">
        <v>4</v>
      </c>
      <c r="K30" s="32">
        <v>7</v>
      </c>
      <c r="L30" s="32">
        <v>0</v>
      </c>
      <c r="M30" s="32">
        <v>1</v>
      </c>
    </row>
    <row r="31" spans="1:13">
      <c r="A31" s="32">
        <f t="shared" ca="1" si="0"/>
        <v>120</v>
      </c>
      <c r="B31" s="32" cm="1">
        <f t="array" aca="1" ref="B31" ca="1">INDEX(Data_DBD!$B:$B,$A31)</f>
        <v>26</v>
      </c>
      <c r="C31" s="32" cm="1">
        <f t="array" aca="1" ref="C31" ca="1">INDEX(Data_DBD!$C:$C,$A31)</f>
        <v>4</v>
      </c>
      <c r="D31" s="32" cm="1">
        <f t="array" aca="1" ref="D31" ca="1">INDEX(Data_DBD!$D:$D,$A31)</f>
        <v>33</v>
      </c>
      <c r="E31" s="32" cm="1">
        <f t="array" aca="1" ref="E31" ca="1">INDEX(Data_DBD!$E:$E,$A31)</f>
        <v>1</v>
      </c>
      <c r="F31" s="32" cm="1">
        <f t="array" aca="1" ref="F31" ca="1">INDEX(Data_DBD!$F:$F,$A31)</f>
        <v>3</v>
      </c>
      <c r="H31" s="32">
        <v>4</v>
      </c>
      <c r="I31" s="32">
        <v>23</v>
      </c>
      <c r="J31" s="32">
        <v>5</v>
      </c>
      <c r="K31" s="32">
        <v>12</v>
      </c>
      <c r="L31" s="32">
        <v>0</v>
      </c>
      <c r="M31" s="32">
        <v>2</v>
      </c>
    </row>
    <row r="32" spans="1:13">
      <c r="A32" s="32">
        <f t="shared" ca="1" si="0"/>
        <v>141</v>
      </c>
      <c r="B32" s="32" cm="1">
        <f t="array" aca="1" ref="B32" ca="1">INDEX(Data_DBD!$B:$B,$A32)</f>
        <v>36</v>
      </c>
      <c r="C32" s="32" cm="1">
        <f t="array" aca="1" ref="C32" ca="1">INDEX(Data_DBD!$C:$C,$A32)</f>
        <v>2</v>
      </c>
      <c r="D32" s="32" cm="1">
        <f t="array" aca="1" ref="D32" ca="1">INDEX(Data_DBD!$D:$D,$A32)</f>
        <v>21</v>
      </c>
      <c r="E32" s="32" cm="1">
        <f t="array" aca="1" ref="E32" ca="1">INDEX(Data_DBD!$E:$E,$A32)</f>
        <v>0</v>
      </c>
      <c r="F32" s="32" cm="1">
        <f t="array" aca="1" ref="F32" ca="1">INDEX(Data_DBD!$F:$F,$A32)</f>
        <v>3</v>
      </c>
      <c r="H32" s="32">
        <v>124</v>
      </c>
      <c r="I32" s="32">
        <v>24</v>
      </c>
      <c r="J32" s="32">
        <v>3</v>
      </c>
      <c r="K32" s="32">
        <v>33</v>
      </c>
      <c r="L32" s="32">
        <v>1</v>
      </c>
      <c r="M32" s="32">
        <v>3</v>
      </c>
    </row>
    <row r="33" spans="1:13">
      <c r="A33" s="32">
        <f t="shared" ca="1" si="0"/>
        <v>109</v>
      </c>
      <c r="B33" s="32" cm="1">
        <f t="array" aca="1" ref="B33" ca="1">INDEX(Data_DBD!$B:$B,$A33)</f>
        <v>40</v>
      </c>
      <c r="C33" s="32" cm="1">
        <f t="array" aca="1" ref="C33" ca="1">INDEX(Data_DBD!$C:$C,$A33)</f>
        <v>3</v>
      </c>
      <c r="D33" s="32" cm="1">
        <f t="array" aca="1" ref="D33" ca="1">INDEX(Data_DBD!$D:$D,$A33)</f>
        <v>33</v>
      </c>
      <c r="E33" s="32" cm="1">
        <f t="array" aca="1" ref="E33" ca="1">INDEX(Data_DBD!$E:$E,$A33)</f>
        <v>1</v>
      </c>
      <c r="F33" s="32" cm="1">
        <f t="array" aca="1" ref="F33" ca="1">INDEX(Data_DBD!$F:$F,$A33)</f>
        <v>3</v>
      </c>
      <c r="H33" s="32">
        <v>88</v>
      </c>
      <c r="I33" s="32">
        <v>20</v>
      </c>
      <c r="J33" s="32">
        <v>4</v>
      </c>
      <c r="K33" s="32">
        <v>13</v>
      </c>
      <c r="L33" s="32">
        <v>1</v>
      </c>
      <c r="M33" s="32">
        <v>2</v>
      </c>
    </row>
    <row r="34" spans="1:13">
      <c r="A34" s="32">
        <f t="shared" ca="1" si="0"/>
        <v>161</v>
      </c>
      <c r="B34" s="32" cm="1">
        <f t="array" aca="1" ref="B34" ca="1">INDEX(Data_DBD!$B:$B,$A34)</f>
        <v>12</v>
      </c>
      <c r="C34" s="32" cm="1">
        <f t="array" aca="1" ref="C34" ca="1">INDEX(Data_DBD!$C:$C,$A34)</f>
        <v>3</v>
      </c>
      <c r="D34" s="32" cm="1">
        <f t="array" aca="1" ref="D34" ca="1">INDEX(Data_DBD!$D:$D,$A34)</f>
        <v>21</v>
      </c>
      <c r="E34" s="32" cm="1">
        <f t="array" aca="1" ref="E34" ca="1">INDEX(Data_DBD!$E:$E,$A34)</f>
        <v>1</v>
      </c>
      <c r="F34" s="32" cm="1">
        <f t="array" aca="1" ref="F34" ca="1">INDEX(Data_DBD!$F:$F,$A34)</f>
        <v>3</v>
      </c>
      <c r="H34" s="32">
        <v>44</v>
      </c>
      <c r="I34" s="32">
        <v>28</v>
      </c>
      <c r="J34" s="32">
        <v>5</v>
      </c>
      <c r="K34" s="32">
        <v>13</v>
      </c>
      <c r="L34" s="32">
        <v>1</v>
      </c>
      <c r="M34" s="32">
        <v>2</v>
      </c>
    </row>
    <row r="35" spans="1:13">
      <c r="A35" s="32">
        <f t="shared" ca="1" si="0"/>
        <v>122</v>
      </c>
      <c r="B35" s="32" cm="1">
        <f t="array" aca="1" ref="B35" ca="1">INDEX(Data_DBD!$B:$B,$A35)</f>
        <v>28</v>
      </c>
      <c r="C35" s="32" cm="1">
        <f t="array" aca="1" ref="C35" ca="1">INDEX(Data_DBD!$C:$C,$A35)</f>
        <v>3</v>
      </c>
      <c r="D35" s="32" cm="1">
        <f t="array" aca="1" ref="D35" ca="1">INDEX(Data_DBD!$D:$D,$A35)</f>
        <v>33</v>
      </c>
      <c r="E35" s="32" cm="1">
        <f t="array" aca="1" ref="E35" ca="1">INDEX(Data_DBD!$E:$E,$A35)</f>
        <v>1</v>
      </c>
      <c r="F35" s="32" cm="1">
        <f t="array" aca="1" ref="F35" ca="1">INDEX(Data_DBD!$F:$F,$A35)</f>
        <v>3</v>
      </c>
      <c r="H35" s="32">
        <v>153</v>
      </c>
      <c r="I35" s="32">
        <v>73</v>
      </c>
      <c r="J35" s="32">
        <v>7</v>
      </c>
      <c r="K35" s="32">
        <v>21</v>
      </c>
      <c r="L35" s="32">
        <v>1</v>
      </c>
      <c r="M35" s="32">
        <v>3</v>
      </c>
    </row>
    <row r="36" spans="1:13">
      <c r="A36" s="32">
        <f t="shared" ca="1" si="0"/>
        <v>21</v>
      </c>
      <c r="B36" s="32" cm="1">
        <f t="array" aca="1" ref="B36" ca="1">INDEX(Data_DBD!$B:$B,$A36)</f>
        <v>10</v>
      </c>
      <c r="C36" s="32" cm="1">
        <f t="array" aca="1" ref="C36" ca="1">INDEX(Data_DBD!$C:$C,$A36)</f>
        <v>5</v>
      </c>
      <c r="D36" s="32" cm="1">
        <f t="array" aca="1" ref="D36" ca="1">INDEX(Data_DBD!$D:$D,$A36)</f>
        <v>14</v>
      </c>
      <c r="E36" s="32" cm="1">
        <f t="array" aca="1" ref="E36" ca="1">INDEX(Data_DBD!$E:$E,$A36)</f>
        <v>1</v>
      </c>
      <c r="F36" s="32" cm="1">
        <f t="array" aca="1" ref="F36" ca="1">INDEX(Data_DBD!$F:$F,$A36)</f>
        <v>2</v>
      </c>
      <c r="H36" s="32">
        <v>142</v>
      </c>
      <c r="I36" s="32">
        <v>39</v>
      </c>
      <c r="J36" s="32">
        <v>2</v>
      </c>
      <c r="K36" s="32">
        <v>21</v>
      </c>
      <c r="L36" s="32">
        <v>1</v>
      </c>
      <c r="M36" s="32">
        <v>3</v>
      </c>
    </row>
    <row r="37" spans="1:13">
      <c r="A37" s="32">
        <f t="shared" ca="1" si="0"/>
        <v>64</v>
      </c>
      <c r="B37" s="32" cm="1">
        <f t="array" aca="1" ref="B37" ca="1">INDEX(Data_DBD!$B:$B,$A37)</f>
        <v>35</v>
      </c>
      <c r="C37" s="32" cm="1">
        <f t="array" aca="1" ref="C37" ca="1">INDEX(Data_DBD!$C:$C,$A37)</f>
        <v>1</v>
      </c>
      <c r="D37" s="32" cm="1">
        <f t="array" aca="1" ref="D37" ca="1">INDEX(Data_DBD!$D:$D,$A37)</f>
        <v>15</v>
      </c>
      <c r="E37" s="32" cm="1">
        <f t="array" aca="1" ref="E37" ca="1">INDEX(Data_DBD!$E:$E,$A37)</f>
        <v>0</v>
      </c>
      <c r="F37" s="32" cm="1">
        <f t="array" aca="1" ref="F37" ca="1">INDEX(Data_DBD!$F:$F,$A37)</f>
        <v>2</v>
      </c>
      <c r="H37" s="32">
        <v>50</v>
      </c>
      <c r="I37" s="32">
        <v>19</v>
      </c>
      <c r="J37" s="32">
        <v>5</v>
      </c>
      <c r="K37" s="32">
        <v>13</v>
      </c>
      <c r="L37" s="32">
        <v>0</v>
      </c>
      <c r="M37" s="32">
        <v>2</v>
      </c>
    </row>
    <row r="38" spans="1:13">
      <c r="A38" s="32">
        <f t="shared" ca="1" si="0"/>
        <v>139</v>
      </c>
      <c r="B38" s="32" cm="1">
        <f t="array" aca="1" ref="B38" ca="1">INDEX(Data_DBD!$B:$B,$A38)</f>
        <v>52</v>
      </c>
      <c r="C38" s="32" cm="1">
        <f t="array" aca="1" ref="C38" ca="1">INDEX(Data_DBD!$C:$C,$A38)</f>
        <v>7</v>
      </c>
      <c r="D38" s="32" cm="1">
        <f t="array" aca="1" ref="D38" ca="1">INDEX(Data_DBD!$D:$D,$A38)</f>
        <v>21</v>
      </c>
      <c r="E38" s="32" cm="1">
        <f t="array" aca="1" ref="E38" ca="1">INDEX(Data_DBD!$E:$E,$A38)</f>
        <v>0</v>
      </c>
      <c r="F38" s="32" cm="1">
        <f t="array" aca="1" ref="F38" ca="1">INDEX(Data_DBD!$F:$F,$A38)</f>
        <v>3</v>
      </c>
      <c r="H38" s="32">
        <v>82</v>
      </c>
      <c r="I38" s="32">
        <v>28</v>
      </c>
      <c r="J38" s="32">
        <v>3</v>
      </c>
      <c r="K38" s="32">
        <v>13</v>
      </c>
      <c r="L38" s="32">
        <v>1</v>
      </c>
      <c r="M38" s="32">
        <v>2</v>
      </c>
    </row>
    <row r="39" spans="1:13">
      <c r="A39" s="32">
        <f t="shared" ca="1" si="0"/>
        <v>123</v>
      </c>
      <c r="B39" s="32" cm="1">
        <f t="array" aca="1" ref="B39" ca="1">INDEX(Data_DBD!$B:$B,$A39)</f>
        <v>22</v>
      </c>
      <c r="C39" s="32" cm="1">
        <f t="array" aca="1" ref="C39" ca="1">INDEX(Data_DBD!$C:$C,$A39)</f>
        <v>4</v>
      </c>
      <c r="D39" s="32" cm="1">
        <f t="array" aca="1" ref="D39" ca="1">INDEX(Data_DBD!$D:$D,$A39)</f>
        <v>33</v>
      </c>
      <c r="E39" s="32" cm="1">
        <f t="array" aca="1" ref="E39" ca="1">INDEX(Data_DBD!$E:$E,$A39)</f>
        <v>0</v>
      </c>
      <c r="F39" s="32" cm="1">
        <f t="array" aca="1" ref="F39" ca="1">INDEX(Data_DBD!$F:$F,$A39)</f>
        <v>3</v>
      </c>
      <c r="H39" s="32">
        <v>109</v>
      </c>
      <c r="I39" s="32">
        <v>40</v>
      </c>
      <c r="J39" s="32">
        <v>3</v>
      </c>
      <c r="K39" s="32">
        <v>33</v>
      </c>
      <c r="L39" s="32">
        <v>1</v>
      </c>
      <c r="M39" s="32">
        <v>3</v>
      </c>
    </row>
    <row r="40" spans="1:13">
      <c r="A40" s="32">
        <f t="shared" ca="1" si="0"/>
        <v>15</v>
      </c>
      <c r="B40" s="32" cm="1">
        <f t="array" aca="1" ref="B40" ca="1">INDEX(Data_DBD!$B:$B,$A40)</f>
        <v>21</v>
      </c>
      <c r="C40" s="32" cm="1">
        <f t="array" aca="1" ref="C40" ca="1">INDEX(Data_DBD!$C:$C,$A40)</f>
        <v>2</v>
      </c>
      <c r="D40" s="32" cm="1">
        <f t="array" aca="1" ref="D40" ca="1">INDEX(Data_DBD!$D:$D,$A40)</f>
        <v>7</v>
      </c>
      <c r="E40" s="32" cm="1">
        <f t="array" aca="1" ref="E40" ca="1">INDEX(Data_DBD!$E:$E,$A40)</f>
        <v>0</v>
      </c>
      <c r="F40" s="32" cm="1">
        <f t="array" aca="1" ref="F40" ca="1">INDEX(Data_DBD!$F:$F,$A40)</f>
        <v>1</v>
      </c>
      <c r="H40" s="32">
        <v>4</v>
      </c>
      <c r="I40" s="32">
        <v>23</v>
      </c>
      <c r="J40" s="32">
        <v>5</v>
      </c>
      <c r="K40" s="32">
        <v>12</v>
      </c>
      <c r="L40" s="32">
        <v>0</v>
      </c>
      <c r="M40" s="32">
        <v>2</v>
      </c>
    </row>
    <row r="41" spans="1:13">
      <c r="A41" s="32">
        <f t="shared" ca="1" si="0"/>
        <v>82</v>
      </c>
      <c r="B41" s="32" cm="1">
        <f t="array" aca="1" ref="B41" ca="1">INDEX(Data_DBD!$B:$B,$A41)</f>
        <v>28</v>
      </c>
      <c r="C41" s="32" cm="1">
        <f t="array" aca="1" ref="C41" ca="1">INDEX(Data_DBD!$C:$C,$A41)</f>
        <v>3</v>
      </c>
      <c r="D41" s="32" cm="1">
        <f t="array" aca="1" ref="D41" ca="1">INDEX(Data_DBD!$D:$D,$A41)</f>
        <v>13</v>
      </c>
      <c r="E41" s="32" cm="1">
        <f t="array" aca="1" ref="E41" ca="1">INDEX(Data_DBD!$E:$E,$A41)</f>
        <v>1</v>
      </c>
      <c r="F41" s="32" cm="1">
        <f t="array" aca="1" ref="F41" ca="1">INDEX(Data_DBD!$F:$F,$A41)</f>
        <v>2</v>
      </c>
      <c r="H41" s="32">
        <v>141</v>
      </c>
      <c r="I41" s="32">
        <v>36</v>
      </c>
      <c r="J41" s="32">
        <v>2</v>
      </c>
      <c r="K41" s="32">
        <v>21</v>
      </c>
      <c r="L41" s="32">
        <v>0</v>
      </c>
      <c r="M41" s="32">
        <v>3</v>
      </c>
    </row>
    <row r="42" spans="1:13">
      <c r="A42" s="32">
        <f t="shared" ca="1" si="0"/>
        <v>113</v>
      </c>
      <c r="B42" s="32" cm="1">
        <f t="array" aca="1" ref="B42" ca="1">INDEX(Data_DBD!$B:$B,$A42)</f>
        <v>69</v>
      </c>
      <c r="C42" s="32" cm="1">
        <f t="array" aca="1" ref="C42" ca="1">INDEX(Data_DBD!$C:$C,$A42)</f>
        <v>1</v>
      </c>
      <c r="D42" s="32" cm="1">
        <f t="array" aca="1" ref="D42" ca="1">INDEX(Data_DBD!$D:$D,$A42)</f>
        <v>33</v>
      </c>
      <c r="E42" s="32" cm="1">
        <f t="array" aca="1" ref="E42" ca="1">INDEX(Data_DBD!$E:$E,$A42)</f>
        <v>1</v>
      </c>
      <c r="F42" s="32" cm="1">
        <f t="array" aca="1" ref="F42" ca="1">INDEX(Data_DBD!$F:$F,$A42)</f>
        <v>3</v>
      </c>
      <c r="H42" s="32">
        <v>14</v>
      </c>
      <c r="I42" s="32">
        <v>49</v>
      </c>
      <c r="J42" s="32">
        <v>4</v>
      </c>
      <c r="K42" s="32">
        <v>7</v>
      </c>
      <c r="L42" s="32">
        <v>1</v>
      </c>
      <c r="M42" s="32">
        <v>1</v>
      </c>
    </row>
    <row r="43" spans="1:13">
      <c r="A43" s="32">
        <f t="shared" ca="1" si="0"/>
        <v>73</v>
      </c>
      <c r="B43" s="32" cm="1">
        <f t="array" aca="1" ref="B43" ca="1">INDEX(Data_DBD!$B:$B,$A43)</f>
        <v>15</v>
      </c>
      <c r="C43" s="32" cm="1">
        <f t="array" aca="1" ref="C43" ca="1">INDEX(Data_DBD!$C:$C,$A43)</f>
        <v>3</v>
      </c>
      <c r="D43" s="32" cm="1">
        <f t="array" aca="1" ref="D43" ca="1">INDEX(Data_DBD!$D:$D,$A43)</f>
        <v>10</v>
      </c>
      <c r="E43" s="32" cm="1">
        <f t="array" aca="1" ref="E43" ca="1">INDEX(Data_DBD!$E:$E,$A43)</f>
        <v>1</v>
      </c>
      <c r="F43" s="32" cm="1">
        <f t="array" aca="1" ref="F43" ca="1">INDEX(Data_DBD!$F:$F,$A43)</f>
        <v>2</v>
      </c>
      <c r="H43" s="32">
        <v>96</v>
      </c>
      <c r="I43" s="32">
        <v>56</v>
      </c>
      <c r="J43" s="32">
        <v>4</v>
      </c>
      <c r="K43" s="32">
        <v>18</v>
      </c>
      <c r="L43" s="32">
        <v>0</v>
      </c>
      <c r="M43" s="32">
        <v>3</v>
      </c>
    </row>
    <row r="44" spans="1:13">
      <c r="A44" s="32">
        <f t="shared" ca="1" si="0"/>
        <v>115</v>
      </c>
      <c r="B44" s="32" cm="1">
        <f t="array" aca="1" ref="B44" ca="1">INDEX(Data_DBD!$B:$B,$A44)</f>
        <v>52</v>
      </c>
      <c r="C44" s="32" cm="1">
        <f t="array" aca="1" ref="C44" ca="1">INDEX(Data_DBD!$C:$C,$A44)</f>
        <v>3</v>
      </c>
      <c r="D44" s="32" cm="1">
        <f t="array" aca="1" ref="D44" ca="1">INDEX(Data_DBD!$D:$D,$A44)</f>
        <v>33</v>
      </c>
      <c r="E44" s="32" cm="1">
        <f t="array" aca="1" ref="E44" ca="1">INDEX(Data_DBD!$E:$E,$A44)</f>
        <v>1</v>
      </c>
      <c r="F44" s="32" cm="1">
        <f t="array" aca="1" ref="F44" ca="1">INDEX(Data_DBD!$F:$F,$A44)</f>
        <v>3</v>
      </c>
      <c r="H44" s="32">
        <v>33</v>
      </c>
      <c r="I44" s="32">
        <v>19</v>
      </c>
      <c r="J44" s="32">
        <v>4</v>
      </c>
      <c r="K44" s="32">
        <v>14</v>
      </c>
      <c r="L44" s="32">
        <v>1</v>
      </c>
      <c r="M44" s="32">
        <v>2</v>
      </c>
    </row>
    <row r="45" spans="1:13">
      <c r="A45" s="32">
        <f t="shared" ca="1" si="0"/>
        <v>124</v>
      </c>
      <c r="B45" s="32" cm="1">
        <f t="array" aca="1" ref="B45" ca="1">INDEX(Data_DBD!$B:$B,$A45)</f>
        <v>24</v>
      </c>
      <c r="C45" s="32" cm="1">
        <f t="array" aca="1" ref="C45" ca="1">INDEX(Data_DBD!$C:$C,$A45)</f>
        <v>3</v>
      </c>
      <c r="D45" s="32" cm="1">
        <f t="array" aca="1" ref="D45" ca="1">INDEX(Data_DBD!$D:$D,$A45)</f>
        <v>33</v>
      </c>
      <c r="E45" s="32" cm="1">
        <f t="array" aca="1" ref="E45" ca="1">INDEX(Data_DBD!$E:$E,$A45)</f>
        <v>1</v>
      </c>
      <c r="F45" s="32" cm="1">
        <f t="array" aca="1" ref="F45" ca="1">INDEX(Data_DBD!$F:$F,$A45)</f>
        <v>3</v>
      </c>
      <c r="H45" s="32">
        <v>111</v>
      </c>
      <c r="I45" s="32">
        <v>25</v>
      </c>
      <c r="J45" s="32">
        <v>4</v>
      </c>
      <c r="K45" s="32">
        <v>33</v>
      </c>
      <c r="L45" s="32">
        <v>0</v>
      </c>
      <c r="M45" s="32">
        <v>3</v>
      </c>
    </row>
    <row r="46" spans="1:13">
      <c r="A46" s="32">
        <f t="shared" ca="1" si="0"/>
        <v>77</v>
      </c>
      <c r="B46" s="32" cm="1">
        <f t="array" aca="1" ref="B46" ca="1">INDEX(Data_DBD!$B:$B,$A46)</f>
        <v>16</v>
      </c>
      <c r="C46" s="32" cm="1">
        <f t="array" aca="1" ref="C46" ca="1">INDEX(Data_DBD!$C:$C,$A46)</f>
        <v>4</v>
      </c>
      <c r="D46" s="32" cm="1">
        <f t="array" aca="1" ref="D46" ca="1">INDEX(Data_DBD!$D:$D,$A46)</f>
        <v>13</v>
      </c>
      <c r="E46" s="32" cm="1">
        <f t="array" aca="1" ref="E46" ca="1">INDEX(Data_DBD!$E:$E,$A46)</f>
        <v>1</v>
      </c>
      <c r="F46" s="32" cm="1">
        <f t="array" aca="1" ref="F46" ca="1">INDEX(Data_DBD!$F:$F,$A46)</f>
        <v>2</v>
      </c>
      <c r="H46" s="32">
        <v>161</v>
      </c>
      <c r="I46" s="32">
        <v>12</v>
      </c>
      <c r="J46" s="32">
        <v>3</v>
      </c>
      <c r="K46" s="32">
        <v>21</v>
      </c>
      <c r="L46" s="32">
        <v>1</v>
      </c>
      <c r="M46" s="32">
        <v>3</v>
      </c>
    </row>
    <row r="47" spans="1:13">
      <c r="A47" s="32">
        <f t="shared" ca="1" si="0"/>
        <v>49</v>
      </c>
      <c r="B47" s="32" cm="1">
        <f t="array" aca="1" ref="B47" ca="1">INDEX(Data_DBD!$B:$B,$A47)</f>
        <v>64</v>
      </c>
      <c r="C47" s="32" cm="1">
        <f t="array" aca="1" ref="C47" ca="1">INDEX(Data_DBD!$C:$C,$A47)</f>
        <v>5</v>
      </c>
      <c r="D47" s="32" cm="1">
        <f t="array" aca="1" ref="D47" ca="1">INDEX(Data_DBD!$D:$D,$A47)</f>
        <v>13</v>
      </c>
      <c r="E47" s="32" cm="1">
        <f t="array" aca="1" ref="E47" ca="1">INDEX(Data_DBD!$E:$E,$A47)</f>
        <v>0</v>
      </c>
      <c r="F47" s="32" cm="1">
        <f t="array" aca="1" ref="F47" ca="1">INDEX(Data_DBD!$F:$F,$A47)</f>
        <v>2</v>
      </c>
      <c r="H47" s="32">
        <v>21</v>
      </c>
      <c r="I47" s="32">
        <v>10</v>
      </c>
      <c r="J47" s="32">
        <v>5</v>
      </c>
      <c r="K47" s="32">
        <v>14</v>
      </c>
      <c r="L47" s="32">
        <v>1</v>
      </c>
      <c r="M47" s="32">
        <v>2</v>
      </c>
    </row>
    <row r="48" spans="1:13">
      <c r="A48" s="32">
        <f t="shared" ca="1" si="0"/>
        <v>127</v>
      </c>
      <c r="B48" s="32" cm="1">
        <f t="array" aca="1" ref="B48" ca="1">INDEX(Data_DBD!$B:$B,$A48)</f>
        <v>21</v>
      </c>
      <c r="C48" s="32" cm="1">
        <f t="array" aca="1" ref="C48" ca="1">INDEX(Data_DBD!$C:$C,$A48)</f>
        <v>2</v>
      </c>
      <c r="D48" s="32" cm="1">
        <f t="array" aca="1" ref="D48" ca="1">INDEX(Data_DBD!$D:$D,$A48)</f>
        <v>33</v>
      </c>
      <c r="E48" s="32" cm="1">
        <f t="array" aca="1" ref="E48" ca="1">INDEX(Data_DBD!$E:$E,$A48)</f>
        <v>0</v>
      </c>
      <c r="F48" s="32" cm="1">
        <f t="array" aca="1" ref="F48" ca="1">INDEX(Data_DBD!$F:$F,$A48)</f>
        <v>3</v>
      </c>
      <c r="H48" s="32">
        <v>93</v>
      </c>
      <c r="I48" s="32">
        <v>65</v>
      </c>
      <c r="J48" s="32">
        <v>4</v>
      </c>
      <c r="K48" s="32">
        <v>18</v>
      </c>
      <c r="L48" s="32">
        <v>0</v>
      </c>
      <c r="M48" s="32">
        <v>3</v>
      </c>
    </row>
    <row r="49" spans="1:13">
      <c r="A49" s="32">
        <f t="shared" ca="1" si="0"/>
        <v>40</v>
      </c>
      <c r="B49" s="32" cm="1">
        <f t="array" aca="1" ref="B49" ca="1">INDEX(Data_DBD!$B:$B,$A49)</f>
        <v>65</v>
      </c>
      <c r="C49" s="32" cm="1">
        <f t="array" aca="1" ref="C49" ca="1">INDEX(Data_DBD!$C:$C,$A49)</f>
        <v>3</v>
      </c>
      <c r="D49" s="32" cm="1">
        <f t="array" aca="1" ref="D49" ca="1">INDEX(Data_DBD!$D:$D,$A49)</f>
        <v>13</v>
      </c>
      <c r="E49" s="32" cm="1">
        <f t="array" aca="1" ref="E49" ca="1">INDEX(Data_DBD!$E:$E,$A49)</f>
        <v>1</v>
      </c>
      <c r="F49" s="32" cm="1">
        <f t="array" aca="1" ref="F49" ca="1">INDEX(Data_DBD!$F:$F,$A49)</f>
        <v>2</v>
      </c>
      <c r="H49" s="32">
        <v>127</v>
      </c>
      <c r="I49" s="32">
        <v>21</v>
      </c>
      <c r="J49" s="32">
        <v>2</v>
      </c>
      <c r="K49" s="32">
        <v>33</v>
      </c>
      <c r="L49" s="32">
        <v>0</v>
      </c>
      <c r="M49" s="32">
        <v>3</v>
      </c>
    </row>
    <row r="50" spans="1:13">
      <c r="A50" s="32">
        <f t="shared" ca="1" si="0"/>
        <v>103</v>
      </c>
      <c r="B50" s="32" cm="1">
        <f t="array" aca="1" ref="B50" ca="1">INDEX(Data_DBD!$B:$B,$A50)</f>
        <v>22</v>
      </c>
      <c r="C50" s="32" cm="1">
        <f t="array" aca="1" ref="C50" ca="1">INDEX(Data_DBD!$C:$C,$A50)</f>
        <v>5</v>
      </c>
      <c r="D50" s="32" cm="1">
        <f t="array" aca="1" ref="D50" ca="1">INDEX(Data_DBD!$D:$D,$A50)</f>
        <v>18</v>
      </c>
      <c r="E50" s="32" cm="1">
        <f t="array" aca="1" ref="E50" ca="1">INDEX(Data_DBD!$E:$E,$A50)</f>
        <v>0</v>
      </c>
      <c r="F50" s="32" cm="1">
        <f t="array" aca="1" ref="F50" ca="1">INDEX(Data_DBD!$F:$F,$A50)</f>
        <v>3</v>
      </c>
      <c r="H50" s="32">
        <v>71</v>
      </c>
      <c r="I50" s="32">
        <v>84</v>
      </c>
      <c r="J50" s="32">
        <v>3</v>
      </c>
      <c r="K50" s="32">
        <v>10</v>
      </c>
      <c r="L50" s="32">
        <v>0</v>
      </c>
      <c r="M50" s="32">
        <v>2</v>
      </c>
    </row>
    <row r="51" spans="1:13">
      <c r="A51" s="32">
        <f t="shared" ca="1" si="0"/>
        <v>22</v>
      </c>
      <c r="B51" s="32" cm="1">
        <f t="array" aca="1" ref="B51" ca="1">INDEX(Data_DBD!$B:$B,$A51)</f>
        <v>6</v>
      </c>
      <c r="C51" s="32" cm="1">
        <f t="array" aca="1" ref="C51" ca="1">INDEX(Data_DBD!$C:$C,$A51)</f>
        <v>3</v>
      </c>
      <c r="D51" s="32" cm="1">
        <f t="array" aca="1" ref="D51" ca="1">INDEX(Data_DBD!$D:$D,$A51)</f>
        <v>14</v>
      </c>
      <c r="E51" s="32" cm="1">
        <f t="array" aca="1" ref="E51" ca="1">INDEX(Data_DBD!$E:$E,$A51)</f>
        <v>0</v>
      </c>
      <c r="F51" s="32" cm="1">
        <f t="array" aca="1" ref="F51" ca="1">INDEX(Data_DBD!$F:$F,$A51)</f>
        <v>2</v>
      </c>
      <c r="H51" s="32">
        <v>147</v>
      </c>
      <c r="I51" s="32">
        <v>66</v>
      </c>
      <c r="J51" s="32">
        <v>10</v>
      </c>
      <c r="K51" s="32">
        <v>21</v>
      </c>
      <c r="L51" s="32">
        <v>1</v>
      </c>
      <c r="M51" s="32">
        <v>3</v>
      </c>
    </row>
    <row r="52" spans="1:13">
      <c r="A52" s="32">
        <f t="shared" ca="1" si="0"/>
        <v>22</v>
      </c>
      <c r="B52" s="32" cm="1">
        <f t="array" aca="1" ref="B52" ca="1">INDEX(Data_DBD!$B:$B,$A52)</f>
        <v>6</v>
      </c>
      <c r="C52" s="32" cm="1">
        <f t="array" aca="1" ref="C52" ca="1">INDEX(Data_DBD!$C:$C,$A52)</f>
        <v>3</v>
      </c>
      <c r="D52" s="32" cm="1">
        <f t="array" aca="1" ref="D52" ca="1">INDEX(Data_DBD!$D:$D,$A52)</f>
        <v>14</v>
      </c>
      <c r="E52" s="32" cm="1">
        <f t="array" aca="1" ref="E52" ca="1">INDEX(Data_DBD!$E:$E,$A52)</f>
        <v>0</v>
      </c>
      <c r="F52" s="32" cm="1">
        <f t="array" aca="1" ref="F52" ca="1">INDEX(Data_DBD!$F:$F,$A52)</f>
        <v>2</v>
      </c>
      <c r="H52" s="32">
        <v>86</v>
      </c>
      <c r="I52" s="32">
        <v>23</v>
      </c>
      <c r="J52" s="32">
        <v>3</v>
      </c>
      <c r="K52" s="32">
        <v>13</v>
      </c>
      <c r="L52" s="32">
        <v>0</v>
      </c>
      <c r="M52" s="32">
        <v>2</v>
      </c>
    </row>
    <row r="53" spans="1:13">
      <c r="A53" s="32">
        <f t="shared" ca="1" si="0"/>
        <v>86</v>
      </c>
      <c r="B53" s="32" cm="1">
        <f t="array" aca="1" ref="B53" ca="1">INDEX(Data_DBD!$B:$B,$A53)</f>
        <v>23</v>
      </c>
      <c r="C53" s="32" cm="1">
        <f t="array" aca="1" ref="C53" ca="1">INDEX(Data_DBD!$C:$C,$A53)</f>
        <v>3</v>
      </c>
      <c r="D53" s="32" cm="1">
        <f t="array" aca="1" ref="D53" ca="1">INDEX(Data_DBD!$D:$D,$A53)</f>
        <v>13</v>
      </c>
      <c r="E53" s="32" cm="1">
        <f t="array" aca="1" ref="E53" ca="1">INDEX(Data_DBD!$E:$E,$A53)</f>
        <v>0</v>
      </c>
      <c r="F53" s="32" cm="1">
        <f t="array" aca="1" ref="F53" ca="1">INDEX(Data_DBD!$F:$F,$A53)</f>
        <v>2</v>
      </c>
      <c r="H53" s="32">
        <v>10</v>
      </c>
      <c r="I53" s="32">
        <v>18</v>
      </c>
      <c r="J53" s="32">
        <v>5</v>
      </c>
      <c r="K53" s="32">
        <v>12</v>
      </c>
      <c r="L53" s="32">
        <v>0</v>
      </c>
      <c r="M53" s="32">
        <v>2</v>
      </c>
    </row>
    <row r="54" spans="1:13">
      <c r="A54" s="32">
        <f t="shared" ca="1" si="0"/>
        <v>57</v>
      </c>
      <c r="B54" s="32" cm="1">
        <f t="array" aca="1" ref="B54" ca="1">INDEX(Data_DBD!$B:$B,$A54)</f>
        <v>2</v>
      </c>
      <c r="C54" s="32" cm="1">
        <f t="array" aca="1" ref="C54" ca="1">INDEX(Data_DBD!$C:$C,$A54)</f>
        <v>2</v>
      </c>
      <c r="D54" s="32" cm="1">
        <f t="array" aca="1" ref="D54" ca="1">INDEX(Data_DBD!$D:$D,$A54)</f>
        <v>15</v>
      </c>
      <c r="E54" s="32" cm="1">
        <f t="array" aca="1" ref="E54" ca="1">INDEX(Data_DBD!$E:$E,$A54)</f>
        <v>1</v>
      </c>
      <c r="F54" s="32" cm="1">
        <f t="array" aca="1" ref="F54" ca="1">INDEX(Data_DBD!$F:$F,$A54)</f>
        <v>2</v>
      </c>
      <c r="H54" s="32">
        <v>134</v>
      </c>
      <c r="I54" s="32">
        <v>4</v>
      </c>
      <c r="J54" s="32">
        <v>2</v>
      </c>
      <c r="K54" s="32">
        <v>33</v>
      </c>
      <c r="L54" s="32">
        <v>1</v>
      </c>
      <c r="M54" s="32">
        <v>3</v>
      </c>
    </row>
    <row r="55" spans="1:13">
      <c r="A55" s="32">
        <f t="shared" ca="1" si="0"/>
        <v>92</v>
      </c>
      <c r="B55" s="32" cm="1">
        <f t="array" aca="1" ref="B55" ca="1">INDEX(Data_DBD!$B:$B,$A55)</f>
        <v>55</v>
      </c>
      <c r="C55" s="32" cm="1">
        <f t="array" aca="1" ref="C55" ca="1">INDEX(Data_DBD!$C:$C,$A55)</f>
        <v>7</v>
      </c>
      <c r="D55" s="32" cm="1">
        <f t="array" aca="1" ref="D55" ca="1">INDEX(Data_DBD!$D:$D,$A55)</f>
        <v>18</v>
      </c>
      <c r="E55" s="32" cm="1">
        <f t="array" aca="1" ref="E55" ca="1">INDEX(Data_DBD!$E:$E,$A55)</f>
        <v>0</v>
      </c>
      <c r="F55" s="32" cm="1">
        <f t="array" aca="1" ref="F55" ca="1">INDEX(Data_DBD!$F:$F,$A55)</f>
        <v>3</v>
      </c>
      <c r="H55" s="32">
        <v>43</v>
      </c>
      <c r="I55" s="32">
        <v>15</v>
      </c>
      <c r="J55" s="32">
        <v>4</v>
      </c>
      <c r="K55" s="32">
        <v>13</v>
      </c>
      <c r="L55" s="32">
        <v>0</v>
      </c>
      <c r="M55" s="32">
        <v>2</v>
      </c>
    </row>
    <row r="56" spans="1:13">
      <c r="A56" s="32">
        <f t="shared" ca="1" si="0"/>
        <v>6</v>
      </c>
      <c r="B56" s="32" cm="1">
        <f t="array" aca="1" ref="B56" ca="1">INDEX(Data_DBD!$B:$B,$A56)</f>
        <v>14</v>
      </c>
      <c r="C56" s="32" cm="1">
        <f t="array" aca="1" ref="C56" ca="1">INDEX(Data_DBD!$C:$C,$A56)</f>
        <v>4</v>
      </c>
      <c r="D56" s="32" cm="1">
        <f t="array" aca="1" ref="D56" ca="1">INDEX(Data_DBD!$D:$D,$A56)</f>
        <v>12</v>
      </c>
      <c r="E56" s="32" cm="1">
        <f t="array" aca="1" ref="E56" ca="1">INDEX(Data_DBD!$E:$E,$A56)</f>
        <v>0</v>
      </c>
      <c r="F56" s="32" cm="1">
        <f t="array" aca="1" ref="F56" ca="1">INDEX(Data_DBD!$F:$F,$A56)</f>
        <v>2</v>
      </c>
      <c r="H56" s="32">
        <v>9</v>
      </c>
      <c r="I56" s="32">
        <v>16</v>
      </c>
      <c r="J56" s="32">
        <v>6</v>
      </c>
      <c r="K56" s="32">
        <v>12</v>
      </c>
      <c r="L56" s="32">
        <v>1</v>
      </c>
      <c r="M56" s="32">
        <v>2</v>
      </c>
    </row>
    <row r="57" spans="1:13">
      <c r="A57" s="32">
        <f t="shared" ca="1" si="0"/>
        <v>68</v>
      </c>
      <c r="B57" s="32" cm="1">
        <f t="array" aca="1" ref="B57" ca="1">INDEX(Data_DBD!$B:$B,$A57)</f>
        <v>44</v>
      </c>
      <c r="C57" s="32" cm="1">
        <f t="array" aca="1" ref="C57" ca="1">INDEX(Data_DBD!$C:$C,$A57)</f>
        <v>5</v>
      </c>
      <c r="D57" s="32" cm="1">
        <f t="array" aca="1" ref="D57" ca="1">INDEX(Data_DBD!$D:$D,$A57)</f>
        <v>10</v>
      </c>
      <c r="E57" s="32" cm="1">
        <f t="array" aca="1" ref="E57" ca="1">INDEX(Data_DBD!$E:$E,$A57)</f>
        <v>0</v>
      </c>
      <c r="F57" s="32" cm="1">
        <f t="array" aca="1" ref="F57" ca="1">INDEX(Data_DBD!$F:$F,$A57)</f>
        <v>2</v>
      </c>
      <c r="H57" s="32">
        <v>17</v>
      </c>
      <c r="I57" s="32">
        <v>2</v>
      </c>
      <c r="J57" s="32">
        <v>3</v>
      </c>
      <c r="K57" s="32">
        <v>7</v>
      </c>
      <c r="L57" s="32">
        <v>0</v>
      </c>
      <c r="M57" s="32">
        <v>1</v>
      </c>
    </row>
    <row r="58" spans="1:13">
      <c r="A58" s="32">
        <f t="shared" ca="1" si="0"/>
        <v>8</v>
      </c>
      <c r="B58" s="32" cm="1">
        <f t="array" aca="1" ref="B58" ca="1">INDEX(Data_DBD!$B:$B,$A58)</f>
        <v>4</v>
      </c>
      <c r="C58" s="32" cm="1">
        <f t="array" aca="1" ref="C58" ca="1">INDEX(Data_DBD!$C:$C,$A58)</f>
        <v>2</v>
      </c>
      <c r="D58" s="32" cm="1">
        <f t="array" aca="1" ref="D58" ca="1">INDEX(Data_DBD!$D:$D,$A58)</f>
        <v>12</v>
      </c>
      <c r="E58" s="32" cm="1">
        <f t="array" aca="1" ref="E58" ca="1">INDEX(Data_DBD!$E:$E,$A58)</f>
        <v>0</v>
      </c>
      <c r="F58" s="32" cm="1">
        <f t="array" aca="1" ref="F58" ca="1">INDEX(Data_DBD!$F:$F,$A58)</f>
        <v>2</v>
      </c>
      <c r="H58" s="32">
        <v>119</v>
      </c>
      <c r="I58" s="32">
        <v>30</v>
      </c>
      <c r="J58" s="32">
        <v>7</v>
      </c>
      <c r="K58" s="32">
        <v>33</v>
      </c>
      <c r="L58" s="32">
        <v>0</v>
      </c>
      <c r="M58" s="32">
        <v>3</v>
      </c>
    </row>
    <row r="59" spans="1:13">
      <c r="A59" s="32">
        <f t="shared" ca="1" si="0"/>
        <v>91</v>
      </c>
      <c r="B59" s="32" cm="1">
        <f t="array" aca="1" ref="B59" ca="1">INDEX(Data_DBD!$B:$B,$A59)</f>
        <v>35</v>
      </c>
      <c r="C59" s="32" cm="1">
        <f t="array" aca="1" ref="C59" ca="1">INDEX(Data_DBD!$C:$C,$A59)</f>
        <v>1</v>
      </c>
      <c r="D59" s="32" cm="1">
        <f t="array" aca="1" ref="D59" ca="1">INDEX(Data_DBD!$D:$D,$A59)</f>
        <v>18</v>
      </c>
      <c r="E59" s="32" cm="1">
        <f t="array" aca="1" ref="E59" ca="1">INDEX(Data_DBD!$E:$E,$A59)</f>
        <v>1</v>
      </c>
      <c r="F59" s="32" cm="1">
        <f t="array" aca="1" ref="F59" ca="1">INDEX(Data_DBD!$F:$F,$A59)</f>
        <v>3</v>
      </c>
      <c r="H59" s="32">
        <v>40</v>
      </c>
      <c r="I59" s="32">
        <v>65</v>
      </c>
      <c r="J59" s="32">
        <v>3</v>
      </c>
      <c r="K59" s="32">
        <v>13</v>
      </c>
      <c r="L59" s="32">
        <v>1</v>
      </c>
      <c r="M59" s="32">
        <v>2</v>
      </c>
    </row>
    <row r="60" spans="1:13">
      <c r="A60" s="32">
        <f t="shared" ca="1" si="0"/>
        <v>82</v>
      </c>
      <c r="B60" s="32" cm="1">
        <f t="array" aca="1" ref="B60" ca="1">INDEX(Data_DBD!$B:$B,$A60)</f>
        <v>28</v>
      </c>
      <c r="C60" s="32" cm="1">
        <f t="array" aca="1" ref="C60" ca="1">INDEX(Data_DBD!$C:$C,$A60)</f>
        <v>3</v>
      </c>
      <c r="D60" s="32" cm="1">
        <f t="array" aca="1" ref="D60" ca="1">INDEX(Data_DBD!$D:$D,$A60)</f>
        <v>13</v>
      </c>
      <c r="E60" s="32" cm="1">
        <f t="array" aca="1" ref="E60" ca="1">INDEX(Data_DBD!$E:$E,$A60)</f>
        <v>1</v>
      </c>
      <c r="F60" s="32" cm="1">
        <f t="array" aca="1" ref="F60" ca="1">INDEX(Data_DBD!$F:$F,$A60)</f>
        <v>2</v>
      </c>
      <c r="H60" s="32">
        <v>61</v>
      </c>
      <c r="I60" s="32">
        <v>29</v>
      </c>
      <c r="J60" s="32">
        <v>3</v>
      </c>
      <c r="K60" s="32">
        <v>15</v>
      </c>
      <c r="L60" s="32">
        <v>1</v>
      </c>
      <c r="M60" s="32">
        <v>2</v>
      </c>
    </row>
    <row r="61" spans="1:13">
      <c r="A61" s="32">
        <f t="shared" ca="1" si="0"/>
        <v>147</v>
      </c>
      <c r="B61" s="32" cm="1">
        <f t="array" aca="1" ref="B61" ca="1">INDEX(Data_DBD!$B:$B,$A61)</f>
        <v>66</v>
      </c>
      <c r="C61" s="32" cm="1">
        <f t="array" aca="1" ref="C61" ca="1">INDEX(Data_DBD!$C:$C,$A61)</f>
        <v>10</v>
      </c>
      <c r="D61" s="32" cm="1">
        <f t="array" aca="1" ref="D61" ca="1">INDEX(Data_DBD!$D:$D,$A61)</f>
        <v>21</v>
      </c>
      <c r="E61" s="32" cm="1">
        <f t="array" aca="1" ref="E61" ca="1">INDEX(Data_DBD!$E:$E,$A61)</f>
        <v>1</v>
      </c>
      <c r="F61" s="32" cm="1">
        <f t="array" aca="1" ref="F61" ca="1">INDEX(Data_DBD!$F:$F,$A61)</f>
        <v>3</v>
      </c>
      <c r="H61" s="32">
        <v>11</v>
      </c>
      <c r="I61" s="32">
        <v>24</v>
      </c>
      <c r="J61" s="32">
        <v>5</v>
      </c>
      <c r="K61" s="32">
        <v>12</v>
      </c>
      <c r="L61" s="32">
        <v>1</v>
      </c>
      <c r="M61" s="32">
        <v>2</v>
      </c>
    </row>
    <row r="62" spans="1:13">
      <c r="A62" s="32">
        <f t="shared" ca="1" si="0"/>
        <v>53</v>
      </c>
      <c r="B62" s="32" cm="1">
        <f t="array" aca="1" ref="B62" ca="1">INDEX(Data_DBD!$B:$B,$A62)</f>
        <v>35</v>
      </c>
      <c r="C62" s="32" cm="1">
        <f t="array" aca="1" ref="C62" ca="1">INDEX(Data_DBD!$C:$C,$A62)</f>
        <v>4</v>
      </c>
      <c r="D62" s="32" cm="1">
        <f t="array" aca="1" ref="D62" ca="1">INDEX(Data_DBD!$D:$D,$A62)</f>
        <v>15</v>
      </c>
      <c r="E62" s="32" cm="1">
        <f t="array" aca="1" ref="E62" ca="1">INDEX(Data_DBD!$E:$E,$A62)</f>
        <v>1</v>
      </c>
      <c r="F62" s="32" cm="1">
        <f t="array" aca="1" ref="F62" ca="1">INDEX(Data_DBD!$F:$F,$A62)</f>
        <v>2</v>
      </c>
      <c r="H62" s="32">
        <v>132</v>
      </c>
      <c r="I62" s="32">
        <v>10</v>
      </c>
      <c r="J62" s="32">
        <v>3</v>
      </c>
      <c r="K62" s="32">
        <v>33</v>
      </c>
      <c r="L62" s="32">
        <v>1</v>
      </c>
      <c r="M62" s="32">
        <v>3</v>
      </c>
    </row>
    <row r="63" spans="1:13">
      <c r="A63" s="32">
        <f t="shared" ca="1" si="0"/>
        <v>143</v>
      </c>
      <c r="B63" s="32" cm="1">
        <f t="array" aca="1" ref="B63" ca="1">INDEX(Data_DBD!$B:$B,$A63)</f>
        <v>20</v>
      </c>
      <c r="C63" s="32" cm="1">
        <f t="array" aca="1" ref="C63" ca="1">INDEX(Data_DBD!$C:$C,$A63)</f>
        <v>4</v>
      </c>
      <c r="D63" s="32" cm="1">
        <f t="array" aca="1" ref="D63" ca="1">INDEX(Data_DBD!$D:$D,$A63)</f>
        <v>21</v>
      </c>
      <c r="E63" s="32" cm="1">
        <f t="array" aca="1" ref="E63" ca="1">INDEX(Data_DBD!$E:$E,$A63)</f>
        <v>1</v>
      </c>
      <c r="F63" s="32" cm="1">
        <f t="array" aca="1" ref="F63" ca="1">INDEX(Data_DBD!$F:$F,$A63)</f>
        <v>3</v>
      </c>
      <c r="H63" s="32">
        <v>78</v>
      </c>
      <c r="I63" s="32">
        <v>6</v>
      </c>
      <c r="J63" s="32">
        <v>3</v>
      </c>
      <c r="K63" s="32">
        <v>13</v>
      </c>
      <c r="L63" s="32">
        <v>0</v>
      </c>
      <c r="M63" s="32">
        <v>2</v>
      </c>
    </row>
    <row r="64" spans="1:13">
      <c r="A64" s="32">
        <f t="shared" ca="1" si="0"/>
        <v>114</v>
      </c>
      <c r="B64" s="32" cm="1">
        <f t="array" aca="1" ref="B64" ca="1">INDEX(Data_DBD!$B:$B,$A64)</f>
        <v>14</v>
      </c>
      <c r="C64" s="32" cm="1">
        <f t="array" aca="1" ref="C64" ca="1">INDEX(Data_DBD!$C:$C,$A64)</f>
        <v>2</v>
      </c>
      <c r="D64" s="32" cm="1">
        <f t="array" aca="1" ref="D64" ca="1">INDEX(Data_DBD!$D:$D,$A64)</f>
        <v>33</v>
      </c>
      <c r="E64" s="32" cm="1">
        <f t="array" aca="1" ref="E64" ca="1">INDEX(Data_DBD!$E:$E,$A64)</f>
        <v>1</v>
      </c>
      <c r="F64" s="32" cm="1">
        <f t="array" aca="1" ref="F64" ca="1">INDEX(Data_DBD!$F:$F,$A64)</f>
        <v>3</v>
      </c>
      <c r="H64" s="32">
        <v>141</v>
      </c>
      <c r="I64" s="32">
        <v>36</v>
      </c>
      <c r="J64" s="32">
        <v>2</v>
      </c>
      <c r="K64" s="32">
        <v>21</v>
      </c>
      <c r="L64" s="32">
        <v>0</v>
      </c>
      <c r="M64" s="32">
        <v>3</v>
      </c>
    </row>
    <row r="65" spans="1:13">
      <c r="A65" s="32">
        <f t="shared" ca="1" si="0"/>
        <v>53</v>
      </c>
      <c r="B65" s="32" cm="1">
        <f t="array" aca="1" ref="B65" ca="1">INDEX(Data_DBD!$B:$B,$A65)</f>
        <v>35</v>
      </c>
      <c r="C65" s="32" cm="1">
        <f t="array" aca="1" ref="C65" ca="1">INDEX(Data_DBD!$C:$C,$A65)</f>
        <v>4</v>
      </c>
      <c r="D65" s="32" cm="1">
        <f t="array" aca="1" ref="D65" ca="1">INDEX(Data_DBD!$D:$D,$A65)</f>
        <v>15</v>
      </c>
      <c r="E65" s="32" cm="1">
        <f t="array" aca="1" ref="E65" ca="1">INDEX(Data_DBD!$E:$E,$A65)</f>
        <v>1</v>
      </c>
      <c r="F65" s="32" cm="1">
        <f t="array" aca="1" ref="F65" ca="1">INDEX(Data_DBD!$F:$F,$A65)</f>
        <v>2</v>
      </c>
      <c r="H65" s="32">
        <v>98</v>
      </c>
      <c r="I65" s="32">
        <v>16</v>
      </c>
      <c r="J65" s="32">
        <v>2</v>
      </c>
      <c r="K65" s="32">
        <v>18</v>
      </c>
      <c r="L65" s="32">
        <v>1</v>
      </c>
      <c r="M65" s="32">
        <v>3</v>
      </c>
    </row>
    <row r="66" spans="1:13">
      <c r="A66" s="32">
        <f t="shared" ca="1" si="0"/>
        <v>101</v>
      </c>
      <c r="B66" s="32" cm="1">
        <f t="array" aca="1" ref="B66" ca="1">INDEX(Data_DBD!$B:$B,$A66)</f>
        <v>42</v>
      </c>
      <c r="C66" s="32" cm="1">
        <f t="array" aca="1" ref="C66" ca="1">INDEX(Data_DBD!$C:$C,$A66)</f>
        <v>5</v>
      </c>
      <c r="D66" s="32" cm="1">
        <f t="array" aca="1" ref="D66" ca="1">INDEX(Data_DBD!$D:$D,$A66)</f>
        <v>18</v>
      </c>
      <c r="E66" s="32" cm="1">
        <f t="array" aca="1" ref="E66" ca="1">INDEX(Data_DBD!$E:$E,$A66)</f>
        <v>0</v>
      </c>
      <c r="F66" s="32" cm="1">
        <f t="array" aca="1" ref="F66" ca="1">INDEX(Data_DBD!$F:$F,$A66)</f>
        <v>3</v>
      </c>
      <c r="H66" s="32">
        <v>138</v>
      </c>
      <c r="I66" s="32">
        <v>13</v>
      </c>
      <c r="J66" s="32">
        <v>3</v>
      </c>
      <c r="K66" s="32">
        <v>33</v>
      </c>
      <c r="L66" s="32">
        <v>1</v>
      </c>
      <c r="M66" s="32">
        <v>3</v>
      </c>
    </row>
    <row r="67" spans="1:13">
      <c r="A67" s="32">
        <f t="shared" ref="A67:A130" ca="1" si="1">RANDBETWEEN(2,164)</f>
        <v>138</v>
      </c>
      <c r="B67" s="32" cm="1">
        <f t="array" aca="1" ref="B67" ca="1">INDEX(Data_DBD!$B:$B,$A67)</f>
        <v>13</v>
      </c>
      <c r="C67" s="32" cm="1">
        <f t="array" aca="1" ref="C67" ca="1">INDEX(Data_DBD!$C:$C,$A67)</f>
        <v>3</v>
      </c>
      <c r="D67" s="32" cm="1">
        <f t="array" aca="1" ref="D67" ca="1">INDEX(Data_DBD!$D:$D,$A67)</f>
        <v>33</v>
      </c>
      <c r="E67" s="32" cm="1">
        <f t="array" aca="1" ref="E67" ca="1">INDEX(Data_DBD!$E:$E,$A67)</f>
        <v>1</v>
      </c>
      <c r="F67" s="32" cm="1">
        <f t="array" aca="1" ref="F67" ca="1">INDEX(Data_DBD!$F:$F,$A67)</f>
        <v>3</v>
      </c>
      <c r="H67" s="32">
        <v>106</v>
      </c>
      <c r="I67" s="32">
        <v>23</v>
      </c>
      <c r="J67" s="32">
        <v>3</v>
      </c>
      <c r="K67" s="32">
        <v>18</v>
      </c>
      <c r="L67" s="32">
        <v>1</v>
      </c>
      <c r="M67" s="32">
        <v>3</v>
      </c>
    </row>
    <row r="68" spans="1:13">
      <c r="A68" s="32">
        <f t="shared" ca="1" si="1"/>
        <v>23</v>
      </c>
      <c r="B68" s="32" cm="1">
        <f t="array" aca="1" ref="B68" ca="1">INDEX(Data_DBD!$B:$B,$A68)</f>
        <v>28</v>
      </c>
      <c r="C68" s="32" cm="1">
        <f t="array" aca="1" ref="C68" ca="1">INDEX(Data_DBD!$C:$C,$A68)</f>
        <v>4</v>
      </c>
      <c r="D68" s="32" cm="1">
        <f t="array" aca="1" ref="D68" ca="1">INDEX(Data_DBD!$D:$D,$A68)</f>
        <v>14</v>
      </c>
      <c r="E68" s="32" cm="1">
        <f t="array" aca="1" ref="E68" ca="1">INDEX(Data_DBD!$E:$E,$A68)</f>
        <v>1</v>
      </c>
      <c r="F68" s="32" cm="1">
        <f t="array" aca="1" ref="F68" ca="1">INDEX(Data_DBD!$F:$F,$A68)</f>
        <v>2</v>
      </c>
      <c r="H68" s="32">
        <v>80</v>
      </c>
      <c r="I68" s="32">
        <v>27</v>
      </c>
      <c r="J68" s="32">
        <v>3</v>
      </c>
      <c r="K68" s="32">
        <v>13</v>
      </c>
      <c r="L68" s="32">
        <v>1</v>
      </c>
      <c r="M68" s="32">
        <v>2</v>
      </c>
    </row>
    <row r="69" spans="1:13">
      <c r="A69" s="32">
        <f t="shared" ca="1" si="1"/>
        <v>162</v>
      </c>
      <c r="B69" s="32" cm="1">
        <f t="array" aca="1" ref="B69" ca="1">INDEX(Data_DBD!$B:$B,$A69)</f>
        <v>22</v>
      </c>
      <c r="C69" s="32" cm="1">
        <f t="array" aca="1" ref="C69" ca="1">INDEX(Data_DBD!$C:$C,$A69)</f>
        <v>3</v>
      </c>
      <c r="D69" s="32" cm="1">
        <f t="array" aca="1" ref="D69" ca="1">INDEX(Data_DBD!$D:$D,$A69)</f>
        <v>3</v>
      </c>
      <c r="E69" s="32" cm="1">
        <f t="array" aca="1" ref="E69" ca="1">INDEX(Data_DBD!$E:$E,$A69)</f>
        <v>1</v>
      </c>
      <c r="F69" s="32" cm="1">
        <f t="array" aca="1" ref="F69" ca="1">INDEX(Data_DBD!$F:$F,$A69)</f>
        <v>1</v>
      </c>
      <c r="H69" s="32">
        <v>102</v>
      </c>
      <c r="I69" s="32">
        <v>41</v>
      </c>
      <c r="J69" s="32">
        <v>4</v>
      </c>
      <c r="K69" s="32">
        <v>18</v>
      </c>
      <c r="L69" s="32">
        <v>0</v>
      </c>
      <c r="M69" s="32">
        <v>3</v>
      </c>
    </row>
    <row r="70" spans="1:13">
      <c r="A70" s="32">
        <f t="shared" ca="1" si="1"/>
        <v>123</v>
      </c>
      <c r="B70" s="32" cm="1">
        <f t="array" aca="1" ref="B70" ca="1">INDEX(Data_DBD!$B:$B,$A70)</f>
        <v>22</v>
      </c>
      <c r="C70" s="32" cm="1">
        <f t="array" aca="1" ref="C70" ca="1">INDEX(Data_DBD!$C:$C,$A70)</f>
        <v>4</v>
      </c>
      <c r="D70" s="32" cm="1">
        <f t="array" aca="1" ref="D70" ca="1">INDEX(Data_DBD!$D:$D,$A70)</f>
        <v>33</v>
      </c>
      <c r="E70" s="32" cm="1">
        <f t="array" aca="1" ref="E70" ca="1">INDEX(Data_DBD!$E:$E,$A70)</f>
        <v>0</v>
      </c>
      <c r="F70" s="32" cm="1">
        <f t="array" aca="1" ref="F70" ca="1">INDEX(Data_DBD!$F:$F,$A70)</f>
        <v>3</v>
      </c>
      <c r="H70" s="32">
        <v>22</v>
      </c>
      <c r="I70" s="32">
        <v>6</v>
      </c>
      <c r="J70" s="32">
        <v>3</v>
      </c>
      <c r="K70" s="32">
        <v>14</v>
      </c>
      <c r="L70" s="32">
        <v>0</v>
      </c>
      <c r="M70" s="32">
        <v>2</v>
      </c>
    </row>
    <row r="71" spans="1:13">
      <c r="A71" s="32">
        <f t="shared" ca="1" si="1"/>
        <v>12</v>
      </c>
      <c r="B71" s="32" cm="1">
        <f t="array" aca="1" ref="B71" ca="1">INDEX(Data_DBD!$B:$B,$A71)</f>
        <v>23</v>
      </c>
      <c r="C71" s="32" cm="1">
        <f t="array" aca="1" ref="C71" ca="1">INDEX(Data_DBD!$C:$C,$A71)</f>
        <v>3</v>
      </c>
      <c r="D71" s="32" cm="1">
        <f t="array" aca="1" ref="D71" ca="1">INDEX(Data_DBD!$D:$D,$A71)</f>
        <v>12</v>
      </c>
      <c r="E71" s="32" cm="1">
        <f t="array" aca="1" ref="E71" ca="1">INDEX(Data_DBD!$E:$E,$A71)</f>
        <v>0</v>
      </c>
      <c r="F71" s="32" cm="1">
        <f t="array" aca="1" ref="F71" ca="1">INDEX(Data_DBD!$F:$F,$A71)</f>
        <v>2</v>
      </c>
      <c r="H71" s="32">
        <v>152</v>
      </c>
      <c r="I71" s="32">
        <v>47</v>
      </c>
      <c r="J71" s="32">
        <v>3</v>
      </c>
      <c r="K71" s="32">
        <v>21</v>
      </c>
      <c r="L71" s="32">
        <v>1</v>
      </c>
      <c r="M71" s="32">
        <v>3</v>
      </c>
    </row>
    <row r="72" spans="1:13">
      <c r="A72" s="32">
        <f t="shared" ca="1" si="1"/>
        <v>68</v>
      </c>
      <c r="B72" s="32" cm="1">
        <f t="array" aca="1" ref="B72" ca="1">INDEX(Data_DBD!$B:$B,$A72)</f>
        <v>44</v>
      </c>
      <c r="C72" s="32" cm="1">
        <f t="array" aca="1" ref="C72" ca="1">INDEX(Data_DBD!$C:$C,$A72)</f>
        <v>5</v>
      </c>
      <c r="D72" s="32" cm="1">
        <f t="array" aca="1" ref="D72" ca="1">INDEX(Data_DBD!$D:$D,$A72)</f>
        <v>10</v>
      </c>
      <c r="E72" s="32" cm="1">
        <f t="array" aca="1" ref="E72" ca="1">INDEX(Data_DBD!$E:$E,$A72)</f>
        <v>0</v>
      </c>
      <c r="F72" s="32" cm="1">
        <f t="array" aca="1" ref="F72" ca="1">INDEX(Data_DBD!$F:$F,$A72)</f>
        <v>2</v>
      </c>
      <c r="H72" s="32">
        <v>81</v>
      </c>
      <c r="I72" s="32">
        <v>23</v>
      </c>
      <c r="J72" s="32">
        <v>5</v>
      </c>
      <c r="K72" s="32">
        <v>13</v>
      </c>
      <c r="L72" s="32">
        <v>1</v>
      </c>
      <c r="M72" s="32">
        <v>2</v>
      </c>
    </row>
    <row r="73" spans="1:13">
      <c r="A73" s="32">
        <f t="shared" ca="1" si="1"/>
        <v>31</v>
      </c>
      <c r="B73" s="32" cm="1">
        <f t="array" aca="1" ref="B73" ca="1">INDEX(Data_DBD!$B:$B,$A73)</f>
        <v>64</v>
      </c>
      <c r="C73" s="32" cm="1">
        <f t="array" aca="1" ref="C73" ca="1">INDEX(Data_DBD!$C:$C,$A73)</f>
        <v>4</v>
      </c>
      <c r="D73" s="32" cm="1">
        <f t="array" aca="1" ref="D73" ca="1">INDEX(Data_DBD!$D:$D,$A73)</f>
        <v>14</v>
      </c>
      <c r="E73" s="32" cm="1">
        <f t="array" aca="1" ref="E73" ca="1">INDEX(Data_DBD!$E:$E,$A73)</f>
        <v>1</v>
      </c>
      <c r="F73" s="32" cm="1">
        <f t="array" aca="1" ref="F73" ca="1">INDEX(Data_DBD!$F:$F,$A73)</f>
        <v>2</v>
      </c>
      <c r="H73" s="32">
        <v>21</v>
      </c>
      <c r="I73" s="32">
        <v>10</v>
      </c>
      <c r="J73" s="32">
        <v>5</v>
      </c>
      <c r="K73" s="32">
        <v>14</v>
      </c>
      <c r="L73" s="32">
        <v>1</v>
      </c>
      <c r="M73" s="32">
        <v>2</v>
      </c>
    </row>
    <row r="74" spans="1:13">
      <c r="A74" s="32">
        <f t="shared" ca="1" si="1"/>
        <v>96</v>
      </c>
      <c r="B74" s="32" cm="1">
        <f t="array" aca="1" ref="B74" ca="1">INDEX(Data_DBD!$B:$B,$A74)</f>
        <v>56</v>
      </c>
      <c r="C74" s="32" cm="1">
        <f t="array" aca="1" ref="C74" ca="1">INDEX(Data_DBD!$C:$C,$A74)</f>
        <v>4</v>
      </c>
      <c r="D74" s="32" cm="1">
        <f t="array" aca="1" ref="D74" ca="1">INDEX(Data_DBD!$D:$D,$A74)</f>
        <v>18</v>
      </c>
      <c r="E74" s="32" cm="1">
        <f t="array" aca="1" ref="E74" ca="1">INDEX(Data_DBD!$E:$E,$A74)</f>
        <v>0</v>
      </c>
      <c r="F74" s="32" cm="1">
        <f t="array" aca="1" ref="F74" ca="1">INDEX(Data_DBD!$F:$F,$A74)</f>
        <v>3</v>
      </c>
      <c r="H74" s="32">
        <v>161</v>
      </c>
      <c r="I74" s="32">
        <v>12</v>
      </c>
      <c r="J74" s="32">
        <v>3</v>
      </c>
      <c r="K74" s="32">
        <v>21</v>
      </c>
      <c r="L74" s="32">
        <v>1</v>
      </c>
      <c r="M74" s="32">
        <v>3</v>
      </c>
    </row>
    <row r="75" spans="1:13">
      <c r="A75" s="32">
        <f t="shared" ca="1" si="1"/>
        <v>92</v>
      </c>
      <c r="B75" s="32" cm="1">
        <f t="array" aca="1" ref="B75" ca="1">INDEX(Data_DBD!$B:$B,$A75)</f>
        <v>55</v>
      </c>
      <c r="C75" s="32" cm="1">
        <f t="array" aca="1" ref="C75" ca="1">INDEX(Data_DBD!$C:$C,$A75)</f>
        <v>7</v>
      </c>
      <c r="D75" s="32" cm="1">
        <f t="array" aca="1" ref="D75" ca="1">INDEX(Data_DBD!$D:$D,$A75)</f>
        <v>18</v>
      </c>
      <c r="E75" s="32" cm="1">
        <f t="array" aca="1" ref="E75" ca="1">INDEX(Data_DBD!$E:$E,$A75)</f>
        <v>0</v>
      </c>
      <c r="F75" s="32" cm="1">
        <f t="array" aca="1" ref="F75" ca="1">INDEX(Data_DBD!$F:$F,$A75)</f>
        <v>3</v>
      </c>
      <c r="H75" s="32">
        <v>85</v>
      </c>
      <c r="I75" s="32">
        <v>27</v>
      </c>
      <c r="J75" s="32">
        <v>9</v>
      </c>
      <c r="K75" s="32">
        <v>13</v>
      </c>
      <c r="L75" s="32">
        <v>0</v>
      </c>
      <c r="M75" s="32">
        <v>2</v>
      </c>
    </row>
    <row r="76" spans="1:13">
      <c r="A76" s="32">
        <f t="shared" ca="1" si="1"/>
        <v>19</v>
      </c>
      <c r="B76" s="32" cm="1">
        <f t="array" aca="1" ref="B76" ca="1">INDEX(Data_DBD!$B:$B,$A76)</f>
        <v>8</v>
      </c>
      <c r="C76" s="32" cm="1">
        <f t="array" aca="1" ref="C76" ca="1">INDEX(Data_DBD!$C:$C,$A76)</f>
        <v>4</v>
      </c>
      <c r="D76" s="32" cm="1">
        <f t="array" aca="1" ref="D76" ca="1">INDEX(Data_DBD!$D:$D,$A76)</f>
        <v>7</v>
      </c>
      <c r="E76" s="32" cm="1">
        <f t="array" aca="1" ref="E76" ca="1">INDEX(Data_DBD!$E:$E,$A76)</f>
        <v>0</v>
      </c>
      <c r="F76" s="32" cm="1">
        <f t="array" aca="1" ref="F76" ca="1">INDEX(Data_DBD!$F:$F,$A76)</f>
        <v>1</v>
      </c>
      <c r="H76" s="32">
        <v>145</v>
      </c>
      <c r="I76" s="32">
        <v>28</v>
      </c>
      <c r="J76" s="32">
        <v>4</v>
      </c>
      <c r="K76" s="32">
        <v>21</v>
      </c>
      <c r="L76" s="32">
        <v>1</v>
      </c>
      <c r="M76" s="32">
        <v>3</v>
      </c>
    </row>
    <row r="77" spans="1:13">
      <c r="A77" s="32">
        <f t="shared" ca="1" si="1"/>
        <v>139</v>
      </c>
      <c r="B77" s="32" cm="1">
        <f t="array" aca="1" ref="B77" ca="1">INDEX(Data_DBD!$B:$B,$A77)</f>
        <v>52</v>
      </c>
      <c r="C77" s="32" cm="1">
        <f t="array" aca="1" ref="C77" ca="1">INDEX(Data_DBD!$C:$C,$A77)</f>
        <v>7</v>
      </c>
      <c r="D77" s="32" cm="1">
        <f t="array" aca="1" ref="D77" ca="1">INDEX(Data_DBD!$D:$D,$A77)</f>
        <v>21</v>
      </c>
      <c r="E77" s="32" cm="1">
        <f t="array" aca="1" ref="E77" ca="1">INDEX(Data_DBD!$E:$E,$A77)</f>
        <v>0</v>
      </c>
      <c r="F77" s="32" cm="1">
        <f t="array" aca="1" ref="F77" ca="1">INDEX(Data_DBD!$F:$F,$A77)</f>
        <v>3</v>
      </c>
      <c r="H77" s="32">
        <v>36</v>
      </c>
      <c r="I77" s="32">
        <v>27</v>
      </c>
      <c r="J77" s="32">
        <v>1</v>
      </c>
      <c r="K77" s="32">
        <v>4</v>
      </c>
      <c r="L77" s="32">
        <v>1</v>
      </c>
      <c r="M77" s="32">
        <v>1</v>
      </c>
    </row>
    <row r="78" spans="1:13">
      <c r="A78" s="32">
        <f t="shared" ca="1" si="1"/>
        <v>143</v>
      </c>
      <c r="B78" s="32" cm="1">
        <f t="array" aca="1" ref="B78" ca="1">INDEX(Data_DBD!$B:$B,$A78)</f>
        <v>20</v>
      </c>
      <c r="C78" s="32" cm="1">
        <f t="array" aca="1" ref="C78" ca="1">INDEX(Data_DBD!$C:$C,$A78)</f>
        <v>4</v>
      </c>
      <c r="D78" s="32" cm="1">
        <f t="array" aca="1" ref="D78" ca="1">INDEX(Data_DBD!$D:$D,$A78)</f>
        <v>21</v>
      </c>
      <c r="E78" s="32" cm="1">
        <f t="array" aca="1" ref="E78" ca="1">INDEX(Data_DBD!$E:$E,$A78)</f>
        <v>1</v>
      </c>
      <c r="F78" s="32" cm="1">
        <f t="array" aca="1" ref="F78" ca="1">INDEX(Data_DBD!$F:$F,$A78)</f>
        <v>3</v>
      </c>
      <c r="H78" s="32">
        <v>14</v>
      </c>
      <c r="I78" s="32">
        <v>49</v>
      </c>
      <c r="J78" s="32">
        <v>4</v>
      </c>
      <c r="K78" s="32">
        <v>7</v>
      </c>
      <c r="L78" s="32">
        <v>1</v>
      </c>
      <c r="M78" s="32">
        <v>1</v>
      </c>
    </row>
    <row r="79" spans="1:13">
      <c r="A79" s="32">
        <f t="shared" ca="1" si="1"/>
        <v>147</v>
      </c>
      <c r="B79" s="32" cm="1">
        <f t="array" aca="1" ref="B79" ca="1">INDEX(Data_DBD!$B:$B,$A79)</f>
        <v>66</v>
      </c>
      <c r="C79" s="32" cm="1">
        <f t="array" aca="1" ref="C79" ca="1">INDEX(Data_DBD!$C:$C,$A79)</f>
        <v>10</v>
      </c>
      <c r="D79" s="32" cm="1">
        <f t="array" aca="1" ref="D79" ca="1">INDEX(Data_DBD!$D:$D,$A79)</f>
        <v>21</v>
      </c>
      <c r="E79" s="32" cm="1">
        <f t="array" aca="1" ref="E79" ca="1">INDEX(Data_DBD!$E:$E,$A79)</f>
        <v>1</v>
      </c>
      <c r="F79" s="32" cm="1">
        <f t="array" aca="1" ref="F79" ca="1">INDEX(Data_DBD!$F:$F,$A79)</f>
        <v>3</v>
      </c>
      <c r="H79" s="32">
        <v>138</v>
      </c>
      <c r="I79" s="32">
        <v>13</v>
      </c>
      <c r="J79" s="32">
        <v>3</v>
      </c>
      <c r="K79" s="32">
        <v>33</v>
      </c>
      <c r="L79" s="32">
        <v>1</v>
      </c>
      <c r="M79" s="32">
        <v>3</v>
      </c>
    </row>
    <row r="80" spans="1:13">
      <c r="A80" s="32">
        <f t="shared" ca="1" si="1"/>
        <v>149</v>
      </c>
      <c r="B80" s="32" cm="1">
        <f t="array" aca="1" ref="B80" ca="1">INDEX(Data_DBD!$B:$B,$A80)</f>
        <v>19</v>
      </c>
      <c r="C80" s="32" cm="1">
        <f t="array" aca="1" ref="C80" ca="1">INDEX(Data_DBD!$C:$C,$A80)</f>
        <v>5</v>
      </c>
      <c r="D80" s="32" cm="1">
        <f t="array" aca="1" ref="D80" ca="1">INDEX(Data_DBD!$D:$D,$A80)</f>
        <v>21</v>
      </c>
      <c r="E80" s="32" cm="1">
        <f t="array" aca="1" ref="E80" ca="1">INDEX(Data_DBD!$E:$E,$A80)</f>
        <v>0</v>
      </c>
      <c r="F80" s="32" cm="1">
        <f t="array" aca="1" ref="F80" ca="1">INDEX(Data_DBD!$F:$F,$A80)</f>
        <v>3</v>
      </c>
      <c r="H80" s="32">
        <v>46</v>
      </c>
      <c r="I80" s="32">
        <v>62</v>
      </c>
      <c r="J80" s="32">
        <v>2</v>
      </c>
      <c r="K80" s="32">
        <v>13</v>
      </c>
      <c r="L80" s="32">
        <v>0</v>
      </c>
      <c r="M80" s="32">
        <v>2</v>
      </c>
    </row>
    <row r="81" spans="1:13">
      <c r="A81" s="32">
        <f t="shared" ca="1" si="1"/>
        <v>5</v>
      </c>
      <c r="B81" s="32" cm="1">
        <f t="array" aca="1" ref="B81" ca="1">INDEX(Data_DBD!$B:$B,$A81)</f>
        <v>18</v>
      </c>
      <c r="C81" s="32" cm="1">
        <f t="array" aca="1" ref="C81" ca="1">INDEX(Data_DBD!$C:$C,$A81)</f>
        <v>2</v>
      </c>
      <c r="D81" s="32" cm="1">
        <f t="array" aca="1" ref="D81" ca="1">INDEX(Data_DBD!$D:$D,$A81)</f>
        <v>12</v>
      </c>
      <c r="E81" s="32" cm="1">
        <f t="array" aca="1" ref="E81" ca="1">INDEX(Data_DBD!$E:$E,$A81)</f>
        <v>1</v>
      </c>
      <c r="F81" s="32" cm="1">
        <f t="array" aca="1" ref="F81" ca="1">INDEX(Data_DBD!$F:$F,$A81)</f>
        <v>2</v>
      </c>
      <c r="H81" s="32">
        <v>41</v>
      </c>
      <c r="I81" s="32">
        <v>8</v>
      </c>
      <c r="J81" s="32">
        <v>4</v>
      </c>
      <c r="K81" s="32">
        <v>13</v>
      </c>
      <c r="L81" s="32">
        <v>0</v>
      </c>
      <c r="M81" s="32">
        <v>2</v>
      </c>
    </row>
    <row r="82" spans="1:13">
      <c r="A82" s="32">
        <f t="shared" ca="1" si="1"/>
        <v>159</v>
      </c>
      <c r="B82" s="32" cm="1">
        <f t="array" aca="1" ref="B82" ca="1">INDEX(Data_DBD!$B:$B,$A82)</f>
        <v>17</v>
      </c>
      <c r="C82" s="32" cm="1">
        <f t="array" aca="1" ref="C82" ca="1">INDEX(Data_DBD!$C:$C,$A82)</f>
        <v>2</v>
      </c>
      <c r="D82" s="32" cm="1">
        <f t="array" aca="1" ref="D82" ca="1">INDEX(Data_DBD!$D:$D,$A82)</f>
        <v>21</v>
      </c>
      <c r="E82" s="32" cm="1">
        <f t="array" aca="1" ref="E82" ca="1">INDEX(Data_DBD!$E:$E,$A82)</f>
        <v>0</v>
      </c>
      <c r="F82" s="32" cm="1">
        <f t="array" aca="1" ref="F82" ca="1">INDEX(Data_DBD!$F:$F,$A82)</f>
        <v>3</v>
      </c>
      <c r="H82" s="32">
        <v>132</v>
      </c>
      <c r="I82" s="32">
        <v>10</v>
      </c>
      <c r="J82" s="32">
        <v>3</v>
      </c>
      <c r="K82" s="32">
        <v>33</v>
      </c>
      <c r="L82" s="32">
        <v>1</v>
      </c>
      <c r="M82" s="32">
        <v>3</v>
      </c>
    </row>
    <row r="83" spans="1:13">
      <c r="A83" s="32">
        <f t="shared" ca="1" si="1"/>
        <v>117</v>
      </c>
      <c r="B83" s="32" cm="1">
        <f t="array" aca="1" ref="B83" ca="1">INDEX(Data_DBD!$B:$B,$A83)</f>
        <v>49</v>
      </c>
      <c r="C83" s="32" cm="1">
        <f t="array" aca="1" ref="C83" ca="1">INDEX(Data_DBD!$C:$C,$A83)</f>
        <v>4</v>
      </c>
      <c r="D83" s="32" cm="1">
        <f t="array" aca="1" ref="D83" ca="1">INDEX(Data_DBD!$D:$D,$A83)</f>
        <v>33</v>
      </c>
      <c r="E83" s="32" cm="1">
        <f t="array" aca="1" ref="E83" ca="1">INDEX(Data_DBD!$E:$E,$A83)</f>
        <v>1</v>
      </c>
      <c r="F83" s="32" cm="1">
        <f t="array" aca="1" ref="F83" ca="1">INDEX(Data_DBD!$F:$F,$A83)</f>
        <v>3</v>
      </c>
      <c r="H83" s="32">
        <v>71</v>
      </c>
      <c r="I83" s="32">
        <v>84</v>
      </c>
      <c r="J83" s="32">
        <v>3</v>
      </c>
      <c r="K83" s="32">
        <v>10</v>
      </c>
      <c r="L83" s="32">
        <v>0</v>
      </c>
      <c r="M83" s="32">
        <v>2</v>
      </c>
    </row>
    <row r="84" spans="1:13">
      <c r="A84" s="32">
        <f t="shared" ca="1" si="1"/>
        <v>78</v>
      </c>
      <c r="B84" s="32" cm="1">
        <f t="array" aca="1" ref="B84" ca="1">INDEX(Data_DBD!$B:$B,$A84)</f>
        <v>6</v>
      </c>
      <c r="C84" s="32" cm="1">
        <f t="array" aca="1" ref="C84" ca="1">INDEX(Data_DBD!$C:$C,$A84)</f>
        <v>3</v>
      </c>
      <c r="D84" s="32" cm="1">
        <f t="array" aca="1" ref="D84" ca="1">INDEX(Data_DBD!$D:$D,$A84)</f>
        <v>13</v>
      </c>
      <c r="E84" s="32" cm="1">
        <f t="array" aca="1" ref="E84" ca="1">INDEX(Data_DBD!$E:$E,$A84)</f>
        <v>0</v>
      </c>
      <c r="F84" s="32" cm="1">
        <f t="array" aca="1" ref="F84" ca="1">INDEX(Data_DBD!$F:$F,$A84)</f>
        <v>2</v>
      </c>
      <c r="H84" s="32">
        <v>85</v>
      </c>
      <c r="I84" s="32">
        <v>27</v>
      </c>
      <c r="J84" s="32">
        <v>9</v>
      </c>
      <c r="K84" s="32">
        <v>13</v>
      </c>
      <c r="L84" s="32">
        <v>0</v>
      </c>
      <c r="M84" s="32">
        <v>2</v>
      </c>
    </row>
    <row r="85" spans="1:13">
      <c r="A85" s="32">
        <f t="shared" ca="1" si="1"/>
        <v>159</v>
      </c>
      <c r="B85" s="32" cm="1">
        <f t="array" aca="1" ref="B85" ca="1">INDEX(Data_DBD!$B:$B,$A85)</f>
        <v>17</v>
      </c>
      <c r="C85" s="32" cm="1">
        <f t="array" aca="1" ref="C85" ca="1">INDEX(Data_DBD!$C:$C,$A85)</f>
        <v>2</v>
      </c>
      <c r="D85" s="32" cm="1">
        <f t="array" aca="1" ref="D85" ca="1">INDEX(Data_DBD!$D:$D,$A85)</f>
        <v>21</v>
      </c>
      <c r="E85" s="32" cm="1">
        <f t="array" aca="1" ref="E85" ca="1">INDEX(Data_DBD!$E:$E,$A85)</f>
        <v>0</v>
      </c>
      <c r="F85" s="32" cm="1">
        <f t="array" aca="1" ref="F85" ca="1">INDEX(Data_DBD!$F:$F,$A85)</f>
        <v>3</v>
      </c>
      <c r="H85" s="32">
        <v>98</v>
      </c>
      <c r="I85" s="32">
        <v>16</v>
      </c>
      <c r="J85" s="32">
        <v>2</v>
      </c>
      <c r="K85" s="32">
        <v>18</v>
      </c>
      <c r="L85" s="32">
        <v>1</v>
      </c>
      <c r="M85" s="32">
        <v>3</v>
      </c>
    </row>
    <row r="86" spans="1:13">
      <c r="A86" s="32">
        <f t="shared" ca="1" si="1"/>
        <v>10</v>
      </c>
      <c r="B86" s="32" cm="1">
        <f t="array" aca="1" ref="B86" ca="1">INDEX(Data_DBD!$B:$B,$A86)</f>
        <v>18</v>
      </c>
      <c r="C86" s="32" cm="1">
        <f t="array" aca="1" ref="C86" ca="1">INDEX(Data_DBD!$C:$C,$A86)</f>
        <v>5</v>
      </c>
      <c r="D86" s="32" cm="1">
        <f t="array" aca="1" ref="D86" ca="1">INDEX(Data_DBD!$D:$D,$A86)</f>
        <v>12</v>
      </c>
      <c r="E86" s="32" cm="1">
        <f t="array" aca="1" ref="E86" ca="1">INDEX(Data_DBD!$E:$E,$A86)</f>
        <v>0</v>
      </c>
      <c r="F86" s="32" cm="1">
        <f t="array" aca="1" ref="F86" ca="1">INDEX(Data_DBD!$F:$F,$A86)</f>
        <v>2</v>
      </c>
      <c r="H86" s="32">
        <v>24</v>
      </c>
      <c r="I86" s="32">
        <v>60</v>
      </c>
      <c r="J86" s="32">
        <v>4</v>
      </c>
      <c r="K86" s="32">
        <v>14</v>
      </c>
      <c r="L86" s="32">
        <v>0</v>
      </c>
      <c r="M86" s="32">
        <v>2</v>
      </c>
    </row>
    <row r="87" spans="1:13">
      <c r="A87" s="32">
        <f t="shared" ca="1" si="1"/>
        <v>58</v>
      </c>
      <c r="B87" s="32" cm="1">
        <f t="array" aca="1" ref="B87" ca="1">INDEX(Data_DBD!$B:$B,$A87)</f>
        <v>17</v>
      </c>
      <c r="C87" s="32" cm="1">
        <f t="array" aca="1" ref="C87" ca="1">INDEX(Data_DBD!$C:$C,$A87)</f>
        <v>3</v>
      </c>
      <c r="D87" s="32" cm="1">
        <f t="array" aca="1" ref="D87" ca="1">INDEX(Data_DBD!$D:$D,$A87)</f>
        <v>15</v>
      </c>
      <c r="E87" s="32" cm="1">
        <f t="array" aca="1" ref="E87" ca="1">INDEX(Data_DBD!$E:$E,$A87)</f>
        <v>0</v>
      </c>
      <c r="F87" s="32" cm="1">
        <f t="array" aca="1" ref="F87" ca="1">INDEX(Data_DBD!$F:$F,$A87)</f>
        <v>2</v>
      </c>
      <c r="H87" s="32">
        <v>135</v>
      </c>
      <c r="I87" s="32">
        <v>10</v>
      </c>
      <c r="J87" s="32">
        <v>2</v>
      </c>
      <c r="K87" s="32">
        <v>33</v>
      </c>
      <c r="L87" s="32">
        <v>0</v>
      </c>
      <c r="M87" s="32">
        <v>3</v>
      </c>
    </row>
    <row r="88" spans="1:13">
      <c r="A88" s="32">
        <f t="shared" ca="1" si="1"/>
        <v>128</v>
      </c>
      <c r="B88" s="32" cm="1">
        <f t="array" aca="1" ref="B88" ca="1">INDEX(Data_DBD!$B:$B,$A88)</f>
        <v>38</v>
      </c>
      <c r="C88" s="32" cm="1">
        <f t="array" aca="1" ref="C88" ca="1">INDEX(Data_DBD!$C:$C,$A88)</f>
        <v>2</v>
      </c>
      <c r="D88" s="32" cm="1">
        <f t="array" aca="1" ref="D88" ca="1">INDEX(Data_DBD!$D:$D,$A88)</f>
        <v>33</v>
      </c>
      <c r="E88" s="32" cm="1">
        <f t="array" aca="1" ref="E88" ca="1">INDEX(Data_DBD!$E:$E,$A88)</f>
        <v>0</v>
      </c>
      <c r="F88" s="32" cm="1">
        <f t="array" aca="1" ref="F88" ca="1">INDEX(Data_DBD!$F:$F,$A88)</f>
        <v>3</v>
      </c>
      <c r="H88" s="32">
        <v>120</v>
      </c>
      <c r="I88" s="32">
        <v>26</v>
      </c>
      <c r="J88" s="32">
        <v>4</v>
      </c>
      <c r="K88" s="32">
        <v>33</v>
      </c>
      <c r="L88" s="32">
        <v>1</v>
      </c>
      <c r="M88" s="32">
        <v>3</v>
      </c>
    </row>
    <row r="89" spans="1:13">
      <c r="A89" s="32">
        <f t="shared" ca="1" si="1"/>
        <v>124</v>
      </c>
      <c r="B89" s="32" cm="1">
        <f t="array" aca="1" ref="B89" ca="1">INDEX(Data_DBD!$B:$B,$A89)</f>
        <v>24</v>
      </c>
      <c r="C89" s="32" cm="1">
        <f t="array" aca="1" ref="C89" ca="1">INDEX(Data_DBD!$C:$C,$A89)</f>
        <v>3</v>
      </c>
      <c r="D89" s="32" cm="1">
        <f t="array" aca="1" ref="D89" ca="1">INDEX(Data_DBD!$D:$D,$A89)</f>
        <v>33</v>
      </c>
      <c r="E89" s="32" cm="1">
        <f t="array" aca="1" ref="E89" ca="1">INDEX(Data_DBD!$E:$E,$A89)</f>
        <v>1</v>
      </c>
      <c r="F89" s="32" cm="1">
        <f t="array" aca="1" ref="F89" ca="1">INDEX(Data_DBD!$F:$F,$A89)</f>
        <v>3</v>
      </c>
      <c r="H89" s="32">
        <v>141</v>
      </c>
      <c r="I89" s="32">
        <v>36</v>
      </c>
      <c r="J89" s="32">
        <v>2</v>
      </c>
      <c r="K89" s="32">
        <v>21</v>
      </c>
      <c r="L89" s="32">
        <v>0</v>
      </c>
      <c r="M89" s="32">
        <v>3</v>
      </c>
    </row>
    <row r="90" spans="1:13">
      <c r="A90" s="32">
        <f t="shared" ca="1" si="1"/>
        <v>52</v>
      </c>
      <c r="B90" s="32" cm="1">
        <f t="array" aca="1" ref="B90" ca="1">INDEX(Data_DBD!$B:$B,$A90)</f>
        <v>59</v>
      </c>
      <c r="C90" s="32" cm="1">
        <f t="array" aca="1" ref="C90" ca="1">INDEX(Data_DBD!$C:$C,$A90)</f>
        <v>4</v>
      </c>
      <c r="D90" s="32" cm="1">
        <f t="array" aca="1" ref="D90" ca="1">INDEX(Data_DBD!$D:$D,$A90)</f>
        <v>15</v>
      </c>
      <c r="E90" s="32" cm="1">
        <f t="array" aca="1" ref="E90" ca="1">INDEX(Data_DBD!$E:$E,$A90)</f>
        <v>1</v>
      </c>
      <c r="F90" s="32" cm="1">
        <f t="array" aca="1" ref="F90" ca="1">INDEX(Data_DBD!$F:$F,$A90)</f>
        <v>2</v>
      </c>
      <c r="H90" s="32">
        <v>41</v>
      </c>
      <c r="I90" s="32">
        <v>8</v>
      </c>
      <c r="J90" s="32">
        <v>4</v>
      </c>
      <c r="K90" s="32">
        <v>13</v>
      </c>
      <c r="L90" s="32">
        <v>0</v>
      </c>
      <c r="M90" s="32">
        <v>2</v>
      </c>
    </row>
    <row r="91" spans="1:13">
      <c r="A91" s="32">
        <f t="shared" ca="1" si="1"/>
        <v>69</v>
      </c>
      <c r="B91" s="32" cm="1">
        <f t="array" aca="1" ref="B91" ca="1">INDEX(Data_DBD!$B:$B,$A91)</f>
        <v>24</v>
      </c>
      <c r="C91" s="32" cm="1">
        <f t="array" aca="1" ref="C91" ca="1">INDEX(Data_DBD!$C:$C,$A91)</f>
        <v>4</v>
      </c>
      <c r="D91" s="32" cm="1">
        <f t="array" aca="1" ref="D91" ca="1">INDEX(Data_DBD!$D:$D,$A91)</f>
        <v>10</v>
      </c>
      <c r="E91" s="32" cm="1">
        <f t="array" aca="1" ref="E91" ca="1">INDEX(Data_DBD!$E:$E,$A91)</f>
        <v>1</v>
      </c>
      <c r="F91" s="32" cm="1">
        <f t="array" aca="1" ref="F91" ca="1">INDEX(Data_DBD!$F:$F,$A91)</f>
        <v>2</v>
      </c>
      <c r="H91" s="32">
        <v>94</v>
      </c>
      <c r="I91" s="32">
        <v>12</v>
      </c>
      <c r="J91" s="32">
        <v>4</v>
      </c>
      <c r="K91" s="32">
        <v>18</v>
      </c>
      <c r="L91" s="32">
        <v>0</v>
      </c>
      <c r="M91" s="32">
        <v>3</v>
      </c>
    </row>
    <row r="92" spans="1:13">
      <c r="A92" s="32">
        <f t="shared" ca="1" si="1"/>
        <v>46</v>
      </c>
      <c r="B92" s="32" cm="1">
        <f t="array" aca="1" ref="B92" ca="1">INDEX(Data_DBD!$B:$B,$A92)</f>
        <v>62</v>
      </c>
      <c r="C92" s="32" cm="1">
        <f t="array" aca="1" ref="C92" ca="1">INDEX(Data_DBD!$C:$C,$A92)</f>
        <v>2</v>
      </c>
      <c r="D92" s="32" cm="1">
        <f t="array" aca="1" ref="D92" ca="1">INDEX(Data_DBD!$D:$D,$A92)</f>
        <v>13</v>
      </c>
      <c r="E92" s="32" cm="1">
        <f t="array" aca="1" ref="E92" ca="1">INDEX(Data_DBD!$E:$E,$A92)</f>
        <v>0</v>
      </c>
      <c r="F92" s="32" cm="1">
        <f t="array" aca="1" ref="F92" ca="1">INDEX(Data_DBD!$F:$F,$A92)</f>
        <v>2</v>
      </c>
      <c r="H92" s="32">
        <v>140</v>
      </c>
      <c r="I92" s="32">
        <v>74</v>
      </c>
      <c r="J92" s="32">
        <v>5</v>
      </c>
      <c r="K92" s="32">
        <v>21</v>
      </c>
      <c r="L92" s="32">
        <v>1</v>
      </c>
      <c r="M92" s="32">
        <v>3</v>
      </c>
    </row>
    <row r="93" spans="1:13">
      <c r="A93" s="32">
        <f t="shared" ca="1" si="1"/>
        <v>31</v>
      </c>
      <c r="B93" s="32" cm="1">
        <f t="array" aca="1" ref="B93" ca="1">INDEX(Data_DBD!$B:$B,$A93)</f>
        <v>64</v>
      </c>
      <c r="C93" s="32" cm="1">
        <f t="array" aca="1" ref="C93" ca="1">INDEX(Data_DBD!$C:$C,$A93)</f>
        <v>4</v>
      </c>
      <c r="D93" s="32" cm="1">
        <f t="array" aca="1" ref="D93" ca="1">INDEX(Data_DBD!$D:$D,$A93)</f>
        <v>14</v>
      </c>
      <c r="E93" s="32" cm="1">
        <f t="array" aca="1" ref="E93" ca="1">INDEX(Data_DBD!$E:$E,$A93)</f>
        <v>1</v>
      </c>
      <c r="F93" s="32" cm="1">
        <f t="array" aca="1" ref="F93" ca="1">INDEX(Data_DBD!$F:$F,$A93)</f>
        <v>2</v>
      </c>
      <c r="H93" s="32">
        <v>32</v>
      </c>
      <c r="I93" s="32">
        <v>54</v>
      </c>
      <c r="J93" s="32">
        <v>4</v>
      </c>
      <c r="K93" s="32">
        <v>14</v>
      </c>
      <c r="L93" s="32">
        <v>0</v>
      </c>
      <c r="M93" s="32">
        <v>2</v>
      </c>
    </row>
    <row r="94" spans="1:13">
      <c r="A94" s="32">
        <f t="shared" ca="1" si="1"/>
        <v>82</v>
      </c>
      <c r="B94" s="32" cm="1">
        <f t="array" aca="1" ref="B94" ca="1">INDEX(Data_DBD!$B:$B,$A94)</f>
        <v>28</v>
      </c>
      <c r="C94" s="32" cm="1">
        <f t="array" aca="1" ref="C94" ca="1">INDEX(Data_DBD!$C:$C,$A94)</f>
        <v>3</v>
      </c>
      <c r="D94" s="32" cm="1">
        <f t="array" aca="1" ref="D94" ca="1">INDEX(Data_DBD!$D:$D,$A94)</f>
        <v>13</v>
      </c>
      <c r="E94" s="32" cm="1">
        <f t="array" aca="1" ref="E94" ca="1">INDEX(Data_DBD!$E:$E,$A94)</f>
        <v>1</v>
      </c>
      <c r="F94" s="32" cm="1">
        <f t="array" aca="1" ref="F94" ca="1">INDEX(Data_DBD!$F:$F,$A94)</f>
        <v>2</v>
      </c>
      <c r="H94" s="32">
        <v>97</v>
      </c>
      <c r="I94" s="32">
        <v>16</v>
      </c>
      <c r="J94" s="32">
        <v>2</v>
      </c>
      <c r="K94" s="32">
        <v>18</v>
      </c>
      <c r="L94" s="32">
        <v>1</v>
      </c>
      <c r="M94" s="32">
        <v>3</v>
      </c>
    </row>
    <row r="95" spans="1:13">
      <c r="A95" s="32">
        <f t="shared" ca="1" si="1"/>
        <v>89</v>
      </c>
      <c r="B95" s="32" cm="1">
        <f t="array" aca="1" ref="B95" ca="1">INDEX(Data_DBD!$B:$B,$A95)</f>
        <v>32</v>
      </c>
      <c r="C95" s="32" cm="1">
        <f t="array" aca="1" ref="C95" ca="1">INDEX(Data_DBD!$C:$C,$A95)</f>
        <v>4</v>
      </c>
      <c r="D95" s="32" cm="1">
        <f t="array" aca="1" ref="D95" ca="1">INDEX(Data_DBD!$D:$D,$A95)</f>
        <v>13</v>
      </c>
      <c r="E95" s="32" cm="1">
        <f t="array" aca="1" ref="E95" ca="1">INDEX(Data_DBD!$E:$E,$A95)</f>
        <v>0</v>
      </c>
      <c r="F95" s="32" cm="1">
        <f t="array" aca="1" ref="F95" ca="1">INDEX(Data_DBD!$F:$F,$A95)</f>
        <v>2</v>
      </c>
      <c r="H95" s="32">
        <v>128</v>
      </c>
      <c r="I95" s="32">
        <v>38</v>
      </c>
      <c r="J95" s="32">
        <v>2</v>
      </c>
      <c r="K95" s="32">
        <v>33</v>
      </c>
      <c r="L95" s="32">
        <v>0</v>
      </c>
      <c r="M95" s="32">
        <v>3</v>
      </c>
    </row>
    <row r="96" spans="1:13">
      <c r="A96" s="32">
        <f t="shared" ca="1" si="1"/>
        <v>6</v>
      </c>
      <c r="B96" s="32" cm="1">
        <f t="array" aca="1" ref="B96" ca="1">INDEX(Data_DBD!$B:$B,$A96)</f>
        <v>14</v>
      </c>
      <c r="C96" s="32" cm="1">
        <f t="array" aca="1" ref="C96" ca="1">INDEX(Data_DBD!$C:$C,$A96)</f>
        <v>4</v>
      </c>
      <c r="D96" s="32" cm="1">
        <f t="array" aca="1" ref="D96" ca="1">INDEX(Data_DBD!$D:$D,$A96)</f>
        <v>12</v>
      </c>
      <c r="E96" s="32" cm="1">
        <f t="array" aca="1" ref="E96" ca="1">INDEX(Data_DBD!$E:$E,$A96)</f>
        <v>0</v>
      </c>
      <c r="F96" s="32" cm="1">
        <f t="array" aca="1" ref="F96" ca="1">INDEX(Data_DBD!$F:$F,$A96)</f>
        <v>2</v>
      </c>
      <c r="H96" s="32">
        <v>33</v>
      </c>
      <c r="I96" s="32">
        <v>19</v>
      </c>
      <c r="J96" s="32">
        <v>4</v>
      </c>
      <c r="K96" s="32">
        <v>14</v>
      </c>
      <c r="L96" s="32">
        <v>1</v>
      </c>
      <c r="M96" s="32">
        <v>2</v>
      </c>
    </row>
    <row r="97" spans="1:13">
      <c r="A97" s="32">
        <f t="shared" ca="1" si="1"/>
        <v>65</v>
      </c>
      <c r="B97" s="32" cm="1">
        <f t="array" aca="1" ref="B97" ca="1">INDEX(Data_DBD!$B:$B,$A97)</f>
        <v>49</v>
      </c>
      <c r="C97" s="32" cm="1">
        <f t="array" aca="1" ref="C97" ca="1">INDEX(Data_DBD!$C:$C,$A97)</f>
        <v>3</v>
      </c>
      <c r="D97" s="32" cm="1">
        <f t="array" aca="1" ref="D97" ca="1">INDEX(Data_DBD!$D:$D,$A97)</f>
        <v>15</v>
      </c>
      <c r="E97" s="32" cm="1">
        <f t="array" aca="1" ref="E97" ca="1">INDEX(Data_DBD!$E:$E,$A97)</f>
        <v>0</v>
      </c>
      <c r="F97" s="32" cm="1">
        <f t="array" aca="1" ref="F97" ca="1">INDEX(Data_DBD!$F:$F,$A97)</f>
        <v>2</v>
      </c>
      <c r="H97" s="32">
        <v>106</v>
      </c>
      <c r="I97" s="32">
        <v>23</v>
      </c>
      <c r="J97" s="32">
        <v>3</v>
      </c>
      <c r="K97" s="32">
        <v>18</v>
      </c>
      <c r="L97" s="32">
        <v>1</v>
      </c>
      <c r="M97" s="32">
        <v>3</v>
      </c>
    </row>
    <row r="98" spans="1:13">
      <c r="A98" s="32">
        <f t="shared" ca="1" si="1"/>
        <v>127</v>
      </c>
      <c r="B98" s="32" cm="1">
        <f t="array" aca="1" ref="B98" ca="1">INDEX(Data_DBD!$B:$B,$A98)</f>
        <v>21</v>
      </c>
      <c r="C98" s="32" cm="1">
        <f t="array" aca="1" ref="C98" ca="1">INDEX(Data_DBD!$C:$C,$A98)</f>
        <v>2</v>
      </c>
      <c r="D98" s="32" cm="1">
        <f t="array" aca="1" ref="D98" ca="1">INDEX(Data_DBD!$D:$D,$A98)</f>
        <v>33</v>
      </c>
      <c r="E98" s="32" cm="1">
        <f t="array" aca="1" ref="E98" ca="1">INDEX(Data_DBD!$E:$E,$A98)</f>
        <v>0</v>
      </c>
      <c r="F98" s="32" cm="1">
        <f t="array" aca="1" ref="F98" ca="1">INDEX(Data_DBD!$F:$F,$A98)</f>
        <v>3</v>
      </c>
      <c r="H98" s="32">
        <v>37</v>
      </c>
      <c r="I98" s="32">
        <v>28</v>
      </c>
      <c r="J98" s="32">
        <v>4</v>
      </c>
      <c r="K98" s="32">
        <v>4</v>
      </c>
      <c r="L98" s="32">
        <v>1</v>
      </c>
      <c r="M98" s="32">
        <v>1</v>
      </c>
    </row>
    <row r="99" spans="1:13">
      <c r="A99" s="32">
        <f t="shared" ca="1" si="1"/>
        <v>41</v>
      </c>
      <c r="B99" s="32" cm="1">
        <f t="array" aca="1" ref="B99" ca="1">INDEX(Data_DBD!$B:$B,$A99)</f>
        <v>8</v>
      </c>
      <c r="C99" s="32" cm="1">
        <f t="array" aca="1" ref="C99" ca="1">INDEX(Data_DBD!$C:$C,$A99)</f>
        <v>4</v>
      </c>
      <c r="D99" s="32" cm="1">
        <f t="array" aca="1" ref="D99" ca="1">INDEX(Data_DBD!$D:$D,$A99)</f>
        <v>13</v>
      </c>
      <c r="E99" s="32" cm="1">
        <f t="array" aca="1" ref="E99" ca="1">INDEX(Data_DBD!$E:$E,$A99)</f>
        <v>0</v>
      </c>
      <c r="F99" s="32" cm="1">
        <f t="array" aca="1" ref="F99" ca="1">INDEX(Data_DBD!$F:$F,$A99)</f>
        <v>2</v>
      </c>
      <c r="H99" s="32">
        <v>68</v>
      </c>
      <c r="I99" s="32">
        <v>44</v>
      </c>
      <c r="J99" s="32">
        <v>5</v>
      </c>
      <c r="K99" s="32">
        <v>10</v>
      </c>
      <c r="L99" s="32">
        <v>0</v>
      </c>
      <c r="M99" s="32">
        <v>2</v>
      </c>
    </row>
    <row r="100" spans="1:13">
      <c r="A100" s="32">
        <f t="shared" ca="1" si="1"/>
        <v>157</v>
      </c>
      <c r="B100" s="32" cm="1">
        <f t="array" aca="1" ref="B100" ca="1">INDEX(Data_DBD!$B:$B,$A100)</f>
        <v>15</v>
      </c>
      <c r="C100" s="32" cm="1">
        <f t="array" aca="1" ref="C100" ca="1">INDEX(Data_DBD!$C:$C,$A100)</f>
        <v>4</v>
      </c>
      <c r="D100" s="32" cm="1">
        <f t="array" aca="1" ref="D100" ca="1">INDEX(Data_DBD!$D:$D,$A100)</f>
        <v>21</v>
      </c>
      <c r="E100" s="32" cm="1">
        <f t="array" aca="1" ref="E100" ca="1">INDEX(Data_DBD!$E:$E,$A100)</f>
        <v>1</v>
      </c>
      <c r="F100" s="32" cm="1">
        <f t="array" aca="1" ref="F100" ca="1">INDEX(Data_DBD!$F:$F,$A100)</f>
        <v>3</v>
      </c>
      <c r="H100" s="32">
        <v>88</v>
      </c>
      <c r="I100" s="32">
        <v>20</v>
      </c>
      <c r="J100" s="32">
        <v>4</v>
      </c>
      <c r="K100" s="32">
        <v>13</v>
      </c>
      <c r="L100" s="32">
        <v>1</v>
      </c>
      <c r="M100" s="32">
        <v>2</v>
      </c>
    </row>
    <row r="101" spans="1:13">
      <c r="A101" s="32">
        <f t="shared" ca="1" si="1"/>
        <v>112</v>
      </c>
      <c r="B101" s="32" cm="1">
        <f t="array" aca="1" ref="B101" ca="1">INDEX(Data_DBD!$B:$B,$A101)</f>
        <v>61</v>
      </c>
      <c r="C101" s="32" cm="1">
        <f t="array" aca="1" ref="C101" ca="1">INDEX(Data_DBD!$C:$C,$A101)</f>
        <v>3</v>
      </c>
      <c r="D101" s="32" cm="1">
        <f t="array" aca="1" ref="D101" ca="1">INDEX(Data_DBD!$D:$D,$A101)</f>
        <v>33</v>
      </c>
      <c r="E101" s="32" cm="1">
        <f t="array" aca="1" ref="E101" ca="1">INDEX(Data_DBD!$E:$E,$A101)</f>
        <v>1</v>
      </c>
      <c r="F101" s="32" cm="1">
        <f t="array" aca="1" ref="F101" ca="1">INDEX(Data_DBD!$F:$F,$A101)</f>
        <v>3</v>
      </c>
      <c r="H101" s="32">
        <v>95</v>
      </c>
      <c r="I101" s="32">
        <v>11</v>
      </c>
      <c r="J101" s="32">
        <v>3</v>
      </c>
      <c r="K101" s="32">
        <v>18</v>
      </c>
      <c r="L101" s="32">
        <v>1</v>
      </c>
      <c r="M101" s="32">
        <v>3</v>
      </c>
    </row>
    <row r="102" spans="1:13">
      <c r="A102" s="32">
        <f t="shared" ca="1" si="1"/>
        <v>2</v>
      </c>
      <c r="B102" s="32" cm="1">
        <f t="array" aca="1" ref="B102" ca="1">INDEX(Data_DBD!$B:$B,$A102)</f>
        <v>34</v>
      </c>
      <c r="C102" s="32" cm="1">
        <f t="array" aca="1" ref="C102" ca="1">INDEX(Data_DBD!$C:$C,$A102)</f>
        <v>3</v>
      </c>
      <c r="D102" s="32" cm="1">
        <f t="array" aca="1" ref="D102" ca="1">INDEX(Data_DBD!$D:$D,$A102)</f>
        <v>12</v>
      </c>
      <c r="E102" s="32" cm="1">
        <f t="array" aca="1" ref="E102" ca="1">INDEX(Data_DBD!$E:$E,$A102)</f>
        <v>0</v>
      </c>
      <c r="F102" s="32" cm="1">
        <f t="array" aca="1" ref="F102" ca="1">INDEX(Data_DBD!$F:$F,$A102)</f>
        <v>2</v>
      </c>
      <c r="H102" s="32">
        <v>86</v>
      </c>
      <c r="I102" s="32">
        <v>23</v>
      </c>
      <c r="J102" s="32">
        <v>3</v>
      </c>
      <c r="K102" s="32">
        <v>13</v>
      </c>
      <c r="L102" s="32">
        <v>0</v>
      </c>
      <c r="M102" s="32">
        <v>2</v>
      </c>
    </row>
    <row r="103" spans="1:13">
      <c r="A103" s="32">
        <f t="shared" ca="1" si="1"/>
        <v>91</v>
      </c>
      <c r="B103" s="32" cm="1">
        <f t="array" aca="1" ref="B103" ca="1">INDEX(Data_DBD!$B:$B,$A103)</f>
        <v>35</v>
      </c>
      <c r="C103" s="32" cm="1">
        <f t="array" aca="1" ref="C103" ca="1">INDEX(Data_DBD!$C:$C,$A103)</f>
        <v>1</v>
      </c>
      <c r="D103" s="32" cm="1">
        <f t="array" aca="1" ref="D103" ca="1">INDEX(Data_DBD!$D:$D,$A103)</f>
        <v>18</v>
      </c>
      <c r="E103" s="32" cm="1">
        <f t="array" aca="1" ref="E103" ca="1">INDEX(Data_DBD!$E:$E,$A103)</f>
        <v>1</v>
      </c>
      <c r="F103" s="32" cm="1">
        <f t="array" aca="1" ref="F103" ca="1">INDEX(Data_DBD!$F:$F,$A103)</f>
        <v>3</v>
      </c>
      <c r="H103" s="32">
        <v>23</v>
      </c>
      <c r="I103" s="32">
        <v>28</v>
      </c>
      <c r="J103" s="32">
        <v>4</v>
      </c>
      <c r="K103" s="32">
        <v>14</v>
      </c>
      <c r="L103" s="32">
        <v>1</v>
      </c>
      <c r="M103" s="32">
        <v>2</v>
      </c>
    </row>
    <row r="104" spans="1:13">
      <c r="A104" s="32">
        <f t="shared" ca="1" si="1"/>
        <v>62</v>
      </c>
      <c r="B104" s="32" cm="1">
        <f t="array" aca="1" ref="B104" ca="1">INDEX(Data_DBD!$B:$B,$A104)</f>
        <v>43</v>
      </c>
      <c r="C104" s="32" cm="1">
        <f t="array" aca="1" ref="C104" ca="1">INDEX(Data_DBD!$C:$C,$A104)</f>
        <v>4</v>
      </c>
      <c r="D104" s="32" cm="1">
        <f t="array" aca="1" ref="D104" ca="1">INDEX(Data_DBD!$D:$D,$A104)</f>
        <v>15</v>
      </c>
      <c r="E104" s="32" cm="1">
        <f t="array" aca="1" ref="E104" ca="1">INDEX(Data_DBD!$E:$E,$A104)</f>
        <v>1</v>
      </c>
      <c r="F104" s="32" cm="1">
        <f t="array" aca="1" ref="F104" ca="1">INDEX(Data_DBD!$F:$F,$A104)</f>
        <v>2</v>
      </c>
      <c r="H104" s="32">
        <v>27</v>
      </c>
      <c r="I104" s="32">
        <v>37</v>
      </c>
      <c r="J104" s="32">
        <v>4</v>
      </c>
      <c r="K104" s="32">
        <v>14</v>
      </c>
      <c r="L104" s="32">
        <v>1</v>
      </c>
      <c r="M104" s="32">
        <v>2</v>
      </c>
    </row>
    <row r="105" spans="1:13">
      <c r="A105" s="32">
        <f t="shared" ca="1" si="1"/>
        <v>163</v>
      </c>
      <c r="B105" s="32" cm="1">
        <f t="array" aca="1" ref="B105" ca="1">INDEX(Data_DBD!$B:$B,$A105)</f>
        <v>34</v>
      </c>
      <c r="C105" s="32" cm="1">
        <f t="array" aca="1" ref="C105" ca="1">INDEX(Data_DBD!$C:$C,$A105)</f>
        <v>4</v>
      </c>
      <c r="D105" s="32" cm="1">
        <f t="array" aca="1" ref="D105" ca="1">INDEX(Data_DBD!$D:$D,$A105)</f>
        <v>3</v>
      </c>
      <c r="E105" s="32" cm="1">
        <f t="array" aca="1" ref="E105" ca="1">INDEX(Data_DBD!$E:$E,$A105)</f>
        <v>1</v>
      </c>
      <c r="F105" s="32" cm="1">
        <f t="array" aca="1" ref="F105" ca="1">INDEX(Data_DBD!$F:$F,$A105)</f>
        <v>1</v>
      </c>
      <c r="H105" s="32">
        <v>140</v>
      </c>
      <c r="I105" s="32">
        <v>74</v>
      </c>
      <c r="J105" s="32">
        <v>5</v>
      </c>
      <c r="K105" s="32">
        <v>21</v>
      </c>
      <c r="L105" s="32">
        <v>1</v>
      </c>
      <c r="M105" s="32">
        <v>3</v>
      </c>
    </row>
    <row r="106" spans="1:13">
      <c r="A106" s="32">
        <f t="shared" ca="1" si="1"/>
        <v>59</v>
      </c>
      <c r="B106" s="32" cm="1">
        <f t="array" aca="1" ref="B106" ca="1">INDEX(Data_DBD!$B:$B,$A106)</f>
        <v>28</v>
      </c>
      <c r="C106" s="32" cm="1">
        <f t="array" aca="1" ref="C106" ca="1">INDEX(Data_DBD!$C:$C,$A106)</f>
        <v>4</v>
      </c>
      <c r="D106" s="32" cm="1">
        <f t="array" aca="1" ref="D106" ca="1">INDEX(Data_DBD!$D:$D,$A106)</f>
        <v>15</v>
      </c>
      <c r="E106" s="32" cm="1">
        <f t="array" aca="1" ref="E106" ca="1">INDEX(Data_DBD!$E:$E,$A106)</f>
        <v>0</v>
      </c>
      <c r="F106" s="32" cm="1">
        <f t="array" aca="1" ref="F106" ca="1">INDEX(Data_DBD!$F:$F,$A106)</f>
        <v>2</v>
      </c>
      <c r="H106" s="32">
        <v>134</v>
      </c>
      <c r="I106" s="32">
        <v>4</v>
      </c>
      <c r="J106" s="32">
        <v>2</v>
      </c>
      <c r="K106" s="32">
        <v>33</v>
      </c>
      <c r="L106" s="32">
        <v>1</v>
      </c>
      <c r="M106" s="32">
        <v>3</v>
      </c>
    </row>
    <row r="107" spans="1:13">
      <c r="A107" s="32">
        <f t="shared" ca="1" si="1"/>
        <v>96</v>
      </c>
      <c r="B107" s="32" cm="1">
        <f t="array" aca="1" ref="B107" ca="1">INDEX(Data_DBD!$B:$B,$A107)</f>
        <v>56</v>
      </c>
      <c r="C107" s="32" cm="1">
        <f t="array" aca="1" ref="C107" ca="1">INDEX(Data_DBD!$C:$C,$A107)</f>
        <v>4</v>
      </c>
      <c r="D107" s="32" cm="1">
        <f t="array" aca="1" ref="D107" ca="1">INDEX(Data_DBD!$D:$D,$A107)</f>
        <v>18</v>
      </c>
      <c r="E107" s="32" cm="1">
        <f t="array" aca="1" ref="E107" ca="1">INDEX(Data_DBD!$E:$E,$A107)</f>
        <v>0</v>
      </c>
      <c r="F107" s="32" cm="1">
        <f t="array" aca="1" ref="F107" ca="1">INDEX(Data_DBD!$F:$F,$A107)</f>
        <v>3</v>
      </c>
      <c r="H107" s="32">
        <v>104</v>
      </c>
      <c r="I107" s="32">
        <v>37</v>
      </c>
      <c r="J107" s="32">
        <v>4</v>
      </c>
      <c r="K107" s="32">
        <v>18</v>
      </c>
      <c r="L107" s="32">
        <v>1</v>
      </c>
      <c r="M107" s="32">
        <v>3</v>
      </c>
    </row>
    <row r="108" spans="1:13">
      <c r="A108" s="32">
        <f t="shared" ca="1" si="1"/>
        <v>52</v>
      </c>
      <c r="B108" s="32" cm="1">
        <f t="array" aca="1" ref="B108" ca="1">INDEX(Data_DBD!$B:$B,$A108)</f>
        <v>59</v>
      </c>
      <c r="C108" s="32" cm="1">
        <f t="array" aca="1" ref="C108" ca="1">INDEX(Data_DBD!$C:$C,$A108)</f>
        <v>4</v>
      </c>
      <c r="D108" s="32" cm="1">
        <f t="array" aca="1" ref="D108" ca="1">INDEX(Data_DBD!$D:$D,$A108)</f>
        <v>15</v>
      </c>
      <c r="E108" s="32" cm="1">
        <f t="array" aca="1" ref="E108" ca="1">INDEX(Data_DBD!$E:$E,$A108)</f>
        <v>1</v>
      </c>
      <c r="F108" s="32" cm="1">
        <f t="array" aca="1" ref="F108" ca="1">INDEX(Data_DBD!$F:$F,$A108)</f>
        <v>2</v>
      </c>
      <c r="H108" s="32">
        <v>33</v>
      </c>
      <c r="I108" s="32">
        <v>19</v>
      </c>
      <c r="J108" s="32">
        <v>4</v>
      </c>
      <c r="K108" s="32">
        <v>14</v>
      </c>
      <c r="L108" s="32">
        <v>1</v>
      </c>
      <c r="M108" s="32">
        <v>2</v>
      </c>
    </row>
    <row r="109" spans="1:13">
      <c r="A109" s="32">
        <f t="shared" ca="1" si="1"/>
        <v>128</v>
      </c>
      <c r="B109" s="32" cm="1">
        <f t="array" aca="1" ref="B109" ca="1">INDEX(Data_DBD!$B:$B,$A109)</f>
        <v>38</v>
      </c>
      <c r="C109" s="32" cm="1">
        <f t="array" aca="1" ref="C109" ca="1">INDEX(Data_DBD!$C:$C,$A109)</f>
        <v>2</v>
      </c>
      <c r="D109" s="32" cm="1">
        <f t="array" aca="1" ref="D109" ca="1">INDEX(Data_DBD!$D:$D,$A109)</f>
        <v>33</v>
      </c>
      <c r="E109" s="32" cm="1">
        <f t="array" aca="1" ref="E109" ca="1">INDEX(Data_DBD!$E:$E,$A109)</f>
        <v>0</v>
      </c>
      <c r="F109" s="32" cm="1">
        <f t="array" aca="1" ref="F109" ca="1">INDEX(Data_DBD!$F:$F,$A109)</f>
        <v>3</v>
      </c>
      <c r="H109" s="32">
        <v>60</v>
      </c>
      <c r="I109" s="32">
        <v>68</v>
      </c>
      <c r="J109" s="32">
        <v>4</v>
      </c>
      <c r="K109" s="32">
        <v>15</v>
      </c>
      <c r="L109" s="32">
        <v>0</v>
      </c>
      <c r="M109" s="32">
        <v>2</v>
      </c>
    </row>
    <row r="110" spans="1:13">
      <c r="A110" s="32">
        <f t="shared" ca="1" si="1"/>
        <v>153</v>
      </c>
      <c r="B110" s="32" cm="1">
        <f t="array" aca="1" ref="B110" ca="1">INDEX(Data_DBD!$B:$B,$A110)</f>
        <v>73</v>
      </c>
      <c r="C110" s="32" cm="1">
        <f t="array" aca="1" ref="C110" ca="1">INDEX(Data_DBD!$C:$C,$A110)</f>
        <v>7</v>
      </c>
      <c r="D110" s="32" cm="1">
        <f t="array" aca="1" ref="D110" ca="1">INDEX(Data_DBD!$D:$D,$A110)</f>
        <v>21</v>
      </c>
      <c r="E110" s="32" cm="1">
        <f t="array" aca="1" ref="E110" ca="1">INDEX(Data_DBD!$E:$E,$A110)</f>
        <v>1</v>
      </c>
      <c r="F110" s="32" cm="1">
        <f t="array" aca="1" ref="F110" ca="1">INDEX(Data_DBD!$F:$F,$A110)</f>
        <v>3</v>
      </c>
      <c r="H110" s="32">
        <v>104</v>
      </c>
      <c r="I110" s="32">
        <v>37</v>
      </c>
      <c r="J110" s="32">
        <v>4</v>
      </c>
      <c r="K110" s="32">
        <v>18</v>
      </c>
      <c r="L110" s="32">
        <v>1</v>
      </c>
      <c r="M110" s="32">
        <v>3</v>
      </c>
    </row>
    <row r="111" spans="1:13">
      <c r="A111" s="32">
        <f t="shared" ca="1" si="1"/>
        <v>41</v>
      </c>
      <c r="B111" s="32" cm="1">
        <f t="array" aca="1" ref="B111" ca="1">INDEX(Data_DBD!$B:$B,$A111)</f>
        <v>8</v>
      </c>
      <c r="C111" s="32" cm="1">
        <f t="array" aca="1" ref="C111" ca="1">INDEX(Data_DBD!$C:$C,$A111)</f>
        <v>4</v>
      </c>
      <c r="D111" s="32" cm="1">
        <f t="array" aca="1" ref="D111" ca="1">INDEX(Data_DBD!$D:$D,$A111)</f>
        <v>13</v>
      </c>
      <c r="E111" s="32" cm="1">
        <f t="array" aca="1" ref="E111" ca="1">INDEX(Data_DBD!$E:$E,$A111)</f>
        <v>0</v>
      </c>
      <c r="F111" s="32" cm="1">
        <f t="array" aca="1" ref="F111" ca="1">INDEX(Data_DBD!$F:$F,$A111)</f>
        <v>2</v>
      </c>
      <c r="H111" s="32">
        <v>113</v>
      </c>
      <c r="I111" s="32">
        <v>69</v>
      </c>
      <c r="J111" s="32">
        <v>1</v>
      </c>
      <c r="K111" s="32">
        <v>33</v>
      </c>
      <c r="L111" s="32">
        <v>1</v>
      </c>
      <c r="M111" s="32">
        <v>3</v>
      </c>
    </row>
    <row r="112" spans="1:13">
      <c r="A112" s="32">
        <f t="shared" ca="1" si="1"/>
        <v>76</v>
      </c>
      <c r="B112" s="32" cm="1">
        <f t="array" aca="1" ref="B112" ca="1">INDEX(Data_DBD!$B:$B,$A112)</f>
        <v>70</v>
      </c>
      <c r="C112" s="32" cm="1">
        <f t="array" aca="1" ref="C112" ca="1">INDEX(Data_DBD!$C:$C,$A112)</f>
        <v>2</v>
      </c>
      <c r="D112" s="32" cm="1">
        <f t="array" aca="1" ref="D112" ca="1">INDEX(Data_DBD!$D:$D,$A112)</f>
        <v>10</v>
      </c>
      <c r="E112" s="32" cm="1">
        <f t="array" aca="1" ref="E112" ca="1">INDEX(Data_DBD!$E:$E,$A112)</f>
        <v>0</v>
      </c>
      <c r="F112" s="32" cm="1">
        <f t="array" aca="1" ref="F112" ca="1">INDEX(Data_DBD!$F:$F,$A112)</f>
        <v>2</v>
      </c>
      <c r="H112" s="32">
        <v>12</v>
      </c>
      <c r="I112" s="32">
        <v>23</v>
      </c>
      <c r="J112" s="32">
        <v>3</v>
      </c>
      <c r="K112" s="32">
        <v>12</v>
      </c>
      <c r="L112" s="32">
        <v>0</v>
      </c>
      <c r="M112" s="32">
        <v>2</v>
      </c>
    </row>
    <row r="113" spans="1:13">
      <c r="A113" s="32">
        <f t="shared" ca="1" si="1"/>
        <v>23</v>
      </c>
      <c r="B113" s="32" cm="1">
        <f t="array" aca="1" ref="B113" ca="1">INDEX(Data_DBD!$B:$B,$A113)</f>
        <v>28</v>
      </c>
      <c r="C113" s="32" cm="1">
        <f t="array" aca="1" ref="C113" ca="1">INDEX(Data_DBD!$C:$C,$A113)</f>
        <v>4</v>
      </c>
      <c r="D113" s="32" cm="1">
        <f t="array" aca="1" ref="D113" ca="1">INDEX(Data_DBD!$D:$D,$A113)</f>
        <v>14</v>
      </c>
      <c r="E113" s="32" cm="1">
        <f t="array" aca="1" ref="E113" ca="1">INDEX(Data_DBD!$E:$E,$A113)</f>
        <v>1</v>
      </c>
      <c r="F113" s="32" cm="1">
        <f t="array" aca="1" ref="F113" ca="1">INDEX(Data_DBD!$F:$F,$A113)</f>
        <v>2</v>
      </c>
      <c r="H113" s="32">
        <v>132</v>
      </c>
      <c r="I113" s="32">
        <v>10</v>
      </c>
      <c r="J113" s="32">
        <v>3</v>
      </c>
      <c r="K113" s="32">
        <v>33</v>
      </c>
      <c r="L113" s="32">
        <v>1</v>
      </c>
      <c r="M113" s="32">
        <v>3</v>
      </c>
    </row>
    <row r="114" spans="1:13">
      <c r="A114" s="32">
        <f t="shared" ca="1" si="1"/>
        <v>28</v>
      </c>
      <c r="B114" s="32" cm="1">
        <f t="array" aca="1" ref="B114" ca="1">INDEX(Data_DBD!$B:$B,$A114)</f>
        <v>22</v>
      </c>
      <c r="C114" s="32" cm="1">
        <f t="array" aca="1" ref="C114" ca="1">INDEX(Data_DBD!$C:$C,$A114)</f>
        <v>2</v>
      </c>
      <c r="D114" s="32" cm="1">
        <f t="array" aca="1" ref="D114" ca="1">INDEX(Data_DBD!$D:$D,$A114)</f>
        <v>14</v>
      </c>
      <c r="E114" s="32" cm="1">
        <f t="array" aca="1" ref="E114" ca="1">INDEX(Data_DBD!$E:$E,$A114)</f>
        <v>1</v>
      </c>
      <c r="F114" s="32" cm="1">
        <f t="array" aca="1" ref="F114" ca="1">INDEX(Data_DBD!$F:$F,$A114)</f>
        <v>2</v>
      </c>
      <c r="H114" s="32">
        <v>92</v>
      </c>
      <c r="I114" s="32">
        <v>55</v>
      </c>
      <c r="J114" s="32">
        <v>7</v>
      </c>
      <c r="K114" s="32">
        <v>18</v>
      </c>
      <c r="L114" s="32">
        <v>0</v>
      </c>
      <c r="M114" s="32">
        <v>3</v>
      </c>
    </row>
    <row r="115" spans="1:13">
      <c r="A115" s="32">
        <f t="shared" ca="1" si="1"/>
        <v>80</v>
      </c>
      <c r="B115" s="32" cm="1">
        <f t="array" aca="1" ref="B115" ca="1">INDEX(Data_DBD!$B:$B,$A115)</f>
        <v>27</v>
      </c>
      <c r="C115" s="32" cm="1">
        <f t="array" aca="1" ref="C115" ca="1">INDEX(Data_DBD!$C:$C,$A115)</f>
        <v>3</v>
      </c>
      <c r="D115" s="32" cm="1">
        <f t="array" aca="1" ref="D115" ca="1">INDEX(Data_DBD!$D:$D,$A115)</f>
        <v>13</v>
      </c>
      <c r="E115" s="32" cm="1">
        <f t="array" aca="1" ref="E115" ca="1">INDEX(Data_DBD!$E:$E,$A115)</f>
        <v>1</v>
      </c>
      <c r="F115" s="32" cm="1">
        <f t="array" aca="1" ref="F115" ca="1">INDEX(Data_DBD!$F:$F,$A115)</f>
        <v>2</v>
      </c>
      <c r="H115" s="32">
        <v>106</v>
      </c>
      <c r="I115" s="32">
        <v>23</v>
      </c>
      <c r="J115" s="32">
        <v>3</v>
      </c>
      <c r="K115" s="32">
        <v>18</v>
      </c>
      <c r="L115" s="32">
        <v>1</v>
      </c>
      <c r="M115" s="32">
        <v>3</v>
      </c>
    </row>
    <row r="116" spans="1:13">
      <c r="A116" s="32">
        <f t="shared" ca="1" si="1"/>
        <v>143</v>
      </c>
      <c r="B116" s="32" cm="1">
        <f t="array" aca="1" ref="B116" ca="1">INDEX(Data_DBD!$B:$B,$A116)</f>
        <v>20</v>
      </c>
      <c r="C116" s="32" cm="1">
        <f t="array" aca="1" ref="C116" ca="1">INDEX(Data_DBD!$C:$C,$A116)</f>
        <v>4</v>
      </c>
      <c r="D116" s="32" cm="1">
        <f t="array" aca="1" ref="D116" ca="1">INDEX(Data_DBD!$D:$D,$A116)</f>
        <v>21</v>
      </c>
      <c r="E116" s="32" cm="1">
        <f t="array" aca="1" ref="E116" ca="1">INDEX(Data_DBD!$E:$E,$A116)</f>
        <v>1</v>
      </c>
      <c r="F116" s="32" cm="1">
        <f t="array" aca="1" ref="F116" ca="1">INDEX(Data_DBD!$F:$F,$A116)</f>
        <v>3</v>
      </c>
      <c r="H116" s="32">
        <v>64</v>
      </c>
      <c r="I116" s="32">
        <v>35</v>
      </c>
      <c r="J116" s="32">
        <v>1</v>
      </c>
      <c r="K116" s="32">
        <v>15</v>
      </c>
      <c r="L116" s="32">
        <v>0</v>
      </c>
      <c r="M116" s="32">
        <v>2</v>
      </c>
    </row>
    <row r="117" spans="1:13">
      <c r="A117" s="32">
        <f t="shared" ca="1" si="1"/>
        <v>147</v>
      </c>
      <c r="B117" s="32" cm="1">
        <f t="array" aca="1" ref="B117" ca="1">INDEX(Data_DBD!$B:$B,$A117)</f>
        <v>66</v>
      </c>
      <c r="C117" s="32" cm="1">
        <f t="array" aca="1" ref="C117" ca="1">INDEX(Data_DBD!$C:$C,$A117)</f>
        <v>10</v>
      </c>
      <c r="D117" s="32" cm="1">
        <f t="array" aca="1" ref="D117" ca="1">INDEX(Data_DBD!$D:$D,$A117)</f>
        <v>21</v>
      </c>
      <c r="E117" s="32" cm="1">
        <f t="array" aca="1" ref="E117" ca="1">INDEX(Data_DBD!$E:$E,$A117)</f>
        <v>1</v>
      </c>
      <c r="F117" s="32" cm="1">
        <f t="array" aca="1" ref="F117" ca="1">INDEX(Data_DBD!$F:$F,$A117)</f>
        <v>3</v>
      </c>
      <c r="H117" s="32">
        <v>29</v>
      </c>
      <c r="I117" s="32">
        <v>19</v>
      </c>
      <c r="J117" s="32">
        <v>2</v>
      </c>
      <c r="K117" s="32">
        <v>14</v>
      </c>
      <c r="L117" s="32">
        <v>1</v>
      </c>
      <c r="M117" s="32">
        <v>2</v>
      </c>
    </row>
    <row r="118" spans="1:13">
      <c r="A118" s="32">
        <f t="shared" ca="1" si="1"/>
        <v>137</v>
      </c>
      <c r="B118" s="32" cm="1">
        <f t="array" aca="1" ref="B118" ca="1">INDEX(Data_DBD!$B:$B,$A118)</f>
        <v>3.5</v>
      </c>
      <c r="C118" s="32" cm="1">
        <f t="array" aca="1" ref="C118" ca="1">INDEX(Data_DBD!$C:$C,$A118)</f>
        <v>1</v>
      </c>
      <c r="D118" s="32" cm="1">
        <f t="array" aca="1" ref="D118" ca="1">INDEX(Data_DBD!$D:$D,$A118)</f>
        <v>33</v>
      </c>
      <c r="E118" s="32" cm="1">
        <f t="array" aca="1" ref="E118" ca="1">INDEX(Data_DBD!$E:$E,$A118)</f>
        <v>1</v>
      </c>
      <c r="F118" s="32" cm="1">
        <f t="array" aca="1" ref="F118" ca="1">INDEX(Data_DBD!$F:$F,$A118)</f>
        <v>3</v>
      </c>
      <c r="H118" s="32">
        <v>55</v>
      </c>
      <c r="I118" s="32">
        <v>7</v>
      </c>
      <c r="J118" s="32">
        <v>4</v>
      </c>
      <c r="K118" s="32">
        <v>15</v>
      </c>
      <c r="L118" s="32">
        <v>1</v>
      </c>
      <c r="M118" s="32">
        <v>2</v>
      </c>
    </row>
    <row r="119" spans="1:13">
      <c r="A119" s="32">
        <f t="shared" ca="1" si="1"/>
        <v>73</v>
      </c>
      <c r="B119" s="32" cm="1">
        <f t="array" aca="1" ref="B119" ca="1">INDEX(Data_DBD!$B:$B,$A119)</f>
        <v>15</v>
      </c>
      <c r="C119" s="32" cm="1">
        <f t="array" aca="1" ref="C119" ca="1">INDEX(Data_DBD!$C:$C,$A119)</f>
        <v>3</v>
      </c>
      <c r="D119" s="32" cm="1">
        <f t="array" aca="1" ref="D119" ca="1">INDEX(Data_DBD!$D:$D,$A119)</f>
        <v>10</v>
      </c>
      <c r="E119" s="32" cm="1">
        <f t="array" aca="1" ref="E119" ca="1">INDEX(Data_DBD!$E:$E,$A119)</f>
        <v>1</v>
      </c>
      <c r="F119" s="32" cm="1">
        <f t="array" aca="1" ref="F119" ca="1">INDEX(Data_DBD!$F:$F,$A119)</f>
        <v>2</v>
      </c>
      <c r="H119" s="32">
        <v>112</v>
      </c>
      <c r="I119" s="32">
        <v>61</v>
      </c>
      <c r="J119" s="32">
        <v>3</v>
      </c>
      <c r="K119" s="32">
        <v>33</v>
      </c>
      <c r="L119" s="32">
        <v>1</v>
      </c>
      <c r="M119" s="32">
        <v>3</v>
      </c>
    </row>
    <row r="120" spans="1:13">
      <c r="A120" s="32">
        <f t="shared" ca="1" si="1"/>
        <v>31</v>
      </c>
      <c r="B120" s="32" cm="1">
        <f t="array" aca="1" ref="B120" ca="1">INDEX(Data_DBD!$B:$B,$A120)</f>
        <v>64</v>
      </c>
      <c r="C120" s="32" cm="1">
        <f t="array" aca="1" ref="C120" ca="1">INDEX(Data_DBD!$C:$C,$A120)</f>
        <v>4</v>
      </c>
      <c r="D120" s="32" cm="1">
        <f t="array" aca="1" ref="D120" ca="1">INDEX(Data_DBD!$D:$D,$A120)</f>
        <v>14</v>
      </c>
      <c r="E120" s="32" cm="1">
        <f t="array" aca="1" ref="E120" ca="1">INDEX(Data_DBD!$E:$E,$A120)</f>
        <v>1</v>
      </c>
      <c r="F120" s="32" cm="1">
        <f t="array" aca="1" ref="F120" ca="1">INDEX(Data_DBD!$F:$F,$A120)</f>
        <v>2</v>
      </c>
      <c r="H120" s="32">
        <v>46</v>
      </c>
      <c r="I120" s="32">
        <v>62</v>
      </c>
      <c r="J120" s="32">
        <v>2</v>
      </c>
      <c r="K120" s="32">
        <v>13</v>
      </c>
      <c r="L120" s="32">
        <v>0</v>
      </c>
      <c r="M120" s="32">
        <v>2</v>
      </c>
    </row>
    <row r="121" spans="1:13">
      <c r="A121" s="32">
        <f t="shared" ca="1" si="1"/>
        <v>159</v>
      </c>
      <c r="B121" s="32" cm="1">
        <f t="array" aca="1" ref="B121" ca="1">INDEX(Data_DBD!$B:$B,$A121)</f>
        <v>17</v>
      </c>
      <c r="C121" s="32" cm="1">
        <f t="array" aca="1" ref="C121" ca="1">INDEX(Data_DBD!$C:$C,$A121)</f>
        <v>2</v>
      </c>
      <c r="D121" s="32" cm="1">
        <f t="array" aca="1" ref="D121" ca="1">INDEX(Data_DBD!$D:$D,$A121)</f>
        <v>21</v>
      </c>
      <c r="E121" s="32" cm="1">
        <f t="array" aca="1" ref="E121" ca="1">INDEX(Data_DBD!$E:$E,$A121)</f>
        <v>0</v>
      </c>
      <c r="F121" s="32" cm="1">
        <f t="array" aca="1" ref="F121" ca="1">INDEX(Data_DBD!$F:$F,$A121)</f>
        <v>3</v>
      </c>
      <c r="H121" s="32">
        <v>39</v>
      </c>
      <c r="I121" s="32">
        <v>12</v>
      </c>
      <c r="J121" s="32">
        <v>5</v>
      </c>
      <c r="K121" s="32">
        <v>13</v>
      </c>
      <c r="L121" s="32">
        <v>1</v>
      </c>
      <c r="M121" s="32">
        <v>2</v>
      </c>
    </row>
    <row r="122" spans="1:13">
      <c r="A122" s="32">
        <f t="shared" ca="1" si="1"/>
        <v>152</v>
      </c>
      <c r="B122" s="32" cm="1">
        <f t="array" aca="1" ref="B122" ca="1">INDEX(Data_DBD!$B:$B,$A122)</f>
        <v>47</v>
      </c>
      <c r="C122" s="32" cm="1">
        <f t="array" aca="1" ref="C122" ca="1">INDEX(Data_DBD!$C:$C,$A122)</f>
        <v>3</v>
      </c>
      <c r="D122" s="32" cm="1">
        <f t="array" aca="1" ref="D122" ca="1">INDEX(Data_DBD!$D:$D,$A122)</f>
        <v>21</v>
      </c>
      <c r="E122" s="32" cm="1">
        <f t="array" aca="1" ref="E122" ca="1">INDEX(Data_DBD!$E:$E,$A122)</f>
        <v>1</v>
      </c>
      <c r="F122" s="32" cm="1">
        <f t="array" aca="1" ref="F122" ca="1">INDEX(Data_DBD!$F:$F,$A122)</f>
        <v>3</v>
      </c>
      <c r="H122" s="32">
        <v>41</v>
      </c>
      <c r="I122" s="32">
        <v>8</v>
      </c>
      <c r="J122" s="32">
        <v>4</v>
      </c>
      <c r="K122" s="32">
        <v>13</v>
      </c>
      <c r="L122" s="32">
        <v>0</v>
      </c>
      <c r="M122" s="32">
        <v>2</v>
      </c>
    </row>
    <row r="123" spans="1:13">
      <c r="A123" s="32">
        <f t="shared" ca="1" si="1"/>
        <v>72</v>
      </c>
      <c r="B123" s="32" cm="1">
        <f t="array" aca="1" ref="B123" ca="1">INDEX(Data_DBD!$B:$B,$A123)</f>
        <v>3</v>
      </c>
      <c r="C123" s="32" cm="1">
        <f t="array" aca="1" ref="C123" ca="1">INDEX(Data_DBD!$C:$C,$A123)</f>
        <v>5</v>
      </c>
      <c r="D123" s="32" cm="1">
        <f t="array" aca="1" ref="D123" ca="1">INDEX(Data_DBD!$D:$D,$A123)</f>
        <v>10</v>
      </c>
      <c r="E123" s="32" cm="1">
        <f t="array" aca="1" ref="E123" ca="1">INDEX(Data_DBD!$E:$E,$A123)</f>
        <v>1</v>
      </c>
      <c r="F123" s="32" cm="1">
        <f t="array" aca="1" ref="F123" ca="1">INDEX(Data_DBD!$F:$F,$A123)</f>
        <v>2</v>
      </c>
      <c r="H123" s="32">
        <v>73</v>
      </c>
      <c r="I123" s="32">
        <v>15</v>
      </c>
      <c r="J123" s="32">
        <v>3</v>
      </c>
      <c r="K123" s="32">
        <v>10</v>
      </c>
      <c r="L123" s="32">
        <v>1</v>
      </c>
      <c r="M123" s="32">
        <v>2</v>
      </c>
    </row>
    <row r="124" spans="1:13">
      <c r="A124" s="32">
        <f t="shared" ca="1" si="1"/>
        <v>122</v>
      </c>
      <c r="B124" s="32" cm="1">
        <f t="array" aca="1" ref="B124" ca="1">INDEX(Data_DBD!$B:$B,$A124)</f>
        <v>28</v>
      </c>
      <c r="C124" s="32" cm="1">
        <f t="array" aca="1" ref="C124" ca="1">INDEX(Data_DBD!$C:$C,$A124)</f>
        <v>3</v>
      </c>
      <c r="D124" s="32" cm="1">
        <f t="array" aca="1" ref="D124" ca="1">INDEX(Data_DBD!$D:$D,$A124)</f>
        <v>33</v>
      </c>
      <c r="E124" s="32" cm="1">
        <f t="array" aca="1" ref="E124" ca="1">INDEX(Data_DBD!$E:$E,$A124)</f>
        <v>1</v>
      </c>
      <c r="F124" s="32" cm="1">
        <f t="array" aca="1" ref="F124" ca="1">INDEX(Data_DBD!$F:$F,$A124)</f>
        <v>3</v>
      </c>
      <c r="H124" s="32">
        <v>125</v>
      </c>
      <c r="I124" s="32">
        <v>39</v>
      </c>
      <c r="J124" s="32">
        <v>4</v>
      </c>
      <c r="K124" s="32">
        <v>33</v>
      </c>
      <c r="L124" s="32">
        <v>0</v>
      </c>
      <c r="M124" s="32">
        <v>3</v>
      </c>
    </row>
    <row r="125" spans="1:13">
      <c r="A125" s="32">
        <f t="shared" ca="1" si="1"/>
        <v>22</v>
      </c>
      <c r="B125" s="32" cm="1">
        <f t="array" aca="1" ref="B125" ca="1">INDEX(Data_DBD!$B:$B,$A125)</f>
        <v>6</v>
      </c>
      <c r="C125" s="32" cm="1">
        <f t="array" aca="1" ref="C125" ca="1">INDEX(Data_DBD!$C:$C,$A125)</f>
        <v>3</v>
      </c>
      <c r="D125" s="32" cm="1">
        <f t="array" aca="1" ref="D125" ca="1">INDEX(Data_DBD!$D:$D,$A125)</f>
        <v>14</v>
      </c>
      <c r="E125" s="32" cm="1">
        <f t="array" aca="1" ref="E125" ca="1">INDEX(Data_DBD!$E:$E,$A125)</f>
        <v>0</v>
      </c>
      <c r="F125" s="32" cm="1">
        <f t="array" aca="1" ref="F125" ca="1">INDEX(Data_DBD!$F:$F,$A125)</f>
        <v>2</v>
      </c>
      <c r="H125" s="32">
        <v>140</v>
      </c>
      <c r="I125" s="32">
        <v>74</v>
      </c>
      <c r="J125" s="32">
        <v>5</v>
      </c>
      <c r="K125" s="32">
        <v>21</v>
      </c>
      <c r="L125" s="32">
        <v>1</v>
      </c>
      <c r="M125" s="32">
        <v>3</v>
      </c>
    </row>
    <row r="126" spans="1:13">
      <c r="A126" s="32">
        <f t="shared" ca="1" si="1"/>
        <v>38</v>
      </c>
      <c r="B126" s="32" cm="1">
        <f t="array" aca="1" ref="B126" ca="1">INDEX(Data_DBD!$B:$B,$A126)</f>
        <v>52</v>
      </c>
      <c r="C126" s="32" cm="1">
        <f t="array" aca="1" ref="C126" ca="1">INDEX(Data_DBD!$C:$C,$A126)</f>
        <v>3</v>
      </c>
      <c r="D126" s="32" cm="1">
        <f t="array" aca="1" ref="D126" ca="1">INDEX(Data_DBD!$D:$D,$A126)</f>
        <v>4</v>
      </c>
      <c r="E126" s="32" cm="1">
        <f t="array" aca="1" ref="E126" ca="1">INDEX(Data_DBD!$E:$E,$A126)</f>
        <v>1</v>
      </c>
      <c r="F126" s="32" cm="1">
        <f t="array" aca="1" ref="F126" ca="1">INDEX(Data_DBD!$F:$F,$A126)</f>
        <v>1</v>
      </c>
      <c r="H126" s="32">
        <v>100</v>
      </c>
      <c r="I126" s="32">
        <v>19</v>
      </c>
      <c r="J126" s="32">
        <v>6</v>
      </c>
      <c r="K126" s="32">
        <v>18</v>
      </c>
      <c r="L126" s="32">
        <v>0</v>
      </c>
      <c r="M126" s="32">
        <v>3</v>
      </c>
    </row>
    <row r="127" spans="1:13">
      <c r="A127" s="32">
        <f t="shared" ca="1" si="1"/>
        <v>135</v>
      </c>
      <c r="B127" s="32" cm="1">
        <f t="array" aca="1" ref="B127" ca="1">INDEX(Data_DBD!$B:$B,$A127)</f>
        <v>10</v>
      </c>
      <c r="C127" s="32" cm="1">
        <f t="array" aca="1" ref="C127" ca="1">INDEX(Data_DBD!$C:$C,$A127)</f>
        <v>2</v>
      </c>
      <c r="D127" s="32" cm="1">
        <f t="array" aca="1" ref="D127" ca="1">INDEX(Data_DBD!$D:$D,$A127)</f>
        <v>33</v>
      </c>
      <c r="E127" s="32" cm="1">
        <f t="array" aca="1" ref="E127" ca="1">INDEX(Data_DBD!$E:$E,$A127)</f>
        <v>0</v>
      </c>
      <c r="F127" s="32" cm="1">
        <f t="array" aca="1" ref="F127" ca="1">INDEX(Data_DBD!$F:$F,$A127)</f>
        <v>3</v>
      </c>
      <c r="H127" s="32">
        <v>107</v>
      </c>
      <c r="I127" s="32">
        <v>48</v>
      </c>
      <c r="J127" s="32">
        <v>5</v>
      </c>
      <c r="K127" s="32">
        <v>18</v>
      </c>
      <c r="L127" s="32">
        <v>0</v>
      </c>
      <c r="M127" s="32">
        <v>3</v>
      </c>
    </row>
    <row r="128" spans="1:13">
      <c r="A128" s="32">
        <f t="shared" ca="1" si="1"/>
        <v>37</v>
      </c>
      <c r="B128" s="32" cm="1">
        <f t="array" aca="1" ref="B128" ca="1">INDEX(Data_DBD!$B:$B,$A128)</f>
        <v>28</v>
      </c>
      <c r="C128" s="32" cm="1">
        <f t="array" aca="1" ref="C128" ca="1">INDEX(Data_DBD!$C:$C,$A128)</f>
        <v>4</v>
      </c>
      <c r="D128" s="32" cm="1">
        <f t="array" aca="1" ref="D128" ca="1">INDEX(Data_DBD!$D:$D,$A128)</f>
        <v>4</v>
      </c>
      <c r="E128" s="32" cm="1">
        <f t="array" aca="1" ref="E128" ca="1">INDEX(Data_DBD!$E:$E,$A128)</f>
        <v>1</v>
      </c>
      <c r="F128" s="32" cm="1">
        <f t="array" aca="1" ref="F128" ca="1">INDEX(Data_DBD!$F:$F,$A128)</f>
        <v>1</v>
      </c>
      <c r="H128" s="32">
        <v>21</v>
      </c>
      <c r="I128" s="32">
        <v>10</v>
      </c>
      <c r="J128" s="32">
        <v>5</v>
      </c>
      <c r="K128" s="32">
        <v>14</v>
      </c>
      <c r="L128" s="32">
        <v>1</v>
      </c>
      <c r="M128" s="32">
        <v>2</v>
      </c>
    </row>
    <row r="129" spans="1:13">
      <c r="A129" s="32">
        <f t="shared" ca="1" si="1"/>
        <v>73</v>
      </c>
      <c r="B129" s="32" cm="1">
        <f t="array" aca="1" ref="B129" ca="1">INDEX(Data_DBD!$B:$B,$A129)</f>
        <v>15</v>
      </c>
      <c r="C129" s="32" cm="1">
        <f t="array" aca="1" ref="C129" ca="1">INDEX(Data_DBD!$C:$C,$A129)</f>
        <v>3</v>
      </c>
      <c r="D129" s="32" cm="1">
        <f t="array" aca="1" ref="D129" ca="1">INDEX(Data_DBD!$D:$D,$A129)</f>
        <v>10</v>
      </c>
      <c r="E129" s="32" cm="1">
        <f t="array" aca="1" ref="E129" ca="1">INDEX(Data_DBD!$E:$E,$A129)</f>
        <v>1</v>
      </c>
      <c r="F129" s="32" cm="1">
        <f t="array" aca="1" ref="F129" ca="1">INDEX(Data_DBD!$F:$F,$A129)</f>
        <v>2</v>
      </c>
      <c r="H129" s="32">
        <v>53</v>
      </c>
      <c r="I129" s="32">
        <v>35</v>
      </c>
      <c r="J129" s="32">
        <v>4</v>
      </c>
      <c r="K129" s="32">
        <v>15</v>
      </c>
      <c r="L129" s="32">
        <v>1</v>
      </c>
      <c r="M129" s="32">
        <v>2</v>
      </c>
    </row>
    <row r="130" spans="1:13">
      <c r="A130" s="32">
        <f t="shared" ca="1" si="1"/>
        <v>163</v>
      </c>
      <c r="B130" s="32" cm="1">
        <f t="array" aca="1" ref="B130" ca="1">INDEX(Data_DBD!$B:$B,$A130)</f>
        <v>34</v>
      </c>
      <c r="C130" s="32" cm="1">
        <f t="array" aca="1" ref="C130" ca="1">INDEX(Data_DBD!$C:$C,$A130)</f>
        <v>4</v>
      </c>
      <c r="D130" s="32" cm="1">
        <f t="array" aca="1" ref="D130" ca="1">INDEX(Data_DBD!$D:$D,$A130)</f>
        <v>3</v>
      </c>
      <c r="E130" s="32" cm="1">
        <f t="array" aca="1" ref="E130" ca="1">INDEX(Data_DBD!$E:$E,$A130)</f>
        <v>1</v>
      </c>
      <c r="F130" s="32" cm="1">
        <f t="array" aca="1" ref="F130" ca="1">INDEX(Data_DBD!$F:$F,$A130)</f>
        <v>1</v>
      </c>
      <c r="H130" s="32">
        <v>22</v>
      </c>
      <c r="I130" s="32">
        <v>6</v>
      </c>
      <c r="J130" s="32">
        <v>3</v>
      </c>
      <c r="K130" s="32">
        <v>14</v>
      </c>
      <c r="L130" s="32">
        <v>0</v>
      </c>
      <c r="M130" s="32">
        <v>2</v>
      </c>
    </row>
    <row r="131" spans="1:13">
      <c r="A131" s="32">
        <f t="shared" ref="A131:A164" ca="1" si="2">RANDBETWEEN(2,164)</f>
        <v>28</v>
      </c>
      <c r="B131" s="32" cm="1">
        <f t="array" aca="1" ref="B131" ca="1">INDEX(Data_DBD!$B:$B,$A131)</f>
        <v>22</v>
      </c>
      <c r="C131" s="32" cm="1">
        <f t="array" aca="1" ref="C131" ca="1">INDEX(Data_DBD!$C:$C,$A131)</f>
        <v>2</v>
      </c>
      <c r="D131" s="32" cm="1">
        <f t="array" aca="1" ref="D131" ca="1">INDEX(Data_DBD!$D:$D,$A131)</f>
        <v>14</v>
      </c>
      <c r="E131" s="32" cm="1">
        <f t="array" aca="1" ref="E131" ca="1">INDEX(Data_DBD!$E:$E,$A131)</f>
        <v>1</v>
      </c>
      <c r="F131" s="32" cm="1">
        <f t="array" aca="1" ref="F131" ca="1">INDEX(Data_DBD!$F:$F,$A131)</f>
        <v>2</v>
      </c>
      <c r="H131" s="32">
        <v>19</v>
      </c>
      <c r="I131" s="32">
        <v>8</v>
      </c>
      <c r="J131" s="32">
        <v>4</v>
      </c>
      <c r="K131" s="32">
        <v>7</v>
      </c>
      <c r="L131" s="32">
        <v>0</v>
      </c>
      <c r="M131" s="32">
        <v>1</v>
      </c>
    </row>
    <row r="132" spans="1:13">
      <c r="A132" s="32">
        <f t="shared" ca="1" si="2"/>
        <v>105</v>
      </c>
      <c r="B132" s="32" cm="1">
        <f t="array" aca="1" ref="B132" ca="1">INDEX(Data_DBD!$B:$B,$A132)</f>
        <v>61</v>
      </c>
      <c r="C132" s="32" cm="1">
        <f t="array" aca="1" ref="C132" ca="1">INDEX(Data_DBD!$C:$C,$A132)</f>
        <v>3</v>
      </c>
      <c r="D132" s="32" cm="1">
        <f t="array" aca="1" ref="D132" ca="1">INDEX(Data_DBD!$D:$D,$A132)</f>
        <v>18</v>
      </c>
      <c r="E132" s="32" cm="1">
        <f t="array" aca="1" ref="E132" ca="1">INDEX(Data_DBD!$E:$E,$A132)</f>
        <v>1</v>
      </c>
      <c r="F132" s="32" cm="1">
        <f t="array" aca="1" ref="F132" ca="1">INDEX(Data_DBD!$F:$F,$A132)</f>
        <v>3</v>
      </c>
      <c r="H132" s="32">
        <v>101</v>
      </c>
      <c r="I132" s="32">
        <v>42</v>
      </c>
      <c r="J132" s="32">
        <v>5</v>
      </c>
      <c r="K132" s="32">
        <v>18</v>
      </c>
      <c r="L132" s="32">
        <v>0</v>
      </c>
      <c r="M132" s="32">
        <v>3</v>
      </c>
    </row>
    <row r="133" spans="1:13">
      <c r="A133" s="32">
        <f t="shared" ca="1" si="2"/>
        <v>145</v>
      </c>
      <c r="B133" s="32" cm="1">
        <f t="array" aca="1" ref="B133" ca="1">INDEX(Data_DBD!$B:$B,$A133)</f>
        <v>28</v>
      </c>
      <c r="C133" s="32" cm="1">
        <f t="array" aca="1" ref="C133" ca="1">INDEX(Data_DBD!$C:$C,$A133)</f>
        <v>4</v>
      </c>
      <c r="D133" s="32" cm="1">
        <f t="array" aca="1" ref="D133" ca="1">INDEX(Data_DBD!$D:$D,$A133)</f>
        <v>21</v>
      </c>
      <c r="E133" s="32" cm="1">
        <f t="array" aca="1" ref="E133" ca="1">INDEX(Data_DBD!$E:$E,$A133)</f>
        <v>1</v>
      </c>
      <c r="F133" s="32" cm="1">
        <f t="array" aca="1" ref="F133" ca="1">INDEX(Data_DBD!$F:$F,$A133)</f>
        <v>3</v>
      </c>
      <c r="H133" s="32">
        <v>39</v>
      </c>
      <c r="I133" s="32">
        <v>12</v>
      </c>
      <c r="J133" s="32">
        <v>5</v>
      </c>
      <c r="K133" s="32">
        <v>13</v>
      </c>
      <c r="L133" s="32">
        <v>1</v>
      </c>
      <c r="M133" s="32">
        <v>2</v>
      </c>
    </row>
    <row r="134" spans="1:13">
      <c r="A134" s="32">
        <f t="shared" ca="1" si="2"/>
        <v>62</v>
      </c>
      <c r="B134" s="32" cm="1">
        <f t="array" aca="1" ref="B134" ca="1">INDEX(Data_DBD!$B:$B,$A134)</f>
        <v>43</v>
      </c>
      <c r="C134" s="32" cm="1">
        <f t="array" aca="1" ref="C134" ca="1">INDEX(Data_DBD!$C:$C,$A134)</f>
        <v>4</v>
      </c>
      <c r="D134" s="32" cm="1">
        <f t="array" aca="1" ref="D134" ca="1">INDEX(Data_DBD!$D:$D,$A134)</f>
        <v>15</v>
      </c>
      <c r="E134" s="32" cm="1">
        <f t="array" aca="1" ref="E134" ca="1">INDEX(Data_DBD!$E:$E,$A134)</f>
        <v>1</v>
      </c>
      <c r="F134" s="32" cm="1">
        <f t="array" aca="1" ref="F134" ca="1">INDEX(Data_DBD!$F:$F,$A134)</f>
        <v>2</v>
      </c>
      <c r="H134" s="32">
        <v>130</v>
      </c>
      <c r="I134" s="32">
        <v>12</v>
      </c>
      <c r="J134" s="32">
        <v>4</v>
      </c>
      <c r="K134" s="32">
        <v>33</v>
      </c>
      <c r="L134" s="32">
        <v>0</v>
      </c>
      <c r="M134" s="32">
        <v>3</v>
      </c>
    </row>
    <row r="135" spans="1:13">
      <c r="A135" s="32">
        <f t="shared" ca="1" si="2"/>
        <v>68</v>
      </c>
      <c r="B135" s="32" cm="1">
        <f t="array" aca="1" ref="B135" ca="1">INDEX(Data_DBD!$B:$B,$A135)</f>
        <v>44</v>
      </c>
      <c r="C135" s="32" cm="1">
        <f t="array" aca="1" ref="C135" ca="1">INDEX(Data_DBD!$C:$C,$A135)</f>
        <v>5</v>
      </c>
      <c r="D135" s="32" cm="1">
        <f t="array" aca="1" ref="D135" ca="1">INDEX(Data_DBD!$D:$D,$A135)</f>
        <v>10</v>
      </c>
      <c r="E135" s="32" cm="1">
        <f t="array" aca="1" ref="E135" ca="1">INDEX(Data_DBD!$E:$E,$A135)</f>
        <v>0</v>
      </c>
      <c r="F135" s="32" cm="1">
        <f t="array" aca="1" ref="F135" ca="1">INDEX(Data_DBD!$F:$F,$A135)</f>
        <v>2</v>
      </c>
      <c r="H135" s="32">
        <v>105</v>
      </c>
      <c r="I135" s="32">
        <v>61</v>
      </c>
      <c r="J135" s="32">
        <v>3</v>
      </c>
      <c r="K135" s="32">
        <v>18</v>
      </c>
      <c r="L135" s="32">
        <v>1</v>
      </c>
      <c r="M135" s="32">
        <v>3</v>
      </c>
    </row>
    <row r="136" spans="1:13">
      <c r="A136" s="32">
        <f t="shared" ca="1" si="2"/>
        <v>4</v>
      </c>
      <c r="B136" s="32" cm="1">
        <f t="array" aca="1" ref="B136" ca="1">INDEX(Data_DBD!$B:$B,$A136)</f>
        <v>23</v>
      </c>
      <c r="C136" s="32" cm="1">
        <f t="array" aca="1" ref="C136" ca="1">INDEX(Data_DBD!$C:$C,$A136)</f>
        <v>5</v>
      </c>
      <c r="D136" s="32" cm="1">
        <f t="array" aca="1" ref="D136" ca="1">INDEX(Data_DBD!$D:$D,$A136)</f>
        <v>12</v>
      </c>
      <c r="E136" s="32" cm="1">
        <f t="array" aca="1" ref="E136" ca="1">INDEX(Data_DBD!$E:$E,$A136)</f>
        <v>0</v>
      </c>
      <c r="F136" s="32" cm="1">
        <f t="array" aca="1" ref="F136" ca="1">INDEX(Data_DBD!$F:$F,$A136)</f>
        <v>2</v>
      </c>
      <c r="H136" s="32">
        <v>91</v>
      </c>
      <c r="I136" s="32">
        <v>35</v>
      </c>
      <c r="J136" s="32">
        <v>1</v>
      </c>
      <c r="K136" s="32">
        <v>18</v>
      </c>
      <c r="L136" s="32">
        <v>1</v>
      </c>
      <c r="M136" s="32">
        <v>3</v>
      </c>
    </row>
    <row r="137" spans="1:13">
      <c r="A137" s="32">
        <f t="shared" ca="1" si="2"/>
        <v>28</v>
      </c>
      <c r="B137" s="32" cm="1">
        <f t="array" aca="1" ref="B137" ca="1">INDEX(Data_DBD!$B:$B,$A137)</f>
        <v>22</v>
      </c>
      <c r="C137" s="32" cm="1">
        <f t="array" aca="1" ref="C137" ca="1">INDEX(Data_DBD!$C:$C,$A137)</f>
        <v>2</v>
      </c>
      <c r="D137" s="32" cm="1">
        <f t="array" aca="1" ref="D137" ca="1">INDEX(Data_DBD!$D:$D,$A137)</f>
        <v>14</v>
      </c>
      <c r="E137" s="32" cm="1">
        <f t="array" aca="1" ref="E137" ca="1">INDEX(Data_DBD!$E:$E,$A137)</f>
        <v>1</v>
      </c>
      <c r="F137" s="32" cm="1">
        <f t="array" aca="1" ref="F137" ca="1">INDEX(Data_DBD!$F:$F,$A137)</f>
        <v>2</v>
      </c>
      <c r="H137" s="32">
        <v>162</v>
      </c>
      <c r="I137" s="32">
        <v>22</v>
      </c>
      <c r="J137" s="32">
        <v>3</v>
      </c>
      <c r="K137" s="32">
        <v>3</v>
      </c>
      <c r="L137" s="32">
        <v>1</v>
      </c>
      <c r="M137" s="32">
        <v>1</v>
      </c>
    </row>
    <row r="138" spans="1:13">
      <c r="A138" s="32">
        <f t="shared" ca="1" si="2"/>
        <v>78</v>
      </c>
      <c r="B138" s="32" cm="1">
        <f t="array" aca="1" ref="B138" ca="1">INDEX(Data_DBD!$B:$B,$A138)</f>
        <v>6</v>
      </c>
      <c r="C138" s="32" cm="1">
        <f t="array" aca="1" ref="C138" ca="1">INDEX(Data_DBD!$C:$C,$A138)</f>
        <v>3</v>
      </c>
      <c r="D138" s="32" cm="1">
        <f t="array" aca="1" ref="D138" ca="1">INDEX(Data_DBD!$D:$D,$A138)</f>
        <v>13</v>
      </c>
      <c r="E138" s="32" cm="1">
        <f t="array" aca="1" ref="E138" ca="1">INDEX(Data_DBD!$E:$E,$A138)</f>
        <v>0</v>
      </c>
      <c r="F138" s="32" cm="1">
        <f t="array" aca="1" ref="F138" ca="1">INDEX(Data_DBD!$F:$F,$A138)</f>
        <v>2</v>
      </c>
      <c r="H138" s="32">
        <v>134</v>
      </c>
      <c r="I138" s="32">
        <v>4</v>
      </c>
      <c r="J138" s="32">
        <v>2</v>
      </c>
      <c r="K138" s="32">
        <v>33</v>
      </c>
      <c r="L138" s="32">
        <v>1</v>
      </c>
      <c r="M138" s="32">
        <v>3</v>
      </c>
    </row>
    <row r="139" spans="1:13">
      <c r="A139" s="32">
        <f t="shared" ca="1" si="2"/>
        <v>156</v>
      </c>
      <c r="B139" s="32" cm="1">
        <f t="array" aca="1" ref="B139" ca="1">INDEX(Data_DBD!$B:$B,$A139)</f>
        <v>5</v>
      </c>
      <c r="C139" s="32" cm="1">
        <f t="array" aca="1" ref="C139" ca="1">INDEX(Data_DBD!$C:$C,$A139)</f>
        <v>2</v>
      </c>
      <c r="D139" s="32" cm="1">
        <f t="array" aca="1" ref="D139" ca="1">INDEX(Data_DBD!$D:$D,$A139)</f>
        <v>21</v>
      </c>
      <c r="E139" s="32" cm="1">
        <f t="array" aca="1" ref="E139" ca="1">INDEX(Data_DBD!$E:$E,$A139)</f>
        <v>0</v>
      </c>
      <c r="F139" s="32" cm="1">
        <f t="array" aca="1" ref="F139" ca="1">INDEX(Data_DBD!$F:$F,$A139)</f>
        <v>3</v>
      </c>
      <c r="H139" s="32">
        <v>144</v>
      </c>
      <c r="I139" s="32">
        <v>61</v>
      </c>
      <c r="J139" s="32">
        <v>4</v>
      </c>
      <c r="K139" s="32">
        <v>21</v>
      </c>
      <c r="L139" s="32">
        <v>1</v>
      </c>
      <c r="M139" s="32">
        <v>3</v>
      </c>
    </row>
    <row r="140" spans="1:13">
      <c r="A140" s="32">
        <f t="shared" ca="1" si="2"/>
        <v>114</v>
      </c>
      <c r="B140" s="32" cm="1">
        <f t="array" aca="1" ref="B140" ca="1">INDEX(Data_DBD!$B:$B,$A140)</f>
        <v>14</v>
      </c>
      <c r="C140" s="32" cm="1">
        <f t="array" aca="1" ref="C140" ca="1">INDEX(Data_DBD!$C:$C,$A140)</f>
        <v>2</v>
      </c>
      <c r="D140" s="32" cm="1">
        <f t="array" aca="1" ref="D140" ca="1">INDEX(Data_DBD!$D:$D,$A140)</f>
        <v>33</v>
      </c>
      <c r="E140" s="32" cm="1">
        <f t="array" aca="1" ref="E140" ca="1">INDEX(Data_DBD!$E:$E,$A140)</f>
        <v>1</v>
      </c>
      <c r="F140" s="32" cm="1">
        <f t="array" aca="1" ref="F140" ca="1">INDEX(Data_DBD!$F:$F,$A140)</f>
        <v>3</v>
      </c>
      <c r="H140" s="32">
        <v>4</v>
      </c>
      <c r="I140" s="32">
        <v>23</v>
      </c>
      <c r="J140" s="32">
        <v>5</v>
      </c>
      <c r="K140" s="32">
        <v>12</v>
      </c>
      <c r="L140" s="32">
        <v>0</v>
      </c>
      <c r="M140" s="32">
        <v>2</v>
      </c>
    </row>
    <row r="141" spans="1:13">
      <c r="A141" s="32">
        <f t="shared" ca="1" si="2"/>
        <v>140</v>
      </c>
      <c r="B141" s="32" cm="1">
        <f t="array" aca="1" ref="B141" ca="1">INDEX(Data_DBD!$B:$B,$A141)</f>
        <v>74</v>
      </c>
      <c r="C141" s="32" cm="1">
        <f t="array" aca="1" ref="C141" ca="1">INDEX(Data_DBD!$C:$C,$A141)</f>
        <v>5</v>
      </c>
      <c r="D141" s="32" cm="1">
        <f t="array" aca="1" ref="D141" ca="1">INDEX(Data_DBD!$D:$D,$A141)</f>
        <v>21</v>
      </c>
      <c r="E141" s="32" cm="1">
        <f t="array" aca="1" ref="E141" ca="1">INDEX(Data_DBD!$E:$E,$A141)</f>
        <v>1</v>
      </c>
      <c r="F141" s="32" cm="1">
        <f t="array" aca="1" ref="F141" ca="1">INDEX(Data_DBD!$F:$F,$A141)</f>
        <v>3</v>
      </c>
      <c r="H141" s="32">
        <v>158</v>
      </c>
      <c r="I141" s="32">
        <v>5</v>
      </c>
      <c r="J141" s="32">
        <v>2</v>
      </c>
      <c r="K141" s="32">
        <v>21</v>
      </c>
      <c r="L141" s="32">
        <v>0</v>
      </c>
      <c r="M141" s="32">
        <v>3</v>
      </c>
    </row>
    <row r="142" spans="1:13">
      <c r="A142" s="32">
        <f t="shared" ca="1" si="2"/>
        <v>47</v>
      </c>
      <c r="B142" s="32" cm="1">
        <f t="array" aca="1" ref="B142" ca="1">INDEX(Data_DBD!$B:$B,$A142)</f>
        <v>19</v>
      </c>
      <c r="C142" s="32" cm="1">
        <f t="array" aca="1" ref="C142" ca="1">INDEX(Data_DBD!$C:$C,$A142)</f>
        <v>2</v>
      </c>
      <c r="D142" s="32" cm="1">
        <f t="array" aca="1" ref="D142" ca="1">INDEX(Data_DBD!$D:$D,$A142)</f>
        <v>13</v>
      </c>
      <c r="E142" s="32" cm="1">
        <f t="array" aca="1" ref="E142" ca="1">INDEX(Data_DBD!$E:$E,$A142)</f>
        <v>0</v>
      </c>
      <c r="F142" s="32" cm="1">
        <f t="array" aca="1" ref="F142" ca="1">INDEX(Data_DBD!$F:$F,$A142)</f>
        <v>2</v>
      </c>
      <c r="H142" s="32">
        <v>6</v>
      </c>
      <c r="I142" s="32">
        <v>14</v>
      </c>
      <c r="J142" s="32">
        <v>4</v>
      </c>
      <c r="K142" s="32">
        <v>12</v>
      </c>
      <c r="L142" s="32">
        <v>0</v>
      </c>
      <c r="M142" s="32">
        <v>2</v>
      </c>
    </row>
    <row r="143" spans="1:13">
      <c r="A143" s="32">
        <f t="shared" ca="1" si="2"/>
        <v>114</v>
      </c>
      <c r="B143" s="32" cm="1">
        <f t="array" aca="1" ref="B143" ca="1">INDEX(Data_DBD!$B:$B,$A143)</f>
        <v>14</v>
      </c>
      <c r="C143" s="32" cm="1">
        <f t="array" aca="1" ref="C143" ca="1">INDEX(Data_DBD!$C:$C,$A143)</f>
        <v>2</v>
      </c>
      <c r="D143" s="32" cm="1">
        <f t="array" aca="1" ref="D143" ca="1">INDEX(Data_DBD!$D:$D,$A143)</f>
        <v>33</v>
      </c>
      <c r="E143" s="32" cm="1">
        <f t="array" aca="1" ref="E143" ca="1">INDEX(Data_DBD!$E:$E,$A143)</f>
        <v>1</v>
      </c>
      <c r="F143" s="32" cm="1">
        <f t="array" aca="1" ref="F143" ca="1">INDEX(Data_DBD!$F:$F,$A143)</f>
        <v>3</v>
      </c>
      <c r="H143" s="32">
        <v>160</v>
      </c>
      <c r="I143" s="32">
        <v>16</v>
      </c>
      <c r="J143" s="32">
        <v>3</v>
      </c>
      <c r="K143" s="32">
        <v>21</v>
      </c>
      <c r="L143" s="32">
        <v>0</v>
      </c>
      <c r="M143" s="32">
        <v>3</v>
      </c>
    </row>
    <row r="144" spans="1:13">
      <c r="A144" s="32">
        <f t="shared" ca="1" si="2"/>
        <v>56</v>
      </c>
      <c r="B144" s="32" cm="1">
        <f t="array" aca="1" ref="B144" ca="1">INDEX(Data_DBD!$B:$B,$A144)</f>
        <v>4</v>
      </c>
      <c r="C144" s="32" cm="1">
        <f t="array" aca="1" ref="C144" ca="1">INDEX(Data_DBD!$C:$C,$A144)</f>
        <v>3</v>
      </c>
      <c r="D144" s="32" cm="1">
        <f t="array" aca="1" ref="D144" ca="1">INDEX(Data_DBD!$D:$D,$A144)</f>
        <v>15</v>
      </c>
      <c r="E144" s="32" cm="1">
        <f t="array" aca="1" ref="E144" ca="1">INDEX(Data_DBD!$E:$E,$A144)</f>
        <v>0</v>
      </c>
      <c r="F144" s="32" cm="1">
        <f t="array" aca="1" ref="F144" ca="1">INDEX(Data_DBD!$F:$F,$A144)</f>
        <v>2</v>
      </c>
      <c r="H144" s="32">
        <v>36</v>
      </c>
      <c r="I144" s="32">
        <v>27</v>
      </c>
      <c r="J144" s="32">
        <v>1</v>
      </c>
      <c r="K144" s="32">
        <v>4</v>
      </c>
      <c r="L144" s="32">
        <v>1</v>
      </c>
      <c r="M144" s="32">
        <v>1</v>
      </c>
    </row>
    <row r="145" spans="1:13">
      <c r="A145" s="32">
        <f t="shared" ca="1" si="2"/>
        <v>91</v>
      </c>
      <c r="B145" s="32" cm="1">
        <f t="array" aca="1" ref="B145" ca="1">INDEX(Data_DBD!$B:$B,$A145)</f>
        <v>35</v>
      </c>
      <c r="C145" s="32" cm="1">
        <f t="array" aca="1" ref="C145" ca="1">INDEX(Data_DBD!$C:$C,$A145)</f>
        <v>1</v>
      </c>
      <c r="D145" s="32" cm="1">
        <f t="array" aca="1" ref="D145" ca="1">INDEX(Data_DBD!$D:$D,$A145)</f>
        <v>18</v>
      </c>
      <c r="E145" s="32" cm="1">
        <f t="array" aca="1" ref="E145" ca="1">INDEX(Data_DBD!$E:$E,$A145)</f>
        <v>1</v>
      </c>
      <c r="F145" s="32" cm="1">
        <f t="array" aca="1" ref="F145" ca="1">INDEX(Data_DBD!$F:$F,$A145)</f>
        <v>3</v>
      </c>
      <c r="H145" s="32">
        <v>14</v>
      </c>
      <c r="I145" s="32">
        <v>49</v>
      </c>
      <c r="J145" s="32">
        <v>4</v>
      </c>
      <c r="K145" s="32">
        <v>7</v>
      </c>
      <c r="L145" s="32">
        <v>1</v>
      </c>
      <c r="M145" s="32">
        <v>1</v>
      </c>
    </row>
    <row r="146" spans="1:13">
      <c r="A146" s="32">
        <f t="shared" ca="1" si="2"/>
        <v>123</v>
      </c>
      <c r="B146" s="32" cm="1">
        <f t="array" aca="1" ref="B146" ca="1">INDEX(Data_DBD!$B:$B,$A146)</f>
        <v>22</v>
      </c>
      <c r="C146" s="32" cm="1">
        <f t="array" aca="1" ref="C146" ca="1">INDEX(Data_DBD!$C:$C,$A146)</f>
        <v>4</v>
      </c>
      <c r="D146" s="32" cm="1">
        <f t="array" aca="1" ref="D146" ca="1">INDEX(Data_DBD!$D:$D,$A146)</f>
        <v>33</v>
      </c>
      <c r="E146" s="32" cm="1">
        <f t="array" aca="1" ref="E146" ca="1">INDEX(Data_DBD!$E:$E,$A146)</f>
        <v>0</v>
      </c>
      <c r="F146" s="32" cm="1">
        <f t="array" aca="1" ref="F146" ca="1">INDEX(Data_DBD!$F:$F,$A146)</f>
        <v>3</v>
      </c>
      <c r="H146" s="32">
        <v>19</v>
      </c>
      <c r="I146" s="32">
        <v>8</v>
      </c>
      <c r="J146" s="32">
        <v>4</v>
      </c>
      <c r="K146" s="32">
        <v>7</v>
      </c>
      <c r="L146" s="32">
        <v>0</v>
      </c>
      <c r="M146" s="32">
        <v>1</v>
      </c>
    </row>
    <row r="147" spans="1:13">
      <c r="A147" s="32">
        <f t="shared" ca="1" si="2"/>
        <v>157</v>
      </c>
      <c r="B147" s="32" cm="1">
        <f t="array" aca="1" ref="B147" ca="1">INDEX(Data_DBD!$B:$B,$A147)</f>
        <v>15</v>
      </c>
      <c r="C147" s="32" cm="1">
        <f t="array" aca="1" ref="C147" ca="1">INDEX(Data_DBD!$C:$C,$A147)</f>
        <v>4</v>
      </c>
      <c r="D147" s="32" cm="1">
        <f t="array" aca="1" ref="D147" ca="1">INDEX(Data_DBD!$D:$D,$A147)</f>
        <v>21</v>
      </c>
      <c r="E147" s="32" cm="1">
        <f t="array" aca="1" ref="E147" ca="1">INDEX(Data_DBD!$E:$E,$A147)</f>
        <v>1</v>
      </c>
      <c r="F147" s="32" cm="1">
        <f t="array" aca="1" ref="F147" ca="1">INDEX(Data_DBD!$F:$F,$A147)</f>
        <v>3</v>
      </c>
      <c r="H147" s="32">
        <v>82</v>
      </c>
      <c r="I147" s="32">
        <v>28</v>
      </c>
      <c r="J147" s="32">
        <v>3</v>
      </c>
      <c r="K147" s="32">
        <v>13</v>
      </c>
      <c r="L147" s="32">
        <v>1</v>
      </c>
      <c r="M147" s="32">
        <v>2</v>
      </c>
    </row>
    <row r="148" spans="1:13">
      <c r="A148" s="32">
        <f t="shared" ca="1" si="2"/>
        <v>27</v>
      </c>
      <c r="B148" s="32" cm="1">
        <f t="array" aca="1" ref="B148" ca="1">INDEX(Data_DBD!$B:$B,$A148)</f>
        <v>37</v>
      </c>
      <c r="C148" s="32" cm="1">
        <f t="array" aca="1" ref="C148" ca="1">INDEX(Data_DBD!$C:$C,$A148)</f>
        <v>4</v>
      </c>
      <c r="D148" s="32" cm="1">
        <f t="array" aca="1" ref="D148" ca="1">INDEX(Data_DBD!$D:$D,$A148)</f>
        <v>14</v>
      </c>
      <c r="E148" s="32" cm="1">
        <f t="array" aca="1" ref="E148" ca="1">INDEX(Data_DBD!$E:$E,$A148)</f>
        <v>1</v>
      </c>
      <c r="F148" s="32" cm="1">
        <f t="array" aca="1" ref="F148" ca="1">INDEX(Data_DBD!$F:$F,$A148)</f>
        <v>2</v>
      </c>
      <c r="H148" s="32">
        <v>27</v>
      </c>
      <c r="I148" s="32">
        <v>37</v>
      </c>
      <c r="J148" s="32">
        <v>4</v>
      </c>
      <c r="K148" s="32">
        <v>14</v>
      </c>
      <c r="L148" s="32">
        <v>1</v>
      </c>
      <c r="M148" s="32">
        <v>2</v>
      </c>
    </row>
    <row r="149" spans="1:13">
      <c r="A149" s="32">
        <f t="shared" ca="1" si="2"/>
        <v>138</v>
      </c>
      <c r="B149" s="32" cm="1">
        <f t="array" aca="1" ref="B149" ca="1">INDEX(Data_DBD!$B:$B,$A149)</f>
        <v>13</v>
      </c>
      <c r="C149" s="32" cm="1">
        <f t="array" aca="1" ref="C149" ca="1">INDEX(Data_DBD!$C:$C,$A149)</f>
        <v>3</v>
      </c>
      <c r="D149" s="32" cm="1">
        <f t="array" aca="1" ref="D149" ca="1">INDEX(Data_DBD!$D:$D,$A149)</f>
        <v>33</v>
      </c>
      <c r="E149" s="32" cm="1">
        <f t="array" aca="1" ref="E149" ca="1">INDEX(Data_DBD!$E:$E,$A149)</f>
        <v>1</v>
      </c>
      <c r="F149" s="32" cm="1">
        <f t="array" aca="1" ref="F149" ca="1">INDEX(Data_DBD!$F:$F,$A149)</f>
        <v>3</v>
      </c>
      <c r="H149" s="32">
        <v>59</v>
      </c>
      <c r="I149" s="32">
        <v>28</v>
      </c>
      <c r="J149" s="32">
        <v>4</v>
      </c>
      <c r="K149" s="32">
        <v>15</v>
      </c>
      <c r="L149" s="32">
        <v>0</v>
      </c>
      <c r="M149" s="32">
        <v>2</v>
      </c>
    </row>
    <row r="150" spans="1:13">
      <c r="A150" s="32">
        <f t="shared" ca="1" si="2"/>
        <v>158</v>
      </c>
      <c r="B150" s="32" cm="1">
        <f t="array" aca="1" ref="B150" ca="1">INDEX(Data_DBD!$B:$B,$A150)</f>
        <v>5</v>
      </c>
      <c r="C150" s="32" cm="1">
        <f t="array" aca="1" ref="C150" ca="1">INDEX(Data_DBD!$C:$C,$A150)</f>
        <v>2</v>
      </c>
      <c r="D150" s="32" cm="1">
        <f t="array" aca="1" ref="D150" ca="1">INDEX(Data_DBD!$D:$D,$A150)</f>
        <v>21</v>
      </c>
      <c r="E150" s="32" cm="1">
        <f t="array" aca="1" ref="E150" ca="1">INDEX(Data_DBD!$E:$E,$A150)</f>
        <v>0</v>
      </c>
      <c r="F150" s="32" cm="1">
        <f t="array" aca="1" ref="F150" ca="1">INDEX(Data_DBD!$F:$F,$A150)</f>
        <v>3</v>
      </c>
      <c r="H150" s="32">
        <v>97</v>
      </c>
      <c r="I150" s="32">
        <v>16</v>
      </c>
      <c r="J150" s="32">
        <v>2</v>
      </c>
      <c r="K150" s="32">
        <v>18</v>
      </c>
      <c r="L150" s="32">
        <v>1</v>
      </c>
      <c r="M150" s="32">
        <v>3</v>
      </c>
    </row>
    <row r="151" spans="1:13">
      <c r="A151" s="32">
        <f t="shared" ca="1" si="2"/>
        <v>24</v>
      </c>
      <c r="B151" s="32" cm="1">
        <f t="array" aca="1" ref="B151" ca="1">INDEX(Data_DBD!$B:$B,$A151)</f>
        <v>60</v>
      </c>
      <c r="C151" s="32" cm="1">
        <f t="array" aca="1" ref="C151" ca="1">INDEX(Data_DBD!$C:$C,$A151)</f>
        <v>4</v>
      </c>
      <c r="D151" s="32" cm="1">
        <f t="array" aca="1" ref="D151" ca="1">INDEX(Data_DBD!$D:$D,$A151)</f>
        <v>14</v>
      </c>
      <c r="E151" s="32" cm="1">
        <f t="array" aca="1" ref="E151" ca="1">INDEX(Data_DBD!$E:$E,$A151)</f>
        <v>0</v>
      </c>
      <c r="F151" s="32" cm="1">
        <f t="array" aca="1" ref="F151" ca="1">INDEX(Data_DBD!$F:$F,$A151)</f>
        <v>2</v>
      </c>
      <c r="H151" s="32">
        <v>29</v>
      </c>
      <c r="I151" s="32">
        <v>19</v>
      </c>
      <c r="J151" s="32">
        <v>2</v>
      </c>
      <c r="K151" s="32">
        <v>14</v>
      </c>
      <c r="L151" s="32">
        <v>1</v>
      </c>
      <c r="M151" s="32">
        <v>2</v>
      </c>
    </row>
    <row r="152" spans="1:13">
      <c r="A152" s="32">
        <f t="shared" ca="1" si="2"/>
        <v>4</v>
      </c>
      <c r="B152" s="32" cm="1">
        <f t="array" aca="1" ref="B152" ca="1">INDEX(Data_DBD!$B:$B,$A152)</f>
        <v>23</v>
      </c>
      <c r="C152" s="32" cm="1">
        <f t="array" aca="1" ref="C152" ca="1">INDEX(Data_DBD!$C:$C,$A152)</f>
        <v>5</v>
      </c>
      <c r="D152" s="32" cm="1">
        <f t="array" aca="1" ref="D152" ca="1">INDEX(Data_DBD!$D:$D,$A152)</f>
        <v>12</v>
      </c>
      <c r="E152" s="32" cm="1">
        <f t="array" aca="1" ref="E152" ca="1">INDEX(Data_DBD!$E:$E,$A152)</f>
        <v>0</v>
      </c>
      <c r="F152" s="32" cm="1">
        <f t="array" aca="1" ref="F152" ca="1">INDEX(Data_DBD!$F:$F,$A152)</f>
        <v>2</v>
      </c>
      <c r="H152" s="32">
        <v>27</v>
      </c>
      <c r="I152" s="32">
        <v>37</v>
      </c>
      <c r="J152" s="32">
        <v>4</v>
      </c>
      <c r="K152" s="32">
        <v>14</v>
      </c>
      <c r="L152" s="32">
        <v>1</v>
      </c>
      <c r="M152" s="32">
        <v>2</v>
      </c>
    </row>
    <row r="153" spans="1:13">
      <c r="A153" s="32">
        <f t="shared" ca="1" si="2"/>
        <v>23</v>
      </c>
      <c r="B153" s="32" cm="1">
        <f t="array" aca="1" ref="B153" ca="1">INDEX(Data_DBD!$B:$B,$A153)</f>
        <v>28</v>
      </c>
      <c r="C153" s="32" cm="1">
        <f t="array" aca="1" ref="C153" ca="1">INDEX(Data_DBD!$C:$C,$A153)</f>
        <v>4</v>
      </c>
      <c r="D153" s="32" cm="1">
        <f t="array" aca="1" ref="D153" ca="1">INDEX(Data_DBD!$D:$D,$A153)</f>
        <v>14</v>
      </c>
      <c r="E153" s="32" cm="1">
        <f t="array" aca="1" ref="E153" ca="1">INDEX(Data_DBD!$E:$E,$A153)</f>
        <v>1</v>
      </c>
      <c r="F153" s="32" cm="1">
        <f t="array" aca="1" ref="F153" ca="1">INDEX(Data_DBD!$F:$F,$A153)</f>
        <v>2</v>
      </c>
      <c r="H153" s="32">
        <v>29</v>
      </c>
      <c r="I153" s="32">
        <v>19</v>
      </c>
      <c r="J153" s="32">
        <v>2</v>
      </c>
      <c r="K153" s="32">
        <v>14</v>
      </c>
      <c r="L153" s="32">
        <v>1</v>
      </c>
      <c r="M153" s="32">
        <v>2</v>
      </c>
    </row>
    <row r="154" spans="1:13">
      <c r="A154" s="32">
        <f t="shared" ca="1" si="2"/>
        <v>125</v>
      </c>
      <c r="B154" s="32" cm="1">
        <f t="array" aca="1" ref="B154" ca="1">INDEX(Data_DBD!$B:$B,$A154)</f>
        <v>39</v>
      </c>
      <c r="C154" s="32" cm="1">
        <f t="array" aca="1" ref="C154" ca="1">INDEX(Data_DBD!$C:$C,$A154)</f>
        <v>4</v>
      </c>
      <c r="D154" s="32" cm="1">
        <f t="array" aca="1" ref="D154" ca="1">INDEX(Data_DBD!$D:$D,$A154)</f>
        <v>33</v>
      </c>
      <c r="E154" s="32" cm="1">
        <f t="array" aca="1" ref="E154" ca="1">INDEX(Data_DBD!$E:$E,$A154)</f>
        <v>0</v>
      </c>
      <c r="F154" s="32" cm="1">
        <f t="array" aca="1" ref="F154" ca="1">INDEX(Data_DBD!$F:$F,$A154)</f>
        <v>3</v>
      </c>
      <c r="H154" s="32">
        <v>154</v>
      </c>
      <c r="I154" s="32">
        <v>18</v>
      </c>
      <c r="J154" s="32">
        <v>5</v>
      </c>
      <c r="K154" s="32">
        <v>21</v>
      </c>
      <c r="L154" s="32">
        <v>1</v>
      </c>
      <c r="M154" s="32">
        <v>3</v>
      </c>
    </row>
    <row r="155" spans="1:13">
      <c r="A155" s="32">
        <f t="shared" ca="1" si="2"/>
        <v>110</v>
      </c>
      <c r="B155" s="32" cm="1">
        <f t="array" aca="1" ref="B155" ca="1">INDEX(Data_DBD!$B:$B,$A155)</f>
        <v>42</v>
      </c>
      <c r="C155" s="32" cm="1">
        <f t="array" aca="1" ref="C155" ca="1">INDEX(Data_DBD!$C:$C,$A155)</f>
        <v>2</v>
      </c>
      <c r="D155" s="32" cm="1">
        <f t="array" aca="1" ref="D155" ca="1">INDEX(Data_DBD!$D:$D,$A155)</f>
        <v>33</v>
      </c>
      <c r="E155" s="32" cm="1">
        <f t="array" aca="1" ref="E155" ca="1">INDEX(Data_DBD!$E:$E,$A155)</f>
        <v>1</v>
      </c>
      <c r="F155" s="32" cm="1">
        <f t="array" aca="1" ref="F155" ca="1">INDEX(Data_DBD!$F:$F,$A155)</f>
        <v>3</v>
      </c>
      <c r="H155" s="32">
        <v>100</v>
      </c>
      <c r="I155" s="32">
        <v>19</v>
      </c>
      <c r="J155" s="32">
        <v>6</v>
      </c>
      <c r="K155" s="32">
        <v>18</v>
      </c>
      <c r="L155" s="32">
        <v>0</v>
      </c>
      <c r="M155" s="32">
        <v>3</v>
      </c>
    </row>
    <row r="156" spans="1:13">
      <c r="A156" s="32">
        <f t="shared" ca="1" si="2"/>
        <v>146</v>
      </c>
      <c r="B156" s="32" cm="1">
        <f t="array" aca="1" ref="B156" ca="1">INDEX(Data_DBD!$B:$B,$A156)</f>
        <v>34</v>
      </c>
      <c r="C156" s="32" cm="1">
        <f t="array" aca="1" ref="C156" ca="1">INDEX(Data_DBD!$C:$C,$A156)</f>
        <v>2</v>
      </c>
      <c r="D156" s="32" cm="1">
        <f t="array" aca="1" ref="D156" ca="1">INDEX(Data_DBD!$D:$D,$A156)</f>
        <v>21</v>
      </c>
      <c r="E156" s="32" cm="1">
        <f t="array" aca="1" ref="E156" ca="1">INDEX(Data_DBD!$E:$E,$A156)</f>
        <v>1</v>
      </c>
      <c r="F156" s="32" cm="1">
        <f t="array" aca="1" ref="F156" ca="1">INDEX(Data_DBD!$F:$F,$A156)</f>
        <v>3</v>
      </c>
      <c r="H156" s="32">
        <v>163</v>
      </c>
      <c r="I156" s="32">
        <v>34</v>
      </c>
      <c r="J156" s="32">
        <v>4</v>
      </c>
      <c r="K156" s="32">
        <v>3</v>
      </c>
      <c r="L156" s="32">
        <v>1</v>
      </c>
      <c r="M156" s="32">
        <v>1</v>
      </c>
    </row>
    <row r="157" spans="1:13">
      <c r="A157" s="32">
        <f t="shared" ca="1" si="2"/>
        <v>23</v>
      </c>
      <c r="B157" s="32" cm="1">
        <f t="array" aca="1" ref="B157" ca="1">INDEX(Data_DBD!$B:$B,$A157)</f>
        <v>28</v>
      </c>
      <c r="C157" s="32" cm="1">
        <f t="array" aca="1" ref="C157" ca="1">INDEX(Data_DBD!$C:$C,$A157)</f>
        <v>4</v>
      </c>
      <c r="D157" s="32" cm="1">
        <f t="array" aca="1" ref="D157" ca="1">INDEX(Data_DBD!$D:$D,$A157)</f>
        <v>14</v>
      </c>
      <c r="E157" s="32" cm="1">
        <f t="array" aca="1" ref="E157" ca="1">INDEX(Data_DBD!$E:$E,$A157)</f>
        <v>1</v>
      </c>
      <c r="F157" s="32" cm="1">
        <f t="array" aca="1" ref="F157" ca="1">INDEX(Data_DBD!$F:$F,$A157)</f>
        <v>2</v>
      </c>
      <c r="H157" s="32">
        <v>146</v>
      </c>
      <c r="I157" s="32">
        <v>34</v>
      </c>
      <c r="J157" s="32">
        <v>2</v>
      </c>
      <c r="K157" s="32">
        <v>21</v>
      </c>
      <c r="L157" s="32">
        <v>1</v>
      </c>
      <c r="M157" s="32">
        <v>3</v>
      </c>
    </row>
    <row r="158" spans="1:13" ht="15.75">
      <c r="A158" s="32">
        <f t="shared" ca="1" si="2"/>
        <v>163</v>
      </c>
      <c r="B158" s="32" cm="1">
        <f t="array" aca="1" ref="B158" ca="1">INDEX(Data_DBD!$B:$B,$A158)</f>
        <v>34</v>
      </c>
      <c r="C158" s="32" cm="1">
        <f t="array" aca="1" ref="C158" ca="1">INDEX(Data_DBD!$C:$C,$A158)</f>
        <v>4</v>
      </c>
      <c r="D158" s="32" cm="1">
        <f t="array" aca="1" ref="D158" ca="1">INDEX(Data_DBD!$D:$D,$A158)</f>
        <v>3</v>
      </c>
      <c r="E158" s="32" cm="1">
        <f t="array" aca="1" ref="E158" ca="1">INDEX(Data_DBD!$E:$E,$A158)</f>
        <v>1</v>
      </c>
      <c r="F158" s="32" cm="1">
        <f t="array" aca="1" ref="F158" ca="1">INDEX(Data_DBD!$F:$F,$A158)</f>
        <v>1</v>
      </c>
      <c r="H158" s="32">
        <v>131</v>
      </c>
      <c r="I158" s="32">
        <v>10</v>
      </c>
      <c r="J158" s="32">
        <v>2</v>
      </c>
      <c r="K158" s="32">
        <v>33</v>
      </c>
      <c r="L158" s="58">
        <v>0</v>
      </c>
      <c r="M158" s="32">
        <v>3</v>
      </c>
    </row>
    <row r="159" spans="1:13" ht="15.75">
      <c r="A159" s="32">
        <f t="shared" ca="1" si="2"/>
        <v>133</v>
      </c>
      <c r="B159" s="32" cm="1">
        <f t="array" aca="1" ref="B159" ca="1">INDEX(Data_DBD!$B:$B,$A159)</f>
        <v>6</v>
      </c>
      <c r="C159" s="32" cm="1">
        <f t="array" aca="1" ref="C159" ca="1">INDEX(Data_DBD!$C:$C,$A159)</f>
        <v>4</v>
      </c>
      <c r="D159" s="32" cm="1">
        <f t="array" aca="1" ref="D159" ca="1">INDEX(Data_DBD!$D:$D,$A159)</f>
        <v>33</v>
      </c>
      <c r="E159" s="32" cm="1">
        <f t="array" aca="1" ref="E159" ca="1">INDEX(Data_DBD!$E:$E,$A159)</f>
        <v>0</v>
      </c>
      <c r="F159" s="32" cm="1">
        <f t="array" aca="1" ref="F159" ca="1">INDEX(Data_DBD!$F:$F,$A159)</f>
        <v>3</v>
      </c>
      <c r="H159" s="32">
        <v>129</v>
      </c>
      <c r="I159" s="32">
        <v>4.5</v>
      </c>
      <c r="J159" s="32">
        <v>3</v>
      </c>
      <c r="K159" s="32">
        <v>33</v>
      </c>
      <c r="L159" s="59">
        <v>0</v>
      </c>
      <c r="M159" s="32">
        <v>3</v>
      </c>
    </row>
    <row r="160" spans="1:13" ht="15.75">
      <c r="A160" s="32">
        <f t="shared" ca="1" si="2"/>
        <v>150</v>
      </c>
      <c r="B160" s="32" cm="1">
        <f t="array" aca="1" ref="B160" ca="1">INDEX(Data_DBD!$B:$B,$A160)</f>
        <v>61</v>
      </c>
      <c r="C160" s="32" cm="1">
        <f t="array" aca="1" ref="C160" ca="1">INDEX(Data_DBD!$C:$C,$A160)</f>
        <v>5</v>
      </c>
      <c r="D160" s="32" cm="1">
        <f t="array" aca="1" ref="D160" ca="1">INDEX(Data_DBD!$D:$D,$A160)</f>
        <v>21</v>
      </c>
      <c r="E160" s="32" cm="1">
        <f t="array" aca="1" ref="E160" ca="1">INDEX(Data_DBD!$E:$E,$A160)</f>
        <v>1</v>
      </c>
      <c r="F160" s="32" cm="1">
        <f t="array" aca="1" ref="F160" ca="1">INDEX(Data_DBD!$F:$F,$A160)</f>
        <v>3</v>
      </c>
      <c r="H160" s="32">
        <v>115</v>
      </c>
      <c r="I160" s="32">
        <v>52</v>
      </c>
      <c r="J160" s="32">
        <v>3</v>
      </c>
      <c r="K160" s="32">
        <v>33</v>
      </c>
      <c r="L160" s="60">
        <v>1</v>
      </c>
      <c r="M160" s="32">
        <v>3</v>
      </c>
    </row>
    <row r="161" spans="1:22" ht="15.75">
      <c r="A161" s="32">
        <f t="shared" ca="1" si="2"/>
        <v>68</v>
      </c>
      <c r="B161" s="32" cm="1">
        <f t="array" aca="1" ref="B161" ca="1">INDEX(Data_DBD!$B:$B,$A161)</f>
        <v>44</v>
      </c>
      <c r="C161" s="32" cm="1">
        <f t="array" aca="1" ref="C161" ca="1">INDEX(Data_DBD!$C:$C,$A161)</f>
        <v>5</v>
      </c>
      <c r="D161" s="32" cm="1">
        <f t="array" aca="1" ref="D161" ca="1">INDEX(Data_DBD!$D:$D,$A161)</f>
        <v>10</v>
      </c>
      <c r="E161" s="32" cm="1">
        <f t="array" aca="1" ref="E161" ca="1">INDEX(Data_DBD!$E:$E,$A161)</f>
        <v>0</v>
      </c>
      <c r="F161" s="32" cm="1">
        <f t="array" aca="1" ref="F161" ca="1">INDEX(Data_DBD!$F:$F,$A161)</f>
        <v>2</v>
      </c>
      <c r="H161" s="32">
        <v>37</v>
      </c>
      <c r="I161" s="32">
        <v>28</v>
      </c>
      <c r="J161" s="32">
        <v>4</v>
      </c>
      <c r="K161" s="32">
        <v>4</v>
      </c>
      <c r="L161" s="60">
        <v>1</v>
      </c>
      <c r="M161" s="32">
        <v>1</v>
      </c>
    </row>
    <row r="162" spans="1:22" ht="15.75">
      <c r="A162" s="32">
        <f t="shared" ca="1" si="2"/>
        <v>108</v>
      </c>
      <c r="B162" s="32" cm="1">
        <f t="array" aca="1" ref="B162" ca="1">INDEX(Data_DBD!$B:$B,$A162)</f>
        <v>69</v>
      </c>
      <c r="C162" s="32" cm="1">
        <f t="array" aca="1" ref="C162" ca="1">INDEX(Data_DBD!$C:$C,$A162)</f>
        <v>7</v>
      </c>
      <c r="D162" s="32" cm="1">
        <f t="array" aca="1" ref="D162" ca="1">INDEX(Data_DBD!$D:$D,$A162)</f>
        <v>33</v>
      </c>
      <c r="E162" s="32" cm="1">
        <f t="array" aca="1" ref="E162" ca="1">INDEX(Data_DBD!$E:$E,$A162)</f>
        <v>1</v>
      </c>
      <c r="F162" s="32" cm="1">
        <f t="array" aca="1" ref="F162" ca="1">INDEX(Data_DBD!$F:$F,$A162)</f>
        <v>3</v>
      </c>
      <c r="H162" s="32">
        <v>98</v>
      </c>
      <c r="I162" s="32">
        <v>16</v>
      </c>
      <c r="J162" s="32">
        <v>2</v>
      </c>
      <c r="K162" s="32">
        <v>18</v>
      </c>
      <c r="L162" s="59">
        <v>1</v>
      </c>
      <c r="M162" s="32">
        <v>3</v>
      </c>
    </row>
    <row r="163" spans="1:22" ht="15.75">
      <c r="A163" s="32">
        <f t="shared" ca="1" si="2"/>
        <v>158</v>
      </c>
      <c r="B163" s="32" cm="1">
        <f t="array" aca="1" ref="B163" ca="1">INDEX(Data_DBD!$B:$B,$A163)</f>
        <v>5</v>
      </c>
      <c r="C163" s="32" cm="1">
        <f t="array" aca="1" ref="C163" ca="1">INDEX(Data_DBD!$C:$C,$A163)</f>
        <v>2</v>
      </c>
      <c r="D163" s="32" cm="1">
        <f t="array" aca="1" ref="D163" ca="1">INDEX(Data_DBD!$D:$D,$A163)</f>
        <v>21</v>
      </c>
      <c r="E163" s="32" cm="1">
        <f t="array" aca="1" ref="E163" ca="1">INDEX(Data_DBD!$E:$E,$A163)</f>
        <v>0</v>
      </c>
      <c r="F163" s="32" cm="1">
        <f t="array" aca="1" ref="F163" ca="1">INDEX(Data_DBD!$F:$F,$A163)</f>
        <v>3</v>
      </c>
      <c r="H163" s="32">
        <v>119</v>
      </c>
      <c r="I163" s="32">
        <v>30</v>
      </c>
      <c r="J163" s="32">
        <v>7</v>
      </c>
      <c r="K163" s="32">
        <v>33</v>
      </c>
      <c r="L163" s="60">
        <v>0</v>
      </c>
      <c r="M163" s="32">
        <v>3</v>
      </c>
    </row>
    <row r="164" spans="1:22">
      <c r="A164" s="32">
        <f t="shared" ca="1" si="2"/>
        <v>111</v>
      </c>
      <c r="B164" s="32" cm="1">
        <f t="array" aca="1" ref="B164" ca="1">INDEX(Data_DBD!$B:$B,$A164)</f>
        <v>25</v>
      </c>
      <c r="C164" s="32" cm="1">
        <f t="array" aca="1" ref="C164" ca="1">INDEX(Data_DBD!$C:$C,$A164)</f>
        <v>4</v>
      </c>
      <c r="D164" s="32" cm="1">
        <f t="array" aca="1" ref="D164" ca="1">INDEX(Data_DBD!$D:$D,$A164)</f>
        <v>33</v>
      </c>
      <c r="E164" s="32" cm="1">
        <f t="array" aca="1" ref="E164" ca="1">INDEX(Data_DBD!$E:$E,$A164)</f>
        <v>0</v>
      </c>
      <c r="F164" s="32" cm="1">
        <f t="array" aca="1" ref="F164" ca="1">INDEX(Data_DBD!$F:$F,$A164)</f>
        <v>3</v>
      </c>
      <c r="H164" s="32">
        <v>22</v>
      </c>
      <c r="I164" s="32">
        <v>6</v>
      </c>
      <c r="J164" s="32">
        <v>3</v>
      </c>
      <c r="K164" s="32">
        <v>14</v>
      </c>
      <c r="L164" s="32">
        <v>0</v>
      </c>
      <c r="M164" s="32">
        <v>2</v>
      </c>
    </row>
    <row r="165" spans="1:22">
      <c r="I165">
        <f>AVERAGE(I2:I164)</f>
        <v>28.35276073619632</v>
      </c>
      <c r="J165">
        <f>AVERAGE(J2:J164)</f>
        <v>3.6932515337423313</v>
      </c>
      <c r="K165">
        <f>AVERAGE(K2:K164)</f>
        <v>17.282208588957054</v>
      </c>
      <c r="L165">
        <f>AVERAGE(L2:L164)</f>
        <v>0.55828220858895705</v>
      </c>
    </row>
    <row r="166" spans="1:22">
      <c r="B166">
        <v>9352</v>
      </c>
    </row>
    <row r="168" spans="1:22">
      <c r="E168" s="38" t="s">
        <v>188</v>
      </c>
      <c r="J168" s="38" t="s">
        <v>189</v>
      </c>
      <c r="O168" s="38" t="s">
        <v>190</v>
      </c>
      <c r="T168" s="38" t="s">
        <v>191</v>
      </c>
    </row>
    <row r="169" spans="1:22">
      <c r="E169" s="32" t="s">
        <v>1</v>
      </c>
      <c r="F169" s="32">
        <f>AVERAGEIF($I$2:$I$164,"&lt;="&amp;$I$165)</f>
        <v>16.471428571428572</v>
      </c>
      <c r="G169" s="32">
        <f>AVERAGEIF($I$2:$I$164,"&gt;"&amp;$I$165)</f>
        <v>49.862068965517238</v>
      </c>
      <c r="J169" s="32" t="s">
        <v>192</v>
      </c>
      <c r="K169" s="32">
        <f>AVERAGEIF($J$2:$J$164,"&lt;="&amp;$J$165)</f>
        <v>2.4736842105263159</v>
      </c>
      <c r="L169" s="32">
        <f>AVERAGEIF($J$2:$J$164,"&gt;"&amp;$J$165)</f>
        <v>4.7586206896551726</v>
      </c>
      <c r="O169" s="32" t="s">
        <v>193</v>
      </c>
      <c r="P169" s="32">
        <f>AVERAGEIF($K$2:$K$164,"&lt;="&amp;$K$165)</f>
        <v>11.49438202247191</v>
      </c>
      <c r="Q169" s="32">
        <f>AVERAGEIF($K$2:$K$164,"&gt;"&amp;$K$165)</f>
        <v>24.243243243243242</v>
      </c>
      <c r="T169" s="32" t="s">
        <v>194</v>
      </c>
      <c r="U169" s="32">
        <f>AVERAGEIF($L$2:$L$164,"&lt;="&amp;$L$165)</f>
        <v>0</v>
      </c>
      <c r="V169" s="32">
        <f>AVERAGEIF($L$2:$L$164,"&gt;"&amp;$L$165)</f>
        <v>1</v>
      </c>
    </row>
    <row r="170" spans="1:22">
      <c r="E170" s="32" t="str" cm="1">
        <f t="array" ref="E170:E332">IF($I$2:$I$164&lt;$F$169,"kiri",IF($I$2:$I$164&lt;$G$169,"tengah","kanan"))</f>
        <v>tengah</v>
      </c>
      <c r="F170" s="55" t="s">
        <v>269</v>
      </c>
      <c r="G170" s="32"/>
      <c r="J170" s="32" t="str" cm="1">
        <f t="array" ref="J170:J332">IF($J$2:$J$164&lt;$K$169,"kiri",IF($J$2:$J$164&lt;$L$169,"tengah","kanan"))</f>
        <v>tengah</v>
      </c>
      <c r="K170" s="55" t="s">
        <v>271</v>
      </c>
      <c r="L170" s="32"/>
      <c r="O170" s="32" t="str" cm="1">
        <f t="array" ref="O170:O332">IF($K$2:$K$164&lt;$P$169,"kiri",IF($K$2:$K$164&lt;$Q$169,"tengah","kanan"))</f>
        <v>tengah</v>
      </c>
      <c r="P170" s="55" t="s">
        <v>284</v>
      </c>
      <c r="Q170" s="32"/>
      <c r="T170" s="32" t="str" cm="1">
        <f t="array" ref="T170:T332">IF($L$2:$L$164&lt;$U$169,"kiri",IF($L$2:$L$164&lt;$V$169,"tengah","kanan"))</f>
        <v>kanan</v>
      </c>
      <c r="U170" s="32" t="s">
        <v>195</v>
      </c>
      <c r="V170" s="32"/>
    </row>
    <row r="171" spans="1:22">
      <c r="E171" s="32" t="str">
        <v>kiri</v>
      </c>
      <c r="F171" s="32">
        <f>COUNTIFS($E$170:$E$332,"Kanan",$M$2:$M$164,"1")</f>
        <v>0</v>
      </c>
      <c r="G171" s="32">
        <f>F171/24</f>
        <v>0</v>
      </c>
      <c r="J171" s="32" t="str">
        <v>tengah</v>
      </c>
      <c r="K171" s="32" cm="1">
        <f t="array" ref="K171">SUMPRODUCT((J170:J332="Kanan")*(M2:M164=1))</f>
        <v>0</v>
      </c>
      <c r="L171" s="32">
        <f>K171/37</f>
        <v>0</v>
      </c>
      <c r="O171" s="32" t="str">
        <v>tengah</v>
      </c>
      <c r="P171" s="32">
        <f>COUNTIFS($O$170:$O$332,"Kanan",$M$2:$M$164,"1")</f>
        <v>0</v>
      </c>
      <c r="Q171" s="32">
        <f>P171/26</f>
        <v>0</v>
      </c>
      <c r="T171" s="32" t="str">
        <v>tengah</v>
      </c>
      <c r="U171" s="32">
        <f>COUNTIFS($T$170:$T$332,"Kanan",$M$2:$M$164,"1")</f>
        <v>13</v>
      </c>
      <c r="V171" s="32">
        <f>U171/83</f>
        <v>0.15662650602409639</v>
      </c>
    </row>
    <row r="172" spans="1:22">
      <c r="E172" s="32" t="str">
        <v>tengah</v>
      </c>
      <c r="F172" s="32">
        <f>COUNTIFS($E$170:$E$332,"Kanan",$M$2:$M$164,"2")</f>
        <v>10</v>
      </c>
      <c r="G172" s="32">
        <f t="shared" ref="G172:G173" si="3">F172/24</f>
        <v>0.41666666666666669</v>
      </c>
      <c r="J172" s="32" t="str">
        <v>kanan</v>
      </c>
      <c r="K172" s="32">
        <f>COUNTIFS($J$170:$J$332,"Kanan",$M$2:$M$164,"2")</f>
        <v>22</v>
      </c>
      <c r="L172" s="32">
        <f t="shared" ref="L172:L173" si="4">K172/37</f>
        <v>0.59459459459459463</v>
      </c>
      <c r="O172" s="32" t="str">
        <v>tengah</v>
      </c>
      <c r="P172" s="32">
        <f>COUNTIFS($O$170:$O$332,"Kanan",$M$2:$M$164,"2")</f>
        <v>0</v>
      </c>
      <c r="Q172" s="32">
        <f t="shared" ref="Q172:Q173" si="5">P172/26</f>
        <v>0</v>
      </c>
      <c r="T172" s="32" t="str">
        <v>tengah</v>
      </c>
      <c r="U172" s="32">
        <f>COUNTIFS($T$170:$T$332,"Kanan",$M$2:$M$164,"2")</f>
        <v>33</v>
      </c>
      <c r="V172" s="32">
        <f t="shared" ref="V172:V173" si="6">U172/83</f>
        <v>0.39759036144578314</v>
      </c>
    </row>
    <row r="173" spans="1:22">
      <c r="E173" s="32" t="str">
        <v>tengah</v>
      </c>
      <c r="F173" s="32" cm="1">
        <f t="array" ref="F173">SUMPRODUCT((E170:E332="KANAN")*(M2:M164=3))</f>
        <v>14</v>
      </c>
      <c r="G173" s="32">
        <f t="shared" si="3"/>
        <v>0.58333333333333337</v>
      </c>
      <c r="J173" s="32" t="str">
        <v>tengah</v>
      </c>
      <c r="K173" s="32">
        <f>COUNTIFS($J$170:$J$332,"Kanan",$M$2:$M$164,"3")</f>
        <v>15</v>
      </c>
      <c r="L173" s="32">
        <f t="shared" si="4"/>
        <v>0.40540540540540543</v>
      </c>
      <c r="O173" s="32" t="str">
        <v>tengah</v>
      </c>
      <c r="P173" s="32">
        <f>COUNTIFS($O$170:$O$332,"Kanan",$M$2:$M$164,"3")</f>
        <v>26</v>
      </c>
      <c r="Q173" s="32">
        <f t="shared" si="5"/>
        <v>1</v>
      </c>
      <c r="T173" s="32" t="str">
        <v>kanan</v>
      </c>
      <c r="U173" s="32">
        <f>COUNTIFS($T$170:$T$332,"Kanan",$M$2:$M$164,"3")</f>
        <v>45</v>
      </c>
      <c r="V173" s="32">
        <f t="shared" si="6"/>
        <v>0.54216867469879515</v>
      </c>
    </row>
    <row r="174" spans="1:22">
      <c r="E174" s="32" t="str">
        <v>kiri</v>
      </c>
      <c r="F174" s="32" t="s">
        <v>196</v>
      </c>
      <c r="G174" s="32">
        <f>-(IFERROR(G171*LOG(G171,2),0)+IFERROR(G172*LOG(G172,2),0)+IFERROR(G173*LOG(G173,2),0))</f>
        <v>0.97986875665115269</v>
      </c>
      <c r="J174" s="32" t="str">
        <v>kiri</v>
      </c>
      <c r="K174" s="32" t="s">
        <v>196</v>
      </c>
      <c r="L174" s="32">
        <f>-(IFERROR(L171*LOG(L171,2),0)+IFERROR(L172*LOG(L172,2),0)+IFERROR(L173*LOG(L173,2),0))</f>
        <v>0.97402486443575209</v>
      </c>
      <c r="O174" s="32" t="str">
        <v>tengah</v>
      </c>
      <c r="P174" s="32" t="s">
        <v>196</v>
      </c>
      <c r="Q174" s="32">
        <f>-(IFERROR(Q171*LOG(Q171,2),0)+IFERROR(Q172*LOG(Q172,2),0)+IFERROR(Q173*LOG(Q173,2),0))</f>
        <v>0</v>
      </c>
      <c r="T174" s="32" t="str">
        <v>tengah</v>
      </c>
      <c r="U174" s="32" t="s">
        <v>196</v>
      </c>
      <c r="V174" s="32">
        <f>-(IFERROR(V171*LOG(V171,2),0)+IFERROR(V172*LOG(V172,2),0)+IFERROR(V173*LOG(V173,2),0))</f>
        <v>1.4268009234105015</v>
      </c>
    </row>
    <row r="175" spans="1:22">
      <c r="E175" s="32" t="str">
        <v>tengah</v>
      </c>
      <c r="F175" s="32"/>
      <c r="G175" s="32">
        <f>SUM(F171:F173)/163</f>
        <v>0.14723926380368099</v>
      </c>
      <c r="J175" s="32" t="str">
        <v>kanan</v>
      </c>
      <c r="K175" s="32"/>
      <c r="L175" s="32">
        <f>SUM(K171:K173)/163</f>
        <v>0.22699386503067484</v>
      </c>
      <c r="O175" s="32" t="str">
        <v>tengah</v>
      </c>
      <c r="P175" s="32"/>
      <c r="Q175" s="32">
        <f>SUM(P171:P173)/163</f>
        <v>0.15950920245398773</v>
      </c>
      <c r="T175" s="32" t="str">
        <v>kanan</v>
      </c>
      <c r="U175" s="32"/>
      <c r="V175" s="32">
        <f>SUM(U171:U173)/163</f>
        <v>0.55828220858895705</v>
      </c>
    </row>
    <row r="176" spans="1:22">
      <c r="E176" s="32" t="str">
        <v>kanan</v>
      </c>
      <c r="F176" s="32"/>
      <c r="G176" s="39">
        <f>G174*G175</f>
        <v>0.14427515435354396</v>
      </c>
      <c r="J176" s="32" t="str">
        <v>kiri</v>
      </c>
      <c r="K176" s="32"/>
      <c r="L176" s="39">
        <f>L174*L175</f>
        <v>0.22109766861425048</v>
      </c>
      <c r="O176" s="32" t="str">
        <v>kiri</v>
      </c>
      <c r="P176" s="32"/>
      <c r="Q176" s="39">
        <f>Q174*Q175</f>
        <v>0</v>
      </c>
      <c r="T176" s="32" t="str">
        <v>tengah</v>
      </c>
      <c r="U176" s="32"/>
      <c r="V176" s="39">
        <f>V174*V175</f>
        <v>0.79655757073837807</v>
      </c>
    </row>
    <row r="177" spans="5:22">
      <c r="E177" s="32" t="str">
        <v>tengah</v>
      </c>
      <c r="F177" s="32"/>
      <c r="G177" s="32"/>
      <c r="J177" s="32" t="str">
        <v>tengah</v>
      </c>
      <c r="K177" s="32"/>
      <c r="L177" s="32"/>
      <c r="O177" s="32" t="str">
        <v>kanan</v>
      </c>
      <c r="P177" s="32"/>
      <c r="Q177" s="32"/>
      <c r="T177" s="32" t="str">
        <v>kanan</v>
      </c>
      <c r="U177" s="32"/>
      <c r="V177" s="32"/>
    </row>
    <row r="178" spans="5:22">
      <c r="E178" s="32" t="str">
        <v>kiri</v>
      </c>
      <c r="F178" s="32"/>
      <c r="G178" s="32"/>
      <c r="J178" s="32" t="str">
        <v>tengah</v>
      </c>
      <c r="K178" s="32"/>
      <c r="L178" s="32"/>
      <c r="O178" s="32" t="str">
        <v>kiri</v>
      </c>
      <c r="P178" s="32"/>
      <c r="Q178" s="32"/>
      <c r="T178" s="32" t="str">
        <v>tengah</v>
      </c>
      <c r="U178" s="32"/>
      <c r="V178" s="32"/>
    </row>
    <row r="179" spans="5:22">
      <c r="E179" s="32" t="str">
        <v>kiri</v>
      </c>
      <c r="F179" s="55" t="s">
        <v>270</v>
      </c>
      <c r="G179" s="32"/>
      <c r="J179" s="32" t="str">
        <v>kiri</v>
      </c>
      <c r="K179" s="55" t="s">
        <v>272</v>
      </c>
      <c r="L179" s="32"/>
      <c r="O179" s="32" t="str">
        <v>tengah</v>
      </c>
      <c r="P179" s="55" t="s">
        <v>277</v>
      </c>
      <c r="Q179" s="32"/>
      <c r="T179" s="32" t="str">
        <v>tengah</v>
      </c>
      <c r="U179" s="32" t="s">
        <v>197</v>
      </c>
      <c r="V179" s="32"/>
    </row>
    <row r="180" spans="5:22">
      <c r="E180" s="32" t="str">
        <v>tengah</v>
      </c>
      <c r="F180" s="32" cm="1">
        <f t="array" ref="F180">SUMPRODUCT((E170:E332="kiri")*(M2:M164=1))</f>
        <v>5</v>
      </c>
      <c r="G180" s="32">
        <f>F180/52</f>
        <v>9.6153846153846159E-2</v>
      </c>
      <c r="J180" s="32" t="str">
        <v>kiri</v>
      </c>
      <c r="K180" s="32">
        <f>COUNTIFS($J$170:$J$332,"Kiri",$M$2:$M$164,"1")</f>
        <v>2</v>
      </c>
      <c r="L180" s="32">
        <f>K180/35</f>
        <v>5.7142857142857141E-2</v>
      </c>
      <c r="O180" s="32" t="str">
        <v>tengah</v>
      </c>
      <c r="P180" s="32">
        <f>COUNTIFS($O$170:$O$332,"Kiri",$M$2:$M$164,"1")</f>
        <v>18</v>
      </c>
      <c r="Q180" s="32">
        <f>P180/34</f>
        <v>0.52941176470588236</v>
      </c>
      <c r="T180" s="32" t="str">
        <v>tengah</v>
      </c>
      <c r="U180" s="32">
        <f>COUNTIFS($T$170:$T$332,"Kiri",$M$2:$M$164,"1")</f>
        <v>0</v>
      </c>
      <c r="V180" s="32">
        <f>U180/57</f>
        <v>0</v>
      </c>
    </row>
    <row r="181" spans="5:22">
      <c r="E181" s="32" t="str">
        <v>kiri</v>
      </c>
      <c r="F181" s="32" cm="1">
        <f t="array" ref="F181">SUMPRODUCT((E170:E332="kiri")*(M2:M164=2))</f>
        <v>20</v>
      </c>
      <c r="G181" s="32">
        <f t="shared" ref="G181:G182" si="7">F181/52</f>
        <v>0.38461538461538464</v>
      </c>
      <c r="J181" s="32" t="str">
        <v>kiri</v>
      </c>
      <c r="K181" s="32">
        <f>COUNTIFS($J$170:$J$332,"Kiri",$M$2:$M$164,"2")</f>
        <v>8</v>
      </c>
      <c r="L181" s="32">
        <f t="shared" ref="L181:L182" si="8">K181/35</f>
        <v>0.22857142857142856</v>
      </c>
      <c r="O181" s="32" t="str">
        <v>tengah</v>
      </c>
      <c r="P181" s="32">
        <f>COUNTIFS($O$170:$O$332,"Kiri",$M$2:$M$164,"2")</f>
        <v>6</v>
      </c>
      <c r="Q181" s="32">
        <f t="shared" ref="Q181:Q182" si="9">P181/34</f>
        <v>0.17647058823529413</v>
      </c>
      <c r="T181" s="32" t="str">
        <v>tengah</v>
      </c>
      <c r="U181" s="32">
        <f>COUNTIFS($T$170:$T$332,"Kiri",$M$2:$M$164,"2")</f>
        <v>0</v>
      </c>
      <c r="V181" s="32">
        <f>U181/57</f>
        <v>0</v>
      </c>
    </row>
    <row r="182" spans="5:22">
      <c r="E182" s="32" t="str">
        <v>kiri</v>
      </c>
      <c r="F182" s="32" cm="1">
        <f t="array" ref="F182">SUMPRODUCT((E170:E332="kiri")*(M2:M164=3))</f>
        <v>27</v>
      </c>
      <c r="G182" s="32">
        <f t="shared" si="7"/>
        <v>0.51923076923076927</v>
      </c>
      <c r="J182" s="32" t="str">
        <v>kiri</v>
      </c>
      <c r="K182" s="32">
        <f>COUNTIFS($J$170:$J$332,"Kiri",$M$2:$M$164,"3")</f>
        <v>25</v>
      </c>
      <c r="L182" s="32">
        <f t="shared" si="8"/>
        <v>0.7142857142857143</v>
      </c>
      <c r="O182" s="32" t="str">
        <v>tengah</v>
      </c>
      <c r="P182" s="32">
        <f>COUNTIFS($O$170:$O$332,"Kiri",$M$2:$M$164,"3")</f>
        <v>0</v>
      </c>
      <c r="Q182" s="32">
        <f t="shared" si="9"/>
        <v>0</v>
      </c>
      <c r="T182" s="32" t="str">
        <v>tengah</v>
      </c>
      <c r="U182" s="32">
        <f>COUNTIFS($T$170:$T$332,"Kiri",$M$2:$M$164,"3")</f>
        <v>0</v>
      </c>
      <c r="V182" s="32">
        <f>U182/57</f>
        <v>0</v>
      </c>
    </row>
    <row r="183" spans="5:22">
      <c r="E183" s="32" t="str">
        <v>tengah</v>
      </c>
      <c r="F183" s="32" t="s">
        <v>196</v>
      </c>
      <c r="G183" s="32">
        <f>-(IFERROR(G180*LOG(G180,2),0)+IFERROR(G181*LOG(G181,2),0)+IFERROR(G182*LOG(G182,2),0))</f>
        <v>1.3460134694757517</v>
      </c>
      <c r="J183" s="32" t="str">
        <v>kiri</v>
      </c>
      <c r="K183" s="32" t="s">
        <v>196</v>
      </c>
      <c r="L183" s="32">
        <f>-(IFERROR(L180*LOG(L180,2),0)+IFERROR(L181*LOG(L181,2),0)+IFERROR(L182*LOG(L182,2),0))</f>
        <v>1.0693857385344487</v>
      </c>
      <c r="O183" s="32" t="str">
        <v>tengah</v>
      </c>
      <c r="P183" s="32" t="s">
        <v>196</v>
      </c>
      <c r="Q183" s="32">
        <f>-(IFERROR(Q180*LOG(Q180,2),0)+IFERROR(Q181*LOG(Q181,2),0)+IFERROR(Q182*LOG(Q182,2),0))</f>
        <v>0.92737303410939975</v>
      </c>
      <c r="T183" s="32" t="str">
        <v>kanan</v>
      </c>
      <c r="U183" s="32" t="s">
        <v>196</v>
      </c>
      <c r="V183" s="32">
        <f>-(IFERROR(V180*LOG(V180,2),0)+IFERROR(V181*LOG(V181,2),0)+IFERROR(V182*LOG(V182,2),0))</f>
        <v>0</v>
      </c>
    </row>
    <row r="184" spans="5:22">
      <c r="E184" s="32" t="str">
        <v>kiri</v>
      </c>
      <c r="F184" s="32"/>
      <c r="G184" s="32">
        <f>SUM(F180:F182)/163</f>
        <v>0.31901840490797545</v>
      </c>
      <c r="J184" s="32" t="str">
        <v>kanan</v>
      </c>
      <c r="K184" s="32"/>
      <c r="L184" s="32">
        <f>SUM(K180:K182)/163</f>
        <v>0.21472392638036811</v>
      </c>
      <c r="O184" s="32" t="str">
        <v>tengah</v>
      </c>
      <c r="P184" s="32"/>
      <c r="Q184" s="32">
        <f>SUM(P180:P182)/163</f>
        <v>0.14723926380368099</v>
      </c>
      <c r="T184" s="32" t="str">
        <v>kanan</v>
      </c>
      <c r="U184" s="32"/>
      <c r="V184" s="32">
        <f>SUM(U180:U182)/163</f>
        <v>0</v>
      </c>
    </row>
    <row r="185" spans="5:22">
      <c r="E185" s="32" t="str">
        <v>tengah</v>
      </c>
      <c r="F185" s="32"/>
      <c r="G185" s="39">
        <f>G183*G184</f>
        <v>0.42940307001680422</v>
      </c>
      <c r="J185" s="32" t="str">
        <v>tengah</v>
      </c>
      <c r="K185" s="32"/>
      <c r="L185" s="39">
        <f>L183*L184</f>
        <v>0.22962270459328654</v>
      </c>
      <c r="O185" s="32" t="str">
        <v>kiri</v>
      </c>
      <c r="P185" s="32"/>
      <c r="Q185" s="39">
        <f>Q183*Q184</f>
        <v>0.13654572281365396</v>
      </c>
      <c r="T185" s="32" t="str">
        <v>kanan</v>
      </c>
      <c r="U185" s="32"/>
      <c r="V185" s="39">
        <f>V183*V184</f>
        <v>0</v>
      </c>
    </row>
    <row r="186" spans="5:22">
      <c r="E186" s="32" t="str">
        <v>tengah</v>
      </c>
      <c r="F186" s="32"/>
      <c r="G186" s="32"/>
      <c r="J186" s="32" t="str">
        <v>tengah</v>
      </c>
      <c r="K186" s="32"/>
      <c r="L186" s="32"/>
      <c r="O186" s="32" t="str">
        <v>kiri</v>
      </c>
      <c r="P186" s="32"/>
      <c r="Q186" s="32"/>
      <c r="T186" s="32" t="str">
        <v>kanan</v>
      </c>
      <c r="U186" s="32"/>
      <c r="V186" s="32"/>
    </row>
    <row r="187" spans="5:22">
      <c r="E187" s="32" t="str">
        <v>kanan</v>
      </c>
      <c r="F187" s="32"/>
      <c r="G187" s="32"/>
      <c r="J187" s="32" t="str">
        <v>tengah</v>
      </c>
      <c r="K187" s="32"/>
      <c r="L187" s="32"/>
      <c r="O187" s="32" t="str">
        <v>kanan</v>
      </c>
      <c r="P187" s="32"/>
      <c r="Q187" s="32"/>
      <c r="T187" s="32" t="str">
        <v>kanan</v>
      </c>
      <c r="U187" s="32"/>
      <c r="V187" s="32"/>
    </row>
    <row r="188" spans="5:22">
      <c r="E188" s="32" t="str">
        <v>tengah</v>
      </c>
      <c r="F188" s="32" t="s">
        <v>198</v>
      </c>
      <c r="G188" s="32"/>
      <c r="J188" s="32" t="str">
        <v>kanan</v>
      </c>
      <c r="K188" s="32" t="s">
        <v>198</v>
      </c>
      <c r="L188" s="32"/>
      <c r="O188" s="32" t="str">
        <v>tengah</v>
      </c>
      <c r="P188" s="32" t="s">
        <v>198</v>
      </c>
      <c r="Q188" s="32"/>
      <c r="T188" s="32" t="str">
        <v>tengah</v>
      </c>
      <c r="U188" s="32" t="s">
        <v>198</v>
      </c>
      <c r="V188" s="32"/>
    </row>
    <row r="189" spans="5:22">
      <c r="E189" s="32" t="str">
        <v>tengah</v>
      </c>
      <c r="F189" s="32" cm="1">
        <f t="array" ref="F189">SUMPRODUCT((E170:E332="tengah")*(M2:M164=1))</f>
        <v>13</v>
      </c>
      <c r="G189" s="32">
        <f>F189/87</f>
        <v>0.14942528735632185</v>
      </c>
      <c r="J189" s="32" t="str">
        <v>kanan</v>
      </c>
      <c r="K189" s="32">
        <f>COUNTIFS($J$170:$J$332,"Tengah",$M$2:$M$164,"1")</f>
        <v>16</v>
      </c>
      <c r="L189" s="32">
        <f>K189/91</f>
        <v>0.17582417582417584</v>
      </c>
      <c r="O189" s="32" t="str">
        <v>tengah</v>
      </c>
      <c r="P189" s="32">
        <f>COUNTIFS($O$170:$O$332,"Tengah",$M$2:$M$164,"1")</f>
        <v>0</v>
      </c>
      <c r="Q189" s="32">
        <f>P189/113</f>
        <v>0</v>
      </c>
      <c r="T189" s="32" t="str">
        <v>tengah</v>
      </c>
      <c r="U189" s="32">
        <f>COUNTIFS($T$170:$T$332,"Tengah",$M$2:$M$164,"1")</f>
        <v>5</v>
      </c>
      <c r="V189" s="32">
        <f>U189/82</f>
        <v>6.097560975609756E-2</v>
      </c>
    </row>
    <row r="190" spans="5:22">
      <c r="E190" s="32" t="str">
        <v>tengah</v>
      </c>
      <c r="F190" s="32" cm="1">
        <f t="array" ref="F190">SUMPRODUCT((E170:E332="tengah")*(M2:M164=2))</f>
        <v>41</v>
      </c>
      <c r="G190" s="32">
        <f t="shared" ref="G190:G191" si="10">F190/87</f>
        <v>0.47126436781609193</v>
      </c>
      <c r="J190" s="32" t="str">
        <v>tengah</v>
      </c>
      <c r="K190" s="32">
        <f>COUNTIFS($J$170:$J$332,"Tengah",$M$2:$M$164,"2")</f>
        <v>41</v>
      </c>
      <c r="L190" s="32">
        <f t="shared" ref="L190:L191" si="11">K190/91</f>
        <v>0.45054945054945056</v>
      </c>
      <c r="O190" s="32" t="str">
        <v>kiri</v>
      </c>
      <c r="P190" s="32">
        <f>COUNTIFS($O$170:$O$332,"Tengah",$M$2:$M$164,"2")</f>
        <v>65</v>
      </c>
      <c r="Q190" s="32">
        <f t="shared" ref="Q190:Q191" si="12">P190/113</f>
        <v>0.5752212389380531</v>
      </c>
      <c r="T190" s="32" t="str">
        <v>kanan</v>
      </c>
      <c r="U190" s="32">
        <f>COUNTIFS($T$170:$T$332,"Tengah",$M$2:$M$164,"2")</f>
        <v>38</v>
      </c>
      <c r="V190" s="32">
        <f t="shared" ref="V190:V191" si="13">U190/82</f>
        <v>0.46341463414634149</v>
      </c>
    </row>
    <row r="191" spans="5:22">
      <c r="E191" s="32" t="str">
        <v>tengah</v>
      </c>
      <c r="F191" s="32" cm="1">
        <f t="array" ref="F191">SUMPRODUCT((E170:E332="tengah")*(M2:M164=3))</f>
        <v>33</v>
      </c>
      <c r="G191" s="32">
        <f t="shared" si="10"/>
        <v>0.37931034482758619</v>
      </c>
      <c r="J191" s="32" t="str">
        <v>tengah</v>
      </c>
      <c r="K191" s="32">
        <f>COUNTIFS($J$170:$J$332,"Tengah",$M$2:$M$164,"3")</f>
        <v>34</v>
      </c>
      <c r="L191" s="32">
        <f t="shared" si="11"/>
        <v>0.37362637362637363</v>
      </c>
      <c r="O191" s="32" t="str">
        <v>tengah</v>
      </c>
      <c r="P191" s="32">
        <f>COUNTIFS($O$170:$O$332,"Tengah",$M$2:$M$164,"3")</f>
        <v>48</v>
      </c>
      <c r="Q191" s="32">
        <f t="shared" si="12"/>
        <v>0.4247787610619469</v>
      </c>
      <c r="T191" s="32" t="str">
        <v>kanan</v>
      </c>
      <c r="U191" s="32">
        <f>COUNTIFS($T$170:$T$332,"Tengah",$M$2:$M$164,"3")</f>
        <v>29</v>
      </c>
      <c r="V191" s="32">
        <f t="shared" si="13"/>
        <v>0.35365853658536583</v>
      </c>
    </row>
    <row r="192" spans="5:22">
      <c r="E192" s="32" t="str">
        <v>kiri</v>
      </c>
      <c r="F192" s="32" t="s">
        <v>196</v>
      </c>
      <c r="G192" s="32">
        <f>-(IFERROR(G189*LOG(G189,2),0)+IFERROR(G190*LOG(G190,2),0)+IFERROR(G191*LOG(G191,2),0))</f>
        <v>1.4517899962624687</v>
      </c>
      <c r="J192" s="32" t="str">
        <v>tengah</v>
      </c>
      <c r="K192" s="32" t="s">
        <v>196</v>
      </c>
      <c r="L192" s="32">
        <f>-(IFERROR(L189*LOG(L189,2),0)+IFERROR(L190*LOG(L190,2),0)+IFERROR(L191*LOG(L191,2),0))</f>
        <v>1.4898455325959163</v>
      </c>
      <c r="O192" s="32" t="str">
        <v>tengah</v>
      </c>
      <c r="P192" s="32" t="s">
        <v>196</v>
      </c>
      <c r="Q192" s="32">
        <f>-(IFERROR(Q189*LOG(Q189,2),0)+IFERROR(Q190*LOG(Q190,2),0)+IFERROR(Q191*LOG(Q191,2),0))</f>
        <v>0.98361163603054136</v>
      </c>
      <c r="T192" s="32" t="str">
        <v>tengah</v>
      </c>
      <c r="U192" s="32" t="s">
        <v>196</v>
      </c>
      <c r="V192" s="32">
        <f>-(IFERROR(V189*LOG(V189,2),0)+IFERROR(V190*LOG(V190,2),0)+IFERROR(V191*LOG(V191,2),0))</f>
        <v>1.2906269449818217</v>
      </c>
    </row>
    <row r="193" spans="5:22">
      <c r="E193" s="32" t="str">
        <v>tengah</v>
      </c>
      <c r="F193" s="32"/>
      <c r="G193" s="32">
        <f>SUM(F189:F191)/163</f>
        <v>0.53374233128834359</v>
      </c>
      <c r="J193" s="32" t="str">
        <v>kanan</v>
      </c>
      <c r="K193" s="32"/>
      <c r="L193" s="32">
        <f>SUM(K189:K191)/163</f>
        <v>0.55828220858895705</v>
      </c>
      <c r="O193" s="32" t="str">
        <v>tengah</v>
      </c>
      <c r="P193" s="32"/>
      <c r="Q193" s="32">
        <f>SUM(P189:P191)/163</f>
        <v>0.69325153374233128</v>
      </c>
      <c r="T193" s="32" t="str">
        <v>tengah</v>
      </c>
      <c r="U193" s="32"/>
      <c r="V193" s="32">
        <f>SUM(U189:U191)/163</f>
        <v>0.44171779141104295</v>
      </c>
    </row>
    <row r="194" spans="5:22">
      <c r="E194" s="32" t="str">
        <v>kanan</v>
      </c>
      <c r="F194" s="32"/>
      <c r="G194" s="39">
        <f>G192*G193</f>
        <v>0.77488177714622564</v>
      </c>
      <c r="J194" s="32" t="str">
        <v>tengah</v>
      </c>
      <c r="K194" s="32"/>
      <c r="L194" s="39">
        <f>L192*L193</f>
        <v>0.83175425439403916</v>
      </c>
      <c r="O194" s="32" t="str">
        <v>kiri</v>
      </c>
      <c r="P194" s="32"/>
      <c r="Q194" s="39">
        <f>Q192*Q193</f>
        <v>0.68189027528497648</v>
      </c>
      <c r="T194" s="32" t="str">
        <v>tengah</v>
      </c>
      <c r="U194" s="32"/>
      <c r="V194" s="39">
        <f>V192*V193</f>
        <v>0.57009288367295197</v>
      </c>
    </row>
    <row r="195" spans="5:22">
      <c r="E195" s="32" t="str">
        <v>tengah</v>
      </c>
      <c r="F195" s="32"/>
      <c r="G195" s="32"/>
      <c r="J195" s="32" t="str">
        <v>tengah</v>
      </c>
      <c r="K195" s="32"/>
      <c r="L195" s="32"/>
      <c r="O195" s="32" t="str">
        <v>tengah</v>
      </c>
      <c r="P195" s="32"/>
      <c r="Q195" s="32"/>
      <c r="T195" s="32" t="str">
        <v>kanan</v>
      </c>
      <c r="U195" s="32"/>
      <c r="V195" s="32"/>
    </row>
    <row r="196" spans="5:22">
      <c r="E196" s="32" t="str">
        <v>tengah</v>
      </c>
      <c r="F196" s="32" t="s">
        <v>199</v>
      </c>
      <c r="G196" s="40" t="s">
        <v>196</v>
      </c>
      <c r="J196" s="32" t="str">
        <v>kanan</v>
      </c>
      <c r="K196" s="32" t="s">
        <v>199</v>
      </c>
      <c r="L196" s="40" t="s">
        <v>196</v>
      </c>
      <c r="O196" s="32" t="str">
        <v>tengah</v>
      </c>
      <c r="P196" s="32" t="s">
        <v>199</v>
      </c>
      <c r="Q196" s="40" t="s">
        <v>196</v>
      </c>
      <c r="T196" s="32" t="str">
        <v>tengah</v>
      </c>
      <c r="U196" s="32" t="s">
        <v>199</v>
      </c>
      <c r="V196" s="40" t="s">
        <v>196</v>
      </c>
    </row>
    <row r="197" spans="5:22">
      <c r="E197" s="32" t="str">
        <v>tengah</v>
      </c>
      <c r="F197" s="41">
        <f>P5-(G176+G185+G194)</f>
        <v>4.1945793405691933E-2</v>
      </c>
      <c r="G197" s="39">
        <f>(G176+G185+G194)</f>
        <v>1.348560001516574</v>
      </c>
      <c r="J197" s="32" t="str">
        <v>tengah</v>
      </c>
      <c r="K197" s="41">
        <f>P5-(L176+L185+L194)</f>
        <v>0.10803116732068974</v>
      </c>
      <c r="L197" s="39">
        <f>(L176+L185+L194)</f>
        <v>1.2824746276015762</v>
      </c>
      <c r="O197" s="32" t="str">
        <v>kiri</v>
      </c>
      <c r="P197" s="41">
        <f>P5-(Q176+Q185+Q194)</f>
        <v>0.57206979682363546</v>
      </c>
      <c r="Q197" s="39">
        <f>(Q176+Q185+Q194)</f>
        <v>0.81843599809863044</v>
      </c>
      <c r="T197" s="32" t="str">
        <v>kanan</v>
      </c>
      <c r="U197" s="41">
        <f>P5-(V176+V185+V194)</f>
        <v>2.3855340510935852E-2</v>
      </c>
      <c r="V197" s="39">
        <f>(V176+V185+V194)</f>
        <v>1.36665045441133</v>
      </c>
    </row>
    <row r="198" spans="5:22">
      <c r="E198" s="32" t="str">
        <v>kiri</v>
      </c>
      <c r="F198" s="32"/>
      <c r="G198" s="32"/>
      <c r="J198" s="32" t="str">
        <v>tengah</v>
      </c>
      <c r="K198" s="32"/>
      <c r="L198" s="32"/>
      <c r="O198" s="32" t="str">
        <v>kiri</v>
      </c>
      <c r="P198" s="32"/>
      <c r="Q198" s="32"/>
      <c r="T198" s="32" t="str">
        <v>tengah</v>
      </c>
      <c r="U198" s="32"/>
      <c r="V198" s="32"/>
    </row>
    <row r="199" spans="5:22">
      <c r="E199" s="32" t="str">
        <v>tengah</v>
      </c>
      <c r="F199" s="32"/>
      <c r="G199" s="32"/>
      <c r="J199" s="32" t="str">
        <v>kanan</v>
      </c>
      <c r="K199" s="32"/>
      <c r="L199" s="32"/>
      <c r="O199" s="32" t="str">
        <v>tengah</v>
      </c>
      <c r="P199" s="32"/>
      <c r="Q199" s="32"/>
      <c r="T199" s="32" t="str">
        <v>tengah</v>
      </c>
      <c r="U199" s="32"/>
      <c r="V199" s="32"/>
    </row>
    <row r="200" spans="5:22">
      <c r="E200" s="32" t="str">
        <v>tengah</v>
      </c>
      <c r="F200" s="32"/>
      <c r="G200" s="32"/>
      <c r="J200" s="32" t="str">
        <v>tengah</v>
      </c>
      <c r="K200" s="32"/>
      <c r="L200" s="32"/>
      <c r="O200" s="32" t="str">
        <v>kanan</v>
      </c>
      <c r="P200" s="32"/>
      <c r="Q200" s="32"/>
      <c r="T200" s="32" t="str">
        <v>kanan</v>
      </c>
      <c r="U200" s="32"/>
      <c r="V200" s="32"/>
    </row>
    <row r="201" spans="5:22">
      <c r="E201" s="32" t="str">
        <v>tengah</v>
      </c>
      <c r="F201" s="32"/>
      <c r="G201" s="32"/>
      <c r="J201" s="32" t="str">
        <v>tengah</v>
      </c>
      <c r="K201" s="32"/>
      <c r="L201" s="32"/>
      <c r="O201" s="32" t="str">
        <v>tengah</v>
      </c>
      <c r="P201" s="32"/>
      <c r="Q201" s="32"/>
      <c r="T201" s="32" t="str">
        <v>kanan</v>
      </c>
      <c r="U201" s="32"/>
      <c r="V201" s="32"/>
    </row>
    <row r="202" spans="5:22">
      <c r="E202" s="32" t="str">
        <v>tengah</v>
      </c>
      <c r="F202" s="32"/>
      <c r="G202" s="32"/>
      <c r="J202" s="32" t="str">
        <v>kanan</v>
      </c>
      <c r="K202" s="32"/>
      <c r="L202" s="32"/>
      <c r="O202" s="32" t="str">
        <v>tengah</v>
      </c>
      <c r="P202" s="32"/>
      <c r="Q202" s="32"/>
      <c r="T202" s="32" t="str">
        <v>kanan</v>
      </c>
      <c r="U202" s="32"/>
      <c r="V202" s="32"/>
    </row>
    <row r="203" spans="5:22">
      <c r="E203" s="32" t="str">
        <v>kanan</v>
      </c>
      <c r="F203" s="32"/>
      <c r="G203" s="32"/>
      <c r="J203" s="32" t="str">
        <v>kanan</v>
      </c>
      <c r="K203" s="32"/>
      <c r="L203" s="32"/>
      <c r="O203" s="32" t="str">
        <v>tengah</v>
      </c>
      <c r="P203" s="32"/>
      <c r="Q203" s="32"/>
      <c r="T203" s="32" t="str">
        <v>kanan</v>
      </c>
      <c r="U203" s="32"/>
      <c r="V203" s="32"/>
    </row>
    <row r="204" spans="5:22">
      <c r="E204" s="32" t="str">
        <v>tengah</v>
      </c>
      <c r="F204" s="32"/>
      <c r="G204" s="32"/>
      <c r="J204" s="32" t="str">
        <v>kiri</v>
      </c>
      <c r="K204" s="32"/>
      <c r="L204" s="32"/>
      <c r="O204" s="32" t="str">
        <v>tengah</v>
      </c>
      <c r="P204" s="32"/>
      <c r="Q204" s="32"/>
      <c r="T204" s="32" t="str">
        <v>kanan</v>
      </c>
      <c r="U204" s="32"/>
      <c r="V204" s="32"/>
    </row>
    <row r="205" spans="5:22">
      <c r="E205" s="32" t="str">
        <v>tengah</v>
      </c>
      <c r="F205" s="32"/>
      <c r="G205" s="32"/>
      <c r="J205" s="32" t="str">
        <v>kanan</v>
      </c>
      <c r="K205" s="32"/>
      <c r="L205" s="32"/>
      <c r="O205" s="32" t="str">
        <v>tengah</v>
      </c>
      <c r="P205" s="32"/>
      <c r="Q205" s="32"/>
      <c r="T205" s="32" t="str">
        <v>tengah</v>
      </c>
      <c r="U205" s="32"/>
      <c r="V205" s="32"/>
    </row>
    <row r="206" spans="5:22">
      <c r="E206" s="32" t="str">
        <v>tengah</v>
      </c>
      <c r="F206" s="32"/>
      <c r="G206" s="32"/>
      <c r="J206" s="32" t="str">
        <v>tengah</v>
      </c>
      <c r="K206" s="32"/>
      <c r="L206" s="32"/>
      <c r="O206" s="32" t="str">
        <v>tengah</v>
      </c>
      <c r="P206" s="32"/>
      <c r="Q206" s="32"/>
      <c r="T206" s="32" t="str">
        <v>kanan</v>
      </c>
      <c r="U206" s="32"/>
      <c r="V206" s="32"/>
    </row>
    <row r="207" spans="5:22">
      <c r="E207" s="32" t="str">
        <v>tengah</v>
      </c>
      <c r="F207" s="32"/>
      <c r="G207" s="32"/>
      <c r="J207" s="32" t="str">
        <v>tengah</v>
      </c>
      <c r="K207" s="32"/>
      <c r="L207" s="32"/>
      <c r="O207" s="32" t="str">
        <v>kanan</v>
      </c>
      <c r="P207" s="32"/>
      <c r="Q207" s="32"/>
      <c r="T207" s="32" t="str">
        <v>kanan</v>
      </c>
      <c r="U207" s="32"/>
      <c r="V207" s="32"/>
    </row>
    <row r="208" spans="5:22">
      <c r="E208" s="32" t="str">
        <v>tengah</v>
      </c>
      <c r="F208" s="32"/>
      <c r="G208" s="32"/>
      <c r="J208" s="32" t="str">
        <v>kanan</v>
      </c>
      <c r="K208" s="32"/>
      <c r="L208" s="32"/>
      <c r="O208" s="32" t="str">
        <v>tengah</v>
      </c>
      <c r="P208" s="32"/>
      <c r="Q208" s="32"/>
      <c r="T208" s="32" t="str">
        <v>tengah</v>
      </c>
      <c r="U208" s="32"/>
      <c r="V208" s="32"/>
    </row>
    <row r="209" spans="5:22">
      <c r="E209" s="32" t="str">
        <v>tengah</v>
      </c>
      <c r="F209" s="32"/>
      <c r="G209" s="32"/>
      <c r="J209" s="32" t="str">
        <v>kiri</v>
      </c>
      <c r="K209" s="32"/>
      <c r="L209" s="32"/>
      <c r="O209" s="32" t="str">
        <v>tengah</v>
      </c>
      <c r="P209" s="32"/>
      <c r="Q209" s="32"/>
      <c r="T209" s="32" t="str">
        <v>tengah</v>
      </c>
      <c r="U209" s="32"/>
      <c r="V209" s="32"/>
    </row>
    <row r="210" spans="5:22">
      <c r="E210" s="32" t="str">
        <v>tengah</v>
      </c>
      <c r="F210" s="32"/>
      <c r="G210" s="32"/>
      <c r="J210" s="32" t="str">
        <v>tengah</v>
      </c>
      <c r="K210" s="32"/>
      <c r="L210" s="32"/>
      <c r="O210" s="32" t="str">
        <v>kiri</v>
      </c>
      <c r="P210" s="32"/>
      <c r="Q210" s="32"/>
      <c r="T210" s="32" t="str">
        <v>kanan</v>
      </c>
      <c r="U210" s="32"/>
      <c r="V210" s="32"/>
    </row>
    <row r="211" spans="5:22">
      <c r="E211" s="32" t="str">
        <v>kanan</v>
      </c>
      <c r="F211" s="32"/>
      <c r="G211" s="32"/>
      <c r="J211" s="32" t="str">
        <v>tengah</v>
      </c>
      <c r="K211" s="32"/>
      <c r="L211" s="32"/>
      <c r="O211" s="32" t="str">
        <v>tengah</v>
      </c>
      <c r="P211" s="32"/>
      <c r="Q211" s="32"/>
      <c r="T211" s="32" t="str">
        <v>tengah</v>
      </c>
      <c r="U211" s="32"/>
      <c r="V211" s="32"/>
    </row>
    <row r="212" spans="5:22">
      <c r="E212" s="32" t="str">
        <v>tengah</v>
      </c>
      <c r="F212" s="32"/>
      <c r="G212" s="32"/>
      <c r="J212" s="32" t="str">
        <v>tengah</v>
      </c>
      <c r="K212" s="32"/>
      <c r="L212" s="32"/>
      <c r="O212" s="32" t="str">
        <v>tengah</v>
      </c>
      <c r="P212" s="32"/>
      <c r="Q212" s="32"/>
      <c r="T212" s="32" t="str">
        <v>kanan</v>
      </c>
      <c r="U212" s="32"/>
      <c r="V212" s="32"/>
    </row>
    <row r="213" spans="5:22">
      <c r="E213" s="32" t="str">
        <v>tengah</v>
      </c>
      <c r="F213" s="32"/>
      <c r="G213" s="32"/>
      <c r="J213" s="32" t="str">
        <v>tengah</v>
      </c>
      <c r="K213" s="32"/>
      <c r="L213" s="32"/>
      <c r="O213" s="32" t="str">
        <v>kanan</v>
      </c>
      <c r="P213" s="32"/>
      <c r="Q213" s="32"/>
      <c r="T213" s="32" t="str">
        <v>tengah</v>
      </c>
      <c r="U213" s="32"/>
      <c r="V213" s="32"/>
    </row>
    <row r="214" spans="5:22">
      <c r="E214" s="32" t="str">
        <v>kiri</v>
      </c>
      <c r="F214" s="32"/>
      <c r="G214" s="32"/>
      <c r="J214" s="32" t="str">
        <v>tengah</v>
      </c>
      <c r="K214" s="32"/>
      <c r="L214" s="32"/>
      <c r="O214" s="32" t="str">
        <v>tengah</v>
      </c>
      <c r="P214" s="32"/>
      <c r="Q214" s="32"/>
      <c r="T214" s="32" t="str">
        <v>kanan</v>
      </c>
      <c r="U214" s="32"/>
      <c r="V214" s="32"/>
    </row>
    <row r="215" spans="5:22">
      <c r="E215" s="32" t="str">
        <v>kiri</v>
      </c>
      <c r="F215" s="32"/>
      <c r="G215" s="32"/>
      <c r="J215" s="32" t="str">
        <v>kanan</v>
      </c>
      <c r="K215" s="32"/>
      <c r="L215" s="32"/>
      <c r="O215" s="32" t="str">
        <v>tengah</v>
      </c>
      <c r="P215" s="32"/>
      <c r="Q215" s="32"/>
      <c r="T215" s="32" t="str">
        <v>kanan</v>
      </c>
      <c r="U215" s="32"/>
      <c r="V215" s="32"/>
    </row>
    <row r="216" spans="5:22">
      <c r="E216" s="32" t="str">
        <v>kanan</v>
      </c>
      <c r="F216" s="32"/>
      <c r="G216" s="32"/>
      <c r="J216" s="32" t="str">
        <v>tengah</v>
      </c>
      <c r="K216" s="32"/>
      <c r="L216" s="32"/>
      <c r="O216" s="32" t="str">
        <v>tengah</v>
      </c>
      <c r="P216" s="32"/>
      <c r="Q216" s="32"/>
      <c r="T216" s="32" t="str">
        <v>tengah</v>
      </c>
      <c r="U216" s="32"/>
      <c r="V216" s="32"/>
    </row>
    <row r="217" spans="5:22">
      <c r="E217" s="32" t="str">
        <v>tengah</v>
      </c>
      <c r="F217" s="32"/>
      <c r="G217" s="32"/>
      <c r="J217" s="32" t="str">
        <v>kiri</v>
      </c>
      <c r="K217" s="32"/>
      <c r="L217" s="32"/>
      <c r="O217" s="32" t="str">
        <v>kanan</v>
      </c>
      <c r="P217" s="32"/>
      <c r="Q217" s="32"/>
      <c r="T217" s="32" t="str">
        <v>tengah</v>
      </c>
      <c r="U217" s="32"/>
      <c r="V217" s="32"/>
    </row>
    <row r="218" spans="5:22">
      <c r="E218" s="32" t="str">
        <v>kanan</v>
      </c>
      <c r="F218" s="32"/>
      <c r="G218" s="32"/>
      <c r="J218" s="32" t="str">
        <v>tengah</v>
      </c>
      <c r="K218" s="32"/>
      <c r="L218" s="32"/>
      <c r="O218" s="32" t="str">
        <v>kiri</v>
      </c>
      <c r="P218" s="32"/>
      <c r="Q218" s="32"/>
      <c r="T218" s="32" t="str">
        <v>tengah</v>
      </c>
      <c r="U218" s="32"/>
      <c r="V218" s="32"/>
    </row>
    <row r="219" spans="5:22">
      <c r="E219" s="32" t="str">
        <v>kanan</v>
      </c>
      <c r="F219" s="32"/>
      <c r="G219" s="32"/>
      <c r="J219" s="32" t="str">
        <v>kanan</v>
      </c>
      <c r="K219" s="32"/>
      <c r="L219" s="32"/>
      <c r="O219" s="32" t="str">
        <v>tengah</v>
      </c>
      <c r="P219" s="32"/>
      <c r="Q219" s="32"/>
      <c r="T219" s="32" t="str">
        <v>kanan</v>
      </c>
      <c r="U219" s="32"/>
      <c r="V219" s="32"/>
    </row>
    <row r="220" spans="5:22">
      <c r="E220" s="32" t="str">
        <v>tengah</v>
      </c>
      <c r="F220" s="32"/>
      <c r="G220" s="32"/>
      <c r="J220" s="32" t="str">
        <v>tengah</v>
      </c>
      <c r="K220" s="32"/>
      <c r="L220" s="32"/>
      <c r="O220" s="32" t="str">
        <v>tengah</v>
      </c>
      <c r="P220" s="32"/>
      <c r="Q220" s="32"/>
      <c r="T220" s="32" t="str">
        <v>tengah</v>
      </c>
      <c r="U220" s="32"/>
      <c r="V220" s="32"/>
    </row>
    <row r="221" spans="5:22">
      <c r="E221" s="32" t="str">
        <v>tengah</v>
      </c>
      <c r="F221" s="32"/>
      <c r="G221" s="32"/>
      <c r="J221" s="32" t="str">
        <v>kanan</v>
      </c>
      <c r="K221" s="32"/>
      <c r="L221" s="32"/>
      <c r="O221" s="32" t="str">
        <v>tengah</v>
      </c>
      <c r="P221" s="32"/>
      <c r="Q221" s="32"/>
      <c r="T221" s="32" t="str">
        <v>tengah</v>
      </c>
      <c r="U221" s="32"/>
      <c r="V221" s="32"/>
    </row>
    <row r="222" spans="5:22">
      <c r="E222" s="32" t="str">
        <v>kiri</v>
      </c>
      <c r="F222" s="32"/>
      <c r="G222" s="32"/>
      <c r="J222" s="32" t="str">
        <v>kiri</v>
      </c>
      <c r="K222" s="32"/>
      <c r="L222" s="32"/>
      <c r="O222" s="32" t="str">
        <v>kanan</v>
      </c>
      <c r="P222" s="32"/>
      <c r="Q222" s="32"/>
      <c r="T222" s="32" t="str">
        <v>kanan</v>
      </c>
      <c r="U222" s="32"/>
      <c r="V222" s="32"/>
    </row>
    <row r="223" spans="5:22">
      <c r="E223" s="32" t="str">
        <v>kiri</v>
      </c>
      <c r="F223" s="32"/>
      <c r="G223" s="32"/>
      <c r="J223" s="32" t="str">
        <v>tengah</v>
      </c>
      <c r="K223" s="32"/>
      <c r="L223" s="32"/>
      <c r="O223" s="32" t="str">
        <v>tengah</v>
      </c>
      <c r="P223" s="32"/>
      <c r="Q223" s="32"/>
      <c r="T223" s="32" t="str">
        <v>tengah</v>
      </c>
      <c r="U223" s="32"/>
      <c r="V223" s="32"/>
    </row>
    <row r="224" spans="5:22">
      <c r="E224" s="32" t="str">
        <v>kiri</v>
      </c>
      <c r="F224" s="32"/>
      <c r="G224" s="32"/>
      <c r="J224" s="32" t="str">
        <v>kanan</v>
      </c>
      <c r="K224" s="32"/>
      <c r="L224" s="32"/>
      <c r="O224" s="32" t="str">
        <v>tengah</v>
      </c>
      <c r="P224" s="32"/>
      <c r="Q224" s="32"/>
      <c r="T224" s="32" t="str">
        <v>kanan</v>
      </c>
      <c r="U224" s="32"/>
      <c r="V224" s="32"/>
    </row>
    <row r="225" spans="5:22">
      <c r="E225" s="32" t="str">
        <v>kiri</v>
      </c>
      <c r="F225" s="32"/>
      <c r="G225" s="32"/>
      <c r="J225" s="32" t="str">
        <v>tengah</v>
      </c>
      <c r="K225" s="32"/>
      <c r="L225" s="32"/>
      <c r="O225" s="32" t="str">
        <v>kiri</v>
      </c>
      <c r="P225" s="32"/>
      <c r="Q225" s="32"/>
      <c r="T225" s="32" t="str">
        <v>tengah</v>
      </c>
      <c r="U225" s="32"/>
      <c r="V225" s="32"/>
    </row>
    <row r="226" spans="5:22">
      <c r="E226" s="32" t="str">
        <v>tengah</v>
      </c>
      <c r="F226" s="32"/>
      <c r="G226" s="32"/>
      <c r="J226" s="32" t="str">
        <v>kanan</v>
      </c>
      <c r="K226" s="32"/>
      <c r="L226" s="32"/>
      <c r="O226" s="32" t="str">
        <v>kanan</v>
      </c>
      <c r="P226" s="32"/>
      <c r="Q226" s="32"/>
      <c r="T226" s="32" t="str">
        <v>tengah</v>
      </c>
      <c r="U226" s="32"/>
      <c r="V226" s="32"/>
    </row>
    <row r="227" spans="5:22">
      <c r="E227" s="32" t="str">
        <v>kanan</v>
      </c>
      <c r="F227" s="32"/>
      <c r="G227" s="32"/>
      <c r="J227" s="32" t="str">
        <v>tengah</v>
      </c>
      <c r="K227" s="32"/>
      <c r="L227" s="32"/>
      <c r="O227" s="32" t="str">
        <v>tengah</v>
      </c>
      <c r="P227" s="32"/>
      <c r="Q227" s="32"/>
      <c r="T227" s="32" t="str">
        <v>kanan</v>
      </c>
      <c r="U227" s="32"/>
      <c r="V227" s="32"/>
    </row>
    <row r="228" spans="5:22">
      <c r="E228" s="32" t="str">
        <v>tengah</v>
      </c>
      <c r="F228" s="32"/>
      <c r="G228" s="32"/>
      <c r="J228" s="32" t="str">
        <v>tengah</v>
      </c>
      <c r="K228" s="32"/>
      <c r="L228" s="32"/>
      <c r="O228" s="32" t="str">
        <v>tengah</v>
      </c>
      <c r="P228" s="32"/>
      <c r="Q228" s="32"/>
      <c r="T228" s="32" t="str">
        <v>kanan</v>
      </c>
      <c r="U228" s="32"/>
      <c r="V228" s="32"/>
    </row>
    <row r="229" spans="5:22">
      <c r="E229" s="32" t="str">
        <v>tengah</v>
      </c>
      <c r="F229" s="32"/>
      <c r="G229" s="32"/>
      <c r="J229" s="32" t="str">
        <v>kanan</v>
      </c>
      <c r="K229" s="32"/>
      <c r="L229" s="32"/>
      <c r="O229" s="32" t="str">
        <v>tengah</v>
      </c>
      <c r="P229" s="32"/>
      <c r="Q229" s="32"/>
      <c r="T229" s="32" t="str">
        <v>kanan</v>
      </c>
      <c r="U229" s="32"/>
      <c r="V229" s="32"/>
    </row>
    <row r="230" spans="5:22">
      <c r="E230" s="32" t="str">
        <v>kiri</v>
      </c>
      <c r="F230" s="32"/>
      <c r="G230" s="32"/>
      <c r="J230" s="32" t="str">
        <v>tengah</v>
      </c>
      <c r="K230" s="32"/>
      <c r="L230" s="32"/>
      <c r="O230" s="32" t="str">
        <v>kanan</v>
      </c>
      <c r="P230" s="32"/>
      <c r="Q230" s="32"/>
      <c r="T230" s="32" t="str">
        <v>kanan</v>
      </c>
      <c r="U230" s="32"/>
      <c r="V230" s="32"/>
    </row>
    <row r="231" spans="5:22">
      <c r="E231" s="32" t="str">
        <v>kiri</v>
      </c>
      <c r="F231" s="32"/>
      <c r="G231" s="32"/>
      <c r="J231" s="32" t="str">
        <v>tengah</v>
      </c>
      <c r="K231" s="32"/>
      <c r="L231" s="32"/>
      <c r="O231" s="32" t="str">
        <v>tengah</v>
      </c>
      <c r="P231" s="32"/>
      <c r="Q231" s="32"/>
      <c r="T231" s="32" t="str">
        <v>tengah</v>
      </c>
      <c r="U231" s="32"/>
      <c r="V231" s="32"/>
    </row>
    <row r="232" spans="5:22">
      <c r="E232" s="32" t="str">
        <v>tengah</v>
      </c>
      <c r="F232" s="32"/>
      <c r="G232" s="32"/>
      <c r="J232" s="32" t="str">
        <v>kiri</v>
      </c>
      <c r="K232" s="32"/>
      <c r="L232" s="32"/>
      <c r="O232" s="32" t="str">
        <v>tengah</v>
      </c>
      <c r="P232" s="32"/>
      <c r="Q232" s="32"/>
      <c r="T232" s="32" t="str">
        <v>tengah</v>
      </c>
      <c r="U232" s="32"/>
      <c r="V232" s="32"/>
    </row>
    <row r="233" spans="5:22">
      <c r="E233" s="32" t="str">
        <v>kiri</v>
      </c>
      <c r="F233" s="32"/>
      <c r="G233" s="32"/>
      <c r="J233" s="32" t="str">
        <v>kiri</v>
      </c>
      <c r="K233" s="32"/>
      <c r="L233" s="32"/>
      <c r="O233" s="32" t="str">
        <v>tengah</v>
      </c>
      <c r="P233" s="32"/>
      <c r="Q233" s="32"/>
      <c r="T233" s="32" t="str">
        <v>kanan</v>
      </c>
      <c r="U233" s="32"/>
      <c r="V233" s="32"/>
    </row>
    <row r="234" spans="5:22">
      <c r="E234" s="32" t="str">
        <v>kiri</v>
      </c>
      <c r="F234" s="32"/>
      <c r="G234" s="32"/>
      <c r="J234" s="32" t="str">
        <v>tengah</v>
      </c>
      <c r="K234" s="32"/>
      <c r="L234" s="32"/>
      <c r="O234" s="32" t="str">
        <v>kanan</v>
      </c>
      <c r="P234" s="32"/>
      <c r="Q234" s="32"/>
      <c r="T234" s="32" t="str">
        <v>kanan</v>
      </c>
      <c r="U234" s="32"/>
      <c r="V234" s="32"/>
    </row>
    <row r="235" spans="5:22">
      <c r="E235" s="32" t="str">
        <v>tengah</v>
      </c>
      <c r="F235" s="32"/>
      <c r="G235" s="32"/>
      <c r="J235" s="32" t="str">
        <v>tengah</v>
      </c>
      <c r="K235" s="32"/>
      <c r="L235" s="32"/>
      <c r="O235" s="32" t="str">
        <v>tengah</v>
      </c>
      <c r="P235" s="32"/>
      <c r="Q235" s="32"/>
      <c r="T235" s="32" t="str">
        <v>kanan</v>
      </c>
      <c r="U235" s="32"/>
      <c r="V235" s="32"/>
    </row>
    <row r="236" spans="5:22">
      <c r="E236" s="32" t="str">
        <v>tengah</v>
      </c>
      <c r="F236" s="32"/>
      <c r="G236" s="32"/>
      <c r="J236" s="32" t="str">
        <v>tengah</v>
      </c>
      <c r="K236" s="32"/>
      <c r="L236" s="32"/>
      <c r="O236" s="32" t="str">
        <v>tengah</v>
      </c>
      <c r="P236" s="32"/>
      <c r="Q236" s="32"/>
      <c r="T236" s="32" t="str">
        <v>kanan</v>
      </c>
      <c r="U236" s="32"/>
      <c r="V236" s="32"/>
    </row>
    <row r="237" spans="5:22">
      <c r="E237" s="32" t="str">
        <v>tengah</v>
      </c>
      <c r="F237" s="32"/>
      <c r="G237" s="32"/>
      <c r="J237" s="32" t="str">
        <v>tengah</v>
      </c>
      <c r="K237" s="32"/>
      <c r="L237" s="32"/>
      <c r="O237" s="32" t="str">
        <v>tengah</v>
      </c>
      <c r="P237" s="32"/>
      <c r="Q237" s="32"/>
      <c r="T237" s="32" t="str">
        <v>tengah</v>
      </c>
      <c r="U237" s="32"/>
      <c r="V237" s="32"/>
    </row>
    <row r="238" spans="5:22">
      <c r="E238" s="32" t="str">
        <v>kiri</v>
      </c>
      <c r="F238" s="32"/>
      <c r="G238" s="32"/>
      <c r="J238" s="32" t="str">
        <v>tengah</v>
      </c>
      <c r="K238" s="32"/>
      <c r="L238" s="32"/>
      <c r="O238" s="32" t="str">
        <v>tengah</v>
      </c>
      <c r="P238" s="32"/>
      <c r="Q238" s="32"/>
      <c r="T238" s="32" t="str">
        <v>tengah</v>
      </c>
      <c r="U238" s="32"/>
      <c r="V238" s="32"/>
    </row>
    <row r="239" spans="5:22">
      <c r="E239" s="32" t="str">
        <v>tengah</v>
      </c>
      <c r="F239" s="32"/>
      <c r="G239" s="32"/>
      <c r="J239" s="32" t="str">
        <v>tengah</v>
      </c>
      <c r="K239" s="32"/>
      <c r="L239" s="32"/>
      <c r="O239" s="32" t="str">
        <v>tengah</v>
      </c>
      <c r="P239" s="32"/>
      <c r="Q239" s="32"/>
      <c r="T239" s="32" t="str">
        <v>kanan</v>
      </c>
      <c r="U239" s="32"/>
      <c r="V239" s="32"/>
    </row>
    <row r="240" spans="5:22">
      <c r="E240" s="32" t="str">
        <v>tengah</v>
      </c>
      <c r="F240" s="32"/>
      <c r="G240" s="32"/>
      <c r="J240" s="32" t="str">
        <v>kanan</v>
      </c>
      <c r="K240" s="32"/>
      <c r="L240" s="32"/>
      <c r="O240" s="32" t="str">
        <v>tengah</v>
      </c>
      <c r="P240" s="32"/>
      <c r="Q240" s="32"/>
      <c r="T240" s="32" t="str">
        <v>kanan</v>
      </c>
      <c r="U240" s="32"/>
      <c r="V240" s="32"/>
    </row>
    <row r="241" spans="5:22">
      <c r="E241" s="32" t="str">
        <v>kiri</v>
      </c>
      <c r="F241" s="32"/>
      <c r="G241" s="32"/>
      <c r="J241" s="32" t="str">
        <v>kanan</v>
      </c>
      <c r="K241" s="32"/>
      <c r="L241" s="32"/>
      <c r="O241" s="32" t="str">
        <v>tengah</v>
      </c>
      <c r="P241" s="32"/>
      <c r="Q241" s="32"/>
      <c r="T241" s="32" t="str">
        <v>kanan</v>
      </c>
      <c r="U241" s="32"/>
      <c r="V241" s="32"/>
    </row>
    <row r="242" spans="5:22">
      <c r="E242" s="32" t="str">
        <v>kiri</v>
      </c>
      <c r="F242" s="32"/>
      <c r="G242" s="32"/>
      <c r="J242" s="32" t="str">
        <v>tengah</v>
      </c>
      <c r="K242" s="32"/>
      <c r="L242" s="32"/>
      <c r="O242" s="32" t="str">
        <v>tengah</v>
      </c>
      <c r="P242" s="32"/>
      <c r="Q242" s="32"/>
      <c r="T242" s="32" t="str">
        <v>kanan</v>
      </c>
      <c r="U242" s="32"/>
      <c r="V242" s="32"/>
    </row>
    <row r="243" spans="5:22">
      <c r="E243" s="32" t="str">
        <v>tengah</v>
      </c>
      <c r="F243" s="32"/>
      <c r="G243" s="32"/>
      <c r="J243" s="32" t="str">
        <v>kanan</v>
      </c>
      <c r="K243" s="32"/>
      <c r="L243" s="32"/>
      <c r="O243" s="32" t="str">
        <v>tengah</v>
      </c>
      <c r="P243" s="32"/>
      <c r="Q243" s="32"/>
      <c r="T243" s="32" t="str">
        <v>tengah</v>
      </c>
      <c r="U243" s="32"/>
      <c r="V243" s="32"/>
    </row>
    <row r="244" spans="5:22">
      <c r="E244" s="32" t="str">
        <v>tengah</v>
      </c>
      <c r="F244" s="32"/>
      <c r="G244" s="32"/>
      <c r="J244" s="32" t="str">
        <v>tengah</v>
      </c>
      <c r="K244" s="32"/>
      <c r="L244" s="32"/>
      <c r="O244" s="32" t="str">
        <v>tengah</v>
      </c>
      <c r="P244" s="32"/>
      <c r="Q244" s="32"/>
      <c r="T244" s="32" t="str">
        <v>kanan</v>
      </c>
      <c r="U244" s="32"/>
      <c r="V244" s="32"/>
    </row>
    <row r="245" spans="5:22">
      <c r="E245" s="32" t="str">
        <v>tengah</v>
      </c>
      <c r="F245" s="32"/>
      <c r="G245" s="32"/>
      <c r="J245" s="32" t="str">
        <v>kiri</v>
      </c>
      <c r="K245" s="32"/>
      <c r="L245" s="32"/>
      <c r="O245" s="32" t="str">
        <v>kiri</v>
      </c>
      <c r="P245" s="32"/>
      <c r="Q245" s="32"/>
      <c r="T245" s="32" t="str">
        <v>kanan</v>
      </c>
      <c r="U245" s="32"/>
      <c r="V245" s="32"/>
    </row>
    <row r="246" spans="5:22">
      <c r="E246" s="32" t="str">
        <v>tengah</v>
      </c>
      <c r="F246" s="32"/>
      <c r="G246" s="32"/>
      <c r="J246" s="32" t="str">
        <v>tengah</v>
      </c>
      <c r="K246" s="32"/>
      <c r="L246" s="32"/>
      <c r="O246" s="32" t="str">
        <v>kiri</v>
      </c>
      <c r="P246" s="32"/>
      <c r="Q246" s="32"/>
      <c r="T246" s="32" t="str">
        <v>kanan</v>
      </c>
      <c r="U246" s="32"/>
      <c r="V246" s="32"/>
    </row>
    <row r="247" spans="5:22">
      <c r="E247" s="32" t="str">
        <v>kiri</v>
      </c>
      <c r="F247" s="32"/>
      <c r="G247" s="32"/>
      <c r="J247" s="32" t="str">
        <v>tengah</v>
      </c>
      <c r="K247" s="32"/>
      <c r="L247" s="32"/>
      <c r="O247" s="32" t="str">
        <v>kanan</v>
      </c>
      <c r="P247" s="32"/>
      <c r="Q247" s="32"/>
      <c r="T247" s="32" t="str">
        <v>kanan</v>
      </c>
      <c r="U247" s="32"/>
      <c r="V247" s="32"/>
    </row>
    <row r="248" spans="5:22">
      <c r="E248" s="32" t="str">
        <v>kanan</v>
      </c>
      <c r="F248" s="32"/>
      <c r="G248" s="32"/>
      <c r="J248" s="32" t="str">
        <v>kiri</v>
      </c>
      <c r="K248" s="32"/>
      <c r="L248" s="32"/>
      <c r="O248" s="32" t="str">
        <v>tengah</v>
      </c>
      <c r="P248" s="32"/>
      <c r="Q248" s="32"/>
      <c r="T248" s="32" t="str">
        <v>tengah</v>
      </c>
      <c r="U248" s="32"/>
      <c r="V248" s="32"/>
    </row>
    <row r="249" spans="5:22">
      <c r="E249" s="32" t="str">
        <v>kiri</v>
      </c>
      <c r="F249" s="32"/>
      <c r="G249" s="32"/>
      <c r="J249" s="32" t="str">
        <v>tengah</v>
      </c>
      <c r="K249" s="32"/>
      <c r="L249" s="32"/>
      <c r="O249" s="32" t="str">
        <v>tengah</v>
      </c>
      <c r="P249" s="32"/>
      <c r="Q249" s="32"/>
      <c r="T249" s="32" t="str">
        <v>tengah</v>
      </c>
      <c r="U249" s="32"/>
      <c r="V249" s="32"/>
    </row>
    <row r="250" spans="5:22">
      <c r="E250" s="32" t="str">
        <v>kiri</v>
      </c>
      <c r="F250" s="32"/>
      <c r="G250" s="32"/>
      <c r="J250" s="32" t="str">
        <v>tengah</v>
      </c>
      <c r="K250" s="32"/>
      <c r="L250" s="32"/>
      <c r="O250" s="32" t="str">
        <v>kanan</v>
      </c>
      <c r="P250" s="32"/>
      <c r="Q250" s="32"/>
      <c r="T250" s="32" t="str">
        <v>kanan</v>
      </c>
      <c r="U250" s="32"/>
      <c r="V250" s="32"/>
    </row>
    <row r="251" spans="5:22">
      <c r="E251" s="32" t="str">
        <v>kanan</v>
      </c>
      <c r="F251" s="32"/>
      <c r="G251" s="32"/>
      <c r="J251" s="32" t="str">
        <v>tengah</v>
      </c>
      <c r="K251" s="32"/>
      <c r="L251" s="32"/>
      <c r="O251" s="32" t="str">
        <v>kiri</v>
      </c>
      <c r="P251" s="32"/>
      <c r="Q251" s="32"/>
      <c r="T251" s="32" t="str">
        <v>tengah</v>
      </c>
      <c r="U251" s="32"/>
      <c r="V251" s="32"/>
    </row>
    <row r="252" spans="5:22">
      <c r="E252" s="32" t="str">
        <v>tengah</v>
      </c>
      <c r="F252" s="32"/>
      <c r="G252" s="32"/>
      <c r="J252" s="32" t="str">
        <v>kanan</v>
      </c>
      <c r="K252" s="32"/>
      <c r="L252" s="32"/>
      <c r="O252" s="32" t="str">
        <v>tengah</v>
      </c>
      <c r="P252" s="32"/>
      <c r="Q252" s="32"/>
      <c r="T252" s="32" t="str">
        <v>tengah</v>
      </c>
      <c r="U252" s="32"/>
      <c r="V252" s="32"/>
    </row>
    <row r="253" spans="5:22">
      <c r="E253" s="32" t="str">
        <v>kiri</v>
      </c>
      <c r="F253" s="32"/>
      <c r="G253" s="32"/>
      <c r="J253" s="32" t="str">
        <v>kiri</v>
      </c>
      <c r="K253" s="32"/>
      <c r="L253" s="32"/>
      <c r="O253" s="32" t="str">
        <v>tengah</v>
      </c>
      <c r="P253" s="32"/>
      <c r="Q253" s="32"/>
      <c r="T253" s="32" t="str">
        <v>kanan</v>
      </c>
      <c r="U253" s="32"/>
      <c r="V253" s="32"/>
    </row>
    <row r="254" spans="5:22">
      <c r="E254" s="32" t="str">
        <v>kanan</v>
      </c>
      <c r="F254" s="32"/>
      <c r="G254" s="32"/>
      <c r="J254" s="32" t="str">
        <v>tengah</v>
      </c>
      <c r="K254" s="32"/>
      <c r="L254" s="32"/>
      <c r="O254" s="32" t="str">
        <v>tengah</v>
      </c>
      <c r="P254" s="32"/>
      <c r="Q254" s="32"/>
      <c r="T254" s="32" t="str">
        <v>tengah</v>
      </c>
      <c r="U254" s="32"/>
      <c r="V254" s="32"/>
    </row>
    <row r="255" spans="5:22">
      <c r="E255" s="32" t="str">
        <v>kiri</v>
      </c>
      <c r="F255" s="32"/>
      <c r="G255" s="32"/>
      <c r="J255" s="32" t="str">
        <v>kiri</v>
      </c>
      <c r="K255" s="32"/>
      <c r="L255" s="32"/>
      <c r="O255" s="32" t="str">
        <v>kanan</v>
      </c>
      <c r="P255" s="32"/>
      <c r="Q255" s="32"/>
      <c r="T255" s="32" t="str">
        <v>tengah</v>
      </c>
      <c r="U255" s="32"/>
      <c r="V255" s="32"/>
    </row>
    <row r="256" spans="5:22">
      <c r="E256" s="32" t="str">
        <v>tengah</v>
      </c>
      <c r="F256" s="32"/>
      <c r="G256" s="32"/>
      <c r="J256" s="32" t="str">
        <v>tengah</v>
      </c>
      <c r="K256" s="32"/>
      <c r="L256" s="32"/>
      <c r="O256" s="32" t="str">
        <v>kanan</v>
      </c>
      <c r="P256" s="32"/>
      <c r="Q256" s="32"/>
      <c r="T256" s="32" t="str">
        <v>kanan</v>
      </c>
      <c r="U256" s="32"/>
      <c r="V256" s="32"/>
    </row>
    <row r="257" spans="5:22">
      <c r="E257" s="32" t="str">
        <v>tengah</v>
      </c>
      <c r="F257" s="32"/>
      <c r="G257" s="32"/>
      <c r="J257" s="32" t="str">
        <v>kiri</v>
      </c>
      <c r="K257" s="32"/>
      <c r="L257" s="32"/>
      <c r="O257" s="32" t="str">
        <v>tengah</v>
      </c>
      <c r="P257" s="32"/>
      <c r="Q257" s="32"/>
      <c r="T257" s="32" t="str">
        <v>tengah</v>
      </c>
      <c r="U257" s="32"/>
      <c r="V257" s="32"/>
    </row>
    <row r="258" spans="5:22">
      <c r="E258" s="32" t="str">
        <v>kiri</v>
      </c>
      <c r="F258" s="32"/>
      <c r="G258" s="32"/>
      <c r="J258" s="32" t="str">
        <v>tengah</v>
      </c>
      <c r="K258" s="32"/>
      <c r="L258" s="32"/>
      <c r="O258" s="32" t="str">
        <v>tengah</v>
      </c>
      <c r="P258" s="32"/>
      <c r="Q258" s="32"/>
      <c r="T258" s="32" t="str">
        <v>tengah</v>
      </c>
      <c r="U258" s="32"/>
      <c r="V258" s="32"/>
    </row>
    <row r="259" spans="5:22">
      <c r="E259" s="32" t="str">
        <v>kiri</v>
      </c>
      <c r="F259" s="32"/>
      <c r="G259" s="32"/>
      <c r="J259" s="32" t="str">
        <v>tengah</v>
      </c>
      <c r="K259" s="32"/>
      <c r="L259" s="32"/>
      <c r="O259" s="32" t="str">
        <v>tengah</v>
      </c>
      <c r="P259" s="32"/>
      <c r="Q259" s="32"/>
      <c r="T259" s="32" t="str">
        <v>tengah</v>
      </c>
      <c r="U259" s="32"/>
      <c r="V259" s="32"/>
    </row>
    <row r="260" spans="5:22">
      <c r="E260" s="32" t="str">
        <v>kanan</v>
      </c>
      <c r="F260" s="32"/>
      <c r="G260" s="32"/>
      <c r="J260" s="32" t="str">
        <v>kanan</v>
      </c>
      <c r="K260" s="32"/>
      <c r="L260" s="32"/>
      <c r="O260" s="32" t="str">
        <v>tengah</v>
      </c>
      <c r="P260" s="32"/>
      <c r="Q260" s="32"/>
      <c r="T260" s="32" t="str">
        <v>kanan</v>
      </c>
      <c r="U260" s="32"/>
      <c r="V260" s="32"/>
    </row>
    <row r="261" spans="5:22">
      <c r="E261" s="32" t="str">
        <v>kanan</v>
      </c>
      <c r="F261" s="32"/>
      <c r="G261" s="32"/>
      <c r="J261" s="32" t="str">
        <v>tengah</v>
      </c>
      <c r="K261" s="32"/>
      <c r="L261" s="32"/>
      <c r="O261" s="32" t="str">
        <v>tengah</v>
      </c>
      <c r="P261" s="32"/>
      <c r="Q261" s="32"/>
      <c r="T261" s="32" t="str">
        <v>tengah</v>
      </c>
      <c r="U261" s="32"/>
      <c r="V261" s="32"/>
    </row>
    <row r="262" spans="5:22">
      <c r="E262" s="32" t="str">
        <v>kiri</v>
      </c>
      <c r="F262" s="32"/>
      <c r="G262" s="32"/>
      <c r="J262" s="32" t="str">
        <v>kiri</v>
      </c>
      <c r="K262" s="32"/>
      <c r="L262" s="32"/>
      <c r="O262" s="32" t="str">
        <v>tengah</v>
      </c>
      <c r="P262" s="32"/>
      <c r="Q262" s="32"/>
      <c r="T262" s="32" t="str">
        <v>kanan</v>
      </c>
      <c r="U262" s="32"/>
      <c r="V262" s="32"/>
    </row>
    <row r="263" spans="5:22">
      <c r="E263" s="32" t="str">
        <v>tengah</v>
      </c>
      <c r="F263" s="32"/>
      <c r="G263" s="32"/>
      <c r="J263" s="32" t="str">
        <v>kiri</v>
      </c>
      <c r="K263" s="32"/>
      <c r="L263" s="32"/>
      <c r="O263" s="32" t="str">
        <v>kanan</v>
      </c>
      <c r="P263" s="32"/>
      <c r="Q263" s="32"/>
      <c r="T263" s="32" t="str">
        <v>tengah</v>
      </c>
      <c r="U263" s="32"/>
      <c r="V263" s="32"/>
    </row>
    <row r="264" spans="5:22">
      <c r="E264" s="32" t="str">
        <v>tengah</v>
      </c>
      <c r="F264" s="32"/>
      <c r="G264" s="32"/>
      <c r="J264" s="32" t="str">
        <v>tengah</v>
      </c>
      <c r="K264" s="32"/>
      <c r="L264" s="32"/>
      <c r="O264" s="32" t="str">
        <v>tengah</v>
      </c>
      <c r="P264" s="32"/>
      <c r="Q264" s="32"/>
      <c r="T264" s="32" t="str">
        <v>kanan</v>
      </c>
      <c r="U264" s="32"/>
      <c r="V264" s="32"/>
    </row>
    <row r="265" spans="5:22">
      <c r="E265" s="32" t="str">
        <v>tengah</v>
      </c>
      <c r="F265" s="32"/>
      <c r="G265" s="32"/>
      <c r="J265" s="32" t="str">
        <v>tengah</v>
      </c>
      <c r="K265" s="32"/>
      <c r="L265" s="32"/>
      <c r="O265" s="32" t="str">
        <v>tengah</v>
      </c>
      <c r="P265" s="32"/>
      <c r="Q265" s="32"/>
      <c r="T265" s="32" t="str">
        <v>kanan</v>
      </c>
      <c r="U265" s="32"/>
      <c r="V265" s="32"/>
    </row>
    <row r="266" spans="5:22">
      <c r="E266" s="32" t="str">
        <v>tengah</v>
      </c>
      <c r="F266" s="32"/>
      <c r="G266" s="32"/>
      <c r="J266" s="32" t="str">
        <v>tengah</v>
      </c>
      <c r="K266" s="32"/>
      <c r="L266" s="32"/>
      <c r="O266" s="32" t="str">
        <v>kiri</v>
      </c>
      <c r="P266" s="32"/>
      <c r="Q266" s="32"/>
      <c r="T266" s="32" t="str">
        <v>kanan</v>
      </c>
      <c r="U266" s="32"/>
      <c r="V266" s="32"/>
    </row>
    <row r="267" spans="5:22">
      <c r="E267" s="32" t="str">
        <v>tengah</v>
      </c>
      <c r="F267" s="32"/>
      <c r="G267" s="32"/>
      <c r="J267" s="32" t="str">
        <v>kanan</v>
      </c>
      <c r="K267" s="32"/>
      <c r="L267" s="32"/>
      <c r="O267" s="32" t="str">
        <v>kiri</v>
      </c>
      <c r="P267" s="32"/>
      <c r="Q267" s="32"/>
      <c r="T267" s="32" t="str">
        <v>tengah</v>
      </c>
      <c r="U267" s="32"/>
      <c r="V267" s="32"/>
    </row>
    <row r="268" spans="5:22">
      <c r="E268" s="32" t="str">
        <v>tengah</v>
      </c>
      <c r="F268" s="32"/>
      <c r="G268" s="32"/>
      <c r="J268" s="32" t="str">
        <v>tengah</v>
      </c>
      <c r="K268" s="32"/>
      <c r="L268" s="32"/>
      <c r="O268" s="32" t="str">
        <v>tengah</v>
      </c>
      <c r="P268" s="32"/>
      <c r="Q268" s="32"/>
      <c r="T268" s="32" t="str">
        <v>kanan</v>
      </c>
      <c r="U268" s="32"/>
      <c r="V268" s="32"/>
    </row>
    <row r="269" spans="5:22">
      <c r="E269" s="32" t="str">
        <v>kiri</v>
      </c>
      <c r="F269" s="32"/>
      <c r="G269" s="32"/>
      <c r="J269" s="32" t="str">
        <v>tengah</v>
      </c>
      <c r="K269" s="32"/>
      <c r="L269" s="32"/>
      <c r="O269" s="32" t="str">
        <v>tengah</v>
      </c>
      <c r="P269" s="32"/>
      <c r="Q269" s="32"/>
      <c r="T269" s="32" t="str">
        <v>kanan</v>
      </c>
      <c r="U269" s="32"/>
      <c r="V269" s="32"/>
    </row>
    <row r="270" spans="5:22">
      <c r="E270" s="32" t="str">
        <v>tengah</v>
      </c>
      <c r="F270" s="32"/>
      <c r="G270" s="32"/>
      <c r="J270" s="32" t="str">
        <v>tengah</v>
      </c>
      <c r="K270" s="32"/>
      <c r="L270" s="32"/>
      <c r="O270" s="32" t="str">
        <v>tengah</v>
      </c>
      <c r="P270" s="32"/>
      <c r="Q270" s="32"/>
      <c r="T270" s="32" t="str">
        <v>tengah</v>
      </c>
      <c r="U270" s="32"/>
      <c r="V270" s="32"/>
    </row>
    <row r="271" spans="5:22">
      <c r="E271" s="32" t="str">
        <v>tengah</v>
      </c>
      <c r="F271" s="32"/>
      <c r="G271" s="32"/>
      <c r="J271" s="32" t="str">
        <v>tengah</v>
      </c>
      <c r="K271" s="32"/>
      <c r="L271" s="32"/>
      <c r="O271" s="32" t="str">
        <v>tengah</v>
      </c>
      <c r="P271" s="32"/>
      <c r="Q271" s="32"/>
      <c r="T271" s="32" t="str">
        <v>kanan</v>
      </c>
      <c r="U271" s="32"/>
      <c r="V271" s="32"/>
    </row>
    <row r="272" spans="5:22">
      <c r="E272" s="32" t="str">
        <v>tengah</v>
      </c>
      <c r="F272" s="32"/>
      <c r="G272" s="32"/>
      <c r="J272" s="32" t="str">
        <v>tengah</v>
      </c>
      <c r="K272" s="32"/>
      <c r="L272" s="32"/>
      <c r="O272" s="32" t="str">
        <v>tengah</v>
      </c>
      <c r="P272" s="32"/>
      <c r="Q272" s="32"/>
      <c r="T272" s="32" t="str">
        <v>kanan</v>
      </c>
      <c r="U272" s="32"/>
      <c r="V272" s="32"/>
    </row>
    <row r="273" spans="5:22">
      <c r="E273" s="32" t="str">
        <v>kanan</v>
      </c>
      <c r="F273" s="32"/>
      <c r="G273" s="32"/>
      <c r="J273" s="32" t="str">
        <v>kanan</v>
      </c>
      <c r="K273" s="32"/>
      <c r="L273" s="32"/>
      <c r="O273" s="32" t="str">
        <v>tengah</v>
      </c>
      <c r="P273" s="32"/>
      <c r="Q273" s="32"/>
      <c r="T273" s="32" t="str">
        <v>kanan</v>
      </c>
      <c r="U273" s="32"/>
      <c r="V273" s="32"/>
    </row>
    <row r="274" spans="5:22">
      <c r="E274" s="32" t="str">
        <v>kiri</v>
      </c>
      <c r="F274" s="32"/>
      <c r="G274" s="32"/>
      <c r="J274" s="32" t="str">
        <v>kiri</v>
      </c>
      <c r="K274" s="32"/>
      <c r="L274" s="32"/>
      <c r="O274" s="32" t="str">
        <v>kanan</v>
      </c>
      <c r="P274" s="32"/>
      <c r="Q274" s="32"/>
      <c r="T274" s="32" t="str">
        <v>kanan</v>
      </c>
      <c r="U274" s="32"/>
      <c r="V274" s="32"/>
    </row>
    <row r="275" spans="5:22">
      <c r="E275" s="32" t="str">
        <v>tengah</v>
      </c>
      <c r="F275" s="32"/>
      <c r="G275" s="32"/>
      <c r="J275" s="32" t="str">
        <v>tengah</v>
      </c>
      <c r="K275" s="32"/>
      <c r="L275" s="32"/>
      <c r="O275" s="32" t="str">
        <v>tengah</v>
      </c>
      <c r="P275" s="32"/>
      <c r="Q275" s="32"/>
      <c r="T275" s="32" t="str">
        <v>kanan</v>
      </c>
      <c r="U275" s="32"/>
      <c r="V275" s="32"/>
    </row>
    <row r="276" spans="5:22">
      <c r="E276" s="32" t="str">
        <v>tengah</v>
      </c>
      <c r="F276" s="32"/>
      <c r="G276" s="32"/>
      <c r="J276" s="32" t="str">
        <v>tengah</v>
      </c>
      <c r="K276" s="32"/>
      <c r="L276" s="32"/>
      <c r="O276" s="32" t="str">
        <v>tengah</v>
      </c>
      <c r="P276" s="32"/>
      <c r="Q276" s="32"/>
      <c r="T276" s="32" t="str">
        <v>kanan</v>
      </c>
      <c r="U276" s="32"/>
      <c r="V276" s="32"/>
    </row>
    <row r="277" spans="5:22">
      <c r="E277" s="32" t="str">
        <v>kanan</v>
      </c>
      <c r="F277" s="32"/>
      <c r="G277" s="32"/>
      <c r="J277" s="32" t="str">
        <v>tengah</v>
      </c>
      <c r="K277" s="32"/>
      <c r="L277" s="32"/>
      <c r="O277" s="32" t="str">
        <v>tengah</v>
      </c>
      <c r="P277" s="32"/>
      <c r="Q277" s="32"/>
      <c r="T277" s="32" t="str">
        <v>tengah</v>
      </c>
      <c r="U277" s="32"/>
      <c r="V277" s="32"/>
    </row>
    <row r="278" spans="5:22">
      <c r="E278" s="32" t="str">
        <v>tengah</v>
      </c>
      <c r="F278" s="32"/>
      <c r="G278" s="32"/>
      <c r="J278" s="32" t="str">
        <v>tengah</v>
      </c>
      <c r="K278" s="32"/>
      <c r="L278" s="32"/>
      <c r="O278" s="32" t="str">
        <v>tengah</v>
      </c>
      <c r="P278" s="32"/>
      <c r="Q278" s="32"/>
      <c r="T278" s="32" t="str">
        <v>kanan</v>
      </c>
      <c r="U278" s="32"/>
      <c r="V278" s="32"/>
    </row>
    <row r="279" spans="5:22">
      <c r="E279" s="32" t="str">
        <v>kanan</v>
      </c>
      <c r="F279" s="32"/>
      <c r="G279" s="32"/>
      <c r="J279" s="32" t="str">
        <v>kiri</v>
      </c>
      <c r="K279" s="32"/>
      <c r="L279" s="32"/>
      <c r="O279" s="32" t="str">
        <v>kanan</v>
      </c>
      <c r="P279" s="32"/>
      <c r="Q279" s="32"/>
      <c r="T279" s="32" t="str">
        <v>kanan</v>
      </c>
      <c r="U279" s="32"/>
      <c r="V279" s="32"/>
    </row>
    <row r="280" spans="5:22">
      <c r="E280" s="32" t="str">
        <v>tengah</v>
      </c>
      <c r="F280" s="32"/>
      <c r="G280" s="32"/>
      <c r="J280" s="32" t="str">
        <v>tengah</v>
      </c>
      <c r="K280" s="32"/>
      <c r="L280" s="32"/>
      <c r="O280" s="32" t="str">
        <v>tengah</v>
      </c>
      <c r="P280" s="32"/>
      <c r="Q280" s="32"/>
      <c r="T280" s="32" t="str">
        <v>tengah</v>
      </c>
      <c r="U280" s="32"/>
      <c r="V280" s="32"/>
    </row>
    <row r="281" spans="5:22">
      <c r="E281" s="32" t="str">
        <v>kiri</v>
      </c>
      <c r="F281" s="32"/>
      <c r="G281" s="32"/>
      <c r="J281" s="32" t="str">
        <v>tengah</v>
      </c>
      <c r="K281" s="32"/>
      <c r="L281" s="32"/>
      <c r="O281" s="32" t="str">
        <v>kanan</v>
      </c>
      <c r="P281" s="32"/>
      <c r="Q281" s="32"/>
      <c r="T281" s="32" t="str">
        <v>kanan</v>
      </c>
      <c r="U281" s="32"/>
      <c r="V281" s="32"/>
    </row>
    <row r="282" spans="5:22">
      <c r="E282" s="32" t="str">
        <v>kanan</v>
      </c>
      <c r="F282" s="32"/>
      <c r="G282" s="32"/>
      <c r="J282" s="32" t="str">
        <v>kanan</v>
      </c>
      <c r="K282" s="32"/>
      <c r="L282" s="32"/>
      <c r="O282" s="32" t="str">
        <v>tengah</v>
      </c>
      <c r="P282" s="32"/>
      <c r="Q282" s="32"/>
      <c r="T282" s="32" t="str">
        <v>tengah</v>
      </c>
      <c r="U282" s="32"/>
      <c r="V282" s="32"/>
    </row>
    <row r="283" spans="5:22">
      <c r="E283" s="32" t="str">
        <v>tengah</v>
      </c>
      <c r="F283" s="32"/>
      <c r="G283" s="32"/>
      <c r="J283" s="32" t="str">
        <v>tengah</v>
      </c>
      <c r="K283" s="32"/>
      <c r="L283" s="32"/>
      <c r="O283" s="32" t="str">
        <v>tengah</v>
      </c>
      <c r="P283" s="32"/>
      <c r="Q283" s="32"/>
      <c r="T283" s="32" t="str">
        <v>kanan</v>
      </c>
      <c r="U283" s="32"/>
      <c r="V283" s="32"/>
    </row>
    <row r="284" spans="5:22">
      <c r="E284" s="32" t="str">
        <v>tengah</v>
      </c>
      <c r="F284" s="32"/>
      <c r="G284" s="32"/>
      <c r="J284" s="32" t="str">
        <v>kiri</v>
      </c>
      <c r="K284" s="32"/>
      <c r="L284" s="32"/>
      <c r="O284" s="32" t="str">
        <v>tengah</v>
      </c>
      <c r="P284" s="32"/>
      <c r="Q284" s="32"/>
      <c r="T284" s="32" t="str">
        <v>tengah</v>
      </c>
      <c r="U284" s="32"/>
      <c r="V284" s="32"/>
    </row>
    <row r="285" spans="5:22">
      <c r="E285" s="32" t="str">
        <v>tengah</v>
      </c>
      <c r="F285" s="32"/>
      <c r="G285" s="32"/>
      <c r="J285" s="32" t="str">
        <v>kiri</v>
      </c>
      <c r="K285" s="32"/>
      <c r="L285" s="32"/>
      <c r="O285" s="32" t="str">
        <v>tengah</v>
      </c>
      <c r="P285" s="32"/>
      <c r="Q285" s="32"/>
      <c r="T285" s="32" t="str">
        <v>kanan</v>
      </c>
      <c r="U285" s="32"/>
      <c r="V285" s="32"/>
    </row>
    <row r="286" spans="5:22">
      <c r="E286" s="32" t="str">
        <v>kiri</v>
      </c>
      <c r="F286" s="32"/>
      <c r="G286" s="32"/>
      <c r="J286" s="32" t="str">
        <v>tengah</v>
      </c>
      <c r="K286" s="32"/>
      <c r="L286" s="32"/>
      <c r="O286" s="32" t="str">
        <v>tengah</v>
      </c>
      <c r="P286" s="32"/>
      <c r="Q286" s="32"/>
      <c r="T286" s="32" t="str">
        <v>kanan</v>
      </c>
      <c r="U286" s="32"/>
      <c r="V286" s="32"/>
    </row>
    <row r="287" spans="5:22">
      <c r="E287" s="32" t="str">
        <v>kanan</v>
      </c>
      <c r="F287" s="32"/>
      <c r="G287" s="32"/>
      <c r="J287" s="32" t="str">
        <v>tengah</v>
      </c>
      <c r="K287" s="32"/>
      <c r="L287" s="32"/>
      <c r="O287" s="32" t="str">
        <v>kanan</v>
      </c>
      <c r="P287" s="32"/>
      <c r="Q287" s="32"/>
      <c r="T287" s="32" t="str">
        <v>kanan</v>
      </c>
      <c r="U287" s="32"/>
      <c r="V287" s="32"/>
    </row>
    <row r="288" spans="5:22">
      <c r="E288" s="32" t="str">
        <v>kanan</v>
      </c>
      <c r="F288" s="32"/>
      <c r="G288" s="32"/>
      <c r="J288" s="32" t="str">
        <v>kiri</v>
      </c>
      <c r="K288" s="32"/>
      <c r="L288" s="32"/>
      <c r="O288" s="32" t="str">
        <v>tengah</v>
      </c>
      <c r="P288" s="32"/>
      <c r="Q288" s="32"/>
      <c r="T288" s="32" t="str">
        <v>tengah</v>
      </c>
      <c r="U288" s="32"/>
      <c r="V288" s="32"/>
    </row>
    <row r="289" spans="5:22">
      <c r="E289" s="32" t="str">
        <v>kiri</v>
      </c>
      <c r="F289" s="32"/>
      <c r="G289" s="32"/>
      <c r="J289" s="32" t="str">
        <v>kanan</v>
      </c>
      <c r="K289" s="32"/>
      <c r="L289" s="32"/>
      <c r="O289" s="32" t="str">
        <v>tengah</v>
      </c>
      <c r="P289" s="32"/>
      <c r="Q289" s="32"/>
      <c r="T289" s="32" t="str">
        <v>kanan</v>
      </c>
      <c r="U289" s="32"/>
      <c r="V289" s="32"/>
    </row>
    <row r="290" spans="5:22">
      <c r="E290" s="32" t="str">
        <v>kiri</v>
      </c>
      <c r="F290" s="32"/>
      <c r="G290" s="32"/>
      <c r="J290" s="32" t="str">
        <v>tengah</v>
      </c>
      <c r="K290" s="32"/>
      <c r="L290" s="32"/>
      <c r="O290" s="32" t="str">
        <v>tengah</v>
      </c>
      <c r="P290" s="32"/>
      <c r="Q290" s="32"/>
      <c r="T290" s="32" t="str">
        <v>tengah</v>
      </c>
      <c r="U290" s="32"/>
      <c r="V290" s="32"/>
    </row>
    <row r="291" spans="5:22">
      <c r="E291" s="32" t="str">
        <v>kiri</v>
      </c>
      <c r="F291" s="32"/>
      <c r="G291" s="32"/>
      <c r="J291" s="32" t="str">
        <v>tengah</v>
      </c>
      <c r="K291" s="32"/>
      <c r="L291" s="32"/>
      <c r="O291" s="32" t="str">
        <v>kiri</v>
      </c>
      <c r="P291" s="32"/>
      <c r="Q291" s="32"/>
      <c r="T291" s="32" t="str">
        <v>kanan</v>
      </c>
      <c r="U291" s="32"/>
      <c r="V291" s="32"/>
    </row>
    <row r="292" spans="5:22">
      <c r="E292" s="32" t="str">
        <v>tengah</v>
      </c>
      <c r="F292" s="32"/>
      <c r="G292" s="32"/>
      <c r="J292" s="32" t="str">
        <v>tengah</v>
      </c>
      <c r="K292" s="32"/>
      <c r="L292" s="32"/>
      <c r="O292" s="32" t="str">
        <v>kanan</v>
      </c>
      <c r="P292" s="32"/>
      <c r="Q292" s="32"/>
      <c r="T292" s="32" t="str">
        <v>tengah</v>
      </c>
      <c r="U292" s="32"/>
      <c r="V292" s="32"/>
    </row>
    <row r="293" spans="5:22">
      <c r="E293" s="32" t="str">
        <v>kanan</v>
      </c>
      <c r="F293" s="32"/>
      <c r="G293" s="32"/>
      <c r="J293" s="32" t="str">
        <v>kanan</v>
      </c>
      <c r="K293" s="32"/>
      <c r="L293" s="32"/>
      <c r="O293" s="32" t="str">
        <v>tengah</v>
      </c>
      <c r="P293" s="32"/>
      <c r="Q293" s="32"/>
      <c r="T293" s="32" t="str">
        <v>kanan</v>
      </c>
      <c r="U293" s="32"/>
      <c r="V293" s="32"/>
    </row>
    <row r="294" spans="5:22">
      <c r="E294" s="32" t="str">
        <v>tengah</v>
      </c>
      <c r="F294" s="32"/>
      <c r="G294" s="32"/>
      <c r="J294" s="32" t="str">
        <v>kanan</v>
      </c>
      <c r="K294" s="32"/>
      <c r="L294" s="32"/>
      <c r="O294" s="32" t="str">
        <v>tengah</v>
      </c>
      <c r="P294" s="32"/>
      <c r="Q294" s="32"/>
      <c r="T294" s="32" t="str">
        <v>tengah</v>
      </c>
      <c r="U294" s="32"/>
      <c r="V294" s="32"/>
    </row>
    <row r="295" spans="5:22">
      <c r="E295" s="32" t="str">
        <v>tengah</v>
      </c>
      <c r="F295" s="32"/>
      <c r="G295" s="32"/>
      <c r="J295" s="32" t="str">
        <v>kanan</v>
      </c>
      <c r="K295" s="32"/>
      <c r="L295" s="32"/>
      <c r="O295" s="32" t="str">
        <v>tengah</v>
      </c>
      <c r="P295" s="32"/>
      <c r="Q295" s="32"/>
      <c r="T295" s="32" t="str">
        <v>tengah</v>
      </c>
      <c r="U295" s="32"/>
      <c r="V295" s="32"/>
    </row>
    <row r="296" spans="5:22">
      <c r="E296" s="32" t="str">
        <v>kiri</v>
      </c>
      <c r="F296" s="32"/>
      <c r="G296" s="32"/>
      <c r="J296" s="32" t="str">
        <v>kanan</v>
      </c>
      <c r="K296" s="32"/>
      <c r="L296" s="32"/>
      <c r="O296" s="32" t="str">
        <v>tengah</v>
      </c>
      <c r="P296" s="32"/>
      <c r="Q296" s="32"/>
      <c r="T296" s="32" t="str">
        <v>kanan</v>
      </c>
      <c r="U296" s="32"/>
      <c r="V296" s="32"/>
    </row>
    <row r="297" spans="5:22">
      <c r="E297" s="32" t="str">
        <v>tengah</v>
      </c>
      <c r="F297" s="32"/>
      <c r="G297" s="32"/>
      <c r="J297" s="32" t="str">
        <v>tengah</v>
      </c>
      <c r="K297" s="32"/>
      <c r="L297" s="32"/>
      <c r="O297" s="32" t="str">
        <v>tengah</v>
      </c>
      <c r="P297" s="32"/>
      <c r="Q297" s="32"/>
      <c r="T297" s="32" t="str">
        <v>kanan</v>
      </c>
      <c r="U297" s="32"/>
      <c r="V297" s="32"/>
    </row>
    <row r="298" spans="5:22">
      <c r="E298" s="32" t="str">
        <v>kiri</v>
      </c>
      <c r="F298" s="32"/>
      <c r="G298" s="32"/>
      <c r="J298" s="32" t="str">
        <v>tengah</v>
      </c>
      <c r="K298" s="32"/>
      <c r="L298" s="32"/>
      <c r="O298" s="32" t="str">
        <v>tengah</v>
      </c>
      <c r="P298" s="32"/>
      <c r="Q298" s="32"/>
      <c r="T298" s="32" t="str">
        <v>tengah</v>
      </c>
      <c r="U298" s="32"/>
      <c r="V298" s="32"/>
    </row>
    <row r="299" spans="5:22">
      <c r="E299" s="32" t="str">
        <v>kiri</v>
      </c>
      <c r="F299" s="32"/>
      <c r="G299" s="32"/>
      <c r="J299" s="32" t="str">
        <v>tengah</v>
      </c>
      <c r="K299" s="32"/>
      <c r="L299" s="32"/>
      <c r="O299" s="32" t="str">
        <v>kiri</v>
      </c>
      <c r="P299" s="32"/>
      <c r="Q299" s="32"/>
      <c r="T299" s="32" t="str">
        <v>tengah</v>
      </c>
      <c r="U299" s="32"/>
      <c r="V299" s="32"/>
    </row>
    <row r="300" spans="5:22">
      <c r="E300" s="32" t="str">
        <v>tengah</v>
      </c>
      <c r="F300" s="32"/>
      <c r="G300" s="32"/>
      <c r="J300" s="32" t="str">
        <v>kanan</v>
      </c>
      <c r="K300" s="32"/>
      <c r="L300" s="32"/>
      <c r="O300" s="32" t="str">
        <v>tengah</v>
      </c>
      <c r="P300" s="32"/>
      <c r="Q300" s="32"/>
      <c r="T300" s="32" t="str">
        <v>tengah</v>
      </c>
      <c r="U300" s="32"/>
      <c r="V300" s="32"/>
    </row>
    <row r="301" spans="5:22">
      <c r="E301" s="32" t="str">
        <v>kiri</v>
      </c>
      <c r="F301" s="32"/>
      <c r="G301" s="32"/>
      <c r="J301" s="32" t="str">
        <v>kanan</v>
      </c>
      <c r="K301" s="32"/>
      <c r="L301" s="32"/>
      <c r="O301" s="32" t="str">
        <v>tengah</v>
      </c>
      <c r="P301" s="32"/>
      <c r="Q301" s="32"/>
      <c r="T301" s="32" t="str">
        <v>kanan</v>
      </c>
      <c r="U301" s="32"/>
      <c r="V301" s="32"/>
    </row>
    <row r="302" spans="5:22">
      <c r="E302" s="32" t="str">
        <v>kiri</v>
      </c>
      <c r="F302" s="32"/>
      <c r="G302" s="32"/>
      <c r="J302" s="32" t="str">
        <v>tengah</v>
      </c>
      <c r="K302" s="32"/>
      <c r="L302" s="32"/>
      <c r="O302" s="32" t="str">
        <v>kanan</v>
      </c>
      <c r="P302" s="32"/>
      <c r="Q302" s="32"/>
      <c r="T302" s="32" t="str">
        <v>tengah</v>
      </c>
      <c r="U302" s="32"/>
      <c r="V302" s="32"/>
    </row>
    <row r="303" spans="5:22">
      <c r="E303" s="32" t="str">
        <v>kanan</v>
      </c>
      <c r="F303" s="32"/>
      <c r="G303" s="32"/>
      <c r="J303" s="32" t="str">
        <v>tengah</v>
      </c>
      <c r="K303" s="32"/>
      <c r="L303" s="32"/>
      <c r="O303" s="32" t="str">
        <v>tengah</v>
      </c>
      <c r="P303" s="32"/>
      <c r="Q303" s="32"/>
      <c r="T303" s="32" t="str">
        <v>kanan</v>
      </c>
      <c r="U303" s="32"/>
      <c r="V303" s="32"/>
    </row>
    <row r="304" spans="5:22">
      <c r="E304" s="32" t="str">
        <v>tengah</v>
      </c>
      <c r="F304" s="32"/>
      <c r="G304" s="32"/>
      <c r="J304" s="32" t="str">
        <v>kiri</v>
      </c>
      <c r="K304" s="32"/>
      <c r="L304" s="32"/>
      <c r="O304" s="32" t="str">
        <v>tengah</v>
      </c>
      <c r="P304" s="32"/>
      <c r="Q304" s="32"/>
      <c r="T304" s="32" t="str">
        <v>kanan</v>
      </c>
      <c r="U304" s="32"/>
      <c r="V304" s="32"/>
    </row>
    <row r="305" spans="5:22">
      <c r="E305" s="32" t="str">
        <v>tengah</v>
      </c>
      <c r="F305" s="32"/>
      <c r="G305" s="32"/>
      <c r="J305" s="32" t="str">
        <v>tengah</v>
      </c>
      <c r="K305" s="32"/>
      <c r="L305" s="32"/>
      <c r="O305" s="32" t="str">
        <v>kiri</v>
      </c>
      <c r="P305" s="32"/>
      <c r="Q305" s="32"/>
      <c r="T305" s="32" t="str">
        <v>kanan</v>
      </c>
      <c r="U305" s="32"/>
      <c r="V305" s="32"/>
    </row>
    <row r="306" spans="5:22">
      <c r="E306" s="32" t="str">
        <v>kiri</v>
      </c>
      <c r="F306" s="32"/>
      <c r="G306" s="32"/>
      <c r="J306" s="32" t="str">
        <v>kiri</v>
      </c>
      <c r="K306" s="32"/>
      <c r="L306" s="32"/>
      <c r="O306" s="32" t="str">
        <v>kanan</v>
      </c>
      <c r="P306" s="32"/>
      <c r="Q306" s="32"/>
      <c r="T306" s="32" t="str">
        <v>kanan</v>
      </c>
      <c r="U306" s="32"/>
      <c r="V306" s="32"/>
    </row>
    <row r="307" spans="5:22">
      <c r="E307" s="32" t="str">
        <v>kanan</v>
      </c>
      <c r="F307" s="32"/>
      <c r="G307" s="32"/>
      <c r="J307" s="32" t="str">
        <v>tengah</v>
      </c>
      <c r="K307" s="32"/>
      <c r="L307" s="32"/>
      <c r="O307" s="32" t="str">
        <v>tengah</v>
      </c>
      <c r="P307" s="32"/>
      <c r="Q307" s="32"/>
      <c r="T307" s="32" t="str">
        <v>kanan</v>
      </c>
      <c r="U307" s="32"/>
      <c r="V307" s="32"/>
    </row>
    <row r="308" spans="5:22">
      <c r="E308" s="32" t="str">
        <v>tengah</v>
      </c>
      <c r="F308" s="32"/>
      <c r="G308" s="32"/>
      <c r="J308" s="32" t="str">
        <v>kanan</v>
      </c>
      <c r="K308" s="32"/>
      <c r="L308" s="32"/>
      <c r="O308" s="32" t="str">
        <v>tengah</v>
      </c>
      <c r="P308" s="32"/>
      <c r="Q308" s="32"/>
      <c r="T308" s="32" t="str">
        <v>tengah</v>
      </c>
      <c r="U308" s="32"/>
      <c r="V308" s="32"/>
    </row>
    <row r="309" spans="5:22">
      <c r="E309" s="32" t="str">
        <v>kiri</v>
      </c>
      <c r="F309" s="32"/>
      <c r="G309" s="32"/>
      <c r="J309" s="32" t="str">
        <v>kiri</v>
      </c>
      <c r="K309" s="32"/>
      <c r="L309" s="32"/>
      <c r="O309" s="32" t="str">
        <v>tengah</v>
      </c>
      <c r="P309" s="32"/>
      <c r="Q309" s="32"/>
      <c r="T309" s="32" t="str">
        <v>tengah</v>
      </c>
      <c r="U309" s="32"/>
      <c r="V309" s="32"/>
    </row>
    <row r="310" spans="5:22">
      <c r="E310" s="32" t="str">
        <v>kiri</v>
      </c>
      <c r="F310" s="32"/>
      <c r="G310" s="32"/>
      <c r="J310" s="32" t="str">
        <v>tengah</v>
      </c>
      <c r="K310" s="32"/>
      <c r="L310" s="32"/>
      <c r="O310" s="32" t="str">
        <v>tengah</v>
      </c>
      <c r="P310" s="32"/>
      <c r="Q310" s="32"/>
      <c r="T310" s="32" t="str">
        <v>tengah</v>
      </c>
      <c r="U310" s="32"/>
      <c r="V310" s="32"/>
    </row>
    <row r="311" spans="5:22">
      <c r="E311" s="32" t="str">
        <v>kiri</v>
      </c>
      <c r="F311" s="32"/>
      <c r="G311" s="32"/>
      <c r="J311" s="32" t="str">
        <v>tengah</v>
      </c>
      <c r="K311" s="32"/>
      <c r="L311" s="32"/>
      <c r="O311" s="32" t="str">
        <v>tengah</v>
      </c>
      <c r="P311" s="32"/>
      <c r="Q311" s="32"/>
      <c r="T311" s="32" t="str">
        <v>tengah</v>
      </c>
      <c r="U311" s="32"/>
      <c r="V311" s="32"/>
    </row>
    <row r="312" spans="5:22">
      <c r="E312" s="32" t="str">
        <v>tengah</v>
      </c>
      <c r="F312" s="32"/>
      <c r="G312" s="32"/>
      <c r="J312" s="32" t="str">
        <v>kiri</v>
      </c>
      <c r="K312" s="32"/>
      <c r="L312" s="32"/>
      <c r="O312" s="32" t="str">
        <v>kiri</v>
      </c>
      <c r="P312" s="32"/>
      <c r="Q312" s="32"/>
      <c r="T312" s="32" t="str">
        <v>kanan</v>
      </c>
      <c r="U312" s="32"/>
      <c r="V312" s="32"/>
    </row>
    <row r="313" spans="5:22">
      <c r="E313" s="32" t="str">
        <v>tengah</v>
      </c>
      <c r="F313" s="32"/>
      <c r="G313" s="32"/>
      <c r="J313" s="32" t="str">
        <v>tengah</v>
      </c>
      <c r="K313" s="32"/>
      <c r="L313" s="32"/>
      <c r="O313" s="32" t="str">
        <v>kiri</v>
      </c>
      <c r="P313" s="32"/>
      <c r="Q313" s="32"/>
      <c r="T313" s="32" t="str">
        <v>kanan</v>
      </c>
      <c r="U313" s="32"/>
      <c r="V313" s="32"/>
    </row>
    <row r="314" spans="5:22">
      <c r="E314" s="32" t="str">
        <v>kiri</v>
      </c>
      <c r="F314" s="32"/>
      <c r="G314" s="32"/>
      <c r="J314" s="32" t="str">
        <v>tengah</v>
      </c>
      <c r="K314" s="32"/>
      <c r="L314" s="32"/>
      <c r="O314" s="32" t="str">
        <v>kiri</v>
      </c>
      <c r="P314" s="32"/>
      <c r="Q314" s="32"/>
      <c r="T314" s="32" t="str">
        <v>tengah</v>
      </c>
      <c r="U314" s="32"/>
      <c r="V314" s="32"/>
    </row>
    <row r="315" spans="5:22">
      <c r="E315" s="32" t="str">
        <v>tengah</v>
      </c>
      <c r="F315" s="32"/>
      <c r="G315" s="32"/>
      <c r="J315" s="32" t="str">
        <v>tengah</v>
      </c>
      <c r="K315" s="32"/>
      <c r="L315" s="32"/>
      <c r="O315" s="32" t="str">
        <v>tengah</v>
      </c>
      <c r="P315" s="32"/>
      <c r="Q315" s="32"/>
      <c r="T315" s="32" t="str">
        <v>kanan</v>
      </c>
      <c r="U315" s="32"/>
      <c r="V315" s="32"/>
    </row>
    <row r="316" spans="5:22">
      <c r="E316" s="32" t="str">
        <v>tengah</v>
      </c>
      <c r="F316" s="32"/>
      <c r="G316" s="32"/>
      <c r="J316" s="32" t="str">
        <v>tengah</v>
      </c>
      <c r="K316" s="32"/>
      <c r="L316" s="32"/>
      <c r="O316" s="32" t="str">
        <v>tengah</v>
      </c>
      <c r="P316" s="32"/>
      <c r="Q316" s="32"/>
      <c r="T316" s="32" t="str">
        <v>kanan</v>
      </c>
      <c r="U316" s="32"/>
      <c r="V316" s="32"/>
    </row>
    <row r="317" spans="5:22">
      <c r="E317" s="32" t="str">
        <v>tengah</v>
      </c>
      <c r="F317" s="32"/>
      <c r="G317" s="32"/>
      <c r="J317" s="32" t="str">
        <v>tengah</v>
      </c>
      <c r="K317" s="32"/>
      <c r="L317" s="32"/>
      <c r="O317" s="32" t="str">
        <v>tengah</v>
      </c>
      <c r="P317" s="32"/>
      <c r="Q317" s="32"/>
      <c r="T317" s="32" t="str">
        <v>tengah</v>
      </c>
      <c r="U317" s="32"/>
      <c r="V317" s="32"/>
    </row>
    <row r="318" spans="5:22">
      <c r="E318" s="32" t="str">
        <v>kiri</v>
      </c>
      <c r="F318" s="32"/>
      <c r="G318" s="32"/>
      <c r="J318" s="32" t="str">
        <v>kiri</v>
      </c>
      <c r="K318" s="32"/>
      <c r="L318" s="32"/>
      <c r="O318" s="32" t="str">
        <v>tengah</v>
      </c>
      <c r="P318" s="32"/>
      <c r="Q318" s="32"/>
      <c r="T318" s="32" t="str">
        <v>kanan</v>
      </c>
      <c r="U318" s="32"/>
      <c r="V318" s="32"/>
    </row>
    <row r="319" spans="5:22">
      <c r="E319" s="32" t="str">
        <v>tengah</v>
      </c>
      <c r="F319" s="32"/>
      <c r="G319" s="32"/>
      <c r="J319" s="32" t="str">
        <v>kiri</v>
      </c>
      <c r="K319" s="32"/>
      <c r="L319" s="32"/>
      <c r="O319" s="32" t="str">
        <v>tengah</v>
      </c>
      <c r="P319" s="32"/>
      <c r="Q319" s="32"/>
      <c r="T319" s="32" t="str">
        <v>kanan</v>
      </c>
      <c r="U319" s="32"/>
      <c r="V319" s="32"/>
    </row>
    <row r="320" spans="5:22">
      <c r="E320" s="32" t="str">
        <v>tengah</v>
      </c>
      <c r="F320" s="32"/>
      <c r="G320" s="32"/>
      <c r="J320" s="32" t="str">
        <v>tengah</v>
      </c>
      <c r="K320" s="32"/>
      <c r="L320" s="32"/>
      <c r="O320" s="32" t="str">
        <v>tengah</v>
      </c>
      <c r="P320" s="32"/>
      <c r="Q320" s="32"/>
      <c r="T320" s="32" t="str">
        <v>kanan</v>
      </c>
      <c r="U320" s="32"/>
      <c r="V320" s="32"/>
    </row>
    <row r="321" spans="5:22">
      <c r="E321" s="32" t="str">
        <v>tengah</v>
      </c>
      <c r="F321" s="32"/>
      <c r="G321" s="32"/>
      <c r="J321" s="32" t="str">
        <v>kiri</v>
      </c>
      <c r="K321" s="32"/>
      <c r="L321" s="32"/>
      <c r="O321" s="32" t="str">
        <v>tengah</v>
      </c>
      <c r="P321" s="32"/>
      <c r="Q321" s="32"/>
      <c r="T321" s="32" t="str">
        <v>kanan</v>
      </c>
      <c r="U321" s="32"/>
      <c r="V321" s="32"/>
    </row>
    <row r="322" spans="5:22">
      <c r="E322" s="32" t="str">
        <v>tengah</v>
      </c>
      <c r="F322" s="32"/>
      <c r="G322" s="32"/>
      <c r="J322" s="32" t="str">
        <v>kanan</v>
      </c>
      <c r="K322" s="32"/>
      <c r="L322" s="32"/>
      <c r="O322" s="32" t="str">
        <v>tengah</v>
      </c>
      <c r="P322" s="32"/>
      <c r="Q322" s="32"/>
      <c r="T322" s="32" t="str">
        <v>kanan</v>
      </c>
      <c r="U322" s="32"/>
      <c r="V322" s="32"/>
    </row>
    <row r="323" spans="5:22">
      <c r="E323" s="32" t="str">
        <v>tengah</v>
      </c>
      <c r="F323" s="32"/>
      <c r="G323" s="32"/>
      <c r="J323" s="32" t="str">
        <v>kanan</v>
      </c>
      <c r="K323" s="32"/>
      <c r="L323" s="32"/>
      <c r="O323" s="32" t="str">
        <v>tengah</v>
      </c>
      <c r="P323" s="32"/>
      <c r="Q323" s="32"/>
      <c r="T323" s="32" t="str">
        <v>tengah</v>
      </c>
      <c r="U323" s="32"/>
      <c r="V323" s="32"/>
    </row>
    <row r="324" spans="5:22">
      <c r="E324" s="32" t="str">
        <v>tengah</v>
      </c>
      <c r="F324" s="32"/>
      <c r="G324" s="32"/>
      <c r="J324" s="32" t="str">
        <v>tengah</v>
      </c>
      <c r="K324" s="32"/>
      <c r="L324" s="32"/>
      <c r="O324" s="32" t="str">
        <v>kiri</v>
      </c>
      <c r="P324" s="32"/>
      <c r="Q324" s="32"/>
      <c r="T324" s="32" t="str">
        <v>kanan</v>
      </c>
      <c r="U324" s="32"/>
      <c r="V324" s="32"/>
    </row>
    <row r="325" spans="5:22">
      <c r="E325" s="32" t="str">
        <v>tengah</v>
      </c>
      <c r="F325" s="32"/>
      <c r="G325" s="32"/>
      <c r="J325" s="32" t="str">
        <v>kiri</v>
      </c>
      <c r="K325" s="32"/>
      <c r="L325" s="32"/>
      <c r="O325" s="32" t="str">
        <v>tengah</v>
      </c>
      <c r="P325" s="32"/>
      <c r="Q325" s="32"/>
      <c r="T325" s="32" t="str">
        <v>kanan</v>
      </c>
      <c r="U325" s="32"/>
      <c r="V325" s="32"/>
    </row>
    <row r="326" spans="5:22">
      <c r="E326" s="32" t="str">
        <v>kiri</v>
      </c>
      <c r="F326" s="32"/>
      <c r="G326" s="32"/>
      <c r="J326" s="32" t="str">
        <v>kiri</v>
      </c>
      <c r="K326" s="32"/>
      <c r="L326" s="32"/>
      <c r="O326" s="32" t="str">
        <v>kanan</v>
      </c>
      <c r="P326" s="32"/>
      <c r="Q326" s="32"/>
      <c r="T326" s="32" t="str">
        <v>tengah</v>
      </c>
      <c r="U326" s="32"/>
      <c r="V326" s="32"/>
    </row>
    <row r="327" spans="5:22">
      <c r="E327" s="32" t="str">
        <v>kiri</v>
      </c>
      <c r="F327" s="32"/>
      <c r="G327" s="32"/>
      <c r="J327" s="32" t="str">
        <v>tengah</v>
      </c>
      <c r="K327" s="32"/>
      <c r="L327" s="32"/>
      <c r="O327" s="32" t="str">
        <v>kanan</v>
      </c>
      <c r="P327" s="32"/>
      <c r="Q327" s="32"/>
      <c r="T327" s="32" t="str">
        <v>tengah</v>
      </c>
      <c r="U327" s="32"/>
      <c r="V327" s="32"/>
    </row>
    <row r="328" spans="5:22">
      <c r="E328" s="32" t="str">
        <v>kanan</v>
      </c>
      <c r="F328" s="32"/>
      <c r="G328" s="32"/>
      <c r="J328" s="32" t="str">
        <v>tengah</v>
      </c>
      <c r="K328" s="32"/>
      <c r="L328" s="32"/>
      <c r="O328" s="32" t="str">
        <v>kanan</v>
      </c>
      <c r="P328" s="32"/>
      <c r="Q328" s="32"/>
      <c r="T328" s="32" t="str">
        <v>kanan</v>
      </c>
      <c r="U328" s="32"/>
      <c r="V328" s="32"/>
    </row>
    <row r="329" spans="5:22">
      <c r="E329" s="32" t="str">
        <v>tengah</v>
      </c>
      <c r="F329" s="32"/>
      <c r="G329" s="32"/>
      <c r="J329" s="32" t="str">
        <v>tengah</v>
      </c>
      <c r="K329" s="32"/>
      <c r="L329" s="32"/>
      <c r="O329" s="32" t="str">
        <v>kiri</v>
      </c>
      <c r="P329" s="32"/>
      <c r="Q329" s="32"/>
      <c r="T329" s="32" t="str">
        <v>kanan</v>
      </c>
      <c r="U329" s="32"/>
      <c r="V329" s="32"/>
    </row>
    <row r="330" spans="5:22">
      <c r="E330" s="32" t="str">
        <v>kiri</v>
      </c>
      <c r="F330" s="32"/>
      <c r="G330" s="32"/>
      <c r="J330" s="32" t="str">
        <v>kiri</v>
      </c>
      <c r="K330" s="32"/>
      <c r="L330" s="32"/>
      <c r="O330" s="32" t="str">
        <v>tengah</v>
      </c>
      <c r="P330" s="32"/>
      <c r="Q330" s="32"/>
      <c r="T330" s="32" t="str">
        <v>kanan</v>
      </c>
      <c r="U330" s="32"/>
      <c r="V330" s="32"/>
    </row>
    <row r="331" spans="5:22">
      <c r="E331" s="32" t="str">
        <v>tengah</v>
      </c>
      <c r="F331" s="32"/>
      <c r="G331" s="32"/>
      <c r="J331" s="32" t="str">
        <v>kanan</v>
      </c>
      <c r="K331" s="32"/>
      <c r="L331" s="32"/>
      <c r="O331" s="32" t="str">
        <v>kanan</v>
      </c>
      <c r="P331" s="32"/>
      <c r="Q331" s="32"/>
      <c r="T331" s="32" t="str">
        <v>tengah</v>
      </c>
      <c r="U331" s="32"/>
      <c r="V331" s="32"/>
    </row>
    <row r="332" spans="5:22">
      <c r="E332" s="32" t="str">
        <v>kiri</v>
      </c>
      <c r="F332" s="32"/>
      <c r="G332" s="32"/>
      <c r="J332" s="32" t="str">
        <v>tengah</v>
      </c>
      <c r="K332" s="32"/>
      <c r="L332" s="32"/>
      <c r="O332" s="32" t="str">
        <v>tengah</v>
      </c>
      <c r="P332" s="32"/>
      <c r="Q332" s="32"/>
      <c r="T332" s="32" t="str">
        <v>tengah</v>
      </c>
      <c r="U332" s="32"/>
      <c r="V332" s="32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3B4A-41D5-4D2A-A965-BBF21613614F}">
  <dimension ref="A1:V332"/>
  <sheetViews>
    <sheetView topLeftCell="L190" zoomScale="98" zoomScaleNormal="98" workbookViewId="0">
      <selection activeCell="R200" sqref="R200"/>
    </sheetView>
  </sheetViews>
  <sheetFormatPr defaultColWidth="9" defaultRowHeight="15"/>
  <cols>
    <col min="2" max="2" width="15.85546875" customWidth="1"/>
    <col min="3" max="3" width="16.7109375" bestFit="1" customWidth="1"/>
    <col min="4" max="4" width="13.85546875" customWidth="1"/>
    <col min="6" max="6" width="14.42578125" bestFit="1" customWidth="1"/>
    <col min="8" max="8" width="14.28515625" customWidth="1"/>
    <col min="9" max="9" width="13.28515625" customWidth="1"/>
    <col min="10" max="10" width="13.85546875" customWidth="1"/>
    <col min="11" max="11" width="22" bestFit="1" customWidth="1"/>
    <col min="13" max="13" width="14.42578125" bestFit="1" customWidth="1"/>
    <col min="15" max="15" width="25.28515625" bestFit="1" customWidth="1"/>
    <col min="16" max="16" width="12.85546875" bestFit="1" customWidth="1"/>
    <col min="17" max="17" width="11.7109375" customWidth="1"/>
    <col min="20" max="20" width="14.42578125" bestFit="1" customWidth="1"/>
  </cols>
  <sheetData>
    <row r="1" spans="1:17">
      <c r="A1" s="30" t="s">
        <v>174</v>
      </c>
      <c r="B1" s="30" t="s">
        <v>1</v>
      </c>
      <c r="C1" s="30" t="s">
        <v>2</v>
      </c>
      <c r="D1" s="30" t="s">
        <v>173</v>
      </c>
      <c r="E1" s="30" t="s">
        <v>4</v>
      </c>
      <c r="F1" s="30" t="s">
        <v>5</v>
      </c>
      <c r="H1" s="61" t="s">
        <v>174</v>
      </c>
      <c r="I1" s="61" t="s">
        <v>1</v>
      </c>
      <c r="J1" s="61" t="s">
        <v>2</v>
      </c>
      <c r="K1" s="61" t="s">
        <v>173</v>
      </c>
      <c r="L1" s="61" t="s">
        <v>4</v>
      </c>
      <c r="M1" s="61" t="s">
        <v>5</v>
      </c>
      <c r="O1" s="30" t="s">
        <v>175</v>
      </c>
      <c r="P1" s="31"/>
      <c r="Q1" s="31"/>
    </row>
    <row r="2" spans="1:17">
      <c r="A2" s="32">
        <f ca="1">RANDBETWEEN(2,164)</f>
        <v>18</v>
      </c>
      <c r="B2" s="32" cm="1">
        <f t="array" aca="1" ref="B2" ca="1">INDEX(Data_DBD!$B:$B,$A2)</f>
        <v>49</v>
      </c>
      <c r="C2" s="32" cm="1">
        <f t="array" aca="1" ref="C2" ca="1">INDEX(Data_DBD!$C:$C,$A2)</f>
        <v>4</v>
      </c>
      <c r="D2" s="32" cm="1">
        <f t="array" aca="1" ref="D2" ca="1">INDEX(Data_DBD!$D:$D,$A2)</f>
        <v>7</v>
      </c>
      <c r="E2" s="32" cm="1">
        <f t="array" aca="1" ref="E2" ca="1">INDEX(Data_DBD!$E:$E,$A2)</f>
        <v>1</v>
      </c>
      <c r="F2" s="32" cm="1">
        <f t="array" aca="1" ref="F2" ca="1">INDEX(Data_DBD!$F:$F,$A2)</f>
        <v>1</v>
      </c>
      <c r="H2" s="32">
        <v>68</v>
      </c>
      <c r="I2" s="32">
        <v>44</v>
      </c>
      <c r="J2" s="32">
        <v>5</v>
      </c>
      <c r="K2" s="32">
        <v>10</v>
      </c>
      <c r="L2" s="32">
        <v>0</v>
      </c>
      <c r="M2" s="32">
        <v>2</v>
      </c>
      <c r="O2" s="54">
        <v>1</v>
      </c>
      <c r="P2" s="31">
        <f>COUNTIF(M2:M164,"1")</f>
        <v>8</v>
      </c>
      <c r="Q2" s="31">
        <f>P2/163</f>
        <v>4.9079754601226995E-2</v>
      </c>
    </row>
    <row r="3" spans="1:17">
      <c r="A3" s="32">
        <f t="shared" ref="A3:A66" ca="1" si="0">RANDBETWEEN(2,164)</f>
        <v>98</v>
      </c>
      <c r="B3" s="32" cm="1">
        <f t="array" aca="1" ref="B3" ca="1">INDEX(Data_DBD!$B:$B,$A3)</f>
        <v>16</v>
      </c>
      <c r="C3" s="32" cm="1">
        <f t="array" aca="1" ref="C3" ca="1">INDEX(Data_DBD!$C:$C,$A3)</f>
        <v>2</v>
      </c>
      <c r="D3" s="32" cm="1">
        <f t="array" aca="1" ref="D3" ca="1">INDEX(Data_DBD!$D:$D,$A3)</f>
        <v>18</v>
      </c>
      <c r="E3" s="32" cm="1">
        <f t="array" aca="1" ref="E3" ca="1">INDEX(Data_DBD!$E:$E,$A3)</f>
        <v>1</v>
      </c>
      <c r="F3" s="32" cm="1">
        <f t="array" aca="1" ref="F3" ca="1">INDEX(Data_DBD!$F:$F,$A3)</f>
        <v>3</v>
      </c>
      <c r="H3" s="32">
        <v>127</v>
      </c>
      <c r="I3" s="32">
        <v>21</v>
      </c>
      <c r="J3" s="32">
        <v>2</v>
      </c>
      <c r="K3" s="32">
        <v>33</v>
      </c>
      <c r="L3" s="32">
        <v>0</v>
      </c>
      <c r="M3" s="32">
        <v>3</v>
      </c>
      <c r="O3" s="31">
        <v>2</v>
      </c>
      <c r="P3" s="31">
        <f>COUNTIF(M2:M164,"2")</f>
        <v>91</v>
      </c>
      <c r="Q3" s="31">
        <f>P3/163</f>
        <v>0.55828220858895705</v>
      </c>
    </row>
    <row r="4" spans="1:17">
      <c r="A4" s="32">
        <f t="shared" ca="1" si="0"/>
        <v>163</v>
      </c>
      <c r="B4" s="32" cm="1">
        <f t="array" aca="1" ref="B4" ca="1">INDEX(Data_DBD!$B:$B,$A4)</f>
        <v>34</v>
      </c>
      <c r="C4" s="32" cm="1">
        <f t="array" aca="1" ref="C4" ca="1">INDEX(Data_DBD!$C:$C,$A4)</f>
        <v>4</v>
      </c>
      <c r="D4" s="32" cm="1">
        <f t="array" aca="1" ref="D4" ca="1">INDEX(Data_DBD!$D:$D,$A4)</f>
        <v>3</v>
      </c>
      <c r="E4" s="32" cm="1">
        <f t="array" aca="1" ref="E4" ca="1">INDEX(Data_DBD!$E:$E,$A4)</f>
        <v>1</v>
      </c>
      <c r="F4" s="32" cm="1">
        <f t="array" aca="1" ref="F4" ca="1">INDEX(Data_DBD!$F:$F,$A4)</f>
        <v>1</v>
      </c>
      <c r="H4" s="32">
        <v>5</v>
      </c>
      <c r="I4" s="32">
        <v>18</v>
      </c>
      <c r="J4" s="32">
        <v>2</v>
      </c>
      <c r="K4" s="32">
        <v>12</v>
      </c>
      <c r="L4" s="32">
        <v>1</v>
      </c>
      <c r="M4" s="32">
        <v>2</v>
      </c>
      <c r="O4" s="31">
        <v>3</v>
      </c>
      <c r="P4" s="31">
        <f>COUNTIF(M2:M164,"3")</f>
        <v>64</v>
      </c>
      <c r="Q4" s="31">
        <f>P4/163</f>
        <v>0.39263803680981596</v>
      </c>
    </row>
    <row r="5" spans="1:17">
      <c r="A5" s="32">
        <f t="shared" ca="1" si="0"/>
        <v>44</v>
      </c>
      <c r="B5" s="32" cm="1">
        <f t="array" aca="1" ref="B5" ca="1">INDEX(Data_DBD!$B:$B,$A5)</f>
        <v>28</v>
      </c>
      <c r="C5" s="32" cm="1">
        <f t="array" aca="1" ref="C5" ca="1">INDEX(Data_DBD!$C:$C,$A5)</f>
        <v>5</v>
      </c>
      <c r="D5" s="32" cm="1">
        <f t="array" aca="1" ref="D5" ca="1">INDEX(Data_DBD!$D:$D,$A5)</f>
        <v>13</v>
      </c>
      <c r="E5" s="32" cm="1">
        <f t="array" aca="1" ref="E5" ca="1">INDEX(Data_DBD!$E:$E,$A5)</f>
        <v>1</v>
      </c>
      <c r="F5" s="32" cm="1">
        <f t="array" aca="1" ref="F5" ca="1">INDEX(Data_DBD!$F:$F,$A5)</f>
        <v>2</v>
      </c>
      <c r="H5" s="32">
        <v>74</v>
      </c>
      <c r="I5" s="32">
        <v>9</v>
      </c>
      <c r="J5" s="32">
        <v>4</v>
      </c>
      <c r="K5" s="32">
        <v>10</v>
      </c>
      <c r="L5" s="32">
        <v>0</v>
      </c>
      <c r="M5" s="32">
        <v>2</v>
      </c>
      <c r="O5" s="34" t="s">
        <v>176</v>
      </c>
      <c r="P5">
        <f>-(IFERROR(Q2*LOG(Q2,2),0)+IFERROR(Q3*LOG(Q3,2),0)+IFERROR(Q4*LOG(Q4,2),0))</f>
        <v>1.2124747047949955</v>
      </c>
    </row>
    <row r="6" spans="1:17">
      <c r="A6" s="32">
        <f t="shared" ca="1" si="0"/>
        <v>48</v>
      </c>
      <c r="B6" s="32" cm="1">
        <f t="array" aca="1" ref="B6" ca="1">INDEX(Data_DBD!$B:$B,$A6)</f>
        <v>50</v>
      </c>
      <c r="C6" s="32" cm="1">
        <f t="array" aca="1" ref="C6" ca="1">INDEX(Data_DBD!$C:$C,$A6)</f>
        <v>5</v>
      </c>
      <c r="D6" s="32" cm="1">
        <f t="array" aca="1" ref="D6" ca="1">INDEX(Data_DBD!$D:$D,$A6)</f>
        <v>13</v>
      </c>
      <c r="E6" s="32" cm="1">
        <f t="array" aca="1" ref="E6" ca="1">INDEX(Data_DBD!$E:$E,$A6)</f>
        <v>1</v>
      </c>
      <c r="F6" s="32" cm="1">
        <f t="array" aca="1" ref="F6" ca="1">INDEX(Data_DBD!$F:$F,$A6)</f>
        <v>2</v>
      </c>
      <c r="H6" s="32">
        <v>122</v>
      </c>
      <c r="I6" s="32">
        <v>28</v>
      </c>
      <c r="J6" s="32">
        <v>3</v>
      </c>
      <c r="K6" s="32">
        <v>33</v>
      </c>
      <c r="L6" s="32">
        <v>1</v>
      </c>
      <c r="M6" s="32">
        <v>3</v>
      </c>
    </row>
    <row r="7" spans="1:17">
      <c r="A7" s="32">
        <f t="shared" ca="1" si="0"/>
        <v>25</v>
      </c>
      <c r="B7" s="32" cm="1">
        <f t="array" aca="1" ref="B7" ca="1">INDEX(Data_DBD!$B:$B,$A7)</f>
        <v>81</v>
      </c>
      <c r="C7" s="32" cm="1">
        <f t="array" aca="1" ref="C7" ca="1">INDEX(Data_DBD!$C:$C,$A7)</f>
        <v>5</v>
      </c>
      <c r="D7" s="32" cm="1">
        <f t="array" aca="1" ref="D7" ca="1">INDEX(Data_DBD!$D:$D,$A7)</f>
        <v>14</v>
      </c>
      <c r="E7" s="32" cm="1">
        <f t="array" aca="1" ref="E7" ca="1">INDEX(Data_DBD!$E:$E,$A7)</f>
        <v>0</v>
      </c>
      <c r="F7" s="32" cm="1">
        <f t="array" aca="1" ref="F7" ca="1">INDEX(Data_DBD!$F:$F,$A7)</f>
        <v>2</v>
      </c>
      <c r="H7" s="32">
        <v>136</v>
      </c>
      <c r="I7" s="32">
        <v>6</v>
      </c>
      <c r="J7" s="32">
        <v>2</v>
      </c>
      <c r="K7" s="32">
        <v>33</v>
      </c>
      <c r="L7" s="32">
        <v>0</v>
      </c>
      <c r="M7" s="32">
        <v>3</v>
      </c>
    </row>
    <row r="8" spans="1:17">
      <c r="A8" s="32">
        <f t="shared" ca="1" si="0"/>
        <v>117</v>
      </c>
      <c r="B8" s="32" cm="1">
        <f t="array" aca="1" ref="B8" ca="1">INDEX(Data_DBD!$B:$B,$A8)</f>
        <v>49</v>
      </c>
      <c r="C8" s="32" cm="1">
        <f t="array" aca="1" ref="C8" ca="1">INDEX(Data_DBD!$C:$C,$A8)</f>
        <v>4</v>
      </c>
      <c r="D8" s="32" cm="1">
        <f t="array" aca="1" ref="D8" ca="1">INDEX(Data_DBD!$D:$D,$A8)</f>
        <v>33</v>
      </c>
      <c r="E8" s="32" cm="1">
        <f t="array" aca="1" ref="E8" ca="1">INDEX(Data_DBD!$E:$E,$A8)</f>
        <v>1</v>
      </c>
      <c r="F8" s="32" cm="1">
        <f t="array" aca="1" ref="F8" ca="1">INDEX(Data_DBD!$F:$F,$A8)</f>
        <v>3</v>
      </c>
      <c r="H8" s="32">
        <v>97</v>
      </c>
      <c r="I8" s="32">
        <v>16</v>
      </c>
      <c r="J8" s="32">
        <v>2</v>
      </c>
      <c r="K8" s="32">
        <v>18</v>
      </c>
      <c r="L8" s="32">
        <v>1</v>
      </c>
      <c r="M8" s="32">
        <v>3</v>
      </c>
    </row>
    <row r="9" spans="1:17">
      <c r="A9" s="32">
        <f t="shared" ca="1" si="0"/>
        <v>100</v>
      </c>
      <c r="B9" s="32" cm="1">
        <f t="array" aca="1" ref="B9" ca="1">INDEX(Data_DBD!$B:$B,$A9)</f>
        <v>19</v>
      </c>
      <c r="C9" s="32" cm="1">
        <f t="array" aca="1" ref="C9" ca="1">INDEX(Data_DBD!$C:$C,$A9)</f>
        <v>6</v>
      </c>
      <c r="D9" s="32" cm="1">
        <f t="array" aca="1" ref="D9" ca="1">INDEX(Data_DBD!$D:$D,$A9)</f>
        <v>18</v>
      </c>
      <c r="E9" s="32" cm="1">
        <f t="array" aca="1" ref="E9" ca="1">INDEX(Data_DBD!$E:$E,$A9)</f>
        <v>0</v>
      </c>
      <c r="F9" s="32" cm="1">
        <f t="array" aca="1" ref="F9" ca="1">INDEX(Data_DBD!$F:$F,$A9)</f>
        <v>3</v>
      </c>
      <c r="H9" s="32">
        <v>30</v>
      </c>
      <c r="I9" s="32" t="s">
        <v>37</v>
      </c>
      <c r="J9" s="32">
        <v>2</v>
      </c>
      <c r="K9" s="32">
        <v>14</v>
      </c>
      <c r="L9" s="32">
        <v>1</v>
      </c>
      <c r="M9" s="32">
        <v>2</v>
      </c>
    </row>
    <row r="10" spans="1:17">
      <c r="A10" s="32">
        <f t="shared" ca="1" si="0"/>
        <v>133</v>
      </c>
      <c r="B10" s="32" cm="1">
        <f t="array" aca="1" ref="B10" ca="1">INDEX(Data_DBD!$B:$B,$A10)</f>
        <v>6</v>
      </c>
      <c r="C10" s="32" cm="1">
        <f t="array" aca="1" ref="C10" ca="1">INDEX(Data_DBD!$C:$C,$A10)</f>
        <v>4</v>
      </c>
      <c r="D10" s="32" cm="1">
        <f t="array" aca="1" ref="D10" ca="1">INDEX(Data_DBD!$D:$D,$A10)</f>
        <v>33</v>
      </c>
      <c r="E10" s="32" cm="1">
        <f t="array" aca="1" ref="E10" ca="1">INDEX(Data_DBD!$E:$E,$A10)</f>
        <v>0</v>
      </c>
      <c r="F10" s="32" cm="1">
        <f t="array" aca="1" ref="F10" ca="1">INDEX(Data_DBD!$F:$F,$A10)</f>
        <v>3</v>
      </c>
      <c r="H10" s="32">
        <v>31</v>
      </c>
      <c r="I10" s="32">
        <v>64</v>
      </c>
      <c r="J10" s="32">
        <v>4</v>
      </c>
      <c r="K10" s="32">
        <v>14</v>
      </c>
      <c r="L10" s="32">
        <v>1</v>
      </c>
      <c r="M10" s="32">
        <v>2</v>
      </c>
    </row>
    <row r="11" spans="1:17">
      <c r="A11" s="32">
        <f t="shared" ca="1" si="0"/>
        <v>133</v>
      </c>
      <c r="B11" s="32" cm="1">
        <f t="array" aca="1" ref="B11" ca="1">INDEX(Data_DBD!$B:$B,$A11)</f>
        <v>6</v>
      </c>
      <c r="C11" s="32" cm="1">
        <f t="array" aca="1" ref="C11" ca="1">INDEX(Data_DBD!$C:$C,$A11)</f>
        <v>4</v>
      </c>
      <c r="D11" s="32" cm="1">
        <f t="array" aca="1" ref="D11" ca="1">INDEX(Data_DBD!$D:$D,$A11)</f>
        <v>33</v>
      </c>
      <c r="E11" s="32" cm="1">
        <f t="array" aca="1" ref="E11" ca="1">INDEX(Data_DBD!$E:$E,$A11)</f>
        <v>0</v>
      </c>
      <c r="F11" s="32" cm="1">
        <f t="array" aca="1" ref="F11" ca="1">INDEX(Data_DBD!$F:$F,$A11)</f>
        <v>3</v>
      </c>
      <c r="H11" s="32">
        <v>51</v>
      </c>
      <c r="I11" s="32">
        <v>48</v>
      </c>
      <c r="J11" s="32">
        <v>4</v>
      </c>
      <c r="K11" s="32">
        <v>13</v>
      </c>
      <c r="L11" s="32">
        <v>0</v>
      </c>
      <c r="M11" s="32">
        <v>2</v>
      </c>
    </row>
    <row r="12" spans="1:17">
      <c r="A12" s="32">
        <f t="shared" ca="1" si="0"/>
        <v>154</v>
      </c>
      <c r="B12" s="32" cm="1">
        <f t="array" aca="1" ref="B12" ca="1">INDEX(Data_DBD!$B:$B,$A12)</f>
        <v>18</v>
      </c>
      <c r="C12" s="32" cm="1">
        <f t="array" aca="1" ref="C12" ca="1">INDEX(Data_DBD!$C:$C,$A12)</f>
        <v>5</v>
      </c>
      <c r="D12" s="32" cm="1">
        <f t="array" aca="1" ref="D12" ca="1">INDEX(Data_DBD!$D:$D,$A12)</f>
        <v>21</v>
      </c>
      <c r="E12" s="32" cm="1">
        <f t="array" aca="1" ref="E12" ca="1">INDEX(Data_DBD!$E:$E,$A12)</f>
        <v>1</v>
      </c>
      <c r="F12" s="32" cm="1">
        <f t="array" aca="1" ref="F12" ca="1">INDEX(Data_DBD!$F:$F,$A12)</f>
        <v>3</v>
      </c>
      <c r="H12" s="32">
        <v>34</v>
      </c>
      <c r="I12" s="32">
        <v>55</v>
      </c>
      <c r="J12" s="32">
        <v>3</v>
      </c>
      <c r="K12" s="32">
        <v>14</v>
      </c>
      <c r="L12" s="32">
        <v>0</v>
      </c>
      <c r="M12" s="32">
        <v>2</v>
      </c>
    </row>
    <row r="13" spans="1:17">
      <c r="A13" s="32">
        <f t="shared" ca="1" si="0"/>
        <v>67</v>
      </c>
      <c r="B13" s="32" cm="1">
        <f t="array" aca="1" ref="B13" ca="1">INDEX(Data_DBD!$B:$B,$A13)</f>
        <v>21</v>
      </c>
      <c r="C13" s="32" cm="1">
        <f t="array" aca="1" ref="C13" ca="1">INDEX(Data_DBD!$C:$C,$A13)</f>
        <v>3</v>
      </c>
      <c r="D13" s="32" cm="1">
        <f t="array" aca="1" ref="D13" ca="1">INDEX(Data_DBD!$D:$D,$A13)</f>
        <v>10</v>
      </c>
      <c r="E13" s="32" cm="1">
        <f t="array" aca="1" ref="E13" ca="1">INDEX(Data_DBD!$E:$E,$A13)</f>
        <v>1</v>
      </c>
      <c r="F13" s="32" cm="1">
        <f t="array" aca="1" ref="F13" ca="1">INDEX(Data_DBD!$F:$F,$A13)</f>
        <v>2</v>
      </c>
      <c r="H13" s="32">
        <v>96</v>
      </c>
      <c r="I13" s="32">
        <v>56</v>
      </c>
      <c r="J13" s="32">
        <v>4</v>
      </c>
      <c r="K13" s="32">
        <v>18</v>
      </c>
      <c r="L13" s="32">
        <v>0</v>
      </c>
      <c r="M13" s="32">
        <v>3</v>
      </c>
    </row>
    <row r="14" spans="1:17">
      <c r="A14" s="32">
        <f t="shared" ca="1" si="0"/>
        <v>157</v>
      </c>
      <c r="B14" s="32" cm="1">
        <f t="array" aca="1" ref="B14" ca="1">INDEX(Data_DBD!$B:$B,$A14)</f>
        <v>15</v>
      </c>
      <c r="C14" s="32" cm="1">
        <f t="array" aca="1" ref="C14" ca="1">INDEX(Data_DBD!$C:$C,$A14)</f>
        <v>4</v>
      </c>
      <c r="D14" s="32" cm="1">
        <f t="array" aca="1" ref="D14" ca="1">INDEX(Data_DBD!$D:$D,$A14)</f>
        <v>21</v>
      </c>
      <c r="E14" s="32" cm="1">
        <f t="array" aca="1" ref="E14" ca="1">INDEX(Data_DBD!$E:$E,$A14)</f>
        <v>1</v>
      </c>
      <c r="F14" s="32" cm="1">
        <f t="array" aca="1" ref="F14" ca="1">INDEX(Data_DBD!$F:$F,$A14)</f>
        <v>3</v>
      </c>
      <c r="H14" s="32">
        <v>46</v>
      </c>
      <c r="I14" s="32">
        <v>62</v>
      </c>
      <c r="J14" s="32">
        <v>2</v>
      </c>
      <c r="K14" s="32">
        <v>13</v>
      </c>
      <c r="L14" s="32">
        <v>0</v>
      </c>
      <c r="M14" s="32">
        <v>2</v>
      </c>
    </row>
    <row r="15" spans="1:17">
      <c r="A15" s="32">
        <f t="shared" ca="1" si="0"/>
        <v>58</v>
      </c>
      <c r="B15" s="32" cm="1">
        <f t="array" aca="1" ref="B15" ca="1">INDEX(Data_DBD!$B:$B,$A15)</f>
        <v>17</v>
      </c>
      <c r="C15" s="32" cm="1">
        <f t="array" aca="1" ref="C15" ca="1">INDEX(Data_DBD!$C:$C,$A15)</f>
        <v>3</v>
      </c>
      <c r="D15" s="32" cm="1">
        <f t="array" aca="1" ref="D15" ca="1">INDEX(Data_DBD!$D:$D,$A15)</f>
        <v>15</v>
      </c>
      <c r="E15" s="32" cm="1">
        <f t="array" aca="1" ref="E15" ca="1">INDEX(Data_DBD!$E:$E,$A15)</f>
        <v>0</v>
      </c>
      <c r="F15" s="32" cm="1">
        <f t="array" aca="1" ref="F15" ca="1">INDEX(Data_DBD!$F:$F,$A15)</f>
        <v>2</v>
      </c>
      <c r="H15" s="32">
        <v>98</v>
      </c>
      <c r="I15" s="32">
        <v>16</v>
      </c>
      <c r="J15" s="32">
        <v>2</v>
      </c>
      <c r="K15" s="32">
        <v>18</v>
      </c>
      <c r="L15" s="32">
        <v>1</v>
      </c>
      <c r="M15" s="32">
        <v>3</v>
      </c>
    </row>
    <row r="16" spans="1:17">
      <c r="A16" s="32">
        <f t="shared" ca="1" si="0"/>
        <v>71</v>
      </c>
      <c r="B16" s="32" cm="1">
        <f t="array" aca="1" ref="B16" ca="1">INDEX(Data_DBD!$B:$B,$A16)</f>
        <v>84</v>
      </c>
      <c r="C16" s="32" cm="1">
        <f t="array" aca="1" ref="C16" ca="1">INDEX(Data_DBD!$C:$C,$A16)</f>
        <v>3</v>
      </c>
      <c r="D16" s="32" cm="1">
        <f t="array" aca="1" ref="D16" ca="1">INDEX(Data_DBD!$D:$D,$A16)</f>
        <v>10</v>
      </c>
      <c r="E16" s="32" cm="1">
        <f t="array" aca="1" ref="E16" ca="1">INDEX(Data_DBD!$E:$E,$A16)</f>
        <v>0</v>
      </c>
      <c r="F16" s="32" cm="1">
        <f t="array" aca="1" ref="F16" ca="1">INDEX(Data_DBD!$F:$F,$A16)</f>
        <v>2</v>
      </c>
      <c r="H16" s="32">
        <v>69</v>
      </c>
      <c r="I16" s="32">
        <v>24</v>
      </c>
      <c r="J16" s="32">
        <v>4</v>
      </c>
      <c r="K16" s="32">
        <v>10</v>
      </c>
      <c r="L16" s="32">
        <v>1</v>
      </c>
      <c r="M16" s="32">
        <v>2</v>
      </c>
    </row>
    <row r="17" spans="1:13">
      <c r="A17" s="32">
        <f t="shared" ca="1" si="0"/>
        <v>146</v>
      </c>
      <c r="B17" s="32" cm="1">
        <f t="array" aca="1" ref="B17" ca="1">INDEX(Data_DBD!$B:$B,$A17)</f>
        <v>34</v>
      </c>
      <c r="C17" s="32" cm="1">
        <f t="array" aca="1" ref="C17" ca="1">INDEX(Data_DBD!$C:$C,$A17)</f>
        <v>2</v>
      </c>
      <c r="D17" s="32" cm="1">
        <f t="array" aca="1" ref="D17" ca="1">INDEX(Data_DBD!$D:$D,$A17)</f>
        <v>21</v>
      </c>
      <c r="E17" s="32" cm="1">
        <f t="array" aca="1" ref="E17" ca="1">INDEX(Data_DBD!$E:$E,$A17)</f>
        <v>1</v>
      </c>
      <c r="F17" s="32" cm="1">
        <f t="array" aca="1" ref="F17" ca="1">INDEX(Data_DBD!$F:$F,$A17)</f>
        <v>3</v>
      </c>
      <c r="H17" s="32">
        <v>91</v>
      </c>
      <c r="I17" s="32">
        <v>35</v>
      </c>
      <c r="J17" s="32">
        <v>1</v>
      </c>
      <c r="K17" s="32">
        <v>18</v>
      </c>
      <c r="L17" s="32">
        <v>1</v>
      </c>
      <c r="M17" s="32">
        <v>3</v>
      </c>
    </row>
    <row r="18" spans="1:13">
      <c r="A18" s="32">
        <f t="shared" ca="1" si="0"/>
        <v>67</v>
      </c>
      <c r="B18" s="32" cm="1">
        <f t="array" aca="1" ref="B18" ca="1">INDEX(Data_DBD!$B:$B,$A18)</f>
        <v>21</v>
      </c>
      <c r="C18" s="32" cm="1">
        <f t="array" aca="1" ref="C18" ca="1">INDEX(Data_DBD!$C:$C,$A18)</f>
        <v>3</v>
      </c>
      <c r="D18" s="32" cm="1">
        <f t="array" aca="1" ref="D18" ca="1">INDEX(Data_DBD!$D:$D,$A18)</f>
        <v>10</v>
      </c>
      <c r="E18" s="32" cm="1">
        <f t="array" aca="1" ref="E18" ca="1">INDEX(Data_DBD!$E:$E,$A18)</f>
        <v>1</v>
      </c>
      <c r="F18" s="32" cm="1">
        <f t="array" aca="1" ref="F18" ca="1">INDEX(Data_DBD!$F:$F,$A18)</f>
        <v>2</v>
      </c>
      <c r="H18" s="32">
        <v>10</v>
      </c>
      <c r="I18" s="32">
        <v>18</v>
      </c>
      <c r="J18" s="32">
        <v>5</v>
      </c>
      <c r="K18" s="32">
        <v>12</v>
      </c>
      <c r="L18" s="32">
        <v>0</v>
      </c>
      <c r="M18" s="32">
        <v>2</v>
      </c>
    </row>
    <row r="19" spans="1:13">
      <c r="A19" s="32">
        <f t="shared" ca="1" si="0"/>
        <v>10</v>
      </c>
      <c r="B19" s="32" cm="1">
        <f t="array" aca="1" ref="B19" ca="1">INDEX(Data_DBD!$B:$B,$A19)</f>
        <v>18</v>
      </c>
      <c r="C19" s="32" cm="1">
        <f t="array" aca="1" ref="C19" ca="1">INDEX(Data_DBD!$C:$C,$A19)</f>
        <v>5</v>
      </c>
      <c r="D19" s="32" cm="1">
        <f t="array" aca="1" ref="D19" ca="1">INDEX(Data_DBD!$D:$D,$A19)</f>
        <v>12</v>
      </c>
      <c r="E19" s="32" cm="1">
        <f t="array" aca="1" ref="E19" ca="1">INDEX(Data_DBD!$E:$E,$A19)</f>
        <v>0</v>
      </c>
      <c r="F19" s="32" cm="1">
        <f t="array" aca="1" ref="F19" ca="1">INDEX(Data_DBD!$F:$F,$A19)</f>
        <v>2</v>
      </c>
      <c r="H19" s="32">
        <v>47</v>
      </c>
      <c r="I19" s="32">
        <v>19</v>
      </c>
      <c r="J19" s="32">
        <v>2</v>
      </c>
      <c r="K19" s="32">
        <v>13</v>
      </c>
      <c r="L19" s="32">
        <v>0</v>
      </c>
      <c r="M19" s="32">
        <v>2</v>
      </c>
    </row>
    <row r="20" spans="1:13">
      <c r="A20" s="32">
        <f t="shared" ca="1" si="0"/>
        <v>12</v>
      </c>
      <c r="B20" s="32" cm="1">
        <f t="array" aca="1" ref="B20" ca="1">INDEX(Data_DBD!$B:$B,$A20)</f>
        <v>23</v>
      </c>
      <c r="C20" s="32" cm="1">
        <f t="array" aca="1" ref="C20" ca="1">INDEX(Data_DBD!$C:$C,$A20)</f>
        <v>3</v>
      </c>
      <c r="D20" s="32" cm="1">
        <f t="array" aca="1" ref="D20" ca="1">INDEX(Data_DBD!$D:$D,$A20)</f>
        <v>12</v>
      </c>
      <c r="E20" s="32" cm="1">
        <f t="array" aca="1" ref="E20" ca="1">INDEX(Data_DBD!$E:$E,$A20)</f>
        <v>0</v>
      </c>
      <c r="F20" s="32" cm="1">
        <f t="array" aca="1" ref="F20" ca="1">INDEX(Data_DBD!$F:$F,$A20)</f>
        <v>2</v>
      </c>
      <c r="H20" s="32">
        <v>14</v>
      </c>
      <c r="I20" s="32">
        <v>49</v>
      </c>
      <c r="J20" s="32">
        <v>4</v>
      </c>
      <c r="K20" s="32">
        <v>7</v>
      </c>
      <c r="L20" s="32">
        <v>1</v>
      </c>
      <c r="M20" s="32">
        <v>1</v>
      </c>
    </row>
    <row r="21" spans="1:13">
      <c r="A21" s="32">
        <f t="shared" ca="1" si="0"/>
        <v>103</v>
      </c>
      <c r="B21" s="32" cm="1">
        <f t="array" aca="1" ref="B21" ca="1">INDEX(Data_DBD!$B:$B,$A21)</f>
        <v>22</v>
      </c>
      <c r="C21" s="32" cm="1">
        <f t="array" aca="1" ref="C21" ca="1">INDEX(Data_DBD!$C:$C,$A21)</f>
        <v>5</v>
      </c>
      <c r="D21" s="32" cm="1">
        <f t="array" aca="1" ref="D21" ca="1">INDEX(Data_DBD!$D:$D,$A21)</f>
        <v>18</v>
      </c>
      <c r="E21" s="32" cm="1">
        <f t="array" aca="1" ref="E21" ca="1">INDEX(Data_DBD!$E:$E,$A21)</f>
        <v>0</v>
      </c>
      <c r="F21" s="32" cm="1">
        <f t="array" aca="1" ref="F21" ca="1">INDEX(Data_DBD!$F:$F,$A21)</f>
        <v>3</v>
      </c>
      <c r="H21" s="32">
        <v>47</v>
      </c>
      <c r="I21" s="32">
        <v>19</v>
      </c>
      <c r="J21" s="32">
        <v>2</v>
      </c>
      <c r="K21" s="32">
        <v>13</v>
      </c>
      <c r="L21" s="32">
        <v>0</v>
      </c>
      <c r="M21" s="32">
        <v>2</v>
      </c>
    </row>
    <row r="22" spans="1:13">
      <c r="A22" s="32">
        <f t="shared" ca="1" si="0"/>
        <v>20</v>
      </c>
      <c r="B22" s="32" cm="1">
        <f t="array" aca="1" ref="B22" ca="1">INDEX(Data_DBD!$B:$B,$A22)</f>
        <v>15</v>
      </c>
      <c r="C22" s="32" cm="1">
        <f t="array" aca="1" ref="C22" ca="1">INDEX(Data_DBD!$C:$C,$A22)</f>
        <v>5</v>
      </c>
      <c r="D22" s="32" cm="1">
        <f t="array" aca="1" ref="D22" ca="1">INDEX(Data_DBD!$D:$D,$A22)</f>
        <v>7</v>
      </c>
      <c r="E22" s="32" cm="1">
        <f t="array" aca="1" ref="E22" ca="1">INDEX(Data_DBD!$E:$E,$A22)</f>
        <v>0</v>
      </c>
      <c r="F22" s="32" cm="1">
        <f t="array" aca="1" ref="F22" ca="1">INDEX(Data_DBD!$F:$F,$A22)</f>
        <v>1</v>
      </c>
      <c r="H22" s="32">
        <v>54</v>
      </c>
      <c r="I22" s="32">
        <v>7</v>
      </c>
      <c r="J22" s="32">
        <v>3</v>
      </c>
      <c r="K22" s="32">
        <v>15</v>
      </c>
      <c r="L22" s="32">
        <v>0</v>
      </c>
      <c r="M22" s="32">
        <v>2</v>
      </c>
    </row>
    <row r="23" spans="1:13">
      <c r="A23" s="32">
        <f t="shared" ca="1" si="0"/>
        <v>33</v>
      </c>
      <c r="B23" s="32" cm="1">
        <f t="array" aca="1" ref="B23" ca="1">INDEX(Data_DBD!$B:$B,$A23)</f>
        <v>19</v>
      </c>
      <c r="C23" s="32" cm="1">
        <f t="array" aca="1" ref="C23" ca="1">INDEX(Data_DBD!$C:$C,$A23)</f>
        <v>4</v>
      </c>
      <c r="D23" s="32" cm="1">
        <f t="array" aca="1" ref="D23" ca="1">INDEX(Data_DBD!$D:$D,$A23)</f>
        <v>14</v>
      </c>
      <c r="E23" s="32" cm="1">
        <f t="array" aca="1" ref="E23" ca="1">INDEX(Data_DBD!$E:$E,$A23)</f>
        <v>1</v>
      </c>
      <c r="F23" s="32" cm="1">
        <f t="array" aca="1" ref="F23" ca="1">INDEX(Data_DBD!$F:$F,$A23)</f>
        <v>2</v>
      </c>
      <c r="H23" s="32">
        <v>93</v>
      </c>
      <c r="I23" s="32">
        <v>65</v>
      </c>
      <c r="J23" s="32">
        <v>4</v>
      </c>
      <c r="K23" s="32">
        <v>18</v>
      </c>
      <c r="L23" s="32">
        <v>0</v>
      </c>
      <c r="M23" s="32">
        <v>3</v>
      </c>
    </row>
    <row r="24" spans="1:13">
      <c r="A24" s="32">
        <f t="shared" ca="1" si="0"/>
        <v>132</v>
      </c>
      <c r="B24" s="32" cm="1">
        <f t="array" aca="1" ref="B24" ca="1">INDEX(Data_DBD!$B:$B,$A24)</f>
        <v>10</v>
      </c>
      <c r="C24" s="32" cm="1">
        <f t="array" aca="1" ref="C24" ca="1">INDEX(Data_DBD!$C:$C,$A24)</f>
        <v>3</v>
      </c>
      <c r="D24" s="32" cm="1">
        <f t="array" aca="1" ref="D24" ca="1">INDEX(Data_DBD!$D:$D,$A24)</f>
        <v>33</v>
      </c>
      <c r="E24" s="32" cm="1">
        <f t="array" aca="1" ref="E24" ca="1">INDEX(Data_DBD!$E:$E,$A24)</f>
        <v>1</v>
      </c>
      <c r="F24" s="32" cm="1">
        <f t="array" aca="1" ref="F24" ca="1">INDEX(Data_DBD!$F:$F,$A24)</f>
        <v>3</v>
      </c>
      <c r="H24" s="32">
        <v>160</v>
      </c>
      <c r="I24" s="32">
        <v>16</v>
      </c>
      <c r="J24" s="32">
        <v>3</v>
      </c>
      <c r="K24" s="32">
        <v>21</v>
      </c>
      <c r="L24" s="32">
        <v>0</v>
      </c>
      <c r="M24" s="32">
        <v>3</v>
      </c>
    </row>
    <row r="25" spans="1:13">
      <c r="A25" s="32">
        <f t="shared" ca="1" si="0"/>
        <v>134</v>
      </c>
      <c r="B25" s="32" cm="1">
        <f t="array" aca="1" ref="B25" ca="1">INDEX(Data_DBD!$B:$B,$A25)</f>
        <v>4</v>
      </c>
      <c r="C25" s="32" cm="1">
        <f t="array" aca="1" ref="C25" ca="1">INDEX(Data_DBD!$C:$C,$A25)</f>
        <v>2</v>
      </c>
      <c r="D25" s="32" cm="1">
        <f t="array" aca="1" ref="D25" ca="1">INDEX(Data_DBD!$D:$D,$A25)</f>
        <v>33</v>
      </c>
      <c r="E25" s="32" cm="1">
        <f t="array" aca="1" ref="E25" ca="1">INDEX(Data_DBD!$E:$E,$A25)</f>
        <v>1</v>
      </c>
      <c r="F25" s="32" cm="1">
        <f t="array" aca="1" ref="F25" ca="1">INDEX(Data_DBD!$F:$F,$A25)</f>
        <v>3</v>
      </c>
      <c r="H25" s="32">
        <v>118</v>
      </c>
      <c r="I25" s="32">
        <v>67</v>
      </c>
      <c r="J25" s="32">
        <v>4</v>
      </c>
      <c r="K25" s="32">
        <v>33</v>
      </c>
      <c r="L25" s="32">
        <v>1</v>
      </c>
      <c r="M25" s="32">
        <v>3</v>
      </c>
    </row>
    <row r="26" spans="1:13">
      <c r="A26" s="32">
        <f t="shared" ca="1" si="0"/>
        <v>110</v>
      </c>
      <c r="B26" s="32" cm="1">
        <f t="array" aca="1" ref="B26" ca="1">INDEX(Data_DBD!$B:$B,$A26)</f>
        <v>42</v>
      </c>
      <c r="C26" s="32" cm="1">
        <f t="array" aca="1" ref="C26" ca="1">INDEX(Data_DBD!$C:$C,$A26)</f>
        <v>2</v>
      </c>
      <c r="D26" s="32" cm="1">
        <f t="array" aca="1" ref="D26" ca="1">INDEX(Data_DBD!$D:$D,$A26)</f>
        <v>33</v>
      </c>
      <c r="E26" s="32" cm="1">
        <f t="array" aca="1" ref="E26" ca="1">INDEX(Data_DBD!$E:$E,$A26)</f>
        <v>1</v>
      </c>
      <c r="F26" s="32" cm="1">
        <f t="array" aca="1" ref="F26" ca="1">INDEX(Data_DBD!$F:$F,$A26)</f>
        <v>3</v>
      </c>
      <c r="H26" s="32">
        <v>107</v>
      </c>
      <c r="I26" s="32">
        <v>48</v>
      </c>
      <c r="J26" s="32">
        <v>5</v>
      </c>
      <c r="K26" s="32">
        <v>18</v>
      </c>
      <c r="L26" s="32">
        <v>0</v>
      </c>
      <c r="M26" s="32">
        <v>3</v>
      </c>
    </row>
    <row r="27" spans="1:13">
      <c r="A27" s="32">
        <f t="shared" ca="1" si="0"/>
        <v>145</v>
      </c>
      <c r="B27" s="32" cm="1">
        <f t="array" aca="1" ref="B27" ca="1">INDEX(Data_DBD!$B:$B,$A27)</f>
        <v>28</v>
      </c>
      <c r="C27" s="32" cm="1">
        <f t="array" aca="1" ref="C27" ca="1">INDEX(Data_DBD!$C:$C,$A27)</f>
        <v>4</v>
      </c>
      <c r="D27" s="32" cm="1">
        <f t="array" aca="1" ref="D27" ca="1">INDEX(Data_DBD!$D:$D,$A27)</f>
        <v>21</v>
      </c>
      <c r="E27" s="32" cm="1">
        <f t="array" aca="1" ref="E27" ca="1">INDEX(Data_DBD!$E:$E,$A27)</f>
        <v>1</v>
      </c>
      <c r="F27" s="32" cm="1">
        <f t="array" aca="1" ref="F27" ca="1">INDEX(Data_DBD!$F:$F,$A27)</f>
        <v>3</v>
      </c>
      <c r="H27" s="32">
        <v>7</v>
      </c>
      <c r="I27" s="32">
        <v>12</v>
      </c>
      <c r="J27" s="32">
        <v>1</v>
      </c>
      <c r="K27" s="32">
        <v>12</v>
      </c>
      <c r="L27" s="32">
        <v>1</v>
      </c>
      <c r="M27" s="32">
        <v>2</v>
      </c>
    </row>
    <row r="28" spans="1:13">
      <c r="A28" s="32">
        <f t="shared" ca="1" si="0"/>
        <v>2</v>
      </c>
      <c r="B28" s="32" cm="1">
        <f t="array" aca="1" ref="B28" ca="1">INDEX(Data_DBD!$B:$B,$A28)</f>
        <v>34</v>
      </c>
      <c r="C28" s="32" cm="1">
        <f t="array" aca="1" ref="C28" ca="1">INDEX(Data_DBD!$C:$C,$A28)</f>
        <v>3</v>
      </c>
      <c r="D28" s="32" cm="1">
        <f t="array" aca="1" ref="D28" ca="1">INDEX(Data_DBD!$D:$D,$A28)</f>
        <v>12</v>
      </c>
      <c r="E28" s="32" cm="1">
        <f t="array" aca="1" ref="E28" ca="1">INDEX(Data_DBD!$E:$E,$A28)</f>
        <v>0</v>
      </c>
      <c r="F28" s="32" cm="1">
        <f t="array" aca="1" ref="F28" ca="1">INDEX(Data_DBD!$F:$F,$A28)</f>
        <v>2</v>
      </c>
      <c r="H28" s="32">
        <v>72</v>
      </c>
      <c r="I28" s="32">
        <v>3</v>
      </c>
      <c r="J28" s="32">
        <v>5</v>
      </c>
      <c r="K28" s="32">
        <v>10</v>
      </c>
      <c r="L28" s="32">
        <v>1</v>
      </c>
      <c r="M28" s="32">
        <v>2</v>
      </c>
    </row>
    <row r="29" spans="1:13">
      <c r="A29" s="32">
        <f t="shared" ca="1" si="0"/>
        <v>118</v>
      </c>
      <c r="B29" s="32" cm="1">
        <f t="array" aca="1" ref="B29" ca="1">INDEX(Data_DBD!$B:$B,$A29)</f>
        <v>67</v>
      </c>
      <c r="C29" s="32" cm="1">
        <f t="array" aca="1" ref="C29" ca="1">INDEX(Data_DBD!$C:$C,$A29)</f>
        <v>4</v>
      </c>
      <c r="D29" s="32" cm="1">
        <f t="array" aca="1" ref="D29" ca="1">INDEX(Data_DBD!$D:$D,$A29)</f>
        <v>33</v>
      </c>
      <c r="E29" s="32" cm="1">
        <f t="array" aca="1" ref="E29" ca="1">INDEX(Data_DBD!$E:$E,$A29)</f>
        <v>1</v>
      </c>
      <c r="F29" s="32" cm="1">
        <f t="array" aca="1" ref="F29" ca="1">INDEX(Data_DBD!$F:$F,$A29)</f>
        <v>3</v>
      </c>
      <c r="H29" s="32">
        <v>153</v>
      </c>
      <c r="I29" s="32">
        <v>73</v>
      </c>
      <c r="J29" s="32">
        <v>7</v>
      </c>
      <c r="K29" s="32">
        <v>21</v>
      </c>
      <c r="L29" s="32">
        <v>1</v>
      </c>
      <c r="M29" s="32">
        <v>3</v>
      </c>
    </row>
    <row r="30" spans="1:13">
      <c r="A30" s="32">
        <f t="shared" ca="1" si="0"/>
        <v>18</v>
      </c>
      <c r="B30" s="32" cm="1">
        <f t="array" aca="1" ref="B30" ca="1">INDEX(Data_DBD!$B:$B,$A30)</f>
        <v>49</v>
      </c>
      <c r="C30" s="32" cm="1">
        <f t="array" aca="1" ref="C30" ca="1">INDEX(Data_DBD!$C:$C,$A30)</f>
        <v>4</v>
      </c>
      <c r="D30" s="32" cm="1">
        <f t="array" aca="1" ref="D30" ca="1">INDEX(Data_DBD!$D:$D,$A30)</f>
        <v>7</v>
      </c>
      <c r="E30" s="32" cm="1">
        <f t="array" aca="1" ref="E30" ca="1">INDEX(Data_DBD!$E:$E,$A30)</f>
        <v>1</v>
      </c>
      <c r="F30" s="32" cm="1">
        <f t="array" aca="1" ref="F30" ca="1">INDEX(Data_DBD!$F:$F,$A30)</f>
        <v>1</v>
      </c>
      <c r="H30" s="32">
        <v>60</v>
      </c>
      <c r="I30" s="32">
        <v>68</v>
      </c>
      <c r="J30" s="32">
        <v>4</v>
      </c>
      <c r="K30" s="32">
        <v>15</v>
      </c>
      <c r="L30" s="32">
        <v>0</v>
      </c>
      <c r="M30" s="32">
        <v>2</v>
      </c>
    </row>
    <row r="31" spans="1:13">
      <c r="A31" s="32">
        <f t="shared" ca="1" si="0"/>
        <v>144</v>
      </c>
      <c r="B31" s="32" cm="1">
        <f t="array" aca="1" ref="B31" ca="1">INDEX(Data_DBD!$B:$B,$A31)</f>
        <v>61</v>
      </c>
      <c r="C31" s="32" cm="1">
        <f t="array" aca="1" ref="C31" ca="1">INDEX(Data_DBD!$C:$C,$A31)</f>
        <v>4</v>
      </c>
      <c r="D31" s="32" cm="1">
        <f t="array" aca="1" ref="D31" ca="1">INDEX(Data_DBD!$D:$D,$A31)</f>
        <v>21</v>
      </c>
      <c r="E31" s="32" cm="1">
        <f t="array" aca="1" ref="E31" ca="1">INDEX(Data_DBD!$E:$E,$A31)</f>
        <v>1</v>
      </c>
      <c r="F31" s="32" cm="1">
        <f t="array" aca="1" ref="F31" ca="1">INDEX(Data_DBD!$F:$F,$A31)</f>
        <v>3</v>
      </c>
      <c r="H31" s="32">
        <v>53</v>
      </c>
      <c r="I31" s="32">
        <v>35</v>
      </c>
      <c r="J31" s="32">
        <v>4</v>
      </c>
      <c r="K31" s="32">
        <v>15</v>
      </c>
      <c r="L31" s="32">
        <v>1</v>
      </c>
      <c r="M31" s="32">
        <v>2</v>
      </c>
    </row>
    <row r="32" spans="1:13">
      <c r="A32" s="32">
        <f t="shared" ca="1" si="0"/>
        <v>28</v>
      </c>
      <c r="B32" s="32" cm="1">
        <f t="array" aca="1" ref="B32" ca="1">INDEX(Data_DBD!$B:$B,$A32)</f>
        <v>22</v>
      </c>
      <c r="C32" s="32" cm="1">
        <f t="array" aca="1" ref="C32" ca="1">INDEX(Data_DBD!$C:$C,$A32)</f>
        <v>2</v>
      </c>
      <c r="D32" s="32" cm="1">
        <f t="array" aca="1" ref="D32" ca="1">INDEX(Data_DBD!$D:$D,$A32)</f>
        <v>14</v>
      </c>
      <c r="E32" s="32" cm="1">
        <f t="array" aca="1" ref="E32" ca="1">INDEX(Data_DBD!$E:$E,$A32)</f>
        <v>1</v>
      </c>
      <c r="F32" s="32" cm="1">
        <f t="array" aca="1" ref="F32" ca="1">INDEX(Data_DBD!$F:$F,$A32)</f>
        <v>2</v>
      </c>
      <c r="H32" s="32">
        <v>135</v>
      </c>
      <c r="I32" s="32">
        <v>10</v>
      </c>
      <c r="J32" s="32">
        <v>2</v>
      </c>
      <c r="K32" s="32">
        <v>33</v>
      </c>
      <c r="L32" s="32">
        <v>0</v>
      </c>
      <c r="M32" s="32">
        <v>3</v>
      </c>
    </row>
    <row r="33" spans="1:13">
      <c r="A33" s="32">
        <f t="shared" ca="1" si="0"/>
        <v>44</v>
      </c>
      <c r="B33" s="32" cm="1">
        <f t="array" aca="1" ref="B33" ca="1">INDEX(Data_DBD!$B:$B,$A33)</f>
        <v>28</v>
      </c>
      <c r="C33" s="32" cm="1">
        <f t="array" aca="1" ref="C33" ca="1">INDEX(Data_DBD!$C:$C,$A33)</f>
        <v>5</v>
      </c>
      <c r="D33" s="32" cm="1">
        <f t="array" aca="1" ref="D33" ca="1">INDEX(Data_DBD!$D:$D,$A33)</f>
        <v>13</v>
      </c>
      <c r="E33" s="32" cm="1">
        <f t="array" aca="1" ref="E33" ca="1">INDEX(Data_DBD!$E:$E,$A33)</f>
        <v>1</v>
      </c>
      <c r="F33" s="32" cm="1">
        <f t="array" aca="1" ref="F33" ca="1">INDEX(Data_DBD!$F:$F,$A33)</f>
        <v>2</v>
      </c>
      <c r="H33" s="32">
        <v>151</v>
      </c>
      <c r="I33" s="32">
        <v>24</v>
      </c>
      <c r="J33" s="32">
        <v>3</v>
      </c>
      <c r="K33" s="32">
        <v>21</v>
      </c>
      <c r="L33" s="32">
        <v>0</v>
      </c>
      <c r="M33" s="32">
        <v>3</v>
      </c>
    </row>
    <row r="34" spans="1:13">
      <c r="A34" s="32">
        <f t="shared" ca="1" si="0"/>
        <v>144</v>
      </c>
      <c r="B34" s="32" cm="1">
        <f t="array" aca="1" ref="B34" ca="1">INDEX(Data_DBD!$B:$B,$A34)</f>
        <v>61</v>
      </c>
      <c r="C34" s="32" cm="1">
        <f t="array" aca="1" ref="C34" ca="1">INDEX(Data_DBD!$C:$C,$A34)</f>
        <v>4</v>
      </c>
      <c r="D34" s="32" cm="1">
        <f t="array" aca="1" ref="D34" ca="1">INDEX(Data_DBD!$D:$D,$A34)</f>
        <v>21</v>
      </c>
      <c r="E34" s="32" cm="1">
        <f t="array" aca="1" ref="E34" ca="1">INDEX(Data_DBD!$E:$E,$A34)</f>
        <v>1</v>
      </c>
      <c r="F34" s="32" cm="1">
        <f t="array" aca="1" ref="F34" ca="1">INDEX(Data_DBD!$F:$F,$A34)</f>
        <v>3</v>
      </c>
      <c r="H34" s="32">
        <v>137</v>
      </c>
      <c r="I34" s="32">
        <v>3.5</v>
      </c>
      <c r="J34" s="32">
        <v>1</v>
      </c>
      <c r="K34" s="32">
        <v>33</v>
      </c>
      <c r="L34" s="32">
        <v>1</v>
      </c>
      <c r="M34" s="32">
        <v>3</v>
      </c>
    </row>
    <row r="35" spans="1:13">
      <c r="A35" s="32">
        <f t="shared" ca="1" si="0"/>
        <v>100</v>
      </c>
      <c r="B35" s="32" cm="1">
        <f t="array" aca="1" ref="B35" ca="1">INDEX(Data_DBD!$B:$B,$A35)</f>
        <v>19</v>
      </c>
      <c r="C35" s="32" cm="1">
        <f t="array" aca="1" ref="C35" ca="1">INDEX(Data_DBD!$C:$C,$A35)</f>
        <v>6</v>
      </c>
      <c r="D35" s="32" cm="1">
        <f t="array" aca="1" ref="D35" ca="1">INDEX(Data_DBD!$D:$D,$A35)</f>
        <v>18</v>
      </c>
      <c r="E35" s="32" cm="1">
        <f t="array" aca="1" ref="E35" ca="1">INDEX(Data_DBD!$E:$E,$A35)</f>
        <v>0</v>
      </c>
      <c r="F35" s="32" cm="1">
        <f t="array" aca="1" ref="F35" ca="1">INDEX(Data_DBD!$F:$F,$A35)</f>
        <v>3</v>
      </c>
      <c r="H35" s="32">
        <v>29</v>
      </c>
      <c r="I35" s="32">
        <v>19</v>
      </c>
      <c r="J35" s="32">
        <v>2</v>
      </c>
      <c r="K35" s="32">
        <v>14</v>
      </c>
      <c r="L35" s="32">
        <v>1</v>
      </c>
      <c r="M35" s="32">
        <v>2</v>
      </c>
    </row>
    <row r="36" spans="1:13">
      <c r="A36" s="32">
        <f t="shared" ca="1" si="0"/>
        <v>112</v>
      </c>
      <c r="B36" s="32" cm="1">
        <f t="array" aca="1" ref="B36" ca="1">INDEX(Data_DBD!$B:$B,$A36)</f>
        <v>61</v>
      </c>
      <c r="C36" s="32" cm="1">
        <f t="array" aca="1" ref="C36" ca="1">INDEX(Data_DBD!$C:$C,$A36)</f>
        <v>3</v>
      </c>
      <c r="D36" s="32" cm="1">
        <f t="array" aca="1" ref="D36" ca="1">INDEX(Data_DBD!$D:$D,$A36)</f>
        <v>33</v>
      </c>
      <c r="E36" s="32" cm="1">
        <f t="array" aca="1" ref="E36" ca="1">INDEX(Data_DBD!$E:$E,$A36)</f>
        <v>1</v>
      </c>
      <c r="F36" s="32" cm="1">
        <f t="array" aca="1" ref="F36" ca="1">INDEX(Data_DBD!$F:$F,$A36)</f>
        <v>3</v>
      </c>
      <c r="H36" s="32">
        <v>62</v>
      </c>
      <c r="I36" s="32">
        <v>43</v>
      </c>
      <c r="J36" s="32">
        <v>4</v>
      </c>
      <c r="K36" s="32">
        <v>15</v>
      </c>
      <c r="L36" s="32">
        <v>1</v>
      </c>
      <c r="M36" s="32">
        <v>2</v>
      </c>
    </row>
    <row r="37" spans="1:13">
      <c r="A37" s="32">
        <f t="shared" ca="1" si="0"/>
        <v>10</v>
      </c>
      <c r="B37" s="32" cm="1">
        <f t="array" aca="1" ref="B37" ca="1">INDEX(Data_DBD!$B:$B,$A37)</f>
        <v>18</v>
      </c>
      <c r="C37" s="32" cm="1">
        <f t="array" aca="1" ref="C37" ca="1">INDEX(Data_DBD!$C:$C,$A37)</f>
        <v>5</v>
      </c>
      <c r="D37" s="32" cm="1">
        <f t="array" aca="1" ref="D37" ca="1">INDEX(Data_DBD!$D:$D,$A37)</f>
        <v>12</v>
      </c>
      <c r="E37" s="32" cm="1">
        <f t="array" aca="1" ref="E37" ca="1">INDEX(Data_DBD!$E:$E,$A37)</f>
        <v>0</v>
      </c>
      <c r="F37" s="32" cm="1">
        <f t="array" aca="1" ref="F37" ca="1">INDEX(Data_DBD!$F:$F,$A37)</f>
        <v>2</v>
      </c>
      <c r="H37" s="32">
        <v>60</v>
      </c>
      <c r="I37" s="32">
        <v>68</v>
      </c>
      <c r="J37" s="32">
        <v>4</v>
      </c>
      <c r="K37" s="32">
        <v>15</v>
      </c>
      <c r="L37" s="32">
        <v>0</v>
      </c>
      <c r="M37" s="32">
        <v>2</v>
      </c>
    </row>
    <row r="38" spans="1:13">
      <c r="A38" s="32">
        <f t="shared" ca="1" si="0"/>
        <v>45</v>
      </c>
      <c r="B38" s="32" cm="1">
        <f t="array" aca="1" ref="B38" ca="1">INDEX(Data_DBD!$B:$B,$A38)</f>
        <v>75</v>
      </c>
      <c r="C38" s="32" cm="1">
        <f t="array" aca="1" ref="C38" ca="1">INDEX(Data_DBD!$C:$C,$A38)</f>
        <v>3</v>
      </c>
      <c r="D38" s="32" cm="1">
        <f t="array" aca="1" ref="D38" ca="1">INDEX(Data_DBD!$D:$D,$A38)</f>
        <v>13</v>
      </c>
      <c r="E38" s="32" cm="1">
        <f t="array" aca="1" ref="E38" ca="1">INDEX(Data_DBD!$E:$E,$A38)</f>
        <v>1</v>
      </c>
      <c r="F38" s="32" cm="1">
        <f t="array" aca="1" ref="F38" ca="1">INDEX(Data_DBD!$F:$F,$A38)</f>
        <v>2</v>
      </c>
      <c r="H38" s="32">
        <v>34</v>
      </c>
      <c r="I38" s="32">
        <v>55</v>
      </c>
      <c r="J38" s="32">
        <v>3</v>
      </c>
      <c r="K38" s="32">
        <v>14</v>
      </c>
      <c r="L38" s="32">
        <v>0</v>
      </c>
      <c r="M38" s="32">
        <v>2</v>
      </c>
    </row>
    <row r="39" spans="1:13">
      <c r="A39" s="32">
        <f t="shared" ca="1" si="0"/>
        <v>3</v>
      </c>
      <c r="B39" s="32" cm="1">
        <f t="array" aca="1" ref="B39" ca="1">INDEX(Data_DBD!$B:$B,$A39)</f>
        <v>43</v>
      </c>
      <c r="C39" s="32" cm="1">
        <f t="array" aca="1" ref="C39" ca="1">INDEX(Data_DBD!$C:$C,$A39)</f>
        <v>3</v>
      </c>
      <c r="D39" s="32" cm="1">
        <f t="array" aca="1" ref="D39" ca="1">INDEX(Data_DBD!$D:$D,$A39)</f>
        <v>12</v>
      </c>
      <c r="E39" s="32" cm="1">
        <f t="array" aca="1" ref="E39" ca="1">INDEX(Data_DBD!$E:$E,$A39)</f>
        <v>1</v>
      </c>
      <c r="F39" s="32" cm="1">
        <f t="array" aca="1" ref="F39" ca="1">INDEX(Data_DBD!$F:$F,$A39)</f>
        <v>2</v>
      </c>
      <c r="H39" s="32">
        <v>55</v>
      </c>
      <c r="I39" s="32">
        <v>7</v>
      </c>
      <c r="J39" s="32">
        <v>4</v>
      </c>
      <c r="K39" s="32">
        <v>15</v>
      </c>
      <c r="L39" s="32">
        <v>1</v>
      </c>
      <c r="M39" s="32">
        <v>2</v>
      </c>
    </row>
    <row r="40" spans="1:13">
      <c r="A40" s="32">
        <f t="shared" ca="1" si="0"/>
        <v>130</v>
      </c>
      <c r="B40" s="32" cm="1">
        <f t="array" aca="1" ref="B40" ca="1">INDEX(Data_DBD!$B:$B,$A40)</f>
        <v>12</v>
      </c>
      <c r="C40" s="32" cm="1">
        <f t="array" aca="1" ref="C40" ca="1">INDEX(Data_DBD!$C:$C,$A40)</f>
        <v>4</v>
      </c>
      <c r="D40" s="32" cm="1">
        <f t="array" aca="1" ref="D40" ca="1">INDEX(Data_DBD!$D:$D,$A40)</f>
        <v>33</v>
      </c>
      <c r="E40" s="32" cm="1">
        <f t="array" aca="1" ref="E40" ca="1">INDEX(Data_DBD!$E:$E,$A40)</f>
        <v>0</v>
      </c>
      <c r="F40" s="32" cm="1">
        <f t="array" aca="1" ref="F40" ca="1">INDEX(Data_DBD!$F:$F,$A40)</f>
        <v>3</v>
      </c>
      <c r="H40" s="32">
        <v>33</v>
      </c>
      <c r="I40" s="32">
        <v>19</v>
      </c>
      <c r="J40" s="32">
        <v>4</v>
      </c>
      <c r="K40" s="32">
        <v>14</v>
      </c>
      <c r="L40" s="32">
        <v>1</v>
      </c>
      <c r="M40" s="32">
        <v>2</v>
      </c>
    </row>
    <row r="41" spans="1:13">
      <c r="A41" s="32">
        <f t="shared" ca="1" si="0"/>
        <v>61</v>
      </c>
      <c r="B41" s="32" cm="1">
        <f t="array" aca="1" ref="B41" ca="1">INDEX(Data_DBD!$B:$B,$A41)</f>
        <v>29</v>
      </c>
      <c r="C41" s="32" cm="1">
        <f t="array" aca="1" ref="C41" ca="1">INDEX(Data_DBD!$C:$C,$A41)</f>
        <v>3</v>
      </c>
      <c r="D41" s="32" cm="1">
        <f t="array" aca="1" ref="D41" ca="1">INDEX(Data_DBD!$D:$D,$A41)</f>
        <v>15</v>
      </c>
      <c r="E41" s="32" cm="1">
        <f t="array" aca="1" ref="E41" ca="1">INDEX(Data_DBD!$E:$E,$A41)</f>
        <v>1</v>
      </c>
      <c r="F41" s="32" cm="1">
        <f t="array" aca="1" ref="F41" ca="1">INDEX(Data_DBD!$F:$F,$A41)</f>
        <v>2</v>
      </c>
      <c r="H41" s="32">
        <v>12</v>
      </c>
      <c r="I41" s="32">
        <v>23</v>
      </c>
      <c r="J41" s="32">
        <v>3</v>
      </c>
      <c r="K41" s="32">
        <v>12</v>
      </c>
      <c r="L41" s="32">
        <v>0</v>
      </c>
      <c r="M41" s="32">
        <v>2</v>
      </c>
    </row>
    <row r="42" spans="1:13">
      <c r="A42" s="32">
        <f t="shared" ca="1" si="0"/>
        <v>12</v>
      </c>
      <c r="B42" s="32" cm="1">
        <f t="array" aca="1" ref="B42" ca="1">INDEX(Data_DBD!$B:$B,$A42)</f>
        <v>23</v>
      </c>
      <c r="C42" s="32" cm="1">
        <f t="array" aca="1" ref="C42" ca="1">INDEX(Data_DBD!$C:$C,$A42)</f>
        <v>3</v>
      </c>
      <c r="D42" s="32" cm="1">
        <f t="array" aca="1" ref="D42" ca="1">INDEX(Data_DBD!$D:$D,$A42)</f>
        <v>12</v>
      </c>
      <c r="E42" s="32" cm="1">
        <f t="array" aca="1" ref="E42" ca="1">INDEX(Data_DBD!$E:$E,$A42)</f>
        <v>0</v>
      </c>
      <c r="F42" s="32" cm="1">
        <f t="array" aca="1" ref="F42" ca="1">INDEX(Data_DBD!$F:$F,$A42)</f>
        <v>2</v>
      </c>
      <c r="H42" s="32">
        <v>81</v>
      </c>
      <c r="I42" s="32">
        <v>23</v>
      </c>
      <c r="J42" s="32">
        <v>5</v>
      </c>
      <c r="K42" s="32">
        <v>13</v>
      </c>
      <c r="L42" s="32">
        <v>1</v>
      </c>
      <c r="M42" s="32">
        <v>2</v>
      </c>
    </row>
    <row r="43" spans="1:13">
      <c r="A43" s="32">
        <f t="shared" ca="1" si="0"/>
        <v>46</v>
      </c>
      <c r="B43" s="32" cm="1">
        <f t="array" aca="1" ref="B43" ca="1">INDEX(Data_DBD!$B:$B,$A43)</f>
        <v>62</v>
      </c>
      <c r="C43" s="32" cm="1">
        <f t="array" aca="1" ref="C43" ca="1">INDEX(Data_DBD!$C:$C,$A43)</f>
        <v>2</v>
      </c>
      <c r="D43" s="32" cm="1">
        <f t="array" aca="1" ref="D43" ca="1">INDEX(Data_DBD!$D:$D,$A43)</f>
        <v>13</v>
      </c>
      <c r="E43" s="32" cm="1">
        <f t="array" aca="1" ref="E43" ca="1">INDEX(Data_DBD!$E:$E,$A43)</f>
        <v>0</v>
      </c>
      <c r="F43" s="32" cm="1">
        <f t="array" aca="1" ref="F43" ca="1">INDEX(Data_DBD!$F:$F,$A43)</f>
        <v>2</v>
      </c>
      <c r="H43" s="32">
        <v>101</v>
      </c>
      <c r="I43" s="32">
        <v>42</v>
      </c>
      <c r="J43" s="32">
        <v>5</v>
      </c>
      <c r="K43" s="32">
        <v>18</v>
      </c>
      <c r="L43" s="32">
        <v>0</v>
      </c>
      <c r="M43" s="32">
        <v>3</v>
      </c>
    </row>
    <row r="44" spans="1:13">
      <c r="A44" s="32">
        <f t="shared" ca="1" si="0"/>
        <v>19</v>
      </c>
      <c r="B44" s="32" cm="1">
        <f t="array" aca="1" ref="B44" ca="1">INDEX(Data_DBD!$B:$B,$A44)</f>
        <v>8</v>
      </c>
      <c r="C44" s="32" cm="1">
        <f t="array" aca="1" ref="C44" ca="1">INDEX(Data_DBD!$C:$C,$A44)</f>
        <v>4</v>
      </c>
      <c r="D44" s="32" cm="1">
        <f t="array" aca="1" ref="D44" ca="1">INDEX(Data_DBD!$D:$D,$A44)</f>
        <v>7</v>
      </c>
      <c r="E44" s="32" cm="1">
        <f t="array" aca="1" ref="E44" ca="1">INDEX(Data_DBD!$E:$E,$A44)</f>
        <v>0</v>
      </c>
      <c r="F44" s="32" cm="1">
        <f t="array" aca="1" ref="F44" ca="1">INDEX(Data_DBD!$F:$F,$A44)</f>
        <v>1</v>
      </c>
      <c r="H44" s="32">
        <v>52</v>
      </c>
      <c r="I44" s="32">
        <v>59</v>
      </c>
      <c r="J44" s="32">
        <v>4</v>
      </c>
      <c r="K44" s="32">
        <v>15</v>
      </c>
      <c r="L44" s="32">
        <v>1</v>
      </c>
      <c r="M44" s="32">
        <v>2</v>
      </c>
    </row>
    <row r="45" spans="1:13">
      <c r="A45" s="32">
        <f t="shared" ca="1" si="0"/>
        <v>128</v>
      </c>
      <c r="B45" s="32" cm="1">
        <f t="array" aca="1" ref="B45" ca="1">INDEX(Data_DBD!$B:$B,$A45)</f>
        <v>38</v>
      </c>
      <c r="C45" s="32" cm="1">
        <f t="array" aca="1" ref="C45" ca="1">INDEX(Data_DBD!$C:$C,$A45)</f>
        <v>2</v>
      </c>
      <c r="D45" s="32" cm="1">
        <f t="array" aca="1" ref="D45" ca="1">INDEX(Data_DBD!$D:$D,$A45)</f>
        <v>33</v>
      </c>
      <c r="E45" s="32" cm="1">
        <f t="array" aca="1" ref="E45" ca="1">INDEX(Data_DBD!$E:$E,$A45)</f>
        <v>0</v>
      </c>
      <c r="F45" s="32" cm="1">
        <f t="array" aca="1" ref="F45" ca="1">INDEX(Data_DBD!$F:$F,$A45)</f>
        <v>3</v>
      </c>
      <c r="H45" s="32">
        <v>78</v>
      </c>
      <c r="I45" s="32">
        <v>6</v>
      </c>
      <c r="J45" s="32">
        <v>3</v>
      </c>
      <c r="K45" s="32">
        <v>13</v>
      </c>
      <c r="L45" s="32">
        <v>0</v>
      </c>
      <c r="M45" s="32">
        <v>2</v>
      </c>
    </row>
    <row r="46" spans="1:13">
      <c r="A46" s="32">
        <f t="shared" ca="1" si="0"/>
        <v>57</v>
      </c>
      <c r="B46" s="32" cm="1">
        <f t="array" aca="1" ref="B46" ca="1">INDEX(Data_DBD!$B:$B,$A46)</f>
        <v>2</v>
      </c>
      <c r="C46" s="32" cm="1">
        <f t="array" aca="1" ref="C46" ca="1">INDEX(Data_DBD!$C:$C,$A46)</f>
        <v>2</v>
      </c>
      <c r="D46" s="32" cm="1">
        <f t="array" aca="1" ref="D46" ca="1">INDEX(Data_DBD!$D:$D,$A46)</f>
        <v>15</v>
      </c>
      <c r="E46" s="32" cm="1">
        <f t="array" aca="1" ref="E46" ca="1">INDEX(Data_DBD!$E:$E,$A46)</f>
        <v>1</v>
      </c>
      <c r="F46" s="32" cm="1">
        <f t="array" aca="1" ref="F46" ca="1">INDEX(Data_DBD!$F:$F,$A46)</f>
        <v>2</v>
      </c>
      <c r="H46" s="32">
        <v>41</v>
      </c>
      <c r="I46" s="32">
        <v>8</v>
      </c>
      <c r="J46" s="32">
        <v>4</v>
      </c>
      <c r="K46" s="32">
        <v>13</v>
      </c>
      <c r="L46" s="32">
        <v>0</v>
      </c>
      <c r="M46" s="32">
        <v>2</v>
      </c>
    </row>
    <row r="47" spans="1:13">
      <c r="A47" s="32">
        <f t="shared" ca="1" si="0"/>
        <v>118</v>
      </c>
      <c r="B47" s="32" cm="1">
        <f t="array" aca="1" ref="B47" ca="1">INDEX(Data_DBD!$B:$B,$A47)</f>
        <v>67</v>
      </c>
      <c r="C47" s="32" cm="1">
        <f t="array" aca="1" ref="C47" ca="1">INDEX(Data_DBD!$C:$C,$A47)</f>
        <v>4</v>
      </c>
      <c r="D47" s="32" cm="1">
        <f t="array" aca="1" ref="D47" ca="1">INDEX(Data_DBD!$D:$D,$A47)</f>
        <v>33</v>
      </c>
      <c r="E47" s="32" cm="1">
        <f t="array" aca="1" ref="E47" ca="1">INDEX(Data_DBD!$E:$E,$A47)</f>
        <v>1</v>
      </c>
      <c r="F47" s="32" cm="1">
        <f t="array" aca="1" ref="F47" ca="1">INDEX(Data_DBD!$F:$F,$A47)</f>
        <v>3</v>
      </c>
      <c r="H47" s="32">
        <v>23</v>
      </c>
      <c r="I47" s="32">
        <v>28</v>
      </c>
      <c r="J47" s="32">
        <v>4</v>
      </c>
      <c r="K47" s="32">
        <v>14</v>
      </c>
      <c r="L47" s="32">
        <v>1</v>
      </c>
      <c r="M47" s="32">
        <v>2</v>
      </c>
    </row>
    <row r="48" spans="1:13">
      <c r="A48" s="32">
        <f t="shared" ca="1" si="0"/>
        <v>89</v>
      </c>
      <c r="B48" s="32" cm="1">
        <f t="array" aca="1" ref="B48" ca="1">INDEX(Data_DBD!$B:$B,$A48)</f>
        <v>32</v>
      </c>
      <c r="C48" s="32" cm="1">
        <f t="array" aca="1" ref="C48" ca="1">INDEX(Data_DBD!$C:$C,$A48)</f>
        <v>4</v>
      </c>
      <c r="D48" s="32" cm="1">
        <f t="array" aca="1" ref="D48" ca="1">INDEX(Data_DBD!$D:$D,$A48)</f>
        <v>13</v>
      </c>
      <c r="E48" s="32" cm="1">
        <f t="array" aca="1" ref="E48" ca="1">INDEX(Data_DBD!$E:$E,$A48)</f>
        <v>0</v>
      </c>
      <c r="F48" s="32" cm="1">
        <f t="array" aca="1" ref="F48" ca="1">INDEX(Data_DBD!$F:$F,$A48)</f>
        <v>2</v>
      </c>
      <c r="H48" s="32">
        <v>22</v>
      </c>
      <c r="I48" s="32">
        <v>6</v>
      </c>
      <c r="J48" s="32">
        <v>3</v>
      </c>
      <c r="K48" s="32">
        <v>14</v>
      </c>
      <c r="L48" s="32">
        <v>0</v>
      </c>
      <c r="M48" s="32">
        <v>2</v>
      </c>
    </row>
    <row r="49" spans="1:13">
      <c r="A49" s="32">
        <f t="shared" ca="1" si="0"/>
        <v>130</v>
      </c>
      <c r="B49" s="32" cm="1">
        <f t="array" aca="1" ref="B49" ca="1">INDEX(Data_DBD!$B:$B,$A49)</f>
        <v>12</v>
      </c>
      <c r="C49" s="32" cm="1">
        <f t="array" aca="1" ref="C49" ca="1">INDEX(Data_DBD!$C:$C,$A49)</f>
        <v>4</v>
      </c>
      <c r="D49" s="32" cm="1">
        <f t="array" aca="1" ref="D49" ca="1">INDEX(Data_DBD!$D:$D,$A49)</f>
        <v>33</v>
      </c>
      <c r="E49" s="32" cm="1">
        <f t="array" aca="1" ref="E49" ca="1">INDEX(Data_DBD!$E:$E,$A49)</f>
        <v>0</v>
      </c>
      <c r="F49" s="32" cm="1">
        <f t="array" aca="1" ref="F49" ca="1">INDEX(Data_DBD!$F:$F,$A49)</f>
        <v>3</v>
      </c>
      <c r="H49" s="32">
        <v>64</v>
      </c>
      <c r="I49" s="32">
        <v>35</v>
      </c>
      <c r="J49" s="32">
        <v>1</v>
      </c>
      <c r="K49" s="32">
        <v>15</v>
      </c>
      <c r="L49" s="32">
        <v>0</v>
      </c>
      <c r="M49" s="32">
        <v>2</v>
      </c>
    </row>
    <row r="50" spans="1:13">
      <c r="A50" s="32">
        <f t="shared" ca="1" si="0"/>
        <v>35</v>
      </c>
      <c r="B50" s="32" cm="1">
        <f t="array" aca="1" ref="B50" ca="1">INDEX(Data_DBD!$B:$B,$A50)</f>
        <v>40</v>
      </c>
      <c r="C50" s="32" cm="1">
        <f t="array" aca="1" ref="C50" ca="1">INDEX(Data_DBD!$C:$C,$A50)</f>
        <v>3</v>
      </c>
      <c r="D50" s="32" cm="1">
        <f t="array" aca="1" ref="D50" ca="1">INDEX(Data_DBD!$D:$D,$A50)</f>
        <v>4</v>
      </c>
      <c r="E50" s="32" cm="1">
        <f t="array" aca="1" ref="E50" ca="1">INDEX(Data_DBD!$E:$E,$A50)</f>
        <v>1</v>
      </c>
      <c r="F50" s="32" cm="1">
        <f t="array" aca="1" ref="F50" ca="1">INDEX(Data_DBD!$F:$F,$A50)</f>
        <v>1</v>
      </c>
      <c r="H50" s="32">
        <v>152</v>
      </c>
      <c r="I50" s="32">
        <v>47</v>
      </c>
      <c r="J50" s="32">
        <v>3</v>
      </c>
      <c r="K50" s="32">
        <v>21</v>
      </c>
      <c r="L50" s="32">
        <v>1</v>
      </c>
      <c r="M50" s="32">
        <v>3</v>
      </c>
    </row>
    <row r="51" spans="1:13">
      <c r="A51" s="32">
        <f t="shared" ca="1" si="0"/>
        <v>65</v>
      </c>
      <c r="B51" s="32" cm="1">
        <f t="array" aca="1" ref="B51" ca="1">INDEX(Data_DBD!$B:$B,$A51)</f>
        <v>49</v>
      </c>
      <c r="C51" s="32" cm="1">
        <f t="array" aca="1" ref="C51" ca="1">INDEX(Data_DBD!$C:$C,$A51)</f>
        <v>3</v>
      </c>
      <c r="D51" s="32" cm="1">
        <f t="array" aca="1" ref="D51" ca="1">INDEX(Data_DBD!$D:$D,$A51)</f>
        <v>15</v>
      </c>
      <c r="E51" s="32" cm="1">
        <f t="array" aca="1" ref="E51" ca="1">INDEX(Data_DBD!$E:$E,$A51)</f>
        <v>0</v>
      </c>
      <c r="F51" s="32" cm="1">
        <f t="array" aca="1" ref="F51" ca="1">INDEX(Data_DBD!$F:$F,$A51)</f>
        <v>2</v>
      </c>
      <c r="H51" s="32">
        <v>71</v>
      </c>
      <c r="I51" s="32">
        <v>84</v>
      </c>
      <c r="J51" s="32">
        <v>3</v>
      </c>
      <c r="K51" s="32">
        <v>10</v>
      </c>
      <c r="L51" s="32">
        <v>0</v>
      </c>
      <c r="M51" s="32">
        <v>2</v>
      </c>
    </row>
    <row r="52" spans="1:13">
      <c r="A52" s="32">
        <f t="shared" ca="1" si="0"/>
        <v>69</v>
      </c>
      <c r="B52" s="32" cm="1">
        <f t="array" aca="1" ref="B52" ca="1">INDEX(Data_DBD!$B:$B,$A52)</f>
        <v>24</v>
      </c>
      <c r="C52" s="32" cm="1">
        <f t="array" aca="1" ref="C52" ca="1">INDEX(Data_DBD!$C:$C,$A52)</f>
        <v>4</v>
      </c>
      <c r="D52" s="32" cm="1">
        <f t="array" aca="1" ref="D52" ca="1">INDEX(Data_DBD!$D:$D,$A52)</f>
        <v>10</v>
      </c>
      <c r="E52" s="32" cm="1">
        <f t="array" aca="1" ref="E52" ca="1">INDEX(Data_DBD!$E:$E,$A52)</f>
        <v>1</v>
      </c>
      <c r="F52" s="32" cm="1">
        <f t="array" aca="1" ref="F52" ca="1">INDEX(Data_DBD!$F:$F,$A52)</f>
        <v>2</v>
      </c>
      <c r="H52" s="32">
        <v>23</v>
      </c>
      <c r="I52" s="32">
        <v>28</v>
      </c>
      <c r="J52" s="32">
        <v>4</v>
      </c>
      <c r="K52" s="32">
        <v>14</v>
      </c>
      <c r="L52" s="32">
        <v>1</v>
      </c>
      <c r="M52" s="32">
        <v>2</v>
      </c>
    </row>
    <row r="53" spans="1:13">
      <c r="A53" s="32">
        <f t="shared" ca="1" si="0"/>
        <v>66</v>
      </c>
      <c r="B53" s="32" cm="1">
        <f t="array" aca="1" ref="B53" ca="1">INDEX(Data_DBD!$B:$B,$A53)</f>
        <v>21</v>
      </c>
      <c r="C53" s="32" cm="1">
        <f t="array" aca="1" ref="C53" ca="1">INDEX(Data_DBD!$C:$C,$A53)</f>
        <v>5</v>
      </c>
      <c r="D53" s="32" cm="1">
        <f t="array" aca="1" ref="D53" ca="1">INDEX(Data_DBD!$D:$D,$A53)</f>
        <v>15</v>
      </c>
      <c r="E53" s="32" cm="1">
        <f t="array" aca="1" ref="E53" ca="1">INDEX(Data_DBD!$E:$E,$A53)</f>
        <v>1</v>
      </c>
      <c r="F53" s="32" cm="1">
        <f t="array" aca="1" ref="F53" ca="1">INDEX(Data_DBD!$F:$F,$A53)</f>
        <v>2</v>
      </c>
      <c r="H53" s="32">
        <v>105</v>
      </c>
      <c r="I53" s="32">
        <v>61</v>
      </c>
      <c r="J53" s="32">
        <v>3</v>
      </c>
      <c r="K53" s="32">
        <v>18</v>
      </c>
      <c r="L53" s="32">
        <v>1</v>
      </c>
      <c r="M53" s="32">
        <v>3</v>
      </c>
    </row>
    <row r="54" spans="1:13">
      <c r="A54" s="32">
        <f t="shared" ca="1" si="0"/>
        <v>46</v>
      </c>
      <c r="B54" s="32" cm="1">
        <f t="array" aca="1" ref="B54" ca="1">INDEX(Data_DBD!$B:$B,$A54)</f>
        <v>62</v>
      </c>
      <c r="C54" s="32" cm="1">
        <f t="array" aca="1" ref="C54" ca="1">INDEX(Data_DBD!$C:$C,$A54)</f>
        <v>2</v>
      </c>
      <c r="D54" s="32" cm="1">
        <f t="array" aca="1" ref="D54" ca="1">INDEX(Data_DBD!$D:$D,$A54)</f>
        <v>13</v>
      </c>
      <c r="E54" s="32" cm="1">
        <f t="array" aca="1" ref="E54" ca="1">INDEX(Data_DBD!$E:$E,$A54)</f>
        <v>0</v>
      </c>
      <c r="F54" s="32" cm="1">
        <f t="array" aca="1" ref="F54" ca="1">INDEX(Data_DBD!$F:$F,$A54)</f>
        <v>2</v>
      </c>
      <c r="H54" s="32">
        <v>109</v>
      </c>
      <c r="I54" s="32">
        <v>40</v>
      </c>
      <c r="J54" s="32">
        <v>3</v>
      </c>
      <c r="K54" s="32">
        <v>33</v>
      </c>
      <c r="L54" s="32">
        <v>1</v>
      </c>
      <c r="M54" s="32">
        <v>3</v>
      </c>
    </row>
    <row r="55" spans="1:13">
      <c r="A55" s="32">
        <f t="shared" ca="1" si="0"/>
        <v>92</v>
      </c>
      <c r="B55" s="32" cm="1">
        <f t="array" aca="1" ref="B55" ca="1">INDEX(Data_DBD!$B:$B,$A55)</f>
        <v>55</v>
      </c>
      <c r="C55" s="32" cm="1">
        <f t="array" aca="1" ref="C55" ca="1">INDEX(Data_DBD!$C:$C,$A55)</f>
        <v>7</v>
      </c>
      <c r="D55" s="32" cm="1">
        <f t="array" aca="1" ref="D55" ca="1">INDEX(Data_DBD!$D:$D,$A55)</f>
        <v>18</v>
      </c>
      <c r="E55" s="32" cm="1">
        <f t="array" aca="1" ref="E55" ca="1">INDEX(Data_DBD!$E:$E,$A55)</f>
        <v>0</v>
      </c>
      <c r="F55" s="32" cm="1">
        <f t="array" aca="1" ref="F55" ca="1">INDEX(Data_DBD!$F:$F,$A55)</f>
        <v>3</v>
      </c>
      <c r="H55" s="32">
        <v>161</v>
      </c>
      <c r="I55" s="32">
        <v>12</v>
      </c>
      <c r="J55" s="32">
        <v>3</v>
      </c>
      <c r="K55" s="32">
        <v>21</v>
      </c>
      <c r="L55" s="32">
        <v>1</v>
      </c>
      <c r="M55" s="32">
        <v>3</v>
      </c>
    </row>
    <row r="56" spans="1:13">
      <c r="A56" s="32">
        <f t="shared" ca="1" si="0"/>
        <v>107</v>
      </c>
      <c r="B56" s="32" cm="1">
        <f t="array" aca="1" ref="B56" ca="1">INDEX(Data_DBD!$B:$B,$A56)</f>
        <v>48</v>
      </c>
      <c r="C56" s="32" cm="1">
        <f t="array" aca="1" ref="C56" ca="1">INDEX(Data_DBD!$C:$C,$A56)</f>
        <v>5</v>
      </c>
      <c r="D56" s="32" cm="1">
        <f t="array" aca="1" ref="D56" ca="1">INDEX(Data_DBD!$D:$D,$A56)</f>
        <v>18</v>
      </c>
      <c r="E56" s="32" cm="1">
        <f t="array" aca="1" ref="E56" ca="1">INDEX(Data_DBD!$E:$E,$A56)</f>
        <v>0</v>
      </c>
      <c r="F56" s="32" cm="1">
        <f t="array" aca="1" ref="F56" ca="1">INDEX(Data_DBD!$F:$F,$A56)</f>
        <v>3</v>
      </c>
      <c r="H56" s="32">
        <v>58</v>
      </c>
      <c r="I56" s="32">
        <v>17</v>
      </c>
      <c r="J56" s="32">
        <v>3</v>
      </c>
      <c r="K56" s="32">
        <v>15</v>
      </c>
      <c r="L56" s="32">
        <v>0</v>
      </c>
      <c r="M56" s="32">
        <v>2</v>
      </c>
    </row>
    <row r="57" spans="1:13">
      <c r="A57" s="32">
        <f t="shared" ca="1" si="0"/>
        <v>152</v>
      </c>
      <c r="B57" s="32" cm="1">
        <f t="array" aca="1" ref="B57" ca="1">INDEX(Data_DBD!$B:$B,$A57)</f>
        <v>47</v>
      </c>
      <c r="C57" s="32" cm="1">
        <f t="array" aca="1" ref="C57" ca="1">INDEX(Data_DBD!$C:$C,$A57)</f>
        <v>3</v>
      </c>
      <c r="D57" s="32" cm="1">
        <f t="array" aca="1" ref="D57" ca="1">INDEX(Data_DBD!$D:$D,$A57)</f>
        <v>21</v>
      </c>
      <c r="E57" s="32" cm="1">
        <f t="array" aca="1" ref="E57" ca="1">INDEX(Data_DBD!$E:$E,$A57)</f>
        <v>1</v>
      </c>
      <c r="F57" s="32" cm="1">
        <f t="array" aca="1" ref="F57" ca="1">INDEX(Data_DBD!$F:$F,$A57)</f>
        <v>3</v>
      </c>
      <c r="H57" s="32">
        <v>28</v>
      </c>
      <c r="I57" s="32">
        <v>22</v>
      </c>
      <c r="J57" s="32">
        <v>2</v>
      </c>
      <c r="K57" s="32">
        <v>14</v>
      </c>
      <c r="L57" s="32">
        <v>1</v>
      </c>
      <c r="M57" s="32">
        <v>2</v>
      </c>
    </row>
    <row r="58" spans="1:13">
      <c r="A58" s="32">
        <f t="shared" ca="1" si="0"/>
        <v>9</v>
      </c>
      <c r="B58" s="32" cm="1">
        <f t="array" aca="1" ref="B58" ca="1">INDEX(Data_DBD!$B:$B,$A58)</f>
        <v>16</v>
      </c>
      <c r="C58" s="32" cm="1">
        <f t="array" aca="1" ref="C58" ca="1">INDEX(Data_DBD!$C:$C,$A58)</f>
        <v>6</v>
      </c>
      <c r="D58" s="32" cm="1">
        <f t="array" aca="1" ref="D58" ca="1">INDEX(Data_DBD!$D:$D,$A58)</f>
        <v>12</v>
      </c>
      <c r="E58" s="32" cm="1">
        <f t="array" aca="1" ref="E58" ca="1">INDEX(Data_DBD!$E:$E,$A58)</f>
        <v>1</v>
      </c>
      <c r="F58" s="32" cm="1">
        <f t="array" aca="1" ref="F58" ca="1">INDEX(Data_DBD!$F:$F,$A58)</f>
        <v>2</v>
      </c>
      <c r="H58" s="32">
        <v>58</v>
      </c>
      <c r="I58" s="32">
        <v>17</v>
      </c>
      <c r="J58" s="32">
        <v>3</v>
      </c>
      <c r="K58" s="32">
        <v>15</v>
      </c>
      <c r="L58" s="32">
        <v>0</v>
      </c>
      <c r="M58" s="32">
        <v>2</v>
      </c>
    </row>
    <row r="59" spans="1:13">
      <c r="A59" s="32">
        <f t="shared" ca="1" si="0"/>
        <v>154</v>
      </c>
      <c r="B59" s="32" cm="1">
        <f t="array" aca="1" ref="B59" ca="1">INDEX(Data_DBD!$B:$B,$A59)</f>
        <v>18</v>
      </c>
      <c r="C59" s="32" cm="1">
        <f t="array" aca="1" ref="C59" ca="1">INDEX(Data_DBD!$C:$C,$A59)</f>
        <v>5</v>
      </c>
      <c r="D59" s="32" cm="1">
        <f t="array" aca="1" ref="D59" ca="1">INDEX(Data_DBD!$D:$D,$A59)</f>
        <v>21</v>
      </c>
      <c r="E59" s="32" cm="1">
        <f t="array" aca="1" ref="E59" ca="1">INDEX(Data_DBD!$E:$E,$A59)</f>
        <v>1</v>
      </c>
      <c r="F59" s="32" cm="1">
        <f t="array" aca="1" ref="F59" ca="1">INDEX(Data_DBD!$F:$F,$A59)</f>
        <v>3</v>
      </c>
      <c r="H59" s="32">
        <v>145</v>
      </c>
      <c r="I59" s="32">
        <v>28</v>
      </c>
      <c r="J59" s="32">
        <v>4</v>
      </c>
      <c r="K59" s="32">
        <v>21</v>
      </c>
      <c r="L59" s="32">
        <v>1</v>
      </c>
      <c r="M59" s="32">
        <v>3</v>
      </c>
    </row>
    <row r="60" spans="1:13">
      <c r="A60" s="32">
        <f t="shared" ca="1" si="0"/>
        <v>153</v>
      </c>
      <c r="B60" s="32" cm="1">
        <f t="array" aca="1" ref="B60" ca="1">INDEX(Data_DBD!$B:$B,$A60)</f>
        <v>73</v>
      </c>
      <c r="C60" s="32" cm="1">
        <f t="array" aca="1" ref="C60" ca="1">INDEX(Data_DBD!$C:$C,$A60)</f>
        <v>7</v>
      </c>
      <c r="D60" s="32" cm="1">
        <f t="array" aca="1" ref="D60" ca="1">INDEX(Data_DBD!$D:$D,$A60)</f>
        <v>21</v>
      </c>
      <c r="E60" s="32" cm="1">
        <f t="array" aca="1" ref="E60" ca="1">INDEX(Data_DBD!$E:$E,$A60)</f>
        <v>1</v>
      </c>
      <c r="F60" s="32" cm="1">
        <f t="array" aca="1" ref="F60" ca="1">INDEX(Data_DBD!$F:$F,$A60)</f>
        <v>3</v>
      </c>
      <c r="H60" s="32">
        <v>51</v>
      </c>
      <c r="I60" s="32">
        <v>48</v>
      </c>
      <c r="J60" s="32">
        <v>4</v>
      </c>
      <c r="K60" s="32">
        <v>13</v>
      </c>
      <c r="L60" s="32">
        <v>0</v>
      </c>
      <c r="M60" s="32">
        <v>2</v>
      </c>
    </row>
    <row r="61" spans="1:13">
      <c r="A61" s="32">
        <f t="shared" ca="1" si="0"/>
        <v>114</v>
      </c>
      <c r="B61" s="32" cm="1">
        <f t="array" aca="1" ref="B61" ca="1">INDEX(Data_DBD!$B:$B,$A61)</f>
        <v>14</v>
      </c>
      <c r="C61" s="32" cm="1">
        <f t="array" aca="1" ref="C61" ca="1">INDEX(Data_DBD!$C:$C,$A61)</f>
        <v>2</v>
      </c>
      <c r="D61" s="32" cm="1">
        <f t="array" aca="1" ref="D61" ca="1">INDEX(Data_DBD!$D:$D,$A61)</f>
        <v>33</v>
      </c>
      <c r="E61" s="32" cm="1">
        <f t="array" aca="1" ref="E61" ca="1">INDEX(Data_DBD!$E:$E,$A61)</f>
        <v>1</v>
      </c>
      <c r="F61" s="32" cm="1">
        <f t="array" aca="1" ref="F61" ca="1">INDEX(Data_DBD!$F:$F,$A61)</f>
        <v>3</v>
      </c>
      <c r="H61" s="32">
        <v>97</v>
      </c>
      <c r="I61" s="32">
        <v>16</v>
      </c>
      <c r="J61" s="32">
        <v>2</v>
      </c>
      <c r="K61" s="32">
        <v>18</v>
      </c>
      <c r="L61" s="32">
        <v>1</v>
      </c>
      <c r="M61" s="32">
        <v>3</v>
      </c>
    </row>
    <row r="62" spans="1:13">
      <c r="A62" s="32">
        <f t="shared" ca="1" si="0"/>
        <v>83</v>
      </c>
      <c r="B62" s="32" cm="1">
        <f t="array" aca="1" ref="B62" ca="1">INDEX(Data_DBD!$B:$B,$A62)</f>
        <v>50</v>
      </c>
      <c r="C62" s="32" cm="1">
        <f t="array" aca="1" ref="C62" ca="1">INDEX(Data_DBD!$C:$C,$A62)</f>
        <v>3</v>
      </c>
      <c r="D62" s="32" cm="1">
        <f t="array" aca="1" ref="D62" ca="1">INDEX(Data_DBD!$D:$D,$A62)</f>
        <v>13</v>
      </c>
      <c r="E62" s="32" cm="1">
        <f t="array" aca="1" ref="E62" ca="1">INDEX(Data_DBD!$E:$E,$A62)</f>
        <v>0</v>
      </c>
      <c r="F62" s="32" cm="1">
        <f t="array" aca="1" ref="F62" ca="1">INDEX(Data_DBD!$F:$F,$A62)</f>
        <v>2</v>
      </c>
      <c r="H62" s="32">
        <v>30</v>
      </c>
      <c r="I62" s="32" t="s">
        <v>37</v>
      </c>
      <c r="J62" s="32">
        <v>2</v>
      </c>
      <c r="K62" s="32">
        <v>14</v>
      </c>
      <c r="L62" s="32">
        <v>1</v>
      </c>
      <c r="M62" s="32">
        <v>2</v>
      </c>
    </row>
    <row r="63" spans="1:13">
      <c r="A63" s="32">
        <f t="shared" ca="1" si="0"/>
        <v>136</v>
      </c>
      <c r="B63" s="32" cm="1">
        <f t="array" aca="1" ref="B63" ca="1">INDEX(Data_DBD!$B:$B,$A63)</f>
        <v>6</v>
      </c>
      <c r="C63" s="32" cm="1">
        <f t="array" aca="1" ref="C63" ca="1">INDEX(Data_DBD!$C:$C,$A63)</f>
        <v>2</v>
      </c>
      <c r="D63" s="32" cm="1">
        <f t="array" aca="1" ref="D63" ca="1">INDEX(Data_DBD!$D:$D,$A63)</f>
        <v>33</v>
      </c>
      <c r="E63" s="32" cm="1">
        <f t="array" aca="1" ref="E63" ca="1">INDEX(Data_DBD!$E:$E,$A63)</f>
        <v>0</v>
      </c>
      <c r="F63" s="32" cm="1">
        <f t="array" aca="1" ref="F63" ca="1">INDEX(Data_DBD!$F:$F,$A63)</f>
        <v>3</v>
      </c>
      <c r="H63" s="32">
        <v>33</v>
      </c>
      <c r="I63" s="32">
        <v>19</v>
      </c>
      <c r="J63" s="32">
        <v>4</v>
      </c>
      <c r="K63" s="32">
        <v>14</v>
      </c>
      <c r="L63" s="32">
        <v>1</v>
      </c>
      <c r="M63" s="32">
        <v>2</v>
      </c>
    </row>
    <row r="64" spans="1:13">
      <c r="A64" s="32">
        <f t="shared" ca="1" si="0"/>
        <v>102</v>
      </c>
      <c r="B64" s="32" cm="1">
        <f t="array" aca="1" ref="B64" ca="1">INDEX(Data_DBD!$B:$B,$A64)</f>
        <v>41</v>
      </c>
      <c r="C64" s="32" cm="1">
        <f t="array" aca="1" ref="C64" ca="1">INDEX(Data_DBD!$C:$C,$A64)</f>
        <v>4</v>
      </c>
      <c r="D64" s="32" cm="1">
        <f t="array" aca="1" ref="D64" ca="1">INDEX(Data_DBD!$D:$D,$A64)</f>
        <v>18</v>
      </c>
      <c r="E64" s="32" cm="1">
        <f t="array" aca="1" ref="E64" ca="1">INDEX(Data_DBD!$E:$E,$A64)</f>
        <v>0</v>
      </c>
      <c r="F64" s="32" cm="1">
        <f t="array" aca="1" ref="F64" ca="1">INDEX(Data_DBD!$F:$F,$A64)</f>
        <v>3</v>
      </c>
      <c r="H64" s="32">
        <v>77</v>
      </c>
      <c r="I64" s="32">
        <v>16</v>
      </c>
      <c r="J64" s="32">
        <v>4</v>
      </c>
      <c r="K64" s="32">
        <v>13</v>
      </c>
      <c r="L64" s="32">
        <v>1</v>
      </c>
      <c r="M64" s="32">
        <v>2</v>
      </c>
    </row>
    <row r="65" spans="1:13">
      <c r="A65" s="32">
        <f t="shared" ca="1" si="0"/>
        <v>147</v>
      </c>
      <c r="B65" s="32" cm="1">
        <f t="array" aca="1" ref="B65" ca="1">INDEX(Data_DBD!$B:$B,$A65)</f>
        <v>66</v>
      </c>
      <c r="C65" s="32" cm="1">
        <f t="array" aca="1" ref="C65" ca="1">INDEX(Data_DBD!$C:$C,$A65)</f>
        <v>10</v>
      </c>
      <c r="D65" s="32" cm="1">
        <f t="array" aca="1" ref="D65" ca="1">INDEX(Data_DBD!$D:$D,$A65)</f>
        <v>21</v>
      </c>
      <c r="E65" s="32" cm="1">
        <f t="array" aca="1" ref="E65" ca="1">INDEX(Data_DBD!$E:$E,$A65)</f>
        <v>1</v>
      </c>
      <c r="F65" s="32" cm="1">
        <f t="array" aca="1" ref="F65" ca="1">INDEX(Data_DBD!$F:$F,$A65)</f>
        <v>3</v>
      </c>
      <c r="H65" s="32">
        <v>82</v>
      </c>
      <c r="I65" s="32">
        <v>28</v>
      </c>
      <c r="J65" s="32">
        <v>3</v>
      </c>
      <c r="K65" s="32">
        <v>13</v>
      </c>
      <c r="L65" s="32">
        <v>1</v>
      </c>
      <c r="M65" s="32">
        <v>2</v>
      </c>
    </row>
    <row r="66" spans="1:13">
      <c r="A66" s="32">
        <f t="shared" ca="1" si="0"/>
        <v>69</v>
      </c>
      <c r="B66" s="32" cm="1">
        <f t="array" aca="1" ref="B66" ca="1">INDEX(Data_DBD!$B:$B,$A66)</f>
        <v>24</v>
      </c>
      <c r="C66" s="32" cm="1">
        <f t="array" aca="1" ref="C66" ca="1">INDEX(Data_DBD!$C:$C,$A66)</f>
        <v>4</v>
      </c>
      <c r="D66" s="32" cm="1">
        <f t="array" aca="1" ref="D66" ca="1">INDEX(Data_DBD!$D:$D,$A66)</f>
        <v>10</v>
      </c>
      <c r="E66" s="32" cm="1">
        <f t="array" aca="1" ref="E66" ca="1">INDEX(Data_DBD!$E:$E,$A66)</f>
        <v>1</v>
      </c>
      <c r="F66" s="32" cm="1">
        <f t="array" aca="1" ref="F66" ca="1">INDEX(Data_DBD!$F:$F,$A66)</f>
        <v>2</v>
      </c>
      <c r="H66" s="32">
        <v>37</v>
      </c>
      <c r="I66" s="32">
        <v>28</v>
      </c>
      <c r="J66" s="32">
        <v>4</v>
      </c>
      <c r="K66" s="32">
        <v>4</v>
      </c>
      <c r="L66" s="32">
        <v>1</v>
      </c>
      <c r="M66" s="32">
        <v>1</v>
      </c>
    </row>
    <row r="67" spans="1:13">
      <c r="A67" s="32">
        <f t="shared" ref="A67:A130" ca="1" si="1">RANDBETWEEN(2,164)</f>
        <v>48</v>
      </c>
      <c r="B67" s="32" cm="1">
        <f t="array" aca="1" ref="B67" ca="1">INDEX(Data_DBD!$B:$B,$A67)</f>
        <v>50</v>
      </c>
      <c r="C67" s="32" cm="1">
        <f t="array" aca="1" ref="C67" ca="1">INDEX(Data_DBD!$C:$C,$A67)</f>
        <v>5</v>
      </c>
      <c r="D67" s="32" cm="1">
        <f t="array" aca="1" ref="D67" ca="1">INDEX(Data_DBD!$D:$D,$A67)</f>
        <v>13</v>
      </c>
      <c r="E67" s="32" cm="1">
        <f t="array" aca="1" ref="E67" ca="1">INDEX(Data_DBD!$E:$E,$A67)</f>
        <v>1</v>
      </c>
      <c r="F67" s="32" cm="1">
        <f t="array" aca="1" ref="F67" ca="1">INDEX(Data_DBD!$F:$F,$A67)</f>
        <v>2</v>
      </c>
      <c r="H67" s="32">
        <v>144</v>
      </c>
      <c r="I67" s="32">
        <v>61</v>
      </c>
      <c r="J67" s="32">
        <v>4</v>
      </c>
      <c r="K67" s="32">
        <v>21</v>
      </c>
      <c r="L67" s="32">
        <v>1</v>
      </c>
      <c r="M67" s="32">
        <v>3</v>
      </c>
    </row>
    <row r="68" spans="1:13">
      <c r="A68" s="32">
        <f t="shared" ca="1" si="1"/>
        <v>97</v>
      </c>
      <c r="B68" s="32" cm="1">
        <f t="array" aca="1" ref="B68" ca="1">INDEX(Data_DBD!$B:$B,$A68)</f>
        <v>16</v>
      </c>
      <c r="C68" s="32" cm="1">
        <f t="array" aca="1" ref="C68" ca="1">INDEX(Data_DBD!$C:$C,$A68)</f>
        <v>2</v>
      </c>
      <c r="D68" s="32" cm="1">
        <f t="array" aca="1" ref="D68" ca="1">INDEX(Data_DBD!$D:$D,$A68)</f>
        <v>18</v>
      </c>
      <c r="E68" s="32" cm="1">
        <f t="array" aca="1" ref="E68" ca="1">INDEX(Data_DBD!$E:$E,$A68)</f>
        <v>1</v>
      </c>
      <c r="F68" s="32" cm="1">
        <f t="array" aca="1" ref="F68" ca="1">INDEX(Data_DBD!$F:$F,$A68)</f>
        <v>3</v>
      </c>
      <c r="H68" s="32">
        <v>27</v>
      </c>
      <c r="I68" s="32">
        <v>37</v>
      </c>
      <c r="J68" s="32">
        <v>4</v>
      </c>
      <c r="K68" s="32">
        <v>14</v>
      </c>
      <c r="L68" s="32">
        <v>1</v>
      </c>
      <c r="M68" s="32">
        <v>2</v>
      </c>
    </row>
    <row r="69" spans="1:13">
      <c r="A69" s="32">
        <f t="shared" ca="1" si="1"/>
        <v>23</v>
      </c>
      <c r="B69" s="32" cm="1">
        <f t="array" aca="1" ref="B69" ca="1">INDEX(Data_DBD!$B:$B,$A69)</f>
        <v>28</v>
      </c>
      <c r="C69" s="32" cm="1">
        <f t="array" aca="1" ref="C69" ca="1">INDEX(Data_DBD!$C:$C,$A69)</f>
        <v>4</v>
      </c>
      <c r="D69" s="32" cm="1">
        <f t="array" aca="1" ref="D69" ca="1">INDEX(Data_DBD!$D:$D,$A69)</f>
        <v>14</v>
      </c>
      <c r="E69" s="32" cm="1">
        <f t="array" aca="1" ref="E69" ca="1">INDEX(Data_DBD!$E:$E,$A69)</f>
        <v>1</v>
      </c>
      <c r="F69" s="32" cm="1">
        <f t="array" aca="1" ref="F69" ca="1">INDEX(Data_DBD!$F:$F,$A69)</f>
        <v>2</v>
      </c>
      <c r="H69" s="32">
        <v>126</v>
      </c>
      <c r="I69" s="32">
        <v>51</v>
      </c>
      <c r="J69" s="32">
        <v>3</v>
      </c>
      <c r="K69" s="32">
        <v>33</v>
      </c>
      <c r="L69" s="32">
        <v>1</v>
      </c>
      <c r="M69" s="32">
        <v>3</v>
      </c>
    </row>
    <row r="70" spans="1:13">
      <c r="A70" s="32">
        <f t="shared" ca="1" si="1"/>
        <v>63</v>
      </c>
      <c r="B70" s="32" cm="1">
        <f t="array" aca="1" ref="B70" ca="1">INDEX(Data_DBD!$B:$B,$A70)</f>
        <v>25</v>
      </c>
      <c r="C70" s="32" cm="1">
        <f t="array" aca="1" ref="C70" ca="1">INDEX(Data_DBD!$C:$C,$A70)</f>
        <v>3</v>
      </c>
      <c r="D70" s="32" cm="1">
        <f t="array" aca="1" ref="D70" ca="1">INDEX(Data_DBD!$D:$D,$A70)</f>
        <v>15</v>
      </c>
      <c r="E70" s="32" cm="1">
        <f t="array" aca="1" ref="E70" ca="1">INDEX(Data_DBD!$E:$E,$A70)</f>
        <v>0</v>
      </c>
      <c r="F70" s="32" cm="1">
        <f t="array" aca="1" ref="F70" ca="1">INDEX(Data_DBD!$F:$F,$A70)</f>
        <v>2</v>
      </c>
      <c r="H70" s="32">
        <v>119</v>
      </c>
      <c r="I70" s="32">
        <v>30</v>
      </c>
      <c r="J70" s="32">
        <v>7</v>
      </c>
      <c r="K70" s="32">
        <v>33</v>
      </c>
      <c r="L70" s="32">
        <v>0</v>
      </c>
      <c r="M70" s="32">
        <v>3</v>
      </c>
    </row>
    <row r="71" spans="1:13">
      <c r="A71" s="32">
        <f t="shared" ca="1" si="1"/>
        <v>41</v>
      </c>
      <c r="B71" s="32" cm="1">
        <f t="array" aca="1" ref="B71" ca="1">INDEX(Data_DBD!$B:$B,$A71)</f>
        <v>8</v>
      </c>
      <c r="C71" s="32" cm="1">
        <f t="array" aca="1" ref="C71" ca="1">INDEX(Data_DBD!$C:$C,$A71)</f>
        <v>4</v>
      </c>
      <c r="D71" s="32" cm="1">
        <f t="array" aca="1" ref="D71" ca="1">INDEX(Data_DBD!$D:$D,$A71)</f>
        <v>13</v>
      </c>
      <c r="E71" s="32" cm="1">
        <f t="array" aca="1" ref="E71" ca="1">INDEX(Data_DBD!$E:$E,$A71)</f>
        <v>0</v>
      </c>
      <c r="F71" s="32" cm="1">
        <f t="array" aca="1" ref="F71" ca="1">INDEX(Data_DBD!$F:$F,$A71)</f>
        <v>2</v>
      </c>
      <c r="H71" s="32">
        <v>11</v>
      </c>
      <c r="I71" s="32">
        <v>24</v>
      </c>
      <c r="J71" s="32">
        <v>5</v>
      </c>
      <c r="K71" s="32">
        <v>12</v>
      </c>
      <c r="L71" s="32">
        <v>1</v>
      </c>
      <c r="M71" s="32">
        <v>2</v>
      </c>
    </row>
    <row r="72" spans="1:13">
      <c r="A72" s="32">
        <f t="shared" ca="1" si="1"/>
        <v>30</v>
      </c>
      <c r="B72" s="32" t="str" cm="1">
        <f t="array" aca="1" ref="B72" ca="1">INDEX(Data_DBD!$B:$B,$A72)</f>
        <v>2,8</v>
      </c>
      <c r="C72" s="32" cm="1">
        <f t="array" aca="1" ref="C72" ca="1">INDEX(Data_DBD!$C:$C,$A72)</f>
        <v>2</v>
      </c>
      <c r="D72" s="32" cm="1">
        <f t="array" aca="1" ref="D72" ca="1">INDEX(Data_DBD!$D:$D,$A72)</f>
        <v>14</v>
      </c>
      <c r="E72" s="32" cm="1">
        <f t="array" aca="1" ref="E72" ca="1">INDEX(Data_DBD!$E:$E,$A72)</f>
        <v>1</v>
      </c>
      <c r="F72" s="32" cm="1">
        <f t="array" aca="1" ref="F72" ca="1">INDEX(Data_DBD!$F:$F,$A72)</f>
        <v>2</v>
      </c>
      <c r="H72" s="32">
        <v>22</v>
      </c>
      <c r="I72" s="32">
        <v>6</v>
      </c>
      <c r="J72" s="32">
        <v>3</v>
      </c>
      <c r="K72" s="32">
        <v>14</v>
      </c>
      <c r="L72" s="32">
        <v>0</v>
      </c>
      <c r="M72" s="32">
        <v>2</v>
      </c>
    </row>
    <row r="73" spans="1:13">
      <c r="A73" s="32">
        <f t="shared" ca="1" si="1"/>
        <v>159</v>
      </c>
      <c r="B73" s="32" cm="1">
        <f t="array" aca="1" ref="B73" ca="1">INDEX(Data_DBD!$B:$B,$A73)</f>
        <v>17</v>
      </c>
      <c r="C73" s="32" cm="1">
        <f t="array" aca="1" ref="C73" ca="1">INDEX(Data_DBD!$C:$C,$A73)</f>
        <v>2</v>
      </c>
      <c r="D73" s="32" cm="1">
        <f t="array" aca="1" ref="D73" ca="1">INDEX(Data_DBD!$D:$D,$A73)</f>
        <v>21</v>
      </c>
      <c r="E73" s="32" cm="1">
        <f t="array" aca="1" ref="E73" ca="1">INDEX(Data_DBD!$E:$E,$A73)</f>
        <v>0</v>
      </c>
      <c r="F73" s="32" cm="1">
        <f t="array" aca="1" ref="F73" ca="1">INDEX(Data_DBD!$F:$F,$A73)</f>
        <v>3</v>
      </c>
      <c r="H73" s="32">
        <v>47</v>
      </c>
      <c r="I73" s="32">
        <v>19</v>
      </c>
      <c r="J73" s="32">
        <v>2</v>
      </c>
      <c r="K73" s="32">
        <v>13</v>
      </c>
      <c r="L73" s="32">
        <v>0</v>
      </c>
      <c r="M73" s="32">
        <v>2</v>
      </c>
    </row>
    <row r="74" spans="1:13">
      <c r="A74" s="32">
        <f t="shared" ca="1" si="1"/>
        <v>119</v>
      </c>
      <c r="B74" s="32" cm="1">
        <f t="array" aca="1" ref="B74" ca="1">INDEX(Data_DBD!$B:$B,$A74)</f>
        <v>30</v>
      </c>
      <c r="C74" s="32" cm="1">
        <f t="array" aca="1" ref="C74" ca="1">INDEX(Data_DBD!$C:$C,$A74)</f>
        <v>7</v>
      </c>
      <c r="D74" s="32" cm="1">
        <f t="array" aca="1" ref="D74" ca="1">INDEX(Data_DBD!$D:$D,$A74)</f>
        <v>33</v>
      </c>
      <c r="E74" s="32" cm="1">
        <f t="array" aca="1" ref="E74" ca="1">INDEX(Data_DBD!$E:$E,$A74)</f>
        <v>0</v>
      </c>
      <c r="F74" s="32" cm="1">
        <f t="array" aca="1" ref="F74" ca="1">INDEX(Data_DBD!$F:$F,$A74)</f>
        <v>3</v>
      </c>
      <c r="H74" s="32">
        <v>52</v>
      </c>
      <c r="I74" s="32">
        <v>59</v>
      </c>
      <c r="J74" s="32">
        <v>4</v>
      </c>
      <c r="K74" s="32">
        <v>15</v>
      </c>
      <c r="L74" s="32">
        <v>1</v>
      </c>
      <c r="M74" s="32">
        <v>2</v>
      </c>
    </row>
    <row r="75" spans="1:13">
      <c r="A75" s="32">
        <f t="shared" ca="1" si="1"/>
        <v>147</v>
      </c>
      <c r="B75" s="32" cm="1">
        <f t="array" aca="1" ref="B75" ca="1">INDEX(Data_DBD!$B:$B,$A75)</f>
        <v>66</v>
      </c>
      <c r="C75" s="32" cm="1">
        <f t="array" aca="1" ref="C75" ca="1">INDEX(Data_DBD!$C:$C,$A75)</f>
        <v>10</v>
      </c>
      <c r="D75" s="32" cm="1">
        <f t="array" aca="1" ref="D75" ca="1">INDEX(Data_DBD!$D:$D,$A75)</f>
        <v>21</v>
      </c>
      <c r="E75" s="32" cm="1">
        <f t="array" aca="1" ref="E75" ca="1">INDEX(Data_DBD!$E:$E,$A75)</f>
        <v>1</v>
      </c>
      <c r="F75" s="32" cm="1">
        <f t="array" aca="1" ref="F75" ca="1">INDEX(Data_DBD!$F:$F,$A75)</f>
        <v>3</v>
      </c>
      <c r="H75" s="32">
        <v>149</v>
      </c>
      <c r="I75" s="32">
        <v>19</v>
      </c>
      <c r="J75" s="32">
        <v>5</v>
      </c>
      <c r="K75" s="32">
        <v>21</v>
      </c>
      <c r="L75" s="32">
        <v>0</v>
      </c>
      <c r="M75" s="32">
        <v>3</v>
      </c>
    </row>
    <row r="76" spans="1:13">
      <c r="A76" s="32">
        <f t="shared" ca="1" si="1"/>
        <v>16</v>
      </c>
      <c r="B76" s="32" cm="1">
        <f t="array" aca="1" ref="B76" ca="1">INDEX(Data_DBD!$B:$B,$A76)</f>
        <v>66</v>
      </c>
      <c r="C76" s="32" cm="1">
        <f t="array" aca="1" ref="C76" ca="1">INDEX(Data_DBD!$C:$C,$A76)</f>
        <v>5</v>
      </c>
      <c r="D76" s="32" cm="1">
        <f t="array" aca="1" ref="D76" ca="1">INDEX(Data_DBD!$D:$D,$A76)</f>
        <v>7</v>
      </c>
      <c r="E76" s="32" cm="1">
        <f t="array" aca="1" ref="E76" ca="1">INDEX(Data_DBD!$E:$E,$A76)</f>
        <v>1</v>
      </c>
      <c r="F76" s="32" cm="1">
        <f t="array" aca="1" ref="F76" ca="1">INDEX(Data_DBD!$F:$F,$A76)</f>
        <v>1</v>
      </c>
      <c r="H76" s="32">
        <v>162</v>
      </c>
      <c r="I76" s="32">
        <v>22</v>
      </c>
      <c r="J76" s="32">
        <v>3</v>
      </c>
      <c r="K76" s="32">
        <v>3</v>
      </c>
      <c r="L76" s="32">
        <v>1</v>
      </c>
      <c r="M76" s="32">
        <v>1</v>
      </c>
    </row>
    <row r="77" spans="1:13">
      <c r="A77" s="32">
        <f t="shared" ca="1" si="1"/>
        <v>142</v>
      </c>
      <c r="B77" s="32" cm="1">
        <f t="array" aca="1" ref="B77" ca="1">INDEX(Data_DBD!$B:$B,$A77)</f>
        <v>39</v>
      </c>
      <c r="C77" s="32" cm="1">
        <f t="array" aca="1" ref="C77" ca="1">INDEX(Data_DBD!$C:$C,$A77)</f>
        <v>2</v>
      </c>
      <c r="D77" s="32" cm="1">
        <f t="array" aca="1" ref="D77" ca="1">INDEX(Data_DBD!$D:$D,$A77)</f>
        <v>21</v>
      </c>
      <c r="E77" s="32" cm="1">
        <f t="array" aca="1" ref="E77" ca="1">INDEX(Data_DBD!$E:$E,$A77)</f>
        <v>1</v>
      </c>
      <c r="F77" s="32" cm="1">
        <f t="array" aca="1" ref="F77" ca="1">INDEX(Data_DBD!$F:$F,$A77)</f>
        <v>3</v>
      </c>
      <c r="H77" s="32">
        <v>66</v>
      </c>
      <c r="I77" s="32">
        <v>21</v>
      </c>
      <c r="J77" s="32">
        <v>5</v>
      </c>
      <c r="K77" s="32">
        <v>15</v>
      </c>
      <c r="L77" s="32">
        <v>1</v>
      </c>
      <c r="M77" s="32">
        <v>2</v>
      </c>
    </row>
    <row r="78" spans="1:13">
      <c r="A78" s="32">
        <f t="shared" ca="1" si="1"/>
        <v>74</v>
      </c>
      <c r="B78" s="32" cm="1">
        <f t="array" aca="1" ref="B78" ca="1">INDEX(Data_DBD!$B:$B,$A78)</f>
        <v>9</v>
      </c>
      <c r="C78" s="32" cm="1">
        <f t="array" aca="1" ref="C78" ca="1">INDEX(Data_DBD!$C:$C,$A78)</f>
        <v>4</v>
      </c>
      <c r="D78" s="32" cm="1">
        <f t="array" aca="1" ref="D78" ca="1">INDEX(Data_DBD!$D:$D,$A78)</f>
        <v>10</v>
      </c>
      <c r="E78" s="32" cm="1">
        <f t="array" aca="1" ref="E78" ca="1">INDEX(Data_DBD!$E:$E,$A78)</f>
        <v>0</v>
      </c>
      <c r="F78" s="32" cm="1">
        <f t="array" aca="1" ref="F78" ca="1">INDEX(Data_DBD!$F:$F,$A78)</f>
        <v>2</v>
      </c>
      <c r="H78" s="32">
        <v>133</v>
      </c>
      <c r="I78" s="32">
        <v>6</v>
      </c>
      <c r="J78" s="32">
        <v>4</v>
      </c>
      <c r="K78" s="32">
        <v>33</v>
      </c>
      <c r="L78" s="32">
        <v>0</v>
      </c>
      <c r="M78" s="32">
        <v>3</v>
      </c>
    </row>
    <row r="79" spans="1:13">
      <c r="A79" s="32">
        <f t="shared" ca="1" si="1"/>
        <v>107</v>
      </c>
      <c r="B79" s="32" cm="1">
        <f t="array" aca="1" ref="B79" ca="1">INDEX(Data_DBD!$B:$B,$A79)</f>
        <v>48</v>
      </c>
      <c r="C79" s="32" cm="1">
        <f t="array" aca="1" ref="C79" ca="1">INDEX(Data_DBD!$C:$C,$A79)</f>
        <v>5</v>
      </c>
      <c r="D79" s="32" cm="1">
        <f t="array" aca="1" ref="D79" ca="1">INDEX(Data_DBD!$D:$D,$A79)</f>
        <v>18</v>
      </c>
      <c r="E79" s="32" cm="1">
        <f t="array" aca="1" ref="E79" ca="1">INDEX(Data_DBD!$E:$E,$A79)</f>
        <v>0</v>
      </c>
      <c r="F79" s="32" cm="1">
        <f t="array" aca="1" ref="F79" ca="1">INDEX(Data_DBD!$F:$F,$A79)</f>
        <v>3</v>
      </c>
      <c r="H79" s="32">
        <v>104</v>
      </c>
      <c r="I79" s="32">
        <v>37</v>
      </c>
      <c r="J79" s="32">
        <v>4</v>
      </c>
      <c r="K79" s="32">
        <v>18</v>
      </c>
      <c r="L79" s="32">
        <v>1</v>
      </c>
      <c r="M79" s="32">
        <v>3</v>
      </c>
    </row>
    <row r="80" spans="1:13">
      <c r="A80" s="32">
        <f t="shared" ca="1" si="1"/>
        <v>151</v>
      </c>
      <c r="B80" s="32" cm="1">
        <f t="array" aca="1" ref="B80" ca="1">INDEX(Data_DBD!$B:$B,$A80)</f>
        <v>24</v>
      </c>
      <c r="C80" s="32" cm="1">
        <f t="array" aca="1" ref="C80" ca="1">INDEX(Data_DBD!$C:$C,$A80)</f>
        <v>3</v>
      </c>
      <c r="D80" s="32" cm="1">
        <f t="array" aca="1" ref="D80" ca="1">INDEX(Data_DBD!$D:$D,$A80)</f>
        <v>21</v>
      </c>
      <c r="E80" s="32" cm="1">
        <f t="array" aca="1" ref="E80" ca="1">INDEX(Data_DBD!$E:$E,$A80)</f>
        <v>0</v>
      </c>
      <c r="F80" s="32" cm="1">
        <f t="array" aca="1" ref="F80" ca="1">INDEX(Data_DBD!$F:$F,$A80)</f>
        <v>3</v>
      </c>
      <c r="H80" s="32">
        <v>87</v>
      </c>
      <c r="I80" s="32">
        <v>21</v>
      </c>
      <c r="J80" s="32">
        <v>3</v>
      </c>
      <c r="K80" s="32">
        <v>13</v>
      </c>
      <c r="L80" s="32">
        <v>0</v>
      </c>
      <c r="M80" s="32">
        <v>2</v>
      </c>
    </row>
    <row r="81" spans="1:13">
      <c r="A81" s="32">
        <f t="shared" ca="1" si="1"/>
        <v>20</v>
      </c>
      <c r="B81" s="32" cm="1">
        <f t="array" aca="1" ref="B81" ca="1">INDEX(Data_DBD!$B:$B,$A81)</f>
        <v>15</v>
      </c>
      <c r="C81" s="32" cm="1">
        <f t="array" aca="1" ref="C81" ca="1">INDEX(Data_DBD!$C:$C,$A81)</f>
        <v>5</v>
      </c>
      <c r="D81" s="32" cm="1">
        <f t="array" aca="1" ref="D81" ca="1">INDEX(Data_DBD!$D:$D,$A81)</f>
        <v>7</v>
      </c>
      <c r="E81" s="32" cm="1">
        <f t="array" aca="1" ref="E81" ca="1">INDEX(Data_DBD!$E:$E,$A81)</f>
        <v>0</v>
      </c>
      <c r="F81" s="32" cm="1">
        <f t="array" aca="1" ref="F81" ca="1">INDEX(Data_DBD!$F:$F,$A81)</f>
        <v>1</v>
      </c>
      <c r="H81" s="32">
        <v>130</v>
      </c>
      <c r="I81" s="32">
        <v>12</v>
      </c>
      <c r="J81" s="32">
        <v>4</v>
      </c>
      <c r="K81" s="32">
        <v>33</v>
      </c>
      <c r="L81" s="32">
        <v>0</v>
      </c>
      <c r="M81" s="32">
        <v>3</v>
      </c>
    </row>
    <row r="82" spans="1:13">
      <c r="A82" s="32">
        <f t="shared" ca="1" si="1"/>
        <v>119</v>
      </c>
      <c r="B82" s="32" cm="1">
        <f t="array" aca="1" ref="B82" ca="1">INDEX(Data_DBD!$B:$B,$A82)</f>
        <v>30</v>
      </c>
      <c r="C82" s="32" cm="1">
        <f t="array" aca="1" ref="C82" ca="1">INDEX(Data_DBD!$C:$C,$A82)</f>
        <v>7</v>
      </c>
      <c r="D82" s="32" cm="1">
        <f t="array" aca="1" ref="D82" ca="1">INDEX(Data_DBD!$D:$D,$A82)</f>
        <v>33</v>
      </c>
      <c r="E82" s="32" cm="1">
        <f t="array" aca="1" ref="E82" ca="1">INDEX(Data_DBD!$E:$E,$A82)</f>
        <v>0</v>
      </c>
      <c r="F82" s="32" cm="1">
        <f t="array" aca="1" ref="F82" ca="1">INDEX(Data_DBD!$F:$F,$A82)</f>
        <v>3</v>
      </c>
      <c r="H82" s="32">
        <v>93</v>
      </c>
      <c r="I82" s="32">
        <v>65</v>
      </c>
      <c r="J82" s="32">
        <v>4</v>
      </c>
      <c r="K82" s="32">
        <v>18</v>
      </c>
      <c r="L82" s="32">
        <v>0</v>
      </c>
      <c r="M82" s="32">
        <v>3</v>
      </c>
    </row>
    <row r="83" spans="1:13">
      <c r="A83" s="32">
        <f t="shared" ca="1" si="1"/>
        <v>109</v>
      </c>
      <c r="B83" s="32" cm="1">
        <f t="array" aca="1" ref="B83" ca="1">INDEX(Data_DBD!$B:$B,$A83)</f>
        <v>40</v>
      </c>
      <c r="C83" s="32" cm="1">
        <f t="array" aca="1" ref="C83" ca="1">INDEX(Data_DBD!$C:$C,$A83)</f>
        <v>3</v>
      </c>
      <c r="D83" s="32" cm="1">
        <f t="array" aca="1" ref="D83" ca="1">INDEX(Data_DBD!$D:$D,$A83)</f>
        <v>33</v>
      </c>
      <c r="E83" s="32" cm="1">
        <f t="array" aca="1" ref="E83" ca="1">INDEX(Data_DBD!$E:$E,$A83)</f>
        <v>1</v>
      </c>
      <c r="F83" s="32" cm="1">
        <f t="array" aca="1" ref="F83" ca="1">INDEX(Data_DBD!$F:$F,$A83)</f>
        <v>3</v>
      </c>
      <c r="H83" s="32">
        <v>79</v>
      </c>
      <c r="I83" s="32">
        <v>29</v>
      </c>
      <c r="J83" s="32">
        <v>3</v>
      </c>
      <c r="K83" s="32">
        <v>13</v>
      </c>
      <c r="L83" s="32">
        <v>0</v>
      </c>
      <c r="M83" s="32">
        <v>2</v>
      </c>
    </row>
    <row r="84" spans="1:13">
      <c r="A84" s="32">
        <f t="shared" ca="1" si="1"/>
        <v>141</v>
      </c>
      <c r="B84" s="32" cm="1">
        <f t="array" aca="1" ref="B84" ca="1">INDEX(Data_DBD!$B:$B,$A84)</f>
        <v>36</v>
      </c>
      <c r="C84" s="32" cm="1">
        <f t="array" aca="1" ref="C84" ca="1">INDEX(Data_DBD!$C:$C,$A84)</f>
        <v>2</v>
      </c>
      <c r="D84" s="32" cm="1">
        <f t="array" aca="1" ref="D84" ca="1">INDEX(Data_DBD!$D:$D,$A84)</f>
        <v>21</v>
      </c>
      <c r="E84" s="32" cm="1">
        <f t="array" aca="1" ref="E84" ca="1">INDEX(Data_DBD!$E:$E,$A84)</f>
        <v>0</v>
      </c>
      <c r="F84" s="32" cm="1">
        <f t="array" aca="1" ref="F84" ca="1">INDEX(Data_DBD!$F:$F,$A84)</f>
        <v>3</v>
      </c>
      <c r="H84" s="32">
        <v>106</v>
      </c>
      <c r="I84" s="32">
        <v>23</v>
      </c>
      <c r="J84" s="32">
        <v>3</v>
      </c>
      <c r="K84" s="32">
        <v>18</v>
      </c>
      <c r="L84" s="32">
        <v>1</v>
      </c>
      <c r="M84" s="32">
        <v>3</v>
      </c>
    </row>
    <row r="85" spans="1:13">
      <c r="A85" s="32">
        <f t="shared" ca="1" si="1"/>
        <v>48</v>
      </c>
      <c r="B85" s="32" cm="1">
        <f t="array" aca="1" ref="B85" ca="1">INDEX(Data_DBD!$B:$B,$A85)</f>
        <v>50</v>
      </c>
      <c r="C85" s="32" cm="1">
        <f t="array" aca="1" ref="C85" ca="1">INDEX(Data_DBD!$C:$C,$A85)</f>
        <v>5</v>
      </c>
      <c r="D85" s="32" cm="1">
        <f t="array" aca="1" ref="D85" ca="1">INDEX(Data_DBD!$D:$D,$A85)</f>
        <v>13</v>
      </c>
      <c r="E85" s="32" cm="1">
        <f t="array" aca="1" ref="E85" ca="1">INDEX(Data_DBD!$E:$E,$A85)</f>
        <v>1</v>
      </c>
      <c r="F85" s="32" cm="1">
        <f t="array" aca="1" ref="F85" ca="1">INDEX(Data_DBD!$F:$F,$A85)</f>
        <v>2</v>
      </c>
      <c r="H85" s="32">
        <v>54</v>
      </c>
      <c r="I85" s="32">
        <v>7</v>
      </c>
      <c r="J85" s="32">
        <v>3</v>
      </c>
      <c r="K85" s="32">
        <v>15</v>
      </c>
      <c r="L85" s="32">
        <v>0</v>
      </c>
      <c r="M85" s="32">
        <v>2</v>
      </c>
    </row>
    <row r="86" spans="1:13">
      <c r="A86" s="32">
        <f t="shared" ca="1" si="1"/>
        <v>36</v>
      </c>
      <c r="B86" s="32" cm="1">
        <f t="array" aca="1" ref="B86" ca="1">INDEX(Data_DBD!$B:$B,$A86)</f>
        <v>27</v>
      </c>
      <c r="C86" s="32" cm="1">
        <f t="array" aca="1" ref="C86" ca="1">INDEX(Data_DBD!$C:$C,$A86)</f>
        <v>1</v>
      </c>
      <c r="D86" s="32" cm="1">
        <f t="array" aca="1" ref="D86" ca="1">INDEX(Data_DBD!$D:$D,$A86)</f>
        <v>4</v>
      </c>
      <c r="E86" s="32" cm="1">
        <f t="array" aca="1" ref="E86" ca="1">INDEX(Data_DBD!$E:$E,$A86)</f>
        <v>1</v>
      </c>
      <c r="F86" s="32" cm="1">
        <f t="array" aca="1" ref="F86" ca="1">INDEX(Data_DBD!$F:$F,$A86)</f>
        <v>1</v>
      </c>
      <c r="H86" s="32">
        <v>145</v>
      </c>
      <c r="I86" s="32">
        <v>28</v>
      </c>
      <c r="J86" s="32">
        <v>4</v>
      </c>
      <c r="K86" s="32">
        <v>21</v>
      </c>
      <c r="L86" s="32">
        <v>1</v>
      </c>
      <c r="M86" s="32">
        <v>3</v>
      </c>
    </row>
    <row r="87" spans="1:13">
      <c r="A87" s="32">
        <f t="shared" ca="1" si="1"/>
        <v>117</v>
      </c>
      <c r="B87" s="32" cm="1">
        <f t="array" aca="1" ref="B87" ca="1">INDEX(Data_DBD!$B:$B,$A87)</f>
        <v>49</v>
      </c>
      <c r="C87" s="32" cm="1">
        <f t="array" aca="1" ref="C87" ca="1">INDEX(Data_DBD!$C:$C,$A87)</f>
        <v>4</v>
      </c>
      <c r="D87" s="32" cm="1">
        <f t="array" aca="1" ref="D87" ca="1">INDEX(Data_DBD!$D:$D,$A87)</f>
        <v>33</v>
      </c>
      <c r="E87" s="32" cm="1">
        <f t="array" aca="1" ref="E87" ca="1">INDEX(Data_DBD!$E:$E,$A87)</f>
        <v>1</v>
      </c>
      <c r="F87" s="32" cm="1">
        <f t="array" aca="1" ref="F87" ca="1">INDEX(Data_DBD!$F:$F,$A87)</f>
        <v>3</v>
      </c>
      <c r="H87" s="32">
        <v>53</v>
      </c>
      <c r="I87" s="32">
        <v>35</v>
      </c>
      <c r="J87" s="32">
        <v>4</v>
      </c>
      <c r="K87" s="32">
        <v>15</v>
      </c>
      <c r="L87" s="32">
        <v>1</v>
      </c>
      <c r="M87" s="32">
        <v>2</v>
      </c>
    </row>
    <row r="88" spans="1:13">
      <c r="A88" s="32">
        <f t="shared" ca="1" si="1"/>
        <v>94</v>
      </c>
      <c r="B88" s="32" cm="1">
        <f t="array" aca="1" ref="B88" ca="1">INDEX(Data_DBD!$B:$B,$A88)</f>
        <v>12</v>
      </c>
      <c r="C88" s="32" cm="1">
        <f t="array" aca="1" ref="C88" ca="1">INDEX(Data_DBD!$C:$C,$A88)</f>
        <v>4</v>
      </c>
      <c r="D88" s="32" cm="1">
        <f t="array" aca="1" ref="D88" ca="1">INDEX(Data_DBD!$D:$D,$A88)</f>
        <v>18</v>
      </c>
      <c r="E88" s="32" cm="1">
        <f t="array" aca="1" ref="E88" ca="1">INDEX(Data_DBD!$E:$E,$A88)</f>
        <v>0</v>
      </c>
      <c r="F88" s="32" cm="1">
        <f t="array" aca="1" ref="F88" ca="1">INDEX(Data_DBD!$F:$F,$A88)</f>
        <v>3</v>
      </c>
      <c r="H88" s="32">
        <v>154</v>
      </c>
      <c r="I88" s="32">
        <v>18</v>
      </c>
      <c r="J88" s="32">
        <v>5</v>
      </c>
      <c r="K88" s="32">
        <v>21</v>
      </c>
      <c r="L88" s="32">
        <v>1</v>
      </c>
      <c r="M88" s="32">
        <v>3</v>
      </c>
    </row>
    <row r="89" spans="1:13">
      <c r="A89" s="32">
        <f t="shared" ca="1" si="1"/>
        <v>51</v>
      </c>
      <c r="B89" s="32" cm="1">
        <f t="array" aca="1" ref="B89" ca="1">INDEX(Data_DBD!$B:$B,$A89)</f>
        <v>48</v>
      </c>
      <c r="C89" s="32" cm="1">
        <f t="array" aca="1" ref="C89" ca="1">INDEX(Data_DBD!$C:$C,$A89)</f>
        <v>4</v>
      </c>
      <c r="D89" s="32" cm="1">
        <f t="array" aca="1" ref="D89" ca="1">INDEX(Data_DBD!$D:$D,$A89)</f>
        <v>13</v>
      </c>
      <c r="E89" s="32" cm="1">
        <f t="array" aca="1" ref="E89" ca="1">INDEX(Data_DBD!$E:$E,$A89)</f>
        <v>0</v>
      </c>
      <c r="F89" s="32" cm="1">
        <f t="array" aca="1" ref="F89" ca="1">INDEX(Data_DBD!$F:$F,$A89)</f>
        <v>2</v>
      </c>
      <c r="H89" s="32">
        <v>138</v>
      </c>
      <c r="I89" s="32">
        <v>13</v>
      </c>
      <c r="J89" s="32">
        <v>3</v>
      </c>
      <c r="K89" s="32">
        <v>33</v>
      </c>
      <c r="L89" s="32">
        <v>1</v>
      </c>
      <c r="M89" s="32">
        <v>3</v>
      </c>
    </row>
    <row r="90" spans="1:13">
      <c r="A90" s="32">
        <f t="shared" ca="1" si="1"/>
        <v>28</v>
      </c>
      <c r="B90" s="32" cm="1">
        <f t="array" aca="1" ref="B90" ca="1">INDEX(Data_DBD!$B:$B,$A90)</f>
        <v>22</v>
      </c>
      <c r="C90" s="32" cm="1">
        <f t="array" aca="1" ref="C90" ca="1">INDEX(Data_DBD!$C:$C,$A90)</f>
        <v>2</v>
      </c>
      <c r="D90" s="32" cm="1">
        <f t="array" aca="1" ref="D90" ca="1">INDEX(Data_DBD!$D:$D,$A90)</f>
        <v>14</v>
      </c>
      <c r="E90" s="32" cm="1">
        <f t="array" aca="1" ref="E90" ca="1">INDEX(Data_DBD!$E:$E,$A90)</f>
        <v>1</v>
      </c>
      <c r="F90" s="32" cm="1">
        <f t="array" aca="1" ref="F90" ca="1">INDEX(Data_DBD!$F:$F,$A90)</f>
        <v>2</v>
      </c>
      <c r="H90" s="32">
        <v>39</v>
      </c>
      <c r="I90" s="32">
        <v>12</v>
      </c>
      <c r="J90" s="32">
        <v>5</v>
      </c>
      <c r="K90" s="32">
        <v>13</v>
      </c>
      <c r="L90" s="32">
        <v>1</v>
      </c>
      <c r="M90" s="32">
        <v>2</v>
      </c>
    </row>
    <row r="91" spans="1:13">
      <c r="A91" s="32">
        <f t="shared" ca="1" si="1"/>
        <v>5</v>
      </c>
      <c r="B91" s="32" cm="1">
        <f t="array" aca="1" ref="B91" ca="1">INDEX(Data_DBD!$B:$B,$A91)</f>
        <v>18</v>
      </c>
      <c r="C91" s="32" cm="1">
        <f t="array" aca="1" ref="C91" ca="1">INDEX(Data_DBD!$C:$C,$A91)</f>
        <v>2</v>
      </c>
      <c r="D91" s="32" cm="1">
        <f t="array" aca="1" ref="D91" ca="1">INDEX(Data_DBD!$D:$D,$A91)</f>
        <v>12</v>
      </c>
      <c r="E91" s="32" cm="1">
        <f t="array" aca="1" ref="E91" ca="1">INDEX(Data_DBD!$E:$E,$A91)</f>
        <v>1</v>
      </c>
      <c r="F91" s="32" cm="1">
        <f t="array" aca="1" ref="F91" ca="1">INDEX(Data_DBD!$F:$F,$A91)</f>
        <v>2</v>
      </c>
      <c r="H91" s="32">
        <v>33</v>
      </c>
      <c r="I91" s="32">
        <v>19</v>
      </c>
      <c r="J91" s="32">
        <v>4</v>
      </c>
      <c r="K91" s="32">
        <v>14</v>
      </c>
      <c r="L91" s="32">
        <v>1</v>
      </c>
      <c r="M91" s="32">
        <v>2</v>
      </c>
    </row>
    <row r="92" spans="1:13">
      <c r="A92" s="32">
        <f t="shared" ca="1" si="1"/>
        <v>51</v>
      </c>
      <c r="B92" s="32" cm="1">
        <f t="array" aca="1" ref="B92" ca="1">INDEX(Data_DBD!$B:$B,$A92)</f>
        <v>48</v>
      </c>
      <c r="C92" s="32" cm="1">
        <f t="array" aca="1" ref="C92" ca="1">INDEX(Data_DBD!$C:$C,$A92)</f>
        <v>4</v>
      </c>
      <c r="D92" s="32" cm="1">
        <f t="array" aca="1" ref="D92" ca="1">INDEX(Data_DBD!$D:$D,$A92)</f>
        <v>13</v>
      </c>
      <c r="E92" s="32" cm="1">
        <f t="array" aca="1" ref="E92" ca="1">INDEX(Data_DBD!$E:$E,$A92)</f>
        <v>0</v>
      </c>
      <c r="F92" s="32" cm="1">
        <f t="array" aca="1" ref="F92" ca="1">INDEX(Data_DBD!$F:$F,$A92)</f>
        <v>2</v>
      </c>
      <c r="H92" s="32">
        <v>47</v>
      </c>
      <c r="I92" s="32">
        <v>19</v>
      </c>
      <c r="J92" s="32">
        <v>2</v>
      </c>
      <c r="K92" s="32">
        <v>13</v>
      </c>
      <c r="L92" s="32">
        <v>0</v>
      </c>
      <c r="M92" s="32">
        <v>2</v>
      </c>
    </row>
    <row r="93" spans="1:13">
      <c r="A93" s="32">
        <f t="shared" ca="1" si="1"/>
        <v>22</v>
      </c>
      <c r="B93" s="32" cm="1">
        <f t="array" aca="1" ref="B93" ca="1">INDEX(Data_DBD!$B:$B,$A93)</f>
        <v>6</v>
      </c>
      <c r="C93" s="32" cm="1">
        <f t="array" aca="1" ref="C93" ca="1">INDEX(Data_DBD!$C:$C,$A93)</f>
        <v>3</v>
      </c>
      <c r="D93" s="32" cm="1">
        <f t="array" aca="1" ref="D93" ca="1">INDEX(Data_DBD!$D:$D,$A93)</f>
        <v>14</v>
      </c>
      <c r="E93" s="32" cm="1">
        <f t="array" aca="1" ref="E93" ca="1">INDEX(Data_DBD!$E:$E,$A93)</f>
        <v>0</v>
      </c>
      <c r="F93" s="32" cm="1">
        <f t="array" aca="1" ref="F93" ca="1">INDEX(Data_DBD!$F:$F,$A93)</f>
        <v>2</v>
      </c>
      <c r="H93" s="32">
        <v>137</v>
      </c>
      <c r="I93" s="32">
        <v>3.5</v>
      </c>
      <c r="J93" s="32">
        <v>1</v>
      </c>
      <c r="K93" s="32">
        <v>33</v>
      </c>
      <c r="L93" s="32">
        <v>1</v>
      </c>
      <c r="M93" s="32">
        <v>3</v>
      </c>
    </row>
    <row r="94" spans="1:13">
      <c r="A94" s="32">
        <f t="shared" ca="1" si="1"/>
        <v>130</v>
      </c>
      <c r="B94" s="32" cm="1">
        <f t="array" aca="1" ref="B94" ca="1">INDEX(Data_DBD!$B:$B,$A94)</f>
        <v>12</v>
      </c>
      <c r="C94" s="32" cm="1">
        <f t="array" aca="1" ref="C94" ca="1">INDEX(Data_DBD!$C:$C,$A94)</f>
        <v>4</v>
      </c>
      <c r="D94" s="32" cm="1">
        <f t="array" aca="1" ref="D94" ca="1">INDEX(Data_DBD!$D:$D,$A94)</f>
        <v>33</v>
      </c>
      <c r="E94" s="32" cm="1">
        <f t="array" aca="1" ref="E94" ca="1">INDEX(Data_DBD!$E:$E,$A94)</f>
        <v>0</v>
      </c>
      <c r="F94" s="32" cm="1">
        <f t="array" aca="1" ref="F94" ca="1">INDEX(Data_DBD!$F:$F,$A94)</f>
        <v>3</v>
      </c>
      <c r="H94" s="32">
        <v>146</v>
      </c>
      <c r="I94" s="32">
        <v>34</v>
      </c>
      <c r="J94" s="32">
        <v>2</v>
      </c>
      <c r="K94" s="32">
        <v>21</v>
      </c>
      <c r="L94" s="32">
        <v>1</v>
      </c>
      <c r="M94" s="32">
        <v>3</v>
      </c>
    </row>
    <row r="95" spans="1:13">
      <c r="A95" s="32">
        <f t="shared" ca="1" si="1"/>
        <v>71</v>
      </c>
      <c r="B95" s="32" cm="1">
        <f t="array" aca="1" ref="B95" ca="1">INDEX(Data_DBD!$B:$B,$A95)</f>
        <v>84</v>
      </c>
      <c r="C95" s="32" cm="1">
        <f t="array" aca="1" ref="C95" ca="1">INDEX(Data_DBD!$C:$C,$A95)</f>
        <v>3</v>
      </c>
      <c r="D95" s="32" cm="1">
        <f t="array" aca="1" ref="D95" ca="1">INDEX(Data_DBD!$D:$D,$A95)</f>
        <v>10</v>
      </c>
      <c r="E95" s="32" cm="1">
        <f t="array" aca="1" ref="E95" ca="1">INDEX(Data_DBD!$E:$E,$A95)</f>
        <v>0</v>
      </c>
      <c r="F95" s="32" cm="1">
        <f t="array" aca="1" ref="F95" ca="1">INDEX(Data_DBD!$F:$F,$A95)</f>
        <v>2</v>
      </c>
      <c r="H95" s="32">
        <v>58</v>
      </c>
      <c r="I95" s="32">
        <v>17</v>
      </c>
      <c r="J95" s="32">
        <v>3</v>
      </c>
      <c r="K95" s="32">
        <v>15</v>
      </c>
      <c r="L95" s="32">
        <v>0</v>
      </c>
      <c r="M95" s="32">
        <v>2</v>
      </c>
    </row>
    <row r="96" spans="1:13">
      <c r="A96" s="32">
        <f t="shared" ca="1" si="1"/>
        <v>61</v>
      </c>
      <c r="B96" s="32" cm="1">
        <f t="array" aca="1" ref="B96" ca="1">INDEX(Data_DBD!$B:$B,$A96)</f>
        <v>29</v>
      </c>
      <c r="C96" s="32" cm="1">
        <f t="array" aca="1" ref="C96" ca="1">INDEX(Data_DBD!$C:$C,$A96)</f>
        <v>3</v>
      </c>
      <c r="D96" s="32" cm="1">
        <f t="array" aca="1" ref="D96" ca="1">INDEX(Data_DBD!$D:$D,$A96)</f>
        <v>15</v>
      </c>
      <c r="E96" s="32" cm="1">
        <f t="array" aca="1" ref="E96" ca="1">INDEX(Data_DBD!$E:$E,$A96)</f>
        <v>1</v>
      </c>
      <c r="F96" s="32" cm="1">
        <f t="array" aca="1" ref="F96" ca="1">INDEX(Data_DBD!$F:$F,$A96)</f>
        <v>2</v>
      </c>
      <c r="H96" s="32">
        <v>31</v>
      </c>
      <c r="I96" s="32">
        <v>64</v>
      </c>
      <c r="J96" s="32">
        <v>4</v>
      </c>
      <c r="K96" s="32">
        <v>14</v>
      </c>
      <c r="L96" s="32">
        <v>1</v>
      </c>
      <c r="M96" s="32">
        <v>2</v>
      </c>
    </row>
    <row r="97" spans="1:13">
      <c r="A97" s="32">
        <f t="shared" ca="1" si="1"/>
        <v>64</v>
      </c>
      <c r="B97" s="32" cm="1">
        <f t="array" aca="1" ref="B97" ca="1">INDEX(Data_DBD!$B:$B,$A97)</f>
        <v>35</v>
      </c>
      <c r="C97" s="32" cm="1">
        <f t="array" aca="1" ref="C97" ca="1">INDEX(Data_DBD!$C:$C,$A97)</f>
        <v>1</v>
      </c>
      <c r="D97" s="32" cm="1">
        <f t="array" aca="1" ref="D97" ca="1">INDEX(Data_DBD!$D:$D,$A97)</f>
        <v>15</v>
      </c>
      <c r="E97" s="32" cm="1">
        <f t="array" aca="1" ref="E97" ca="1">INDEX(Data_DBD!$E:$E,$A97)</f>
        <v>0</v>
      </c>
      <c r="F97" s="32" cm="1">
        <f t="array" aca="1" ref="F97" ca="1">INDEX(Data_DBD!$F:$F,$A97)</f>
        <v>2</v>
      </c>
      <c r="H97" s="32">
        <v>73</v>
      </c>
      <c r="I97" s="32">
        <v>15</v>
      </c>
      <c r="J97" s="32">
        <v>3</v>
      </c>
      <c r="K97" s="32">
        <v>10</v>
      </c>
      <c r="L97" s="32">
        <v>1</v>
      </c>
      <c r="M97" s="32">
        <v>2</v>
      </c>
    </row>
    <row r="98" spans="1:13">
      <c r="A98" s="32">
        <f t="shared" ca="1" si="1"/>
        <v>91</v>
      </c>
      <c r="B98" s="32" cm="1">
        <f t="array" aca="1" ref="B98" ca="1">INDEX(Data_DBD!$B:$B,$A98)</f>
        <v>35</v>
      </c>
      <c r="C98" s="32" cm="1">
        <f t="array" aca="1" ref="C98" ca="1">INDEX(Data_DBD!$C:$C,$A98)</f>
        <v>1</v>
      </c>
      <c r="D98" s="32" cm="1">
        <f t="array" aca="1" ref="D98" ca="1">INDEX(Data_DBD!$D:$D,$A98)</f>
        <v>18</v>
      </c>
      <c r="E98" s="32" cm="1">
        <f t="array" aca="1" ref="E98" ca="1">INDEX(Data_DBD!$E:$E,$A98)</f>
        <v>1</v>
      </c>
      <c r="F98" s="32" cm="1">
        <f t="array" aca="1" ref="F98" ca="1">INDEX(Data_DBD!$F:$F,$A98)</f>
        <v>3</v>
      </c>
      <c r="H98" s="32">
        <v>22</v>
      </c>
      <c r="I98" s="32">
        <v>6</v>
      </c>
      <c r="J98" s="32">
        <v>3</v>
      </c>
      <c r="K98" s="32">
        <v>14</v>
      </c>
      <c r="L98" s="32">
        <v>0</v>
      </c>
      <c r="M98" s="32">
        <v>2</v>
      </c>
    </row>
    <row r="99" spans="1:13">
      <c r="A99" s="32">
        <f t="shared" ca="1" si="1"/>
        <v>144</v>
      </c>
      <c r="B99" s="32" cm="1">
        <f t="array" aca="1" ref="B99" ca="1">INDEX(Data_DBD!$B:$B,$A99)</f>
        <v>61</v>
      </c>
      <c r="C99" s="32" cm="1">
        <f t="array" aca="1" ref="C99" ca="1">INDEX(Data_DBD!$C:$C,$A99)</f>
        <v>4</v>
      </c>
      <c r="D99" s="32" cm="1">
        <f t="array" aca="1" ref="D99" ca="1">INDEX(Data_DBD!$D:$D,$A99)</f>
        <v>21</v>
      </c>
      <c r="E99" s="32" cm="1">
        <f t="array" aca="1" ref="E99" ca="1">INDEX(Data_DBD!$E:$E,$A99)</f>
        <v>1</v>
      </c>
      <c r="F99" s="32" cm="1">
        <f t="array" aca="1" ref="F99" ca="1">INDEX(Data_DBD!$F:$F,$A99)</f>
        <v>3</v>
      </c>
      <c r="H99" s="32">
        <v>19</v>
      </c>
      <c r="I99" s="32">
        <v>8</v>
      </c>
      <c r="J99" s="32">
        <v>4</v>
      </c>
      <c r="K99" s="32">
        <v>7</v>
      </c>
      <c r="L99" s="32">
        <v>0</v>
      </c>
      <c r="M99" s="32">
        <v>1</v>
      </c>
    </row>
    <row r="100" spans="1:13">
      <c r="A100" s="32">
        <f t="shared" ca="1" si="1"/>
        <v>24</v>
      </c>
      <c r="B100" s="32" cm="1">
        <f t="array" aca="1" ref="B100" ca="1">INDEX(Data_DBD!$B:$B,$A100)</f>
        <v>60</v>
      </c>
      <c r="C100" s="32" cm="1">
        <f t="array" aca="1" ref="C100" ca="1">INDEX(Data_DBD!$C:$C,$A100)</f>
        <v>4</v>
      </c>
      <c r="D100" s="32" cm="1">
        <f t="array" aca="1" ref="D100" ca="1">INDEX(Data_DBD!$D:$D,$A100)</f>
        <v>14</v>
      </c>
      <c r="E100" s="32" cm="1">
        <f t="array" aca="1" ref="E100" ca="1">INDEX(Data_DBD!$E:$E,$A100)</f>
        <v>0</v>
      </c>
      <c r="F100" s="32" cm="1">
        <f t="array" aca="1" ref="F100" ca="1">INDEX(Data_DBD!$F:$F,$A100)</f>
        <v>2</v>
      </c>
      <c r="H100" s="32">
        <v>96</v>
      </c>
      <c r="I100" s="32">
        <v>56</v>
      </c>
      <c r="J100" s="32">
        <v>4</v>
      </c>
      <c r="K100" s="32">
        <v>18</v>
      </c>
      <c r="L100" s="32">
        <v>0</v>
      </c>
      <c r="M100" s="32">
        <v>3</v>
      </c>
    </row>
    <row r="101" spans="1:13">
      <c r="A101" s="32">
        <f t="shared" ca="1" si="1"/>
        <v>99</v>
      </c>
      <c r="B101" s="32" cm="1">
        <f t="array" aca="1" ref="B101" ca="1">INDEX(Data_DBD!$B:$B,$A101)</f>
        <v>4</v>
      </c>
      <c r="C101" s="32" cm="1">
        <f t="array" aca="1" ref="C101" ca="1">INDEX(Data_DBD!$C:$C,$A101)</f>
        <v>2</v>
      </c>
      <c r="D101" s="32" cm="1">
        <f t="array" aca="1" ref="D101" ca="1">INDEX(Data_DBD!$D:$D,$A101)</f>
        <v>18</v>
      </c>
      <c r="E101" s="32" cm="1">
        <f t="array" aca="1" ref="E101" ca="1">INDEX(Data_DBD!$E:$E,$A101)</f>
        <v>1</v>
      </c>
      <c r="F101" s="32" cm="1">
        <f t="array" aca="1" ref="F101" ca="1">INDEX(Data_DBD!$F:$F,$A101)</f>
        <v>3</v>
      </c>
      <c r="H101" s="32">
        <v>127</v>
      </c>
      <c r="I101" s="32">
        <v>21</v>
      </c>
      <c r="J101" s="32">
        <v>2</v>
      </c>
      <c r="K101" s="32">
        <v>33</v>
      </c>
      <c r="L101" s="32">
        <v>0</v>
      </c>
      <c r="M101" s="32">
        <v>3</v>
      </c>
    </row>
    <row r="102" spans="1:13">
      <c r="A102" s="32">
        <f t="shared" ca="1" si="1"/>
        <v>28</v>
      </c>
      <c r="B102" s="32" cm="1">
        <f t="array" aca="1" ref="B102" ca="1">INDEX(Data_DBD!$B:$B,$A102)</f>
        <v>22</v>
      </c>
      <c r="C102" s="32" cm="1">
        <f t="array" aca="1" ref="C102" ca="1">INDEX(Data_DBD!$C:$C,$A102)</f>
        <v>2</v>
      </c>
      <c r="D102" s="32" cm="1">
        <f t="array" aca="1" ref="D102" ca="1">INDEX(Data_DBD!$D:$D,$A102)</f>
        <v>14</v>
      </c>
      <c r="E102" s="32" cm="1">
        <f t="array" aca="1" ref="E102" ca="1">INDEX(Data_DBD!$E:$E,$A102)</f>
        <v>1</v>
      </c>
      <c r="F102" s="32" cm="1">
        <f t="array" aca="1" ref="F102" ca="1">INDEX(Data_DBD!$F:$F,$A102)</f>
        <v>2</v>
      </c>
      <c r="H102" s="32">
        <v>84</v>
      </c>
      <c r="I102" s="32">
        <v>42</v>
      </c>
      <c r="J102" s="32">
        <v>4</v>
      </c>
      <c r="K102" s="32">
        <v>13</v>
      </c>
      <c r="L102" s="32">
        <v>1</v>
      </c>
      <c r="M102" s="32">
        <v>2</v>
      </c>
    </row>
    <row r="103" spans="1:13">
      <c r="A103" s="32">
        <f t="shared" ca="1" si="1"/>
        <v>153</v>
      </c>
      <c r="B103" s="32" cm="1">
        <f t="array" aca="1" ref="B103" ca="1">INDEX(Data_DBD!$B:$B,$A103)</f>
        <v>73</v>
      </c>
      <c r="C103" s="32" cm="1">
        <f t="array" aca="1" ref="C103" ca="1">INDEX(Data_DBD!$C:$C,$A103)</f>
        <v>7</v>
      </c>
      <c r="D103" s="32" cm="1">
        <f t="array" aca="1" ref="D103" ca="1">INDEX(Data_DBD!$D:$D,$A103)</f>
        <v>21</v>
      </c>
      <c r="E103" s="32" cm="1">
        <f t="array" aca="1" ref="E103" ca="1">INDEX(Data_DBD!$E:$E,$A103)</f>
        <v>1</v>
      </c>
      <c r="F103" s="32" cm="1">
        <f t="array" aca="1" ref="F103" ca="1">INDEX(Data_DBD!$F:$F,$A103)</f>
        <v>3</v>
      </c>
      <c r="H103" s="32">
        <v>80</v>
      </c>
      <c r="I103" s="32">
        <v>27</v>
      </c>
      <c r="J103" s="32">
        <v>3</v>
      </c>
      <c r="K103" s="32">
        <v>13</v>
      </c>
      <c r="L103" s="32">
        <v>1</v>
      </c>
      <c r="M103" s="32">
        <v>2</v>
      </c>
    </row>
    <row r="104" spans="1:13">
      <c r="A104" s="32">
        <f t="shared" ca="1" si="1"/>
        <v>127</v>
      </c>
      <c r="B104" s="32" cm="1">
        <f t="array" aca="1" ref="B104" ca="1">INDEX(Data_DBD!$B:$B,$A104)</f>
        <v>21</v>
      </c>
      <c r="C104" s="32" cm="1">
        <f t="array" aca="1" ref="C104" ca="1">INDEX(Data_DBD!$C:$C,$A104)</f>
        <v>2</v>
      </c>
      <c r="D104" s="32" cm="1">
        <f t="array" aca="1" ref="D104" ca="1">INDEX(Data_DBD!$D:$D,$A104)</f>
        <v>33</v>
      </c>
      <c r="E104" s="32" cm="1">
        <f t="array" aca="1" ref="E104" ca="1">INDEX(Data_DBD!$E:$E,$A104)</f>
        <v>0</v>
      </c>
      <c r="F104" s="32" cm="1">
        <f t="array" aca="1" ref="F104" ca="1">INDEX(Data_DBD!$F:$F,$A104)</f>
        <v>3</v>
      </c>
      <c r="H104" s="32">
        <v>115</v>
      </c>
      <c r="I104" s="32">
        <v>52</v>
      </c>
      <c r="J104" s="32">
        <v>3</v>
      </c>
      <c r="K104" s="32">
        <v>33</v>
      </c>
      <c r="L104" s="32">
        <v>1</v>
      </c>
      <c r="M104" s="32">
        <v>3</v>
      </c>
    </row>
    <row r="105" spans="1:13">
      <c r="A105" s="32">
        <f t="shared" ca="1" si="1"/>
        <v>24</v>
      </c>
      <c r="B105" s="32" cm="1">
        <f t="array" aca="1" ref="B105" ca="1">INDEX(Data_DBD!$B:$B,$A105)</f>
        <v>60</v>
      </c>
      <c r="C105" s="32" cm="1">
        <f t="array" aca="1" ref="C105" ca="1">INDEX(Data_DBD!$C:$C,$A105)</f>
        <v>4</v>
      </c>
      <c r="D105" s="32" cm="1">
        <f t="array" aca="1" ref="D105" ca="1">INDEX(Data_DBD!$D:$D,$A105)</f>
        <v>14</v>
      </c>
      <c r="E105" s="32" cm="1">
        <f t="array" aca="1" ref="E105" ca="1">INDEX(Data_DBD!$E:$E,$A105)</f>
        <v>0</v>
      </c>
      <c r="F105" s="32" cm="1">
        <f t="array" aca="1" ref="F105" ca="1">INDEX(Data_DBD!$F:$F,$A105)</f>
        <v>2</v>
      </c>
      <c r="H105" s="32">
        <v>104</v>
      </c>
      <c r="I105" s="32">
        <v>37</v>
      </c>
      <c r="J105" s="32">
        <v>4</v>
      </c>
      <c r="K105" s="32">
        <v>18</v>
      </c>
      <c r="L105" s="32">
        <v>1</v>
      </c>
      <c r="M105" s="32">
        <v>3</v>
      </c>
    </row>
    <row r="106" spans="1:13">
      <c r="A106" s="32">
        <f t="shared" ca="1" si="1"/>
        <v>53</v>
      </c>
      <c r="B106" s="32" cm="1">
        <f t="array" aca="1" ref="B106" ca="1">INDEX(Data_DBD!$B:$B,$A106)</f>
        <v>35</v>
      </c>
      <c r="C106" s="32" cm="1">
        <f t="array" aca="1" ref="C106" ca="1">INDEX(Data_DBD!$C:$C,$A106)</f>
        <v>4</v>
      </c>
      <c r="D106" s="32" cm="1">
        <f t="array" aca="1" ref="D106" ca="1">INDEX(Data_DBD!$D:$D,$A106)</f>
        <v>15</v>
      </c>
      <c r="E106" s="32" cm="1">
        <f t="array" aca="1" ref="E106" ca="1">INDEX(Data_DBD!$E:$E,$A106)</f>
        <v>1</v>
      </c>
      <c r="F106" s="32" cm="1">
        <f t="array" aca="1" ref="F106" ca="1">INDEX(Data_DBD!$F:$F,$A106)</f>
        <v>2</v>
      </c>
      <c r="H106" s="32">
        <v>90</v>
      </c>
      <c r="I106" s="32">
        <v>47</v>
      </c>
      <c r="J106" s="32">
        <v>3</v>
      </c>
      <c r="K106" s="32">
        <v>18</v>
      </c>
      <c r="L106" s="32">
        <v>0</v>
      </c>
      <c r="M106" s="32">
        <v>3</v>
      </c>
    </row>
    <row r="107" spans="1:13">
      <c r="A107" s="32">
        <f t="shared" ca="1" si="1"/>
        <v>21</v>
      </c>
      <c r="B107" s="32" cm="1">
        <f t="array" aca="1" ref="B107" ca="1">INDEX(Data_DBD!$B:$B,$A107)</f>
        <v>10</v>
      </c>
      <c r="C107" s="32" cm="1">
        <f t="array" aca="1" ref="C107" ca="1">INDEX(Data_DBD!$C:$C,$A107)</f>
        <v>5</v>
      </c>
      <c r="D107" s="32" cm="1">
        <f t="array" aca="1" ref="D107" ca="1">INDEX(Data_DBD!$D:$D,$A107)</f>
        <v>14</v>
      </c>
      <c r="E107" s="32" cm="1">
        <f t="array" aca="1" ref="E107" ca="1">INDEX(Data_DBD!$E:$E,$A107)</f>
        <v>1</v>
      </c>
      <c r="F107" s="32" cm="1">
        <f t="array" aca="1" ref="F107" ca="1">INDEX(Data_DBD!$F:$F,$A107)</f>
        <v>2</v>
      </c>
      <c r="H107" s="32">
        <v>42</v>
      </c>
      <c r="I107" s="32">
        <v>21</v>
      </c>
      <c r="J107" s="32">
        <v>5</v>
      </c>
      <c r="K107" s="32">
        <v>13</v>
      </c>
      <c r="L107" s="32">
        <v>1</v>
      </c>
      <c r="M107" s="32">
        <v>2</v>
      </c>
    </row>
    <row r="108" spans="1:13">
      <c r="A108" s="32">
        <f t="shared" ca="1" si="1"/>
        <v>159</v>
      </c>
      <c r="B108" s="32" cm="1">
        <f t="array" aca="1" ref="B108" ca="1">INDEX(Data_DBD!$B:$B,$A108)</f>
        <v>17</v>
      </c>
      <c r="C108" s="32" cm="1">
        <f t="array" aca="1" ref="C108" ca="1">INDEX(Data_DBD!$C:$C,$A108)</f>
        <v>2</v>
      </c>
      <c r="D108" s="32" cm="1">
        <f t="array" aca="1" ref="D108" ca="1">INDEX(Data_DBD!$D:$D,$A108)</f>
        <v>21</v>
      </c>
      <c r="E108" s="32" cm="1">
        <f t="array" aca="1" ref="E108" ca="1">INDEX(Data_DBD!$E:$E,$A108)</f>
        <v>0</v>
      </c>
      <c r="F108" s="32" cm="1">
        <f t="array" aca="1" ref="F108" ca="1">INDEX(Data_DBD!$F:$F,$A108)</f>
        <v>3</v>
      </c>
      <c r="H108" s="32">
        <v>97</v>
      </c>
      <c r="I108" s="32">
        <v>16</v>
      </c>
      <c r="J108" s="32">
        <v>2</v>
      </c>
      <c r="K108" s="32">
        <v>18</v>
      </c>
      <c r="L108" s="32">
        <v>1</v>
      </c>
      <c r="M108" s="32">
        <v>3</v>
      </c>
    </row>
    <row r="109" spans="1:13">
      <c r="A109" s="32">
        <f t="shared" ca="1" si="1"/>
        <v>106</v>
      </c>
      <c r="B109" s="32" cm="1">
        <f t="array" aca="1" ref="B109" ca="1">INDEX(Data_DBD!$B:$B,$A109)</f>
        <v>23</v>
      </c>
      <c r="C109" s="32" cm="1">
        <f t="array" aca="1" ref="C109" ca="1">INDEX(Data_DBD!$C:$C,$A109)</f>
        <v>3</v>
      </c>
      <c r="D109" s="32" cm="1">
        <f t="array" aca="1" ref="D109" ca="1">INDEX(Data_DBD!$D:$D,$A109)</f>
        <v>18</v>
      </c>
      <c r="E109" s="32" cm="1">
        <f t="array" aca="1" ref="E109" ca="1">INDEX(Data_DBD!$E:$E,$A109)</f>
        <v>1</v>
      </c>
      <c r="F109" s="32" cm="1">
        <f t="array" aca="1" ref="F109" ca="1">INDEX(Data_DBD!$F:$F,$A109)</f>
        <v>3</v>
      </c>
      <c r="H109" s="32">
        <v>10</v>
      </c>
      <c r="I109" s="32">
        <v>18</v>
      </c>
      <c r="J109" s="32">
        <v>5</v>
      </c>
      <c r="K109" s="32">
        <v>12</v>
      </c>
      <c r="L109" s="32">
        <v>0</v>
      </c>
      <c r="M109" s="32">
        <v>2</v>
      </c>
    </row>
    <row r="110" spans="1:13">
      <c r="A110" s="32">
        <f t="shared" ca="1" si="1"/>
        <v>141</v>
      </c>
      <c r="B110" s="32" cm="1">
        <f t="array" aca="1" ref="B110" ca="1">INDEX(Data_DBD!$B:$B,$A110)</f>
        <v>36</v>
      </c>
      <c r="C110" s="32" cm="1">
        <f t="array" aca="1" ref="C110" ca="1">INDEX(Data_DBD!$C:$C,$A110)</f>
        <v>2</v>
      </c>
      <c r="D110" s="32" cm="1">
        <f t="array" aca="1" ref="D110" ca="1">INDEX(Data_DBD!$D:$D,$A110)</f>
        <v>21</v>
      </c>
      <c r="E110" s="32" cm="1">
        <f t="array" aca="1" ref="E110" ca="1">INDEX(Data_DBD!$E:$E,$A110)</f>
        <v>0</v>
      </c>
      <c r="F110" s="32" cm="1">
        <f t="array" aca="1" ref="F110" ca="1">INDEX(Data_DBD!$F:$F,$A110)</f>
        <v>3</v>
      </c>
      <c r="H110" s="32">
        <v>39</v>
      </c>
      <c r="I110" s="32">
        <v>12</v>
      </c>
      <c r="J110" s="32">
        <v>5</v>
      </c>
      <c r="K110" s="32">
        <v>13</v>
      </c>
      <c r="L110" s="32">
        <v>1</v>
      </c>
      <c r="M110" s="32">
        <v>2</v>
      </c>
    </row>
    <row r="111" spans="1:13">
      <c r="A111" s="32">
        <f t="shared" ca="1" si="1"/>
        <v>39</v>
      </c>
      <c r="B111" s="32" cm="1">
        <f t="array" aca="1" ref="B111" ca="1">INDEX(Data_DBD!$B:$B,$A111)</f>
        <v>12</v>
      </c>
      <c r="C111" s="32" cm="1">
        <f t="array" aca="1" ref="C111" ca="1">INDEX(Data_DBD!$C:$C,$A111)</f>
        <v>5</v>
      </c>
      <c r="D111" s="32" cm="1">
        <f t="array" aca="1" ref="D111" ca="1">INDEX(Data_DBD!$D:$D,$A111)</f>
        <v>13</v>
      </c>
      <c r="E111" s="32" cm="1">
        <f t="array" aca="1" ref="E111" ca="1">INDEX(Data_DBD!$E:$E,$A111)</f>
        <v>1</v>
      </c>
      <c r="F111" s="32" cm="1">
        <f t="array" aca="1" ref="F111" ca="1">INDEX(Data_DBD!$F:$F,$A111)</f>
        <v>2</v>
      </c>
      <c r="H111" s="32">
        <v>61</v>
      </c>
      <c r="I111" s="32">
        <v>29</v>
      </c>
      <c r="J111" s="32">
        <v>3</v>
      </c>
      <c r="K111" s="32">
        <v>15</v>
      </c>
      <c r="L111" s="32">
        <v>1</v>
      </c>
      <c r="M111" s="32">
        <v>2</v>
      </c>
    </row>
    <row r="112" spans="1:13">
      <c r="A112" s="32">
        <f t="shared" ca="1" si="1"/>
        <v>138</v>
      </c>
      <c r="B112" s="32" cm="1">
        <f t="array" aca="1" ref="B112" ca="1">INDEX(Data_DBD!$B:$B,$A112)</f>
        <v>13</v>
      </c>
      <c r="C112" s="32" cm="1">
        <f t="array" aca="1" ref="C112" ca="1">INDEX(Data_DBD!$C:$C,$A112)</f>
        <v>3</v>
      </c>
      <c r="D112" s="32" cm="1">
        <f t="array" aca="1" ref="D112" ca="1">INDEX(Data_DBD!$D:$D,$A112)</f>
        <v>33</v>
      </c>
      <c r="E112" s="32" cm="1">
        <f t="array" aca="1" ref="E112" ca="1">INDEX(Data_DBD!$E:$E,$A112)</f>
        <v>1</v>
      </c>
      <c r="F112" s="32" cm="1">
        <f t="array" aca="1" ref="F112" ca="1">INDEX(Data_DBD!$F:$F,$A112)</f>
        <v>3</v>
      </c>
      <c r="H112" s="32">
        <v>73</v>
      </c>
      <c r="I112" s="32">
        <v>15</v>
      </c>
      <c r="J112" s="32">
        <v>3</v>
      </c>
      <c r="K112" s="32">
        <v>10</v>
      </c>
      <c r="L112" s="32">
        <v>1</v>
      </c>
      <c r="M112" s="32">
        <v>2</v>
      </c>
    </row>
    <row r="113" spans="1:13">
      <c r="A113" s="32">
        <f t="shared" ca="1" si="1"/>
        <v>135</v>
      </c>
      <c r="B113" s="32" cm="1">
        <f t="array" aca="1" ref="B113" ca="1">INDEX(Data_DBD!$B:$B,$A113)</f>
        <v>10</v>
      </c>
      <c r="C113" s="32" cm="1">
        <f t="array" aca="1" ref="C113" ca="1">INDEX(Data_DBD!$C:$C,$A113)</f>
        <v>2</v>
      </c>
      <c r="D113" s="32" cm="1">
        <f t="array" aca="1" ref="D113" ca="1">INDEX(Data_DBD!$D:$D,$A113)</f>
        <v>33</v>
      </c>
      <c r="E113" s="32" cm="1">
        <f t="array" aca="1" ref="E113" ca="1">INDEX(Data_DBD!$E:$E,$A113)</f>
        <v>0</v>
      </c>
      <c r="F113" s="32" cm="1">
        <f t="array" aca="1" ref="F113" ca="1">INDEX(Data_DBD!$F:$F,$A113)</f>
        <v>3</v>
      </c>
      <c r="H113" s="32">
        <v>40</v>
      </c>
      <c r="I113" s="32">
        <v>65</v>
      </c>
      <c r="J113" s="32">
        <v>3</v>
      </c>
      <c r="K113" s="32">
        <v>13</v>
      </c>
      <c r="L113" s="32">
        <v>1</v>
      </c>
      <c r="M113" s="32">
        <v>2</v>
      </c>
    </row>
    <row r="114" spans="1:13">
      <c r="A114" s="32">
        <f t="shared" ca="1" si="1"/>
        <v>164</v>
      </c>
      <c r="B114" s="32" cm="1">
        <f t="array" aca="1" ref="B114" ca="1">INDEX(Data_DBD!$B:$B,$A114)</f>
        <v>10</v>
      </c>
      <c r="C114" s="32" cm="1">
        <f t="array" aca="1" ref="C114" ca="1">INDEX(Data_DBD!$C:$C,$A114)</f>
        <v>6</v>
      </c>
      <c r="D114" s="32" cm="1">
        <f t="array" aca="1" ref="D114" ca="1">INDEX(Data_DBD!$D:$D,$A114)</f>
        <v>3</v>
      </c>
      <c r="E114" s="32" cm="1">
        <f t="array" aca="1" ref="E114" ca="1">INDEX(Data_DBD!$E:$E,$A114)</f>
        <v>0</v>
      </c>
      <c r="F114" s="32" cm="1">
        <f t="array" aca="1" ref="F114" ca="1">INDEX(Data_DBD!$F:$F,$A114)</f>
        <v>1</v>
      </c>
      <c r="H114" s="32">
        <v>148</v>
      </c>
      <c r="I114" s="32">
        <v>55</v>
      </c>
      <c r="J114" s="32">
        <v>3</v>
      </c>
      <c r="K114" s="32">
        <v>21</v>
      </c>
      <c r="L114" s="32">
        <v>1</v>
      </c>
      <c r="M114" s="32">
        <v>3</v>
      </c>
    </row>
    <row r="115" spans="1:13">
      <c r="A115" s="32">
        <f t="shared" ca="1" si="1"/>
        <v>145</v>
      </c>
      <c r="B115" s="32" cm="1">
        <f t="array" aca="1" ref="B115" ca="1">INDEX(Data_DBD!$B:$B,$A115)</f>
        <v>28</v>
      </c>
      <c r="C115" s="32" cm="1">
        <f t="array" aca="1" ref="C115" ca="1">INDEX(Data_DBD!$C:$C,$A115)</f>
        <v>4</v>
      </c>
      <c r="D115" s="32" cm="1">
        <f t="array" aca="1" ref="D115" ca="1">INDEX(Data_DBD!$D:$D,$A115)</f>
        <v>21</v>
      </c>
      <c r="E115" s="32" cm="1">
        <f t="array" aca="1" ref="E115" ca="1">INDEX(Data_DBD!$E:$E,$A115)</f>
        <v>1</v>
      </c>
      <c r="F115" s="32" cm="1">
        <f t="array" aca="1" ref="F115" ca="1">INDEX(Data_DBD!$F:$F,$A115)</f>
        <v>3</v>
      </c>
      <c r="H115" s="32">
        <v>27</v>
      </c>
      <c r="I115" s="32">
        <v>37</v>
      </c>
      <c r="J115" s="32">
        <v>4</v>
      </c>
      <c r="K115" s="32">
        <v>14</v>
      </c>
      <c r="L115" s="32">
        <v>1</v>
      </c>
      <c r="M115" s="32">
        <v>2</v>
      </c>
    </row>
    <row r="116" spans="1:13">
      <c r="A116" s="32">
        <f t="shared" ca="1" si="1"/>
        <v>23</v>
      </c>
      <c r="B116" s="32" cm="1">
        <f t="array" aca="1" ref="B116" ca="1">INDEX(Data_DBD!$B:$B,$A116)</f>
        <v>28</v>
      </c>
      <c r="C116" s="32" cm="1">
        <f t="array" aca="1" ref="C116" ca="1">INDEX(Data_DBD!$C:$C,$A116)</f>
        <v>4</v>
      </c>
      <c r="D116" s="32" cm="1">
        <f t="array" aca="1" ref="D116" ca="1">INDEX(Data_DBD!$D:$D,$A116)</f>
        <v>14</v>
      </c>
      <c r="E116" s="32" cm="1">
        <f t="array" aca="1" ref="E116" ca="1">INDEX(Data_DBD!$E:$E,$A116)</f>
        <v>1</v>
      </c>
      <c r="F116" s="32" cm="1">
        <f t="array" aca="1" ref="F116" ca="1">INDEX(Data_DBD!$F:$F,$A116)</f>
        <v>2</v>
      </c>
      <c r="H116" s="32">
        <v>127</v>
      </c>
      <c r="I116" s="32">
        <v>21</v>
      </c>
      <c r="J116" s="32">
        <v>2</v>
      </c>
      <c r="K116" s="32">
        <v>33</v>
      </c>
      <c r="L116" s="32">
        <v>0</v>
      </c>
      <c r="M116" s="32">
        <v>3</v>
      </c>
    </row>
    <row r="117" spans="1:13">
      <c r="A117" s="32">
        <f t="shared" ca="1" si="1"/>
        <v>15</v>
      </c>
      <c r="B117" s="32" cm="1">
        <f t="array" aca="1" ref="B117" ca="1">INDEX(Data_DBD!$B:$B,$A117)</f>
        <v>21</v>
      </c>
      <c r="C117" s="32" cm="1">
        <f t="array" aca="1" ref="C117" ca="1">INDEX(Data_DBD!$C:$C,$A117)</f>
        <v>2</v>
      </c>
      <c r="D117" s="32" cm="1">
        <f t="array" aca="1" ref="D117" ca="1">INDEX(Data_DBD!$D:$D,$A117)</f>
        <v>7</v>
      </c>
      <c r="E117" s="32" cm="1">
        <f t="array" aca="1" ref="E117" ca="1">INDEX(Data_DBD!$E:$E,$A117)</f>
        <v>0</v>
      </c>
      <c r="F117" s="32" cm="1">
        <f t="array" aca="1" ref="F117" ca="1">INDEX(Data_DBD!$F:$F,$A117)</f>
        <v>1</v>
      </c>
      <c r="H117" s="32">
        <v>37</v>
      </c>
      <c r="I117" s="32">
        <v>28</v>
      </c>
      <c r="J117" s="32">
        <v>4</v>
      </c>
      <c r="K117" s="32">
        <v>4</v>
      </c>
      <c r="L117" s="32">
        <v>1</v>
      </c>
      <c r="M117" s="32">
        <v>1</v>
      </c>
    </row>
    <row r="118" spans="1:13">
      <c r="A118" s="32">
        <f t="shared" ca="1" si="1"/>
        <v>110</v>
      </c>
      <c r="B118" s="32" cm="1">
        <f t="array" aca="1" ref="B118" ca="1">INDEX(Data_DBD!$B:$B,$A118)</f>
        <v>42</v>
      </c>
      <c r="C118" s="32" cm="1">
        <f t="array" aca="1" ref="C118" ca="1">INDEX(Data_DBD!$C:$C,$A118)</f>
        <v>2</v>
      </c>
      <c r="D118" s="32" cm="1">
        <f t="array" aca="1" ref="D118" ca="1">INDEX(Data_DBD!$D:$D,$A118)</f>
        <v>33</v>
      </c>
      <c r="E118" s="32" cm="1">
        <f t="array" aca="1" ref="E118" ca="1">INDEX(Data_DBD!$E:$E,$A118)</f>
        <v>1</v>
      </c>
      <c r="F118" s="32" cm="1">
        <f t="array" aca="1" ref="F118" ca="1">INDEX(Data_DBD!$F:$F,$A118)</f>
        <v>3</v>
      </c>
      <c r="H118" s="32">
        <v>71</v>
      </c>
      <c r="I118" s="32">
        <v>84</v>
      </c>
      <c r="J118" s="32">
        <v>3</v>
      </c>
      <c r="K118" s="32">
        <v>10</v>
      </c>
      <c r="L118" s="32">
        <v>0</v>
      </c>
      <c r="M118" s="32">
        <v>2</v>
      </c>
    </row>
    <row r="119" spans="1:13">
      <c r="A119" s="32">
        <f t="shared" ca="1" si="1"/>
        <v>98</v>
      </c>
      <c r="B119" s="32" cm="1">
        <f t="array" aca="1" ref="B119" ca="1">INDEX(Data_DBD!$B:$B,$A119)</f>
        <v>16</v>
      </c>
      <c r="C119" s="32" cm="1">
        <f t="array" aca="1" ref="C119" ca="1">INDEX(Data_DBD!$C:$C,$A119)</f>
        <v>2</v>
      </c>
      <c r="D119" s="32" cm="1">
        <f t="array" aca="1" ref="D119" ca="1">INDEX(Data_DBD!$D:$D,$A119)</f>
        <v>18</v>
      </c>
      <c r="E119" s="32" cm="1">
        <f t="array" aca="1" ref="E119" ca="1">INDEX(Data_DBD!$E:$E,$A119)</f>
        <v>1</v>
      </c>
      <c r="F119" s="32" cm="1">
        <f t="array" aca="1" ref="F119" ca="1">INDEX(Data_DBD!$F:$F,$A119)</f>
        <v>3</v>
      </c>
      <c r="H119" s="32">
        <v>120</v>
      </c>
      <c r="I119" s="32">
        <v>26</v>
      </c>
      <c r="J119" s="32">
        <v>4</v>
      </c>
      <c r="K119" s="32">
        <v>33</v>
      </c>
      <c r="L119" s="32">
        <v>1</v>
      </c>
      <c r="M119" s="32">
        <v>3</v>
      </c>
    </row>
    <row r="120" spans="1:13">
      <c r="A120" s="32">
        <f t="shared" ca="1" si="1"/>
        <v>63</v>
      </c>
      <c r="B120" s="32" cm="1">
        <f t="array" aca="1" ref="B120" ca="1">INDEX(Data_DBD!$B:$B,$A120)</f>
        <v>25</v>
      </c>
      <c r="C120" s="32" cm="1">
        <f t="array" aca="1" ref="C120" ca="1">INDEX(Data_DBD!$C:$C,$A120)</f>
        <v>3</v>
      </c>
      <c r="D120" s="32" cm="1">
        <f t="array" aca="1" ref="D120" ca="1">INDEX(Data_DBD!$D:$D,$A120)</f>
        <v>15</v>
      </c>
      <c r="E120" s="32" cm="1">
        <f t="array" aca="1" ref="E120" ca="1">INDEX(Data_DBD!$E:$E,$A120)</f>
        <v>0</v>
      </c>
      <c r="F120" s="32" cm="1">
        <f t="array" aca="1" ref="F120" ca="1">INDEX(Data_DBD!$F:$F,$A120)</f>
        <v>2</v>
      </c>
      <c r="H120" s="32">
        <v>94</v>
      </c>
      <c r="I120" s="32">
        <v>12</v>
      </c>
      <c r="J120" s="32">
        <v>4</v>
      </c>
      <c r="K120" s="32">
        <v>18</v>
      </c>
      <c r="L120" s="32">
        <v>0</v>
      </c>
      <c r="M120" s="32">
        <v>3</v>
      </c>
    </row>
    <row r="121" spans="1:13">
      <c r="A121" s="32">
        <f t="shared" ca="1" si="1"/>
        <v>55</v>
      </c>
      <c r="B121" s="32" cm="1">
        <f t="array" aca="1" ref="B121" ca="1">INDEX(Data_DBD!$B:$B,$A121)</f>
        <v>7</v>
      </c>
      <c r="C121" s="32" cm="1">
        <f t="array" aca="1" ref="C121" ca="1">INDEX(Data_DBD!$C:$C,$A121)</f>
        <v>4</v>
      </c>
      <c r="D121" s="32" cm="1">
        <f t="array" aca="1" ref="D121" ca="1">INDEX(Data_DBD!$D:$D,$A121)</f>
        <v>15</v>
      </c>
      <c r="E121" s="32" cm="1">
        <f t="array" aca="1" ref="E121" ca="1">INDEX(Data_DBD!$E:$E,$A121)</f>
        <v>1</v>
      </c>
      <c r="F121" s="32" cm="1">
        <f t="array" aca="1" ref="F121" ca="1">INDEX(Data_DBD!$F:$F,$A121)</f>
        <v>2</v>
      </c>
      <c r="H121" s="32">
        <v>91</v>
      </c>
      <c r="I121" s="32">
        <v>35</v>
      </c>
      <c r="J121" s="32">
        <v>1</v>
      </c>
      <c r="K121" s="32">
        <v>18</v>
      </c>
      <c r="L121" s="32">
        <v>1</v>
      </c>
      <c r="M121" s="32">
        <v>3</v>
      </c>
    </row>
    <row r="122" spans="1:13">
      <c r="A122" s="32">
        <f t="shared" ca="1" si="1"/>
        <v>10</v>
      </c>
      <c r="B122" s="32" cm="1">
        <f t="array" aca="1" ref="B122" ca="1">INDEX(Data_DBD!$B:$B,$A122)</f>
        <v>18</v>
      </c>
      <c r="C122" s="32" cm="1">
        <f t="array" aca="1" ref="C122" ca="1">INDEX(Data_DBD!$C:$C,$A122)</f>
        <v>5</v>
      </c>
      <c r="D122" s="32" cm="1">
        <f t="array" aca="1" ref="D122" ca="1">INDEX(Data_DBD!$D:$D,$A122)</f>
        <v>12</v>
      </c>
      <c r="E122" s="32" cm="1">
        <f t="array" aca="1" ref="E122" ca="1">INDEX(Data_DBD!$E:$E,$A122)</f>
        <v>0</v>
      </c>
      <c r="F122" s="32" cm="1">
        <f t="array" aca="1" ref="F122" ca="1">INDEX(Data_DBD!$F:$F,$A122)</f>
        <v>2</v>
      </c>
      <c r="H122" s="32">
        <v>12</v>
      </c>
      <c r="I122" s="32">
        <v>23</v>
      </c>
      <c r="J122" s="32">
        <v>3</v>
      </c>
      <c r="K122" s="32">
        <v>12</v>
      </c>
      <c r="L122" s="32">
        <v>0</v>
      </c>
      <c r="M122" s="32">
        <v>2</v>
      </c>
    </row>
    <row r="123" spans="1:13">
      <c r="A123" s="32">
        <f t="shared" ca="1" si="1"/>
        <v>107</v>
      </c>
      <c r="B123" s="32" cm="1">
        <f t="array" aca="1" ref="B123" ca="1">INDEX(Data_DBD!$B:$B,$A123)</f>
        <v>48</v>
      </c>
      <c r="C123" s="32" cm="1">
        <f t="array" aca="1" ref="C123" ca="1">INDEX(Data_DBD!$C:$C,$A123)</f>
        <v>5</v>
      </c>
      <c r="D123" s="32" cm="1">
        <f t="array" aca="1" ref="D123" ca="1">INDEX(Data_DBD!$D:$D,$A123)</f>
        <v>18</v>
      </c>
      <c r="E123" s="32" cm="1">
        <f t="array" aca="1" ref="E123" ca="1">INDEX(Data_DBD!$E:$E,$A123)</f>
        <v>0</v>
      </c>
      <c r="F123" s="32" cm="1">
        <f t="array" aca="1" ref="F123" ca="1">INDEX(Data_DBD!$F:$F,$A123)</f>
        <v>3</v>
      </c>
      <c r="H123" s="32">
        <v>157</v>
      </c>
      <c r="I123" s="32">
        <v>15</v>
      </c>
      <c r="J123" s="32">
        <v>4</v>
      </c>
      <c r="K123" s="32">
        <v>21</v>
      </c>
      <c r="L123" s="32">
        <v>1</v>
      </c>
      <c r="M123" s="32">
        <v>3</v>
      </c>
    </row>
    <row r="124" spans="1:13">
      <c r="A124" s="32">
        <f t="shared" ca="1" si="1"/>
        <v>15</v>
      </c>
      <c r="B124" s="32" cm="1">
        <f t="array" aca="1" ref="B124" ca="1">INDEX(Data_DBD!$B:$B,$A124)</f>
        <v>21</v>
      </c>
      <c r="C124" s="32" cm="1">
        <f t="array" aca="1" ref="C124" ca="1">INDEX(Data_DBD!$C:$C,$A124)</f>
        <v>2</v>
      </c>
      <c r="D124" s="32" cm="1">
        <f t="array" aca="1" ref="D124" ca="1">INDEX(Data_DBD!$D:$D,$A124)</f>
        <v>7</v>
      </c>
      <c r="E124" s="32" cm="1">
        <f t="array" aca="1" ref="E124" ca="1">INDEX(Data_DBD!$E:$E,$A124)</f>
        <v>0</v>
      </c>
      <c r="F124" s="32" cm="1">
        <f t="array" aca="1" ref="F124" ca="1">INDEX(Data_DBD!$F:$F,$A124)</f>
        <v>1</v>
      </c>
      <c r="H124" s="32">
        <v>2</v>
      </c>
      <c r="I124" s="32">
        <v>34</v>
      </c>
      <c r="J124" s="32">
        <v>3</v>
      </c>
      <c r="K124" s="32">
        <v>12</v>
      </c>
      <c r="L124" s="32">
        <v>0</v>
      </c>
      <c r="M124" s="32">
        <v>2</v>
      </c>
    </row>
    <row r="125" spans="1:13">
      <c r="A125" s="32">
        <f t="shared" ca="1" si="1"/>
        <v>126</v>
      </c>
      <c r="B125" s="32" cm="1">
        <f t="array" aca="1" ref="B125" ca="1">INDEX(Data_DBD!$B:$B,$A125)</f>
        <v>51</v>
      </c>
      <c r="C125" s="32" cm="1">
        <f t="array" aca="1" ref="C125" ca="1">INDEX(Data_DBD!$C:$C,$A125)</f>
        <v>3</v>
      </c>
      <c r="D125" s="32" cm="1">
        <f t="array" aca="1" ref="D125" ca="1">INDEX(Data_DBD!$D:$D,$A125)</f>
        <v>33</v>
      </c>
      <c r="E125" s="32" cm="1">
        <f t="array" aca="1" ref="E125" ca="1">INDEX(Data_DBD!$E:$E,$A125)</f>
        <v>1</v>
      </c>
      <c r="F125" s="32" cm="1">
        <f t="array" aca="1" ref="F125" ca="1">INDEX(Data_DBD!$F:$F,$A125)</f>
        <v>3</v>
      </c>
      <c r="H125" s="32">
        <v>121</v>
      </c>
      <c r="I125" s="32">
        <v>82</v>
      </c>
      <c r="J125" s="32">
        <v>5</v>
      </c>
      <c r="K125" s="32">
        <v>33</v>
      </c>
      <c r="L125" s="32">
        <v>1</v>
      </c>
      <c r="M125" s="32">
        <v>3</v>
      </c>
    </row>
    <row r="126" spans="1:13">
      <c r="A126" s="32">
        <f t="shared" ca="1" si="1"/>
        <v>5</v>
      </c>
      <c r="B126" s="32" cm="1">
        <f t="array" aca="1" ref="B126" ca="1">INDEX(Data_DBD!$B:$B,$A126)</f>
        <v>18</v>
      </c>
      <c r="C126" s="32" cm="1">
        <f t="array" aca="1" ref="C126" ca="1">INDEX(Data_DBD!$C:$C,$A126)</f>
        <v>2</v>
      </c>
      <c r="D126" s="32" cm="1">
        <f t="array" aca="1" ref="D126" ca="1">INDEX(Data_DBD!$D:$D,$A126)</f>
        <v>12</v>
      </c>
      <c r="E126" s="32" cm="1">
        <f t="array" aca="1" ref="E126" ca="1">INDEX(Data_DBD!$E:$E,$A126)</f>
        <v>1</v>
      </c>
      <c r="F126" s="32" cm="1">
        <f t="array" aca="1" ref="F126" ca="1">INDEX(Data_DBD!$F:$F,$A126)</f>
        <v>2</v>
      </c>
      <c r="H126" s="32">
        <v>2</v>
      </c>
      <c r="I126" s="32">
        <v>34</v>
      </c>
      <c r="J126" s="32">
        <v>3</v>
      </c>
      <c r="K126" s="32">
        <v>12</v>
      </c>
      <c r="L126" s="32">
        <v>0</v>
      </c>
      <c r="M126" s="32">
        <v>2</v>
      </c>
    </row>
    <row r="127" spans="1:13">
      <c r="A127" s="32">
        <f t="shared" ca="1" si="1"/>
        <v>127</v>
      </c>
      <c r="B127" s="32" cm="1">
        <f t="array" aca="1" ref="B127" ca="1">INDEX(Data_DBD!$B:$B,$A127)</f>
        <v>21</v>
      </c>
      <c r="C127" s="32" cm="1">
        <f t="array" aca="1" ref="C127" ca="1">INDEX(Data_DBD!$C:$C,$A127)</f>
        <v>2</v>
      </c>
      <c r="D127" s="32" cm="1">
        <f t="array" aca="1" ref="D127" ca="1">INDEX(Data_DBD!$D:$D,$A127)</f>
        <v>33</v>
      </c>
      <c r="E127" s="32" cm="1">
        <f t="array" aca="1" ref="E127" ca="1">INDEX(Data_DBD!$E:$E,$A127)</f>
        <v>0</v>
      </c>
      <c r="F127" s="32" cm="1">
        <f t="array" aca="1" ref="F127" ca="1">INDEX(Data_DBD!$F:$F,$A127)</f>
        <v>3</v>
      </c>
      <c r="H127" s="32">
        <v>81</v>
      </c>
      <c r="I127" s="32">
        <v>23</v>
      </c>
      <c r="J127" s="32">
        <v>5</v>
      </c>
      <c r="K127" s="32">
        <v>13</v>
      </c>
      <c r="L127" s="32">
        <v>1</v>
      </c>
      <c r="M127" s="32">
        <v>2</v>
      </c>
    </row>
    <row r="128" spans="1:13">
      <c r="A128" s="32">
        <f t="shared" ca="1" si="1"/>
        <v>34</v>
      </c>
      <c r="B128" s="32" cm="1">
        <f t="array" aca="1" ref="B128" ca="1">INDEX(Data_DBD!$B:$B,$A128)</f>
        <v>55</v>
      </c>
      <c r="C128" s="32" cm="1">
        <f t="array" aca="1" ref="C128" ca="1">INDEX(Data_DBD!$C:$C,$A128)</f>
        <v>3</v>
      </c>
      <c r="D128" s="32" cm="1">
        <f t="array" aca="1" ref="D128" ca="1">INDEX(Data_DBD!$D:$D,$A128)</f>
        <v>14</v>
      </c>
      <c r="E128" s="32" cm="1">
        <f t="array" aca="1" ref="E128" ca="1">INDEX(Data_DBD!$E:$E,$A128)</f>
        <v>0</v>
      </c>
      <c r="F128" s="32" cm="1">
        <f t="array" aca="1" ref="F128" ca="1">INDEX(Data_DBD!$F:$F,$A128)</f>
        <v>2</v>
      </c>
      <c r="H128" s="32">
        <v>164</v>
      </c>
      <c r="I128" s="32">
        <v>10</v>
      </c>
      <c r="J128" s="32">
        <v>6</v>
      </c>
      <c r="K128" s="32">
        <v>3</v>
      </c>
      <c r="L128" s="32">
        <v>0</v>
      </c>
      <c r="M128" s="32">
        <v>1</v>
      </c>
    </row>
    <row r="129" spans="1:13">
      <c r="A129" s="32">
        <f t="shared" ca="1" si="1"/>
        <v>118</v>
      </c>
      <c r="B129" s="32" cm="1">
        <f t="array" aca="1" ref="B129" ca="1">INDEX(Data_DBD!$B:$B,$A129)</f>
        <v>67</v>
      </c>
      <c r="C129" s="32" cm="1">
        <f t="array" aca="1" ref="C129" ca="1">INDEX(Data_DBD!$C:$C,$A129)</f>
        <v>4</v>
      </c>
      <c r="D129" s="32" cm="1">
        <f t="array" aca="1" ref="D129" ca="1">INDEX(Data_DBD!$D:$D,$A129)</f>
        <v>33</v>
      </c>
      <c r="E129" s="32" cm="1">
        <f t="array" aca="1" ref="E129" ca="1">INDEX(Data_DBD!$E:$E,$A129)</f>
        <v>1</v>
      </c>
      <c r="F129" s="32" cm="1">
        <f t="array" aca="1" ref="F129" ca="1">INDEX(Data_DBD!$F:$F,$A129)</f>
        <v>3</v>
      </c>
      <c r="H129" s="32">
        <v>80</v>
      </c>
      <c r="I129" s="32">
        <v>27</v>
      </c>
      <c r="J129" s="32">
        <v>3</v>
      </c>
      <c r="K129" s="32">
        <v>13</v>
      </c>
      <c r="L129" s="32">
        <v>1</v>
      </c>
      <c r="M129" s="32">
        <v>2</v>
      </c>
    </row>
    <row r="130" spans="1:13">
      <c r="A130" s="32">
        <f t="shared" ca="1" si="1"/>
        <v>110</v>
      </c>
      <c r="B130" s="32" cm="1">
        <f t="array" aca="1" ref="B130" ca="1">INDEX(Data_DBD!$B:$B,$A130)</f>
        <v>42</v>
      </c>
      <c r="C130" s="32" cm="1">
        <f t="array" aca="1" ref="C130" ca="1">INDEX(Data_DBD!$C:$C,$A130)</f>
        <v>2</v>
      </c>
      <c r="D130" s="32" cm="1">
        <f t="array" aca="1" ref="D130" ca="1">INDEX(Data_DBD!$D:$D,$A130)</f>
        <v>33</v>
      </c>
      <c r="E130" s="32" cm="1">
        <f t="array" aca="1" ref="E130" ca="1">INDEX(Data_DBD!$E:$E,$A130)</f>
        <v>1</v>
      </c>
      <c r="F130" s="32" cm="1">
        <f t="array" aca="1" ref="F130" ca="1">INDEX(Data_DBD!$F:$F,$A130)</f>
        <v>3</v>
      </c>
      <c r="H130" s="32">
        <v>8</v>
      </c>
      <c r="I130" s="32">
        <v>4</v>
      </c>
      <c r="J130" s="32">
        <v>2</v>
      </c>
      <c r="K130" s="32">
        <v>12</v>
      </c>
      <c r="L130" s="32">
        <v>0</v>
      </c>
      <c r="M130" s="32">
        <v>2</v>
      </c>
    </row>
    <row r="131" spans="1:13">
      <c r="A131" s="32">
        <f t="shared" ref="A131:A164" ca="1" si="2">RANDBETWEEN(2,164)</f>
        <v>86</v>
      </c>
      <c r="B131" s="32" cm="1">
        <f t="array" aca="1" ref="B131" ca="1">INDEX(Data_DBD!$B:$B,$A131)</f>
        <v>23</v>
      </c>
      <c r="C131" s="32" cm="1">
        <f t="array" aca="1" ref="C131" ca="1">INDEX(Data_DBD!$C:$C,$A131)</f>
        <v>3</v>
      </c>
      <c r="D131" s="32" cm="1">
        <f t="array" aca="1" ref="D131" ca="1">INDEX(Data_DBD!$D:$D,$A131)</f>
        <v>13</v>
      </c>
      <c r="E131" s="32" cm="1">
        <f t="array" aca="1" ref="E131" ca="1">INDEX(Data_DBD!$E:$E,$A131)</f>
        <v>0</v>
      </c>
      <c r="F131" s="32" cm="1">
        <f t="array" aca="1" ref="F131" ca="1">INDEX(Data_DBD!$F:$F,$A131)</f>
        <v>2</v>
      </c>
      <c r="H131" s="32">
        <v>87</v>
      </c>
      <c r="I131" s="32">
        <v>21</v>
      </c>
      <c r="J131" s="32">
        <v>3</v>
      </c>
      <c r="K131" s="32">
        <v>13</v>
      </c>
      <c r="L131" s="32">
        <v>0</v>
      </c>
      <c r="M131" s="32">
        <v>2</v>
      </c>
    </row>
    <row r="132" spans="1:13">
      <c r="A132" s="32">
        <f t="shared" ca="1" si="2"/>
        <v>112</v>
      </c>
      <c r="B132" s="32" cm="1">
        <f t="array" aca="1" ref="B132" ca="1">INDEX(Data_DBD!$B:$B,$A132)</f>
        <v>61</v>
      </c>
      <c r="C132" s="32" cm="1">
        <f t="array" aca="1" ref="C132" ca="1">INDEX(Data_DBD!$C:$C,$A132)</f>
        <v>3</v>
      </c>
      <c r="D132" s="32" cm="1">
        <f t="array" aca="1" ref="D132" ca="1">INDEX(Data_DBD!$D:$D,$A132)</f>
        <v>33</v>
      </c>
      <c r="E132" s="32" cm="1">
        <f t="array" aca="1" ref="E132" ca="1">INDEX(Data_DBD!$E:$E,$A132)</f>
        <v>1</v>
      </c>
      <c r="F132" s="32" cm="1">
        <f t="array" aca="1" ref="F132" ca="1">INDEX(Data_DBD!$F:$F,$A132)</f>
        <v>3</v>
      </c>
      <c r="H132" s="32">
        <v>141</v>
      </c>
      <c r="I132" s="32">
        <v>36</v>
      </c>
      <c r="J132" s="32">
        <v>2</v>
      </c>
      <c r="K132" s="32">
        <v>21</v>
      </c>
      <c r="L132" s="32">
        <v>0</v>
      </c>
      <c r="M132" s="32">
        <v>3</v>
      </c>
    </row>
    <row r="133" spans="1:13">
      <c r="A133" s="32">
        <f t="shared" ca="1" si="2"/>
        <v>138</v>
      </c>
      <c r="B133" s="32" cm="1">
        <f t="array" aca="1" ref="B133" ca="1">INDEX(Data_DBD!$B:$B,$A133)</f>
        <v>13</v>
      </c>
      <c r="C133" s="32" cm="1">
        <f t="array" aca="1" ref="C133" ca="1">INDEX(Data_DBD!$C:$C,$A133)</f>
        <v>3</v>
      </c>
      <c r="D133" s="32" cm="1">
        <f t="array" aca="1" ref="D133" ca="1">INDEX(Data_DBD!$D:$D,$A133)</f>
        <v>33</v>
      </c>
      <c r="E133" s="32" cm="1">
        <f t="array" aca="1" ref="E133" ca="1">INDEX(Data_DBD!$E:$E,$A133)</f>
        <v>1</v>
      </c>
      <c r="F133" s="32" cm="1">
        <f t="array" aca="1" ref="F133" ca="1">INDEX(Data_DBD!$F:$F,$A133)</f>
        <v>3</v>
      </c>
      <c r="H133" s="32">
        <v>130</v>
      </c>
      <c r="I133" s="32">
        <v>12</v>
      </c>
      <c r="J133" s="32">
        <v>4</v>
      </c>
      <c r="K133" s="32">
        <v>33</v>
      </c>
      <c r="L133" s="32">
        <v>0</v>
      </c>
      <c r="M133" s="32">
        <v>3</v>
      </c>
    </row>
    <row r="134" spans="1:13">
      <c r="A134" s="32">
        <f t="shared" ca="1" si="2"/>
        <v>27</v>
      </c>
      <c r="B134" s="32" cm="1">
        <f t="array" aca="1" ref="B134" ca="1">INDEX(Data_DBD!$B:$B,$A134)</f>
        <v>37</v>
      </c>
      <c r="C134" s="32" cm="1">
        <f t="array" aca="1" ref="C134" ca="1">INDEX(Data_DBD!$C:$C,$A134)</f>
        <v>4</v>
      </c>
      <c r="D134" s="32" cm="1">
        <f t="array" aca="1" ref="D134" ca="1">INDEX(Data_DBD!$D:$D,$A134)</f>
        <v>14</v>
      </c>
      <c r="E134" s="32" cm="1">
        <f t="array" aca="1" ref="E134" ca="1">INDEX(Data_DBD!$E:$E,$A134)</f>
        <v>1</v>
      </c>
      <c r="F134" s="32" cm="1">
        <f t="array" aca="1" ref="F134" ca="1">INDEX(Data_DBD!$F:$F,$A134)</f>
        <v>2</v>
      </c>
      <c r="H134" s="32">
        <v>10</v>
      </c>
      <c r="I134" s="32">
        <v>18</v>
      </c>
      <c r="J134" s="32">
        <v>5</v>
      </c>
      <c r="K134" s="32">
        <v>12</v>
      </c>
      <c r="L134" s="32">
        <v>0</v>
      </c>
      <c r="M134" s="32">
        <v>2</v>
      </c>
    </row>
    <row r="135" spans="1:13">
      <c r="A135" s="32">
        <f t="shared" ca="1" si="2"/>
        <v>119</v>
      </c>
      <c r="B135" s="32" cm="1">
        <f t="array" aca="1" ref="B135" ca="1">INDEX(Data_DBD!$B:$B,$A135)</f>
        <v>30</v>
      </c>
      <c r="C135" s="32" cm="1">
        <f t="array" aca="1" ref="C135" ca="1">INDEX(Data_DBD!$C:$C,$A135)</f>
        <v>7</v>
      </c>
      <c r="D135" s="32" cm="1">
        <f t="array" aca="1" ref="D135" ca="1">INDEX(Data_DBD!$D:$D,$A135)</f>
        <v>33</v>
      </c>
      <c r="E135" s="32" cm="1">
        <f t="array" aca="1" ref="E135" ca="1">INDEX(Data_DBD!$E:$E,$A135)</f>
        <v>0</v>
      </c>
      <c r="F135" s="32" cm="1">
        <f t="array" aca="1" ref="F135" ca="1">INDEX(Data_DBD!$F:$F,$A135)</f>
        <v>3</v>
      </c>
      <c r="H135" s="32">
        <v>85</v>
      </c>
      <c r="I135" s="32">
        <v>27</v>
      </c>
      <c r="J135" s="32">
        <v>9</v>
      </c>
      <c r="K135" s="32">
        <v>13</v>
      </c>
      <c r="L135" s="32">
        <v>0</v>
      </c>
      <c r="M135" s="32">
        <v>2</v>
      </c>
    </row>
    <row r="136" spans="1:13">
      <c r="A136" s="32">
        <f t="shared" ca="1" si="2"/>
        <v>133</v>
      </c>
      <c r="B136" s="32" cm="1">
        <f t="array" aca="1" ref="B136" ca="1">INDEX(Data_DBD!$B:$B,$A136)</f>
        <v>6</v>
      </c>
      <c r="C136" s="32" cm="1">
        <f t="array" aca="1" ref="C136" ca="1">INDEX(Data_DBD!$C:$C,$A136)</f>
        <v>4</v>
      </c>
      <c r="D136" s="32" cm="1">
        <f t="array" aca="1" ref="D136" ca="1">INDEX(Data_DBD!$D:$D,$A136)</f>
        <v>33</v>
      </c>
      <c r="E136" s="32" cm="1">
        <f t="array" aca="1" ref="E136" ca="1">INDEX(Data_DBD!$E:$E,$A136)</f>
        <v>0</v>
      </c>
      <c r="F136" s="32" cm="1">
        <f t="array" aca="1" ref="F136" ca="1">INDEX(Data_DBD!$F:$F,$A136)</f>
        <v>3</v>
      </c>
      <c r="H136" s="32">
        <v>117</v>
      </c>
      <c r="I136" s="32">
        <v>49</v>
      </c>
      <c r="J136" s="32">
        <v>4</v>
      </c>
      <c r="K136" s="32">
        <v>33</v>
      </c>
      <c r="L136" s="32">
        <v>1</v>
      </c>
      <c r="M136" s="32">
        <v>3</v>
      </c>
    </row>
    <row r="137" spans="1:13">
      <c r="A137" s="32">
        <f t="shared" ca="1" si="2"/>
        <v>56</v>
      </c>
      <c r="B137" s="32" cm="1">
        <f t="array" aca="1" ref="B137" ca="1">INDEX(Data_DBD!$B:$B,$A137)</f>
        <v>4</v>
      </c>
      <c r="C137" s="32" cm="1">
        <f t="array" aca="1" ref="C137" ca="1">INDEX(Data_DBD!$C:$C,$A137)</f>
        <v>3</v>
      </c>
      <c r="D137" s="32" cm="1">
        <f t="array" aca="1" ref="D137" ca="1">INDEX(Data_DBD!$D:$D,$A137)</f>
        <v>15</v>
      </c>
      <c r="E137" s="32" cm="1">
        <f t="array" aca="1" ref="E137" ca="1">INDEX(Data_DBD!$E:$E,$A137)</f>
        <v>0</v>
      </c>
      <c r="F137" s="32" cm="1">
        <f t="array" aca="1" ref="F137" ca="1">INDEX(Data_DBD!$F:$F,$A137)</f>
        <v>2</v>
      </c>
      <c r="H137" s="32">
        <v>89</v>
      </c>
      <c r="I137" s="32">
        <v>32</v>
      </c>
      <c r="J137" s="32">
        <v>4</v>
      </c>
      <c r="K137" s="32">
        <v>13</v>
      </c>
      <c r="L137" s="32">
        <v>0</v>
      </c>
      <c r="M137" s="32">
        <v>2</v>
      </c>
    </row>
    <row r="138" spans="1:13">
      <c r="A138" s="32">
        <f t="shared" ca="1" si="2"/>
        <v>86</v>
      </c>
      <c r="B138" s="32" cm="1">
        <f t="array" aca="1" ref="B138" ca="1">INDEX(Data_DBD!$B:$B,$A138)</f>
        <v>23</v>
      </c>
      <c r="C138" s="32" cm="1">
        <f t="array" aca="1" ref="C138" ca="1">INDEX(Data_DBD!$C:$C,$A138)</f>
        <v>3</v>
      </c>
      <c r="D138" s="32" cm="1">
        <f t="array" aca="1" ref="D138" ca="1">INDEX(Data_DBD!$D:$D,$A138)</f>
        <v>13</v>
      </c>
      <c r="E138" s="32" cm="1">
        <f t="array" aca="1" ref="E138" ca="1">INDEX(Data_DBD!$E:$E,$A138)</f>
        <v>0</v>
      </c>
      <c r="F138" s="32" cm="1">
        <f t="array" aca="1" ref="F138" ca="1">INDEX(Data_DBD!$F:$F,$A138)</f>
        <v>2</v>
      </c>
      <c r="H138" s="32">
        <v>21</v>
      </c>
      <c r="I138" s="32">
        <v>10</v>
      </c>
      <c r="J138" s="32">
        <v>5</v>
      </c>
      <c r="K138" s="32">
        <v>14</v>
      </c>
      <c r="L138" s="32">
        <v>1</v>
      </c>
      <c r="M138" s="32">
        <v>2</v>
      </c>
    </row>
    <row r="139" spans="1:13">
      <c r="A139" s="32">
        <f t="shared" ca="1" si="2"/>
        <v>106</v>
      </c>
      <c r="B139" s="32" cm="1">
        <f t="array" aca="1" ref="B139" ca="1">INDEX(Data_DBD!$B:$B,$A139)</f>
        <v>23</v>
      </c>
      <c r="C139" s="32" cm="1">
        <f t="array" aca="1" ref="C139" ca="1">INDEX(Data_DBD!$C:$C,$A139)</f>
        <v>3</v>
      </c>
      <c r="D139" s="32" cm="1">
        <f t="array" aca="1" ref="D139" ca="1">INDEX(Data_DBD!$D:$D,$A139)</f>
        <v>18</v>
      </c>
      <c r="E139" s="32" cm="1">
        <f t="array" aca="1" ref="E139" ca="1">INDEX(Data_DBD!$E:$E,$A139)</f>
        <v>1</v>
      </c>
      <c r="F139" s="32" cm="1">
        <f t="array" aca="1" ref="F139" ca="1">INDEX(Data_DBD!$F:$F,$A139)</f>
        <v>3</v>
      </c>
      <c r="H139" s="32">
        <v>99</v>
      </c>
      <c r="I139" s="32">
        <v>4</v>
      </c>
      <c r="J139" s="32">
        <v>2</v>
      </c>
      <c r="K139" s="32">
        <v>18</v>
      </c>
      <c r="L139" s="32">
        <v>1</v>
      </c>
      <c r="M139" s="32">
        <v>3</v>
      </c>
    </row>
    <row r="140" spans="1:13">
      <c r="A140" s="32">
        <f t="shared" ca="1" si="2"/>
        <v>103</v>
      </c>
      <c r="B140" s="32" cm="1">
        <f t="array" aca="1" ref="B140" ca="1">INDEX(Data_DBD!$B:$B,$A140)</f>
        <v>22</v>
      </c>
      <c r="C140" s="32" cm="1">
        <f t="array" aca="1" ref="C140" ca="1">INDEX(Data_DBD!$C:$C,$A140)</f>
        <v>5</v>
      </c>
      <c r="D140" s="32" cm="1">
        <f t="array" aca="1" ref="D140" ca="1">INDEX(Data_DBD!$D:$D,$A140)</f>
        <v>18</v>
      </c>
      <c r="E140" s="32" cm="1">
        <f t="array" aca="1" ref="E140" ca="1">INDEX(Data_DBD!$E:$E,$A140)</f>
        <v>0</v>
      </c>
      <c r="F140" s="32" cm="1">
        <f t="array" aca="1" ref="F140" ca="1">INDEX(Data_DBD!$F:$F,$A140)</f>
        <v>3</v>
      </c>
      <c r="H140" s="32">
        <v>130</v>
      </c>
      <c r="I140" s="32">
        <v>12</v>
      </c>
      <c r="J140" s="32">
        <v>4</v>
      </c>
      <c r="K140" s="32">
        <v>33</v>
      </c>
      <c r="L140" s="32">
        <v>0</v>
      </c>
      <c r="M140" s="32">
        <v>3</v>
      </c>
    </row>
    <row r="141" spans="1:13">
      <c r="A141" s="32">
        <f t="shared" ca="1" si="2"/>
        <v>89</v>
      </c>
      <c r="B141" s="32" cm="1">
        <f t="array" aca="1" ref="B141" ca="1">INDEX(Data_DBD!$B:$B,$A141)</f>
        <v>32</v>
      </c>
      <c r="C141" s="32" cm="1">
        <f t="array" aca="1" ref="C141" ca="1">INDEX(Data_DBD!$C:$C,$A141)</f>
        <v>4</v>
      </c>
      <c r="D141" s="32" cm="1">
        <f t="array" aca="1" ref="D141" ca="1">INDEX(Data_DBD!$D:$D,$A141)</f>
        <v>13</v>
      </c>
      <c r="E141" s="32" cm="1">
        <f t="array" aca="1" ref="E141" ca="1">INDEX(Data_DBD!$E:$E,$A141)</f>
        <v>0</v>
      </c>
      <c r="F141" s="32" cm="1">
        <f t="array" aca="1" ref="F141" ca="1">INDEX(Data_DBD!$F:$F,$A141)</f>
        <v>2</v>
      </c>
      <c r="H141" s="32">
        <v>81</v>
      </c>
      <c r="I141" s="32">
        <v>23</v>
      </c>
      <c r="J141" s="32">
        <v>5</v>
      </c>
      <c r="K141" s="32">
        <v>13</v>
      </c>
      <c r="L141" s="32">
        <v>1</v>
      </c>
      <c r="M141" s="32">
        <v>2</v>
      </c>
    </row>
    <row r="142" spans="1:13">
      <c r="A142" s="32">
        <f t="shared" ca="1" si="2"/>
        <v>150</v>
      </c>
      <c r="B142" s="32" cm="1">
        <f t="array" aca="1" ref="B142" ca="1">INDEX(Data_DBD!$B:$B,$A142)</f>
        <v>61</v>
      </c>
      <c r="C142" s="32" cm="1">
        <f t="array" aca="1" ref="C142" ca="1">INDEX(Data_DBD!$C:$C,$A142)</f>
        <v>5</v>
      </c>
      <c r="D142" s="32" cm="1">
        <f t="array" aca="1" ref="D142" ca="1">INDEX(Data_DBD!$D:$D,$A142)</f>
        <v>21</v>
      </c>
      <c r="E142" s="32" cm="1">
        <f t="array" aca="1" ref="E142" ca="1">INDEX(Data_DBD!$E:$E,$A142)</f>
        <v>1</v>
      </c>
      <c r="F142" s="32" cm="1">
        <f t="array" aca="1" ref="F142" ca="1">INDEX(Data_DBD!$F:$F,$A142)</f>
        <v>3</v>
      </c>
      <c r="H142" s="32">
        <v>146</v>
      </c>
      <c r="I142" s="32">
        <v>34</v>
      </c>
      <c r="J142" s="32">
        <v>2</v>
      </c>
      <c r="K142" s="32">
        <v>21</v>
      </c>
      <c r="L142" s="32">
        <v>1</v>
      </c>
      <c r="M142" s="32">
        <v>3</v>
      </c>
    </row>
    <row r="143" spans="1:13">
      <c r="A143" s="32">
        <f t="shared" ca="1" si="2"/>
        <v>68</v>
      </c>
      <c r="B143" s="32" cm="1">
        <f t="array" aca="1" ref="B143" ca="1">INDEX(Data_DBD!$B:$B,$A143)</f>
        <v>44</v>
      </c>
      <c r="C143" s="32" cm="1">
        <f t="array" aca="1" ref="C143" ca="1">INDEX(Data_DBD!$C:$C,$A143)</f>
        <v>5</v>
      </c>
      <c r="D143" s="32" cm="1">
        <f t="array" aca="1" ref="D143" ca="1">INDEX(Data_DBD!$D:$D,$A143)</f>
        <v>10</v>
      </c>
      <c r="E143" s="32" cm="1">
        <f t="array" aca="1" ref="E143" ca="1">INDEX(Data_DBD!$E:$E,$A143)</f>
        <v>0</v>
      </c>
      <c r="F143" s="32" cm="1">
        <f t="array" aca="1" ref="F143" ca="1">INDEX(Data_DBD!$F:$F,$A143)</f>
        <v>2</v>
      </c>
      <c r="H143" s="32">
        <v>105</v>
      </c>
      <c r="I143" s="32">
        <v>61</v>
      </c>
      <c r="J143" s="32">
        <v>3</v>
      </c>
      <c r="K143" s="32">
        <v>18</v>
      </c>
      <c r="L143" s="32">
        <v>1</v>
      </c>
      <c r="M143" s="32">
        <v>3</v>
      </c>
    </row>
    <row r="144" spans="1:13">
      <c r="A144" s="32">
        <f t="shared" ca="1" si="2"/>
        <v>84</v>
      </c>
      <c r="B144" s="32" cm="1">
        <f t="array" aca="1" ref="B144" ca="1">INDEX(Data_DBD!$B:$B,$A144)</f>
        <v>42</v>
      </c>
      <c r="C144" s="32" cm="1">
        <f t="array" aca="1" ref="C144" ca="1">INDEX(Data_DBD!$C:$C,$A144)</f>
        <v>4</v>
      </c>
      <c r="D144" s="32" cm="1">
        <f t="array" aca="1" ref="D144" ca="1">INDEX(Data_DBD!$D:$D,$A144)</f>
        <v>13</v>
      </c>
      <c r="E144" s="32" cm="1">
        <f t="array" aca="1" ref="E144" ca="1">INDEX(Data_DBD!$E:$E,$A144)</f>
        <v>1</v>
      </c>
      <c r="F144" s="32" cm="1">
        <f t="array" aca="1" ref="F144" ca="1">INDEX(Data_DBD!$F:$F,$A144)</f>
        <v>2</v>
      </c>
      <c r="H144" s="32">
        <v>3</v>
      </c>
      <c r="I144" s="32">
        <v>43</v>
      </c>
      <c r="J144" s="32">
        <v>3</v>
      </c>
      <c r="K144" s="32">
        <v>12</v>
      </c>
      <c r="L144" s="32">
        <v>1</v>
      </c>
      <c r="M144" s="32">
        <v>2</v>
      </c>
    </row>
    <row r="145" spans="1:13">
      <c r="A145" s="32">
        <f t="shared" ca="1" si="2"/>
        <v>85</v>
      </c>
      <c r="B145" s="32" cm="1">
        <f t="array" aca="1" ref="B145" ca="1">INDEX(Data_DBD!$B:$B,$A145)</f>
        <v>27</v>
      </c>
      <c r="C145" s="32" cm="1">
        <f t="array" aca="1" ref="C145" ca="1">INDEX(Data_DBD!$C:$C,$A145)</f>
        <v>9</v>
      </c>
      <c r="D145" s="32" cm="1">
        <f t="array" aca="1" ref="D145" ca="1">INDEX(Data_DBD!$D:$D,$A145)</f>
        <v>13</v>
      </c>
      <c r="E145" s="32" cm="1">
        <f t="array" aca="1" ref="E145" ca="1">INDEX(Data_DBD!$E:$E,$A145)</f>
        <v>0</v>
      </c>
      <c r="F145" s="32" cm="1">
        <f t="array" aca="1" ref="F145" ca="1">INDEX(Data_DBD!$F:$F,$A145)</f>
        <v>2</v>
      </c>
      <c r="H145" s="32">
        <v>10</v>
      </c>
      <c r="I145" s="32">
        <v>18</v>
      </c>
      <c r="J145" s="32">
        <v>5</v>
      </c>
      <c r="K145" s="32">
        <v>12</v>
      </c>
      <c r="L145" s="32">
        <v>0</v>
      </c>
      <c r="M145" s="32">
        <v>2</v>
      </c>
    </row>
    <row r="146" spans="1:13">
      <c r="A146" s="32">
        <f t="shared" ca="1" si="2"/>
        <v>30</v>
      </c>
      <c r="B146" s="32" t="str" cm="1">
        <f t="array" aca="1" ref="B146" ca="1">INDEX(Data_DBD!$B:$B,$A146)</f>
        <v>2,8</v>
      </c>
      <c r="C146" s="32" cm="1">
        <f t="array" aca="1" ref="C146" ca="1">INDEX(Data_DBD!$C:$C,$A146)</f>
        <v>2</v>
      </c>
      <c r="D146" s="32" cm="1">
        <f t="array" aca="1" ref="D146" ca="1">INDEX(Data_DBD!$D:$D,$A146)</f>
        <v>14</v>
      </c>
      <c r="E146" s="32" cm="1">
        <f t="array" aca="1" ref="E146" ca="1">INDEX(Data_DBD!$E:$E,$A146)</f>
        <v>1</v>
      </c>
      <c r="F146" s="32" cm="1">
        <f t="array" aca="1" ref="F146" ca="1">INDEX(Data_DBD!$F:$F,$A146)</f>
        <v>2</v>
      </c>
      <c r="H146" s="32">
        <v>152</v>
      </c>
      <c r="I146" s="32">
        <v>47</v>
      </c>
      <c r="J146" s="32">
        <v>3</v>
      </c>
      <c r="K146" s="32">
        <v>21</v>
      </c>
      <c r="L146" s="32">
        <v>1</v>
      </c>
      <c r="M146" s="32">
        <v>3</v>
      </c>
    </row>
    <row r="147" spans="1:13">
      <c r="A147" s="32">
        <f t="shared" ca="1" si="2"/>
        <v>159</v>
      </c>
      <c r="B147" s="32" cm="1">
        <f t="array" aca="1" ref="B147" ca="1">INDEX(Data_DBD!$B:$B,$A147)</f>
        <v>17</v>
      </c>
      <c r="C147" s="32" cm="1">
        <f t="array" aca="1" ref="C147" ca="1">INDEX(Data_DBD!$C:$C,$A147)</f>
        <v>2</v>
      </c>
      <c r="D147" s="32" cm="1">
        <f t="array" aca="1" ref="D147" ca="1">INDEX(Data_DBD!$D:$D,$A147)</f>
        <v>21</v>
      </c>
      <c r="E147" s="32" cm="1">
        <f t="array" aca="1" ref="E147" ca="1">INDEX(Data_DBD!$E:$E,$A147)</f>
        <v>0</v>
      </c>
      <c r="F147" s="32" cm="1">
        <f t="array" aca="1" ref="F147" ca="1">INDEX(Data_DBD!$F:$F,$A147)</f>
        <v>3</v>
      </c>
      <c r="H147" s="32">
        <v>67</v>
      </c>
      <c r="I147" s="32">
        <v>21</v>
      </c>
      <c r="J147" s="32">
        <v>3</v>
      </c>
      <c r="K147" s="32">
        <v>10</v>
      </c>
      <c r="L147" s="32">
        <v>1</v>
      </c>
      <c r="M147" s="32">
        <v>2</v>
      </c>
    </row>
    <row r="148" spans="1:13">
      <c r="A148" s="32">
        <f t="shared" ca="1" si="2"/>
        <v>11</v>
      </c>
      <c r="B148" s="32" cm="1">
        <f t="array" aca="1" ref="B148" ca="1">INDEX(Data_DBD!$B:$B,$A148)</f>
        <v>24</v>
      </c>
      <c r="C148" s="32" cm="1">
        <f t="array" aca="1" ref="C148" ca="1">INDEX(Data_DBD!$C:$C,$A148)</f>
        <v>5</v>
      </c>
      <c r="D148" s="32" cm="1">
        <f t="array" aca="1" ref="D148" ca="1">INDEX(Data_DBD!$D:$D,$A148)</f>
        <v>12</v>
      </c>
      <c r="E148" s="32" cm="1">
        <f t="array" aca="1" ref="E148" ca="1">INDEX(Data_DBD!$E:$E,$A148)</f>
        <v>1</v>
      </c>
      <c r="F148" s="32" cm="1">
        <f t="array" aca="1" ref="F148" ca="1">INDEX(Data_DBD!$F:$F,$A148)</f>
        <v>2</v>
      </c>
      <c r="H148" s="32">
        <v>19</v>
      </c>
      <c r="I148" s="32">
        <v>8</v>
      </c>
      <c r="J148" s="32">
        <v>4</v>
      </c>
      <c r="K148" s="32">
        <v>7</v>
      </c>
      <c r="L148" s="32">
        <v>0</v>
      </c>
      <c r="M148" s="32">
        <v>1</v>
      </c>
    </row>
    <row r="149" spans="1:13">
      <c r="A149" s="32">
        <f t="shared" ca="1" si="2"/>
        <v>28</v>
      </c>
      <c r="B149" s="32" cm="1">
        <f t="array" aca="1" ref="B149" ca="1">INDEX(Data_DBD!$B:$B,$A149)</f>
        <v>22</v>
      </c>
      <c r="C149" s="32" cm="1">
        <f t="array" aca="1" ref="C149" ca="1">INDEX(Data_DBD!$C:$C,$A149)</f>
        <v>2</v>
      </c>
      <c r="D149" s="32" cm="1">
        <f t="array" aca="1" ref="D149" ca="1">INDEX(Data_DBD!$D:$D,$A149)</f>
        <v>14</v>
      </c>
      <c r="E149" s="32" cm="1">
        <f t="array" aca="1" ref="E149" ca="1">INDEX(Data_DBD!$E:$E,$A149)</f>
        <v>1</v>
      </c>
      <c r="F149" s="32" cm="1">
        <f t="array" aca="1" ref="F149" ca="1">INDEX(Data_DBD!$F:$F,$A149)</f>
        <v>2</v>
      </c>
      <c r="H149" s="32">
        <v>133</v>
      </c>
      <c r="I149" s="32">
        <v>6</v>
      </c>
      <c r="J149" s="32">
        <v>4</v>
      </c>
      <c r="K149" s="32">
        <v>33</v>
      </c>
      <c r="L149" s="32">
        <v>0</v>
      </c>
      <c r="M149" s="32">
        <v>3</v>
      </c>
    </row>
    <row r="150" spans="1:13">
      <c r="A150" s="32">
        <f t="shared" ca="1" si="2"/>
        <v>164</v>
      </c>
      <c r="B150" s="32" cm="1">
        <f t="array" aca="1" ref="B150" ca="1">INDEX(Data_DBD!$B:$B,$A150)</f>
        <v>10</v>
      </c>
      <c r="C150" s="32" cm="1">
        <f t="array" aca="1" ref="C150" ca="1">INDEX(Data_DBD!$C:$C,$A150)</f>
        <v>6</v>
      </c>
      <c r="D150" s="32" cm="1">
        <f t="array" aca="1" ref="D150" ca="1">INDEX(Data_DBD!$D:$D,$A150)</f>
        <v>3</v>
      </c>
      <c r="E150" s="32" cm="1">
        <f t="array" aca="1" ref="E150" ca="1">INDEX(Data_DBD!$E:$E,$A150)</f>
        <v>0</v>
      </c>
      <c r="F150" s="32" cm="1">
        <f t="array" aca="1" ref="F150" ca="1">INDEX(Data_DBD!$F:$F,$A150)</f>
        <v>1</v>
      </c>
      <c r="H150" s="32">
        <v>80</v>
      </c>
      <c r="I150" s="32">
        <v>27</v>
      </c>
      <c r="J150" s="32">
        <v>3</v>
      </c>
      <c r="K150" s="32">
        <v>13</v>
      </c>
      <c r="L150" s="32">
        <v>1</v>
      </c>
      <c r="M150" s="32">
        <v>2</v>
      </c>
    </row>
    <row r="151" spans="1:13">
      <c r="A151" s="32">
        <f t="shared" ca="1" si="2"/>
        <v>59</v>
      </c>
      <c r="B151" s="32" cm="1">
        <f t="array" aca="1" ref="B151" ca="1">INDEX(Data_DBD!$B:$B,$A151)</f>
        <v>28</v>
      </c>
      <c r="C151" s="32" cm="1">
        <f t="array" aca="1" ref="C151" ca="1">INDEX(Data_DBD!$C:$C,$A151)</f>
        <v>4</v>
      </c>
      <c r="D151" s="32" cm="1">
        <f t="array" aca="1" ref="D151" ca="1">INDEX(Data_DBD!$D:$D,$A151)</f>
        <v>15</v>
      </c>
      <c r="E151" s="32" cm="1">
        <f t="array" aca="1" ref="E151" ca="1">INDEX(Data_DBD!$E:$E,$A151)</f>
        <v>0</v>
      </c>
      <c r="F151" s="32" cm="1">
        <f t="array" aca="1" ref="F151" ca="1">INDEX(Data_DBD!$F:$F,$A151)</f>
        <v>2</v>
      </c>
      <c r="H151" s="32">
        <v>71</v>
      </c>
      <c r="I151" s="32">
        <v>84</v>
      </c>
      <c r="J151" s="32">
        <v>3</v>
      </c>
      <c r="K151" s="32">
        <v>10</v>
      </c>
      <c r="L151" s="32">
        <v>0</v>
      </c>
      <c r="M151" s="32">
        <v>2</v>
      </c>
    </row>
    <row r="152" spans="1:13">
      <c r="A152" s="32">
        <f t="shared" ca="1" si="2"/>
        <v>75</v>
      </c>
      <c r="B152" s="32" cm="1">
        <f t="array" aca="1" ref="B152" ca="1">INDEX(Data_DBD!$B:$B,$A152)</f>
        <v>2</v>
      </c>
      <c r="C152" s="32" cm="1">
        <f t="array" aca="1" ref="C152" ca="1">INDEX(Data_DBD!$C:$C,$A152)</f>
        <v>2</v>
      </c>
      <c r="D152" s="32" cm="1">
        <f t="array" aca="1" ref="D152" ca="1">INDEX(Data_DBD!$D:$D,$A152)</f>
        <v>10</v>
      </c>
      <c r="E152" s="32" cm="1">
        <f t="array" aca="1" ref="E152" ca="1">INDEX(Data_DBD!$E:$E,$A152)</f>
        <v>1</v>
      </c>
      <c r="F152" s="32" cm="1">
        <f t="array" aca="1" ref="F152" ca="1">INDEX(Data_DBD!$F:$F,$A152)</f>
        <v>2</v>
      </c>
      <c r="H152" s="32">
        <v>33</v>
      </c>
      <c r="I152" s="32">
        <v>19</v>
      </c>
      <c r="J152" s="32">
        <v>4</v>
      </c>
      <c r="K152" s="32">
        <v>14</v>
      </c>
      <c r="L152" s="32">
        <v>1</v>
      </c>
      <c r="M152" s="32">
        <v>2</v>
      </c>
    </row>
    <row r="153" spans="1:13">
      <c r="A153" s="32">
        <f t="shared" ca="1" si="2"/>
        <v>46</v>
      </c>
      <c r="B153" s="32" cm="1">
        <f t="array" aca="1" ref="B153" ca="1">INDEX(Data_DBD!$B:$B,$A153)</f>
        <v>62</v>
      </c>
      <c r="C153" s="32" cm="1">
        <f t="array" aca="1" ref="C153" ca="1">INDEX(Data_DBD!$C:$C,$A153)</f>
        <v>2</v>
      </c>
      <c r="D153" s="32" cm="1">
        <f t="array" aca="1" ref="D153" ca="1">INDEX(Data_DBD!$D:$D,$A153)</f>
        <v>13</v>
      </c>
      <c r="E153" s="32" cm="1">
        <f t="array" aca="1" ref="E153" ca="1">INDEX(Data_DBD!$E:$E,$A153)</f>
        <v>0</v>
      </c>
      <c r="F153" s="32" cm="1">
        <f t="array" aca="1" ref="F153" ca="1">INDEX(Data_DBD!$F:$F,$A153)</f>
        <v>2</v>
      </c>
      <c r="H153" s="32">
        <v>9</v>
      </c>
      <c r="I153" s="32">
        <v>16</v>
      </c>
      <c r="J153" s="32">
        <v>6</v>
      </c>
      <c r="K153" s="32">
        <v>12</v>
      </c>
      <c r="L153" s="32">
        <v>1</v>
      </c>
      <c r="M153" s="32">
        <v>2</v>
      </c>
    </row>
    <row r="154" spans="1:13">
      <c r="A154" s="32">
        <f t="shared" ca="1" si="2"/>
        <v>31</v>
      </c>
      <c r="B154" s="32" cm="1">
        <f t="array" aca="1" ref="B154" ca="1">INDEX(Data_DBD!$B:$B,$A154)</f>
        <v>64</v>
      </c>
      <c r="C154" s="32" cm="1">
        <f t="array" aca="1" ref="C154" ca="1">INDEX(Data_DBD!$C:$C,$A154)</f>
        <v>4</v>
      </c>
      <c r="D154" s="32" cm="1">
        <f t="array" aca="1" ref="D154" ca="1">INDEX(Data_DBD!$D:$D,$A154)</f>
        <v>14</v>
      </c>
      <c r="E154" s="32" cm="1">
        <f t="array" aca="1" ref="E154" ca="1">INDEX(Data_DBD!$E:$E,$A154)</f>
        <v>1</v>
      </c>
      <c r="F154" s="32" cm="1">
        <f t="array" aca="1" ref="F154" ca="1">INDEX(Data_DBD!$F:$F,$A154)</f>
        <v>2</v>
      </c>
      <c r="H154" s="32">
        <v>116</v>
      </c>
      <c r="I154" s="32">
        <v>32</v>
      </c>
      <c r="J154" s="32">
        <v>4</v>
      </c>
      <c r="K154" s="32">
        <v>33</v>
      </c>
      <c r="L154" s="32">
        <v>1</v>
      </c>
      <c r="M154" s="32">
        <v>3</v>
      </c>
    </row>
    <row r="155" spans="1:13">
      <c r="A155" s="32">
        <f t="shared" ca="1" si="2"/>
        <v>135</v>
      </c>
      <c r="B155" s="32" cm="1">
        <f t="array" aca="1" ref="B155" ca="1">INDEX(Data_DBD!$B:$B,$A155)</f>
        <v>10</v>
      </c>
      <c r="C155" s="32" cm="1">
        <f t="array" aca="1" ref="C155" ca="1">INDEX(Data_DBD!$C:$C,$A155)</f>
        <v>2</v>
      </c>
      <c r="D155" s="32" cm="1">
        <f t="array" aca="1" ref="D155" ca="1">INDEX(Data_DBD!$D:$D,$A155)</f>
        <v>33</v>
      </c>
      <c r="E155" s="32" cm="1">
        <f t="array" aca="1" ref="E155" ca="1">INDEX(Data_DBD!$E:$E,$A155)</f>
        <v>0</v>
      </c>
      <c r="F155" s="32" cm="1">
        <f t="array" aca="1" ref="F155" ca="1">INDEX(Data_DBD!$F:$F,$A155)</f>
        <v>3</v>
      </c>
      <c r="H155" s="32">
        <v>157</v>
      </c>
      <c r="I155" s="32">
        <v>15</v>
      </c>
      <c r="J155" s="32">
        <v>4</v>
      </c>
      <c r="K155" s="32">
        <v>21</v>
      </c>
      <c r="L155" s="32">
        <v>1</v>
      </c>
      <c r="M155" s="32">
        <v>3</v>
      </c>
    </row>
    <row r="156" spans="1:13">
      <c r="A156" s="32">
        <f t="shared" ca="1" si="2"/>
        <v>61</v>
      </c>
      <c r="B156" s="32" cm="1">
        <f t="array" aca="1" ref="B156" ca="1">INDEX(Data_DBD!$B:$B,$A156)</f>
        <v>29</v>
      </c>
      <c r="C156" s="32" cm="1">
        <f t="array" aca="1" ref="C156" ca="1">INDEX(Data_DBD!$C:$C,$A156)</f>
        <v>3</v>
      </c>
      <c r="D156" s="32" cm="1">
        <f t="array" aca="1" ref="D156" ca="1">INDEX(Data_DBD!$D:$D,$A156)</f>
        <v>15</v>
      </c>
      <c r="E156" s="32" cm="1">
        <f t="array" aca="1" ref="E156" ca="1">INDEX(Data_DBD!$E:$E,$A156)</f>
        <v>1</v>
      </c>
      <c r="F156" s="32" cm="1">
        <f t="array" aca="1" ref="F156" ca="1">INDEX(Data_DBD!$F:$F,$A156)</f>
        <v>2</v>
      </c>
      <c r="H156" s="32">
        <v>67</v>
      </c>
      <c r="I156" s="32">
        <v>21</v>
      </c>
      <c r="J156" s="32">
        <v>3</v>
      </c>
      <c r="K156" s="32">
        <v>10</v>
      </c>
      <c r="L156" s="32">
        <v>1</v>
      </c>
      <c r="M156" s="32">
        <v>2</v>
      </c>
    </row>
    <row r="157" spans="1:13">
      <c r="A157" s="32">
        <f t="shared" ca="1" si="2"/>
        <v>111</v>
      </c>
      <c r="B157" s="32" cm="1">
        <f t="array" aca="1" ref="B157" ca="1">INDEX(Data_DBD!$B:$B,$A157)</f>
        <v>25</v>
      </c>
      <c r="C157" s="32" cm="1">
        <f t="array" aca="1" ref="C157" ca="1">INDEX(Data_DBD!$C:$C,$A157)</f>
        <v>4</v>
      </c>
      <c r="D157" s="32" cm="1">
        <f t="array" aca="1" ref="D157" ca="1">INDEX(Data_DBD!$D:$D,$A157)</f>
        <v>33</v>
      </c>
      <c r="E157" s="32" cm="1">
        <f t="array" aca="1" ref="E157" ca="1">INDEX(Data_DBD!$E:$E,$A157)</f>
        <v>0</v>
      </c>
      <c r="F157" s="32" cm="1">
        <f t="array" aca="1" ref="F157" ca="1">INDEX(Data_DBD!$F:$F,$A157)</f>
        <v>3</v>
      </c>
      <c r="H157" s="32">
        <v>82</v>
      </c>
      <c r="I157" s="32">
        <v>28</v>
      </c>
      <c r="J157" s="32">
        <v>3</v>
      </c>
      <c r="K157" s="32">
        <v>13</v>
      </c>
      <c r="L157" s="32">
        <v>1</v>
      </c>
      <c r="M157" s="32">
        <v>2</v>
      </c>
    </row>
    <row r="158" spans="1:13" ht="15.75">
      <c r="A158" s="32">
        <f t="shared" ca="1" si="2"/>
        <v>162</v>
      </c>
      <c r="B158" s="32" cm="1">
        <f t="array" aca="1" ref="B158" ca="1">INDEX(Data_DBD!$B:$B,$A158)</f>
        <v>22</v>
      </c>
      <c r="C158" s="32" cm="1">
        <f t="array" aca="1" ref="C158" ca="1">INDEX(Data_DBD!$C:$C,$A158)</f>
        <v>3</v>
      </c>
      <c r="D158" s="32" cm="1">
        <f t="array" aca="1" ref="D158" ca="1">INDEX(Data_DBD!$D:$D,$A158)</f>
        <v>3</v>
      </c>
      <c r="E158" s="32" cm="1">
        <f t="array" aca="1" ref="E158" ca="1">INDEX(Data_DBD!$E:$E,$A158)</f>
        <v>1</v>
      </c>
      <c r="F158" s="32" cm="1">
        <f t="array" aca="1" ref="F158" ca="1">INDEX(Data_DBD!$F:$F,$A158)</f>
        <v>1</v>
      </c>
      <c r="H158" s="32">
        <v>149</v>
      </c>
      <c r="I158" s="32">
        <v>19</v>
      </c>
      <c r="J158" s="32">
        <v>5</v>
      </c>
      <c r="K158" s="32">
        <v>21</v>
      </c>
      <c r="L158" s="58">
        <v>0</v>
      </c>
      <c r="M158" s="32">
        <v>3</v>
      </c>
    </row>
    <row r="159" spans="1:13" ht="15.75">
      <c r="A159" s="32">
        <f t="shared" ca="1" si="2"/>
        <v>18</v>
      </c>
      <c r="B159" s="32" cm="1">
        <f t="array" aca="1" ref="B159" ca="1">INDEX(Data_DBD!$B:$B,$A159)</f>
        <v>49</v>
      </c>
      <c r="C159" s="32" cm="1">
        <f t="array" aca="1" ref="C159" ca="1">INDEX(Data_DBD!$C:$C,$A159)</f>
        <v>4</v>
      </c>
      <c r="D159" s="32" cm="1">
        <f t="array" aca="1" ref="D159" ca="1">INDEX(Data_DBD!$D:$D,$A159)</f>
        <v>7</v>
      </c>
      <c r="E159" s="32" cm="1">
        <f t="array" aca="1" ref="E159" ca="1">INDEX(Data_DBD!$E:$E,$A159)</f>
        <v>1</v>
      </c>
      <c r="F159" s="32" cm="1">
        <f t="array" aca="1" ref="F159" ca="1">INDEX(Data_DBD!$F:$F,$A159)</f>
        <v>1</v>
      </c>
      <c r="H159" s="32">
        <v>140</v>
      </c>
      <c r="I159" s="32">
        <v>74</v>
      </c>
      <c r="J159" s="32">
        <v>5</v>
      </c>
      <c r="K159" s="32">
        <v>21</v>
      </c>
      <c r="L159" s="59">
        <v>1</v>
      </c>
      <c r="M159" s="32">
        <v>3</v>
      </c>
    </row>
    <row r="160" spans="1:13" ht="15.75">
      <c r="A160" s="32">
        <f t="shared" ca="1" si="2"/>
        <v>105</v>
      </c>
      <c r="B160" s="32" cm="1">
        <f t="array" aca="1" ref="B160" ca="1">INDEX(Data_DBD!$B:$B,$A160)</f>
        <v>61</v>
      </c>
      <c r="C160" s="32" cm="1">
        <f t="array" aca="1" ref="C160" ca="1">INDEX(Data_DBD!$C:$C,$A160)</f>
        <v>3</v>
      </c>
      <c r="D160" s="32" cm="1">
        <f t="array" aca="1" ref="D160" ca="1">INDEX(Data_DBD!$D:$D,$A160)</f>
        <v>18</v>
      </c>
      <c r="E160" s="32" cm="1">
        <f t="array" aca="1" ref="E160" ca="1">INDEX(Data_DBD!$E:$E,$A160)</f>
        <v>1</v>
      </c>
      <c r="F160" s="32" cm="1">
        <f t="array" aca="1" ref="F160" ca="1">INDEX(Data_DBD!$F:$F,$A160)</f>
        <v>3</v>
      </c>
      <c r="H160" s="32">
        <v>19</v>
      </c>
      <c r="I160" s="32">
        <v>8</v>
      </c>
      <c r="J160" s="32">
        <v>4</v>
      </c>
      <c r="K160" s="32">
        <v>7</v>
      </c>
      <c r="L160" s="60">
        <v>0</v>
      </c>
      <c r="M160" s="32">
        <v>1</v>
      </c>
    </row>
    <row r="161" spans="1:22" ht="15.75">
      <c r="A161" s="32">
        <f t="shared" ca="1" si="2"/>
        <v>48</v>
      </c>
      <c r="B161" s="32" cm="1">
        <f t="array" aca="1" ref="B161" ca="1">INDEX(Data_DBD!$B:$B,$A161)</f>
        <v>50</v>
      </c>
      <c r="C161" s="32" cm="1">
        <f t="array" aca="1" ref="C161" ca="1">INDEX(Data_DBD!$C:$C,$A161)</f>
        <v>5</v>
      </c>
      <c r="D161" s="32" cm="1">
        <f t="array" aca="1" ref="D161" ca="1">INDEX(Data_DBD!$D:$D,$A161)</f>
        <v>13</v>
      </c>
      <c r="E161" s="32" cm="1">
        <f t="array" aca="1" ref="E161" ca="1">INDEX(Data_DBD!$E:$E,$A161)</f>
        <v>1</v>
      </c>
      <c r="F161" s="32" cm="1">
        <f t="array" aca="1" ref="F161" ca="1">INDEX(Data_DBD!$F:$F,$A161)</f>
        <v>2</v>
      </c>
      <c r="H161" s="32">
        <v>137</v>
      </c>
      <c r="I161" s="32">
        <v>3.5</v>
      </c>
      <c r="J161" s="32">
        <v>1</v>
      </c>
      <c r="K161" s="32">
        <v>33</v>
      </c>
      <c r="L161" s="60">
        <v>1</v>
      </c>
      <c r="M161" s="32">
        <v>3</v>
      </c>
    </row>
    <row r="162" spans="1:22" ht="15.75">
      <c r="A162" s="32">
        <f t="shared" ca="1" si="2"/>
        <v>136</v>
      </c>
      <c r="B162" s="32" cm="1">
        <f t="array" aca="1" ref="B162" ca="1">INDEX(Data_DBD!$B:$B,$A162)</f>
        <v>6</v>
      </c>
      <c r="C162" s="32" cm="1">
        <f t="array" aca="1" ref="C162" ca="1">INDEX(Data_DBD!$C:$C,$A162)</f>
        <v>2</v>
      </c>
      <c r="D162" s="32" cm="1">
        <f t="array" aca="1" ref="D162" ca="1">INDEX(Data_DBD!$D:$D,$A162)</f>
        <v>33</v>
      </c>
      <c r="E162" s="32" cm="1">
        <f t="array" aca="1" ref="E162" ca="1">INDEX(Data_DBD!$E:$E,$A162)</f>
        <v>0</v>
      </c>
      <c r="F162" s="32" cm="1">
        <f t="array" aca="1" ref="F162" ca="1">INDEX(Data_DBD!$F:$F,$A162)</f>
        <v>3</v>
      </c>
      <c r="H162" s="32">
        <v>78</v>
      </c>
      <c r="I162" s="32">
        <v>6</v>
      </c>
      <c r="J162" s="32">
        <v>3</v>
      </c>
      <c r="K162" s="32">
        <v>13</v>
      </c>
      <c r="L162" s="59">
        <v>0</v>
      </c>
      <c r="M162" s="32">
        <v>2</v>
      </c>
    </row>
    <row r="163" spans="1:22" ht="15.75">
      <c r="A163" s="32">
        <f t="shared" ca="1" si="2"/>
        <v>69</v>
      </c>
      <c r="B163" s="32" cm="1">
        <f t="array" aca="1" ref="B163" ca="1">INDEX(Data_DBD!$B:$B,$A163)</f>
        <v>24</v>
      </c>
      <c r="C163" s="32" cm="1">
        <f t="array" aca="1" ref="C163" ca="1">INDEX(Data_DBD!$C:$C,$A163)</f>
        <v>4</v>
      </c>
      <c r="D163" s="32" cm="1">
        <f t="array" aca="1" ref="D163" ca="1">INDEX(Data_DBD!$D:$D,$A163)</f>
        <v>10</v>
      </c>
      <c r="E163" s="32" cm="1">
        <f t="array" aca="1" ref="E163" ca="1">INDEX(Data_DBD!$E:$E,$A163)</f>
        <v>1</v>
      </c>
      <c r="F163" s="32" cm="1">
        <f t="array" aca="1" ref="F163" ca="1">INDEX(Data_DBD!$F:$F,$A163)</f>
        <v>2</v>
      </c>
      <c r="H163" s="32">
        <v>119</v>
      </c>
      <c r="I163" s="32">
        <v>30</v>
      </c>
      <c r="J163" s="32">
        <v>7</v>
      </c>
      <c r="K163" s="32">
        <v>33</v>
      </c>
      <c r="L163" s="60">
        <v>0</v>
      </c>
      <c r="M163" s="32">
        <v>3</v>
      </c>
    </row>
    <row r="164" spans="1:22">
      <c r="A164" s="32">
        <f t="shared" ca="1" si="2"/>
        <v>3</v>
      </c>
      <c r="B164" s="32" cm="1">
        <f t="array" aca="1" ref="B164" ca="1">INDEX(Data_DBD!$B:$B,$A164)</f>
        <v>43</v>
      </c>
      <c r="C164" s="32" cm="1">
        <f t="array" aca="1" ref="C164" ca="1">INDEX(Data_DBD!$C:$C,$A164)</f>
        <v>3</v>
      </c>
      <c r="D164" s="32" cm="1">
        <f t="array" aca="1" ref="D164" ca="1">INDEX(Data_DBD!$D:$D,$A164)</f>
        <v>12</v>
      </c>
      <c r="E164" s="32" cm="1">
        <f t="array" aca="1" ref="E164" ca="1">INDEX(Data_DBD!$E:$E,$A164)</f>
        <v>1</v>
      </c>
      <c r="F164" s="32" cm="1">
        <f t="array" aca="1" ref="F164" ca="1">INDEX(Data_DBD!$F:$F,$A164)</f>
        <v>2</v>
      </c>
      <c r="H164" s="32">
        <v>5</v>
      </c>
      <c r="I164" s="32">
        <v>18</v>
      </c>
      <c r="J164" s="32">
        <v>2</v>
      </c>
      <c r="K164" s="32">
        <v>12</v>
      </c>
      <c r="L164" s="32">
        <v>1</v>
      </c>
      <c r="M164" s="32">
        <v>2</v>
      </c>
    </row>
    <row r="165" spans="1:22">
      <c r="I165">
        <f>AVERAGE(I2:I164)</f>
        <v>29.326086956521738</v>
      </c>
      <c r="J165">
        <f>AVERAGE(J2:J164)</f>
        <v>3.5030674846625769</v>
      </c>
      <c r="K165">
        <f>AVERAGE(K2:K164)</f>
        <v>17.257668711656443</v>
      </c>
      <c r="L165">
        <f>AVERAGE(L2:L164)</f>
        <v>0.56441717791411039</v>
      </c>
    </row>
    <row r="166" spans="1:22">
      <c r="B166">
        <v>9890</v>
      </c>
    </row>
    <row r="168" spans="1:22">
      <c r="E168" s="38" t="s">
        <v>188</v>
      </c>
      <c r="J168" s="38" t="s">
        <v>189</v>
      </c>
      <c r="O168" s="38" t="s">
        <v>190</v>
      </c>
      <c r="T168" s="38" t="s">
        <v>191</v>
      </c>
    </row>
    <row r="169" spans="1:22">
      <c r="E169" s="32" t="s">
        <v>1</v>
      </c>
      <c r="F169" s="32">
        <f>AVERAGEIF($I$2:$I$164,"&lt;="&amp;$I$165)</f>
        <v>16.818627450980394</v>
      </c>
      <c r="G169" s="32">
        <f>AVERAGEIF($I$2:$I$164,"&gt;"&amp;$I$165)</f>
        <v>50.949152542372879</v>
      </c>
      <c r="J169" s="32" t="s">
        <v>192</v>
      </c>
      <c r="K169" s="32">
        <f>AVERAGEIF($J$2:$J$164,"&lt;="&amp;$J$165)</f>
        <v>2.524390243902439</v>
      </c>
      <c r="L169" s="32">
        <f>AVERAGEIF($J$2:$J$164,"&gt;"&amp;$J$165)</f>
        <v>4.4938271604938276</v>
      </c>
      <c r="O169" s="32" t="s">
        <v>193</v>
      </c>
      <c r="P169" s="32">
        <f>AVERAGEIF($K$2:$K$164,"&lt;="&amp;$K$165)</f>
        <v>12.414141414141413</v>
      </c>
      <c r="Q169" s="32">
        <f>AVERAGEIF($K$2:$K$164,"&gt;"&amp;$K$165)</f>
        <v>24.75</v>
      </c>
      <c r="T169" s="32" t="s">
        <v>194</v>
      </c>
      <c r="U169" s="32">
        <f>AVERAGEIF($L$2:$L$164,"&lt;="&amp;$L$165)</f>
        <v>0</v>
      </c>
      <c r="V169" s="32">
        <f>AVERAGEIF($L$2:$L$164,"&gt;"&amp;$L$165)</f>
        <v>1</v>
      </c>
    </row>
    <row r="170" spans="1:22">
      <c r="E170" s="32" t="str" cm="1">
        <f t="array" ref="E170:E332">IF($I$2:$I$164&lt;$F$169,"kiri",IF($I$2:$I$164&lt;$G$169,"tengah","kanan"))</f>
        <v>tengah</v>
      </c>
      <c r="F170" s="55" t="s">
        <v>269</v>
      </c>
      <c r="G170" s="32"/>
      <c r="J170" s="32" t="str" cm="1">
        <f t="array" ref="J170:J332">IF($J$2:$J$164&lt;$K$169,"kiri",IF($J$2:$J$164&lt;$L$169,"tengah","kanan"))</f>
        <v>kanan</v>
      </c>
      <c r="K170" s="55" t="s">
        <v>271</v>
      </c>
      <c r="L170" s="32"/>
      <c r="O170" s="32" t="str" cm="1">
        <f t="array" ref="O170:O332">IF($K$2:$K$164&lt;$P$169,"kiri",IF($K$2:$K$164&lt;$Q$169,"tengah","kanan"))</f>
        <v>kiri</v>
      </c>
      <c r="P170" s="55" t="s">
        <v>284</v>
      </c>
      <c r="Q170" s="32"/>
      <c r="T170" s="32" t="str" cm="1">
        <f t="array" ref="T170:T332">IF($L$2:$L$164&lt;$U$169,"kiri",IF($L$2:$L$164&lt;$V$169,"tengah","kanan"))</f>
        <v>tengah</v>
      </c>
      <c r="U170" s="32" t="s">
        <v>195</v>
      </c>
      <c r="V170" s="32"/>
    </row>
    <row r="171" spans="1:22">
      <c r="E171" s="32" t="str">
        <v>tengah</v>
      </c>
      <c r="F171" s="32">
        <f>COUNTIFS($E$170:$E$332,"Kanan",$M$2:$M$164,"1")</f>
        <v>0</v>
      </c>
      <c r="G171" s="32">
        <f>F171/29</f>
        <v>0</v>
      </c>
      <c r="J171" s="32" t="str">
        <v>kiri</v>
      </c>
      <c r="K171" s="32" cm="1">
        <f t="array" ref="K171">SUMPRODUCT((J170:J332="Kanan")*(M2:M164=1))</f>
        <v>1</v>
      </c>
      <c r="L171" s="32">
        <f>K171/28</f>
        <v>3.5714285714285712E-2</v>
      </c>
      <c r="O171" s="32" t="str">
        <v>kanan</v>
      </c>
      <c r="P171" s="32">
        <f>COUNTIFS($O$170:$O$332,"Kanan",$M$2:$M$164,"1")</f>
        <v>0</v>
      </c>
      <c r="Q171" s="32">
        <f>P171/25</f>
        <v>0</v>
      </c>
      <c r="T171" s="32" t="str">
        <v>tengah</v>
      </c>
      <c r="U171" s="32">
        <f>COUNTIFS($T$170:$T$332,"Kanan",$M$2:$M$164,"1")</f>
        <v>4</v>
      </c>
      <c r="V171" s="32">
        <f>U171/83</f>
        <v>4.8192771084337352E-2</v>
      </c>
    </row>
    <row r="172" spans="1:22">
      <c r="E172" s="32" t="str">
        <v>tengah</v>
      </c>
      <c r="F172" s="32">
        <f>COUNTIFS($E$170:$E$332,"Kanan",$M$2:$M$164,"2")</f>
        <v>15</v>
      </c>
      <c r="G172" s="32">
        <f t="shared" ref="G172:G173" si="3">F172/29</f>
        <v>0.51724137931034486</v>
      </c>
      <c r="J172" s="32" t="str">
        <v>kiri</v>
      </c>
      <c r="K172" s="32">
        <f>COUNTIFS($J$170:$J$332,"Kanan",$M$2:$M$164,"2")</f>
        <v>17</v>
      </c>
      <c r="L172" s="32">
        <f t="shared" ref="L172:L173" si="4">K172/28</f>
        <v>0.6071428571428571</v>
      </c>
      <c r="O172" s="32" t="str">
        <v>kiri</v>
      </c>
      <c r="P172" s="32">
        <f>COUNTIFS($O$170:$O$332,"Kanan",$M$2:$M$164,"2")</f>
        <v>0</v>
      </c>
      <c r="Q172" s="32">
        <f t="shared" ref="Q172:Q173" si="5">P172/25</f>
        <v>0</v>
      </c>
      <c r="T172" s="32" t="str">
        <v>kanan</v>
      </c>
      <c r="U172" s="32">
        <f>COUNTIFS($T$170:$T$332,"Kanan",$M$2:$M$164,"2")</f>
        <v>49</v>
      </c>
      <c r="V172" s="32">
        <f t="shared" ref="V172:V173" si="6">U172/83</f>
        <v>0.59036144578313254</v>
      </c>
    </row>
    <row r="173" spans="1:22">
      <c r="E173" s="32" t="str">
        <v>kiri</v>
      </c>
      <c r="F173" s="32" cm="1">
        <f t="array" ref="F173">SUMPRODUCT((E170:E332="KANAN")*(M2:M164=3))</f>
        <v>14</v>
      </c>
      <c r="G173" s="32">
        <f t="shared" si="3"/>
        <v>0.48275862068965519</v>
      </c>
      <c r="J173" s="32" t="str">
        <v>tengah</v>
      </c>
      <c r="K173" s="32">
        <f>COUNTIFS($J$170:$J$332,"Kanan",$M$2:$M$164,"3")</f>
        <v>10</v>
      </c>
      <c r="L173" s="32">
        <f t="shared" si="4"/>
        <v>0.35714285714285715</v>
      </c>
      <c r="O173" s="32" t="str">
        <v>kiri</v>
      </c>
      <c r="P173" s="32">
        <f>COUNTIFS($O$170:$O$332,"Kanan",$M$2:$M$164,"3")</f>
        <v>25</v>
      </c>
      <c r="Q173" s="32">
        <f t="shared" si="5"/>
        <v>1</v>
      </c>
      <c r="T173" s="32" t="str">
        <v>tengah</v>
      </c>
      <c r="U173" s="32">
        <f>COUNTIFS($T$170:$T$332,"Kanan",$M$2:$M$164,"3")</f>
        <v>39</v>
      </c>
      <c r="V173" s="32">
        <f t="shared" si="6"/>
        <v>0.46987951807228917</v>
      </c>
    </row>
    <row r="174" spans="1:22">
      <c r="E174" s="32" t="str">
        <v>tengah</v>
      </c>
      <c r="F174" s="32" t="s">
        <v>196</v>
      </c>
      <c r="G174" s="32">
        <f>-(IFERROR(G171*LOG(G171,2),0)+IFERROR(G172*LOG(G172,2),0)+IFERROR(G173*LOG(G173,2),0))</f>
        <v>0.99914210399190884</v>
      </c>
      <c r="J174" s="32" t="str">
        <v>tengah</v>
      </c>
      <c r="K174" s="32" t="s">
        <v>196</v>
      </c>
      <c r="L174" s="32">
        <f>-(IFERROR(L171*LOG(L171,2),0)+IFERROR(L172*LOG(L172,2),0)+IFERROR(L173*LOG(L173,2),0))</f>
        <v>1.1392781631244113</v>
      </c>
      <c r="O174" s="32" t="str">
        <v>kanan</v>
      </c>
      <c r="P174" s="32" t="s">
        <v>196</v>
      </c>
      <c r="Q174" s="32">
        <f>-(IFERROR(Q171*LOG(Q171,2),0)+IFERROR(Q172*LOG(Q172,2),0)+IFERROR(Q173*LOG(Q173,2),0))</f>
        <v>0</v>
      </c>
      <c r="T174" s="32" t="str">
        <v>kanan</v>
      </c>
      <c r="U174" s="32" t="s">
        <v>196</v>
      </c>
      <c r="V174" s="32">
        <f>-(IFERROR(V171*LOG(V171,2),0)+IFERROR(V172*LOG(V172,2),0)+IFERROR(V173*LOG(V173,2),0))</f>
        <v>1.1717127564655927</v>
      </c>
    </row>
    <row r="175" spans="1:22">
      <c r="E175" s="32" t="str">
        <v>kiri</v>
      </c>
      <c r="F175" s="32"/>
      <c r="G175" s="32">
        <f>SUM(F171:F173)/163</f>
        <v>0.17791411042944785</v>
      </c>
      <c r="J175" s="32" t="str">
        <v>kiri</v>
      </c>
      <c r="K175" s="32"/>
      <c r="L175" s="32">
        <f>SUM(K171:K173)/163</f>
        <v>0.17177914110429449</v>
      </c>
      <c r="O175" s="32" t="str">
        <v>kanan</v>
      </c>
      <c r="P175" s="32"/>
      <c r="Q175" s="32">
        <f>SUM(P171:P173)/163</f>
        <v>0.15337423312883436</v>
      </c>
      <c r="T175" s="32" t="str">
        <v>tengah</v>
      </c>
      <c r="U175" s="32"/>
      <c r="V175" s="32">
        <f>SUM(U171:U173)/163</f>
        <v>0.56441717791411039</v>
      </c>
    </row>
    <row r="176" spans="1:22">
      <c r="E176" s="32" t="str">
        <v>kiri</v>
      </c>
      <c r="F176" s="32"/>
      <c r="G176" s="39">
        <f>G174*G175</f>
        <v>0.17776147862432734</v>
      </c>
      <c r="J176" s="32" t="str">
        <v>kiri</v>
      </c>
      <c r="K176" s="32"/>
      <c r="L176" s="39">
        <f>L174*L175</f>
        <v>0.19570422434038967</v>
      </c>
      <c r="O176" s="32" t="str">
        <v>tengah</v>
      </c>
      <c r="P176" s="32"/>
      <c r="Q176" s="39">
        <f>Q174*Q175</f>
        <v>0</v>
      </c>
      <c r="T176" s="32" t="str">
        <v>kanan</v>
      </c>
      <c r="U176" s="32"/>
      <c r="V176" s="39">
        <f>V174*V175</f>
        <v>0.66133480733027317</v>
      </c>
    </row>
    <row r="177" spans="5:22">
      <c r="E177" s="32" t="str">
        <v>kanan</v>
      </c>
      <c r="F177" s="32"/>
      <c r="G177" s="32"/>
      <c r="J177" s="32" t="str">
        <v>kiri</v>
      </c>
      <c r="K177" s="32"/>
      <c r="L177" s="32"/>
      <c r="O177" s="32" t="str">
        <v>tengah</v>
      </c>
      <c r="P177" s="32"/>
      <c r="Q177" s="32"/>
      <c r="T177" s="32" t="str">
        <v>kanan</v>
      </c>
      <c r="U177" s="32"/>
      <c r="V177" s="32"/>
    </row>
    <row r="178" spans="5:22">
      <c r="E178" s="32" t="str">
        <v>kanan</v>
      </c>
      <c r="F178" s="32"/>
      <c r="G178" s="32"/>
      <c r="J178" s="32" t="str">
        <v>tengah</v>
      </c>
      <c r="K178" s="32"/>
      <c r="L178" s="32"/>
      <c r="O178" s="32" t="str">
        <v>tengah</v>
      </c>
      <c r="P178" s="32"/>
      <c r="Q178" s="32"/>
      <c r="T178" s="32" t="str">
        <v>kanan</v>
      </c>
      <c r="U178" s="32"/>
      <c r="V178" s="32"/>
    </row>
    <row r="179" spans="5:22">
      <c r="E179" s="32" t="str">
        <v>tengah</v>
      </c>
      <c r="F179" s="55" t="s">
        <v>270</v>
      </c>
      <c r="G179" s="32"/>
      <c r="J179" s="32" t="str">
        <v>tengah</v>
      </c>
      <c r="K179" s="55" t="s">
        <v>272</v>
      </c>
      <c r="L179" s="32"/>
      <c r="O179" s="32" t="str">
        <v>tengah</v>
      </c>
      <c r="P179" s="55" t="s">
        <v>281</v>
      </c>
      <c r="Q179" s="32"/>
      <c r="T179" s="32" t="str">
        <v>tengah</v>
      </c>
      <c r="U179" s="32" t="s">
        <v>197</v>
      </c>
      <c r="V179" s="32"/>
    </row>
    <row r="180" spans="5:22">
      <c r="E180" s="32" t="str">
        <v>kanan</v>
      </c>
      <c r="F180" s="32" cm="1">
        <f t="array" ref="F180">SUMPRODUCT((E170:E332="kiri")*(M2:M164=1))</f>
        <v>4</v>
      </c>
      <c r="G180" s="32">
        <f>F180/45</f>
        <v>8.8888888888888892E-2</v>
      </c>
      <c r="J180" s="32" t="str">
        <v>tengah</v>
      </c>
      <c r="K180" s="32">
        <f>COUNTIFS($J$170:$J$332,"Kiri",$M$2:$M$164,"1")</f>
        <v>0</v>
      </c>
      <c r="L180" s="32">
        <f>K180/32</f>
        <v>0</v>
      </c>
      <c r="O180" s="32" t="str">
        <v>tengah</v>
      </c>
      <c r="P180" s="32">
        <f>COUNTIFS($O$170:$O$332,"Kiri",$M$2:$M$164,"1")</f>
        <v>8</v>
      </c>
      <c r="Q180" s="32">
        <f>P180/34</f>
        <v>0.23529411764705882</v>
      </c>
      <c r="T180" s="32" t="str">
        <v>tengah</v>
      </c>
      <c r="U180" s="32">
        <f>COUNTIFS($T$170:$T$332,"Kiri",$M$2:$M$164,"1")</f>
        <v>0</v>
      </c>
      <c r="V180" s="32">
        <f>U180/57</f>
        <v>0</v>
      </c>
    </row>
    <row r="181" spans="5:22">
      <c r="E181" s="32" t="str">
        <v>kanan</v>
      </c>
      <c r="F181" s="32" cm="1">
        <f t="array" ref="F181">SUMPRODUCT((E170:E332="kiri")*(M2:M164=2))</f>
        <v>20</v>
      </c>
      <c r="G181" s="32">
        <f t="shared" ref="G181:G182" si="7">F181/45</f>
        <v>0.44444444444444442</v>
      </c>
      <c r="J181" s="32" t="str">
        <v>tengah</v>
      </c>
      <c r="K181" s="32">
        <f>COUNTIFS($J$170:$J$332,"Kiri",$M$2:$M$164,"2")</f>
        <v>14</v>
      </c>
      <c r="L181" s="32">
        <f t="shared" ref="L181:L182" si="8">K181/32</f>
        <v>0.4375</v>
      </c>
      <c r="O181" s="32" t="str">
        <v>tengah</v>
      </c>
      <c r="P181" s="32">
        <f>COUNTIFS($O$170:$O$332,"Kiri",$M$2:$M$164,"2")</f>
        <v>26</v>
      </c>
      <c r="Q181" s="32">
        <f t="shared" ref="Q181:Q182" si="9">P181/34</f>
        <v>0.76470588235294112</v>
      </c>
      <c r="T181" s="32" t="str">
        <v>tengah</v>
      </c>
      <c r="U181" s="32">
        <f>COUNTIFS($T$170:$T$332,"Kiri",$M$2:$M$164,"2")</f>
        <v>0</v>
      </c>
      <c r="V181" s="32">
        <f>U181/57</f>
        <v>0</v>
      </c>
    </row>
    <row r="182" spans="5:22">
      <c r="E182" s="32" t="str">
        <v>kanan</v>
      </c>
      <c r="F182" s="32" cm="1">
        <f t="array" ref="F182">SUMPRODUCT((E170:E332="kiri")*(M2:M164=3))</f>
        <v>21</v>
      </c>
      <c r="G182" s="32">
        <f t="shared" si="7"/>
        <v>0.46666666666666667</v>
      </c>
      <c r="J182" s="32" t="str">
        <v>kiri</v>
      </c>
      <c r="K182" s="32">
        <f>COUNTIFS($J$170:$J$332,"Kiri",$M$2:$M$164,"3")</f>
        <v>18</v>
      </c>
      <c r="L182" s="32">
        <f t="shared" si="8"/>
        <v>0.5625</v>
      </c>
      <c r="O182" s="32" t="str">
        <v>tengah</v>
      </c>
      <c r="P182" s="32">
        <f>COUNTIFS($O$170:$O$332,"Kiri",$M$2:$M$164,"3")</f>
        <v>0</v>
      </c>
      <c r="Q182" s="32">
        <f t="shared" si="9"/>
        <v>0</v>
      </c>
      <c r="T182" s="32" t="str">
        <v>tengah</v>
      </c>
      <c r="U182" s="32">
        <f>COUNTIFS($T$170:$T$332,"Kiri",$M$2:$M$164,"3")</f>
        <v>0</v>
      </c>
      <c r="V182" s="32">
        <f>U182/57</f>
        <v>0</v>
      </c>
    </row>
    <row r="183" spans="5:22">
      <c r="E183" s="32" t="str">
        <v>kiri</v>
      </c>
      <c r="F183" s="32" t="s">
        <v>196</v>
      </c>
      <c r="G183" s="32">
        <f>-(IFERROR(G180*LOG(G180,2),0)+IFERROR(G181*LOG(G181,2),0)+IFERROR(G182*LOG(G182,2),0))</f>
        <v>1.3434702568607588</v>
      </c>
      <c r="J183" s="32" t="str">
        <v>kiri</v>
      </c>
      <c r="K183" s="32" t="s">
        <v>196</v>
      </c>
      <c r="L183" s="32">
        <f>-(IFERROR(L180*LOG(L180,2),0)+IFERROR(L181*LOG(L181,2),0)+IFERROR(L182*LOG(L182,2),0))</f>
        <v>0.98869940828849745</v>
      </c>
      <c r="O183" s="32" t="str">
        <v>tengah</v>
      </c>
      <c r="P183" s="32" t="s">
        <v>196</v>
      </c>
      <c r="Q183" s="32">
        <f>-(IFERROR(Q180*LOG(Q180,2),0)+IFERROR(Q181*LOG(Q181,2),0)+IFERROR(Q182*LOG(Q182,2),0))</f>
        <v>0.78712658620126907</v>
      </c>
      <c r="T183" s="32" t="str">
        <v>kanan</v>
      </c>
      <c r="U183" s="32" t="s">
        <v>196</v>
      </c>
      <c r="V183" s="32">
        <f>-(IFERROR(V180*LOG(V180,2),0)+IFERROR(V181*LOG(V181,2),0)+IFERROR(V182*LOG(V182,2),0))</f>
        <v>0</v>
      </c>
    </row>
    <row r="184" spans="5:22">
      <c r="E184" s="32" t="str">
        <v>tengah</v>
      </c>
      <c r="F184" s="32"/>
      <c r="G184" s="32">
        <f>SUM(F180:F182)/163</f>
        <v>0.27607361963190186</v>
      </c>
      <c r="J184" s="32" t="str">
        <v>tengah</v>
      </c>
      <c r="K184" s="32"/>
      <c r="L184" s="32">
        <f>SUM(K180:K182)/163</f>
        <v>0.19631901840490798</v>
      </c>
      <c r="O184" s="32" t="str">
        <v>kiri</v>
      </c>
      <c r="P184" s="32"/>
      <c r="Q184" s="32">
        <f>SUM(P180:P182)/163</f>
        <v>0.20858895705521471</v>
      </c>
      <c r="T184" s="32" t="str">
        <v>kanan</v>
      </c>
      <c r="U184" s="32"/>
      <c r="V184" s="32">
        <f>SUM(U180:U182)/163</f>
        <v>0</v>
      </c>
    </row>
    <row r="185" spans="5:22">
      <c r="E185" s="32" t="str">
        <v>tengah</v>
      </c>
      <c r="F185" s="32"/>
      <c r="G185" s="39">
        <f>G183*G184</f>
        <v>0.3708966966793506</v>
      </c>
      <c r="J185" s="32" t="str">
        <v>kiri</v>
      </c>
      <c r="K185" s="32"/>
      <c r="L185" s="39">
        <f>L183*L184</f>
        <v>0.19410049733271115</v>
      </c>
      <c r="O185" s="32" t="str">
        <v>tengah</v>
      </c>
      <c r="P185" s="32"/>
      <c r="Q185" s="39">
        <f>Q183*Q184</f>
        <v>0.16418591368615429</v>
      </c>
      <c r="T185" s="32" t="str">
        <v>kanan</v>
      </c>
      <c r="U185" s="32"/>
      <c r="V185" s="39">
        <f>V183*V184</f>
        <v>0</v>
      </c>
    </row>
    <row r="186" spans="5:22">
      <c r="E186" s="32" t="str">
        <v>tengah</v>
      </c>
      <c r="F186" s="32"/>
      <c r="G186" s="32"/>
      <c r="J186" s="32" t="str">
        <v>kanan</v>
      </c>
      <c r="K186" s="32"/>
      <c r="L186" s="32"/>
      <c r="O186" s="32" t="str">
        <v>kiri</v>
      </c>
      <c r="P186" s="32"/>
      <c r="Q186" s="32"/>
      <c r="T186" s="32" t="str">
        <v>tengah</v>
      </c>
      <c r="U186" s="32"/>
      <c r="V186" s="32"/>
    </row>
    <row r="187" spans="5:22">
      <c r="E187" s="32" t="str">
        <v>tengah</v>
      </c>
      <c r="F187" s="32"/>
      <c r="G187" s="32"/>
      <c r="J187" s="32" t="str">
        <v>kiri</v>
      </c>
      <c r="K187" s="32"/>
      <c r="L187" s="32"/>
      <c r="O187" s="32" t="str">
        <v>tengah</v>
      </c>
      <c r="P187" s="32"/>
      <c r="Q187" s="32"/>
      <c r="T187" s="32" t="str">
        <v>tengah</v>
      </c>
      <c r="U187" s="32"/>
      <c r="V187" s="32"/>
    </row>
    <row r="188" spans="5:22">
      <c r="E188" s="32" t="str">
        <v>tengah</v>
      </c>
      <c r="F188" s="32" t="s">
        <v>198</v>
      </c>
      <c r="G188" s="32"/>
      <c r="J188" s="32" t="str">
        <v>tengah</v>
      </c>
      <c r="K188" s="32" t="s">
        <v>198</v>
      </c>
      <c r="L188" s="32"/>
      <c r="O188" s="32" t="str">
        <v>kiri</v>
      </c>
      <c r="P188" s="32" t="s">
        <v>198</v>
      </c>
      <c r="Q188" s="32"/>
      <c r="T188" s="32" t="str">
        <v>kanan</v>
      </c>
      <c r="U188" s="32" t="s">
        <v>198</v>
      </c>
      <c r="V188" s="32"/>
    </row>
    <row r="189" spans="5:22">
      <c r="E189" s="32" t="str">
        <v>tengah</v>
      </c>
      <c r="F189" s="32" cm="1">
        <f t="array" ref="F189">SUMPRODUCT((E170:E332="tengah")*(M2:M164=1))</f>
        <v>4</v>
      </c>
      <c r="G189" s="32">
        <f>F189/89</f>
        <v>4.49438202247191E-2</v>
      </c>
      <c r="J189" s="32" t="str">
        <v>kiri</v>
      </c>
      <c r="K189" s="32">
        <f>COUNTIFS($J$170:$J$332,"Tengah",$M$2:$M$164,"1")</f>
        <v>7</v>
      </c>
      <c r="L189" s="32">
        <f>K189/103</f>
        <v>6.7961165048543687E-2</v>
      </c>
      <c r="O189" s="32" t="str">
        <v>tengah</v>
      </c>
      <c r="P189" s="32">
        <f>COUNTIFS($O$170:$O$332,"Tengah",$M$2:$M$164,"1")</f>
        <v>0</v>
      </c>
      <c r="Q189" s="32">
        <f>P189/104</f>
        <v>0</v>
      </c>
      <c r="T189" s="32" t="str">
        <v>tengah</v>
      </c>
      <c r="U189" s="32">
        <f>COUNTIFS($T$170:$T$332,"Tengah",$M$2:$M$164,"1")</f>
        <v>4</v>
      </c>
      <c r="V189" s="32">
        <f>U189/82</f>
        <v>4.878048780487805E-2</v>
      </c>
    </row>
    <row r="190" spans="5:22">
      <c r="E190" s="32" t="str">
        <v>kiri</v>
      </c>
      <c r="F190" s="32" cm="1">
        <f t="array" ref="F190">SUMPRODUCT((E170:E332="tengah")*(M2:M164=2))</f>
        <v>56</v>
      </c>
      <c r="G190" s="32">
        <f t="shared" ref="G190:G191" si="10">F190/89</f>
        <v>0.6292134831460674</v>
      </c>
      <c r="J190" s="32" t="str">
        <v>tengah</v>
      </c>
      <c r="K190" s="32">
        <f>COUNTIFS($J$170:$J$332,"Tengah",$M$2:$M$164,"2")</f>
        <v>60</v>
      </c>
      <c r="L190" s="32">
        <f t="shared" ref="L190:L191" si="11">K190/103</f>
        <v>0.58252427184466016</v>
      </c>
      <c r="O190" s="32" t="str">
        <v>tengah</v>
      </c>
      <c r="P190" s="32">
        <f>COUNTIFS($O$170:$O$332,"Tengah",$M$2:$M$164,"2")</f>
        <v>65</v>
      </c>
      <c r="Q190" s="32">
        <f t="shared" ref="Q190:Q191" si="12">P190/104</f>
        <v>0.625</v>
      </c>
      <c r="T190" s="32" t="str">
        <v>tengah</v>
      </c>
      <c r="U190" s="32">
        <f>COUNTIFS($T$170:$T$332,"Tengah",$M$2:$M$164,"2")</f>
        <v>42</v>
      </c>
      <c r="V190" s="32">
        <f t="shared" ref="V190:V191" si="13">U190/82</f>
        <v>0.51219512195121952</v>
      </c>
    </row>
    <row r="191" spans="5:22">
      <c r="E191" s="32" t="str">
        <v>kanan</v>
      </c>
      <c r="F191" s="32" cm="1">
        <f t="array" ref="F191">SUMPRODUCT((E170:E332="tengah")*(M2:M164=3))</f>
        <v>29</v>
      </c>
      <c r="G191" s="32">
        <f t="shared" si="10"/>
        <v>0.3258426966292135</v>
      </c>
      <c r="J191" s="32" t="str">
        <v>tengah</v>
      </c>
      <c r="K191" s="32">
        <f>COUNTIFS($J$170:$J$332,"Tengah",$M$2:$M$164,"3")</f>
        <v>36</v>
      </c>
      <c r="L191" s="32">
        <f t="shared" si="11"/>
        <v>0.34951456310679613</v>
      </c>
      <c r="O191" s="32" t="str">
        <v>tengah</v>
      </c>
      <c r="P191" s="32">
        <f>COUNTIFS($O$170:$O$332,"Tengah",$M$2:$M$164,"3")</f>
        <v>39</v>
      </c>
      <c r="Q191" s="32">
        <f t="shared" si="12"/>
        <v>0.375</v>
      </c>
      <c r="T191" s="32" t="str">
        <v>tengah</v>
      </c>
      <c r="U191" s="32">
        <f>COUNTIFS($T$170:$T$332,"Tengah",$M$2:$M$164,"3")</f>
        <v>25</v>
      </c>
      <c r="V191" s="32">
        <f t="shared" si="13"/>
        <v>0.3048780487804878</v>
      </c>
    </row>
    <row r="192" spans="5:22">
      <c r="E192" s="32" t="str">
        <v>kiri</v>
      </c>
      <c r="F192" s="32" t="s">
        <v>196</v>
      </c>
      <c r="G192" s="32">
        <f>-(IFERROR(G189*LOG(G189,2),0)+IFERROR(G190*LOG(G190,2),0)+IFERROR(G191*LOG(G191,2),0))</f>
        <v>1.1488421445177974</v>
      </c>
      <c r="J192" s="32" t="str">
        <v>tengah</v>
      </c>
      <c r="K192" s="32" t="s">
        <v>196</v>
      </c>
      <c r="L192" s="32">
        <f>-(IFERROR(L189*LOG(L189,2),0)+IFERROR(L190*LOG(L190,2),0)+IFERROR(L191*LOG(L191,2),0))</f>
        <v>1.2478381947284845</v>
      </c>
      <c r="O192" s="32" t="str">
        <v>tengah</v>
      </c>
      <c r="P192" s="32" t="s">
        <v>196</v>
      </c>
      <c r="Q192" s="32">
        <f>-(IFERROR(Q189*LOG(Q189,2),0)+IFERROR(Q190*LOG(Q190,2),0)+IFERROR(Q191*LOG(Q191,2),0))</f>
        <v>0.95443400292496494</v>
      </c>
      <c r="T192" s="32" t="str">
        <v>tengah</v>
      </c>
      <c r="U192" s="32" t="s">
        <v>196</v>
      </c>
      <c r="V192" s="32">
        <f>-(IFERROR(V189*LOG(V189,2),0)+IFERROR(V190*LOG(V190,2),0)+IFERROR(V191*LOG(V191,2),0))</f>
        <v>1.2294201930098523</v>
      </c>
    </row>
    <row r="193" spans="5:22">
      <c r="E193" s="32" t="str">
        <v>kanan</v>
      </c>
      <c r="F193" s="32"/>
      <c r="G193" s="32">
        <f>SUM(F189:F191)/163</f>
        <v>0.54601226993865026</v>
      </c>
      <c r="J193" s="32" t="str">
        <v>tengah</v>
      </c>
      <c r="K193" s="32"/>
      <c r="L193" s="32">
        <f>SUM(K189:K191)/163</f>
        <v>0.63190184049079756</v>
      </c>
      <c r="O193" s="32" t="str">
        <v>kanan</v>
      </c>
      <c r="P193" s="32"/>
      <c r="Q193" s="32">
        <f>SUM(P189:P191)/163</f>
        <v>0.6380368098159509</v>
      </c>
      <c r="T193" s="32" t="str">
        <v>kanan</v>
      </c>
      <c r="U193" s="32"/>
      <c r="V193" s="32">
        <f>SUM(U189:U191)/163</f>
        <v>0.43558282208588955</v>
      </c>
    </row>
    <row r="194" spans="5:22">
      <c r="E194" s="32" t="str">
        <v>tengah</v>
      </c>
      <c r="F194" s="32"/>
      <c r="G194" s="39">
        <f>G192*G193</f>
        <v>0.6272819071293495</v>
      </c>
      <c r="J194" s="32" t="str">
        <v>kanan</v>
      </c>
      <c r="K194" s="32"/>
      <c r="L194" s="39">
        <f>L192*L193</f>
        <v>0.78851125188364357</v>
      </c>
      <c r="O194" s="32" t="str">
        <v>tengah</v>
      </c>
      <c r="P194" s="32"/>
      <c r="Q194" s="39">
        <f>Q192*Q193</f>
        <v>0.60896402640611258</v>
      </c>
      <c r="T194" s="32" t="str">
        <v>tengah</v>
      </c>
      <c r="U194" s="32"/>
      <c r="V194" s="39">
        <f>V192*V193</f>
        <v>0.53551431720061049</v>
      </c>
    </row>
    <row r="195" spans="5:22">
      <c r="E195" s="32" t="str">
        <v>kiri</v>
      </c>
      <c r="F195" s="32"/>
      <c r="G195" s="32"/>
      <c r="J195" s="32" t="str">
        <v>kiri</v>
      </c>
      <c r="K195" s="32"/>
      <c r="L195" s="32"/>
      <c r="O195" s="32" t="str">
        <v>kiri</v>
      </c>
      <c r="P195" s="32"/>
      <c r="Q195" s="32"/>
      <c r="T195" s="32" t="str">
        <v>kanan</v>
      </c>
      <c r="U195" s="32"/>
      <c r="V195" s="32"/>
    </row>
    <row r="196" spans="5:22">
      <c r="E196" s="32" t="str">
        <v>kiri</v>
      </c>
      <c r="F196" s="32" t="s">
        <v>199</v>
      </c>
      <c r="G196" s="40" t="s">
        <v>196</v>
      </c>
      <c r="J196" s="32" t="str">
        <v>kanan</v>
      </c>
      <c r="K196" s="32" t="s">
        <v>199</v>
      </c>
      <c r="L196" s="40" t="s">
        <v>196</v>
      </c>
      <c r="O196" s="32" t="str">
        <v>kiri</v>
      </c>
      <c r="P196" s="32" t="s">
        <v>199</v>
      </c>
      <c r="Q196" s="40" t="s">
        <v>196</v>
      </c>
      <c r="T196" s="32" t="str">
        <v>kanan</v>
      </c>
      <c r="U196" s="32" t="s">
        <v>199</v>
      </c>
      <c r="V196" s="40" t="s">
        <v>196</v>
      </c>
    </row>
    <row r="197" spans="5:22">
      <c r="E197" s="32" t="str">
        <v>kanan</v>
      </c>
      <c r="F197" s="41">
        <f>P5-(G176+G185+G194)</f>
        <v>3.653462236196825E-2</v>
      </c>
      <c r="G197" s="39">
        <f>(G176+G185+G194)</f>
        <v>1.1759400824330273</v>
      </c>
      <c r="J197" s="32" t="str">
        <v>kanan</v>
      </c>
      <c r="K197" s="41">
        <f>P5-(L176+L185+L194)</f>
        <v>3.4158731238251194E-2</v>
      </c>
      <c r="L197" s="39">
        <f>(L176+L185+L194)</f>
        <v>1.1783159735567443</v>
      </c>
      <c r="O197" s="32" t="str">
        <v>tengah</v>
      </c>
      <c r="P197" s="41">
        <f>P5-(Q176+Q185+Q194)</f>
        <v>0.43932476470272863</v>
      </c>
      <c r="Q197" s="39">
        <f>(Q176+Q185+Q194)</f>
        <v>0.7731499400922669</v>
      </c>
      <c r="T197" s="32" t="str">
        <v>kanan</v>
      </c>
      <c r="U197" s="41">
        <f>P5-(V176+V185+V194)</f>
        <v>1.5625580264111871E-2</v>
      </c>
      <c r="V197" s="39">
        <f>(V176+V185+V194)</f>
        <v>1.1968491245308837</v>
      </c>
    </row>
    <row r="198" spans="5:22">
      <c r="E198" s="32" t="str">
        <v>kanan</v>
      </c>
      <c r="F198" s="32"/>
      <c r="G198" s="32"/>
      <c r="J198" s="32" t="str">
        <v>tengah</v>
      </c>
      <c r="K198" s="32"/>
      <c r="L198" s="32"/>
      <c r="O198" s="32" t="str">
        <v>tengah</v>
      </c>
      <c r="P198" s="32"/>
      <c r="Q198" s="32"/>
      <c r="T198" s="32" t="str">
        <v>tengah</v>
      </c>
      <c r="U198" s="32"/>
      <c r="V198" s="32"/>
    </row>
    <row r="199" spans="5:22">
      <c r="E199" s="32" t="str">
        <v>tengah</v>
      </c>
      <c r="F199" s="32"/>
      <c r="G199" s="32"/>
      <c r="J199" s="32" t="str">
        <v>tengah</v>
      </c>
      <c r="K199" s="32"/>
      <c r="L199" s="32"/>
      <c r="O199" s="32" t="str">
        <v>tengah</v>
      </c>
      <c r="P199" s="32"/>
      <c r="Q199" s="32"/>
      <c r="T199" s="32" t="str">
        <v>kanan</v>
      </c>
      <c r="U199" s="32"/>
      <c r="V199" s="32"/>
    </row>
    <row r="200" spans="5:22">
      <c r="E200" s="32" t="str">
        <v>kiri</v>
      </c>
      <c r="F200" s="32"/>
      <c r="G200" s="32"/>
      <c r="J200" s="32" t="str">
        <v>kiri</v>
      </c>
      <c r="K200" s="32"/>
      <c r="L200" s="32"/>
      <c r="O200" s="32" t="str">
        <v>kanan</v>
      </c>
      <c r="P200" s="32"/>
      <c r="Q200" s="32"/>
      <c r="T200" s="32" t="str">
        <v>tengah</v>
      </c>
      <c r="U200" s="32"/>
      <c r="V200" s="32"/>
    </row>
    <row r="201" spans="5:22">
      <c r="E201" s="32" t="str">
        <v>tengah</v>
      </c>
      <c r="F201" s="32"/>
      <c r="G201" s="32"/>
      <c r="J201" s="32" t="str">
        <v>tengah</v>
      </c>
      <c r="K201" s="32"/>
      <c r="L201" s="32"/>
      <c r="O201" s="32" t="str">
        <v>tengah</v>
      </c>
      <c r="P201" s="32"/>
      <c r="Q201" s="32"/>
      <c r="T201" s="32" t="str">
        <v>tengah</v>
      </c>
      <c r="U201" s="32"/>
      <c r="V201" s="32"/>
    </row>
    <row r="202" spans="5:22">
      <c r="E202" s="32" t="str">
        <v>kiri</v>
      </c>
      <c r="F202" s="32"/>
      <c r="G202" s="32"/>
      <c r="J202" s="32" t="str">
        <v>kiri</v>
      </c>
      <c r="K202" s="32"/>
      <c r="L202" s="32"/>
      <c r="O202" s="32" t="str">
        <v>kanan</v>
      </c>
      <c r="P202" s="32"/>
      <c r="Q202" s="32"/>
      <c r="T202" s="32" t="str">
        <v>kanan</v>
      </c>
      <c r="U202" s="32"/>
      <c r="V202" s="32"/>
    </row>
    <row r="203" spans="5:22">
      <c r="E203" s="32" t="str">
        <v>tengah</v>
      </c>
      <c r="F203" s="32"/>
      <c r="G203" s="32"/>
      <c r="J203" s="32" t="str">
        <v>kiri</v>
      </c>
      <c r="K203" s="32"/>
      <c r="L203" s="32"/>
      <c r="O203" s="32" t="str">
        <v>tengah</v>
      </c>
      <c r="P203" s="32"/>
      <c r="Q203" s="32"/>
      <c r="T203" s="32" t="str">
        <v>kanan</v>
      </c>
      <c r="U203" s="32"/>
      <c r="V203" s="32"/>
    </row>
    <row r="204" spans="5:22">
      <c r="E204" s="32" t="str">
        <v>tengah</v>
      </c>
      <c r="F204" s="32"/>
      <c r="G204" s="32"/>
      <c r="J204" s="32" t="str">
        <v>tengah</v>
      </c>
      <c r="K204" s="32"/>
      <c r="L204" s="32"/>
      <c r="O204" s="32" t="str">
        <v>tengah</v>
      </c>
      <c r="P204" s="32"/>
      <c r="Q204" s="32"/>
      <c r="T204" s="32" t="str">
        <v>kanan</v>
      </c>
      <c r="U204" s="32"/>
      <c r="V204" s="32"/>
    </row>
    <row r="205" spans="5:22">
      <c r="E205" s="32" t="str">
        <v>kanan</v>
      </c>
      <c r="F205" s="32"/>
      <c r="G205" s="32"/>
      <c r="J205" s="32" t="str">
        <v>tengah</v>
      </c>
      <c r="K205" s="32"/>
      <c r="L205" s="32"/>
      <c r="O205" s="32" t="str">
        <v>tengah</v>
      </c>
      <c r="P205" s="32"/>
      <c r="Q205" s="32"/>
      <c r="T205" s="32" t="str">
        <v>tengah</v>
      </c>
      <c r="U205" s="32"/>
      <c r="V205" s="32"/>
    </row>
    <row r="206" spans="5:22">
      <c r="E206" s="32" t="str">
        <v>kanan</v>
      </c>
      <c r="F206" s="32"/>
      <c r="G206" s="32"/>
      <c r="J206" s="32" t="str">
        <v>tengah</v>
      </c>
      <c r="K206" s="32"/>
      <c r="L206" s="32"/>
      <c r="O206" s="32" t="str">
        <v>tengah</v>
      </c>
      <c r="P206" s="32"/>
      <c r="Q206" s="32"/>
      <c r="T206" s="32" t="str">
        <v>tengah</v>
      </c>
      <c r="U206" s="32"/>
      <c r="V206" s="32"/>
    </row>
    <row r="207" spans="5:22">
      <c r="E207" s="32" t="str">
        <v>kiri</v>
      </c>
      <c r="F207" s="32"/>
      <c r="G207" s="32"/>
      <c r="J207" s="32" t="str">
        <v>tengah</v>
      </c>
      <c r="K207" s="32"/>
      <c r="L207" s="32"/>
      <c r="O207" s="32" t="str">
        <v>tengah</v>
      </c>
      <c r="P207" s="32"/>
      <c r="Q207" s="32"/>
      <c r="T207" s="32" t="str">
        <v>kanan</v>
      </c>
      <c r="U207" s="32"/>
      <c r="V207" s="32"/>
    </row>
    <row r="208" spans="5:22">
      <c r="E208" s="32" t="str">
        <v>tengah</v>
      </c>
      <c r="F208" s="32"/>
      <c r="G208" s="32"/>
      <c r="J208" s="32" t="str">
        <v>tengah</v>
      </c>
      <c r="K208" s="32"/>
      <c r="L208" s="32"/>
      <c r="O208" s="32" t="str">
        <v>tengah</v>
      </c>
      <c r="P208" s="32"/>
      <c r="Q208" s="32"/>
      <c r="T208" s="32" t="str">
        <v>kanan</v>
      </c>
      <c r="U208" s="32"/>
      <c r="V208" s="32"/>
    </row>
    <row r="209" spans="5:22">
      <c r="E209" s="32" t="str">
        <v>tengah</v>
      </c>
      <c r="F209" s="32"/>
      <c r="G209" s="32"/>
      <c r="J209" s="32" t="str">
        <v>tengah</v>
      </c>
      <c r="K209" s="32"/>
      <c r="L209" s="32"/>
      <c r="O209" s="32" t="str">
        <v>kiri</v>
      </c>
      <c r="P209" s="32"/>
      <c r="Q209" s="32"/>
      <c r="T209" s="32" t="str">
        <v>tengah</v>
      </c>
      <c r="U209" s="32"/>
      <c r="V209" s="32"/>
    </row>
    <row r="210" spans="5:22">
      <c r="E210" s="32" t="str">
        <v>tengah</v>
      </c>
      <c r="F210" s="32"/>
      <c r="G210" s="32"/>
      <c r="J210" s="32" t="str">
        <v>kanan</v>
      </c>
      <c r="K210" s="32"/>
      <c r="L210" s="32"/>
      <c r="O210" s="32" t="str">
        <v>tengah</v>
      </c>
      <c r="P210" s="32"/>
      <c r="Q210" s="32"/>
      <c r="T210" s="32" t="str">
        <v>kanan</v>
      </c>
      <c r="U210" s="32"/>
      <c r="V210" s="32"/>
    </row>
    <row r="211" spans="5:22">
      <c r="E211" s="32" t="str">
        <v>tengah</v>
      </c>
      <c r="F211" s="32"/>
      <c r="G211" s="32"/>
      <c r="J211" s="32" t="str">
        <v>kanan</v>
      </c>
      <c r="K211" s="32"/>
      <c r="L211" s="32"/>
      <c r="O211" s="32" t="str">
        <v>tengah</v>
      </c>
      <c r="P211" s="32"/>
      <c r="Q211" s="32"/>
      <c r="T211" s="32" t="str">
        <v>tengah</v>
      </c>
      <c r="U211" s="32"/>
      <c r="V211" s="32"/>
    </row>
    <row r="212" spans="5:22">
      <c r="E212" s="32" t="str">
        <v>kanan</v>
      </c>
      <c r="F212" s="32"/>
      <c r="G212" s="32"/>
      <c r="J212" s="32" t="str">
        <v>tengah</v>
      </c>
      <c r="K212" s="32"/>
      <c r="L212" s="32"/>
      <c r="O212" s="32" t="str">
        <v>tengah</v>
      </c>
      <c r="P212" s="32"/>
      <c r="Q212" s="32"/>
      <c r="T212" s="32" t="str">
        <v>kanan</v>
      </c>
      <c r="U212" s="32"/>
      <c r="V212" s="32"/>
    </row>
    <row r="213" spans="5:22">
      <c r="E213" s="32" t="str">
        <v>kiri</v>
      </c>
      <c r="F213" s="32"/>
      <c r="G213" s="32"/>
      <c r="J213" s="32" t="str">
        <v>tengah</v>
      </c>
      <c r="K213" s="32"/>
      <c r="L213" s="32"/>
      <c r="O213" s="32" t="str">
        <v>tengah</v>
      </c>
      <c r="P213" s="32"/>
      <c r="Q213" s="32"/>
      <c r="T213" s="32" t="str">
        <v>tengah</v>
      </c>
      <c r="U213" s="32"/>
      <c r="V213" s="32"/>
    </row>
    <row r="214" spans="5:22">
      <c r="E214" s="32" t="str">
        <v>kiri</v>
      </c>
      <c r="F214" s="32"/>
      <c r="G214" s="32"/>
      <c r="J214" s="32" t="str">
        <v>tengah</v>
      </c>
      <c r="K214" s="32"/>
      <c r="L214" s="32"/>
      <c r="O214" s="32" t="str">
        <v>tengah</v>
      </c>
      <c r="P214" s="32"/>
      <c r="Q214" s="32"/>
      <c r="T214" s="32" t="str">
        <v>tengah</v>
      </c>
      <c r="U214" s="32"/>
      <c r="V214" s="32"/>
    </row>
    <row r="215" spans="5:22">
      <c r="E215" s="32" t="str">
        <v>tengah</v>
      </c>
      <c r="F215" s="32"/>
      <c r="G215" s="32"/>
      <c r="J215" s="32" t="str">
        <v>tengah</v>
      </c>
      <c r="K215" s="32"/>
      <c r="L215" s="32"/>
      <c r="O215" s="32" t="str">
        <v>tengah</v>
      </c>
      <c r="P215" s="32"/>
      <c r="Q215" s="32"/>
      <c r="T215" s="32" t="str">
        <v>kanan</v>
      </c>
      <c r="U215" s="32"/>
      <c r="V215" s="32"/>
    </row>
    <row r="216" spans="5:22">
      <c r="E216" s="32" t="str">
        <v>kiri</v>
      </c>
      <c r="F216" s="32"/>
      <c r="G216" s="32"/>
      <c r="J216" s="32" t="str">
        <v>tengah</v>
      </c>
      <c r="K216" s="32"/>
      <c r="L216" s="32"/>
      <c r="O216" s="32" t="str">
        <v>tengah</v>
      </c>
      <c r="P216" s="32"/>
      <c r="Q216" s="32"/>
      <c r="T216" s="32" t="str">
        <v>tengah</v>
      </c>
      <c r="U216" s="32"/>
      <c r="V216" s="32"/>
    </row>
    <row r="217" spans="5:22">
      <c r="E217" s="32" t="str">
        <v>tengah</v>
      </c>
      <c r="F217" s="32"/>
      <c r="G217" s="32"/>
      <c r="J217" s="32" t="str">
        <v>kiri</v>
      </c>
      <c r="K217" s="32"/>
      <c r="L217" s="32"/>
      <c r="O217" s="32" t="str">
        <v>tengah</v>
      </c>
      <c r="P217" s="32"/>
      <c r="Q217" s="32"/>
      <c r="T217" s="32" t="str">
        <v>tengah</v>
      </c>
      <c r="U217" s="32"/>
      <c r="V217" s="32"/>
    </row>
    <row r="218" spans="5:22">
      <c r="E218" s="32" t="str">
        <v>tengah</v>
      </c>
      <c r="F218" s="32"/>
      <c r="G218" s="32"/>
      <c r="J218" s="32" t="str">
        <v>tengah</v>
      </c>
      <c r="K218" s="32"/>
      <c r="L218" s="32"/>
      <c r="O218" s="32" t="str">
        <v>tengah</v>
      </c>
      <c r="P218" s="32"/>
      <c r="Q218" s="32"/>
      <c r="T218" s="32" t="str">
        <v>kanan</v>
      </c>
      <c r="U218" s="32"/>
      <c r="V218" s="32"/>
    </row>
    <row r="219" spans="5:22">
      <c r="E219" s="32" t="str">
        <v>kanan</v>
      </c>
      <c r="F219" s="32"/>
      <c r="G219" s="32"/>
      <c r="J219" s="32" t="str">
        <v>tengah</v>
      </c>
      <c r="K219" s="32"/>
      <c r="L219" s="32"/>
      <c r="O219" s="32" t="str">
        <v>kiri</v>
      </c>
      <c r="P219" s="32"/>
      <c r="Q219" s="32"/>
      <c r="T219" s="32" t="str">
        <v>tengah</v>
      </c>
      <c r="U219" s="32"/>
      <c r="V219" s="32"/>
    </row>
    <row r="220" spans="5:22">
      <c r="E220" s="32" t="str">
        <v>tengah</v>
      </c>
      <c r="F220" s="32"/>
      <c r="G220" s="32"/>
      <c r="J220" s="32" t="str">
        <v>tengah</v>
      </c>
      <c r="K220" s="32"/>
      <c r="L220" s="32"/>
      <c r="O220" s="32" t="str">
        <v>tengah</v>
      </c>
      <c r="P220" s="32"/>
      <c r="Q220" s="32"/>
      <c r="T220" s="32" t="str">
        <v>kanan</v>
      </c>
      <c r="U220" s="32"/>
      <c r="V220" s="32"/>
    </row>
    <row r="221" spans="5:22">
      <c r="E221" s="32" t="str">
        <v>kanan</v>
      </c>
      <c r="F221" s="32"/>
      <c r="G221" s="32"/>
      <c r="J221" s="32" t="str">
        <v>tengah</v>
      </c>
      <c r="K221" s="32"/>
      <c r="L221" s="32"/>
      <c r="O221" s="32" t="str">
        <v>tengah</v>
      </c>
      <c r="P221" s="32"/>
      <c r="Q221" s="32"/>
      <c r="T221" s="32" t="str">
        <v>kanan</v>
      </c>
      <c r="U221" s="32"/>
      <c r="V221" s="32"/>
    </row>
    <row r="222" spans="5:22">
      <c r="E222" s="32" t="str">
        <v>tengah</v>
      </c>
      <c r="F222" s="32"/>
      <c r="G222" s="32"/>
      <c r="J222" s="32" t="str">
        <v>tengah</v>
      </c>
      <c r="K222" s="32"/>
      <c r="L222" s="32"/>
      <c r="O222" s="32" t="str">
        <v>kanan</v>
      </c>
      <c r="P222" s="32"/>
      <c r="Q222" s="32"/>
      <c r="T222" s="32" t="str">
        <v>kanan</v>
      </c>
      <c r="U222" s="32"/>
      <c r="V222" s="32"/>
    </row>
    <row r="223" spans="5:22">
      <c r="E223" s="32" t="str">
        <v>kiri</v>
      </c>
      <c r="F223" s="32"/>
      <c r="G223" s="32"/>
      <c r="J223" s="32" t="str">
        <v>tengah</v>
      </c>
      <c r="K223" s="32"/>
      <c r="L223" s="32"/>
      <c r="O223" s="32" t="str">
        <v>tengah</v>
      </c>
      <c r="P223" s="32"/>
      <c r="Q223" s="32"/>
      <c r="T223" s="32" t="str">
        <v>kanan</v>
      </c>
      <c r="U223" s="32"/>
      <c r="V223" s="32"/>
    </row>
    <row r="224" spans="5:22">
      <c r="E224" s="32" t="str">
        <v>tengah</v>
      </c>
      <c r="F224" s="32"/>
      <c r="G224" s="32"/>
      <c r="J224" s="32" t="str">
        <v>tengah</v>
      </c>
      <c r="K224" s="32"/>
      <c r="L224" s="32"/>
      <c r="O224" s="32" t="str">
        <v>tengah</v>
      </c>
      <c r="P224" s="32"/>
      <c r="Q224" s="32"/>
      <c r="T224" s="32" t="str">
        <v>tengah</v>
      </c>
      <c r="U224" s="32"/>
      <c r="V224" s="32"/>
    </row>
    <row r="225" spans="5:22">
      <c r="E225" s="32" t="str">
        <v>tengah</v>
      </c>
      <c r="F225" s="32"/>
      <c r="G225" s="32"/>
      <c r="J225" s="32" t="str">
        <v>kiri</v>
      </c>
      <c r="K225" s="32"/>
      <c r="L225" s="32"/>
      <c r="O225" s="32" t="str">
        <v>tengah</v>
      </c>
      <c r="P225" s="32"/>
      <c r="Q225" s="32"/>
      <c r="T225" s="32" t="str">
        <v>kanan</v>
      </c>
      <c r="U225" s="32"/>
      <c r="V225" s="32"/>
    </row>
    <row r="226" spans="5:22">
      <c r="E226" s="32" t="str">
        <v>tengah</v>
      </c>
      <c r="F226" s="32"/>
      <c r="G226" s="32"/>
      <c r="J226" s="32" t="str">
        <v>tengah</v>
      </c>
      <c r="K226" s="32"/>
      <c r="L226" s="32"/>
      <c r="O226" s="32" t="str">
        <v>tengah</v>
      </c>
      <c r="P226" s="32"/>
      <c r="Q226" s="32"/>
      <c r="T226" s="32" t="str">
        <v>tengah</v>
      </c>
      <c r="U226" s="32"/>
      <c r="V226" s="32"/>
    </row>
    <row r="227" spans="5:22">
      <c r="E227" s="32" t="str">
        <v>tengah</v>
      </c>
      <c r="F227" s="32"/>
      <c r="G227" s="32"/>
      <c r="J227" s="32" t="str">
        <v>tengah</v>
      </c>
      <c r="K227" s="32"/>
      <c r="L227" s="32"/>
      <c r="O227" s="32" t="str">
        <v>tengah</v>
      </c>
      <c r="P227" s="32"/>
      <c r="Q227" s="32"/>
      <c r="T227" s="32" t="str">
        <v>kanan</v>
      </c>
      <c r="U227" s="32"/>
      <c r="V227" s="32"/>
    </row>
    <row r="228" spans="5:22">
      <c r="E228" s="32" t="str">
        <v>tengah</v>
      </c>
      <c r="F228" s="32"/>
      <c r="G228" s="32"/>
      <c r="J228" s="32" t="str">
        <v>tengah</v>
      </c>
      <c r="K228" s="32"/>
      <c r="L228" s="32"/>
      <c r="O228" s="32" t="str">
        <v>tengah</v>
      </c>
      <c r="P228" s="32"/>
      <c r="Q228" s="32"/>
      <c r="T228" s="32" t="str">
        <v>tengah</v>
      </c>
      <c r="U228" s="32"/>
      <c r="V228" s="32"/>
    </row>
    <row r="229" spans="5:22">
      <c r="E229" s="32" t="str">
        <v>kiri</v>
      </c>
      <c r="F229" s="32"/>
      <c r="G229" s="32"/>
      <c r="J229" s="32" t="str">
        <v>kiri</v>
      </c>
      <c r="K229" s="32"/>
      <c r="L229" s="32"/>
      <c r="O229" s="32" t="str">
        <v>tengah</v>
      </c>
      <c r="P229" s="32"/>
      <c r="Q229" s="32"/>
      <c r="T229" s="32" t="str">
        <v>kanan</v>
      </c>
      <c r="U229" s="32"/>
      <c r="V229" s="32"/>
    </row>
    <row r="230" spans="5:22">
      <c r="E230" s="32" t="str">
        <v>kanan</v>
      </c>
      <c r="F230" s="32"/>
      <c r="G230" s="32"/>
      <c r="J230" s="32" t="str">
        <v>kiri</v>
      </c>
      <c r="K230" s="32"/>
      <c r="L230" s="32"/>
      <c r="O230" s="32" t="str">
        <v>tengah</v>
      </c>
      <c r="P230" s="32"/>
      <c r="Q230" s="32"/>
      <c r="T230" s="32" t="str">
        <v>kanan</v>
      </c>
      <c r="U230" s="32"/>
      <c r="V230" s="32"/>
    </row>
    <row r="231" spans="5:22">
      <c r="E231" s="32" t="str">
        <v>tengah</v>
      </c>
      <c r="F231" s="32"/>
      <c r="G231" s="32"/>
      <c r="J231" s="32" t="str">
        <v>tengah</v>
      </c>
      <c r="K231" s="32"/>
      <c r="L231" s="32"/>
      <c r="O231" s="32" t="str">
        <v>tengah</v>
      </c>
      <c r="P231" s="32"/>
      <c r="Q231" s="32"/>
      <c r="T231" s="32" t="str">
        <v>kanan</v>
      </c>
      <c r="U231" s="32"/>
      <c r="V231" s="32"/>
    </row>
    <row r="232" spans="5:22">
      <c r="E232" s="32" t="str">
        <v>kiri</v>
      </c>
      <c r="F232" s="32"/>
      <c r="G232" s="32"/>
      <c r="J232" s="32" t="str">
        <v>tengah</v>
      </c>
      <c r="K232" s="32"/>
      <c r="L232" s="32"/>
      <c r="O232" s="32" t="str">
        <v>tengah</v>
      </c>
      <c r="P232" s="32"/>
      <c r="Q232" s="32"/>
      <c r="T232" s="32" t="str">
        <v>kanan</v>
      </c>
      <c r="U232" s="32"/>
      <c r="V232" s="32"/>
    </row>
    <row r="233" spans="5:22">
      <c r="E233" s="32" t="str">
        <v>tengah</v>
      </c>
      <c r="F233" s="32"/>
      <c r="G233" s="32"/>
      <c r="J233" s="32" t="str">
        <v>tengah</v>
      </c>
      <c r="K233" s="32"/>
      <c r="L233" s="32"/>
      <c r="O233" s="32" t="str">
        <v>tengah</v>
      </c>
      <c r="P233" s="32"/>
      <c r="Q233" s="32"/>
      <c r="T233" s="32" t="str">
        <v>kanan</v>
      </c>
      <c r="U233" s="32"/>
      <c r="V233" s="32"/>
    </row>
    <row r="234" spans="5:22">
      <c r="E234" s="32" t="str">
        <v>tengah</v>
      </c>
      <c r="F234" s="32"/>
      <c r="G234" s="32"/>
      <c r="J234" s="32" t="str">
        <v>tengah</v>
      </c>
      <c r="K234" s="32"/>
      <c r="L234" s="32"/>
      <c r="O234" s="32" t="str">
        <v>kiri</v>
      </c>
      <c r="P234" s="32"/>
      <c r="Q234" s="32"/>
      <c r="T234" s="32" t="str">
        <v>kanan</v>
      </c>
      <c r="U234" s="32"/>
      <c r="V234" s="32"/>
    </row>
    <row r="235" spans="5:22">
      <c r="E235" s="32" t="str">
        <v>kanan</v>
      </c>
      <c r="F235" s="32"/>
      <c r="G235" s="32"/>
      <c r="J235" s="32" t="str">
        <v>tengah</v>
      </c>
      <c r="K235" s="32"/>
      <c r="L235" s="32"/>
      <c r="O235" s="32" t="str">
        <v>tengah</v>
      </c>
      <c r="P235" s="32"/>
      <c r="Q235" s="32"/>
      <c r="T235" s="32" t="str">
        <v>kanan</v>
      </c>
      <c r="U235" s="32"/>
      <c r="V235" s="32"/>
    </row>
    <row r="236" spans="5:22">
      <c r="E236" s="32" t="str">
        <v>tengah</v>
      </c>
      <c r="F236" s="32"/>
      <c r="G236" s="32"/>
      <c r="J236" s="32" t="str">
        <v>tengah</v>
      </c>
      <c r="K236" s="32"/>
      <c r="L236" s="32"/>
      <c r="O236" s="32" t="str">
        <v>tengah</v>
      </c>
      <c r="P236" s="32"/>
      <c r="Q236" s="32"/>
      <c r="T236" s="32" t="str">
        <v>kanan</v>
      </c>
      <c r="U236" s="32"/>
      <c r="V236" s="32"/>
    </row>
    <row r="237" spans="5:22">
      <c r="E237" s="32" t="str">
        <v>kanan</v>
      </c>
      <c r="F237" s="32"/>
      <c r="G237" s="32"/>
      <c r="J237" s="32" t="str">
        <v>tengah</v>
      </c>
      <c r="K237" s="32"/>
      <c r="L237" s="32"/>
      <c r="O237" s="32" t="str">
        <v>kanan</v>
      </c>
      <c r="P237" s="32"/>
      <c r="Q237" s="32"/>
      <c r="T237" s="32" t="str">
        <v>kanan</v>
      </c>
      <c r="U237" s="32"/>
      <c r="V237" s="32"/>
    </row>
    <row r="238" spans="5:22">
      <c r="E238" s="32" t="str">
        <v>tengah</v>
      </c>
      <c r="F238" s="32"/>
      <c r="G238" s="32"/>
      <c r="J238" s="32" t="str">
        <v>kanan</v>
      </c>
      <c r="K238" s="32"/>
      <c r="L238" s="32"/>
      <c r="O238" s="32" t="str">
        <v>kanan</v>
      </c>
      <c r="P238" s="32"/>
      <c r="Q238" s="32"/>
      <c r="T238" s="32" t="str">
        <v>tengah</v>
      </c>
      <c r="U238" s="32"/>
      <c r="V238" s="32"/>
    </row>
    <row r="239" spans="5:22">
      <c r="E239" s="32" t="str">
        <v>tengah</v>
      </c>
      <c r="F239" s="32"/>
      <c r="G239" s="32"/>
      <c r="J239" s="32" t="str">
        <v>kanan</v>
      </c>
      <c r="K239" s="32"/>
      <c r="L239" s="32"/>
      <c r="O239" s="32" t="str">
        <v>kiri</v>
      </c>
      <c r="P239" s="32"/>
      <c r="Q239" s="32"/>
      <c r="T239" s="32" t="str">
        <v>kanan</v>
      </c>
      <c r="U239" s="32"/>
      <c r="V239" s="32"/>
    </row>
    <row r="240" spans="5:22">
      <c r="E240" s="32" t="str">
        <v>kiri</v>
      </c>
      <c r="F240" s="32"/>
      <c r="G240" s="32"/>
      <c r="J240" s="32" t="str">
        <v>tengah</v>
      </c>
      <c r="K240" s="32"/>
      <c r="L240" s="32"/>
      <c r="O240" s="32" t="str">
        <v>tengah</v>
      </c>
      <c r="P240" s="32"/>
      <c r="Q240" s="32"/>
      <c r="T240" s="32" t="str">
        <v>tengah</v>
      </c>
      <c r="U240" s="32"/>
      <c r="V240" s="32"/>
    </row>
    <row r="241" spans="5:22">
      <c r="E241" s="32" t="str">
        <v>tengah</v>
      </c>
      <c r="F241" s="32"/>
      <c r="G241" s="32"/>
      <c r="J241" s="32" t="str">
        <v>kiri</v>
      </c>
      <c r="K241" s="32"/>
      <c r="L241" s="32"/>
      <c r="O241" s="32" t="str">
        <v>tengah</v>
      </c>
      <c r="P241" s="32"/>
      <c r="Q241" s="32"/>
      <c r="T241" s="32" t="str">
        <v>tengah</v>
      </c>
      <c r="U241" s="32"/>
      <c r="V241" s="32"/>
    </row>
    <row r="242" spans="5:22">
      <c r="E242" s="32" t="str">
        <v>kanan</v>
      </c>
      <c r="F242" s="32"/>
      <c r="G242" s="32"/>
      <c r="J242" s="32" t="str">
        <v>tengah</v>
      </c>
      <c r="K242" s="32"/>
      <c r="L242" s="32"/>
      <c r="O242" s="32" t="str">
        <v>tengah</v>
      </c>
      <c r="P242" s="32"/>
      <c r="Q242" s="32"/>
      <c r="T242" s="32" t="str">
        <v>kanan</v>
      </c>
      <c r="U242" s="32"/>
      <c r="V242" s="32"/>
    </row>
    <row r="243" spans="5:22">
      <c r="E243" s="32" t="str">
        <v>tengah</v>
      </c>
      <c r="F243" s="32"/>
      <c r="G243" s="32"/>
      <c r="J243" s="32" t="str">
        <v>kanan</v>
      </c>
      <c r="K243" s="32"/>
      <c r="L243" s="32"/>
      <c r="O243" s="32" t="str">
        <v>tengah</v>
      </c>
      <c r="P243" s="32"/>
      <c r="Q243" s="32"/>
      <c r="T243" s="32" t="str">
        <v>tengah</v>
      </c>
      <c r="U243" s="32"/>
      <c r="V243" s="32"/>
    </row>
    <row r="244" spans="5:22">
      <c r="E244" s="32" t="str">
        <v>tengah</v>
      </c>
      <c r="F244" s="32"/>
      <c r="G244" s="32"/>
      <c r="J244" s="32" t="str">
        <v>tengah</v>
      </c>
      <c r="K244" s="32"/>
      <c r="L244" s="32"/>
      <c r="O244" s="32" t="str">
        <v>kiri</v>
      </c>
      <c r="P244" s="32"/>
      <c r="Q244" s="32"/>
      <c r="T244" s="32" t="str">
        <v>kanan</v>
      </c>
      <c r="U244" s="32"/>
      <c r="V244" s="32"/>
    </row>
    <row r="245" spans="5:22">
      <c r="E245" s="32" t="str">
        <v>tengah</v>
      </c>
      <c r="F245" s="32"/>
      <c r="G245" s="32"/>
      <c r="J245" s="32" t="str">
        <v>kanan</v>
      </c>
      <c r="K245" s="32"/>
      <c r="L245" s="32"/>
      <c r="O245" s="32" t="str">
        <v>tengah</v>
      </c>
      <c r="P245" s="32"/>
      <c r="Q245" s="32"/>
      <c r="T245" s="32" t="str">
        <v>kanan</v>
      </c>
      <c r="U245" s="32"/>
      <c r="V245" s="32"/>
    </row>
    <row r="246" spans="5:22">
      <c r="E246" s="32" t="str">
        <v>kiri</v>
      </c>
      <c r="F246" s="32"/>
      <c r="G246" s="32"/>
      <c r="J246" s="32" t="str">
        <v>tengah</v>
      </c>
      <c r="K246" s="32"/>
      <c r="L246" s="32"/>
      <c r="O246" s="32" t="str">
        <v>kanan</v>
      </c>
      <c r="P246" s="32"/>
      <c r="Q246" s="32"/>
      <c r="T246" s="32" t="str">
        <v>tengah</v>
      </c>
      <c r="U246" s="32"/>
      <c r="V246" s="32"/>
    </row>
    <row r="247" spans="5:22">
      <c r="E247" s="32" t="str">
        <v>tengah</v>
      </c>
      <c r="F247" s="32"/>
      <c r="G247" s="32"/>
      <c r="J247" s="32" t="str">
        <v>tengah</v>
      </c>
      <c r="K247" s="32"/>
      <c r="L247" s="32"/>
      <c r="O247" s="32" t="str">
        <v>tengah</v>
      </c>
      <c r="P247" s="32"/>
      <c r="Q247" s="32"/>
      <c r="T247" s="32" t="str">
        <v>kanan</v>
      </c>
      <c r="U247" s="32"/>
      <c r="V247" s="32"/>
    </row>
    <row r="248" spans="5:22">
      <c r="E248" s="32" t="str">
        <v>tengah</v>
      </c>
      <c r="F248" s="32"/>
      <c r="G248" s="32"/>
      <c r="J248" s="32" t="str">
        <v>tengah</v>
      </c>
      <c r="K248" s="32"/>
      <c r="L248" s="32"/>
      <c r="O248" s="32" t="str">
        <v>tengah</v>
      </c>
      <c r="P248" s="32"/>
      <c r="Q248" s="32"/>
      <c r="T248" s="32" t="str">
        <v>tengah</v>
      </c>
      <c r="U248" s="32"/>
      <c r="V248" s="32"/>
    </row>
    <row r="249" spans="5:22">
      <c r="E249" s="32" t="str">
        <v>kiri</v>
      </c>
      <c r="F249" s="32"/>
      <c r="G249" s="32"/>
      <c r="J249" s="32" t="str">
        <v>tengah</v>
      </c>
      <c r="K249" s="32"/>
      <c r="L249" s="32"/>
      <c r="O249" s="32" t="str">
        <v>kanan</v>
      </c>
      <c r="P249" s="32"/>
      <c r="Q249" s="32"/>
      <c r="T249" s="32" t="str">
        <v>tengah</v>
      </c>
      <c r="U249" s="32"/>
      <c r="V249" s="32"/>
    </row>
    <row r="250" spans="5:22">
      <c r="E250" s="32" t="str">
        <v>kanan</v>
      </c>
      <c r="F250" s="32"/>
      <c r="G250" s="32"/>
      <c r="J250" s="32" t="str">
        <v>tengah</v>
      </c>
      <c r="K250" s="32"/>
      <c r="L250" s="32"/>
      <c r="O250" s="32" t="str">
        <v>tengah</v>
      </c>
      <c r="P250" s="32"/>
      <c r="Q250" s="32"/>
      <c r="T250" s="32" t="str">
        <v>tengah</v>
      </c>
      <c r="U250" s="32"/>
      <c r="V250" s="32"/>
    </row>
    <row r="251" spans="5:22">
      <c r="E251" s="32" t="str">
        <v>tengah</v>
      </c>
      <c r="F251" s="32"/>
      <c r="G251" s="32"/>
      <c r="J251" s="32" t="str">
        <v>tengah</v>
      </c>
      <c r="K251" s="32"/>
      <c r="L251" s="32"/>
      <c r="O251" s="32" t="str">
        <v>tengah</v>
      </c>
      <c r="P251" s="32"/>
      <c r="Q251" s="32"/>
      <c r="T251" s="32" t="str">
        <v>tengah</v>
      </c>
      <c r="U251" s="32"/>
      <c r="V251" s="32"/>
    </row>
    <row r="252" spans="5:22">
      <c r="E252" s="32" t="str">
        <v>tengah</v>
      </c>
      <c r="F252" s="32"/>
      <c r="G252" s="32"/>
      <c r="J252" s="32" t="str">
        <v>tengah</v>
      </c>
      <c r="K252" s="32"/>
      <c r="L252" s="32"/>
      <c r="O252" s="32" t="str">
        <v>tengah</v>
      </c>
      <c r="P252" s="32"/>
      <c r="Q252" s="32"/>
      <c r="T252" s="32" t="str">
        <v>kanan</v>
      </c>
      <c r="U252" s="32"/>
      <c r="V252" s="32"/>
    </row>
    <row r="253" spans="5:22">
      <c r="E253" s="32" t="str">
        <v>kiri</v>
      </c>
      <c r="F253" s="32"/>
      <c r="G253" s="32"/>
      <c r="J253" s="32" t="str">
        <v>tengah</v>
      </c>
      <c r="K253" s="32"/>
      <c r="L253" s="32"/>
      <c r="O253" s="32" t="str">
        <v>tengah</v>
      </c>
      <c r="P253" s="32"/>
      <c r="Q253" s="32"/>
      <c r="T253" s="32" t="str">
        <v>tengah</v>
      </c>
      <c r="U253" s="32"/>
      <c r="V253" s="32"/>
    </row>
    <row r="254" spans="5:22">
      <c r="E254" s="32" t="str">
        <v>tengah</v>
      </c>
      <c r="F254" s="32"/>
      <c r="G254" s="32"/>
      <c r="J254" s="32" t="str">
        <v>tengah</v>
      </c>
      <c r="K254" s="32"/>
      <c r="L254" s="32"/>
      <c r="O254" s="32" t="str">
        <v>tengah</v>
      </c>
      <c r="P254" s="32"/>
      <c r="Q254" s="32"/>
      <c r="T254" s="32" t="str">
        <v>kanan</v>
      </c>
      <c r="U254" s="32"/>
      <c r="V254" s="32"/>
    </row>
    <row r="255" spans="5:22">
      <c r="E255" s="32" t="str">
        <v>tengah</v>
      </c>
      <c r="F255" s="32"/>
      <c r="G255" s="32"/>
      <c r="J255" s="32" t="str">
        <v>tengah</v>
      </c>
      <c r="K255" s="32"/>
      <c r="L255" s="32"/>
      <c r="O255" s="32" t="str">
        <v>tengah</v>
      </c>
      <c r="P255" s="32"/>
      <c r="Q255" s="32"/>
      <c r="T255" s="32" t="str">
        <v>kanan</v>
      </c>
      <c r="U255" s="32"/>
      <c r="V255" s="32"/>
    </row>
    <row r="256" spans="5:22">
      <c r="E256" s="32" t="str">
        <v>tengah</v>
      </c>
      <c r="F256" s="32"/>
      <c r="G256" s="32"/>
      <c r="J256" s="32" t="str">
        <v>kanan</v>
      </c>
      <c r="K256" s="32"/>
      <c r="L256" s="32"/>
      <c r="O256" s="32" t="str">
        <v>tengah</v>
      </c>
      <c r="P256" s="32"/>
      <c r="Q256" s="32"/>
      <c r="T256" s="32" t="str">
        <v>kanan</v>
      </c>
      <c r="U256" s="32"/>
      <c r="V256" s="32"/>
    </row>
    <row r="257" spans="5:22">
      <c r="E257" s="32" t="str">
        <v>kiri</v>
      </c>
      <c r="F257" s="32"/>
      <c r="G257" s="32"/>
      <c r="J257" s="32" t="str">
        <v>tengah</v>
      </c>
      <c r="K257" s="32"/>
      <c r="L257" s="32"/>
      <c r="O257" s="32" t="str">
        <v>kanan</v>
      </c>
      <c r="P257" s="32"/>
      <c r="Q257" s="32"/>
      <c r="T257" s="32" t="str">
        <v>kanan</v>
      </c>
      <c r="U257" s="32"/>
      <c r="V257" s="32"/>
    </row>
    <row r="258" spans="5:22">
      <c r="E258" s="32" t="str">
        <v>kiri</v>
      </c>
      <c r="F258" s="32"/>
      <c r="G258" s="32"/>
      <c r="J258" s="32" t="str">
        <v>kanan</v>
      </c>
      <c r="K258" s="32"/>
      <c r="L258" s="32"/>
      <c r="O258" s="32" t="str">
        <v>tengah</v>
      </c>
      <c r="P258" s="32"/>
      <c r="Q258" s="32"/>
      <c r="T258" s="32" t="str">
        <v>kanan</v>
      </c>
      <c r="U258" s="32"/>
      <c r="V258" s="32"/>
    </row>
    <row r="259" spans="5:22">
      <c r="E259" s="32" t="str">
        <v>tengah</v>
      </c>
      <c r="F259" s="32"/>
      <c r="G259" s="32"/>
      <c r="J259" s="32" t="str">
        <v>tengah</v>
      </c>
      <c r="K259" s="32"/>
      <c r="L259" s="32"/>
      <c r="O259" s="32" t="str">
        <v>tengah</v>
      </c>
      <c r="P259" s="32"/>
      <c r="Q259" s="32"/>
      <c r="T259" s="32" t="str">
        <v>kanan</v>
      </c>
      <c r="U259" s="32"/>
      <c r="V259" s="32"/>
    </row>
    <row r="260" spans="5:22">
      <c r="E260" s="32" t="str">
        <v>tengah</v>
      </c>
      <c r="F260" s="32"/>
      <c r="G260" s="32"/>
      <c r="J260" s="32" t="str">
        <v>kiri</v>
      </c>
      <c r="K260" s="32"/>
      <c r="L260" s="32"/>
      <c r="O260" s="32" t="str">
        <v>tengah</v>
      </c>
      <c r="P260" s="32"/>
      <c r="Q260" s="32"/>
      <c r="T260" s="32" t="str">
        <v>tengah</v>
      </c>
      <c r="U260" s="32"/>
      <c r="V260" s="32"/>
    </row>
    <row r="261" spans="5:22">
      <c r="E261" s="32" t="str">
        <v>kiri</v>
      </c>
      <c r="F261" s="32"/>
      <c r="G261" s="32"/>
      <c r="J261" s="32" t="str">
        <v>kiri</v>
      </c>
      <c r="K261" s="32"/>
      <c r="L261" s="32"/>
      <c r="O261" s="32" t="str">
        <v>kanan</v>
      </c>
      <c r="P261" s="32"/>
      <c r="Q261" s="32"/>
      <c r="T261" s="32" t="str">
        <v>kanan</v>
      </c>
      <c r="U261" s="32"/>
      <c r="V261" s="32"/>
    </row>
    <row r="262" spans="5:22">
      <c r="E262" s="32" t="str">
        <v>tengah</v>
      </c>
      <c r="F262" s="32"/>
      <c r="G262" s="32"/>
      <c r="J262" s="32" t="str">
        <v>kiri</v>
      </c>
      <c r="K262" s="32"/>
      <c r="L262" s="32"/>
      <c r="O262" s="32" t="str">
        <v>tengah</v>
      </c>
      <c r="P262" s="32"/>
      <c r="Q262" s="32"/>
      <c r="T262" s="32" t="str">
        <v>kanan</v>
      </c>
      <c r="U262" s="32"/>
      <c r="V262" s="32"/>
    </row>
    <row r="263" spans="5:22">
      <c r="E263" s="32" t="str">
        <v>tengah</v>
      </c>
      <c r="F263" s="32"/>
      <c r="G263" s="32"/>
      <c r="J263" s="32" t="str">
        <v>tengah</v>
      </c>
      <c r="K263" s="32"/>
      <c r="L263" s="32"/>
      <c r="O263" s="32" t="str">
        <v>tengah</v>
      </c>
      <c r="P263" s="32"/>
      <c r="Q263" s="32"/>
      <c r="T263" s="32" t="str">
        <v>tengah</v>
      </c>
      <c r="U263" s="32"/>
      <c r="V263" s="32"/>
    </row>
    <row r="264" spans="5:22">
      <c r="E264" s="32" t="str">
        <v>kanan</v>
      </c>
      <c r="F264" s="32"/>
      <c r="G264" s="32"/>
      <c r="J264" s="32" t="str">
        <v>tengah</v>
      </c>
      <c r="K264" s="32"/>
      <c r="L264" s="32"/>
      <c r="O264" s="32" t="str">
        <v>tengah</v>
      </c>
      <c r="P264" s="32"/>
      <c r="Q264" s="32"/>
      <c r="T264" s="32" t="str">
        <v>kanan</v>
      </c>
      <c r="U264" s="32"/>
      <c r="V264" s="32"/>
    </row>
    <row r="265" spans="5:22">
      <c r="E265" s="32" t="str">
        <v>kiri</v>
      </c>
      <c r="F265" s="32"/>
      <c r="G265" s="32"/>
      <c r="J265" s="32" t="str">
        <v>tengah</v>
      </c>
      <c r="K265" s="32"/>
      <c r="L265" s="32"/>
      <c r="O265" s="32" t="str">
        <v>kiri</v>
      </c>
      <c r="P265" s="32"/>
      <c r="Q265" s="32"/>
      <c r="T265" s="32" t="str">
        <v>kanan</v>
      </c>
      <c r="U265" s="32"/>
      <c r="V265" s="32"/>
    </row>
    <row r="266" spans="5:22">
      <c r="E266" s="32" t="str">
        <v>kiri</v>
      </c>
      <c r="F266" s="32"/>
      <c r="G266" s="32"/>
      <c r="J266" s="32" t="str">
        <v>tengah</v>
      </c>
      <c r="K266" s="32"/>
      <c r="L266" s="32"/>
      <c r="O266" s="32" t="str">
        <v>tengah</v>
      </c>
      <c r="P266" s="32"/>
      <c r="Q266" s="32"/>
      <c r="T266" s="32" t="str">
        <v>tengah</v>
      </c>
      <c r="U266" s="32"/>
      <c r="V266" s="32"/>
    </row>
    <row r="267" spans="5:22">
      <c r="E267" s="32" t="str">
        <v>kiri</v>
      </c>
      <c r="F267" s="32"/>
      <c r="G267" s="32"/>
      <c r="J267" s="32" t="str">
        <v>tengah</v>
      </c>
      <c r="K267" s="32"/>
      <c r="L267" s="32"/>
      <c r="O267" s="32" t="str">
        <v>kiri</v>
      </c>
      <c r="P267" s="32"/>
      <c r="Q267" s="32"/>
      <c r="T267" s="32" t="str">
        <v>tengah</v>
      </c>
      <c r="U267" s="32"/>
      <c r="V267" s="32"/>
    </row>
    <row r="268" spans="5:22">
      <c r="E268" s="32" t="str">
        <v>kanan</v>
      </c>
      <c r="F268" s="32"/>
      <c r="G268" s="32"/>
      <c r="J268" s="32" t="str">
        <v>tengah</v>
      </c>
      <c r="K268" s="32"/>
      <c r="L268" s="32"/>
      <c r="O268" s="32" t="str">
        <v>tengah</v>
      </c>
      <c r="P268" s="32"/>
      <c r="Q268" s="32"/>
      <c r="T268" s="32" t="str">
        <v>tengah</v>
      </c>
      <c r="U268" s="32"/>
      <c r="V268" s="32"/>
    </row>
    <row r="269" spans="5:22">
      <c r="E269" s="32" t="str">
        <v>tengah</v>
      </c>
      <c r="F269" s="32"/>
      <c r="G269" s="32"/>
      <c r="J269" s="32" t="str">
        <v>kiri</v>
      </c>
      <c r="K269" s="32"/>
      <c r="L269" s="32"/>
      <c r="O269" s="32" t="str">
        <v>kanan</v>
      </c>
      <c r="P269" s="32"/>
      <c r="Q269" s="32"/>
      <c r="T269" s="32" t="str">
        <v>tengah</v>
      </c>
      <c r="U269" s="32"/>
      <c r="V269" s="32"/>
    </row>
    <row r="270" spans="5:22">
      <c r="E270" s="32" t="str">
        <v>tengah</v>
      </c>
      <c r="F270" s="32"/>
      <c r="G270" s="32"/>
      <c r="J270" s="32" t="str">
        <v>tengah</v>
      </c>
      <c r="K270" s="32"/>
      <c r="L270" s="32"/>
      <c r="O270" s="32" t="str">
        <v>tengah</v>
      </c>
      <c r="P270" s="32"/>
      <c r="Q270" s="32"/>
      <c r="T270" s="32" t="str">
        <v>kanan</v>
      </c>
      <c r="U270" s="32"/>
      <c r="V270" s="32"/>
    </row>
    <row r="271" spans="5:22">
      <c r="E271" s="32" t="str">
        <v>tengah</v>
      </c>
      <c r="F271" s="32"/>
      <c r="G271" s="32"/>
      <c r="J271" s="32" t="str">
        <v>tengah</v>
      </c>
      <c r="K271" s="32"/>
      <c r="L271" s="32"/>
      <c r="O271" s="32" t="str">
        <v>tengah</v>
      </c>
      <c r="P271" s="32"/>
      <c r="Q271" s="32"/>
      <c r="T271" s="32" t="str">
        <v>kanan</v>
      </c>
      <c r="U271" s="32"/>
      <c r="V271" s="32"/>
    </row>
    <row r="272" spans="5:22">
      <c r="E272" s="32" t="str">
        <v>kanan</v>
      </c>
      <c r="F272" s="32"/>
      <c r="G272" s="32"/>
      <c r="J272" s="32" t="str">
        <v>tengah</v>
      </c>
      <c r="K272" s="32"/>
      <c r="L272" s="32"/>
      <c r="O272" s="32" t="str">
        <v>kanan</v>
      </c>
      <c r="P272" s="32"/>
      <c r="Q272" s="32"/>
      <c r="T272" s="32" t="str">
        <v>kanan</v>
      </c>
      <c r="U272" s="32"/>
      <c r="V272" s="32"/>
    </row>
    <row r="273" spans="5:22">
      <c r="E273" s="32" t="str">
        <v>tengah</v>
      </c>
      <c r="F273" s="32"/>
      <c r="G273" s="32"/>
      <c r="J273" s="32" t="str">
        <v>tengah</v>
      </c>
      <c r="K273" s="32"/>
      <c r="L273" s="32"/>
      <c r="O273" s="32" t="str">
        <v>tengah</v>
      </c>
      <c r="P273" s="32"/>
      <c r="Q273" s="32"/>
      <c r="T273" s="32" t="str">
        <v>kanan</v>
      </c>
      <c r="U273" s="32"/>
      <c r="V273" s="32"/>
    </row>
    <row r="274" spans="5:22">
      <c r="E274" s="32" t="str">
        <v>tengah</v>
      </c>
      <c r="F274" s="32"/>
      <c r="G274" s="32"/>
      <c r="J274" s="32" t="str">
        <v>tengah</v>
      </c>
      <c r="K274" s="32"/>
      <c r="L274" s="32"/>
      <c r="O274" s="32" t="str">
        <v>tengah</v>
      </c>
      <c r="P274" s="32"/>
      <c r="Q274" s="32"/>
      <c r="T274" s="32" t="str">
        <v>tengah</v>
      </c>
      <c r="U274" s="32"/>
      <c r="V274" s="32"/>
    </row>
    <row r="275" spans="5:22">
      <c r="E275" s="32" t="str">
        <v>tengah</v>
      </c>
      <c r="F275" s="32"/>
      <c r="G275" s="32"/>
      <c r="J275" s="32" t="str">
        <v>kanan</v>
      </c>
      <c r="K275" s="32"/>
      <c r="L275" s="32"/>
      <c r="O275" s="32" t="str">
        <v>tengah</v>
      </c>
      <c r="P275" s="32"/>
      <c r="Q275" s="32"/>
      <c r="T275" s="32" t="str">
        <v>kanan</v>
      </c>
      <c r="U275" s="32"/>
      <c r="V275" s="32"/>
    </row>
    <row r="276" spans="5:22">
      <c r="E276" s="32" t="str">
        <v>kiri</v>
      </c>
      <c r="F276" s="32"/>
      <c r="G276" s="32"/>
      <c r="J276" s="32" t="str">
        <v>kiri</v>
      </c>
      <c r="K276" s="32"/>
      <c r="L276" s="32"/>
      <c r="O276" s="32" t="str">
        <v>tengah</v>
      </c>
      <c r="P276" s="32"/>
      <c r="Q276" s="32"/>
      <c r="T276" s="32" t="str">
        <v>kanan</v>
      </c>
      <c r="U276" s="32"/>
      <c r="V276" s="32"/>
    </row>
    <row r="277" spans="5:22">
      <c r="E277" s="32" t="str">
        <v>tengah</v>
      </c>
      <c r="F277" s="32"/>
      <c r="G277" s="32"/>
      <c r="J277" s="32" t="str">
        <v>kanan</v>
      </c>
      <c r="K277" s="32"/>
      <c r="L277" s="32"/>
      <c r="O277" s="32" t="str">
        <v>kiri</v>
      </c>
      <c r="P277" s="32"/>
      <c r="Q277" s="32"/>
      <c r="T277" s="32" t="str">
        <v>tengah</v>
      </c>
      <c r="U277" s="32"/>
      <c r="V277" s="32"/>
    </row>
    <row r="278" spans="5:22">
      <c r="E278" s="32" t="str">
        <v>kiri</v>
      </c>
      <c r="F278" s="32"/>
      <c r="G278" s="32"/>
      <c r="J278" s="32" t="str">
        <v>kanan</v>
      </c>
      <c r="K278" s="32"/>
      <c r="L278" s="32"/>
      <c r="O278" s="32" t="str">
        <v>tengah</v>
      </c>
      <c r="P278" s="32"/>
      <c r="Q278" s="32"/>
      <c r="T278" s="32" t="str">
        <v>kanan</v>
      </c>
      <c r="U278" s="32"/>
      <c r="V278" s="32"/>
    </row>
    <row r="279" spans="5:22">
      <c r="E279" s="32" t="str">
        <v>tengah</v>
      </c>
      <c r="F279" s="32"/>
      <c r="G279" s="32"/>
      <c r="J279" s="32" t="str">
        <v>tengah</v>
      </c>
      <c r="K279" s="32"/>
      <c r="L279" s="32"/>
      <c r="O279" s="32" t="str">
        <v>tengah</v>
      </c>
      <c r="P279" s="32"/>
      <c r="Q279" s="32"/>
      <c r="T279" s="32" t="str">
        <v>kanan</v>
      </c>
      <c r="U279" s="32"/>
      <c r="V279" s="32"/>
    </row>
    <row r="280" spans="5:22">
      <c r="E280" s="32" t="str">
        <v>kiri</v>
      </c>
      <c r="F280" s="32"/>
      <c r="G280" s="32"/>
      <c r="J280" s="32" t="str">
        <v>tengah</v>
      </c>
      <c r="K280" s="32"/>
      <c r="L280" s="32"/>
      <c r="O280" s="32" t="str">
        <v>kiri</v>
      </c>
      <c r="P280" s="32"/>
      <c r="Q280" s="32"/>
      <c r="T280" s="32" t="str">
        <v>kanan</v>
      </c>
      <c r="U280" s="32"/>
      <c r="V280" s="32"/>
    </row>
    <row r="281" spans="5:22">
      <c r="E281" s="32" t="str">
        <v>kanan</v>
      </c>
      <c r="F281" s="32"/>
      <c r="G281" s="32"/>
      <c r="J281" s="32" t="str">
        <v>tengah</v>
      </c>
      <c r="K281" s="32"/>
      <c r="L281" s="32"/>
      <c r="O281" s="32" t="str">
        <v>tengah</v>
      </c>
      <c r="P281" s="32"/>
      <c r="Q281" s="32"/>
      <c r="T281" s="32" t="str">
        <v>kanan</v>
      </c>
      <c r="U281" s="32"/>
      <c r="V281" s="32"/>
    </row>
    <row r="282" spans="5:22">
      <c r="E282" s="32" t="str">
        <v>kanan</v>
      </c>
      <c r="F282" s="32"/>
      <c r="G282" s="32"/>
      <c r="J282" s="32" t="str">
        <v>tengah</v>
      </c>
      <c r="K282" s="32"/>
      <c r="L282" s="32"/>
      <c r="O282" s="32" t="str">
        <v>tengah</v>
      </c>
      <c r="P282" s="32"/>
      <c r="Q282" s="32"/>
      <c r="T282" s="32" t="str">
        <v>kanan</v>
      </c>
      <c r="U282" s="32"/>
      <c r="V282" s="32"/>
    </row>
    <row r="283" spans="5:22">
      <c r="E283" s="32" t="str">
        <v>tengah</v>
      </c>
      <c r="F283" s="32"/>
      <c r="G283" s="32"/>
      <c r="J283" s="32" t="str">
        <v>tengah</v>
      </c>
      <c r="K283" s="32"/>
      <c r="L283" s="32"/>
      <c r="O283" s="32" t="str">
        <v>tengah</v>
      </c>
      <c r="P283" s="32"/>
      <c r="Q283" s="32"/>
      <c r="T283" s="32" t="str">
        <v>kanan</v>
      </c>
      <c r="U283" s="32"/>
      <c r="V283" s="32"/>
    </row>
    <row r="284" spans="5:22">
      <c r="E284" s="32" t="str">
        <v>tengah</v>
      </c>
      <c r="F284" s="32"/>
      <c r="G284" s="32"/>
      <c r="J284" s="32" t="str">
        <v>kiri</v>
      </c>
      <c r="K284" s="32"/>
      <c r="L284" s="32"/>
      <c r="O284" s="32" t="str">
        <v>kanan</v>
      </c>
      <c r="P284" s="32"/>
      <c r="Q284" s="32"/>
      <c r="T284" s="32" t="str">
        <v>tengah</v>
      </c>
      <c r="U284" s="32"/>
      <c r="V284" s="32"/>
    </row>
    <row r="285" spans="5:22">
      <c r="E285" s="32" t="str">
        <v>tengah</v>
      </c>
      <c r="F285" s="32"/>
      <c r="G285" s="32"/>
      <c r="J285" s="32" t="str">
        <v>tengah</v>
      </c>
      <c r="K285" s="32"/>
      <c r="L285" s="32"/>
      <c r="O285" s="32" t="str">
        <v>kiri</v>
      </c>
      <c r="P285" s="32"/>
      <c r="Q285" s="32"/>
      <c r="T285" s="32" t="str">
        <v>kanan</v>
      </c>
      <c r="U285" s="32"/>
      <c r="V285" s="32"/>
    </row>
    <row r="286" spans="5:22">
      <c r="E286" s="32" t="str">
        <v>kanan</v>
      </c>
      <c r="F286" s="32"/>
      <c r="G286" s="32"/>
      <c r="J286" s="32" t="str">
        <v>tengah</v>
      </c>
      <c r="K286" s="32"/>
      <c r="L286" s="32"/>
      <c r="O286" s="32" t="str">
        <v>kiri</v>
      </c>
      <c r="P286" s="32"/>
      <c r="Q286" s="32"/>
      <c r="T286" s="32" t="str">
        <v>tengah</v>
      </c>
      <c r="U286" s="32"/>
      <c r="V286" s="32"/>
    </row>
    <row r="287" spans="5:22">
      <c r="E287" s="32" t="str">
        <v>tengah</v>
      </c>
      <c r="F287" s="32"/>
      <c r="G287" s="32"/>
      <c r="J287" s="32" t="str">
        <v>tengah</v>
      </c>
      <c r="K287" s="32"/>
      <c r="L287" s="32"/>
      <c r="O287" s="32" t="str">
        <v>kanan</v>
      </c>
      <c r="P287" s="32"/>
      <c r="Q287" s="32"/>
      <c r="T287" s="32" t="str">
        <v>kanan</v>
      </c>
      <c r="U287" s="32"/>
      <c r="V287" s="32"/>
    </row>
    <row r="288" spans="5:22">
      <c r="E288" s="32" t="str">
        <v>kiri</v>
      </c>
      <c r="F288" s="32"/>
      <c r="G288" s="32"/>
      <c r="J288" s="32" t="str">
        <v>tengah</v>
      </c>
      <c r="K288" s="32"/>
      <c r="L288" s="32"/>
      <c r="O288" s="32" t="str">
        <v>tengah</v>
      </c>
      <c r="P288" s="32"/>
      <c r="Q288" s="32"/>
      <c r="T288" s="32" t="str">
        <v>tengah</v>
      </c>
      <c r="U288" s="32"/>
      <c r="V288" s="32"/>
    </row>
    <row r="289" spans="5:22">
      <c r="E289" s="32" t="str">
        <v>tengah</v>
      </c>
      <c r="F289" s="32"/>
      <c r="G289" s="32"/>
      <c r="J289" s="32" t="str">
        <v>kiri</v>
      </c>
      <c r="K289" s="32"/>
      <c r="L289" s="32"/>
      <c r="O289" s="32" t="str">
        <v>tengah</v>
      </c>
      <c r="P289" s="32"/>
      <c r="Q289" s="32"/>
      <c r="T289" s="32" t="str">
        <v>kanan</v>
      </c>
      <c r="U289" s="32"/>
      <c r="V289" s="32"/>
    </row>
    <row r="290" spans="5:22">
      <c r="E290" s="32" t="str">
        <v>tengah</v>
      </c>
      <c r="F290" s="32"/>
      <c r="G290" s="32"/>
      <c r="J290" s="32" t="str">
        <v>tengah</v>
      </c>
      <c r="K290" s="32"/>
      <c r="L290" s="32"/>
      <c r="O290" s="32" t="str">
        <v>kiri</v>
      </c>
      <c r="P290" s="32"/>
      <c r="Q290" s="32"/>
      <c r="T290" s="32" t="str">
        <v>tengah</v>
      </c>
      <c r="U290" s="32"/>
      <c r="V290" s="32"/>
    </row>
    <row r="291" spans="5:22">
      <c r="E291" s="32" t="str">
        <v>kiri</v>
      </c>
      <c r="F291" s="32"/>
      <c r="G291" s="32"/>
      <c r="J291" s="32" t="str">
        <v>tengah</v>
      </c>
      <c r="K291" s="32"/>
      <c r="L291" s="32"/>
      <c r="O291" s="32" t="str">
        <v>tengah</v>
      </c>
      <c r="P291" s="32"/>
      <c r="Q291" s="32"/>
      <c r="T291" s="32" t="str">
        <v>kanan</v>
      </c>
      <c r="U291" s="32"/>
      <c r="V291" s="32"/>
    </row>
    <row r="292" spans="5:22">
      <c r="E292" s="32" t="str">
        <v>tengah</v>
      </c>
      <c r="F292" s="32"/>
      <c r="G292" s="32"/>
      <c r="J292" s="32" t="str">
        <v>tengah</v>
      </c>
      <c r="K292" s="32"/>
      <c r="L292" s="32"/>
      <c r="O292" s="32" t="str">
        <v>kiri</v>
      </c>
      <c r="P292" s="32"/>
      <c r="Q292" s="32"/>
      <c r="T292" s="32" t="str">
        <v>tengah</v>
      </c>
      <c r="U292" s="32"/>
      <c r="V292" s="32"/>
    </row>
    <row r="293" spans="5:22">
      <c r="E293" s="32" t="str">
        <v>kanan</v>
      </c>
      <c r="F293" s="32"/>
      <c r="G293" s="32"/>
      <c r="J293" s="32" t="str">
        <v>kanan</v>
      </c>
      <c r="K293" s="32"/>
      <c r="L293" s="32"/>
      <c r="O293" s="32" t="str">
        <v>kanan</v>
      </c>
      <c r="P293" s="32"/>
      <c r="Q293" s="32"/>
      <c r="T293" s="32" t="str">
        <v>kanan</v>
      </c>
      <c r="U293" s="32"/>
      <c r="V293" s="32"/>
    </row>
    <row r="294" spans="5:22">
      <c r="E294" s="32" t="str">
        <v>tengah</v>
      </c>
      <c r="F294" s="32"/>
      <c r="G294" s="32"/>
      <c r="J294" s="32" t="str">
        <v>tengah</v>
      </c>
      <c r="K294" s="32"/>
      <c r="L294" s="32"/>
      <c r="O294" s="32" t="str">
        <v>kiri</v>
      </c>
      <c r="P294" s="32"/>
      <c r="Q294" s="32"/>
      <c r="T294" s="32" t="str">
        <v>tengah</v>
      </c>
      <c r="U294" s="32"/>
      <c r="V294" s="32"/>
    </row>
    <row r="295" spans="5:22">
      <c r="E295" s="32" t="str">
        <v>tengah</v>
      </c>
      <c r="F295" s="32"/>
      <c r="G295" s="32"/>
      <c r="J295" s="32" t="str">
        <v>kanan</v>
      </c>
      <c r="K295" s="32"/>
      <c r="L295" s="32"/>
      <c r="O295" s="32" t="str">
        <v>tengah</v>
      </c>
      <c r="P295" s="32"/>
      <c r="Q295" s="32"/>
      <c r="T295" s="32" t="str">
        <v>kanan</v>
      </c>
      <c r="U295" s="32"/>
      <c r="V295" s="32"/>
    </row>
    <row r="296" spans="5:22">
      <c r="E296" s="32" t="str">
        <v>kiri</v>
      </c>
      <c r="F296" s="32"/>
      <c r="G296" s="32"/>
      <c r="J296" s="32" t="str">
        <v>kanan</v>
      </c>
      <c r="K296" s="32"/>
      <c r="L296" s="32"/>
      <c r="O296" s="32" t="str">
        <v>kiri</v>
      </c>
      <c r="P296" s="32"/>
      <c r="Q296" s="32"/>
      <c r="T296" s="32" t="str">
        <v>tengah</v>
      </c>
      <c r="U296" s="32"/>
      <c r="V296" s="32"/>
    </row>
    <row r="297" spans="5:22">
      <c r="E297" s="32" t="str">
        <v>tengah</v>
      </c>
      <c r="F297" s="32"/>
      <c r="G297" s="32"/>
      <c r="J297" s="32" t="str">
        <v>tengah</v>
      </c>
      <c r="K297" s="32"/>
      <c r="L297" s="32"/>
      <c r="O297" s="32" t="str">
        <v>tengah</v>
      </c>
      <c r="P297" s="32"/>
      <c r="Q297" s="32"/>
      <c r="T297" s="32" t="str">
        <v>kanan</v>
      </c>
      <c r="U297" s="32"/>
      <c r="V297" s="32"/>
    </row>
    <row r="298" spans="5:22">
      <c r="E298" s="32" t="str">
        <v>kiri</v>
      </c>
      <c r="F298" s="32"/>
      <c r="G298" s="32"/>
      <c r="J298" s="32" t="str">
        <v>kiri</v>
      </c>
      <c r="K298" s="32"/>
      <c r="L298" s="32"/>
      <c r="O298" s="32" t="str">
        <v>kiri</v>
      </c>
      <c r="P298" s="32"/>
      <c r="Q298" s="32"/>
      <c r="T298" s="32" t="str">
        <v>tengah</v>
      </c>
      <c r="U298" s="32"/>
      <c r="V298" s="32"/>
    </row>
    <row r="299" spans="5:22">
      <c r="E299" s="32" t="str">
        <v>tengah</v>
      </c>
      <c r="F299" s="32"/>
      <c r="G299" s="32"/>
      <c r="J299" s="32" t="str">
        <v>tengah</v>
      </c>
      <c r="K299" s="32"/>
      <c r="L299" s="32"/>
      <c r="O299" s="32" t="str">
        <v>tengah</v>
      </c>
      <c r="P299" s="32"/>
      <c r="Q299" s="32"/>
      <c r="T299" s="32" t="str">
        <v>tengah</v>
      </c>
      <c r="U299" s="32"/>
      <c r="V299" s="32"/>
    </row>
    <row r="300" spans="5:22">
      <c r="E300" s="32" t="str">
        <v>tengah</v>
      </c>
      <c r="F300" s="32"/>
      <c r="G300" s="32"/>
      <c r="J300" s="32" t="str">
        <v>kiri</v>
      </c>
      <c r="K300" s="32"/>
      <c r="L300" s="32"/>
      <c r="O300" s="32" t="str">
        <v>tengah</v>
      </c>
      <c r="P300" s="32"/>
      <c r="Q300" s="32"/>
      <c r="T300" s="32" t="str">
        <v>tengah</v>
      </c>
      <c r="U300" s="32"/>
      <c r="V300" s="32"/>
    </row>
    <row r="301" spans="5:22">
      <c r="E301" s="32" t="str">
        <v>kiri</v>
      </c>
      <c r="F301" s="32"/>
      <c r="G301" s="32"/>
      <c r="J301" s="32" t="str">
        <v>tengah</v>
      </c>
      <c r="K301" s="32"/>
      <c r="L301" s="32"/>
      <c r="O301" s="32" t="str">
        <v>kanan</v>
      </c>
      <c r="P301" s="32"/>
      <c r="Q301" s="32"/>
      <c r="T301" s="32" t="str">
        <v>tengah</v>
      </c>
      <c r="U301" s="32"/>
      <c r="V301" s="32"/>
    </row>
    <row r="302" spans="5:22">
      <c r="E302" s="32" t="str">
        <v>tengah</v>
      </c>
      <c r="F302" s="32"/>
      <c r="G302" s="32"/>
      <c r="J302" s="32" t="str">
        <v>kanan</v>
      </c>
      <c r="K302" s="32"/>
      <c r="L302" s="32"/>
      <c r="O302" s="32" t="str">
        <v>kiri</v>
      </c>
      <c r="P302" s="32"/>
      <c r="Q302" s="32"/>
      <c r="T302" s="32" t="str">
        <v>tengah</v>
      </c>
      <c r="U302" s="32"/>
      <c r="V302" s="32"/>
    </row>
    <row r="303" spans="5:22">
      <c r="E303" s="32" t="str">
        <v>tengah</v>
      </c>
      <c r="F303" s="32"/>
      <c r="G303" s="32"/>
      <c r="J303" s="32" t="str">
        <v>kanan</v>
      </c>
      <c r="K303" s="32"/>
      <c r="L303" s="32"/>
      <c r="O303" s="32" t="str">
        <v>tengah</v>
      </c>
      <c r="P303" s="32"/>
      <c r="Q303" s="32"/>
      <c r="T303" s="32" t="str">
        <v>tengah</v>
      </c>
      <c r="U303" s="32"/>
      <c r="V303" s="32"/>
    </row>
    <row r="304" spans="5:22">
      <c r="E304" s="32" t="str">
        <v>tengah</v>
      </c>
      <c r="F304" s="32"/>
      <c r="G304" s="32"/>
      <c r="J304" s="32" t="str">
        <v>tengah</v>
      </c>
      <c r="K304" s="32"/>
      <c r="L304" s="32"/>
      <c r="O304" s="32" t="str">
        <v>kanan</v>
      </c>
      <c r="P304" s="32"/>
      <c r="Q304" s="32"/>
      <c r="T304" s="32" t="str">
        <v>kanan</v>
      </c>
      <c r="U304" s="32"/>
      <c r="V304" s="32"/>
    </row>
    <row r="305" spans="5:22">
      <c r="E305" s="32" t="str">
        <v>tengah</v>
      </c>
      <c r="F305" s="32"/>
      <c r="G305" s="32"/>
      <c r="J305" s="32" t="str">
        <v>tengah</v>
      </c>
      <c r="K305" s="32"/>
      <c r="L305" s="32"/>
      <c r="O305" s="32" t="str">
        <v>tengah</v>
      </c>
      <c r="P305" s="32"/>
      <c r="Q305" s="32"/>
      <c r="T305" s="32" t="str">
        <v>tengah</v>
      </c>
      <c r="U305" s="32"/>
      <c r="V305" s="32"/>
    </row>
    <row r="306" spans="5:22">
      <c r="E306" s="32" t="str">
        <v>kiri</v>
      </c>
      <c r="F306" s="32"/>
      <c r="G306" s="32"/>
      <c r="J306" s="32" t="str">
        <v>kanan</v>
      </c>
      <c r="K306" s="32"/>
      <c r="L306" s="32"/>
      <c r="O306" s="32" t="str">
        <v>tengah</v>
      </c>
      <c r="P306" s="32"/>
      <c r="Q306" s="32"/>
      <c r="T306" s="32" t="str">
        <v>kanan</v>
      </c>
      <c r="U306" s="32"/>
      <c r="V306" s="32"/>
    </row>
    <row r="307" spans="5:22">
      <c r="E307" s="32" t="str">
        <v>kiri</v>
      </c>
      <c r="F307" s="32"/>
      <c r="G307" s="32"/>
      <c r="J307" s="32" t="str">
        <v>kiri</v>
      </c>
      <c r="K307" s="32"/>
      <c r="L307" s="32"/>
      <c r="O307" s="32" t="str">
        <v>tengah</v>
      </c>
      <c r="P307" s="32"/>
      <c r="Q307" s="32"/>
      <c r="T307" s="32" t="str">
        <v>kanan</v>
      </c>
      <c r="U307" s="32"/>
      <c r="V307" s="32"/>
    </row>
    <row r="308" spans="5:22">
      <c r="E308" s="32" t="str">
        <v>kiri</v>
      </c>
      <c r="F308" s="32"/>
      <c r="G308" s="32"/>
      <c r="J308" s="32" t="str">
        <v>tengah</v>
      </c>
      <c r="K308" s="32"/>
      <c r="L308" s="32"/>
      <c r="O308" s="32" t="str">
        <v>kanan</v>
      </c>
      <c r="P308" s="32"/>
      <c r="Q308" s="32"/>
      <c r="T308" s="32" t="str">
        <v>tengah</v>
      </c>
      <c r="U308" s="32"/>
      <c r="V308" s="32"/>
    </row>
    <row r="309" spans="5:22">
      <c r="E309" s="32" t="str">
        <v>tengah</v>
      </c>
      <c r="F309" s="32"/>
      <c r="G309" s="32"/>
      <c r="J309" s="32" t="str">
        <v>kanan</v>
      </c>
      <c r="K309" s="32"/>
      <c r="L309" s="32"/>
      <c r="O309" s="32" t="str">
        <v>tengah</v>
      </c>
      <c r="P309" s="32"/>
      <c r="Q309" s="32"/>
      <c r="T309" s="32" t="str">
        <v>kanan</v>
      </c>
      <c r="U309" s="32"/>
      <c r="V309" s="32"/>
    </row>
    <row r="310" spans="5:22">
      <c r="E310" s="32" t="str">
        <v>tengah</v>
      </c>
      <c r="F310" s="32"/>
      <c r="G310" s="32"/>
      <c r="J310" s="32" t="str">
        <v>kiri</v>
      </c>
      <c r="K310" s="32"/>
      <c r="L310" s="32"/>
      <c r="O310" s="32" t="str">
        <v>tengah</v>
      </c>
      <c r="P310" s="32"/>
      <c r="Q310" s="32"/>
      <c r="T310" s="32" t="str">
        <v>kanan</v>
      </c>
      <c r="U310" s="32"/>
      <c r="V310" s="32"/>
    </row>
    <row r="311" spans="5:22">
      <c r="E311" s="32" t="str">
        <v>kanan</v>
      </c>
      <c r="F311" s="32"/>
      <c r="G311" s="32"/>
      <c r="J311" s="32" t="str">
        <v>tengah</v>
      </c>
      <c r="K311" s="32"/>
      <c r="L311" s="32"/>
      <c r="O311" s="32" t="str">
        <v>tengah</v>
      </c>
      <c r="P311" s="32"/>
      <c r="Q311" s="32"/>
      <c r="T311" s="32" t="str">
        <v>kanan</v>
      </c>
      <c r="U311" s="32"/>
      <c r="V311" s="32"/>
    </row>
    <row r="312" spans="5:22">
      <c r="E312" s="32" t="str">
        <v>tengah</v>
      </c>
      <c r="F312" s="32"/>
      <c r="G312" s="32"/>
      <c r="J312" s="32" t="str">
        <v>tengah</v>
      </c>
      <c r="K312" s="32"/>
      <c r="L312" s="32"/>
      <c r="O312" s="32" t="str">
        <v>kiri</v>
      </c>
      <c r="P312" s="32"/>
      <c r="Q312" s="32"/>
      <c r="T312" s="32" t="str">
        <v>kanan</v>
      </c>
      <c r="U312" s="32"/>
      <c r="V312" s="32"/>
    </row>
    <row r="313" spans="5:22">
      <c r="E313" s="32" t="str">
        <v>tengah</v>
      </c>
      <c r="F313" s="32"/>
      <c r="G313" s="32"/>
      <c r="J313" s="32" t="str">
        <v>kanan</v>
      </c>
      <c r="K313" s="32"/>
      <c r="L313" s="32"/>
      <c r="O313" s="32" t="str">
        <v>kiri</v>
      </c>
      <c r="P313" s="32"/>
      <c r="Q313" s="32"/>
      <c r="T313" s="32" t="str">
        <v>tengah</v>
      </c>
      <c r="U313" s="32"/>
      <c r="V313" s="32"/>
    </row>
    <row r="314" spans="5:22">
      <c r="E314" s="32" t="str">
        <v>tengah</v>
      </c>
      <c r="F314" s="32"/>
      <c r="G314" s="32"/>
      <c r="J314" s="32" t="str">
        <v>tengah</v>
      </c>
      <c r="K314" s="32"/>
      <c r="L314" s="32"/>
      <c r="O314" s="32" t="str">
        <v>tengah</v>
      </c>
      <c r="P314" s="32"/>
      <c r="Q314" s="32"/>
      <c r="T314" s="32" t="str">
        <v>kanan</v>
      </c>
      <c r="U314" s="32"/>
      <c r="V314" s="32"/>
    </row>
    <row r="315" spans="5:22">
      <c r="E315" s="32" t="str">
        <v>tengah</v>
      </c>
      <c r="F315" s="32"/>
      <c r="G315" s="32"/>
      <c r="J315" s="32" t="str">
        <v>tengah</v>
      </c>
      <c r="K315" s="32"/>
      <c r="L315" s="32"/>
      <c r="O315" s="32" t="str">
        <v>kiri</v>
      </c>
      <c r="P315" s="32"/>
      <c r="Q315" s="32"/>
      <c r="T315" s="32" t="str">
        <v>kanan</v>
      </c>
      <c r="U315" s="32"/>
      <c r="V315" s="32"/>
    </row>
    <row r="316" spans="5:22">
      <c r="E316" s="32" t="str">
        <v>kiri</v>
      </c>
      <c r="F316" s="32"/>
      <c r="G316" s="32"/>
      <c r="J316" s="32" t="str">
        <v>tengah</v>
      </c>
      <c r="K316" s="32"/>
      <c r="L316" s="32"/>
      <c r="O316" s="32" t="str">
        <v>kiri</v>
      </c>
      <c r="P316" s="32"/>
      <c r="Q316" s="32"/>
      <c r="T316" s="32" t="str">
        <v>tengah</v>
      </c>
      <c r="U316" s="32"/>
      <c r="V316" s="32"/>
    </row>
    <row r="317" spans="5:22">
      <c r="E317" s="32" t="str">
        <v>kiri</v>
      </c>
      <c r="F317" s="32"/>
      <c r="G317" s="32"/>
      <c r="J317" s="32" t="str">
        <v>tengah</v>
      </c>
      <c r="K317" s="32"/>
      <c r="L317" s="32"/>
      <c r="O317" s="32" t="str">
        <v>kanan</v>
      </c>
      <c r="P317" s="32"/>
      <c r="Q317" s="32"/>
      <c r="T317" s="32" t="str">
        <v>tengah</v>
      </c>
      <c r="U317" s="32"/>
      <c r="V317" s="32"/>
    </row>
    <row r="318" spans="5:22">
      <c r="E318" s="32" t="str">
        <v>tengah</v>
      </c>
      <c r="F318" s="32"/>
      <c r="G318" s="32"/>
      <c r="J318" s="32" t="str">
        <v>tengah</v>
      </c>
      <c r="K318" s="32"/>
      <c r="L318" s="32"/>
      <c r="O318" s="32" t="str">
        <v>tengah</v>
      </c>
      <c r="P318" s="32"/>
      <c r="Q318" s="32"/>
      <c r="T318" s="32" t="str">
        <v>kanan</v>
      </c>
      <c r="U318" s="32"/>
      <c r="V318" s="32"/>
    </row>
    <row r="319" spans="5:22">
      <c r="E319" s="32" t="str">
        <v>kanan</v>
      </c>
      <c r="F319" s="32"/>
      <c r="G319" s="32"/>
      <c r="J319" s="32" t="str">
        <v>tengah</v>
      </c>
      <c r="K319" s="32"/>
      <c r="L319" s="32"/>
      <c r="O319" s="32" t="str">
        <v>kiri</v>
      </c>
      <c r="P319" s="32"/>
      <c r="Q319" s="32"/>
      <c r="T319" s="32" t="str">
        <v>tengah</v>
      </c>
      <c r="U319" s="32"/>
      <c r="V319" s="32"/>
    </row>
    <row r="320" spans="5:22">
      <c r="E320" s="32" t="str">
        <v>tengah</v>
      </c>
      <c r="F320" s="32"/>
      <c r="G320" s="32"/>
      <c r="J320" s="32" t="str">
        <v>tengah</v>
      </c>
      <c r="K320" s="32"/>
      <c r="L320" s="32"/>
      <c r="O320" s="32" t="str">
        <v>tengah</v>
      </c>
      <c r="P320" s="32"/>
      <c r="Q320" s="32"/>
      <c r="T320" s="32" t="str">
        <v>kanan</v>
      </c>
      <c r="U320" s="32"/>
      <c r="V320" s="32"/>
    </row>
    <row r="321" spans="5:22">
      <c r="E321" s="32" t="str">
        <v>kiri</v>
      </c>
      <c r="F321" s="32"/>
      <c r="G321" s="32"/>
      <c r="J321" s="32" t="str">
        <v>kanan</v>
      </c>
      <c r="K321" s="32"/>
      <c r="L321" s="32"/>
      <c r="O321" s="32" t="str">
        <v>kiri</v>
      </c>
      <c r="P321" s="32"/>
      <c r="Q321" s="32"/>
      <c r="T321" s="32" t="str">
        <v>kanan</v>
      </c>
      <c r="U321" s="32"/>
      <c r="V321" s="32"/>
    </row>
    <row r="322" spans="5:22">
      <c r="E322" s="32" t="str">
        <v>tengah</v>
      </c>
      <c r="F322" s="32"/>
      <c r="G322" s="32"/>
      <c r="J322" s="32" t="str">
        <v>tengah</v>
      </c>
      <c r="K322" s="32"/>
      <c r="L322" s="32"/>
      <c r="O322" s="32" t="str">
        <v>kanan</v>
      </c>
      <c r="P322" s="32"/>
      <c r="Q322" s="32"/>
      <c r="T322" s="32" t="str">
        <v>kanan</v>
      </c>
      <c r="U322" s="32"/>
      <c r="V322" s="32"/>
    </row>
    <row r="323" spans="5:22">
      <c r="E323" s="32" t="str">
        <v>kiri</v>
      </c>
      <c r="F323" s="32"/>
      <c r="G323" s="32"/>
      <c r="J323" s="32" t="str">
        <v>tengah</v>
      </c>
      <c r="K323" s="32"/>
      <c r="L323" s="32"/>
      <c r="O323" s="32" t="str">
        <v>tengah</v>
      </c>
      <c r="P323" s="32"/>
      <c r="Q323" s="32"/>
      <c r="T323" s="32" t="str">
        <v>kanan</v>
      </c>
      <c r="U323" s="32"/>
      <c r="V323" s="32"/>
    </row>
    <row r="324" spans="5:22">
      <c r="E324" s="32" t="str">
        <v>tengah</v>
      </c>
      <c r="F324" s="32"/>
      <c r="G324" s="32"/>
      <c r="J324" s="32" t="str">
        <v>tengah</v>
      </c>
      <c r="K324" s="32"/>
      <c r="L324" s="32"/>
      <c r="O324" s="32" t="str">
        <v>kiri</v>
      </c>
      <c r="P324" s="32"/>
      <c r="Q324" s="32"/>
      <c r="T324" s="32" t="str">
        <v>kanan</v>
      </c>
      <c r="U324" s="32"/>
      <c r="V324" s="32"/>
    </row>
    <row r="325" spans="5:22">
      <c r="E325" s="32" t="str">
        <v>tengah</v>
      </c>
      <c r="F325" s="32"/>
      <c r="G325" s="32"/>
      <c r="J325" s="32" t="str">
        <v>tengah</v>
      </c>
      <c r="K325" s="32"/>
      <c r="L325" s="32"/>
      <c r="O325" s="32" t="str">
        <v>tengah</v>
      </c>
      <c r="P325" s="32"/>
      <c r="Q325" s="32"/>
      <c r="T325" s="32" t="str">
        <v>kanan</v>
      </c>
      <c r="U325" s="32"/>
      <c r="V325" s="32"/>
    </row>
    <row r="326" spans="5:22">
      <c r="E326" s="32" t="str">
        <v>tengah</v>
      </c>
      <c r="F326" s="32"/>
      <c r="G326" s="32"/>
      <c r="J326" s="32" t="str">
        <v>kanan</v>
      </c>
      <c r="K326" s="32"/>
      <c r="L326" s="32"/>
      <c r="O326" s="32" t="str">
        <v>tengah</v>
      </c>
      <c r="P326" s="32"/>
      <c r="Q326" s="32"/>
      <c r="T326" s="32" t="str">
        <v>tengah</v>
      </c>
      <c r="U326" s="32"/>
      <c r="V326" s="32"/>
    </row>
    <row r="327" spans="5:22">
      <c r="E327" s="32" t="str">
        <v>kanan</v>
      </c>
      <c r="F327" s="32"/>
      <c r="G327" s="32"/>
      <c r="J327" s="32" t="str">
        <v>kanan</v>
      </c>
      <c r="K327" s="32"/>
      <c r="L327" s="32"/>
      <c r="O327" s="32" t="str">
        <v>tengah</v>
      </c>
      <c r="P327" s="32"/>
      <c r="Q327" s="32"/>
      <c r="T327" s="32" t="str">
        <v>kanan</v>
      </c>
      <c r="U327" s="32"/>
      <c r="V327" s="32"/>
    </row>
    <row r="328" spans="5:22">
      <c r="E328" s="32" t="str">
        <v>kiri</v>
      </c>
      <c r="F328" s="32"/>
      <c r="G328" s="32"/>
      <c r="J328" s="32" t="str">
        <v>tengah</v>
      </c>
      <c r="K328" s="32"/>
      <c r="L328" s="32"/>
      <c r="O328" s="32" t="str">
        <v>kiri</v>
      </c>
      <c r="P328" s="32"/>
      <c r="Q328" s="32"/>
      <c r="T328" s="32" t="str">
        <v>tengah</v>
      </c>
      <c r="U328" s="32"/>
      <c r="V328" s="32"/>
    </row>
    <row r="329" spans="5:22">
      <c r="E329" s="32" t="str">
        <v>kiri</v>
      </c>
      <c r="F329" s="32"/>
      <c r="G329" s="32"/>
      <c r="J329" s="32" t="str">
        <v>kiri</v>
      </c>
      <c r="K329" s="32"/>
      <c r="L329" s="32"/>
      <c r="O329" s="32" t="str">
        <v>kanan</v>
      </c>
      <c r="P329" s="32"/>
      <c r="Q329" s="32"/>
      <c r="T329" s="32" t="str">
        <v>kanan</v>
      </c>
      <c r="U329" s="32"/>
      <c r="V329" s="32"/>
    </row>
    <row r="330" spans="5:22">
      <c r="E330" s="32" t="str">
        <v>kiri</v>
      </c>
      <c r="F330" s="32"/>
      <c r="G330" s="32"/>
      <c r="J330" s="32" t="str">
        <v>tengah</v>
      </c>
      <c r="K330" s="32"/>
      <c r="L330" s="32"/>
      <c r="O330" s="32" t="str">
        <v>tengah</v>
      </c>
      <c r="P330" s="32"/>
      <c r="Q330" s="32"/>
      <c r="T330" s="32" t="str">
        <v>tengah</v>
      </c>
      <c r="U330" s="32"/>
      <c r="V330" s="32"/>
    </row>
    <row r="331" spans="5:22">
      <c r="E331" s="32" t="str">
        <v>tengah</v>
      </c>
      <c r="F331" s="32"/>
      <c r="G331" s="32"/>
      <c r="J331" s="32" t="str">
        <v>kanan</v>
      </c>
      <c r="K331" s="32"/>
      <c r="L331" s="32"/>
      <c r="O331" s="32" t="str">
        <v>kanan</v>
      </c>
      <c r="P331" s="32"/>
      <c r="Q331" s="32"/>
      <c r="T331" s="32" t="str">
        <v>tengah</v>
      </c>
      <c r="U331" s="32"/>
      <c r="V331" s="32"/>
    </row>
    <row r="332" spans="5:22">
      <c r="E332" s="32" t="str">
        <v>tengah</v>
      </c>
      <c r="F332" s="32"/>
      <c r="G332" s="32"/>
      <c r="J332" s="32" t="str">
        <v>kiri</v>
      </c>
      <c r="K332" s="32"/>
      <c r="L332" s="32"/>
      <c r="O332" s="32" t="str">
        <v>kiri</v>
      </c>
      <c r="P332" s="32"/>
      <c r="Q332" s="32"/>
      <c r="T332" s="32" t="str">
        <v>kanan</v>
      </c>
      <c r="U332" s="32"/>
      <c r="V332" s="32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5DA2-7D51-4BDB-8328-1C9734C8490F}">
  <dimension ref="A1:V332"/>
  <sheetViews>
    <sheetView topLeftCell="L187" zoomScale="98" zoomScaleNormal="98" workbookViewId="0">
      <selection activeCell="O163" sqref="O163"/>
    </sheetView>
  </sheetViews>
  <sheetFormatPr defaultColWidth="9" defaultRowHeight="15"/>
  <cols>
    <col min="2" max="2" width="15.85546875" customWidth="1"/>
    <col min="3" max="3" width="16.7109375" bestFit="1" customWidth="1"/>
    <col min="4" max="4" width="13.85546875" customWidth="1"/>
    <col min="6" max="6" width="14.42578125" bestFit="1" customWidth="1"/>
    <col min="8" max="8" width="14.28515625" customWidth="1"/>
    <col min="9" max="9" width="13.28515625" customWidth="1"/>
    <col min="10" max="10" width="13.85546875" customWidth="1"/>
    <col min="11" max="11" width="22" bestFit="1" customWidth="1"/>
    <col min="13" max="13" width="14.42578125" bestFit="1" customWidth="1"/>
    <col min="15" max="15" width="25.28515625" bestFit="1" customWidth="1"/>
    <col min="16" max="16" width="12.85546875" bestFit="1" customWidth="1"/>
    <col min="17" max="17" width="11.7109375" customWidth="1"/>
    <col min="20" max="20" width="14.42578125" bestFit="1" customWidth="1"/>
  </cols>
  <sheetData>
    <row r="1" spans="1:17">
      <c r="A1" s="30" t="s">
        <v>174</v>
      </c>
      <c r="B1" s="30" t="s">
        <v>1</v>
      </c>
      <c r="C1" s="30" t="s">
        <v>2</v>
      </c>
      <c r="D1" s="30" t="s">
        <v>173</v>
      </c>
      <c r="E1" s="30" t="s">
        <v>4</v>
      </c>
      <c r="F1" s="30" t="s">
        <v>5</v>
      </c>
      <c r="H1" s="61" t="s">
        <v>174</v>
      </c>
      <c r="I1" s="61" t="s">
        <v>1</v>
      </c>
      <c r="J1" s="61" t="s">
        <v>2</v>
      </c>
      <c r="K1" s="61" t="s">
        <v>173</v>
      </c>
      <c r="L1" s="61" t="s">
        <v>4</v>
      </c>
      <c r="M1" s="61" t="s">
        <v>5</v>
      </c>
      <c r="O1" s="30" t="s">
        <v>175</v>
      </c>
      <c r="P1" s="31"/>
      <c r="Q1" s="31"/>
    </row>
    <row r="2" spans="1:17">
      <c r="A2" s="32">
        <f ca="1">RANDBETWEEN(2,164)</f>
        <v>110</v>
      </c>
      <c r="B2" s="32" cm="1">
        <f t="array" aca="1" ref="B2" ca="1">INDEX(Data_DBD!$B:$B,$A2)</f>
        <v>42</v>
      </c>
      <c r="C2" s="32" cm="1">
        <f t="array" aca="1" ref="C2" ca="1">INDEX(Data_DBD!$C:$C,$A2)</f>
        <v>2</v>
      </c>
      <c r="D2" s="32" cm="1">
        <f t="array" aca="1" ref="D2" ca="1">INDEX(Data_DBD!$D:$D,$A2)</f>
        <v>33</v>
      </c>
      <c r="E2" s="32" cm="1">
        <f t="array" aca="1" ref="E2" ca="1">INDEX(Data_DBD!$E:$E,$A2)</f>
        <v>1</v>
      </c>
      <c r="F2" s="32" cm="1">
        <f t="array" aca="1" ref="F2" ca="1">INDEX(Data_DBD!$F:$F,$A2)</f>
        <v>3</v>
      </c>
      <c r="H2" s="32">
        <v>19</v>
      </c>
      <c r="I2" s="32">
        <v>8</v>
      </c>
      <c r="J2" s="32">
        <v>4</v>
      </c>
      <c r="K2" s="32">
        <v>7</v>
      </c>
      <c r="L2" s="32">
        <v>0</v>
      </c>
      <c r="M2" s="32">
        <v>1</v>
      </c>
      <c r="O2" s="54">
        <v>1</v>
      </c>
      <c r="P2" s="31">
        <f>COUNTIF(M2:M164,"1")</f>
        <v>12</v>
      </c>
      <c r="Q2" s="31">
        <f>P2/163</f>
        <v>7.3619631901840496E-2</v>
      </c>
    </row>
    <row r="3" spans="1:17">
      <c r="A3" s="32">
        <f t="shared" ref="A3:A66" ca="1" si="0">RANDBETWEEN(2,164)</f>
        <v>160</v>
      </c>
      <c r="B3" s="32" cm="1">
        <f t="array" aca="1" ref="B3" ca="1">INDEX(Data_DBD!$B:$B,$A3)</f>
        <v>16</v>
      </c>
      <c r="C3" s="32" cm="1">
        <f t="array" aca="1" ref="C3" ca="1">INDEX(Data_DBD!$C:$C,$A3)</f>
        <v>3</v>
      </c>
      <c r="D3" s="32" cm="1">
        <f t="array" aca="1" ref="D3" ca="1">INDEX(Data_DBD!$D:$D,$A3)</f>
        <v>21</v>
      </c>
      <c r="E3" s="32" cm="1">
        <f t="array" aca="1" ref="E3" ca="1">INDEX(Data_DBD!$E:$E,$A3)</f>
        <v>0</v>
      </c>
      <c r="F3" s="32" cm="1">
        <f t="array" aca="1" ref="F3" ca="1">INDEX(Data_DBD!$F:$F,$A3)</f>
        <v>3</v>
      </c>
      <c r="H3" s="32">
        <v>23</v>
      </c>
      <c r="I3" s="32">
        <v>28</v>
      </c>
      <c r="J3" s="32">
        <v>4</v>
      </c>
      <c r="K3" s="32">
        <v>14</v>
      </c>
      <c r="L3" s="32">
        <v>1</v>
      </c>
      <c r="M3" s="32">
        <v>2</v>
      </c>
      <c r="O3" s="31">
        <v>2</v>
      </c>
      <c r="P3" s="31">
        <f>COUNTIF(M2:M164,"2")</f>
        <v>75</v>
      </c>
      <c r="Q3" s="31">
        <f>P3/163</f>
        <v>0.46012269938650308</v>
      </c>
    </row>
    <row r="4" spans="1:17">
      <c r="A4" s="32">
        <f t="shared" ca="1" si="0"/>
        <v>92</v>
      </c>
      <c r="B4" s="32" cm="1">
        <f t="array" aca="1" ref="B4" ca="1">INDEX(Data_DBD!$B:$B,$A4)</f>
        <v>55</v>
      </c>
      <c r="C4" s="32" cm="1">
        <f t="array" aca="1" ref="C4" ca="1">INDEX(Data_DBD!$C:$C,$A4)</f>
        <v>7</v>
      </c>
      <c r="D4" s="32" cm="1">
        <f t="array" aca="1" ref="D4" ca="1">INDEX(Data_DBD!$D:$D,$A4)</f>
        <v>18</v>
      </c>
      <c r="E4" s="32" cm="1">
        <f t="array" aca="1" ref="E4" ca="1">INDEX(Data_DBD!$E:$E,$A4)</f>
        <v>0</v>
      </c>
      <c r="F4" s="32" cm="1">
        <f t="array" aca="1" ref="F4" ca="1">INDEX(Data_DBD!$F:$F,$A4)</f>
        <v>3</v>
      </c>
      <c r="H4" s="32">
        <v>7</v>
      </c>
      <c r="I4" s="32">
        <v>12</v>
      </c>
      <c r="J4" s="32">
        <v>1</v>
      </c>
      <c r="K4" s="32">
        <v>12</v>
      </c>
      <c r="L4" s="32">
        <v>1</v>
      </c>
      <c r="M4" s="32">
        <v>2</v>
      </c>
      <c r="O4" s="31">
        <v>3</v>
      </c>
      <c r="P4" s="31">
        <f>COUNTIF(M2:M164,"3")</f>
        <v>76</v>
      </c>
      <c r="Q4" s="31">
        <f>P4/163</f>
        <v>0.46625766871165641</v>
      </c>
    </row>
    <row r="5" spans="1:17">
      <c r="A5" s="32">
        <f t="shared" ca="1" si="0"/>
        <v>137</v>
      </c>
      <c r="B5" s="32" cm="1">
        <f t="array" aca="1" ref="B5" ca="1">INDEX(Data_DBD!$B:$B,$A5)</f>
        <v>3.5</v>
      </c>
      <c r="C5" s="32" cm="1">
        <f t="array" aca="1" ref="C5" ca="1">INDEX(Data_DBD!$C:$C,$A5)</f>
        <v>1</v>
      </c>
      <c r="D5" s="32" cm="1">
        <f t="array" aca="1" ref="D5" ca="1">INDEX(Data_DBD!$D:$D,$A5)</f>
        <v>33</v>
      </c>
      <c r="E5" s="32" cm="1">
        <f t="array" aca="1" ref="E5" ca="1">INDEX(Data_DBD!$E:$E,$A5)</f>
        <v>1</v>
      </c>
      <c r="F5" s="32" cm="1">
        <f t="array" aca="1" ref="F5" ca="1">INDEX(Data_DBD!$F:$F,$A5)</f>
        <v>3</v>
      </c>
      <c r="H5" s="32">
        <v>122</v>
      </c>
      <c r="I5" s="32">
        <v>28</v>
      </c>
      <c r="J5" s="32">
        <v>3</v>
      </c>
      <c r="K5" s="32">
        <v>33</v>
      </c>
      <c r="L5" s="32">
        <v>1</v>
      </c>
      <c r="M5" s="32">
        <v>3</v>
      </c>
      <c r="O5" s="34" t="s">
        <v>176</v>
      </c>
      <c r="P5">
        <f>-(IFERROR(Q2*LOG(Q2,2),0)+IFERROR(Q3*LOG(Q3,2),0)+IFERROR(Q4*LOG(Q4,2),0))</f>
        <v>1.305639547988394</v>
      </c>
    </row>
    <row r="6" spans="1:17">
      <c r="A6" s="32">
        <f t="shared" ca="1" si="0"/>
        <v>156</v>
      </c>
      <c r="B6" s="32" cm="1">
        <f t="array" aca="1" ref="B6" ca="1">INDEX(Data_DBD!$B:$B,$A6)</f>
        <v>5</v>
      </c>
      <c r="C6" s="32" cm="1">
        <f t="array" aca="1" ref="C6" ca="1">INDEX(Data_DBD!$C:$C,$A6)</f>
        <v>2</v>
      </c>
      <c r="D6" s="32" cm="1">
        <f t="array" aca="1" ref="D6" ca="1">INDEX(Data_DBD!$D:$D,$A6)</f>
        <v>21</v>
      </c>
      <c r="E6" s="32" cm="1">
        <f t="array" aca="1" ref="E6" ca="1">INDEX(Data_DBD!$E:$E,$A6)</f>
        <v>0</v>
      </c>
      <c r="F6" s="32" cm="1">
        <f t="array" aca="1" ref="F6" ca="1">INDEX(Data_DBD!$F:$F,$A6)</f>
        <v>3</v>
      </c>
      <c r="H6" s="32">
        <v>158</v>
      </c>
      <c r="I6" s="32">
        <v>5</v>
      </c>
      <c r="J6" s="32">
        <v>2</v>
      </c>
      <c r="K6" s="32">
        <v>21</v>
      </c>
      <c r="L6" s="32">
        <v>0</v>
      </c>
      <c r="M6" s="32">
        <v>3</v>
      </c>
    </row>
    <row r="7" spans="1:17">
      <c r="A7" s="32">
        <f t="shared" ca="1" si="0"/>
        <v>5</v>
      </c>
      <c r="B7" s="32" cm="1">
        <f t="array" aca="1" ref="B7" ca="1">INDEX(Data_DBD!$B:$B,$A7)</f>
        <v>18</v>
      </c>
      <c r="C7" s="32" cm="1">
        <f t="array" aca="1" ref="C7" ca="1">INDEX(Data_DBD!$C:$C,$A7)</f>
        <v>2</v>
      </c>
      <c r="D7" s="32" cm="1">
        <f t="array" aca="1" ref="D7" ca="1">INDEX(Data_DBD!$D:$D,$A7)</f>
        <v>12</v>
      </c>
      <c r="E7" s="32" cm="1">
        <f t="array" aca="1" ref="E7" ca="1">INDEX(Data_DBD!$E:$E,$A7)</f>
        <v>1</v>
      </c>
      <c r="F7" s="32" cm="1">
        <f t="array" aca="1" ref="F7" ca="1">INDEX(Data_DBD!$F:$F,$A7)</f>
        <v>2</v>
      </c>
      <c r="H7" s="32">
        <v>117</v>
      </c>
      <c r="I7" s="32">
        <v>49</v>
      </c>
      <c r="J7" s="32">
        <v>4</v>
      </c>
      <c r="K7" s="32">
        <v>33</v>
      </c>
      <c r="L7" s="32">
        <v>1</v>
      </c>
      <c r="M7" s="32">
        <v>3</v>
      </c>
    </row>
    <row r="8" spans="1:17">
      <c r="A8" s="32">
        <f t="shared" ca="1" si="0"/>
        <v>19</v>
      </c>
      <c r="B8" s="32" cm="1">
        <f t="array" aca="1" ref="B8" ca="1">INDEX(Data_DBD!$B:$B,$A8)</f>
        <v>8</v>
      </c>
      <c r="C8" s="32" cm="1">
        <f t="array" aca="1" ref="C8" ca="1">INDEX(Data_DBD!$C:$C,$A8)</f>
        <v>4</v>
      </c>
      <c r="D8" s="32" cm="1">
        <f t="array" aca="1" ref="D8" ca="1">INDEX(Data_DBD!$D:$D,$A8)</f>
        <v>7</v>
      </c>
      <c r="E8" s="32" cm="1">
        <f t="array" aca="1" ref="E8" ca="1">INDEX(Data_DBD!$E:$E,$A8)</f>
        <v>0</v>
      </c>
      <c r="F8" s="32" cm="1">
        <f t="array" aca="1" ref="F8" ca="1">INDEX(Data_DBD!$F:$F,$A8)</f>
        <v>1</v>
      </c>
      <c r="H8" s="32">
        <v>36</v>
      </c>
      <c r="I8" s="32">
        <v>27</v>
      </c>
      <c r="J8" s="32">
        <v>1</v>
      </c>
      <c r="K8" s="32">
        <v>4</v>
      </c>
      <c r="L8" s="32">
        <v>1</v>
      </c>
      <c r="M8" s="32">
        <v>1</v>
      </c>
    </row>
    <row r="9" spans="1:17">
      <c r="A9" s="32">
        <f t="shared" ca="1" si="0"/>
        <v>143</v>
      </c>
      <c r="B9" s="32" cm="1">
        <f t="array" aca="1" ref="B9" ca="1">INDEX(Data_DBD!$B:$B,$A9)</f>
        <v>20</v>
      </c>
      <c r="C9" s="32" cm="1">
        <f t="array" aca="1" ref="C9" ca="1">INDEX(Data_DBD!$C:$C,$A9)</f>
        <v>4</v>
      </c>
      <c r="D9" s="32" cm="1">
        <f t="array" aca="1" ref="D9" ca="1">INDEX(Data_DBD!$D:$D,$A9)</f>
        <v>21</v>
      </c>
      <c r="E9" s="32" cm="1">
        <f t="array" aca="1" ref="E9" ca="1">INDEX(Data_DBD!$E:$E,$A9)</f>
        <v>1</v>
      </c>
      <c r="F9" s="32" cm="1">
        <f t="array" aca="1" ref="F9" ca="1">INDEX(Data_DBD!$F:$F,$A9)</f>
        <v>3</v>
      </c>
      <c r="H9" s="32">
        <v>10</v>
      </c>
      <c r="I9" s="32">
        <v>18</v>
      </c>
      <c r="J9" s="32">
        <v>5</v>
      </c>
      <c r="K9" s="32">
        <v>12</v>
      </c>
      <c r="L9" s="32">
        <v>0</v>
      </c>
      <c r="M9" s="32">
        <v>2</v>
      </c>
    </row>
    <row r="10" spans="1:17">
      <c r="A10" s="32">
        <f t="shared" ca="1" si="0"/>
        <v>111</v>
      </c>
      <c r="B10" s="32" cm="1">
        <f t="array" aca="1" ref="B10" ca="1">INDEX(Data_DBD!$B:$B,$A10)</f>
        <v>25</v>
      </c>
      <c r="C10" s="32" cm="1">
        <f t="array" aca="1" ref="C10" ca="1">INDEX(Data_DBD!$C:$C,$A10)</f>
        <v>4</v>
      </c>
      <c r="D10" s="32" cm="1">
        <f t="array" aca="1" ref="D10" ca="1">INDEX(Data_DBD!$D:$D,$A10)</f>
        <v>33</v>
      </c>
      <c r="E10" s="32" cm="1">
        <f t="array" aca="1" ref="E10" ca="1">INDEX(Data_DBD!$E:$E,$A10)</f>
        <v>0</v>
      </c>
      <c r="F10" s="32" cm="1">
        <f t="array" aca="1" ref="F10" ca="1">INDEX(Data_DBD!$F:$F,$A10)</f>
        <v>3</v>
      </c>
      <c r="H10" s="32">
        <v>158</v>
      </c>
      <c r="I10" s="32">
        <v>5</v>
      </c>
      <c r="J10" s="32">
        <v>2</v>
      </c>
      <c r="K10" s="32">
        <v>21</v>
      </c>
      <c r="L10" s="32">
        <v>0</v>
      </c>
      <c r="M10" s="32">
        <v>3</v>
      </c>
    </row>
    <row r="11" spans="1:17">
      <c r="A11" s="32">
        <f t="shared" ca="1" si="0"/>
        <v>22</v>
      </c>
      <c r="B11" s="32" cm="1">
        <f t="array" aca="1" ref="B11" ca="1">INDEX(Data_DBD!$B:$B,$A11)</f>
        <v>6</v>
      </c>
      <c r="C11" s="32" cm="1">
        <f t="array" aca="1" ref="C11" ca="1">INDEX(Data_DBD!$C:$C,$A11)</f>
        <v>3</v>
      </c>
      <c r="D11" s="32" cm="1">
        <f t="array" aca="1" ref="D11" ca="1">INDEX(Data_DBD!$D:$D,$A11)</f>
        <v>14</v>
      </c>
      <c r="E11" s="32" cm="1">
        <f t="array" aca="1" ref="E11" ca="1">INDEX(Data_DBD!$E:$E,$A11)</f>
        <v>0</v>
      </c>
      <c r="F11" s="32" cm="1">
        <f t="array" aca="1" ref="F11" ca="1">INDEX(Data_DBD!$F:$F,$A11)</f>
        <v>2</v>
      </c>
      <c r="H11" s="32">
        <v>147</v>
      </c>
      <c r="I11" s="32">
        <v>66</v>
      </c>
      <c r="J11" s="32">
        <v>10</v>
      </c>
      <c r="K11" s="32">
        <v>21</v>
      </c>
      <c r="L11" s="32">
        <v>1</v>
      </c>
      <c r="M11" s="32">
        <v>3</v>
      </c>
    </row>
    <row r="12" spans="1:17">
      <c r="A12" s="32">
        <f t="shared" ca="1" si="0"/>
        <v>115</v>
      </c>
      <c r="B12" s="32" cm="1">
        <f t="array" aca="1" ref="B12" ca="1">INDEX(Data_DBD!$B:$B,$A12)</f>
        <v>52</v>
      </c>
      <c r="C12" s="32" cm="1">
        <f t="array" aca="1" ref="C12" ca="1">INDEX(Data_DBD!$C:$C,$A12)</f>
        <v>3</v>
      </c>
      <c r="D12" s="32" cm="1">
        <f t="array" aca="1" ref="D12" ca="1">INDEX(Data_DBD!$D:$D,$A12)</f>
        <v>33</v>
      </c>
      <c r="E12" s="32" cm="1">
        <f t="array" aca="1" ref="E12" ca="1">INDEX(Data_DBD!$E:$E,$A12)</f>
        <v>1</v>
      </c>
      <c r="F12" s="32" cm="1">
        <f t="array" aca="1" ref="F12" ca="1">INDEX(Data_DBD!$F:$F,$A12)</f>
        <v>3</v>
      </c>
      <c r="H12" s="32">
        <v>75</v>
      </c>
      <c r="I12" s="32">
        <v>2</v>
      </c>
      <c r="J12" s="32">
        <v>2</v>
      </c>
      <c r="K12" s="32">
        <v>10</v>
      </c>
      <c r="L12" s="32">
        <v>1</v>
      </c>
      <c r="M12" s="32">
        <v>2</v>
      </c>
    </row>
    <row r="13" spans="1:17">
      <c r="A13" s="32">
        <f t="shared" ca="1" si="0"/>
        <v>69</v>
      </c>
      <c r="B13" s="32" cm="1">
        <f t="array" aca="1" ref="B13" ca="1">INDEX(Data_DBD!$B:$B,$A13)</f>
        <v>24</v>
      </c>
      <c r="C13" s="32" cm="1">
        <f t="array" aca="1" ref="C13" ca="1">INDEX(Data_DBD!$C:$C,$A13)</f>
        <v>4</v>
      </c>
      <c r="D13" s="32" cm="1">
        <f t="array" aca="1" ref="D13" ca="1">INDEX(Data_DBD!$D:$D,$A13)</f>
        <v>10</v>
      </c>
      <c r="E13" s="32" cm="1">
        <f t="array" aca="1" ref="E13" ca="1">INDEX(Data_DBD!$E:$E,$A13)</f>
        <v>1</v>
      </c>
      <c r="F13" s="32" cm="1">
        <f t="array" aca="1" ref="F13" ca="1">INDEX(Data_DBD!$F:$F,$A13)</f>
        <v>2</v>
      </c>
      <c r="H13" s="32">
        <v>145</v>
      </c>
      <c r="I13" s="32">
        <v>28</v>
      </c>
      <c r="J13" s="32">
        <v>4</v>
      </c>
      <c r="K13" s="32">
        <v>21</v>
      </c>
      <c r="L13" s="32">
        <v>1</v>
      </c>
      <c r="M13" s="32">
        <v>3</v>
      </c>
    </row>
    <row r="14" spans="1:17">
      <c r="A14" s="32">
        <f t="shared" ca="1" si="0"/>
        <v>101</v>
      </c>
      <c r="B14" s="32" cm="1">
        <f t="array" aca="1" ref="B14" ca="1">INDEX(Data_DBD!$B:$B,$A14)</f>
        <v>42</v>
      </c>
      <c r="C14" s="32" cm="1">
        <f t="array" aca="1" ref="C14" ca="1">INDEX(Data_DBD!$C:$C,$A14)</f>
        <v>5</v>
      </c>
      <c r="D14" s="32" cm="1">
        <f t="array" aca="1" ref="D14" ca="1">INDEX(Data_DBD!$D:$D,$A14)</f>
        <v>18</v>
      </c>
      <c r="E14" s="32" cm="1">
        <f t="array" aca="1" ref="E14" ca="1">INDEX(Data_DBD!$E:$E,$A14)</f>
        <v>0</v>
      </c>
      <c r="F14" s="32" cm="1">
        <f t="array" aca="1" ref="F14" ca="1">INDEX(Data_DBD!$F:$F,$A14)</f>
        <v>3</v>
      </c>
      <c r="H14" s="32">
        <v>80</v>
      </c>
      <c r="I14" s="32">
        <v>27</v>
      </c>
      <c r="J14" s="32">
        <v>3</v>
      </c>
      <c r="K14" s="32">
        <v>13</v>
      </c>
      <c r="L14" s="32">
        <v>1</v>
      </c>
      <c r="M14" s="32">
        <v>2</v>
      </c>
    </row>
    <row r="15" spans="1:17">
      <c r="A15" s="32">
        <f t="shared" ca="1" si="0"/>
        <v>18</v>
      </c>
      <c r="B15" s="32" cm="1">
        <f t="array" aca="1" ref="B15" ca="1">INDEX(Data_DBD!$B:$B,$A15)</f>
        <v>49</v>
      </c>
      <c r="C15" s="32" cm="1">
        <f t="array" aca="1" ref="C15" ca="1">INDEX(Data_DBD!$C:$C,$A15)</f>
        <v>4</v>
      </c>
      <c r="D15" s="32" cm="1">
        <f t="array" aca="1" ref="D15" ca="1">INDEX(Data_DBD!$D:$D,$A15)</f>
        <v>7</v>
      </c>
      <c r="E15" s="32" cm="1">
        <f t="array" aca="1" ref="E15" ca="1">INDEX(Data_DBD!$E:$E,$A15)</f>
        <v>1</v>
      </c>
      <c r="F15" s="32" cm="1">
        <f t="array" aca="1" ref="F15" ca="1">INDEX(Data_DBD!$F:$F,$A15)</f>
        <v>1</v>
      </c>
      <c r="H15" s="32">
        <v>156</v>
      </c>
      <c r="I15" s="32">
        <v>5</v>
      </c>
      <c r="J15" s="32">
        <v>2</v>
      </c>
      <c r="K15" s="32">
        <v>21</v>
      </c>
      <c r="L15" s="32">
        <v>0</v>
      </c>
      <c r="M15" s="32">
        <v>3</v>
      </c>
    </row>
    <row r="16" spans="1:17">
      <c r="A16" s="32">
        <f t="shared" ca="1" si="0"/>
        <v>82</v>
      </c>
      <c r="B16" s="32" cm="1">
        <f t="array" aca="1" ref="B16" ca="1">INDEX(Data_DBD!$B:$B,$A16)</f>
        <v>28</v>
      </c>
      <c r="C16" s="32" cm="1">
        <f t="array" aca="1" ref="C16" ca="1">INDEX(Data_DBD!$C:$C,$A16)</f>
        <v>3</v>
      </c>
      <c r="D16" s="32" cm="1">
        <f t="array" aca="1" ref="D16" ca="1">INDEX(Data_DBD!$D:$D,$A16)</f>
        <v>13</v>
      </c>
      <c r="E16" s="32" cm="1">
        <f t="array" aca="1" ref="E16" ca="1">INDEX(Data_DBD!$E:$E,$A16)</f>
        <v>1</v>
      </c>
      <c r="F16" s="32" cm="1">
        <f t="array" aca="1" ref="F16" ca="1">INDEX(Data_DBD!$F:$F,$A16)</f>
        <v>2</v>
      </c>
      <c r="H16" s="32">
        <v>52</v>
      </c>
      <c r="I16" s="32">
        <v>59</v>
      </c>
      <c r="J16" s="32">
        <v>4</v>
      </c>
      <c r="K16" s="32">
        <v>15</v>
      </c>
      <c r="L16" s="32">
        <v>1</v>
      </c>
      <c r="M16" s="32">
        <v>2</v>
      </c>
    </row>
    <row r="17" spans="1:13">
      <c r="A17" s="32">
        <f t="shared" ca="1" si="0"/>
        <v>159</v>
      </c>
      <c r="B17" s="32" cm="1">
        <f t="array" aca="1" ref="B17" ca="1">INDEX(Data_DBD!$B:$B,$A17)</f>
        <v>17</v>
      </c>
      <c r="C17" s="32" cm="1">
        <f t="array" aca="1" ref="C17" ca="1">INDEX(Data_DBD!$C:$C,$A17)</f>
        <v>2</v>
      </c>
      <c r="D17" s="32" cm="1">
        <f t="array" aca="1" ref="D17" ca="1">INDEX(Data_DBD!$D:$D,$A17)</f>
        <v>21</v>
      </c>
      <c r="E17" s="32" cm="1">
        <f t="array" aca="1" ref="E17" ca="1">INDEX(Data_DBD!$E:$E,$A17)</f>
        <v>0</v>
      </c>
      <c r="F17" s="32" cm="1">
        <f t="array" aca="1" ref="F17" ca="1">INDEX(Data_DBD!$F:$F,$A17)</f>
        <v>3</v>
      </c>
      <c r="H17" s="32">
        <v>85</v>
      </c>
      <c r="I17" s="32">
        <v>27</v>
      </c>
      <c r="J17" s="32">
        <v>9</v>
      </c>
      <c r="K17" s="32">
        <v>13</v>
      </c>
      <c r="L17" s="32">
        <v>0</v>
      </c>
      <c r="M17" s="32">
        <v>2</v>
      </c>
    </row>
    <row r="18" spans="1:13">
      <c r="A18" s="32">
        <f t="shared" ca="1" si="0"/>
        <v>60</v>
      </c>
      <c r="B18" s="32" cm="1">
        <f t="array" aca="1" ref="B18" ca="1">INDEX(Data_DBD!$B:$B,$A18)</f>
        <v>68</v>
      </c>
      <c r="C18" s="32" cm="1">
        <f t="array" aca="1" ref="C18" ca="1">INDEX(Data_DBD!$C:$C,$A18)</f>
        <v>4</v>
      </c>
      <c r="D18" s="32" cm="1">
        <f t="array" aca="1" ref="D18" ca="1">INDEX(Data_DBD!$D:$D,$A18)</f>
        <v>15</v>
      </c>
      <c r="E18" s="32" cm="1">
        <f t="array" aca="1" ref="E18" ca="1">INDEX(Data_DBD!$E:$E,$A18)</f>
        <v>0</v>
      </c>
      <c r="F18" s="32" cm="1">
        <f t="array" aca="1" ref="F18" ca="1">INDEX(Data_DBD!$F:$F,$A18)</f>
        <v>2</v>
      </c>
      <c r="H18" s="32">
        <v>152</v>
      </c>
      <c r="I18" s="32">
        <v>47</v>
      </c>
      <c r="J18" s="32">
        <v>3</v>
      </c>
      <c r="K18" s="32">
        <v>21</v>
      </c>
      <c r="L18" s="32">
        <v>1</v>
      </c>
      <c r="M18" s="32">
        <v>3</v>
      </c>
    </row>
    <row r="19" spans="1:13">
      <c r="A19" s="32">
        <f t="shared" ca="1" si="0"/>
        <v>151</v>
      </c>
      <c r="B19" s="32" cm="1">
        <f t="array" aca="1" ref="B19" ca="1">INDEX(Data_DBD!$B:$B,$A19)</f>
        <v>24</v>
      </c>
      <c r="C19" s="32" cm="1">
        <f t="array" aca="1" ref="C19" ca="1">INDEX(Data_DBD!$C:$C,$A19)</f>
        <v>3</v>
      </c>
      <c r="D19" s="32" cm="1">
        <f t="array" aca="1" ref="D19" ca="1">INDEX(Data_DBD!$D:$D,$A19)</f>
        <v>21</v>
      </c>
      <c r="E19" s="32" cm="1">
        <f t="array" aca="1" ref="E19" ca="1">INDEX(Data_DBD!$E:$E,$A19)</f>
        <v>0</v>
      </c>
      <c r="F19" s="32" cm="1">
        <f t="array" aca="1" ref="F19" ca="1">INDEX(Data_DBD!$F:$F,$A19)</f>
        <v>3</v>
      </c>
      <c r="H19" s="32">
        <v>55</v>
      </c>
      <c r="I19" s="32">
        <v>7</v>
      </c>
      <c r="J19" s="32">
        <v>4</v>
      </c>
      <c r="K19" s="32">
        <v>15</v>
      </c>
      <c r="L19" s="32">
        <v>1</v>
      </c>
      <c r="M19" s="32">
        <v>2</v>
      </c>
    </row>
    <row r="20" spans="1:13">
      <c r="A20" s="32">
        <f t="shared" ca="1" si="0"/>
        <v>104</v>
      </c>
      <c r="B20" s="32" cm="1">
        <f t="array" aca="1" ref="B20" ca="1">INDEX(Data_DBD!$B:$B,$A20)</f>
        <v>37</v>
      </c>
      <c r="C20" s="32" cm="1">
        <f t="array" aca="1" ref="C20" ca="1">INDEX(Data_DBD!$C:$C,$A20)</f>
        <v>4</v>
      </c>
      <c r="D20" s="32" cm="1">
        <f t="array" aca="1" ref="D20" ca="1">INDEX(Data_DBD!$D:$D,$A20)</f>
        <v>18</v>
      </c>
      <c r="E20" s="32" cm="1">
        <f t="array" aca="1" ref="E20" ca="1">INDEX(Data_DBD!$E:$E,$A20)</f>
        <v>1</v>
      </c>
      <c r="F20" s="32" cm="1">
        <f t="array" aca="1" ref="F20" ca="1">INDEX(Data_DBD!$F:$F,$A20)</f>
        <v>3</v>
      </c>
      <c r="H20" s="32">
        <v>154</v>
      </c>
      <c r="I20" s="32">
        <v>18</v>
      </c>
      <c r="J20" s="32">
        <v>5</v>
      </c>
      <c r="K20" s="32">
        <v>21</v>
      </c>
      <c r="L20" s="32">
        <v>1</v>
      </c>
      <c r="M20" s="32">
        <v>3</v>
      </c>
    </row>
    <row r="21" spans="1:13">
      <c r="A21" s="32">
        <f t="shared" ca="1" si="0"/>
        <v>111</v>
      </c>
      <c r="B21" s="32" cm="1">
        <f t="array" aca="1" ref="B21" ca="1">INDEX(Data_DBD!$B:$B,$A21)</f>
        <v>25</v>
      </c>
      <c r="C21" s="32" cm="1">
        <f t="array" aca="1" ref="C21" ca="1">INDEX(Data_DBD!$C:$C,$A21)</f>
        <v>4</v>
      </c>
      <c r="D21" s="32" cm="1">
        <f t="array" aca="1" ref="D21" ca="1">INDEX(Data_DBD!$D:$D,$A21)</f>
        <v>33</v>
      </c>
      <c r="E21" s="32" cm="1">
        <f t="array" aca="1" ref="E21" ca="1">INDEX(Data_DBD!$E:$E,$A21)</f>
        <v>0</v>
      </c>
      <c r="F21" s="32" cm="1">
        <f t="array" aca="1" ref="F21" ca="1">INDEX(Data_DBD!$F:$F,$A21)</f>
        <v>3</v>
      </c>
      <c r="H21" s="32">
        <v>100</v>
      </c>
      <c r="I21" s="32">
        <v>19</v>
      </c>
      <c r="J21" s="32">
        <v>6</v>
      </c>
      <c r="K21" s="32">
        <v>18</v>
      </c>
      <c r="L21" s="32">
        <v>0</v>
      </c>
      <c r="M21" s="32">
        <v>3</v>
      </c>
    </row>
    <row r="22" spans="1:13">
      <c r="A22" s="32">
        <f t="shared" ca="1" si="0"/>
        <v>146</v>
      </c>
      <c r="B22" s="32" cm="1">
        <f t="array" aca="1" ref="B22" ca="1">INDEX(Data_DBD!$B:$B,$A22)</f>
        <v>34</v>
      </c>
      <c r="C22" s="32" cm="1">
        <f t="array" aca="1" ref="C22" ca="1">INDEX(Data_DBD!$C:$C,$A22)</f>
        <v>2</v>
      </c>
      <c r="D22" s="32" cm="1">
        <f t="array" aca="1" ref="D22" ca="1">INDEX(Data_DBD!$D:$D,$A22)</f>
        <v>21</v>
      </c>
      <c r="E22" s="32" cm="1">
        <f t="array" aca="1" ref="E22" ca="1">INDEX(Data_DBD!$E:$E,$A22)</f>
        <v>1</v>
      </c>
      <c r="F22" s="32" cm="1">
        <f t="array" aca="1" ref="F22" ca="1">INDEX(Data_DBD!$F:$F,$A22)</f>
        <v>3</v>
      </c>
      <c r="H22" s="32">
        <v>151</v>
      </c>
      <c r="I22" s="32">
        <v>24</v>
      </c>
      <c r="J22" s="32">
        <v>3</v>
      </c>
      <c r="K22" s="32">
        <v>21</v>
      </c>
      <c r="L22" s="32">
        <v>0</v>
      </c>
      <c r="M22" s="32">
        <v>3</v>
      </c>
    </row>
    <row r="23" spans="1:13">
      <c r="A23" s="32">
        <f t="shared" ca="1" si="0"/>
        <v>26</v>
      </c>
      <c r="B23" s="32" cm="1">
        <f t="array" aca="1" ref="B23" ca="1">INDEX(Data_DBD!$B:$B,$A23)</f>
        <v>75</v>
      </c>
      <c r="C23" s="32" cm="1">
        <f t="array" aca="1" ref="C23" ca="1">INDEX(Data_DBD!$C:$C,$A23)</f>
        <v>4</v>
      </c>
      <c r="D23" s="32" cm="1">
        <f t="array" aca="1" ref="D23" ca="1">INDEX(Data_DBD!$D:$D,$A23)</f>
        <v>14</v>
      </c>
      <c r="E23" s="32" cm="1">
        <f t="array" aca="1" ref="E23" ca="1">INDEX(Data_DBD!$E:$E,$A23)</f>
        <v>1</v>
      </c>
      <c r="F23" s="32" cm="1">
        <f t="array" aca="1" ref="F23" ca="1">INDEX(Data_DBD!$F:$F,$A23)</f>
        <v>2</v>
      </c>
      <c r="H23" s="32">
        <v>152</v>
      </c>
      <c r="I23" s="32">
        <v>47</v>
      </c>
      <c r="J23" s="32">
        <v>3</v>
      </c>
      <c r="K23" s="32">
        <v>21</v>
      </c>
      <c r="L23" s="32">
        <v>1</v>
      </c>
      <c r="M23" s="32">
        <v>3</v>
      </c>
    </row>
    <row r="24" spans="1:13">
      <c r="A24" s="32">
        <f t="shared" ca="1" si="0"/>
        <v>136</v>
      </c>
      <c r="B24" s="32" cm="1">
        <f t="array" aca="1" ref="B24" ca="1">INDEX(Data_DBD!$B:$B,$A24)</f>
        <v>6</v>
      </c>
      <c r="C24" s="32" cm="1">
        <f t="array" aca="1" ref="C24" ca="1">INDEX(Data_DBD!$C:$C,$A24)</f>
        <v>2</v>
      </c>
      <c r="D24" s="32" cm="1">
        <f t="array" aca="1" ref="D24" ca="1">INDEX(Data_DBD!$D:$D,$A24)</f>
        <v>33</v>
      </c>
      <c r="E24" s="32" cm="1">
        <f t="array" aca="1" ref="E24" ca="1">INDEX(Data_DBD!$E:$E,$A24)</f>
        <v>0</v>
      </c>
      <c r="F24" s="32" cm="1">
        <f t="array" aca="1" ref="F24" ca="1">INDEX(Data_DBD!$F:$F,$A24)</f>
        <v>3</v>
      </c>
      <c r="H24" s="32">
        <v>36</v>
      </c>
      <c r="I24" s="32">
        <v>27</v>
      </c>
      <c r="J24" s="32">
        <v>1</v>
      </c>
      <c r="K24" s="32">
        <v>4</v>
      </c>
      <c r="L24" s="32">
        <v>1</v>
      </c>
      <c r="M24" s="32">
        <v>1</v>
      </c>
    </row>
    <row r="25" spans="1:13">
      <c r="A25" s="32">
        <f t="shared" ca="1" si="0"/>
        <v>90</v>
      </c>
      <c r="B25" s="32" cm="1">
        <f t="array" aca="1" ref="B25" ca="1">INDEX(Data_DBD!$B:$B,$A25)</f>
        <v>47</v>
      </c>
      <c r="C25" s="32" cm="1">
        <f t="array" aca="1" ref="C25" ca="1">INDEX(Data_DBD!$C:$C,$A25)</f>
        <v>3</v>
      </c>
      <c r="D25" s="32" cm="1">
        <f t="array" aca="1" ref="D25" ca="1">INDEX(Data_DBD!$D:$D,$A25)</f>
        <v>18</v>
      </c>
      <c r="E25" s="32" cm="1">
        <f t="array" aca="1" ref="E25" ca="1">INDEX(Data_DBD!$E:$E,$A25)</f>
        <v>0</v>
      </c>
      <c r="F25" s="32" cm="1">
        <f t="array" aca="1" ref="F25" ca="1">INDEX(Data_DBD!$F:$F,$A25)</f>
        <v>3</v>
      </c>
      <c r="H25" s="32">
        <v>53</v>
      </c>
      <c r="I25" s="32">
        <v>35</v>
      </c>
      <c r="J25" s="32">
        <v>4</v>
      </c>
      <c r="K25" s="32">
        <v>15</v>
      </c>
      <c r="L25" s="32">
        <v>1</v>
      </c>
      <c r="M25" s="32">
        <v>2</v>
      </c>
    </row>
    <row r="26" spans="1:13">
      <c r="A26" s="32">
        <f t="shared" ca="1" si="0"/>
        <v>125</v>
      </c>
      <c r="B26" s="32" cm="1">
        <f t="array" aca="1" ref="B26" ca="1">INDEX(Data_DBD!$B:$B,$A26)</f>
        <v>39</v>
      </c>
      <c r="C26" s="32" cm="1">
        <f t="array" aca="1" ref="C26" ca="1">INDEX(Data_DBD!$C:$C,$A26)</f>
        <v>4</v>
      </c>
      <c r="D26" s="32" cm="1">
        <f t="array" aca="1" ref="D26" ca="1">INDEX(Data_DBD!$D:$D,$A26)</f>
        <v>33</v>
      </c>
      <c r="E26" s="32" cm="1">
        <f t="array" aca="1" ref="E26" ca="1">INDEX(Data_DBD!$E:$E,$A26)</f>
        <v>0</v>
      </c>
      <c r="F26" s="32" cm="1">
        <f t="array" aca="1" ref="F26" ca="1">INDEX(Data_DBD!$F:$F,$A26)</f>
        <v>3</v>
      </c>
      <c r="H26" s="32">
        <v>133</v>
      </c>
      <c r="I26" s="32">
        <v>6</v>
      </c>
      <c r="J26" s="32">
        <v>4</v>
      </c>
      <c r="K26" s="32">
        <v>33</v>
      </c>
      <c r="L26" s="32">
        <v>0</v>
      </c>
      <c r="M26" s="32">
        <v>3</v>
      </c>
    </row>
    <row r="27" spans="1:13">
      <c r="A27" s="32">
        <f t="shared" ca="1" si="0"/>
        <v>28</v>
      </c>
      <c r="B27" s="32" cm="1">
        <f t="array" aca="1" ref="B27" ca="1">INDEX(Data_DBD!$B:$B,$A27)</f>
        <v>22</v>
      </c>
      <c r="C27" s="32" cm="1">
        <f t="array" aca="1" ref="C27" ca="1">INDEX(Data_DBD!$C:$C,$A27)</f>
        <v>2</v>
      </c>
      <c r="D27" s="32" cm="1">
        <f t="array" aca="1" ref="D27" ca="1">INDEX(Data_DBD!$D:$D,$A27)</f>
        <v>14</v>
      </c>
      <c r="E27" s="32" cm="1">
        <f t="array" aca="1" ref="E27" ca="1">INDEX(Data_DBD!$E:$E,$A27)</f>
        <v>1</v>
      </c>
      <c r="F27" s="32" cm="1">
        <f t="array" aca="1" ref="F27" ca="1">INDEX(Data_DBD!$F:$F,$A27)</f>
        <v>2</v>
      </c>
      <c r="H27" s="32">
        <v>98</v>
      </c>
      <c r="I27" s="32">
        <v>16</v>
      </c>
      <c r="J27" s="32">
        <v>2</v>
      </c>
      <c r="K27" s="32">
        <v>18</v>
      </c>
      <c r="L27" s="32">
        <v>1</v>
      </c>
      <c r="M27" s="32">
        <v>3</v>
      </c>
    </row>
    <row r="28" spans="1:13">
      <c r="A28" s="32">
        <f t="shared" ca="1" si="0"/>
        <v>57</v>
      </c>
      <c r="B28" s="32" cm="1">
        <f t="array" aca="1" ref="B28" ca="1">INDEX(Data_DBD!$B:$B,$A28)</f>
        <v>2</v>
      </c>
      <c r="C28" s="32" cm="1">
        <f t="array" aca="1" ref="C28" ca="1">INDEX(Data_DBD!$C:$C,$A28)</f>
        <v>2</v>
      </c>
      <c r="D28" s="32" cm="1">
        <f t="array" aca="1" ref="D28" ca="1">INDEX(Data_DBD!$D:$D,$A28)</f>
        <v>15</v>
      </c>
      <c r="E28" s="32" cm="1">
        <f t="array" aca="1" ref="E28" ca="1">INDEX(Data_DBD!$E:$E,$A28)</f>
        <v>1</v>
      </c>
      <c r="F28" s="32" cm="1">
        <f t="array" aca="1" ref="F28" ca="1">INDEX(Data_DBD!$F:$F,$A28)</f>
        <v>2</v>
      </c>
      <c r="H28" s="32">
        <v>9</v>
      </c>
      <c r="I28" s="32">
        <v>16</v>
      </c>
      <c r="J28" s="32">
        <v>6</v>
      </c>
      <c r="K28" s="32">
        <v>12</v>
      </c>
      <c r="L28" s="32">
        <v>1</v>
      </c>
      <c r="M28" s="32">
        <v>2</v>
      </c>
    </row>
    <row r="29" spans="1:13">
      <c r="A29" s="32">
        <f t="shared" ca="1" si="0"/>
        <v>98</v>
      </c>
      <c r="B29" s="32" cm="1">
        <f t="array" aca="1" ref="B29" ca="1">INDEX(Data_DBD!$B:$B,$A29)</f>
        <v>16</v>
      </c>
      <c r="C29" s="32" cm="1">
        <f t="array" aca="1" ref="C29" ca="1">INDEX(Data_DBD!$C:$C,$A29)</f>
        <v>2</v>
      </c>
      <c r="D29" s="32" cm="1">
        <f t="array" aca="1" ref="D29" ca="1">INDEX(Data_DBD!$D:$D,$A29)</f>
        <v>18</v>
      </c>
      <c r="E29" s="32" cm="1">
        <f t="array" aca="1" ref="E29" ca="1">INDEX(Data_DBD!$E:$E,$A29)</f>
        <v>1</v>
      </c>
      <c r="F29" s="32" cm="1">
        <f t="array" aca="1" ref="F29" ca="1">INDEX(Data_DBD!$F:$F,$A29)</f>
        <v>3</v>
      </c>
      <c r="H29" s="32">
        <v>8</v>
      </c>
      <c r="I29" s="32">
        <v>4</v>
      </c>
      <c r="J29" s="32">
        <v>2</v>
      </c>
      <c r="K29" s="32">
        <v>12</v>
      </c>
      <c r="L29" s="32">
        <v>0</v>
      </c>
      <c r="M29" s="32">
        <v>2</v>
      </c>
    </row>
    <row r="30" spans="1:13">
      <c r="A30" s="32">
        <f t="shared" ca="1" si="0"/>
        <v>157</v>
      </c>
      <c r="B30" s="32" cm="1">
        <f t="array" aca="1" ref="B30" ca="1">INDEX(Data_DBD!$B:$B,$A30)</f>
        <v>15</v>
      </c>
      <c r="C30" s="32" cm="1">
        <f t="array" aca="1" ref="C30" ca="1">INDEX(Data_DBD!$C:$C,$A30)</f>
        <v>4</v>
      </c>
      <c r="D30" s="32" cm="1">
        <f t="array" aca="1" ref="D30" ca="1">INDEX(Data_DBD!$D:$D,$A30)</f>
        <v>21</v>
      </c>
      <c r="E30" s="32" cm="1">
        <f t="array" aca="1" ref="E30" ca="1">INDEX(Data_DBD!$E:$E,$A30)</f>
        <v>1</v>
      </c>
      <c r="F30" s="32" cm="1">
        <f t="array" aca="1" ref="F30" ca="1">INDEX(Data_DBD!$F:$F,$A30)</f>
        <v>3</v>
      </c>
      <c r="H30" s="32">
        <v>125</v>
      </c>
      <c r="I30" s="32">
        <v>39</v>
      </c>
      <c r="J30" s="32">
        <v>4</v>
      </c>
      <c r="K30" s="32">
        <v>33</v>
      </c>
      <c r="L30" s="32">
        <v>0</v>
      </c>
      <c r="M30" s="32">
        <v>3</v>
      </c>
    </row>
    <row r="31" spans="1:13">
      <c r="A31" s="32">
        <f t="shared" ca="1" si="0"/>
        <v>8</v>
      </c>
      <c r="B31" s="32" cm="1">
        <f t="array" aca="1" ref="B31" ca="1">INDEX(Data_DBD!$B:$B,$A31)</f>
        <v>4</v>
      </c>
      <c r="C31" s="32" cm="1">
        <f t="array" aca="1" ref="C31" ca="1">INDEX(Data_DBD!$C:$C,$A31)</f>
        <v>2</v>
      </c>
      <c r="D31" s="32" cm="1">
        <f t="array" aca="1" ref="D31" ca="1">INDEX(Data_DBD!$D:$D,$A31)</f>
        <v>12</v>
      </c>
      <c r="E31" s="32" cm="1">
        <f t="array" aca="1" ref="E31" ca="1">INDEX(Data_DBD!$E:$E,$A31)</f>
        <v>0</v>
      </c>
      <c r="F31" s="32" cm="1">
        <f t="array" aca="1" ref="F31" ca="1">INDEX(Data_DBD!$F:$F,$A31)</f>
        <v>2</v>
      </c>
      <c r="H31" s="32">
        <v>113</v>
      </c>
      <c r="I31" s="32">
        <v>69</v>
      </c>
      <c r="J31" s="32">
        <v>1</v>
      </c>
      <c r="K31" s="32">
        <v>33</v>
      </c>
      <c r="L31" s="32">
        <v>1</v>
      </c>
      <c r="M31" s="32">
        <v>3</v>
      </c>
    </row>
    <row r="32" spans="1:13">
      <c r="A32" s="32">
        <f t="shared" ca="1" si="0"/>
        <v>155</v>
      </c>
      <c r="B32" s="32" cm="1">
        <f t="array" aca="1" ref="B32" ca="1">INDEX(Data_DBD!$B:$B,$A32)</f>
        <v>19</v>
      </c>
      <c r="C32" s="32" cm="1">
        <f t="array" aca="1" ref="C32" ca="1">INDEX(Data_DBD!$C:$C,$A32)</f>
        <v>5</v>
      </c>
      <c r="D32" s="32" cm="1">
        <f t="array" aca="1" ref="D32" ca="1">INDEX(Data_DBD!$D:$D,$A32)</f>
        <v>21</v>
      </c>
      <c r="E32" s="32" cm="1">
        <f t="array" aca="1" ref="E32" ca="1">INDEX(Data_DBD!$E:$E,$A32)</f>
        <v>1</v>
      </c>
      <c r="F32" s="32" cm="1">
        <f t="array" aca="1" ref="F32" ca="1">INDEX(Data_DBD!$F:$F,$A32)</f>
        <v>3</v>
      </c>
      <c r="H32" s="32">
        <v>88</v>
      </c>
      <c r="I32" s="32">
        <v>20</v>
      </c>
      <c r="J32" s="32">
        <v>4</v>
      </c>
      <c r="K32" s="32">
        <v>13</v>
      </c>
      <c r="L32" s="32">
        <v>1</v>
      </c>
      <c r="M32" s="32">
        <v>2</v>
      </c>
    </row>
    <row r="33" spans="1:13">
      <c r="A33" s="32">
        <f t="shared" ca="1" si="0"/>
        <v>33</v>
      </c>
      <c r="B33" s="32" cm="1">
        <f t="array" aca="1" ref="B33" ca="1">INDEX(Data_DBD!$B:$B,$A33)</f>
        <v>19</v>
      </c>
      <c r="C33" s="32" cm="1">
        <f t="array" aca="1" ref="C33" ca="1">INDEX(Data_DBD!$C:$C,$A33)</f>
        <v>4</v>
      </c>
      <c r="D33" s="32" cm="1">
        <f t="array" aca="1" ref="D33" ca="1">INDEX(Data_DBD!$D:$D,$A33)</f>
        <v>14</v>
      </c>
      <c r="E33" s="32" cm="1">
        <f t="array" aca="1" ref="E33" ca="1">INDEX(Data_DBD!$E:$E,$A33)</f>
        <v>1</v>
      </c>
      <c r="F33" s="32" cm="1">
        <f t="array" aca="1" ref="F33" ca="1">INDEX(Data_DBD!$F:$F,$A33)</f>
        <v>2</v>
      </c>
      <c r="H33" s="32">
        <v>64</v>
      </c>
      <c r="I33" s="32">
        <v>35</v>
      </c>
      <c r="J33" s="32">
        <v>1</v>
      </c>
      <c r="K33" s="32">
        <v>15</v>
      </c>
      <c r="L33" s="32">
        <v>0</v>
      </c>
      <c r="M33" s="32">
        <v>2</v>
      </c>
    </row>
    <row r="34" spans="1:13">
      <c r="A34" s="32">
        <f t="shared" ca="1" si="0"/>
        <v>19</v>
      </c>
      <c r="B34" s="32" cm="1">
        <f t="array" aca="1" ref="B34" ca="1">INDEX(Data_DBD!$B:$B,$A34)</f>
        <v>8</v>
      </c>
      <c r="C34" s="32" cm="1">
        <f t="array" aca="1" ref="C34" ca="1">INDEX(Data_DBD!$C:$C,$A34)</f>
        <v>4</v>
      </c>
      <c r="D34" s="32" cm="1">
        <f t="array" aca="1" ref="D34" ca="1">INDEX(Data_DBD!$D:$D,$A34)</f>
        <v>7</v>
      </c>
      <c r="E34" s="32" cm="1">
        <f t="array" aca="1" ref="E34" ca="1">INDEX(Data_DBD!$E:$E,$A34)</f>
        <v>0</v>
      </c>
      <c r="F34" s="32" cm="1">
        <f t="array" aca="1" ref="F34" ca="1">INDEX(Data_DBD!$F:$F,$A34)</f>
        <v>1</v>
      </c>
      <c r="H34" s="32">
        <v>110</v>
      </c>
      <c r="I34" s="32">
        <v>42</v>
      </c>
      <c r="J34" s="32">
        <v>2</v>
      </c>
      <c r="K34" s="32">
        <v>33</v>
      </c>
      <c r="L34" s="32">
        <v>1</v>
      </c>
      <c r="M34" s="32">
        <v>3</v>
      </c>
    </row>
    <row r="35" spans="1:13">
      <c r="A35" s="32">
        <f t="shared" ca="1" si="0"/>
        <v>68</v>
      </c>
      <c r="B35" s="32" cm="1">
        <f t="array" aca="1" ref="B35" ca="1">INDEX(Data_DBD!$B:$B,$A35)</f>
        <v>44</v>
      </c>
      <c r="C35" s="32" cm="1">
        <f t="array" aca="1" ref="C35" ca="1">INDEX(Data_DBD!$C:$C,$A35)</f>
        <v>5</v>
      </c>
      <c r="D35" s="32" cm="1">
        <f t="array" aca="1" ref="D35" ca="1">INDEX(Data_DBD!$D:$D,$A35)</f>
        <v>10</v>
      </c>
      <c r="E35" s="32" cm="1">
        <f t="array" aca="1" ref="E35" ca="1">INDEX(Data_DBD!$E:$E,$A35)</f>
        <v>0</v>
      </c>
      <c r="F35" s="32" cm="1">
        <f t="array" aca="1" ref="F35" ca="1">INDEX(Data_DBD!$F:$F,$A35)</f>
        <v>2</v>
      </c>
      <c r="H35" s="32">
        <v>97</v>
      </c>
      <c r="I35" s="32">
        <v>16</v>
      </c>
      <c r="J35" s="32">
        <v>2</v>
      </c>
      <c r="K35" s="32">
        <v>18</v>
      </c>
      <c r="L35" s="32">
        <v>1</v>
      </c>
      <c r="M35" s="32">
        <v>3</v>
      </c>
    </row>
    <row r="36" spans="1:13">
      <c r="A36" s="32">
        <f t="shared" ca="1" si="0"/>
        <v>74</v>
      </c>
      <c r="B36" s="32" cm="1">
        <f t="array" aca="1" ref="B36" ca="1">INDEX(Data_DBD!$B:$B,$A36)</f>
        <v>9</v>
      </c>
      <c r="C36" s="32" cm="1">
        <f t="array" aca="1" ref="C36" ca="1">INDEX(Data_DBD!$C:$C,$A36)</f>
        <v>4</v>
      </c>
      <c r="D36" s="32" cm="1">
        <f t="array" aca="1" ref="D36" ca="1">INDEX(Data_DBD!$D:$D,$A36)</f>
        <v>10</v>
      </c>
      <c r="E36" s="32" cm="1">
        <f t="array" aca="1" ref="E36" ca="1">INDEX(Data_DBD!$E:$E,$A36)</f>
        <v>0</v>
      </c>
      <c r="F36" s="32" cm="1">
        <f t="array" aca="1" ref="F36" ca="1">INDEX(Data_DBD!$F:$F,$A36)</f>
        <v>2</v>
      </c>
      <c r="H36" s="32">
        <v>149</v>
      </c>
      <c r="I36" s="32">
        <v>19</v>
      </c>
      <c r="J36" s="32">
        <v>5</v>
      </c>
      <c r="K36" s="32">
        <v>21</v>
      </c>
      <c r="L36" s="32">
        <v>0</v>
      </c>
      <c r="M36" s="32">
        <v>3</v>
      </c>
    </row>
    <row r="37" spans="1:13">
      <c r="A37" s="32">
        <f t="shared" ca="1" si="0"/>
        <v>119</v>
      </c>
      <c r="B37" s="32" cm="1">
        <f t="array" aca="1" ref="B37" ca="1">INDEX(Data_DBD!$B:$B,$A37)</f>
        <v>30</v>
      </c>
      <c r="C37" s="32" cm="1">
        <f t="array" aca="1" ref="C37" ca="1">INDEX(Data_DBD!$C:$C,$A37)</f>
        <v>7</v>
      </c>
      <c r="D37" s="32" cm="1">
        <f t="array" aca="1" ref="D37" ca="1">INDEX(Data_DBD!$D:$D,$A37)</f>
        <v>33</v>
      </c>
      <c r="E37" s="32" cm="1">
        <f t="array" aca="1" ref="E37" ca="1">INDEX(Data_DBD!$E:$E,$A37)</f>
        <v>0</v>
      </c>
      <c r="F37" s="32" cm="1">
        <f t="array" aca="1" ref="F37" ca="1">INDEX(Data_DBD!$F:$F,$A37)</f>
        <v>3</v>
      </c>
      <c r="H37" s="32">
        <v>120</v>
      </c>
      <c r="I37" s="32">
        <v>26</v>
      </c>
      <c r="J37" s="32">
        <v>4</v>
      </c>
      <c r="K37" s="32">
        <v>33</v>
      </c>
      <c r="L37" s="32">
        <v>1</v>
      </c>
      <c r="M37" s="32">
        <v>3</v>
      </c>
    </row>
    <row r="38" spans="1:13">
      <c r="A38" s="32">
        <f t="shared" ca="1" si="0"/>
        <v>55</v>
      </c>
      <c r="B38" s="32" cm="1">
        <f t="array" aca="1" ref="B38" ca="1">INDEX(Data_DBD!$B:$B,$A38)</f>
        <v>7</v>
      </c>
      <c r="C38" s="32" cm="1">
        <f t="array" aca="1" ref="C38" ca="1">INDEX(Data_DBD!$C:$C,$A38)</f>
        <v>4</v>
      </c>
      <c r="D38" s="32" cm="1">
        <f t="array" aca="1" ref="D38" ca="1">INDEX(Data_DBD!$D:$D,$A38)</f>
        <v>15</v>
      </c>
      <c r="E38" s="32" cm="1">
        <f t="array" aca="1" ref="E38" ca="1">INDEX(Data_DBD!$E:$E,$A38)</f>
        <v>1</v>
      </c>
      <c r="F38" s="32" cm="1">
        <f t="array" aca="1" ref="F38" ca="1">INDEX(Data_DBD!$F:$F,$A38)</f>
        <v>2</v>
      </c>
      <c r="H38" s="32">
        <v>29</v>
      </c>
      <c r="I38" s="32">
        <v>19</v>
      </c>
      <c r="J38" s="32">
        <v>2</v>
      </c>
      <c r="K38" s="32">
        <v>14</v>
      </c>
      <c r="L38" s="32">
        <v>1</v>
      </c>
      <c r="M38" s="32">
        <v>2</v>
      </c>
    </row>
    <row r="39" spans="1:13">
      <c r="A39" s="32">
        <f t="shared" ca="1" si="0"/>
        <v>13</v>
      </c>
      <c r="B39" s="32" cm="1">
        <f t="array" aca="1" ref="B39" ca="1">INDEX(Data_DBD!$B:$B,$A39)</f>
        <v>47</v>
      </c>
      <c r="C39" s="32" cm="1">
        <f t="array" aca="1" ref="C39" ca="1">INDEX(Data_DBD!$C:$C,$A39)</f>
        <v>2</v>
      </c>
      <c r="D39" s="32" cm="1">
        <f t="array" aca="1" ref="D39" ca="1">INDEX(Data_DBD!$D:$D,$A39)</f>
        <v>12</v>
      </c>
      <c r="E39" s="32" cm="1">
        <f t="array" aca="1" ref="E39" ca="1">INDEX(Data_DBD!$E:$E,$A39)</f>
        <v>0</v>
      </c>
      <c r="F39" s="32" cm="1">
        <f t="array" aca="1" ref="F39" ca="1">INDEX(Data_DBD!$F:$F,$A39)</f>
        <v>2</v>
      </c>
      <c r="H39" s="32">
        <v>32</v>
      </c>
      <c r="I39" s="32">
        <v>54</v>
      </c>
      <c r="J39" s="32">
        <v>4</v>
      </c>
      <c r="K39" s="32">
        <v>14</v>
      </c>
      <c r="L39" s="32">
        <v>0</v>
      </c>
      <c r="M39" s="32">
        <v>2</v>
      </c>
    </row>
    <row r="40" spans="1:13">
      <c r="A40" s="32">
        <f t="shared" ca="1" si="0"/>
        <v>112</v>
      </c>
      <c r="B40" s="32" cm="1">
        <f t="array" aca="1" ref="B40" ca="1">INDEX(Data_DBD!$B:$B,$A40)</f>
        <v>61</v>
      </c>
      <c r="C40" s="32" cm="1">
        <f t="array" aca="1" ref="C40" ca="1">INDEX(Data_DBD!$C:$C,$A40)</f>
        <v>3</v>
      </c>
      <c r="D40" s="32" cm="1">
        <f t="array" aca="1" ref="D40" ca="1">INDEX(Data_DBD!$D:$D,$A40)</f>
        <v>33</v>
      </c>
      <c r="E40" s="32" cm="1">
        <f t="array" aca="1" ref="E40" ca="1">INDEX(Data_DBD!$E:$E,$A40)</f>
        <v>1</v>
      </c>
      <c r="F40" s="32" cm="1">
        <f t="array" aca="1" ref="F40" ca="1">INDEX(Data_DBD!$F:$F,$A40)</f>
        <v>3</v>
      </c>
      <c r="H40" s="32">
        <v>16</v>
      </c>
      <c r="I40" s="32">
        <v>66</v>
      </c>
      <c r="J40" s="32">
        <v>5</v>
      </c>
      <c r="K40" s="32">
        <v>7</v>
      </c>
      <c r="L40" s="32">
        <v>1</v>
      </c>
      <c r="M40" s="32">
        <v>1</v>
      </c>
    </row>
    <row r="41" spans="1:13">
      <c r="A41" s="32">
        <f t="shared" ca="1" si="0"/>
        <v>60</v>
      </c>
      <c r="B41" s="32" cm="1">
        <f t="array" aca="1" ref="B41" ca="1">INDEX(Data_DBD!$B:$B,$A41)</f>
        <v>68</v>
      </c>
      <c r="C41" s="32" cm="1">
        <f t="array" aca="1" ref="C41" ca="1">INDEX(Data_DBD!$C:$C,$A41)</f>
        <v>4</v>
      </c>
      <c r="D41" s="32" cm="1">
        <f t="array" aca="1" ref="D41" ca="1">INDEX(Data_DBD!$D:$D,$A41)</f>
        <v>15</v>
      </c>
      <c r="E41" s="32" cm="1">
        <f t="array" aca="1" ref="E41" ca="1">INDEX(Data_DBD!$E:$E,$A41)</f>
        <v>0</v>
      </c>
      <c r="F41" s="32" cm="1">
        <f t="array" aca="1" ref="F41" ca="1">INDEX(Data_DBD!$F:$F,$A41)</f>
        <v>2</v>
      </c>
      <c r="H41" s="32">
        <v>138</v>
      </c>
      <c r="I41" s="32">
        <v>13</v>
      </c>
      <c r="J41" s="32">
        <v>3</v>
      </c>
      <c r="K41" s="32">
        <v>33</v>
      </c>
      <c r="L41" s="32">
        <v>1</v>
      </c>
      <c r="M41" s="32">
        <v>3</v>
      </c>
    </row>
    <row r="42" spans="1:13">
      <c r="A42" s="32">
        <f t="shared" ca="1" si="0"/>
        <v>6</v>
      </c>
      <c r="B42" s="32" cm="1">
        <f t="array" aca="1" ref="B42" ca="1">INDEX(Data_DBD!$B:$B,$A42)</f>
        <v>14</v>
      </c>
      <c r="C42" s="32" cm="1">
        <f t="array" aca="1" ref="C42" ca="1">INDEX(Data_DBD!$C:$C,$A42)</f>
        <v>4</v>
      </c>
      <c r="D42" s="32" cm="1">
        <f t="array" aca="1" ref="D42" ca="1">INDEX(Data_DBD!$D:$D,$A42)</f>
        <v>12</v>
      </c>
      <c r="E42" s="32" cm="1">
        <f t="array" aca="1" ref="E42" ca="1">INDEX(Data_DBD!$E:$E,$A42)</f>
        <v>0</v>
      </c>
      <c r="F42" s="32" cm="1">
        <f t="array" aca="1" ref="F42" ca="1">INDEX(Data_DBD!$F:$F,$A42)</f>
        <v>2</v>
      </c>
      <c r="H42" s="32">
        <v>138</v>
      </c>
      <c r="I42" s="32">
        <v>13</v>
      </c>
      <c r="J42" s="32">
        <v>3</v>
      </c>
      <c r="K42" s="32">
        <v>33</v>
      </c>
      <c r="L42" s="32">
        <v>1</v>
      </c>
      <c r="M42" s="32">
        <v>3</v>
      </c>
    </row>
    <row r="43" spans="1:13">
      <c r="A43" s="32">
        <f t="shared" ca="1" si="0"/>
        <v>118</v>
      </c>
      <c r="B43" s="32" cm="1">
        <f t="array" aca="1" ref="B43" ca="1">INDEX(Data_DBD!$B:$B,$A43)</f>
        <v>67</v>
      </c>
      <c r="C43" s="32" cm="1">
        <f t="array" aca="1" ref="C43" ca="1">INDEX(Data_DBD!$C:$C,$A43)</f>
        <v>4</v>
      </c>
      <c r="D43" s="32" cm="1">
        <f t="array" aca="1" ref="D43" ca="1">INDEX(Data_DBD!$D:$D,$A43)</f>
        <v>33</v>
      </c>
      <c r="E43" s="32" cm="1">
        <f t="array" aca="1" ref="E43" ca="1">INDEX(Data_DBD!$E:$E,$A43)</f>
        <v>1</v>
      </c>
      <c r="F43" s="32" cm="1">
        <f t="array" aca="1" ref="F43" ca="1">INDEX(Data_DBD!$F:$F,$A43)</f>
        <v>3</v>
      </c>
      <c r="H43" s="32">
        <v>59</v>
      </c>
      <c r="I43" s="32">
        <v>28</v>
      </c>
      <c r="J43" s="32">
        <v>4</v>
      </c>
      <c r="K43" s="32">
        <v>15</v>
      </c>
      <c r="L43" s="32">
        <v>0</v>
      </c>
      <c r="M43" s="32">
        <v>2</v>
      </c>
    </row>
    <row r="44" spans="1:13">
      <c r="A44" s="32">
        <f t="shared" ca="1" si="0"/>
        <v>72</v>
      </c>
      <c r="B44" s="32" cm="1">
        <f t="array" aca="1" ref="B44" ca="1">INDEX(Data_DBD!$B:$B,$A44)</f>
        <v>3</v>
      </c>
      <c r="C44" s="32" cm="1">
        <f t="array" aca="1" ref="C44" ca="1">INDEX(Data_DBD!$C:$C,$A44)</f>
        <v>5</v>
      </c>
      <c r="D44" s="32" cm="1">
        <f t="array" aca="1" ref="D44" ca="1">INDEX(Data_DBD!$D:$D,$A44)</f>
        <v>10</v>
      </c>
      <c r="E44" s="32" cm="1">
        <f t="array" aca="1" ref="E44" ca="1">INDEX(Data_DBD!$E:$E,$A44)</f>
        <v>1</v>
      </c>
      <c r="F44" s="32" cm="1">
        <f t="array" aca="1" ref="F44" ca="1">INDEX(Data_DBD!$F:$F,$A44)</f>
        <v>2</v>
      </c>
      <c r="H44" s="32">
        <v>56</v>
      </c>
      <c r="I44" s="32">
        <v>4</v>
      </c>
      <c r="J44" s="32">
        <v>3</v>
      </c>
      <c r="K44" s="32">
        <v>15</v>
      </c>
      <c r="L44" s="32">
        <v>0</v>
      </c>
      <c r="M44" s="32">
        <v>2</v>
      </c>
    </row>
    <row r="45" spans="1:13">
      <c r="A45" s="32">
        <f t="shared" ca="1" si="0"/>
        <v>104</v>
      </c>
      <c r="B45" s="32" cm="1">
        <f t="array" aca="1" ref="B45" ca="1">INDEX(Data_DBD!$B:$B,$A45)</f>
        <v>37</v>
      </c>
      <c r="C45" s="32" cm="1">
        <f t="array" aca="1" ref="C45" ca="1">INDEX(Data_DBD!$C:$C,$A45)</f>
        <v>4</v>
      </c>
      <c r="D45" s="32" cm="1">
        <f t="array" aca="1" ref="D45" ca="1">INDEX(Data_DBD!$D:$D,$A45)</f>
        <v>18</v>
      </c>
      <c r="E45" s="32" cm="1">
        <f t="array" aca="1" ref="E45" ca="1">INDEX(Data_DBD!$E:$E,$A45)</f>
        <v>1</v>
      </c>
      <c r="F45" s="32" cm="1">
        <f t="array" aca="1" ref="F45" ca="1">INDEX(Data_DBD!$F:$F,$A45)</f>
        <v>3</v>
      </c>
      <c r="H45" s="32">
        <v>50</v>
      </c>
      <c r="I45" s="32">
        <v>19</v>
      </c>
      <c r="J45" s="32">
        <v>5</v>
      </c>
      <c r="K45" s="32">
        <v>13</v>
      </c>
      <c r="L45" s="32">
        <v>0</v>
      </c>
      <c r="M45" s="32">
        <v>2</v>
      </c>
    </row>
    <row r="46" spans="1:13">
      <c r="A46" s="32">
        <f t="shared" ca="1" si="0"/>
        <v>71</v>
      </c>
      <c r="B46" s="32" cm="1">
        <f t="array" aca="1" ref="B46" ca="1">INDEX(Data_DBD!$B:$B,$A46)</f>
        <v>84</v>
      </c>
      <c r="C46" s="32" cm="1">
        <f t="array" aca="1" ref="C46" ca="1">INDEX(Data_DBD!$C:$C,$A46)</f>
        <v>3</v>
      </c>
      <c r="D46" s="32" cm="1">
        <f t="array" aca="1" ref="D46" ca="1">INDEX(Data_DBD!$D:$D,$A46)</f>
        <v>10</v>
      </c>
      <c r="E46" s="32" cm="1">
        <f t="array" aca="1" ref="E46" ca="1">INDEX(Data_DBD!$E:$E,$A46)</f>
        <v>0</v>
      </c>
      <c r="F46" s="32" cm="1">
        <f t="array" aca="1" ref="F46" ca="1">INDEX(Data_DBD!$F:$F,$A46)</f>
        <v>2</v>
      </c>
      <c r="H46" s="32">
        <v>120</v>
      </c>
      <c r="I46" s="32">
        <v>26</v>
      </c>
      <c r="J46" s="32">
        <v>4</v>
      </c>
      <c r="K46" s="32">
        <v>33</v>
      </c>
      <c r="L46" s="32">
        <v>1</v>
      </c>
      <c r="M46" s="32">
        <v>3</v>
      </c>
    </row>
    <row r="47" spans="1:13">
      <c r="A47" s="32">
        <f t="shared" ca="1" si="0"/>
        <v>41</v>
      </c>
      <c r="B47" s="32" cm="1">
        <f t="array" aca="1" ref="B47" ca="1">INDEX(Data_DBD!$B:$B,$A47)</f>
        <v>8</v>
      </c>
      <c r="C47" s="32" cm="1">
        <f t="array" aca="1" ref="C47" ca="1">INDEX(Data_DBD!$C:$C,$A47)</f>
        <v>4</v>
      </c>
      <c r="D47" s="32" cm="1">
        <f t="array" aca="1" ref="D47" ca="1">INDEX(Data_DBD!$D:$D,$A47)</f>
        <v>13</v>
      </c>
      <c r="E47" s="32" cm="1">
        <f t="array" aca="1" ref="E47" ca="1">INDEX(Data_DBD!$E:$E,$A47)</f>
        <v>0</v>
      </c>
      <c r="F47" s="32" cm="1">
        <f t="array" aca="1" ref="F47" ca="1">INDEX(Data_DBD!$F:$F,$A47)</f>
        <v>2</v>
      </c>
      <c r="H47" s="32">
        <v>148</v>
      </c>
      <c r="I47" s="32">
        <v>55</v>
      </c>
      <c r="J47" s="32">
        <v>3</v>
      </c>
      <c r="K47" s="32">
        <v>21</v>
      </c>
      <c r="L47" s="32">
        <v>1</v>
      </c>
      <c r="M47" s="32">
        <v>3</v>
      </c>
    </row>
    <row r="48" spans="1:13">
      <c r="A48" s="32">
        <f t="shared" ca="1" si="0"/>
        <v>83</v>
      </c>
      <c r="B48" s="32" cm="1">
        <f t="array" aca="1" ref="B48" ca="1">INDEX(Data_DBD!$B:$B,$A48)</f>
        <v>50</v>
      </c>
      <c r="C48" s="32" cm="1">
        <f t="array" aca="1" ref="C48" ca="1">INDEX(Data_DBD!$C:$C,$A48)</f>
        <v>3</v>
      </c>
      <c r="D48" s="32" cm="1">
        <f t="array" aca="1" ref="D48" ca="1">INDEX(Data_DBD!$D:$D,$A48)</f>
        <v>13</v>
      </c>
      <c r="E48" s="32" cm="1">
        <f t="array" aca="1" ref="E48" ca="1">INDEX(Data_DBD!$E:$E,$A48)</f>
        <v>0</v>
      </c>
      <c r="F48" s="32" cm="1">
        <f t="array" aca="1" ref="F48" ca="1">INDEX(Data_DBD!$F:$F,$A48)</f>
        <v>2</v>
      </c>
      <c r="H48" s="32">
        <v>105</v>
      </c>
      <c r="I48" s="32">
        <v>61</v>
      </c>
      <c r="J48" s="32">
        <v>3</v>
      </c>
      <c r="K48" s="32">
        <v>18</v>
      </c>
      <c r="L48" s="32">
        <v>1</v>
      </c>
      <c r="M48" s="32">
        <v>3</v>
      </c>
    </row>
    <row r="49" spans="1:13">
      <c r="A49" s="32">
        <f t="shared" ca="1" si="0"/>
        <v>134</v>
      </c>
      <c r="B49" s="32" cm="1">
        <f t="array" aca="1" ref="B49" ca="1">INDEX(Data_DBD!$B:$B,$A49)</f>
        <v>4</v>
      </c>
      <c r="C49" s="32" cm="1">
        <f t="array" aca="1" ref="C49" ca="1">INDEX(Data_DBD!$C:$C,$A49)</f>
        <v>2</v>
      </c>
      <c r="D49" s="32" cm="1">
        <f t="array" aca="1" ref="D49" ca="1">INDEX(Data_DBD!$D:$D,$A49)</f>
        <v>33</v>
      </c>
      <c r="E49" s="32" cm="1">
        <f t="array" aca="1" ref="E49" ca="1">INDEX(Data_DBD!$E:$E,$A49)</f>
        <v>1</v>
      </c>
      <c r="F49" s="32" cm="1">
        <f t="array" aca="1" ref="F49" ca="1">INDEX(Data_DBD!$F:$F,$A49)</f>
        <v>3</v>
      </c>
      <c r="H49" s="32">
        <v>86</v>
      </c>
      <c r="I49" s="32">
        <v>23</v>
      </c>
      <c r="J49" s="32">
        <v>3</v>
      </c>
      <c r="K49" s="32">
        <v>13</v>
      </c>
      <c r="L49" s="32">
        <v>0</v>
      </c>
      <c r="M49" s="32">
        <v>2</v>
      </c>
    </row>
    <row r="50" spans="1:13">
      <c r="A50" s="32">
        <f t="shared" ca="1" si="0"/>
        <v>110</v>
      </c>
      <c r="B50" s="32" cm="1">
        <f t="array" aca="1" ref="B50" ca="1">INDEX(Data_DBD!$B:$B,$A50)</f>
        <v>42</v>
      </c>
      <c r="C50" s="32" cm="1">
        <f t="array" aca="1" ref="C50" ca="1">INDEX(Data_DBD!$C:$C,$A50)</f>
        <v>2</v>
      </c>
      <c r="D50" s="32" cm="1">
        <f t="array" aca="1" ref="D50" ca="1">INDEX(Data_DBD!$D:$D,$A50)</f>
        <v>33</v>
      </c>
      <c r="E50" s="32" cm="1">
        <f t="array" aca="1" ref="E50" ca="1">INDEX(Data_DBD!$E:$E,$A50)</f>
        <v>1</v>
      </c>
      <c r="F50" s="32" cm="1">
        <f t="array" aca="1" ref="F50" ca="1">INDEX(Data_DBD!$F:$F,$A50)</f>
        <v>3</v>
      </c>
      <c r="H50" s="32">
        <v>15</v>
      </c>
      <c r="I50" s="32">
        <v>21</v>
      </c>
      <c r="J50" s="32">
        <v>2</v>
      </c>
      <c r="K50" s="32">
        <v>7</v>
      </c>
      <c r="L50" s="32">
        <v>0</v>
      </c>
      <c r="M50" s="32">
        <v>1</v>
      </c>
    </row>
    <row r="51" spans="1:13">
      <c r="A51" s="32">
        <f t="shared" ca="1" si="0"/>
        <v>14</v>
      </c>
      <c r="B51" s="32" cm="1">
        <f t="array" aca="1" ref="B51" ca="1">INDEX(Data_DBD!$B:$B,$A51)</f>
        <v>49</v>
      </c>
      <c r="C51" s="32" cm="1">
        <f t="array" aca="1" ref="C51" ca="1">INDEX(Data_DBD!$C:$C,$A51)</f>
        <v>4</v>
      </c>
      <c r="D51" s="32" cm="1">
        <f t="array" aca="1" ref="D51" ca="1">INDEX(Data_DBD!$D:$D,$A51)</f>
        <v>7</v>
      </c>
      <c r="E51" s="32" cm="1">
        <f t="array" aca="1" ref="E51" ca="1">INDEX(Data_DBD!$E:$E,$A51)</f>
        <v>1</v>
      </c>
      <c r="F51" s="32" cm="1">
        <f t="array" aca="1" ref="F51" ca="1">INDEX(Data_DBD!$F:$F,$A51)</f>
        <v>1</v>
      </c>
      <c r="H51" s="32">
        <v>32</v>
      </c>
      <c r="I51" s="32">
        <v>54</v>
      </c>
      <c r="J51" s="32">
        <v>4</v>
      </c>
      <c r="K51" s="32">
        <v>14</v>
      </c>
      <c r="L51" s="32">
        <v>0</v>
      </c>
      <c r="M51" s="32">
        <v>2</v>
      </c>
    </row>
    <row r="52" spans="1:13">
      <c r="A52" s="32">
        <f t="shared" ca="1" si="0"/>
        <v>19</v>
      </c>
      <c r="B52" s="32" cm="1">
        <f t="array" aca="1" ref="B52" ca="1">INDEX(Data_DBD!$B:$B,$A52)</f>
        <v>8</v>
      </c>
      <c r="C52" s="32" cm="1">
        <f t="array" aca="1" ref="C52" ca="1">INDEX(Data_DBD!$C:$C,$A52)</f>
        <v>4</v>
      </c>
      <c r="D52" s="32" cm="1">
        <f t="array" aca="1" ref="D52" ca="1">INDEX(Data_DBD!$D:$D,$A52)</f>
        <v>7</v>
      </c>
      <c r="E52" s="32" cm="1">
        <f t="array" aca="1" ref="E52" ca="1">INDEX(Data_DBD!$E:$E,$A52)</f>
        <v>0</v>
      </c>
      <c r="F52" s="32" cm="1">
        <f t="array" aca="1" ref="F52" ca="1">INDEX(Data_DBD!$F:$F,$A52)</f>
        <v>1</v>
      </c>
      <c r="H52" s="32">
        <v>2</v>
      </c>
      <c r="I52" s="32">
        <v>34</v>
      </c>
      <c r="J52" s="32">
        <v>3</v>
      </c>
      <c r="K52" s="32">
        <v>12</v>
      </c>
      <c r="L52" s="32">
        <v>0</v>
      </c>
      <c r="M52" s="32">
        <v>2</v>
      </c>
    </row>
    <row r="53" spans="1:13">
      <c r="A53" s="32">
        <f t="shared" ca="1" si="0"/>
        <v>9</v>
      </c>
      <c r="B53" s="32" cm="1">
        <f t="array" aca="1" ref="B53" ca="1">INDEX(Data_DBD!$B:$B,$A53)</f>
        <v>16</v>
      </c>
      <c r="C53" s="32" cm="1">
        <f t="array" aca="1" ref="C53" ca="1">INDEX(Data_DBD!$C:$C,$A53)</f>
        <v>6</v>
      </c>
      <c r="D53" s="32" cm="1">
        <f t="array" aca="1" ref="D53" ca="1">INDEX(Data_DBD!$D:$D,$A53)</f>
        <v>12</v>
      </c>
      <c r="E53" s="32" cm="1">
        <f t="array" aca="1" ref="E53" ca="1">INDEX(Data_DBD!$E:$E,$A53)</f>
        <v>1</v>
      </c>
      <c r="F53" s="32" cm="1">
        <f t="array" aca="1" ref="F53" ca="1">INDEX(Data_DBD!$F:$F,$A53)</f>
        <v>2</v>
      </c>
      <c r="H53" s="32">
        <v>57</v>
      </c>
      <c r="I53" s="32">
        <v>2</v>
      </c>
      <c r="J53" s="32">
        <v>2</v>
      </c>
      <c r="K53" s="32">
        <v>15</v>
      </c>
      <c r="L53" s="32">
        <v>1</v>
      </c>
      <c r="M53" s="32">
        <v>2</v>
      </c>
    </row>
    <row r="54" spans="1:13">
      <c r="A54" s="32">
        <f t="shared" ca="1" si="0"/>
        <v>100</v>
      </c>
      <c r="B54" s="32" cm="1">
        <f t="array" aca="1" ref="B54" ca="1">INDEX(Data_DBD!$B:$B,$A54)</f>
        <v>19</v>
      </c>
      <c r="C54" s="32" cm="1">
        <f t="array" aca="1" ref="C54" ca="1">INDEX(Data_DBD!$C:$C,$A54)</f>
        <v>6</v>
      </c>
      <c r="D54" s="32" cm="1">
        <f t="array" aca="1" ref="D54" ca="1">INDEX(Data_DBD!$D:$D,$A54)</f>
        <v>18</v>
      </c>
      <c r="E54" s="32" cm="1">
        <f t="array" aca="1" ref="E54" ca="1">INDEX(Data_DBD!$E:$E,$A54)</f>
        <v>0</v>
      </c>
      <c r="F54" s="32" cm="1">
        <f t="array" aca="1" ref="F54" ca="1">INDEX(Data_DBD!$F:$F,$A54)</f>
        <v>3</v>
      </c>
      <c r="H54" s="32">
        <v>50</v>
      </c>
      <c r="I54" s="32">
        <v>19</v>
      </c>
      <c r="J54" s="32">
        <v>5</v>
      </c>
      <c r="K54" s="32">
        <v>13</v>
      </c>
      <c r="L54" s="32">
        <v>0</v>
      </c>
      <c r="M54" s="32">
        <v>2</v>
      </c>
    </row>
    <row r="55" spans="1:13">
      <c r="A55" s="32">
        <f t="shared" ca="1" si="0"/>
        <v>132</v>
      </c>
      <c r="B55" s="32" cm="1">
        <f t="array" aca="1" ref="B55" ca="1">INDEX(Data_DBD!$B:$B,$A55)</f>
        <v>10</v>
      </c>
      <c r="C55" s="32" cm="1">
        <f t="array" aca="1" ref="C55" ca="1">INDEX(Data_DBD!$C:$C,$A55)</f>
        <v>3</v>
      </c>
      <c r="D55" s="32" cm="1">
        <f t="array" aca="1" ref="D55" ca="1">INDEX(Data_DBD!$D:$D,$A55)</f>
        <v>33</v>
      </c>
      <c r="E55" s="32" cm="1">
        <f t="array" aca="1" ref="E55" ca="1">INDEX(Data_DBD!$E:$E,$A55)</f>
        <v>1</v>
      </c>
      <c r="F55" s="32" cm="1">
        <f t="array" aca="1" ref="F55" ca="1">INDEX(Data_DBD!$F:$F,$A55)</f>
        <v>3</v>
      </c>
      <c r="H55" s="32">
        <v>101</v>
      </c>
      <c r="I55" s="32">
        <v>42</v>
      </c>
      <c r="J55" s="32">
        <v>5</v>
      </c>
      <c r="K55" s="32">
        <v>18</v>
      </c>
      <c r="L55" s="32">
        <v>0</v>
      </c>
      <c r="M55" s="32">
        <v>3</v>
      </c>
    </row>
    <row r="56" spans="1:13">
      <c r="A56" s="32">
        <f t="shared" ca="1" si="0"/>
        <v>71</v>
      </c>
      <c r="B56" s="32" cm="1">
        <f t="array" aca="1" ref="B56" ca="1">INDEX(Data_DBD!$B:$B,$A56)</f>
        <v>84</v>
      </c>
      <c r="C56" s="32" cm="1">
        <f t="array" aca="1" ref="C56" ca="1">INDEX(Data_DBD!$C:$C,$A56)</f>
        <v>3</v>
      </c>
      <c r="D56" s="32" cm="1">
        <f t="array" aca="1" ref="D56" ca="1">INDEX(Data_DBD!$D:$D,$A56)</f>
        <v>10</v>
      </c>
      <c r="E56" s="32" cm="1">
        <f t="array" aca="1" ref="E56" ca="1">INDEX(Data_DBD!$E:$E,$A56)</f>
        <v>0</v>
      </c>
      <c r="F56" s="32" cm="1">
        <f t="array" aca="1" ref="F56" ca="1">INDEX(Data_DBD!$F:$F,$A56)</f>
        <v>2</v>
      </c>
      <c r="H56" s="32">
        <v>127</v>
      </c>
      <c r="I56" s="32">
        <v>21</v>
      </c>
      <c r="J56" s="32">
        <v>2</v>
      </c>
      <c r="K56" s="32">
        <v>33</v>
      </c>
      <c r="L56" s="32">
        <v>0</v>
      </c>
      <c r="M56" s="32">
        <v>3</v>
      </c>
    </row>
    <row r="57" spans="1:13">
      <c r="A57" s="32">
        <f t="shared" ca="1" si="0"/>
        <v>17</v>
      </c>
      <c r="B57" s="32" cm="1">
        <f t="array" aca="1" ref="B57" ca="1">INDEX(Data_DBD!$B:$B,$A57)</f>
        <v>2</v>
      </c>
      <c r="C57" s="32" cm="1">
        <f t="array" aca="1" ref="C57" ca="1">INDEX(Data_DBD!$C:$C,$A57)</f>
        <v>3</v>
      </c>
      <c r="D57" s="32" cm="1">
        <f t="array" aca="1" ref="D57" ca="1">INDEX(Data_DBD!$D:$D,$A57)</f>
        <v>7</v>
      </c>
      <c r="E57" s="32" cm="1">
        <f t="array" aca="1" ref="E57" ca="1">INDEX(Data_DBD!$E:$E,$A57)</f>
        <v>0</v>
      </c>
      <c r="F57" s="32" cm="1">
        <f t="array" aca="1" ref="F57" ca="1">INDEX(Data_DBD!$F:$F,$A57)</f>
        <v>1</v>
      </c>
      <c r="H57" s="32">
        <v>137</v>
      </c>
      <c r="I57" s="32">
        <v>3.5</v>
      </c>
      <c r="J57" s="32">
        <v>1</v>
      </c>
      <c r="K57" s="32">
        <v>33</v>
      </c>
      <c r="L57" s="32">
        <v>1</v>
      </c>
      <c r="M57" s="32">
        <v>3</v>
      </c>
    </row>
    <row r="58" spans="1:13">
      <c r="A58" s="32">
        <f t="shared" ca="1" si="0"/>
        <v>69</v>
      </c>
      <c r="B58" s="32" cm="1">
        <f t="array" aca="1" ref="B58" ca="1">INDEX(Data_DBD!$B:$B,$A58)</f>
        <v>24</v>
      </c>
      <c r="C58" s="32" cm="1">
        <f t="array" aca="1" ref="C58" ca="1">INDEX(Data_DBD!$C:$C,$A58)</f>
        <v>4</v>
      </c>
      <c r="D58" s="32" cm="1">
        <f t="array" aca="1" ref="D58" ca="1">INDEX(Data_DBD!$D:$D,$A58)</f>
        <v>10</v>
      </c>
      <c r="E58" s="32" cm="1">
        <f t="array" aca="1" ref="E58" ca="1">INDEX(Data_DBD!$E:$E,$A58)</f>
        <v>1</v>
      </c>
      <c r="F58" s="32" cm="1">
        <f t="array" aca="1" ref="F58" ca="1">INDEX(Data_DBD!$F:$F,$A58)</f>
        <v>2</v>
      </c>
      <c r="H58" s="32">
        <v>135</v>
      </c>
      <c r="I58" s="32">
        <v>10</v>
      </c>
      <c r="J58" s="32">
        <v>2</v>
      </c>
      <c r="K58" s="32">
        <v>33</v>
      </c>
      <c r="L58" s="32">
        <v>0</v>
      </c>
      <c r="M58" s="32">
        <v>3</v>
      </c>
    </row>
    <row r="59" spans="1:13">
      <c r="A59" s="32">
        <f t="shared" ca="1" si="0"/>
        <v>117</v>
      </c>
      <c r="B59" s="32" cm="1">
        <f t="array" aca="1" ref="B59" ca="1">INDEX(Data_DBD!$B:$B,$A59)</f>
        <v>49</v>
      </c>
      <c r="C59" s="32" cm="1">
        <f t="array" aca="1" ref="C59" ca="1">INDEX(Data_DBD!$C:$C,$A59)</f>
        <v>4</v>
      </c>
      <c r="D59" s="32" cm="1">
        <f t="array" aca="1" ref="D59" ca="1">INDEX(Data_DBD!$D:$D,$A59)</f>
        <v>33</v>
      </c>
      <c r="E59" s="32" cm="1">
        <f t="array" aca="1" ref="E59" ca="1">INDEX(Data_DBD!$E:$E,$A59)</f>
        <v>1</v>
      </c>
      <c r="F59" s="32" cm="1">
        <f t="array" aca="1" ref="F59" ca="1">INDEX(Data_DBD!$F:$F,$A59)</f>
        <v>3</v>
      </c>
      <c r="H59" s="32">
        <v>161</v>
      </c>
      <c r="I59" s="32">
        <v>12</v>
      </c>
      <c r="J59" s="32">
        <v>3</v>
      </c>
      <c r="K59" s="32">
        <v>21</v>
      </c>
      <c r="L59" s="32">
        <v>1</v>
      </c>
      <c r="M59" s="32">
        <v>3</v>
      </c>
    </row>
    <row r="60" spans="1:13">
      <c r="A60" s="32">
        <f t="shared" ca="1" si="0"/>
        <v>159</v>
      </c>
      <c r="B60" s="32" cm="1">
        <f t="array" aca="1" ref="B60" ca="1">INDEX(Data_DBD!$B:$B,$A60)</f>
        <v>17</v>
      </c>
      <c r="C60" s="32" cm="1">
        <f t="array" aca="1" ref="C60" ca="1">INDEX(Data_DBD!$C:$C,$A60)</f>
        <v>2</v>
      </c>
      <c r="D60" s="32" cm="1">
        <f t="array" aca="1" ref="D60" ca="1">INDEX(Data_DBD!$D:$D,$A60)</f>
        <v>21</v>
      </c>
      <c r="E60" s="32" cm="1">
        <f t="array" aca="1" ref="E60" ca="1">INDEX(Data_DBD!$E:$E,$A60)</f>
        <v>0</v>
      </c>
      <c r="F60" s="32" cm="1">
        <f t="array" aca="1" ref="F60" ca="1">INDEX(Data_DBD!$F:$F,$A60)</f>
        <v>3</v>
      </c>
      <c r="H60" s="32">
        <v>32</v>
      </c>
      <c r="I60" s="32">
        <v>54</v>
      </c>
      <c r="J60" s="32">
        <v>4</v>
      </c>
      <c r="K60" s="32">
        <v>14</v>
      </c>
      <c r="L60" s="32">
        <v>0</v>
      </c>
      <c r="M60" s="32">
        <v>2</v>
      </c>
    </row>
    <row r="61" spans="1:13">
      <c r="A61" s="32">
        <f t="shared" ca="1" si="0"/>
        <v>84</v>
      </c>
      <c r="B61" s="32" cm="1">
        <f t="array" aca="1" ref="B61" ca="1">INDEX(Data_DBD!$B:$B,$A61)</f>
        <v>42</v>
      </c>
      <c r="C61" s="32" cm="1">
        <f t="array" aca="1" ref="C61" ca="1">INDEX(Data_DBD!$C:$C,$A61)</f>
        <v>4</v>
      </c>
      <c r="D61" s="32" cm="1">
        <f t="array" aca="1" ref="D61" ca="1">INDEX(Data_DBD!$D:$D,$A61)</f>
        <v>13</v>
      </c>
      <c r="E61" s="32" cm="1">
        <f t="array" aca="1" ref="E61" ca="1">INDEX(Data_DBD!$E:$E,$A61)</f>
        <v>1</v>
      </c>
      <c r="F61" s="32" cm="1">
        <f t="array" aca="1" ref="F61" ca="1">INDEX(Data_DBD!$F:$F,$A61)</f>
        <v>2</v>
      </c>
      <c r="H61" s="32">
        <v>12</v>
      </c>
      <c r="I61" s="32">
        <v>23</v>
      </c>
      <c r="J61" s="32">
        <v>3</v>
      </c>
      <c r="K61" s="32">
        <v>12</v>
      </c>
      <c r="L61" s="32">
        <v>0</v>
      </c>
      <c r="M61" s="32">
        <v>2</v>
      </c>
    </row>
    <row r="62" spans="1:13">
      <c r="A62" s="32">
        <f t="shared" ca="1" si="0"/>
        <v>8</v>
      </c>
      <c r="B62" s="32" cm="1">
        <f t="array" aca="1" ref="B62" ca="1">INDEX(Data_DBD!$B:$B,$A62)</f>
        <v>4</v>
      </c>
      <c r="C62" s="32" cm="1">
        <f t="array" aca="1" ref="C62" ca="1">INDEX(Data_DBD!$C:$C,$A62)</f>
        <v>2</v>
      </c>
      <c r="D62" s="32" cm="1">
        <f t="array" aca="1" ref="D62" ca="1">INDEX(Data_DBD!$D:$D,$A62)</f>
        <v>12</v>
      </c>
      <c r="E62" s="32" cm="1">
        <f t="array" aca="1" ref="E62" ca="1">INDEX(Data_DBD!$E:$E,$A62)</f>
        <v>0</v>
      </c>
      <c r="F62" s="32" cm="1">
        <f t="array" aca="1" ref="F62" ca="1">INDEX(Data_DBD!$F:$F,$A62)</f>
        <v>2</v>
      </c>
      <c r="H62" s="32">
        <v>80</v>
      </c>
      <c r="I62" s="32">
        <v>27</v>
      </c>
      <c r="J62" s="32">
        <v>3</v>
      </c>
      <c r="K62" s="32">
        <v>13</v>
      </c>
      <c r="L62" s="32">
        <v>1</v>
      </c>
      <c r="M62" s="32">
        <v>2</v>
      </c>
    </row>
    <row r="63" spans="1:13">
      <c r="A63" s="32">
        <f t="shared" ca="1" si="0"/>
        <v>31</v>
      </c>
      <c r="B63" s="32" cm="1">
        <f t="array" aca="1" ref="B63" ca="1">INDEX(Data_DBD!$B:$B,$A63)</f>
        <v>64</v>
      </c>
      <c r="C63" s="32" cm="1">
        <f t="array" aca="1" ref="C63" ca="1">INDEX(Data_DBD!$C:$C,$A63)</f>
        <v>4</v>
      </c>
      <c r="D63" s="32" cm="1">
        <f t="array" aca="1" ref="D63" ca="1">INDEX(Data_DBD!$D:$D,$A63)</f>
        <v>14</v>
      </c>
      <c r="E63" s="32" cm="1">
        <f t="array" aca="1" ref="E63" ca="1">INDEX(Data_DBD!$E:$E,$A63)</f>
        <v>1</v>
      </c>
      <c r="F63" s="32" cm="1">
        <f t="array" aca="1" ref="F63" ca="1">INDEX(Data_DBD!$F:$F,$A63)</f>
        <v>2</v>
      </c>
      <c r="H63" s="32">
        <v>118</v>
      </c>
      <c r="I63" s="32">
        <v>67</v>
      </c>
      <c r="J63" s="32">
        <v>4</v>
      </c>
      <c r="K63" s="32">
        <v>33</v>
      </c>
      <c r="L63" s="32">
        <v>1</v>
      </c>
      <c r="M63" s="32">
        <v>3</v>
      </c>
    </row>
    <row r="64" spans="1:13">
      <c r="A64" s="32">
        <f t="shared" ca="1" si="0"/>
        <v>96</v>
      </c>
      <c r="B64" s="32" cm="1">
        <f t="array" aca="1" ref="B64" ca="1">INDEX(Data_DBD!$B:$B,$A64)</f>
        <v>56</v>
      </c>
      <c r="C64" s="32" cm="1">
        <f t="array" aca="1" ref="C64" ca="1">INDEX(Data_DBD!$C:$C,$A64)</f>
        <v>4</v>
      </c>
      <c r="D64" s="32" cm="1">
        <f t="array" aca="1" ref="D64" ca="1">INDEX(Data_DBD!$D:$D,$A64)</f>
        <v>18</v>
      </c>
      <c r="E64" s="32" cm="1">
        <f t="array" aca="1" ref="E64" ca="1">INDEX(Data_DBD!$E:$E,$A64)</f>
        <v>0</v>
      </c>
      <c r="F64" s="32" cm="1">
        <f t="array" aca="1" ref="F64" ca="1">INDEX(Data_DBD!$F:$F,$A64)</f>
        <v>3</v>
      </c>
      <c r="H64" s="32">
        <v>130</v>
      </c>
      <c r="I64" s="32">
        <v>12</v>
      </c>
      <c r="J64" s="32">
        <v>4</v>
      </c>
      <c r="K64" s="32">
        <v>33</v>
      </c>
      <c r="L64" s="32">
        <v>0</v>
      </c>
      <c r="M64" s="32">
        <v>3</v>
      </c>
    </row>
    <row r="65" spans="1:13">
      <c r="A65" s="32">
        <f t="shared" ca="1" si="0"/>
        <v>90</v>
      </c>
      <c r="B65" s="32" cm="1">
        <f t="array" aca="1" ref="B65" ca="1">INDEX(Data_DBD!$B:$B,$A65)</f>
        <v>47</v>
      </c>
      <c r="C65" s="32" cm="1">
        <f t="array" aca="1" ref="C65" ca="1">INDEX(Data_DBD!$C:$C,$A65)</f>
        <v>3</v>
      </c>
      <c r="D65" s="32" cm="1">
        <f t="array" aca="1" ref="D65" ca="1">INDEX(Data_DBD!$D:$D,$A65)</f>
        <v>18</v>
      </c>
      <c r="E65" s="32" cm="1">
        <f t="array" aca="1" ref="E65" ca="1">INDEX(Data_DBD!$E:$E,$A65)</f>
        <v>0</v>
      </c>
      <c r="F65" s="32" cm="1">
        <f t="array" aca="1" ref="F65" ca="1">INDEX(Data_DBD!$F:$F,$A65)</f>
        <v>3</v>
      </c>
      <c r="H65" s="32">
        <v>57</v>
      </c>
      <c r="I65" s="32">
        <v>2</v>
      </c>
      <c r="J65" s="32">
        <v>2</v>
      </c>
      <c r="K65" s="32">
        <v>15</v>
      </c>
      <c r="L65" s="32">
        <v>1</v>
      </c>
      <c r="M65" s="32">
        <v>2</v>
      </c>
    </row>
    <row r="66" spans="1:13">
      <c r="A66" s="32">
        <f t="shared" ca="1" si="0"/>
        <v>85</v>
      </c>
      <c r="B66" s="32" cm="1">
        <f t="array" aca="1" ref="B66" ca="1">INDEX(Data_DBD!$B:$B,$A66)</f>
        <v>27</v>
      </c>
      <c r="C66" s="32" cm="1">
        <f t="array" aca="1" ref="C66" ca="1">INDEX(Data_DBD!$C:$C,$A66)</f>
        <v>9</v>
      </c>
      <c r="D66" s="32" cm="1">
        <f t="array" aca="1" ref="D66" ca="1">INDEX(Data_DBD!$D:$D,$A66)</f>
        <v>13</v>
      </c>
      <c r="E66" s="32" cm="1">
        <f t="array" aca="1" ref="E66" ca="1">INDEX(Data_DBD!$E:$E,$A66)</f>
        <v>0</v>
      </c>
      <c r="F66" s="32" cm="1">
        <f t="array" aca="1" ref="F66" ca="1">INDEX(Data_DBD!$F:$F,$A66)</f>
        <v>2</v>
      </c>
      <c r="H66" s="32">
        <v>92</v>
      </c>
      <c r="I66" s="32">
        <v>55</v>
      </c>
      <c r="J66" s="32">
        <v>7</v>
      </c>
      <c r="K66" s="32">
        <v>18</v>
      </c>
      <c r="L66" s="32">
        <v>0</v>
      </c>
      <c r="M66" s="32">
        <v>3</v>
      </c>
    </row>
    <row r="67" spans="1:13">
      <c r="A67" s="32">
        <f t="shared" ref="A67:A130" ca="1" si="1">RANDBETWEEN(2,164)</f>
        <v>57</v>
      </c>
      <c r="B67" s="32" cm="1">
        <f t="array" aca="1" ref="B67" ca="1">INDEX(Data_DBD!$B:$B,$A67)</f>
        <v>2</v>
      </c>
      <c r="C67" s="32" cm="1">
        <f t="array" aca="1" ref="C67" ca="1">INDEX(Data_DBD!$C:$C,$A67)</f>
        <v>2</v>
      </c>
      <c r="D67" s="32" cm="1">
        <f t="array" aca="1" ref="D67" ca="1">INDEX(Data_DBD!$D:$D,$A67)</f>
        <v>15</v>
      </c>
      <c r="E67" s="32" cm="1">
        <f t="array" aca="1" ref="E67" ca="1">INDEX(Data_DBD!$E:$E,$A67)</f>
        <v>1</v>
      </c>
      <c r="F67" s="32" cm="1">
        <f t="array" aca="1" ref="F67" ca="1">INDEX(Data_DBD!$F:$F,$A67)</f>
        <v>2</v>
      </c>
      <c r="H67" s="32">
        <v>23</v>
      </c>
      <c r="I67" s="32">
        <v>28</v>
      </c>
      <c r="J67" s="32">
        <v>4</v>
      </c>
      <c r="K67" s="32">
        <v>14</v>
      </c>
      <c r="L67" s="32">
        <v>1</v>
      </c>
      <c r="M67" s="32">
        <v>2</v>
      </c>
    </row>
    <row r="68" spans="1:13">
      <c r="A68" s="32">
        <f t="shared" ca="1" si="1"/>
        <v>62</v>
      </c>
      <c r="B68" s="32" cm="1">
        <f t="array" aca="1" ref="B68" ca="1">INDEX(Data_DBD!$B:$B,$A68)</f>
        <v>43</v>
      </c>
      <c r="C68" s="32" cm="1">
        <f t="array" aca="1" ref="C68" ca="1">INDEX(Data_DBD!$C:$C,$A68)</f>
        <v>4</v>
      </c>
      <c r="D68" s="32" cm="1">
        <f t="array" aca="1" ref="D68" ca="1">INDEX(Data_DBD!$D:$D,$A68)</f>
        <v>15</v>
      </c>
      <c r="E68" s="32" cm="1">
        <f t="array" aca="1" ref="E68" ca="1">INDEX(Data_DBD!$E:$E,$A68)</f>
        <v>1</v>
      </c>
      <c r="F68" s="32" cm="1">
        <f t="array" aca="1" ref="F68" ca="1">INDEX(Data_DBD!$F:$F,$A68)</f>
        <v>2</v>
      </c>
      <c r="H68" s="32">
        <v>154</v>
      </c>
      <c r="I68" s="32">
        <v>18</v>
      </c>
      <c r="J68" s="32">
        <v>5</v>
      </c>
      <c r="K68" s="32">
        <v>21</v>
      </c>
      <c r="L68" s="32">
        <v>1</v>
      </c>
      <c r="M68" s="32">
        <v>3</v>
      </c>
    </row>
    <row r="69" spans="1:13">
      <c r="A69" s="32">
        <f t="shared" ca="1" si="1"/>
        <v>6</v>
      </c>
      <c r="B69" s="32" cm="1">
        <f t="array" aca="1" ref="B69" ca="1">INDEX(Data_DBD!$B:$B,$A69)</f>
        <v>14</v>
      </c>
      <c r="C69" s="32" cm="1">
        <f t="array" aca="1" ref="C69" ca="1">INDEX(Data_DBD!$C:$C,$A69)</f>
        <v>4</v>
      </c>
      <c r="D69" s="32" cm="1">
        <f t="array" aca="1" ref="D69" ca="1">INDEX(Data_DBD!$D:$D,$A69)</f>
        <v>12</v>
      </c>
      <c r="E69" s="32" cm="1">
        <f t="array" aca="1" ref="E69" ca="1">INDEX(Data_DBD!$E:$E,$A69)</f>
        <v>0</v>
      </c>
      <c r="F69" s="32" cm="1">
        <f t="array" aca="1" ref="F69" ca="1">INDEX(Data_DBD!$F:$F,$A69)</f>
        <v>2</v>
      </c>
      <c r="H69" s="32">
        <v>93</v>
      </c>
      <c r="I69" s="32">
        <v>65</v>
      </c>
      <c r="J69" s="32">
        <v>4</v>
      </c>
      <c r="K69" s="32">
        <v>18</v>
      </c>
      <c r="L69" s="32">
        <v>0</v>
      </c>
      <c r="M69" s="32">
        <v>3</v>
      </c>
    </row>
    <row r="70" spans="1:13">
      <c r="A70" s="32">
        <f t="shared" ca="1" si="1"/>
        <v>47</v>
      </c>
      <c r="B70" s="32" cm="1">
        <f t="array" aca="1" ref="B70" ca="1">INDEX(Data_DBD!$B:$B,$A70)</f>
        <v>19</v>
      </c>
      <c r="C70" s="32" cm="1">
        <f t="array" aca="1" ref="C70" ca="1">INDEX(Data_DBD!$C:$C,$A70)</f>
        <v>2</v>
      </c>
      <c r="D70" s="32" cm="1">
        <f t="array" aca="1" ref="D70" ca="1">INDEX(Data_DBD!$D:$D,$A70)</f>
        <v>13</v>
      </c>
      <c r="E70" s="32" cm="1">
        <f t="array" aca="1" ref="E70" ca="1">INDEX(Data_DBD!$E:$E,$A70)</f>
        <v>0</v>
      </c>
      <c r="F70" s="32" cm="1">
        <f t="array" aca="1" ref="F70" ca="1">INDEX(Data_DBD!$F:$F,$A70)</f>
        <v>2</v>
      </c>
      <c r="H70" s="32">
        <v>91</v>
      </c>
      <c r="I70" s="32">
        <v>35</v>
      </c>
      <c r="J70" s="32">
        <v>1</v>
      </c>
      <c r="K70" s="32">
        <v>18</v>
      </c>
      <c r="L70" s="32">
        <v>1</v>
      </c>
      <c r="M70" s="32">
        <v>3</v>
      </c>
    </row>
    <row r="71" spans="1:13">
      <c r="A71" s="32">
        <f t="shared" ca="1" si="1"/>
        <v>140</v>
      </c>
      <c r="B71" s="32" cm="1">
        <f t="array" aca="1" ref="B71" ca="1">INDEX(Data_DBD!$B:$B,$A71)</f>
        <v>74</v>
      </c>
      <c r="C71" s="32" cm="1">
        <f t="array" aca="1" ref="C71" ca="1">INDEX(Data_DBD!$C:$C,$A71)</f>
        <v>5</v>
      </c>
      <c r="D71" s="32" cm="1">
        <f t="array" aca="1" ref="D71" ca="1">INDEX(Data_DBD!$D:$D,$A71)</f>
        <v>21</v>
      </c>
      <c r="E71" s="32" cm="1">
        <f t="array" aca="1" ref="E71" ca="1">INDEX(Data_DBD!$E:$E,$A71)</f>
        <v>1</v>
      </c>
      <c r="F71" s="32" cm="1">
        <f t="array" aca="1" ref="F71" ca="1">INDEX(Data_DBD!$F:$F,$A71)</f>
        <v>3</v>
      </c>
      <c r="H71" s="32">
        <v>80</v>
      </c>
      <c r="I71" s="32">
        <v>27</v>
      </c>
      <c r="J71" s="32">
        <v>3</v>
      </c>
      <c r="K71" s="32">
        <v>13</v>
      </c>
      <c r="L71" s="32">
        <v>1</v>
      </c>
      <c r="M71" s="32">
        <v>2</v>
      </c>
    </row>
    <row r="72" spans="1:13">
      <c r="A72" s="32">
        <f t="shared" ca="1" si="1"/>
        <v>101</v>
      </c>
      <c r="B72" s="32" cm="1">
        <f t="array" aca="1" ref="B72" ca="1">INDEX(Data_DBD!$B:$B,$A72)</f>
        <v>42</v>
      </c>
      <c r="C72" s="32" cm="1">
        <f t="array" aca="1" ref="C72" ca="1">INDEX(Data_DBD!$C:$C,$A72)</f>
        <v>5</v>
      </c>
      <c r="D72" s="32" cm="1">
        <f t="array" aca="1" ref="D72" ca="1">INDEX(Data_DBD!$D:$D,$A72)</f>
        <v>18</v>
      </c>
      <c r="E72" s="32" cm="1">
        <f t="array" aca="1" ref="E72" ca="1">INDEX(Data_DBD!$E:$E,$A72)</f>
        <v>0</v>
      </c>
      <c r="F72" s="32" cm="1">
        <f t="array" aca="1" ref="F72" ca="1">INDEX(Data_DBD!$F:$F,$A72)</f>
        <v>3</v>
      </c>
      <c r="H72" s="32">
        <v>149</v>
      </c>
      <c r="I72" s="32">
        <v>19</v>
      </c>
      <c r="J72" s="32">
        <v>5</v>
      </c>
      <c r="K72" s="32">
        <v>21</v>
      </c>
      <c r="L72" s="32">
        <v>0</v>
      </c>
      <c r="M72" s="32">
        <v>3</v>
      </c>
    </row>
    <row r="73" spans="1:13">
      <c r="A73" s="32">
        <f t="shared" ca="1" si="1"/>
        <v>17</v>
      </c>
      <c r="B73" s="32" cm="1">
        <f t="array" aca="1" ref="B73" ca="1">INDEX(Data_DBD!$B:$B,$A73)</f>
        <v>2</v>
      </c>
      <c r="C73" s="32" cm="1">
        <f t="array" aca="1" ref="C73" ca="1">INDEX(Data_DBD!$C:$C,$A73)</f>
        <v>3</v>
      </c>
      <c r="D73" s="32" cm="1">
        <f t="array" aca="1" ref="D73" ca="1">INDEX(Data_DBD!$D:$D,$A73)</f>
        <v>7</v>
      </c>
      <c r="E73" s="32" cm="1">
        <f t="array" aca="1" ref="E73" ca="1">INDEX(Data_DBD!$E:$E,$A73)</f>
        <v>0</v>
      </c>
      <c r="F73" s="32" cm="1">
        <f t="array" aca="1" ref="F73" ca="1">INDEX(Data_DBD!$F:$F,$A73)</f>
        <v>1</v>
      </c>
      <c r="H73" s="32">
        <v>76</v>
      </c>
      <c r="I73" s="32">
        <v>70</v>
      </c>
      <c r="J73" s="32">
        <v>2</v>
      </c>
      <c r="K73" s="32">
        <v>10</v>
      </c>
      <c r="L73" s="32">
        <v>0</v>
      </c>
      <c r="M73" s="32">
        <v>2</v>
      </c>
    </row>
    <row r="74" spans="1:13">
      <c r="A74" s="32">
        <f t="shared" ca="1" si="1"/>
        <v>159</v>
      </c>
      <c r="B74" s="32" cm="1">
        <f t="array" aca="1" ref="B74" ca="1">INDEX(Data_DBD!$B:$B,$A74)</f>
        <v>17</v>
      </c>
      <c r="C74" s="32" cm="1">
        <f t="array" aca="1" ref="C74" ca="1">INDEX(Data_DBD!$C:$C,$A74)</f>
        <v>2</v>
      </c>
      <c r="D74" s="32" cm="1">
        <f t="array" aca="1" ref="D74" ca="1">INDEX(Data_DBD!$D:$D,$A74)</f>
        <v>21</v>
      </c>
      <c r="E74" s="32" cm="1">
        <f t="array" aca="1" ref="E74" ca="1">INDEX(Data_DBD!$E:$E,$A74)</f>
        <v>0</v>
      </c>
      <c r="F74" s="32" cm="1">
        <f t="array" aca="1" ref="F74" ca="1">INDEX(Data_DBD!$F:$F,$A74)</f>
        <v>3</v>
      </c>
      <c r="H74" s="32">
        <v>4</v>
      </c>
      <c r="I74" s="32">
        <v>23</v>
      </c>
      <c r="J74" s="32">
        <v>5</v>
      </c>
      <c r="K74" s="32">
        <v>12</v>
      </c>
      <c r="L74" s="32">
        <v>0</v>
      </c>
      <c r="M74" s="32">
        <v>2</v>
      </c>
    </row>
    <row r="75" spans="1:13">
      <c r="A75" s="32">
        <f t="shared" ca="1" si="1"/>
        <v>9</v>
      </c>
      <c r="B75" s="32" cm="1">
        <f t="array" aca="1" ref="B75" ca="1">INDEX(Data_DBD!$B:$B,$A75)</f>
        <v>16</v>
      </c>
      <c r="C75" s="32" cm="1">
        <f t="array" aca="1" ref="C75" ca="1">INDEX(Data_DBD!$C:$C,$A75)</f>
        <v>6</v>
      </c>
      <c r="D75" s="32" cm="1">
        <f t="array" aca="1" ref="D75" ca="1">INDEX(Data_DBD!$D:$D,$A75)</f>
        <v>12</v>
      </c>
      <c r="E75" s="32" cm="1">
        <f t="array" aca="1" ref="E75" ca="1">INDEX(Data_DBD!$E:$E,$A75)</f>
        <v>1</v>
      </c>
      <c r="F75" s="32" cm="1">
        <f t="array" aca="1" ref="F75" ca="1">INDEX(Data_DBD!$F:$F,$A75)</f>
        <v>2</v>
      </c>
      <c r="H75" s="32">
        <v>163</v>
      </c>
      <c r="I75" s="32">
        <v>34</v>
      </c>
      <c r="J75" s="32">
        <v>4</v>
      </c>
      <c r="K75" s="32">
        <v>3</v>
      </c>
      <c r="L75" s="32">
        <v>1</v>
      </c>
      <c r="M75" s="32">
        <v>1</v>
      </c>
    </row>
    <row r="76" spans="1:13">
      <c r="A76" s="32">
        <f t="shared" ca="1" si="1"/>
        <v>64</v>
      </c>
      <c r="B76" s="32" cm="1">
        <f t="array" aca="1" ref="B76" ca="1">INDEX(Data_DBD!$B:$B,$A76)</f>
        <v>35</v>
      </c>
      <c r="C76" s="32" cm="1">
        <f t="array" aca="1" ref="C76" ca="1">INDEX(Data_DBD!$C:$C,$A76)</f>
        <v>1</v>
      </c>
      <c r="D76" s="32" cm="1">
        <f t="array" aca="1" ref="D76" ca="1">INDEX(Data_DBD!$D:$D,$A76)</f>
        <v>15</v>
      </c>
      <c r="E76" s="32" cm="1">
        <f t="array" aca="1" ref="E76" ca="1">INDEX(Data_DBD!$E:$E,$A76)</f>
        <v>0</v>
      </c>
      <c r="F76" s="32" cm="1">
        <f t="array" aca="1" ref="F76" ca="1">INDEX(Data_DBD!$F:$F,$A76)</f>
        <v>2</v>
      </c>
      <c r="H76" s="32">
        <v>115</v>
      </c>
      <c r="I76" s="32">
        <v>52</v>
      </c>
      <c r="J76" s="32">
        <v>3</v>
      </c>
      <c r="K76" s="32">
        <v>33</v>
      </c>
      <c r="L76" s="32">
        <v>1</v>
      </c>
      <c r="M76" s="32">
        <v>3</v>
      </c>
    </row>
    <row r="77" spans="1:13">
      <c r="A77" s="32">
        <f t="shared" ca="1" si="1"/>
        <v>134</v>
      </c>
      <c r="B77" s="32" cm="1">
        <f t="array" aca="1" ref="B77" ca="1">INDEX(Data_DBD!$B:$B,$A77)</f>
        <v>4</v>
      </c>
      <c r="C77" s="32" cm="1">
        <f t="array" aca="1" ref="C77" ca="1">INDEX(Data_DBD!$C:$C,$A77)</f>
        <v>2</v>
      </c>
      <c r="D77" s="32" cm="1">
        <f t="array" aca="1" ref="D77" ca="1">INDEX(Data_DBD!$D:$D,$A77)</f>
        <v>33</v>
      </c>
      <c r="E77" s="32" cm="1">
        <f t="array" aca="1" ref="E77" ca="1">INDEX(Data_DBD!$E:$E,$A77)</f>
        <v>1</v>
      </c>
      <c r="F77" s="32" cm="1">
        <f t="array" aca="1" ref="F77" ca="1">INDEX(Data_DBD!$F:$F,$A77)</f>
        <v>3</v>
      </c>
      <c r="H77" s="32">
        <v>102</v>
      </c>
      <c r="I77" s="32">
        <v>41</v>
      </c>
      <c r="J77" s="32">
        <v>4</v>
      </c>
      <c r="K77" s="32">
        <v>18</v>
      </c>
      <c r="L77" s="32">
        <v>0</v>
      </c>
      <c r="M77" s="32">
        <v>3</v>
      </c>
    </row>
    <row r="78" spans="1:13">
      <c r="A78" s="32">
        <f t="shared" ca="1" si="1"/>
        <v>20</v>
      </c>
      <c r="B78" s="32" cm="1">
        <f t="array" aca="1" ref="B78" ca="1">INDEX(Data_DBD!$B:$B,$A78)</f>
        <v>15</v>
      </c>
      <c r="C78" s="32" cm="1">
        <f t="array" aca="1" ref="C78" ca="1">INDEX(Data_DBD!$C:$C,$A78)</f>
        <v>5</v>
      </c>
      <c r="D78" s="32" cm="1">
        <f t="array" aca="1" ref="D78" ca="1">INDEX(Data_DBD!$D:$D,$A78)</f>
        <v>7</v>
      </c>
      <c r="E78" s="32" cm="1">
        <f t="array" aca="1" ref="E78" ca="1">INDEX(Data_DBD!$E:$E,$A78)</f>
        <v>0</v>
      </c>
      <c r="F78" s="32" cm="1">
        <f t="array" aca="1" ref="F78" ca="1">INDEX(Data_DBD!$F:$F,$A78)</f>
        <v>1</v>
      </c>
      <c r="H78" s="32">
        <v>49</v>
      </c>
      <c r="I78" s="32">
        <v>64</v>
      </c>
      <c r="J78" s="32">
        <v>5</v>
      </c>
      <c r="K78" s="32">
        <v>13</v>
      </c>
      <c r="L78" s="32">
        <v>0</v>
      </c>
      <c r="M78" s="32">
        <v>2</v>
      </c>
    </row>
    <row r="79" spans="1:13">
      <c r="A79" s="32">
        <f t="shared" ca="1" si="1"/>
        <v>147</v>
      </c>
      <c r="B79" s="32" cm="1">
        <f t="array" aca="1" ref="B79" ca="1">INDEX(Data_DBD!$B:$B,$A79)</f>
        <v>66</v>
      </c>
      <c r="C79" s="32" cm="1">
        <f t="array" aca="1" ref="C79" ca="1">INDEX(Data_DBD!$C:$C,$A79)</f>
        <v>10</v>
      </c>
      <c r="D79" s="32" cm="1">
        <f t="array" aca="1" ref="D79" ca="1">INDEX(Data_DBD!$D:$D,$A79)</f>
        <v>21</v>
      </c>
      <c r="E79" s="32" cm="1">
        <f t="array" aca="1" ref="E79" ca="1">INDEX(Data_DBD!$E:$E,$A79)</f>
        <v>1</v>
      </c>
      <c r="F79" s="32" cm="1">
        <f t="array" aca="1" ref="F79" ca="1">INDEX(Data_DBD!$F:$F,$A79)</f>
        <v>3</v>
      </c>
      <c r="H79" s="32">
        <v>59</v>
      </c>
      <c r="I79" s="32">
        <v>28</v>
      </c>
      <c r="J79" s="32">
        <v>4</v>
      </c>
      <c r="K79" s="32">
        <v>15</v>
      </c>
      <c r="L79" s="32">
        <v>0</v>
      </c>
      <c r="M79" s="32">
        <v>2</v>
      </c>
    </row>
    <row r="80" spans="1:13">
      <c r="A80" s="32">
        <f t="shared" ca="1" si="1"/>
        <v>71</v>
      </c>
      <c r="B80" s="32" cm="1">
        <f t="array" aca="1" ref="B80" ca="1">INDEX(Data_DBD!$B:$B,$A80)</f>
        <v>84</v>
      </c>
      <c r="C80" s="32" cm="1">
        <f t="array" aca="1" ref="C80" ca="1">INDEX(Data_DBD!$C:$C,$A80)</f>
        <v>3</v>
      </c>
      <c r="D80" s="32" cm="1">
        <f t="array" aca="1" ref="D80" ca="1">INDEX(Data_DBD!$D:$D,$A80)</f>
        <v>10</v>
      </c>
      <c r="E80" s="32" cm="1">
        <f t="array" aca="1" ref="E80" ca="1">INDEX(Data_DBD!$E:$E,$A80)</f>
        <v>0</v>
      </c>
      <c r="F80" s="32" cm="1">
        <f t="array" aca="1" ref="F80" ca="1">INDEX(Data_DBD!$F:$F,$A80)</f>
        <v>2</v>
      </c>
      <c r="H80" s="32">
        <v>68</v>
      </c>
      <c r="I80" s="32">
        <v>44</v>
      </c>
      <c r="J80" s="32">
        <v>5</v>
      </c>
      <c r="K80" s="32">
        <v>10</v>
      </c>
      <c r="L80" s="32">
        <v>0</v>
      </c>
      <c r="M80" s="32">
        <v>2</v>
      </c>
    </row>
    <row r="81" spans="1:13">
      <c r="A81" s="32">
        <f t="shared" ca="1" si="1"/>
        <v>4</v>
      </c>
      <c r="B81" s="32" cm="1">
        <f t="array" aca="1" ref="B81" ca="1">INDEX(Data_DBD!$B:$B,$A81)</f>
        <v>23</v>
      </c>
      <c r="C81" s="32" cm="1">
        <f t="array" aca="1" ref="C81" ca="1">INDEX(Data_DBD!$C:$C,$A81)</f>
        <v>5</v>
      </c>
      <c r="D81" s="32" cm="1">
        <f t="array" aca="1" ref="D81" ca="1">INDEX(Data_DBD!$D:$D,$A81)</f>
        <v>12</v>
      </c>
      <c r="E81" s="32" cm="1">
        <f t="array" aca="1" ref="E81" ca="1">INDEX(Data_DBD!$E:$E,$A81)</f>
        <v>0</v>
      </c>
      <c r="F81" s="32" cm="1">
        <f t="array" aca="1" ref="F81" ca="1">INDEX(Data_DBD!$F:$F,$A81)</f>
        <v>2</v>
      </c>
      <c r="H81" s="32">
        <v>6</v>
      </c>
      <c r="I81" s="32">
        <v>14</v>
      </c>
      <c r="J81" s="32">
        <v>4</v>
      </c>
      <c r="K81" s="32">
        <v>12</v>
      </c>
      <c r="L81" s="32">
        <v>0</v>
      </c>
      <c r="M81" s="32">
        <v>2</v>
      </c>
    </row>
    <row r="82" spans="1:13">
      <c r="A82" s="32">
        <f t="shared" ca="1" si="1"/>
        <v>9</v>
      </c>
      <c r="B82" s="32" cm="1">
        <f t="array" aca="1" ref="B82" ca="1">INDEX(Data_DBD!$B:$B,$A82)</f>
        <v>16</v>
      </c>
      <c r="C82" s="32" cm="1">
        <f t="array" aca="1" ref="C82" ca="1">INDEX(Data_DBD!$C:$C,$A82)</f>
        <v>6</v>
      </c>
      <c r="D82" s="32" cm="1">
        <f t="array" aca="1" ref="D82" ca="1">INDEX(Data_DBD!$D:$D,$A82)</f>
        <v>12</v>
      </c>
      <c r="E82" s="32" cm="1">
        <f t="array" aca="1" ref="E82" ca="1">INDEX(Data_DBD!$E:$E,$A82)</f>
        <v>1</v>
      </c>
      <c r="F82" s="32" cm="1">
        <f t="array" aca="1" ref="F82" ca="1">INDEX(Data_DBD!$F:$F,$A82)</f>
        <v>2</v>
      </c>
      <c r="H82" s="32">
        <v>81</v>
      </c>
      <c r="I82" s="32">
        <v>23</v>
      </c>
      <c r="J82" s="32">
        <v>5</v>
      </c>
      <c r="K82" s="32">
        <v>13</v>
      </c>
      <c r="L82" s="32">
        <v>1</v>
      </c>
      <c r="M82" s="32">
        <v>2</v>
      </c>
    </row>
    <row r="83" spans="1:13">
      <c r="A83" s="32">
        <f t="shared" ca="1" si="1"/>
        <v>135</v>
      </c>
      <c r="B83" s="32" cm="1">
        <f t="array" aca="1" ref="B83" ca="1">INDEX(Data_DBD!$B:$B,$A83)</f>
        <v>10</v>
      </c>
      <c r="C83" s="32" cm="1">
        <f t="array" aca="1" ref="C83" ca="1">INDEX(Data_DBD!$C:$C,$A83)</f>
        <v>2</v>
      </c>
      <c r="D83" s="32" cm="1">
        <f t="array" aca="1" ref="D83" ca="1">INDEX(Data_DBD!$D:$D,$A83)</f>
        <v>33</v>
      </c>
      <c r="E83" s="32" cm="1">
        <f t="array" aca="1" ref="E83" ca="1">INDEX(Data_DBD!$E:$E,$A83)</f>
        <v>0</v>
      </c>
      <c r="F83" s="32" cm="1">
        <f t="array" aca="1" ref="F83" ca="1">INDEX(Data_DBD!$F:$F,$A83)</f>
        <v>3</v>
      </c>
      <c r="H83" s="32">
        <v>27</v>
      </c>
      <c r="I83" s="32">
        <v>37</v>
      </c>
      <c r="J83" s="32">
        <v>4</v>
      </c>
      <c r="K83" s="32">
        <v>14</v>
      </c>
      <c r="L83" s="32">
        <v>1</v>
      </c>
      <c r="M83" s="32">
        <v>2</v>
      </c>
    </row>
    <row r="84" spans="1:13">
      <c r="A84" s="32">
        <f t="shared" ca="1" si="1"/>
        <v>158</v>
      </c>
      <c r="B84" s="32" cm="1">
        <f t="array" aca="1" ref="B84" ca="1">INDEX(Data_DBD!$B:$B,$A84)</f>
        <v>5</v>
      </c>
      <c r="C84" s="32" cm="1">
        <f t="array" aca="1" ref="C84" ca="1">INDEX(Data_DBD!$C:$C,$A84)</f>
        <v>2</v>
      </c>
      <c r="D84" s="32" cm="1">
        <f t="array" aca="1" ref="D84" ca="1">INDEX(Data_DBD!$D:$D,$A84)</f>
        <v>21</v>
      </c>
      <c r="E84" s="32" cm="1">
        <f t="array" aca="1" ref="E84" ca="1">INDEX(Data_DBD!$E:$E,$A84)</f>
        <v>0</v>
      </c>
      <c r="F84" s="32" cm="1">
        <f t="array" aca="1" ref="F84" ca="1">INDEX(Data_DBD!$F:$F,$A84)</f>
        <v>3</v>
      </c>
      <c r="H84" s="32">
        <v>95</v>
      </c>
      <c r="I84" s="32">
        <v>11</v>
      </c>
      <c r="J84" s="32">
        <v>3</v>
      </c>
      <c r="K84" s="32">
        <v>18</v>
      </c>
      <c r="L84" s="32">
        <v>1</v>
      </c>
      <c r="M84" s="32">
        <v>3</v>
      </c>
    </row>
    <row r="85" spans="1:13">
      <c r="A85" s="32">
        <f t="shared" ca="1" si="1"/>
        <v>101</v>
      </c>
      <c r="B85" s="32" cm="1">
        <f t="array" aca="1" ref="B85" ca="1">INDEX(Data_DBD!$B:$B,$A85)</f>
        <v>42</v>
      </c>
      <c r="C85" s="32" cm="1">
        <f t="array" aca="1" ref="C85" ca="1">INDEX(Data_DBD!$C:$C,$A85)</f>
        <v>5</v>
      </c>
      <c r="D85" s="32" cm="1">
        <f t="array" aca="1" ref="D85" ca="1">INDEX(Data_DBD!$D:$D,$A85)</f>
        <v>18</v>
      </c>
      <c r="E85" s="32" cm="1">
        <f t="array" aca="1" ref="E85" ca="1">INDEX(Data_DBD!$E:$E,$A85)</f>
        <v>0</v>
      </c>
      <c r="F85" s="32" cm="1">
        <f t="array" aca="1" ref="F85" ca="1">INDEX(Data_DBD!$F:$F,$A85)</f>
        <v>3</v>
      </c>
      <c r="H85" s="32">
        <v>146</v>
      </c>
      <c r="I85" s="32">
        <v>34</v>
      </c>
      <c r="J85" s="32">
        <v>2</v>
      </c>
      <c r="K85" s="32">
        <v>21</v>
      </c>
      <c r="L85" s="32">
        <v>1</v>
      </c>
      <c r="M85" s="32">
        <v>3</v>
      </c>
    </row>
    <row r="86" spans="1:13">
      <c r="A86" s="32">
        <f t="shared" ca="1" si="1"/>
        <v>132</v>
      </c>
      <c r="B86" s="32" cm="1">
        <f t="array" aca="1" ref="B86" ca="1">INDEX(Data_DBD!$B:$B,$A86)</f>
        <v>10</v>
      </c>
      <c r="C86" s="32" cm="1">
        <f t="array" aca="1" ref="C86" ca="1">INDEX(Data_DBD!$C:$C,$A86)</f>
        <v>3</v>
      </c>
      <c r="D86" s="32" cm="1">
        <f t="array" aca="1" ref="D86" ca="1">INDEX(Data_DBD!$D:$D,$A86)</f>
        <v>33</v>
      </c>
      <c r="E86" s="32" cm="1">
        <f t="array" aca="1" ref="E86" ca="1">INDEX(Data_DBD!$E:$E,$A86)</f>
        <v>1</v>
      </c>
      <c r="F86" s="32" cm="1">
        <f t="array" aca="1" ref="F86" ca="1">INDEX(Data_DBD!$F:$F,$A86)</f>
        <v>3</v>
      </c>
      <c r="H86" s="32">
        <v>35</v>
      </c>
      <c r="I86" s="32">
        <v>40</v>
      </c>
      <c r="J86" s="32">
        <v>3</v>
      </c>
      <c r="K86" s="32">
        <v>4</v>
      </c>
      <c r="L86" s="32">
        <v>1</v>
      </c>
      <c r="M86" s="32">
        <v>1</v>
      </c>
    </row>
    <row r="87" spans="1:13">
      <c r="A87" s="32">
        <f t="shared" ca="1" si="1"/>
        <v>123</v>
      </c>
      <c r="B87" s="32" cm="1">
        <f t="array" aca="1" ref="B87" ca="1">INDEX(Data_DBD!$B:$B,$A87)</f>
        <v>22</v>
      </c>
      <c r="C87" s="32" cm="1">
        <f t="array" aca="1" ref="C87" ca="1">INDEX(Data_DBD!$C:$C,$A87)</f>
        <v>4</v>
      </c>
      <c r="D87" s="32" cm="1">
        <f t="array" aca="1" ref="D87" ca="1">INDEX(Data_DBD!$D:$D,$A87)</f>
        <v>33</v>
      </c>
      <c r="E87" s="32" cm="1">
        <f t="array" aca="1" ref="E87" ca="1">INDEX(Data_DBD!$E:$E,$A87)</f>
        <v>0</v>
      </c>
      <c r="F87" s="32" cm="1">
        <f t="array" aca="1" ref="F87" ca="1">INDEX(Data_DBD!$F:$F,$A87)</f>
        <v>3</v>
      </c>
      <c r="H87" s="32">
        <v>91</v>
      </c>
      <c r="I87" s="32">
        <v>35</v>
      </c>
      <c r="J87" s="32">
        <v>1</v>
      </c>
      <c r="K87" s="32">
        <v>18</v>
      </c>
      <c r="L87" s="32">
        <v>1</v>
      </c>
      <c r="M87" s="32">
        <v>3</v>
      </c>
    </row>
    <row r="88" spans="1:13">
      <c r="A88" s="32">
        <f t="shared" ca="1" si="1"/>
        <v>39</v>
      </c>
      <c r="B88" s="32" cm="1">
        <f t="array" aca="1" ref="B88" ca="1">INDEX(Data_DBD!$B:$B,$A88)</f>
        <v>12</v>
      </c>
      <c r="C88" s="32" cm="1">
        <f t="array" aca="1" ref="C88" ca="1">INDEX(Data_DBD!$C:$C,$A88)</f>
        <v>5</v>
      </c>
      <c r="D88" s="32" cm="1">
        <f t="array" aca="1" ref="D88" ca="1">INDEX(Data_DBD!$D:$D,$A88)</f>
        <v>13</v>
      </c>
      <c r="E88" s="32" cm="1">
        <f t="array" aca="1" ref="E88" ca="1">INDEX(Data_DBD!$E:$E,$A88)</f>
        <v>1</v>
      </c>
      <c r="F88" s="32" cm="1">
        <f t="array" aca="1" ref="F88" ca="1">INDEX(Data_DBD!$F:$F,$A88)</f>
        <v>2</v>
      </c>
      <c r="H88" s="32">
        <v>159</v>
      </c>
      <c r="I88" s="32">
        <v>17</v>
      </c>
      <c r="J88" s="32">
        <v>2</v>
      </c>
      <c r="K88" s="32">
        <v>21</v>
      </c>
      <c r="L88" s="32">
        <v>0</v>
      </c>
      <c r="M88" s="32">
        <v>3</v>
      </c>
    </row>
    <row r="89" spans="1:13">
      <c r="A89" s="32">
        <f t="shared" ca="1" si="1"/>
        <v>19</v>
      </c>
      <c r="B89" s="32" cm="1">
        <f t="array" aca="1" ref="B89" ca="1">INDEX(Data_DBD!$B:$B,$A89)</f>
        <v>8</v>
      </c>
      <c r="C89" s="32" cm="1">
        <f t="array" aca="1" ref="C89" ca="1">INDEX(Data_DBD!$C:$C,$A89)</f>
        <v>4</v>
      </c>
      <c r="D89" s="32" cm="1">
        <f t="array" aca="1" ref="D89" ca="1">INDEX(Data_DBD!$D:$D,$A89)</f>
        <v>7</v>
      </c>
      <c r="E89" s="32" cm="1">
        <f t="array" aca="1" ref="E89" ca="1">INDEX(Data_DBD!$E:$E,$A89)</f>
        <v>0</v>
      </c>
      <c r="F89" s="32" cm="1">
        <f t="array" aca="1" ref="F89" ca="1">INDEX(Data_DBD!$F:$F,$A89)</f>
        <v>1</v>
      </c>
      <c r="H89" s="32">
        <v>5</v>
      </c>
      <c r="I89" s="32">
        <v>18</v>
      </c>
      <c r="J89" s="32">
        <v>2</v>
      </c>
      <c r="K89" s="32">
        <v>12</v>
      </c>
      <c r="L89" s="32">
        <v>1</v>
      </c>
      <c r="M89" s="32">
        <v>2</v>
      </c>
    </row>
    <row r="90" spans="1:13">
      <c r="A90" s="32">
        <f t="shared" ca="1" si="1"/>
        <v>148</v>
      </c>
      <c r="B90" s="32" cm="1">
        <f t="array" aca="1" ref="B90" ca="1">INDEX(Data_DBD!$B:$B,$A90)</f>
        <v>55</v>
      </c>
      <c r="C90" s="32" cm="1">
        <f t="array" aca="1" ref="C90" ca="1">INDEX(Data_DBD!$C:$C,$A90)</f>
        <v>3</v>
      </c>
      <c r="D90" s="32" cm="1">
        <f t="array" aca="1" ref="D90" ca="1">INDEX(Data_DBD!$D:$D,$A90)</f>
        <v>21</v>
      </c>
      <c r="E90" s="32" cm="1">
        <f t="array" aca="1" ref="E90" ca="1">INDEX(Data_DBD!$E:$E,$A90)</f>
        <v>1</v>
      </c>
      <c r="F90" s="32" cm="1">
        <f t="array" aca="1" ref="F90" ca="1">INDEX(Data_DBD!$F:$F,$A90)</f>
        <v>3</v>
      </c>
      <c r="H90" s="32">
        <v>21</v>
      </c>
      <c r="I90" s="32">
        <v>10</v>
      </c>
      <c r="J90" s="32">
        <v>5</v>
      </c>
      <c r="K90" s="32">
        <v>14</v>
      </c>
      <c r="L90" s="32">
        <v>1</v>
      </c>
      <c r="M90" s="32">
        <v>2</v>
      </c>
    </row>
    <row r="91" spans="1:13">
      <c r="A91" s="32">
        <f t="shared" ca="1" si="1"/>
        <v>133</v>
      </c>
      <c r="B91" s="32" cm="1">
        <f t="array" aca="1" ref="B91" ca="1">INDEX(Data_DBD!$B:$B,$A91)</f>
        <v>6</v>
      </c>
      <c r="C91" s="32" cm="1">
        <f t="array" aca="1" ref="C91" ca="1">INDEX(Data_DBD!$C:$C,$A91)</f>
        <v>4</v>
      </c>
      <c r="D91" s="32" cm="1">
        <f t="array" aca="1" ref="D91" ca="1">INDEX(Data_DBD!$D:$D,$A91)</f>
        <v>33</v>
      </c>
      <c r="E91" s="32" cm="1">
        <f t="array" aca="1" ref="E91" ca="1">INDEX(Data_DBD!$E:$E,$A91)</f>
        <v>0</v>
      </c>
      <c r="F91" s="32" cm="1">
        <f t="array" aca="1" ref="F91" ca="1">INDEX(Data_DBD!$F:$F,$A91)</f>
        <v>3</v>
      </c>
      <c r="H91" s="32">
        <v>160</v>
      </c>
      <c r="I91" s="32">
        <v>16</v>
      </c>
      <c r="J91" s="32">
        <v>3</v>
      </c>
      <c r="K91" s="32">
        <v>21</v>
      </c>
      <c r="L91" s="32">
        <v>0</v>
      </c>
      <c r="M91" s="32">
        <v>3</v>
      </c>
    </row>
    <row r="92" spans="1:13">
      <c r="A92" s="32">
        <f t="shared" ca="1" si="1"/>
        <v>13</v>
      </c>
      <c r="B92" s="32" cm="1">
        <f t="array" aca="1" ref="B92" ca="1">INDEX(Data_DBD!$B:$B,$A92)</f>
        <v>47</v>
      </c>
      <c r="C92" s="32" cm="1">
        <f t="array" aca="1" ref="C92" ca="1">INDEX(Data_DBD!$C:$C,$A92)</f>
        <v>2</v>
      </c>
      <c r="D92" s="32" cm="1">
        <f t="array" aca="1" ref="D92" ca="1">INDEX(Data_DBD!$D:$D,$A92)</f>
        <v>12</v>
      </c>
      <c r="E92" s="32" cm="1">
        <f t="array" aca="1" ref="E92" ca="1">INDEX(Data_DBD!$E:$E,$A92)</f>
        <v>0</v>
      </c>
      <c r="F92" s="32" cm="1">
        <f t="array" aca="1" ref="F92" ca="1">INDEX(Data_DBD!$F:$F,$A92)</f>
        <v>2</v>
      </c>
      <c r="H92" s="32">
        <v>8</v>
      </c>
      <c r="I92" s="32">
        <v>4</v>
      </c>
      <c r="J92" s="32">
        <v>2</v>
      </c>
      <c r="K92" s="32">
        <v>12</v>
      </c>
      <c r="L92" s="32">
        <v>0</v>
      </c>
      <c r="M92" s="32">
        <v>2</v>
      </c>
    </row>
    <row r="93" spans="1:13">
      <c r="A93" s="32">
        <f t="shared" ca="1" si="1"/>
        <v>116</v>
      </c>
      <c r="B93" s="32" cm="1">
        <f t="array" aca="1" ref="B93" ca="1">INDEX(Data_DBD!$B:$B,$A93)</f>
        <v>32</v>
      </c>
      <c r="C93" s="32" cm="1">
        <f t="array" aca="1" ref="C93" ca="1">INDEX(Data_DBD!$C:$C,$A93)</f>
        <v>4</v>
      </c>
      <c r="D93" s="32" cm="1">
        <f t="array" aca="1" ref="D93" ca="1">INDEX(Data_DBD!$D:$D,$A93)</f>
        <v>33</v>
      </c>
      <c r="E93" s="32" cm="1">
        <f t="array" aca="1" ref="E93" ca="1">INDEX(Data_DBD!$E:$E,$A93)</f>
        <v>1</v>
      </c>
      <c r="F93" s="32" cm="1">
        <f t="array" aca="1" ref="F93" ca="1">INDEX(Data_DBD!$F:$F,$A93)</f>
        <v>3</v>
      </c>
      <c r="H93" s="32">
        <v>30</v>
      </c>
      <c r="I93" s="32" t="s">
        <v>37</v>
      </c>
      <c r="J93" s="32">
        <v>2</v>
      </c>
      <c r="K93" s="32">
        <v>14</v>
      </c>
      <c r="L93" s="32">
        <v>1</v>
      </c>
      <c r="M93" s="32">
        <v>2</v>
      </c>
    </row>
    <row r="94" spans="1:13">
      <c r="A94" s="32">
        <f t="shared" ca="1" si="1"/>
        <v>145</v>
      </c>
      <c r="B94" s="32" cm="1">
        <f t="array" aca="1" ref="B94" ca="1">INDEX(Data_DBD!$B:$B,$A94)</f>
        <v>28</v>
      </c>
      <c r="C94" s="32" cm="1">
        <f t="array" aca="1" ref="C94" ca="1">INDEX(Data_DBD!$C:$C,$A94)</f>
        <v>4</v>
      </c>
      <c r="D94" s="32" cm="1">
        <f t="array" aca="1" ref="D94" ca="1">INDEX(Data_DBD!$D:$D,$A94)</f>
        <v>21</v>
      </c>
      <c r="E94" s="32" cm="1">
        <f t="array" aca="1" ref="E94" ca="1">INDEX(Data_DBD!$E:$E,$A94)</f>
        <v>1</v>
      </c>
      <c r="F94" s="32" cm="1">
        <f t="array" aca="1" ref="F94" ca="1">INDEX(Data_DBD!$F:$F,$A94)</f>
        <v>3</v>
      </c>
      <c r="H94" s="32">
        <v>109</v>
      </c>
      <c r="I94" s="32">
        <v>40</v>
      </c>
      <c r="J94" s="32">
        <v>3</v>
      </c>
      <c r="K94" s="32">
        <v>33</v>
      </c>
      <c r="L94" s="32">
        <v>1</v>
      </c>
      <c r="M94" s="32">
        <v>3</v>
      </c>
    </row>
    <row r="95" spans="1:13">
      <c r="A95" s="32">
        <f t="shared" ca="1" si="1"/>
        <v>74</v>
      </c>
      <c r="B95" s="32" cm="1">
        <f t="array" aca="1" ref="B95" ca="1">INDEX(Data_DBD!$B:$B,$A95)</f>
        <v>9</v>
      </c>
      <c r="C95" s="32" cm="1">
        <f t="array" aca="1" ref="C95" ca="1">INDEX(Data_DBD!$C:$C,$A95)</f>
        <v>4</v>
      </c>
      <c r="D95" s="32" cm="1">
        <f t="array" aca="1" ref="D95" ca="1">INDEX(Data_DBD!$D:$D,$A95)</f>
        <v>10</v>
      </c>
      <c r="E95" s="32" cm="1">
        <f t="array" aca="1" ref="E95" ca="1">INDEX(Data_DBD!$E:$E,$A95)</f>
        <v>0</v>
      </c>
      <c r="F95" s="32" cm="1">
        <f t="array" aca="1" ref="F95" ca="1">INDEX(Data_DBD!$F:$F,$A95)</f>
        <v>2</v>
      </c>
      <c r="H95" s="32">
        <v>78</v>
      </c>
      <c r="I95" s="32">
        <v>6</v>
      </c>
      <c r="J95" s="32">
        <v>3</v>
      </c>
      <c r="K95" s="32">
        <v>13</v>
      </c>
      <c r="L95" s="32">
        <v>0</v>
      </c>
      <c r="M95" s="32">
        <v>2</v>
      </c>
    </row>
    <row r="96" spans="1:13">
      <c r="A96" s="32">
        <f t="shared" ca="1" si="1"/>
        <v>157</v>
      </c>
      <c r="B96" s="32" cm="1">
        <f t="array" aca="1" ref="B96" ca="1">INDEX(Data_DBD!$B:$B,$A96)</f>
        <v>15</v>
      </c>
      <c r="C96" s="32" cm="1">
        <f t="array" aca="1" ref="C96" ca="1">INDEX(Data_DBD!$C:$C,$A96)</f>
        <v>4</v>
      </c>
      <c r="D96" s="32" cm="1">
        <f t="array" aca="1" ref="D96" ca="1">INDEX(Data_DBD!$D:$D,$A96)</f>
        <v>21</v>
      </c>
      <c r="E96" s="32" cm="1">
        <f t="array" aca="1" ref="E96" ca="1">INDEX(Data_DBD!$E:$E,$A96)</f>
        <v>1</v>
      </c>
      <c r="F96" s="32" cm="1">
        <f t="array" aca="1" ref="F96" ca="1">INDEX(Data_DBD!$F:$F,$A96)</f>
        <v>3</v>
      </c>
      <c r="H96" s="32">
        <v>112</v>
      </c>
      <c r="I96" s="32">
        <v>61</v>
      </c>
      <c r="J96" s="32">
        <v>3</v>
      </c>
      <c r="K96" s="32">
        <v>33</v>
      </c>
      <c r="L96" s="32">
        <v>1</v>
      </c>
      <c r="M96" s="32">
        <v>3</v>
      </c>
    </row>
    <row r="97" spans="1:13">
      <c r="A97" s="32">
        <f t="shared" ca="1" si="1"/>
        <v>163</v>
      </c>
      <c r="B97" s="32" cm="1">
        <f t="array" aca="1" ref="B97" ca="1">INDEX(Data_DBD!$B:$B,$A97)</f>
        <v>34</v>
      </c>
      <c r="C97" s="32" cm="1">
        <f t="array" aca="1" ref="C97" ca="1">INDEX(Data_DBD!$C:$C,$A97)</f>
        <v>4</v>
      </c>
      <c r="D97" s="32" cm="1">
        <f t="array" aca="1" ref="D97" ca="1">INDEX(Data_DBD!$D:$D,$A97)</f>
        <v>3</v>
      </c>
      <c r="E97" s="32" cm="1">
        <f t="array" aca="1" ref="E97" ca="1">INDEX(Data_DBD!$E:$E,$A97)</f>
        <v>1</v>
      </c>
      <c r="F97" s="32" cm="1">
        <f t="array" aca="1" ref="F97" ca="1">INDEX(Data_DBD!$F:$F,$A97)</f>
        <v>1</v>
      </c>
      <c r="H97" s="32">
        <v>7</v>
      </c>
      <c r="I97" s="32">
        <v>12</v>
      </c>
      <c r="J97" s="32">
        <v>1</v>
      </c>
      <c r="K97" s="32">
        <v>12</v>
      </c>
      <c r="L97" s="32">
        <v>1</v>
      </c>
      <c r="M97" s="32">
        <v>2</v>
      </c>
    </row>
    <row r="98" spans="1:13">
      <c r="A98" s="32">
        <f t="shared" ca="1" si="1"/>
        <v>126</v>
      </c>
      <c r="B98" s="32" cm="1">
        <f t="array" aca="1" ref="B98" ca="1">INDEX(Data_DBD!$B:$B,$A98)</f>
        <v>51</v>
      </c>
      <c r="C98" s="32" cm="1">
        <f t="array" aca="1" ref="C98" ca="1">INDEX(Data_DBD!$C:$C,$A98)</f>
        <v>3</v>
      </c>
      <c r="D98" s="32" cm="1">
        <f t="array" aca="1" ref="D98" ca="1">INDEX(Data_DBD!$D:$D,$A98)</f>
        <v>33</v>
      </c>
      <c r="E98" s="32" cm="1">
        <f t="array" aca="1" ref="E98" ca="1">INDEX(Data_DBD!$E:$E,$A98)</f>
        <v>1</v>
      </c>
      <c r="F98" s="32" cm="1">
        <f t="array" aca="1" ref="F98" ca="1">INDEX(Data_DBD!$F:$F,$A98)</f>
        <v>3</v>
      </c>
      <c r="H98" s="32">
        <v>114</v>
      </c>
      <c r="I98" s="32">
        <v>14</v>
      </c>
      <c r="J98" s="32">
        <v>2</v>
      </c>
      <c r="K98" s="32">
        <v>33</v>
      </c>
      <c r="L98" s="32">
        <v>1</v>
      </c>
      <c r="M98" s="32">
        <v>3</v>
      </c>
    </row>
    <row r="99" spans="1:13">
      <c r="A99" s="32">
        <f t="shared" ca="1" si="1"/>
        <v>163</v>
      </c>
      <c r="B99" s="32" cm="1">
        <f t="array" aca="1" ref="B99" ca="1">INDEX(Data_DBD!$B:$B,$A99)</f>
        <v>34</v>
      </c>
      <c r="C99" s="32" cm="1">
        <f t="array" aca="1" ref="C99" ca="1">INDEX(Data_DBD!$C:$C,$A99)</f>
        <v>4</v>
      </c>
      <c r="D99" s="32" cm="1">
        <f t="array" aca="1" ref="D99" ca="1">INDEX(Data_DBD!$D:$D,$A99)</f>
        <v>3</v>
      </c>
      <c r="E99" s="32" cm="1">
        <f t="array" aca="1" ref="E99" ca="1">INDEX(Data_DBD!$E:$E,$A99)</f>
        <v>1</v>
      </c>
      <c r="F99" s="32" cm="1">
        <f t="array" aca="1" ref="F99" ca="1">INDEX(Data_DBD!$F:$F,$A99)</f>
        <v>1</v>
      </c>
      <c r="H99" s="32">
        <v>54</v>
      </c>
      <c r="I99" s="32">
        <v>7</v>
      </c>
      <c r="J99" s="32">
        <v>3</v>
      </c>
      <c r="K99" s="32">
        <v>15</v>
      </c>
      <c r="L99" s="32">
        <v>0</v>
      </c>
      <c r="M99" s="32">
        <v>2</v>
      </c>
    </row>
    <row r="100" spans="1:13">
      <c r="A100" s="32">
        <f t="shared" ca="1" si="1"/>
        <v>31</v>
      </c>
      <c r="B100" s="32" cm="1">
        <f t="array" aca="1" ref="B100" ca="1">INDEX(Data_DBD!$B:$B,$A100)</f>
        <v>64</v>
      </c>
      <c r="C100" s="32" cm="1">
        <f t="array" aca="1" ref="C100" ca="1">INDEX(Data_DBD!$C:$C,$A100)</f>
        <v>4</v>
      </c>
      <c r="D100" s="32" cm="1">
        <f t="array" aca="1" ref="D100" ca="1">INDEX(Data_DBD!$D:$D,$A100)</f>
        <v>14</v>
      </c>
      <c r="E100" s="32" cm="1">
        <f t="array" aca="1" ref="E100" ca="1">INDEX(Data_DBD!$E:$E,$A100)</f>
        <v>1</v>
      </c>
      <c r="F100" s="32" cm="1">
        <f t="array" aca="1" ref="F100" ca="1">INDEX(Data_DBD!$F:$F,$A100)</f>
        <v>2</v>
      </c>
      <c r="H100" s="32">
        <v>68</v>
      </c>
      <c r="I100" s="32">
        <v>44</v>
      </c>
      <c r="J100" s="32">
        <v>5</v>
      </c>
      <c r="K100" s="32">
        <v>10</v>
      </c>
      <c r="L100" s="32">
        <v>0</v>
      </c>
      <c r="M100" s="32">
        <v>2</v>
      </c>
    </row>
    <row r="101" spans="1:13">
      <c r="A101" s="32">
        <f t="shared" ca="1" si="1"/>
        <v>48</v>
      </c>
      <c r="B101" s="32" cm="1">
        <f t="array" aca="1" ref="B101" ca="1">INDEX(Data_DBD!$B:$B,$A101)</f>
        <v>50</v>
      </c>
      <c r="C101" s="32" cm="1">
        <f t="array" aca="1" ref="C101" ca="1">INDEX(Data_DBD!$C:$C,$A101)</f>
        <v>5</v>
      </c>
      <c r="D101" s="32" cm="1">
        <f t="array" aca="1" ref="D101" ca="1">INDEX(Data_DBD!$D:$D,$A101)</f>
        <v>13</v>
      </c>
      <c r="E101" s="32" cm="1">
        <f t="array" aca="1" ref="E101" ca="1">INDEX(Data_DBD!$E:$E,$A101)</f>
        <v>1</v>
      </c>
      <c r="F101" s="32" cm="1">
        <f t="array" aca="1" ref="F101" ca="1">INDEX(Data_DBD!$F:$F,$A101)</f>
        <v>2</v>
      </c>
      <c r="H101" s="32">
        <v>85</v>
      </c>
      <c r="I101" s="32">
        <v>27</v>
      </c>
      <c r="J101" s="32">
        <v>9</v>
      </c>
      <c r="K101" s="32">
        <v>13</v>
      </c>
      <c r="L101" s="32">
        <v>0</v>
      </c>
      <c r="M101" s="32">
        <v>2</v>
      </c>
    </row>
    <row r="102" spans="1:13">
      <c r="A102" s="32">
        <f t="shared" ca="1" si="1"/>
        <v>88</v>
      </c>
      <c r="B102" s="32" cm="1">
        <f t="array" aca="1" ref="B102" ca="1">INDEX(Data_DBD!$B:$B,$A102)</f>
        <v>20</v>
      </c>
      <c r="C102" s="32" cm="1">
        <f t="array" aca="1" ref="C102" ca="1">INDEX(Data_DBD!$C:$C,$A102)</f>
        <v>4</v>
      </c>
      <c r="D102" s="32" cm="1">
        <f t="array" aca="1" ref="D102" ca="1">INDEX(Data_DBD!$D:$D,$A102)</f>
        <v>13</v>
      </c>
      <c r="E102" s="32" cm="1">
        <f t="array" aca="1" ref="E102" ca="1">INDEX(Data_DBD!$E:$E,$A102)</f>
        <v>1</v>
      </c>
      <c r="F102" s="32" cm="1">
        <f t="array" aca="1" ref="F102" ca="1">INDEX(Data_DBD!$F:$F,$A102)</f>
        <v>2</v>
      </c>
      <c r="H102" s="32">
        <v>101</v>
      </c>
      <c r="I102" s="32">
        <v>42</v>
      </c>
      <c r="J102" s="32">
        <v>5</v>
      </c>
      <c r="K102" s="32">
        <v>18</v>
      </c>
      <c r="L102" s="32">
        <v>0</v>
      </c>
      <c r="M102" s="32">
        <v>3</v>
      </c>
    </row>
    <row r="103" spans="1:13">
      <c r="A103" s="32">
        <f t="shared" ca="1" si="1"/>
        <v>53</v>
      </c>
      <c r="B103" s="32" cm="1">
        <f t="array" aca="1" ref="B103" ca="1">INDEX(Data_DBD!$B:$B,$A103)</f>
        <v>35</v>
      </c>
      <c r="C103" s="32" cm="1">
        <f t="array" aca="1" ref="C103" ca="1">INDEX(Data_DBD!$C:$C,$A103)</f>
        <v>4</v>
      </c>
      <c r="D103" s="32" cm="1">
        <f t="array" aca="1" ref="D103" ca="1">INDEX(Data_DBD!$D:$D,$A103)</f>
        <v>15</v>
      </c>
      <c r="E103" s="32" cm="1">
        <f t="array" aca="1" ref="E103" ca="1">INDEX(Data_DBD!$E:$E,$A103)</f>
        <v>1</v>
      </c>
      <c r="F103" s="32" cm="1">
        <f t="array" aca="1" ref="F103" ca="1">INDEX(Data_DBD!$F:$F,$A103)</f>
        <v>2</v>
      </c>
      <c r="H103" s="32">
        <v>157</v>
      </c>
      <c r="I103" s="32">
        <v>15</v>
      </c>
      <c r="J103" s="32">
        <v>4</v>
      </c>
      <c r="K103" s="32">
        <v>21</v>
      </c>
      <c r="L103" s="32">
        <v>1</v>
      </c>
      <c r="M103" s="32">
        <v>3</v>
      </c>
    </row>
    <row r="104" spans="1:13">
      <c r="A104" s="32">
        <f t="shared" ca="1" si="1"/>
        <v>57</v>
      </c>
      <c r="B104" s="32" cm="1">
        <f t="array" aca="1" ref="B104" ca="1">INDEX(Data_DBD!$B:$B,$A104)</f>
        <v>2</v>
      </c>
      <c r="C104" s="32" cm="1">
        <f t="array" aca="1" ref="C104" ca="1">INDEX(Data_DBD!$C:$C,$A104)</f>
        <v>2</v>
      </c>
      <c r="D104" s="32" cm="1">
        <f t="array" aca="1" ref="D104" ca="1">INDEX(Data_DBD!$D:$D,$A104)</f>
        <v>15</v>
      </c>
      <c r="E104" s="32" cm="1">
        <f t="array" aca="1" ref="E104" ca="1">INDEX(Data_DBD!$E:$E,$A104)</f>
        <v>1</v>
      </c>
      <c r="F104" s="32" cm="1">
        <f t="array" aca="1" ref="F104" ca="1">INDEX(Data_DBD!$F:$F,$A104)</f>
        <v>2</v>
      </c>
      <c r="H104" s="32">
        <v>36</v>
      </c>
      <c r="I104" s="32">
        <v>27</v>
      </c>
      <c r="J104" s="32">
        <v>1</v>
      </c>
      <c r="K104" s="32">
        <v>4</v>
      </c>
      <c r="L104" s="32">
        <v>1</v>
      </c>
      <c r="M104" s="32">
        <v>1</v>
      </c>
    </row>
    <row r="105" spans="1:13">
      <c r="A105" s="32">
        <f t="shared" ca="1" si="1"/>
        <v>49</v>
      </c>
      <c r="B105" s="32" cm="1">
        <f t="array" aca="1" ref="B105" ca="1">INDEX(Data_DBD!$B:$B,$A105)</f>
        <v>64</v>
      </c>
      <c r="C105" s="32" cm="1">
        <f t="array" aca="1" ref="C105" ca="1">INDEX(Data_DBD!$C:$C,$A105)</f>
        <v>5</v>
      </c>
      <c r="D105" s="32" cm="1">
        <f t="array" aca="1" ref="D105" ca="1">INDEX(Data_DBD!$D:$D,$A105)</f>
        <v>13</v>
      </c>
      <c r="E105" s="32" cm="1">
        <f t="array" aca="1" ref="E105" ca="1">INDEX(Data_DBD!$E:$E,$A105)</f>
        <v>0</v>
      </c>
      <c r="F105" s="32" cm="1">
        <f t="array" aca="1" ref="F105" ca="1">INDEX(Data_DBD!$F:$F,$A105)</f>
        <v>2</v>
      </c>
      <c r="H105" s="32">
        <v>83</v>
      </c>
      <c r="I105" s="32">
        <v>50</v>
      </c>
      <c r="J105" s="32">
        <v>3</v>
      </c>
      <c r="K105" s="32">
        <v>13</v>
      </c>
      <c r="L105" s="32">
        <v>0</v>
      </c>
      <c r="M105" s="32">
        <v>2</v>
      </c>
    </row>
    <row r="106" spans="1:13">
      <c r="A106" s="32">
        <f t="shared" ca="1" si="1"/>
        <v>143</v>
      </c>
      <c r="B106" s="32" cm="1">
        <f t="array" aca="1" ref="B106" ca="1">INDEX(Data_DBD!$B:$B,$A106)</f>
        <v>20</v>
      </c>
      <c r="C106" s="32" cm="1">
        <f t="array" aca="1" ref="C106" ca="1">INDEX(Data_DBD!$C:$C,$A106)</f>
        <v>4</v>
      </c>
      <c r="D106" s="32" cm="1">
        <f t="array" aca="1" ref="D106" ca="1">INDEX(Data_DBD!$D:$D,$A106)</f>
        <v>21</v>
      </c>
      <c r="E106" s="32" cm="1">
        <f t="array" aca="1" ref="E106" ca="1">INDEX(Data_DBD!$E:$E,$A106)</f>
        <v>1</v>
      </c>
      <c r="F106" s="32" cm="1">
        <f t="array" aca="1" ref="F106" ca="1">INDEX(Data_DBD!$F:$F,$A106)</f>
        <v>3</v>
      </c>
      <c r="H106" s="32">
        <v>130</v>
      </c>
      <c r="I106" s="32">
        <v>12</v>
      </c>
      <c r="J106" s="32">
        <v>4</v>
      </c>
      <c r="K106" s="32">
        <v>33</v>
      </c>
      <c r="L106" s="32">
        <v>0</v>
      </c>
      <c r="M106" s="32">
        <v>3</v>
      </c>
    </row>
    <row r="107" spans="1:13">
      <c r="A107" s="32">
        <f t="shared" ca="1" si="1"/>
        <v>160</v>
      </c>
      <c r="B107" s="32" cm="1">
        <f t="array" aca="1" ref="B107" ca="1">INDEX(Data_DBD!$B:$B,$A107)</f>
        <v>16</v>
      </c>
      <c r="C107" s="32" cm="1">
        <f t="array" aca="1" ref="C107" ca="1">INDEX(Data_DBD!$C:$C,$A107)</f>
        <v>3</v>
      </c>
      <c r="D107" s="32" cm="1">
        <f t="array" aca="1" ref="D107" ca="1">INDEX(Data_DBD!$D:$D,$A107)</f>
        <v>21</v>
      </c>
      <c r="E107" s="32" cm="1">
        <f t="array" aca="1" ref="E107" ca="1">INDEX(Data_DBD!$E:$E,$A107)</f>
        <v>0</v>
      </c>
      <c r="F107" s="32" cm="1">
        <f t="array" aca="1" ref="F107" ca="1">INDEX(Data_DBD!$F:$F,$A107)</f>
        <v>3</v>
      </c>
      <c r="H107" s="32">
        <v>131</v>
      </c>
      <c r="I107" s="32">
        <v>10</v>
      </c>
      <c r="J107" s="32">
        <v>2</v>
      </c>
      <c r="K107" s="32">
        <v>33</v>
      </c>
      <c r="L107" s="32">
        <v>0</v>
      </c>
      <c r="M107" s="32">
        <v>3</v>
      </c>
    </row>
    <row r="108" spans="1:13">
      <c r="A108" s="32">
        <f t="shared" ca="1" si="1"/>
        <v>20</v>
      </c>
      <c r="B108" s="32" cm="1">
        <f t="array" aca="1" ref="B108" ca="1">INDEX(Data_DBD!$B:$B,$A108)</f>
        <v>15</v>
      </c>
      <c r="C108" s="32" cm="1">
        <f t="array" aca="1" ref="C108" ca="1">INDEX(Data_DBD!$C:$C,$A108)</f>
        <v>5</v>
      </c>
      <c r="D108" s="32" cm="1">
        <f t="array" aca="1" ref="D108" ca="1">INDEX(Data_DBD!$D:$D,$A108)</f>
        <v>7</v>
      </c>
      <c r="E108" s="32" cm="1">
        <f t="array" aca="1" ref="E108" ca="1">INDEX(Data_DBD!$E:$E,$A108)</f>
        <v>0</v>
      </c>
      <c r="F108" s="32" cm="1">
        <f t="array" aca="1" ref="F108" ca="1">INDEX(Data_DBD!$F:$F,$A108)</f>
        <v>1</v>
      </c>
      <c r="H108" s="32">
        <v>157</v>
      </c>
      <c r="I108" s="32">
        <v>15</v>
      </c>
      <c r="J108" s="32">
        <v>4</v>
      </c>
      <c r="K108" s="32">
        <v>21</v>
      </c>
      <c r="L108" s="32">
        <v>1</v>
      </c>
      <c r="M108" s="32">
        <v>3</v>
      </c>
    </row>
    <row r="109" spans="1:13">
      <c r="A109" s="32">
        <f t="shared" ca="1" si="1"/>
        <v>69</v>
      </c>
      <c r="B109" s="32" cm="1">
        <f t="array" aca="1" ref="B109" ca="1">INDEX(Data_DBD!$B:$B,$A109)</f>
        <v>24</v>
      </c>
      <c r="C109" s="32" cm="1">
        <f t="array" aca="1" ref="C109" ca="1">INDEX(Data_DBD!$C:$C,$A109)</f>
        <v>4</v>
      </c>
      <c r="D109" s="32" cm="1">
        <f t="array" aca="1" ref="D109" ca="1">INDEX(Data_DBD!$D:$D,$A109)</f>
        <v>10</v>
      </c>
      <c r="E109" s="32" cm="1">
        <f t="array" aca="1" ref="E109" ca="1">INDEX(Data_DBD!$E:$E,$A109)</f>
        <v>1</v>
      </c>
      <c r="F109" s="32" cm="1">
        <f t="array" aca="1" ref="F109" ca="1">INDEX(Data_DBD!$F:$F,$A109)</f>
        <v>2</v>
      </c>
      <c r="H109" s="32">
        <v>114</v>
      </c>
      <c r="I109" s="32">
        <v>14</v>
      </c>
      <c r="J109" s="32">
        <v>2</v>
      </c>
      <c r="K109" s="32">
        <v>33</v>
      </c>
      <c r="L109" s="32">
        <v>1</v>
      </c>
      <c r="M109" s="32">
        <v>3</v>
      </c>
    </row>
    <row r="110" spans="1:13">
      <c r="A110" s="32">
        <f t="shared" ca="1" si="1"/>
        <v>146</v>
      </c>
      <c r="B110" s="32" cm="1">
        <f t="array" aca="1" ref="B110" ca="1">INDEX(Data_DBD!$B:$B,$A110)</f>
        <v>34</v>
      </c>
      <c r="C110" s="32" cm="1">
        <f t="array" aca="1" ref="C110" ca="1">INDEX(Data_DBD!$C:$C,$A110)</f>
        <v>2</v>
      </c>
      <c r="D110" s="32" cm="1">
        <f t="array" aca="1" ref="D110" ca="1">INDEX(Data_DBD!$D:$D,$A110)</f>
        <v>21</v>
      </c>
      <c r="E110" s="32" cm="1">
        <f t="array" aca="1" ref="E110" ca="1">INDEX(Data_DBD!$E:$E,$A110)</f>
        <v>1</v>
      </c>
      <c r="F110" s="32" cm="1">
        <f t="array" aca="1" ref="F110" ca="1">INDEX(Data_DBD!$F:$F,$A110)</f>
        <v>3</v>
      </c>
      <c r="H110" s="32">
        <v>89</v>
      </c>
      <c r="I110" s="32">
        <v>32</v>
      </c>
      <c r="J110" s="32">
        <v>4</v>
      </c>
      <c r="K110" s="32">
        <v>13</v>
      </c>
      <c r="L110" s="32">
        <v>0</v>
      </c>
      <c r="M110" s="32">
        <v>2</v>
      </c>
    </row>
    <row r="111" spans="1:13">
      <c r="A111" s="32">
        <f t="shared" ca="1" si="1"/>
        <v>76</v>
      </c>
      <c r="B111" s="32" cm="1">
        <f t="array" aca="1" ref="B111" ca="1">INDEX(Data_DBD!$B:$B,$A111)</f>
        <v>70</v>
      </c>
      <c r="C111" s="32" cm="1">
        <f t="array" aca="1" ref="C111" ca="1">INDEX(Data_DBD!$C:$C,$A111)</f>
        <v>2</v>
      </c>
      <c r="D111" s="32" cm="1">
        <f t="array" aca="1" ref="D111" ca="1">INDEX(Data_DBD!$D:$D,$A111)</f>
        <v>10</v>
      </c>
      <c r="E111" s="32" cm="1">
        <f t="array" aca="1" ref="E111" ca="1">INDEX(Data_DBD!$E:$E,$A111)</f>
        <v>0</v>
      </c>
      <c r="F111" s="32" cm="1">
        <f t="array" aca="1" ref="F111" ca="1">INDEX(Data_DBD!$F:$F,$A111)</f>
        <v>2</v>
      </c>
      <c r="H111" s="32">
        <v>94</v>
      </c>
      <c r="I111" s="32">
        <v>12</v>
      </c>
      <c r="J111" s="32">
        <v>4</v>
      </c>
      <c r="K111" s="32">
        <v>18</v>
      </c>
      <c r="L111" s="32">
        <v>0</v>
      </c>
      <c r="M111" s="32">
        <v>3</v>
      </c>
    </row>
    <row r="112" spans="1:13">
      <c r="A112" s="32">
        <f t="shared" ca="1" si="1"/>
        <v>36</v>
      </c>
      <c r="B112" s="32" cm="1">
        <f t="array" aca="1" ref="B112" ca="1">INDEX(Data_DBD!$B:$B,$A112)</f>
        <v>27</v>
      </c>
      <c r="C112" s="32" cm="1">
        <f t="array" aca="1" ref="C112" ca="1">INDEX(Data_DBD!$C:$C,$A112)</f>
        <v>1</v>
      </c>
      <c r="D112" s="32" cm="1">
        <f t="array" aca="1" ref="D112" ca="1">INDEX(Data_DBD!$D:$D,$A112)</f>
        <v>4</v>
      </c>
      <c r="E112" s="32" cm="1">
        <f t="array" aca="1" ref="E112" ca="1">INDEX(Data_DBD!$E:$E,$A112)</f>
        <v>1</v>
      </c>
      <c r="F112" s="32" cm="1">
        <f t="array" aca="1" ref="F112" ca="1">INDEX(Data_DBD!$F:$F,$A112)</f>
        <v>1</v>
      </c>
      <c r="H112" s="32">
        <v>89</v>
      </c>
      <c r="I112" s="32">
        <v>32</v>
      </c>
      <c r="J112" s="32">
        <v>4</v>
      </c>
      <c r="K112" s="32">
        <v>13</v>
      </c>
      <c r="L112" s="32">
        <v>0</v>
      </c>
      <c r="M112" s="32">
        <v>2</v>
      </c>
    </row>
    <row r="113" spans="1:13">
      <c r="A113" s="32">
        <f t="shared" ca="1" si="1"/>
        <v>86</v>
      </c>
      <c r="B113" s="32" cm="1">
        <f t="array" aca="1" ref="B113" ca="1">INDEX(Data_DBD!$B:$B,$A113)</f>
        <v>23</v>
      </c>
      <c r="C113" s="32" cm="1">
        <f t="array" aca="1" ref="C113" ca="1">INDEX(Data_DBD!$C:$C,$A113)</f>
        <v>3</v>
      </c>
      <c r="D113" s="32" cm="1">
        <f t="array" aca="1" ref="D113" ca="1">INDEX(Data_DBD!$D:$D,$A113)</f>
        <v>13</v>
      </c>
      <c r="E113" s="32" cm="1">
        <f t="array" aca="1" ref="E113" ca="1">INDEX(Data_DBD!$E:$E,$A113)</f>
        <v>0</v>
      </c>
      <c r="F113" s="32" cm="1">
        <f t="array" aca="1" ref="F113" ca="1">INDEX(Data_DBD!$F:$F,$A113)</f>
        <v>2</v>
      </c>
      <c r="H113" s="32">
        <v>94</v>
      </c>
      <c r="I113" s="32">
        <v>12</v>
      </c>
      <c r="J113" s="32">
        <v>4</v>
      </c>
      <c r="K113" s="32">
        <v>18</v>
      </c>
      <c r="L113" s="32">
        <v>0</v>
      </c>
      <c r="M113" s="32">
        <v>3</v>
      </c>
    </row>
    <row r="114" spans="1:13">
      <c r="A114" s="32">
        <f t="shared" ca="1" si="1"/>
        <v>141</v>
      </c>
      <c r="B114" s="32" cm="1">
        <f t="array" aca="1" ref="B114" ca="1">INDEX(Data_DBD!$B:$B,$A114)</f>
        <v>36</v>
      </c>
      <c r="C114" s="32" cm="1">
        <f t="array" aca="1" ref="C114" ca="1">INDEX(Data_DBD!$C:$C,$A114)</f>
        <v>2</v>
      </c>
      <c r="D114" s="32" cm="1">
        <f t="array" aca="1" ref="D114" ca="1">INDEX(Data_DBD!$D:$D,$A114)</f>
        <v>21</v>
      </c>
      <c r="E114" s="32" cm="1">
        <f t="array" aca="1" ref="E114" ca="1">INDEX(Data_DBD!$E:$E,$A114)</f>
        <v>0</v>
      </c>
      <c r="F114" s="32" cm="1">
        <f t="array" aca="1" ref="F114" ca="1">INDEX(Data_DBD!$F:$F,$A114)</f>
        <v>3</v>
      </c>
      <c r="H114" s="32">
        <v>47</v>
      </c>
      <c r="I114" s="32">
        <v>19</v>
      </c>
      <c r="J114" s="32">
        <v>2</v>
      </c>
      <c r="K114" s="32">
        <v>13</v>
      </c>
      <c r="L114" s="32">
        <v>0</v>
      </c>
      <c r="M114" s="32">
        <v>2</v>
      </c>
    </row>
    <row r="115" spans="1:13">
      <c r="A115" s="32">
        <f t="shared" ca="1" si="1"/>
        <v>14</v>
      </c>
      <c r="B115" s="32" cm="1">
        <f t="array" aca="1" ref="B115" ca="1">INDEX(Data_DBD!$B:$B,$A115)</f>
        <v>49</v>
      </c>
      <c r="C115" s="32" cm="1">
        <f t="array" aca="1" ref="C115" ca="1">INDEX(Data_DBD!$C:$C,$A115)</f>
        <v>4</v>
      </c>
      <c r="D115" s="32" cm="1">
        <f t="array" aca="1" ref="D115" ca="1">INDEX(Data_DBD!$D:$D,$A115)</f>
        <v>7</v>
      </c>
      <c r="E115" s="32" cm="1">
        <f t="array" aca="1" ref="E115" ca="1">INDEX(Data_DBD!$E:$E,$A115)</f>
        <v>1</v>
      </c>
      <c r="F115" s="32" cm="1">
        <f t="array" aca="1" ref="F115" ca="1">INDEX(Data_DBD!$F:$F,$A115)</f>
        <v>1</v>
      </c>
      <c r="H115" s="32">
        <v>143</v>
      </c>
      <c r="I115" s="32">
        <v>20</v>
      </c>
      <c r="J115" s="32">
        <v>4</v>
      </c>
      <c r="K115" s="32">
        <v>21</v>
      </c>
      <c r="L115" s="32">
        <v>1</v>
      </c>
      <c r="M115" s="32">
        <v>3</v>
      </c>
    </row>
    <row r="116" spans="1:13">
      <c r="A116" s="32">
        <f t="shared" ca="1" si="1"/>
        <v>145</v>
      </c>
      <c r="B116" s="32" cm="1">
        <f t="array" aca="1" ref="B116" ca="1">INDEX(Data_DBD!$B:$B,$A116)</f>
        <v>28</v>
      </c>
      <c r="C116" s="32" cm="1">
        <f t="array" aca="1" ref="C116" ca="1">INDEX(Data_DBD!$C:$C,$A116)</f>
        <v>4</v>
      </c>
      <c r="D116" s="32" cm="1">
        <f t="array" aca="1" ref="D116" ca="1">INDEX(Data_DBD!$D:$D,$A116)</f>
        <v>21</v>
      </c>
      <c r="E116" s="32" cm="1">
        <f t="array" aca="1" ref="E116" ca="1">INDEX(Data_DBD!$E:$E,$A116)</f>
        <v>1</v>
      </c>
      <c r="F116" s="32" cm="1">
        <f t="array" aca="1" ref="F116" ca="1">INDEX(Data_DBD!$F:$F,$A116)</f>
        <v>3</v>
      </c>
      <c r="H116" s="32">
        <v>163</v>
      </c>
      <c r="I116" s="32">
        <v>34</v>
      </c>
      <c r="J116" s="32">
        <v>4</v>
      </c>
      <c r="K116" s="32">
        <v>3</v>
      </c>
      <c r="L116" s="32">
        <v>1</v>
      </c>
      <c r="M116" s="32">
        <v>1</v>
      </c>
    </row>
    <row r="117" spans="1:13">
      <c r="A117" s="32">
        <f t="shared" ca="1" si="1"/>
        <v>99</v>
      </c>
      <c r="B117" s="32" cm="1">
        <f t="array" aca="1" ref="B117" ca="1">INDEX(Data_DBD!$B:$B,$A117)</f>
        <v>4</v>
      </c>
      <c r="C117" s="32" cm="1">
        <f t="array" aca="1" ref="C117" ca="1">INDEX(Data_DBD!$C:$C,$A117)</f>
        <v>2</v>
      </c>
      <c r="D117" s="32" cm="1">
        <f t="array" aca="1" ref="D117" ca="1">INDEX(Data_DBD!$D:$D,$A117)</f>
        <v>18</v>
      </c>
      <c r="E117" s="32" cm="1">
        <f t="array" aca="1" ref="E117" ca="1">INDEX(Data_DBD!$E:$E,$A117)</f>
        <v>1</v>
      </c>
      <c r="F117" s="32" cm="1">
        <f t="array" aca="1" ref="F117" ca="1">INDEX(Data_DBD!$F:$F,$A117)</f>
        <v>3</v>
      </c>
      <c r="H117" s="32">
        <v>153</v>
      </c>
      <c r="I117" s="32">
        <v>73</v>
      </c>
      <c r="J117" s="32">
        <v>7</v>
      </c>
      <c r="K117" s="32">
        <v>21</v>
      </c>
      <c r="L117" s="32">
        <v>1</v>
      </c>
      <c r="M117" s="32">
        <v>3</v>
      </c>
    </row>
    <row r="118" spans="1:13">
      <c r="A118" s="32">
        <f t="shared" ca="1" si="1"/>
        <v>148</v>
      </c>
      <c r="B118" s="32" cm="1">
        <f t="array" aca="1" ref="B118" ca="1">INDEX(Data_DBD!$B:$B,$A118)</f>
        <v>55</v>
      </c>
      <c r="C118" s="32" cm="1">
        <f t="array" aca="1" ref="C118" ca="1">INDEX(Data_DBD!$C:$C,$A118)</f>
        <v>3</v>
      </c>
      <c r="D118" s="32" cm="1">
        <f t="array" aca="1" ref="D118" ca="1">INDEX(Data_DBD!$D:$D,$A118)</f>
        <v>21</v>
      </c>
      <c r="E118" s="32" cm="1">
        <f t="array" aca="1" ref="E118" ca="1">INDEX(Data_DBD!$E:$E,$A118)</f>
        <v>1</v>
      </c>
      <c r="F118" s="32" cm="1">
        <f t="array" aca="1" ref="F118" ca="1">INDEX(Data_DBD!$F:$F,$A118)</f>
        <v>3</v>
      </c>
      <c r="H118" s="32">
        <v>130</v>
      </c>
      <c r="I118" s="32">
        <v>12</v>
      </c>
      <c r="J118" s="32">
        <v>4</v>
      </c>
      <c r="K118" s="32">
        <v>33</v>
      </c>
      <c r="L118" s="32">
        <v>0</v>
      </c>
      <c r="M118" s="32">
        <v>3</v>
      </c>
    </row>
    <row r="119" spans="1:13">
      <c r="A119" s="32">
        <f t="shared" ca="1" si="1"/>
        <v>120</v>
      </c>
      <c r="B119" s="32" cm="1">
        <f t="array" aca="1" ref="B119" ca="1">INDEX(Data_DBD!$B:$B,$A119)</f>
        <v>26</v>
      </c>
      <c r="C119" s="32" cm="1">
        <f t="array" aca="1" ref="C119" ca="1">INDEX(Data_DBD!$C:$C,$A119)</f>
        <v>4</v>
      </c>
      <c r="D119" s="32" cm="1">
        <f t="array" aca="1" ref="D119" ca="1">INDEX(Data_DBD!$D:$D,$A119)</f>
        <v>33</v>
      </c>
      <c r="E119" s="32" cm="1">
        <f t="array" aca="1" ref="E119" ca="1">INDEX(Data_DBD!$E:$E,$A119)</f>
        <v>1</v>
      </c>
      <c r="F119" s="32" cm="1">
        <f t="array" aca="1" ref="F119" ca="1">INDEX(Data_DBD!$F:$F,$A119)</f>
        <v>3</v>
      </c>
      <c r="H119" s="32">
        <v>161</v>
      </c>
      <c r="I119" s="32">
        <v>12</v>
      </c>
      <c r="J119" s="32">
        <v>3</v>
      </c>
      <c r="K119" s="32">
        <v>21</v>
      </c>
      <c r="L119" s="32">
        <v>1</v>
      </c>
      <c r="M119" s="32">
        <v>3</v>
      </c>
    </row>
    <row r="120" spans="1:13">
      <c r="A120" s="32">
        <f t="shared" ca="1" si="1"/>
        <v>80</v>
      </c>
      <c r="B120" s="32" cm="1">
        <f t="array" aca="1" ref="B120" ca="1">INDEX(Data_DBD!$B:$B,$A120)</f>
        <v>27</v>
      </c>
      <c r="C120" s="32" cm="1">
        <f t="array" aca="1" ref="C120" ca="1">INDEX(Data_DBD!$C:$C,$A120)</f>
        <v>3</v>
      </c>
      <c r="D120" s="32" cm="1">
        <f t="array" aca="1" ref="D120" ca="1">INDEX(Data_DBD!$D:$D,$A120)</f>
        <v>13</v>
      </c>
      <c r="E120" s="32" cm="1">
        <f t="array" aca="1" ref="E120" ca="1">INDEX(Data_DBD!$E:$E,$A120)</f>
        <v>1</v>
      </c>
      <c r="F120" s="32" cm="1">
        <f t="array" aca="1" ref="F120" ca="1">INDEX(Data_DBD!$F:$F,$A120)</f>
        <v>2</v>
      </c>
      <c r="H120" s="32">
        <v>60</v>
      </c>
      <c r="I120" s="32">
        <v>68</v>
      </c>
      <c r="J120" s="32">
        <v>4</v>
      </c>
      <c r="K120" s="32">
        <v>15</v>
      </c>
      <c r="L120" s="32">
        <v>0</v>
      </c>
      <c r="M120" s="32">
        <v>2</v>
      </c>
    </row>
    <row r="121" spans="1:13">
      <c r="A121" s="32">
        <f t="shared" ca="1" si="1"/>
        <v>151</v>
      </c>
      <c r="B121" s="32" cm="1">
        <f t="array" aca="1" ref="B121" ca="1">INDEX(Data_DBD!$B:$B,$A121)</f>
        <v>24</v>
      </c>
      <c r="C121" s="32" cm="1">
        <f t="array" aca="1" ref="C121" ca="1">INDEX(Data_DBD!$C:$C,$A121)</f>
        <v>3</v>
      </c>
      <c r="D121" s="32" cm="1">
        <f t="array" aca="1" ref="D121" ca="1">INDEX(Data_DBD!$D:$D,$A121)</f>
        <v>21</v>
      </c>
      <c r="E121" s="32" cm="1">
        <f t="array" aca="1" ref="E121" ca="1">INDEX(Data_DBD!$E:$E,$A121)</f>
        <v>0</v>
      </c>
      <c r="F121" s="32" cm="1">
        <f t="array" aca="1" ref="F121" ca="1">INDEX(Data_DBD!$F:$F,$A121)</f>
        <v>3</v>
      </c>
      <c r="H121" s="32">
        <v>54</v>
      </c>
      <c r="I121" s="32">
        <v>7</v>
      </c>
      <c r="J121" s="32">
        <v>3</v>
      </c>
      <c r="K121" s="32">
        <v>15</v>
      </c>
      <c r="L121" s="32">
        <v>0</v>
      </c>
      <c r="M121" s="32">
        <v>2</v>
      </c>
    </row>
    <row r="122" spans="1:13">
      <c r="A122" s="32">
        <f t="shared" ca="1" si="1"/>
        <v>59</v>
      </c>
      <c r="B122" s="32" cm="1">
        <f t="array" aca="1" ref="B122" ca="1">INDEX(Data_DBD!$B:$B,$A122)</f>
        <v>28</v>
      </c>
      <c r="C122" s="32" cm="1">
        <f t="array" aca="1" ref="C122" ca="1">INDEX(Data_DBD!$C:$C,$A122)</f>
        <v>4</v>
      </c>
      <c r="D122" s="32" cm="1">
        <f t="array" aca="1" ref="D122" ca="1">INDEX(Data_DBD!$D:$D,$A122)</f>
        <v>15</v>
      </c>
      <c r="E122" s="32" cm="1">
        <f t="array" aca="1" ref="E122" ca="1">INDEX(Data_DBD!$E:$E,$A122)</f>
        <v>0</v>
      </c>
      <c r="F122" s="32" cm="1">
        <f t="array" aca="1" ref="F122" ca="1">INDEX(Data_DBD!$F:$F,$A122)</f>
        <v>2</v>
      </c>
      <c r="H122" s="32">
        <v>19</v>
      </c>
      <c r="I122" s="32">
        <v>8</v>
      </c>
      <c r="J122" s="32">
        <v>4</v>
      </c>
      <c r="K122" s="32">
        <v>7</v>
      </c>
      <c r="L122" s="32">
        <v>0</v>
      </c>
      <c r="M122" s="32">
        <v>1</v>
      </c>
    </row>
    <row r="123" spans="1:13">
      <c r="A123" s="32">
        <f t="shared" ca="1" si="1"/>
        <v>9</v>
      </c>
      <c r="B123" s="32" cm="1">
        <f t="array" aca="1" ref="B123" ca="1">INDEX(Data_DBD!$B:$B,$A123)</f>
        <v>16</v>
      </c>
      <c r="C123" s="32" cm="1">
        <f t="array" aca="1" ref="C123" ca="1">INDEX(Data_DBD!$C:$C,$A123)</f>
        <v>6</v>
      </c>
      <c r="D123" s="32" cm="1">
        <f t="array" aca="1" ref="D123" ca="1">INDEX(Data_DBD!$D:$D,$A123)</f>
        <v>12</v>
      </c>
      <c r="E123" s="32" cm="1">
        <f t="array" aca="1" ref="E123" ca="1">INDEX(Data_DBD!$E:$E,$A123)</f>
        <v>1</v>
      </c>
      <c r="F123" s="32" cm="1">
        <f t="array" aca="1" ref="F123" ca="1">INDEX(Data_DBD!$F:$F,$A123)</f>
        <v>2</v>
      </c>
      <c r="H123" s="32">
        <v>102</v>
      </c>
      <c r="I123" s="32">
        <v>41</v>
      </c>
      <c r="J123" s="32">
        <v>4</v>
      </c>
      <c r="K123" s="32">
        <v>18</v>
      </c>
      <c r="L123" s="32">
        <v>0</v>
      </c>
      <c r="M123" s="32">
        <v>3</v>
      </c>
    </row>
    <row r="124" spans="1:13">
      <c r="A124" s="32">
        <f t="shared" ca="1" si="1"/>
        <v>148</v>
      </c>
      <c r="B124" s="32" cm="1">
        <f t="array" aca="1" ref="B124" ca="1">INDEX(Data_DBD!$B:$B,$A124)</f>
        <v>55</v>
      </c>
      <c r="C124" s="32" cm="1">
        <f t="array" aca="1" ref="C124" ca="1">INDEX(Data_DBD!$C:$C,$A124)</f>
        <v>3</v>
      </c>
      <c r="D124" s="32" cm="1">
        <f t="array" aca="1" ref="D124" ca="1">INDEX(Data_DBD!$D:$D,$A124)</f>
        <v>21</v>
      </c>
      <c r="E124" s="32" cm="1">
        <f t="array" aca="1" ref="E124" ca="1">INDEX(Data_DBD!$E:$E,$A124)</f>
        <v>1</v>
      </c>
      <c r="F124" s="32" cm="1">
        <f t="array" aca="1" ref="F124" ca="1">INDEX(Data_DBD!$F:$F,$A124)</f>
        <v>3</v>
      </c>
      <c r="H124" s="32">
        <v>21</v>
      </c>
      <c r="I124" s="32">
        <v>10</v>
      </c>
      <c r="J124" s="32">
        <v>5</v>
      </c>
      <c r="K124" s="32">
        <v>14</v>
      </c>
      <c r="L124" s="32">
        <v>1</v>
      </c>
      <c r="M124" s="32">
        <v>2</v>
      </c>
    </row>
    <row r="125" spans="1:13">
      <c r="A125" s="32">
        <f t="shared" ca="1" si="1"/>
        <v>22</v>
      </c>
      <c r="B125" s="32" cm="1">
        <f t="array" aca="1" ref="B125" ca="1">INDEX(Data_DBD!$B:$B,$A125)</f>
        <v>6</v>
      </c>
      <c r="C125" s="32" cm="1">
        <f t="array" aca="1" ref="C125" ca="1">INDEX(Data_DBD!$C:$C,$A125)</f>
        <v>3</v>
      </c>
      <c r="D125" s="32" cm="1">
        <f t="array" aca="1" ref="D125" ca="1">INDEX(Data_DBD!$D:$D,$A125)</f>
        <v>14</v>
      </c>
      <c r="E125" s="32" cm="1">
        <f t="array" aca="1" ref="E125" ca="1">INDEX(Data_DBD!$E:$E,$A125)</f>
        <v>0</v>
      </c>
      <c r="F125" s="32" cm="1">
        <f t="array" aca="1" ref="F125" ca="1">INDEX(Data_DBD!$F:$F,$A125)</f>
        <v>2</v>
      </c>
      <c r="H125" s="32">
        <v>145</v>
      </c>
      <c r="I125" s="32">
        <v>28</v>
      </c>
      <c r="J125" s="32">
        <v>4</v>
      </c>
      <c r="K125" s="32">
        <v>21</v>
      </c>
      <c r="L125" s="32">
        <v>1</v>
      </c>
      <c r="M125" s="32">
        <v>3</v>
      </c>
    </row>
    <row r="126" spans="1:13">
      <c r="A126" s="32">
        <f t="shared" ca="1" si="1"/>
        <v>88</v>
      </c>
      <c r="B126" s="32" cm="1">
        <f t="array" aca="1" ref="B126" ca="1">INDEX(Data_DBD!$B:$B,$A126)</f>
        <v>20</v>
      </c>
      <c r="C126" s="32" cm="1">
        <f t="array" aca="1" ref="C126" ca="1">INDEX(Data_DBD!$C:$C,$A126)</f>
        <v>4</v>
      </c>
      <c r="D126" s="32" cm="1">
        <f t="array" aca="1" ref="D126" ca="1">INDEX(Data_DBD!$D:$D,$A126)</f>
        <v>13</v>
      </c>
      <c r="E126" s="32" cm="1">
        <f t="array" aca="1" ref="E126" ca="1">INDEX(Data_DBD!$E:$E,$A126)</f>
        <v>1</v>
      </c>
      <c r="F126" s="32" cm="1">
        <f t="array" aca="1" ref="F126" ca="1">INDEX(Data_DBD!$F:$F,$A126)</f>
        <v>2</v>
      </c>
      <c r="H126" s="32">
        <v>117</v>
      </c>
      <c r="I126" s="32">
        <v>49</v>
      </c>
      <c r="J126" s="32">
        <v>4</v>
      </c>
      <c r="K126" s="32">
        <v>33</v>
      </c>
      <c r="L126" s="32">
        <v>1</v>
      </c>
      <c r="M126" s="32">
        <v>3</v>
      </c>
    </row>
    <row r="127" spans="1:13">
      <c r="A127" s="32">
        <f t="shared" ca="1" si="1"/>
        <v>90</v>
      </c>
      <c r="B127" s="32" cm="1">
        <f t="array" aca="1" ref="B127" ca="1">INDEX(Data_DBD!$B:$B,$A127)</f>
        <v>47</v>
      </c>
      <c r="C127" s="32" cm="1">
        <f t="array" aca="1" ref="C127" ca="1">INDEX(Data_DBD!$C:$C,$A127)</f>
        <v>3</v>
      </c>
      <c r="D127" s="32" cm="1">
        <f t="array" aca="1" ref="D127" ca="1">INDEX(Data_DBD!$D:$D,$A127)</f>
        <v>18</v>
      </c>
      <c r="E127" s="32" cm="1">
        <f t="array" aca="1" ref="E127" ca="1">INDEX(Data_DBD!$E:$E,$A127)</f>
        <v>0</v>
      </c>
      <c r="F127" s="32" cm="1">
        <f t="array" aca="1" ref="F127" ca="1">INDEX(Data_DBD!$F:$F,$A127)</f>
        <v>3</v>
      </c>
      <c r="H127" s="32">
        <v>152</v>
      </c>
      <c r="I127" s="32">
        <v>47</v>
      </c>
      <c r="J127" s="32">
        <v>3</v>
      </c>
      <c r="K127" s="32">
        <v>21</v>
      </c>
      <c r="L127" s="32">
        <v>1</v>
      </c>
      <c r="M127" s="32">
        <v>3</v>
      </c>
    </row>
    <row r="128" spans="1:13">
      <c r="A128" s="32">
        <f t="shared" ca="1" si="1"/>
        <v>62</v>
      </c>
      <c r="B128" s="32" cm="1">
        <f t="array" aca="1" ref="B128" ca="1">INDEX(Data_DBD!$B:$B,$A128)</f>
        <v>43</v>
      </c>
      <c r="C128" s="32" cm="1">
        <f t="array" aca="1" ref="C128" ca="1">INDEX(Data_DBD!$C:$C,$A128)</f>
        <v>4</v>
      </c>
      <c r="D128" s="32" cm="1">
        <f t="array" aca="1" ref="D128" ca="1">INDEX(Data_DBD!$D:$D,$A128)</f>
        <v>15</v>
      </c>
      <c r="E128" s="32" cm="1">
        <f t="array" aca="1" ref="E128" ca="1">INDEX(Data_DBD!$E:$E,$A128)</f>
        <v>1</v>
      </c>
      <c r="F128" s="32" cm="1">
        <f t="array" aca="1" ref="F128" ca="1">INDEX(Data_DBD!$F:$F,$A128)</f>
        <v>2</v>
      </c>
      <c r="H128" s="32">
        <v>71</v>
      </c>
      <c r="I128" s="32">
        <v>84</v>
      </c>
      <c r="J128" s="32">
        <v>3</v>
      </c>
      <c r="K128" s="32">
        <v>10</v>
      </c>
      <c r="L128" s="32">
        <v>0</v>
      </c>
      <c r="M128" s="32">
        <v>2</v>
      </c>
    </row>
    <row r="129" spans="1:13">
      <c r="A129" s="32">
        <f t="shared" ca="1" si="1"/>
        <v>118</v>
      </c>
      <c r="B129" s="32" cm="1">
        <f t="array" aca="1" ref="B129" ca="1">INDEX(Data_DBD!$B:$B,$A129)</f>
        <v>67</v>
      </c>
      <c r="C129" s="32" cm="1">
        <f t="array" aca="1" ref="C129" ca="1">INDEX(Data_DBD!$C:$C,$A129)</f>
        <v>4</v>
      </c>
      <c r="D129" s="32" cm="1">
        <f t="array" aca="1" ref="D129" ca="1">INDEX(Data_DBD!$D:$D,$A129)</f>
        <v>33</v>
      </c>
      <c r="E129" s="32" cm="1">
        <f t="array" aca="1" ref="E129" ca="1">INDEX(Data_DBD!$E:$E,$A129)</f>
        <v>1</v>
      </c>
      <c r="F129" s="32" cm="1">
        <f t="array" aca="1" ref="F129" ca="1">INDEX(Data_DBD!$F:$F,$A129)</f>
        <v>3</v>
      </c>
      <c r="H129" s="32">
        <v>46</v>
      </c>
      <c r="I129" s="32">
        <v>62</v>
      </c>
      <c r="J129" s="32">
        <v>2</v>
      </c>
      <c r="K129" s="32">
        <v>13</v>
      </c>
      <c r="L129" s="32">
        <v>0</v>
      </c>
      <c r="M129" s="32">
        <v>2</v>
      </c>
    </row>
    <row r="130" spans="1:13">
      <c r="A130" s="32">
        <f t="shared" ca="1" si="1"/>
        <v>21</v>
      </c>
      <c r="B130" s="32" cm="1">
        <f t="array" aca="1" ref="B130" ca="1">INDEX(Data_DBD!$B:$B,$A130)</f>
        <v>10</v>
      </c>
      <c r="C130" s="32" cm="1">
        <f t="array" aca="1" ref="C130" ca="1">INDEX(Data_DBD!$C:$C,$A130)</f>
        <v>5</v>
      </c>
      <c r="D130" s="32" cm="1">
        <f t="array" aca="1" ref="D130" ca="1">INDEX(Data_DBD!$D:$D,$A130)</f>
        <v>14</v>
      </c>
      <c r="E130" s="32" cm="1">
        <f t="array" aca="1" ref="E130" ca="1">INDEX(Data_DBD!$E:$E,$A130)</f>
        <v>1</v>
      </c>
      <c r="F130" s="32" cm="1">
        <f t="array" aca="1" ref="F130" ca="1">INDEX(Data_DBD!$F:$F,$A130)</f>
        <v>2</v>
      </c>
      <c r="H130" s="32">
        <v>24</v>
      </c>
      <c r="I130" s="32">
        <v>60</v>
      </c>
      <c r="J130" s="32">
        <v>4</v>
      </c>
      <c r="K130" s="32">
        <v>14</v>
      </c>
      <c r="L130" s="32">
        <v>0</v>
      </c>
      <c r="M130" s="32">
        <v>2</v>
      </c>
    </row>
    <row r="131" spans="1:13">
      <c r="A131" s="32">
        <f t="shared" ref="A131:A164" ca="1" si="2">RANDBETWEEN(2,164)</f>
        <v>116</v>
      </c>
      <c r="B131" s="32" cm="1">
        <f t="array" aca="1" ref="B131" ca="1">INDEX(Data_DBD!$B:$B,$A131)</f>
        <v>32</v>
      </c>
      <c r="C131" s="32" cm="1">
        <f t="array" aca="1" ref="C131" ca="1">INDEX(Data_DBD!$C:$C,$A131)</f>
        <v>4</v>
      </c>
      <c r="D131" s="32" cm="1">
        <f t="array" aca="1" ref="D131" ca="1">INDEX(Data_DBD!$D:$D,$A131)</f>
        <v>33</v>
      </c>
      <c r="E131" s="32" cm="1">
        <f t="array" aca="1" ref="E131" ca="1">INDEX(Data_DBD!$E:$E,$A131)</f>
        <v>1</v>
      </c>
      <c r="F131" s="32" cm="1">
        <f t="array" aca="1" ref="F131" ca="1">INDEX(Data_DBD!$F:$F,$A131)</f>
        <v>3</v>
      </c>
      <c r="H131" s="32">
        <v>95</v>
      </c>
      <c r="I131" s="32">
        <v>11</v>
      </c>
      <c r="J131" s="32">
        <v>3</v>
      </c>
      <c r="K131" s="32">
        <v>18</v>
      </c>
      <c r="L131" s="32">
        <v>1</v>
      </c>
      <c r="M131" s="32">
        <v>3</v>
      </c>
    </row>
    <row r="132" spans="1:13">
      <c r="A132" s="32">
        <f t="shared" ca="1" si="2"/>
        <v>98</v>
      </c>
      <c r="B132" s="32" cm="1">
        <f t="array" aca="1" ref="B132" ca="1">INDEX(Data_DBD!$B:$B,$A132)</f>
        <v>16</v>
      </c>
      <c r="C132" s="32" cm="1">
        <f t="array" aca="1" ref="C132" ca="1">INDEX(Data_DBD!$C:$C,$A132)</f>
        <v>2</v>
      </c>
      <c r="D132" s="32" cm="1">
        <f t="array" aca="1" ref="D132" ca="1">INDEX(Data_DBD!$D:$D,$A132)</f>
        <v>18</v>
      </c>
      <c r="E132" s="32" cm="1">
        <f t="array" aca="1" ref="E132" ca="1">INDEX(Data_DBD!$E:$E,$A132)</f>
        <v>1</v>
      </c>
      <c r="F132" s="32" cm="1">
        <f t="array" aca="1" ref="F132" ca="1">INDEX(Data_DBD!$F:$F,$A132)</f>
        <v>3</v>
      </c>
      <c r="H132" s="32">
        <v>87</v>
      </c>
      <c r="I132" s="32">
        <v>21</v>
      </c>
      <c r="J132" s="32">
        <v>3</v>
      </c>
      <c r="K132" s="32">
        <v>13</v>
      </c>
      <c r="L132" s="32">
        <v>0</v>
      </c>
      <c r="M132" s="32">
        <v>2</v>
      </c>
    </row>
    <row r="133" spans="1:13">
      <c r="A133" s="32">
        <f t="shared" ca="1" si="2"/>
        <v>58</v>
      </c>
      <c r="B133" s="32" cm="1">
        <f t="array" aca="1" ref="B133" ca="1">INDEX(Data_DBD!$B:$B,$A133)</f>
        <v>17</v>
      </c>
      <c r="C133" s="32" cm="1">
        <f t="array" aca="1" ref="C133" ca="1">INDEX(Data_DBD!$C:$C,$A133)</f>
        <v>3</v>
      </c>
      <c r="D133" s="32" cm="1">
        <f t="array" aca="1" ref="D133" ca="1">INDEX(Data_DBD!$D:$D,$A133)</f>
        <v>15</v>
      </c>
      <c r="E133" s="32" cm="1">
        <f t="array" aca="1" ref="E133" ca="1">INDEX(Data_DBD!$E:$E,$A133)</f>
        <v>0</v>
      </c>
      <c r="F133" s="32" cm="1">
        <f t="array" aca="1" ref="F133" ca="1">INDEX(Data_DBD!$F:$F,$A133)</f>
        <v>2</v>
      </c>
      <c r="H133" s="32">
        <v>13</v>
      </c>
      <c r="I133" s="32">
        <v>47</v>
      </c>
      <c r="J133" s="32">
        <v>2</v>
      </c>
      <c r="K133" s="32">
        <v>12</v>
      </c>
      <c r="L133" s="32">
        <v>0</v>
      </c>
      <c r="M133" s="32">
        <v>2</v>
      </c>
    </row>
    <row r="134" spans="1:13">
      <c r="A134" s="32">
        <f t="shared" ca="1" si="2"/>
        <v>98</v>
      </c>
      <c r="B134" s="32" cm="1">
        <f t="array" aca="1" ref="B134" ca="1">INDEX(Data_DBD!$B:$B,$A134)</f>
        <v>16</v>
      </c>
      <c r="C134" s="32" cm="1">
        <f t="array" aca="1" ref="C134" ca="1">INDEX(Data_DBD!$C:$C,$A134)</f>
        <v>2</v>
      </c>
      <c r="D134" s="32" cm="1">
        <f t="array" aca="1" ref="D134" ca="1">INDEX(Data_DBD!$D:$D,$A134)</f>
        <v>18</v>
      </c>
      <c r="E134" s="32" cm="1">
        <f t="array" aca="1" ref="E134" ca="1">INDEX(Data_DBD!$E:$E,$A134)</f>
        <v>1</v>
      </c>
      <c r="F134" s="32" cm="1">
        <f t="array" aca="1" ref="F134" ca="1">INDEX(Data_DBD!$F:$F,$A134)</f>
        <v>3</v>
      </c>
      <c r="H134" s="32">
        <v>59</v>
      </c>
      <c r="I134" s="32">
        <v>28</v>
      </c>
      <c r="J134" s="32">
        <v>4</v>
      </c>
      <c r="K134" s="32">
        <v>15</v>
      </c>
      <c r="L134" s="32">
        <v>0</v>
      </c>
      <c r="M134" s="32">
        <v>2</v>
      </c>
    </row>
    <row r="135" spans="1:13">
      <c r="A135" s="32">
        <f t="shared" ca="1" si="2"/>
        <v>134</v>
      </c>
      <c r="B135" s="32" cm="1">
        <f t="array" aca="1" ref="B135" ca="1">INDEX(Data_DBD!$B:$B,$A135)</f>
        <v>4</v>
      </c>
      <c r="C135" s="32" cm="1">
        <f t="array" aca="1" ref="C135" ca="1">INDEX(Data_DBD!$C:$C,$A135)</f>
        <v>2</v>
      </c>
      <c r="D135" s="32" cm="1">
        <f t="array" aca="1" ref="D135" ca="1">INDEX(Data_DBD!$D:$D,$A135)</f>
        <v>33</v>
      </c>
      <c r="E135" s="32" cm="1">
        <f t="array" aca="1" ref="E135" ca="1">INDEX(Data_DBD!$E:$E,$A135)</f>
        <v>1</v>
      </c>
      <c r="F135" s="32" cm="1">
        <f t="array" aca="1" ref="F135" ca="1">INDEX(Data_DBD!$F:$F,$A135)</f>
        <v>3</v>
      </c>
      <c r="H135" s="32">
        <v>63</v>
      </c>
      <c r="I135" s="32">
        <v>25</v>
      </c>
      <c r="J135" s="32">
        <v>3</v>
      </c>
      <c r="K135" s="32">
        <v>15</v>
      </c>
      <c r="L135" s="32">
        <v>0</v>
      </c>
      <c r="M135" s="32">
        <v>2</v>
      </c>
    </row>
    <row r="136" spans="1:13">
      <c r="A136" s="32">
        <f t="shared" ca="1" si="2"/>
        <v>135</v>
      </c>
      <c r="B136" s="32" cm="1">
        <f t="array" aca="1" ref="B136" ca="1">INDEX(Data_DBD!$B:$B,$A136)</f>
        <v>10</v>
      </c>
      <c r="C136" s="32" cm="1">
        <f t="array" aca="1" ref="C136" ca="1">INDEX(Data_DBD!$C:$C,$A136)</f>
        <v>2</v>
      </c>
      <c r="D136" s="32" cm="1">
        <f t="array" aca="1" ref="D136" ca="1">INDEX(Data_DBD!$D:$D,$A136)</f>
        <v>33</v>
      </c>
      <c r="E136" s="32" cm="1">
        <f t="array" aca="1" ref="E136" ca="1">INDEX(Data_DBD!$E:$E,$A136)</f>
        <v>0</v>
      </c>
      <c r="F136" s="32" cm="1">
        <f t="array" aca="1" ref="F136" ca="1">INDEX(Data_DBD!$F:$F,$A136)</f>
        <v>3</v>
      </c>
      <c r="H136" s="32">
        <v>20</v>
      </c>
      <c r="I136" s="32">
        <v>15</v>
      </c>
      <c r="J136" s="32">
        <v>5</v>
      </c>
      <c r="K136" s="32">
        <v>7</v>
      </c>
      <c r="L136" s="32">
        <v>0</v>
      </c>
      <c r="M136" s="32">
        <v>1</v>
      </c>
    </row>
    <row r="137" spans="1:13">
      <c r="A137" s="32">
        <f t="shared" ca="1" si="2"/>
        <v>17</v>
      </c>
      <c r="B137" s="32" cm="1">
        <f t="array" aca="1" ref="B137" ca="1">INDEX(Data_DBD!$B:$B,$A137)</f>
        <v>2</v>
      </c>
      <c r="C137" s="32" cm="1">
        <f t="array" aca="1" ref="C137" ca="1">INDEX(Data_DBD!$C:$C,$A137)</f>
        <v>3</v>
      </c>
      <c r="D137" s="32" cm="1">
        <f t="array" aca="1" ref="D137" ca="1">INDEX(Data_DBD!$D:$D,$A137)</f>
        <v>7</v>
      </c>
      <c r="E137" s="32" cm="1">
        <f t="array" aca="1" ref="E137" ca="1">INDEX(Data_DBD!$E:$E,$A137)</f>
        <v>0</v>
      </c>
      <c r="F137" s="32" cm="1">
        <f t="array" aca="1" ref="F137" ca="1">INDEX(Data_DBD!$F:$F,$A137)</f>
        <v>1</v>
      </c>
      <c r="H137" s="32">
        <v>120</v>
      </c>
      <c r="I137" s="32">
        <v>26</v>
      </c>
      <c r="J137" s="32">
        <v>4</v>
      </c>
      <c r="K137" s="32">
        <v>33</v>
      </c>
      <c r="L137" s="32">
        <v>1</v>
      </c>
      <c r="M137" s="32">
        <v>3</v>
      </c>
    </row>
    <row r="138" spans="1:13">
      <c r="A138" s="32">
        <f t="shared" ca="1" si="2"/>
        <v>126</v>
      </c>
      <c r="B138" s="32" cm="1">
        <f t="array" aca="1" ref="B138" ca="1">INDEX(Data_DBD!$B:$B,$A138)</f>
        <v>51</v>
      </c>
      <c r="C138" s="32" cm="1">
        <f t="array" aca="1" ref="C138" ca="1">INDEX(Data_DBD!$C:$C,$A138)</f>
        <v>3</v>
      </c>
      <c r="D138" s="32" cm="1">
        <f t="array" aca="1" ref="D138" ca="1">INDEX(Data_DBD!$D:$D,$A138)</f>
        <v>33</v>
      </c>
      <c r="E138" s="32" cm="1">
        <f t="array" aca="1" ref="E138" ca="1">INDEX(Data_DBD!$E:$E,$A138)</f>
        <v>1</v>
      </c>
      <c r="F138" s="32" cm="1">
        <f t="array" aca="1" ref="F138" ca="1">INDEX(Data_DBD!$F:$F,$A138)</f>
        <v>3</v>
      </c>
      <c r="H138" s="32">
        <v>52</v>
      </c>
      <c r="I138" s="32">
        <v>59</v>
      </c>
      <c r="J138" s="32">
        <v>4</v>
      </c>
      <c r="K138" s="32">
        <v>15</v>
      </c>
      <c r="L138" s="32">
        <v>1</v>
      </c>
      <c r="M138" s="32">
        <v>2</v>
      </c>
    </row>
    <row r="139" spans="1:13">
      <c r="A139" s="32">
        <f t="shared" ca="1" si="2"/>
        <v>112</v>
      </c>
      <c r="B139" s="32" cm="1">
        <f t="array" aca="1" ref="B139" ca="1">INDEX(Data_DBD!$B:$B,$A139)</f>
        <v>61</v>
      </c>
      <c r="C139" s="32" cm="1">
        <f t="array" aca="1" ref="C139" ca="1">INDEX(Data_DBD!$C:$C,$A139)</f>
        <v>3</v>
      </c>
      <c r="D139" s="32" cm="1">
        <f t="array" aca="1" ref="D139" ca="1">INDEX(Data_DBD!$D:$D,$A139)</f>
        <v>33</v>
      </c>
      <c r="E139" s="32" cm="1">
        <f t="array" aca="1" ref="E139" ca="1">INDEX(Data_DBD!$E:$E,$A139)</f>
        <v>1</v>
      </c>
      <c r="F139" s="32" cm="1">
        <f t="array" aca="1" ref="F139" ca="1">INDEX(Data_DBD!$F:$F,$A139)</f>
        <v>3</v>
      </c>
      <c r="H139" s="32">
        <v>48</v>
      </c>
      <c r="I139" s="32">
        <v>50</v>
      </c>
      <c r="J139" s="32">
        <v>5</v>
      </c>
      <c r="K139" s="32">
        <v>13</v>
      </c>
      <c r="L139" s="32">
        <v>1</v>
      </c>
      <c r="M139" s="32">
        <v>2</v>
      </c>
    </row>
    <row r="140" spans="1:13">
      <c r="A140" s="32">
        <f t="shared" ca="1" si="2"/>
        <v>71</v>
      </c>
      <c r="B140" s="32" cm="1">
        <f t="array" aca="1" ref="B140" ca="1">INDEX(Data_DBD!$B:$B,$A140)</f>
        <v>84</v>
      </c>
      <c r="C140" s="32" cm="1">
        <f t="array" aca="1" ref="C140" ca="1">INDEX(Data_DBD!$C:$C,$A140)</f>
        <v>3</v>
      </c>
      <c r="D140" s="32" cm="1">
        <f t="array" aca="1" ref="D140" ca="1">INDEX(Data_DBD!$D:$D,$A140)</f>
        <v>10</v>
      </c>
      <c r="E140" s="32" cm="1">
        <f t="array" aca="1" ref="E140" ca="1">INDEX(Data_DBD!$E:$E,$A140)</f>
        <v>0</v>
      </c>
      <c r="F140" s="32" cm="1">
        <f t="array" aca="1" ref="F140" ca="1">INDEX(Data_DBD!$F:$F,$A140)</f>
        <v>2</v>
      </c>
      <c r="H140" s="32">
        <v>112</v>
      </c>
      <c r="I140" s="32">
        <v>61</v>
      </c>
      <c r="J140" s="32">
        <v>3</v>
      </c>
      <c r="K140" s="32">
        <v>33</v>
      </c>
      <c r="L140" s="32">
        <v>1</v>
      </c>
      <c r="M140" s="32">
        <v>3</v>
      </c>
    </row>
    <row r="141" spans="1:13">
      <c r="A141" s="32">
        <f t="shared" ca="1" si="2"/>
        <v>70</v>
      </c>
      <c r="B141" s="32" cm="1">
        <f t="array" aca="1" ref="B141" ca="1">INDEX(Data_DBD!$B:$B,$A141)</f>
        <v>26</v>
      </c>
      <c r="C141" s="32" cm="1">
        <f t="array" aca="1" ref="C141" ca="1">INDEX(Data_DBD!$C:$C,$A141)</f>
        <v>3</v>
      </c>
      <c r="D141" s="32" cm="1">
        <f t="array" aca="1" ref="D141" ca="1">INDEX(Data_DBD!$D:$D,$A141)</f>
        <v>10</v>
      </c>
      <c r="E141" s="32" cm="1">
        <f t="array" aca="1" ref="E141" ca="1">INDEX(Data_DBD!$E:$E,$A141)</f>
        <v>1</v>
      </c>
      <c r="F141" s="32" cm="1">
        <f t="array" aca="1" ref="F141" ca="1">INDEX(Data_DBD!$F:$F,$A141)</f>
        <v>2</v>
      </c>
      <c r="H141" s="32">
        <v>53</v>
      </c>
      <c r="I141" s="32">
        <v>35</v>
      </c>
      <c r="J141" s="32">
        <v>4</v>
      </c>
      <c r="K141" s="32">
        <v>15</v>
      </c>
      <c r="L141" s="32">
        <v>1</v>
      </c>
      <c r="M141" s="32">
        <v>2</v>
      </c>
    </row>
    <row r="142" spans="1:13">
      <c r="A142" s="32">
        <f t="shared" ca="1" si="2"/>
        <v>155</v>
      </c>
      <c r="B142" s="32" cm="1">
        <f t="array" aca="1" ref="B142" ca="1">INDEX(Data_DBD!$B:$B,$A142)</f>
        <v>19</v>
      </c>
      <c r="C142" s="32" cm="1">
        <f t="array" aca="1" ref="C142" ca="1">INDEX(Data_DBD!$C:$C,$A142)</f>
        <v>5</v>
      </c>
      <c r="D142" s="32" cm="1">
        <f t="array" aca="1" ref="D142" ca="1">INDEX(Data_DBD!$D:$D,$A142)</f>
        <v>21</v>
      </c>
      <c r="E142" s="32" cm="1">
        <f t="array" aca="1" ref="E142" ca="1">INDEX(Data_DBD!$E:$E,$A142)</f>
        <v>1</v>
      </c>
      <c r="F142" s="32" cm="1">
        <f t="array" aca="1" ref="F142" ca="1">INDEX(Data_DBD!$F:$F,$A142)</f>
        <v>3</v>
      </c>
      <c r="H142" s="32">
        <v>98</v>
      </c>
      <c r="I142" s="32">
        <v>16</v>
      </c>
      <c r="J142" s="32">
        <v>2</v>
      </c>
      <c r="K142" s="32">
        <v>18</v>
      </c>
      <c r="L142" s="32">
        <v>1</v>
      </c>
      <c r="M142" s="32">
        <v>3</v>
      </c>
    </row>
    <row r="143" spans="1:13">
      <c r="A143" s="32">
        <f t="shared" ca="1" si="2"/>
        <v>156</v>
      </c>
      <c r="B143" s="32" cm="1">
        <f t="array" aca="1" ref="B143" ca="1">INDEX(Data_DBD!$B:$B,$A143)</f>
        <v>5</v>
      </c>
      <c r="C143" s="32" cm="1">
        <f t="array" aca="1" ref="C143" ca="1">INDEX(Data_DBD!$C:$C,$A143)</f>
        <v>2</v>
      </c>
      <c r="D143" s="32" cm="1">
        <f t="array" aca="1" ref="D143" ca="1">INDEX(Data_DBD!$D:$D,$A143)</f>
        <v>21</v>
      </c>
      <c r="E143" s="32" cm="1">
        <f t="array" aca="1" ref="E143" ca="1">INDEX(Data_DBD!$E:$E,$A143)</f>
        <v>0</v>
      </c>
      <c r="F143" s="32" cm="1">
        <f t="array" aca="1" ref="F143" ca="1">INDEX(Data_DBD!$F:$F,$A143)</f>
        <v>3</v>
      </c>
      <c r="H143" s="32">
        <v>104</v>
      </c>
      <c r="I143" s="32">
        <v>37</v>
      </c>
      <c r="J143" s="32">
        <v>4</v>
      </c>
      <c r="K143" s="32">
        <v>18</v>
      </c>
      <c r="L143" s="32">
        <v>1</v>
      </c>
      <c r="M143" s="32">
        <v>3</v>
      </c>
    </row>
    <row r="144" spans="1:13">
      <c r="A144" s="32">
        <f t="shared" ca="1" si="2"/>
        <v>123</v>
      </c>
      <c r="B144" s="32" cm="1">
        <f t="array" aca="1" ref="B144" ca="1">INDEX(Data_DBD!$B:$B,$A144)</f>
        <v>22</v>
      </c>
      <c r="C144" s="32" cm="1">
        <f t="array" aca="1" ref="C144" ca="1">INDEX(Data_DBD!$C:$C,$A144)</f>
        <v>4</v>
      </c>
      <c r="D144" s="32" cm="1">
        <f t="array" aca="1" ref="D144" ca="1">INDEX(Data_DBD!$D:$D,$A144)</f>
        <v>33</v>
      </c>
      <c r="E144" s="32" cm="1">
        <f t="array" aca="1" ref="E144" ca="1">INDEX(Data_DBD!$E:$E,$A144)</f>
        <v>0</v>
      </c>
      <c r="F144" s="32" cm="1">
        <f t="array" aca="1" ref="F144" ca="1">INDEX(Data_DBD!$F:$F,$A144)</f>
        <v>3</v>
      </c>
      <c r="H144" s="32">
        <v>9</v>
      </c>
      <c r="I144" s="32">
        <v>16</v>
      </c>
      <c r="J144" s="32">
        <v>6</v>
      </c>
      <c r="K144" s="32">
        <v>12</v>
      </c>
      <c r="L144" s="32">
        <v>1</v>
      </c>
      <c r="M144" s="32">
        <v>2</v>
      </c>
    </row>
    <row r="145" spans="1:13">
      <c r="A145" s="32">
        <f t="shared" ca="1" si="2"/>
        <v>91</v>
      </c>
      <c r="B145" s="32" cm="1">
        <f t="array" aca="1" ref="B145" ca="1">INDEX(Data_DBD!$B:$B,$A145)</f>
        <v>35</v>
      </c>
      <c r="C145" s="32" cm="1">
        <f t="array" aca="1" ref="C145" ca="1">INDEX(Data_DBD!$C:$C,$A145)</f>
        <v>1</v>
      </c>
      <c r="D145" s="32" cm="1">
        <f t="array" aca="1" ref="D145" ca="1">INDEX(Data_DBD!$D:$D,$A145)</f>
        <v>18</v>
      </c>
      <c r="E145" s="32" cm="1">
        <f t="array" aca="1" ref="E145" ca="1">INDEX(Data_DBD!$E:$E,$A145)</f>
        <v>1</v>
      </c>
      <c r="F145" s="32" cm="1">
        <f t="array" aca="1" ref="F145" ca="1">INDEX(Data_DBD!$F:$F,$A145)</f>
        <v>3</v>
      </c>
      <c r="H145" s="32">
        <v>139</v>
      </c>
      <c r="I145" s="32">
        <v>52</v>
      </c>
      <c r="J145" s="32">
        <v>7</v>
      </c>
      <c r="K145" s="32">
        <v>21</v>
      </c>
      <c r="L145" s="32">
        <v>0</v>
      </c>
      <c r="M145" s="32">
        <v>3</v>
      </c>
    </row>
    <row r="146" spans="1:13">
      <c r="A146" s="32">
        <f t="shared" ca="1" si="2"/>
        <v>123</v>
      </c>
      <c r="B146" s="32" cm="1">
        <f t="array" aca="1" ref="B146" ca="1">INDEX(Data_DBD!$B:$B,$A146)</f>
        <v>22</v>
      </c>
      <c r="C146" s="32" cm="1">
        <f t="array" aca="1" ref="C146" ca="1">INDEX(Data_DBD!$C:$C,$A146)</f>
        <v>4</v>
      </c>
      <c r="D146" s="32" cm="1">
        <f t="array" aca="1" ref="D146" ca="1">INDEX(Data_DBD!$D:$D,$A146)</f>
        <v>33</v>
      </c>
      <c r="E146" s="32" cm="1">
        <f t="array" aca="1" ref="E146" ca="1">INDEX(Data_DBD!$E:$E,$A146)</f>
        <v>0</v>
      </c>
      <c r="F146" s="32" cm="1">
        <f t="array" aca="1" ref="F146" ca="1">INDEX(Data_DBD!$F:$F,$A146)</f>
        <v>3</v>
      </c>
      <c r="H146" s="32">
        <v>104</v>
      </c>
      <c r="I146" s="32">
        <v>37</v>
      </c>
      <c r="J146" s="32">
        <v>4</v>
      </c>
      <c r="K146" s="32">
        <v>18</v>
      </c>
      <c r="L146" s="32">
        <v>1</v>
      </c>
      <c r="M146" s="32">
        <v>3</v>
      </c>
    </row>
    <row r="147" spans="1:13">
      <c r="A147" s="32">
        <f t="shared" ca="1" si="2"/>
        <v>152</v>
      </c>
      <c r="B147" s="32" cm="1">
        <f t="array" aca="1" ref="B147" ca="1">INDEX(Data_DBD!$B:$B,$A147)</f>
        <v>47</v>
      </c>
      <c r="C147" s="32" cm="1">
        <f t="array" aca="1" ref="C147" ca="1">INDEX(Data_DBD!$C:$C,$A147)</f>
        <v>3</v>
      </c>
      <c r="D147" s="32" cm="1">
        <f t="array" aca="1" ref="D147" ca="1">INDEX(Data_DBD!$D:$D,$A147)</f>
        <v>21</v>
      </c>
      <c r="E147" s="32" cm="1">
        <f t="array" aca="1" ref="E147" ca="1">INDEX(Data_DBD!$E:$E,$A147)</f>
        <v>1</v>
      </c>
      <c r="F147" s="32" cm="1">
        <f t="array" aca="1" ref="F147" ca="1">INDEX(Data_DBD!$F:$F,$A147)</f>
        <v>3</v>
      </c>
      <c r="H147" s="32">
        <v>25</v>
      </c>
      <c r="I147" s="32">
        <v>81</v>
      </c>
      <c r="J147" s="32">
        <v>5</v>
      </c>
      <c r="K147" s="32">
        <v>14</v>
      </c>
      <c r="L147" s="32">
        <v>0</v>
      </c>
      <c r="M147" s="32">
        <v>2</v>
      </c>
    </row>
    <row r="148" spans="1:13">
      <c r="A148" s="32">
        <f t="shared" ca="1" si="2"/>
        <v>14</v>
      </c>
      <c r="B148" s="32" cm="1">
        <f t="array" aca="1" ref="B148" ca="1">INDEX(Data_DBD!$B:$B,$A148)</f>
        <v>49</v>
      </c>
      <c r="C148" s="32" cm="1">
        <f t="array" aca="1" ref="C148" ca="1">INDEX(Data_DBD!$C:$C,$A148)</f>
        <v>4</v>
      </c>
      <c r="D148" s="32" cm="1">
        <f t="array" aca="1" ref="D148" ca="1">INDEX(Data_DBD!$D:$D,$A148)</f>
        <v>7</v>
      </c>
      <c r="E148" s="32" cm="1">
        <f t="array" aca="1" ref="E148" ca="1">INDEX(Data_DBD!$E:$E,$A148)</f>
        <v>1</v>
      </c>
      <c r="F148" s="32" cm="1">
        <f t="array" aca="1" ref="F148" ca="1">INDEX(Data_DBD!$F:$F,$A148)</f>
        <v>1</v>
      </c>
      <c r="H148" s="32">
        <v>13</v>
      </c>
      <c r="I148" s="32">
        <v>47</v>
      </c>
      <c r="J148" s="32">
        <v>2</v>
      </c>
      <c r="K148" s="32">
        <v>12</v>
      </c>
      <c r="L148" s="32">
        <v>0</v>
      </c>
      <c r="M148" s="32">
        <v>2</v>
      </c>
    </row>
    <row r="149" spans="1:13">
      <c r="A149" s="32">
        <f t="shared" ca="1" si="2"/>
        <v>15</v>
      </c>
      <c r="B149" s="32" cm="1">
        <f t="array" aca="1" ref="B149" ca="1">INDEX(Data_DBD!$B:$B,$A149)</f>
        <v>21</v>
      </c>
      <c r="C149" s="32" cm="1">
        <f t="array" aca="1" ref="C149" ca="1">INDEX(Data_DBD!$C:$C,$A149)</f>
        <v>2</v>
      </c>
      <c r="D149" s="32" cm="1">
        <f t="array" aca="1" ref="D149" ca="1">INDEX(Data_DBD!$D:$D,$A149)</f>
        <v>7</v>
      </c>
      <c r="E149" s="32" cm="1">
        <f t="array" aca="1" ref="E149" ca="1">INDEX(Data_DBD!$E:$E,$A149)</f>
        <v>0</v>
      </c>
      <c r="F149" s="32" cm="1">
        <f t="array" aca="1" ref="F149" ca="1">INDEX(Data_DBD!$F:$F,$A149)</f>
        <v>1</v>
      </c>
      <c r="H149" s="32">
        <v>19</v>
      </c>
      <c r="I149" s="32">
        <v>8</v>
      </c>
      <c r="J149" s="32">
        <v>4</v>
      </c>
      <c r="K149" s="32">
        <v>7</v>
      </c>
      <c r="L149" s="32">
        <v>0</v>
      </c>
      <c r="M149" s="32">
        <v>1</v>
      </c>
    </row>
    <row r="150" spans="1:13">
      <c r="A150" s="32">
        <f t="shared" ca="1" si="2"/>
        <v>110</v>
      </c>
      <c r="B150" s="32" cm="1">
        <f t="array" aca="1" ref="B150" ca="1">INDEX(Data_DBD!$B:$B,$A150)</f>
        <v>42</v>
      </c>
      <c r="C150" s="32" cm="1">
        <f t="array" aca="1" ref="C150" ca="1">INDEX(Data_DBD!$C:$C,$A150)</f>
        <v>2</v>
      </c>
      <c r="D150" s="32" cm="1">
        <f t="array" aca="1" ref="D150" ca="1">INDEX(Data_DBD!$D:$D,$A150)</f>
        <v>33</v>
      </c>
      <c r="E150" s="32" cm="1">
        <f t="array" aca="1" ref="E150" ca="1">INDEX(Data_DBD!$E:$E,$A150)</f>
        <v>1</v>
      </c>
      <c r="F150" s="32" cm="1">
        <f t="array" aca="1" ref="F150" ca="1">INDEX(Data_DBD!$F:$F,$A150)</f>
        <v>3</v>
      </c>
      <c r="H150" s="32">
        <v>22</v>
      </c>
      <c r="I150" s="32">
        <v>6</v>
      </c>
      <c r="J150" s="32">
        <v>3</v>
      </c>
      <c r="K150" s="32">
        <v>14</v>
      </c>
      <c r="L150" s="32">
        <v>0</v>
      </c>
      <c r="M150" s="32">
        <v>2</v>
      </c>
    </row>
    <row r="151" spans="1:13">
      <c r="A151" s="32">
        <f t="shared" ca="1" si="2"/>
        <v>145</v>
      </c>
      <c r="B151" s="32" cm="1">
        <f t="array" aca="1" ref="B151" ca="1">INDEX(Data_DBD!$B:$B,$A151)</f>
        <v>28</v>
      </c>
      <c r="C151" s="32" cm="1">
        <f t="array" aca="1" ref="C151" ca="1">INDEX(Data_DBD!$C:$C,$A151)</f>
        <v>4</v>
      </c>
      <c r="D151" s="32" cm="1">
        <f t="array" aca="1" ref="D151" ca="1">INDEX(Data_DBD!$D:$D,$A151)</f>
        <v>21</v>
      </c>
      <c r="E151" s="32" cm="1">
        <f t="array" aca="1" ref="E151" ca="1">INDEX(Data_DBD!$E:$E,$A151)</f>
        <v>1</v>
      </c>
      <c r="F151" s="32" cm="1">
        <f t="array" aca="1" ref="F151" ca="1">INDEX(Data_DBD!$F:$F,$A151)</f>
        <v>3</v>
      </c>
      <c r="H151" s="32">
        <v>78</v>
      </c>
      <c r="I151" s="32">
        <v>6</v>
      </c>
      <c r="J151" s="32">
        <v>3</v>
      </c>
      <c r="K151" s="32">
        <v>13</v>
      </c>
      <c r="L151" s="32">
        <v>0</v>
      </c>
      <c r="M151" s="32">
        <v>2</v>
      </c>
    </row>
    <row r="152" spans="1:13">
      <c r="A152" s="32">
        <f t="shared" ca="1" si="2"/>
        <v>47</v>
      </c>
      <c r="B152" s="32" cm="1">
        <f t="array" aca="1" ref="B152" ca="1">INDEX(Data_DBD!$B:$B,$A152)</f>
        <v>19</v>
      </c>
      <c r="C152" s="32" cm="1">
        <f t="array" aca="1" ref="C152" ca="1">INDEX(Data_DBD!$C:$C,$A152)</f>
        <v>2</v>
      </c>
      <c r="D152" s="32" cm="1">
        <f t="array" aca="1" ref="D152" ca="1">INDEX(Data_DBD!$D:$D,$A152)</f>
        <v>13</v>
      </c>
      <c r="E152" s="32" cm="1">
        <f t="array" aca="1" ref="E152" ca="1">INDEX(Data_DBD!$E:$E,$A152)</f>
        <v>0</v>
      </c>
      <c r="F152" s="32" cm="1">
        <f t="array" aca="1" ref="F152" ca="1">INDEX(Data_DBD!$F:$F,$A152)</f>
        <v>2</v>
      </c>
      <c r="H152" s="32">
        <v>56</v>
      </c>
      <c r="I152" s="32">
        <v>4</v>
      </c>
      <c r="J152" s="32">
        <v>3</v>
      </c>
      <c r="K152" s="32">
        <v>15</v>
      </c>
      <c r="L152" s="32">
        <v>0</v>
      </c>
      <c r="M152" s="32">
        <v>2</v>
      </c>
    </row>
    <row r="153" spans="1:13">
      <c r="A153" s="32">
        <f t="shared" ca="1" si="2"/>
        <v>113</v>
      </c>
      <c r="B153" s="32" cm="1">
        <f t="array" aca="1" ref="B153" ca="1">INDEX(Data_DBD!$B:$B,$A153)</f>
        <v>69</v>
      </c>
      <c r="C153" s="32" cm="1">
        <f t="array" aca="1" ref="C153" ca="1">INDEX(Data_DBD!$C:$C,$A153)</f>
        <v>1</v>
      </c>
      <c r="D153" s="32" cm="1">
        <f t="array" aca="1" ref="D153" ca="1">INDEX(Data_DBD!$D:$D,$A153)</f>
        <v>33</v>
      </c>
      <c r="E153" s="32" cm="1">
        <f t="array" aca="1" ref="E153" ca="1">INDEX(Data_DBD!$E:$E,$A153)</f>
        <v>1</v>
      </c>
      <c r="F153" s="32" cm="1">
        <f t="array" aca="1" ref="F153" ca="1">INDEX(Data_DBD!$F:$F,$A153)</f>
        <v>3</v>
      </c>
      <c r="H153" s="32">
        <v>158</v>
      </c>
      <c r="I153" s="32">
        <v>5</v>
      </c>
      <c r="J153" s="32">
        <v>2</v>
      </c>
      <c r="K153" s="32">
        <v>21</v>
      </c>
      <c r="L153" s="32">
        <v>0</v>
      </c>
      <c r="M153" s="32">
        <v>3</v>
      </c>
    </row>
    <row r="154" spans="1:13">
      <c r="A154" s="32">
        <f t="shared" ca="1" si="2"/>
        <v>13</v>
      </c>
      <c r="B154" s="32" cm="1">
        <f t="array" aca="1" ref="B154" ca="1">INDEX(Data_DBD!$B:$B,$A154)</f>
        <v>47</v>
      </c>
      <c r="C154" s="32" cm="1">
        <f t="array" aca="1" ref="C154" ca="1">INDEX(Data_DBD!$C:$C,$A154)</f>
        <v>2</v>
      </c>
      <c r="D154" s="32" cm="1">
        <f t="array" aca="1" ref="D154" ca="1">INDEX(Data_DBD!$D:$D,$A154)</f>
        <v>12</v>
      </c>
      <c r="E154" s="32" cm="1">
        <f t="array" aca="1" ref="E154" ca="1">INDEX(Data_DBD!$E:$E,$A154)</f>
        <v>0</v>
      </c>
      <c r="F154" s="32" cm="1">
        <f t="array" aca="1" ref="F154" ca="1">INDEX(Data_DBD!$F:$F,$A154)</f>
        <v>2</v>
      </c>
      <c r="H154" s="32">
        <v>117</v>
      </c>
      <c r="I154" s="32">
        <v>49</v>
      </c>
      <c r="J154" s="32">
        <v>4</v>
      </c>
      <c r="K154" s="32">
        <v>33</v>
      </c>
      <c r="L154" s="32">
        <v>1</v>
      </c>
      <c r="M154" s="32">
        <v>3</v>
      </c>
    </row>
    <row r="155" spans="1:13">
      <c r="A155" s="32">
        <f t="shared" ca="1" si="2"/>
        <v>117</v>
      </c>
      <c r="B155" s="32" cm="1">
        <f t="array" aca="1" ref="B155" ca="1">INDEX(Data_DBD!$B:$B,$A155)</f>
        <v>49</v>
      </c>
      <c r="C155" s="32" cm="1">
        <f t="array" aca="1" ref="C155" ca="1">INDEX(Data_DBD!$C:$C,$A155)</f>
        <v>4</v>
      </c>
      <c r="D155" s="32" cm="1">
        <f t="array" aca="1" ref="D155" ca="1">INDEX(Data_DBD!$D:$D,$A155)</f>
        <v>33</v>
      </c>
      <c r="E155" s="32" cm="1">
        <f t="array" aca="1" ref="E155" ca="1">INDEX(Data_DBD!$E:$E,$A155)</f>
        <v>1</v>
      </c>
      <c r="F155" s="32" cm="1">
        <f t="array" aca="1" ref="F155" ca="1">INDEX(Data_DBD!$F:$F,$A155)</f>
        <v>3</v>
      </c>
      <c r="H155" s="32">
        <v>96</v>
      </c>
      <c r="I155" s="32">
        <v>56</v>
      </c>
      <c r="J155" s="32">
        <v>4</v>
      </c>
      <c r="K155" s="32">
        <v>18</v>
      </c>
      <c r="L155" s="32">
        <v>0</v>
      </c>
      <c r="M155" s="32">
        <v>3</v>
      </c>
    </row>
    <row r="156" spans="1:13">
      <c r="A156" s="32">
        <f t="shared" ca="1" si="2"/>
        <v>37</v>
      </c>
      <c r="B156" s="32" cm="1">
        <f t="array" aca="1" ref="B156" ca="1">INDEX(Data_DBD!$B:$B,$A156)</f>
        <v>28</v>
      </c>
      <c r="C156" s="32" cm="1">
        <f t="array" aca="1" ref="C156" ca="1">INDEX(Data_DBD!$C:$C,$A156)</f>
        <v>4</v>
      </c>
      <c r="D156" s="32" cm="1">
        <f t="array" aca="1" ref="D156" ca="1">INDEX(Data_DBD!$D:$D,$A156)</f>
        <v>4</v>
      </c>
      <c r="E156" s="32" cm="1">
        <f t="array" aca="1" ref="E156" ca="1">INDEX(Data_DBD!$E:$E,$A156)</f>
        <v>1</v>
      </c>
      <c r="F156" s="32" cm="1">
        <f t="array" aca="1" ref="F156" ca="1">INDEX(Data_DBD!$F:$F,$A156)</f>
        <v>1</v>
      </c>
      <c r="H156" s="32">
        <v>39</v>
      </c>
      <c r="I156" s="32">
        <v>12</v>
      </c>
      <c r="J156" s="32">
        <v>5</v>
      </c>
      <c r="K156" s="32">
        <v>13</v>
      </c>
      <c r="L156" s="32">
        <v>1</v>
      </c>
      <c r="M156" s="32">
        <v>2</v>
      </c>
    </row>
    <row r="157" spans="1:13">
      <c r="A157" s="32">
        <f t="shared" ca="1" si="2"/>
        <v>3</v>
      </c>
      <c r="B157" s="32" cm="1">
        <f t="array" aca="1" ref="B157" ca="1">INDEX(Data_DBD!$B:$B,$A157)</f>
        <v>43</v>
      </c>
      <c r="C157" s="32" cm="1">
        <f t="array" aca="1" ref="C157" ca="1">INDEX(Data_DBD!$C:$C,$A157)</f>
        <v>3</v>
      </c>
      <c r="D157" s="32" cm="1">
        <f t="array" aca="1" ref="D157" ca="1">INDEX(Data_DBD!$D:$D,$A157)</f>
        <v>12</v>
      </c>
      <c r="E157" s="32" cm="1">
        <f t="array" aca="1" ref="E157" ca="1">INDEX(Data_DBD!$E:$E,$A157)</f>
        <v>1</v>
      </c>
      <c r="F157" s="32" cm="1">
        <f t="array" aca="1" ref="F157" ca="1">INDEX(Data_DBD!$F:$F,$A157)</f>
        <v>2</v>
      </c>
      <c r="H157" s="32">
        <v>73</v>
      </c>
      <c r="I157" s="32">
        <v>15</v>
      </c>
      <c r="J157" s="32">
        <v>3</v>
      </c>
      <c r="K157" s="32">
        <v>10</v>
      </c>
      <c r="L157" s="32">
        <v>1</v>
      </c>
      <c r="M157" s="32">
        <v>2</v>
      </c>
    </row>
    <row r="158" spans="1:13" ht="15.75">
      <c r="A158" s="32">
        <f t="shared" ca="1" si="2"/>
        <v>59</v>
      </c>
      <c r="B158" s="32" cm="1">
        <f t="array" aca="1" ref="B158" ca="1">INDEX(Data_DBD!$B:$B,$A158)</f>
        <v>28</v>
      </c>
      <c r="C158" s="32" cm="1">
        <f t="array" aca="1" ref="C158" ca="1">INDEX(Data_DBD!$C:$C,$A158)</f>
        <v>4</v>
      </c>
      <c r="D158" s="32" cm="1">
        <f t="array" aca="1" ref="D158" ca="1">INDEX(Data_DBD!$D:$D,$A158)</f>
        <v>15</v>
      </c>
      <c r="E158" s="32" cm="1">
        <f t="array" aca="1" ref="E158" ca="1">INDEX(Data_DBD!$E:$E,$A158)</f>
        <v>0</v>
      </c>
      <c r="F158" s="32" cm="1">
        <f t="array" aca="1" ref="F158" ca="1">INDEX(Data_DBD!$F:$F,$A158)</f>
        <v>2</v>
      </c>
      <c r="H158" s="32">
        <v>132</v>
      </c>
      <c r="I158" s="32">
        <v>10</v>
      </c>
      <c r="J158" s="32">
        <v>3</v>
      </c>
      <c r="K158" s="32">
        <v>33</v>
      </c>
      <c r="L158" s="58">
        <v>1</v>
      </c>
      <c r="M158" s="32">
        <v>3</v>
      </c>
    </row>
    <row r="159" spans="1:13" ht="15.75">
      <c r="A159" s="32">
        <f t="shared" ca="1" si="2"/>
        <v>154</v>
      </c>
      <c r="B159" s="32" cm="1">
        <f t="array" aca="1" ref="B159" ca="1">INDEX(Data_DBD!$B:$B,$A159)</f>
        <v>18</v>
      </c>
      <c r="C159" s="32" cm="1">
        <f t="array" aca="1" ref="C159" ca="1">INDEX(Data_DBD!$C:$C,$A159)</f>
        <v>5</v>
      </c>
      <c r="D159" s="32" cm="1">
        <f t="array" aca="1" ref="D159" ca="1">INDEX(Data_DBD!$D:$D,$A159)</f>
        <v>21</v>
      </c>
      <c r="E159" s="32" cm="1">
        <f t="array" aca="1" ref="E159" ca="1">INDEX(Data_DBD!$E:$E,$A159)</f>
        <v>1</v>
      </c>
      <c r="F159" s="32" cm="1">
        <f t="array" aca="1" ref="F159" ca="1">INDEX(Data_DBD!$F:$F,$A159)</f>
        <v>3</v>
      </c>
      <c r="H159" s="32">
        <v>49</v>
      </c>
      <c r="I159" s="32">
        <v>64</v>
      </c>
      <c r="J159" s="32">
        <v>5</v>
      </c>
      <c r="K159" s="32">
        <v>13</v>
      </c>
      <c r="L159" s="59">
        <v>0</v>
      </c>
      <c r="M159" s="32">
        <v>2</v>
      </c>
    </row>
    <row r="160" spans="1:13" ht="15.75">
      <c r="A160" s="32">
        <f t="shared" ca="1" si="2"/>
        <v>96</v>
      </c>
      <c r="B160" s="32" cm="1">
        <f t="array" aca="1" ref="B160" ca="1">INDEX(Data_DBD!$B:$B,$A160)</f>
        <v>56</v>
      </c>
      <c r="C160" s="32" cm="1">
        <f t="array" aca="1" ref="C160" ca="1">INDEX(Data_DBD!$C:$C,$A160)</f>
        <v>4</v>
      </c>
      <c r="D160" s="32" cm="1">
        <f t="array" aca="1" ref="D160" ca="1">INDEX(Data_DBD!$D:$D,$A160)</f>
        <v>18</v>
      </c>
      <c r="E160" s="32" cm="1">
        <f t="array" aca="1" ref="E160" ca="1">INDEX(Data_DBD!$E:$E,$A160)</f>
        <v>0</v>
      </c>
      <c r="F160" s="32" cm="1">
        <f t="array" aca="1" ref="F160" ca="1">INDEX(Data_DBD!$F:$F,$A160)</f>
        <v>3</v>
      </c>
      <c r="H160" s="32">
        <v>11</v>
      </c>
      <c r="I160" s="32">
        <v>24</v>
      </c>
      <c r="J160" s="32">
        <v>5</v>
      </c>
      <c r="K160" s="32">
        <v>12</v>
      </c>
      <c r="L160" s="60">
        <v>1</v>
      </c>
      <c r="M160" s="32">
        <v>2</v>
      </c>
    </row>
    <row r="161" spans="1:22" ht="15.75">
      <c r="A161" s="32">
        <f t="shared" ca="1" si="2"/>
        <v>23</v>
      </c>
      <c r="B161" s="32" cm="1">
        <f t="array" aca="1" ref="B161" ca="1">INDEX(Data_DBD!$B:$B,$A161)</f>
        <v>28</v>
      </c>
      <c r="C161" s="32" cm="1">
        <f t="array" aca="1" ref="C161" ca="1">INDEX(Data_DBD!$C:$C,$A161)</f>
        <v>4</v>
      </c>
      <c r="D161" s="32" cm="1">
        <f t="array" aca="1" ref="D161" ca="1">INDEX(Data_DBD!$D:$D,$A161)</f>
        <v>14</v>
      </c>
      <c r="E161" s="32" cm="1">
        <f t="array" aca="1" ref="E161" ca="1">INDEX(Data_DBD!$E:$E,$A161)</f>
        <v>1</v>
      </c>
      <c r="F161" s="32" cm="1">
        <f t="array" aca="1" ref="F161" ca="1">INDEX(Data_DBD!$F:$F,$A161)</f>
        <v>2</v>
      </c>
      <c r="H161" s="32">
        <v>149</v>
      </c>
      <c r="I161" s="32">
        <v>19</v>
      </c>
      <c r="J161" s="32">
        <v>5</v>
      </c>
      <c r="K161" s="32">
        <v>21</v>
      </c>
      <c r="L161" s="60">
        <v>0</v>
      </c>
      <c r="M161" s="32">
        <v>3</v>
      </c>
    </row>
    <row r="162" spans="1:22" ht="15.75">
      <c r="A162" s="32">
        <f t="shared" ca="1" si="2"/>
        <v>132</v>
      </c>
      <c r="B162" s="32" cm="1">
        <f t="array" aca="1" ref="B162" ca="1">INDEX(Data_DBD!$B:$B,$A162)</f>
        <v>10</v>
      </c>
      <c r="C162" s="32" cm="1">
        <f t="array" aca="1" ref="C162" ca="1">INDEX(Data_DBD!$C:$C,$A162)</f>
        <v>3</v>
      </c>
      <c r="D162" s="32" cm="1">
        <f t="array" aca="1" ref="D162" ca="1">INDEX(Data_DBD!$D:$D,$A162)</f>
        <v>33</v>
      </c>
      <c r="E162" s="32" cm="1">
        <f t="array" aca="1" ref="E162" ca="1">INDEX(Data_DBD!$E:$E,$A162)</f>
        <v>1</v>
      </c>
      <c r="F162" s="32" cm="1">
        <f t="array" aca="1" ref="F162" ca="1">INDEX(Data_DBD!$F:$F,$A162)</f>
        <v>3</v>
      </c>
      <c r="H162" s="32">
        <v>82</v>
      </c>
      <c r="I162" s="32">
        <v>28</v>
      </c>
      <c r="J162" s="32">
        <v>3</v>
      </c>
      <c r="K162" s="32">
        <v>13</v>
      </c>
      <c r="L162" s="59">
        <v>1</v>
      </c>
      <c r="M162" s="32">
        <v>2</v>
      </c>
    </row>
    <row r="163" spans="1:22" ht="15.75">
      <c r="A163" s="32">
        <f t="shared" ca="1" si="2"/>
        <v>112</v>
      </c>
      <c r="B163" s="32" cm="1">
        <f t="array" aca="1" ref="B163" ca="1">INDEX(Data_DBD!$B:$B,$A163)</f>
        <v>61</v>
      </c>
      <c r="C163" s="32" cm="1">
        <f t="array" aca="1" ref="C163" ca="1">INDEX(Data_DBD!$C:$C,$A163)</f>
        <v>3</v>
      </c>
      <c r="D163" s="32" cm="1">
        <f t="array" aca="1" ref="D163" ca="1">INDEX(Data_DBD!$D:$D,$A163)</f>
        <v>33</v>
      </c>
      <c r="E163" s="32" cm="1">
        <f t="array" aca="1" ref="E163" ca="1">INDEX(Data_DBD!$E:$E,$A163)</f>
        <v>1</v>
      </c>
      <c r="F163" s="32" cm="1">
        <f t="array" aca="1" ref="F163" ca="1">INDEX(Data_DBD!$F:$F,$A163)</f>
        <v>3</v>
      </c>
      <c r="H163" s="32">
        <v>136</v>
      </c>
      <c r="I163" s="32">
        <v>6</v>
      </c>
      <c r="J163" s="32">
        <v>2</v>
      </c>
      <c r="K163" s="32">
        <v>33</v>
      </c>
      <c r="L163" s="60">
        <v>0</v>
      </c>
      <c r="M163" s="32">
        <v>3</v>
      </c>
    </row>
    <row r="164" spans="1:22">
      <c r="A164" s="32">
        <f t="shared" ca="1" si="2"/>
        <v>142</v>
      </c>
      <c r="B164" s="32" cm="1">
        <f t="array" aca="1" ref="B164" ca="1">INDEX(Data_DBD!$B:$B,$A164)</f>
        <v>39</v>
      </c>
      <c r="C164" s="32" cm="1">
        <f t="array" aca="1" ref="C164" ca="1">INDEX(Data_DBD!$C:$C,$A164)</f>
        <v>2</v>
      </c>
      <c r="D164" s="32" cm="1">
        <f t="array" aca="1" ref="D164" ca="1">INDEX(Data_DBD!$D:$D,$A164)</f>
        <v>21</v>
      </c>
      <c r="E164" s="32" cm="1">
        <f t="array" aca="1" ref="E164" ca="1">INDEX(Data_DBD!$E:$E,$A164)</f>
        <v>1</v>
      </c>
      <c r="F164" s="32" cm="1">
        <f t="array" aca="1" ref="F164" ca="1">INDEX(Data_DBD!$F:$F,$A164)</f>
        <v>3</v>
      </c>
      <c r="H164" s="32">
        <v>68</v>
      </c>
      <c r="I164" s="32">
        <v>44</v>
      </c>
      <c r="J164" s="32">
        <v>5</v>
      </c>
      <c r="K164" s="32">
        <v>10</v>
      </c>
      <c r="L164" s="32">
        <v>0</v>
      </c>
      <c r="M164" s="32">
        <v>2</v>
      </c>
    </row>
    <row r="165" spans="1:22">
      <c r="I165">
        <f>AVERAGE(I2:I164)</f>
        <v>29.077160493827162</v>
      </c>
      <c r="J165">
        <f>AVERAGE(J2:J164)</f>
        <v>3.5521472392638036</v>
      </c>
      <c r="K165">
        <f>AVERAGE(K2:K164)</f>
        <v>18</v>
      </c>
      <c r="L165">
        <f>AVERAGE(L2:L164)</f>
        <v>0.50920245398773001</v>
      </c>
    </row>
    <row r="166" spans="1:22">
      <c r="B166">
        <v>1890</v>
      </c>
    </row>
    <row r="168" spans="1:22">
      <c r="E168" s="38" t="s">
        <v>188</v>
      </c>
      <c r="J168" s="38" t="s">
        <v>189</v>
      </c>
      <c r="O168" s="38" t="s">
        <v>190</v>
      </c>
      <c r="T168" s="38" t="s">
        <v>191</v>
      </c>
    </row>
    <row r="169" spans="1:22">
      <c r="E169" s="32" t="s">
        <v>1</v>
      </c>
      <c r="F169" s="32">
        <f>AVERAGEIF($I$2:$I$164,"&lt;="&amp;$I$165)</f>
        <v>15.914999999999999</v>
      </c>
      <c r="G169" s="32">
        <f>AVERAGEIF($I$2:$I$164,"&gt;"&amp;$I$165)</f>
        <v>50.306451612903224</v>
      </c>
      <c r="J169" s="32" t="s">
        <v>192</v>
      </c>
      <c r="K169" s="32">
        <f>AVERAGEIF($J$2:$J$164,"&lt;="&amp;$J$165)</f>
        <v>2.3670886075949369</v>
      </c>
      <c r="L169" s="32">
        <f>AVERAGEIF($J$2:$J$164,"&gt;"&amp;$J$165)</f>
        <v>4.666666666666667</v>
      </c>
      <c r="O169" s="32" t="s">
        <v>193</v>
      </c>
      <c r="P169" s="32">
        <f>AVERAGEIF($K$2:$K$164,"&lt;="&amp;$K$165)</f>
        <v>13.177570093457945</v>
      </c>
      <c r="Q169" s="32">
        <f>AVERAGEIF($K$2:$K$164,"&gt;"&amp;$K$165)</f>
        <v>27.214285714285715</v>
      </c>
      <c r="T169" s="32" t="s">
        <v>194</v>
      </c>
      <c r="U169" s="32">
        <f>AVERAGEIF($L$2:$L$164,"&lt;="&amp;$L$165)</f>
        <v>0</v>
      </c>
      <c r="V169" s="32">
        <f>AVERAGEIF($L$2:$L$164,"&gt;"&amp;$L$165)</f>
        <v>1</v>
      </c>
    </row>
    <row r="170" spans="1:22">
      <c r="E170" s="32" t="str" cm="1">
        <f t="array" ref="E170:E332">IF($I$2:$I$164&lt;$F$169,"kiri",IF($I$2:$I$164&lt;$G$169,"tengah","kanan"))</f>
        <v>kiri</v>
      </c>
      <c r="F170" s="55" t="s">
        <v>269</v>
      </c>
      <c r="G170" s="32"/>
      <c r="J170" s="32" t="str" cm="1">
        <f t="array" ref="J170:J332">IF($J$2:$J$164&lt;$K$169,"kiri",IF($J$2:$J$164&lt;$L$169,"tengah","kanan"))</f>
        <v>tengah</v>
      </c>
      <c r="K170" s="55" t="s">
        <v>271</v>
      </c>
      <c r="L170" s="32"/>
      <c r="O170" s="32" t="str" cm="1">
        <f t="array" ref="O170:O332">IF($K$2:$K$164&lt;$P$169,"kiri",IF($K$2:$K$164&lt;$Q$169,"tengah","kanan"))</f>
        <v>kiri</v>
      </c>
      <c r="P170" s="55" t="s">
        <v>285</v>
      </c>
      <c r="Q170" s="32"/>
      <c r="T170" s="32" t="str" cm="1">
        <f t="array" ref="T170:T332">IF($L$2:$L$164&lt;$U$169,"kiri",IF($L$2:$L$164&lt;$V$169,"tengah","kanan"))</f>
        <v>tengah</v>
      </c>
      <c r="U170" s="32" t="s">
        <v>195</v>
      </c>
      <c r="V170" s="32"/>
    </row>
    <row r="171" spans="1:22">
      <c r="E171" s="32" t="str">
        <v>tengah</v>
      </c>
      <c r="F171" s="32">
        <f>COUNTIFS($E$170:$E$332,"Kanan",$M$2:$M$164,"1")</f>
        <v>1</v>
      </c>
      <c r="G171" s="32">
        <f>F171/28</f>
        <v>3.5714285714285712E-2</v>
      </c>
      <c r="J171" s="32" t="str">
        <v>tengah</v>
      </c>
      <c r="K171" s="32" cm="1">
        <f t="array" ref="K171">SUMPRODUCT((J170:J332="Kanan")*(M2:M164=1))</f>
        <v>2</v>
      </c>
      <c r="L171" s="32">
        <f>K171/34</f>
        <v>5.8823529411764705E-2</v>
      </c>
      <c r="O171" s="32" t="str">
        <v>tengah</v>
      </c>
      <c r="P171" s="32">
        <f>COUNTIFS($O$170:$O$332,"Kanan",$M$2:$M$164,"1")</f>
        <v>0</v>
      </c>
      <c r="Q171" s="32">
        <f>P171/29</f>
        <v>0</v>
      </c>
      <c r="T171" s="32" t="str">
        <v>kanan</v>
      </c>
      <c r="U171" s="32">
        <f>COUNTIFS($T$170:$T$332,"Kanan",$M$2:$M$164,"1")</f>
        <v>7</v>
      </c>
      <c r="V171" s="32">
        <f>U171/83</f>
        <v>8.4337349397590355E-2</v>
      </c>
    </row>
    <row r="172" spans="1:22">
      <c r="E172" s="32" t="str">
        <v>kiri</v>
      </c>
      <c r="F172" s="32">
        <f>COUNTIFS($E$170:$E$332,"Kanan",$M$2:$M$164,"2")</f>
        <v>14</v>
      </c>
      <c r="G172" s="32">
        <f t="shared" ref="G172:G173" si="3">F172/28</f>
        <v>0.5</v>
      </c>
      <c r="J172" s="32" t="str">
        <v>kiri</v>
      </c>
      <c r="K172" s="32">
        <f>COUNTIFS($J$170:$J$332,"Kanan",$M$2:$M$164,"2")</f>
        <v>20</v>
      </c>
      <c r="L172" s="32">
        <f t="shared" ref="L172:L173" si="4">K172/34</f>
        <v>0.58823529411764708</v>
      </c>
      <c r="O172" s="32" t="str">
        <v>kiri</v>
      </c>
      <c r="P172" s="32">
        <f>COUNTIFS($O$170:$O$332,"Kanan",$M$2:$M$164,"2")</f>
        <v>0</v>
      </c>
      <c r="Q172" s="32">
        <f t="shared" ref="Q172:Q173" si="5">P172/29</f>
        <v>0</v>
      </c>
      <c r="T172" s="32" t="str">
        <v>kanan</v>
      </c>
      <c r="U172" s="32">
        <f>COUNTIFS($T$170:$T$332,"Kanan",$M$2:$M$164,"2")</f>
        <v>30</v>
      </c>
      <c r="V172" s="32">
        <f t="shared" ref="V172:V173" si="6">U172/83</f>
        <v>0.36144578313253012</v>
      </c>
    </row>
    <row r="173" spans="1:22">
      <c r="E173" s="32" t="str">
        <v>tengah</v>
      </c>
      <c r="F173" s="32" cm="1">
        <f t="array" ref="F173">SUMPRODUCT((E170:E332="KANAN")*(M2:M164=3))</f>
        <v>13</v>
      </c>
      <c r="G173" s="32">
        <f t="shared" si="3"/>
        <v>0.4642857142857143</v>
      </c>
      <c r="J173" s="32" t="str">
        <v>tengah</v>
      </c>
      <c r="K173" s="32">
        <f>COUNTIFS($J$170:$J$332,"Kanan",$M$2:$M$164,"3")</f>
        <v>12</v>
      </c>
      <c r="L173" s="32">
        <f t="shared" si="4"/>
        <v>0.35294117647058826</v>
      </c>
      <c r="O173" s="32" t="str">
        <v>kanan</v>
      </c>
      <c r="P173" s="32">
        <f>COUNTIFS($O$170:$O$332,"Kanan",$M$2:$M$164,"3")</f>
        <v>29</v>
      </c>
      <c r="Q173" s="32">
        <f t="shared" si="5"/>
        <v>1</v>
      </c>
      <c r="T173" s="32" t="str">
        <v>kanan</v>
      </c>
      <c r="U173" s="32">
        <f>COUNTIFS($T$170:$T$332,"Kanan",$M$2:$M$164,"3")</f>
        <v>46</v>
      </c>
      <c r="V173" s="32">
        <f t="shared" si="6"/>
        <v>0.55421686746987953</v>
      </c>
    </row>
    <row r="174" spans="1:22">
      <c r="E174" s="32" t="str">
        <v>kiri</v>
      </c>
      <c r="F174" s="32" t="s">
        <v>196</v>
      </c>
      <c r="G174" s="32">
        <f>-(IFERROR(G171*LOG(G171,2),0)+IFERROR(G172*LOG(G172,2),0)+IFERROR(G173*LOG(G173,2),0))</f>
        <v>1.1856161633204378</v>
      </c>
      <c r="J174" s="32" t="str">
        <v>kiri</v>
      </c>
      <c r="K174" s="32" t="s">
        <v>196</v>
      </c>
      <c r="L174" s="32">
        <f>-(IFERROR(L171*LOG(L171,2),0)+IFERROR(L172*LOG(L172,2),0)+IFERROR(L173*LOG(L173,2),0))</f>
        <v>1.2210477851797181</v>
      </c>
      <c r="O174" s="32" t="str">
        <v>tengah</v>
      </c>
      <c r="P174" s="32" t="s">
        <v>196</v>
      </c>
      <c r="Q174" s="32">
        <f>-(IFERROR(Q171*LOG(Q171,2),0)+IFERROR(Q172*LOG(Q172,2),0)+IFERROR(Q173*LOG(Q173,2),0))</f>
        <v>0</v>
      </c>
      <c r="T174" s="32" t="str">
        <v>tengah</v>
      </c>
      <c r="U174" s="32" t="s">
        <v>196</v>
      </c>
      <c r="V174" s="32">
        <f>-(IFERROR(V171*LOG(V171,2),0)+IFERROR(V172*LOG(V172,2),0)+IFERROR(V173*LOG(V173,2),0))</f>
        <v>1.3034484397652215</v>
      </c>
    </row>
    <row r="175" spans="1:22">
      <c r="E175" s="32" t="str">
        <v>tengah</v>
      </c>
      <c r="F175" s="32"/>
      <c r="G175" s="32">
        <f>SUM(F171:F173)/163</f>
        <v>0.17177914110429449</v>
      </c>
      <c r="J175" s="32" t="str">
        <v>tengah</v>
      </c>
      <c r="K175" s="32"/>
      <c r="L175" s="32">
        <f>SUM(K171:K173)/163</f>
        <v>0.20858895705521471</v>
      </c>
      <c r="O175" s="32" t="str">
        <v>kanan</v>
      </c>
      <c r="P175" s="32"/>
      <c r="Q175" s="32">
        <f>SUM(P171:P173)/163</f>
        <v>0.17791411042944785</v>
      </c>
      <c r="T175" s="32" t="str">
        <v>kanan</v>
      </c>
      <c r="U175" s="32"/>
      <c r="V175" s="32">
        <f>SUM(U171:U173)/163</f>
        <v>0.50920245398773001</v>
      </c>
    </row>
    <row r="176" spans="1:22">
      <c r="E176" s="32" t="str">
        <v>tengah</v>
      </c>
      <c r="F176" s="32"/>
      <c r="G176" s="39">
        <f>G174*G175</f>
        <v>0.20366412621455374</v>
      </c>
      <c r="J176" s="32" t="str">
        <v>kiri</v>
      </c>
      <c r="K176" s="32"/>
      <c r="L176" s="39">
        <f>L174*L175</f>
        <v>0.25469708402521729</v>
      </c>
      <c r="O176" s="32" t="str">
        <v>kiri</v>
      </c>
      <c r="P176" s="32"/>
      <c r="Q176" s="39">
        <f>Q174*Q175</f>
        <v>0</v>
      </c>
      <c r="T176" s="32" t="str">
        <v>kanan</v>
      </c>
      <c r="U176" s="32"/>
      <c r="V176" s="39">
        <f>V174*V175</f>
        <v>0.66371914417492872</v>
      </c>
    </row>
    <row r="177" spans="5:22">
      <c r="E177" s="32" t="str">
        <v>tengah</v>
      </c>
      <c r="F177" s="32"/>
      <c r="G177" s="32"/>
      <c r="J177" s="32" t="str">
        <v>kanan</v>
      </c>
      <c r="K177" s="32"/>
      <c r="L177" s="32"/>
      <c r="O177" s="32" t="str">
        <v>kiri</v>
      </c>
      <c r="P177" s="32"/>
      <c r="Q177" s="32"/>
      <c r="T177" s="32" t="str">
        <v>tengah</v>
      </c>
      <c r="U177" s="32"/>
      <c r="V177" s="32"/>
    </row>
    <row r="178" spans="5:22">
      <c r="E178" s="32" t="str">
        <v>kiri</v>
      </c>
      <c r="F178" s="32"/>
      <c r="G178" s="32"/>
      <c r="J178" s="32" t="str">
        <v>kiri</v>
      </c>
      <c r="K178" s="32"/>
      <c r="L178" s="32"/>
      <c r="O178" s="32" t="str">
        <v>tengah</v>
      </c>
      <c r="P178" s="32"/>
      <c r="Q178" s="32"/>
      <c r="T178" s="32" t="str">
        <v>tengah</v>
      </c>
      <c r="U178" s="32"/>
      <c r="V178" s="32"/>
    </row>
    <row r="179" spans="5:22">
      <c r="E179" s="32" t="str">
        <v>kanan</v>
      </c>
      <c r="F179" s="55" t="s">
        <v>270</v>
      </c>
      <c r="G179" s="32"/>
      <c r="J179" s="32" t="str">
        <v>kanan</v>
      </c>
      <c r="K179" s="55" t="s">
        <v>272</v>
      </c>
      <c r="L179" s="32"/>
      <c r="O179" s="32" t="str">
        <v>tengah</v>
      </c>
      <c r="P179" s="55" t="s">
        <v>268</v>
      </c>
      <c r="Q179" s="32"/>
      <c r="T179" s="32" t="str">
        <v>kanan</v>
      </c>
      <c r="U179" s="32" t="s">
        <v>197</v>
      </c>
      <c r="V179" s="32"/>
    </row>
    <row r="180" spans="5:22">
      <c r="E180" s="32" t="str">
        <v>kiri</v>
      </c>
      <c r="F180" s="32" cm="1">
        <f t="array" ref="F180">SUMPRODUCT((E170:E332="kiri")*(M2:M164=1))</f>
        <v>4</v>
      </c>
      <c r="G180" s="32">
        <f>F180/49</f>
        <v>8.1632653061224483E-2</v>
      </c>
      <c r="J180" s="32" t="str">
        <v>kiri</v>
      </c>
      <c r="K180" s="32">
        <f>COUNTIFS($J$170:$J$332,"Kiri",$M$2:$M$164,"1")</f>
        <v>4</v>
      </c>
      <c r="L180" s="32">
        <f>K180/40</f>
        <v>0.1</v>
      </c>
      <c r="O180" s="32" t="str">
        <v>kiri</v>
      </c>
      <c r="P180" s="32">
        <f>COUNTIFS($O$170:$O$332,"Kiri",$M$2:$M$164,"1")</f>
        <v>12</v>
      </c>
      <c r="Q180" s="32">
        <f>P180/57</f>
        <v>0.21052631578947367</v>
      </c>
      <c r="T180" s="32" t="str">
        <v>kanan</v>
      </c>
      <c r="U180" s="32">
        <f>COUNTIFS($T$170:$T$332,"Kiri",$M$2:$M$164,"1")</f>
        <v>0</v>
      </c>
      <c r="V180" s="32">
        <f>U180/57</f>
        <v>0</v>
      </c>
    </row>
    <row r="181" spans="5:22">
      <c r="E181" s="32" t="str">
        <v>tengah</v>
      </c>
      <c r="F181" s="32" cm="1">
        <f t="array" ref="F181">SUMPRODUCT((E170:E332="kiri")*(M2:M164=2))</f>
        <v>20</v>
      </c>
      <c r="G181" s="32">
        <f t="shared" ref="G181:G182" si="7">F181/49</f>
        <v>0.40816326530612246</v>
      </c>
      <c r="J181" s="32" t="str">
        <v>tengah</v>
      </c>
      <c r="K181" s="32">
        <f>COUNTIFS($J$170:$J$332,"Kiri",$M$2:$M$164,"2")</f>
        <v>16</v>
      </c>
      <c r="L181" s="32">
        <f t="shared" ref="L181:L182" si="8">K181/40</f>
        <v>0.4</v>
      </c>
      <c r="O181" s="32" t="str">
        <v>tengah</v>
      </c>
      <c r="P181" s="32">
        <f>COUNTIFS($O$170:$O$332,"Kiri",$M$2:$M$164,"2")</f>
        <v>45</v>
      </c>
      <c r="Q181" s="32">
        <f t="shared" ref="Q181:Q182" si="9">P181/57</f>
        <v>0.78947368421052633</v>
      </c>
      <c r="T181" s="32" t="str">
        <v>kanan</v>
      </c>
      <c r="U181" s="32">
        <f>COUNTIFS($T$170:$T$332,"Kiri",$M$2:$M$164,"2")</f>
        <v>0</v>
      </c>
      <c r="V181" s="32">
        <f>U181/57</f>
        <v>0</v>
      </c>
    </row>
    <row r="182" spans="5:22">
      <c r="E182" s="32" t="str">
        <v>tengah</v>
      </c>
      <c r="F182" s="32" cm="1">
        <f t="array" ref="F182">SUMPRODUCT((E170:E332="kiri")*(M2:M164=3))</f>
        <v>25</v>
      </c>
      <c r="G182" s="32">
        <f t="shared" si="7"/>
        <v>0.51020408163265307</v>
      </c>
      <c r="J182" s="32" t="str">
        <v>tengah</v>
      </c>
      <c r="K182" s="32">
        <f>COUNTIFS($J$170:$J$332,"Kiri",$M$2:$M$164,"3")</f>
        <v>20</v>
      </c>
      <c r="L182" s="32">
        <f t="shared" si="8"/>
        <v>0.5</v>
      </c>
      <c r="O182" s="32" t="str">
        <v>kiri</v>
      </c>
      <c r="P182" s="32">
        <f>COUNTIFS($O$170:$O$332,"Kiri",$M$2:$M$164,"3")</f>
        <v>0</v>
      </c>
      <c r="Q182" s="32">
        <f t="shared" si="9"/>
        <v>0</v>
      </c>
      <c r="T182" s="32" t="str">
        <v>kanan</v>
      </c>
      <c r="U182" s="32">
        <f>COUNTIFS($T$170:$T$332,"Kiri",$M$2:$M$164,"3")</f>
        <v>0</v>
      </c>
      <c r="V182" s="32">
        <f>U182/57</f>
        <v>0</v>
      </c>
    </row>
    <row r="183" spans="5:22">
      <c r="E183" s="32" t="str">
        <v>kiri</v>
      </c>
      <c r="F183" s="32" t="s">
        <v>196</v>
      </c>
      <c r="G183" s="32">
        <f>-(IFERROR(G180*LOG(G180,2),0)+IFERROR(G181*LOG(G181,2),0)+IFERROR(G182*LOG(G182,2),0))</f>
        <v>1.3180778718271395</v>
      </c>
      <c r="J183" s="32" t="str">
        <v>kiri</v>
      </c>
      <c r="K183" s="32" t="s">
        <v>196</v>
      </c>
      <c r="L183" s="32">
        <f>-(IFERROR(L180*LOG(L180,2),0)+IFERROR(L181*LOG(L181,2),0)+IFERROR(L182*LOG(L182,2),0))</f>
        <v>1.360964047443681</v>
      </c>
      <c r="O183" s="32" t="str">
        <v>tengah</v>
      </c>
      <c r="P183" s="32" t="s">
        <v>196</v>
      </c>
      <c r="Q183" s="32">
        <f>-(IFERROR(Q180*LOG(Q180,2),0)+IFERROR(Q181*LOG(Q181,2),0)+IFERROR(Q182*LOG(Q182,2),0))</f>
        <v>0.74248756954212358</v>
      </c>
      <c r="T183" s="32" t="str">
        <v>tengah</v>
      </c>
      <c r="U183" s="32" t="s">
        <v>196</v>
      </c>
      <c r="V183" s="32">
        <f>-(IFERROR(V180*LOG(V180,2),0)+IFERROR(V181*LOG(V181,2),0)+IFERROR(V182*LOG(V182,2),0))</f>
        <v>0</v>
      </c>
    </row>
    <row r="184" spans="5:22">
      <c r="E184" s="32" t="str">
        <v>kanan</v>
      </c>
      <c r="F184" s="32"/>
      <c r="G184" s="32">
        <f>SUM(F180:F182)/163</f>
        <v>0.30061349693251532</v>
      </c>
      <c r="J184" s="32" t="str">
        <v>tengah</v>
      </c>
      <c r="K184" s="32"/>
      <c r="L184" s="32">
        <f>SUM(K180:K182)/163</f>
        <v>0.24539877300613497</v>
      </c>
      <c r="O184" s="32" t="str">
        <v>tengah</v>
      </c>
      <c r="P184" s="32"/>
      <c r="Q184" s="32">
        <f>SUM(P180:P182)/163</f>
        <v>0.34969325153374231</v>
      </c>
      <c r="T184" s="32" t="str">
        <v>kanan</v>
      </c>
      <c r="U184" s="32"/>
      <c r="V184" s="32">
        <f>SUM(U180:U182)/163</f>
        <v>0</v>
      </c>
    </row>
    <row r="185" spans="5:22">
      <c r="E185" s="32" t="str">
        <v>tengah</v>
      </c>
      <c r="F185" s="32"/>
      <c r="G185" s="39">
        <f>G183*G184</f>
        <v>0.39623199827932415</v>
      </c>
      <c r="J185" s="32" t="str">
        <v>kanan</v>
      </c>
      <c r="K185" s="32"/>
      <c r="L185" s="39">
        <f>L183*L184</f>
        <v>0.33397890734814256</v>
      </c>
      <c r="O185" s="32" t="str">
        <v>kiri</v>
      </c>
      <c r="P185" s="32"/>
      <c r="Q185" s="39">
        <f>Q183*Q184</f>
        <v>0.25964289241657079</v>
      </c>
      <c r="T185" s="32" t="str">
        <v>tengah</v>
      </c>
      <c r="U185" s="32"/>
      <c r="V185" s="39">
        <f>V183*V184</f>
        <v>0</v>
      </c>
    </row>
    <row r="186" spans="5:22">
      <c r="E186" s="32" t="str">
        <v>tengah</v>
      </c>
      <c r="F186" s="32"/>
      <c r="G186" s="32"/>
      <c r="J186" s="32" t="str">
        <v>tengah</v>
      </c>
      <c r="K186" s="32"/>
      <c r="L186" s="32"/>
      <c r="O186" s="32" t="str">
        <v>tengah</v>
      </c>
      <c r="P186" s="32"/>
      <c r="Q186" s="32"/>
      <c r="T186" s="32" t="str">
        <v>kanan</v>
      </c>
      <c r="U186" s="32"/>
      <c r="V186" s="32"/>
    </row>
    <row r="187" spans="5:22">
      <c r="E187" s="32" t="str">
        <v>kiri</v>
      </c>
      <c r="F187" s="32"/>
      <c r="G187" s="32"/>
      <c r="J187" s="32" t="str">
        <v>tengah</v>
      </c>
      <c r="K187" s="32"/>
      <c r="L187" s="32"/>
      <c r="O187" s="32" t="str">
        <v>tengah</v>
      </c>
      <c r="P187" s="32"/>
      <c r="Q187" s="32"/>
      <c r="T187" s="32" t="str">
        <v>kanan</v>
      </c>
      <c r="U187" s="32"/>
      <c r="V187" s="32"/>
    </row>
    <row r="188" spans="5:22">
      <c r="E188" s="32" t="str">
        <v>tengah</v>
      </c>
      <c r="F188" s="32" t="s">
        <v>198</v>
      </c>
      <c r="G188" s="32"/>
      <c r="J188" s="32" t="str">
        <v>kanan</v>
      </c>
      <c r="K188" s="32" t="s">
        <v>198</v>
      </c>
      <c r="L188" s="32"/>
      <c r="O188" s="32" t="str">
        <v>tengah</v>
      </c>
      <c r="P188" s="32" t="s">
        <v>198</v>
      </c>
      <c r="Q188" s="32"/>
      <c r="T188" s="32" t="str">
        <v>kanan</v>
      </c>
      <c r="U188" s="32" t="s">
        <v>198</v>
      </c>
      <c r="V188" s="32"/>
    </row>
    <row r="189" spans="5:22">
      <c r="E189" s="32" t="str">
        <v>tengah</v>
      </c>
      <c r="F189" s="32" cm="1">
        <f t="array" ref="F189">SUMPRODUCT((E170:E332="tengah")*(M2:M164=1))</f>
        <v>7</v>
      </c>
      <c r="G189" s="32">
        <f>F189/86</f>
        <v>8.1395348837209308E-2</v>
      </c>
      <c r="J189" s="32" t="str">
        <v>kanan</v>
      </c>
      <c r="K189" s="32">
        <f>COUNTIFS($J$170:$J$332,"Tengah",$M$2:$M$164,"1")</f>
        <v>6</v>
      </c>
      <c r="L189" s="32">
        <f>K189/89</f>
        <v>6.741573033707865E-2</v>
      </c>
      <c r="O189" s="32" t="str">
        <v>tengah</v>
      </c>
      <c r="P189" s="32">
        <f>COUNTIFS($O$170:$O$332,"Tengah",$M$2:$M$164,"1")</f>
        <v>0</v>
      </c>
      <c r="Q189" s="32">
        <f>P189/77</f>
        <v>0</v>
      </c>
      <c r="T189" s="32" t="str">
        <v>tengah</v>
      </c>
      <c r="U189" s="32">
        <f>COUNTIFS($T$170:$T$332,"Tengah",$M$2:$M$164,"1")</f>
        <v>5</v>
      </c>
      <c r="V189" s="32">
        <f>U189/82</f>
        <v>6.097560975609756E-2</v>
      </c>
    </row>
    <row r="190" spans="5:22">
      <c r="E190" s="32" t="str">
        <v>tengah</v>
      </c>
      <c r="F190" s="32" cm="1">
        <f t="array" ref="F190">SUMPRODUCT((E170:E332="tengah")*(M2:M164=2))</f>
        <v>41</v>
      </c>
      <c r="G190" s="32">
        <f t="shared" ref="G190:G191" si="10">F190/86</f>
        <v>0.47674418604651164</v>
      </c>
      <c r="J190" s="32" t="str">
        <v>tengah</v>
      </c>
      <c r="K190" s="32">
        <f>COUNTIFS($J$170:$J$332,"Tengah",$M$2:$M$164,"2")</f>
        <v>39</v>
      </c>
      <c r="L190" s="32">
        <f t="shared" ref="L190:L191" si="11">K190/89</f>
        <v>0.43820224719101125</v>
      </c>
      <c r="O190" s="32" t="str">
        <v>tengah</v>
      </c>
      <c r="P190" s="32">
        <f>COUNTIFS($O$170:$O$332,"Tengah",$M$2:$M$164,"2")</f>
        <v>30</v>
      </c>
      <c r="Q190" s="32">
        <f t="shared" ref="Q190:Q191" si="12">P190/77</f>
        <v>0.38961038961038963</v>
      </c>
      <c r="T190" s="32" t="str">
        <v>tengah</v>
      </c>
      <c r="U190" s="32">
        <f>COUNTIFS($T$170:$T$332,"Tengah",$M$2:$M$164,"2")</f>
        <v>45</v>
      </c>
      <c r="V190" s="32">
        <f t="shared" ref="V190:V191" si="13">U190/82</f>
        <v>0.54878048780487809</v>
      </c>
    </row>
    <row r="191" spans="5:22">
      <c r="E191" s="32" t="str">
        <v>tengah</v>
      </c>
      <c r="F191" s="32" cm="1">
        <f t="array" ref="F191">SUMPRODUCT((E170:E332="tengah")*(M2:M164=3))</f>
        <v>38</v>
      </c>
      <c r="G191" s="32">
        <f t="shared" si="10"/>
        <v>0.44186046511627908</v>
      </c>
      <c r="J191" s="32" t="str">
        <v>tengah</v>
      </c>
      <c r="K191" s="32">
        <f>COUNTIFS($J$170:$J$332,"Tengah",$M$2:$M$164,"3")</f>
        <v>44</v>
      </c>
      <c r="L191" s="32">
        <f t="shared" si="11"/>
        <v>0.4943820224719101</v>
      </c>
      <c r="O191" s="32" t="str">
        <v>tengah</v>
      </c>
      <c r="P191" s="32">
        <f>COUNTIFS($O$170:$O$332,"Tengah",$M$2:$M$164,"3")</f>
        <v>47</v>
      </c>
      <c r="Q191" s="32">
        <f t="shared" si="12"/>
        <v>0.61038961038961037</v>
      </c>
      <c r="T191" s="32" t="str">
        <v>kanan</v>
      </c>
      <c r="U191" s="32">
        <f>COUNTIFS($T$170:$T$332,"Tengah",$M$2:$M$164,"3")</f>
        <v>30</v>
      </c>
      <c r="V191" s="32">
        <f t="shared" si="13"/>
        <v>0.36585365853658536</v>
      </c>
    </row>
    <row r="192" spans="5:22">
      <c r="E192" s="32" t="str">
        <v>tengah</v>
      </c>
      <c r="F192" s="32" t="s">
        <v>196</v>
      </c>
      <c r="G192" s="32">
        <f>-(IFERROR(G189*LOG(G189,2),0)+IFERROR(G190*LOG(G190,2),0)+IFERROR(G191*LOG(G191,2),0))</f>
        <v>1.3247256598811572</v>
      </c>
      <c r="J192" s="32" t="str">
        <v>kiri</v>
      </c>
      <c r="K192" s="32" t="s">
        <v>196</v>
      </c>
      <c r="L192" s="32">
        <f>-(IFERROR(L189*LOG(L189,2),0)+IFERROR(L190*LOG(L190,2),0)+IFERROR(L191*LOG(L191,2),0))</f>
        <v>1.2863463213035247</v>
      </c>
      <c r="O192" s="32" t="str">
        <v>kiri</v>
      </c>
      <c r="P192" s="32" t="s">
        <v>196</v>
      </c>
      <c r="Q192" s="32">
        <f>-(IFERROR(Q189*LOG(Q189,2),0)+IFERROR(Q190*LOG(Q190,2),0)+IFERROR(Q191*LOG(Q191,2),0))</f>
        <v>0.96454765891432337</v>
      </c>
      <c r="T192" s="32" t="str">
        <v>kanan</v>
      </c>
      <c r="U192" s="32" t="s">
        <v>196</v>
      </c>
      <c r="V192" s="32">
        <f>-(IFERROR(V189*LOG(V189,2),0)+IFERROR(V190*LOG(V190,2),0)+IFERROR(V191*LOG(V191,2),0))</f>
        <v>1.2518830816087678</v>
      </c>
    </row>
    <row r="193" spans="5:22">
      <c r="E193" s="32" t="str">
        <v>tengah</v>
      </c>
      <c r="F193" s="32"/>
      <c r="G193" s="32">
        <f>SUM(F189:F191)/163</f>
        <v>0.52760736196319014</v>
      </c>
      <c r="J193" s="32" t="str">
        <v>tengah</v>
      </c>
      <c r="K193" s="32"/>
      <c r="L193" s="32">
        <f>SUM(K189:K191)/163</f>
        <v>0.54601226993865026</v>
      </c>
      <c r="O193" s="32" t="str">
        <v>tengah</v>
      </c>
      <c r="P193" s="32"/>
      <c r="Q193" s="32">
        <f>SUM(P189:P191)/163</f>
        <v>0.47239263803680981</v>
      </c>
      <c r="T193" s="32" t="str">
        <v>kanan</v>
      </c>
      <c r="U193" s="32"/>
      <c r="V193" s="32">
        <f>SUM(U189:U191)/163</f>
        <v>0.49079754601226994</v>
      </c>
    </row>
    <row r="194" spans="5:22">
      <c r="E194" s="32" t="str">
        <v>kiri</v>
      </c>
      <c r="F194" s="32"/>
      <c r="G194" s="39">
        <f>G192*G193</f>
        <v>0.69893501073484365</v>
      </c>
      <c r="J194" s="32" t="str">
        <v>tengah</v>
      </c>
      <c r="K194" s="32"/>
      <c r="L194" s="39">
        <f>L192*L193</f>
        <v>0.7023608748221698</v>
      </c>
      <c r="O194" s="32" t="str">
        <v>kanan</v>
      </c>
      <c r="P194" s="32"/>
      <c r="Q194" s="39">
        <f>Q192*Q193</f>
        <v>0.45564521310676626</v>
      </c>
      <c r="T194" s="32" t="str">
        <v>tengah</v>
      </c>
      <c r="U194" s="32"/>
      <c r="V194" s="39">
        <f>V192*V193</f>
        <v>0.61442114434786155</v>
      </c>
    </row>
    <row r="195" spans="5:22">
      <c r="E195" s="32" t="str">
        <v>tengah</v>
      </c>
      <c r="F195" s="32"/>
      <c r="G195" s="32"/>
      <c r="J195" s="32" t="str">
        <v>kiri</v>
      </c>
      <c r="K195" s="32"/>
      <c r="L195" s="32"/>
      <c r="O195" s="32" t="str">
        <v>tengah</v>
      </c>
      <c r="P195" s="32"/>
      <c r="Q195" s="32"/>
      <c r="T195" s="32" t="str">
        <v>kanan</v>
      </c>
      <c r="U195" s="32"/>
      <c r="V195" s="32"/>
    </row>
    <row r="196" spans="5:22">
      <c r="E196" s="32" t="str">
        <v>tengah</v>
      </c>
      <c r="F196" s="32" t="s">
        <v>199</v>
      </c>
      <c r="G196" s="40" t="s">
        <v>196</v>
      </c>
      <c r="J196" s="32" t="str">
        <v>kanan</v>
      </c>
      <c r="K196" s="32" t="s">
        <v>199</v>
      </c>
      <c r="L196" s="40" t="s">
        <v>196</v>
      </c>
      <c r="O196" s="32" t="str">
        <v>kiri</v>
      </c>
      <c r="P196" s="32" t="s">
        <v>199</v>
      </c>
      <c r="Q196" s="40" t="s">
        <v>196</v>
      </c>
      <c r="T196" s="32" t="str">
        <v>kanan</v>
      </c>
      <c r="U196" s="32" t="s">
        <v>199</v>
      </c>
      <c r="V196" s="40" t="s">
        <v>196</v>
      </c>
    </row>
    <row r="197" spans="5:22">
      <c r="E197" s="32" t="str">
        <v>kiri</v>
      </c>
      <c r="F197" s="41">
        <f>P5-(G176+G185+G194)</f>
        <v>6.8084127596725885E-3</v>
      </c>
      <c r="G197" s="39">
        <f>(G176+G185+G194)</f>
        <v>1.2988311352287214</v>
      </c>
      <c r="J197" s="32" t="str">
        <v>kiri</v>
      </c>
      <c r="K197" s="41">
        <f>P5-(L176+L185+L194)</f>
        <v>1.4602681792864391E-2</v>
      </c>
      <c r="L197" s="39">
        <f>(L176+L185+L194)</f>
        <v>1.2910368661955296</v>
      </c>
      <c r="O197" s="32" t="str">
        <v>kiri</v>
      </c>
      <c r="P197" s="41">
        <f>P5-(Q176+Q185+Q194)</f>
        <v>0.59035144246505689</v>
      </c>
      <c r="Q197" s="39">
        <f>(Q176+Q185+Q194)</f>
        <v>0.7152881055233371</v>
      </c>
      <c r="T197" s="32" t="str">
        <v>tengah</v>
      </c>
      <c r="U197" s="41">
        <f>P5-(V176+V185+V194)</f>
        <v>2.7499259465603831E-2</v>
      </c>
      <c r="V197" s="39">
        <f>(V176+V185+V194)</f>
        <v>1.2781402885227902</v>
      </c>
    </row>
    <row r="198" spans="5:22">
      <c r="E198" s="32" t="str">
        <v>tengah</v>
      </c>
      <c r="F198" s="32"/>
      <c r="G198" s="32"/>
      <c r="J198" s="32" t="str">
        <v>tengah</v>
      </c>
      <c r="K198" s="32"/>
      <c r="L198" s="32"/>
      <c r="O198" s="32" t="str">
        <v>kanan</v>
      </c>
      <c r="P198" s="32"/>
      <c r="Q198" s="32"/>
      <c r="T198" s="32" t="str">
        <v>tengah</v>
      </c>
      <c r="U198" s="32"/>
      <c r="V198" s="32"/>
    </row>
    <row r="199" spans="5:22">
      <c r="E199" s="32" t="str">
        <v>kanan</v>
      </c>
      <c r="F199" s="32"/>
      <c r="G199" s="32"/>
      <c r="J199" s="32" t="str">
        <v>kiri</v>
      </c>
      <c r="K199" s="32"/>
      <c r="L199" s="32"/>
      <c r="O199" s="32" t="str">
        <v>kanan</v>
      </c>
      <c r="P199" s="32"/>
      <c r="Q199" s="32"/>
      <c r="T199" s="32" t="str">
        <v>kanan</v>
      </c>
      <c r="U199" s="32"/>
      <c r="V199" s="32"/>
    </row>
    <row r="200" spans="5:22">
      <c r="E200" s="32" t="str">
        <v>tengah</v>
      </c>
      <c r="F200" s="32"/>
      <c r="G200" s="32"/>
      <c r="J200" s="32" t="str">
        <v>tengah</v>
      </c>
      <c r="K200" s="32"/>
      <c r="L200" s="32"/>
      <c r="O200" s="32" t="str">
        <v>kiri</v>
      </c>
      <c r="P200" s="32"/>
      <c r="Q200" s="32"/>
      <c r="T200" s="32" t="str">
        <v>kanan</v>
      </c>
      <c r="U200" s="32"/>
      <c r="V200" s="32"/>
    </row>
    <row r="201" spans="5:22">
      <c r="E201" s="32" t="str">
        <v>tengah</v>
      </c>
      <c r="F201" s="32"/>
      <c r="G201" s="32"/>
      <c r="J201" s="32" t="str">
        <v>kiri</v>
      </c>
      <c r="K201" s="32"/>
      <c r="L201" s="32"/>
      <c r="O201" s="32" t="str">
        <v>tengah</v>
      </c>
      <c r="P201" s="32"/>
      <c r="Q201" s="32"/>
      <c r="T201" s="32" t="str">
        <v>tengah</v>
      </c>
      <c r="U201" s="32"/>
      <c r="V201" s="32"/>
    </row>
    <row r="202" spans="5:22">
      <c r="E202" s="32" t="str">
        <v>tengah</v>
      </c>
      <c r="F202" s="32"/>
      <c r="G202" s="32"/>
      <c r="J202" s="32" t="str">
        <v>kiri</v>
      </c>
      <c r="K202" s="32"/>
      <c r="L202" s="32"/>
      <c r="O202" s="32" t="str">
        <v>kanan</v>
      </c>
      <c r="P202" s="32"/>
      <c r="Q202" s="32"/>
      <c r="T202" s="32" t="str">
        <v>kanan</v>
      </c>
      <c r="U202" s="32"/>
      <c r="V202" s="32"/>
    </row>
    <row r="203" spans="5:22">
      <c r="E203" s="32" t="str">
        <v>tengah</v>
      </c>
      <c r="F203" s="32"/>
      <c r="G203" s="32"/>
      <c r="J203" s="32" t="str">
        <v>kiri</v>
      </c>
      <c r="K203" s="32"/>
      <c r="L203" s="32"/>
      <c r="O203" s="32" t="str">
        <v>tengah</v>
      </c>
      <c r="P203" s="32"/>
      <c r="Q203" s="32"/>
      <c r="T203" s="32" t="str">
        <v>kanan</v>
      </c>
      <c r="U203" s="32"/>
      <c r="V203" s="32"/>
    </row>
    <row r="204" spans="5:22">
      <c r="E204" s="32" t="str">
        <v>tengah</v>
      </c>
      <c r="F204" s="32"/>
      <c r="G204" s="32"/>
      <c r="J204" s="32" t="str">
        <v>kanan</v>
      </c>
      <c r="K204" s="32"/>
      <c r="L204" s="32"/>
      <c r="O204" s="32" t="str">
        <v>tengah</v>
      </c>
      <c r="P204" s="32"/>
      <c r="Q204" s="32"/>
      <c r="T204" s="32" t="str">
        <v>tengah</v>
      </c>
      <c r="U204" s="32"/>
      <c r="V204" s="32"/>
    </row>
    <row r="205" spans="5:22">
      <c r="E205" s="32" t="str">
        <v>tengah</v>
      </c>
      <c r="F205" s="32"/>
      <c r="G205" s="32"/>
      <c r="J205" s="32" t="str">
        <v>tengah</v>
      </c>
      <c r="K205" s="32"/>
      <c r="L205" s="32"/>
      <c r="O205" s="32" t="str">
        <v>kanan</v>
      </c>
      <c r="P205" s="32"/>
      <c r="Q205" s="32"/>
      <c r="T205" s="32" t="str">
        <v>kanan</v>
      </c>
      <c r="U205" s="32"/>
      <c r="V205" s="32"/>
    </row>
    <row r="206" spans="5:22">
      <c r="E206" s="32" t="str">
        <v>tengah</v>
      </c>
      <c r="F206" s="32"/>
      <c r="G206" s="32"/>
      <c r="J206" s="32" t="str">
        <v>kiri</v>
      </c>
      <c r="K206" s="32"/>
      <c r="L206" s="32"/>
      <c r="O206" s="32" t="str">
        <v>tengah</v>
      </c>
      <c r="P206" s="32"/>
      <c r="Q206" s="32"/>
      <c r="T206" s="32" t="str">
        <v>kanan</v>
      </c>
      <c r="U206" s="32"/>
      <c r="V206" s="32"/>
    </row>
    <row r="207" spans="5:22">
      <c r="E207" s="32" t="str">
        <v>kanan</v>
      </c>
      <c r="F207" s="32"/>
      <c r="G207" s="32"/>
      <c r="J207" s="32" t="str">
        <v>tengah</v>
      </c>
      <c r="K207" s="32"/>
      <c r="L207" s="32"/>
      <c r="O207" s="32" t="str">
        <v>tengah</v>
      </c>
      <c r="P207" s="32"/>
      <c r="Q207" s="32"/>
      <c r="T207" s="32" t="str">
        <v>tengah</v>
      </c>
      <c r="U207" s="32"/>
      <c r="V207" s="32"/>
    </row>
    <row r="208" spans="5:22">
      <c r="E208" s="32" t="str">
        <v>kanan</v>
      </c>
      <c r="F208" s="32"/>
      <c r="G208" s="32"/>
      <c r="J208" s="32" t="str">
        <v>kanan</v>
      </c>
      <c r="K208" s="32"/>
      <c r="L208" s="32"/>
      <c r="O208" s="32" t="str">
        <v>kiri</v>
      </c>
      <c r="P208" s="32"/>
      <c r="Q208" s="32"/>
      <c r="T208" s="32" t="str">
        <v>kanan</v>
      </c>
      <c r="U208" s="32"/>
      <c r="V208" s="32"/>
    </row>
    <row r="209" spans="5:22">
      <c r="E209" s="32" t="str">
        <v>kiri</v>
      </c>
      <c r="F209" s="32"/>
      <c r="G209" s="32"/>
      <c r="J209" s="32" t="str">
        <v>tengah</v>
      </c>
      <c r="K209" s="32"/>
      <c r="L209" s="32"/>
      <c r="O209" s="32" t="str">
        <v>kanan</v>
      </c>
      <c r="P209" s="32"/>
      <c r="Q209" s="32"/>
      <c r="T209" s="32" t="str">
        <v>kanan</v>
      </c>
      <c r="U209" s="32"/>
      <c r="V209" s="32"/>
    </row>
    <row r="210" spans="5:22">
      <c r="E210" s="32" t="str">
        <v>kiri</v>
      </c>
      <c r="F210" s="32"/>
      <c r="G210" s="32"/>
      <c r="J210" s="32" t="str">
        <v>tengah</v>
      </c>
      <c r="K210" s="32"/>
      <c r="L210" s="32"/>
      <c r="O210" s="32" t="str">
        <v>kanan</v>
      </c>
      <c r="P210" s="32"/>
      <c r="Q210" s="32"/>
      <c r="T210" s="32" t="str">
        <v>kanan</v>
      </c>
      <c r="U210" s="32"/>
      <c r="V210" s="32"/>
    </row>
    <row r="211" spans="5:22">
      <c r="E211" s="32" t="str">
        <v>tengah</v>
      </c>
      <c r="F211" s="32"/>
      <c r="G211" s="32"/>
      <c r="J211" s="32" t="str">
        <v>tengah</v>
      </c>
      <c r="K211" s="32"/>
      <c r="L211" s="32"/>
      <c r="O211" s="32" t="str">
        <v>tengah</v>
      </c>
      <c r="P211" s="32"/>
      <c r="Q211" s="32"/>
      <c r="T211" s="32" t="str">
        <v>tengah</v>
      </c>
      <c r="U211" s="32"/>
      <c r="V211" s="32"/>
    </row>
    <row r="212" spans="5:22">
      <c r="E212" s="32" t="str">
        <v>kiri</v>
      </c>
      <c r="F212" s="32"/>
      <c r="G212" s="32"/>
      <c r="J212" s="32" t="str">
        <v>tengah</v>
      </c>
      <c r="K212" s="32"/>
      <c r="L212" s="32"/>
      <c r="O212" s="32" t="str">
        <v>tengah</v>
      </c>
      <c r="P212" s="32"/>
      <c r="Q212" s="32"/>
      <c r="T212" s="32" t="str">
        <v>tengah</v>
      </c>
      <c r="U212" s="32"/>
      <c r="V212" s="32"/>
    </row>
    <row r="213" spans="5:22">
      <c r="E213" s="32" t="str">
        <v>tengah</v>
      </c>
      <c r="F213" s="32"/>
      <c r="G213" s="32"/>
      <c r="J213" s="32" t="str">
        <v>kanan</v>
      </c>
      <c r="K213" s="32"/>
      <c r="L213" s="32"/>
      <c r="O213" s="32" t="str">
        <v>kiri</v>
      </c>
      <c r="P213" s="32"/>
      <c r="Q213" s="32"/>
      <c r="T213" s="32" t="str">
        <v>tengah</v>
      </c>
      <c r="U213" s="32"/>
      <c r="V213" s="32"/>
    </row>
    <row r="214" spans="5:22">
      <c r="E214" s="32" t="str">
        <v>tengah</v>
      </c>
      <c r="F214" s="32"/>
      <c r="G214" s="32"/>
      <c r="J214" s="32" t="str">
        <v>tengah</v>
      </c>
      <c r="K214" s="32"/>
      <c r="L214" s="32"/>
      <c r="O214" s="32" t="str">
        <v>kanan</v>
      </c>
      <c r="P214" s="32"/>
      <c r="Q214" s="32"/>
      <c r="T214" s="32" t="str">
        <v>kanan</v>
      </c>
      <c r="U214" s="32"/>
      <c r="V214" s="32"/>
    </row>
    <row r="215" spans="5:22">
      <c r="E215" s="32" t="str">
        <v>kanan</v>
      </c>
      <c r="F215" s="32"/>
      <c r="G215" s="32"/>
      <c r="J215" s="32" t="str">
        <v>tengah</v>
      </c>
      <c r="K215" s="32"/>
      <c r="L215" s="32"/>
      <c r="O215" s="32" t="str">
        <v>tengah</v>
      </c>
      <c r="P215" s="32"/>
      <c r="Q215" s="32"/>
      <c r="T215" s="32" t="str">
        <v>kanan</v>
      </c>
      <c r="U215" s="32"/>
      <c r="V215" s="32"/>
    </row>
    <row r="216" spans="5:22">
      <c r="E216" s="32" t="str">
        <v>kanan</v>
      </c>
      <c r="F216" s="32"/>
      <c r="G216" s="32"/>
      <c r="J216" s="32" t="str">
        <v>tengah</v>
      </c>
      <c r="K216" s="32"/>
      <c r="L216" s="32"/>
      <c r="O216" s="32" t="str">
        <v>tengah</v>
      </c>
      <c r="P216" s="32"/>
      <c r="Q216" s="32"/>
      <c r="T216" s="32" t="str">
        <v>kanan</v>
      </c>
      <c r="U216" s="32"/>
      <c r="V216" s="32"/>
    </row>
    <row r="217" spans="5:22">
      <c r="E217" s="32" t="str">
        <v>tengah</v>
      </c>
      <c r="F217" s="32"/>
      <c r="G217" s="32"/>
      <c r="J217" s="32" t="str">
        <v>tengah</v>
      </c>
      <c r="K217" s="32"/>
      <c r="L217" s="32"/>
      <c r="O217" s="32" t="str">
        <v>kiri</v>
      </c>
      <c r="P217" s="32"/>
      <c r="Q217" s="32"/>
      <c r="T217" s="32" t="str">
        <v>tengah</v>
      </c>
      <c r="U217" s="32"/>
      <c r="V217" s="32"/>
    </row>
    <row r="218" spans="5:22">
      <c r="E218" s="32" t="str">
        <v>tengah</v>
      </c>
      <c r="F218" s="32"/>
      <c r="G218" s="32"/>
      <c r="J218" s="32" t="str">
        <v>kiri</v>
      </c>
      <c r="K218" s="32"/>
      <c r="L218" s="32"/>
      <c r="O218" s="32" t="str">
        <v>kiri</v>
      </c>
      <c r="P218" s="32"/>
      <c r="Q218" s="32"/>
      <c r="T218" s="32" t="str">
        <v>tengah</v>
      </c>
      <c r="U218" s="32"/>
      <c r="V218" s="32"/>
    </row>
    <row r="219" spans="5:22">
      <c r="E219" s="32" t="str">
        <v>kanan</v>
      </c>
      <c r="F219" s="32"/>
      <c r="G219" s="32"/>
      <c r="J219" s="32" t="str">
        <v>tengah</v>
      </c>
      <c r="K219" s="32"/>
      <c r="L219" s="32"/>
      <c r="O219" s="32" t="str">
        <v>tengah</v>
      </c>
      <c r="P219" s="32"/>
      <c r="Q219" s="32"/>
      <c r="T219" s="32" t="str">
        <v>tengah</v>
      </c>
      <c r="U219" s="32"/>
      <c r="V219" s="32"/>
    </row>
    <row r="220" spans="5:22">
      <c r="E220" s="32" t="str">
        <v>tengah</v>
      </c>
      <c r="F220" s="32"/>
      <c r="G220" s="32"/>
      <c r="J220" s="32" t="str">
        <v>tengah</v>
      </c>
      <c r="K220" s="32"/>
      <c r="L220" s="32"/>
      <c r="O220" s="32" t="str">
        <v>kiri</v>
      </c>
      <c r="P220" s="32"/>
      <c r="Q220" s="32"/>
      <c r="T220" s="32" t="str">
        <v>tengah</v>
      </c>
      <c r="U220" s="32"/>
      <c r="V220" s="32"/>
    </row>
    <row r="221" spans="5:22">
      <c r="E221" s="32" t="str">
        <v>kiri</v>
      </c>
      <c r="F221" s="32"/>
      <c r="G221" s="32"/>
      <c r="J221" s="32" t="str">
        <v>kiri</v>
      </c>
      <c r="K221" s="32"/>
      <c r="L221" s="32"/>
      <c r="O221" s="32" t="str">
        <v>tengah</v>
      </c>
      <c r="P221" s="32"/>
      <c r="Q221" s="32"/>
      <c r="T221" s="32" t="str">
        <v>kanan</v>
      </c>
      <c r="U221" s="32"/>
      <c r="V221" s="32"/>
    </row>
    <row r="222" spans="5:22">
      <c r="E222" s="32" t="str">
        <v>tengah</v>
      </c>
      <c r="F222" s="32"/>
      <c r="G222" s="32"/>
      <c r="J222" s="32" t="str">
        <v>kanan</v>
      </c>
      <c r="K222" s="32"/>
      <c r="L222" s="32"/>
      <c r="O222" s="32" t="str">
        <v>kiri</v>
      </c>
      <c r="P222" s="32"/>
      <c r="Q222" s="32"/>
      <c r="T222" s="32" t="str">
        <v>tengah</v>
      </c>
      <c r="U222" s="32"/>
      <c r="V222" s="32"/>
    </row>
    <row r="223" spans="5:22">
      <c r="E223" s="32" t="str">
        <v>tengah</v>
      </c>
      <c r="F223" s="32"/>
      <c r="G223" s="32"/>
      <c r="J223" s="32" t="str">
        <v>kanan</v>
      </c>
      <c r="K223" s="32"/>
      <c r="L223" s="32"/>
      <c r="O223" s="32" t="str">
        <v>tengah</v>
      </c>
      <c r="P223" s="32"/>
      <c r="Q223" s="32"/>
      <c r="T223" s="32" t="str">
        <v>tengah</v>
      </c>
      <c r="U223" s="32"/>
      <c r="V223" s="32"/>
    </row>
    <row r="224" spans="5:22">
      <c r="E224" s="32" t="str">
        <v>tengah</v>
      </c>
      <c r="F224" s="32"/>
      <c r="G224" s="32"/>
      <c r="J224" s="32" t="str">
        <v>kiri</v>
      </c>
      <c r="K224" s="32"/>
      <c r="L224" s="32"/>
      <c r="O224" s="32" t="str">
        <v>kanan</v>
      </c>
      <c r="P224" s="32"/>
      <c r="Q224" s="32"/>
      <c r="T224" s="32" t="str">
        <v>tengah</v>
      </c>
      <c r="U224" s="32"/>
      <c r="V224" s="32"/>
    </row>
    <row r="225" spans="5:22">
      <c r="E225" s="32" t="str">
        <v>kiri</v>
      </c>
      <c r="F225" s="32"/>
      <c r="G225" s="32"/>
      <c r="J225" s="32" t="str">
        <v>kiri</v>
      </c>
      <c r="K225" s="32"/>
      <c r="L225" s="32"/>
      <c r="O225" s="32" t="str">
        <v>kanan</v>
      </c>
      <c r="P225" s="32"/>
      <c r="Q225" s="32"/>
      <c r="T225" s="32" t="str">
        <v>kanan</v>
      </c>
      <c r="U225" s="32"/>
      <c r="V225" s="32"/>
    </row>
    <row r="226" spans="5:22">
      <c r="E226" s="32" t="str">
        <v>kiri</v>
      </c>
      <c r="F226" s="32"/>
      <c r="G226" s="32"/>
      <c r="J226" s="32" t="str">
        <v>kiri</v>
      </c>
      <c r="K226" s="32"/>
      <c r="L226" s="32"/>
      <c r="O226" s="32" t="str">
        <v>kanan</v>
      </c>
      <c r="P226" s="32"/>
      <c r="Q226" s="32"/>
      <c r="T226" s="32" t="str">
        <v>tengah</v>
      </c>
      <c r="U226" s="32"/>
      <c r="V226" s="32"/>
    </row>
    <row r="227" spans="5:22">
      <c r="E227" s="32" t="str">
        <v>kiri</v>
      </c>
      <c r="F227" s="32"/>
      <c r="G227" s="32"/>
      <c r="J227" s="32" t="str">
        <v>tengah</v>
      </c>
      <c r="K227" s="32"/>
      <c r="L227" s="32"/>
      <c r="O227" s="32" t="str">
        <v>tengah</v>
      </c>
      <c r="P227" s="32"/>
      <c r="Q227" s="32"/>
      <c r="T227" s="32" t="str">
        <v>kanan</v>
      </c>
      <c r="U227" s="32"/>
      <c r="V227" s="32"/>
    </row>
    <row r="228" spans="5:22">
      <c r="E228" s="32" t="str">
        <v>kanan</v>
      </c>
      <c r="F228" s="32"/>
      <c r="G228" s="32"/>
      <c r="J228" s="32" t="str">
        <v>tengah</v>
      </c>
      <c r="K228" s="32"/>
      <c r="L228" s="32"/>
      <c r="O228" s="32" t="str">
        <v>tengah</v>
      </c>
      <c r="P228" s="32"/>
      <c r="Q228" s="32"/>
      <c r="T228" s="32" t="str">
        <v>tengah</v>
      </c>
      <c r="U228" s="32"/>
      <c r="V228" s="32"/>
    </row>
    <row r="229" spans="5:22">
      <c r="E229" s="32" t="str">
        <v>tengah</v>
      </c>
      <c r="F229" s="32"/>
      <c r="G229" s="32"/>
      <c r="J229" s="32" t="str">
        <v>tengah</v>
      </c>
      <c r="K229" s="32"/>
      <c r="L229" s="32"/>
      <c r="O229" s="32" t="str">
        <v>kiri</v>
      </c>
      <c r="P229" s="32"/>
      <c r="Q229" s="32"/>
      <c r="T229" s="32" t="str">
        <v>tengah</v>
      </c>
      <c r="U229" s="32"/>
      <c r="V229" s="32"/>
    </row>
    <row r="230" spans="5:22">
      <c r="E230" s="32" t="str">
        <v>tengah</v>
      </c>
      <c r="F230" s="32"/>
      <c r="G230" s="32"/>
      <c r="J230" s="32" t="str">
        <v>tengah</v>
      </c>
      <c r="K230" s="32"/>
      <c r="L230" s="32"/>
      <c r="O230" s="32" t="str">
        <v>kiri</v>
      </c>
      <c r="P230" s="32"/>
      <c r="Q230" s="32"/>
      <c r="T230" s="32" t="str">
        <v>kanan</v>
      </c>
      <c r="U230" s="32"/>
      <c r="V230" s="32"/>
    </row>
    <row r="231" spans="5:22">
      <c r="E231" s="32" t="str">
        <v>kanan</v>
      </c>
      <c r="F231" s="32"/>
      <c r="G231" s="32"/>
      <c r="J231" s="32" t="str">
        <v>tengah</v>
      </c>
      <c r="K231" s="32"/>
      <c r="L231" s="32"/>
      <c r="O231" s="32" t="str">
        <v>kanan</v>
      </c>
      <c r="P231" s="32"/>
      <c r="Q231" s="32"/>
      <c r="T231" s="32" t="str">
        <v>kanan</v>
      </c>
      <c r="U231" s="32"/>
      <c r="V231" s="32"/>
    </row>
    <row r="232" spans="5:22">
      <c r="E232" s="32" t="str">
        <v>kiri</v>
      </c>
      <c r="F232" s="32"/>
      <c r="G232" s="32"/>
      <c r="J232" s="32" t="str">
        <v>tengah</v>
      </c>
      <c r="K232" s="32"/>
      <c r="L232" s="32"/>
      <c r="O232" s="32" t="str">
        <v>kanan</v>
      </c>
      <c r="P232" s="32"/>
      <c r="Q232" s="32"/>
      <c r="T232" s="32" t="str">
        <v>tengah</v>
      </c>
      <c r="U232" s="32"/>
      <c r="V232" s="32"/>
    </row>
    <row r="233" spans="5:22">
      <c r="E233" s="32" t="str">
        <v>kiri</v>
      </c>
      <c r="F233" s="32"/>
      <c r="G233" s="32"/>
      <c r="J233" s="32" t="str">
        <v>kiri</v>
      </c>
      <c r="K233" s="32"/>
      <c r="L233" s="32"/>
      <c r="O233" s="32" t="str">
        <v>tengah</v>
      </c>
      <c r="P233" s="32"/>
      <c r="Q233" s="32"/>
      <c r="T233" s="32" t="str">
        <v>kanan</v>
      </c>
      <c r="U233" s="32"/>
      <c r="V233" s="32"/>
    </row>
    <row r="234" spans="5:22">
      <c r="E234" s="32" t="str">
        <v>kanan</v>
      </c>
      <c r="F234" s="32"/>
      <c r="G234" s="32"/>
      <c r="J234" s="32" t="str">
        <v>kanan</v>
      </c>
      <c r="K234" s="32"/>
      <c r="L234" s="32"/>
      <c r="O234" s="32" t="str">
        <v>tengah</v>
      </c>
      <c r="P234" s="32"/>
      <c r="Q234" s="32"/>
      <c r="T234" s="32" t="str">
        <v>tengah</v>
      </c>
      <c r="U234" s="32"/>
      <c r="V234" s="32"/>
    </row>
    <row r="235" spans="5:22">
      <c r="E235" s="32" t="str">
        <v>tengah</v>
      </c>
      <c r="F235" s="32"/>
      <c r="G235" s="32"/>
      <c r="J235" s="32" t="str">
        <v>tengah</v>
      </c>
      <c r="K235" s="32"/>
      <c r="L235" s="32"/>
      <c r="O235" s="32" t="str">
        <v>tengah</v>
      </c>
      <c r="P235" s="32"/>
      <c r="Q235" s="32"/>
      <c r="T235" s="32" t="str">
        <v>kanan</v>
      </c>
      <c r="U235" s="32"/>
      <c r="V235" s="32"/>
    </row>
    <row r="236" spans="5:22">
      <c r="E236" s="32" t="str">
        <v>tengah</v>
      </c>
      <c r="F236" s="32"/>
      <c r="G236" s="32"/>
      <c r="J236" s="32" t="str">
        <v>kanan</v>
      </c>
      <c r="K236" s="32"/>
      <c r="L236" s="32"/>
      <c r="O236" s="32" t="str">
        <v>tengah</v>
      </c>
      <c r="P236" s="32"/>
      <c r="Q236" s="32"/>
      <c r="T236" s="32" t="str">
        <v>kanan</v>
      </c>
      <c r="U236" s="32"/>
      <c r="V236" s="32"/>
    </row>
    <row r="237" spans="5:22">
      <c r="E237" s="32" t="str">
        <v>kanan</v>
      </c>
      <c r="F237" s="32"/>
      <c r="G237" s="32"/>
      <c r="J237" s="32" t="str">
        <v>tengah</v>
      </c>
      <c r="K237" s="32"/>
      <c r="L237" s="32"/>
      <c r="O237" s="32" t="str">
        <v>tengah</v>
      </c>
      <c r="P237" s="32"/>
      <c r="Q237" s="32"/>
      <c r="T237" s="32" t="str">
        <v>tengah</v>
      </c>
      <c r="U237" s="32"/>
      <c r="V237" s="32"/>
    </row>
    <row r="238" spans="5:22">
      <c r="E238" s="32" t="str">
        <v>tengah</v>
      </c>
      <c r="F238" s="32"/>
      <c r="G238" s="32"/>
      <c r="J238" s="32" t="str">
        <v>kiri</v>
      </c>
      <c r="K238" s="32"/>
      <c r="L238" s="32"/>
      <c r="O238" s="32" t="str">
        <v>tengah</v>
      </c>
      <c r="P238" s="32"/>
      <c r="Q238" s="32"/>
      <c r="T238" s="32" t="str">
        <v>kanan</v>
      </c>
      <c r="U238" s="32"/>
      <c r="V238" s="32"/>
    </row>
    <row r="239" spans="5:22">
      <c r="E239" s="32" t="str">
        <v>tengah</v>
      </c>
      <c r="F239" s="32"/>
      <c r="G239" s="32"/>
      <c r="J239" s="32" t="str">
        <v>tengah</v>
      </c>
      <c r="K239" s="32"/>
      <c r="L239" s="32"/>
      <c r="O239" s="32" t="str">
        <v>kiri</v>
      </c>
      <c r="P239" s="32"/>
      <c r="Q239" s="32"/>
      <c r="T239" s="32" t="str">
        <v>kanan</v>
      </c>
      <c r="U239" s="32"/>
      <c r="V239" s="32"/>
    </row>
    <row r="240" spans="5:22">
      <c r="E240" s="32" t="str">
        <v>tengah</v>
      </c>
      <c r="F240" s="32"/>
      <c r="G240" s="32"/>
      <c r="J240" s="32" t="str">
        <v>kanan</v>
      </c>
      <c r="K240" s="32"/>
      <c r="L240" s="32"/>
      <c r="O240" s="32" t="str">
        <v>tengah</v>
      </c>
      <c r="P240" s="32"/>
      <c r="Q240" s="32"/>
      <c r="T240" s="32" t="str">
        <v>tengah</v>
      </c>
      <c r="U240" s="32"/>
      <c r="V240" s="32"/>
    </row>
    <row r="241" spans="5:22">
      <c r="E241" s="32" t="str">
        <v>kanan</v>
      </c>
      <c r="F241" s="32"/>
      <c r="G241" s="32"/>
      <c r="J241" s="32" t="str">
        <v>kiri</v>
      </c>
      <c r="K241" s="32"/>
      <c r="L241" s="32"/>
      <c r="O241" s="32" t="str">
        <v>kiri</v>
      </c>
      <c r="P241" s="32"/>
      <c r="Q241" s="32"/>
      <c r="T241" s="32" t="str">
        <v>tengah</v>
      </c>
      <c r="U241" s="32"/>
      <c r="V241" s="32"/>
    </row>
    <row r="242" spans="5:22">
      <c r="E242" s="32" t="str">
        <v>tengah</v>
      </c>
      <c r="F242" s="32"/>
      <c r="G242" s="32"/>
      <c r="J242" s="32" t="str">
        <v>kanan</v>
      </c>
      <c r="K242" s="32"/>
      <c r="L242" s="32"/>
      <c r="O242" s="32" t="str">
        <v>kiri</v>
      </c>
      <c r="P242" s="32"/>
      <c r="Q242" s="32"/>
      <c r="T242" s="32" t="str">
        <v>tengah</v>
      </c>
      <c r="U242" s="32"/>
      <c r="V242" s="32"/>
    </row>
    <row r="243" spans="5:22">
      <c r="E243" s="32" t="str">
        <v>tengah</v>
      </c>
      <c r="F243" s="32"/>
      <c r="G243" s="32"/>
      <c r="J243" s="32" t="str">
        <v>tengah</v>
      </c>
      <c r="K243" s="32"/>
      <c r="L243" s="32"/>
      <c r="O243" s="32" t="str">
        <v>kiri</v>
      </c>
      <c r="P243" s="32"/>
      <c r="Q243" s="32"/>
      <c r="T243" s="32" t="str">
        <v>kanan</v>
      </c>
      <c r="U243" s="32"/>
      <c r="V243" s="32"/>
    </row>
    <row r="244" spans="5:22">
      <c r="E244" s="32" t="str">
        <v>kanan</v>
      </c>
      <c r="F244" s="32"/>
      <c r="G244" s="32"/>
      <c r="J244" s="32" t="str">
        <v>tengah</v>
      </c>
      <c r="K244" s="32"/>
      <c r="L244" s="32"/>
      <c r="O244" s="32" t="str">
        <v>kanan</v>
      </c>
      <c r="P244" s="32"/>
      <c r="Q244" s="32"/>
      <c r="T244" s="32" t="str">
        <v>kanan</v>
      </c>
      <c r="U244" s="32"/>
      <c r="V244" s="32"/>
    </row>
    <row r="245" spans="5:22">
      <c r="E245" s="32" t="str">
        <v>tengah</v>
      </c>
      <c r="F245" s="32"/>
      <c r="G245" s="32"/>
      <c r="J245" s="32" t="str">
        <v>tengah</v>
      </c>
      <c r="K245" s="32"/>
      <c r="L245" s="32"/>
      <c r="O245" s="32" t="str">
        <v>tengah</v>
      </c>
      <c r="P245" s="32"/>
      <c r="Q245" s="32"/>
      <c r="T245" s="32" t="str">
        <v>tengah</v>
      </c>
      <c r="U245" s="32"/>
      <c r="V245" s="32"/>
    </row>
    <row r="246" spans="5:22">
      <c r="E246" s="32" t="str">
        <v>kanan</v>
      </c>
      <c r="F246" s="32"/>
      <c r="G246" s="32"/>
      <c r="J246" s="32" t="str">
        <v>kanan</v>
      </c>
      <c r="K246" s="32"/>
      <c r="L246" s="32"/>
      <c r="O246" s="32" t="str">
        <v>kiri</v>
      </c>
      <c r="P246" s="32"/>
      <c r="Q246" s="32"/>
      <c r="T246" s="32" t="str">
        <v>tengah</v>
      </c>
      <c r="U246" s="32"/>
      <c r="V246" s="32"/>
    </row>
    <row r="247" spans="5:22">
      <c r="E247" s="32" t="str">
        <v>tengah</v>
      </c>
      <c r="F247" s="32"/>
      <c r="G247" s="32"/>
      <c r="J247" s="32" t="str">
        <v>tengah</v>
      </c>
      <c r="K247" s="32"/>
      <c r="L247" s="32"/>
      <c r="O247" s="32" t="str">
        <v>tengah</v>
      </c>
      <c r="P247" s="32"/>
      <c r="Q247" s="32"/>
      <c r="T247" s="32" t="str">
        <v>tengah</v>
      </c>
      <c r="U247" s="32"/>
      <c r="V247" s="32"/>
    </row>
    <row r="248" spans="5:22">
      <c r="E248" s="32" t="str">
        <v>tengah</v>
      </c>
      <c r="F248" s="32"/>
      <c r="G248" s="32"/>
      <c r="J248" s="32" t="str">
        <v>kanan</v>
      </c>
      <c r="K248" s="32"/>
      <c r="L248" s="32"/>
      <c r="O248" s="32" t="str">
        <v>kiri</v>
      </c>
      <c r="P248" s="32"/>
      <c r="Q248" s="32"/>
      <c r="T248" s="32" t="str">
        <v>tengah</v>
      </c>
      <c r="U248" s="32"/>
      <c r="V248" s="32"/>
    </row>
    <row r="249" spans="5:22">
      <c r="E249" s="32" t="str">
        <v>kiri</v>
      </c>
      <c r="F249" s="32"/>
      <c r="G249" s="32"/>
      <c r="J249" s="32" t="str">
        <v>tengah</v>
      </c>
      <c r="K249" s="32"/>
      <c r="L249" s="32"/>
      <c r="O249" s="32" t="str">
        <v>kiri</v>
      </c>
      <c r="P249" s="32"/>
      <c r="Q249" s="32"/>
      <c r="T249" s="32" t="str">
        <v>tengah</v>
      </c>
      <c r="U249" s="32"/>
      <c r="V249" s="32"/>
    </row>
    <row r="250" spans="5:22">
      <c r="E250" s="32" t="str">
        <v>tengah</v>
      </c>
      <c r="F250" s="32"/>
      <c r="G250" s="32"/>
      <c r="J250" s="32" t="str">
        <v>kanan</v>
      </c>
      <c r="K250" s="32"/>
      <c r="L250" s="32"/>
      <c r="O250" s="32" t="str">
        <v>kiri</v>
      </c>
      <c r="P250" s="32"/>
      <c r="Q250" s="32"/>
      <c r="T250" s="32" t="str">
        <v>kanan</v>
      </c>
      <c r="U250" s="32"/>
      <c r="V250" s="32"/>
    </row>
    <row r="251" spans="5:22">
      <c r="E251" s="32" t="str">
        <v>tengah</v>
      </c>
      <c r="F251" s="32"/>
      <c r="G251" s="32"/>
      <c r="J251" s="32" t="str">
        <v>tengah</v>
      </c>
      <c r="K251" s="32"/>
      <c r="L251" s="32"/>
      <c r="O251" s="32" t="str">
        <v>tengah</v>
      </c>
      <c r="P251" s="32"/>
      <c r="Q251" s="32"/>
      <c r="T251" s="32" t="str">
        <v>kanan</v>
      </c>
      <c r="U251" s="32"/>
      <c r="V251" s="32"/>
    </row>
    <row r="252" spans="5:22">
      <c r="E252" s="32" t="str">
        <v>kiri</v>
      </c>
      <c r="F252" s="32"/>
      <c r="G252" s="32"/>
      <c r="J252" s="32" t="str">
        <v>tengah</v>
      </c>
      <c r="K252" s="32"/>
      <c r="L252" s="32"/>
      <c r="O252" s="32" t="str">
        <v>tengah</v>
      </c>
      <c r="P252" s="32"/>
      <c r="Q252" s="32"/>
      <c r="T252" s="32" t="str">
        <v>kanan</v>
      </c>
      <c r="U252" s="32"/>
      <c r="V252" s="32"/>
    </row>
    <row r="253" spans="5:22">
      <c r="E253" s="32" t="str">
        <v>tengah</v>
      </c>
      <c r="F253" s="32"/>
      <c r="G253" s="32"/>
      <c r="J253" s="32" t="str">
        <v>kiri</v>
      </c>
      <c r="K253" s="32"/>
      <c r="L253" s="32"/>
      <c r="O253" s="32" t="str">
        <v>tengah</v>
      </c>
      <c r="P253" s="32"/>
      <c r="Q253" s="32"/>
      <c r="T253" s="32" t="str">
        <v>kanan</v>
      </c>
      <c r="U253" s="32"/>
      <c r="V253" s="32"/>
    </row>
    <row r="254" spans="5:22">
      <c r="E254" s="32" t="str">
        <v>tengah</v>
      </c>
      <c r="F254" s="32"/>
      <c r="G254" s="32"/>
      <c r="J254" s="32" t="str">
        <v>tengah</v>
      </c>
      <c r="K254" s="32"/>
      <c r="L254" s="32"/>
      <c r="O254" s="32" t="str">
        <v>kiri</v>
      </c>
      <c r="P254" s="32"/>
      <c r="Q254" s="32"/>
      <c r="T254" s="32" t="str">
        <v>kanan</v>
      </c>
      <c r="U254" s="32"/>
      <c r="V254" s="32"/>
    </row>
    <row r="255" spans="5:22">
      <c r="E255" s="32" t="str">
        <v>tengah</v>
      </c>
      <c r="F255" s="32"/>
      <c r="G255" s="32"/>
      <c r="J255" s="32" t="str">
        <v>kiri</v>
      </c>
      <c r="K255" s="32"/>
      <c r="L255" s="32"/>
      <c r="O255" s="32" t="str">
        <v>tengah</v>
      </c>
      <c r="P255" s="32"/>
      <c r="Q255" s="32"/>
      <c r="T255" s="32" t="str">
        <v>kanan</v>
      </c>
      <c r="U255" s="32"/>
      <c r="V255" s="32"/>
    </row>
    <row r="256" spans="5:22">
      <c r="E256" s="32" t="str">
        <v>tengah</v>
      </c>
      <c r="F256" s="32"/>
      <c r="G256" s="32"/>
      <c r="J256" s="32" t="str">
        <v>kiri</v>
      </c>
      <c r="K256" s="32"/>
      <c r="L256" s="32"/>
      <c r="O256" s="32" t="str">
        <v>tengah</v>
      </c>
      <c r="P256" s="32"/>
      <c r="Q256" s="32"/>
      <c r="T256" s="32" t="str">
        <v>tengah</v>
      </c>
      <c r="U256" s="32"/>
      <c r="V256" s="32"/>
    </row>
    <row r="257" spans="5:22">
      <c r="E257" s="32" t="str">
        <v>tengah</v>
      </c>
      <c r="F257" s="32"/>
      <c r="G257" s="32"/>
      <c r="J257" s="32" t="str">
        <v>kiri</v>
      </c>
      <c r="K257" s="32"/>
      <c r="L257" s="32"/>
      <c r="O257" s="32" t="str">
        <v>kiri</v>
      </c>
      <c r="P257" s="32"/>
      <c r="Q257" s="32"/>
      <c r="T257" s="32" t="str">
        <v>kanan</v>
      </c>
      <c r="U257" s="32"/>
      <c r="V257" s="32"/>
    </row>
    <row r="258" spans="5:22">
      <c r="E258" s="32" t="str">
        <v>kiri</v>
      </c>
      <c r="F258" s="32"/>
      <c r="G258" s="32"/>
      <c r="J258" s="32" t="str">
        <v>kanan</v>
      </c>
      <c r="K258" s="32"/>
      <c r="L258" s="32"/>
      <c r="O258" s="32" t="str">
        <v>tengah</v>
      </c>
      <c r="P258" s="32"/>
      <c r="Q258" s="32"/>
      <c r="T258" s="32" t="str">
        <v>kanan</v>
      </c>
      <c r="U258" s="32"/>
      <c r="V258" s="32"/>
    </row>
    <row r="259" spans="5:22">
      <c r="E259" s="32" t="str">
        <v>tengah</v>
      </c>
      <c r="F259" s="32"/>
      <c r="G259" s="32"/>
      <c r="J259" s="32" t="str">
        <v>tengah</v>
      </c>
      <c r="K259" s="32"/>
      <c r="L259" s="32"/>
      <c r="O259" s="32" t="str">
        <v>tengah</v>
      </c>
      <c r="P259" s="32"/>
      <c r="Q259" s="32"/>
      <c r="T259" s="32" t="str">
        <v>tengah</v>
      </c>
      <c r="U259" s="32"/>
      <c r="V259" s="32"/>
    </row>
    <row r="260" spans="5:22">
      <c r="E260" s="32" t="str">
        <v>kiri</v>
      </c>
      <c r="F260" s="32"/>
      <c r="G260" s="32"/>
      <c r="J260" s="32" t="str">
        <v>kiri</v>
      </c>
      <c r="K260" s="32"/>
      <c r="L260" s="32"/>
      <c r="O260" s="32" t="str">
        <v>kiri</v>
      </c>
      <c r="P260" s="32"/>
      <c r="Q260" s="32"/>
      <c r="T260" s="32" t="str">
        <v>tengah</v>
      </c>
      <c r="U260" s="32"/>
      <c r="V260" s="32"/>
    </row>
    <row r="261" spans="5:22">
      <c r="E261" s="32" t="str">
        <v>kanan</v>
      </c>
      <c r="F261" s="32"/>
      <c r="G261" s="32"/>
      <c r="J261" s="32" t="str">
        <v>kiri</v>
      </c>
      <c r="K261" s="32"/>
      <c r="L261" s="32"/>
      <c r="O261" s="32" t="str">
        <v>tengah</v>
      </c>
      <c r="P261" s="32"/>
      <c r="Q261" s="32"/>
      <c r="T261" s="32" t="str">
        <v>kanan</v>
      </c>
      <c r="U261" s="32"/>
      <c r="V261" s="32"/>
    </row>
    <row r="262" spans="5:22">
      <c r="E262" s="32" t="str">
        <v>tengah</v>
      </c>
      <c r="F262" s="32"/>
      <c r="G262" s="32"/>
      <c r="J262" s="32" t="str">
        <v>tengah</v>
      </c>
      <c r="K262" s="32"/>
      <c r="L262" s="32"/>
      <c r="O262" s="32" t="str">
        <v>kanan</v>
      </c>
      <c r="P262" s="32"/>
      <c r="Q262" s="32"/>
      <c r="T262" s="32" t="str">
        <v>kanan</v>
      </c>
      <c r="U262" s="32"/>
      <c r="V262" s="32"/>
    </row>
    <row r="263" spans="5:22">
      <c r="E263" s="32" t="str">
        <v>kiri</v>
      </c>
      <c r="F263" s="32"/>
      <c r="G263" s="32"/>
      <c r="J263" s="32" t="str">
        <v>tengah</v>
      </c>
      <c r="K263" s="32"/>
      <c r="L263" s="32"/>
      <c r="O263" s="32" t="str">
        <v>kiri</v>
      </c>
      <c r="P263" s="32"/>
      <c r="Q263" s="32"/>
      <c r="T263" s="32" t="str">
        <v>tengah</v>
      </c>
      <c r="U263" s="32"/>
      <c r="V263" s="32"/>
    </row>
    <row r="264" spans="5:22">
      <c r="E264" s="32" t="str">
        <v>kanan</v>
      </c>
      <c r="F264" s="32"/>
      <c r="G264" s="32"/>
      <c r="J264" s="32" t="str">
        <v>tengah</v>
      </c>
      <c r="K264" s="32"/>
      <c r="L264" s="32"/>
      <c r="O264" s="32" t="str">
        <v>kanan</v>
      </c>
      <c r="P264" s="32"/>
      <c r="Q264" s="32"/>
      <c r="T264" s="32" t="str">
        <v>kanan</v>
      </c>
      <c r="U264" s="32"/>
      <c r="V264" s="32"/>
    </row>
    <row r="265" spans="5:22">
      <c r="E265" s="32" t="str">
        <v>kiri</v>
      </c>
      <c r="F265" s="32"/>
      <c r="G265" s="32"/>
      <c r="J265" s="32" t="str">
        <v>kiri</v>
      </c>
      <c r="K265" s="32"/>
      <c r="L265" s="32"/>
      <c r="O265" s="32" t="str">
        <v>kiri</v>
      </c>
      <c r="P265" s="32"/>
      <c r="Q265" s="32"/>
      <c r="T265" s="32" t="str">
        <v>kanan</v>
      </c>
      <c r="U265" s="32"/>
      <c r="V265" s="32"/>
    </row>
    <row r="266" spans="5:22">
      <c r="E266" s="32" t="str">
        <v>kiri</v>
      </c>
      <c r="F266" s="32"/>
      <c r="G266" s="32"/>
      <c r="J266" s="32" t="str">
        <v>kiri</v>
      </c>
      <c r="K266" s="32"/>
      <c r="L266" s="32"/>
      <c r="O266" s="32" t="str">
        <v>kanan</v>
      </c>
      <c r="P266" s="32"/>
      <c r="Q266" s="32"/>
      <c r="T266" s="32" t="str">
        <v>kanan</v>
      </c>
      <c r="U266" s="32"/>
      <c r="V266" s="32"/>
    </row>
    <row r="267" spans="5:22">
      <c r="E267" s="32" t="str">
        <v>kiri</v>
      </c>
      <c r="F267" s="32"/>
      <c r="G267" s="32"/>
      <c r="J267" s="32" t="str">
        <v>tengah</v>
      </c>
      <c r="K267" s="32"/>
      <c r="L267" s="32"/>
      <c r="O267" s="32" t="str">
        <v>tengah</v>
      </c>
      <c r="P267" s="32"/>
      <c r="Q267" s="32"/>
      <c r="T267" s="32" t="str">
        <v>tengah</v>
      </c>
      <c r="U267" s="32"/>
      <c r="V267" s="32"/>
    </row>
    <row r="268" spans="5:22">
      <c r="E268" s="32" t="str">
        <v>tengah</v>
      </c>
      <c r="F268" s="32"/>
      <c r="G268" s="32"/>
      <c r="J268" s="32" t="str">
        <v>kanan</v>
      </c>
      <c r="K268" s="32"/>
      <c r="L268" s="32"/>
      <c r="O268" s="32" t="str">
        <v>kiri</v>
      </c>
      <c r="P268" s="32"/>
      <c r="Q268" s="32"/>
      <c r="T268" s="32" t="str">
        <v>tengah</v>
      </c>
      <c r="U268" s="32"/>
      <c r="V268" s="32"/>
    </row>
    <row r="269" spans="5:22">
      <c r="E269" s="32" t="str">
        <v>tengah</v>
      </c>
      <c r="F269" s="32"/>
      <c r="G269" s="32"/>
      <c r="J269" s="32" t="str">
        <v>kanan</v>
      </c>
      <c r="K269" s="32"/>
      <c r="L269" s="32"/>
      <c r="O269" s="32" t="str">
        <v>kiri</v>
      </c>
      <c r="P269" s="32"/>
      <c r="Q269" s="32"/>
      <c r="T269" s="32" t="str">
        <v>tengah</v>
      </c>
      <c r="U269" s="32"/>
      <c r="V269" s="32"/>
    </row>
    <row r="270" spans="5:22">
      <c r="E270" s="32" t="str">
        <v>tengah</v>
      </c>
      <c r="F270" s="32"/>
      <c r="G270" s="32"/>
      <c r="J270" s="32" t="str">
        <v>kanan</v>
      </c>
      <c r="K270" s="32"/>
      <c r="L270" s="32"/>
      <c r="O270" s="32" t="str">
        <v>tengah</v>
      </c>
      <c r="P270" s="32"/>
      <c r="Q270" s="32"/>
      <c r="T270" s="32" t="str">
        <v>tengah</v>
      </c>
      <c r="U270" s="32"/>
      <c r="V270" s="32"/>
    </row>
    <row r="271" spans="5:22">
      <c r="E271" s="32" t="str">
        <v>kiri</v>
      </c>
      <c r="F271" s="32"/>
      <c r="G271" s="32"/>
      <c r="J271" s="32" t="str">
        <v>tengah</v>
      </c>
      <c r="K271" s="32"/>
      <c r="L271" s="32"/>
      <c r="O271" s="32" t="str">
        <v>tengah</v>
      </c>
      <c r="P271" s="32"/>
      <c r="Q271" s="32"/>
      <c r="T271" s="32" t="str">
        <v>kanan</v>
      </c>
      <c r="U271" s="32"/>
      <c r="V271" s="32"/>
    </row>
    <row r="272" spans="5:22">
      <c r="E272" s="32" t="str">
        <v>tengah</v>
      </c>
      <c r="F272" s="32"/>
      <c r="G272" s="32"/>
      <c r="J272" s="32" t="str">
        <v>kiri</v>
      </c>
      <c r="K272" s="32"/>
      <c r="L272" s="32"/>
      <c r="O272" s="32" t="str">
        <v>kiri</v>
      </c>
      <c r="P272" s="32"/>
      <c r="Q272" s="32"/>
      <c r="T272" s="32" t="str">
        <v>kanan</v>
      </c>
      <c r="U272" s="32"/>
      <c r="V272" s="32"/>
    </row>
    <row r="273" spans="5:22">
      <c r="E273" s="32" t="str">
        <v>tengah</v>
      </c>
      <c r="F273" s="32"/>
      <c r="G273" s="32"/>
      <c r="J273" s="32" t="str">
        <v>tengah</v>
      </c>
      <c r="K273" s="32"/>
      <c r="L273" s="32"/>
      <c r="O273" s="32" t="str">
        <v>kiri</v>
      </c>
      <c r="P273" s="32"/>
      <c r="Q273" s="32"/>
      <c r="T273" s="32" t="str">
        <v>tengah</v>
      </c>
      <c r="U273" s="32"/>
      <c r="V273" s="32"/>
    </row>
    <row r="274" spans="5:22">
      <c r="E274" s="32" t="str">
        <v>kiri</v>
      </c>
      <c r="F274" s="32"/>
      <c r="G274" s="32"/>
      <c r="J274" s="32" t="str">
        <v>tengah</v>
      </c>
      <c r="K274" s="32"/>
      <c r="L274" s="32"/>
      <c r="O274" s="32" t="str">
        <v>kanan</v>
      </c>
      <c r="P274" s="32"/>
      <c r="Q274" s="32"/>
      <c r="T274" s="32" t="str">
        <v>tengah</v>
      </c>
      <c r="U274" s="32"/>
      <c r="V274" s="32"/>
    </row>
    <row r="275" spans="5:22">
      <c r="E275" s="32" t="str">
        <v>kiri</v>
      </c>
      <c r="F275" s="32"/>
      <c r="G275" s="32"/>
      <c r="J275" s="32" t="str">
        <v>kiri</v>
      </c>
      <c r="K275" s="32"/>
      <c r="L275" s="32"/>
      <c r="O275" s="32" t="str">
        <v>kanan</v>
      </c>
      <c r="P275" s="32"/>
      <c r="Q275" s="32"/>
      <c r="T275" s="32" t="str">
        <v>tengah</v>
      </c>
      <c r="U275" s="32"/>
      <c r="V275" s="32"/>
    </row>
    <row r="276" spans="5:22">
      <c r="E276" s="32" t="str">
        <v>kiri</v>
      </c>
      <c r="F276" s="32"/>
      <c r="G276" s="32"/>
      <c r="J276" s="32" t="str">
        <v>tengah</v>
      </c>
      <c r="K276" s="32"/>
      <c r="L276" s="32"/>
      <c r="O276" s="32" t="str">
        <v>tengah</v>
      </c>
      <c r="P276" s="32"/>
      <c r="Q276" s="32"/>
      <c r="T276" s="32" t="str">
        <v>kanan</v>
      </c>
      <c r="U276" s="32"/>
      <c r="V276" s="32"/>
    </row>
    <row r="277" spans="5:22">
      <c r="E277" s="32" t="str">
        <v>kiri</v>
      </c>
      <c r="F277" s="32"/>
      <c r="G277" s="32"/>
      <c r="J277" s="32" t="str">
        <v>kiri</v>
      </c>
      <c r="K277" s="32"/>
      <c r="L277" s="32"/>
      <c r="O277" s="32" t="str">
        <v>kanan</v>
      </c>
      <c r="P277" s="32"/>
      <c r="Q277" s="32"/>
      <c r="T277" s="32" t="str">
        <v>kanan</v>
      </c>
      <c r="U277" s="32"/>
      <c r="V277" s="32"/>
    </row>
    <row r="278" spans="5:22">
      <c r="E278" s="32" t="str">
        <v>tengah</v>
      </c>
      <c r="F278" s="32"/>
      <c r="G278" s="32"/>
      <c r="J278" s="32" t="str">
        <v>tengah</v>
      </c>
      <c r="K278" s="32"/>
      <c r="L278" s="32"/>
      <c r="O278" s="32" t="str">
        <v>kiri</v>
      </c>
      <c r="P278" s="32"/>
      <c r="Q278" s="32"/>
      <c r="T278" s="32" t="str">
        <v>tengah</v>
      </c>
      <c r="U278" s="32"/>
      <c r="V278" s="32"/>
    </row>
    <row r="279" spans="5:22">
      <c r="E279" s="32" t="str">
        <v>kiri</v>
      </c>
      <c r="F279" s="32"/>
      <c r="G279" s="32"/>
      <c r="J279" s="32" t="str">
        <v>tengah</v>
      </c>
      <c r="K279" s="32"/>
      <c r="L279" s="32"/>
      <c r="O279" s="32" t="str">
        <v>tengah</v>
      </c>
      <c r="P279" s="32"/>
      <c r="Q279" s="32"/>
      <c r="T279" s="32" t="str">
        <v>tengah</v>
      </c>
      <c r="U279" s="32"/>
      <c r="V279" s="32"/>
    </row>
    <row r="280" spans="5:22">
      <c r="E280" s="32" t="str">
        <v>tengah</v>
      </c>
      <c r="F280" s="32"/>
      <c r="G280" s="32"/>
      <c r="J280" s="32" t="str">
        <v>tengah</v>
      </c>
      <c r="K280" s="32"/>
      <c r="L280" s="32"/>
      <c r="O280" s="32" t="str">
        <v>kiri</v>
      </c>
      <c r="P280" s="32"/>
      <c r="Q280" s="32"/>
      <c r="T280" s="32" t="str">
        <v>tengah</v>
      </c>
      <c r="U280" s="32"/>
      <c r="V280" s="32"/>
    </row>
    <row r="281" spans="5:22">
      <c r="E281" s="32" t="str">
        <v>kiri</v>
      </c>
      <c r="F281" s="32"/>
      <c r="G281" s="32"/>
      <c r="J281" s="32" t="str">
        <v>tengah</v>
      </c>
      <c r="K281" s="32"/>
      <c r="L281" s="32"/>
      <c r="O281" s="32" t="str">
        <v>tengah</v>
      </c>
      <c r="P281" s="32"/>
      <c r="Q281" s="32"/>
      <c r="T281" s="32" t="str">
        <v>tengah</v>
      </c>
      <c r="U281" s="32"/>
      <c r="V281" s="32"/>
    </row>
    <row r="282" spans="5:22">
      <c r="E282" s="32" t="str">
        <v>tengah</v>
      </c>
      <c r="F282" s="32"/>
      <c r="G282" s="32"/>
      <c r="J282" s="32" t="str">
        <v>kiri</v>
      </c>
      <c r="K282" s="32"/>
      <c r="L282" s="32"/>
      <c r="O282" s="32" t="str">
        <v>kiri</v>
      </c>
      <c r="P282" s="32"/>
      <c r="Q282" s="32"/>
      <c r="T282" s="32" t="str">
        <v>tengah</v>
      </c>
      <c r="U282" s="32"/>
      <c r="V282" s="32"/>
    </row>
    <row r="283" spans="5:22">
      <c r="E283" s="32" t="str">
        <v>tengah</v>
      </c>
      <c r="F283" s="32"/>
      <c r="G283" s="32"/>
      <c r="J283" s="32" t="str">
        <v>tengah</v>
      </c>
      <c r="K283" s="32"/>
      <c r="L283" s="32"/>
      <c r="O283" s="32" t="str">
        <v>tengah</v>
      </c>
      <c r="P283" s="32"/>
      <c r="Q283" s="32"/>
      <c r="T283" s="32" t="str">
        <v>kanan</v>
      </c>
      <c r="U283" s="32"/>
      <c r="V283" s="32"/>
    </row>
    <row r="284" spans="5:22">
      <c r="E284" s="32" t="str">
        <v>tengah</v>
      </c>
      <c r="F284" s="32"/>
      <c r="G284" s="32"/>
      <c r="J284" s="32" t="str">
        <v>tengah</v>
      </c>
      <c r="K284" s="32"/>
      <c r="L284" s="32"/>
      <c r="O284" s="32" t="str">
        <v>kiri</v>
      </c>
      <c r="P284" s="32"/>
      <c r="Q284" s="32"/>
      <c r="T284" s="32" t="str">
        <v>kanan</v>
      </c>
      <c r="U284" s="32"/>
      <c r="V284" s="32"/>
    </row>
    <row r="285" spans="5:22">
      <c r="E285" s="32" t="str">
        <v>kanan</v>
      </c>
      <c r="F285" s="32"/>
      <c r="G285" s="32"/>
      <c r="J285" s="32" t="str">
        <v>kanan</v>
      </c>
      <c r="K285" s="32"/>
      <c r="L285" s="32"/>
      <c r="O285" s="32" t="str">
        <v>tengah</v>
      </c>
      <c r="P285" s="32"/>
      <c r="Q285" s="32"/>
      <c r="T285" s="32" t="str">
        <v>kanan</v>
      </c>
      <c r="U285" s="32"/>
      <c r="V285" s="32"/>
    </row>
    <row r="286" spans="5:22">
      <c r="E286" s="32" t="str">
        <v>kiri</v>
      </c>
      <c r="F286" s="32"/>
      <c r="G286" s="32"/>
      <c r="J286" s="32" t="str">
        <v>tengah</v>
      </c>
      <c r="K286" s="32"/>
      <c r="L286" s="32"/>
      <c r="O286" s="32" t="str">
        <v>kanan</v>
      </c>
      <c r="P286" s="32"/>
      <c r="Q286" s="32"/>
      <c r="T286" s="32" t="str">
        <v>tengah</v>
      </c>
      <c r="U286" s="32"/>
      <c r="V286" s="32"/>
    </row>
    <row r="287" spans="5:22">
      <c r="E287" s="32" t="str">
        <v>kiri</v>
      </c>
      <c r="F287" s="32"/>
      <c r="G287" s="32"/>
      <c r="J287" s="32" t="str">
        <v>tengah</v>
      </c>
      <c r="K287" s="32"/>
      <c r="L287" s="32"/>
      <c r="O287" s="32" t="str">
        <v>tengah</v>
      </c>
      <c r="P287" s="32"/>
      <c r="Q287" s="32"/>
      <c r="T287" s="32" t="str">
        <v>kanan</v>
      </c>
      <c r="U287" s="32"/>
      <c r="V287" s="32"/>
    </row>
    <row r="288" spans="5:22">
      <c r="E288" s="32" t="str">
        <v>kanan</v>
      </c>
      <c r="F288" s="32"/>
      <c r="G288" s="32"/>
      <c r="J288" s="32" t="str">
        <v>tengah</v>
      </c>
      <c r="K288" s="32"/>
      <c r="L288" s="32"/>
      <c r="O288" s="32" t="str">
        <v>tengah</v>
      </c>
      <c r="P288" s="32"/>
      <c r="Q288" s="32"/>
      <c r="T288" s="32" t="str">
        <v>tengah</v>
      </c>
      <c r="U288" s="32"/>
      <c r="V288" s="32"/>
    </row>
    <row r="289" spans="5:22">
      <c r="E289" s="32" t="str">
        <v>kiri</v>
      </c>
      <c r="F289" s="32"/>
      <c r="G289" s="32"/>
      <c r="J289" s="32" t="str">
        <v>tengah</v>
      </c>
      <c r="K289" s="32"/>
      <c r="L289" s="32"/>
      <c r="O289" s="32" t="str">
        <v>tengah</v>
      </c>
      <c r="P289" s="32"/>
      <c r="Q289" s="32"/>
      <c r="T289" s="32" t="str">
        <v>tengah</v>
      </c>
      <c r="U289" s="32"/>
      <c r="V289" s="32"/>
    </row>
    <row r="290" spans="5:22">
      <c r="E290" s="32" t="str">
        <v>kiri</v>
      </c>
      <c r="F290" s="32"/>
      <c r="G290" s="32"/>
      <c r="J290" s="32" t="str">
        <v>tengah</v>
      </c>
      <c r="K290" s="32"/>
      <c r="L290" s="32"/>
      <c r="O290" s="32" t="str">
        <v>kiri</v>
      </c>
      <c r="P290" s="32"/>
      <c r="Q290" s="32"/>
      <c r="T290" s="32" t="str">
        <v>tengah</v>
      </c>
      <c r="U290" s="32"/>
      <c r="V290" s="32"/>
    </row>
    <row r="291" spans="5:22">
      <c r="E291" s="32" t="str">
        <v>tengah</v>
      </c>
      <c r="F291" s="32"/>
      <c r="G291" s="32"/>
      <c r="J291" s="32" t="str">
        <v>tengah</v>
      </c>
      <c r="K291" s="32"/>
      <c r="L291" s="32"/>
      <c r="O291" s="32" t="str">
        <v>tengah</v>
      </c>
      <c r="P291" s="32"/>
      <c r="Q291" s="32"/>
      <c r="T291" s="32" t="str">
        <v>tengah</v>
      </c>
      <c r="U291" s="32"/>
      <c r="V291" s="32"/>
    </row>
    <row r="292" spans="5:22">
      <c r="E292" s="32" t="str">
        <v>kiri</v>
      </c>
      <c r="F292" s="32"/>
      <c r="G292" s="32"/>
      <c r="J292" s="32" t="str">
        <v>kanan</v>
      </c>
      <c r="K292" s="32"/>
      <c r="L292" s="32"/>
      <c r="O292" s="32" t="str">
        <v>tengah</v>
      </c>
      <c r="P292" s="32"/>
      <c r="Q292" s="32"/>
      <c r="T292" s="32" t="str">
        <v>kanan</v>
      </c>
      <c r="U292" s="32"/>
      <c r="V292" s="32"/>
    </row>
    <row r="293" spans="5:22">
      <c r="E293" s="32" t="str">
        <v>tengah</v>
      </c>
      <c r="F293" s="32"/>
      <c r="G293" s="32"/>
      <c r="J293" s="32" t="str">
        <v>tengah</v>
      </c>
      <c r="K293" s="32"/>
      <c r="L293" s="32"/>
      <c r="O293" s="32" t="str">
        <v>tengah</v>
      </c>
      <c r="P293" s="32"/>
      <c r="Q293" s="32"/>
      <c r="T293" s="32" t="str">
        <v>kanan</v>
      </c>
      <c r="U293" s="32"/>
      <c r="V293" s="32"/>
    </row>
    <row r="294" spans="5:22">
      <c r="E294" s="32" t="str">
        <v>tengah</v>
      </c>
      <c r="F294" s="32"/>
      <c r="G294" s="32"/>
      <c r="J294" s="32" t="str">
        <v>tengah</v>
      </c>
      <c r="K294" s="32"/>
      <c r="L294" s="32"/>
      <c r="O294" s="32" t="str">
        <v>kanan</v>
      </c>
      <c r="P294" s="32"/>
      <c r="Q294" s="32"/>
      <c r="T294" s="32" t="str">
        <v>kanan</v>
      </c>
      <c r="U294" s="32"/>
      <c r="V294" s="32"/>
    </row>
    <row r="295" spans="5:22">
      <c r="E295" s="32" t="str">
        <v>tengah</v>
      </c>
      <c r="F295" s="32"/>
      <c r="G295" s="32"/>
      <c r="J295" s="32" t="str">
        <v>tengah</v>
      </c>
      <c r="K295" s="32"/>
      <c r="L295" s="32"/>
      <c r="O295" s="32" t="str">
        <v>tengah</v>
      </c>
      <c r="P295" s="32"/>
      <c r="Q295" s="32"/>
      <c r="T295" s="32" t="str">
        <v>kanan</v>
      </c>
      <c r="U295" s="32"/>
      <c r="V295" s="32"/>
    </row>
    <row r="296" spans="5:22">
      <c r="E296" s="32" t="str">
        <v>kanan</v>
      </c>
      <c r="F296" s="32"/>
      <c r="G296" s="32"/>
      <c r="J296" s="32" t="str">
        <v>tengah</v>
      </c>
      <c r="K296" s="32"/>
      <c r="L296" s="32"/>
      <c r="O296" s="32" t="str">
        <v>kiri</v>
      </c>
      <c r="P296" s="32"/>
      <c r="Q296" s="32"/>
      <c r="T296" s="32" t="str">
        <v>tengah</v>
      </c>
      <c r="U296" s="32"/>
      <c r="V296" s="32"/>
    </row>
    <row r="297" spans="5:22">
      <c r="E297" s="32" t="str">
        <v>kanan</v>
      </c>
      <c r="F297" s="32"/>
      <c r="G297" s="32"/>
      <c r="J297" s="32" t="str">
        <v>kiri</v>
      </c>
      <c r="K297" s="32"/>
      <c r="L297" s="32"/>
      <c r="O297" s="32" t="str">
        <v>kiri</v>
      </c>
      <c r="P297" s="32"/>
      <c r="Q297" s="32"/>
      <c r="T297" s="32" t="str">
        <v>tengah</v>
      </c>
      <c r="U297" s="32"/>
      <c r="V297" s="32"/>
    </row>
    <row r="298" spans="5:22">
      <c r="E298" s="32" t="str">
        <v>kanan</v>
      </c>
      <c r="F298" s="32"/>
      <c r="G298" s="32"/>
      <c r="J298" s="32" t="str">
        <v>tengah</v>
      </c>
      <c r="K298" s="32"/>
      <c r="L298" s="32"/>
      <c r="O298" s="32" t="str">
        <v>tengah</v>
      </c>
      <c r="P298" s="32"/>
      <c r="Q298" s="32"/>
      <c r="T298" s="32" t="str">
        <v>tengah</v>
      </c>
      <c r="U298" s="32"/>
      <c r="V298" s="32"/>
    </row>
    <row r="299" spans="5:22">
      <c r="E299" s="32" t="str">
        <v>kiri</v>
      </c>
      <c r="F299" s="32"/>
      <c r="G299" s="32"/>
      <c r="J299" s="32" t="str">
        <v>tengah</v>
      </c>
      <c r="K299" s="32"/>
      <c r="L299" s="32"/>
      <c r="O299" s="32" t="str">
        <v>tengah</v>
      </c>
      <c r="P299" s="32"/>
      <c r="Q299" s="32"/>
      <c r="T299" s="32" t="str">
        <v>kanan</v>
      </c>
      <c r="U299" s="32"/>
      <c r="V299" s="32"/>
    </row>
    <row r="300" spans="5:22">
      <c r="E300" s="32" t="str">
        <v>tengah</v>
      </c>
      <c r="F300" s="32"/>
      <c r="G300" s="32"/>
      <c r="J300" s="32" t="str">
        <v>tengah</v>
      </c>
      <c r="K300" s="32"/>
      <c r="L300" s="32"/>
      <c r="O300" s="32" t="str">
        <v>kiri</v>
      </c>
      <c r="P300" s="32"/>
      <c r="Q300" s="32"/>
      <c r="T300" s="32" t="str">
        <v>tengah</v>
      </c>
      <c r="U300" s="32"/>
      <c r="V300" s="32"/>
    </row>
    <row r="301" spans="5:22">
      <c r="E301" s="32" t="str">
        <v>tengah</v>
      </c>
      <c r="F301" s="32"/>
      <c r="G301" s="32"/>
      <c r="J301" s="32" t="str">
        <v>kiri</v>
      </c>
      <c r="K301" s="32"/>
      <c r="L301" s="32"/>
      <c r="O301" s="32" t="str">
        <v>kiri</v>
      </c>
      <c r="P301" s="32"/>
      <c r="Q301" s="32"/>
      <c r="T301" s="32" t="str">
        <v>tengah</v>
      </c>
      <c r="U301" s="32"/>
      <c r="V301" s="32"/>
    </row>
    <row r="302" spans="5:22">
      <c r="E302" s="32" t="str">
        <v>tengah</v>
      </c>
      <c r="F302" s="32"/>
      <c r="G302" s="32"/>
      <c r="J302" s="32" t="str">
        <v>tengah</v>
      </c>
      <c r="K302" s="32"/>
      <c r="L302" s="32"/>
      <c r="O302" s="32" t="str">
        <v>tengah</v>
      </c>
      <c r="P302" s="32"/>
      <c r="Q302" s="32"/>
      <c r="T302" s="32" t="str">
        <v>tengah</v>
      </c>
      <c r="U302" s="32"/>
      <c r="V302" s="32"/>
    </row>
    <row r="303" spans="5:22">
      <c r="E303" s="32" t="str">
        <v>tengah</v>
      </c>
      <c r="F303" s="32"/>
      <c r="G303" s="32"/>
      <c r="J303" s="32" t="str">
        <v>tengah</v>
      </c>
      <c r="K303" s="32"/>
      <c r="L303" s="32"/>
      <c r="O303" s="32" t="str">
        <v>tengah</v>
      </c>
      <c r="P303" s="32"/>
      <c r="Q303" s="32"/>
      <c r="T303" s="32" t="str">
        <v>tengah</v>
      </c>
      <c r="U303" s="32"/>
      <c r="V303" s="32"/>
    </row>
    <row r="304" spans="5:22">
      <c r="E304" s="32" t="str">
        <v>kiri</v>
      </c>
      <c r="F304" s="32"/>
      <c r="G304" s="32"/>
      <c r="J304" s="32" t="str">
        <v>kanan</v>
      </c>
      <c r="K304" s="32"/>
      <c r="L304" s="32"/>
      <c r="O304" s="32" t="str">
        <v>kiri</v>
      </c>
      <c r="P304" s="32"/>
      <c r="Q304" s="32"/>
      <c r="T304" s="32" t="str">
        <v>tengah</v>
      </c>
      <c r="U304" s="32"/>
      <c r="V304" s="32"/>
    </row>
    <row r="305" spans="5:22">
      <c r="E305" s="32" t="str">
        <v>tengah</v>
      </c>
      <c r="F305" s="32"/>
      <c r="G305" s="32"/>
      <c r="J305" s="32" t="str">
        <v>tengah</v>
      </c>
      <c r="K305" s="32"/>
      <c r="L305" s="32"/>
      <c r="O305" s="32" t="str">
        <v>kanan</v>
      </c>
      <c r="P305" s="32"/>
      <c r="Q305" s="32"/>
      <c r="T305" s="32" t="str">
        <v>kanan</v>
      </c>
      <c r="U305" s="32"/>
      <c r="V305" s="32"/>
    </row>
    <row r="306" spans="5:22">
      <c r="E306" s="32" t="str">
        <v>kanan</v>
      </c>
      <c r="F306" s="32"/>
      <c r="G306" s="32"/>
      <c r="J306" s="32" t="str">
        <v>tengah</v>
      </c>
      <c r="K306" s="32"/>
      <c r="L306" s="32"/>
      <c r="O306" s="32" t="str">
        <v>tengah</v>
      </c>
      <c r="P306" s="32"/>
      <c r="Q306" s="32"/>
      <c r="T306" s="32" t="str">
        <v>kanan</v>
      </c>
      <c r="U306" s="32"/>
      <c r="V306" s="32"/>
    </row>
    <row r="307" spans="5:22">
      <c r="E307" s="32" t="str">
        <v>tengah</v>
      </c>
      <c r="F307" s="32"/>
      <c r="G307" s="32"/>
      <c r="J307" s="32" t="str">
        <v>kanan</v>
      </c>
      <c r="K307" s="32"/>
      <c r="L307" s="32"/>
      <c r="O307" s="32" t="str">
        <v>kiri</v>
      </c>
      <c r="P307" s="32"/>
      <c r="Q307" s="32"/>
      <c r="T307" s="32" t="str">
        <v>kanan</v>
      </c>
      <c r="U307" s="32"/>
      <c r="V307" s="32"/>
    </row>
    <row r="308" spans="5:22">
      <c r="E308" s="32" t="str">
        <v>kanan</v>
      </c>
      <c r="F308" s="32"/>
      <c r="G308" s="32"/>
      <c r="J308" s="32" t="str">
        <v>tengah</v>
      </c>
      <c r="K308" s="32"/>
      <c r="L308" s="32"/>
      <c r="O308" s="32" t="str">
        <v>kanan</v>
      </c>
      <c r="P308" s="32"/>
      <c r="Q308" s="32"/>
      <c r="T308" s="32" t="str">
        <v>kanan</v>
      </c>
      <c r="U308" s="32"/>
      <c r="V308" s="32"/>
    </row>
    <row r="309" spans="5:22">
      <c r="E309" s="32" t="str">
        <v>tengah</v>
      </c>
      <c r="F309" s="32"/>
      <c r="G309" s="32"/>
      <c r="J309" s="32" t="str">
        <v>tengah</v>
      </c>
      <c r="K309" s="32"/>
      <c r="L309" s="32"/>
      <c r="O309" s="32" t="str">
        <v>tengah</v>
      </c>
      <c r="P309" s="32"/>
      <c r="Q309" s="32"/>
      <c r="T309" s="32" t="str">
        <v>kanan</v>
      </c>
      <c r="U309" s="32"/>
      <c r="V309" s="32"/>
    </row>
    <row r="310" spans="5:22">
      <c r="E310" s="32" t="str">
        <v>tengah</v>
      </c>
      <c r="F310" s="32"/>
      <c r="G310" s="32"/>
      <c r="J310" s="32" t="str">
        <v>kiri</v>
      </c>
      <c r="K310" s="32"/>
      <c r="L310" s="32"/>
      <c r="O310" s="32" t="str">
        <v>tengah</v>
      </c>
      <c r="P310" s="32"/>
      <c r="Q310" s="32"/>
      <c r="T310" s="32" t="str">
        <v>kanan</v>
      </c>
      <c r="U310" s="32"/>
      <c r="V310" s="32"/>
    </row>
    <row r="311" spans="5:22">
      <c r="E311" s="32" t="str">
        <v>tengah</v>
      </c>
      <c r="F311" s="32"/>
      <c r="G311" s="32"/>
      <c r="J311" s="32" t="str">
        <v>tengah</v>
      </c>
      <c r="K311" s="32"/>
      <c r="L311" s="32"/>
      <c r="O311" s="32" t="str">
        <v>tengah</v>
      </c>
      <c r="P311" s="32"/>
      <c r="Q311" s="32"/>
      <c r="T311" s="32" t="str">
        <v>kanan</v>
      </c>
      <c r="U311" s="32"/>
      <c r="V311" s="32"/>
    </row>
    <row r="312" spans="5:22">
      <c r="E312" s="32" t="str">
        <v>tengah</v>
      </c>
      <c r="F312" s="32"/>
      <c r="G312" s="32"/>
      <c r="J312" s="32" t="str">
        <v>kanan</v>
      </c>
      <c r="K312" s="32"/>
      <c r="L312" s="32"/>
      <c r="O312" s="32" t="str">
        <v>kiri</v>
      </c>
      <c r="P312" s="32"/>
      <c r="Q312" s="32"/>
      <c r="T312" s="32" t="str">
        <v>kanan</v>
      </c>
      <c r="U312" s="32"/>
      <c r="V312" s="32"/>
    </row>
    <row r="313" spans="5:22">
      <c r="E313" s="32" t="str">
        <v>kanan</v>
      </c>
      <c r="F313" s="32"/>
      <c r="G313" s="32"/>
      <c r="J313" s="32" t="str">
        <v>kanan</v>
      </c>
      <c r="K313" s="32"/>
      <c r="L313" s="32"/>
      <c r="O313" s="32" t="str">
        <v>tengah</v>
      </c>
      <c r="P313" s="32"/>
      <c r="Q313" s="32"/>
      <c r="T313" s="32" t="str">
        <v>tengah</v>
      </c>
      <c r="U313" s="32"/>
      <c r="V313" s="32"/>
    </row>
    <row r="314" spans="5:22">
      <c r="E314" s="32" t="str">
        <v>tengah</v>
      </c>
      <c r="F314" s="32"/>
      <c r="G314" s="32"/>
      <c r="J314" s="32" t="str">
        <v>tengah</v>
      </c>
      <c r="K314" s="32"/>
      <c r="L314" s="32"/>
      <c r="O314" s="32" t="str">
        <v>tengah</v>
      </c>
      <c r="P314" s="32"/>
      <c r="Q314" s="32"/>
      <c r="T314" s="32" t="str">
        <v>kanan</v>
      </c>
      <c r="U314" s="32"/>
      <c r="V314" s="32"/>
    </row>
    <row r="315" spans="5:22">
      <c r="E315" s="32" t="str">
        <v>kanan</v>
      </c>
      <c r="F315" s="32"/>
      <c r="G315" s="32"/>
      <c r="J315" s="32" t="str">
        <v>kanan</v>
      </c>
      <c r="K315" s="32"/>
      <c r="L315" s="32"/>
      <c r="O315" s="32" t="str">
        <v>tengah</v>
      </c>
      <c r="P315" s="32"/>
      <c r="Q315" s="32"/>
      <c r="T315" s="32" t="str">
        <v>tengah</v>
      </c>
      <c r="U315" s="32"/>
      <c r="V315" s="32"/>
    </row>
    <row r="316" spans="5:22">
      <c r="E316" s="32" t="str">
        <v>tengah</v>
      </c>
      <c r="F316" s="32"/>
      <c r="G316" s="32"/>
      <c r="J316" s="32" t="str">
        <v>kiri</v>
      </c>
      <c r="K316" s="32"/>
      <c r="L316" s="32"/>
      <c r="O316" s="32" t="str">
        <v>kiri</v>
      </c>
      <c r="P316" s="32"/>
      <c r="Q316" s="32"/>
      <c r="T316" s="32" t="str">
        <v>tengah</v>
      </c>
      <c r="U316" s="32"/>
      <c r="V316" s="32"/>
    </row>
    <row r="317" spans="5:22">
      <c r="E317" s="32" t="str">
        <v>kiri</v>
      </c>
      <c r="F317" s="32"/>
      <c r="G317" s="32"/>
      <c r="J317" s="32" t="str">
        <v>tengah</v>
      </c>
      <c r="K317" s="32"/>
      <c r="L317" s="32"/>
      <c r="O317" s="32" t="str">
        <v>kiri</v>
      </c>
      <c r="P317" s="32"/>
      <c r="Q317" s="32"/>
      <c r="T317" s="32" t="str">
        <v>tengah</v>
      </c>
      <c r="U317" s="32"/>
      <c r="V317" s="32"/>
    </row>
    <row r="318" spans="5:22">
      <c r="E318" s="32" t="str">
        <v>kiri</v>
      </c>
      <c r="F318" s="32"/>
      <c r="G318" s="32"/>
      <c r="J318" s="32" t="str">
        <v>tengah</v>
      </c>
      <c r="K318" s="32"/>
      <c r="L318" s="32"/>
      <c r="O318" s="32" t="str">
        <v>tengah</v>
      </c>
      <c r="P318" s="32"/>
      <c r="Q318" s="32"/>
      <c r="T318" s="32" t="str">
        <v>tengah</v>
      </c>
      <c r="U318" s="32"/>
      <c r="V318" s="32"/>
    </row>
    <row r="319" spans="5:22">
      <c r="E319" s="32" t="str">
        <v>kiri</v>
      </c>
      <c r="F319" s="32"/>
      <c r="G319" s="32"/>
      <c r="J319" s="32" t="str">
        <v>tengah</v>
      </c>
      <c r="K319" s="32"/>
      <c r="L319" s="32"/>
      <c r="O319" s="32" t="str">
        <v>kiri</v>
      </c>
      <c r="P319" s="32"/>
      <c r="Q319" s="32"/>
      <c r="T319" s="32" t="str">
        <v>tengah</v>
      </c>
      <c r="U319" s="32"/>
      <c r="V319" s="32"/>
    </row>
    <row r="320" spans="5:22">
      <c r="E320" s="32" t="str">
        <v>kiri</v>
      </c>
      <c r="F320" s="32"/>
      <c r="G320" s="32"/>
      <c r="J320" s="32" t="str">
        <v>tengah</v>
      </c>
      <c r="K320" s="32"/>
      <c r="L320" s="32"/>
      <c r="O320" s="32" t="str">
        <v>tengah</v>
      </c>
      <c r="P320" s="32"/>
      <c r="Q320" s="32"/>
      <c r="T320" s="32" t="str">
        <v>tengah</v>
      </c>
      <c r="U320" s="32"/>
      <c r="V320" s="32"/>
    </row>
    <row r="321" spans="5:22">
      <c r="E321" s="32" t="str">
        <v>kiri</v>
      </c>
      <c r="F321" s="32"/>
      <c r="G321" s="32"/>
      <c r="J321" s="32" t="str">
        <v>kiri</v>
      </c>
      <c r="K321" s="32"/>
      <c r="L321" s="32"/>
      <c r="O321" s="32" t="str">
        <v>tengah</v>
      </c>
      <c r="P321" s="32"/>
      <c r="Q321" s="32"/>
      <c r="T321" s="32" t="str">
        <v>tengah</v>
      </c>
      <c r="U321" s="32"/>
      <c r="V321" s="32"/>
    </row>
    <row r="322" spans="5:22">
      <c r="E322" s="32" t="str">
        <v>tengah</v>
      </c>
      <c r="F322" s="32"/>
      <c r="G322" s="32"/>
      <c r="J322" s="32" t="str">
        <v>tengah</v>
      </c>
      <c r="K322" s="32"/>
      <c r="L322" s="32"/>
      <c r="O322" s="32" t="str">
        <v>kanan</v>
      </c>
      <c r="P322" s="32"/>
      <c r="Q322" s="32"/>
      <c r="T322" s="32" t="str">
        <v>kanan</v>
      </c>
      <c r="U322" s="32"/>
      <c r="V322" s="32"/>
    </row>
    <row r="323" spans="5:22">
      <c r="E323" s="32" t="str">
        <v>kanan</v>
      </c>
      <c r="F323" s="32"/>
      <c r="G323" s="32"/>
      <c r="J323" s="32" t="str">
        <v>tengah</v>
      </c>
      <c r="K323" s="32"/>
      <c r="L323" s="32"/>
      <c r="O323" s="32" t="str">
        <v>tengah</v>
      </c>
      <c r="P323" s="32"/>
      <c r="Q323" s="32"/>
      <c r="T323" s="32" t="str">
        <v>tengah</v>
      </c>
      <c r="U323" s="32"/>
      <c r="V323" s="32"/>
    </row>
    <row r="324" spans="5:22">
      <c r="E324" s="32" t="str">
        <v>kiri</v>
      </c>
      <c r="F324" s="32"/>
      <c r="G324" s="32"/>
      <c r="J324" s="32" t="str">
        <v>kanan</v>
      </c>
      <c r="K324" s="32"/>
      <c r="L324" s="32"/>
      <c r="O324" s="32" t="str">
        <v>kiri</v>
      </c>
      <c r="P324" s="32"/>
      <c r="Q324" s="32"/>
      <c r="T324" s="32" t="str">
        <v>kanan</v>
      </c>
      <c r="U324" s="32"/>
      <c r="V324" s="32"/>
    </row>
    <row r="325" spans="5:22">
      <c r="E325" s="32" t="str">
        <v>kiri</v>
      </c>
      <c r="F325" s="32"/>
      <c r="G325" s="32"/>
      <c r="J325" s="32" t="str">
        <v>tengah</v>
      </c>
      <c r="K325" s="32"/>
      <c r="L325" s="32"/>
      <c r="O325" s="32" t="str">
        <v>kiri</v>
      </c>
      <c r="P325" s="32"/>
      <c r="Q325" s="32"/>
      <c r="T325" s="32" t="str">
        <v>kanan</v>
      </c>
      <c r="U325" s="32"/>
      <c r="V325" s="32"/>
    </row>
    <row r="326" spans="5:22">
      <c r="E326" s="32" t="str">
        <v>kiri</v>
      </c>
      <c r="F326" s="32"/>
      <c r="G326" s="32"/>
      <c r="J326" s="32" t="str">
        <v>tengah</v>
      </c>
      <c r="K326" s="32"/>
      <c r="L326" s="32"/>
      <c r="O326" s="32" t="str">
        <v>kanan</v>
      </c>
      <c r="P326" s="32"/>
      <c r="Q326" s="32"/>
      <c r="T326" s="32" t="str">
        <v>kanan</v>
      </c>
      <c r="U326" s="32"/>
      <c r="V326" s="32"/>
    </row>
    <row r="327" spans="5:22">
      <c r="E327" s="32" t="str">
        <v>kanan</v>
      </c>
      <c r="F327" s="32"/>
      <c r="G327" s="32"/>
      <c r="J327" s="32" t="str">
        <v>kanan</v>
      </c>
      <c r="K327" s="32"/>
      <c r="L327" s="32"/>
      <c r="O327" s="32" t="str">
        <v>kiri</v>
      </c>
      <c r="P327" s="32"/>
      <c r="Q327" s="32"/>
      <c r="T327" s="32" t="str">
        <v>tengah</v>
      </c>
      <c r="U327" s="32"/>
      <c r="V327" s="32"/>
    </row>
    <row r="328" spans="5:22">
      <c r="E328" s="32" t="str">
        <v>tengah</v>
      </c>
      <c r="F328" s="32"/>
      <c r="G328" s="32"/>
      <c r="J328" s="32" t="str">
        <v>kanan</v>
      </c>
      <c r="K328" s="32"/>
      <c r="L328" s="32"/>
      <c r="O328" s="32" t="str">
        <v>kiri</v>
      </c>
      <c r="P328" s="32"/>
      <c r="Q328" s="32"/>
      <c r="T328" s="32" t="str">
        <v>kanan</v>
      </c>
      <c r="U328" s="32"/>
      <c r="V328" s="32"/>
    </row>
    <row r="329" spans="5:22">
      <c r="E329" s="32" t="str">
        <v>tengah</v>
      </c>
      <c r="F329" s="32"/>
      <c r="G329" s="32"/>
      <c r="J329" s="32" t="str">
        <v>kanan</v>
      </c>
      <c r="K329" s="32"/>
      <c r="L329" s="32"/>
      <c r="O329" s="32" t="str">
        <v>tengah</v>
      </c>
      <c r="P329" s="32"/>
      <c r="Q329" s="32"/>
      <c r="T329" s="32" t="str">
        <v>tengah</v>
      </c>
      <c r="U329" s="32"/>
      <c r="V329" s="32"/>
    </row>
    <row r="330" spans="5:22">
      <c r="E330" s="32" t="str">
        <v>tengah</v>
      </c>
      <c r="F330" s="32"/>
      <c r="G330" s="32"/>
      <c r="J330" s="32" t="str">
        <v>tengah</v>
      </c>
      <c r="K330" s="32"/>
      <c r="L330" s="32"/>
      <c r="O330" s="32" t="str">
        <v>kiri</v>
      </c>
      <c r="P330" s="32"/>
      <c r="Q330" s="32"/>
      <c r="T330" s="32" t="str">
        <v>kanan</v>
      </c>
      <c r="U330" s="32"/>
      <c r="V330" s="32"/>
    </row>
    <row r="331" spans="5:22">
      <c r="E331" s="32" t="str">
        <v>kiri</v>
      </c>
      <c r="F331" s="32"/>
      <c r="G331" s="32"/>
      <c r="J331" s="32" t="str">
        <v>kiri</v>
      </c>
      <c r="K331" s="32"/>
      <c r="L331" s="32"/>
      <c r="O331" s="32" t="str">
        <v>kanan</v>
      </c>
      <c r="P331" s="32"/>
      <c r="Q331" s="32"/>
      <c r="T331" s="32" t="str">
        <v>tengah</v>
      </c>
      <c r="U331" s="32"/>
      <c r="V331" s="32"/>
    </row>
    <row r="332" spans="5:22">
      <c r="E332" s="32" t="str">
        <v>tengah</v>
      </c>
      <c r="F332" s="32"/>
      <c r="G332" s="32"/>
      <c r="J332" s="32" t="str">
        <v>kanan</v>
      </c>
      <c r="K332" s="32"/>
      <c r="L332" s="32"/>
      <c r="O332" s="32" t="str">
        <v>kiri</v>
      </c>
      <c r="P332" s="32"/>
      <c r="Q332" s="32"/>
      <c r="T332" s="32" t="str">
        <v>tengah</v>
      </c>
      <c r="U332" s="32"/>
      <c r="V332" s="32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E61EE-FB8F-4173-8337-581922017F18}">
  <dimension ref="A1:V332"/>
  <sheetViews>
    <sheetView topLeftCell="L185" zoomScale="98" zoomScaleNormal="98" workbookViewId="0">
      <selection activeCell="O159" sqref="O159"/>
    </sheetView>
  </sheetViews>
  <sheetFormatPr defaultColWidth="9" defaultRowHeight="15"/>
  <cols>
    <col min="2" max="2" width="15.85546875" customWidth="1"/>
    <col min="3" max="3" width="16.7109375" bestFit="1" customWidth="1"/>
    <col min="4" max="4" width="13.85546875" customWidth="1"/>
    <col min="6" max="6" width="14.42578125" bestFit="1" customWidth="1"/>
    <col min="8" max="8" width="14.28515625" customWidth="1"/>
    <col min="9" max="9" width="13.28515625" customWidth="1"/>
    <col min="10" max="10" width="13.85546875" customWidth="1"/>
    <col min="11" max="11" width="22" bestFit="1" customWidth="1"/>
    <col min="13" max="13" width="14.42578125" bestFit="1" customWidth="1"/>
    <col min="15" max="15" width="25.28515625" bestFit="1" customWidth="1"/>
    <col min="16" max="16" width="12.85546875" bestFit="1" customWidth="1"/>
    <col min="17" max="17" width="11.7109375" customWidth="1"/>
    <col min="20" max="20" width="14.42578125" bestFit="1" customWidth="1"/>
  </cols>
  <sheetData>
    <row r="1" spans="1:17">
      <c r="A1" s="30" t="s">
        <v>174</v>
      </c>
      <c r="B1" s="30" t="s">
        <v>1</v>
      </c>
      <c r="C1" s="30" t="s">
        <v>2</v>
      </c>
      <c r="D1" s="30" t="s">
        <v>173</v>
      </c>
      <c r="E1" s="30" t="s">
        <v>4</v>
      </c>
      <c r="F1" s="30" t="s">
        <v>5</v>
      </c>
      <c r="H1" s="61" t="s">
        <v>174</v>
      </c>
      <c r="I1" s="61" t="s">
        <v>1</v>
      </c>
      <c r="J1" s="61" t="s">
        <v>2</v>
      </c>
      <c r="K1" s="61" t="s">
        <v>173</v>
      </c>
      <c r="L1" s="61" t="s">
        <v>4</v>
      </c>
      <c r="M1" s="61" t="s">
        <v>5</v>
      </c>
      <c r="O1" s="30" t="s">
        <v>175</v>
      </c>
      <c r="P1" s="31"/>
      <c r="Q1" s="31"/>
    </row>
    <row r="2" spans="1:17">
      <c r="A2" s="32">
        <f ca="1">RANDBETWEEN(2,164)</f>
        <v>126</v>
      </c>
      <c r="B2" s="32" cm="1">
        <f t="array" aca="1" ref="B2" ca="1">INDEX(Data_DBD!$B:$B,$A2)</f>
        <v>51</v>
      </c>
      <c r="C2" s="32" cm="1">
        <f t="array" aca="1" ref="C2" ca="1">INDEX(Data_DBD!$C:$C,$A2)</f>
        <v>3</v>
      </c>
      <c r="D2" s="32" cm="1">
        <f t="array" aca="1" ref="D2" ca="1">INDEX(Data_DBD!$D:$D,$A2)</f>
        <v>33</v>
      </c>
      <c r="E2" s="32" cm="1">
        <f t="array" aca="1" ref="E2" ca="1">INDEX(Data_DBD!$E:$E,$A2)</f>
        <v>1</v>
      </c>
      <c r="F2" s="32" cm="1">
        <f t="array" aca="1" ref="F2" ca="1">INDEX(Data_DBD!$F:$F,$A2)</f>
        <v>3</v>
      </c>
      <c r="H2" s="32">
        <v>143</v>
      </c>
      <c r="I2" s="32">
        <v>20</v>
      </c>
      <c r="J2" s="32">
        <v>4</v>
      </c>
      <c r="K2" s="32">
        <v>21</v>
      </c>
      <c r="L2" s="32">
        <v>1</v>
      </c>
      <c r="M2" s="32">
        <v>3</v>
      </c>
      <c r="O2" s="54">
        <v>1</v>
      </c>
      <c r="P2" s="31">
        <f>COUNTIF(M2:M164,"1")</f>
        <v>11</v>
      </c>
      <c r="Q2" s="31">
        <f>P2/163</f>
        <v>6.7484662576687116E-2</v>
      </c>
    </row>
    <row r="3" spans="1:17">
      <c r="A3" s="32">
        <f t="shared" ref="A3:A66" ca="1" si="0">RANDBETWEEN(2,164)</f>
        <v>69</v>
      </c>
      <c r="B3" s="32" cm="1">
        <f t="array" aca="1" ref="B3" ca="1">INDEX(Data_DBD!$B:$B,$A3)</f>
        <v>24</v>
      </c>
      <c r="C3" s="32" cm="1">
        <f t="array" aca="1" ref="C3" ca="1">INDEX(Data_DBD!$C:$C,$A3)</f>
        <v>4</v>
      </c>
      <c r="D3" s="32" cm="1">
        <f t="array" aca="1" ref="D3" ca="1">INDEX(Data_DBD!$D:$D,$A3)</f>
        <v>10</v>
      </c>
      <c r="E3" s="32" cm="1">
        <f t="array" aca="1" ref="E3" ca="1">INDEX(Data_DBD!$E:$E,$A3)</f>
        <v>1</v>
      </c>
      <c r="F3" s="32" cm="1">
        <f t="array" aca="1" ref="F3" ca="1">INDEX(Data_DBD!$F:$F,$A3)</f>
        <v>2</v>
      </c>
      <c r="H3" s="32">
        <v>85</v>
      </c>
      <c r="I3" s="32">
        <v>27</v>
      </c>
      <c r="J3" s="32">
        <v>9</v>
      </c>
      <c r="K3" s="32">
        <v>13</v>
      </c>
      <c r="L3" s="32">
        <v>0</v>
      </c>
      <c r="M3" s="32">
        <v>2</v>
      </c>
      <c r="O3" s="31">
        <v>2</v>
      </c>
      <c r="P3" s="31">
        <f>COUNTIF(M2:M164,"2")</f>
        <v>83</v>
      </c>
      <c r="Q3" s="31">
        <f>P3/163</f>
        <v>0.50920245398773001</v>
      </c>
    </row>
    <row r="4" spans="1:17">
      <c r="A4" s="32">
        <f t="shared" ca="1" si="0"/>
        <v>13</v>
      </c>
      <c r="B4" s="32" cm="1">
        <f t="array" aca="1" ref="B4" ca="1">INDEX(Data_DBD!$B:$B,$A4)</f>
        <v>47</v>
      </c>
      <c r="C4" s="32" cm="1">
        <f t="array" aca="1" ref="C4" ca="1">INDEX(Data_DBD!$C:$C,$A4)</f>
        <v>2</v>
      </c>
      <c r="D4" s="32" cm="1">
        <f t="array" aca="1" ref="D4" ca="1">INDEX(Data_DBD!$D:$D,$A4)</f>
        <v>12</v>
      </c>
      <c r="E4" s="32" cm="1">
        <f t="array" aca="1" ref="E4" ca="1">INDEX(Data_DBD!$E:$E,$A4)</f>
        <v>0</v>
      </c>
      <c r="F4" s="32" cm="1">
        <f t="array" aca="1" ref="F4" ca="1">INDEX(Data_DBD!$F:$F,$A4)</f>
        <v>2</v>
      </c>
      <c r="H4" s="32">
        <v>136</v>
      </c>
      <c r="I4" s="32">
        <v>6</v>
      </c>
      <c r="J4" s="32">
        <v>2</v>
      </c>
      <c r="K4" s="32">
        <v>33</v>
      </c>
      <c r="L4" s="32">
        <v>0</v>
      </c>
      <c r="M4" s="32">
        <v>3</v>
      </c>
      <c r="O4" s="31">
        <v>3</v>
      </c>
      <c r="P4" s="31">
        <f>COUNTIF(M2:M164,"3")</f>
        <v>69</v>
      </c>
      <c r="Q4" s="31">
        <f>P4/163</f>
        <v>0.42331288343558282</v>
      </c>
    </row>
    <row r="5" spans="1:17">
      <c r="A5" s="32">
        <f t="shared" ca="1" si="0"/>
        <v>112</v>
      </c>
      <c r="B5" s="32" cm="1">
        <f t="array" aca="1" ref="B5" ca="1">INDEX(Data_DBD!$B:$B,$A5)</f>
        <v>61</v>
      </c>
      <c r="C5" s="32" cm="1">
        <f t="array" aca="1" ref="C5" ca="1">INDEX(Data_DBD!$C:$C,$A5)</f>
        <v>3</v>
      </c>
      <c r="D5" s="32" cm="1">
        <f t="array" aca="1" ref="D5" ca="1">INDEX(Data_DBD!$D:$D,$A5)</f>
        <v>33</v>
      </c>
      <c r="E5" s="32" cm="1">
        <f t="array" aca="1" ref="E5" ca="1">INDEX(Data_DBD!$E:$E,$A5)</f>
        <v>1</v>
      </c>
      <c r="F5" s="32" cm="1">
        <f t="array" aca="1" ref="F5" ca="1">INDEX(Data_DBD!$F:$F,$A5)</f>
        <v>3</v>
      </c>
      <c r="H5" s="32">
        <v>162</v>
      </c>
      <c r="I5" s="32">
        <v>22</v>
      </c>
      <c r="J5" s="32">
        <v>3</v>
      </c>
      <c r="K5" s="32">
        <v>3</v>
      </c>
      <c r="L5" s="32">
        <v>1</v>
      </c>
      <c r="M5" s="32">
        <v>1</v>
      </c>
      <c r="O5" s="34" t="s">
        <v>176</v>
      </c>
      <c r="P5">
        <f>-(IFERROR(Q2*LOG(Q2,2),0)+IFERROR(Q3*LOG(Q3,2),0)+IFERROR(Q4*LOG(Q4,2),0))</f>
        <v>1.2832667546942758</v>
      </c>
    </row>
    <row r="6" spans="1:17">
      <c r="A6" s="32">
        <f t="shared" ca="1" si="0"/>
        <v>161</v>
      </c>
      <c r="B6" s="32" cm="1">
        <f t="array" aca="1" ref="B6" ca="1">INDEX(Data_DBD!$B:$B,$A6)</f>
        <v>12</v>
      </c>
      <c r="C6" s="32" cm="1">
        <f t="array" aca="1" ref="C6" ca="1">INDEX(Data_DBD!$C:$C,$A6)</f>
        <v>3</v>
      </c>
      <c r="D6" s="32" cm="1">
        <f t="array" aca="1" ref="D6" ca="1">INDEX(Data_DBD!$D:$D,$A6)</f>
        <v>21</v>
      </c>
      <c r="E6" s="32" cm="1">
        <f t="array" aca="1" ref="E6" ca="1">INDEX(Data_DBD!$E:$E,$A6)</f>
        <v>1</v>
      </c>
      <c r="F6" s="32" cm="1">
        <f t="array" aca="1" ref="F6" ca="1">INDEX(Data_DBD!$F:$F,$A6)</f>
        <v>3</v>
      </c>
      <c r="H6" s="32">
        <v>94</v>
      </c>
      <c r="I6" s="32">
        <v>12</v>
      </c>
      <c r="J6" s="32">
        <v>4</v>
      </c>
      <c r="K6" s="32">
        <v>18</v>
      </c>
      <c r="L6" s="32">
        <v>0</v>
      </c>
      <c r="M6" s="32">
        <v>3</v>
      </c>
    </row>
    <row r="7" spans="1:17">
      <c r="A7" s="32">
        <f t="shared" ca="1" si="0"/>
        <v>92</v>
      </c>
      <c r="B7" s="32" cm="1">
        <f t="array" aca="1" ref="B7" ca="1">INDEX(Data_DBD!$B:$B,$A7)</f>
        <v>55</v>
      </c>
      <c r="C7" s="32" cm="1">
        <f t="array" aca="1" ref="C7" ca="1">INDEX(Data_DBD!$C:$C,$A7)</f>
        <v>7</v>
      </c>
      <c r="D7" s="32" cm="1">
        <f t="array" aca="1" ref="D7" ca="1">INDEX(Data_DBD!$D:$D,$A7)</f>
        <v>18</v>
      </c>
      <c r="E7" s="32" cm="1">
        <f t="array" aca="1" ref="E7" ca="1">INDEX(Data_DBD!$E:$E,$A7)</f>
        <v>0</v>
      </c>
      <c r="F7" s="32" cm="1">
        <f t="array" aca="1" ref="F7" ca="1">INDEX(Data_DBD!$F:$F,$A7)</f>
        <v>3</v>
      </c>
      <c r="H7" s="32">
        <v>21</v>
      </c>
      <c r="I7" s="32">
        <v>10</v>
      </c>
      <c r="J7" s="32">
        <v>5</v>
      </c>
      <c r="K7" s="32">
        <v>14</v>
      </c>
      <c r="L7" s="32">
        <v>1</v>
      </c>
      <c r="M7" s="32">
        <v>2</v>
      </c>
    </row>
    <row r="8" spans="1:17">
      <c r="A8" s="32">
        <f t="shared" ca="1" si="0"/>
        <v>161</v>
      </c>
      <c r="B8" s="32" cm="1">
        <f t="array" aca="1" ref="B8" ca="1">INDEX(Data_DBD!$B:$B,$A8)</f>
        <v>12</v>
      </c>
      <c r="C8" s="32" cm="1">
        <f t="array" aca="1" ref="C8" ca="1">INDEX(Data_DBD!$C:$C,$A8)</f>
        <v>3</v>
      </c>
      <c r="D8" s="32" cm="1">
        <f t="array" aca="1" ref="D8" ca="1">INDEX(Data_DBD!$D:$D,$A8)</f>
        <v>21</v>
      </c>
      <c r="E8" s="32" cm="1">
        <f t="array" aca="1" ref="E8" ca="1">INDEX(Data_DBD!$E:$E,$A8)</f>
        <v>1</v>
      </c>
      <c r="F8" s="32" cm="1">
        <f t="array" aca="1" ref="F8" ca="1">INDEX(Data_DBD!$F:$F,$A8)</f>
        <v>3</v>
      </c>
      <c r="H8" s="32">
        <v>96</v>
      </c>
      <c r="I8" s="32">
        <v>56</v>
      </c>
      <c r="J8" s="32">
        <v>4</v>
      </c>
      <c r="K8" s="32">
        <v>18</v>
      </c>
      <c r="L8" s="32">
        <v>0</v>
      </c>
      <c r="M8" s="32">
        <v>3</v>
      </c>
    </row>
    <row r="9" spans="1:17">
      <c r="A9" s="32">
        <f t="shared" ca="1" si="0"/>
        <v>135</v>
      </c>
      <c r="B9" s="32" cm="1">
        <f t="array" aca="1" ref="B9" ca="1">INDEX(Data_DBD!$B:$B,$A9)</f>
        <v>10</v>
      </c>
      <c r="C9" s="32" cm="1">
        <f t="array" aca="1" ref="C9" ca="1">INDEX(Data_DBD!$C:$C,$A9)</f>
        <v>2</v>
      </c>
      <c r="D9" s="32" cm="1">
        <f t="array" aca="1" ref="D9" ca="1">INDEX(Data_DBD!$D:$D,$A9)</f>
        <v>33</v>
      </c>
      <c r="E9" s="32" cm="1">
        <f t="array" aca="1" ref="E9" ca="1">INDEX(Data_DBD!$E:$E,$A9)</f>
        <v>0</v>
      </c>
      <c r="F9" s="32" cm="1">
        <f t="array" aca="1" ref="F9" ca="1">INDEX(Data_DBD!$F:$F,$A9)</f>
        <v>3</v>
      </c>
      <c r="H9" s="32">
        <v>4</v>
      </c>
      <c r="I9" s="32">
        <v>23</v>
      </c>
      <c r="J9" s="32">
        <v>5</v>
      </c>
      <c r="K9" s="32">
        <v>12</v>
      </c>
      <c r="L9" s="32">
        <v>0</v>
      </c>
      <c r="M9" s="32">
        <v>2</v>
      </c>
    </row>
    <row r="10" spans="1:17">
      <c r="A10" s="32">
        <f t="shared" ca="1" si="0"/>
        <v>22</v>
      </c>
      <c r="B10" s="32" cm="1">
        <f t="array" aca="1" ref="B10" ca="1">INDEX(Data_DBD!$B:$B,$A10)</f>
        <v>6</v>
      </c>
      <c r="C10" s="32" cm="1">
        <f t="array" aca="1" ref="C10" ca="1">INDEX(Data_DBD!$C:$C,$A10)</f>
        <v>3</v>
      </c>
      <c r="D10" s="32" cm="1">
        <f t="array" aca="1" ref="D10" ca="1">INDEX(Data_DBD!$D:$D,$A10)</f>
        <v>14</v>
      </c>
      <c r="E10" s="32" cm="1">
        <f t="array" aca="1" ref="E10" ca="1">INDEX(Data_DBD!$E:$E,$A10)</f>
        <v>0</v>
      </c>
      <c r="F10" s="32" cm="1">
        <f t="array" aca="1" ref="F10" ca="1">INDEX(Data_DBD!$F:$F,$A10)</f>
        <v>2</v>
      </c>
      <c r="H10" s="32">
        <v>60</v>
      </c>
      <c r="I10" s="32">
        <v>68</v>
      </c>
      <c r="J10" s="32">
        <v>4</v>
      </c>
      <c r="K10" s="32">
        <v>15</v>
      </c>
      <c r="L10" s="32">
        <v>0</v>
      </c>
      <c r="M10" s="32">
        <v>2</v>
      </c>
    </row>
    <row r="11" spans="1:17">
      <c r="A11" s="32">
        <f t="shared" ca="1" si="0"/>
        <v>3</v>
      </c>
      <c r="B11" s="32" cm="1">
        <f t="array" aca="1" ref="B11" ca="1">INDEX(Data_DBD!$B:$B,$A11)</f>
        <v>43</v>
      </c>
      <c r="C11" s="32" cm="1">
        <f t="array" aca="1" ref="C11" ca="1">INDEX(Data_DBD!$C:$C,$A11)</f>
        <v>3</v>
      </c>
      <c r="D11" s="32" cm="1">
        <f t="array" aca="1" ref="D11" ca="1">INDEX(Data_DBD!$D:$D,$A11)</f>
        <v>12</v>
      </c>
      <c r="E11" s="32" cm="1">
        <f t="array" aca="1" ref="E11" ca="1">INDEX(Data_DBD!$E:$E,$A11)</f>
        <v>1</v>
      </c>
      <c r="F11" s="32" cm="1">
        <f t="array" aca="1" ref="F11" ca="1">INDEX(Data_DBD!$F:$F,$A11)</f>
        <v>2</v>
      </c>
      <c r="H11" s="32">
        <v>154</v>
      </c>
      <c r="I11" s="32">
        <v>18</v>
      </c>
      <c r="J11" s="32">
        <v>5</v>
      </c>
      <c r="K11" s="32">
        <v>21</v>
      </c>
      <c r="L11" s="32">
        <v>1</v>
      </c>
      <c r="M11" s="32">
        <v>3</v>
      </c>
    </row>
    <row r="12" spans="1:17">
      <c r="A12" s="32">
        <f t="shared" ca="1" si="0"/>
        <v>4</v>
      </c>
      <c r="B12" s="32" cm="1">
        <f t="array" aca="1" ref="B12" ca="1">INDEX(Data_DBD!$B:$B,$A12)</f>
        <v>23</v>
      </c>
      <c r="C12" s="32" cm="1">
        <f t="array" aca="1" ref="C12" ca="1">INDEX(Data_DBD!$C:$C,$A12)</f>
        <v>5</v>
      </c>
      <c r="D12" s="32" cm="1">
        <f t="array" aca="1" ref="D12" ca="1">INDEX(Data_DBD!$D:$D,$A12)</f>
        <v>12</v>
      </c>
      <c r="E12" s="32" cm="1">
        <f t="array" aca="1" ref="E12" ca="1">INDEX(Data_DBD!$E:$E,$A12)</f>
        <v>0</v>
      </c>
      <c r="F12" s="32" cm="1">
        <f t="array" aca="1" ref="F12" ca="1">INDEX(Data_DBD!$F:$F,$A12)</f>
        <v>2</v>
      </c>
      <c r="H12" s="32">
        <v>138</v>
      </c>
      <c r="I12" s="32">
        <v>13</v>
      </c>
      <c r="J12" s="32">
        <v>3</v>
      </c>
      <c r="K12" s="32">
        <v>33</v>
      </c>
      <c r="L12" s="32">
        <v>1</v>
      </c>
      <c r="M12" s="32">
        <v>3</v>
      </c>
    </row>
    <row r="13" spans="1:17">
      <c r="A13" s="32">
        <f t="shared" ca="1" si="0"/>
        <v>149</v>
      </c>
      <c r="B13" s="32" cm="1">
        <f t="array" aca="1" ref="B13" ca="1">INDEX(Data_DBD!$B:$B,$A13)</f>
        <v>19</v>
      </c>
      <c r="C13" s="32" cm="1">
        <f t="array" aca="1" ref="C13" ca="1">INDEX(Data_DBD!$C:$C,$A13)</f>
        <v>5</v>
      </c>
      <c r="D13" s="32" cm="1">
        <f t="array" aca="1" ref="D13" ca="1">INDEX(Data_DBD!$D:$D,$A13)</f>
        <v>21</v>
      </c>
      <c r="E13" s="32" cm="1">
        <f t="array" aca="1" ref="E13" ca="1">INDEX(Data_DBD!$E:$E,$A13)</f>
        <v>0</v>
      </c>
      <c r="F13" s="32" cm="1">
        <f t="array" aca="1" ref="F13" ca="1">INDEX(Data_DBD!$F:$F,$A13)</f>
        <v>3</v>
      </c>
      <c r="H13" s="32">
        <v>51</v>
      </c>
      <c r="I13" s="32">
        <v>48</v>
      </c>
      <c r="J13" s="32">
        <v>4</v>
      </c>
      <c r="K13" s="32">
        <v>13</v>
      </c>
      <c r="L13" s="32">
        <v>0</v>
      </c>
      <c r="M13" s="32">
        <v>2</v>
      </c>
    </row>
    <row r="14" spans="1:17">
      <c r="A14" s="32">
        <f t="shared" ca="1" si="0"/>
        <v>84</v>
      </c>
      <c r="B14" s="32" cm="1">
        <f t="array" aca="1" ref="B14" ca="1">INDEX(Data_DBD!$B:$B,$A14)</f>
        <v>42</v>
      </c>
      <c r="C14" s="32" cm="1">
        <f t="array" aca="1" ref="C14" ca="1">INDEX(Data_DBD!$C:$C,$A14)</f>
        <v>4</v>
      </c>
      <c r="D14" s="32" cm="1">
        <f t="array" aca="1" ref="D14" ca="1">INDEX(Data_DBD!$D:$D,$A14)</f>
        <v>13</v>
      </c>
      <c r="E14" s="32" cm="1">
        <f t="array" aca="1" ref="E14" ca="1">INDEX(Data_DBD!$E:$E,$A14)</f>
        <v>1</v>
      </c>
      <c r="F14" s="32" cm="1">
        <f t="array" aca="1" ref="F14" ca="1">INDEX(Data_DBD!$F:$F,$A14)</f>
        <v>2</v>
      </c>
      <c r="H14" s="32">
        <v>162</v>
      </c>
      <c r="I14" s="32">
        <v>22</v>
      </c>
      <c r="J14" s="32">
        <v>3</v>
      </c>
      <c r="K14" s="32">
        <v>3</v>
      </c>
      <c r="L14" s="32">
        <v>1</v>
      </c>
      <c r="M14" s="32">
        <v>1</v>
      </c>
    </row>
    <row r="15" spans="1:17">
      <c r="A15" s="32">
        <f t="shared" ca="1" si="0"/>
        <v>19</v>
      </c>
      <c r="B15" s="32" cm="1">
        <f t="array" aca="1" ref="B15" ca="1">INDEX(Data_DBD!$B:$B,$A15)</f>
        <v>8</v>
      </c>
      <c r="C15" s="32" cm="1">
        <f t="array" aca="1" ref="C15" ca="1">INDEX(Data_DBD!$C:$C,$A15)</f>
        <v>4</v>
      </c>
      <c r="D15" s="32" cm="1">
        <f t="array" aca="1" ref="D15" ca="1">INDEX(Data_DBD!$D:$D,$A15)</f>
        <v>7</v>
      </c>
      <c r="E15" s="32" cm="1">
        <f t="array" aca="1" ref="E15" ca="1">INDEX(Data_DBD!$E:$E,$A15)</f>
        <v>0</v>
      </c>
      <c r="F15" s="32" cm="1">
        <f t="array" aca="1" ref="F15" ca="1">INDEX(Data_DBD!$F:$F,$A15)</f>
        <v>1</v>
      </c>
      <c r="H15" s="32">
        <v>65</v>
      </c>
      <c r="I15" s="32">
        <v>49</v>
      </c>
      <c r="J15" s="32">
        <v>3</v>
      </c>
      <c r="K15" s="32">
        <v>15</v>
      </c>
      <c r="L15" s="32">
        <v>0</v>
      </c>
      <c r="M15" s="32">
        <v>2</v>
      </c>
    </row>
    <row r="16" spans="1:17">
      <c r="A16" s="32">
        <f t="shared" ca="1" si="0"/>
        <v>51</v>
      </c>
      <c r="B16" s="32" cm="1">
        <f t="array" aca="1" ref="B16" ca="1">INDEX(Data_DBD!$B:$B,$A16)</f>
        <v>48</v>
      </c>
      <c r="C16" s="32" cm="1">
        <f t="array" aca="1" ref="C16" ca="1">INDEX(Data_DBD!$C:$C,$A16)</f>
        <v>4</v>
      </c>
      <c r="D16" s="32" cm="1">
        <f t="array" aca="1" ref="D16" ca="1">INDEX(Data_DBD!$D:$D,$A16)</f>
        <v>13</v>
      </c>
      <c r="E16" s="32" cm="1">
        <f t="array" aca="1" ref="E16" ca="1">INDEX(Data_DBD!$E:$E,$A16)</f>
        <v>0</v>
      </c>
      <c r="F16" s="32" cm="1">
        <f t="array" aca="1" ref="F16" ca="1">INDEX(Data_DBD!$F:$F,$A16)</f>
        <v>2</v>
      </c>
      <c r="H16" s="32">
        <v>109</v>
      </c>
      <c r="I16" s="32">
        <v>40</v>
      </c>
      <c r="J16" s="32">
        <v>3</v>
      </c>
      <c r="K16" s="32">
        <v>33</v>
      </c>
      <c r="L16" s="32">
        <v>1</v>
      </c>
      <c r="M16" s="32">
        <v>3</v>
      </c>
    </row>
    <row r="17" spans="1:13">
      <c r="A17" s="32">
        <f t="shared" ca="1" si="0"/>
        <v>111</v>
      </c>
      <c r="B17" s="32" cm="1">
        <f t="array" aca="1" ref="B17" ca="1">INDEX(Data_DBD!$B:$B,$A17)</f>
        <v>25</v>
      </c>
      <c r="C17" s="32" cm="1">
        <f t="array" aca="1" ref="C17" ca="1">INDEX(Data_DBD!$C:$C,$A17)</f>
        <v>4</v>
      </c>
      <c r="D17" s="32" cm="1">
        <f t="array" aca="1" ref="D17" ca="1">INDEX(Data_DBD!$D:$D,$A17)</f>
        <v>33</v>
      </c>
      <c r="E17" s="32" cm="1">
        <f t="array" aca="1" ref="E17" ca="1">INDEX(Data_DBD!$E:$E,$A17)</f>
        <v>0</v>
      </c>
      <c r="F17" s="32" cm="1">
        <f t="array" aca="1" ref="F17" ca="1">INDEX(Data_DBD!$F:$F,$A17)</f>
        <v>3</v>
      </c>
      <c r="H17" s="32">
        <v>31</v>
      </c>
      <c r="I17" s="32">
        <v>64</v>
      </c>
      <c r="J17" s="32">
        <v>4</v>
      </c>
      <c r="K17" s="32">
        <v>14</v>
      </c>
      <c r="L17" s="32">
        <v>1</v>
      </c>
      <c r="M17" s="32">
        <v>2</v>
      </c>
    </row>
    <row r="18" spans="1:13">
      <c r="A18" s="32">
        <f t="shared" ca="1" si="0"/>
        <v>30</v>
      </c>
      <c r="B18" s="32" t="str" cm="1">
        <f t="array" aca="1" ref="B18" ca="1">INDEX(Data_DBD!$B:$B,$A18)</f>
        <v>2,8</v>
      </c>
      <c r="C18" s="32" cm="1">
        <f t="array" aca="1" ref="C18" ca="1">INDEX(Data_DBD!$C:$C,$A18)</f>
        <v>2</v>
      </c>
      <c r="D18" s="32" cm="1">
        <f t="array" aca="1" ref="D18" ca="1">INDEX(Data_DBD!$D:$D,$A18)</f>
        <v>14</v>
      </c>
      <c r="E18" s="32" cm="1">
        <f t="array" aca="1" ref="E18" ca="1">INDEX(Data_DBD!$E:$E,$A18)</f>
        <v>1</v>
      </c>
      <c r="F18" s="32" cm="1">
        <f t="array" aca="1" ref="F18" ca="1">INDEX(Data_DBD!$F:$F,$A18)</f>
        <v>2</v>
      </c>
      <c r="H18" s="32">
        <v>55</v>
      </c>
      <c r="I18" s="32">
        <v>7</v>
      </c>
      <c r="J18" s="32">
        <v>4</v>
      </c>
      <c r="K18" s="32">
        <v>15</v>
      </c>
      <c r="L18" s="32">
        <v>1</v>
      </c>
      <c r="M18" s="32">
        <v>2</v>
      </c>
    </row>
    <row r="19" spans="1:13">
      <c r="A19" s="32">
        <f t="shared" ca="1" si="0"/>
        <v>79</v>
      </c>
      <c r="B19" s="32" cm="1">
        <f t="array" aca="1" ref="B19" ca="1">INDEX(Data_DBD!$B:$B,$A19)</f>
        <v>29</v>
      </c>
      <c r="C19" s="32" cm="1">
        <f t="array" aca="1" ref="C19" ca="1">INDEX(Data_DBD!$C:$C,$A19)</f>
        <v>3</v>
      </c>
      <c r="D19" s="32" cm="1">
        <f t="array" aca="1" ref="D19" ca="1">INDEX(Data_DBD!$D:$D,$A19)</f>
        <v>13</v>
      </c>
      <c r="E19" s="32" cm="1">
        <f t="array" aca="1" ref="E19" ca="1">INDEX(Data_DBD!$E:$E,$A19)</f>
        <v>0</v>
      </c>
      <c r="F19" s="32" cm="1">
        <f t="array" aca="1" ref="F19" ca="1">INDEX(Data_DBD!$F:$F,$A19)</f>
        <v>2</v>
      </c>
      <c r="H19" s="32">
        <v>46</v>
      </c>
      <c r="I19" s="32">
        <v>62</v>
      </c>
      <c r="J19" s="32">
        <v>2</v>
      </c>
      <c r="K19" s="32">
        <v>13</v>
      </c>
      <c r="L19" s="32">
        <v>0</v>
      </c>
      <c r="M19" s="32">
        <v>2</v>
      </c>
    </row>
    <row r="20" spans="1:13">
      <c r="A20" s="32">
        <f t="shared" ca="1" si="0"/>
        <v>108</v>
      </c>
      <c r="B20" s="32" cm="1">
        <f t="array" aca="1" ref="B20" ca="1">INDEX(Data_DBD!$B:$B,$A20)</f>
        <v>69</v>
      </c>
      <c r="C20" s="32" cm="1">
        <f t="array" aca="1" ref="C20" ca="1">INDEX(Data_DBD!$C:$C,$A20)</f>
        <v>7</v>
      </c>
      <c r="D20" s="32" cm="1">
        <f t="array" aca="1" ref="D20" ca="1">INDEX(Data_DBD!$D:$D,$A20)</f>
        <v>33</v>
      </c>
      <c r="E20" s="32" cm="1">
        <f t="array" aca="1" ref="E20" ca="1">INDEX(Data_DBD!$E:$E,$A20)</f>
        <v>1</v>
      </c>
      <c r="F20" s="32" cm="1">
        <f t="array" aca="1" ref="F20" ca="1">INDEX(Data_DBD!$F:$F,$A20)</f>
        <v>3</v>
      </c>
      <c r="H20" s="32">
        <v>70</v>
      </c>
      <c r="I20" s="32">
        <v>26</v>
      </c>
      <c r="J20" s="32">
        <v>3</v>
      </c>
      <c r="K20" s="32">
        <v>10</v>
      </c>
      <c r="L20" s="32">
        <v>1</v>
      </c>
      <c r="M20" s="32">
        <v>2</v>
      </c>
    </row>
    <row r="21" spans="1:13">
      <c r="A21" s="32">
        <f t="shared" ca="1" si="0"/>
        <v>160</v>
      </c>
      <c r="B21" s="32" cm="1">
        <f t="array" aca="1" ref="B21" ca="1">INDEX(Data_DBD!$B:$B,$A21)</f>
        <v>16</v>
      </c>
      <c r="C21" s="32" cm="1">
        <f t="array" aca="1" ref="C21" ca="1">INDEX(Data_DBD!$C:$C,$A21)</f>
        <v>3</v>
      </c>
      <c r="D21" s="32" cm="1">
        <f t="array" aca="1" ref="D21" ca="1">INDEX(Data_DBD!$D:$D,$A21)</f>
        <v>21</v>
      </c>
      <c r="E21" s="32" cm="1">
        <f t="array" aca="1" ref="E21" ca="1">INDEX(Data_DBD!$E:$E,$A21)</f>
        <v>0</v>
      </c>
      <c r="F21" s="32" cm="1">
        <f t="array" aca="1" ref="F21" ca="1">INDEX(Data_DBD!$F:$F,$A21)</f>
        <v>3</v>
      </c>
      <c r="H21" s="32">
        <v>27</v>
      </c>
      <c r="I21" s="32">
        <v>37</v>
      </c>
      <c r="J21" s="32">
        <v>4</v>
      </c>
      <c r="K21" s="32">
        <v>14</v>
      </c>
      <c r="L21" s="32">
        <v>1</v>
      </c>
      <c r="M21" s="32">
        <v>2</v>
      </c>
    </row>
    <row r="22" spans="1:13">
      <c r="A22" s="32">
        <f t="shared" ca="1" si="0"/>
        <v>29</v>
      </c>
      <c r="B22" s="32" cm="1">
        <f t="array" aca="1" ref="B22" ca="1">INDEX(Data_DBD!$B:$B,$A22)</f>
        <v>19</v>
      </c>
      <c r="C22" s="32" cm="1">
        <f t="array" aca="1" ref="C22" ca="1">INDEX(Data_DBD!$C:$C,$A22)</f>
        <v>2</v>
      </c>
      <c r="D22" s="32" cm="1">
        <f t="array" aca="1" ref="D22" ca="1">INDEX(Data_DBD!$D:$D,$A22)</f>
        <v>14</v>
      </c>
      <c r="E22" s="32" cm="1">
        <f t="array" aca="1" ref="E22" ca="1">INDEX(Data_DBD!$E:$E,$A22)</f>
        <v>1</v>
      </c>
      <c r="F22" s="32" cm="1">
        <f t="array" aca="1" ref="F22" ca="1">INDEX(Data_DBD!$F:$F,$A22)</f>
        <v>2</v>
      </c>
      <c r="H22" s="32">
        <v>6</v>
      </c>
      <c r="I22" s="32">
        <v>14</v>
      </c>
      <c r="J22" s="32">
        <v>4</v>
      </c>
      <c r="K22" s="32">
        <v>12</v>
      </c>
      <c r="L22" s="32">
        <v>0</v>
      </c>
      <c r="M22" s="32">
        <v>2</v>
      </c>
    </row>
    <row r="23" spans="1:13">
      <c r="A23" s="32">
        <f t="shared" ca="1" si="0"/>
        <v>158</v>
      </c>
      <c r="B23" s="32" cm="1">
        <f t="array" aca="1" ref="B23" ca="1">INDEX(Data_DBD!$B:$B,$A23)</f>
        <v>5</v>
      </c>
      <c r="C23" s="32" cm="1">
        <f t="array" aca="1" ref="C23" ca="1">INDEX(Data_DBD!$C:$C,$A23)</f>
        <v>2</v>
      </c>
      <c r="D23" s="32" cm="1">
        <f t="array" aca="1" ref="D23" ca="1">INDEX(Data_DBD!$D:$D,$A23)</f>
        <v>21</v>
      </c>
      <c r="E23" s="32" cm="1">
        <f t="array" aca="1" ref="E23" ca="1">INDEX(Data_DBD!$E:$E,$A23)</f>
        <v>0</v>
      </c>
      <c r="F23" s="32" cm="1">
        <f t="array" aca="1" ref="F23" ca="1">INDEX(Data_DBD!$F:$F,$A23)</f>
        <v>3</v>
      </c>
      <c r="H23" s="32">
        <v>69</v>
      </c>
      <c r="I23" s="32">
        <v>24</v>
      </c>
      <c r="J23" s="32">
        <v>4</v>
      </c>
      <c r="K23" s="32">
        <v>10</v>
      </c>
      <c r="L23" s="32">
        <v>1</v>
      </c>
      <c r="M23" s="32">
        <v>2</v>
      </c>
    </row>
    <row r="24" spans="1:13">
      <c r="A24" s="32">
        <f t="shared" ca="1" si="0"/>
        <v>99</v>
      </c>
      <c r="B24" s="32" cm="1">
        <f t="array" aca="1" ref="B24" ca="1">INDEX(Data_DBD!$B:$B,$A24)</f>
        <v>4</v>
      </c>
      <c r="C24" s="32" cm="1">
        <f t="array" aca="1" ref="C24" ca="1">INDEX(Data_DBD!$C:$C,$A24)</f>
        <v>2</v>
      </c>
      <c r="D24" s="32" cm="1">
        <f t="array" aca="1" ref="D24" ca="1">INDEX(Data_DBD!$D:$D,$A24)</f>
        <v>18</v>
      </c>
      <c r="E24" s="32" cm="1">
        <f t="array" aca="1" ref="E24" ca="1">INDEX(Data_DBD!$E:$E,$A24)</f>
        <v>1</v>
      </c>
      <c r="F24" s="32" cm="1">
        <f t="array" aca="1" ref="F24" ca="1">INDEX(Data_DBD!$F:$F,$A24)</f>
        <v>3</v>
      </c>
      <c r="H24" s="32">
        <v>129</v>
      </c>
      <c r="I24" s="32">
        <v>4.5</v>
      </c>
      <c r="J24" s="32">
        <v>3</v>
      </c>
      <c r="K24" s="32">
        <v>33</v>
      </c>
      <c r="L24" s="32">
        <v>0</v>
      </c>
      <c r="M24" s="32">
        <v>3</v>
      </c>
    </row>
    <row r="25" spans="1:13">
      <c r="A25" s="32">
        <f t="shared" ca="1" si="0"/>
        <v>139</v>
      </c>
      <c r="B25" s="32" cm="1">
        <f t="array" aca="1" ref="B25" ca="1">INDEX(Data_DBD!$B:$B,$A25)</f>
        <v>52</v>
      </c>
      <c r="C25" s="32" cm="1">
        <f t="array" aca="1" ref="C25" ca="1">INDEX(Data_DBD!$C:$C,$A25)</f>
        <v>7</v>
      </c>
      <c r="D25" s="32" cm="1">
        <f t="array" aca="1" ref="D25" ca="1">INDEX(Data_DBD!$D:$D,$A25)</f>
        <v>21</v>
      </c>
      <c r="E25" s="32" cm="1">
        <f t="array" aca="1" ref="E25" ca="1">INDEX(Data_DBD!$E:$E,$A25)</f>
        <v>0</v>
      </c>
      <c r="F25" s="32" cm="1">
        <f t="array" aca="1" ref="F25" ca="1">INDEX(Data_DBD!$F:$F,$A25)</f>
        <v>3</v>
      </c>
      <c r="H25" s="32">
        <v>142</v>
      </c>
      <c r="I25" s="32">
        <v>39</v>
      </c>
      <c r="J25" s="32">
        <v>2</v>
      </c>
      <c r="K25" s="32">
        <v>21</v>
      </c>
      <c r="L25" s="32">
        <v>1</v>
      </c>
      <c r="M25" s="32">
        <v>3</v>
      </c>
    </row>
    <row r="26" spans="1:13">
      <c r="A26" s="32">
        <f t="shared" ca="1" si="0"/>
        <v>65</v>
      </c>
      <c r="B26" s="32" cm="1">
        <f t="array" aca="1" ref="B26" ca="1">INDEX(Data_DBD!$B:$B,$A26)</f>
        <v>49</v>
      </c>
      <c r="C26" s="32" cm="1">
        <f t="array" aca="1" ref="C26" ca="1">INDEX(Data_DBD!$C:$C,$A26)</f>
        <v>3</v>
      </c>
      <c r="D26" s="32" cm="1">
        <f t="array" aca="1" ref="D26" ca="1">INDEX(Data_DBD!$D:$D,$A26)</f>
        <v>15</v>
      </c>
      <c r="E26" s="32" cm="1">
        <f t="array" aca="1" ref="E26" ca="1">INDEX(Data_DBD!$E:$E,$A26)</f>
        <v>0</v>
      </c>
      <c r="F26" s="32" cm="1">
        <f t="array" aca="1" ref="F26" ca="1">INDEX(Data_DBD!$F:$F,$A26)</f>
        <v>2</v>
      </c>
      <c r="H26" s="32">
        <v>59</v>
      </c>
      <c r="I26" s="32">
        <v>28</v>
      </c>
      <c r="J26" s="32">
        <v>4</v>
      </c>
      <c r="K26" s="32">
        <v>15</v>
      </c>
      <c r="L26" s="32">
        <v>0</v>
      </c>
      <c r="M26" s="32">
        <v>2</v>
      </c>
    </row>
    <row r="27" spans="1:13">
      <c r="A27" s="32">
        <f t="shared" ca="1" si="0"/>
        <v>146</v>
      </c>
      <c r="B27" s="32" cm="1">
        <f t="array" aca="1" ref="B27" ca="1">INDEX(Data_DBD!$B:$B,$A27)</f>
        <v>34</v>
      </c>
      <c r="C27" s="32" cm="1">
        <f t="array" aca="1" ref="C27" ca="1">INDEX(Data_DBD!$C:$C,$A27)</f>
        <v>2</v>
      </c>
      <c r="D27" s="32" cm="1">
        <f t="array" aca="1" ref="D27" ca="1">INDEX(Data_DBD!$D:$D,$A27)</f>
        <v>21</v>
      </c>
      <c r="E27" s="32" cm="1">
        <f t="array" aca="1" ref="E27" ca="1">INDEX(Data_DBD!$E:$E,$A27)</f>
        <v>1</v>
      </c>
      <c r="F27" s="32" cm="1">
        <f t="array" aca="1" ref="F27" ca="1">INDEX(Data_DBD!$F:$F,$A27)</f>
        <v>3</v>
      </c>
      <c r="H27" s="32">
        <v>137</v>
      </c>
      <c r="I27" s="32">
        <v>3.5</v>
      </c>
      <c r="J27" s="32">
        <v>1</v>
      </c>
      <c r="K27" s="32">
        <v>33</v>
      </c>
      <c r="L27" s="32">
        <v>1</v>
      </c>
      <c r="M27" s="32">
        <v>3</v>
      </c>
    </row>
    <row r="28" spans="1:13">
      <c r="A28" s="32">
        <f t="shared" ca="1" si="0"/>
        <v>39</v>
      </c>
      <c r="B28" s="32" cm="1">
        <f t="array" aca="1" ref="B28" ca="1">INDEX(Data_DBD!$B:$B,$A28)</f>
        <v>12</v>
      </c>
      <c r="C28" s="32" cm="1">
        <f t="array" aca="1" ref="C28" ca="1">INDEX(Data_DBD!$C:$C,$A28)</f>
        <v>5</v>
      </c>
      <c r="D28" s="32" cm="1">
        <f t="array" aca="1" ref="D28" ca="1">INDEX(Data_DBD!$D:$D,$A28)</f>
        <v>13</v>
      </c>
      <c r="E28" s="32" cm="1">
        <f t="array" aca="1" ref="E28" ca="1">INDEX(Data_DBD!$E:$E,$A28)</f>
        <v>1</v>
      </c>
      <c r="F28" s="32" cm="1">
        <f t="array" aca="1" ref="F28" ca="1">INDEX(Data_DBD!$F:$F,$A28)</f>
        <v>2</v>
      </c>
      <c r="H28" s="32">
        <v>66</v>
      </c>
      <c r="I28" s="32">
        <v>21</v>
      </c>
      <c r="J28" s="32">
        <v>5</v>
      </c>
      <c r="K28" s="32">
        <v>15</v>
      </c>
      <c r="L28" s="32">
        <v>1</v>
      </c>
      <c r="M28" s="32">
        <v>2</v>
      </c>
    </row>
    <row r="29" spans="1:13">
      <c r="A29" s="32">
        <f t="shared" ca="1" si="0"/>
        <v>100</v>
      </c>
      <c r="B29" s="32" cm="1">
        <f t="array" aca="1" ref="B29" ca="1">INDEX(Data_DBD!$B:$B,$A29)</f>
        <v>19</v>
      </c>
      <c r="C29" s="32" cm="1">
        <f t="array" aca="1" ref="C29" ca="1">INDEX(Data_DBD!$C:$C,$A29)</f>
        <v>6</v>
      </c>
      <c r="D29" s="32" cm="1">
        <f t="array" aca="1" ref="D29" ca="1">INDEX(Data_DBD!$D:$D,$A29)</f>
        <v>18</v>
      </c>
      <c r="E29" s="32" cm="1">
        <f t="array" aca="1" ref="E29" ca="1">INDEX(Data_DBD!$E:$E,$A29)</f>
        <v>0</v>
      </c>
      <c r="F29" s="32" cm="1">
        <f t="array" aca="1" ref="F29" ca="1">INDEX(Data_DBD!$F:$F,$A29)</f>
        <v>3</v>
      </c>
      <c r="H29" s="32">
        <v>70</v>
      </c>
      <c r="I29" s="32">
        <v>26</v>
      </c>
      <c r="J29" s="32">
        <v>3</v>
      </c>
      <c r="K29" s="32">
        <v>10</v>
      </c>
      <c r="L29" s="32">
        <v>1</v>
      </c>
      <c r="M29" s="32">
        <v>2</v>
      </c>
    </row>
    <row r="30" spans="1:13">
      <c r="A30" s="32">
        <f t="shared" ca="1" si="0"/>
        <v>159</v>
      </c>
      <c r="B30" s="32" cm="1">
        <f t="array" aca="1" ref="B30" ca="1">INDEX(Data_DBD!$B:$B,$A30)</f>
        <v>17</v>
      </c>
      <c r="C30" s="32" cm="1">
        <f t="array" aca="1" ref="C30" ca="1">INDEX(Data_DBD!$C:$C,$A30)</f>
        <v>2</v>
      </c>
      <c r="D30" s="32" cm="1">
        <f t="array" aca="1" ref="D30" ca="1">INDEX(Data_DBD!$D:$D,$A30)</f>
        <v>21</v>
      </c>
      <c r="E30" s="32" cm="1">
        <f t="array" aca="1" ref="E30" ca="1">INDEX(Data_DBD!$E:$E,$A30)</f>
        <v>0</v>
      </c>
      <c r="F30" s="32" cm="1">
        <f t="array" aca="1" ref="F30" ca="1">INDEX(Data_DBD!$F:$F,$A30)</f>
        <v>3</v>
      </c>
      <c r="H30" s="32">
        <v>68</v>
      </c>
      <c r="I30" s="32">
        <v>44</v>
      </c>
      <c r="J30" s="32">
        <v>5</v>
      </c>
      <c r="K30" s="32">
        <v>10</v>
      </c>
      <c r="L30" s="32">
        <v>0</v>
      </c>
      <c r="M30" s="32">
        <v>2</v>
      </c>
    </row>
    <row r="31" spans="1:13">
      <c r="A31" s="32">
        <f t="shared" ca="1" si="0"/>
        <v>132</v>
      </c>
      <c r="B31" s="32" cm="1">
        <f t="array" aca="1" ref="B31" ca="1">INDEX(Data_DBD!$B:$B,$A31)</f>
        <v>10</v>
      </c>
      <c r="C31" s="32" cm="1">
        <f t="array" aca="1" ref="C31" ca="1">INDEX(Data_DBD!$C:$C,$A31)</f>
        <v>3</v>
      </c>
      <c r="D31" s="32" cm="1">
        <f t="array" aca="1" ref="D31" ca="1">INDEX(Data_DBD!$D:$D,$A31)</f>
        <v>33</v>
      </c>
      <c r="E31" s="32" cm="1">
        <f t="array" aca="1" ref="E31" ca="1">INDEX(Data_DBD!$E:$E,$A31)</f>
        <v>1</v>
      </c>
      <c r="F31" s="32" cm="1">
        <f t="array" aca="1" ref="F31" ca="1">INDEX(Data_DBD!$F:$F,$A31)</f>
        <v>3</v>
      </c>
      <c r="H31" s="32">
        <v>32</v>
      </c>
      <c r="I31" s="32">
        <v>54</v>
      </c>
      <c r="J31" s="32">
        <v>4</v>
      </c>
      <c r="K31" s="32">
        <v>14</v>
      </c>
      <c r="L31" s="32">
        <v>0</v>
      </c>
      <c r="M31" s="32">
        <v>2</v>
      </c>
    </row>
    <row r="32" spans="1:13">
      <c r="A32" s="32">
        <f t="shared" ca="1" si="0"/>
        <v>61</v>
      </c>
      <c r="B32" s="32" cm="1">
        <f t="array" aca="1" ref="B32" ca="1">INDEX(Data_DBD!$B:$B,$A32)</f>
        <v>29</v>
      </c>
      <c r="C32" s="32" cm="1">
        <f t="array" aca="1" ref="C32" ca="1">INDEX(Data_DBD!$C:$C,$A32)</f>
        <v>3</v>
      </c>
      <c r="D32" s="32" cm="1">
        <f t="array" aca="1" ref="D32" ca="1">INDEX(Data_DBD!$D:$D,$A32)</f>
        <v>15</v>
      </c>
      <c r="E32" s="32" cm="1">
        <f t="array" aca="1" ref="E32" ca="1">INDEX(Data_DBD!$E:$E,$A32)</f>
        <v>1</v>
      </c>
      <c r="F32" s="32" cm="1">
        <f t="array" aca="1" ref="F32" ca="1">INDEX(Data_DBD!$F:$F,$A32)</f>
        <v>2</v>
      </c>
      <c r="H32" s="32">
        <v>57</v>
      </c>
      <c r="I32" s="32">
        <v>2</v>
      </c>
      <c r="J32" s="32">
        <v>2</v>
      </c>
      <c r="K32" s="32">
        <v>15</v>
      </c>
      <c r="L32" s="32">
        <v>1</v>
      </c>
      <c r="M32" s="32">
        <v>2</v>
      </c>
    </row>
    <row r="33" spans="1:13">
      <c r="A33" s="32">
        <f t="shared" ca="1" si="0"/>
        <v>7</v>
      </c>
      <c r="B33" s="32" cm="1">
        <f t="array" aca="1" ref="B33" ca="1">INDEX(Data_DBD!$B:$B,$A33)</f>
        <v>12</v>
      </c>
      <c r="C33" s="32" cm="1">
        <f t="array" aca="1" ref="C33" ca="1">INDEX(Data_DBD!$C:$C,$A33)</f>
        <v>1</v>
      </c>
      <c r="D33" s="32" cm="1">
        <f t="array" aca="1" ref="D33" ca="1">INDEX(Data_DBD!$D:$D,$A33)</f>
        <v>12</v>
      </c>
      <c r="E33" s="32" cm="1">
        <f t="array" aca="1" ref="E33" ca="1">INDEX(Data_DBD!$E:$E,$A33)</f>
        <v>1</v>
      </c>
      <c r="F33" s="32" cm="1">
        <f t="array" aca="1" ref="F33" ca="1">INDEX(Data_DBD!$F:$F,$A33)</f>
        <v>2</v>
      </c>
      <c r="H33" s="32">
        <v>60</v>
      </c>
      <c r="I33" s="32">
        <v>68</v>
      </c>
      <c r="J33" s="32">
        <v>4</v>
      </c>
      <c r="K33" s="32">
        <v>15</v>
      </c>
      <c r="L33" s="32">
        <v>0</v>
      </c>
      <c r="M33" s="32">
        <v>2</v>
      </c>
    </row>
    <row r="34" spans="1:13">
      <c r="A34" s="32">
        <f t="shared" ca="1" si="0"/>
        <v>156</v>
      </c>
      <c r="B34" s="32" cm="1">
        <f t="array" aca="1" ref="B34" ca="1">INDEX(Data_DBD!$B:$B,$A34)</f>
        <v>5</v>
      </c>
      <c r="C34" s="32" cm="1">
        <f t="array" aca="1" ref="C34" ca="1">INDEX(Data_DBD!$C:$C,$A34)</f>
        <v>2</v>
      </c>
      <c r="D34" s="32" cm="1">
        <f t="array" aca="1" ref="D34" ca="1">INDEX(Data_DBD!$D:$D,$A34)</f>
        <v>21</v>
      </c>
      <c r="E34" s="32" cm="1">
        <f t="array" aca="1" ref="E34" ca="1">INDEX(Data_DBD!$E:$E,$A34)</f>
        <v>0</v>
      </c>
      <c r="F34" s="32" cm="1">
        <f t="array" aca="1" ref="F34" ca="1">INDEX(Data_DBD!$F:$F,$A34)</f>
        <v>3</v>
      </c>
      <c r="H34" s="32">
        <v>49</v>
      </c>
      <c r="I34" s="32">
        <v>64</v>
      </c>
      <c r="J34" s="32">
        <v>5</v>
      </c>
      <c r="K34" s="32">
        <v>13</v>
      </c>
      <c r="L34" s="32">
        <v>0</v>
      </c>
      <c r="M34" s="32">
        <v>2</v>
      </c>
    </row>
    <row r="35" spans="1:13">
      <c r="A35" s="32">
        <f t="shared" ca="1" si="0"/>
        <v>80</v>
      </c>
      <c r="B35" s="32" cm="1">
        <f t="array" aca="1" ref="B35" ca="1">INDEX(Data_DBD!$B:$B,$A35)</f>
        <v>27</v>
      </c>
      <c r="C35" s="32" cm="1">
        <f t="array" aca="1" ref="C35" ca="1">INDEX(Data_DBD!$C:$C,$A35)</f>
        <v>3</v>
      </c>
      <c r="D35" s="32" cm="1">
        <f t="array" aca="1" ref="D35" ca="1">INDEX(Data_DBD!$D:$D,$A35)</f>
        <v>13</v>
      </c>
      <c r="E35" s="32" cm="1">
        <f t="array" aca="1" ref="E35" ca="1">INDEX(Data_DBD!$E:$E,$A35)</f>
        <v>1</v>
      </c>
      <c r="F35" s="32" cm="1">
        <f t="array" aca="1" ref="F35" ca="1">INDEX(Data_DBD!$F:$F,$A35)</f>
        <v>2</v>
      </c>
      <c r="H35" s="32">
        <v>138</v>
      </c>
      <c r="I35" s="32">
        <v>13</v>
      </c>
      <c r="J35" s="32">
        <v>3</v>
      </c>
      <c r="K35" s="32">
        <v>33</v>
      </c>
      <c r="L35" s="32">
        <v>1</v>
      </c>
      <c r="M35" s="32">
        <v>3</v>
      </c>
    </row>
    <row r="36" spans="1:13">
      <c r="A36" s="32">
        <f t="shared" ca="1" si="0"/>
        <v>43</v>
      </c>
      <c r="B36" s="32" cm="1">
        <f t="array" aca="1" ref="B36" ca="1">INDEX(Data_DBD!$B:$B,$A36)</f>
        <v>15</v>
      </c>
      <c r="C36" s="32" cm="1">
        <f t="array" aca="1" ref="C36" ca="1">INDEX(Data_DBD!$C:$C,$A36)</f>
        <v>4</v>
      </c>
      <c r="D36" s="32" cm="1">
        <f t="array" aca="1" ref="D36" ca="1">INDEX(Data_DBD!$D:$D,$A36)</f>
        <v>13</v>
      </c>
      <c r="E36" s="32" cm="1">
        <f t="array" aca="1" ref="E36" ca="1">INDEX(Data_DBD!$E:$E,$A36)</f>
        <v>0</v>
      </c>
      <c r="F36" s="32" cm="1">
        <f t="array" aca="1" ref="F36" ca="1">INDEX(Data_DBD!$F:$F,$A36)</f>
        <v>2</v>
      </c>
      <c r="H36" s="32">
        <v>86</v>
      </c>
      <c r="I36" s="32">
        <v>23</v>
      </c>
      <c r="J36" s="32">
        <v>3</v>
      </c>
      <c r="K36" s="32">
        <v>13</v>
      </c>
      <c r="L36" s="32">
        <v>0</v>
      </c>
      <c r="M36" s="32">
        <v>2</v>
      </c>
    </row>
    <row r="37" spans="1:13">
      <c r="A37" s="32">
        <f t="shared" ca="1" si="0"/>
        <v>34</v>
      </c>
      <c r="B37" s="32" cm="1">
        <f t="array" aca="1" ref="B37" ca="1">INDEX(Data_DBD!$B:$B,$A37)</f>
        <v>55</v>
      </c>
      <c r="C37" s="32" cm="1">
        <f t="array" aca="1" ref="C37" ca="1">INDEX(Data_DBD!$C:$C,$A37)</f>
        <v>3</v>
      </c>
      <c r="D37" s="32" cm="1">
        <f t="array" aca="1" ref="D37" ca="1">INDEX(Data_DBD!$D:$D,$A37)</f>
        <v>14</v>
      </c>
      <c r="E37" s="32" cm="1">
        <f t="array" aca="1" ref="E37" ca="1">INDEX(Data_DBD!$E:$E,$A37)</f>
        <v>0</v>
      </c>
      <c r="F37" s="32" cm="1">
        <f t="array" aca="1" ref="F37" ca="1">INDEX(Data_DBD!$F:$F,$A37)</f>
        <v>2</v>
      </c>
      <c r="H37" s="32">
        <v>113</v>
      </c>
      <c r="I37" s="32">
        <v>69</v>
      </c>
      <c r="J37" s="32">
        <v>1</v>
      </c>
      <c r="K37" s="32">
        <v>33</v>
      </c>
      <c r="L37" s="32">
        <v>1</v>
      </c>
      <c r="M37" s="32">
        <v>3</v>
      </c>
    </row>
    <row r="38" spans="1:13">
      <c r="A38" s="32">
        <f t="shared" ca="1" si="0"/>
        <v>96</v>
      </c>
      <c r="B38" s="32" cm="1">
        <f t="array" aca="1" ref="B38" ca="1">INDEX(Data_DBD!$B:$B,$A38)</f>
        <v>56</v>
      </c>
      <c r="C38" s="32" cm="1">
        <f t="array" aca="1" ref="C38" ca="1">INDEX(Data_DBD!$C:$C,$A38)</f>
        <v>4</v>
      </c>
      <c r="D38" s="32" cm="1">
        <f t="array" aca="1" ref="D38" ca="1">INDEX(Data_DBD!$D:$D,$A38)</f>
        <v>18</v>
      </c>
      <c r="E38" s="32" cm="1">
        <f t="array" aca="1" ref="E38" ca="1">INDEX(Data_DBD!$E:$E,$A38)</f>
        <v>0</v>
      </c>
      <c r="F38" s="32" cm="1">
        <f t="array" aca="1" ref="F38" ca="1">INDEX(Data_DBD!$F:$F,$A38)</f>
        <v>3</v>
      </c>
      <c r="H38" s="32">
        <v>12</v>
      </c>
      <c r="I38" s="32">
        <v>23</v>
      </c>
      <c r="J38" s="32">
        <v>3</v>
      </c>
      <c r="K38" s="32">
        <v>12</v>
      </c>
      <c r="L38" s="32">
        <v>0</v>
      </c>
      <c r="M38" s="32">
        <v>2</v>
      </c>
    </row>
    <row r="39" spans="1:13">
      <c r="A39" s="32">
        <f t="shared" ca="1" si="0"/>
        <v>103</v>
      </c>
      <c r="B39" s="32" cm="1">
        <f t="array" aca="1" ref="B39" ca="1">INDEX(Data_DBD!$B:$B,$A39)</f>
        <v>22</v>
      </c>
      <c r="C39" s="32" cm="1">
        <f t="array" aca="1" ref="C39" ca="1">INDEX(Data_DBD!$C:$C,$A39)</f>
        <v>5</v>
      </c>
      <c r="D39" s="32" cm="1">
        <f t="array" aca="1" ref="D39" ca="1">INDEX(Data_DBD!$D:$D,$A39)</f>
        <v>18</v>
      </c>
      <c r="E39" s="32" cm="1">
        <f t="array" aca="1" ref="E39" ca="1">INDEX(Data_DBD!$E:$E,$A39)</f>
        <v>0</v>
      </c>
      <c r="F39" s="32" cm="1">
        <f t="array" aca="1" ref="F39" ca="1">INDEX(Data_DBD!$F:$F,$A39)</f>
        <v>3</v>
      </c>
      <c r="H39" s="32">
        <v>5</v>
      </c>
      <c r="I39" s="32">
        <v>18</v>
      </c>
      <c r="J39" s="32">
        <v>2</v>
      </c>
      <c r="K39" s="32">
        <v>12</v>
      </c>
      <c r="L39" s="32">
        <v>1</v>
      </c>
      <c r="M39" s="32">
        <v>2</v>
      </c>
    </row>
    <row r="40" spans="1:13">
      <c r="A40" s="32">
        <f t="shared" ca="1" si="0"/>
        <v>157</v>
      </c>
      <c r="B40" s="32" cm="1">
        <f t="array" aca="1" ref="B40" ca="1">INDEX(Data_DBD!$B:$B,$A40)</f>
        <v>15</v>
      </c>
      <c r="C40" s="32" cm="1">
        <f t="array" aca="1" ref="C40" ca="1">INDEX(Data_DBD!$C:$C,$A40)</f>
        <v>4</v>
      </c>
      <c r="D40" s="32" cm="1">
        <f t="array" aca="1" ref="D40" ca="1">INDEX(Data_DBD!$D:$D,$A40)</f>
        <v>21</v>
      </c>
      <c r="E40" s="32" cm="1">
        <f t="array" aca="1" ref="E40" ca="1">INDEX(Data_DBD!$E:$E,$A40)</f>
        <v>1</v>
      </c>
      <c r="F40" s="32" cm="1">
        <f t="array" aca="1" ref="F40" ca="1">INDEX(Data_DBD!$F:$F,$A40)</f>
        <v>3</v>
      </c>
      <c r="H40" s="32">
        <v>106</v>
      </c>
      <c r="I40" s="32">
        <v>23</v>
      </c>
      <c r="J40" s="32">
        <v>3</v>
      </c>
      <c r="K40" s="32">
        <v>18</v>
      </c>
      <c r="L40" s="32">
        <v>1</v>
      </c>
      <c r="M40" s="32">
        <v>3</v>
      </c>
    </row>
    <row r="41" spans="1:13">
      <c r="A41" s="32">
        <f t="shared" ca="1" si="0"/>
        <v>18</v>
      </c>
      <c r="B41" s="32" cm="1">
        <f t="array" aca="1" ref="B41" ca="1">INDEX(Data_DBD!$B:$B,$A41)</f>
        <v>49</v>
      </c>
      <c r="C41" s="32" cm="1">
        <f t="array" aca="1" ref="C41" ca="1">INDEX(Data_DBD!$C:$C,$A41)</f>
        <v>4</v>
      </c>
      <c r="D41" s="32" cm="1">
        <f t="array" aca="1" ref="D41" ca="1">INDEX(Data_DBD!$D:$D,$A41)</f>
        <v>7</v>
      </c>
      <c r="E41" s="32" cm="1">
        <f t="array" aca="1" ref="E41" ca="1">INDEX(Data_DBD!$E:$E,$A41)</f>
        <v>1</v>
      </c>
      <c r="F41" s="32" cm="1">
        <f t="array" aca="1" ref="F41" ca="1">INDEX(Data_DBD!$F:$F,$A41)</f>
        <v>1</v>
      </c>
      <c r="H41" s="32">
        <v>6</v>
      </c>
      <c r="I41" s="32">
        <v>14</v>
      </c>
      <c r="J41" s="32">
        <v>4</v>
      </c>
      <c r="K41" s="32">
        <v>12</v>
      </c>
      <c r="L41" s="32">
        <v>0</v>
      </c>
      <c r="M41" s="32">
        <v>2</v>
      </c>
    </row>
    <row r="42" spans="1:13">
      <c r="A42" s="32">
        <f t="shared" ca="1" si="0"/>
        <v>49</v>
      </c>
      <c r="B42" s="32" cm="1">
        <f t="array" aca="1" ref="B42" ca="1">INDEX(Data_DBD!$B:$B,$A42)</f>
        <v>64</v>
      </c>
      <c r="C42" s="32" cm="1">
        <f t="array" aca="1" ref="C42" ca="1">INDEX(Data_DBD!$C:$C,$A42)</f>
        <v>5</v>
      </c>
      <c r="D42" s="32" cm="1">
        <f t="array" aca="1" ref="D42" ca="1">INDEX(Data_DBD!$D:$D,$A42)</f>
        <v>13</v>
      </c>
      <c r="E42" s="32" cm="1">
        <f t="array" aca="1" ref="E42" ca="1">INDEX(Data_DBD!$E:$E,$A42)</f>
        <v>0</v>
      </c>
      <c r="F42" s="32" cm="1">
        <f t="array" aca="1" ref="F42" ca="1">INDEX(Data_DBD!$F:$F,$A42)</f>
        <v>2</v>
      </c>
      <c r="H42" s="32">
        <v>120</v>
      </c>
      <c r="I42" s="32">
        <v>26</v>
      </c>
      <c r="J42" s="32">
        <v>4</v>
      </c>
      <c r="K42" s="32">
        <v>33</v>
      </c>
      <c r="L42" s="32">
        <v>1</v>
      </c>
      <c r="M42" s="32">
        <v>3</v>
      </c>
    </row>
    <row r="43" spans="1:13">
      <c r="A43" s="32">
        <f t="shared" ca="1" si="0"/>
        <v>130</v>
      </c>
      <c r="B43" s="32" cm="1">
        <f t="array" aca="1" ref="B43" ca="1">INDEX(Data_DBD!$B:$B,$A43)</f>
        <v>12</v>
      </c>
      <c r="C43" s="32" cm="1">
        <f t="array" aca="1" ref="C43" ca="1">INDEX(Data_DBD!$C:$C,$A43)</f>
        <v>4</v>
      </c>
      <c r="D43" s="32" cm="1">
        <f t="array" aca="1" ref="D43" ca="1">INDEX(Data_DBD!$D:$D,$A43)</f>
        <v>33</v>
      </c>
      <c r="E43" s="32" cm="1">
        <f t="array" aca="1" ref="E43" ca="1">INDEX(Data_DBD!$E:$E,$A43)</f>
        <v>0</v>
      </c>
      <c r="F43" s="32" cm="1">
        <f t="array" aca="1" ref="F43" ca="1">INDEX(Data_DBD!$F:$F,$A43)</f>
        <v>3</v>
      </c>
      <c r="H43" s="32">
        <v>52</v>
      </c>
      <c r="I43" s="32">
        <v>59</v>
      </c>
      <c r="J43" s="32">
        <v>4</v>
      </c>
      <c r="K43" s="32">
        <v>15</v>
      </c>
      <c r="L43" s="32">
        <v>1</v>
      </c>
      <c r="M43" s="32">
        <v>2</v>
      </c>
    </row>
    <row r="44" spans="1:13">
      <c r="A44" s="32">
        <f t="shared" ca="1" si="0"/>
        <v>41</v>
      </c>
      <c r="B44" s="32" cm="1">
        <f t="array" aca="1" ref="B44" ca="1">INDEX(Data_DBD!$B:$B,$A44)</f>
        <v>8</v>
      </c>
      <c r="C44" s="32" cm="1">
        <f t="array" aca="1" ref="C44" ca="1">INDEX(Data_DBD!$C:$C,$A44)</f>
        <v>4</v>
      </c>
      <c r="D44" s="32" cm="1">
        <f t="array" aca="1" ref="D44" ca="1">INDEX(Data_DBD!$D:$D,$A44)</f>
        <v>13</v>
      </c>
      <c r="E44" s="32" cm="1">
        <f t="array" aca="1" ref="E44" ca="1">INDEX(Data_DBD!$E:$E,$A44)</f>
        <v>0</v>
      </c>
      <c r="F44" s="32" cm="1">
        <f t="array" aca="1" ref="F44" ca="1">INDEX(Data_DBD!$F:$F,$A44)</f>
        <v>2</v>
      </c>
      <c r="H44" s="32">
        <v>117</v>
      </c>
      <c r="I44" s="32">
        <v>49</v>
      </c>
      <c r="J44" s="32">
        <v>4</v>
      </c>
      <c r="K44" s="32">
        <v>33</v>
      </c>
      <c r="L44" s="32">
        <v>1</v>
      </c>
      <c r="M44" s="32">
        <v>3</v>
      </c>
    </row>
    <row r="45" spans="1:13">
      <c r="A45" s="32">
        <f t="shared" ca="1" si="0"/>
        <v>163</v>
      </c>
      <c r="B45" s="32" cm="1">
        <f t="array" aca="1" ref="B45" ca="1">INDEX(Data_DBD!$B:$B,$A45)</f>
        <v>34</v>
      </c>
      <c r="C45" s="32" cm="1">
        <f t="array" aca="1" ref="C45" ca="1">INDEX(Data_DBD!$C:$C,$A45)</f>
        <v>4</v>
      </c>
      <c r="D45" s="32" cm="1">
        <f t="array" aca="1" ref="D45" ca="1">INDEX(Data_DBD!$D:$D,$A45)</f>
        <v>3</v>
      </c>
      <c r="E45" s="32" cm="1">
        <f t="array" aca="1" ref="E45" ca="1">INDEX(Data_DBD!$E:$E,$A45)</f>
        <v>1</v>
      </c>
      <c r="F45" s="32" cm="1">
        <f t="array" aca="1" ref="F45" ca="1">INDEX(Data_DBD!$F:$F,$A45)</f>
        <v>1</v>
      </c>
      <c r="H45" s="32">
        <v>39</v>
      </c>
      <c r="I45" s="32">
        <v>12</v>
      </c>
      <c r="J45" s="32">
        <v>5</v>
      </c>
      <c r="K45" s="32">
        <v>13</v>
      </c>
      <c r="L45" s="32">
        <v>1</v>
      </c>
      <c r="M45" s="32">
        <v>2</v>
      </c>
    </row>
    <row r="46" spans="1:13">
      <c r="A46" s="32">
        <f t="shared" ca="1" si="0"/>
        <v>83</v>
      </c>
      <c r="B46" s="32" cm="1">
        <f t="array" aca="1" ref="B46" ca="1">INDEX(Data_DBD!$B:$B,$A46)</f>
        <v>50</v>
      </c>
      <c r="C46" s="32" cm="1">
        <f t="array" aca="1" ref="C46" ca="1">INDEX(Data_DBD!$C:$C,$A46)</f>
        <v>3</v>
      </c>
      <c r="D46" s="32" cm="1">
        <f t="array" aca="1" ref="D46" ca="1">INDEX(Data_DBD!$D:$D,$A46)</f>
        <v>13</v>
      </c>
      <c r="E46" s="32" cm="1">
        <f t="array" aca="1" ref="E46" ca="1">INDEX(Data_DBD!$E:$E,$A46)</f>
        <v>0</v>
      </c>
      <c r="F46" s="32" cm="1">
        <f t="array" aca="1" ref="F46" ca="1">INDEX(Data_DBD!$F:$F,$A46)</f>
        <v>2</v>
      </c>
      <c r="H46" s="32">
        <v>11</v>
      </c>
      <c r="I46" s="32">
        <v>24</v>
      </c>
      <c r="J46" s="32">
        <v>5</v>
      </c>
      <c r="K46" s="32">
        <v>12</v>
      </c>
      <c r="L46" s="32">
        <v>1</v>
      </c>
      <c r="M46" s="32">
        <v>2</v>
      </c>
    </row>
    <row r="47" spans="1:13">
      <c r="A47" s="32">
        <f t="shared" ca="1" si="0"/>
        <v>157</v>
      </c>
      <c r="B47" s="32" cm="1">
        <f t="array" aca="1" ref="B47" ca="1">INDEX(Data_DBD!$B:$B,$A47)</f>
        <v>15</v>
      </c>
      <c r="C47" s="32" cm="1">
        <f t="array" aca="1" ref="C47" ca="1">INDEX(Data_DBD!$C:$C,$A47)</f>
        <v>4</v>
      </c>
      <c r="D47" s="32" cm="1">
        <f t="array" aca="1" ref="D47" ca="1">INDEX(Data_DBD!$D:$D,$A47)</f>
        <v>21</v>
      </c>
      <c r="E47" s="32" cm="1">
        <f t="array" aca="1" ref="E47" ca="1">INDEX(Data_DBD!$E:$E,$A47)</f>
        <v>1</v>
      </c>
      <c r="F47" s="32" cm="1">
        <f t="array" aca="1" ref="F47" ca="1">INDEX(Data_DBD!$F:$F,$A47)</f>
        <v>3</v>
      </c>
      <c r="H47" s="32">
        <v>5</v>
      </c>
      <c r="I47" s="32">
        <v>18</v>
      </c>
      <c r="J47" s="32">
        <v>2</v>
      </c>
      <c r="K47" s="32">
        <v>12</v>
      </c>
      <c r="L47" s="32">
        <v>1</v>
      </c>
      <c r="M47" s="32">
        <v>2</v>
      </c>
    </row>
    <row r="48" spans="1:13">
      <c r="A48" s="32">
        <f t="shared" ca="1" si="0"/>
        <v>155</v>
      </c>
      <c r="B48" s="32" cm="1">
        <f t="array" aca="1" ref="B48" ca="1">INDEX(Data_DBD!$B:$B,$A48)</f>
        <v>19</v>
      </c>
      <c r="C48" s="32" cm="1">
        <f t="array" aca="1" ref="C48" ca="1">INDEX(Data_DBD!$C:$C,$A48)</f>
        <v>5</v>
      </c>
      <c r="D48" s="32" cm="1">
        <f t="array" aca="1" ref="D48" ca="1">INDEX(Data_DBD!$D:$D,$A48)</f>
        <v>21</v>
      </c>
      <c r="E48" s="32" cm="1">
        <f t="array" aca="1" ref="E48" ca="1">INDEX(Data_DBD!$E:$E,$A48)</f>
        <v>1</v>
      </c>
      <c r="F48" s="32" cm="1">
        <f t="array" aca="1" ref="F48" ca="1">INDEX(Data_DBD!$F:$F,$A48)</f>
        <v>3</v>
      </c>
      <c r="H48" s="32">
        <v>94</v>
      </c>
      <c r="I48" s="32">
        <v>12</v>
      </c>
      <c r="J48" s="32">
        <v>4</v>
      </c>
      <c r="K48" s="32">
        <v>18</v>
      </c>
      <c r="L48" s="32">
        <v>0</v>
      </c>
      <c r="M48" s="32">
        <v>3</v>
      </c>
    </row>
    <row r="49" spans="1:13">
      <c r="A49" s="32">
        <f t="shared" ca="1" si="0"/>
        <v>93</v>
      </c>
      <c r="B49" s="32" cm="1">
        <f t="array" aca="1" ref="B49" ca="1">INDEX(Data_DBD!$B:$B,$A49)</f>
        <v>65</v>
      </c>
      <c r="C49" s="32" cm="1">
        <f t="array" aca="1" ref="C49" ca="1">INDEX(Data_DBD!$C:$C,$A49)</f>
        <v>4</v>
      </c>
      <c r="D49" s="32" cm="1">
        <f t="array" aca="1" ref="D49" ca="1">INDEX(Data_DBD!$D:$D,$A49)</f>
        <v>18</v>
      </c>
      <c r="E49" s="32" cm="1">
        <f t="array" aca="1" ref="E49" ca="1">INDEX(Data_DBD!$E:$E,$A49)</f>
        <v>0</v>
      </c>
      <c r="F49" s="32" cm="1">
        <f t="array" aca="1" ref="F49" ca="1">INDEX(Data_DBD!$F:$F,$A49)</f>
        <v>3</v>
      </c>
      <c r="H49" s="32">
        <v>5</v>
      </c>
      <c r="I49" s="32">
        <v>18</v>
      </c>
      <c r="J49" s="32">
        <v>2</v>
      </c>
      <c r="K49" s="32">
        <v>12</v>
      </c>
      <c r="L49" s="32">
        <v>1</v>
      </c>
      <c r="M49" s="32">
        <v>2</v>
      </c>
    </row>
    <row r="50" spans="1:13">
      <c r="A50" s="32">
        <f t="shared" ca="1" si="0"/>
        <v>46</v>
      </c>
      <c r="B50" s="32" cm="1">
        <f t="array" aca="1" ref="B50" ca="1">INDEX(Data_DBD!$B:$B,$A50)</f>
        <v>62</v>
      </c>
      <c r="C50" s="32" cm="1">
        <f t="array" aca="1" ref="C50" ca="1">INDEX(Data_DBD!$C:$C,$A50)</f>
        <v>2</v>
      </c>
      <c r="D50" s="32" cm="1">
        <f t="array" aca="1" ref="D50" ca="1">INDEX(Data_DBD!$D:$D,$A50)</f>
        <v>13</v>
      </c>
      <c r="E50" s="32" cm="1">
        <f t="array" aca="1" ref="E50" ca="1">INDEX(Data_DBD!$E:$E,$A50)</f>
        <v>0</v>
      </c>
      <c r="F50" s="32" cm="1">
        <f t="array" aca="1" ref="F50" ca="1">INDEX(Data_DBD!$F:$F,$A50)</f>
        <v>2</v>
      </c>
      <c r="H50" s="32">
        <v>16</v>
      </c>
      <c r="I50" s="32">
        <v>66</v>
      </c>
      <c r="J50" s="32">
        <v>5</v>
      </c>
      <c r="K50" s="32">
        <v>7</v>
      </c>
      <c r="L50" s="32">
        <v>1</v>
      </c>
      <c r="M50" s="32">
        <v>1</v>
      </c>
    </row>
    <row r="51" spans="1:13">
      <c r="A51" s="32">
        <f t="shared" ca="1" si="0"/>
        <v>67</v>
      </c>
      <c r="B51" s="32" cm="1">
        <f t="array" aca="1" ref="B51" ca="1">INDEX(Data_DBD!$B:$B,$A51)</f>
        <v>21</v>
      </c>
      <c r="C51" s="32" cm="1">
        <f t="array" aca="1" ref="C51" ca="1">INDEX(Data_DBD!$C:$C,$A51)</f>
        <v>3</v>
      </c>
      <c r="D51" s="32" cm="1">
        <f t="array" aca="1" ref="D51" ca="1">INDEX(Data_DBD!$D:$D,$A51)</f>
        <v>10</v>
      </c>
      <c r="E51" s="32" cm="1">
        <f t="array" aca="1" ref="E51" ca="1">INDEX(Data_DBD!$E:$E,$A51)</f>
        <v>1</v>
      </c>
      <c r="F51" s="32" cm="1">
        <f t="array" aca="1" ref="F51" ca="1">INDEX(Data_DBD!$F:$F,$A51)</f>
        <v>2</v>
      </c>
      <c r="H51" s="32">
        <v>87</v>
      </c>
      <c r="I51" s="32">
        <v>21</v>
      </c>
      <c r="J51" s="32">
        <v>3</v>
      </c>
      <c r="K51" s="32">
        <v>13</v>
      </c>
      <c r="L51" s="32">
        <v>0</v>
      </c>
      <c r="M51" s="32">
        <v>2</v>
      </c>
    </row>
    <row r="52" spans="1:13">
      <c r="A52" s="32">
        <f t="shared" ca="1" si="0"/>
        <v>46</v>
      </c>
      <c r="B52" s="32" cm="1">
        <f t="array" aca="1" ref="B52" ca="1">INDEX(Data_DBD!$B:$B,$A52)</f>
        <v>62</v>
      </c>
      <c r="C52" s="32" cm="1">
        <f t="array" aca="1" ref="C52" ca="1">INDEX(Data_DBD!$C:$C,$A52)</f>
        <v>2</v>
      </c>
      <c r="D52" s="32" cm="1">
        <f t="array" aca="1" ref="D52" ca="1">INDEX(Data_DBD!$D:$D,$A52)</f>
        <v>13</v>
      </c>
      <c r="E52" s="32" cm="1">
        <f t="array" aca="1" ref="E52" ca="1">INDEX(Data_DBD!$E:$E,$A52)</f>
        <v>0</v>
      </c>
      <c r="F52" s="32" cm="1">
        <f t="array" aca="1" ref="F52" ca="1">INDEX(Data_DBD!$F:$F,$A52)</f>
        <v>2</v>
      </c>
      <c r="H52" s="32">
        <v>90</v>
      </c>
      <c r="I52" s="32">
        <v>47</v>
      </c>
      <c r="J52" s="32">
        <v>3</v>
      </c>
      <c r="K52" s="32">
        <v>18</v>
      </c>
      <c r="L52" s="32">
        <v>0</v>
      </c>
      <c r="M52" s="32">
        <v>3</v>
      </c>
    </row>
    <row r="53" spans="1:13">
      <c r="A53" s="32">
        <f t="shared" ca="1" si="0"/>
        <v>145</v>
      </c>
      <c r="B53" s="32" cm="1">
        <f t="array" aca="1" ref="B53" ca="1">INDEX(Data_DBD!$B:$B,$A53)</f>
        <v>28</v>
      </c>
      <c r="C53" s="32" cm="1">
        <f t="array" aca="1" ref="C53" ca="1">INDEX(Data_DBD!$C:$C,$A53)</f>
        <v>4</v>
      </c>
      <c r="D53" s="32" cm="1">
        <f t="array" aca="1" ref="D53" ca="1">INDEX(Data_DBD!$D:$D,$A53)</f>
        <v>21</v>
      </c>
      <c r="E53" s="32" cm="1">
        <f t="array" aca="1" ref="E53" ca="1">INDEX(Data_DBD!$E:$E,$A53)</f>
        <v>1</v>
      </c>
      <c r="F53" s="32" cm="1">
        <f t="array" aca="1" ref="F53" ca="1">INDEX(Data_DBD!$F:$F,$A53)</f>
        <v>3</v>
      </c>
      <c r="H53" s="32">
        <v>112</v>
      </c>
      <c r="I53" s="32">
        <v>61</v>
      </c>
      <c r="J53" s="32">
        <v>3</v>
      </c>
      <c r="K53" s="32">
        <v>33</v>
      </c>
      <c r="L53" s="32">
        <v>1</v>
      </c>
      <c r="M53" s="32">
        <v>3</v>
      </c>
    </row>
    <row r="54" spans="1:13">
      <c r="A54" s="32">
        <f t="shared" ca="1" si="0"/>
        <v>50</v>
      </c>
      <c r="B54" s="32" cm="1">
        <f t="array" aca="1" ref="B54" ca="1">INDEX(Data_DBD!$B:$B,$A54)</f>
        <v>19</v>
      </c>
      <c r="C54" s="32" cm="1">
        <f t="array" aca="1" ref="C54" ca="1">INDEX(Data_DBD!$C:$C,$A54)</f>
        <v>5</v>
      </c>
      <c r="D54" s="32" cm="1">
        <f t="array" aca="1" ref="D54" ca="1">INDEX(Data_DBD!$D:$D,$A54)</f>
        <v>13</v>
      </c>
      <c r="E54" s="32" cm="1">
        <f t="array" aca="1" ref="E54" ca="1">INDEX(Data_DBD!$E:$E,$A54)</f>
        <v>0</v>
      </c>
      <c r="F54" s="32" cm="1">
        <f t="array" aca="1" ref="F54" ca="1">INDEX(Data_DBD!$F:$F,$A54)</f>
        <v>2</v>
      </c>
      <c r="H54" s="32">
        <v>161</v>
      </c>
      <c r="I54" s="32">
        <v>12</v>
      </c>
      <c r="J54" s="32">
        <v>3</v>
      </c>
      <c r="K54" s="32">
        <v>21</v>
      </c>
      <c r="L54" s="32">
        <v>1</v>
      </c>
      <c r="M54" s="32">
        <v>3</v>
      </c>
    </row>
    <row r="55" spans="1:13">
      <c r="A55" s="32">
        <f t="shared" ca="1" si="0"/>
        <v>80</v>
      </c>
      <c r="B55" s="32" cm="1">
        <f t="array" aca="1" ref="B55" ca="1">INDEX(Data_DBD!$B:$B,$A55)</f>
        <v>27</v>
      </c>
      <c r="C55" s="32" cm="1">
        <f t="array" aca="1" ref="C55" ca="1">INDEX(Data_DBD!$C:$C,$A55)</f>
        <v>3</v>
      </c>
      <c r="D55" s="32" cm="1">
        <f t="array" aca="1" ref="D55" ca="1">INDEX(Data_DBD!$D:$D,$A55)</f>
        <v>13</v>
      </c>
      <c r="E55" s="32" cm="1">
        <f t="array" aca="1" ref="E55" ca="1">INDEX(Data_DBD!$E:$E,$A55)</f>
        <v>1</v>
      </c>
      <c r="F55" s="32" cm="1">
        <f t="array" aca="1" ref="F55" ca="1">INDEX(Data_DBD!$F:$F,$A55)</f>
        <v>2</v>
      </c>
      <c r="H55" s="32">
        <v>139</v>
      </c>
      <c r="I55" s="32">
        <v>52</v>
      </c>
      <c r="J55" s="32">
        <v>7</v>
      </c>
      <c r="K55" s="32">
        <v>21</v>
      </c>
      <c r="L55" s="32">
        <v>0</v>
      </c>
      <c r="M55" s="32">
        <v>3</v>
      </c>
    </row>
    <row r="56" spans="1:13">
      <c r="A56" s="32">
        <f t="shared" ca="1" si="0"/>
        <v>152</v>
      </c>
      <c r="B56" s="32" cm="1">
        <f t="array" aca="1" ref="B56" ca="1">INDEX(Data_DBD!$B:$B,$A56)</f>
        <v>47</v>
      </c>
      <c r="C56" s="32" cm="1">
        <f t="array" aca="1" ref="C56" ca="1">INDEX(Data_DBD!$C:$C,$A56)</f>
        <v>3</v>
      </c>
      <c r="D56" s="32" cm="1">
        <f t="array" aca="1" ref="D56" ca="1">INDEX(Data_DBD!$D:$D,$A56)</f>
        <v>21</v>
      </c>
      <c r="E56" s="32" cm="1">
        <f t="array" aca="1" ref="E56" ca="1">INDEX(Data_DBD!$E:$E,$A56)</f>
        <v>1</v>
      </c>
      <c r="F56" s="32" cm="1">
        <f t="array" aca="1" ref="F56" ca="1">INDEX(Data_DBD!$F:$F,$A56)</f>
        <v>3</v>
      </c>
      <c r="H56" s="32">
        <v>16</v>
      </c>
      <c r="I56" s="32">
        <v>66</v>
      </c>
      <c r="J56" s="32">
        <v>5</v>
      </c>
      <c r="K56" s="32">
        <v>7</v>
      </c>
      <c r="L56" s="32">
        <v>1</v>
      </c>
      <c r="M56" s="32">
        <v>1</v>
      </c>
    </row>
    <row r="57" spans="1:13">
      <c r="A57" s="32">
        <f t="shared" ca="1" si="0"/>
        <v>109</v>
      </c>
      <c r="B57" s="32" cm="1">
        <f t="array" aca="1" ref="B57" ca="1">INDEX(Data_DBD!$B:$B,$A57)</f>
        <v>40</v>
      </c>
      <c r="C57" s="32" cm="1">
        <f t="array" aca="1" ref="C57" ca="1">INDEX(Data_DBD!$C:$C,$A57)</f>
        <v>3</v>
      </c>
      <c r="D57" s="32" cm="1">
        <f t="array" aca="1" ref="D57" ca="1">INDEX(Data_DBD!$D:$D,$A57)</f>
        <v>33</v>
      </c>
      <c r="E57" s="32" cm="1">
        <f t="array" aca="1" ref="E57" ca="1">INDEX(Data_DBD!$E:$E,$A57)</f>
        <v>1</v>
      </c>
      <c r="F57" s="32" cm="1">
        <f t="array" aca="1" ref="F57" ca="1">INDEX(Data_DBD!$F:$F,$A57)</f>
        <v>3</v>
      </c>
      <c r="H57" s="32">
        <v>123</v>
      </c>
      <c r="I57" s="32">
        <v>22</v>
      </c>
      <c r="J57" s="32">
        <v>4</v>
      </c>
      <c r="K57" s="32">
        <v>33</v>
      </c>
      <c r="L57" s="32">
        <v>0</v>
      </c>
      <c r="M57" s="32">
        <v>3</v>
      </c>
    </row>
    <row r="58" spans="1:13">
      <c r="A58" s="32">
        <f t="shared" ca="1" si="0"/>
        <v>10</v>
      </c>
      <c r="B58" s="32" cm="1">
        <f t="array" aca="1" ref="B58" ca="1">INDEX(Data_DBD!$B:$B,$A58)</f>
        <v>18</v>
      </c>
      <c r="C58" s="32" cm="1">
        <f t="array" aca="1" ref="C58" ca="1">INDEX(Data_DBD!$C:$C,$A58)</f>
        <v>5</v>
      </c>
      <c r="D58" s="32" cm="1">
        <f t="array" aca="1" ref="D58" ca="1">INDEX(Data_DBD!$D:$D,$A58)</f>
        <v>12</v>
      </c>
      <c r="E58" s="32" cm="1">
        <f t="array" aca="1" ref="E58" ca="1">INDEX(Data_DBD!$E:$E,$A58)</f>
        <v>0</v>
      </c>
      <c r="F58" s="32" cm="1">
        <f t="array" aca="1" ref="F58" ca="1">INDEX(Data_DBD!$F:$F,$A58)</f>
        <v>2</v>
      </c>
      <c r="H58" s="32">
        <v>10</v>
      </c>
      <c r="I58" s="32">
        <v>18</v>
      </c>
      <c r="J58" s="32">
        <v>5</v>
      </c>
      <c r="K58" s="32">
        <v>12</v>
      </c>
      <c r="L58" s="32">
        <v>0</v>
      </c>
      <c r="M58" s="32">
        <v>2</v>
      </c>
    </row>
    <row r="59" spans="1:13">
      <c r="A59" s="32">
        <f t="shared" ca="1" si="0"/>
        <v>29</v>
      </c>
      <c r="B59" s="32" cm="1">
        <f t="array" aca="1" ref="B59" ca="1">INDEX(Data_DBD!$B:$B,$A59)</f>
        <v>19</v>
      </c>
      <c r="C59" s="32" cm="1">
        <f t="array" aca="1" ref="C59" ca="1">INDEX(Data_DBD!$C:$C,$A59)</f>
        <v>2</v>
      </c>
      <c r="D59" s="32" cm="1">
        <f t="array" aca="1" ref="D59" ca="1">INDEX(Data_DBD!$D:$D,$A59)</f>
        <v>14</v>
      </c>
      <c r="E59" s="32" cm="1">
        <f t="array" aca="1" ref="E59" ca="1">INDEX(Data_DBD!$E:$E,$A59)</f>
        <v>1</v>
      </c>
      <c r="F59" s="32" cm="1">
        <f t="array" aca="1" ref="F59" ca="1">INDEX(Data_DBD!$F:$F,$A59)</f>
        <v>2</v>
      </c>
      <c r="H59" s="32">
        <v>14</v>
      </c>
      <c r="I59" s="32">
        <v>49</v>
      </c>
      <c r="J59" s="32">
        <v>4</v>
      </c>
      <c r="K59" s="32">
        <v>7</v>
      </c>
      <c r="L59" s="32">
        <v>1</v>
      </c>
      <c r="M59" s="32">
        <v>1</v>
      </c>
    </row>
    <row r="60" spans="1:13">
      <c r="A60" s="32">
        <f t="shared" ca="1" si="0"/>
        <v>23</v>
      </c>
      <c r="B60" s="32" cm="1">
        <f t="array" aca="1" ref="B60" ca="1">INDEX(Data_DBD!$B:$B,$A60)</f>
        <v>28</v>
      </c>
      <c r="C60" s="32" cm="1">
        <f t="array" aca="1" ref="C60" ca="1">INDEX(Data_DBD!$C:$C,$A60)</f>
        <v>4</v>
      </c>
      <c r="D60" s="32" cm="1">
        <f t="array" aca="1" ref="D60" ca="1">INDEX(Data_DBD!$D:$D,$A60)</f>
        <v>14</v>
      </c>
      <c r="E60" s="32" cm="1">
        <f t="array" aca="1" ref="E60" ca="1">INDEX(Data_DBD!$E:$E,$A60)</f>
        <v>1</v>
      </c>
      <c r="F60" s="32" cm="1">
        <f t="array" aca="1" ref="F60" ca="1">INDEX(Data_DBD!$F:$F,$A60)</f>
        <v>2</v>
      </c>
      <c r="H60" s="32">
        <v>142</v>
      </c>
      <c r="I60" s="32">
        <v>39</v>
      </c>
      <c r="J60" s="32">
        <v>2</v>
      </c>
      <c r="K60" s="32">
        <v>21</v>
      </c>
      <c r="L60" s="32">
        <v>1</v>
      </c>
      <c r="M60" s="32">
        <v>3</v>
      </c>
    </row>
    <row r="61" spans="1:13">
      <c r="A61" s="32">
        <f t="shared" ca="1" si="0"/>
        <v>3</v>
      </c>
      <c r="B61" s="32" cm="1">
        <f t="array" aca="1" ref="B61" ca="1">INDEX(Data_DBD!$B:$B,$A61)</f>
        <v>43</v>
      </c>
      <c r="C61" s="32" cm="1">
        <f t="array" aca="1" ref="C61" ca="1">INDEX(Data_DBD!$C:$C,$A61)</f>
        <v>3</v>
      </c>
      <c r="D61" s="32" cm="1">
        <f t="array" aca="1" ref="D61" ca="1">INDEX(Data_DBD!$D:$D,$A61)</f>
        <v>12</v>
      </c>
      <c r="E61" s="32" cm="1">
        <f t="array" aca="1" ref="E61" ca="1">INDEX(Data_DBD!$E:$E,$A61)</f>
        <v>1</v>
      </c>
      <c r="F61" s="32" cm="1">
        <f t="array" aca="1" ref="F61" ca="1">INDEX(Data_DBD!$F:$F,$A61)</f>
        <v>2</v>
      </c>
      <c r="H61" s="32">
        <v>60</v>
      </c>
      <c r="I61" s="32">
        <v>68</v>
      </c>
      <c r="J61" s="32">
        <v>4</v>
      </c>
      <c r="K61" s="32">
        <v>15</v>
      </c>
      <c r="L61" s="32">
        <v>0</v>
      </c>
      <c r="M61" s="32">
        <v>2</v>
      </c>
    </row>
    <row r="62" spans="1:13">
      <c r="A62" s="32">
        <f t="shared" ca="1" si="0"/>
        <v>86</v>
      </c>
      <c r="B62" s="32" cm="1">
        <f t="array" aca="1" ref="B62" ca="1">INDEX(Data_DBD!$B:$B,$A62)</f>
        <v>23</v>
      </c>
      <c r="C62" s="32" cm="1">
        <f t="array" aca="1" ref="C62" ca="1">INDEX(Data_DBD!$C:$C,$A62)</f>
        <v>3</v>
      </c>
      <c r="D62" s="32" cm="1">
        <f t="array" aca="1" ref="D62" ca="1">INDEX(Data_DBD!$D:$D,$A62)</f>
        <v>13</v>
      </c>
      <c r="E62" s="32" cm="1">
        <f t="array" aca="1" ref="E62" ca="1">INDEX(Data_DBD!$E:$E,$A62)</f>
        <v>0</v>
      </c>
      <c r="F62" s="32" cm="1">
        <f t="array" aca="1" ref="F62" ca="1">INDEX(Data_DBD!$F:$F,$A62)</f>
        <v>2</v>
      </c>
      <c r="H62" s="32">
        <v>20</v>
      </c>
      <c r="I62" s="32">
        <v>15</v>
      </c>
      <c r="J62" s="32">
        <v>5</v>
      </c>
      <c r="K62" s="32">
        <v>7</v>
      </c>
      <c r="L62" s="32">
        <v>0</v>
      </c>
      <c r="M62" s="32">
        <v>1</v>
      </c>
    </row>
    <row r="63" spans="1:13">
      <c r="A63" s="32">
        <f t="shared" ca="1" si="0"/>
        <v>150</v>
      </c>
      <c r="B63" s="32" cm="1">
        <f t="array" aca="1" ref="B63" ca="1">INDEX(Data_DBD!$B:$B,$A63)</f>
        <v>61</v>
      </c>
      <c r="C63" s="32" cm="1">
        <f t="array" aca="1" ref="C63" ca="1">INDEX(Data_DBD!$C:$C,$A63)</f>
        <v>5</v>
      </c>
      <c r="D63" s="32" cm="1">
        <f t="array" aca="1" ref="D63" ca="1">INDEX(Data_DBD!$D:$D,$A63)</f>
        <v>21</v>
      </c>
      <c r="E63" s="32" cm="1">
        <f t="array" aca="1" ref="E63" ca="1">INDEX(Data_DBD!$E:$E,$A63)</f>
        <v>1</v>
      </c>
      <c r="F63" s="32" cm="1">
        <f t="array" aca="1" ref="F63" ca="1">INDEX(Data_DBD!$F:$F,$A63)</f>
        <v>3</v>
      </c>
      <c r="H63" s="32">
        <v>41</v>
      </c>
      <c r="I63" s="32">
        <v>8</v>
      </c>
      <c r="J63" s="32">
        <v>4</v>
      </c>
      <c r="K63" s="32">
        <v>13</v>
      </c>
      <c r="L63" s="32">
        <v>0</v>
      </c>
      <c r="M63" s="32">
        <v>2</v>
      </c>
    </row>
    <row r="64" spans="1:13">
      <c r="A64" s="32">
        <f t="shared" ca="1" si="0"/>
        <v>39</v>
      </c>
      <c r="B64" s="32" cm="1">
        <f t="array" aca="1" ref="B64" ca="1">INDEX(Data_DBD!$B:$B,$A64)</f>
        <v>12</v>
      </c>
      <c r="C64" s="32" cm="1">
        <f t="array" aca="1" ref="C64" ca="1">INDEX(Data_DBD!$C:$C,$A64)</f>
        <v>5</v>
      </c>
      <c r="D64" s="32" cm="1">
        <f t="array" aca="1" ref="D64" ca="1">INDEX(Data_DBD!$D:$D,$A64)</f>
        <v>13</v>
      </c>
      <c r="E64" s="32" cm="1">
        <f t="array" aca="1" ref="E64" ca="1">INDEX(Data_DBD!$E:$E,$A64)</f>
        <v>1</v>
      </c>
      <c r="F64" s="32" cm="1">
        <f t="array" aca="1" ref="F64" ca="1">INDEX(Data_DBD!$F:$F,$A64)</f>
        <v>2</v>
      </c>
      <c r="H64" s="32">
        <v>95</v>
      </c>
      <c r="I64" s="32">
        <v>11</v>
      </c>
      <c r="J64" s="32">
        <v>3</v>
      </c>
      <c r="K64" s="32">
        <v>18</v>
      </c>
      <c r="L64" s="32">
        <v>1</v>
      </c>
      <c r="M64" s="32">
        <v>3</v>
      </c>
    </row>
    <row r="65" spans="1:13">
      <c r="A65" s="32">
        <f t="shared" ca="1" si="0"/>
        <v>63</v>
      </c>
      <c r="B65" s="32" cm="1">
        <f t="array" aca="1" ref="B65" ca="1">INDEX(Data_DBD!$B:$B,$A65)</f>
        <v>25</v>
      </c>
      <c r="C65" s="32" cm="1">
        <f t="array" aca="1" ref="C65" ca="1">INDEX(Data_DBD!$C:$C,$A65)</f>
        <v>3</v>
      </c>
      <c r="D65" s="32" cm="1">
        <f t="array" aca="1" ref="D65" ca="1">INDEX(Data_DBD!$D:$D,$A65)</f>
        <v>15</v>
      </c>
      <c r="E65" s="32" cm="1">
        <f t="array" aca="1" ref="E65" ca="1">INDEX(Data_DBD!$E:$E,$A65)</f>
        <v>0</v>
      </c>
      <c r="F65" s="32" cm="1">
        <f t="array" aca="1" ref="F65" ca="1">INDEX(Data_DBD!$F:$F,$A65)</f>
        <v>2</v>
      </c>
      <c r="H65" s="32">
        <v>23</v>
      </c>
      <c r="I65" s="32">
        <v>28</v>
      </c>
      <c r="J65" s="32">
        <v>4</v>
      </c>
      <c r="K65" s="32">
        <v>14</v>
      </c>
      <c r="L65" s="32">
        <v>1</v>
      </c>
      <c r="M65" s="32">
        <v>2</v>
      </c>
    </row>
    <row r="66" spans="1:13">
      <c r="A66" s="32">
        <f t="shared" ca="1" si="0"/>
        <v>154</v>
      </c>
      <c r="B66" s="32" cm="1">
        <f t="array" aca="1" ref="B66" ca="1">INDEX(Data_DBD!$B:$B,$A66)</f>
        <v>18</v>
      </c>
      <c r="C66" s="32" cm="1">
        <f t="array" aca="1" ref="C66" ca="1">INDEX(Data_DBD!$C:$C,$A66)</f>
        <v>5</v>
      </c>
      <c r="D66" s="32" cm="1">
        <f t="array" aca="1" ref="D66" ca="1">INDEX(Data_DBD!$D:$D,$A66)</f>
        <v>21</v>
      </c>
      <c r="E66" s="32" cm="1">
        <f t="array" aca="1" ref="E66" ca="1">INDEX(Data_DBD!$E:$E,$A66)</f>
        <v>1</v>
      </c>
      <c r="F66" s="32" cm="1">
        <f t="array" aca="1" ref="F66" ca="1">INDEX(Data_DBD!$F:$F,$A66)</f>
        <v>3</v>
      </c>
      <c r="H66" s="32">
        <v>30</v>
      </c>
      <c r="I66" s="32" t="s">
        <v>37</v>
      </c>
      <c r="J66" s="32">
        <v>2</v>
      </c>
      <c r="K66" s="32">
        <v>14</v>
      </c>
      <c r="L66" s="32">
        <v>1</v>
      </c>
      <c r="M66" s="32">
        <v>2</v>
      </c>
    </row>
    <row r="67" spans="1:13">
      <c r="A67" s="32">
        <f t="shared" ref="A67:A130" ca="1" si="1">RANDBETWEEN(2,164)</f>
        <v>87</v>
      </c>
      <c r="B67" s="32" cm="1">
        <f t="array" aca="1" ref="B67" ca="1">INDEX(Data_DBD!$B:$B,$A67)</f>
        <v>21</v>
      </c>
      <c r="C67" s="32" cm="1">
        <f t="array" aca="1" ref="C67" ca="1">INDEX(Data_DBD!$C:$C,$A67)</f>
        <v>3</v>
      </c>
      <c r="D67" s="32" cm="1">
        <f t="array" aca="1" ref="D67" ca="1">INDEX(Data_DBD!$D:$D,$A67)</f>
        <v>13</v>
      </c>
      <c r="E67" s="32" cm="1">
        <f t="array" aca="1" ref="E67" ca="1">INDEX(Data_DBD!$E:$E,$A67)</f>
        <v>0</v>
      </c>
      <c r="F67" s="32" cm="1">
        <f t="array" aca="1" ref="F67" ca="1">INDEX(Data_DBD!$F:$F,$A67)</f>
        <v>2</v>
      </c>
      <c r="H67" s="32">
        <v>140</v>
      </c>
      <c r="I67" s="32">
        <v>74</v>
      </c>
      <c r="J67" s="32">
        <v>5</v>
      </c>
      <c r="K67" s="32">
        <v>21</v>
      </c>
      <c r="L67" s="32">
        <v>1</v>
      </c>
      <c r="M67" s="32">
        <v>3</v>
      </c>
    </row>
    <row r="68" spans="1:13">
      <c r="A68" s="32">
        <f t="shared" ca="1" si="1"/>
        <v>119</v>
      </c>
      <c r="B68" s="32" cm="1">
        <f t="array" aca="1" ref="B68" ca="1">INDEX(Data_DBD!$B:$B,$A68)</f>
        <v>30</v>
      </c>
      <c r="C68" s="32" cm="1">
        <f t="array" aca="1" ref="C68" ca="1">INDEX(Data_DBD!$C:$C,$A68)</f>
        <v>7</v>
      </c>
      <c r="D68" s="32" cm="1">
        <f t="array" aca="1" ref="D68" ca="1">INDEX(Data_DBD!$D:$D,$A68)</f>
        <v>33</v>
      </c>
      <c r="E68" s="32" cm="1">
        <f t="array" aca="1" ref="E68" ca="1">INDEX(Data_DBD!$E:$E,$A68)</f>
        <v>0</v>
      </c>
      <c r="F68" s="32" cm="1">
        <f t="array" aca="1" ref="F68" ca="1">INDEX(Data_DBD!$F:$F,$A68)</f>
        <v>3</v>
      </c>
      <c r="H68" s="32">
        <v>137</v>
      </c>
      <c r="I68" s="32">
        <v>3.5</v>
      </c>
      <c r="J68" s="32">
        <v>1</v>
      </c>
      <c r="K68" s="32">
        <v>33</v>
      </c>
      <c r="L68" s="32">
        <v>1</v>
      </c>
      <c r="M68" s="32">
        <v>3</v>
      </c>
    </row>
    <row r="69" spans="1:13">
      <c r="A69" s="32">
        <f t="shared" ca="1" si="1"/>
        <v>145</v>
      </c>
      <c r="B69" s="32" cm="1">
        <f t="array" aca="1" ref="B69" ca="1">INDEX(Data_DBD!$B:$B,$A69)</f>
        <v>28</v>
      </c>
      <c r="C69" s="32" cm="1">
        <f t="array" aca="1" ref="C69" ca="1">INDEX(Data_DBD!$C:$C,$A69)</f>
        <v>4</v>
      </c>
      <c r="D69" s="32" cm="1">
        <f t="array" aca="1" ref="D69" ca="1">INDEX(Data_DBD!$D:$D,$A69)</f>
        <v>21</v>
      </c>
      <c r="E69" s="32" cm="1">
        <f t="array" aca="1" ref="E69" ca="1">INDEX(Data_DBD!$E:$E,$A69)</f>
        <v>1</v>
      </c>
      <c r="F69" s="32" cm="1">
        <f t="array" aca="1" ref="F69" ca="1">INDEX(Data_DBD!$F:$F,$A69)</f>
        <v>3</v>
      </c>
      <c r="H69" s="32">
        <v>54</v>
      </c>
      <c r="I69" s="32">
        <v>7</v>
      </c>
      <c r="J69" s="32">
        <v>3</v>
      </c>
      <c r="K69" s="32">
        <v>15</v>
      </c>
      <c r="L69" s="32">
        <v>0</v>
      </c>
      <c r="M69" s="32">
        <v>2</v>
      </c>
    </row>
    <row r="70" spans="1:13">
      <c r="A70" s="32">
        <f t="shared" ca="1" si="1"/>
        <v>35</v>
      </c>
      <c r="B70" s="32" cm="1">
        <f t="array" aca="1" ref="B70" ca="1">INDEX(Data_DBD!$B:$B,$A70)</f>
        <v>40</v>
      </c>
      <c r="C70" s="32" cm="1">
        <f t="array" aca="1" ref="C70" ca="1">INDEX(Data_DBD!$C:$C,$A70)</f>
        <v>3</v>
      </c>
      <c r="D70" s="32" cm="1">
        <f t="array" aca="1" ref="D70" ca="1">INDEX(Data_DBD!$D:$D,$A70)</f>
        <v>4</v>
      </c>
      <c r="E70" s="32" cm="1">
        <f t="array" aca="1" ref="E70" ca="1">INDEX(Data_DBD!$E:$E,$A70)</f>
        <v>1</v>
      </c>
      <c r="F70" s="32" cm="1">
        <f t="array" aca="1" ref="F70" ca="1">INDEX(Data_DBD!$F:$F,$A70)</f>
        <v>1</v>
      </c>
      <c r="H70" s="32">
        <v>130</v>
      </c>
      <c r="I70" s="32">
        <v>12</v>
      </c>
      <c r="J70" s="32">
        <v>4</v>
      </c>
      <c r="K70" s="32">
        <v>33</v>
      </c>
      <c r="L70" s="32">
        <v>0</v>
      </c>
      <c r="M70" s="32">
        <v>3</v>
      </c>
    </row>
    <row r="71" spans="1:13">
      <c r="A71" s="32">
        <f t="shared" ca="1" si="1"/>
        <v>141</v>
      </c>
      <c r="B71" s="32" cm="1">
        <f t="array" aca="1" ref="B71" ca="1">INDEX(Data_DBD!$B:$B,$A71)</f>
        <v>36</v>
      </c>
      <c r="C71" s="32" cm="1">
        <f t="array" aca="1" ref="C71" ca="1">INDEX(Data_DBD!$C:$C,$A71)</f>
        <v>2</v>
      </c>
      <c r="D71" s="32" cm="1">
        <f t="array" aca="1" ref="D71" ca="1">INDEX(Data_DBD!$D:$D,$A71)</f>
        <v>21</v>
      </c>
      <c r="E71" s="32" cm="1">
        <f t="array" aca="1" ref="E71" ca="1">INDEX(Data_DBD!$E:$E,$A71)</f>
        <v>0</v>
      </c>
      <c r="F71" s="32" cm="1">
        <f t="array" aca="1" ref="F71" ca="1">INDEX(Data_DBD!$F:$F,$A71)</f>
        <v>3</v>
      </c>
      <c r="H71" s="32">
        <v>157</v>
      </c>
      <c r="I71" s="32">
        <v>15</v>
      </c>
      <c r="J71" s="32">
        <v>4</v>
      </c>
      <c r="K71" s="32">
        <v>21</v>
      </c>
      <c r="L71" s="32">
        <v>1</v>
      </c>
      <c r="M71" s="32">
        <v>3</v>
      </c>
    </row>
    <row r="72" spans="1:13">
      <c r="A72" s="32">
        <f t="shared" ca="1" si="1"/>
        <v>144</v>
      </c>
      <c r="B72" s="32" cm="1">
        <f t="array" aca="1" ref="B72" ca="1">INDEX(Data_DBD!$B:$B,$A72)</f>
        <v>61</v>
      </c>
      <c r="C72" s="32" cm="1">
        <f t="array" aca="1" ref="C72" ca="1">INDEX(Data_DBD!$C:$C,$A72)</f>
        <v>4</v>
      </c>
      <c r="D72" s="32" cm="1">
        <f t="array" aca="1" ref="D72" ca="1">INDEX(Data_DBD!$D:$D,$A72)</f>
        <v>21</v>
      </c>
      <c r="E72" s="32" cm="1">
        <f t="array" aca="1" ref="E72" ca="1">INDEX(Data_DBD!$E:$E,$A72)</f>
        <v>1</v>
      </c>
      <c r="F72" s="32" cm="1">
        <f t="array" aca="1" ref="F72" ca="1">INDEX(Data_DBD!$F:$F,$A72)</f>
        <v>3</v>
      </c>
      <c r="H72" s="32">
        <v>120</v>
      </c>
      <c r="I72" s="32">
        <v>26</v>
      </c>
      <c r="J72" s="32">
        <v>4</v>
      </c>
      <c r="K72" s="32">
        <v>33</v>
      </c>
      <c r="L72" s="32">
        <v>1</v>
      </c>
      <c r="M72" s="32">
        <v>3</v>
      </c>
    </row>
    <row r="73" spans="1:13">
      <c r="A73" s="32">
        <f t="shared" ca="1" si="1"/>
        <v>99</v>
      </c>
      <c r="B73" s="32" cm="1">
        <f t="array" aca="1" ref="B73" ca="1">INDEX(Data_DBD!$B:$B,$A73)</f>
        <v>4</v>
      </c>
      <c r="C73" s="32" cm="1">
        <f t="array" aca="1" ref="C73" ca="1">INDEX(Data_DBD!$C:$C,$A73)</f>
        <v>2</v>
      </c>
      <c r="D73" s="32" cm="1">
        <f t="array" aca="1" ref="D73" ca="1">INDEX(Data_DBD!$D:$D,$A73)</f>
        <v>18</v>
      </c>
      <c r="E73" s="32" cm="1">
        <f t="array" aca="1" ref="E73" ca="1">INDEX(Data_DBD!$E:$E,$A73)</f>
        <v>1</v>
      </c>
      <c r="F73" s="32" cm="1">
        <f t="array" aca="1" ref="F73" ca="1">INDEX(Data_DBD!$F:$F,$A73)</f>
        <v>3</v>
      </c>
      <c r="H73" s="32">
        <v>70</v>
      </c>
      <c r="I73" s="32">
        <v>26</v>
      </c>
      <c r="J73" s="32">
        <v>3</v>
      </c>
      <c r="K73" s="32">
        <v>10</v>
      </c>
      <c r="L73" s="32">
        <v>1</v>
      </c>
      <c r="M73" s="32">
        <v>2</v>
      </c>
    </row>
    <row r="74" spans="1:13">
      <c r="A74" s="32">
        <f t="shared" ca="1" si="1"/>
        <v>30</v>
      </c>
      <c r="B74" s="32" t="str" cm="1">
        <f t="array" aca="1" ref="B74" ca="1">INDEX(Data_DBD!$B:$B,$A74)</f>
        <v>2,8</v>
      </c>
      <c r="C74" s="32" cm="1">
        <f t="array" aca="1" ref="C74" ca="1">INDEX(Data_DBD!$C:$C,$A74)</f>
        <v>2</v>
      </c>
      <c r="D74" s="32" cm="1">
        <f t="array" aca="1" ref="D74" ca="1">INDEX(Data_DBD!$D:$D,$A74)</f>
        <v>14</v>
      </c>
      <c r="E74" s="32" cm="1">
        <f t="array" aca="1" ref="E74" ca="1">INDEX(Data_DBD!$E:$E,$A74)</f>
        <v>1</v>
      </c>
      <c r="F74" s="32" cm="1">
        <f t="array" aca="1" ref="F74" ca="1">INDEX(Data_DBD!$F:$F,$A74)</f>
        <v>2</v>
      </c>
      <c r="H74" s="32">
        <v>95</v>
      </c>
      <c r="I74" s="32">
        <v>11</v>
      </c>
      <c r="J74" s="32">
        <v>3</v>
      </c>
      <c r="K74" s="32">
        <v>18</v>
      </c>
      <c r="L74" s="32">
        <v>1</v>
      </c>
      <c r="M74" s="32">
        <v>3</v>
      </c>
    </row>
    <row r="75" spans="1:13">
      <c r="A75" s="32">
        <f t="shared" ca="1" si="1"/>
        <v>155</v>
      </c>
      <c r="B75" s="32" cm="1">
        <f t="array" aca="1" ref="B75" ca="1">INDEX(Data_DBD!$B:$B,$A75)</f>
        <v>19</v>
      </c>
      <c r="C75" s="32" cm="1">
        <f t="array" aca="1" ref="C75" ca="1">INDEX(Data_DBD!$C:$C,$A75)</f>
        <v>5</v>
      </c>
      <c r="D75" s="32" cm="1">
        <f t="array" aca="1" ref="D75" ca="1">INDEX(Data_DBD!$D:$D,$A75)</f>
        <v>21</v>
      </c>
      <c r="E75" s="32" cm="1">
        <f t="array" aca="1" ref="E75" ca="1">INDEX(Data_DBD!$E:$E,$A75)</f>
        <v>1</v>
      </c>
      <c r="F75" s="32" cm="1">
        <f t="array" aca="1" ref="F75" ca="1">INDEX(Data_DBD!$F:$F,$A75)</f>
        <v>3</v>
      </c>
      <c r="H75" s="32">
        <v>119</v>
      </c>
      <c r="I75" s="32">
        <v>30</v>
      </c>
      <c r="J75" s="32">
        <v>7</v>
      </c>
      <c r="K75" s="32">
        <v>33</v>
      </c>
      <c r="L75" s="32">
        <v>0</v>
      </c>
      <c r="M75" s="32">
        <v>3</v>
      </c>
    </row>
    <row r="76" spans="1:13">
      <c r="A76" s="32">
        <f t="shared" ca="1" si="1"/>
        <v>108</v>
      </c>
      <c r="B76" s="32" cm="1">
        <f t="array" aca="1" ref="B76" ca="1">INDEX(Data_DBD!$B:$B,$A76)</f>
        <v>69</v>
      </c>
      <c r="C76" s="32" cm="1">
        <f t="array" aca="1" ref="C76" ca="1">INDEX(Data_DBD!$C:$C,$A76)</f>
        <v>7</v>
      </c>
      <c r="D76" s="32" cm="1">
        <f t="array" aca="1" ref="D76" ca="1">INDEX(Data_DBD!$D:$D,$A76)</f>
        <v>33</v>
      </c>
      <c r="E76" s="32" cm="1">
        <f t="array" aca="1" ref="E76" ca="1">INDEX(Data_DBD!$E:$E,$A76)</f>
        <v>1</v>
      </c>
      <c r="F76" s="32" cm="1">
        <f t="array" aca="1" ref="F76" ca="1">INDEX(Data_DBD!$F:$F,$A76)</f>
        <v>3</v>
      </c>
      <c r="H76" s="32">
        <v>29</v>
      </c>
      <c r="I76" s="32">
        <v>19</v>
      </c>
      <c r="J76" s="32">
        <v>2</v>
      </c>
      <c r="K76" s="32">
        <v>14</v>
      </c>
      <c r="L76" s="32">
        <v>1</v>
      </c>
      <c r="M76" s="32">
        <v>2</v>
      </c>
    </row>
    <row r="77" spans="1:13">
      <c r="A77" s="32">
        <f t="shared" ca="1" si="1"/>
        <v>73</v>
      </c>
      <c r="B77" s="32" cm="1">
        <f t="array" aca="1" ref="B77" ca="1">INDEX(Data_DBD!$B:$B,$A77)</f>
        <v>15</v>
      </c>
      <c r="C77" s="32" cm="1">
        <f t="array" aca="1" ref="C77" ca="1">INDEX(Data_DBD!$C:$C,$A77)</f>
        <v>3</v>
      </c>
      <c r="D77" s="32" cm="1">
        <f t="array" aca="1" ref="D77" ca="1">INDEX(Data_DBD!$D:$D,$A77)</f>
        <v>10</v>
      </c>
      <c r="E77" s="32" cm="1">
        <f t="array" aca="1" ref="E77" ca="1">INDEX(Data_DBD!$E:$E,$A77)</f>
        <v>1</v>
      </c>
      <c r="F77" s="32" cm="1">
        <f t="array" aca="1" ref="F77" ca="1">INDEX(Data_DBD!$F:$F,$A77)</f>
        <v>2</v>
      </c>
      <c r="H77" s="32">
        <v>91</v>
      </c>
      <c r="I77" s="32">
        <v>35</v>
      </c>
      <c r="J77" s="32">
        <v>1</v>
      </c>
      <c r="K77" s="32">
        <v>18</v>
      </c>
      <c r="L77" s="32">
        <v>1</v>
      </c>
      <c r="M77" s="32">
        <v>3</v>
      </c>
    </row>
    <row r="78" spans="1:13">
      <c r="A78" s="32">
        <f t="shared" ca="1" si="1"/>
        <v>65</v>
      </c>
      <c r="B78" s="32" cm="1">
        <f t="array" aca="1" ref="B78" ca="1">INDEX(Data_DBD!$B:$B,$A78)</f>
        <v>49</v>
      </c>
      <c r="C78" s="32" cm="1">
        <f t="array" aca="1" ref="C78" ca="1">INDEX(Data_DBD!$C:$C,$A78)</f>
        <v>3</v>
      </c>
      <c r="D78" s="32" cm="1">
        <f t="array" aca="1" ref="D78" ca="1">INDEX(Data_DBD!$D:$D,$A78)</f>
        <v>15</v>
      </c>
      <c r="E78" s="32" cm="1">
        <f t="array" aca="1" ref="E78" ca="1">INDEX(Data_DBD!$E:$E,$A78)</f>
        <v>0</v>
      </c>
      <c r="F78" s="32" cm="1">
        <f t="array" aca="1" ref="F78" ca="1">INDEX(Data_DBD!$F:$F,$A78)</f>
        <v>2</v>
      </c>
      <c r="H78" s="32">
        <v>49</v>
      </c>
      <c r="I78" s="32">
        <v>64</v>
      </c>
      <c r="J78" s="32">
        <v>5</v>
      </c>
      <c r="K78" s="32">
        <v>13</v>
      </c>
      <c r="L78" s="32">
        <v>0</v>
      </c>
      <c r="M78" s="32">
        <v>2</v>
      </c>
    </row>
    <row r="79" spans="1:13">
      <c r="A79" s="32">
        <f t="shared" ca="1" si="1"/>
        <v>128</v>
      </c>
      <c r="B79" s="32" cm="1">
        <f t="array" aca="1" ref="B79" ca="1">INDEX(Data_DBD!$B:$B,$A79)</f>
        <v>38</v>
      </c>
      <c r="C79" s="32" cm="1">
        <f t="array" aca="1" ref="C79" ca="1">INDEX(Data_DBD!$C:$C,$A79)</f>
        <v>2</v>
      </c>
      <c r="D79" s="32" cm="1">
        <f t="array" aca="1" ref="D79" ca="1">INDEX(Data_DBD!$D:$D,$A79)</f>
        <v>33</v>
      </c>
      <c r="E79" s="32" cm="1">
        <f t="array" aca="1" ref="E79" ca="1">INDEX(Data_DBD!$E:$E,$A79)</f>
        <v>0</v>
      </c>
      <c r="F79" s="32" cm="1">
        <f t="array" aca="1" ref="F79" ca="1">INDEX(Data_DBD!$F:$F,$A79)</f>
        <v>3</v>
      </c>
      <c r="H79" s="32">
        <v>115</v>
      </c>
      <c r="I79" s="32">
        <v>52</v>
      </c>
      <c r="J79" s="32">
        <v>3</v>
      </c>
      <c r="K79" s="32">
        <v>33</v>
      </c>
      <c r="L79" s="32">
        <v>1</v>
      </c>
      <c r="M79" s="32">
        <v>3</v>
      </c>
    </row>
    <row r="80" spans="1:13">
      <c r="A80" s="32">
        <f t="shared" ca="1" si="1"/>
        <v>109</v>
      </c>
      <c r="B80" s="32" cm="1">
        <f t="array" aca="1" ref="B80" ca="1">INDEX(Data_DBD!$B:$B,$A80)</f>
        <v>40</v>
      </c>
      <c r="C80" s="32" cm="1">
        <f t="array" aca="1" ref="C80" ca="1">INDEX(Data_DBD!$C:$C,$A80)</f>
        <v>3</v>
      </c>
      <c r="D80" s="32" cm="1">
        <f t="array" aca="1" ref="D80" ca="1">INDEX(Data_DBD!$D:$D,$A80)</f>
        <v>33</v>
      </c>
      <c r="E80" s="32" cm="1">
        <f t="array" aca="1" ref="E80" ca="1">INDEX(Data_DBD!$E:$E,$A80)</f>
        <v>1</v>
      </c>
      <c r="F80" s="32" cm="1">
        <f t="array" aca="1" ref="F80" ca="1">INDEX(Data_DBD!$F:$F,$A80)</f>
        <v>3</v>
      </c>
      <c r="H80" s="32">
        <v>53</v>
      </c>
      <c r="I80" s="32">
        <v>35</v>
      </c>
      <c r="J80" s="32">
        <v>4</v>
      </c>
      <c r="K80" s="32">
        <v>15</v>
      </c>
      <c r="L80" s="32">
        <v>1</v>
      </c>
      <c r="M80" s="32">
        <v>2</v>
      </c>
    </row>
    <row r="81" spans="1:13">
      <c r="A81" s="32">
        <f t="shared" ca="1" si="1"/>
        <v>78</v>
      </c>
      <c r="B81" s="32" cm="1">
        <f t="array" aca="1" ref="B81" ca="1">INDEX(Data_DBD!$B:$B,$A81)</f>
        <v>6</v>
      </c>
      <c r="C81" s="32" cm="1">
        <f t="array" aca="1" ref="C81" ca="1">INDEX(Data_DBD!$C:$C,$A81)</f>
        <v>3</v>
      </c>
      <c r="D81" s="32" cm="1">
        <f t="array" aca="1" ref="D81" ca="1">INDEX(Data_DBD!$D:$D,$A81)</f>
        <v>13</v>
      </c>
      <c r="E81" s="32" cm="1">
        <f t="array" aca="1" ref="E81" ca="1">INDEX(Data_DBD!$E:$E,$A81)</f>
        <v>0</v>
      </c>
      <c r="F81" s="32" cm="1">
        <f t="array" aca="1" ref="F81" ca="1">INDEX(Data_DBD!$F:$F,$A81)</f>
        <v>2</v>
      </c>
      <c r="H81" s="32">
        <v>164</v>
      </c>
      <c r="I81" s="32">
        <v>10</v>
      </c>
      <c r="J81" s="32">
        <v>6</v>
      </c>
      <c r="K81" s="32">
        <v>3</v>
      </c>
      <c r="L81" s="32">
        <v>0</v>
      </c>
      <c r="M81" s="32">
        <v>1</v>
      </c>
    </row>
    <row r="82" spans="1:13">
      <c r="A82" s="32">
        <f t="shared" ca="1" si="1"/>
        <v>20</v>
      </c>
      <c r="B82" s="32" cm="1">
        <f t="array" aca="1" ref="B82" ca="1">INDEX(Data_DBD!$B:$B,$A82)</f>
        <v>15</v>
      </c>
      <c r="C82" s="32" cm="1">
        <f t="array" aca="1" ref="C82" ca="1">INDEX(Data_DBD!$C:$C,$A82)</f>
        <v>5</v>
      </c>
      <c r="D82" s="32" cm="1">
        <f t="array" aca="1" ref="D82" ca="1">INDEX(Data_DBD!$D:$D,$A82)</f>
        <v>7</v>
      </c>
      <c r="E82" s="32" cm="1">
        <f t="array" aca="1" ref="E82" ca="1">INDEX(Data_DBD!$E:$E,$A82)</f>
        <v>0</v>
      </c>
      <c r="F82" s="32" cm="1">
        <f t="array" aca="1" ref="F82" ca="1">INDEX(Data_DBD!$F:$F,$A82)</f>
        <v>1</v>
      </c>
      <c r="H82" s="32">
        <v>55</v>
      </c>
      <c r="I82" s="32">
        <v>7</v>
      </c>
      <c r="J82" s="32">
        <v>4</v>
      </c>
      <c r="K82" s="32">
        <v>15</v>
      </c>
      <c r="L82" s="32">
        <v>1</v>
      </c>
      <c r="M82" s="32">
        <v>2</v>
      </c>
    </row>
    <row r="83" spans="1:13">
      <c r="A83" s="32">
        <f t="shared" ca="1" si="1"/>
        <v>99</v>
      </c>
      <c r="B83" s="32" cm="1">
        <f t="array" aca="1" ref="B83" ca="1">INDEX(Data_DBD!$B:$B,$A83)</f>
        <v>4</v>
      </c>
      <c r="C83" s="32" cm="1">
        <f t="array" aca="1" ref="C83" ca="1">INDEX(Data_DBD!$C:$C,$A83)</f>
        <v>2</v>
      </c>
      <c r="D83" s="32" cm="1">
        <f t="array" aca="1" ref="D83" ca="1">INDEX(Data_DBD!$D:$D,$A83)</f>
        <v>18</v>
      </c>
      <c r="E83" s="32" cm="1">
        <f t="array" aca="1" ref="E83" ca="1">INDEX(Data_DBD!$E:$E,$A83)</f>
        <v>1</v>
      </c>
      <c r="F83" s="32" cm="1">
        <f t="array" aca="1" ref="F83" ca="1">INDEX(Data_DBD!$F:$F,$A83)</f>
        <v>3</v>
      </c>
      <c r="H83" s="32">
        <v>109</v>
      </c>
      <c r="I83" s="32">
        <v>40</v>
      </c>
      <c r="J83" s="32">
        <v>3</v>
      </c>
      <c r="K83" s="32">
        <v>33</v>
      </c>
      <c r="L83" s="32">
        <v>1</v>
      </c>
      <c r="M83" s="32">
        <v>3</v>
      </c>
    </row>
    <row r="84" spans="1:13">
      <c r="A84" s="32">
        <f t="shared" ca="1" si="1"/>
        <v>162</v>
      </c>
      <c r="B84" s="32" cm="1">
        <f t="array" aca="1" ref="B84" ca="1">INDEX(Data_DBD!$B:$B,$A84)</f>
        <v>22</v>
      </c>
      <c r="C84" s="32" cm="1">
        <f t="array" aca="1" ref="C84" ca="1">INDEX(Data_DBD!$C:$C,$A84)</f>
        <v>3</v>
      </c>
      <c r="D84" s="32" cm="1">
        <f t="array" aca="1" ref="D84" ca="1">INDEX(Data_DBD!$D:$D,$A84)</f>
        <v>3</v>
      </c>
      <c r="E84" s="32" cm="1">
        <f t="array" aca="1" ref="E84" ca="1">INDEX(Data_DBD!$E:$E,$A84)</f>
        <v>1</v>
      </c>
      <c r="F84" s="32" cm="1">
        <f t="array" aca="1" ref="F84" ca="1">INDEX(Data_DBD!$F:$F,$A84)</f>
        <v>1</v>
      </c>
      <c r="H84" s="32">
        <v>163</v>
      </c>
      <c r="I84" s="32">
        <v>34</v>
      </c>
      <c r="J84" s="32">
        <v>4</v>
      </c>
      <c r="K84" s="32">
        <v>3</v>
      </c>
      <c r="L84" s="32">
        <v>1</v>
      </c>
      <c r="M84" s="32">
        <v>1</v>
      </c>
    </row>
    <row r="85" spans="1:13">
      <c r="A85" s="32">
        <f t="shared" ca="1" si="1"/>
        <v>105</v>
      </c>
      <c r="B85" s="32" cm="1">
        <f t="array" aca="1" ref="B85" ca="1">INDEX(Data_DBD!$B:$B,$A85)</f>
        <v>61</v>
      </c>
      <c r="C85" s="32" cm="1">
        <f t="array" aca="1" ref="C85" ca="1">INDEX(Data_DBD!$C:$C,$A85)</f>
        <v>3</v>
      </c>
      <c r="D85" s="32" cm="1">
        <f t="array" aca="1" ref="D85" ca="1">INDEX(Data_DBD!$D:$D,$A85)</f>
        <v>18</v>
      </c>
      <c r="E85" s="32" cm="1">
        <f t="array" aca="1" ref="E85" ca="1">INDEX(Data_DBD!$E:$E,$A85)</f>
        <v>1</v>
      </c>
      <c r="F85" s="32" cm="1">
        <f t="array" aca="1" ref="F85" ca="1">INDEX(Data_DBD!$F:$F,$A85)</f>
        <v>3</v>
      </c>
      <c r="H85" s="32">
        <v>42</v>
      </c>
      <c r="I85" s="32">
        <v>21</v>
      </c>
      <c r="J85" s="32">
        <v>5</v>
      </c>
      <c r="K85" s="32">
        <v>13</v>
      </c>
      <c r="L85" s="32">
        <v>1</v>
      </c>
      <c r="M85" s="32">
        <v>2</v>
      </c>
    </row>
    <row r="86" spans="1:13">
      <c r="A86" s="32">
        <f t="shared" ca="1" si="1"/>
        <v>81</v>
      </c>
      <c r="B86" s="32" cm="1">
        <f t="array" aca="1" ref="B86" ca="1">INDEX(Data_DBD!$B:$B,$A86)</f>
        <v>23</v>
      </c>
      <c r="C86" s="32" cm="1">
        <f t="array" aca="1" ref="C86" ca="1">INDEX(Data_DBD!$C:$C,$A86)</f>
        <v>5</v>
      </c>
      <c r="D86" s="32" cm="1">
        <f t="array" aca="1" ref="D86" ca="1">INDEX(Data_DBD!$D:$D,$A86)</f>
        <v>13</v>
      </c>
      <c r="E86" s="32" cm="1">
        <f t="array" aca="1" ref="E86" ca="1">INDEX(Data_DBD!$E:$E,$A86)</f>
        <v>1</v>
      </c>
      <c r="F86" s="32" cm="1">
        <f t="array" aca="1" ref="F86" ca="1">INDEX(Data_DBD!$F:$F,$A86)</f>
        <v>2</v>
      </c>
      <c r="H86" s="32">
        <v>55</v>
      </c>
      <c r="I86" s="32">
        <v>7</v>
      </c>
      <c r="J86" s="32">
        <v>4</v>
      </c>
      <c r="K86" s="32">
        <v>15</v>
      </c>
      <c r="L86" s="32">
        <v>1</v>
      </c>
      <c r="M86" s="32">
        <v>2</v>
      </c>
    </row>
    <row r="87" spans="1:13">
      <c r="A87" s="32">
        <f t="shared" ca="1" si="1"/>
        <v>49</v>
      </c>
      <c r="B87" s="32" cm="1">
        <f t="array" aca="1" ref="B87" ca="1">INDEX(Data_DBD!$B:$B,$A87)</f>
        <v>64</v>
      </c>
      <c r="C87" s="32" cm="1">
        <f t="array" aca="1" ref="C87" ca="1">INDEX(Data_DBD!$C:$C,$A87)</f>
        <v>5</v>
      </c>
      <c r="D87" s="32" cm="1">
        <f t="array" aca="1" ref="D87" ca="1">INDEX(Data_DBD!$D:$D,$A87)</f>
        <v>13</v>
      </c>
      <c r="E87" s="32" cm="1">
        <f t="array" aca="1" ref="E87" ca="1">INDEX(Data_DBD!$E:$E,$A87)</f>
        <v>0</v>
      </c>
      <c r="F87" s="32" cm="1">
        <f t="array" aca="1" ref="F87" ca="1">INDEX(Data_DBD!$F:$F,$A87)</f>
        <v>2</v>
      </c>
      <c r="H87" s="32">
        <v>11</v>
      </c>
      <c r="I87" s="32">
        <v>24</v>
      </c>
      <c r="J87" s="32">
        <v>5</v>
      </c>
      <c r="K87" s="32">
        <v>12</v>
      </c>
      <c r="L87" s="32">
        <v>1</v>
      </c>
      <c r="M87" s="32">
        <v>2</v>
      </c>
    </row>
    <row r="88" spans="1:13">
      <c r="A88" s="32">
        <f t="shared" ca="1" si="1"/>
        <v>36</v>
      </c>
      <c r="B88" s="32" cm="1">
        <f t="array" aca="1" ref="B88" ca="1">INDEX(Data_DBD!$B:$B,$A88)</f>
        <v>27</v>
      </c>
      <c r="C88" s="32" cm="1">
        <f t="array" aca="1" ref="C88" ca="1">INDEX(Data_DBD!$C:$C,$A88)</f>
        <v>1</v>
      </c>
      <c r="D88" s="32" cm="1">
        <f t="array" aca="1" ref="D88" ca="1">INDEX(Data_DBD!$D:$D,$A88)</f>
        <v>4</v>
      </c>
      <c r="E88" s="32" cm="1">
        <f t="array" aca="1" ref="E88" ca="1">INDEX(Data_DBD!$E:$E,$A88)</f>
        <v>1</v>
      </c>
      <c r="F88" s="32" cm="1">
        <f t="array" aca="1" ref="F88" ca="1">INDEX(Data_DBD!$F:$F,$A88)</f>
        <v>1</v>
      </c>
      <c r="H88" s="32">
        <v>90</v>
      </c>
      <c r="I88" s="32">
        <v>47</v>
      </c>
      <c r="J88" s="32">
        <v>3</v>
      </c>
      <c r="K88" s="32">
        <v>18</v>
      </c>
      <c r="L88" s="32">
        <v>0</v>
      </c>
      <c r="M88" s="32">
        <v>3</v>
      </c>
    </row>
    <row r="89" spans="1:13">
      <c r="A89" s="32">
        <f t="shared" ca="1" si="1"/>
        <v>108</v>
      </c>
      <c r="B89" s="32" cm="1">
        <f t="array" aca="1" ref="B89" ca="1">INDEX(Data_DBD!$B:$B,$A89)</f>
        <v>69</v>
      </c>
      <c r="C89" s="32" cm="1">
        <f t="array" aca="1" ref="C89" ca="1">INDEX(Data_DBD!$C:$C,$A89)</f>
        <v>7</v>
      </c>
      <c r="D89" s="32" cm="1">
        <f t="array" aca="1" ref="D89" ca="1">INDEX(Data_DBD!$D:$D,$A89)</f>
        <v>33</v>
      </c>
      <c r="E89" s="32" cm="1">
        <f t="array" aca="1" ref="E89" ca="1">INDEX(Data_DBD!$E:$E,$A89)</f>
        <v>1</v>
      </c>
      <c r="F89" s="32" cm="1">
        <f t="array" aca="1" ref="F89" ca="1">INDEX(Data_DBD!$F:$F,$A89)</f>
        <v>3</v>
      </c>
      <c r="H89" s="32">
        <v>123</v>
      </c>
      <c r="I89" s="32">
        <v>22</v>
      </c>
      <c r="J89" s="32">
        <v>4</v>
      </c>
      <c r="K89" s="32">
        <v>33</v>
      </c>
      <c r="L89" s="32">
        <v>0</v>
      </c>
      <c r="M89" s="32">
        <v>3</v>
      </c>
    </row>
    <row r="90" spans="1:13">
      <c r="A90" s="32">
        <f t="shared" ca="1" si="1"/>
        <v>64</v>
      </c>
      <c r="B90" s="32" cm="1">
        <f t="array" aca="1" ref="B90" ca="1">INDEX(Data_DBD!$B:$B,$A90)</f>
        <v>35</v>
      </c>
      <c r="C90" s="32" cm="1">
        <f t="array" aca="1" ref="C90" ca="1">INDEX(Data_DBD!$C:$C,$A90)</f>
        <v>1</v>
      </c>
      <c r="D90" s="32" cm="1">
        <f t="array" aca="1" ref="D90" ca="1">INDEX(Data_DBD!$D:$D,$A90)</f>
        <v>15</v>
      </c>
      <c r="E90" s="32" cm="1">
        <f t="array" aca="1" ref="E90" ca="1">INDEX(Data_DBD!$E:$E,$A90)</f>
        <v>0</v>
      </c>
      <c r="F90" s="32" cm="1">
        <f t="array" aca="1" ref="F90" ca="1">INDEX(Data_DBD!$F:$F,$A90)</f>
        <v>2</v>
      </c>
      <c r="H90" s="32">
        <v>13</v>
      </c>
      <c r="I90" s="32">
        <v>47</v>
      </c>
      <c r="J90" s="32">
        <v>2</v>
      </c>
      <c r="K90" s="32">
        <v>12</v>
      </c>
      <c r="L90" s="32">
        <v>0</v>
      </c>
      <c r="M90" s="32">
        <v>2</v>
      </c>
    </row>
    <row r="91" spans="1:13">
      <c r="A91" s="32">
        <f t="shared" ca="1" si="1"/>
        <v>16</v>
      </c>
      <c r="B91" s="32" cm="1">
        <f t="array" aca="1" ref="B91" ca="1">INDEX(Data_DBD!$B:$B,$A91)</f>
        <v>66</v>
      </c>
      <c r="C91" s="32" cm="1">
        <f t="array" aca="1" ref="C91" ca="1">INDEX(Data_DBD!$C:$C,$A91)</f>
        <v>5</v>
      </c>
      <c r="D91" s="32" cm="1">
        <f t="array" aca="1" ref="D91" ca="1">INDEX(Data_DBD!$D:$D,$A91)</f>
        <v>7</v>
      </c>
      <c r="E91" s="32" cm="1">
        <f t="array" aca="1" ref="E91" ca="1">INDEX(Data_DBD!$E:$E,$A91)</f>
        <v>1</v>
      </c>
      <c r="F91" s="32" cm="1">
        <f t="array" aca="1" ref="F91" ca="1">INDEX(Data_DBD!$F:$F,$A91)</f>
        <v>1</v>
      </c>
      <c r="H91" s="32">
        <v>81</v>
      </c>
      <c r="I91" s="32">
        <v>23</v>
      </c>
      <c r="J91" s="32">
        <v>5</v>
      </c>
      <c r="K91" s="32">
        <v>13</v>
      </c>
      <c r="L91" s="32">
        <v>1</v>
      </c>
      <c r="M91" s="32">
        <v>2</v>
      </c>
    </row>
    <row r="92" spans="1:13">
      <c r="A92" s="32">
        <f t="shared" ca="1" si="1"/>
        <v>128</v>
      </c>
      <c r="B92" s="32" cm="1">
        <f t="array" aca="1" ref="B92" ca="1">INDEX(Data_DBD!$B:$B,$A92)</f>
        <v>38</v>
      </c>
      <c r="C92" s="32" cm="1">
        <f t="array" aca="1" ref="C92" ca="1">INDEX(Data_DBD!$C:$C,$A92)</f>
        <v>2</v>
      </c>
      <c r="D92" s="32" cm="1">
        <f t="array" aca="1" ref="D92" ca="1">INDEX(Data_DBD!$D:$D,$A92)</f>
        <v>33</v>
      </c>
      <c r="E92" s="32" cm="1">
        <f t="array" aca="1" ref="E92" ca="1">INDEX(Data_DBD!$E:$E,$A92)</f>
        <v>0</v>
      </c>
      <c r="F92" s="32" cm="1">
        <f t="array" aca="1" ref="F92" ca="1">INDEX(Data_DBD!$F:$F,$A92)</f>
        <v>3</v>
      </c>
      <c r="H92" s="32">
        <v>47</v>
      </c>
      <c r="I92" s="32">
        <v>19</v>
      </c>
      <c r="J92" s="32">
        <v>2</v>
      </c>
      <c r="K92" s="32">
        <v>13</v>
      </c>
      <c r="L92" s="32">
        <v>0</v>
      </c>
      <c r="M92" s="32">
        <v>2</v>
      </c>
    </row>
    <row r="93" spans="1:13">
      <c r="A93" s="32">
        <f t="shared" ca="1" si="1"/>
        <v>85</v>
      </c>
      <c r="B93" s="32" cm="1">
        <f t="array" aca="1" ref="B93" ca="1">INDEX(Data_DBD!$B:$B,$A93)</f>
        <v>27</v>
      </c>
      <c r="C93" s="32" cm="1">
        <f t="array" aca="1" ref="C93" ca="1">INDEX(Data_DBD!$C:$C,$A93)</f>
        <v>9</v>
      </c>
      <c r="D93" s="32" cm="1">
        <f t="array" aca="1" ref="D93" ca="1">INDEX(Data_DBD!$D:$D,$A93)</f>
        <v>13</v>
      </c>
      <c r="E93" s="32" cm="1">
        <f t="array" aca="1" ref="E93" ca="1">INDEX(Data_DBD!$E:$E,$A93)</f>
        <v>0</v>
      </c>
      <c r="F93" s="32" cm="1">
        <f t="array" aca="1" ref="F93" ca="1">INDEX(Data_DBD!$F:$F,$A93)</f>
        <v>2</v>
      </c>
      <c r="H93" s="32">
        <v>15</v>
      </c>
      <c r="I93" s="32">
        <v>21</v>
      </c>
      <c r="J93" s="32">
        <v>2</v>
      </c>
      <c r="K93" s="32">
        <v>7</v>
      </c>
      <c r="L93" s="32">
        <v>0</v>
      </c>
      <c r="M93" s="32">
        <v>1</v>
      </c>
    </row>
    <row r="94" spans="1:13">
      <c r="A94" s="32">
        <f t="shared" ca="1" si="1"/>
        <v>86</v>
      </c>
      <c r="B94" s="32" cm="1">
        <f t="array" aca="1" ref="B94" ca="1">INDEX(Data_DBD!$B:$B,$A94)</f>
        <v>23</v>
      </c>
      <c r="C94" s="32" cm="1">
        <f t="array" aca="1" ref="C94" ca="1">INDEX(Data_DBD!$C:$C,$A94)</f>
        <v>3</v>
      </c>
      <c r="D94" s="32" cm="1">
        <f t="array" aca="1" ref="D94" ca="1">INDEX(Data_DBD!$D:$D,$A94)</f>
        <v>13</v>
      </c>
      <c r="E94" s="32" cm="1">
        <f t="array" aca="1" ref="E94" ca="1">INDEX(Data_DBD!$E:$E,$A94)</f>
        <v>0</v>
      </c>
      <c r="F94" s="32" cm="1">
        <f t="array" aca="1" ref="F94" ca="1">INDEX(Data_DBD!$F:$F,$A94)</f>
        <v>2</v>
      </c>
      <c r="H94" s="32">
        <v>83</v>
      </c>
      <c r="I94" s="32">
        <v>50</v>
      </c>
      <c r="J94" s="32">
        <v>3</v>
      </c>
      <c r="K94" s="32">
        <v>13</v>
      </c>
      <c r="L94" s="32">
        <v>0</v>
      </c>
      <c r="M94" s="32">
        <v>2</v>
      </c>
    </row>
    <row r="95" spans="1:13">
      <c r="A95" s="32">
        <f t="shared" ca="1" si="1"/>
        <v>55</v>
      </c>
      <c r="B95" s="32" cm="1">
        <f t="array" aca="1" ref="B95" ca="1">INDEX(Data_DBD!$B:$B,$A95)</f>
        <v>7</v>
      </c>
      <c r="C95" s="32" cm="1">
        <f t="array" aca="1" ref="C95" ca="1">INDEX(Data_DBD!$C:$C,$A95)</f>
        <v>4</v>
      </c>
      <c r="D95" s="32" cm="1">
        <f t="array" aca="1" ref="D95" ca="1">INDEX(Data_DBD!$D:$D,$A95)</f>
        <v>15</v>
      </c>
      <c r="E95" s="32" cm="1">
        <f t="array" aca="1" ref="E95" ca="1">INDEX(Data_DBD!$E:$E,$A95)</f>
        <v>1</v>
      </c>
      <c r="F95" s="32" cm="1">
        <f t="array" aca="1" ref="F95" ca="1">INDEX(Data_DBD!$F:$F,$A95)</f>
        <v>2</v>
      </c>
      <c r="H95" s="32">
        <v>115</v>
      </c>
      <c r="I95" s="32">
        <v>52</v>
      </c>
      <c r="J95" s="32">
        <v>3</v>
      </c>
      <c r="K95" s="32">
        <v>33</v>
      </c>
      <c r="L95" s="32">
        <v>1</v>
      </c>
      <c r="M95" s="32">
        <v>3</v>
      </c>
    </row>
    <row r="96" spans="1:13">
      <c r="A96" s="32">
        <f t="shared" ca="1" si="1"/>
        <v>90</v>
      </c>
      <c r="B96" s="32" cm="1">
        <f t="array" aca="1" ref="B96" ca="1">INDEX(Data_DBD!$B:$B,$A96)</f>
        <v>47</v>
      </c>
      <c r="C96" s="32" cm="1">
        <f t="array" aca="1" ref="C96" ca="1">INDEX(Data_DBD!$C:$C,$A96)</f>
        <v>3</v>
      </c>
      <c r="D96" s="32" cm="1">
        <f t="array" aca="1" ref="D96" ca="1">INDEX(Data_DBD!$D:$D,$A96)</f>
        <v>18</v>
      </c>
      <c r="E96" s="32" cm="1">
        <f t="array" aca="1" ref="E96" ca="1">INDEX(Data_DBD!$E:$E,$A96)</f>
        <v>0</v>
      </c>
      <c r="F96" s="32" cm="1">
        <f t="array" aca="1" ref="F96" ca="1">INDEX(Data_DBD!$F:$F,$A96)</f>
        <v>3</v>
      </c>
      <c r="H96" s="32">
        <v>69</v>
      </c>
      <c r="I96" s="32">
        <v>24</v>
      </c>
      <c r="J96" s="32">
        <v>4</v>
      </c>
      <c r="K96" s="32">
        <v>10</v>
      </c>
      <c r="L96" s="32">
        <v>1</v>
      </c>
      <c r="M96" s="32">
        <v>2</v>
      </c>
    </row>
    <row r="97" spans="1:13">
      <c r="A97" s="32">
        <f t="shared" ca="1" si="1"/>
        <v>148</v>
      </c>
      <c r="B97" s="32" cm="1">
        <f t="array" aca="1" ref="B97" ca="1">INDEX(Data_DBD!$B:$B,$A97)</f>
        <v>55</v>
      </c>
      <c r="C97" s="32" cm="1">
        <f t="array" aca="1" ref="C97" ca="1">INDEX(Data_DBD!$C:$C,$A97)</f>
        <v>3</v>
      </c>
      <c r="D97" s="32" cm="1">
        <f t="array" aca="1" ref="D97" ca="1">INDEX(Data_DBD!$D:$D,$A97)</f>
        <v>21</v>
      </c>
      <c r="E97" s="32" cm="1">
        <f t="array" aca="1" ref="E97" ca="1">INDEX(Data_DBD!$E:$E,$A97)</f>
        <v>1</v>
      </c>
      <c r="F97" s="32" cm="1">
        <f t="array" aca="1" ref="F97" ca="1">INDEX(Data_DBD!$F:$F,$A97)</f>
        <v>3</v>
      </c>
      <c r="H97" s="32">
        <v>96</v>
      </c>
      <c r="I97" s="32">
        <v>56</v>
      </c>
      <c r="J97" s="32">
        <v>4</v>
      </c>
      <c r="K97" s="32">
        <v>18</v>
      </c>
      <c r="L97" s="32">
        <v>0</v>
      </c>
      <c r="M97" s="32">
        <v>3</v>
      </c>
    </row>
    <row r="98" spans="1:13">
      <c r="A98" s="32">
        <f t="shared" ca="1" si="1"/>
        <v>40</v>
      </c>
      <c r="B98" s="32" cm="1">
        <f t="array" aca="1" ref="B98" ca="1">INDEX(Data_DBD!$B:$B,$A98)</f>
        <v>65</v>
      </c>
      <c r="C98" s="32" cm="1">
        <f t="array" aca="1" ref="C98" ca="1">INDEX(Data_DBD!$C:$C,$A98)</f>
        <v>3</v>
      </c>
      <c r="D98" s="32" cm="1">
        <f t="array" aca="1" ref="D98" ca="1">INDEX(Data_DBD!$D:$D,$A98)</f>
        <v>13</v>
      </c>
      <c r="E98" s="32" cm="1">
        <f t="array" aca="1" ref="E98" ca="1">INDEX(Data_DBD!$E:$E,$A98)</f>
        <v>1</v>
      </c>
      <c r="F98" s="32" cm="1">
        <f t="array" aca="1" ref="F98" ca="1">INDEX(Data_DBD!$F:$F,$A98)</f>
        <v>2</v>
      </c>
      <c r="H98" s="32">
        <v>55</v>
      </c>
      <c r="I98" s="32">
        <v>7</v>
      </c>
      <c r="J98" s="32">
        <v>4</v>
      </c>
      <c r="K98" s="32">
        <v>15</v>
      </c>
      <c r="L98" s="32">
        <v>1</v>
      </c>
      <c r="M98" s="32">
        <v>2</v>
      </c>
    </row>
    <row r="99" spans="1:13">
      <c r="A99" s="32">
        <f t="shared" ca="1" si="1"/>
        <v>48</v>
      </c>
      <c r="B99" s="32" cm="1">
        <f t="array" aca="1" ref="B99" ca="1">INDEX(Data_DBD!$B:$B,$A99)</f>
        <v>50</v>
      </c>
      <c r="C99" s="32" cm="1">
        <f t="array" aca="1" ref="C99" ca="1">INDEX(Data_DBD!$C:$C,$A99)</f>
        <v>5</v>
      </c>
      <c r="D99" s="32" cm="1">
        <f t="array" aca="1" ref="D99" ca="1">INDEX(Data_DBD!$D:$D,$A99)</f>
        <v>13</v>
      </c>
      <c r="E99" s="32" cm="1">
        <f t="array" aca="1" ref="E99" ca="1">INDEX(Data_DBD!$E:$E,$A99)</f>
        <v>1</v>
      </c>
      <c r="F99" s="32" cm="1">
        <f t="array" aca="1" ref="F99" ca="1">INDEX(Data_DBD!$F:$F,$A99)</f>
        <v>2</v>
      </c>
      <c r="H99" s="32">
        <v>85</v>
      </c>
      <c r="I99" s="32">
        <v>27</v>
      </c>
      <c r="J99" s="32">
        <v>9</v>
      </c>
      <c r="K99" s="32">
        <v>13</v>
      </c>
      <c r="L99" s="32">
        <v>0</v>
      </c>
      <c r="M99" s="32">
        <v>2</v>
      </c>
    </row>
    <row r="100" spans="1:13">
      <c r="A100" s="32">
        <f t="shared" ca="1" si="1"/>
        <v>42</v>
      </c>
      <c r="B100" s="32" cm="1">
        <f t="array" aca="1" ref="B100" ca="1">INDEX(Data_DBD!$B:$B,$A100)</f>
        <v>21</v>
      </c>
      <c r="C100" s="32" cm="1">
        <f t="array" aca="1" ref="C100" ca="1">INDEX(Data_DBD!$C:$C,$A100)</f>
        <v>5</v>
      </c>
      <c r="D100" s="32" cm="1">
        <f t="array" aca="1" ref="D100" ca="1">INDEX(Data_DBD!$D:$D,$A100)</f>
        <v>13</v>
      </c>
      <c r="E100" s="32" cm="1">
        <f t="array" aca="1" ref="E100" ca="1">INDEX(Data_DBD!$E:$E,$A100)</f>
        <v>1</v>
      </c>
      <c r="F100" s="32" cm="1">
        <f t="array" aca="1" ref="F100" ca="1">INDEX(Data_DBD!$F:$F,$A100)</f>
        <v>2</v>
      </c>
      <c r="H100" s="32">
        <v>146</v>
      </c>
      <c r="I100" s="32">
        <v>34</v>
      </c>
      <c r="J100" s="32">
        <v>2</v>
      </c>
      <c r="K100" s="32">
        <v>21</v>
      </c>
      <c r="L100" s="32">
        <v>1</v>
      </c>
      <c r="M100" s="32">
        <v>3</v>
      </c>
    </row>
    <row r="101" spans="1:13">
      <c r="A101" s="32">
        <f t="shared" ca="1" si="1"/>
        <v>93</v>
      </c>
      <c r="B101" s="32" cm="1">
        <f t="array" aca="1" ref="B101" ca="1">INDEX(Data_DBD!$B:$B,$A101)</f>
        <v>65</v>
      </c>
      <c r="C101" s="32" cm="1">
        <f t="array" aca="1" ref="C101" ca="1">INDEX(Data_DBD!$C:$C,$A101)</f>
        <v>4</v>
      </c>
      <c r="D101" s="32" cm="1">
        <f t="array" aca="1" ref="D101" ca="1">INDEX(Data_DBD!$D:$D,$A101)</f>
        <v>18</v>
      </c>
      <c r="E101" s="32" cm="1">
        <f t="array" aca="1" ref="E101" ca="1">INDEX(Data_DBD!$E:$E,$A101)</f>
        <v>0</v>
      </c>
      <c r="F101" s="32" cm="1">
        <f t="array" aca="1" ref="F101" ca="1">INDEX(Data_DBD!$F:$F,$A101)</f>
        <v>3</v>
      </c>
      <c r="H101" s="32">
        <v>42</v>
      </c>
      <c r="I101" s="32">
        <v>21</v>
      </c>
      <c r="J101" s="32">
        <v>5</v>
      </c>
      <c r="K101" s="32">
        <v>13</v>
      </c>
      <c r="L101" s="32">
        <v>1</v>
      </c>
      <c r="M101" s="32">
        <v>2</v>
      </c>
    </row>
    <row r="102" spans="1:13">
      <c r="A102" s="32">
        <f t="shared" ca="1" si="1"/>
        <v>54</v>
      </c>
      <c r="B102" s="32" cm="1">
        <f t="array" aca="1" ref="B102" ca="1">INDEX(Data_DBD!$B:$B,$A102)</f>
        <v>7</v>
      </c>
      <c r="C102" s="32" cm="1">
        <f t="array" aca="1" ref="C102" ca="1">INDEX(Data_DBD!$C:$C,$A102)</f>
        <v>3</v>
      </c>
      <c r="D102" s="32" cm="1">
        <f t="array" aca="1" ref="D102" ca="1">INDEX(Data_DBD!$D:$D,$A102)</f>
        <v>15</v>
      </c>
      <c r="E102" s="32" cm="1">
        <f t="array" aca="1" ref="E102" ca="1">INDEX(Data_DBD!$E:$E,$A102)</f>
        <v>0</v>
      </c>
      <c r="F102" s="32" cm="1">
        <f t="array" aca="1" ref="F102" ca="1">INDEX(Data_DBD!$F:$F,$A102)</f>
        <v>2</v>
      </c>
      <c r="H102" s="32">
        <v>153</v>
      </c>
      <c r="I102" s="32">
        <v>73</v>
      </c>
      <c r="J102" s="32">
        <v>7</v>
      </c>
      <c r="K102" s="32">
        <v>21</v>
      </c>
      <c r="L102" s="32">
        <v>1</v>
      </c>
      <c r="M102" s="32">
        <v>3</v>
      </c>
    </row>
    <row r="103" spans="1:13">
      <c r="A103" s="32">
        <f t="shared" ca="1" si="1"/>
        <v>88</v>
      </c>
      <c r="B103" s="32" cm="1">
        <f t="array" aca="1" ref="B103" ca="1">INDEX(Data_DBD!$B:$B,$A103)</f>
        <v>20</v>
      </c>
      <c r="C103" s="32" cm="1">
        <f t="array" aca="1" ref="C103" ca="1">INDEX(Data_DBD!$C:$C,$A103)</f>
        <v>4</v>
      </c>
      <c r="D103" s="32" cm="1">
        <f t="array" aca="1" ref="D103" ca="1">INDEX(Data_DBD!$D:$D,$A103)</f>
        <v>13</v>
      </c>
      <c r="E103" s="32" cm="1">
        <f t="array" aca="1" ref="E103" ca="1">INDEX(Data_DBD!$E:$E,$A103)</f>
        <v>1</v>
      </c>
      <c r="F103" s="32" cm="1">
        <f t="array" aca="1" ref="F103" ca="1">INDEX(Data_DBD!$F:$F,$A103)</f>
        <v>2</v>
      </c>
      <c r="H103" s="32">
        <v>94</v>
      </c>
      <c r="I103" s="32">
        <v>12</v>
      </c>
      <c r="J103" s="32">
        <v>4</v>
      </c>
      <c r="K103" s="32">
        <v>18</v>
      </c>
      <c r="L103" s="32">
        <v>0</v>
      </c>
      <c r="M103" s="32">
        <v>3</v>
      </c>
    </row>
    <row r="104" spans="1:13">
      <c r="A104" s="32">
        <f t="shared" ca="1" si="1"/>
        <v>89</v>
      </c>
      <c r="B104" s="32" cm="1">
        <f t="array" aca="1" ref="B104" ca="1">INDEX(Data_DBD!$B:$B,$A104)</f>
        <v>32</v>
      </c>
      <c r="C104" s="32" cm="1">
        <f t="array" aca="1" ref="C104" ca="1">INDEX(Data_DBD!$C:$C,$A104)</f>
        <v>4</v>
      </c>
      <c r="D104" s="32" cm="1">
        <f t="array" aca="1" ref="D104" ca="1">INDEX(Data_DBD!$D:$D,$A104)</f>
        <v>13</v>
      </c>
      <c r="E104" s="32" cm="1">
        <f t="array" aca="1" ref="E104" ca="1">INDEX(Data_DBD!$E:$E,$A104)</f>
        <v>0</v>
      </c>
      <c r="F104" s="32" cm="1">
        <f t="array" aca="1" ref="F104" ca="1">INDEX(Data_DBD!$F:$F,$A104)</f>
        <v>2</v>
      </c>
      <c r="H104" s="32">
        <v>22</v>
      </c>
      <c r="I104" s="32">
        <v>6</v>
      </c>
      <c r="J104" s="32">
        <v>3</v>
      </c>
      <c r="K104" s="32">
        <v>14</v>
      </c>
      <c r="L104" s="32">
        <v>0</v>
      </c>
      <c r="M104" s="32">
        <v>2</v>
      </c>
    </row>
    <row r="105" spans="1:13">
      <c r="A105" s="32">
        <f t="shared" ca="1" si="1"/>
        <v>17</v>
      </c>
      <c r="B105" s="32" cm="1">
        <f t="array" aca="1" ref="B105" ca="1">INDEX(Data_DBD!$B:$B,$A105)</f>
        <v>2</v>
      </c>
      <c r="C105" s="32" cm="1">
        <f t="array" aca="1" ref="C105" ca="1">INDEX(Data_DBD!$C:$C,$A105)</f>
        <v>3</v>
      </c>
      <c r="D105" s="32" cm="1">
        <f t="array" aca="1" ref="D105" ca="1">INDEX(Data_DBD!$D:$D,$A105)</f>
        <v>7</v>
      </c>
      <c r="E105" s="32" cm="1">
        <f t="array" aca="1" ref="E105" ca="1">INDEX(Data_DBD!$E:$E,$A105)</f>
        <v>0</v>
      </c>
      <c r="F105" s="32" cm="1">
        <f t="array" aca="1" ref="F105" ca="1">INDEX(Data_DBD!$F:$F,$A105)</f>
        <v>1</v>
      </c>
      <c r="H105" s="32">
        <v>158</v>
      </c>
      <c r="I105" s="32">
        <v>5</v>
      </c>
      <c r="J105" s="32">
        <v>2</v>
      </c>
      <c r="K105" s="32">
        <v>21</v>
      </c>
      <c r="L105" s="32">
        <v>0</v>
      </c>
      <c r="M105" s="32">
        <v>3</v>
      </c>
    </row>
    <row r="106" spans="1:13">
      <c r="A106" s="32">
        <f t="shared" ca="1" si="1"/>
        <v>53</v>
      </c>
      <c r="B106" s="32" cm="1">
        <f t="array" aca="1" ref="B106" ca="1">INDEX(Data_DBD!$B:$B,$A106)</f>
        <v>35</v>
      </c>
      <c r="C106" s="32" cm="1">
        <f t="array" aca="1" ref="C106" ca="1">INDEX(Data_DBD!$C:$C,$A106)</f>
        <v>4</v>
      </c>
      <c r="D106" s="32" cm="1">
        <f t="array" aca="1" ref="D106" ca="1">INDEX(Data_DBD!$D:$D,$A106)</f>
        <v>15</v>
      </c>
      <c r="E106" s="32" cm="1">
        <f t="array" aca="1" ref="E106" ca="1">INDEX(Data_DBD!$E:$E,$A106)</f>
        <v>1</v>
      </c>
      <c r="F106" s="32" cm="1">
        <f t="array" aca="1" ref="F106" ca="1">INDEX(Data_DBD!$F:$F,$A106)</f>
        <v>2</v>
      </c>
      <c r="H106" s="32">
        <v>102</v>
      </c>
      <c r="I106" s="32">
        <v>41</v>
      </c>
      <c r="J106" s="32">
        <v>4</v>
      </c>
      <c r="K106" s="32">
        <v>18</v>
      </c>
      <c r="L106" s="32">
        <v>0</v>
      </c>
      <c r="M106" s="32">
        <v>3</v>
      </c>
    </row>
    <row r="107" spans="1:13">
      <c r="A107" s="32">
        <f t="shared" ca="1" si="1"/>
        <v>10</v>
      </c>
      <c r="B107" s="32" cm="1">
        <f t="array" aca="1" ref="B107" ca="1">INDEX(Data_DBD!$B:$B,$A107)</f>
        <v>18</v>
      </c>
      <c r="C107" s="32" cm="1">
        <f t="array" aca="1" ref="C107" ca="1">INDEX(Data_DBD!$C:$C,$A107)</f>
        <v>5</v>
      </c>
      <c r="D107" s="32" cm="1">
        <f t="array" aca="1" ref="D107" ca="1">INDEX(Data_DBD!$D:$D,$A107)</f>
        <v>12</v>
      </c>
      <c r="E107" s="32" cm="1">
        <f t="array" aca="1" ref="E107" ca="1">INDEX(Data_DBD!$E:$E,$A107)</f>
        <v>0</v>
      </c>
      <c r="F107" s="32" cm="1">
        <f t="array" aca="1" ref="F107" ca="1">INDEX(Data_DBD!$F:$F,$A107)</f>
        <v>2</v>
      </c>
      <c r="H107" s="32">
        <v>131</v>
      </c>
      <c r="I107" s="32">
        <v>10</v>
      </c>
      <c r="J107" s="32">
        <v>2</v>
      </c>
      <c r="K107" s="32">
        <v>33</v>
      </c>
      <c r="L107" s="32">
        <v>0</v>
      </c>
      <c r="M107" s="32">
        <v>3</v>
      </c>
    </row>
    <row r="108" spans="1:13">
      <c r="A108" s="32">
        <f t="shared" ca="1" si="1"/>
        <v>117</v>
      </c>
      <c r="B108" s="32" cm="1">
        <f t="array" aca="1" ref="B108" ca="1">INDEX(Data_DBD!$B:$B,$A108)</f>
        <v>49</v>
      </c>
      <c r="C108" s="32" cm="1">
        <f t="array" aca="1" ref="C108" ca="1">INDEX(Data_DBD!$C:$C,$A108)</f>
        <v>4</v>
      </c>
      <c r="D108" s="32" cm="1">
        <f t="array" aca="1" ref="D108" ca="1">INDEX(Data_DBD!$D:$D,$A108)</f>
        <v>33</v>
      </c>
      <c r="E108" s="32" cm="1">
        <f t="array" aca="1" ref="E108" ca="1">INDEX(Data_DBD!$E:$E,$A108)</f>
        <v>1</v>
      </c>
      <c r="F108" s="32" cm="1">
        <f t="array" aca="1" ref="F108" ca="1">INDEX(Data_DBD!$F:$F,$A108)</f>
        <v>3</v>
      </c>
      <c r="H108" s="32">
        <v>159</v>
      </c>
      <c r="I108" s="32">
        <v>17</v>
      </c>
      <c r="J108" s="32">
        <v>2</v>
      </c>
      <c r="K108" s="32">
        <v>21</v>
      </c>
      <c r="L108" s="32">
        <v>0</v>
      </c>
      <c r="M108" s="32">
        <v>3</v>
      </c>
    </row>
    <row r="109" spans="1:13">
      <c r="A109" s="32">
        <f t="shared" ca="1" si="1"/>
        <v>38</v>
      </c>
      <c r="B109" s="32" cm="1">
        <f t="array" aca="1" ref="B109" ca="1">INDEX(Data_DBD!$B:$B,$A109)</f>
        <v>52</v>
      </c>
      <c r="C109" s="32" cm="1">
        <f t="array" aca="1" ref="C109" ca="1">INDEX(Data_DBD!$C:$C,$A109)</f>
        <v>3</v>
      </c>
      <c r="D109" s="32" cm="1">
        <f t="array" aca="1" ref="D109" ca="1">INDEX(Data_DBD!$D:$D,$A109)</f>
        <v>4</v>
      </c>
      <c r="E109" s="32" cm="1">
        <f t="array" aca="1" ref="E109" ca="1">INDEX(Data_DBD!$E:$E,$A109)</f>
        <v>1</v>
      </c>
      <c r="F109" s="32" cm="1">
        <f t="array" aca="1" ref="F109" ca="1">INDEX(Data_DBD!$F:$F,$A109)</f>
        <v>1</v>
      </c>
      <c r="H109" s="32">
        <v>23</v>
      </c>
      <c r="I109" s="32">
        <v>28</v>
      </c>
      <c r="J109" s="32">
        <v>4</v>
      </c>
      <c r="K109" s="32">
        <v>14</v>
      </c>
      <c r="L109" s="32">
        <v>1</v>
      </c>
      <c r="M109" s="32">
        <v>2</v>
      </c>
    </row>
    <row r="110" spans="1:13">
      <c r="A110" s="32">
        <f t="shared" ca="1" si="1"/>
        <v>88</v>
      </c>
      <c r="B110" s="32" cm="1">
        <f t="array" aca="1" ref="B110" ca="1">INDEX(Data_DBD!$B:$B,$A110)</f>
        <v>20</v>
      </c>
      <c r="C110" s="32" cm="1">
        <f t="array" aca="1" ref="C110" ca="1">INDEX(Data_DBD!$C:$C,$A110)</f>
        <v>4</v>
      </c>
      <c r="D110" s="32" cm="1">
        <f t="array" aca="1" ref="D110" ca="1">INDEX(Data_DBD!$D:$D,$A110)</f>
        <v>13</v>
      </c>
      <c r="E110" s="32" cm="1">
        <f t="array" aca="1" ref="E110" ca="1">INDEX(Data_DBD!$E:$E,$A110)</f>
        <v>1</v>
      </c>
      <c r="F110" s="32" cm="1">
        <f t="array" aca="1" ref="F110" ca="1">INDEX(Data_DBD!$F:$F,$A110)</f>
        <v>2</v>
      </c>
      <c r="H110" s="32">
        <v>70</v>
      </c>
      <c r="I110" s="32">
        <v>26</v>
      </c>
      <c r="J110" s="32">
        <v>3</v>
      </c>
      <c r="K110" s="32">
        <v>10</v>
      </c>
      <c r="L110" s="32">
        <v>1</v>
      </c>
      <c r="M110" s="32">
        <v>2</v>
      </c>
    </row>
    <row r="111" spans="1:13">
      <c r="A111" s="32">
        <f t="shared" ca="1" si="1"/>
        <v>102</v>
      </c>
      <c r="B111" s="32" cm="1">
        <f t="array" aca="1" ref="B111" ca="1">INDEX(Data_DBD!$B:$B,$A111)</f>
        <v>41</v>
      </c>
      <c r="C111" s="32" cm="1">
        <f t="array" aca="1" ref="C111" ca="1">INDEX(Data_DBD!$C:$C,$A111)</f>
        <v>4</v>
      </c>
      <c r="D111" s="32" cm="1">
        <f t="array" aca="1" ref="D111" ca="1">INDEX(Data_DBD!$D:$D,$A111)</f>
        <v>18</v>
      </c>
      <c r="E111" s="32" cm="1">
        <f t="array" aca="1" ref="E111" ca="1">INDEX(Data_DBD!$E:$E,$A111)</f>
        <v>0</v>
      </c>
      <c r="F111" s="32" cm="1">
        <f t="array" aca="1" ref="F111" ca="1">INDEX(Data_DBD!$F:$F,$A111)</f>
        <v>3</v>
      </c>
      <c r="H111" s="32">
        <v>91</v>
      </c>
      <c r="I111" s="32">
        <v>35</v>
      </c>
      <c r="J111" s="32">
        <v>1</v>
      </c>
      <c r="K111" s="32">
        <v>18</v>
      </c>
      <c r="L111" s="32">
        <v>1</v>
      </c>
      <c r="M111" s="32">
        <v>3</v>
      </c>
    </row>
    <row r="112" spans="1:13">
      <c r="A112" s="32">
        <f t="shared" ca="1" si="1"/>
        <v>66</v>
      </c>
      <c r="B112" s="32" cm="1">
        <f t="array" aca="1" ref="B112" ca="1">INDEX(Data_DBD!$B:$B,$A112)</f>
        <v>21</v>
      </c>
      <c r="C112" s="32" cm="1">
        <f t="array" aca="1" ref="C112" ca="1">INDEX(Data_DBD!$C:$C,$A112)</f>
        <v>5</v>
      </c>
      <c r="D112" s="32" cm="1">
        <f t="array" aca="1" ref="D112" ca="1">INDEX(Data_DBD!$D:$D,$A112)</f>
        <v>15</v>
      </c>
      <c r="E112" s="32" cm="1">
        <f t="array" aca="1" ref="E112" ca="1">INDEX(Data_DBD!$E:$E,$A112)</f>
        <v>1</v>
      </c>
      <c r="F112" s="32" cm="1">
        <f t="array" aca="1" ref="F112" ca="1">INDEX(Data_DBD!$F:$F,$A112)</f>
        <v>2</v>
      </c>
      <c r="H112" s="32">
        <v>147</v>
      </c>
      <c r="I112" s="32">
        <v>66</v>
      </c>
      <c r="J112" s="32">
        <v>10</v>
      </c>
      <c r="K112" s="32">
        <v>21</v>
      </c>
      <c r="L112" s="32">
        <v>1</v>
      </c>
      <c r="M112" s="32">
        <v>3</v>
      </c>
    </row>
    <row r="113" spans="1:13">
      <c r="A113" s="32">
        <f t="shared" ca="1" si="1"/>
        <v>111</v>
      </c>
      <c r="B113" s="32" cm="1">
        <f t="array" aca="1" ref="B113" ca="1">INDEX(Data_DBD!$B:$B,$A113)</f>
        <v>25</v>
      </c>
      <c r="C113" s="32" cm="1">
        <f t="array" aca="1" ref="C113" ca="1">INDEX(Data_DBD!$C:$C,$A113)</f>
        <v>4</v>
      </c>
      <c r="D113" s="32" cm="1">
        <f t="array" aca="1" ref="D113" ca="1">INDEX(Data_DBD!$D:$D,$A113)</f>
        <v>33</v>
      </c>
      <c r="E113" s="32" cm="1">
        <f t="array" aca="1" ref="E113" ca="1">INDEX(Data_DBD!$E:$E,$A113)</f>
        <v>0</v>
      </c>
      <c r="F113" s="32" cm="1">
        <f t="array" aca="1" ref="F113" ca="1">INDEX(Data_DBD!$F:$F,$A113)</f>
        <v>3</v>
      </c>
      <c r="H113" s="32">
        <v>135</v>
      </c>
      <c r="I113" s="32">
        <v>10</v>
      </c>
      <c r="J113" s="32">
        <v>2</v>
      </c>
      <c r="K113" s="32">
        <v>33</v>
      </c>
      <c r="L113" s="32">
        <v>0</v>
      </c>
      <c r="M113" s="32">
        <v>3</v>
      </c>
    </row>
    <row r="114" spans="1:13">
      <c r="A114" s="32">
        <f t="shared" ca="1" si="1"/>
        <v>59</v>
      </c>
      <c r="B114" s="32" cm="1">
        <f t="array" aca="1" ref="B114" ca="1">INDEX(Data_DBD!$B:$B,$A114)</f>
        <v>28</v>
      </c>
      <c r="C114" s="32" cm="1">
        <f t="array" aca="1" ref="C114" ca="1">INDEX(Data_DBD!$C:$C,$A114)</f>
        <v>4</v>
      </c>
      <c r="D114" s="32" cm="1">
        <f t="array" aca="1" ref="D114" ca="1">INDEX(Data_DBD!$D:$D,$A114)</f>
        <v>15</v>
      </c>
      <c r="E114" s="32" cm="1">
        <f t="array" aca="1" ref="E114" ca="1">INDEX(Data_DBD!$E:$E,$A114)</f>
        <v>0</v>
      </c>
      <c r="F114" s="32" cm="1">
        <f t="array" aca="1" ref="F114" ca="1">INDEX(Data_DBD!$F:$F,$A114)</f>
        <v>2</v>
      </c>
      <c r="H114" s="32">
        <v>68</v>
      </c>
      <c r="I114" s="32">
        <v>44</v>
      </c>
      <c r="J114" s="32">
        <v>5</v>
      </c>
      <c r="K114" s="32">
        <v>10</v>
      </c>
      <c r="L114" s="32">
        <v>0</v>
      </c>
      <c r="M114" s="32">
        <v>2</v>
      </c>
    </row>
    <row r="115" spans="1:13">
      <c r="A115" s="32">
        <f t="shared" ca="1" si="1"/>
        <v>6</v>
      </c>
      <c r="B115" s="32" cm="1">
        <f t="array" aca="1" ref="B115" ca="1">INDEX(Data_DBD!$B:$B,$A115)</f>
        <v>14</v>
      </c>
      <c r="C115" s="32" cm="1">
        <f t="array" aca="1" ref="C115" ca="1">INDEX(Data_DBD!$C:$C,$A115)</f>
        <v>4</v>
      </c>
      <c r="D115" s="32" cm="1">
        <f t="array" aca="1" ref="D115" ca="1">INDEX(Data_DBD!$D:$D,$A115)</f>
        <v>12</v>
      </c>
      <c r="E115" s="32" cm="1">
        <f t="array" aca="1" ref="E115" ca="1">INDEX(Data_DBD!$E:$E,$A115)</f>
        <v>0</v>
      </c>
      <c r="F115" s="32" cm="1">
        <f t="array" aca="1" ref="F115" ca="1">INDEX(Data_DBD!$F:$F,$A115)</f>
        <v>2</v>
      </c>
      <c r="H115" s="32">
        <v>102</v>
      </c>
      <c r="I115" s="32">
        <v>41</v>
      </c>
      <c r="J115" s="32">
        <v>4</v>
      </c>
      <c r="K115" s="32">
        <v>18</v>
      </c>
      <c r="L115" s="32">
        <v>0</v>
      </c>
      <c r="M115" s="32">
        <v>3</v>
      </c>
    </row>
    <row r="116" spans="1:13">
      <c r="A116" s="32">
        <f t="shared" ca="1" si="1"/>
        <v>107</v>
      </c>
      <c r="B116" s="32" cm="1">
        <f t="array" aca="1" ref="B116" ca="1">INDEX(Data_DBD!$B:$B,$A116)</f>
        <v>48</v>
      </c>
      <c r="C116" s="32" cm="1">
        <f t="array" aca="1" ref="C116" ca="1">INDEX(Data_DBD!$C:$C,$A116)</f>
        <v>5</v>
      </c>
      <c r="D116" s="32" cm="1">
        <f t="array" aca="1" ref="D116" ca="1">INDEX(Data_DBD!$D:$D,$A116)</f>
        <v>18</v>
      </c>
      <c r="E116" s="32" cm="1">
        <f t="array" aca="1" ref="E116" ca="1">INDEX(Data_DBD!$E:$E,$A116)</f>
        <v>0</v>
      </c>
      <c r="F116" s="32" cm="1">
        <f t="array" aca="1" ref="F116" ca="1">INDEX(Data_DBD!$F:$F,$A116)</f>
        <v>3</v>
      </c>
      <c r="H116" s="32">
        <v>61</v>
      </c>
      <c r="I116" s="32">
        <v>29</v>
      </c>
      <c r="J116" s="32">
        <v>3</v>
      </c>
      <c r="K116" s="32">
        <v>15</v>
      </c>
      <c r="L116" s="32">
        <v>1</v>
      </c>
      <c r="M116" s="32">
        <v>2</v>
      </c>
    </row>
    <row r="117" spans="1:13">
      <c r="A117" s="32">
        <f t="shared" ca="1" si="1"/>
        <v>77</v>
      </c>
      <c r="B117" s="32" cm="1">
        <f t="array" aca="1" ref="B117" ca="1">INDEX(Data_DBD!$B:$B,$A117)</f>
        <v>16</v>
      </c>
      <c r="C117" s="32" cm="1">
        <f t="array" aca="1" ref="C117" ca="1">INDEX(Data_DBD!$C:$C,$A117)</f>
        <v>4</v>
      </c>
      <c r="D117" s="32" cm="1">
        <f t="array" aca="1" ref="D117" ca="1">INDEX(Data_DBD!$D:$D,$A117)</f>
        <v>13</v>
      </c>
      <c r="E117" s="32" cm="1">
        <f t="array" aca="1" ref="E117" ca="1">INDEX(Data_DBD!$E:$E,$A117)</f>
        <v>1</v>
      </c>
      <c r="F117" s="32" cm="1">
        <f t="array" aca="1" ref="F117" ca="1">INDEX(Data_DBD!$F:$F,$A117)</f>
        <v>2</v>
      </c>
      <c r="H117" s="32">
        <v>7</v>
      </c>
      <c r="I117" s="32">
        <v>12</v>
      </c>
      <c r="J117" s="32">
        <v>1</v>
      </c>
      <c r="K117" s="32">
        <v>12</v>
      </c>
      <c r="L117" s="32">
        <v>1</v>
      </c>
      <c r="M117" s="32">
        <v>2</v>
      </c>
    </row>
    <row r="118" spans="1:13">
      <c r="A118" s="32">
        <f t="shared" ca="1" si="1"/>
        <v>39</v>
      </c>
      <c r="B118" s="32" cm="1">
        <f t="array" aca="1" ref="B118" ca="1">INDEX(Data_DBD!$B:$B,$A118)</f>
        <v>12</v>
      </c>
      <c r="C118" s="32" cm="1">
        <f t="array" aca="1" ref="C118" ca="1">INDEX(Data_DBD!$C:$C,$A118)</f>
        <v>5</v>
      </c>
      <c r="D118" s="32" cm="1">
        <f t="array" aca="1" ref="D118" ca="1">INDEX(Data_DBD!$D:$D,$A118)</f>
        <v>13</v>
      </c>
      <c r="E118" s="32" cm="1">
        <f t="array" aca="1" ref="E118" ca="1">INDEX(Data_DBD!$E:$E,$A118)</f>
        <v>1</v>
      </c>
      <c r="F118" s="32" cm="1">
        <f t="array" aca="1" ref="F118" ca="1">INDEX(Data_DBD!$F:$F,$A118)</f>
        <v>2</v>
      </c>
      <c r="H118" s="32">
        <v>24</v>
      </c>
      <c r="I118" s="32">
        <v>60</v>
      </c>
      <c r="J118" s="32">
        <v>4</v>
      </c>
      <c r="K118" s="32">
        <v>14</v>
      </c>
      <c r="L118" s="32">
        <v>0</v>
      </c>
      <c r="M118" s="32">
        <v>2</v>
      </c>
    </row>
    <row r="119" spans="1:13">
      <c r="A119" s="32">
        <f t="shared" ca="1" si="1"/>
        <v>81</v>
      </c>
      <c r="B119" s="32" cm="1">
        <f t="array" aca="1" ref="B119" ca="1">INDEX(Data_DBD!$B:$B,$A119)</f>
        <v>23</v>
      </c>
      <c r="C119" s="32" cm="1">
        <f t="array" aca="1" ref="C119" ca="1">INDEX(Data_DBD!$C:$C,$A119)</f>
        <v>5</v>
      </c>
      <c r="D119" s="32" cm="1">
        <f t="array" aca="1" ref="D119" ca="1">INDEX(Data_DBD!$D:$D,$A119)</f>
        <v>13</v>
      </c>
      <c r="E119" s="32" cm="1">
        <f t="array" aca="1" ref="E119" ca="1">INDEX(Data_DBD!$E:$E,$A119)</f>
        <v>1</v>
      </c>
      <c r="F119" s="32" cm="1">
        <f t="array" aca="1" ref="F119" ca="1">INDEX(Data_DBD!$F:$F,$A119)</f>
        <v>2</v>
      </c>
      <c r="H119" s="32">
        <v>12</v>
      </c>
      <c r="I119" s="32">
        <v>23</v>
      </c>
      <c r="J119" s="32">
        <v>3</v>
      </c>
      <c r="K119" s="32">
        <v>12</v>
      </c>
      <c r="L119" s="32">
        <v>0</v>
      </c>
      <c r="M119" s="32">
        <v>2</v>
      </c>
    </row>
    <row r="120" spans="1:13">
      <c r="A120" s="32">
        <f t="shared" ca="1" si="1"/>
        <v>80</v>
      </c>
      <c r="B120" s="32" cm="1">
        <f t="array" aca="1" ref="B120" ca="1">INDEX(Data_DBD!$B:$B,$A120)</f>
        <v>27</v>
      </c>
      <c r="C120" s="32" cm="1">
        <f t="array" aca="1" ref="C120" ca="1">INDEX(Data_DBD!$C:$C,$A120)</f>
        <v>3</v>
      </c>
      <c r="D120" s="32" cm="1">
        <f t="array" aca="1" ref="D120" ca="1">INDEX(Data_DBD!$D:$D,$A120)</f>
        <v>13</v>
      </c>
      <c r="E120" s="32" cm="1">
        <f t="array" aca="1" ref="E120" ca="1">INDEX(Data_DBD!$E:$E,$A120)</f>
        <v>1</v>
      </c>
      <c r="F120" s="32" cm="1">
        <f t="array" aca="1" ref="F120" ca="1">INDEX(Data_DBD!$F:$F,$A120)</f>
        <v>2</v>
      </c>
      <c r="H120" s="32">
        <v>49</v>
      </c>
      <c r="I120" s="32">
        <v>64</v>
      </c>
      <c r="J120" s="32">
        <v>5</v>
      </c>
      <c r="K120" s="32">
        <v>13</v>
      </c>
      <c r="L120" s="32">
        <v>0</v>
      </c>
      <c r="M120" s="32">
        <v>2</v>
      </c>
    </row>
    <row r="121" spans="1:13">
      <c r="A121" s="32">
        <f t="shared" ca="1" si="1"/>
        <v>129</v>
      </c>
      <c r="B121" s="32" cm="1">
        <f t="array" aca="1" ref="B121" ca="1">INDEX(Data_DBD!$B:$B,$A121)</f>
        <v>4.5</v>
      </c>
      <c r="C121" s="32" cm="1">
        <f t="array" aca="1" ref="C121" ca="1">INDEX(Data_DBD!$C:$C,$A121)</f>
        <v>3</v>
      </c>
      <c r="D121" s="32" cm="1">
        <f t="array" aca="1" ref="D121" ca="1">INDEX(Data_DBD!$D:$D,$A121)</f>
        <v>33</v>
      </c>
      <c r="E121" s="32" cm="1">
        <f t="array" aca="1" ref="E121" ca="1">INDEX(Data_DBD!$E:$E,$A121)</f>
        <v>0</v>
      </c>
      <c r="F121" s="32" cm="1">
        <f t="array" aca="1" ref="F121" ca="1">INDEX(Data_DBD!$F:$F,$A121)</f>
        <v>3</v>
      </c>
      <c r="H121" s="32">
        <v>50</v>
      </c>
      <c r="I121" s="32">
        <v>19</v>
      </c>
      <c r="J121" s="32">
        <v>5</v>
      </c>
      <c r="K121" s="32">
        <v>13</v>
      </c>
      <c r="L121" s="32">
        <v>0</v>
      </c>
      <c r="M121" s="32">
        <v>2</v>
      </c>
    </row>
    <row r="122" spans="1:13">
      <c r="A122" s="32">
        <f t="shared" ca="1" si="1"/>
        <v>109</v>
      </c>
      <c r="B122" s="32" cm="1">
        <f t="array" aca="1" ref="B122" ca="1">INDEX(Data_DBD!$B:$B,$A122)</f>
        <v>40</v>
      </c>
      <c r="C122" s="32" cm="1">
        <f t="array" aca="1" ref="C122" ca="1">INDEX(Data_DBD!$C:$C,$A122)</f>
        <v>3</v>
      </c>
      <c r="D122" s="32" cm="1">
        <f t="array" aca="1" ref="D122" ca="1">INDEX(Data_DBD!$D:$D,$A122)</f>
        <v>33</v>
      </c>
      <c r="E122" s="32" cm="1">
        <f t="array" aca="1" ref="E122" ca="1">INDEX(Data_DBD!$E:$E,$A122)</f>
        <v>1</v>
      </c>
      <c r="F122" s="32" cm="1">
        <f t="array" aca="1" ref="F122" ca="1">INDEX(Data_DBD!$F:$F,$A122)</f>
        <v>3</v>
      </c>
      <c r="H122" s="32">
        <v>44</v>
      </c>
      <c r="I122" s="32">
        <v>28</v>
      </c>
      <c r="J122" s="32">
        <v>5</v>
      </c>
      <c r="K122" s="32">
        <v>13</v>
      </c>
      <c r="L122" s="32">
        <v>1</v>
      </c>
      <c r="M122" s="32">
        <v>2</v>
      </c>
    </row>
    <row r="123" spans="1:13">
      <c r="A123" s="32">
        <f t="shared" ca="1" si="1"/>
        <v>58</v>
      </c>
      <c r="B123" s="32" cm="1">
        <f t="array" aca="1" ref="B123" ca="1">INDEX(Data_DBD!$B:$B,$A123)</f>
        <v>17</v>
      </c>
      <c r="C123" s="32" cm="1">
        <f t="array" aca="1" ref="C123" ca="1">INDEX(Data_DBD!$C:$C,$A123)</f>
        <v>3</v>
      </c>
      <c r="D123" s="32" cm="1">
        <f t="array" aca="1" ref="D123" ca="1">INDEX(Data_DBD!$D:$D,$A123)</f>
        <v>15</v>
      </c>
      <c r="E123" s="32" cm="1">
        <f t="array" aca="1" ref="E123" ca="1">INDEX(Data_DBD!$E:$E,$A123)</f>
        <v>0</v>
      </c>
      <c r="F123" s="32" cm="1">
        <f t="array" aca="1" ref="F123" ca="1">INDEX(Data_DBD!$F:$F,$A123)</f>
        <v>2</v>
      </c>
      <c r="H123" s="32">
        <v>9</v>
      </c>
      <c r="I123" s="32">
        <v>16</v>
      </c>
      <c r="J123" s="32">
        <v>6</v>
      </c>
      <c r="K123" s="32">
        <v>12</v>
      </c>
      <c r="L123" s="32">
        <v>1</v>
      </c>
      <c r="M123" s="32">
        <v>2</v>
      </c>
    </row>
    <row r="124" spans="1:13">
      <c r="A124" s="32">
        <f t="shared" ca="1" si="1"/>
        <v>120</v>
      </c>
      <c r="B124" s="32" cm="1">
        <f t="array" aca="1" ref="B124" ca="1">INDEX(Data_DBD!$B:$B,$A124)</f>
        <v>26</v>
      </c>
      <c r="C124" s="32" cm="1">
        <f t="array" aca="1" ref="C124" ca="1">INDEX(Data_DBD!$C:$C,$A124)</f>
        <v>4</v>
      </c>
      <c r="D124" s="32" cm="1">
        <f t="array" aca="1" ref="D124" ca="1">INDEX(Data_DBD!$D:$D,$A124)</f>
        <v>33</v>
      </c>
      <c r="E124" s="32" cm="1">
        <f t="array" aca="1" ref="E124" ca="1">INDEX(Data_DBD!$E:$E,$A124)</f>
        <v>1</v>
      </c>
      <c r="F124" s="32" cm="1">
        <f t="array" aca="1" ref="F124" ca="1">INDEX(Data_DBD!$F:$F,$A124)</f>
        <v>3</v>
      </c>
      <c r="H124" s="32">
        <v>19</v>
      </c>
      <c r="I124" s="32">
        <v>8</v>
      </c>
      <c r="J124" s="32">
        <v>4</v>
      </c>
      <c r="K124" s="32">
        <v>7</v>
      </c>
      <c r="L124" s="32">
        <v>0</v>
      </c>
      <c r="M124" s="32">
        <v>1</v>
      </c>
    </row>
    <row r="125" spans="1:13">
      <c r="A125" s="32">
        <f t="shared" ca="1" si="1"/>
        <v>125</v>
      </c>
      <c r="B125" s="32" cm="1">
        <f t="array" aca="1" ref="B125" ca="1">INDEX(Data_DBD!$B:$B,$A125)</f>
        <v>39</v>
      </c>
      <c r="C125" s="32" cm="1">
        <f t="array" aca="1" ref="C125" ca="1">INDEX(Data_DBD!$C:$C,$A125)</f>
        <v>4</v>
      </c>
      <c r="D125" s="32" cm="1">
        <f t="array" aca="1" ref="D125" ca="1">INDEX(Data_DBD!$D:$D,$A125)</f>
        <v>33</v>
      </c>
      <c r="E125" s="32" cm="1">
        <f t="array" aca="1" ref="E125" ca="1">INDEX(Data_DBD!$E:$E,$A125)</f>
        <v>0</v>
      </c>
      <c r="F125" s="32" cm="1">
        <f t="array" aca="1" ref="F125" ca="1">INDEX(Data_DBD!$F:$F,$A125)</f>
        <v>3</v>
      </c>
      <c r="H125" s="32">
        <v>141</v>
      </c>
      <c r="I125" s="32">
        <v>36</v>
      </c>
      <c r="J125" s="32">
        <v>2</v>
      </c>
      <c r="K125" s="32">
        <v>21</v>
      </c>
      <c r="L125" s="32">
        <v>0</v>
      </c>
      <c r="M125" s="32">
        <v>3</v>
      </c>
    </row>
    <row r="126" spans="1:13">
      <c r="A126" s="32">
        <f t="shared" ca="1" si="1"/>
        <v>60</v>
      </c>
      <c r="B126" s="32" cm="1">
        <f t="array" aca="1" ref="B126" ca="1">INDEX(Data_DBD!$B:$B,$A126)</f>
        <v>68</v>
      </c>
      <c r="C126" s="32" cm="1">
        <f t="array" aca="1" ref="C126" ca="1">INDEX(Data_DBD!$C:$C,$A126)</f>
        <v>4</v>
      </c>
      <c r="D126" s="32" cm="1">
        <f t="array" aca="1" ref="D126" ca="1">INDEX(Data_DBD!$D:$D,$A126)</f>
        <v>15</v>
      </c>
      <c r="E126" s="32" cm="1">
        <f t="array" aca="1" ref="E126" ca="1">INDEX(Data_DBD!$E:$E,$A126)</f>
        <v>0</v>
      </c>
      <c r="F126" s="32" cm="1">
        <f t="array" aca="1" ref="F126" ca="1">INDEX(Data_DBD!$F:$F,$A126)</f>
        <v>2</v>
      </c>
      <c r="H126" s="32">
        <v>55</v>
      </c>
      <c r="I126" s="32">
        <v>7</v>
      </c>
      <c r="J126" s="32">
        <v>4</v>
      </c>
      <c r="K126" s="32">
        <v>15</v>
      </c>
      <c r="L126" s="32">
        <v>1</v>
      </c>
      <c r="M126" s="32">
        <v>2</v>
      </c>
    </row>
    <row r="127" spans="1:13">
      <c r="A127" s="32">
        <f t="shared" ca="1" si="1"/>
        <v>41</v>
      </c>
      <c r="B127" s="32" cm="1">
        <f t="array" aca="1" ref="B127" ca="1">INDEX(Data_DBD!$B:$B,$A127)</f>
        <v>8</v>
      </c>
      <c r="C127" s="32" cm="1">
        <f t="array" aca="1" ref="C127" ca="1">INDEX(Data_DBD!$C:$C,$A127)</f>
        <v>4</v>
      </c>
      <c r="D127" s="32" cm="1">
        <f t="array" aca="1" ref="D127" ca="1">INDEX(Data_DBD!$D:$D,$A127)</f>
        <v>13</v>
      </c>
      <c r="E127" s="32" cm="1">
        <f t="array" aca="1" ref="E127" ca="1">INDEX(Data_DBD!$E:$E,$A127)</f>
        <v>0</v>
      </c>
      <c r="F127" s="32" cm="1">
        <f t="array" aca="1" ref="F127" ca="1">INDEX(Data_DBD!$F:$F,$A127)</f>
        <v>2</v>
      </c>
      <c r="H127" s="32">
        <v>94</v>
      </c>
      <c r="I127" s="32">
        <v>12</v>
      </c>
      <c r="J127" s="32">
        <v>4</v>
      </c>
      <c r="K127" s="32">
        <v>18</v>
      </c>
      <c r="L127" s="32">
        <v>0</v>
      </c>
      <c r="M127" s="32">
        <v>3</v>
      </c>
    </row>
    <row r="128" spans="1:13">
      <c r="A128" s="32">
        <f t="shared" ca="1" si="1"/>
        <v>10</v>
      </c>
      <c r="B128" s="32" cm="1">
        <f t="array" aca="1" ref="B128" ca="1">INDEX(Data_DBD!$B:$B,$A128)</f>
        <v>18</v>
      </c>
      <c r="C128" s="32" cm="1">
        <f t="array" aca="1" ref="C128" ca="1">INDEX(Data_DBD!$C:$C,$A128)</f>
        <v>5</v>
      </c>
      <c r="D128" s="32" cm="1">
        <f t="array" aca="1" ref="D128" ca="1">INDEX(Data_DBD!$D:$D,$A128)</f>
        <v>12</v>
      </c>
      <c r="E128" s="32" cm="1">
        <f t="array" aca="1" ref="E128" ca="1">INDEX(Data_DBD!$E:$E,$A128)</f>
        <v>0</v>
      </c>
      <c r="F128" s="32" cm="1">
        <f t="array" aca="1" ref="F128" ca="1">INDEX(Data_DBD!$F:$F,$A128)</f>
        <v>2</v>
      </c>
      <c r="H128" s="32">
        <v>141</v>
      </c>
      <c r="I128" s="32">
        <v>36</v>
      </c>
      <c r="J128" s="32">
        <v>2</v>
      </c>
      <c r="K128" s="32">
        <v>21</v>
      </c>
      <c r="L128" s="32">
        <v>0</v>
      </c>
      <c r="M128" s="32">
        <v>3</v>
      </c>
    </row>
    <row r="129" spans="1:13">
      <c r="A129" s="32">
        <f t="shared" ca="1" si="1"/>
        <v>51</v>
      </c>
      <c r="B129" s="32" cm="1">
        <f t="array" aca="1" ref="B129" ca="1">INDEX(Data_DBD!$B:$B,$A129)</f>
        <v>48</v>
      </c>
      <c r="C129" s="32" cm="1">
        <f t="array" aca="1" ref="C129" ca="1">INDEX(Data_DBD!$C:$C,$A129)</f>
        <v>4</v>
      </c>
      <c r="D129" s="32" cm="1">
        <f t="array" aca="1" ref="D129" ca="1">INDEX(Data_DBD!$D:$D,$A129)</f>
        <v>13</v>
      </c>
      <c r="E129" s="32" cm="1">
        <f t="array" aca="1" ref="E129" ca="1">INDEX(Data_DBD!$E:$E,$A129)</f>
        <v>0</v>
      </c>
      <c r="F129" s="32" cm="1">
        <f t="array" aca="1" ref="F129" ca="1">INDEX(Data_DBD!$F:$F,$A129)</f>
        <v>2</v>
      </c>
      <c r="H129" s="32">
        <v>110</v>
      </c>
      <c r="I129" s="32">
        <v>42</v>
      </c>
      <c r="J129" s="32">
        <v>2</v>
      </c>
      <c r="K129" s="32">
        <v>33</v>
      </c>
      <c r="L129" s="32">
        <v>1</v>
      </c>
      <c r="M129" s="32">
        <v>3</v>
      </c>
    </row>
    <row r="130" spans="1:13">
      <c r="A130" s="32">
        <f t="shared" ca="1" si="1"/>
        <v>7</v>
      </c>
      <c r="B130" s="32" cm="1">
        <f t="array" aca="1" ref="B130" ca="1">INDEX(Data_DBD!$B:$B,$A130)</f>
        <v>12</v>
      </c>
      <c r="C130" s="32" cm="1">
        <f t="array" aca="1" ref="C130" ca="1">INDEX(Data_DBD!$C:$C,$A130)</f>
        <v>1</v>
      </c>
      <c r="D130" s="32" cm="1">
        <f t="array" aca="1" ref="D130" ca="1">INDEX(Data_DBD!$D:$D,$A130)</f>
        <v>12</v>
      </c>
      <c r="E130" s="32" cm="1">
        <f t="array" aca="1" ref="E130" ca="1">INDEX(Data_DBD!$E:$E,$A130)</f>
        <v>1</v>
      </c>
      <c r="F130" s="32" cm="1">
        <f t="array" aca="1" ref="F130" ca="1">INDEX(Data_DBD!$F:$F,$A130)</f>
        <v>2</v>
      </c>
      <c r="H130" s="32">
        <v>22</v>
      </c>
      <c r="I130" s="32">
        <v>6</v>
      </c>
      <c r="J130" s="32">
        <v>3</v>
      </c>
      <c r="K130" s="32">
        <v>14</v>
      </c>
      <c r="L130" s="32">
        <v>0</v>
      </c>
      <c r="M130" s="32">
        <v>2</v>
      </c>
    </row>
    <row r="131" spans="1:13">
      <c r="A131" s="32">
        <f t="shared" ref="A131:A164" ca="1" si="2">RANDBETWEEN(2,164)</f>
        <v>100</v>
      </c>
      <c r="B131" s="32" cm="1">
        <f t="array" aca="1" ref="B131" ca="1">INDEX(Data_DBD!$B:$B,$A131)</f>
        <v>19</v>
      </c>
      <c r="C131" s="32" cm="1">
        <f t="array" aca="1" ref="C131" ca="1">INDEX(Data_DBD!$C:$C,$A131)</f>
        <v>6</v>
      </c>
      <c r="D131" s="32" cm="1">
        <f t="array" aca="1" ref="D131" ca="1">INDEX(Data_DBD!$D:$D,$A131)</f>
        <v>18</v>
      </c>
      <c r="E131" s="32" cm="1">
        <f t="array" aca="1" ref="E131" ca="1">INDEX(Data_DBD!$E:$E,$A131)</f>
        <v>0</v>
      </c>
      <c r="F131" s="32" cm="1">
        <f t="array" aca="1" ref="F131" ca="1">INDEX(Data_DBD!$F:$F,$A131)</f>
        <v>3</v>
      </c>
      <c r="H131" s="32">
        <v>5</v>
      </c>
      <c r="I131" s="32">
        <v>18</v>
      </c>
      <c r="J131" s="32">
        <v>2</v>
      </c>
      <c r="K131" s="32">
        <v>12</v>
      </c>
      <c r="L131" s="32">
        <v>1</v>
      </c>
      <c r="M131" s="32">
        <v>2</v>
      </c>
    </row>
    <row r="132" spans="1:13">
      <c r="A132" s="32">
        <f t="shared" ca="1" si="2"/>
        <v>163</v>
      </c>
      <c r="B132" s="32" cm="1">
        <f t="array" aca="1" ref="B132" ca="1">INDEX(Data_DBD!$B:$B,$A132)</f>
        <v>34</v>
      </c>
      <c r="C132" s="32" cm="1">
        <f t="array" aca="1" ref="C132" ca="1">INDEX(Data_DBD!$C:$C,$A132)</f>
        <v>4</v>
      </c>
      <c r="D132" s="32" cm="1">
        <f t="array" aca="1" ref="D132" ca="1">INDEX(Data_DBD!$D:$D,$A132)</f>
        <v>3</v>
      </c>
      <c r="E132" s="32" cm="1">
        <f t="array" aca="1" ref="E132" ca="1">INDEX(Data_DBD!$E:$E,$A132)</f>
        <v>1</v>
      </c>
      <c r="F132" s="32" cm="1">
        <f t="array" aca="1" ref="F132" ca="1">INDEX(Data_DBD!$F:$F,$A132)</f>
        <v>1</v>
      </c>
      <c r="H132" s="32">
        <v>29</v>
      </c>
      <c r="I132" s="32">
        <v>19</v>
      </c>
      <c r="J132" s="32">
        <v>2</v>
      </c>
      <c r="K132" s="32">
        <v>14</v>
      </c>
      <c r="L132" s="32">
        <v>1</v>
      </c>
      <c r="M132" s="32">
        <v>2</v>
      </c>
    </row>
    <row r="133" spans="1:13">
      <c r="A133" s="32">
        <f t="shared" ca="1" si="2"/>
        <v>160</v>
      </c>
      <c r="B133" s="32" cm="1">
        <f t="array" aca="1" ref="B133" ca="1">INDEX(Data_DBD!$B:$B,$A133)</f>
        <v>16</v>
      </c>
      <c r="C133" s="32" cm="1">
        <f t="array" aca="1" ref="C133" ca="1">INDEX(Data_DBD!$C:$C,$A133)</f>
        <v>3</v>
      </c>
      <c r="D133" s="32" cm="1">
        <f t="array" aca="1" ref="D133" ca="1">INDEX(Data_DBD!$D:$D,$A133)</f>
        <v>21</v>
      </c>
      <c r="E133" s="32" cm="1">
        <f t="array" aca="1" ref="E133" ca="1">INDEX(Data_DBD!$E:$E,$A133)</f>
        <v>0</v>
      </c>
      <c r="F133" s="32" cm="1">
        <f t="array" aca="1" ref="F133" ca="1">INDEX(Data_DBD!$F:$F,$A133)</f>
        <v>3</v>
      </c>
      <c r="H133" s="32">
        <v>134</v>
      </c>
      <c r="I133" s="32">
        <v>4</v>
      </c>
      <c r="J133" s="32">
        <v>2</v>
      </c>
      <c r="K133" s="32">
        <v>33</v>
      </c>
      <c r="L133" s="32">
        <v>1</v>
      </c>
      <c r="M133" s="32">
        <v>3</v>
      </c>
    </row>
    <row r="134" spans="1:13">
      <c r="A134" s="32">
        <f t="shared" ca="1" si="2"/>
        <v>20</v>
      </c>
      <c r="B134" s="32" cm="1">
        <f t="array" aca="1" ref="B134" ca="1">INDEX(Data_DBD!$B:$B,$A134)</f>
        <v>15</v>
      </c>
      <c r="C134" s="32" cm="1">
        <f t="array" aca="1" ref="C134" ca="1">INDEX(Data_DBD!$C:$C,$A134)</f>
        <v>5</v>
      </c>
      <c r="D134" s="32" cm="1">
        <f t="array" aca="1" ref="D134" ca="1">INDEX(Data_DBD!$D:$D,$A134)</f>
        <v>7</v>
      </c>
      <c r="E134" s="32" cm="1">
        <f t="array" aca="1" ref="E134" ca="1">INDEX(Data_DBD!$E:$E,$A134)</f>
        <v>0</v>
      </c>
      <c r="F134" s="32" cm="1">
        <f t="array" aca="1" ref="F134" ca="1">INDEX(Data_DBD!$F:$F,$A134)</f>
        <v>1</v>
      </c>
      <c r="H134" s="32">
        <v>150</v>
      </c>
      <c r="I134" s="32">
        <v>61</v>
      </c>
      <c r="J134" s="32">
        <v>5</v>
      </c>
      <c r="K134" s="32">
        <v>21</v>
      </c>
      <c r="L134" s="32">
        <v>1</v>
      </c>
      <c r="M134" s="32">
        <v>3</v>
      </c>
    </row>
    <row r="135" spans="1:13">
      <c r="A135" s="32">
        <f t="shared" ca="1" si="2"/>
        <v>76</v>
      </c>
      <c r="B135" s="32" cm="1">
        <f t="array" aca="1" ref="B135" ca="1">INDEX(Data_DBD!$B:$B,$A135)</f>
        <v>70</v>
      </c>
      <c r="C135" s="32" cm="1">
        <f t="array" aca="1" ref="C135" ca="1">INDEX(Data_DBD!$C:$C,$A135)</f>
        <v>2</v>
      </c>
      <c r="D135" s="32" cm="1">
        <f t="array" aca="1" ref="D135" ca="1">INDEX(Data_DBD!$D:$D,$A135)</f>
        <v>10</v>
      </c>
      <c r="E135" s="32" cm="1">
        <f t="array" aca="1" ref="E135" ca="1">INDEX(Data_DBD!$E:$E,$A135)</f>
        <v>0</v>
      </c>
      <c r="F135" s="32" cm="1">
        <f t="array" aca="1" ref="F135" ca="1">INDEX(Data_DBD!$F:$F,$A135)</f>
        <v>2</v>
      </c>
      <c r="H135" s="32">
        <v>43</v>
      </c>
      <c r="I135" s="32">
        <v>15</v>
      </c>
      <c r="J135" s="32">
        <v>4</v>
      </c>
      <c r="K135" s="32">
        <v>13</v>
      </c>
      <c r="L135" s="32">
        <v>0</v>
      </c>
      <c r="M135" s="32">
        <v>2</v>
      </c>
    </row>
    <row r="136" spans="1:13">
      <c r="A136" s="32">
        <f t="shared" ca="1" si="2"/>
        <v>29</v>
      </c>
      <c r="B136" s="32" cm="1">
        <f t="array" aca="1" ref="B136" ca="1">INDEX(Data_DBD!$B:$B,$A136)</f>
        <v>19</v>
      </c>
      <c r="C136" s="32" cm="1">
        <f t="array" aca="1" ref="C136" ca="1">INDEX(Data_DBD!$C:$C,$A136)</f>
        <v>2</v>
      </c>
      <c r="D136" s="32" cm="1">
        <f t="array" aca="1" ref="D136" ca="1">INDEX(Data_DBD!$D:$D,$A136)</f>
        <v>14</v>
      </c>
      <c r="E136" s="32" cm="1">
        <f t="array" aca="1" ref="E136" ca="1">INDEX(Data_DBD!$E:$E,$A136)</f>
        <v>1</v>
      </c>
      <c r="F136" s="32" cm="1">
        <f t="array" aca="1" ref="F136" ca="1">INDEX(Data_DBD!$F:$F,$A136)</f>
        <v>2</v>
      </c>
      <c r="H136" s="32">
        <v>95</v>
      </c>
      <c r="I136" s="32">
        <v>11</v>
      </c>
      <c r="J136" s="32">
        <v>3</v>
      </c>
      <c r="K136" s="32">
        <v>18</v>
      </c>
      <c r="L136" s="32">
        <v>1</v>
      </c>
      <c r="M136" s="32">
        <v>3</v>
      </c>
    </row>
    <row r="137" spans="1:13">
      <c r="A137" s="32">
        <f t="shared" ca="1" si="2"/>
        <v>19</v>
      </c>
      <c r="B137" s="32" cm="1">
        <f t="array" aca="1" ref="B137" ca="1">INDEX(Data_DBD!$B:$B,$A137)</f>
        <v>8</v>
      </c>
      <c r="C137" s="32" cm="1">
        <f t="array" aca="1" ref="C137" ca="1">INDEX(Data_DBD!$C:$C,$A137)</f>
        <v>4</v>
      </c>
      <c r="D137" s="32" cm="1">
        <f t="array" aca="1" ref="D137" ca="1">INDEX(Data_DBD!$D:$D,$A137)</f>
        <v>7</v>
      </c>
      <c r="E137" s="32" cm="1">
        <f t="array" aca="1" ref="E137" ca="1">INDEX(Data_DBD!$E:$E,$A137)</f>
        <v>0</v>
      </c>
      <c r="F137" s="32" cm="1">
        <f t="array" aca="1" ref="F137" ca="1">INDEX(Data_DBD!$F:$F,$A137)</f>
        <v>1</v>
      </c>
      <c r="H137" s="32">
        <v>55</v>
      </c>
      <c r="I137" s="32">
        <v>7</v>
      </c>
      <c r="J137" s="32">
        <v>4</v>
      </c>
      <c r="K137" s="32">
        <v>15</v>
      </c>
      <c r="L137" s="32">
        <v>1</v>
      </c>
      <c r="M137" s="32">
        <v>2</v>
      </c>
    </row>
    <row r="138" spans="1:13">
      <c r="A138" s="32">
        <f t="shared" ca="1" si="2"/>
        <v>24</v>
      </c>
      <c r="B138" s="32" cm="1">
        <f t="array" aca="1" ref="B138" ca="1">INDEX(Data_DBD!$B:$B,$A138)</f>
        <v>60</v>
      </c>
      <c r="C138" s="32" cm="1">
        <f t="array" aca="1" ref="C138" ca="1">INDEX(Data_DBD!$C:$C,$A138)</f>
        <v>4</v>
      </c>
      <c r="D138" s="32" cm="1">
        <f t="array" aca="1" ref="D138" ca="1">INDEX(Data_DBD!$D:$D,$A138)</f>
        <v>14</v>
      </c>
      <c r="E138" s="32" cm="1">
        <f t="array" aca="1" ref="E138" ca="1">INDEX(Data_DBD!$E:$E,$A138)</f>
        <v>0</v>
      </c>
      <c r="F138" s="32" cm="1">
        <f t="array" aca="1" ref="F138" ca="1">INDEX(Data_DBD!$F:$F,$A138)</f>
        <v>2</v>
      </c>
      <c r="H138" s="32">
        <v>118</v>
      </c>
      <c r="I138" s="32">
        <v>67</v>
      </c>
      <c r="J138" s="32">
        <v>4</v>
      </c>
      <c r="K138" s="32">
        <v>33</v>
      </c>
      <c r="L138" s="32">
        <v>1</v>
      </c>
      <c r="M138" s="32">
        <v>3</v>
      </c>
    </row>
    <row r="139" spans="1:13">
      <c r="A139" s="32">
        <f t="shared" ca="1" si="2"/>
        <v>81</v>
      </c>
      <c r="B139" s="32" cm="1">
        <f t="array" aca="1" ref="B139" ca="1">INDEX(Data_DBD!$B:$B,$A139)</f>
        <v>23</v>
      </c>
      <c r="C139" s="32" cm="1">
        <f t="array" aca="1" ref="C139" ca="1">INDEX(Data_DBD!$C:$C,$A139)</f>
        <v>5</v>
      </c>
      <c r="D139" s="32" cm="1">
        <f t="array" aca="1" ref="D139" ca="1">INDEX(Data_DBD!$D:$D,$A139)</f>
        <v>13</v>
      </c>
      <c r="E139" s="32" cm="1">
        <f t="array" aca="1" ref="E139" ca="1">INDEX(Data_DBD!$E:$E,$A139)</f>
        <v>1</v>
      </c>
      <c r="F139" s="32" cm="1">
        <f t="array" aca="1" ref="F139" ca="1">INDEX(Data_DBD!$F:$F,$A139)</f>
        <v>2</v>
      </c>
      <c r="H139" s="32">
        <v>101</v>
      </c>
      <c r="I139" s="32">
        <v>42</v>
      </c>
      <c r="J139" s="32">
        <v>5</v>
      </c>
      <c r="K139" s="32">
        <v>18</v>
      </c>
      <c r="L139" s="32">
        <v>0</v>
      </c>
      <c r="M139" s="32">
        <v>3</v>
      </c>
    </row>
    <row r="140" spans="1:13">
      <c r="A140" s="32">
        <f t="shared" ca="1" si="2"/>
        <v>85</v>
      </c>
      <c r="B140" s="32" cm="1">
        <f t="array" aca="1" ref="B140" ca="1">INDEX(Data_DBD!$B:$B,$A140)</f>
        <v>27</v>
      </c>
      <c r="C140" s="32" cm="1">
        <f t="array" aca="1" ref="C140" ca="1">INDEX(Data_DBD!$C:$C,$A140)</f>
        <v>9</v>
      </c>
      <c r="D140" s="32" cm="1">
        <f t="array" aca="1" ref="D140" ca="1">INDEX(Data_DBD!$D:$D,$A140)</f>
        <v>13</v>
      </c>
      <c r="E140" s="32" cm="1">
        <f t="array" aca="1" ref="E140" ca="1">INDEX(Data_DBD!$E:$E,$A140)</f>
        <v>0</v>
      </c>
      <c r="F140" s="32" cm="1">
        <f t="array" aca="1" ref="F140" ca="1">INDEX(Data_DBD!$F:$F,$A140)</f>
        <v>2</v>
      </c>
      <c r="H140" s="32">
        <v>32</v>
      </c>
      <c r="I140" s="32">
        <v>54</v>
      </c>
      <c r="J140" s="32">
        <v>4</v>
      </c>
      <c r="K140" s="32">
        <v>14</v>
      </c>
      <c r="L140" s="32">
        <v>0</v>
      </c>
      <c r="M140" s="32">
        <v>2</v>
      </c>
    </row>
    <row r="141" spans="1:13">
      <c r="A141" s="32">
        <f t="shared" ca="1" si="2"/>
        <v>139</v>
      </c>
      <c r="B141" s="32" cm="1">
        <f t="array" aca="1" ref="B141" ca="1">INDEX(Data_DBD!$B:$B,$A141)</f>
        <v>52</v>
      </c>
      <c r="C141" s="32" cm="1">
        <f t="array" aca="1" ref="C141" ca="1">INDEX(Data_DBD!$C:$C,$A141)</f>
        <v>7</v>
      </c>
      <c r="D141" s="32" cm="1">
        <f t="array" aca="1" ref="D141" ca="1">INDEX(Data_DBD!$D:$D,$A141)</f>
        <v>21</v>
      </c>
      <c r="E141" s="32" cm="1">
        <f t="array" aca="1" ref="E141" ca="1">INDEX(Data_DBD!$E:$E,$A141)</f>
        <v>0</v>
      </c>
      <c r="F141" s="32" cm="1">
        <f t="array" aca="1" ref="F141" ca="1">INDEX(Data_DBD!$F:$F,$A141)</f>
        <v>3</v>
      </c>
      <c r="H141" s="32">
        <v>154</v>
      </c>
      <c r="I141" s="32">
        <v>18</v>
      </c>
      <c r="J141" s="32">
        <v>5</v>
      </c>
      <c r="K141" s="32">
        <v>21</v>
      </c>
      <c r="L141" s="32">
        <v>1</v>
      </c>
      <c r="M141" s="32">
        <v>3</v>
      </c>
    </row>
    <row r="142" spans="1:13">
      <c r="A142" s="32">
        <f t="shared" ca="1" si="2"/>
        <v>138</v>
      </c>
      <c r="B142" s="32" cm="1">
        <f t="array" aca="1" ref="B142" ca="1">INDEX(Data_DBD!$B:$B,$A142)</f>
        <v>13</v>
      </c>
      <c r="C142" s="32" cm="1">
        <f t="array" aca="1" ref="C142" ca="1">INDEX(Data_DBD!$C:$C,$A142)</f>
        <v>3</v>
      </c>
      <c r="D142" s="32" cm="1">
        <f t="array" aca="1" ref="D142" ca="1">INDEX(Data_DBD!$D:$D,$A142)</f>
        <v>33</v>
      </c>
      <c r="E142" s="32" cm="1">
        <f t="array" aca="1" ref="E142" ca="1">INDEX(Data_DBD!$E:$E,$A142)</f>
        <v>1</v>
      </c>
      <c r="F142" s="32" cm="1">
        <f t="array" aca="1" ref="F142" ca="1">INDEX(Data_DBD!$F:$F,$A142)</f>
        <v>3</v>
      </c>
      <c r="H142" s="32">
        <v>120</v>
      </c>
      <c r="I142" s="32">
        <v>26</v>
      </c>
      <c r="J142" s="32">
        <v>4</v>
      </c>
      <c r="K142" s="32">
        <v>33</v>
      </c>
      <c r="L142" s="32">
        <v>1</v>
      </c>
      <c r="M142" s="32">
        <v>3</v>
      </c>
    </row>
    <row r="143" spans="1:13">
      <c r="A143" s="32">
        <f t="shared" ca="1" si="2"/>
        <v>92</v>
      </c>
      <c r="B143" s="32" cm="1">
        <f t="array" aca="1" ref="B143" ca="1">INDEX(Data_DBD!$B:$B,$A143)</f>
        <v>55</v>
      </c>
      <c r="C143" s="32" cm="1">
        <f t="array" aca="1" ref="C143" ca="1">INDEX(Data_DBD!$C:$C,$A143)</f>
        <v>7</v>
      </c>
      <c r="D143" s="32" cm="1">
        <f t="array" aca="1" ref="D143" ca="1">INDEX(Data_DBD!$D:$D,$A143)</f>
        <v>18</v>
      </c>
      <c r="E143" s="32" cm="1">
        <f t="array" aca="1" ref="E143" ca="1">INDEX(Data_DBD!$E:$E,$A143)</f>
        <v>0</v>
      </c>
      <c r="F143" s="32" cm="1">
        <f t="array" aca="1" ref="F143" ca="1">INDEX(Data_DBD!$F:$F,$A143)</f>
        <v>3</v>
      </c>
      <c r="H143" s="32">
        <v>142</v>
      </c>
      <c r="I143" s="32">
        <v>39</v>
      </c>
      <c r="J143" s="32">
        <v>2</v>
      </c>
      <c r="K143" s="32">
        <v>21</v>
      </c>
      <c r="L143" s="32">
        <v>1</v>
      </c>
      <c r="M143" s="32">
        <v>3</v>
      </c>
    </row>
    <row r="144" spans="1:13">
      <c r="A144" s="32">
        <f t="shared" ca="1" si="2"/>
        <v>15</v>
      </c>
      <c r="B144" s="32" cm="1">
        <f t="array" aca="1" ref="B144" ca="1">INDEX(Data_DBD!$B:$B,$A144)</f>
        <v>21</v>
      </c>
      <c r="C144" s="32" cm="1">
        <f t="array" aca="1" ref="C144" ca="1">INDEX(Data_DBD!$C:$C,$A144)</f>
        <v>2</v>
      </c>
      <c r="D144" s="32" cm="1">
        <f t="array" aca="1" ref="D144" ca="1">INDEX(Data_DBD!$D:$D,$A144)</f>
        <v>7</v>
      </c>
      <c r="E144" s="32" cm="1">
        <f t="array" aca="1" ref="E144" ca="1">INDEX(Data_DBD!$E:$E,$A144)</f>
        <v>0</v>
      </c>
      <c r="F144" s="32" cm="1">
        <f t="array" aca="1" ref="F144" ca="1">INDEX(Data_DBD!$F:$F,$A144)</f>
        <v>1</v>
      </c>
      <c r="H144" s="32">
        <v>114</v>
      </c>
      <c r="I144" s="32">
        <v>14</v>
      </c>
      <c r="J144" s="32">
        <v>2</v>
      </c>
      <c r="K144" s="32">
        <v>33</v>
      </c>
      <c r="L144" s="32">
        <v>1</v>
      </c>
      <c r="M144" s="32">
        <v>3</v>
      </c>
    </row>
    <row r="145" spans="1:13">
      <c r="A145" s="32">
        <f t="shared" ca="1" si="2"/>
        <v>124</v>
      </c>
      <c r="B145" s="32" cm="1">
        <f t="array" aca="1" ref="B145" ca="1">INDEX(Data_DBD!$B:$B,$A145)</f>
        <v>24</v>
      </c>
      <c r="C145" s="32" cm="1">
        <f t="array" aca="1" ref="C145" ca="1">INDEX(Data_DBD!$C:$C,$A145)</f>
        <v>3</v>
      </c>
      <c r="D145" s="32" cm="1">
        <f t="array" aca="1" ref="D145" ca="1">INDEX(Data_DBD!$D:$D,$A145)</f>
        <v>33</v>
      </c>
      <c r="E145" s="32" cm="1">
        <f t="array" aca="1" ref="E145" ca="1">INDEX(Data_DBD!$E:$E,$A145)</f>
        <v>1</v>
      </c>
      <c r="F145" s="32" cm="1">
        <f t="array" aca="1" ref="F145" ca="1">INDEX(Data_DBD!$F:$F,$A145)</f>
        <v>3</v>
      </c>
      <c r="H145" s="32">
        <v>141</v>
      </c>
      <c r="I145" s="32">
        <v>36</v>
      </c>
      <c r="J145" s="32">
        <v>2</v>
      </c>
      <c r="K145" s="32">
        <v>21</v>
      </c>
      <c r="L145" s="32">
        <v>0</v>
      </c>
      <c r="M145" s="32">
        <v>3</v>
      </c>
    </row>
    <row r="146" spans="1:13">
      <c r="A146" s="32">
        <f t="shared" ca="1" si="2"/>
        <v>137</v>
      </c>
      <c r="B146" s="32" cm="1">
        <f t="array" aca="1" ref="B146" ca="1">INDEX(Data_DBD!$B:$B,$A146)</f>
        <v>3.5</v>
      </c>
      <c r="C146" s="32" cm="1">
        <f t="array" aca="1" ref="C146" ca="1">INDEX(Data_DBD!$C:$C,$A146)</f>
        <v>1</v>
      </c>
      <c r="D146" s="32" cm="1">
        <f t="array" aca="1" ref="D146" ca="1">INDEX(Data_DBD!$D:$D,$A146)</f>
        <v>33</v>
      </c>
      <c r="E146" s="32" cm="1">
        <f t="array" aca="1" ref="E146" ca="1">INDEX(Data_DBD!$E:$E,$A146)</f>
        <v>1</v>
      </c>
      <c r="F146" s="32" cm="1">
        <f t="array" aca="1" ref="F146" ca="1">INDEX(Data_DBD!$F:$F,$A146)</f>
        <v>3</v>
      </c>
      <c r="H146" s="32">
        <v>89</v>
      </c>
      <c r="I146" s="32">
        <v>32</v>
      </c>
      <c r="J146" s="32">
        <v>4</v>
      </c>
      <c r="K146" s="32">
        <v>13</v>
      </c>
      <c r="L146" s="32">
        <v>0</v>
      </c>
      <c r="M146" s="32">
        <v>2</v>
      </c>
    </row>
    <row r="147" spans="1:13">
      <c r="A147" s="32">
        <f t="shared" ca="1" si="2"/>
        <v>137</v>
      </c>
      <c r="B147" s="32" cm="1">
        <f t="array" aca="1" ref="B147" ca="1">INDEX(Data_DBD!$B:$B,$A147)</f>
        <v>3.5</v>
      </c>
      <c r="C147" s="32" cm="1">
        <f t="array" aca="1" ref="C147" ca="1">INDEX(Data_DBD!$C:$C,$A147)</f>
        <v>1</v>
      </c>
      <c r="D147" s="32" cm="1">
        <f t="array" aca="1" ref="D147" ca="1">INDEX(Data_DBD!$D:$D,$A147)</f>
        <v>33</v>
      </c>
      <c r="E147" s="32" cm="1">
        <f t="array" aca="1" ref="E147" ca="1">INDEX(Data_DBD!$E:$E,$A147)</f>
        <v>1</v>
      </c>
      <c r="F147" s="32" cm="1">
        <f t="array" aca="1" ref="F147" ca="1">INDEX(Data_DBD!$F:$F,$A147)</f>
        <v>3</v>
      </c>
      <c r="H147" s="32">
        <v>44</v>
      </c>
      <c r="I147" s="32">
        <v>28</v>
      </c>
      <c r="J147" s="32">
        <v>5</v>
      </c>
      <c r="K147" s="32">
        <v>13</v>
      </c>
      <c r="L147" s="32">
        <v>1</v>
      </c>
      <c r="M147" s="32">
        <v>2</v>
      </c>
    </row>
    <row r="148" spans="1:13">
      <c r="A148" s="32">
        <f t="shared" ca="1" si="2"/>
        <v>53</v>
      </c>
      <c r="B148" s="32" cm="1">
        <f t="array" aca="1" ref="B148" ca="1">INDEX(Data_DBD!$B:$B,$A148)</f>
        <v>35</v>
      </c>
      <c r="C148" s="32" cm="1">
        <f t="array" aca="1" ref="C148" ca="1">INDEX(Data_DBD!$C:$C,$A148)</f>
        <v>4</v>
      </c>
      <c r="D148" s="32" cm="1">
        <f t="array" aca="1" ref="D148" ca="1">INDEX(Data_DBD!$D:$D,$A148)</f>
        <v>15</v>
      </c>
      <c r="E148" s="32" cm="1">
        <f t="array" aca="1" ref="E148" ca="1">INDEX(Data_DBD!$E:$E,$A148)</f>
        <v>1</v>
      </c>
      <c r="F148" s="32" cm="1">
        <f t="array" aca="1" ref="F148" ca="1">INDEX(Data_DBD!$F:$F,$A148)</f>
        <v>2</v>
      </c>
      <c r="H148" s="32">
        <v>46</v>
      </c>
      <c r="I148" s="32">
        <v>62</v>
      </c>
      <c r="J148" s="32">
        <v>2</v>
      </c>
      <c r="K148" s="32">
        <v>13</v>
      </c>
      <c r="L148" s="32">
        <v>0</v>
      </c>
      <c r="M148" s="32">
        <v>2</v>
      </c>
    </row>
    <row r="149" spans="1:13">
      <c r="A149" s="32">
        <f t="shared" ca="1" si="2"/>
        <v>57</v>
      </c>
      <c r="B149" s="32" cm="1">
        <f t="array" aca="1" ref="B149" ca="1">INDEX(Data_DBD!$B:$B,$A149)</f>
        <v>2</v>
      </c>
      <c r="C149" s="32" cm="1">
        <f t="array" aca="1" ref="C149" ca="1">INDEX(Data_DBD!$C:$C,$A149)</f>
        <v>2</v>
      </c>
      <c r="D149" s="32" cm="1">
        <f t="array" aca="1" ref="D149" ca="1">INDEX(Data_DBD!$D:$D,$A149)</f>
        <v>15</v>
      </c>
      <c r="E149" s="32" cm="1">
        <f t="array" aca="1" ref="E149" ca="1">INDEX(Data_DBD!$E:$E,$A149)</f>
        <v>1</v>
      </c>
      <c r="F149" s="32" cm="1">
        <f t="array" aca="1" ref="F149" ca="1">INDEX(Data_DBD!$F:$F,$A149)</f>
        <v>2</v>
      </c>
      <c r="H149" s="32">
        <v>61</v>
      </c>
      <c r="I149" s="32">
        <v>29</v>
      </c>
      <c r="J149" s="32">
        <v>3</v>
      </c>
      <c r="K149" s="32">
        <v>15</v>
      </c>
      <c r="L149" s="32">
        <v>1</v>
      </c>
      <c r="M149" s="32">
        <v>2</v>
      </c>
    </row>
    <row r="150" spans="1:13">
      <c r="A150" s="32">
        <f t="shared" ca="1" si="2"/>
        <v>35</v>
      </c>
      <c r="B150" s="32" cm="1">
        <f t="array" aca="1" ref="B150" ca="1">INDEX(Data_DBD!$B:$B,$A150)</f>
        <v>40</v>
      </c>
      <c r="C150" s="32" cm="1">
        <f t="array" aca="1" ref="C150" ca="1">INDEX(Data_DBD!$C:$C,$A150)</f>
        <v>3</v>
      </c>
      <c r="D150" s="32" cm="1">
        <f t="array" aca="1" ref="D150" ca="1">INDEX(Data_DBD!$D:$D,$A150)</f>
        <v>4</v>
      </c>
      <c r="E150" s="32" cm="1">
        <f t="array" aca="1" ref="E150" ca="1">INDEX(Data_DBD!$E:$E,$A150)</f>
        <v>1</v>
      </c>
      <c r="F150" s="32" cm="1">
        <f t="array" aca="1" ref="F150" ca="1">INDEX(Data_DBD!$F:$F,$A150)</f>
        <v>1</v>
      </c>
      <c r="H150" s="32">
        <v>82</v>
      </c>
      <c r="I150" s="32">
        <v>28</v>
      </c>
      <c r="J150" s="32">
        <v>3</v>
      </c>
      <c r="K150" s="32">
        <v>13</v>
      </c>
      <c r="L150" s="32">
        <v>1</v>
      </c>
      <c r="M150" s="32">
        <v>2</v>
      </c>
    </row>
    <row r="151" spans="1:13">
      <c r="A151" s="32">
        <f t="shared" ca="1" si="2"/>
        <v>161</v>
      </c>
      <c r="B151" s="32" cm="1">
        <f t="array" aca="1" ref="B151" ca="1">INDEX(Data_DBD!$B:$B,$A151)</f>
        <v>12</v>
      </c>
      <c r="C151" s="32" cm="1">
        <f t="array" aca="1" ref="C151" ca="1">INDEX(Data_DBD!$C:$C,$A151)</f>
        <v>3</v>
      </c>
      <c r="D151" s="32" cm="1">
        <f t="array" aca="1" ref="D151" ca="1">INDEX(Data_DBD!$D:$D,$A151)</f>
        <v>21</v>
      </c>
      <c r="E151" s="32" cm="1">
        <f t="array" aca="1" ref="E151" ca="1">INDEX(Data_DBD!$E:$E,$A151)</f>
        <v>1</v>
      </c>
      <c r="F151" s="32" cm="1">
        <f t="array" aca="1" ref="F151" ca="1">INDEX(Data_DBD!$F:$F,$A151)</f>
        <v>3</v>
      </c>
      <c r="H151" s="32">
        <v>11</v>
      </c>
      <c r="I151" s="32">
        <v>24</v>
      </c>
      <c r="J151" s="32">
        <v>5</v>
      </c>
      <c r="K151" s="32">
        <v>12</v>
      </c>
      <c r="L151" s="32">
        <v>1</v>
      </c>
      <c r="M151" s="32">
        <v>2</v>
      </c>
    </row>
    <row r="152" spans="1:13">
      <c r="A152" s="32">
        <f t="shared" ca="1" si="2"/>
        <v>157</v>
      </c>
      <c r="B152" s="32" cm="1">
        <f t="array" aca="1" ref="B152" ca="1">INDEX(Data_DBD!$B:$B,$A152)</f>
        <v>15</v>
      </c>
      <c r="C152" s="32" cm="1">
        <f t="array" aca="1" ref="C152" ca="1">INDEX(Data_DBD!$C:$C,$A152)</f>
        <v>4</v>
      </c>
      <c r="D152" s="32" cm="1">
        <f t="array" aca="1" ref="D152" ca="1">INDEX(Data_DBD!$D:$D,$A152)</f>
        <v>21</v>
      </c>
      <c r="E152" s="32" cm="1">
        <f t="array" aca="1" ref="E152" ca="1">INDEX(Data_DBD!$E:$E,$A152)</f>
        <v>1</v>
      </c>
      <c r="F152" s="32" cm="1">
        <f t="array" aca="1" ref="F152" ca="1">INDEX(Data_DBD!$F:$F,$A152)</f>
        <v>3</v>
      </c>
      <c r="H152" s="32">
        <v>83</v>
      </c>
      <c r="I152" s="32">
        <v>50</v>
      </c>
      <c r="J152" s="32">
        <v>3</v>
      </c>
      <c r="K152" s="32">
        <v>13</v>
      </c>
      <c r="L152" s="32">
        <v>0</v>
      </c>
      <c r="M152" s="32">
        <v>2</v>
      </c>
    </row>
    <row r="153" spans="1:13">
      <c r="A153" s="32">
        <f t="shared" ca="1" si="2"/>
        <v>12</v>
      </c>
      <c r="B153" s="32" cm="1">
        <f t="array" aca="1" ref="B153" ca="1">INDEX(Data_DBD!$B:$B,$A153)</f>
        <v>23</v>
      </c>
      <c r="C153" s="32" cm="1">
        <f t="array" aca="1" ref="C153" ca="1">INDEX(Data_DBD!$C:$C,$A153)</f>
        <v>3</v>
      </c>
      <c r="D153" s="32" cm="1">
        <f t="array" aca="1" ref="D153" ca="1">INDEX(Data_DBD!$D:$D,$A153)</f>
        <v>12</v>
      </c>
      <c r="E153" s="32" cm="1">
        <f t="array" aca="1" ref="E153" ca="1">INDEX(Data_DBD!$E:$E,$A153)</f>
        <v>0</v>
      </c>
      <c r="F153" s="32" cm="1">
        <f t="array" aca="1" ref="F153" ca="1">INDEX(Data_DBD!$F:$F,$A153)</f>
        <v>2</v>
      </c>
      <c r="H153" s="32">
        <v>157</v>
      </c>
      <c r="I153" s="32">
        <v>15</v>
      </c>
      <c r="J153" s="32">
        <v>4</v>
      </c>
      <c r="K153" s="32">
        <v>21</v>
      </c>
      <c r="L153" s="32">
        <v>1</v>
      </c>
      <c r="M153" s="32">
        <v>3</v>
      </c>
    </row>
    <row r="154" spans="1:13">
      <c r="A154" s="32">
        <f t="shared" ca="1" si="2"/>
        <v>14</v>
      </c>
      <c r="B154" s="32" cm="1">
        <f t="array" aca="1" ref="B154" ca="1">INDEX(Data_DBD!$B:$B,$A154)</f>
        <v>49</v>
      </c>
      <c r="C154" s="32" cm="1">
        <f t="array" aca="1" ref="C154" ca="1">INDEX(Data_DBD!$C:$C,$A154)</f>
        <v>4</v>
      </c>
      <c r="D154" s="32" cm="1">
        <f t="array" aca="1" ref="D154" ca="1">INDEX(Data_DBD!$D:$D,$A154)</f>
        <v>7</v>
      </c>
      <c r="E154" s="32" cm="1">
        <f t="array" aca="1" ref="E154" ca="1">INDEX(Data_DBD!$E:$E,$A154)</f>
        <v>1</v>
      </c>
      <c r="F154" s="32" cm="1">
        <f t="array" aca="1" ref="F154" ca="1">INDEX(Data_DBD!$F:$F,$A154)</f>
        <v>1</v>
      </c>
      <c r="H154" s="32">
        <v>159</v>
      </c>
      <c r="I154" s="32">
        <v>17</v>
      </c>
      <c r="J154" s="32">
        <v>2</v>
      </c>
      <c r="K154" s="32">
        <v>21</v>
      </c>
      <c r="L154" s="32">
        <v>0</v>
      </c>
      <c r="M154" s="32">
        <v>3</v>
      </c>
    </row>
    <row r="155" spans="1:13">
      <c r="A155" s="32">
        <f t="shared" ca="1" si="2"/>
        <v>56</v>
      </c>
      <c r="B155" s="32" cm="1">
        <f t="array" aca="1" ref="B155" ca="1">INDEX(Data_DBD!$B:$B,$A155)</f>
        <v>4</v>
      </c>
      <c r="C155" s="32" cm="1">
        <f t="array" aca="1" ref="C155" ca="1">INDEX(Data_DBD!$C:$C,$A155)</f>
        <v>3</v>
      </c>
      <c r="D155" s="32" cm="1">
        <f t="array" aca="1" ref="D155" ca="1">INDEX(Data_DBD!$D:$D,$A155)</f>
        <v>15</v>
      </c>
      <c r="E155" s="32" cm="1">
        <f t="array" aca="1" ref="E155" ca="1">INDEX(Data_DBD!$E:$E,$A155)</f>
        <v>0</v>
      </c>
      <c r="F155" s="32" cm="1">
        <f t="array" aca="1" ref="F155" ca="1">INDEX(Data_DBD!$F:$F,$A155)</f>
        <v>2</v>
      </c>
      <c r="H155" s="32">
        <v>84</v>
      </c>
      <c r="I155" s="32">
        <v>42</v>
      </c>
      <c r="J155" s="32">
        <v>4</v>
      </c>
      <c r="K155" s="32">
        <v>13</v>
      </c>
      <c r="L155" s="32">
        <v>1</v>
      </c>
      <c r="M155" s="32">
        <v>2</v>
      </c>
    </row>
    <row r="156" spans="1:13">
      <c r="A156" s="32">
        <f t="shared" ca="1" si="2"/>
        <v>24</v>
      </c>
      <c r="B156" s="32" cm="1">
        <f t="array" aca="1" ref="B156" ca="1">INDEX(Data_DBD!$B:$B,$A156)</f>
        <v>60</v>
      </c>
      <c r="C156" s="32" cm="1">
        <f t="array" aca="1" ref="C156" ca="1">INDEX(Data_DBD!$C:$C,$A156)</f>
        <v>4</v>
      </c>
      <c r="D156" s="32" cm="1">
        <f t="array" aca="1" ref="D156" ca="1">INDEX(Data_DBD!$D:$D,$A156)</f>
        <v>14</v>
      </c>
      <c r="E156" s="32" cm="1">
        <f t="array" aca="1" ref="E156" ca="1">INDEX(Data_DBD!$E:$E,$A156)</f>
        <v>0</v>
      </c>
      <c r="F156" s="32" cm="1">
        <f t="array" aca="1" ref="F156" ca="1">INDEX(Data_DBD!$F:$F,$A156)</f>
        <v>2</v>
      </c>
      <c r="H156" s="32">
        <v>128</v>
      </c>
      <c r="I156" s="32">
        <v>38</v>
      </c>
      <c r="J156" s="32">
        <v>2</v>
      </c>
      <c r="K156" s="32">
        <v>33</v>
      </c>
      <c r="L156" s="32">
        <v>0</v>
      </c>
      <c r="M156" s="32">
        <v>3</v>
      </c>
    </row>
    <row r="157" spans="1:13">
      <c r="A157" s="32">
        <f t="shared" ca="1" si="2"/>
        <v>82</v>
      </c>
      <c r="B157" s="32" cm="1">
        <f t="array" aca="1" ref="B157" ca="1">INDEX(Data_DBD!$B:$B,$A157)</f>
        <v>28</v>
      </c>
      <c r="C157" s="32" cm="1">
        <f t="array" aca="1" ref="C157" ca="1">INDEX(Data_DBD!$C:$C,$A157)</f>
        <v>3</v>
      </c>
      <c r="D157" s="32" cm="1">
        <f t="array" aca="1" ref="D157" ca="1">INDEX(Data_DBD!$D:$D,$A157)</f>
        <v>13</v>
      </c>
      <c r="E157" s="32" cm="1">
        <f t="array" aca="1" ref="E157" ca="1">INDEX(Data_DBD!$E:$E,$A157)</f>
        <v>1</v>
      </c>
      <c r="F157" s="32" cm="1">
        <f t="array" aca="1" ref="F157" ca="1">INDEX(Data_DBD!$F:$F,$A157)</f>
        <v>2</v>
      </c>
      <c r="H157" s="32">
        <v>125</v>
      </c>
      <c r="I157" s="32">
        <v>39</v>
      </c>
      <c r="J157" s="32">
        <v>4</v>
      </c>
      <c r="K157" s="32">
        <v>33</v>
      </c>
      <c r="L157" s="32">
        <v>0</v>
      </c>
      <c r="M157" s="32">
        <v>3</v>
      </c>
    </row>
    <row r="158" spans="1:13" ht="15.75">
      <c r="A158" s="32">
        <f t="shared" ca="1" si="2"/>
        <v>113</v>
      </c>
      <c r="B158" s="32" cm="1">
        <f t="array" aca="1" ref="B158" ca="1">INDEX(Data_DBD!$B:$B,$A158)</f>
        <v>69</v>
      </c>
      <c r="C158" s="32" cm="1">
        <f t="array" aca="1" ref="C158" ca="1">INDEX(Data_DBD!$C:$C,$A158)</f>
        <v>1</v>
      </c>
      <c r="D158" s="32" cm="1">
        <f t="array" aca="1" ref="D158" ca="1">INDEX(Data_DBD!$D:$D,$A158)</f>
        <v>33</v>
      </c>
      <c r="E158" s="32" cm="1">
        <f t="array" aca="1" ref="E158" ca="1">INDEX(Data_DBD!$E:$E,$A158)</f>
        <v>1</v>
      </c>
      <c r="F158" s="32" cm="1">
        <f t="array" aca="1" ref="F158" ca="1">INDEX(Data_DBD!$F:$F,$A158)</f>
        <v>3</v>
      </c>
      <c r="H158" s="32">
        <v>40</v>
      </c>
      <c r="I158" s="32">
        <v>65</v>
      </c>
      <c r="J158" s="32">
        <v>3</v>
      </c>
      <c r="K158" s="32">
        <v>13</v>
      </c>
      <c r="L158" s="58">
        <v>1</v>
      </c>
      <c r="M158" s="32">
        <v>2</v>
      </c>
    </row>
    <row r="159" spans="1:13" ht="15.75">
      <c r="A159" s="32">
        <f t="shared" ca="1" si="2"/>
        <v>119</v>
      </c>
      <c r="B159" s="32" cm="1">
        <f t="array" aca="1" ref="B159" ca="1">INDEX(Data_DBD!$B:$B,$A159)</f>
        <v>30</v>
      </c>
      <c r="C159" s="32" cm="1">
        <f t="array" aca="1" ref="C159" ca="1">INDEX(Data_DBD!$C:$C,$A159)</f>
        <v>7</v>
      </c>
      <c r="D159" s="32" cm="1">
        <f t="array" aca="1" ref="D159" ca="1">INDEX(Data_DBD!$D:$D,$A159)</f>
        <v>33</v>
      </c>
      <c r="E159" s="32" cm="1">
        <f t="array" aca="1" ref="E159" ca="1">INDEX(Data_DBD!$E:$E,$A159)</f>
        <v>0</v>
      </c>
      <c r="F159" s="32" cm="1">
        <f t="array" aca="1" ref="F159" ca="1">INDEX(Data_DBD!$F:$F,$A159)</f>
        <v>3</v>
      </c>
      <c r="H159" s="32">
        <v>36</v>
      </c>
      <c r="I159" s="32">
        <v>27</v>
      </c>
      <c r="J159" s="32">
        <v>1</v>
      </c>
      <c r="K159" s="32">
        <v>4</v>
      </c>
      <c r="L159" s="59">
        <v>1</v>
      </c>
      <c r="M159" s="32">
        <v>1</v>
      </c>
    </row>
    <row r="160" spans="1:13" ht="15.75">
      <c r="A160" s="32">
        <f t="shared" ca="1" si="2"/>
        <v>144</v>
      </c>
      <c r="B160" s="32" cm="1">
        <f t="array" aca="1" ref="B160" ca="1">INDEX(Data_DBD!$B:$B,$A160)</f>
        <v>61</v>
      </c>
      <c r="C160" s="32" cm="1">
        <f t="array" aca="1" ref="C160" ca="1">INDEX(Data_DBD!$C:$C,$A160)</f>
        <v>4</v>
      </c>
      <c r="D160" s="32" cm="1">
        <f t="array" aca="1" ref="D160" ca="1">INDEX(Data_DBD!$D:$D,$A160)</f>
        <v>21</v>
      </c>
      <c r="E160" s="32" cm="1">
        <f t="array" aca="1" ref="E160" ca="1">INDEX(Data_DBD!$E:$E,$A160)</f>
        <v>1</v>
      </c>
      <c r="F160" s="32" cm="1">
        <f t="array" aca="1" ref="F160" ca="1">INDEX(Data_DBD!$F:$F,$A160)</f>
        <v>3</v>
      </c>
      <c r="H160" s="32">
        <v>122</v>
      </c>
      <c r="I160" s="32">
        <v>28</v>
      </c>
      <c r="J160" s="32">
        <v>3</v>
      </c>
      <c r="K160" s="32">
        <v>33</v>
      </c>
      <c r="L160" s="60">
        <v>1</v>
      </c>
      <c r="M160" s="32">
        <v>3</v>
      </c>
    </row>
    <row r="161" spans="1:22" ht="15.75">
      <c r="A161" s="32">
        <f t="shared" ca="1" si="2"/>
        <v>112</v>
      </c>
      <c r="B161" s="32" cm="1">
        <f t="array" aca="1" ref="B161" ca="1">INDEX(Data_DBD!$B:$B,$A161)</f>
        <v>61</v>
      </c>
      <c r="C161" s="32" cm="1">
        <f t="array" aca="1" ref="C161" ca="1">INDEX(Data_DBD!$C:$C,$A161)</f>
        <v>3</v>
      </c>
      <c r="D161" s="32" cm="1">
        <f t="array" aca="1" ref="D161" ca="1">INDEX(Data_DBD!$D:$D,$A161)</f>
        <v>33</v>
      </c>
      <c r="E161" s="32" cm="1">
        <f t="array" aca="1" ref="E161" ca="1">INDEX(Data_DBD!$E:$E,$A161)</f>
        <v>1</v>
      </c>
      <c r="F161" s="32" cm="1">
        <f t="array" aca="1" ref="F161" ca="1">INDEX(Data_DBD!$F:$F,$A161)</f>
        <v>3</v>
      </c>
      <c r="H161" s="32">
        <v>92</v>
      </c>
      <c r="I161" s="32">
        <v>55</v>
      </c>
      <c r="J161" s="32">
        <v>7</v>
      </c>
      <c r="K161" s="32">
        <v>18</v>
      </c>
      <c r="L161" s="60">
        <v>0</v>
      </c>
      <c r="M161" s="32">
        <v>3</v>
      </c>
    </row>
    <row r="162" spans="1:22" ht="15.75">
      <c r="A162" s="32">
        <f t="shared" ca="1" si="2"/>
        <v>39</v>
      </c>
      <c r="B162" s="32" cm="1">
        <f t="array" aca="1" ref="B162" ca="1">INDEX(Data_DBD!$B:$B,$A162)</f>
        <v>12</v>
      </c>
      <c r="C162" s="32" cm="1">
        <f t="array" aca="1" ref="C162" ca="1">INDEX(Data_DBD!$C:$C,$A162)</f>
        <v>5</v>
      </c>
      <c r="D162" s="32" cm="1">
        <f t="array" aca="1" ref="D162" ca="1">INDEX(Data_DBD!$D:$D,$A162)</f>
        <v>13</v>
      </c>
      <c r="E162" s="32" cm="1">
        <f t="array" aca="1" ref="E162" ca="1">INDEX(Data_DBD!$E:$E,$A162)</f>
        <v>1</v>
      </c>
      <c r="F162" s="32" cm="1">
        <f t="array" aca="1" ref="F162" ca="1">INDEX(Data_DBD!$F:$F,$A162)</f>
        <v>2</v>
      </c>
      <c r="H162" s="32">
        <v>159</v>
      </c>
      <c r="I162" s="32">
        <v>17</v>
      </c>
      <c r="J162" s="32">
        <v>2</v>
      </c>
      <c r="K162" s="32">
        <v>21</v>
      </c>
      <c r="L162" s="59">
        <v>0</v>
      </c>
      <c r="M162" s="32">
        <v>3</v>
      </c>
    </row>
    <row r="163" spans="1:22" ht="15.75">
      <c r="A163" s="32">
        <f t="shared" ca="1" si="2"/>
        <v>112</v>
      </c>
      <c r="B163" s="32" cm="1">
        <f t="array" aca="1" ref="B163" ca="1">INDEX(Data_DBD!$B:$B,$A163)</f>
        <v>61</v>
      </c>
      <c r="C163" s="32" cm="1">
        <f t="array" aca="1" ref="C163" ca="1">INDEX(Data_DBD!$C:$C,$A163)</f>
        <v>3</v>
      </c>
      <c r="D163" s="32" cm="1">
        <f t="array" aca="1" ref="D163" ca="1">INDEX(Data_DBD!$D:$D,$A163)</f>
        <v>33</v>
      </c>
      <c r="E163" s="32" cm="1">
        <f t="array" aca="1" ref="E163" ca="1">INDEX(Data_DBD!$E:$E,$A163)</f>
        <v>1</v>
      </c>
      <c r="F163" s="32" cm="1">
        <f t="array" aca="1" ref="F163" ca="1">INDEX(Data_DBD!$F:$F,$A163)</f>
        <v>3</v>
      </c>
      <c r="H163" s="32">
        <v>25</v>
      </c>
      <c r="I163" s="32">
        <v>81</v>
      </c>
      <c r="J163" s="32">
        <v>5</v>
      </c>
      <c r="K163" s="32">
        <v>14</v>
      </c>
      <c r="L163" s="60">
        <v>0</v>
      </c>
      <c r="M163" s="32">
        <v>2</v>
      </c>
    </row>
    <row r="164" spans="1:22">
      <c r="A164" s="32">
        <f t="shared" ca="1" si="2"/>
        <v>85</v>
      </c>
      <c r="B164" s="32" cm="1">
        <f t="array" aca="1" ref="B164" ca="1">INDEX(Data_DBD!$B:$B,$A164)</f>
        <v>27</v>
      </c>
      <c r="C164" s="32" cm="1">
        <f t="array" aca="1" ref="C164" ca="1">INDEX(Data_DBD!$C:$C,$A164)</f>
        <v>9</v>
      </c>
      <c r="D164" s="32" cm="1">
        <f t="array" aca="1" ref="D164" ca="1">INDEX(Data_DBD!$D:$D,$A164)</f>
        <v>13</v>
      </c>
      <c r="E164" s="32" cm="1">
        <f t="array" aca="1" ref="E164" ca="1">INDEX(Data_DBD!$E:$E,$A164)</f>
        <v>0</v>
      </c>
      <c r="F164" s="32" cm="1">
        <f t="array" aca="1" ref="F164" ca="1">INDEX(Data_DBD!$F:$F,$A164)</f>
        <v>2</v>
      </c>
      <c r="H164" s="32">
        <v>24</v>
      </c>
      <c r="I164" s="32">
        <v>60</v>
      </c>
      <c r="J164" s="32">
        <v>4</v>
      </c>
      <c r="K164" s="32">
        <v>14</v>
      </c>
      <c r="L164" s="32">
        <v>0</v>
      </c>
      <c r="M164" s="32">
        <v>2</v>
      </c>
    </row>
    <row r="165" spans="1:22">
      <c r="I165">
        <f>AVERAGE(I2:I164)</f>
        <v>30.793209876543209</v>
      </c>
      <c r="J165">
        <f>AVERAGE(J2:J164)</f>
        <v>3.6380368098159508</v>
      </c>
      <c r="K165">
        <f>AVERAGE(K2:K164)</f>
        <v>17.736196319018404</v>
      </c>
      <c r="L165">
        <f>AVERAGE(L2:L164)</f>
        <v>0.55214723926380371</v>
      </c>
    </row>
    <row r="166" spans="1:22">
      <c r="B166">
        <v>7681</v>
      </c>
    </row>
    <row r="168" spans="1:22">
      <c r="E168" s="38" t="s">
        <v>188</v>
      </c>
      <c r="J168" s="38" t="s">
        <v>189</v>
      </c>
      <c r="O168" s="38" t="s">
        <v>190</v>
      </c>
      <c r="T168" s="38" t="s">
        <v>191</v>
      </c>
    </row>
    <row r="169" spans="1:22">
      <c r="E169" s="32" t="s">
        <v>1</v>
      </c>
      <c r="F169" s="32">
        <f>AVERAGEIF($I$2:$I$164,"&lt;="&amp;$I$165)</f>
        <v>17.239795918367346</v>
      </c>
      <c r="G169" s="32">
        <f>AVERAGEIF($I$2:$I$164,"&gt;"&amp;$I$165)</f>
        <v>51.546875</v>
      </c>
      <c r="J169" s="32" t="s">
        <v>192</v>
      </c>
      <c r="K169" s="32">
        <f>AVERAGEIF($J$2:$J$164,"&lt;="&amp;$J$165)</f>
        <v>2.3918918918918921</v>
      </c>
      <c r="L169" s="32">
        <f>AVERAGEIF($J$2:$J$164,"&gt;"&amp;$J$165)</f>
        <v>4.6741573033707864</v>
      </c>
      <c r="O169" s="32" t="s">
        <v>193</v>
      </c>
      <c r="P169" s="32">
        <f>AVERAGEIF($K$2:$K$164,"&lt;="&amp;$K$165)</f>
        <v>12.212765957446809</v>
      </c>
      <c r="Q169" s="32">
        <f>AVERAGEIF($K$2:$K$164,"&gt;"&amp;$K$165)</f>
        <v>25.260869565217391</v>
      </c>
      <c r="T169" s="32" t="s">
        <v>194</v>
      </c>
      <c r="U169" s="32">
        <f>AVERAGEIF($L$2:$L$164,"&lt;="&amp;$L$165)</f>
        <v>0</v>
      </c>
      <c r="V169" s="32">
        <f>AVERAGEIF($L$2:$L$164,"&gt;"&amp;$L$165)</f>
        <v>1</v>
      </c>
    </row>
    <row r="170" spans="1:22">
      <c r="E170" s="32" t="str" cm="1">
        <f t="array" ref="E170:E332">IF($I$2:$I$164&lt;$F$169,"kiri",IF($I$2:$I$164&lt;$G$169,"tengah","kanan"))</f>
        <v>tengah</v>
      </c>
      <c r="F170" s="55" t="s">
        <v>269</v>
      </c>
      <c r="G170" s="32"/>
      <c r="J170" s="32" t="str" cm="1">
        <f t="array" ref="J170:J332">IF($J$2:$J$164&lt;$K$169,"kiri",IF($J$2:$J$164&lt;$L$169,"tengah","kanan"))</f>
        <v>tengah</v>
      </c>
      <c r="K170" s="55" t="s">
        <v>271</v>
      </c>
      <c r="L170" s="32"/>
      <c r="O170" s="32" t="str" cm="1">
        <f t="array" ref="O170:O332">IF($K$2:$K$164&lt;$P$169,"kiri",IF($K$2:$K$164&lt;$Q$169,"tengah","kanan"))</f>
        <v>tengah</v>
      </c>
      <c r="P170" s="55" t="s">
        <v>286</v>
      </c>
      <c r="Q170" s="32"/>
      <c r="T170" s="32" t="str" cm="1">
        <f t="array" ref="T170:T332">IF($L$2:$L$164&lt;$U$169,"kiri",IF($L$2:$L$164&lt;$V$169,"tengah","kanan"))</f>
        <v>kanan</v>
      </c>
      <c r="U170" s="32" t="s">
        <v>195</v>
      </c>
      <c r="V170" s="32"/>
    </row>
    <row r="171" spans="1:22">
      <c r="E171" s="32" t="str">
        <v>tengah</v>
      </c>
      <c r="F171" s="32">
        <f>COUNTIFS($E$170:$E$332,"Kanan",$M$2:$M$164,"1")</f>
        <v>2</v>
      </c>
      <c r="G171" s="32">
        <f>F171/32</f>
        <v>6.25E-2</v>
      </c>
      <c r="J171" s="32" t="str">
        <v>kanan</v>
      </c>
      <c r="K171" s="32" cm="1">
        <f t="array" ref="K171">SUMPRODUCT((J170:J332="Kanan")*(M2:M164=1))</f>
        <v>4</v>
      </c>
      <c r="L171" s="32">
        <f>K171/37</f>
        <v>0.10810810810810811</v>
      </c>
      <c r="O171" s="32" t="str">
        <v>tengah</v>
      </c>
      <c r="P171" s="32">
        <f>COUNTIFS($O$170:$O$332,"Kanan",$M$2:$M$164,"1")</f>
        <v>0</v>
      </c>
      <c r="Q171" s="32">
        <f>P171/29</f>
        <v>0</v>
      </c>
      <c r="T171" s="32" t="str">
        <v>tengah</v>
      </c>
      <c r="U171" s="32">
        <f>COUNTIFS($T$170:$T$332,"Kanan",$M$2:$M$164,"1")</f>
        <v>7</v>
      </c>
      <c r="V171" s="32">
        <f>U171/83</f>
        <v>8.4337349397590355E-2</v>
      </c>
    </row>
    <row r="172" spans="1:22">
      <c r="E172" s="32" t="str">
        <v>kiri</v>
      </c>
      <c r="F172" s="32">
        <f>COUNTIFS($E$170:$E$332,"Kanan",$M$2:$M$164,"2")</f>
        <v>17</v>
      </c>
      <c r="G172" s="32">
        <f t="shared" ref="G172:G173" si="3">F172/32</f>
        <v>0.53125</v>
      </c>
      <c r="J172" s="32" t="str">
        <v>kiri</v>
      </c>
      <c r="K172" s="32">
        <f>COUNTIFS($J$170:$J$332,"Kanan",$M$2:$M$164,"2")</f>
        <v>23</v>
      </c>
      <c r="L172" s="32">
        <f t="shared" ref="L172:L173" si="4">K172/37</f>
        <v>0.6216216216216216</v>
      </c>
      <c r="O172" s="32" t="str">
        <v>kanan</v>
      </c>
      <c r="P172" s="32">
        <f>COUNTIFS($O$170:$O$332,"Kanan",$M$2:$M$164,"2")</f>
        <v>0</v>
      </c>
      <c r="Q172" s="32">
        <f t="shared" ref="Q172:Q173" si="5">P172/29</f>
        <v>0</v>
      </c>
      <c r="T172" s="32" t="str">
        <v>tengah</v>
      </c>
      <c r="U172" s="32">
        <f>COUNTIFS($T$170:$T$332,"Kanan",$M$2:$M$164,"2")</f>
        <v>44</v>
      </c>
      <c r="V172" s="32">
        <f t="shared" ref="V172:V173" si="6">U172/83</f>
        <v>0.53012048192771088</v>
      </c>
    </row>
    <row r="173" spans="1:22">
      <c r="E173" s="32" t="str">
        <v>tengah</v>
      </c>
      <c r="F173" s="32" cm="1">
        <f t="array" ref="F173">SUMPRODUCT((E170:E332="KANAN")*(M2:M164=3))</f>
        <v>13</v>
      </c>
      <c r="G173" s="32">
        <f t="shared" si="3"/>
        <v>0.40625</v>
      </c>
      <c r="J173" s="32" t="str">
        <v>tengah</v>
      </c>
      <c r="K173" s="32">
        <f>COUNTIFS($J$170:$J$332,"Kanan",$M$2:$M$164,"3")</f>
        <v>10</v>
      </c>
      <c r="L173" s="32">
        <f t="shared" si="4"/>
        <v>0.27027027027027029</v>
      </c>
      <c r="O173" s="32" t="str">
        <v>kiri</v>
      </c>
      <c r="P173" s="32">
        <f>COUNTIFS($O$170:$O$332,"Kanan",$M$2:$M$164,"3")</f>
        <v>29</v>
      </c>
      <c r="Q173" s="32">
        <f t="shared" si="5"/>
        <v>1</v>
      </c>
      <c r="T173" s="32" t="str">
        <v>kanan</v>
      </c>
      <c r="U173" s="32">
        <f>COUNTIFS($T$170:$T$332,"Kanan",$M$2:$M$164,"3")</f>
        <v>39</v>
      </c>
      <c r="V173" s="32">
        <f t="shared" si="6"/>
        <v>0.46987951807228917</v>
      </c>
    </row>
    <row r="174" spans="1:22">
      <c r="E174" s="32" t="str">
        <v>kiri</v>
      </c>
      <c r="F174" s="32" t="s">
        <v>196</v>
      </c>
      <c r="G174" s="32">
        <f>-(IFERROR(G171*LOG(G171,2),0)+IFERROR(G172*LOG(G172,2),0)+IFERROR(G173*LOG(G173,2),0))</f>
        <v>1.2627317300909384</v>
      </c>
      <c r="J174" s="32" t="str">
        <v>tengah</v>
      </c>
      <c r="K174" s="32" t="s">
        <v>196</v>
      </c>
      <c r="L174" s="32">
        <f>-(IFERROR(L171*LOG(L171,2),0)+IFERROR(L172*LOG(L172,2),0)+IFERROR(L173*LOG(L173,2),0))</f>
        <v>1.283474826759087</v>
      </c>
      <c r="O174" s="32" t="str">
        <v>tengah</v>
      </c>
      <c r="P174" s="32" t="s">
        <v>196</v>
      </c>
      <c r="Q174" s="32">
        <f>-(IFERROR(Q171*LOG(Q171,2),0)+IFERROR(Q172*LOG(Q172,2),0)+IFERROR(Q173*LOG(Q173,2),0))</f>
        <v>0</v>
      </c>
      <c r="T174" s="32" t="str">
        <v>tengah</v>
      </c>
      <c r="U174" s="32" t="s">
        <v>196</v>
      </c>
      <c r="V174" s="32">
        <f>-(IFERROR(V171*LOG(V171,2),0)+IFERROR(V172*LOG(V172,2),0)+IFERROR(V173*LOG(V173,2),0))</f>
        <v>1.2982697182066416</v>
      </c>
    </row>
    <row r="175" spans="1:22">
      <c r="E175" s="32" t="str">
        <v>kiri</v>
      </c>
      <c r="F175" s="32"/>
      <c r="G175" s="32">
        <f>SUM(F171:F173)/163</f>
        <v>0.19631901840490798</v>
      </c>
      <c r="J175" s="32" t="str">
        <v>kanan</v>
      </c>
      <c r="K175" s="32"/>
      <c r="L175" s="32">
        <f>SUM(K171:K173)/163</f>
        <v>0.22699386503067484</v>
      </c>
      <c r="O175" s="32" t="str">
        <v>tengah</v>
      </c>
      <c r="P175" s="32"/>
      <c r="Q175" s="32">
        <f>SUM(P171:P173)/163</f>
        <v>0.17791411042944785</v>
      </c>
      <c r="T175" s="32" t="str">
        <v>kanan</v>
      </c>
      <c r="U175" s="32"/>
      <c r="V175" s="32">
        <f>SUM(U171:U173)/163</f>
        <v>0.55214723926380371</v>
      </c>
    </row>
    <row r="176" spans="1:22">
      <c r="E176" s="32" t="str">
        <v>kanan</v>
      </c>
      <c r="F176" s="32"/>
      <c r="G176" s="39">
        <f>G174*G175</f>
        <v>0.24789825376018423</v>
      </c>
      <c r="J176" s="32" t="str">
        <v>tengah</v>
      </c>
      <c r="K176" s="32"/>
      <c r="L176" s="39">
        <f>L174*L175</f>
        <v>0.29134091159562098</v>
      </c>
      <c r="O176" s="32" t="str">
        <v>tengah</v>
      </c>
      <c r="P176" s="32"/>
      <c r="Q176" s="39">
        <f>Q174*Q175</f>
        <v>0</v>
      </c>
      <c r="T176" s="32" t="str">
        <v>tengah</v>
      </c>
      <c r="U176" s="32"/>
      <c r="V176" s="39">
        <f>V174*V175</f>
        <v>0.71683604072759355</v>
      </c>
    </row>
    <row r="177" spans="5:22">
      <c r="E177" s="32" t="str">
        <v>tengah</v>
      </c>
      <c r="F177" s="32"/>
      <c r="G177" s="32"/>
      <c r="J177" s="32" t="str">
        <v>kanan</v>
      </c>
      <c r="K177" s="32"/>
      <c r="L177" s="32"/>
      <c r="O177" s="32" t="str">
        <v>kiri</v>
      </c>
      <c r="P177" s="32"/>
      <c r="Q177" s="32"/>
      <c r="T177" s="32" t="str">
        <v>tengah</v>
      </c>
      <c r="U177" s="32"/>
      <c r="V177" s="32"/>
    </row>
    <row r="178" spans="5:22">
      <c r="E178" s="32" t="str">
        <v>kanan</v>
      </c>
      <c r="F178" s="32"/>
      <c r="G178" s="32"/>
      <c r="J178" s="32" t="str">
        <v>tengah</v>
      </c>
      <c r="K178" s="32"/>
      <c r="L178" s="32"/>
      <c r="O178" s="32" t="str">
        <v>tengah</v>
      </c>
      <c r="P178" s="32"/>
      <c r="Q178" s="32"/>
      <c r="T178" s="32" t="str">
        <v>tengah</v>
      </c>
      <c r="U178" s="32"/>
      <c r="V178" s="32"/>
    </row>
    <row r="179" spans="5:22">
      <c r="E179" s="32" t="str">
        <v>tengah</v>
      </c>
      <c r="F179" s="55" t="s">
        <v>270</v>
      </c>
      <c r="G179" s="32"/>
      <c r="J179" s="32" t="str">
        <v>kanan</v>
      </c>
      <c r="K179" s="55" t="s">
        <v>272</v>
      </c>
      <c r="L179" s="32"/>
      <c r="O179" s="32" t="str">
        <v>tengah</v>
      </c>
      <c r="P179" s="55" t="s">
        <v>281</v>
      </c>
      <c r="Q179" s="32"/>
      <c r="T179" s="32" t="str">
        <v>kanan</v>
      </c>
      <c r="U179" s="32" t="s">
        <v>197</v>
      </c>
      <c r="V179" s="32"/>
    </row>
    <row r="180" spans="5:22">
      <c r="E180" s="32" t="str">
        <v>kiri</v>
      </c>
      <c r="F180" s="32" cm="1">
        <f t="array" ref="F180">SUMPRODUCT((E170:E332="kiri")*(M2:M164=1))</f>
        <v>3</v>
      </c>
      <c r="G180" s="32">
        <f>F180/46</f>
        <v>6.5217391304347824E-2</v>
      </c>
      <c r="J180" s="32" t="str">
        <v>tengah</v>
      </c>
      <c r="K180" s="32">
        <f>COUNTIFS($J$170:$J$332,"Kiri",$M$2:$M$164,"1")</f>
        <v>2</v>
      </c>
      <c r="L180" s="32">
        <f>K180/38</f>
        <v>5.2631578947368418E-2</v>
      </c>
      <c r="O180" s="32" t="str">
        <v>kanan</v>
      </c>
      <c r="P180" s="32">
        <f>COUNTIFS($O$170:$O$332,"Kiri",$M$2:$M$164,"1")</f>
        <v>11</v>
      </c>
      <c r="Q180" s="32">
        <f>P180/35</f>
        <v>0.31428571428571428</v>
      </c>
      <c r="T180" s="32" t="str">
        <v>kanan</v>
      </c>
      <c r="U180" s="32">
        <f>COUNTIFS($T$170:$T$332,"Kiri",$M$2:$M$164,"1")</f>
        <v>0</v>
      </c>
      <c r="V180" s="32">
        <f>U180/57</f>
        <v>0</v>
      </c>
    </row>
    <row r="181" spans="5:22">
      <c r="E181" s="32" t="str">
        <v>tengah</v>
      </c>
      <c r="F181" s="32" cm="1">
        <f t="array" ref="F181">SUMPRODUCT((E170:E332="kiri")*(M2:M164=2))</f>
        <v>18</v>
      </c>
      <c r="G181" s="32">
        <f t="shared" ref="G181:G182" si="7">F181/46</f>
        <v>0.39130434782608697</v>
      </c>
      <c r="J181" s="32" t="str">
        <v>tengah</v>
      </c>
      <c r="K181" s="32">
        <f>COUNTIFS($J$170:$J$332,"Kiri",$M$2:$M$164,"2")</f>
        <v>13</v>
      </c>
      <c r="L181" s="32">
        <f t="shared" ref="L181:L182" si="8">K181/38</f>
        <v>0.34210526315789475</v>
      </c>
      <c r="O181" s="32" t="str">
        <v>tengah</v>
      </c>
      <c r="P181" s="32">
        <f>COUNTIFS($O$170:$O$332,"Kiri",$M$2:$M$164,"2")</f>
        <v>24</v>
      </c>
      <c r="Q181" s="32">
        <f t="shared" ref="Q181:Q182" si="9">P181/35</f>
        <v>0.68571428571428572</v>
      </c>
      <c r="T181" s="32" t="str">
        <v>tengah</v>
      </c>
      <c r="U181" s="32">
        <f>COUNTIFS($T$170:$T$332,"Kiri",$M$2:$M$164,"2")</f>
        <v>0</v>
      </c>
      <c r="V181" s="32">
        <f>U181/57</f>
        <v>0</v>
      </c>
    </row>
    <row r="182" spans="5:22">
      <c r="E182" s="32" t="str">
        <v>tengah</v>
      </c>
      <c r="F182" s="32" cm="1">
        <f t="array" ref="F182">SUMPRODUCT((E170:E332="kiri")*(M2:M164=3))</f>
        <v>25</v>
      </c>
      <c r="G182" s="32">
        <f t="shared" si="7"/>
        <v>0.54347826086956519</v>
      </c>
      <c r="J182" s="32" t="str">
        <v>tengah</v>
      </c>
      <c r="K182" s="32">
        <f>COUNTIFS($J$170:$J$332,"Kiri",$M$2:$M$164,"3")</f>
        <v>23</v>
      </c>
      <c r="L182" s="32">
        <f t="shared" si="8"/>
        <v>0.60526315789473684</v>
      </c>
      <c r="O182" s="32" t="str">
        <v>kiri</v>
      </c>
      <c r="P182" s="32">
        <f>COUNTIFS($O$170:$O$332,"Kiri",$M$2:$M$164,"3")</f>
        <v>0</v>
      </c>
      <c r="Q182" s="32">
        <f t="shared" si="9"/>
        <v>0</v>
      </c>
      <c r="T182" s="32" t="str">
        <v>kanan</v>
      </c>
      <c r="U182" s="32">
        <f>COUNTIFS($T$170:$T$332,"Kiri",$M$2:$M$164,"3")</f>
        <v>0</v>
      </c>
      <c r="V182" s="32">
        <f>U182/57</f>
        <v>0</v>
      </c>
    </row>
    <row r="183" spans="5:22">
      <c r="E183" s="32" t="str">
        <v>tengah</v>
      </c>
      <c r="F183" s="32" t="s">
        <v>196</v>
      </c>
      <c r="G183" s="32">
        <f>-(IFERROR(G180*LOG(G180,2),0)+IFERROR(G181*LOG(G181,2),0)+IFERROR(G182*LOG(G182,2),0))</f>
        <v>1.2646501675245518</v>
      </c>
      <c r="J183" s="32" t="str">
        <v>tengah</v>
      </c>
      <c r="K183" s="32" t="s">
        <v>196</v>
      </c>
      <c r="L183" s="32">
        <f>-(IFERROR(L180*LOG(L180,2),0)+IFERROR(L181*LOG(L181,2),0)+IFERROR(L182*LOG(L182,2),0))</f>
        <v>1.1914106364660726</v>
      </c>
      <c r="O183" s="32" t="str">
        <v>tengah</v>
      </c>
      <c r="P183" s="32" t="s">
        <v>196</v>
      </c>
      <c r="Q183" s="32">
        <f>-(IFERROR(Q180*LOG(Q180,2),0)+IFERROR(Q181*LOG(Q181,2),0)+IFERROR(Q182*LOG(Q182,2),0))</f>
        <v>0.89805879345016604</v>
      </c>
      <c r="T183" s="32" t="str">
        <v>tengah</v>
      </c>
      <c r="U183" s="32" t="s">
        <v>196</v>
      </c>
      <c r="V183" s="32">
        <f>-(IFERROR(V180*LOG(V180,2),0)+IFERROR(V181*LOG(V181,2),0)+IFERROR(V182*LOG(V182,2),0))</f>
        <v>0</v>
      </c>
    </row>
    <row r="184" spans="5:22">
      <c r="E184" s="32" t="str">
        <v>tengah</v>
      </c>
      <c r="F184" s="32"/>
      <c r="G184" s="32">
        <f>SUM(F180:F182)/163</f>
        <v>0.2822085889570552</v>
      </c>
      <c r="J184" s="32" t="str">
        <v>tengah</v>
      </c>
      <c r="K184" s="32"/>
      <c r="L184" s="32">
        <f>SUM(K180:K182)/163</f>
        <v>0.23312883435582821</v>
      </c>
      <c r="O184" s="32" t="str">
        <v>kanan</v>
      </c>
      <c r="P184" s="32"/>
      <c r="Q184" s="32">
        <f>SUM(P180:P182)/163</f>
        <v>0.21472392638036811</v>
      </c>
      <c r="T184" s="32" t="str">
        <v>kanan</v>
      </c>
      <c r="U184" s="32"/>
      <c r="V184" s="32">
        <f>SUM(U180:U182)/163</f>
        <v>0</v>
      </c>
    </row>
    <row r="185" spans="5:22">
      <c r="E185" s="32" t="str">
        <v>kanan</v>
      </c>
      <c r="F185" s="32"/>
      <c r="G185" s="39">
        <f>G183*G184</f>
        <v>0.35689513930140726</v>
      </c>
      <c r="J185" s="32" t="str">
        <v>tengah</v>
      </c>
      <c r="K185" s="32"/>
      <c r="L185" s="39">
        <f>L183*L184</f>
        <v>0.27775217291847087</v>
      </c>
      <c r="O185" s="32" t="str">
        <v>tengah</v>
      </c>
      <c r="P185" s="32"/>
      <c r="Q185" s="39">
        <f>Q183*Q184</f>
        <v>0.19283471025003565</v>
      </c>
      <c r="T185" s="32" t="str">
        <v>kanan</v>
      </c>
      <c r="U185" s="32"/>
      <c r="V185" s="39">
        <f>V183*V184</f>
        <v>0</v>
      </c>
    </row>
    <row r="186" spans="5:22">
      <c r="E186" s="32" t="str">
        <v>kiri</v>
      </c>
      <c r="F186" s="32"/>
      <c r="G186" s="32"/>
      <c r="J186" s="32" t="str">
        <v>tengah</v>
      </c>
      <c r="K186" s="32"/>
      <c r="L186" s="32"/>
      <c r="O186" s="32" t="str">
        <v>tengah</v>
      </c>
      <c r="P186" s="32"/>
      <c r="Q186" s="32"/>
      <c r="T186" s="32" t="str">
        <v>kanan</v>
      </c>
      <c r="U186" s="32"/>
      <c r="V186" s="32"/>
    </row>
    <row r="187" spans="5:22">
      <c r="E187" s="32" t="str">
        <v>kanan</v>
      </c>
      <c r="F187" s="32"/>
      <c r="G187" s="32"/>
      <c r="J187" s="32" t="str">
        <v>kiri</v>
      </c>
      <c r="K187" s="32"/>
      <c r="L187" s="32"/>
      <c r="O187" s="32" t="str">
        <v>tengah</v>
      </c>
      <c r="P187" s="32"/>
      <c r="Q187" s="32"/>
      <c r="T187" s="32" t="str">
        <v>tengah</v>
      </c>
      <c r="U187" s="32"/>
      <c r="V187" s="32"/>
    </row>
    <row r="188" spans="5:22">
      <c r="E188" s="32" t="str">
        <v>tengah</v>
      </c>
      <c r="F188" s="32" t="s">
        <v>198</v>
      </c>
      <c r="G188" s="32"/>
      <c r="J188" s="32" t="str">
        <v>tengah</v>
      </c>
      <c r="K188" s="32" t="s">
        <v>198</v>
      </c>
      <c r="L188" s="32"/>
      <c r="O188" s="32" t="str">
        <v>kiri</v>
      </c>
      <c r="P188" s="32" t="s">
        <v>198</v>
      </c>
      <c r="Q188" s="32"/>
      <c r="T188" s="32" t="str">
        <v>kanan</v>
      </c>
      <c r="U188" s="32" t="s">
        <v>198</v>
      </c>
      <c r="V188" s="32"/>
    </row>
    <row r="189" spans="5:22">
      <c r="E189" s="32" t="str">
        <v>tengah</v>
      </c>
      <c r="F189" s="32" cm="1">
        <f t="array" ref="F189">SUMPRODUCT((E170:E332="tengah")*(M2:M164=1))</f>
        <v>6</v>
      </c>
      <c r="G189" s="32">
        <f>F189/85</f>
        <v>7.0588235294117646E-2</v>
      </c>
      <c r="J189" s="32" t="str">
        <v>tengah</v>
      </c>
      <c r="K189" s="32">
        <f>COUNTIFS($J$170:$J$332,"Tengah",$M$2:$M$164,"1")</f>
        <v>5</v>
      </c>
      <c r="L189" s="32">
        <f>K189/88</f>
        <v>5.6818181818181816E-2</v>
      </c>
      <c r="O189" s="32" t="str">
        <v>tengah</v>
      </c>
      <c r="P189" s="32">
        <f>COUNTIFS($O$170:$O$332,"Tengah",$M$2:$M$164,"1")</f>
        <v>0</v>
      </c>
      <c r="Q189" s="32">
        <f>P189/99</f>
        <v>0</v>
      </c>
      <c r="T189" s="32" t="str">
        <v>kanan</v>
      </c>
      <c r="U189" s="32">
        <f>COUNTIFS($T$170:$T$332,"Tengah",$M$2:$M$164,"1")</f>
        <v>4</v>
      </c>
      <c r="V189" s="32">
        <f>U189/82</f>
        <v>4.878048780487805E-2</v>
      </c>
    </row>
    <row r="190" spans="5:22">
      <c r="E190" s="32" t="str">
        <v>kiri</v>
      </c>
      <c r="F190" s="32" cm="1">
        <f t="array" ref="F190">SUMPRODUCT((E170:E332="tengah")*(M2:M164=2))</f>
        <v>48</v>
      </c>
      <c r="G190" s="32">
        <f t="shared" ref="G190:G191" si="10">F190/85</f>
        <v>0.56470588235294117</v>
      </c>
      <c r="J190" s="32" t="str">
        <v>tengah</v>
      </c>
      <c r="K190" s="32">
        <f>COUNTIFS($J$170:$J$332,"Tengah",$M$2:$M$164,"2")</f>
        <v>47</v>
      </c>
      <c r="L190" s="32">
        <f>K190/88</f>
        <v>0.53409090909090906</v>
      </c>
      <c r="O190" s="32" t="str">
        <v>kiri</v>
      </c>
      <c r="P190" s="32">
        <f>COUNTIFS($O$170:$O$332,"Tengah",$M$2:$M$164,"2")</f>
        <v>59</v>
      </c>
      <c r="Q190" s="32">
        <f t="shared" ref="Q190:Q191" si="11">P190/99</f>
        <v>0.59595959595959591</v>
      </c>
      <c r="T190" s="32" t="str">
        <v>tengah</v>
      </c>
      <c r="U190" s="32">
        <f>COUNTIFS($T$170:$T$332,"Tengah",$M$2:$M$164,"2")</f>
        <v>39</v>
      </c>
      <c r="V190" s="32">
        <f t="shared" ref="V190:V191" si="12">U190/82</f>
        <v>0.47560975609756095</v>
      </c>
    </row>
    <row r="191" spans="5:22">
      <c r="E191" s="32" t="str">
        <v>tengah</v>
      </c>
      <c r="F191" s="32" cm="1">
        <f t="array" ref="F191">SUMPRODUCT((E170:E332="tengah")*(M2:M164=3))</f>
        <v>31</v>
      </c>
      <c r="G191" s="32">
        <f t="shared" si="10"/>
        <v>0.36470588235294116</v>
      </c>
      <c r="J191" s="32" t="str">
        <v>tengah</v>
      </c>
      <c r="K191" s="32">
        <f>COUNTIFS($J$170:$J$332,"Tengah",$M$2:$M$164,"3")</f>
        <v>36</v>
      </c>
      <c r="L191" s="32">
        <f>K191/88</f>
        <v>0.40909090909090912</v>
      </c>
      <c r="O191" s="32" t="str">
        <v>kiri</v>
      </c>
      <c r="P191" s="32">
        <f>COUNTIFS($O$170:$O$332,"Tengah",$M$2:$M$164,"3")</f>
        <v>40</v>
      </c>
      <c r="Q191" s="32">
        <f t="shared" si="11"/>
        <v>0.40404040404040403</v>
      </c>
      <c r="T191" s="32" t="str">
        <v>kanan</v>
      </c>
      <c r="U191" s="32">
        <f>COUNTIFS($T$170:$T$332,"Tengah",$M$2:$M$164,"3")</f>
        <v>30</v>
      </c>
      <c r="V191" s="32">
        <f t="shared" si="12"/>
        <v>0.36585365853658536</v>
      </c>
    </row>
    <row r="192" spans="5:22">
      <c r="E192" s="32" t="str">
        <v>kiri</v>
      </c>
      <c r="F192" s="32" t="s">
        <v>196</v>
      </c>
      <c r="G192" s="32">
        <f>-(IFERROR(G189*LOG(G189,2),0)+IFERROR(G190*LOG(G190,2),0)+IFERROR(G191*LOG(G191,2),0))</f>
        <v>1.2662372813031657</v>
      </c>
      <c r="J192" s="32" t="str">
        <v>tengah</v>
      </c>
      <c r="K192" s="32" t="s">
        <v>196</v>
      </c>
      <c r="L192" s="32">
        <f>-(IFERROR(L189*LOG(L189,2),0)+IFERROR(L190*LOG(L190,2),0)+IFERROR(L191*LOG(L191,2),0))</f>
        <v>1.2458791577826493</v>
      </c>
      <c r="O192" s="32" t="str">
        <v>kanan</v>
      </c>
      <c r="P192" s="32" t="s">
        <v>196</v>
      </c>
      <c r="Q192" s="32">
        <f>-(IFERROR(Q189*LOG(Q189,2),0)+IFERROR(Q190*LOG(Q190,2),0)+IFERROR(Q191*LOG(Q191,2),0))</f>
        <v>0.97326506747513353</v>
      </c>
      <c r="T192" s="32" t="str">
        <v>tengah</v>
      </c>
      <c r="U192" s="32" t="s">
        <v>196</v>
      </c>
      <c r="V192" s="32">
        <f>-(IFERROR(V189*LOG(V189,2),0)+IFERROR(V190*LOG(V190,2),0)+IFERROR(V191*LOG(V191,2),0))</f>
        <v>1.2532181943077667</v>
      </c>
    </row>
    <row r="193" spans="5:22">
      <c r="E193" s="32" t="str">
        <v>tengah</v>
      </c>
      <c r="F193" s="32"/>
      <c r="G193" s="32">
        <f>SUM(F189:F191)/163</f>
        <v>0.5214723926380368</v>
      </c>
      <c r="J193" s="32" t="str">
        <v>kiri</v>
      </c>
      <c r="K193" s="32"/>
      <c r="L193" s="32">
        <f>SUM(K189:K191)/163</f>
        <v>0.53987730061349692</v>
      </c>
      <c r="O193" s="32" t="str">
        <v>tengah</v>
      </c>
      <c r="P193" s="32"/>
      <c r="Q193" s="32">
        <f>SUM(P189:P191)/163</f>
        <v>0.6073619631901841</v>
      </c>
      <c r="T193" s="32" t="str">
        <v>kanan</v>
      </c>
      <c r="U193" s="32"/>
      <c r="V193" s="32">
        <f>SUM(U189:U191)/163</f>
        <v>0.44785276073619634</v>
      </c>
    </row>
    <row r="194" spans="5:22">
      <c r="E194" s="32" t="str">
        <v>tengah</v>
      </c>
      <c r="F194" s="32"/>
      <c r="G194" s="39">
        <f>G192*G193</f>
        <v>0.66030778472864471</v>
      </c>
      <c r="J194" s="32" t="str">
        <v>tengah</v>
      </c>
      <c r="K194" s="32"/>
      <c r="L194" s="39">
        <f>L192*L193</f>
        <v>0.67262187659431372</v>
      </c>
      <c r="O194" s="32" t="str">
        <v>tengah</v>
      </c>
      <c r="P194" s="32"/>
      <c r="Q194" s="39">
        <f>Q192*Q193</f>
        <v>0.59112418208612405</v>
      </c>
      <c r="T194" s="32" t="str">
        <v>tengah</v>
      </c>
      <c r="U194" s="32"/>
      <c r="V194" s="39">
        <f>V192*V193</f>
        <v>0.56125722812556422</v>
      </c>
    </row>
    <row r="195" spans="5:22">
      <c r="E195" s="32" t="str">
        <v>kiri</v>
      </c>
      <c r="F195" s="32"/>
      <c r="G195" s="32"/>
      <c r="J195" s="32" t="str">
        <v>kiri</v>
      </c>
      <c r="K195" s="32"/>
      <c r="L195" s="32"/>
      <c r="O195" s="32" t="str">
        <v>kanan</v>
      </c>
      <c r="P195" s="32"/>
      <c r="Q195" s="32"/>
      <c r="T195" s="32" t="str">
        <v>kanan</v>
      </c>
      <c r="U195" s="32"/>
      <c r="V195" s="32"/>
    </row>
    <row r="196" spans="5:22">
      <c r="E196" s="32" t="str">
        <v>tengah</v>
      </c>
      <c r="F196" s="32" t="s">
        <v>199</v>
      </c>
      <c r="G196" s="40" t="s">
        <v>196</v>
      </c>
      <c r="J196" s="32" t="str">
        <v>kanan</v>
      </c>
      <c r="K196" s="32" t="s">
        <v>199</v>
      </c>
      <c r="L196" s="40" t="s">
        <v>196</v>
      </c>
      <c r="O196" s="32" t="str">
        <v>tengah</v>
      </c>
      <c r="P196" s="32" t="s">
        <v>199</v>
      </c>
      <c r="Q196" s="40" t="s">
        <v>196</v>
      </c>
      <c r="T196" s="32" t="str">
        <v>kanan</v>
      </c>
      <c r="U196" s="32" t="s">
        <v>199</v>
      </c>
      <c r="V196" s="40" t="s">
        <v>196</v>
      </c>
    </row>
    <row r="197" spans="5:22">
      <c r="E197" s="32" t="str">
        <v>tengah</v>
      </c>
      <c r="F197" s="41">
        <f>P5-(G176+G185+G194)</f>
        <v>1.8165576904039415E-2</v>
      </c>
      <c r="G197" s="39">
        <f>(G176+G185+G194)</f>
        <v>1.2651011777902363</v>
      </c>
      <c r="J197" s="32" t="str">
        <v>tengah</v>
      </c>
      <c r="K197" s="41">
        <f>P5-(L176+L185+L194)</f>
        <v>4.1551793585870245E-2</v>
      </c>
      <c r="L197" s="39">
        <f>(L176+L185+L194)</f>
        <v>1.2417149611084055</v>
      </c>
      <c r="O197" s="32" t="str">
        <v>kiri</v>
      </c>
      <c r="P197" s="41">
        <f>P5-(Q176+Q185+Q194)</f>
        <v>0.49930786235811608</v>
      </c>
      <c r="Q197" s="39">
        <f>(Q176+Q185+Q194)</f>
        <v>0.78395889233615967</v>
      </c>
      <c r="T197" s="32" t="str">
        <v>kanan</v>
      </c>
      <c r="U197" s="41">
        <f>P5-(V176+V185+V194)</f>
        <v>5.1734858411180973E-3</v>
      </c>
      <c r="V197" s="39">
        <f>(V176+V185+V194)</f>
        <v>1.2780932688531577</v>
      </c>
    </row>
    <row r="198" spans="5:22">
      <c r="E198" s="32" t="str">
        <v>tengah</v>
      </c>
      <c r="F198" s="32"/>
      <c r="G198" s="32"/>
      <c r="J198" s="32" t="str">
        <v>kanan</v>
      </c>
      <c r="K198" s="32"/>
      <c r="L198" s="32"/>
      <c r="O198" s="32" t="str">
        <v>kiri</v>
      </c>
      <c r="P198" s="32"/>
      <c r="Q198" s="32"/>
      <c r="T198" s="32" t="str">
        <v>tengah</v>
      </c>
      <c r="U198" s="32"/>
      <c r="V198" s="32"/>
    </row>
    <row r="199" spans="5:22">
      <c r="E199" s="32" t="str">
        <v>kanan</v>
      </c>
      <c r="F199" s="32"/>
      <c r="G199" s="32"/>
      <c r="J199" s="32" t="str">
        <v>tengah</v>
      </c>
      <c r="K199" s="32"/>
      <c r="L199" s="32"/>
      <c r="O199" s="32" t="str">
        <v>tengah</v>
      </c>
      <c r="P199" s="32"/>
      <c r="Q199" s="32"/>
      <c r="T199" s="32" t="str">
        <v>tengah</v>
      </c>
      <c r="U199" s="32"/>
      <c r="V199" s="32"/>
    </row>
    <row r="200" spans="5:22">
      <c r="E200" s="32" t="str">
        <v>kiri</v>
      </c>
      <c r="F200" s="32"/>
      <c r="G200" s="32"/>
      <c r="J200" s="32" t="str">
        <v>kiri</v>
      </c>
      <c r="K200" s="32"/>
      <c r="L200" s="32"/>
      <c r="O200" s="32" t="str">
        <v>tengah</v>
      </c>
      <c r="P200" s="32"/>
      <c r="Q200" s="32"/>
      <c r="T200" s="32" t="str">
        <v>kanan</v>
      </c>
      <c r="U200" s="32"/>
      <c r="V200" s="32"/>
    </row>
    <row r="201" spans="5:22">
      <c r="E201" s="32" t="str">
        <v>kanan</v>
      </c>
      <c r="F201" s="32"/>
      <c r="G201" s="32"/>
      <c r="J201" s="32" t="str">
        <v>tengah</v>
      </c>
      <c r="K201" s="32"/>
      <c r="L201" s="32"/>
      <c r="O201" s="32" t="str">
        <v>tengah</v>
      </c>
      <c r="P201" s="32"/>
      <c r="Q201" s="32"/>
      <c r="T201" s="32" t="str">
        <v>tengah</v>
      </c>
      <c r="U201" s="32"/>
      <c r="V201" s="32"/>
    </row>
    <row r="202" spans="5:22">
      <c r="E202" s="32" t="str">
        <v>kanan</v>
      </c>
      <c r="F202" s="32"/>
      <c r="G202" s="32"/>
      <c r="J202" s="32" t="str">
        <v>kanan</v>
      </c>
      <c r="K202" s="32"/>
      <c r="L202" s="32"/>
      <c r="O202" s="32" t="str">
        <v>tengah</v>
      </c>
      <c r="P202" s="32"/>
      <c r="Q202" s="32"/>
      <c r="T202" s="32" t="str">
        <v>tengah</v>
      </c>
      <c r="U202" s="32"/>
      <c r="V202" s="32"/>
    </row>
    <row r="203" spans="5:22">
      <c r="E203" s="32" t="str">
        <v>kiri</v>
      </c>
      <c r="F203" s="32"/>
      <c r="G203" s="32"/>
      <c r="J203" s="32" t="str">
        <v>tengah</v>
      </c>
      <c r="K203" s="32"/>
      <c r="L203" s="32"/>
      <c r="O203" s="32" t="str">
        <v>kanan</v>
      </c>
      <c r="P203" s="32"/>
      <c r="Q203" s="32"/>
      <c r="T203" s="32" t="str">
        <v>kanan</v>
      </c>
      <c r="U203" s="32"/>
      <c r="V203" s="32"/>
    </row>
    <row r="204" spans="5:22">
      <c r="E204" s="32" t="str">
        <v>tengah</v>
      </c>
      <c r="F204" s="32"/>
      <c r="G204" s="32"/>
      <c r="J204" s="32" t="str">
        <v>tengah</v>
      </c>
      <c r="K204" s="32"/>
      <c r="L204" s="32"/>
      <c r="O204" s="32" t="str">
        <v>tengah</v>
      </c>
      <c r="P204" s="32"/>
      <c r="Q204" s="32"/>
      <c r="T204" s="32" t="str">
        <v>tengah</v>
      </c>
      <c r="U204" s="32"/>
      <c r="V204" s="32"/>
    </row>
    <row r="205" spans="5:22">
      <c r="E205" s="32" t="str">
        <v>kanan</v>
      </c>
      <c r="F205" s="32"/>
      <c r="G205" s="32"/>
      <c r="J205" s="32" t="str">
        <v>kiri</v>
      </c>
      <c r="K205" s="32"/>
      <c r="L205" s="32"/>
      <c r="O205" s="32" t="str">
        <v>kanan</v>
      </c>
      <c r="P205" s="32"/>
      <c r="Q205" s="32"/>
      <c r="T205" s="32" t="str">
        <v>kanan</v>
      </c>
      <c r="U205" s="32"/>
      <c r="V205" s="32"/>
    </row>
    <row r="206" spans="5:22">
      <c r="E206" s="32" t="str">
        <v>tengah</v>
      </c>
      <c r="F206" s="32"/>
      <c r="G206" s="32"/>
      <c r="J206" s="32" t="str">
        <v>tengah</v>
      </c>
      <c r="K206" s="32"/>
      <c r="L206" s="32"/>
      <c r="O206" s="32" t="str">
        <v>kiri</v>
      </c>
      <c r="P206" s="32"/>
      <c r="Q206" s="32"/>
      <c r="T206" s="32" t="str">
        <v>tengah</v>
      </c>
      <c r="U206" s="32"/>
      <c r="V206" s="32"/>
    </row>
    <row r="207" spans="5:22">
      <c r="E207" s="32" t="str">
        <v>tengah</v>
      </c>
      <c r="F207" s="32"/>
      <c r="G207" s="32"/>
      <c r="J207" s="32" t="str">
        <v>kiri</v>
      </c>
      <c r="K207" s="32"/>
      <c r="L207" s="32"/>
      <c r="O207" s="32" t="str">
        <v>kiri</v>
      </c>
      <c r="P207" s="32"/>
      <c r="Q207" s="32"/>
      <c r="T207" s="32" t="str">
        <v>kanan</v>
      </c>
      <c r="U207" s="32"/>
      <c r="V207" s="32"/>
    </row>
    <row r="208" spans="5:22">
      <c r="E208" s="32" t="str">
        <v>tengah</v>
      </c>
      <c r="F208" s="32"/>
      <c r="G208" s="32"/>
      <c r="J208" s="32" t="str">
        <v>tengah</v>
      </c>
      <c r="K208" s="32"/>
      <c r="L208" s="32"/>
      <c r="O208" s="32" t="str">
        <v>tengah</v>
      </c>
      <c r="P208" s="32"/>
      <c r="Q208" s="32"/>
      <c r="T208" s="32" t="str">
        <v>kanan</v>
      </c>
      <c r="U208" s="32"/>
      <c r="V208" s="32"/>
    </row>
    <row r="209" spans="5:22">
      <c r="E209" s="32" t="str">
        <v>kiri</v>
      </c>
      <c r="F209" s="32"/>
      <c r="G209" s="32"/>
      <c r="J209" s="32" t="str">
        <v>tengah</v>
      </c>
      <c r="K209" s="32"/>
      <c r="L209" s="32"/>
      <c r="O209" s="32" t="str">
        <v>kiri</v>
      </c>
      <c r="P209" s="32"/>
      <c r="Q209" s="32"/>
      <c r="T209" s="32" t="str">
        <v>tengah</v>
      </c>
      <c r="U209" s="32"/>
      <c r="V209" s="32"/>
    </row>
    <row r="210" spans="5:22">
      <c r="E210" s="32" t="str">
        <v>tengah</v>
      </c>
      <c r="F210" s="32"/>
      <c r="G210" s="32"/>
      <c r="J210" s="32" t="str">
        <v>tengah</v>
      </c>
      <c r="K210" s="32"/>
      <c r="L210" s="32"/>
      <c r="O210" s="32" t="str">
        <v>kanan</v>
      </c>
      <c r="P210" s="32"/>
      <c r="Q210" s="32"/>
      <c r="T210" s="32" t="str">
        <v>kanan</v>
      </c>
      <c r="U210" s="32"/>
      <c r="V210" s="32"/>
    </row>
    <row r="211" spans="5:22">
      <c r="E211" s="32" t="str">
        <v>kanan</v>
      </c>
      <c r="F211" s="32"/>
      <c r="G211" s="32"/>
      <c r="J211" s="32" t="str">
        <v>tengah</v>
      </c>
      <c r="K211" s="32"/>
      <c r="L211" s="32"/>
      <c r="O211" s="32" t="str">
        <v>tengah</v>
      </c>
      <c r="P211" s="32"/>
      <c r="Q211" s="32"/>
      <c r="T211" s="32" t="str">
        <v>kanan</v>
      </c>
      <c r="U211" s="32"/>
      <c r="V211" s="32"/>
    </row>
    <row r="212" spans="5:22">
      <c r="E212" s="32" t="str">
        <v>tengah</v>
      </c>
      <c r="F212" s="32"/>
      <c r="G212" s="32"/>
      <c r="J212" s="32" t="str">
        <v>tengah</v>
      </c>
      <c r="K212" s="32"/>
      <c r="L212" s="32"/>
      <c r="O212" s="32" t="str">
        <v>kanan</v>
      </c>
      <c r="P212" s="32"/>
      <c r="Q212" s="32"/>
      <c r="T212" s="32" t="str">
        <v>kanan</v>
      </c>
      <c r="U212" s="32"/>
      <c r="V212" s="32"/>
    </row>
    <row r="213" spans="5:22">
      <c r="E213" s="32" t="str">
        <v>kiri</v>
      </c>
      <c r="F213" s="32"/>
      <c r="G213" s="32"/>
      <c r="J213" s="32" t="str">
        <v>kanan</v>
      </c>
      <c r="K213" s="32"/>
      <c r="L213" s="32"/>
      <c r="O213" s="32" t="str">
        <v>tengah</v>
      </c>
      <c r="P213" s="32"/>
      <c r="Q213" s="32"/>
      <c r="T213" s="32" t="str">
        <v>kanan</v>
      </c>
      <c r="U213" s="32"/>
      <c r="V213" s="32"/>
    </row>
    <row r="214" spans="5:22">
      <c r="E214" s="32" t="str">
        <v>tengah</v>
      </c>
      <c r="F214" s="32"/>
      <c r="G214" s="32"/>
      <c r="J214" s="32" t="str">
        <v>kanan</v>
      </c>
      <c r="K214" s="32"/>
      <c r="L214" s="32"/>
      <c r="O214" s="32" t="str">
        <v>kiri</v>
      </c>
      <c r="P214" s="32"/>
      <c r="Q214" s="32"/>
      <c r="T214" s="32" t="str">
        <v>kanan</v>
      </c>
      <c r="U214" s="32"/>
      <c r="V214" s="32"/>
    </row>
    <row r="215" spans="5:22">
      <c r="E215" s="32" t="str">
        <v>tengah</v>
      </c>
      <c r="F215" s="32"/>
      <c r="G215" s="32"/>
      <c r="J215" s="32" t="str">
        <v>kiri</v>
      </c>
      <c r="K215" s="32"/>
      <c r="L215" s="32"/>
      <c r="O215" s="32" t="str">
        <v>kiri</v>
      </c>
      <c r="P215" s="32"/>
      <c r="Q215" s="32"/>
      <c r="T215" s="32" t="str">
        <v>kanan</v>
      </c>
      <c r="U215" s="32"/>
      <c r="V215" s="32"/>
    </row>
    <row r="216" spans="5:22">
      <c r="E216" s="32" t="str">
        <v>kiri</v>
      </c>
      <c r="F216" s="32"/>
      <c r="G216" s="32"/>
      <c r="J216" s="32" t="str">
        <v>tengah</v>
      </c>
      <c r="K216" s="32"/>
      <c r="L216" s="32"/>
      <c r="O216" s="32" t="str">
        <v>tengah</v>
      </c>
      <c r="P216" s="32"/>
      <c r="Q216" s="32"/>
      <c r="T216" s="32" t="str">
        <v>tengah</v>
      </c>
      <c r="U216" s="32"/>
      <c r="V216" s="32"/>
    </row>
    <row r="217" spans="5:22">
      <c r="E217" s="32" t="str">
        <v>tengah</v>
      </c>
      <c r="F217" s="32"/>
      <c r="G217" s="32"/>
      <c r="J217" s="32" t="str">
        <v>kiri</v>
      </c>
      <c r="K217" s="32"/>
      <c r="L217" s="32"/>
      <c r="O217" s="32" t="str">
        <v>kiri</v>
      </c>
      <c r="P217" s="32"/>
      <c r="Q217" s="32"/>
      <c r="T217" s="32" t="str">
        <v>kanan</v>
      </c>
      <c r="U217" s="32"/>
      <c r="V217" s="32"/>
    </row>
    <row r="218" spans="5:22">
      <c r="E218" s="32" t="str">
        <v>kanan</v>
      </c>
      <c r="F218" s="32"/>
      <c r="G218" s="32"/>
      <c r="J218" s="32" t="str">
        <v>kanan</v>
      </c>
      <c r="K218" s="32"/>
      <c r="L218" s="32"/>
      <c r="O218" s="32" t="str">
        <v>kiri</v>
      </c>
      <c r="P218" s="32"/>
      <c r="Q218" s="32"/>
      <c r="T218" s="32" t="str">
        <v>kanan</v>
      </c>
      <c r="U218" s="32"/>
      <c r="V218" s="32"/>
    </row>
    <row r="219" spans="5:22">
      <c r="E219" s="32" t="str">
        <v>tengah</v>
      </c>
      <c r="F219" s="32"/>
      <c r="G219" s="32"/>
      <c r="J219" s="32" t="str">
        <v>tengah</v>
      </c>
      <c r="K219" s="32"/>
      <c r="L219" s="32"/>
      <c r="O219" s="32" t="str">
        <v>tengah</v>
      </c>
      <c r="P219" s="32"/>
      <c r="Q219" s="32"/>
      <c r="T219" s="32" t="str">
        <v>tengah</v>
      </c>
      <c r="U219" s="32"/>
      <c r="V219" s="32"/>
    </row>
    <row r="220" spans="5:22">
      <c r="E220" s="32" t="str">
        <v>tengah</v>
      </c>
      <c r="F220" s="32"/>
      <c r="G220" s="32"/>
      <c r="J220" s="32" t="str">
        <v>tengah</v>
      </c>
      <c r="K220" s="32"/>
      <c r="L220" s="32"/>
      <c r="O220" s="32" t="str">
        <v>tengah</v>
      </c>
      <c r="P220" s="32"/>
      <c r="Q220" s="32"/>
      <c r="T220" s="32" t="str">
        <v>tengah</v>
      </c>
      <c r="U220" s="32"/>
      <c r="V220" s="32"/>
    </row>
    <row r="221" spans="5:22">
      <c r="E221" s="32" t="str">
        <v>kanan</v>
      </c>
      <c r="F221" s="32"/>
      <c r="G221" s="32"/>
      <c r="J221" s="32" t="str">
        <v>tengah</v>
      </c>
      <c r="K221" s="32"/>
      <c r="L221" s="32"/>
      <c r="O221" s="32" t="str">
        <v>kanan</v>
      </c>
      <c r="P221" s="32"/>
      <c r="Q221" s="32"/>
      <c r="T221" s="32" t="str">
        <v>kanan</v>
      </c>
      <c r="U221" s="32"/>
      <c r="V221" s="32"/>
    </row>
    <row r="222" spans="5:22">
      <c r="E222" s="32" t="str">
        <v>kiri</v>
      </c>
      <c r="F222" s="32"/>
      <c r="G222" s="32"/>
      <c r="J222" s="32" t="str">
        <v>tengah</v>
      </c>
      <c r="K222" s="32"/>
      <c r="L222" s="32"/>
      <c r="O222" s="32" t="str">
        <v>tengah</v>
      </c>
      <c r="P222" s="32"/>
      <c r="Q222" s="32"/>
      <c r="T222" s="32" t="str">
        <v>kanan</v>
      </c>
      <c r="U222" s="32"/>
      <c r="V222" s="32"/>
    </row>
    <row r="223" spans="5:22">
      <c r="E223" s="32" t="str">
        <v>kanan</v>
      </c>
      <c r="F223" s="32"/>
      <c r="G223" s="32"/>
      <c r="J223" s="32" t="str">
        <v>kanan</v>
      </c>
      <c r="K223" s="32"/>
      <c r="L223" s="32"/>
      <c r="O223" s="32" t="str">
        <v>tengah</v>
      </c>
      <c r="P223" s="32"/>
      <c r="Q223" s="32"/>
      <c r="T223" s="32" t="str">
        <v>tengah</v>
      </c>
      <c r="U223" s="32"/>
      <c r="V223" s="32"/>
    </row>
    <row r="224" spans="5:22">
      <c r="E224" s="32" t="str">
        <v>kanan</v>
      </c>
      <c r="F224" s="32"/>
      <c r="G224" s="32"/>
      <c r="J224" s="32" t="str">
        <v>kanan</v>
      </c>
      <c r="K224" s="32"/>
      <c r="L224" s="32"/>
      <c r="O224" s="32" t="str">
        <v>kiri</v>
      </c>
      <c r="P224" s="32"/>
      <c r="Q224" s="32"/>
      <c r="T224" s="32" t="str">
        <v>kanan</v>
      </c>
      <c r="U224" s="32"/>
      <c r="V224" s="32"/>
    </row>
    <row r="225" spans="5:22">
      <c r="E225" s="32" t="str">
        <v>tengah</v>
      </c>
      <c r="F225" s="32"/>
      <c r="G225" s="32"/>
      <c r="J225" s="32" t="str">
        <v>tengah</v>
      </c>
      <c r="K225" s="32"/>
      <c r="L225" s="32"/>
      <c r="O225" s="32" t="str">
        <v>kanan</v>
      </c>
      <c r="P225" s="32"/>
      <c r="Q225" s="32"/>
      <c r="T225" s="32" t="str">
        <v>tengah</v>
      </c>
      <c r="U225" s="32"/>
      <c r="V225" s="32"/>
    </row>
    <row r="226" spans="5:22">
      <c r="E226" s="32" t="str">
        <v>tengah</v>
      </c>
      <c r="F226" s="32"/>
      <c r="G226" s="32"/>
      <c r="J226" s="32" t="str">
        <v>kanan</v>
      </c>
      <c r="K226" s="32"/>
      <c r="L226" s="32"/>
      <c r="O226" s="32" t="str">
        <v>kiri</v>
      </c>
      <c r="P226" s="32"/>
      <c r="Q226" s="32"/>
      <c r="T226" s="32" t="str">
        <v>tengah</v>
      </c>
      <c r="U226" s="32"/>
      <c r="V226" s="32"/>
    </row>
    <row r="227" spans="5:22">
      <c r="E227" s="32" t="str">
        <v>tengah</v>
      </c>
      <c r="F227" s="32"/>
      <c r="G227" s="32"/>
      <c r="J227" s="32" t="str">
        <v>tengah</v>
      </c>
      <c r="K227" s="32"/>
      <c r="L227" s="32"/>
      <c r="O227" s="32" t="str">
        <v>kiri</v>
      </c>
      <c r="P227" s="32"/>
      <c r="Q227" s="32"/>
      <c r="T227" s="32" t="str">
        <v>kanan</v>
      </c>
      <c r="U227" s="32"/>
      <c r="V227" s="32"/>
    </row>
    <row r="228" spans="5:22">
      <c r="E228" s="32" t="str">
        <v>tengah</v>
      </c>
      <c r="F228" s="32"/>
      <c r="G228" s="32"/>
      <c r="J228" s="32" t="str">
        <v>kiri</v>
      </c>
      <c r="K228" s="32"/>
      <c r="L228" s="32"/>
      <c r="O228" s="32" t="str">
        <v>tengah</v>
      </c>
      <c r="P228" s="32"/>
      <c r="Q228" s="32"/>
      <c r="T228" s="32" t="str">
        <v>kanan</v>
      </c>
      <c r="U228" s="32"/>
      <c r="V228" s="32"/>
    </row>
    <row r="229" spans="5:22">
      <c r="E229" s="32" t="str">
        <v>kanan</v>
      </c>
      <c r="F229" s="32"/>
      <c r="G229" s="32"/>
      <c r="J229" s="32" t="str">
        <v>tengah</v>
      </c>
      <c r="K229" s="32"/>
      <c r="L229" s="32"/>
      <c r="O229" s="32" t="str">
        <v>tengah</v>
      </c>
      <c r="P229" s="32"/>
      <c r="Q229" s="32"/>
      <c r="T229" s="32" t="str">
        <v>tengah</v>
      </c>
      <c r="U229" s="32"/>
      <c r="V229" s="32"/>
    </row>
    <row r="230" spans="5:22">
      <c r="E230" s="32" t="str">
        <v>kiri</v>
      </c>
      <c r="F230" s="32"/>
      <c r="G230" s="32"/>
      <c r="J230" s="32" t="str">
        <v>kanan</v>
      </c>
      <c r="K230" s="32"/>
      <c r="L230" s="32"/>
      <c r="O230" s="32" t="str">
        <v>kiri</v>
      </c>
      <c r="P230" s="32"/>
      <c r="Q230" s="32"/>
      <c r="T230" s="32" t="str">
        <v>tengah</v>
      </c>
      <c r="U230" s="32"/>
      <c r="V230" s="32"/>
    </row>
    <row r="231" spans="5:22">
      <c r="E231" s="32" t="str">
        <v>kiri</v>
      </c>
      <c r="F231" s="32"/>
      <c r="G231" s="32"/>
      <c r="J231" s="32" t="str">
        <v>tengah</v>
      </c>
      <c r="K231" s="32"/>
      <c r="L231" s="32"/>
      <c r="O231" s="32" t="str">
        <v>tengah</v>
      </c>
      <c r="P231" s="32"/>
      <c r="Q231" s="32"/>
      <c r="T231" s="32" t="str">
        <v>tengah</v>
      </c>
      <c r="U231" s="32"/>
      <c r="V231" s="32"/>
    </row>
    <row r="232" spans="5:22">
      <c r="E232" s="32" t="str">
        <v>kiri</v>
      </c>
      <c r="F232" s="32"/>
      <c r="G232" s="32"/>
      <c r="J232" s="32" t="str">
        <v>tengah</v>
      </c>
      <c r="K232" s="32"/>
      <c r="L232" s="32"/>
      <c r="O232" s="32" t="str">
        <v>tengah</v>
      </c>
      <c r="P232" s="32"/>
      <c r="Q232" s="32"/>
      <c r="T232" s="32" t="str">
        <v>kanan</v>
      </c>
      <c r="U232" s="32"/>
      <c r="V232" s="32"/>
    </row>
    <row r="233" spans="5:22">
      <c r="E233" s="32" t="str">
        <v>tengah</v>
      </c>
      <c r="F233" s="32"/>
      <c r="G233" s="32"/>
      <c r="J233" s="32" t="str">
        <v>tengah</v>
      </c>
      <c r="K233" s="32"/>
      <c r="L233" s="32"/>
      <c r="O233" s="32" t="str">
        <v>tengah</v>
      </c>
      <c r="P233" s="32"/>
      <c r="Q233" s="32"/>
      <c r="T233" s="32" t="str">
        <v>kanan</v>
      </c>
      <c r="U233" s="32"/>
      <c r="V233" s="32"/>
    </row>
    <row r="234" spans="5:22">
      <c r="E234" s="32" t="str">
        <v>kanan</v>
      </c>
      <c r="F234" s="32"/>
      <c r="G234" s="32"/>
      <c r="J234" s="32" t="str">
        <v>kiri</v>
      </c>
      <c r="K234" s="32"/>
      <c r="L234" s="32"/>
      <c r="O234" s="32" t="str">
        <v>tengah</v>
      </c>
      <c r="P234" s="32"/>
      <c r="Q234" s="32"/>
      <c r="T234" s="32" t="str">
        <v>kanan</v>
      </c>
      <c r="U234" s="32"/>
      <c r="V234" s="32"/>
    </row>
    <row r="235" spans="5:22">
      <c r="E235" s="32" t="str">
        <v>kanan</v>
      </c>
      <c r="F235" s="32"/>
      <c r="G235" s="32"/>
      <c r="J235" s="32" t="str">
        <v>kanan</v>
      </c>
      <c r="K235" s="32"/>
      <c r="L235" s="32"/>
      <c r="O235" s="32" t="str">
        <v>tengah</v>
      </c>
      <c r="P235" s="32"/>
      <c r="Q235" s="32"/>
      <c r="T235" s="32" t="str">
        <v>kanan</v>
      </c>
      <c r="U235" s="32"/>
      <c r="V235" s="32"/>
    </row>
    <row r="236" spans="5:22">
      <c r="E236" s="32" t="str">
        <v>kiri</v>
      </c>
      <c r="F236" s="32"/>
      <c r="G236" s="32"/>
      <c r="J236" s="32" t="str">
        <v>kiri</v>
      </c>
      <c r="K236" s="32"/>
      <c r="L236" s="32"/>
      <c r="O236" s="32" t="str">
        <v>kanan</v>
      </c>
      <c r="P236" s="32"/>
      <c r="Q236" s="32"/>
      <c r="T236" s="32" t="str">
        <v>kanan</v>
      </c>
      <c r="U236" s="32"/>
      <c r="V236" s="32"/>
    </row>
    <row r="237" spans="5:22">
      <c r="E237" s="32" t="str">
        <v>kiri</v>
      </c>
      <c r="F237" s="32"/>
      <c r="G237" s="32"/>
      <c r="J237" s="32" t="str">
        <v>tengah</v>
      </c>
      <c r="K237" s="32"/>
      <c r="L237" s="32"/>
      <c r="O237" s="32" t="str">
        <v>tengah</v>
      </c>
      <c r="P237" s="32"/>
      <c r="Q237" s="32"/>
      <c r="T237" s="32" t="str">
        <v>tengah</v>
      </c>
      <c r="U237" s="32"/>
      <c r="V237" s="32"/>
    </row>
    <row r="238" spans="5:22">
      <c r="E238" s="32" t="str">
        <v>kiri</v>
      </c>
      <c r="F238" s="32"/>
      <c r="G238" s="32"/>
      <c r="J238" s="32" t="str">
        <v>tengah</v>
      </c>
      <c r="K238" s="32"/>
      <c r="L238" s="32"/>
      <c r="O238" s="32" t="str">
        <v>kanan</v>
      </c>
      <c r="P238" s="32"/>
      <c r="Q238" s="32"/>
      <c r="T238" s="32" t="str">
        <v>tengah</v>
      </c>
      <c r="U238" s="32"/>
      <c r="V238" s="32"/>
    </row>
    <row r="239" spans="5:22">
      <c r="E239" s="32" t="str">
        <v>kiri</v>
      </c>
      <c r="F239" s="32"/>
      <c r="G239" s="32"/>
      <c r="J239" s="32" t="str">
        <v>tengah</v>
      </c>
      <c r="K239" s="32"/>
      <c r="L239" s="32"/>
      <c r="O239" s="32" t="str">
        <v>tengah</v>
      </c>
      <c r="P239" s="32"/>
      <c r="Q239" s="32"/>
      <c r="T239" s="32" t="str">
        <v>kanan</v>
      </c>
      <c r="U239" s="32"/>
      <c r="V239" s="32"/>
    </row>
    <row r="240" spans="5:22">
      <c r="E240" s="32" t="str">
        <v>tengah</v>
      </c>
      <c r="F240" s="32"/>
      <c r="G240" s="32"/>
      <c r="J240" s="32" t="str">
        <v>tengah</v>
      </c>
      <c r="K240" s="32"/>
      <c r="L240" s="32"/>
      <c r="O240" s="32" t="str">
        <v>kanan</v>
      </c>
      <c r="P240" s="32"/>
      <c r="Q240" s="32"/>
      <c r="T240" s="32" t="str">
        <v>kanan</v>
      </c>
      <c r="U240" s="32"/>
      <c r="V240" s="32"/>
    </row>
    <row r="241" spans="5:22">
      <c r="E241" s="32" t="str">
        <v>tengah</v>
      </c>
      <c r="F241" s="32"/>
      <c r="G241" s="32"/>
      <c r="J241" s="32" t="str">
        <v>tengah</v>
      </c>
      <c r="K241" s="32"/>
      <c r="L241" s="32"/>
      <c r="O241" s="32" t="str">
        <v>kiri</v>
      </c>
      <c r="P241" s="32"/>
      <c r="Q241" s="32"/>
      <c r="T241" s="32" t="str">
        <v>kanan</v>
      </c>
      <c r="U241" s="32"/>
      <c r="V241" s="32"/>
    </row>
    <row r="242" spans="5:22">
      <c r="E242" s="32" t="str">
        <v>kiri</v>
      </c>
      <c r="F242" s="32"/>
      <c r="G242" s="32"/>
      <c r="J242" s="32" t="str">
        <v>tengah</v>
      </c>
      <c r="K242" s="32"/>
      <c r="L242" s="32"/>
      <c r="O242" s="32" t="str">
        <v>tengah</v>
      </c>
      <c r="P242" s="32"/>
      <c r="Q242" s="32"/>
      <c r="T242" s="32" t="str">
        <v>kanan</v>
      </c>
      <c r="U242" s="32"/>
      <c r="V242" s="32"/>
    </row>
    <row r="243" spans="5:22">
      <c r="E243" s="32" t="str">
        <v>tengah</v>
      </c>
      <c r="F243" s="32"/>
      <c r="G243" s="32"/>
      <c r="J243" s="32" t="str">
        <v>kanan</v>
      </c>
      <c r="K243" s="32"/>
      <c r="L243" s="32"/>
      <c r="O243" s="32" t="str">
        <v>kanan</v>
      </c>
      <c r="P243" s="32"/>
      <c r="Q243" s="32"/>
      <c r="T243" s="32" t="str">
        <v>tengah</v>
      </c>
      <c r="U243" s="32"/>
      <c r="V243" s="32"/>
    </row>
    <row r="244" spans="5:22">
      <c r="E244" s="32" t="str">
        <v>tengah</v>
      </c>
      <c r="F244" s="32"/>
      <c r="G244" s="32"/>
      <c r="J244" s="32" t="str">
        <v>kiri</v>
      </c>
      <c r="K244" s="32"/>
      <c r="L244" s="32"/>
      <c r="O244" s="32" t="str">
        <v>tengah</v>
      </c>
      <c r="P244" s="32"/>
      <c r="Q244" s="32"/>
      <c r="T244" s="32" t="str">
        <v>kanan</v>
      </c>
      <c r="U244" s="32"/>
      <c r="V244" s="32"/>
    </row>
    <row r="245" spans="5:22">
      <c r="E245" s="32" t="str">
        <v>tengah</v>
      </c>
      <c r="F245" s="32"/>
      <c r="G245" s="32"/>
      <c r="J245" s="32" t="str">
        <v>kiri</v>
      </c>
      <c r="K245" s="32"/>
      <c r="L245" s="32"/>
      <c r="O245" s="32" t="str">
        <v>tengah</v>
      </c>
      <c r="P245" s="32"/>
      <c r="Q245" s="32"/>
      <c r="T245" s="32" t="str">
        <v>kanan</v>
      </c>
      <c r="U245" s="32"/>
      <c r="V245" s="32"/>
    </row>
    <row r="246" spans="5:22">
      <c r="E246" s="32" t="str">
        <v>kanan</v>
      </c>
      <c r="F246" s="32"/>
      <c r="G246" s="32"/>
      <c r="J246" s="32" t="str">
        <v>kanan</v>
      </c>
      <c r="K246" s="32"/>
      <c r="L246" s="32"/>
      <c r="O246" s="32" t="str">
        <v>tengah</v>
      </c>
      <c r="P246" s="32"/>
      <c r="Q246" s="32"/>
      <c r="T246" s="32" t="str">
        <v>tengah</v>
      </c>
      <c r="U246" s="32"/>
      <c r="V246" s="32"/>
    </row>
    <row r="247" spans="5:22">
      <c r="E247" s="32" t="str">
        <v>kanan</v>
      </c>
      <c r="F247" s="32"/>
      <c r="G247" s="32"/>
      <c r="J247" s="32" t="str">
        <v>tengah</v>
      </c>
      <c r="K247" s="32"/>
      <c r="L247" s="32"/>
      <c r="O247" s="32" t="str">
        <v>kanan</v>
      </c>
      <c r="P247" s="32"/>
      <c r="Q247" s="32"/>
      <c r="T247" s="32" t="str">
        <v>kanan</v>
      </c>
      <c r="U247" s="32"/>
      <c r="V247" s="32"/>
    </row>
    <row r="248" spans="5:22">
      <c r="E248" s="32" t="str">
        <v>tengah</v>
      </c>
      <c r="F248" s="32"/>
      <c r="G248" s="32"/>
      <c r="J248" s="32" t="str">
        <v>tengah</v>
      </c>
      <c r="K248" s="32"/>
      <c r="L248" s="32"/>
      <c r="O248" s="32" t="str">
        <v>tengah</v>
      </c>
      <c r="P248" s="32"/>
      <c r="Q248" s="32"/>
      <c r="T248" s="32" t="str">
        <v>kanan</v>
      </c>
      <c r="U248" s="32"/>
      <c r="V248" s="32"/>
    </row>
    <row r="249" spans="5:22">
      <c r="E249" s="32" t="str">
        <v>kiri</v>
      </c>
      <c r="F249" s="32"/>
      <c r="G249" s="32"/>
      <c r="J249" s="32" t="str">
        <v>kanan</v>
      </c>
      <c r="K249" s="32"/>
      <c r="L249" s="32"/>
      <c r="O249" s="32" t="str">
        <v>kiri</v>
      </c>
      <c r="P249" s="32"/>
      <c r="Q249" s="32"/>
      <c r="T249" s="32" t="str">
        <v>tengah</v>
      </c>
      <c r="U249" s="32"/>
      <c r="V249" s="32"/>
    </row>
    <row r="250" spans="5:22">
      <c r="E250" s="32" t="str">
        <v>kiri</v>
      </c>
      <c r="F250" s="32"/>
      <c r="G250" s="32"/>
      <c r="J250" s="32" t="str">
        <v>tengah</v>
      </c>
      <c r="K250" s="32"/>
      <c r="L250" s="32"/>
      <c r="O250" s="32" t="str">
        <v>tengah</v>
      </c>
      <c r="P250" s="32"/>
      <c r="Q250" s="32"/>
      <c r="T250" s="32" t="str">
        <v>kanan</v>
      </c>
      <c r="U250" s="32"/>
      <c r="V250" s="32"/>
    </row>
    <row r="251" spans="5:22">
      <c r="E251" s="32" t="str">
        <v>tengah</v>
      </c>
      <c r="F251" s="32"/>
      <c r="G251" s="32"/>
      <c r="J251" s="32" t="str">
        <v>tengah</v>
      </c>
      <c r="K251" s="32"/>
      <c r="L251" s="32"/>
      <c r="O251" s="32" t="str">
        <v>kanan</v>
      </c>
      <c r="P251" s="32"/>
      <c r="Q251" s="32"/>
      <c r="T251" s="32" t="str">
        <v>kanan</v>
      </c>
      <c r="U251" s="32"/>
      <c r="V251" s="32"/>
    </row>
    <row r="252" spans="5:22">
      <c r="E252" s="32" t="str">
        <v>tengah</v>
      </c>
      <c r="F252" s="32"/>
      <c r="G252" s="32"/>
      <c r="J252" s="32" t="str">
        <v>tengah</v>
      </c>
      <c r="K252" s="32"/>
      <c r="L252" s="32"/>
      <c r="O252" s="32" t="str">
        <v>kiri</v>
      </c>
      <c r="P252" s="32"/>
      <c r="Q252" s="32"/>
      <c r="T252" s="32" t="str">
        <v>kanan</v>
      </c>
      <c r="U252" s="32"/>
      <c r="V252" s="32"/>
    </row>
    <row r="253" spans="5:22">
      <c r="E253" s="32" t="str">
        <v>tengah</v>
      </c>
      <c r="F253" s="32"/>
      <c r="G253" s="32"/>
      <c r="J253" s="32" t="str">
        <v>kanan</v>
      </c>
      <c r="K253" s="32"/>
      <c r="L253" s="32"/>
      <c r="O253" s="32" t="str">
        <v>tengah</v>
      </c>
      <c r="P253" s="32"/>
      <c r="Q253" s="32"/>
      <c r="T253" s="32" t="str">
        <v>kanan</v>
      </c>
      <c r="U253" s="32"/>
      <c r="V253" s="32"/>
    </row>
    <row r="254" spans="5:22">
      <c r="E254" s="32" t="str">
        <v>kiri</v>
      </c>
      <c r="F254" s="32"/>
      <c r="G254" s="32"/>
      <c r="J254" s="32" t="str">
        <v>tengah</v>
      </c>
      <c r="K254" s="32"/>
      <c r="L254" s="32"/>
      <c r="O254" s="32" t="str">
        <v>tengah</v>
      </c>
      <c r="P254" s="32"/>
      <c r="Q254" s="32"/>
      <c r="T254" s="32" t="str">
        <v>kanan</v>
      </c>
      <c r="U254" s="32"/>
      <c r="V254" s="32"/>
    </row>
    <row r="255" spans="5:22">
      <c r="E255" s="32" t="str">
        <v>tengah</v>
      </c>
      <c r="F255" s="32"/>
      <c r="G255" s="32"/>
      <c r="J255" s="32" t="str">
        <v>kanan</v>
      </c>
      <c r="K255" s="32"/>
      <c r="L255" s="32"/>
      <c r="O255" s="32" t="str">
        <v>kiri</v>
      </c>
      <c r="P255" s="32"/>
      <c r="Q255" s="32"/>
      <c r="T255" s="32" t="str">
        <v>kanan</v>
      </c>
      <c r="U255" s="32"/>
      <c r="V255" s="32"/>
    </row>
    <row r="256" spans="5:22">
      <c r="E256" s="32" t="str">
        <v>tengah</v>
      </c>
      <c r="F256" s="32"/>
      <c r="G256" s="32"/>
      <c r="J256" s="32" t="str">
        <v>tengah</v>
      </c>
      <c r="K256" s="32"/>
      <c r="L256" s="32"/>
      <c r="O256" s="32" t="str">
        <v>tengah</v>
      </c>
      <c r="P256" s="32"/>
      <c r="Q256" s="32"/>
      <c r="T256" s="32" t="str">
        <v>tengah</v>
      </c>
      <c r="U256" s="32"/>
      <c r="V256" s="32"/>
    </row>
    <row r="257" spans="5:22">
      <c r="E257" s="32" t="str">
        <v>tengah</v>
      </c>
      <c r="F257" s="32"/>
      <c r="G257" s="32"/>
      <c r="J257" s="32" t="str">
        <v>tengah</v>
      </c>
      <c r="K257" s="32"/>
      <c r="L257" s="32"/>
      <c r="O257" s="32" t="str">
        <v>kanan</v>
      </c>
      <c r="P257" s="32"/>
      <c r="Q257" s="32"/>
      <c r="T257" s="32" t="str">
        <v>tengah</v>
      </c>
      <c r="U257" s="32"/>
      <c r="V257" s="32"/>
    </row>
    <row r="258" spans="5:22">
      <c r="E258" s="32" t="str">
        <v>tengah</v>
      </c>
      <c r="F258" s="32"/>
      <c r="G258" s="32"/>
      <c r="J258" s="32" t="str">
        <v>kiri</v>
      </c>
      <c r="K258" s="32"/>
      <c r="L258" s="32"/>
      <c r="O258" s="32" t="str">
        <v>kiri</v>
      </c>
      <c r="P258" s="32"/>
      <c r="Q258" s="32"/>
      <c r="T258" s="32" t="str">
        <v>tengah</v>
      </c>
      <c r="U258" s="32"/>
      <c r="V258" s="32"/>
    </row>
    <row r="259" spans="5:22">
      <c r="E259" s="32" t="str">
        <v>tengah</v>
      </c>
      <c r="F259" s="32"/>
      <c r="G259" s="32"/>
      <c r="J259" s="32" t="str">
        <v>kanan</v>
      </c>
      <c r="K259" s="32"/>
      <c r="L259" s="32"/>
      <c r="O259" s="32" t="str">
        <v>tengah</v>
      </c>
      <c r="P259" s="32"/>
      <c r="Q259" s="32"/>
      <c r="T259" s="32" t="str">
        <v>kanan</v>
      </c>
      <c r="U259" s="32"/>
      <c r="V259" s="32"/>
    </row>
    <row r="260" spans="5:22">
      <c r="E260" s="32" t="str">
        <v>tengah</v>
      </c>
      <c r="F260" s="32"/>
      <c r="G260" s="32"/>
      <c r="J260" s="32" t="str">
        <v>kiri</v>
      </c>
      <c r="K260" s="32"/>
      <c r="L260" s="32"/>
      <c r="O260" s="32" t="str">
        <v>tengah</v>
      </c>
      <c r="P260" s="32"/>
      <c r="Q260" s="32"/>
      <c r="T260" s="32" t="str">
        <v>tengah</v>
      </c>
      <c r="U260" s="32"/>
      <c r="V260" s="32"/>
    </row>
    <row r="261" spans="5:22">
      <c r="E261" s="32" t="str">
        <v>tengah</v>
      </c>
      <c r="F261" s="32"/>
      <c r="G261" s="32"/>
      <c r="J261" s="32" t="str">
        <v>kiri</v>
      </c>
      <c r="K261" s="32"/>
      <c r="L261" s="32"/>
      <c r="O261" s="32" t="str">
        <v>kiri</v>
      </c>
      <c r="P261" s="32"/>
      <c r="Q261" s="32"/>
      <c r="T261" s="32" t="str">
        <v>tengah</v>
      </c>
      <c r="U261" s="32"/>
      <c r="V261" s="32"/>
    </row>
    <row r="262" spans="5:22">
      <c r="E262" s="32" t="str">
        <v>tengah</v>
      </c>
      <c r="F262" s="32"/>
      <c r="G262" s="32"/>
      <c r="J262" s="32" t="str">
        <v>tengah</v>
      </c>
      <c r="K262" s="32"/>
      <c r="L262" s="32"/>
      <c r="O262" s="32" t="str">
        <v>tengah</v>
      </c>
      <c r="P262" s="32"/>
      <c r="Q262" s="32"/>
      <c r="T262" s="32" t="str">
        <v>tengah</v>
      </c>
      <c r="U262" s="32"/>
      <c r="V262" s="32"/>
    </row>
    <row r="263" spans="5:22">
      <c r="E263" s="32" t="str">
        <v>kanan</v>
      </c>
      <c r="F263" s="32"/>
      <c r="G263" s="32"/>
      <c r="J263" s="32" t="str">
        <v>tengah</v>
      </c>
      <c r="K263" s="32"/>
      <c r="L263" s="32"/>
      <c r="O263" s="32" t="str">
        <v>kanan</v>
      </c>
      <c r="P263" s="32"/>
      <c r="Q263" s="32"/>
      <c r="T263" s="32" t="str">
        <v>kanan</v>
      </c>
      <c r="U263" s="32"/>
      <c r="V263" s="32"/>
    </row>
    <row r="264" spans="5:22">
      <c r="E264" s="32" t="str">
        <v>tengah</v>
      </c>
      <c r="F264" s="32"/>
      <c r="G264" s="32"/>
      <c r="J264" s="32" t="str">
        <v>tengah</v>
      </c>
      <c r="K264" s="32"/>
      <c r="L264" s="32"/>
      <c r="O264" s="32" t="str">
        <v>kiri</v>
      </c>
      <c r="P264" s="32"/>
      <c r="Q264" s="32"/>
      <c r="T264" s="32" t="str">
        <v>kanan</v>
      </c>
      <c r="U264" s="32"/>
      <c r="V264" s="32"/>
    </row>
    <row r="265" spans="5:22">
      <c r="E265" s="32" t="str">
        <v>kanan</v>
      </c>
      <c r="F265" s="32"/>
      <c r="G265" s="32"/>
      <c r="J265" s="32" t="str">
        <v>tengah</v>
      </c>
      <c r="K265" s="32"/>
      <c r="L265" s="32"/>
      <c r="O265" s="32" t="str">
        <v>tengah</v>
      </c>
      <c r="P265" s="32"/>
      <c r="Q265" s="32"/>
      <c r="T265" s="32" t="str">
        <v>tengah</v>
      </c>
      <c r="U265" s="32"/>
      <c r="V265" s="32"/>
    </row>
    <row r="266" spans="5:22">
      <c r="E266" s="32" t="str">
        <v>kiri</v>
      </c>
      <c r="F266" s="32"/>
      <c r="G266" s="32"/>
      <c r="J266" s="32" t="str">
        <v>tengah</v>
      </c>
      <c r="K266" s="32"/>
      <c r="L266" s="32"/>
      <c r="O266" s="32" t="str">
        <v>tengah</v>
      </c>
      <c r="P266" s="32"/>
      <c r="Q266" s="32"/>
      <c r="T266" s="32" t="str">
        <v>kanan</v>
      </c>
      <c r="U266" s="32"/>
      <c r="V266" s="32"/>
    </row>
    <row r="267" spans="5:22">
      <c r="E267" s="32" t="str">
        <v>tengah</v>
      </c>
      <c r="F267" s="32"/>
      <c r="G267" s="32"/>
      <c r="J267" s="32" t="str">
        <v>kanan</v>
      </c>
      <c r="K267" s="32"/>
      <c r="L267" s="32"/>
      <c r="O267" s="32" t="str">
        <v>tengah</v>
      </c>
      <c r="P267" s="32"/>
      <c r="Q267" s="32"/>
      <c r="T267" s="32" t="str">
        <v>tengah</v>
      </c>
      <c r="U267" s="32"/>
      <c r="V267" s="32"/>
    </row>
    <row r="268" spans="5:22">
      <c r="E268" s="32" t="str">
        <v>tengah</v>
      </c>
      <c r="F268" s="32"/>
      <c r="G268" s="32"/>
      <c r="J268" s="32" t="str">
        <v>kiri</v>
      </c>
      <c r="K268" s="32"/>
      <c r="L268" s="32"/>
      <c r="O268" s="32" t="str">
        <v>tengah</v>
      </c>
      <c r="P268" s="32"/>
      <c r="Q268" s="32"/>
      <c r="T268" s="32" t="str">
        <v>kanan</v>
      </c>
      <c r="U268" s="32"/>
      <c r="V268" s="32"/>
    </row>
    <row r="269" spans="5:22">
      <c r="E269" s="32" t="str">
        <v>tengah</v>
      </c>
      <c r="F269" s="32"/>
      <c r="G269" s="32"/>
      <c r="J269" s="32" t="str">
        <v>kanan</v>
      </c>
      <c r="K269" s="32"/>
      <c r="L269" s="32"/>
      <c r="O269" s="32" t="str">
        <v>tengah</v>
      </c>
      <c r="P269" s="32"/>
      <c r="Q269" s="32"/>
      <c r="T269" s="32" t="str">
        <v>kanan</v>
      </c>
      <c r="U269" s="32"/>
      <c r="V269" s="32"/>
    </row>
    <row r="270" spans="5:22">
      <c r="E270" s="32" t="str">
        <v>kanan</v>
      </c>
      <c r="F270" s="32"/>
      <c r="G270" s="32"/>
      <c r="J270" s="32" t="str">
        <v>kanan</v>
      </c>
      <c r="K270" s="32"/>
      <c r="L270" s="32"/>
      <c r="O270" s="32" t="str">
        <v>tengah</v>
      </c>
      <c r="P270" s="32"/>
      <c r="Q270" s="32"/>
      <c r="T270" s="32" t="str">
        <v>kanan</v>
      </c>
      <c r="U270" s="32"/>
      <c r="V270" s="32"/>
    </row>
    <row r="271" spans="5:22">
      <c r="E271" s="32" t="str">
        <v>kiri</v>
      </c>
      <c r="F271" s="32"/>
      <c r="G271" s="32"/>
      <c r="J271" s="32" t="str">
        <v>tengah</v>
      </c>
      <c r="K271" s="32"/>
      <c r="L271" s="32"/>
      <c r="O271" s="32" t="str">
        <v>tengah</v>
      </c>
      <c r="P271" s="32"/>
      <c r="Q271" s="32"/>
      <c r="T271" s="32" t="str">
        <v>tengah</v>
      </c>
      <c r="U271" s="32"/>
      <c r="V271" s="32"/>
    </row>
    <row r="272" spans="5:22">
      <c r="E272" s="32" t="str">
        <v>kiri</v>
      </c>
      <c r="F272" s="32"/>
      <c r="G272" s="32"/>
      <c r="J272" s="32" t="str">
        <v>tengah</v>
      </c>
      <c r="K272" s="32"/>
      <c r="L272" s="32"/>
      <c r="O272" s="32" t="str">
        <v>tengah</v>
      </c>
      <c r="P272" s="32"/>
      <c r="Q272" s="32"/>
      <c r="T272" s="32" t="str">
        <v>tengah</v>
      </c>
      <c r="U272" s="32"/>
      <c r="V272" s="32"/>
    </row>
    <row r="273" spans="5:22">
      <c r="E273" s="32" t="str">
        <v>kiri</v>
      </c>
      <c r="F273" s="32"/>
      <c r="G273" s="32"/>
      <c r="J273" s="32" t="str">
        <v>kiri</v>
      </c>
      <c r="K273" s="32"/>
      <c r="L273" s="32"/>
      <c r="O273" s="32" t="str">
        <v>tengah</v>
      </c>
      <c r="P273" s="32"/>
      <c r="Q273" s="32"/>
      <c r="T273" s="32" t="str">
        <v>tengah</v>
      </c>
      <c r="U273" s="32"/>
      <c r="V273" s="32"/>
    </row>
    <row r="274" spans="5:22">
      <c r="E274" s="32" t="str">
        <v>tengah</v>
      </c>
      <c r="F274" s="32"/>
      <c r="G274" s="32"/>
      <c r="J274" s="32" t="str">
        <v>tengah</v>
      </c>
      <c r="K274" s="32"/>
      <c r="L274" s="32"/>
      <c r="O274" s="32" t="str">
        <v>tengah</v>
      </c>
      <c r="P274" s="32"/>
      <c r="Q274" s="32"/>
      <c r="T274" s="32" t="str">
        <v>tengah</v>
      </c>
      <c r="U274" s="32"/>
      <c r="V274" s="32"/>
    </row>
    <row r="275" spans="5:22">
      <c r="E275" s="32" t="str">
        <v>kiri</v>
      </c>
      <c r="F275" s="32"/>
      <c r="G275" s="32"/>
      <c r="J275" s="32" t="str">
        <v>kiri</v>
      </c>
      <c r="K275" s="32"/>
      <c r="L275" s="32"/>
      <c r="O275" s="32" t="str">
        <v>kanan</v>
      </c>
      <c r="P275" s="32"/>
      <c r="Q275" s="32"/>
      <c r="T275" s="32" t="str">
        <v>tengah</v>
      </c>
      <c r="U275" s="32"/>
      <c r="V275" s="32"/>
    </row>
    <row r="276" spans="5:22">
      <c r="E276" s="32" t="str">
        <v>kiri</v>
      </c>
      <c r="F276" s="32"/>
      <c r="G276" s="32"/>
      <c r="J276" s="32" t="str">
        <v>kiri</v>
      </c>
      <c r="K276" s="32"/>
      <c r="L276" s="32"/>
      <c r="O276" s="32" t="str">
        <v>tengah</v>
      </c>
      <c r="P276" s="32"/>
      <c r="Q276" s="32"/>
      <c r="T276" s="32" t="str">
        <v>tengah</v>
      </c>
      <c r="U276" s="32"/>
      <c r="V276" s="32"/>
    </row>
    <row r="277" spans="5:22">
      <c r="E277" s="32" t="str">
        <v>tengah</v>
      </c>
      <c r="F277" s="32"/>
      <c r="G277" s="32"/>
      <c r="J277" s="32" t="str">
        <v>tengah</v>
      </c>
      <c r="K277" s="32"/>
      <c r="L277" s="32"/>
      <c r="O277" s="32" t="str">
        <v>tengah</v>
      </c>
      <c r="P277" s="32"/>
      <c r="Q277" s="32"/>
      <c r="T277" s="32" t="str">
        <v>kanan</v>
      </c>
      <c r="U277" s="32"/>
      <c r="V277" s="32"/>
    </row>
    <row r="278" spans="5:22">
      <c r="E278" s="32" t="str">
        <v>tengah</v>
      </c>
      <c r="F278" s="32"/>
      <c r="G278" s="32"/>
      <c r="J278" s="32" t="str">
        <v>tengah</v>
      </c>
      <c r="K278" s="32"/>
      <c r="L278" s="32"/>
      <c r="O278" s="32" t="str">
        <v>kiri</v>
      </c>
      <c r="P278" s="32"/>
      <c r="Q278" s="32"/>
      <c r="T278" s="32" t="str">
        <v>kanan</v>
      </c>
      <c r="U278" s="32"/>
      <c r="V278" s="32"/>
    </row>
    <row r="279" spans="5:22">
      <c r="E279" s="32" t="str">
        <v>tengah</v>
      </c>
      <c r="F279" s="32"/>
      <c r="G279" s="32"/>
      <c r="J279" s="32" t="str">
        <v>kiri</v>
      </c>
      <c r="K279" s="32"/>
      <c r="L279" s="32"/>
      <c r="O279" s="32" t="str">
        <v>tengah</v>
      </c>
      <c r="P279" s="32"/>
      <c r="Q279" s="32"/>
      <c r="T279" s="32" t="str">
        <v>kanan</v>
      </c>
      <c r="U279" s="32"/>
      <c r="V279" s="32"/>
    </row>
    <row r="280" spans="5:22">
      <c r="E280" s="32" t="str">
        <v>kanan</v>
      </c>
      <c r="F280" s="32"/>
      <c r="G280" s="32"/>
      <c r="J280" s="32" t="str">
        <v>kanan</v>
      </c>
      <c r="K280" s="32"/>
      <c r="L280" s="32"/>
      <c r="O280" s="32" t="str">
        <v>tengah</v>
      </c>
      <c r="P280" s="32"/>
      <c r="Q280" s="32"/>
      <c r="T280" s="32" t="str">
        <v>kanan</v>
      </c>
      <c r="U280" s="32"/>
      <c r="V280" s="32"/>
    </row>
    <row r="281" spans="5:22">
      <c r="E281" s="32" t="str">
        <v>kiri</v>
      </c>
      <c r="F281" s="32"/>
      <c r="G281" s="32"/>
      <c r="J281" s="32" t="str">
        <v>kiri</v>
      </c>
      <c r="K281" s="32"/>
      <c r="L281" s="32"/>
      <c r="O281" s="32" t="str">
        <v>kanan</v>
      </c>
      <c r="P281" s="32"/>
      <c r="Q281" s="32"/>
      <c r="T281" s="32" t="str">
        <v>tengah</v>
      </c>
      <c r="U281" s="32"/>
      <c r="V281" s="32"/>
    </row>
    <row r="282" spans="5:22">
      <c r="E282" s="32" t="str">
        <v>tengah</v>
      </c>
      <c r="F282" s="32"/>
      <c r="G282" s="32"/>
      <c r="J282" s="32" t="str">
        <v>kanan</v>
      </c>
      <c r="K282" s="32"/>
      <c r="L282" s="32"/>
      <c r="O282" s="32" t="str">
        <v>kiri</v>
      </c>
      <c r="P282" s="32"/>
      <c r="Q282" s="32"/>
      <c r="T282" s="32" t="str">
        <v>tengah</v>
      </c>
      <c r="U282" s="32"/>
      <c r="V282" s="32"/>
    </row>
    <row r="283" spans="5:22">
      <c r="E283" s="32" t="str">
        <v>tengah</v>
      </c>
      <c r="F283" s="32"/>
      <c r="G283" s="32"/>
      <c r="J283" s="32" t="str">
        <v>tengah</v>
      </c>
      <c r="K283" s="32"/>
      <c r="L283" s="32"/>
      <c r="O283" s="32" t="str">
        <v>tengah</v>
      </c>
      <c r="P283" s="32"/>
      <c r="Q283" s="32"/>
      <c r="T283" s="32" t="str">
        <v>tengah</v>
      </c>
      <c r="U283" s="32"/>
      <c r="V283" s="32"/>
    </row>
    <row r="284" spans="5:22">
      <c r="E284" s="32" t="str">
        <v>tengah</v>
      </c>
      <c r="F284" s="32"/>
      <c r="G284" s="32"/>
      <c r="J284" s="32" t="str">
        <v>tengah</v>
      </c>
      <c r="K284" s="32"/>
      <c r="L284" s="32"/>
      <c r="O284" s="32" t="str">
        <v>tengah</v>
      </c>
      <c r="P284" s="32"/>
      <c r="Q284" s="32"/>
      <c r="T284" s="32" t="str">
        <v>kanan</v>
      </c>
      <c r="U284" s="32"/>
      <c r="V284" s="32"/>
    </row>
    <row r="285" spans="5:22">
      <c r="E285" s="32" t="str">
        <v>kiri</v>
      </c>
      <c r="F285" s="32"/>
      <c r="G285" s="32"/>
      <c r="J285" s="32" t="str">
        <v>kiri</v>
      </c>
      <c r="K285" s="32"/>
      <c r="L285" s="32"/>
      <c r="O285" s="32" t="str">
        <v>kiri</v>
      </c>
      <c r="P285" s="32"/>
      <c r="Q285" s="32"/>
      <c r="T285" s="32" t="str">
        <v>kanan</v>
      </c>
      <c r="U285" s="32"/>
      <c r="V285" s="32"/>
    </row>
    <row r="286" spans="5:22">
      <c r="E286" s="32" t="str">
        <v>kanan</v>
      </c>
      <c r="F286" s="32"/>
      <c r="G286" s="32"/>
      <c r="J286" s="32" t="str">
        <v>tengah</v>
      </c>
      <c r="K286" s="32"/>
      <c r="L286" s="32"/>
      <c r="O286" s="32" t="str">
        <v>tengah</v>
      </c>
      <c r="P286" s="32"/>
      <c r="Q286" s="32"/>
      <c r="T286" s="32" t="str">
        <v>tengah</v>
      </c>
      <c r="U286" s="32"/>
      <c r="V286" s="32"/>
    </row>
    <row r="287" spans="5:22">
      <c r="E287" s="32" t="str">
        <v>tengah</v>
      </c>
      <c r="F287" s="32"/>
      <c r="G287" s="32"/>
      <c r="J287" s="32" t="str">
        <v>tengah</v>
      </c>
      <c r="K287" s="32"/>
      <c r="L287" s="32"/>
      <c r="O287" s="32" t="str">
        <v>kiri</v>
      </c>
      <c r="P287" s="32"/>
      <c r="Q287" s="32"/>
      <c r="T287" s="32" t="str">
        <v>tengah</v>
      </c>
      <c r="U287" s="32"/>
      <c r="V287" s="32"/>
    </row>
    <row r="288" spans="5:22">
      <c r="E288" s="32" t="str">
        <v>kanan</v>
      </c>
      <c r="F288" s="32"/>
      <c r="G288" s="32"/>
      <c r="J288" s="32" t="str">
        <v>kanan</v>
      </c>
      <c r="K288" s="32"/>
      <c r="L288" s="32"/>
      <c r="O288" s="32" t="str">
        <v>tengah</v>
      </c>
      <c r="P288" s="32"/>
      <c r="Q288" s="32"/>
      <c r="T288" s="32" t="str">
        <v>tengah</v>
      </c>
      <c r="U288" s="32"/>
      <c r="V288" s="32"/>
    </row>
    <row r="289" spans="5:22">
      <c r="E289" s="32" t="str">
        <v>tengah</v>
      </c>
      <c r="F289" s="32"/>
      <c r="G289" s="32"/>
      <c r="J289" s="32" t="str">
        <v>kanan</v>
      </c>
      <c r="K289" s="32"/>
      <c r="L289" s="32"/>
      <c r="O289" s="32" t="str">
        <v>tengah</v>
      </c>
      <c r="P289" s="32"/>
      <c r="Q289" s="32"/>
      <c r="T289" s="32" t="str">
        <v>tengah</v>
      </c>
      <c r="U289" s="32"/>
      <c r="V289" s="32"/>
    </row>
    <row r="290" spans="5:22">
      <c r="E290" s="32" t="str">
        <v>tengah</v>
      </c>
      <c r="F290" s="32"/>
      <c r="G290" s="32"/>
      <c r="J290" s="32" t="str">
        <v>kanan</v>
      </c>
      <c r="K290" s="32"/>
      <c r="L290" s="32"/>
      <c r="O290" s="32" t="str">
        <v>tengah</v>
      </c>
      <c r="P290" s="32"/>
      <c r="Q290" s="32"/>
      <c r="T290" s="32" t="str">
        <v>kanan</v>
      </c>
      <c r="U290" s="32"/>
      <c r="V290" s="32"/>
    </row>
    <row r="291" spans="5:22">
      <c r="E291" s="32" t="str">
        <v>kiri</v>
      </c>
      <c r="F291" s="32"/>
      <c r="G291" s="32"/>
      <c r="J291" s="32" t="str">
        <v>kanan</v>
      </c>
      <c r="K291" s="32"/>
      <c r="L291" s="32"/>
      <c r="O291" s="32" t="str">
        <v>kiri</v>
      </c>
      <c r="P291" s="32"/>
      <c r="Q291" s="32"/>
      <c r="T291" s="32" t="str">
        <v>kanan</v>
      </c>
      <c r="U291" s="32"/>
      <c r="V291" s="32"/>
    </row>
    <row r="292" spans="5:22">
      <c r="E292" s="32" t="str">
        <v>kiri</v>
      </c>
      <c r="F292" s="32"/>
      <c r="G292" s="32"/>
      <c r="J292" s="32" t="str">
        <v>tengah</v>
      </c>
      <c r="K292" s="32"/>
      <c r="L292" s="32"/>
      <c r="O292" s="32" t="str">
        <v>kiri</v>
      </c>
      <c r="P292" s="32"/>
      <c r="Q292" s="32"/>
      <c r="T292" s="32" t="str">
        <v>tengah</v>
      </c>
      <c r="U292" s="32"/>
      <c r="V292" s="32"/>
    </row>
    <row r="293" spans="5:22">
      <c r="E293" s="32" t="str">
        <v>tengah</v>
      </c>
      <c r="F293" s="32"/>
      <c r="G293" s="32"/>
      <c r="J293" s="32" t="str">
        <v>kiri</v>
      </c>
      <c r="K293" s="32"/>
      <c r="L293" s="32"/>
      <c r="O293" s="32" t="str">
        <v>tengah</v>
      </c>
      <c r="P293" s="32"/>
      <c r="Q293" s="32"/>
      <c r="T293" s="32" t="str">
        <v>tengah</v>
      </c>
      <c r="U293" s="32"/>
      <c r="V293" s="32"/>
    </row>
    <row r="294" spans="5:22">
      <c r="E294" s="32" t="str">
        <v>kiri</v>
      </c>
      <c r="F294" s="32"/>
      <c r="G294" s="32"/>
      <c r="J294" s="32" t="str">
        <v>tengah</v>
      </c>
      <c r="K294" s="32"/>
      <c r="L294" s="32"/>
      <c r="O294" s="32" t="str">
        <v>tengah</v>
      </c>
      <c r="P294" s="32"/>
      <c r="Q294" s="32"/>
      <c r="T294" s="32" t="str">
        <v>kanan</v>
      </c>
      <c r="U294" s="32"/>
      <c r="V294" s="32"/>
    </row>
    <row r="295" spans="5:22">
      <c r="E295" s="32" t="str">
        <v>kiri</v>
      </c>
      <c r="F295" s="32"/>
      <c r="G295" s="32"/>
      <c r="J295" s="32" t="str">
        <v>tengah</v>
      </c>
      <c r="K295" s="32"/>
      <c r="L295" s="32"/>
      <c r="O295" s="32" t="str">
        <v>tengah</v>
      </c>
      <c r="P295" s="32"/>
      <c r="Q295" s="32"/>
      <c r="T295" s="32" t="str">
        <v>tengah</v>
      </c>
      <c r="U295" s="32"/>
      <c r="V295" s="32"/>
    </row>
    <row r="296" spans="5:22">
      <c r="E296" s="32" t="str">
        <v>tengah</v>
      </c>
      <c r="F296" s="32"/>
      <c r="G296" s="32"/>
      <c r="J296" s="32" t="str">
        <v>kiri</v>
      </c>
      <c r="K296" s="32"/>
      <c r="L296" s="32"/>
      <c r="O296" s="32" t="str">
        <v>tengah</v>
      </c>
      <c r="P296" s="32"/>
      <c r="Q296" s="32"/>
      <c r="T296" s="32" t="str">
        <v>tengah</v>
      </c>
      <c r="U296" s="32"/>
      <c r="V296" s="32"/>
    </row>
    <row r="297" spans="5:22">
      <c r="E297" s="32" t="str">
        <v>tengah</v>
      </c>
      <c r="F297" s="32"/>
      <c r="G297" s="32"/>
      <c r="J297" s="32" t="str">
        <v>kiri</v>
      </c>
      <c r="K297" s="32"/>
      <c r="L297" s="32"/>
      <c r="O297" s="32" t="str">
        <v>kanan</v>
      </c>
      <c r="P297" s="32"/>
      <c r="Q297" s="32"/>
      <c r="T297" s="32" t="str">
        <v>kanan</v>
      </c>
      <c r="U297" s="32"/>
      <c r="V297" s="32"/>
    </row>
    <row r="298" spans="5:22">
      <c r="E298" s="32" t="str">
        <v>kiri</v>
      </c>
      <c r="F298" s="32"/>
      <c r="G298" s="32"/>
      <c r="J298" s="32" t="str">
        <v>tengah</v>
      </c>
      <c r="K298" s="32"/>
      <c r="L298" s="32"/>
      <c r="O298" s="32" t="str">
        <v>tengah</v>
      </c>
      <c r="P298" s="32"/>
      <c r="Q298" s="32"/>
      <c r="T298" s="32" t="str">
        <v>tengah</v>
      </c>
      <c r="U298" s="32"/>
      <c r="V298" s="32"/>
    </row>
    <row r="299" spans="5:22">
      <c r="E299" s="32" t="str">
        <v>tengah</v>
      </c>
      <c r="F299" s="32"/>
      <c r="G299" s="32"/>
      <c r="J299" s="32" t="str">
        <v>kiri</v>
      </c>
      <c r="K299" s="32"/>
      <c r="L299" s="32"/>
      <c r="O299" s="32" t="str">
        <v>kiri</v>
      </c>
      <c r="P299" s="32"/>
      <c r="Q299" s="32"/>
      <c r="T299" s="32" t="str">
        <v>kanan</v>
      </c>
      <c r="U299" s="32"/>
      <c r="V299" s="32"/>
    </row>
    <row r="300" spans="5:22">
      <c r="E300" s="32" t="str">
        <v>tengah</v>
      </c>
      <c r="F300" s="32"/>
      <c r="G300" s="32"/>
      <c r="J300" s="32" t="str">
        <v>kiri</v>
      </c>
      <c r="K300" s="32"/>
      <c r="L300" s="32"/>
      <c r="O300" s="32" t="str">
        <v>tengah</v>
      </c>
      <c r="P300" s="32"/>
      <c r="Q300" s="32"/>
      <c r="T300" s="32" t="str">
        <v>kanan</v>
      </c>
      <c r="U300" s="32"/>
      <c r="V300" s="32"/>
    </row>
    <row r="301" spans="5:22">
      <c r="E301" s="32" t="str">
        <v>kiri</v>
      </c>
      <c r="F301" s="32"/>
      <c r="G301" s="32"/>
      <c r="J301" s="32" t="str">
        <v>kiri</v>
      </c>
      <c r="K301" s="32"/>
      <c r="L301" s="32"/>
      <c r="O301" s="32" t="str">
        <v>kanan</v>
      </c>
      <c r="P301" s="32"/>
      <c r="Q301" s="32"/>
      <c r="T301" s="32" t="str">
        <v>kanan</v>
      </c>
      <c r="U301" s="32"/>
      <c r="V301" s="32"/>
    </row>
    <row r="302" spans="5:22">
      <c r="E302" s="32" t="str">
        <v>kanan</v>
      </c>
      <c r="F302" s="32"/>
      <c r="G302" s="32"/>
      <c r="J302" s="32" t="str">
        <v>kanan</v>
      </c>
      <c r="K302" s="32"/>
      <c r="L302" s="32"/>
      <c r="O302" s="32" t="str">
        <v>tengah</v>
      </c>
      <c r="P302" s="32"/>
      <c r="Q302" s="32"/>
      <c r="T302" s="32" t="str">
        <v>kanan</v>
      </c>
      <c r="U302" s="32"/>
      <c r="V302" s="32"/>
    </row>
    <row r="303" spans="5:22">
      <c r="E303" s="32" t="str">
        <v>kiri</v>
      </c>
      <c r="F303" s="32"/>
      <c r="G303" s="32"/>
      <c r="J303" s="32" t="str">
        <v>tengah</v>
      </c>
      <c r="K303" s="32"/>
      <c r="L303" s="32"/>
      <c r="O303" s="32" t="str">
        <v>tengah</v>
      </c>
      <c r="P303" s="32"/>
      <c r="Q303" s="32"/>
      <c r="T303" s="32" t="str">
        <v>tengah</v>
      </c>
      <c r="U303" s="32"/>
      <c r="V303" s="32"/>
    </row>
    <row r="304" spans="5:22">
      <c r="E304" s="32" t="str">
        <v>kiri</v>
      </c>
      <c r="F304" s="32"/>
      <c r="G304" s="32"/>
      <c r="J304" s="32" t="str">
        <v>tengah</v>
      </c>
      <c r="K304" s="32"/>
      <c r="L304" s="32"/>
      <c r="O304" s="32" t="str">
        <v>tengah</v>
      </c>
      <c r="P304" s="32"/>
      <c r="Q304" s="32"/>
      <c r="T304" s="32" t="str">
        <v>kanan</v>
      </c>
      <c r="U304" s="32"/>
      <c r="V304" s="32"/>
    </row>
    <row r="305" spans="5:22">
      <c r="E305" s="32" t="str">
        <v>kiri</v>
      </c>
      <c r="F305" s="32"/>
      <c r="G305" s="32"/>
      <c r="J305" s="32" t="str">
        <v>tengah</v>
      </c>
      <c r="K305" s="32"/>
      <c r="L305" s="32"/>
      <c r="O305" s="32" t="str">
        <v>tengah</v>
      </c>
      <c r="P305" s="32"/>
      <c r="Q305" s="32"/>
      <c r="T305" s="32" t="str">
        <v>kanan</v>
      </c>
      <c r="U305" s="32"/>
      <c r="V305" s="32"/>
    </row>
    <row r="306" spans="5:22">
      <c r="E306" s="32" t="str">
        <v>kanan</v>
      </c>
      <c r="F306" s="32"/>
      <c r="G306" s="32"/>
      <c r="J306" s="32" t="str">
        <v>tengah</v>
      </c>
      <c r="K306" s="32"/>
      <c r="L306" s="32"/>
      <c r="O306" s="32" t="str">
        <v>kanan</v>
      </c>
      <c r="P306" s="32"/>
      <c r="Q306" s="32"/>
      <c r="T306" s="32" t="str">
        <v>kanan</v>
      </c>
      <c r="U306" s="32"/>
      <c r="V306" s="32"/>
    </row>
    <row r="307" spans="5:22">
      <c r="E307" s="32" t="str">
        <v>tengah</v>
      </c>
      <c r="F307" s="32"/>
      <c r="G307" s="32"/>
      <c r="J307" s="32" t="str">
        <v>kanan</v>
      </c>
      <c r="K307" s="32"/>
      <c r="L307" s="32"/>
      <c r="O307" s="32" t="str">
        <v>tengah</v>
      </c>
      <c r="P307" s="32"/>
      <c r="Q307" s="32"/>
      <c r="T307" s="32" t="str">
        <v>tengah</v>
      </c>
      <c r="U307" s="32"/>
      <c r="V307" s="32"/>
    </row>
    <row r="308" spans="5:22">
      <c r="E308" s="32" t="str">
        <v>kanan</v>
      </c>
      <c r="F308" s="32"/>
      <c r="G308" s="32"/>
      <c r="J308" s="32" t="str">
        <v>tengah</v>
      </c>
      <c r="K308" s="32"/>
      <c r="L308" s="32"/>
      <c r="O308" s="32" t="str">
        <v>tengah</v>
      </c>
      <c r="P308" s="32"/>
      <c r="Q308" s="32"/>
      <c r="T308" s="32" t="str">
        <v>tengah</v>
      </c>
      <c r="U308" s="32"/>
      <c r="V308" s="32"/>
    </row>
    <row r="309" spans="5:22">
      <c r="E309" s="32" t="str">
        <v>tengah</v>
      </c>
      <c r="F309" s="32"/>
      <c r="G309" s="32"/>
      <c r="J309" s="32" t="str">
        <v>kanan</v>
      </c>
      <c r="K309" s="32"/>
      <c r="L309" s="32"/>
      <c r="O309" s="32" t="str">
        <v>tengah</v>
      </c>
      <c r="P309" s="32"/>
      <c r="Q309" s="32"/>
      <c r="T309" s="32" t="str">
        <v>kanan</v>
      </c>
      <c r="U309" s="32"/>
      <c r="V309" s="32"/>
    </row>
    <row r="310" spans="5:22">
      <c r="E310" s="32" t="str">
        <v>tengah</v>
      </c>
      <c r="F310" s="32"/>
      <c r="G310" s="32"/>
      <c r="J310" s="32" t="str">
        <v>tengah</v>
      </c>
      <c r="K310" s="32"/>
      <c r="L310" s="32"/>
      <c r="O310" s="32" t="str">
        <v>kanan</v>
      </c>
      <c r="P310" s="32"/>
      <c r="Q310" s="32"/>
      <c r="T310" s="32" t="str">
        <v>kanan</v>
      </c>
      <c r="U310" s="32"/>
      <c r="V310" s="32"/>
    </row>
    <row r="311" spans="5:22">
      <c r="E311" s="32" t="str">
        <v>tengah</v>
      </c>
      <c r="F311" s="32"/>
      <c r="G311" s="32"/>
      <c r="J311" s="32" t="str">
        <v>kiri</v>
      </c>
      <c r="K311" s="32"/>
      <c r="L311" s="32"/>
      <c r="O311" s="32" t="str">
        <v>tengah</v>
      </c>
      <c r="P311" s="32"/>
      <c r="Q311" s="32"/>
      <c r="T311" s="32" t="str">
        <v>kanan</v>
      </c>
      <c r="U311" s="32"/>
      <c r="V311" s="32"/>
    </row>
    <row r="312" spans="5:22">
      <c r="E312" s="32" t="str">
        <v>kiri</v>
      </c>
      <c r="F312" s="32"/>
      <c r="G312" s="32"/>
      <c r="J312" s="32" t="str">
        <v>kiri</v>
      </c>
      <c r="K312" s="32"/>
      <c r="L312" s="32"/>
      <c r="O312" s="32" t="str">
        <v>kanan</v>
      </c>
      <c r="P312" s="32"/>
      <c r="Q312" s="32"/>
      <c r="T312" s="32" t="str">
        <v>kanan</v>
      </c>
      <c r="U312" s="32"/>
      <c r="V312" s="32"/>
    </row>
    <row r="313" spans="5:22">
      <c r="E313" s="32" t="str">
        <v>tengah</v>
      </c>
      <c r="F313" s="32"/>
      <c r="G313" s="32"/>
      <c r="J313" s="32" t="str">
        <v>kiri</v>
      </c>
      <c r="K313" s="32"/>
      <c r="L313" s="32"/>
      <c r="O313" s="32" t="str">
        <v>tengah</v>
      </c>
      <c r="P313" s="32"/>
      <c r="Q313" s="32"/>
      <c r="T313" s="32" t="str">
        <v>tengah</v>
      </c>
      <c r="U313" s="32"/>
      <c r="V313" s="32"/>
    </row>
    <row r="314" spans="5:22">
      <c r="E314" s="32" t="str">
        <v>tengah</v>
      </c>
      <c r="F314" s="32"/>
      <c r="G314" s="32"/>
      <c r="J314" s="32" t="str">
        <v>tengah</v>
      </c>
      <c r="K314" s="32"/>
      <c r="L314" s="32"/>
      <c r="O314" s="32" t="str">
        <v>tengah</v>
      </c>
      <c r="P314" s="32"/>
      <c r="Q314" s="32"/>
      <c r="T314" s="32" t="str">
        <v>tengah</v>
      </c>
      <c r="U314" s="32"/>
      <c r="V314" s="32"/>
    </row>
    <row r="315" spans="5:22">
      <c r="E315" s="32" t="str">
        <v>tengah</v>
      </c>
      <c r="F315" s="32"/>
      <c r="G315" s="32"/>
      <c r="J315" s="32" t="str">
        <v>kanan</v>
      </c>
      <c r="K315" s="32"/>
      <c r="L315" s="32"/>
      <c r="O315" s="32" t="str">
        <v>tengah</v>
      </c>
      <c r="P315" s="32"/>
      <c r="Q315" s="32"/>
      <c r="T315" s="32" t="str">
        <v>kanan</v>
      </c>
      <c r="U315" s="32"/>
      <c r="V315" s="32"/>
    </row>
    <row r="316" spans="5:22">
      <c r="E316" s="32" t="str">
        <v>kanan</v>
      </c>
      <c r="F316" s="32"/>
      <c r="G316" s="32"/>
      <c r="J316" s="32" t="str">
        <v>kiri</v>
      </c>
      <c r="K316" s="32"/>
      <c r="L316" s="32"/>
      <c r="O316" s="32" t="str">
        <v>tengah</v>
      </c>
      <c r="P316" s="32"/>
      <c r="Q316" s="32"/>
      <c r="T316" s="32" t="str">
        <v>tengah</v>
      </c>
      <c r="U316" s="32"/>
      <c r="V316" s="32"/>
    </row>
    <row r="317" spans="5:22">
      <c r="E317" s="32" t="str">
        <v>tengah</v>
      </c>
      <c r="F317" s="32"/>
      <c r="G317" s="32"/>
      <c r="J317" s="32" t="str">
        <v>tengah</v>
      </c>
      <c r="K317" s="32"/>
      <c r="L317" s="32"/>
      <c r="O317" s="32" t="str">
        <v>tengah</v>
      </c>
      <c r="P317" s="32"/>
      <c r="Q317" s="32"/>
      <c r="T317" s="32" t="str">
        <v>kanan</v>
      </c>
      <c r="U317" s="32"/>
      <c r="V317" s="32"/>
    </row>
    <row r="318" spans="5:22">
      <c r="E318" s="32" t="str">
        <v>tengah</v>
      </c>
      <c r="F318" s="32"/>
      <c r="G318" s="32"/>
      <c r="J318" s="32" t="str">
        <v>tengah</v>
      </c>
      <c r="K318" s="32"/>
      <c r="L318" s="32"/>
      <c r="O318" s="32" t="str">
        <v>tengah</v>
      </c>
      <c r="P318" s="32"/>
      <c r="Q318" s="32"/>
      <c r="T318" s="32" t="str">
        <v>kanan</v>
      </c>
      <c r="U318" s="32"/>
      <c r="V318" s="32"/>
    </row>
    <row r="319" spans="5:22">
      <c r="E319" s="32" t="str">
        <v>tengah</v>
      </c>
      <c r="F319" s="32"/>
      <c r="G319" s="32"/>
      <c r="J319" s="32" t="str">
        <v>kanan</v>
      </c>
      <c r="K319" s="32"/>
      <c r="L319" s="32"/>
      <c r="O319" s="32" t="str">
        <v>kiri</v>
      </c>
      <c r="P319" s="32"/>
      <c r="Q319" s="32"/>
      <c r="T319" s="32" t="str">
        <v>kanan</v>
      </c>
      <c r="U319" s="32"/>
      <c r="V319" s="32"/>
    </row>
    <row r="320" spans="5:22">
      <c r="E320" s="32" t="str">
        <v>tengah</v>
      </c>
      <c r="F320" s="32"/>
      <c r="G320" s="32"/>
      <c r="J320" s="32" t="str">
        <v>tengah</v>
      </c>
      <c r="K320" s="32"/>
      <c r="L320" s="32"/>
      <c r="O320" s="32" t="str">
        <v>tengah</v>
      </c>
      <c r="P320" s="32"/>
      <c r="Q320" s="32"/>
      <c r="T320" s="32" t="str">
        <v>tengah</v>
      </c>
      <c r="U320" s="32"/>
      <c r="V320" s="32"/>
    </row>
    <row r="321" spans="5:22">
      <c r="E321" s="32" t="str">
        <v>kiri</v>
      </c>
      <c r="F321" s="32"/>
      <c r="G321" s="32"/>
      <c r="J321" s="32" t="str">
        <v>tengah</v>
      </c>
      <c r="K321" s="32"/>
      <c r="L321" s="32"/>
      <c r="O321" s="32" t="str">
        <v>tengah</v>
      </c>
      <c r="P321" s="32"/>
      <c r="Q321" s="32"/>
      <c r="T321" s="32" t="str">
        <v>kanan</v>
      </c>
      <c r="U321" s="32"/>
      <c r="V321" s="32"/>
    </row>
    <row r="322" spans="5:22">
      <c r="E322" s="32" t="str">
        <v>kiri</v>
      </c>
      <c r="F322" s="32"/>
      <c r="G322" s="32"/>
      <c r="J322" s="32" t="str">
        <v>kiri</v>
      </c>
      <c r="K322" s="32"/>
      <c r="L322" s="32"/>
      <c r="O322" s="32" t="str">
        <v>tengah</v>
      </c>
      <c r="P322" s="32"/>
      <c r="Q322" s="32"/>
      <c r="T322" s="32" t="str">
        <v>tengah</v>
      </c>
      <c r="U322" s="32"/>
      <c r="V322" s="32"/>
    </row>
    <row r="323" spans="5:22">
      <c r="E323" s="32" t="str">
        <v>tengah</v>
      </c>
      <c r="F323" s="32"/>
      <c r="G323" s="32"/>
      <c r="J323" s="32" t="str">
        <v>tengah</v>
      </c>
      <c r="K323" s="32"/>
      <c r="L323" s="32"/>
      <c r="O323" s="32" t="str">
        <v>tengah</v>
      </c>
      <c r="P323" s="32"/>
      <c r="Q323" s="32"/>
      <c r="T323" s="32" t="str">
        <v>kanan</v>
      </c>
      <c r="U323" s="32"/>
      <c r="V323" s="32"/>
    </row>
    <row r="324" spans="5:22">
      <c r="E324" s="32" t="str">
        <v>tengah</v>
      </c>
      <c r="F324" s="32"/>
      <c r="G324" s="32"/>
      <c r="J324" s="32" t="str">
        <v>kiri</v>
      </c>
      <c r="K324" s="32"/>
      <c r="L324" s="32"/>
      <c r="O324" s="32" t="str">
        <v>kanan</v>
      </c>
      <c r="P324" s="32"/>
      <c r="Q324" s="32"/>
      <c r="T324" s="32" t="str">
        <v>tengah</v>
      </c>
      <c r="U324" s="32"/>
      <c r="V324" s="32"/>
    </row>
    <row r="325" spans="5:22">
      <c r="E325" s="32" t="str">
        <v>tengah</v>
      </c>
      <c r="F325" s="32"/>
      <c r="G325" s="32"/>
      <c r="J325" s="32" t="str">
        <v>tengah</v>
      </c>
      <c r="K325" s="32"/>
      <c r="L325" s="32"/>
      <c r="O325" s="32" t="str">
        <v>kanan</v>
      </c>
      <c r="P325" s="32"/>
      <c r="Q325" s="32"/>
      <c r="T325" s="32" t="str">
        <v>tengah</v>
      </c>
      <c r="U325" s="32"/>
      <c r="V325" s="32"/>
    </row>
    <row r="326" spans="5:22">
      <c r="E326" s="32" t="str">
        <v>kanan</v>
      </c>
      <c r="F326" s="32"/>
      <c r="G326" s="32"/>
      <c r="J326" s="32" t="str">
        <v>tengah</v>
      </c>
      <c r="K326" s="32"/>
      <c r="L326" s="32"/>
      <c r="O326" s="32" t="str">
        <v>tengah</v>
      </c>
      <c r="P326" s="32"/>
      <c r="Q326" s="32"/>
      <c r="T326" s="32" t="str">
        <v>kanan</v>
      </c>
      <c r="U326" s="32"/>
      <c r="V326" s="32"/>
    </row>
    <row r="327" spans="5:22">
      <c r="E327" s="32" t="str">
        <v>tengah</v>
      </c>
      <c r="F327" s="32"/>
      <c r="G327" s="32"/>
      <c r="J327" s="32" t="str">
        <v>kiri</v>
      </c>
      <c r="K327" s="32"/>
      <c r="L327" s="32"/>
      <c r="O327" s="32" t="str">
        <v>kiri</v>
      </c>
      <c r="P327" s="32"/>
      <c r="Q327" s="32"/>
      <c r="T327" s="32" t="str">
        <v>kanan</v>
      </c>
      <c r="U327" s="32"/>
      <c r="V327" s="32"/>
    </row>
    <row r="328" spans="5:22">
      <c r="E328" s="32" t="str">
        <v>tengah</v>
      </c>
      <c r="F328" s="32"/>
      <c r="G328" s="32"/>
      <c r="J328" s="32" t="str">
        <v>tengah</v>
      </c>
      <c r="K328" s="32"/>
      <c r="L328" s="32"/>
      <c r="O328" s="32" t="str">
        <v>kanan</v>
      </c>
      <c r="P328" s="32"/>
      <c r="Q328" s="32"/>
      <c r="T328" s="32" t="str">
        <v>kanan</v>
      </c>
      <c r="U328" s="32"/>
      <c r="V328" s="32"/>
    </row>
    <row r="329" spans="5:22">
      <c r="E329" s="32" t="str">
        <v>kanan</v>
      </c>
      <c r="F329" s="32"/>
      <c r="G329" s="32"/>
      <c r="J329" s="32" t="str">
        <v>kanan</v>
      </c>
      <c r="K329" s="32"/>
      <c r="L329" s="32"/>
      <c r="O329" s="32" t="str">
        <v>tengah</v>
      </c>
      <c r="P329" s="32"/>
      <c r="Q329" s="32"/>
      <c r="T329" s="32" t="str">
        <v>tengah</v>
      </c>
      <c r="U329" s="32"/>
      <c r="V329" s="32"/>
    </row>
    <row r="330" spans="5:22">
      <c r="E330" s="32" t="str">
        <v>kiri</v>
      </c>
      <c r="F330" s="32"/>
      <c r="G330" s="32"/>
      <c r="J330" s="32" t="str">
        <v>kiri</v>
      </c>
      <c r="K330" s="32"/>
      <c r="L330" s="32"/>
      <c r="O330" s="32" t="str">
        <v>tengah</v>
      </c>
      <c r="P330" s="32"/>
      <c r="Q330" s="32"/>
      <c r="T330" s="32" t="str">
        <v>tengah</v>
      </c>
      <c r="U330" s="32"/>
      <c r="V330" s="32"/>
    </row>
    <row r="331" spans="5:22">
      <c r="E331" s="32" t="str">
        <v>kanan</v>
      </c>
      <c r="F331" s="32"/>
      <c r="G331" s="32"/>
      <c r="J331" s="32" t="str">
        <v>kanan</v>
      </c>
      <c r="K331" s="32"/>
      <c r="L331" s="32"/>
      <c r="O331" s="32" t="str">
        <v>tengah</v>
      </c>
      <c r="P331" s="32"/>
      <c r="Q331" s="32"/>
      <c r="T331" s="32" t="str">
        <v>tengah</v>
      </c>
      <c r="U331" s="32"/>
      <c r="V331" s="32"/>
    </row>
    <row r="332" spans="5:22">
      <c r="E332" s="32" t="str">
        <v>kanan</v>
      </c>
      <c r="F332" s="32"/>
      <c r="G332" s="32"/>
      <c r="J332" s="32" t="str">
        <v>tengah</v>
      </c>
      <c r="K332" s="32"/>
      <c r="L332" s="32"/>
      <c r="O332" s="32" t="str">
        <v>tengah</v>
      </c>
      <c r="P332" s="32"/>
      <c r="Q332" s="32"/>
      <c r="T332" s="32" t="str">
        <v>tengah</v>
      </c>
      <c r="U332" s="32"/>
      <c r="V332" s="32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93"/>
  <sheetViews>
    <sheetView topLeftCell="A175" zoomScale="77" zoomScaleNormal="77" workbookViewId="0">
      <selection activeCell="A187" sqref="A187:F193"/>
    </sheetView>
  </sheetViews>
  <sheetFormatPr defaultColWidth="9" defaultRowHeight="15"/>
  <cols>
    <col min="2" max="2" width="17.42578125" customWidth="1"/>
    <col min="3" max="3" width="12.7109375" customWidth="1"/>
    <col min="4" max="4" width="13" customWidth="1"/>
    <col min="5" max="5" width="14.85546875" customWidth="1"/>
    <col min="6" max="6" width="12" customWidth="1"/>
  </cols>
  <sheetData>
    <row r="1" spans="1:9">
      <c r="A1" s="20" t="s">
        <v>203</v>
      </c>
    </row>
    <row r="3" spans="1:9" ht="47.25">
      <c r="A3" s="66" t="s">
        <v>177</v>
      </c>
      <c r="B3" s="62" t="s">
        <v>178</v>
      </c>
      <c r="C3" s="3" t="s">
        <v>179</v>
      </c>
      <c r="D3" s="3" t="s">
        <v>180</v>
      </c>
      <c r="E3" s="3" t="s">
        <v>181</v>
      </c>
      <c r="F3" s="3" t="s">
        <v>182</v>
      </c>
    </row>
    <row r="4" spans="1:9" ht="15.75">
      <c r="A4" s="23">
        <v>6</v>
      </c>
      <c r="B4" s="5">
        <v>13</v>
      </c>
      <c r="C4" s="5">
        <f>ABS(B4-A4)</f>
        <v>7</v>
      </c>
      <c r="D4" s="5">
        <f>(B4-A4)^2</f>
        <v>49</v>
      </c>
      <c r="E4" s="5">
        <f>B4-$B$9</f>
        <v>-5.8000000000000007</v>
      </c>
      <c r="F4" s="5">
        <f>E4^2</f>
        <v>33.640000000000008</v>
      </c>
      <c r="H4" s="7" t="s">
        <v>184</v>
      </c>
      <c r="I4" s="8">
        <f>AVERAGE(C4:C8)</f>
        <v>16.600000000000001</v>
      </c>
    </row>
    <row r="5" spans="1:9" ht="15.75">
      <c r="A5" s="23">
        <v>42</v>
      </c>
      <c r="B5" s="5">
        <v>33</v>
      </c>
      <c r="C5" s="5">
        <f t="shared" ref="C5:C8" si="0">ABS(B5-A5)</f>
        <v>9</v>
      </c>
      <c r="D5" s="5">
        <f t="shared" ref="D5:D8" si="1">(B5-A5)^2</f>
        <v>81</v>
      </c>
      <c r="E5" s="5">
        <f t="shared" ref="E5:E8" si="2">B5-$B$9</f>
        <v>14.2</v>
      </c>
      <c r="F5" s="5">
        <f>E5^2</f>
        <v>201.64</v>
      </c>
      <c r="H5" s="7" t="s">
        <v>185</v>
      </c>
      <c r="I5" s="8">
        <f>AVERAGE(D4:D8)</f>
        <v>334.2</v>
      </c>
    </row>
    <row r="6" spans="1:9" ht="15.75">
      <c r="A6" s="23">
        <v>39</v>
      </c>
      <c r="B6" s="5">
        <v>15</v>
      </c>
      <c r="C6" s="5">
        <f t="shared" si="0"/>
        <v>24</v>
      </c>
      <c r="D6" s="5">
        <f t="shared" si="1"/>
        <v>576</v>
      </c>
      <c r="E6" s="5">
        <f t="shared" si="2"/>
        <v>-3.8000000000000007</v>
      </c>
      <c r="F6" s="5">
        <f t="shared" ref="F6:F8" si="3">E6^2</f>
        <v>14.440000000000005</v>
      </c>
      <c r="H6" s="7" t="s">
        <v>186</v>
      </c>
      <c r="I6" s="7">
        <f>SQRT(AVERAGE(D4:D8))</f>
        <v>18.281137820168635</v>
      </c>
    </row>
    <row r="7" spans="1:9" ht="15.75">
      <c r="A7" s="23">
        <v>38</v>
      </c>
      <c r="B7" s="5">
        <v>21</v>
      </c>
      <c r="C7" s="5">
        <f t="shared" si="0"/>
        <v>17</v>
      </c>
      <c r="D7" s="5">
        <f t="shared" si="1"/>
        <v>289</v>
      </c>
      <c r="E7" s="5">
        <f t="shared" si="2"/>
        <v>2.1999999999999993</v>
      </c>
      <c r="F7" s="5">
        <f t="shared" si="3"/>
        <v>4.8399999999999972</v>
      </c>
      <c r="H7" s="7" t="s">
        <v>187</v>
      </c>
      <c r="I7" s="8">
        <f>1-(SUM(D4:D8)/SUM(F4:F8))</f>
        <v>-4.5551861702127656</v>
      </c>
    </row>
    <row r="8" spans="1:9" ht="15.75">
      <c r="A8" s="23">
        <v>38</v>
      </c>
      <c r="B8" s="5">
        <v>12</v>
      </c>
      <c r="C8" s="5">
        <f t="shared" si="0"/>
        <v>26</v>
      </c>
      <c r="D8" s="5">
        <f t="shared" si="1"/>
        <v>676</v>
      </c>
      <c r="E8" s="5">
        <f t="shared" si="2"/>
        <v>-6.8000000000000007</v>
      </c>
      <c r="F8" s="5">
        <f t="shared" si="3"/>
        <v>46.240000000000009</v>
      </c>
    </row>
    <row r="9" spans="1:9" ht="31.5">
      <c r="A9" s="24" t="s">
        <v>183</v>
      </c>
      <c r="B9" s="5">
        <f>AVERAGE(B4:B8)</f>
        <v>18.8</v>
      </c>
      <c r="C9" s="5">
        <f>AVERAGE(C4:C8)</f>
        <v>16.600000000000001</v>
      </c>
      <c r="D9" s="5">
        <f>SUM(D4:D8)</f>
        <v>1671</v>
      </c>
      <c r="E9" s="5"/>
      <c r="F9" s="5"/>
    </row>
    <row r="12" spans="1:9">
      <c r="A12" s="20" t="s">
        <v>204</v>
      </c>
    </row>
    <row r="14" spans="1:9" ht="47.25">
      <c r="A14" s="66" t="s">
        <v>205</v>
      </c>
      <c r="B14" s="62" t="s">
        <v>178</v>
      </c>
      <c r="C14" s="3" t="s">
        <v>179</v>
      </c>
      <c r="D14" s="3" t="s">
        <v>180</v>
      </c>
      <c r="E14" s="3" t="s">
        <v>181</v>
      </c>
      <c r="F14" s="3" t="s">
        <v>182</v>
      </c>
    </row>
    <row r="15" spans="1:9" ht="15.75">
      <c r="A15" s="23">
        <v>10</v>
      </c>
      <c r="B15" s="5">
        <v>15</v>
      </c>
      <c r="C15" s="5">
        <f>ABS(B15-A15)</f>
        <v>5</v>
      </c>
      <c r="D15" s="5">
        <f>(B15-A15)^2</f>
        <v>25</v>
      </c>
      <c r="E15" s="5">
        <f>B15-$B$20</f>
        <v>-4.3999999999999986</v>
      </c>
      <c r="F15" s="5">
        <f>E15^2</f>
        <v>19.359999999999989</v>
      </c>
      <c r="H15" s="7" t="s">
        <v>184</v>
      </c>
      <c r="I15" s="8">
        <f>AVERAGE(C15:C19)</f>
        <v>15.2</v>
      </c>
    </row>
    <row r="16" spans="1:9" ht="15.75">
      <c r="A16" s="23">
        <v>55</v>
      </c>
      <c r="B16" s="5">
        <v>33</v>
      </c>
      <c r="C16" s="5">
        <f t="shared" ref="C16:C19" si="4">ABS(B16-A16)</f>
        <v>22</v>
      </c>
      <c r="D16" s="5">
        <f t="shared" ref="D16:D19" si="5">(B16-A16)^2</f>
        <v>484</v>
      </c>
      <c r="E16" s="5">
        <f>B16-$B$20</f>
        <v>13.600000000000001</v>
      </c>
      <c r="F16" s="5">
        <f t="shared" ref="F16:F19" si="6">E16^2</f>
        <v>184.96000000000004</v>
      </c>
      <c r="H16" s="7" t="s">
        <v>185</v>
      </c>
      <c r="I16" s="8">
        <f>AVERAGE(D15:D19)</f>
        <v>336.4</v>
      </c>
    </row>
    <row r="17" spans="1:9" ht="15.75">
      <c r="A17" s="23">
        <v>25</v>
      </c>
      <c r="B17" s="5">
        <v>21</v>
      </c>
      <c r="C17" s="5">
        <f t="shared" si="4"/>
        <v>4</v>
      </c>
      <c r="D17" s="5">
        <f t="shared" si="5"/>
        <v>16</v>
      </c>
      <c r="E17" s="5">
        <f>B17-$B$20</f>
        <v>1.6000000000000014</v>
      </c>
      <c r="F17" s="5">
        <f t="shared" si="6"/>
        <v>2.5600000000000045</v>
      </c>
      <c r="H17" s="7" t="s">
        <v>186</v>
      </c>
      <c r="I17" s="7">
        <f>SQRT(AVERAGE(D15:D19))</f>
        <v>18.341210428976598</v>
      </c>
    </row>
    <row r="18" spans="1:9" ht="15.75">
      <c r="A18" s="23">
        <v>32</v>
      </c>
      <c r="B18" s="5">
        <v>18</v>
      </c>
      <c r="C18" s="5">
        <f t="shared" si="4"/>
        <v>14</v>
      </c>
      <c r="D18" s="5">
        <f t="shared" si="5"/>
        <v>196</v>
      </c>
      <c r="E18" s="5">
        <f>B18-$B$20</f>
        <v>-1.3999999999999986</v>
      </c>
      <c r="F18" s="5">
        <f t="shared" si="6"/>
        <v>1.959999999999996</v>
      </c>
      <c r="H18" s="7" t="s">
        <v>187</v>
      </c>
      <c r="I18" s="8">
        <f>1-(SUM(D15:D19)/SUM(F15:F19))</f>
        <v>-4.6594885598923286</v>
      </c>
    </row>
    <row r="19" spans="1:9" ht="16.5" thickBot="1">
      <c r="A19" s="23">
        <v>41</v>
      </c>
      <c r="B19" s="5">
        <v>10</v>
      </c>
      <c r="C19" s="5">
        <f t="shared" si="4"/>
        <v>31</v>
      </c>
      <c r="D19" s="5">
        <f t="shared" si="5"/>
        <v>961</v>
      </c>
      <c r="E19" s="5">
        <f>B19-$B$20</f>
        <v>-9.3999999999999986</v>
      </c>
      <c r="F19" s="5">
        <f t="shared" si="6"/>
        <v>88.359999999999971</v>
      </c>
    </row>
    <row r="20" spans="1:9" ht="32.25" thickBot="1">
      <c r="A20" s="24" t="s">
        <v>183</v>
      </c>
      <c r="B20" s="5">
        <f>AVERAGE(B15:B19)</f>
        <v>19.399999999999999</v>
      </c>
      <c r="C20" s="5">
        <f>AVERAGE(C15:C19)</f>
        <v>15.2</v>
      </c>
      <c r="D20" s="5">
        <f>AVERAGE(D15:D19)</f>
        <v>336.4</v>
      </c>
      <c r="E20" s="5"/>
      <c r="F20" s="5"/>
    </row>
    <row r="25" spans="1:9">
      <c r="A25" s="20" t="s">
        <v>206</v>
      </c>
    </row>
    <row r="27" spans="1:9" ht="47.25">
      <c r="A27" s="66" t="s">
        <v>207</v>
      </c>
      <c r="B27" s="62" t="s">
        <v>178</v>
      </c>
      <c r="C27" s="3" t="s">
        <v>179</v>
      </c>
      <c r="D27" s="3" t="s">
        <v>180</v>
      </c>
      <c r="E27" s="3" t="s">
        <v>181</v>
      </c>
      <c r="F27" s="3" t="s">
        <v>182</v>
      </c>
    </row>
    <row r="28" spans="1:9" ht="15.75">
      <c r="A28" s="23">
        <v>16</v>
      </c>
      <c r="B28" s="5">
        <v>14</v>
      </c>
      <c r="C28" s="5">
        <f>ABS(B28-A28)</f>
        <v>2</v>
      </c>
      <c r="D28" s="5">
        <f>(B28-A28)^2</f>
        <v>4</v>
      </c>
      <c r="E28" s="5">
        <f>B28-$B$33</f>
        <v>-1.5999999999999996</v>
      </c>
      <c r="F28" s="25">
        <f>E28^2</f>
        <v>2.5599999999999987</v>
      </c>
      <c r="H28" s="7" t="s">
        <v>184</v>
      </c>
      <c r="I28" s="8">
        <f>AVERAGE(C28:C32)</f>
        <v>21.4</v>
      </c>
    </row>
    <row r="29" spans="1:9" ht="15.75">
      <c r="A29" s="23">
        <v>7</v>
      </c>
      <c r="B29" s="5">
        <v>18</v>
      </c>
      <c r="C29" s="5">
        <f t="shared" ref="C29:C32" si="7">ABS(B29-A29)</f>
        <v>11</v>
      </c>
      <c r="D29" s="5">
        <f t="shared" ref="D29:D32" si="8">(B29-A29)^2</f>
        <v>121</v>
      </c>
      <c r="E29" s="5">
        <f>B29-$B$33</f>
        <v>2.4000000000000004</v>
      </c>
      <c r="F29" s="25">
        <f t="shared" ref="F29:F32" si="9">E29^2</f>
        <v>5.7600000000000016</v>
      </c>
      <c r="H29" s="7" t="s">
        <v>185</v>
      </c>
      <c r="I29" s="8">
        <f>AVERAGE(D28:D32)</f>
        <v>829</v>
      </c>
    </row>
    <row r="30" spans="1:9" ht="15.75">
      <c r="A30" s="23">
        <v>71</v>
      </c>
      <c r="B30" s="5">
        <v>15</v>
      </c>
      <c r="C30" s="5">
        <f t="shared" si="7"/>
        <v>56</v>
      </c>
      <c r="D30" s="5">
        <f t="shared" si="8"/>
        <v>3136</v>
      </c>
      <c r="E30" s="5">
        <f>B30-$B$33</f>
        <v>-0.59999999999999964</v>
      </c>
      <c r="F30" s="25">
        <f t="shared" si="9"/>
        <v>0.3599999999999996</v>
      </c>
      <c r="H30" s="7" t="s">
        <v>186</v>
      </c>
      <c r="I30" s="7">
        <f>SQRT(AVERAGE(D28:D32))</f>
        <v>28.792360097775937</v>
      </c>
    </row>
    <row r="31" spans="1:9" ht="15.75">
      <c r="A31" s="23">
        <v>38</v>
      </c>
      <c r="B31" s="5">
        <v>10</v>
      </c>
      <c r="C31" s="5">
        <f t="shared" si="7"/>
        <v>28</v>
      </c>
      <c r="D31" s="5">
        <f t="shared" si="8"/>
        <v>784</v>
      </c>
      <c r="E31" s="5">
        <f>B31-$B$33</f>
        <v>-5.6</v>
      </c>
      <c r="F31" s="25">
        <f t="shared" si="9"/>
        <v>31.359999999999996</v>
      </c>
      <c r="H31" s="7" t="s">
        <v>187</v>
      </c>
      <c r="I31" s="8">
        <f>1-(SUM(D28:D32)/SUM(F28:F32))</f>
        <v>-58.898843930635849</v>
      </c>
    </row>
    <row r="32" spans="1:9" ht="16.5" thickBot="1">
      <c r="A32" s="23">
        <v>31</v>
      </c>
      <c r="B32" s="5">
        <v>21</v>
      </c>
      <c r="C32" s="5">
        <f t="shared" si="7"/>
        <v>10</v>
      </c>
      <c r="D32" s="5">
        <f t="shared" si="8"/>
        <v>100</v>
      </c>
      <c r="E32" s="5">
        <f>B32-$B$33</f>
        <v>5.4</v>
      </c>
      <c r="F32" s="25">
        <f t="shared" si="9"/>
        <v>29.160000000000004</v>
      </c>
    </row>
    <row r="33" spans="1:9" ht="32.25" thickBot="1">
      <c r="A33" s="24" t="s">
        <v>183</v>
      </c>
      <c r="B33" s="5">
        <f>AVERAGE(B28:B32)</f>
        <v>15.6</v>
      </c>
      <c r="C33" s="5">
        <f>AVERAGE(C28:C32)</f>
        <v>21.4</v>
      </c>
      <c r="D33" s="5">
        <f>AVERAGE(D28:D32)</f>
        <v>829</v>
      </c>
      <c r="E33" s="5"/>
      <c r="F33" s="5"/>
    </row>
    <row r="40" spans="1:9">
      <c r="A40" s="20" t="s">
        <v>208</v>
      </c>
    </row>
    <row r="42" spans="1:9" ht="47.25">
      <c r="A42" s="66" t="s">
        <v>209</v>
      </c>
      <c r="B42" s="62" t="s">
        <v>178</v>
      </c>
      <c r="C42" s="3" t="s">
        <v>179</v>
      </c>
      <c r="D42" s="3" t="s">
        <v>180</v>
      </c>
      <c r="E42" s="3" t="s">
        <v>181</v>
      </c>
      <c r="F42" s="3" t="s">
        <v>182</v>
      </c>
    </row>
    <row r="43" spans="1:9" ht="15.75">
      <c r="A43" s="23">
        <v>7</v>
      </c>
      <c r="B43" s="5">
        <v>12</v>
      </c>
      <c r="C43" s="5">
        <f>ABS(B43-A43)</f>
        <v>5</v>
      </c>
      <c r="D43" s="5">
        <f>(B43-A43)^2</f>
        <v>25</v>
      </c>
      <c r="E43" s="5">
        <f>B43-$B$48</f>
        <v>-3</v>
      </c>
      <c r="F43" s="5">
        <f>E43^2</f>
        <v>9</v>
      </c>
      <c r="H43" s="7" t="s">
        <v>184</v>
      </c>
      <c r="I43" s="8">
        <f>AVERAGE(C43:C47)</f>
        <v>19.600000000000001</v>
      </c>
    </row>
    <row r="44" spans="1:9" ht="15.75">
      <c r="A44" s="23">
        <v>56</v>
      </c>
      <c r="B44" s="5">
        <v>7</v>
      </c>
      <c r="C44" s="5">
        <f t="shared" ref="C44:C47" si="10">ABS(B44-A44)</f>
        <v>49</v>
      </c>
      <c r="D44" s="5">
        <f t="shared" ref="D44:D47" si="11">(B44-A44)^2</f>
        <v>2401</v>
      </c>
      <c r="E44" s="5">
        <f>B44-$B$48</f>
        <v>-8</v>
      </c>
      <c r="F44" s="5">
        <f t="shared" ref="F44:F47" si="12">E44^2</f>
        <v>64</v>
      </c>
      <c r="H44" s="7" t="s">
        <v>185</v>
      </c>
      <c r="I44" s="8">
        <f>AVERAGE(D43:D47)</f>
        <v>658.4</v>
      </c>
    </row>
    <row r="45" spans="1:9" ht="15.75">
      <c r="A45" s="23">
        <v>28</v>
      </c>
      <c r="B45" s="5">
        <v>13</v>
      </c>
      <c r="C45" s="5">
        <f t="shared" si="10"/>
        <v>15</v>
      </c>
      <c r="D45" s="5">
        <f t="shared" si="11"/>
        <v>225</v>
      </c>
      <c r="E45" s="5">
        <f>B45-$B$48</f>
        <v>-2</v>
      </c>
      <c r="F45" s="5">
        <f t="shared" si="12"/>
        <v>4</v>
      </c>
      <c r="H45" s="7" t="s">
        <v>186</v>
      </c>
      <c r="I45" s="7">
        <f>SQRT(AVERAGE(D43:D47))</f>
        <v>25.6593063039514</v>
      </c>
    </row>
    <row r="46" spans="1:9" ht="15.75">
      <c r="A46" s="23">
        <v>37</v>
      </c>
      <c r="B46" s="5">
        <v>33</v>
      </c>
      <c r="C46" s="5">
        <f t="shared" si="10"/>
        <v>4</v>
      </c>
      <c r="D46" s="5">
        <f t="shared" si="11"/>
        <v>16</v>
      </c>
      <c r="E46" s="5">
        <f>B46-$B$48</f>
        <v>18</v>
      </c>
      <c r="F46" s="5">
        <f t="shared" si="12"/>
        <v>324</v>
      </c>
      <c r="H46" s="7" t="s">
        <v>187</v>
      </c>
      <c r="I46" s="8">
        <f>1-(SUM(D43:D47)/SUM(F43:F47))</f>
        <v>-6.727699530516432</v>
      </c>
    </row>
    <row r="47" spans="1:9" ht="16.5" thickBot="1">
      <c r="A47" s="23">
        <v>35</v>
      </c>
      <c r="B47" s="5">
        <v>10</v>
      </c>
      <c r="C47" s="5">
        <f t="shared" si="10"/>
        <v>25</v>
      </c>
      <c r="D47" s="5">
        <f t="shared" si="11"/>
        <v>625</v>
      </c>
      <c r="E47" s="5">
        <f>B47-$B$48</f>
        <v>-5</v>
      </c>
      <c r="F47" s="5">
        <f t="shared" si="12"/>
        <v>25</v>
      </c>
    </row>
    <row r="48" spans="1:9" ht="32.25" thickBot="1">
      <c r="A48" s="24" t="s">
        <v>183</v>
      </c>
      <c r="B48" s="5">
        <f>AVERAGE(B43:B47)</f>
        <v>15</v>
      </c>
      <c r="C48" s="5">
        <f>AVERAGE(C43:C47)</f>
        <v>19.600000000000001</v>
      </c>
      <c r="D48" s="5">
        <f>AVERAGE(D43:D47)</f>
        <v>658.4</v>
      </c>
      <c r="E48" s="5"/>
      <c r="F48" s="5"/>
    </row>
    <row r="52" spans="1:9">
      <c r="A52" s="20" t="s">
        <v>210</v>
      </c>
    </row>
    <row r="54" spans="1:9" ht="47.25">
      <c r="A54" s="22" t="s">
        <v>211</v>
      </c>
      <c r="B54" s="62" t="s">
        <v>212</v>
      </c>
      <c r="C54" s="3" t="s">
        <v>179</v>
      </c>
      <c r="D54" s="3" t="s">
        <v>180</v>
      </c>
      <c r="E54" s="3" t="s">
        <v>181</v>
      </c>
      <c r="F54" s="3" t="s">
        <v>182</v>
      </c>
    </row>
    <row r="55" spans="1:9" ht="15.75">
      <c r="A55" s="23">
        <v>14</v>
      </c>
      <c r="B55" s="5">
        <v>7</v>
      </c>
      <c r="C55" s="5">
        <f>ABS(B55-A55)</f>
        <v>7</v>
      </c>
      <c r="D55" s="5">
        <f>(B55-A55)^2</f>
        <v>49</v>
      </c>
      <c r="E55" s="5">
        <f>B55-$B$60</f>
        <v>-11</v>
      </c>
      <c r="F55" s="5">
        <f>E55^2</f>
        <v>121</v>
      </c>
      <c r="H55" s="7" t="s">
        <v>184</v>
      </c>
      <c r="I55" s="8">
        <f>AVERAGE(C55:C59)</f>
        <v>20.6</v>
      </c>
    </row>
    <row r="56" spans="1:9" ht="15.75">
      <c r="A56" s="23">
        <v>18</v>
      </c>
      <c r="B56" s="5">
        <v>33</v>
      </c>
      <c r="C56" s="5">
        <f t="shared" ref="C56:C59" si="13">ABS(B56-A56)</f>
        <v>15</v>
      </c>
      <c r="D56" s="5">
        <f t="shared" ref="D56:D59" si="14">(B56-A56)^2</f>
        <v>225</v>
      </c>
      <c r="E56" s="5">
        <f t="shared" ref="E56:E59" si="15">B56-$B$60</f>
        <v>15</v>
      </c>
      <c r="F56" s="5">
        <f t="shared" ref="F56:F59" si="16">E56^2</f>
        <v>225</v>
      </c>
      <c r="H56" s="7" t="s">
        <v>185</v>
      </c>
      <c r="I56" s="8">
        <f>AVERAGE(D55:D59)</f>
        <v>666.6</v>
      </c>
    </row>
    <row r="57" spans="1:9" ht="15.75">
      <c r="A57" s="23">
        <v>66</v>
      </c>
      <c r="B57" s="5">
        <v>15</v>
      </c>
      <c r="C57" s="5">
        <f t="shared" si="13"/>
        <v>51</v>
      </c>
      <c r="D57" s="5">
        <f t="shared" si="14"/>
        <v>2601</v>
      </c>
      <c r="E57" s="5">
        <f t="shared" si="15"/>
        <v>-3</v>
      </c>
      <c r="F57" s="5">
        <f t="shared" si="16"/>
        <v>9</v>
      </c>
      <c r="H57" s="7" t="s">
        <v>186</v>
      </c>
      <c r="I57" s="7">
        <f>SQRT(AVERAGE(D55:D59))</f>
        <v>25.818597947990902</v>
      </c>
    </row>
    <row r="58" spans="1:9" ht="15.75">
      <c r="A58" s="23">
        <v>34</v>
      </c>
      <c r="B58" s="5">
        <v>21</v>
      </c>
      <c r="C58" s="5">
        <f t="shared" si="13"/>
        <v>13</v>
      </c>
      <c r="D58" s="5">
        <f t="shared" si="14"/>
        <v>169</v>
      </c>
      <c r="E58" s="5">
        <f t="shared" si="15"/>
        <v>3</v>
      </c>
      <c r="F58" s="5">
        <f t="shared" si="16"/>
        <v>9</v>
      </c>
      <c r="H58" s="7" t="s">
        <v>187</v>
      </c>
      <c r="I58" s="8">
        <f>1-(SUM(D55:D59)/SUM(F55:F59))</f>
        <v>-7.7710526315789465</v>
      </c>
    </row>
    <row r="59" spans="1:9" ht="15.75">
      <c r="A59" s="23">
        <v>31</v>
      </c>
      <c r="B59" s="5">
        <v>14</v>
      </c>
      <c r="C59" s="5">
        <f t="shared" si="13"/>
        <v>17</v>
      </c>
      <c r="D59" s="5">
        <f t="shared" si="14"/>
        <v>289</v>
      </c>
      <c r="E59" s="5">
        <f t="shared" si="15"/>
        <v>-4</v>
      </c>
      <c r="F59" s="5">
        <f t="shared" si="16"/>
        <v>16</v>
      </c>
    </row>
    <row r="60" spans="1:9" ht="31.5">
      <c r="A60" s="24" t="s">
        <v>183</v>
      </c>
      <c r="B60" s="5">
        <f>AVERAGE(B55:B59)</f>
        <v>18</v>
      </c>
      <c r="C60" s="5">
        <f>AVERAGE(C55:C59)</f>
        <v>20.6</v>
      </c>
      <c r="D60" s="5">
        <f>AVERAGE(D55:D59)</f>
        <v>666.6</v>
      </c>
      <c r="E60" s="5"/>
      <c r="F60" s="5"/>
    </row>
    <row r="63" spans="1:9">
      <c r="A63" s="20" t="s">
        <v>213</v>
      </c>
    </row>
    <row r="65" spans="1:9" ht="47.25">
      <c r="A65" s="66" t="s">
        <v>214</v>
      </c>
      <c r="B65" s="62" t="s">
        <v>212</v>
      </c>
      <c r="C65" s="3" t="s">
        <v>179</v>
      </c>
      <c r="D65" s="3" t="s">
        <v>180</v>
      </c>
      <c r="E65" s="3" t="s">
        <v>181</v>
      </c>
      <c r="F65" s="3" t="s">
        <v>182</v>
      </c>
    </row>
    <row r="66" spans="1:9" ht="15.75">
      <c r="A66" s="23">
        <v>16</v>
      </c>
      <c r="B66" s="5">
        <v>3</v>
      </c>
      <c r="C66" s="5">
        <f>ABS(B66-A66)</f>
        <v>13</v>
      </c>
      <c r="D66" s="5">
        <f>(B66-A66)^2</f>
        <v>169</v>
      </c>
      <c r="E66" s="5">
        <f>B66-$B$71</f>
        <v>-13.399999999999999</v>
      </c>
      <c r="F66" s="5">
        <f>E66^2</f>
        <v>179.55999999999997</v>
      </c>
      <c r="H66" s="7" t="s">
        <v>184</v>
      </c>
      <c r="I66" s="8">
        <f>AVERAGE(C66:C70)</f>
        <v>18.2</v>
      </c>
    </row>
    <row r="67" spans="1:9" ht="15.75">
      <c r="A67" s="23">
        <v>13</v>
      </c>
      <c r="B67" s="5">
        <v>18</v>
      </c>
      <c r="C67" s="5">
        <f t="shared" ref="C67:C70" si="17">ABS(B67-A67)</f>
        <v>5</v>
      </c>
      <c r="D67" s="5">
        <f t="shared" ref="D67:D70" si="18">(B67-A67)^2</f>
        <v>25</v>
      </c>
      <c r="E67" s="5">
        <f>B67-$B$71</f>
        <v>1.6000000000000014</v>
      </c>
      <c r="F67" s="5">
        <f t="shared" ref="F67:F70" si="19">E67^2</f>
        <v>2.5600000000000045</v>
      </c>
      <c r="H67" s="7" t="s">
        <v>185</v>
      </c>
      <c r="I67" s="8">
        <f>AVERAGE(D66:D70)</f>
        <v>439.8</v>
      </c>
    </row>
    <row r="68" spans="1:9" ht="15.75">
      <c r="A68" s="23">
        <v>55</v>
      </c>
      <c r="B68" s="5">
        <v>33</v>
      </c>
      <c r="C68" s="5">
        <f t="shared" si="17"/>
        <v>22</v>
      </c>
      <c r="D68" s="5">
        <f t="shared" si="18"/>
        <v>484</v>
      </c>
      <c r="E68" s="5">
        <f>B68-$B$71</f>
        <v>16.600000000000001</v>
      </c>
      <c r="F68" s="5">
        <f t="shared" si="19"/>
        <v>275.56000000000006</v>
      </c>
      <c r="H68" s="7" t="s">
        <v>186</v>
      </c>
      <c r="I68" s="7">
        <f>SQRT(AVERAGE(D66:D70))</f>
        <v>20.971409108593537</v>
      </c>
    </row>
    <row r="69" spans="1:9" ht="15.75">
      <c r="A69" s="23">
        <v>49</v>
      </c>
      <c r="B69" s="5">
        <v>13</v>
      </c>
      <c r="C69" s="5">
        <f t="shared" si="17"/>
        <v>36</v>
      </c>
      <c r="D69" s="5">
        <f t="shared" si="18"/>
        <v>1296</v>
      </c>
      <c r="E69" s="5">
        <f>B69-$B$71</f>
        <v>-3.3999999999999986</v>
      </c>
      <c r="F69" s="5">
        <f t="shared" si="19"/>
        <v>11.55999999999999</v>
      </c>
      <c r="H69" s="7" t="s">
        <v>187</v>
      </c>
      <c r="I69" s="8">
        <f>1-(SUM(D66:D70)/SUM(F66:F70))</f>
        <v>-3.6668081494057718</v>
      </c>
    </row>
    <row r="70" spans="1:9" ht="16.5" thickBot="1">
      <c r="A70" s="23">
        <v>30</v>
      </c>
      <c r="B70" s="5">
        <v>15</v>
      </c>
      <c r="C70" s="5">
        <f t="shared" si="17"/>
        <v>15</v>
      </c>
      <c r="D70" s="5">
        <f t="shared" si="18"/>
        <v>225</v>
      </c>
      <c r="E70" s="5">
        <f>B70-$B$71</f>
        <v>-1.3999999999999986</v>
      </c>
      <c r="F70" s="5">
        <f t="shared" si="19"/>
        <v>1.959999999999996</v>
      </c>
    </row>
    <row r="71" spans="1:9" ht="32.25" thickBot="1">
      <c r="A71" s="24" t="s">
        <v>183</v>
      </c>
      <c r="B71" s="5">
        <f>AVERAGE(B66:B70)</f>
        <v>16.399999999999999</v>
      </c>
      <c r="C71" s="5">
        <f>AVERAGE(C66:C70)</f>
        <v>18.2</v>
      </c>
      <c r="D71" s="5">
        <f>AVERAGE(D66:D70)</f>
        <v>439.8</v>
      </c>
      <c r="E71" s="5"/>
      <c r="F71" s="5"/>
    </row>
    <row r="76" spans="1:9">
      <c r="A76" s="20" t="s">
        <v>215</v>
      </c>
    </row>
    <row r="78" spans="1:9" ht="47.25">
      <c r="A78" s="66" t="s">
        <v>216</v>
      </c>
      <c r="B78" s="62" t="s">
        <v>212</v>
      </c>
      <c r="C78" s="3" t="s">
        <v>179</v>
      </c>
      <c r="D78" s="3" t="s">
        <v>180</v>
      </c>
      <c r="E78" s="3" t="s">
        <v>181</v>
      </c>
      <c r="F78" s="3" t="s">
        <v>182</v>
      </c>
    </row>
    <row r="79" spans="1:9" ht="15.75">
      <c r="A79" s="23">
        <v>17</v>
      </c>
      <c r="B79" s="5">
        <v>7</v>
      </c>
      <c r="C79" s="5">
        <f>ABS(B79-A79)</f>
        <v>10</v>
      </c>
      <c r="D79" s="5">
        <f>(B79-A79)^2</f>
        <v>100</v>
      </c>
      <c r="E79" s="5">
        <f>B79-$B$84</f>
        <v>-6</v>
      </c>
      <c r="F79" s="5">
        <f>E79^2</f>
        <v>36</v>
      </c>
      <c r="H79" s="7" t="s">
        <v>184</v>
      </c>
      <c r="I79" s="8">
        <f>AVERAGE(C79:C83)</f>
        <v>19.600000000000001</v>
      </c>
    </row>
    <row r="80" spans="1:9" ht="15.75">
      <c r="A80" s="23">
        <v>12</v>
      </c>
      <c r="B80" s="5">
        <v>4</v>
      </c>
      <c r="C80" s="5">
        <f t="shared" ref="C80:C83" si="20">ABS(B80-A80)</f>
        <v>8</v>
      </c>
      <c r="D80" s="5">
        <f t="shared" ref="D80:D83" si="21">(B80-A80)^2</f>
        <v>64</v>
      </c>
      <c r="E80" s="5">
        <f>B80-$B$84</f>
        <v>-9</v>
      </c>
      <c r="F80" s="5">
        <f t="shared" ref="F80:F83" si="22">E80^2</f>
        <v>81</v>
      </c>
      <c r="H80" s="7" t="s">
        <v>185</v>
      </c>
      <c r="I80" s="8">
        <f>AVERAGE(D79:D83)</f>
        <v>690</v>
      </c>
    </row>
    <row r="81" spans="1:9" ht="16.5" thickBot="1">
      <c r="A81" s="23">
        <v>65</v>
      </c>
      <c r="B81" s="5">
        <v>12</v>
      </c>
      <c r="C81" s="5">
        <f t="shared" si="20"/>
        <v>53</v>
      </c>
      <c r="D81" s="5">
        <f t="shared" si="21"/>
        <v>2809</v>
      </c>
      <c r="E81" s="5">
        <f>B81-$B$84</f>
        <v>-1</v>
      </c>
      <c r="F81" s="5">
        <f t="shared" si="22"/>
        <v>1</v>
      </c>
      <c r="H81" s="7" t="s">
        <v>186</v>
      </c>
      <c r="I81" s="7">
        <f>SQRT(AVERAGE(D79:D83))</f>
        <v>26.267851073127396</v>
      </c>
    </row>
    <row r="82" spans="1:9" ht="16.5" thickBot="1">
      <c r="A82" s="23">
        <v>42</v>
      </c>
      <c r="B82" s="5">
        <v>21</v>
      </c>
      <c r="C82" s="5">
        <f t="shared" si="20"/>
        <v>21</v>
      </c>
      <c r="D82" s="5">
        <f t="shared" si="21"/>
        <v>441</v>
      </c>
      <c r="E82" s="5">
        <f>B82-$B$84</f>
        <v>8</v>
      </c>
      <c r="F82" s="5">
        <f t="shared" si="22"/>
        <v>64</v>
      </c>
      <c r="H82" s="7" t="s">
        <v>187</v>
      </c>
      <c r="I82" s="8">
        <f>1-(SUM(D79:D83)/SUM(F79:F83))</f>
        <v>-13.024390243902438</v>
      </c>
    </row>
    <row r="83" spans="1:9" ht="16.5" thickBot="1">
      <c r="A83" s="23">
        <v>27</v>
      </c>
      <c r="B83" s="5">
        <v>21</v>
      </c>
      <c r="C83" s="5">
        <f t="shared" si="20"/>
        <v>6</v>
      </c>
      <c r="D83" s="5">
        <f t="shared" si="21"/>
        <v>36</v>
      </c>
      <c r="E83" s="5">
        <f>B83-$B$84</f>
        <v>8</v>
      </c>
      <c r="F83" s="5">
        <f t="shared" si="22"/>
        <v>64</v>
      </c>
    </row>
    <row r="84" spans="1:9" ht="32.25" thickBot="1">
      <c r="A84" s="24" t="s">
        <v>183</v>
      </c>
      <c r="B84" s="5">
        <f>AVERAGE(B79:B83)</f>
        <v>13</v>
      </c>
      <c r="C84" s="5">
        <f>AVERAGE(C79:C83)</f>
        <v>19.600000000000001</v>
      </c>
      <c r="D84" s="5">
        <f>AVERAGE(D79:D83)</f>
        <v>690</v>
      </c>
      <c r="E84" s="5"/>
      <c r="F84" s="5"/>
    </row>
    <row r="88" spans="1:9">
      <c r="A88" s="20" t="s">
        <v>217</v>
      </c>
    </row>
    <row r="90" spans="1:9" ht="47.25">
      <c r="A90" s="67" t="s">
        <v>218</v>
      </c>
      <c r="B90" s="63" t="s">
        <v>212</v>
      </c>
      <c r="C90" s="50" t="s">
        <v>179</v>
      </c>
      <c r="D90" s="50" t="s">
        <v>180</v>
      </c>
      <c r="E90" s="50" t="s">
        <v>181</v>
      </c>
      <c r="F90" s="50" t="s">
        <v>182</v>
      </c>
    </row>
    <row r="91" spans="1:9" ht="15.75">
      <c r="A91" s="51"/>
      <c r="B91" s="27"/>
      <c r="C91" s="51"/>
      <c r="D91" s="51"/>
      <c r="E91" s="51"/>
      <c r="F91" s="51"/>
    </row>
    <row r="92" spans="1:9" ht="15.75">
      <c r="A92" s="23">
        <v>18</v>
      </c>
      <c r="B92" s="5">
        <v>33</v>
      </c>
      <c r="C92" s="5">
        <f>ABS(B92-A92)</f>
        <v>15</v>
      </c>
      <c r="D92" s="5">
        <f>(B92-A92)^2</f>
        <v>225</v>
      </c>
      <c r="E92" s="5">
        <f>B92-$B$97</f>
        <v>15.600000000000001</v>
      </c>
      <c r="F92" s="25">
        <f>E92^2</f>
        <v>243.36000000000004</v>
      </c>
      <c r="H92" s="7" t="s">
        <v>184</v>
      </c>
      <c r="I92" s="8">
        <f>AVERAGE(C92:C96)</f>
        <v>21.6</v>
      </c>
    </row>
    <row r="93" spans="1:9" ht="15.75">
      <c r="A93" s="23">
        <v>14</v>
      </c>
      <c r="B93" s="5">
        <v>15</v>
      </c>
      <c r="C93" s="5">
        <f t="shared" ref="C93:C96" si="23">ABS(B93-A93)</f>
        <v>1</v>
      </c>
      <c r="D93" s="5">
        <f t="shared" ref="D93:D96" si="24">(B93-A93)^2</f>
        <v>1</v>
      </c>
      <c r="E93" s="5">
        <f>B93-$B$97</f>
        <v>-2.3999999999999986</v>
      </c>
      <c r="F93" s="25">
        <f t="shared" ref="F93:F96" si="25">E93^2</f>
        <v>5.7599999999999936</v>
      </c>
      <c r="H93" s="7" t="s">
        <v>185</v>
      </c>
      <c r="I93" s="8">
        <f>AVERAGE(D92:D96)</f>
        <v>787.2</v>
      </c>
    </row>
    <row r="94" spans="1:9" ht="15.75">
      <c r="A94" s="23">
        <v>68</v>
      </c>
      <c r="B94" s="5">
        <v>13</v>
      </c>
      <c r="C94" s="5">
        <f t="shared" si="23"/>
        <v>55</v>
      </c>
      <c r="D94" s="5">
        <f t="shared" si="24"/>
        <v>3025</v>
      </c>
      <c r="E94" s="5">
        <f>B94-$B$97</f>
        <v>-4.3999999999999986</v>
      </c>
      <c r="F94" s="25">
        <f t="shared" si="25"/>
        <v>19.359999999999989</v>
      </c>
      <c r="H94" s="7" t="s">
        <v>186</v>
      </c>
      <c r="I94" s="7">
        <f>SQRT(AVERAGE(D92:D96))</f>
        <v>28.057084666800293</v>
      </c>
    </row>
    <row r="95" spans="1:9" ht="15.75">
      <c r="A95" s="23">
        <v>31</v>
      </c>
      <c r="B95" s="5">
        <v>12</v>
      </c>
      <c r="C95" s="5">
        <f t="shared" si="23"/>
        <v>19</v>
      </c>
      <c r="D95" s="5">
        <f t="shared" si="24"/>
        <v>361</v>
      </c>
      <c r="E95" s="5">
        <f>B95-$B$97</f>
        <v>-5.3999999999999986</v>
      </c>
      <c r="F95" s="25">
        <f t="shared" si="25"/>
        <v>29.159999999999986</v>
      </c>
      <c r="H95" s="7" t="s">
        <v>187</v>
      </c>
      <c r="I95" s="8">
        <f>1-(SUM(D92:D96)/SUM(F92:F96))</f>
        <v>-11.729624838292368</v>
      </c>
    </row>
    <row r="96" spans="1:9" ht="16.5" thickBot="1">
      <c r="A96" s="23">
        <v>32</v>
      </c>
      <c r="B96" s="5">
        <v>14</v>
      </c>
      <c r="C96" s="5">
        <f t="shared" si="23"/>
        <v>18</v>
      </c>
      <c r="D96" s="5">
        <f t="shared" si="24"/>
        <v>324</v>
      </c>
      <c r="E96" s="5">
        <f>B96-$B$97</f>
        <v>-3.3999999999999986</v>
      </c>
      <c r="F96" s="25">
        <f t="shared" si="25"/>
        <v>11.55999999999999</v>
      </c>
    </row>
    <row r="97" spans="1:9" ht="32.25" thickBot="1">
      <c r="A97" s="24" t="s">
        <v>183</v>
      </c>
      <c r="B97" s="5">
        <f>AVERAGE(B92:B96)</f>
        <v>17.399999999999999</v>
      </c>
      <c r="C97" s="5">
        <f>AVERAGE(C92:C96)</f>
        <v>21.6</v>
      </c>
      <c r="D97" s="5">
        <f>AVERAGE(D92:D96)</f>
        <v>787.2</v>
      </c>
      <c r="E97" s="5"/>
      <c r="F97" s="5"/>
    </row>
    <row r="103" spans="1:9">
      <c r="A103" s="20" t="s">
        <v>220</v>
      </c>
    </row>
    <row r="105" spans="1:9" ht="15.75">
      <c r="A105" s="50" t="s">
        <v>221</v>
      </c>
      <c r="B105" s="26" t="s">
        <v>219</v>
      </c>
      <c r="C105" s="50" t="s">
        <v>179</v>
      </c>
      <c r="D105" s="50" t="s">
        <v>180</v>
      </c>
      <c r="E105" s="50" t="s">
        <v>181</v>
      </c>
      <c r="F105" s="50" t="s">
        <v>182</v>
      </c>
    </row>
    <row r="106" spans="1:9" ht="31.5">
      <c r="A106" s="51"/>
      <c r="B106" s="64" t="s">
        <v>222</v>
      </c>
      <c r="C106" s="51"/>
      <c r="D106" s="51"/>
      <c r="E106" s="51"/>
      <c r="F106" s="51"/>
    </row>
    <row r="107" spans="1:9" ht="16.5" thickBot="1">
      <c r="A107" s="23">
        <v>15</v>
      </c>
      <c r="B107" s="5">
        <v>21</v>
      </c>
      <c r="C107" s="5">
        <f>ABS(B107-A107)</f>
        <v>6</v>
      </c>
      <c r="D107" s="5">
        <f>(B107-A107)^2</f>
        <v>36</v>
      </c>
      <c r="E107" s="5">
        <f>B107-$B$112</f>
        <v>10.6</v>
      </c>
      <c r="F107" s="5">
        <f>E107^2</f>
        <v>112.36</v>
      </c>
      <c r="H107" s="7" t="s">
        <v>184</v>
      </c>
      <c r="I107" s="8">
        <f>AVERAGE(C107:C111)</f>
        <v>24.6</v>
      </c>
    </row>
    <row r="108" spans="1:9" ht="16.5" thickBot="1">
      <c r="A108" s="23">
        <v>20</v>
      </c>
      <c r="B108" s="5">
        <v>10</v>
      </c>
      <c r="C108" s="5">
        <f t="shared" ref="C108:C111" si="26">ABS(B108-A108)</f>
        <v>10</v>
      </c>
      <c r="D108" s="5">
        <f t="shared" ref="D108:D111" si="27">(B108-A108)^2</f>
        <v>100</v>
      </c>
      <c r="E108" s="5">
        <f t="shared" ref="E108:E111" si="28">B108-$B$112</f>
        <v>-0.40000000000000036</v>
      </c>
      <c r="F108" s="5">
        <f t="shared" ref="F108:F111" si="29">E108^2</f>
        <v>0.16000000000000028</v>
      </c>
      <c r="H108" s="7" t="s">
        <v>185</v>
      </c>
      <c r="I108" s="8">
        <f>AVERAGE(D107:D111)</f>
        <v>1034.2</v>
      </c>
    </row>
    <row r="109" spans="1:9" ht="16.5" thickBot="1">
      <c r="A109" s="23">
        <v>67</v>
      </c>
      <c r="B109" s="5">
        <v>4</v>
      </c>
      <c r="C109" s="5">
        <f t="shared" si="26"/>
        <v>63</v>
      </c>
      <c r="D109" s="5">
        <f t="shared" si="27"/>
        <v>3969</v>
      </c>
      <c r="E109" s="5">
        <f t="shared" si="28"/>
        <v>-6.4</v>
      </c>
      <c r="F109" s="5">
        <f t="shared" si="29"/>
        <v>40.960000000000008</v>
      </c>
      <c r="H109" s="7" t="s">
        <v>186</v>
      </c>
      <c r="I109" s="7">
        <f>SQRT(AVERAGE(D107:D111))</f>
        <v>32.158980083329759</v>
      </c>
    </row>
    <row r="110" spans="1:9" ht="15.75">
      <c r="A110" s="23">
        <v>31</v>
      </c>
      <c r="B110" s="5">
        <v>2</v>
      </c>
      <c r="C110" s="5">
        <f t="shared" si="26"/>
        <v>29</v>
      </c>
      <c r="D110" s="5">
        <f t="shared" si="27"/>
        <v>841</v>
      </c>
      <c r="E110" s="5">
        <f t="shared" si="28"/>
        <v>-8.4</v>
      </c>
      <c r="F110" s="5">
        <f t="shared" si="29"/>
        <v>70.56</v>
      </c>
      <c r="H110" s="7" t="s">
        <v>187</v>
      </c>
      <c r="I110" s="8">
        <f>1-(SUM(D107:D111)/SUM(F107:F111))</f>
        <v>-20.08890701468189</v>
      </c>
    </row>
    <row r="111" spans="1:9" ht="15.75">
      <c r="A111" s="23">
        <v>30</v>
      </c>
      <c r="B111" s="5">
        <v>15</v>
      </c>
      <c r="C111" s="5">
        <f t="shared" si="26"/>
        <v>15</v>
      </c>
      <c r="D111" s="5">
        <f t="shared" si="27"/>
        <v>225</v>
      </c>
      <c r="E111" s="5">
        <f t="shared" si="28"/>
        <v>4.5999999999999996</v>
      </c>
      <c r="F111" s="5">
        <f t="shared" si="29"/>
        <v>21.159999999999997</v>
      </c>
    </row>
    <row r="112" spans="1:9" ht="31.5">
      <c r="A112" s="24" t="s">
        <v>183</v>
      </c>
      <c r="B112" s="5">
        <f>AVERAGE(B107:B111)</f>
        <v>10.4</v>
      </c>
      <c r="C112" s="5">
        <f>AVERAGE(C107:C111)</f>
        <v>24.6</v>
      </c>
      <c r="D112" s="5">
        <f>AVERAGE(D107:D111)</f>
        <v>1034.2</v>
      </c>
      <c r="E112" s="5"/>
      <c r="F112" s="5"/>
    </row>
    <row r="115" spans="1:9">
      <c r="A115" s="20" t="s">
        <v>223</v>
      </c>
    </row>
    <row r="117" spans="1:9" ht="15" customHeight="1">
      <c r="A117" s="50" t="s">
        <v>224</v>
      </c>
      <c r="B117" s="26" t="s">
        <v>219</v>
      </c>
      <c r="C117" s="50" t="s">
        <v>179</v>
      </c>
      <c r="D117" s="50" t="s">
        <v>180</v>
      </c>
      <c r="E117" s="50" t="s">
        <v>181</v>
      </c>
      <c r="F117" s="50" t="s">
        <v>182</v>
      </c>
    </row>
    <row r="118" spans="1:9" ht="31.5">
      <c r="A118" s="52"/>
      <c r="B118" s="65" t="s">
        <v>222</v>
      </c>
      <c r="C118" s="52"/>
      <c r="D118" s="52"/>
      <c r="E118" s="52"/>
      <c r="F118" s="52"/>
    </row>
    <row r="119" spans="1:9" ht="15.75">
      <c r="A119" s="51"/>
      <c r="B119" s="27" t="s">
        <v>225</v>
      </c>
      <c r="C119" s="51"/>
      <c r="D119" s="51"/>
      <c r="E119" s="51"/>
      <c r="F119" s="51"/>
    </row>
    <row r="120" spans="1:9" ht="15.75">
      <c r="A120" s="23">
        <v>12</v>
      </c>
      <c r="B120" s="5">
        <v>12</v>
      </c>
      <c r="C120" s="5">
        <f>ABS(B120-A120)</f>
        <v>0</v>
      </c>
      <c r="D120" s="5">
        <f>(B120-A120)^2</f>
        <v>0</v>
      </c>
      <c r="E120" s="5">
        <f>B120-$B$125</f>
        <v>2</v>
      </c>
      <c r="F120" s="5">
        <f>E120^2</f>
        <v>4</v>
      </c>
      <c r="H120" s="7" t="s">
        <v>184</v>
      </c>
      <c r="I120" s="8">
        <f>AVERAGE(C120:C124)</f>
        <v>22.6</v>
      </c>
    </row>
    <row r="121" spans="1:9" ht="15.75">
      <c r="A121" s="23">
        <v>39</v>
      </c>
      <c r="B121" s="5">
        <v>7</v>
      </c>
      <c r="C121" s="5">
        <f t="shared" ref="C121:C124" si="30">ABS(B121-A121)</f>
        <v>32</v>
      </c>
      <c r="D121" s="5">
        <f t="shared" ref="D121:D124" si="31">(B121-A121)^2</f>
        <v>1024</v>
      </c>
      <c r="E121" s="5">
        <f>B121-$B$125</f>
        <v>-3</v>
      </c>
      <c r="F121" s="5">
        <f t="shared" ref="F121:F124" si="32">E121^2</f>
        <v>9</v>
      </c>
      <c r="H121" s="7" t="s">
        <v>185</v>
      </c>
      <c r="I121" s="8">
        <f>AVERAGE(D120:D124)</f>
        <v>693</v>
      </c>
    </row>
    <row r="122" spans="1:9" ht="15.75">
      <c r="A122" s="23">
        <v>34</v>
      </c>
      <c r="B122" s="5">
        <v>14</v>
      </c>
      <c r="C122" s="5">
        <f t="shared" si="30"/>
        <v>20</v>
      </c>
      <c r="D122" s="5">
        <f t="shared" si="31"/>
        <v>400</v>
      </c>
      <c r="E122" s="5">
        <f>B122-$B$125</f>
        <v>4</v>
      </c>
      <c r="F122" s="5">
        <f t="shared" si="32"/>
        <v>16</v>
      </c>
      <c r="H122" s="7" t="s">
        <v>186</v>
      </c>
      <c r="I122" s="7">
        <f>SQRT(AVERAGE(D120:D124))</f>
        <v>26.324893162176366</v>
      </c>
    </row>
    <row r="123" spans="1:9" ht="15.75">
      <c r="A123" s="23">
        <v>44</v>
      </c>
      <c r="B123" s="5">
        <v>4</v>
      </c>
      <c r="C123" s="5">
        <f t="shared" si="30"/>
        <v>40</v>
      </c>
      <c r="D123" s="5">
        <f t="shared" si="31"/>
        <v>1600</v>
      </c>
      <c r="E123" s="5">
        <f>B123-$B$125</f>
        <v>-6</v>
      </c>
      <c r="F123" s="5">
        <f t="shared" si="32"/>
        <v>36</v>
      </c>
      <c r="H123" s="7" t="s">
        <v>187</v>
      </c>
      <c r="I123" s="8">
        <f>1-(SUM(D120:D124)/SUM(F120:F124))</f>
        <v>-45.824324324324323</v>
      </c>
    </row>
    <row r="124" spans="1:9" ht="16.5" thickBot="1">
      <c r="A124" s="23">
        <v>34</v>
      </c>
      <c r="B124" s="5">
        <v>13</v>
      </c>
      <c r="C124" s="5">
        <f t="shared" si="30"/>
        <v>21</v>
      </c>
      <c r="D124" s="5">
        <f t="shared" si="31"/>
        <v>441</v>
      </c>
      <c r="E124" s="5">
        <f>B124-$B$125</f>
        <v>3</v>
      </c>
      <c r="F124" s="5">
        <f t="shared" si="32"/>
        <v>9</v>
      </c>
    </row>
    <row r="125" spans="1:9" ht="32.25" thickBot="1">
      <c r="A125" s="24" t="s">
        <v>183</v>
      </c>
      <c r="B125" s="5">
        <f>AVERAGE(B120:B124)</f>
        <v>10</v>
      </c>
      <c r="C125" s="5">
        <f>AVERAGE(C120:C124)</f>
        <v>22.6</v>
      </c>
      <c r="D125" s="5">
        <f>AVERAGE(D120:D124)</f>
        <v>693</v>
      </c>
      <c r="E125" s="5"/>
      <c r="F125" s="5"/>
    </row>
    <row r="131" spans="1:9">
      <c r="A131" s="20" t="s">
        <v>226</v>
      </c>
    </row>
    <row r="133" spans="1:9" ht="15.75">
      <c r="A133" s="50" t="s">
        <v>227</v>
      </c>
      <c r="B133" s="26" t="s">
        <v>219</v>
      </c>
      <c r="C133" s="50" t="s">
        <v>179</v>
      </c>
      <c r="D133" s="50" t="s">
        <v>180</v>
      </c>
      <c r="E133" s="50" t="s">
        <v>181</v>
      </c>
      <c r="F133" s="50" t="s">
        <v>182</v>
      </c>
    </row>
    <row r="134" spans="1:9" ht="31.5">
      <c r="A134" s="51"/>
      <c r="B134" s="64" t="s">
        <v>222</v>
      </c>
      <c r="C134" s="51"/>
      <c r="D134" s="51"/>
      <c r="E134" s="51"/>
      <c r="F134" s="51"/>
    </row>
    <row r="135" spans="1:9" ht="15.75">
      <c r="A135" s="23">
        <v>11</v>
      </c>
      <c r="B135" s="5">
        <v>15</v>
      </c>
      <c r="C135" s="5">
        <f>ABS(B135-A135)</f>
        <v>4</v>
      </c>
      <c r="D135" s="5">
        <f>(B135-A135)^2</f>
        <v>16</v>
      </c>
      <c r="E135" s="5">
        <f>B135-$B$140</f>
        <v>-0.80000000000000071</v>
      </c>
      <c r="F135" s="5">
        <f>E135^2</f>
        <v>0.64000000000000112</v>
      </c>
      <c r="H135" s="7" t="s">
        <v>184</v>
      </c>
      <c r="I135" s="8">
        <f>AVERAGE(C135:C139)</f>
        <v>18.399999999999999</v>
      </c>
    </row>
    <row r="136" spans="1:9" ht="15.75">
      <c r="A136" s="23">
        <v>37</v>
      </c>
      <c r="B136" s="5">
        <v>10</v>
      </c>
      <c r="C136" s="5">
        <f t="shared" ref="C136:C139" si="33">ABS(B136-A136)</f>
        <v>27</v>
      </c>
      <c r="D136" s="5">
        <f t="shared" ref="D136:D139" si="34">(B136-A136)^2</f>
        <v>729</v>
      </c>
      <c r="E136" s="5">
        <f>B136-$B$140</f>
        <v>-5.8000000000000007</v>
      </c>
      <c r="F136" s="5">
        <f t="shared" ref="F136:F139" si="35">E136^2</f>
        <v>33.640000000000008</v>
      </c>
      <c r="H136" s="7" t="s">
        <v>185</v>
      </c>
      <c r="I136" s="8">
        <f>AVERAGE(D135:D139)</f>
        <v>418</v>
      </c>
    </row>
    <row r="137" spans="1:9" ht="15.75">
      <c r="A137" s="23">
        <v>30</v>
      </c>
      <c r="B137" s="5">
        <v>18</v>
      </c>
      <c r="C137" s="5">
        <f t="shared" si="33"/>
        <v>12</v>
      </c>
      <c r="D137" s="5">
        <f t="shared" si="34"/>
        <v>144</v>
      </c>
      <c r="E137" s="5">
        <f>B137-$B$140</f>
        <v>2.1999999999999993</v>
      </c>
      <c r="F137" s="5">
        <f t="shared" si="35"/>
        <v>4.8399999999999972</v>
      </c>
      <c r="H137" s="7" t="s">
        <v>186</v>
      </c>
      <c r="I137" s="7">
        <f>SQRT(AVERAGE(D135:D139))</f>
        <v>20.445048300260872</v>
      </c>
    </row>
    <row r="138" spans="1:9" ht="15.75">
      <c r="A138" s="23">
        <v>57</v>
      </c>
      <c r="B138" s="5">
        <v>33</v>
      </c>
      <c r="C138" s="5">
        <f t="shared" si="33"/>
        <v>24</v>
      </c>
      <c r="D138" s="5">
        <f t="shared" si="34"/>
        <v>576</v>
      </c>
      <c r="E138" s="5">
        <f>B138-$B$140</f>
        <v>17.2</v>
      </c>
      <c r="F138" s="5">
        <f t="shared" si="35"/>
        <v>295.83999999999997</v>
      </c>
      <c r="H138" s="7" t="s">
        <v>187</v>
      </c>
      <c r="I138" s="8">
        <f>1-(SUM(D135:D139)/SUM(F135:F139))</f>
        <v>-3.1900561347233358</v>
      </c>
    </row>
    <row r="139" spans="1:9" ht="16.5" thickBot="1">
      <c r="A139" s="23">
        <v>28</v>
      </c>
      <c r="B139" s="5">
        <v>3</v>
      </c>
      <c r="C139" s="5">
        <f t="shared" si="33"/>
        <v>25</v>
      </c>
      <c r="D139" s="5">
        <f t="shared" si="34"/>
        <v>625</v>
      </c>
      <c r="E139" s="5">
        <f>B139-$B$140</f>
        <v>-12.8</v>
      </c>
      <c r="F139" s="5">
        <f t="shared" si="35"/>
        <v>163.84000000000003</v>
      </c>
    </row>
    <row r="140" spans="1:9" ht="32.25" thickBot="1">
      <c r="A140" s="24" t="s">
        <v>183</v>
      </c>
      <c r="B140" s="5">
        <f>AVERAGE(B135:B139)</f>
        <v>15.8</v>
      </c>
      <c r="C140" s="5">
        <f>AVERAGE(C135:C139)</f>
        <v>18.399999999999999</v>
      </c>
      <c r="D140" s="5">
        <f>AVERAGE(D135:D139)</f>
        <v>418</v>
      </c>
      <c r="E140" s="5"/>
      <c r="F140" s="25"/>
    </row>
    <row r="147" spans="1:9">
      <c r="A147" s="20" t="s">
        <v>228</v>
      </c>
    </row>
    <row r="149" spans="1:9" ht="47.25">
      <c r="A149" s="22" t="s">
        <v>229</v>
      </c>
      <c r="B149" s="62" t="s">
        <v>287</v>
      </c>
      <c r="C149" s="3" t="s">
        <v>179</v>
      </c>
      <c r="D149" s="3" t="s">
        <v>180</v>
      </c>
      <c r="E149" s="3" t="s">
        <v>181</v>
      </c>
      <c r="F149" s="3" t="s">
        <v>182</v>
      </c>
    </row>
    <row r="150" spans="1:9" ht="15.75">
      <c r="A150" s="23">
        <v>18</v>
      </c>
      <c r="B150" s="5">
        <v>15</v>
      </c>
      <c r="C150" s="5">
        <f>ABS(B150-A150)</f>
        <v>3</v>
      </c>
      <c r="D150" s="5">
        <f>(B150-A150)^2</f>
        <v>9</v>
      </c>
      <c r="E150" s="5">
        <f>B150-$B$155</f>
        <v>3</v>
      </c>
      <c r="F150" s="5">
        <f>E150^2</f>
        <v>9</v>
      </c>
      <c r="H150" s="7" t="s">
        <v>184</v>
      </c>
      <c r="I150" s="8">
        <f>AVERAGE(C150:C154)</f>
        <v>23.4</v>
      </c>
    </row>
    <row r="151" spans="1:9" ht="15.75">
      <c r="A151" s="23">
        <v>6</v>
      </c>
      <c r="B151" s="5">
        <v>13</v>
      </c>
      <c r="C151" s="5">
        <f t="shared" ref="C151:C154" si="36">ABS(B151-A151)</f>
        <v>7</v>
      </c>
      <c r="D151" s="5">
        <f t="shared" ref="D151:D154" si="37">(B151-A151)^2</f>
        <v>49</v>
      </c>
      <c r="E151" s="5">
        <f>B151-$B$155</f>
        <v>1</v>
      </c>
      <c r="F151" s="5">
        <f t="shared" ref="F151:F154" si="38">E151^2</f>
        <v>1</v>
      </c>
      <c r="H151" s="7" t="s">
        <v>185</v>
      </c>
      <c r="I151" s="8">
        <f>AVERAGE(D150:D154)</f>
        <v>893.4</v>
      </c>
    </row>
    <row r="152" spans="1:9" ht="15.75">
      <c r="A152" s="23">
        <v>65</v>
      </c>
      <c r="B152" s="5">
        <v>10</v>
      </c>
      <c r="C152" s="5">
        <f t="shared" si="36"/>
        <v>55</v>
      </c>
      <c r="D152" s="5">
        <f t="shared" si="37"/>
        <v>3025</v>
      </c>
      <c r="E152" s="5">
        <f>B152-$B$155</f>
        <v>-2</v>
      </c>
      <c r="F152" s="5">
        <f t="shared" si="38"/>
        <v>4</v>
      </c>
      <c r="H152" s="7" t="s">
        <v>186</v>
      </c>
      <c r="I152" s="7">
        <f>SQRT(AVERAGE(D150:D154))</f>
        <v>29.889797590482274</v>
      </c>
    </row>
    <row r="153" spans="1:9" ht="15.75">
      <c r="A153" s="23">
        <v>48</v>
      </c>
      <c r="B153" s="5">
        <v>18</v>
      </c>
      <c r="C153" s="5">
        <f t="shared" si="36"/>
        <v>30</v>
      </c>
      <c r="D153" s="5">
        <f t="shared" si="37"/>
        <v>900</v>
      </c>
      <c r="E153" s="5">
        <f>B153-$B$155</f>
        <v>6</v>
      </c>
      <c r="F153" s="5">
        <f t="shared" si="38"/>
        <v>36</v>
      </c>
      <c r="H153" s="7" t="s">
        <v>187</v>
      </c>
      <c r="I153" s="8">
        <f>1-(SUM(D150:D154)/SUM(F150:F154))</f>
        <v>-38.184210526315788</v>
      </c>
    </row>
    <row r="154" spans="1:9" ht="16.5" thickBot="1">
      <c r="A154" s="23">
        <v>26</v>
      </c>
      <c r="B154" s="5">
        <v>4</v>
      </c>
      <c r="C154" s="5">
        <f t="shared" si="36"/>
        <v>22</v>
      </c>
      <c r="D154" s="5">
        <f t="shared" si="37"/>
        <v>484</v>
      </c>
      <c r="E154" s="5">
        <f>B154-$B$155</f>
        <v>-8</v>
      </c>
      <c r="F154" s="5">
        <f t="shared" si="38"/>
        <v>64</v>
      </c>
    </row>
    <row r="155" spans="1:9" ht="32.25" thickBot="1">
      <c r="A155" s="24" t="s">
        <v>183</v>
      </c>
      <c r="B155" s="5">
        <f>AVERAGE(B150:B154)</f>
        <v>12</v>
      </c>
      <c r="C155" s="5">
        <f>AVERAGE(C150:C154)</f>
        <v>23.4</v>
      </c>
      <c r="D155" s="25">
        <f>AVERAGE(D150:D154)</f>
        <v>893.4</v>
      </c>
      <c r="E155" s="5"/>
      <c r="F155" s="25"/>
    </row>
    <row r="159" spans="1:9">
      <c r="A159" s="20" t="s">
        <v>230</v>
      </c>
    </row>
    <row r="161" spans="1:9" ht="47.25">
      <c r="A161" s="22" t="s">
        <v>231</v>
      </c>
      <c r="B161" s="62" t="s">
        <v>212</v>
      </c>
      <c r="C161" s="3" t="s">
        <v>179</v>
      </c>
      <c r="D161" s="3" t="s">
        <v>180</v>
      </c>
      <c r="E161" s="3" t="s">
        <v>181</v>
      </c>
      <c r="F161" s="3" t="s">
        <v>182</v>
      </c>
    </row>
    <row r="162" spans="1:9" ht="16.5" thickBot="1">
      <c r="A162" s="23">
        <v>8</v>
      </c>
      <c r="B162" s="5">
        <v>18</v>
      </c>
      <c r="C162" s="5">
        <f>ABS(B162-A162)</f>
        <v>10</v>
      </c>
      <c r="D162" s="5">
        <f>(B162-A162)^2</f>
        <v>100</v>
      </c>
      <c r="E162" s="5">
        <f>B162-$B$167</f>
        <v>-0.19999999999999929</v>
      </c>
      <c r="F162" s="5">
        <f>E162^2</f>
        <v>3.9999999999999716E-2</v>
      </c>
      <c r="H162" s="7" t="s">
        <v>184</v>
      </c>
      <c r="I162" s="8">
        <f>AVERAGE(C162:C166)</f>
        <v>21.2</v>
      </c>
    </row>
    <row r="163" spans="1:9" ht="16.5" thickBot="1">
      <c r="A163" s="23">
        <v>26</v>
      </c>
      <c r="B163" s="5">
        <v>33</v>
      </c>
      <c r="C163" s="5">
        <f t="shared" ref="C163:C166" si="39">ABS(B163-A163)</f>
        <v>7</v>
      </c>
      <c r="D163" s="5">
        <f t="shared" ref="D163:D166" si="40">(B163-A163)^2</f>
        <v>49</v>
      </c>
      <c r="E163" s="5">
        <f t="shared" ref="E163:E166" si="41">B163-$B$167</f>
        <v>14.8</v>
      </c>
      <c r="F163" s="5">
        <f t="shared" ref="F163:F166" si="42">E163^2</f>
        <v>219.04000000000002</v>
      </c>
      <c r="H163" s="7" t="s">
        <v>185</v>
      </c>
      <c r="I163" s="8">
        <f>AVERAGE(D162:D166)</f>
        <v>858.8</v>
      </c>
    </row>
    <row r="164" spans="1:9" ht="16.5" thickBot="1">
      <c r="A164" s="23">
        <v>65</v>
      </c>
      <c r="B164" s="5">
        <v>4</v>
      </c>
      <c r="C164" s="5">
        <f t="shared" si="39"/>
        <v>61</v>
      </c>
      <c r="D164" s="5">
        <f t="shared" si="40"/>
        <v>3721</v>
      </c>
      <c r="E164" s="5">
        <f t="shared" si="41"/>
        <v>-14.2</v>
      </c>
      <c r="F164" s="5">
        <f t="shared" si="42"/>
        <v>201.64</v>
      </c>
      <c r="H164" s="7" t="s">
        <v>186</v>
      </c>
      <c r="I164" s="7">
        <f>SQRT(AVERAGE(D162:D166))</f>
        <v>29.305289624912426</v>
      </c>
    </row>
    <row r="165" spans="1:9" ht="15.75">
      <c r="A165" s="23">
        <v>39</v>
      </c>
      <c r="B165" s="5">
        <v>21</v>
      </c>
      <c r="C165" s="5">
        <f t="shared" si="39"/>
        <v>18</v>
      </c>
      <c r="D165" s="5">
        <f t="shared" si="40"/>
        <v>324</v>
      </c>
      <c r="E165" s="5">
        <f t="shared" si="41"/>
        <v>2.8000000000000007</v>
      </c>
      <c r="F165" s="5">
        <f t="shared" si="42"/>
        <v>7.8400000000000043</v>
      </c>
      <c r="H165" s="7" t="s">
        <v>187</v>
      </c>
      <c r="I165" s="8">
        <f>1-(SUM(D162:D166)/SUM(F162:F166))</f>
        <v>-8.7857793983591606</v>
      </c>
    </row>
    <row r="166" spans="1:9" ht="15.75">
      <c r="A166" s="23">
        <v>25</v>
      </c>
      <c r="B166" s="5">
        <v>15</v>
      </c>
      <c r="C166" s="5">
        <f t="shared" si="39"/>
        <v>10</v>
      </c>
      <c r="D166" s="5">
        <f t="shared" si="40"/>
        <v>100</v>
      </c>
      <c r="E166" s="5">
        <f t="shared" si="41"/>
        <v>-3.1999999999999993</v>
      </c>
      <c r="F166" s="5">
        <f t="shared" si="42"/>
        <v>10.239999999999995</v>
      </c>
    </row>
    <row r="167" spans="1:9" ht="31.5">
      <c r="A167" s="24" t="s">
        <v>183</v>
      </c>
      <c r="B167" s="5">
        <f>AVERAGE(B162:B166)</f>
        <v>18.2</v>
      </c>
      <c r="C167" s="5">
        <f>AVERAGE(C162:C166)</f>
        <v>21.2</v>
      </c>
      <c r="D167" s="25">
        <f>AVERAGE(D162:D166)</f>
        <v>858.8</v>
      </c>
      <c r="E167" s="5"/>
      <c r="F167" s="5"/>
    </row>
    <row r="170" spans="1:9">
      <c r="A170" s="20" t="s">
        <v>232</v>
      </c>
    </row>
    <row r="172" spans="1:9" ht="47.25">
      <c r="A172" s="22" t="s">
        <v>233</v>
      </c>
      <c r="B172" s="62" t="s">
        <v>212</v>
      </c>
      <c r="C172" s="3" t="s">
        <v>179</v>
      </c>
      <c r="D172" s="3" t="s">
        <v>180</v>
      </c>
      <c r="E172" s="3" t="s">
        <v>181</v>
      </c>
      <c r="F172" s="3" t="s">
        <v>182</v>
      </c>
    </row>
    <row r="173" spans="1:9" ht="15.75">
      <c r="A173" s="23">
        <v>12</v>
      </c>
      <c r="B173" s="5">
        <v>21</v>
      </c>
      <c r="C173" s="5">
        <f>ABS(B173-A173)</f>
        <v>9</v>
      </c>
      <c r="D173" s="5">
        <f>(B173-A173)^2</f>
        <v>81</v>
      </c>
      <c r="E173" s="5">
        <f>B173-$B$178</f>
        <v>5.4</v>
      </c>
      <c r="F173" s="5">
        <f>E173^2</f>
        <v>29.160000000000004</v>
      </c>
      <c r="H173" s="7" t="s">
        <v>184</v>
      </c>
      <c r="I173" s="8">
        <f>AVERAGE(C173:C177)</f>
        <v>22.2</v>
      </c>
    </row>
    <row r="174" spans="1:9" ht="15.75">
      <c r="A174" s="23">
        <v>45</v>
      </c>
      <c r="B174" s="5">
        <v>7</v>
      </c>
      <c r="C174" s="5">
        <f t="shared" ref="C174:C177" si="43">ABS(B174-A174)</f>
        <v>38</v>
      </c>
      <c r="D174" s="5">
        <f t="shared" ref="D174:D177" si="44">(B174-A174)^2</f>
        <v>1444</v>
      </c>
      <c r="E174" s="5">
        <f>B174-$B$178</f>
        <v>-8.6</v>
      </c>
      <c r="F174" s="5">
        <f t="shared" ref="F174:F177" si="45">E174^2</f>
        <v>73.959999999999994</v>
      </c>
      <c r="H174" s="7" t="s">
        <v>185</v>
      </c>
      <c r="I174" s="8">
        <f>AVERAGE(D173:D177)</f>
        <v>687.8</v>
      </c>
    </row>
    <row r="175" spans="1:9" ht="15.75">
      <c r="A175" s="23">
        <v>30</v>
      </c>
      <c r="B175" s="5">
        <v>7</v>
      </c>
      <c r="C175" s="5">
        <f t="shared" si="43"/>
        <v>23</v>
      </c>
      <c r="D175" s="5">
        <f t="shared" si="44"/>
        <v>529</v>
      </c>
      <c r="E175" s="5">
        <f>B175-$B$178</f>
        <v>-8.6</v>
      </c>
      <c r="F175" s="5">
        <f t="shared" si="45"/>
        <v>73.959999999999994</v>
      </c>
      <c r="H175" s="7" t="s">
        <v>186</v>
      </c>
      <c r="I175" s="7">
        <f>SQRT(AVERAGE(D173:D177))</f>
        <v>26.225941355840785</v>
      </c>
    </row>
    <row r="176" spans="1:9" ht="15.75">
      <c r="A176" s="23">
        <v>47</v>
      </c>
      <c r="B176" s="5">
        <v>10</v>
      </c>
      <c r="C176" s="5">
        <f t="shared" si="43"/>
        <v>37</v>
      </c>
      <c r="D176" s="5">
        <f t="shared" si="44"/>
        <v>1369</v>
      </c>
      <c r="E176" s="5">
        <f>B176-$B$178</f>
        <v>-5.6</v>
      </c>
      <c r="F176" s="5">
        <f t="shared" si="45"/>
        <v>31.359999999999996</v>
      </c>
      <c r="H176" s="7" t="s">
        <v>187</v>
      </c>
      <c r="I176" s="8">
        <f>1-(SUM(D173:D177)/SUM(F173:F177))</f>
        <v>-5.7273082942097036</v>
      </c>
    </row>
    <row r="177" spans="1:9" ht="16.5" thickBot="1">
      <c r="A177" s="23">
        <v>29</v>
      </c>
      <c r="B177" s="5">
        <v>33</v>
      </c>
      <c r="C177" s="5">
        <f t="shared" si="43"/>
        <v>4</v>
      </c>
      <c r="D177" s="5">
        <f t="shared" si="44"/>
        <v>16</v>
      </c>
      <c r="E177" s="5">
        <f>B177-$B$178</f>
        <v>17.399999999999999</v>
      </c>
      <c r="F177" s="5">
        <f t="shared" si="45"/>
        <v>302.75999999999993</v>
      </c>
    </row>
    <row r="178" spans="1:9" ht="32.25" thickBot="1">
      <c r="A178" s="22" t="s">
        <v>183</v>
      </c>
      <c r="B178" s="28">
        <f>AVERAGE(B173:B177)</f>
        <v>15.6</v>
      </c>
      <c r="C178" s="28">
        <f>AVERAGE(C173:C177)</f>
        <v>22.2</v>
      </c>
      <c r="D178" s="29">
        <f>AVERAGE(D173:D177)</f>
        <v>687.8</v>
      </c>
      <c r="E178" s="28"/>
      <c r="F178" s="29"/>
    </row>
    <row r="185" spans="1:9">
      <c r="A185" s="20" t="s">
        <v>234</v>
      </c>
    </row>
    <row r="187" spans="1:9" ht="47.25">
      <c r="A187" s="22" t="s">
        <v>235</v>
      </c>
      <c r="B187" s="62" t="s">
        <v>212</v>
      </c>
      <c r="C187" s="3" t="s">
        <v>179</v>
      </c>
      <c r="D187" s="3" t="s">
        <v>180</v>
      </c>
      <c r="E187" s="3" t="s">
        <v>181</v>
      </c>
      <c r="F187" s="3" t="s">
        <v>182</v>
      </c>
    </row>
    <row r="188" spans="1:9" ht="15.75">
      <c r="A188" s="23">
        <v>20</v>
      </c>
      <c r="B188" s="5">
        <v>12</v>
      </c>
      <c r="C188" s="5">
        <f>ABS(B188-A188)</f>
        <v>8</v>
      </c>
      <c r="D188" s="5">
        <f>(B188-A188)^2</f>
        <v>64</v>
      </c>
      <c r="E188" s="5">
        <f>B188-$B$193</f>
        <v>-7.8000000000000007</v>
      </c>
      <c r="F188" s="25">
        <f>E188^2</f>
        <v>60.840000000000011</v>
      </c>
      <c r="H188" s="7" t="s">
        <v>184</v>
      </c>
      <c r="I188" s="8">
        <f>AVERAGE(C188:C192)</f>
        <v>18.399999999999999</v>
      </c>
    </row>
    <row r="189" spans="1:9" ht="15.75">
      <c r="A189" s="23">
        <v>11</v>
      </c>
      <c r="B189" s="5">
        <v>21</v>
      </c>
      <c r="C189" s="5">
        <f t="shared" ref="C189:C192" si="46">ABS(B189-A189)</f>
        <v>10</v>
      </c>
      <c r="D189" s="5">
        <f t="shared" ref="D189:D192" si="47">(B189-A189)^2</f>
        <v>100</v>
      </c>
      <c r="E189" s="5">
        <f>B189-$B$193</f>
        <v>1.1999999999999993</v>
      </c>
      <c r="F189" s="25">
        <f t="shared" ref="F189:F192" si="48">E189^2</f>
        <v>1.4399999999999984</v>
      </c>
      <c r="H189" s="7" t="s">
        <v>185</v>
      </c>
      <c r="I189" s="8">
        <f>AVERAGE(D188:D192)</f>
        <v>403.6</v>
      </c>
    </row>
    <row r="190" spans="1:9" ht="15.75">
      <c r="A190" s="23">
        <v>4</v>
      </c>
      <c r="B190" s="5">
        <v>33</v>
      </c>
      <c r="C190" s="5">
        <f t="shared" si="46"/>
        <v>29</v>
      </c>
      <c r="D190" s="5">
        <f t="shared" si="47"/>
        <v>841</v>
      </c>
      <c r="E190" s="5">
        <f>B190-$B$193</f>
        <v>13.2</v>
      </c>
      <c r="F190" s="25">
        <f t="shared" si="48"/>
        <v>174.23999999999998</v>
      </c>
      <c r="H190" s="7" t="s">
        <v>186</v>
      </c>
      <c r="I190" s="7">
        <f>SQRT(AVERAGE(D188:D192))</f>
        <v>20.089798406156294</v>
      </c>
    </row>
    <row r="191" spans="1:9" ht="15.75">
      <c r="A191" s="23">
        <v>37</v>
      </c>
      <c r="B191" s="5">
        <v>15</v>
      </c>
      <c r="C191" s="5">
        <f t="shared" si="46"/>
        <v>22</v>
      </c>
      <c r="D191" s="5">
        <f t="shared" si="47"/>
        <v>484</v>
      </c>
      <c r="E191" s="5">
        <f>B191-$B$193</f>
        <v>-4.8000000000000007</v>
      </c>
      <c r="F191" s="25">
        <f t="shared" si="48"/>
        <v>23.040000000000006</v>
      </c>
      <c r="H191" s="7" t="s">
        <v>187</v>
      </c>
      <c r="I191" s="8">
        <f>1-(SUM(D188:D192)/SUM(F188:F192))</f>
        <v>-6.6788432267884321</v>
      </c>
    </row>
    <row r="192" spans="1:9" ht="16.5" thickBot="1">
      <c r="A192" s="23">
        <v>41</v>
      </c>
      <c r="B192" s="5">
        <v>18</v>
      </c>
      <c r="C192" s="5">
        <f t="shared" si="46"/>
        <v>23</v>
      </c>
      <c r="D192" s="5">
        <f t="shared" si="47"/>
        <v>529</v>
      </c>
      <c r="E192" s="5">
        <f>B192-$B$193</f>
        <v>-1.8000000000000007</v>
      </c>
      <c r="F192" s="25">
        <f t="shared" si="48"/>
        <v>3.2400000000000024</v>
      </c>
    </row>
    <row r="193" spans="1:6" ht="32.25" thickBot="1">
      <c r="A193" s="24" t="s">
        <v>183</v>
      </c>
      <c r="B193" s="5">
        <f>AVERAGE(B188:B192)</f>
        <v>19.8</v>
      </c>
      <c r="C193" s="5">
        <f>AVERAGE(C188:C192)</f>
        <v>18.399999999999999</v>
      </c>
      <c r="D193" s="25">
        <f>AVERAGE(D188:D192)</f>
        <v>403.6</v>
      </c>
      <c r="E193" s="5"/>
      <c r="F193" s="5"/>
    </row>
  </sheetData>
  <mergeCells count="20">
    <mergeCell ref="F90:F91"/>
    <mergeCell ref="F105:F106"/>
    <mergeCell ref="F117:F119"/>
    <mergeCell ref="F133:F134"/>
    <mergeCell ref="D90:D91"/>
    <mergeCell ref="D105:D106"/>
    <mergeCell ref="D117:D119"/>
    <mergeCell ref="D133:D134"/>
    <mergeCell ref="E90:E91"/>
    <mergeCell ref="E105:E106"/>
    <mergeCell ref="E117:E119"/>
    <mergeCell ref="E133:E134"/>
    <mergeCell ref="A90:A91"/>
    <mergeCell ref="A105:A106"/>
    <mergeCell ref="A117:A119"/>
    <mergeCell ref="A133:A134"/>
    <mergeCell ref="C90:C91"/>
    <mergeCell ref="C105:C106"/>
    <mergeCell ref="C117:C119"/>
    <mergeCell ref="C133:C13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6"/>
  <sheetViews>
    <sheetView workbookViewId="0">
      <selection activeCell="D20" sqref="D20"/>
    </sheetView>
  </sheetViews>
  <sheetFormatPr defaultColWidth="9" defaultRowHeight="15"/>
  <cols>
    <col min="2" max="2" width="19.42578125" customWidth="1"/>
    <col min="3" max="3" width="15.140625" customWidth="1"/>
    <col min="4" max="4" width="14.7109375" customWidth="1"/>
    <col min="5" max="5" width="16" customWidth="1"/>
  </cols>
  <sheetData>
    <row r="1" spans="1:6" ht="15.75">
      <c r="A1" s="11" t="s">
        <v>174</v>
      </c>
      <c r="B1" s="12" t="s">
        <v>236</v>
      </c>
      <c r="C1" s="12" t="s">
        <v>184</v>
      </c>
      <c r="D1" s="12" t="s">
        <v>186</v>
      </c>
      <c r="E1" s="12" t="s">
        <v>187</v>
      </c>
    </row>
    <row r="2" spans="1:6" ht="15.75">
      <c r="A2" s="13">
        <v>1</v>
      </c>
      <c r="B2" s="14" t="s">
        <v>237</v>
      </c>
      <c r="C2" s="14">
        <v>22.6</v>
      </c>
      <c r="D2" s="14">
        <v>23.592400000000001</v>
      </c>
      <c r="E2" s="14">
        <v>-8.2520000000000007</v>
      </c>
    </row>
    <row r="3" spans="1:6" ht="15.75">
      <c r="A3" s="13">
        <v>2</v>
      </c>
      <c r="B3" s="14" t="s">
        <v>238</v>
      </c>
      <c r="C3" s="14">
        <v>23.285699999999999</v>
      </c>
      <c r="D3" s="14">
        <v>27.705100000000002</v>
      </c>
      <c r="E3" s="14">
        <v>-0.51870000000000005</v>
      </c>
    </row>
    <row r="4" spans="1:6" ht="15.75">
      <c r="A4" s="13">
        <v>3</v>
      </c>
      <c r="B4" s="14" t="s">
        <v>239</v>
      </c>
      <c r="C4" s="14">
        <v>14.8889</v>
      </c>
      <c r="D4" s="14">
        <v>21.123999999999999</v>
      </c>
      <c r="E4" s="14">
        <v>-257.17</v>
      </c>
    </row>
    <row r="5" spans="1:6" ht="15.75">
      <c r="A5" s="15">
        <v>4</v>
      </c>
      <c r="B5" s="16" t="s">
        <v>240</v>
      </c>
      <c r="C5" s="16">
        <v>26.666699999999999</v>
      </c>
      <c r="D5" s="16">
        <v>30.946200000000001</v>
      </c>
      <c r="E5" s="17">
        <v>-3830</v>
      </c>
    </row>
    <row r="6" spans="1:6" ht="15.75">
      <c r="A6" s="15">
        <v>5</v>
      </c>
      <c r="B6" s="16" t="s">
        <v>241</v>
      </c>
      <c r="C6" s="16">
        <v>20.6</v>
      </c>
      <c r="D6" s="16">
        <v>22.9041</v>
      </c>
      <c r="E6" s="16">
        <v>-5.9025999999999996</v>
      </c>
    </row>
    <row r="7" spans="1:6" ht="15.75">
      <c r="A7" s="13">
        <v>6</v>
      </c>
      <c r="B7" s="14" t="s">
        <v>242</v>
      </c>
      <c r="C7" s="14">
        <v>20</v>
      </c>
      <c r="D7" s="14">
        <v>25.230399999999999</v>
      </c>
      <c r="E7" s="14">
        <v>-221.8</v>
      </c>
    </row>
    <row r="8" spans="1:6" ht="15.75">
      <c r="A8" s="13">
        <v>7</v>
      </c>
      <c r="B8" s="14" t="s">
        <v>243</v>
      </c>
      <c r="C8" s="14">
        <v>26.666699999999999</v>
      </c>
      <c r="D8" s="14">
        <v>30.0777</v>
      </c>
      <c r="E8" s="14">
        <v>-3617.7</v>
      </c>
    </row>
    <row r="9" spans="1:6" ht="15.75">
      <c r="A9" s="13">
        <v>8</v>
      </c>
      <c r="B9" s="14" t="s">
        <v>244</v>
      </c>
      <c r="C9" s="14">
        <v>25.5</v>
      </c>
      <c r="D9" s="14">
        <v>29.929099999999998</v>
      </c>
      <c r="E9" s="14">
        <v>-1.0953999999999999</v>
      </c>
    </row>
    <row r="10" spans="1:6" ht="15.75">
      <c r="A10" s="13">
        <v>9</v>
      </c>
      <c r="B10" s="14" t="s">
        <v>245</v>
      </c>
      <c r="C10" s="14">
        <v>27</v>
      </c>
      <c r="D10" s="14">
        <v>33</v>
      </c>
      <c r="E10" s="14">
        <v>-21.507999999999999</v>
      </c>
    </row>
    <row r="11" spans="1:6" ht="15.75">
      <c r="A11" s="13">
        <v>10</v>
      </c>
      <c r="B11" s="14" t="s">
        <v>246</v>
      </c>
      <c r="C11" s="14">
        <v>18</v>
      </c>
      <c r="D11" s="14">
        <v>21.5639</v>
      </c>
      <c r="E11" s="14">
        <v>-1</v>
      </c>
    </row>
    <row r="12" spans="1:6" ht="15.75">
      <c r="A12" s="18">
        <v>11</v>
      </c>
      <c r="B12" s="19" t="s">
        <v>247</v>
      </c>
      <c r="C12" s="19">
        <v>14.666700000000001</v>
      </c>
      <c r="D12" s="19">
        <v>20.027799999999999</v>
      </c>
      <c r="E12" s="19">
        <v>-252.83</v>
      </c>
      <c r="F12" s="20"/>
    </row>
    <row r="13" spans="1:6" ht="15.75">
      <c r="A13" s="13">
        <v>12</v>
      </c>
      <c r="B13" s="14" t="s">
        <v>248</v>
      </c>
      <c r="C13" s="14">
        <v>26.5</v>
      </c>
      <c r="D13" s="14">
        <v>29.807700000000001</v>
      </c>
      <c r="E13" s="21">
        <v>-3997</v>
      </c>
    </row>
    <row r="14" spans="1:6" ht="15.75">
      <c r="A14" s="13">
        <v>13</v>
      </c>
      <c r="B14" s="14" t="s">
        <v>249</v>
      </c>
      <c r="C14" s="14">
        <v>25.2</v>
      </c>
      <c r="D14" s="14">
        <v>28.9482</v>
      </c>
      <c r="E14" s="14">
        <v>-8.5488</v>
      </c>
    </row>
    <row r="15" spans="1:6" ht="15.75">
      <c r="A15" s="13">
        <v>14</v>
      </c>
      <c r="B15" s="14" t="s">
        <v>250</v>
      </c>
      <c r="C15" s="14">
        <v>20.666699999999999</v>
      </c>
      <c r="D15" s="14">
        <v>23.346499999999999</v>
      </c>
      <c r="E15" s="14">
        <v>-0.7006</v>
      </c>
    </row>
    <row r="16" spans="1:6" ht="15.75">
      <c r="A16" s="13">
        <v>15</v>
      </c>
      <c r="B16" s="14" t="s">
        <v>251</v>
      </c>
      <c r="C16" s="14">
        <v>14.777799999999999</v>
      </c>
      <c r="D16" s="14">
        <v>18.859100000000002</v>
      </c>
      <c r="E16" s="14">
        <v>-159.05000000000001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2"/>
  <sheetViews>
    <sheetView topLeftCell="B1" workbookViewId="0">
      <selection activeCell="H6" sqref="H6"/>
    </sheetView>
  </sheetViews>
  <sheetFormatPr defaultColWidth="9" defaultRowHeight="15"/>
  <cols>
    <col min="3" max="3" width="12.5703125" customWidth="1"/>
    <col min="4" max="4" width="11.85546875" customWidth="1"/>
    <col min="5" max="5" width="13.85546875" customWidth="1"/>
    <col min="6" max="6" width="11.140625" customWidth="1"/>
    <col min="7" max="7" width="9.42578125" customWidth="1"/>
  </cols>
  <sheetData>
    <row r="1" spans="1:9" ht="42.75">
      <c r="A1" s="1" t="s">
        <v>174</v>
      </c>
      <c r="B1" s="2" t="s">
        <v>252</v>
      </c>
      <c r="C1" s="2" t="s">
        <v>253</v>
      </c>
      <c r="D1" s="3" t="s">
        <v>179</v>
      </c>
      <c r="E1" s="3" t="s">
        <v>180</v>
      </c>
      <c r="F1" s="3" t="s">
        <v>181</v>
      </c>
      <c r="G1" s="3" t="s">
        <v>182</v>
      </c>
    </row>
    <row r="2" spans="1:9" ht="15.75">
      <c r="A2" s="4">
        <v>1</v>
      </c>
      <c r="B2" s="5">
        <v>2</v>
      </c>
      <c r="C2" s="5">
        <v>2</v>
      </c>
      <c r="D2" s="6">
        <f>ABS(C2-B2)</f>
        <v>0</v>
      </c>
      <c r="E2" s="6">
        <f>(C2-B2)^2</f>
        <v>0</v>
      </c>
      <c r="F2" s="6">
        <f>B2-$B$11</f>
        <v>1</v>
      </c>
      <c r="G2" s="6">
        <f>F2^2</f>
        <v>1</v>
      </c>
      <c r="H2" s="7" t="s">
        <v>184</v>
      </c>
      <c r="I2" s="8">
        <f>AVERAGE(D2:D11)</f>
        <v>0.7</v>
      </c>
    </row>
    <row r="3" spans="1:9" ht="15.75">
      <c r="A3" s="4">
        <v>2</v>
      </c>
      <c r="B3" s="5">
        <v>2</v>
      </c>
      <c r="C3" s="5">
        <v>2</v>
      </c>
      <c r="D3" s="6">
        <f t="shared" ref="D3:D11" si="0">ABS(C3-B3)</f>
        <v>0</v>
      </c>
      <c r="E3" s="6">
        <f t="shared" ref="E3:E11" si="1">(C3-B3)^2</f>
        <v>0</v>
      </c>
      <c r="F3" s="6">
        <f t="shared" ref="F3:F11" si="2">B3-$B$11</f>
        <v>1</v>
      </c>
      <c r="G3" s="6">
        <f t="shared" ref="G3:G11" si="3">F3^2</f>
        <v>1</v>
      </c>
      <c r="H3" s="7" t="s">
        <v>185</v>
      </c>
      <c r="I3" s="8">
        <f>AVERAGE(E2:E11)</f>
        <v>0.7</v>
      </c>
    </row>
    <row r="4" spans="1:9" ht="15.75">
      <c r="A4" s="4">
        <v>3</v>
      </c>
      <c r="B4" s="5">
        <v>1</v>
      </c>
      <c r="C4" s="5">
        <v>2</v>
      </c>
      <c r="D4" s="6">
        <f t="shared" si="0"/>
        <v>1</v>
      </c>
      <c r="E4" s="6">
        <f t="shared" si="1"/>
        <v>1</v>
      </c>
      <c r="F4" s="6">
        <f t="shared" si="2"/>
        <v>0</v>
      </c>
      <c r="G4" s="6">
        <f t="shared" si="3"/>
        <v>0</v>
      </c>
      <c r="H4" s="7" t="s">
        <v>186</v>
      </c>
      <c r="I4" s="7">
        <f>SQRT(AVERAGE(E2:E11))</f>
        <v>0.83666002653407601</v>
      </c>
    </row>
    <row r="5" spans="1:9" ht="15.75">
      <c r="A5" s="4">
        <v>4</v>
      </c>
      <c r="B5" s="5">
        <v>1</v>
      </c>
      <c r="C5" s="5">
        <v>2</v>
      </c>
      <c r="D5" s="6">
        <f t="shared" si="0"/>
        <v>1</v>
      </c>
      <c r="E5" s="6">
        <f t="shared" si="1"/>
        <v>1</v>
      </c>
      <c r="F5" s="6">
        <f t="shared" si="2"/>
        <v>0</v>
      </c>
      <c r="G5" s="6">
        <f t="shared" si="3"/>
        <v>0</v>
      </c>
      <c r="H5" s="7" t="s">
        <v>187</v>
      </c>
      <c r="I5" s="8">
        <f>1-(SUM(E2:E11)/SUM(G2:G11))</f>
        <v>0.68181818181818199</v>
      </c>
    </row>
    <row r="6" spans="1:9" ht="15.75">
      <c r="A6" s="4">
        <v>5</v>
      </c>
      <c r="B6" s="5">
        <v>3</v>
      </c>
      <c r="C6" s="5">
        <v>2</v>
      </c>
      <c r="D6" s="6">
        <f t="shared" si="0"/>
        <v>1</v>
      </c>
      <c r="E6" s="6">
        <f t="shared" si="1"/>
        <v>1</v>
      </c>
      <c r="F6" s="6">
        <f t="shared" si="2"/>
        <v>2</v>
      </c>
      <c r="G6" s="6">
        <f t="shared" si="3"/>
        <v>4</v>
      </c>
    </row>
    <row r="7" spans="1:9" ht="15.75">
      <c r="A7" s="4">
        <v>6</v>
      </c>
      <c r="B7" s="5">
        <v>3</v>
      </c>
      <c r="C7" s="5">
        <v>2</v>
      </c>
      <c r="D7" s="6">
        <f t="shared" si="0"/>
        <v>1</v>
      </c>
      <c r="E7" s="6">
        <f t="shared" si="1"/>
        <v>1</v>
      </c>
      <c r="F7" s="6">
        <f t="shared" si="2"/>
        <v>2</v>
      </c>
      <c r="G7" s="6">
        <f t="shared" si="3"/>
        <v>4</v>
      </c>
    </row>
    <row r="8" spans="1:9" ht="15.75">
      <c r="A8" s="4">
        <v>7</v>
      </c>
      <c r="B8" s="5">
        <v>3</v>
      </c>
      <c r="C8" s="5">
        <v>2</v>
      </c>
      <c r="D8" s="6">
        <f t="shared" si="0"/>
        <v>1</v>
      </c>
      <c r="E8" s="6">
        <f t="shared" si="1"/>
        <v>1</v>
      </c>
      <c r="F8" s="6">
        <f t="shared" si="2"/>
        <v>2</v>
      </c>
      <c r="G8" s="6">
        <f t="shared" si="3"/>
        <v>4</v>
      </c>
    </row>
    <row r="9" spans="1:9" ht="15.75">
      <c r="A9" s="4">
        <v>8</v>
      </c>
      <c r="B9" s="5">
        <v>3</v>
      </c>
      <c r="C9" s="5">
        <v>3</v>
      </c>
      <c r="D9" s="6">
        <f t="shared" si="0"/>
        <v>0</v>
      </c>
      <c r="E9" s="6">
        <f t="shared" si="1"/>
        <v>0</v>
      </c>
      <c r="F9" s="6">
        <f t="shared" si="2"/>
        <v>2</v>
      </c>
      <c r="G9" s="6">
        <f t="shared" si="3"/>
        <v>4</v>
      </c>
    </row>
    <row r="10" spans="1:9" ht="15.75">
      <c r="A10" s="4">
        <v>9</v>
      </c>
      <c r="B10" s="5">
        <v>3</v>
      </c>
      <c r="C10" s="5">
        <v>2</v>
      </c>
      <c r="D10" s="6">
        <f t="shared" si="0"/>
        <v>1</v>
      </c>
      <c r="E10" s="6">
        <f t="shared" si="1"/>
        <v>1</v>
      </c>
      <c r="F10" s="6">
        <f t="shared" si="2"/>
        <v>2</v>
      </c>
      <c r="G10" s="6">
        <f t="shared" si="3"/>
        <v>4</v>
      </c>
    </row>
    <row r="11" spans="1:9" ht="15.75">
      <c r="A11" s="4">
        <v>10</v>
      </c>
      <c r="B11" s="5">
        <v>1</v>
      </c>
      <c r="C11" s="5">
        <v>2</v>
      </c>
      <c r="D11" s="6">
        <f t="shared" si="0"/>
        <v>1</v>
      </c>
      <c r="E11" s="6">
        <f t="shared" si="1"/>
        <v>1</v>
      </c>
      <c r="F11" s="6">
        <f t="shared" si="2"/>
        <v>0</v>
      </c>
      <c r="G11" s="6">
        <f t="shared" si="3"/>
        <v>0</v>
      </c>
    </row>
    <row r="12" spans="1:9">
      <c r="A12" s="9" t="s">
        <v>254</v>
      </c>
      <c r="B12" s="10">
        <f>AVERAGE(B2:B11)</f>
        <v>2.2000000000000002</v>
      </c>
      <c r="C12" s="10"/>
      <c r="D12" s="10">
        <f>AVERAGE(D2:D11)</f>
        <v>0.7</v>
      </c>
      <c r="E12" s="10">
        <f>SUM(E2:E11)</f>
        <v>7</v>
      </c>
      <c r="F12" s="10"/>
      <c r="G12" s="10">
        <f>SUM(G2:G11)</f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Data_DBD</vt:lpstr>
      <vt:lpstr>Pemilihan Fitur</vt:lpstr>
      <vt:lpstr>Data Uji</vt:lpstr>
      <vt:lpstr>Data Latih</vt:lpstr>
      <vt:lpstr>Pohon 1</vt:lpstr>
      <vt:lpstr>Pohon 2</vt:lpstr>
      <vt:lpstr>Pohon 3</vt:lpstr>
      <vt:lpstr>Pohon 4</vt:lpstr>
      <vt:lpstr>Pohon 5</vt:lpstr>
      <vt:lpstr>Pohon 6</vt:lpstr>
      <vt:lpstr>Pohon 7</vt:lpstr>
      <vt:lpstr>Pohon 8</vt:lpstr>
      <vt:lpstr>Pohon 9</vt:lpstr>
      <vt:lpstr>Pohon 10</vt:lpstr>
      <vt:lpstr>Pohon 11</vt:lpstr>
      <vt:lpstr>Pohon 12</vt:lpstr>
      <vt:lpstr>Pohon 13</vt:lpstr>
      <vt:lpstr>Pohon 14</vt:lpstr>
      <vt:lpstr>Pohon 15</vt:lpstr>
      <vt:lpstr>PerhitunganRF</vt:lpstr>
      <vt:lpstr>PenentuanPohonterbaik</vt:lpstr>
      <vt:lpstr>perhitungan data uji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Ghina Lutfiyyah</dc:creator>
  <cp:lastModifiedBy>Ghina Lutfiyyah</cp:lastModifiedBy>
  <dcterms:created xsi:type="dcterms:W3CDTF">2026-06-02T03:47:00Z</dcterms:created>
  <dcterms:modified xsi:type="dcterms:W3CDTF">2026-07-31T01:58:11Z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47EA536D8EFE4697A8E59E8949CBD34B_12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