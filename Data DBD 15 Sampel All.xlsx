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2630" windowHeight="4470" activeTab="1"/>
  </bookViews>
  <sheets>
    <sheet name="Data_DBD" sheetId="1" r:id="rId1"/>
    <sheet name="Pemilihan Fitur" sheetId="19" r:id="rId2"/>
    <sheet name="Data Uji" sheetId="26" r:id="rId3"/>
    <sheet name="Data Latih" sheetId="27" r:id="rId4"/>
    <sheet name="Pohon 1" sheetId="2" r:id="rId5"/>
    <sheet name="Pohon 2" sheetId="4" r:id="rId6"/>
    <sheet name="Pohon 3" sheetId="5" r:id="rId7"/>
    <sheet name="Pohon 4" sheetId="6" r:id="rId8"/>
    <sheet name="Pohon 5" sheetId="7" r:id="rId9"/>
    <sheet name="Pohon 6" sheetId="16" r:id="rId10"/>
    <sheet name="Pohon 7" sheetId="17" r:id="rId11"/>
    <sheet name="Pohon 8 " sheetId="18" r:id="rId12"/>
    <sheet name="Pohon 9" sheetId="8" r:id="rId13"/>
    <sheet name="Pohon 10" sheetId="9" r:id="rId14"/>
    <sheet name="Pohon 11" sheetId="11" r:id="rId15"/>
    <sheet name="Pohon 12" sheetId="12" r:id="rId16"/>
    <sheet name="Pohon 13" sheetId="13" r:id="rId17"/>
    <sheet name="Pohon 14" sheetId="14" r:id="rId18"/>
    <sheet name="Pohon 15" sheetId="15" r:id="rId19"/>
    <sheet name="PerhitunganRF" sheetId="24" r:id="rId20"/>
    <sheet name="PenentuanPohonterbaik" sheetId="25" r:id="rId21"/>
    <sheet name="perhitungan data uji" sheetId="28" r:id="rId22"/>
  </sheets>
  <externalReferences>
    <externalReference r:id="rId23"/>
  </externalReferences>
  <calcPr calcId="144525"/>
</workbook>
</file>

<file path=xl/sharedStrings.xml><?xml version="1.0" encoding="utf-8"?>
<sst xmlns="http://schemas.openxmlformats.org/spreadsheetml/2006/main" count="4087" uniqueCount="386">
  <si>
    <t>Nama</t>
  </si>
  <si>
    <t>Usia</t>
  </si>
  <si>
    <t>Lama Rawat Inap</t>
  </si>
  <si>
    <t>Jumlah Kasus Perbulan</t>
  </si>
  <si>
    <t>Jenis Kelamin</t>
  </si>
  <si>
    <t>Tingkat Resiko</t>
  </si>
  <si>
    <t>Neni Sumetria</t>
  </si>
  <si>
    <t>3 Hari</t>
  </si>
  <si>
    <t>Sedang</t>
  </si>
  <si>
    <t>Malki Amron</t>
  </si>
  <si>
    <t>Arifa Qyaratul</t>
  </si>
  <si>
    <t>5 Hari</t>
  </si>
  <si>
    <t>Rezki Mhd</t>
  </si>
  <si>
    <t>2 Hari</t>
  </si>
  <si>
    <t>Selfiolla</t>
  </si>
  <si>
    <t>4 Hari</t>
  </si>
  <si>
    <t xml:space="preserve">M.Albiruni </t>
  </si>
  <si>
    <t>1 Hari</t>
  </si>
  <si>
    <t>Yurika Azarine</t>
  </si>
  <si>
    <t>Rahmad Ihtiar</t>
  </si>
  <si>
    <t>6 Hari</t>
  </si>
  <si>
    <t>Tiara Endiwa</t>
  </si>
  <si>
    <t>Boby</t>
  </si>
  <si>
    <t>Defi Putri</t>
  </si>
  <si>
    <t>Nini Efriza</t>
  </si>
  <si>
    <t>Novi Agus</t>
  </si>
  <si>
    <t>Rendah</t>
  </si>
  <si>
    <t>Siska Rahmadani</t>
  </si>
  <si>
    <t>Kalmani</t>
  </si>
  <si>
    <t>Nayra Dhika</t>
  </si>
  <si>
    <t>Andri Naldi</t>
  </si>
  <si>
    <t>Qhanita Nur</t>
  </si>
  <si>
    <t>Shecillia Hanifah</t>
  </si>
  <si>
    <t>Haziq Arsyad</t>
  </si>
  <si>
    <t>Naira Giska</t>
  </si>
  <si>
    <t>Eko Ady</t>
  </si>
  <si>
    <t>Suwarni</t>
  </si>
  <si>
    <t>Mayang</t>
  </si>
  <si>
    <t>Janibar</t>
  </si>
  <si>
    <t>Hendra Wadi</t>
  </si>
  <si>
    <t>Heru Pratama</t>
  </si>
  <si>
    <t>Ade Sepriyanto</t>
  </si>
  <si>
    <t>Diendri Barakta</t>
  </si>
  <si>
    <t>2,8</t>
  </si>
  <si>
    <t>Suwardi</t>
  </si>
  <si>
    <t>Emelya Nora</t>
  </si>
  <si>
    <t>Eosel Rizkia</t>
  </si>
  <si>
    <t>Warmaneti</t>
  </si>
  <si>
    <t>Yandril</t>
  </si>
  <si>
    <t>Romy Herina</t>
  </si>
  <si>
    <t>Ilham Saputra</t>
  </si>
  <si>
    <t>Berli Simanjuntak</t>
  </si>
  <si>
    <t>M. Hafiz</t>
  </si>
  <si>
    <t>Yusril</t>
  </si>
  <si>
    <t>Anggifa Fitria</t>
  </si>
  <si>
    <t>Abdul Fikri</t>
  </si>
  <si>
    <t>Refa Anggraini</t>
  </si>
  <si>
    <t>Dosil Abdul</t>
  </si>
  <si>
    <t>Zulkifli</t>
  </si>
  <si>
    <t>Nurhayati</t>
  </si>
  <si>
    <t>Muhara Mulya</t>
  </si>
  <si>
    <t>Basri</t>
  </si>
  <si>
    <t>Yuharni</t>
  </si>
  <si>
    <t>Tiara Putri</t>
  </si>
  <si>
    <t>Afria Puspa</t>
  </si>
  <si>
    <t>Zeinal Efendi</t>
  </si>
  <si>
    <t>David Eka Putra</t>
  </si>
  <si>
    <t>Khaira Umamah</t>
  </si>
  <si>
    <t>Yusuf Andrian</t>
  </si>
  <si>
    <t>Riva Afrilliana</t>
  </si>
  <si>
    <t>Rizal Putra</t>
  </si>
  <si>
    <t>Olivia Kirana</t>
  </si>
  <si>
    <t>Fitri Novita</t>
  </si>
  <si>
    <t>Elianti</t>
  </si>
  <si>
    <t>Reza Refninda</t>
  </si>
  <si>
    <t>Fauzan</t>
  </si>
  <si>
    <t xml:space="preserve"> El Alisa Putri</t>
  </si>
  <si>
    <t>Sirat</t>
  </si>
  <si>
    <t>Emi</t>
  </si>
  <si>
    <t>Rezky</t>
  </si>
  <si>
    <t>Mhd Rivaldo</t>
  </si>
  <si>
    <t>Sri Suhermi</t>
  </si>
  <si>
    <t>Syaifullah</t>
  </si>
  <si>
    <t>Riwanto</t>
  </si>
  <si>
    <t xml:space="preserve">Yunizar </t>
  </si>
  <si>
    <t>Aqlan Havizh</t>
  </si>
  <si>
    <t>Dzacky Claresta</t>
  </si>
  <si>
    <t>Arumi Putri</t>
  </si>
  <si>
    <t>Ibnu Sadri</t>
  </si>
  <si>
    <t>Deliana</t>
  </si>
  <si>
    <t>Zakra</t>
  </si>
  <si>
    <t>Ulfa Oktavia</t>
  </si>
  <si>
    <t>Nafilsa Abdul</t>
  </si>
  <si>
    <t>Mulyadi</t>
  </si>
  <si>
    <t>Fadli Kurniawan</t>
  </si>
  <si>
    <t>Oktavianus</t>
  </si>
  <si>
    <t>Nipralaini</t>
  </si>
  <si>
    <t>Marzoni</t>
  </si>
  <si>
    <t>Putri Maylia</t>
  </si>
  <si>
    <t>9 Hari</t>
  </si>
  <si>
    <t>Muthi Navisa</t>
  </si>
  <si>
    <t xml:space="preserve">Mutia Diva </t>
  </si>
  <si>
    <t>Anugrah Illahi</t>
  </si>
  <si>
    <t>Mon Sri</t>
  </si>
  <si>
    <t>Surya Masalfi</t>
  </si>
  <si>
    <t>Tinggi</t>
  </si>
  <si>
    <t>Aat Kusmayadi</t>
  </si>
  <si>
    <t>Fitria Anita</t>
  </si>
  <si>
    <t>7 Hari</t>
  </si>
  <si>
    <t>Rosavita</t>
  </si>
  <si>
    <t>Jauza Jahira</t>
  </si>
  <si>
    <t>Menzo Khaira</t>
  </si>
  <si>
    <t>Zulfa Yenti</t>
  </si>
  <si>
    <t>Syahlan Yuanda</t>
  </si>
  <si>
    <t>Kenzi Romanja</t>
  </si>
  <si>
    <t>Abdurrahman As Saoli</t>
  </si>
  <si>
    <t>Aisyah Difani</t>
  </si>
  <si>
    <t>Rosli Asamara</t>
  </si>
  <si>
    <t>Lisma Erni</t>
  </si>
  <si>
    <t>Rahmi</t>
  </si>
  <si>
    <t>Eki Hendra</t>
  </si>
  <si>
    <t>Yusbardar</t>
  </si>
  <si>
    <t>Aris Lucky</t>
  </si>
  <si>
    <t>Murniaty</t>
  </si>
  <si>
    <t>Agus</t>
  </si>
  <si>
    <t>Indra Melvi</t>
  </si>
  <si>
    <t>Musliadi</t>
  </si>
  <si>
    <t>Ulfa Alifia</t>
  </si>
  <si>
    <t>Martias</t>
  </si>
  <si>
    <t>Masri</t>
  </si>
  <si>
    <t>Dzikra Maulana</t>
  </si>
  <si>
    <t>Indra Mastari</t>
  </si>
  <si>
    <t>Budi Kargo</t>
  </si>
  <si>
    <t>Adril Yusuf</t>
  </si>
  <si>
    <t>M. Fatih</t>
  </si>
  <si>
    <t>Nila Purnama Sari</t>
  </si>
  <si>
    <t>Edo Madani</t>
  </si>
  <si>
    <t>Idris</t>
  </si>
  <si>
    <t>Randi</t>
  </si>
  <si>
    <t>Destia Izani</t>
  </si>
  <si>
    <t>M. Raihan</t>
  </si>
  <si>
    <t>Widya Anggraini</t>
  </si>
  <si>
    <t>Misrita Indra</t>
  </si>
  <si>
    <t>Sintia</t>
  </si>
  <si>
    <t>Irmalinda</t>
  </si>
  <si>
    <t>Andini Putri</t>
  </si>
  <si>
    <t>Siti Aisyah</t>
  </si>
  <si>
    <t>Naura Salsabila</t>
  </si>
  <si>
    <t>Reza Chaniago</t>
  </si>
  <si>
    <t>Humaira Denifa</t>
  </si>
  <si>
    <t>Azzam</t>
  </si>
  <si>
    <t>Adha Lestari</t>
  </si>
  <si>
    <t>Nadira Puti</t>
  </si>
  <si>
    <t>Reza Andriansyah</t>
  </si>
  <si>
    <t>Rafael Sebastian</t>
  </si>
  <si>
    <t>Yulia Neri</t>
  </si>
  <si>
    <t>Rajab</t>
  </si>
  <si>
    <t>Widya Mayang</t>
  </si>
  <si>
    <t>Rahmat Fitra</t>
  </si>
  <si>
    <t>Alvin Noradilla</t>
  </si>
  <si>
    <t>Zhaya</t>
  </si>
  <si>
    <t>Ahmad Faizin</t>
  </si>
  <si>
    <t xml:space="preserve">Asrizal </t>
  </si>
  <si>
    <t>10 Hari</t>
  </si>
  <si>
    <t>Yunaldi</t>
  </si>
  <si>
    <t>Yanti Devina</t>
  </si>
  <si>
    <t>Syafrizal</t>
  </si>
  <si>
    <t>Weri Oktavia</t>
  </si>
  <si>
    <t>Zulkarnain</t>
  </si>
  <si>
    <t>Zainal Abidin</t>
  </si>
  <si>
    <t>Kendi Cahya</t>
  </si>
  <si>
    <t>Budiyono</t>
  </si>
  <si>
    <t>Najwa</t>
  </si>
  <si>
    <t>Abdul Aziz</t>
  </si>
  <si>
    <t>Hanifa Puti</t>
  </si>
  <si>
    <t>Celsi Sapira</t>
  </si>
  <si>
    <t>Anita Puspita</t>
  </si>
  <si>
    <t>Diffa Cayriful</t>
  </si>
  <si>
    <t>Febrianto Angger</t>
  </si>
  <si>
    <t>Desrizal</t>
  </si>
  <si>
    <t>Aprillia Khairunnisa</t>
  </si>
  <si>
    <t>Random Sampling Data</t>
  </si>
  <si>
    <t>Jumlah Kasus Per Bulan</t>
  </si>
  <si>
    <t>No</t>
  </si>
  <si>
    <t>Perhitungan root</t>
  </si>
  <si>
    <t>Entropy Root</t>
  </si>
  <si>
    <t>Pohon 1:</t>
  </si>
  <si>
    <r>
      <rPr>
        <u/>
        <sz val="12"/>
        <color theme="1"/>
        <rFont val="Times New Roman"/>
        <charset val="134"/>
      </rPr>
      <t>Rule 1.1</t>
    </r>
    <r>
      <rPr>
        <sz val="12"/>
        <color theme="1"/>
        <rFont val="Times New Roman"/>
        <charset val="134"/>
      </rPr>
      <t xml:space="preserve"> </t>
    </r>
  </si>
  <si>
    <t xml:space="preserve">IF Jumlah Kasus Per Bulan  &lt; 13,35 </t>
  </si>
  <si>
    <t>THEN  Risiko = Sedang</t>
  </si>
  <si>
    <t>Rule 1.2</t>
  </si>
  <si>
    <t xml:space="preserve">IF Jumlah Kasus Per Bulan ≤ 13,35 AND  Jumlah Kasus Per Bulan  &gt; 27,46 </t>
  </si>
  <si>
    <t>THEN Risiko = Tinggi</t>
  </si>
  <si>
    <t>Rule 1.3</t>
  </si>
  <si>
    <t>IF Jumlah Kasus Per Bulan &gt; 28,4 THEN Risiko = Tinggi</t>
  </si>
  <si>
    <t>Evaluasi</t>
  </si>
  <si>
    <t xml:space="preserve">Prediksi Sampel 1 </t>
  </si>
  <si>
    <t>Aktual(Jumlah Kasus Per Bulan)</t>
  </si>
  <si>
    <t>|Yi − Ŷi|</t>
  </si>
  <si>
    <t>(Yi − Ŷi)²</t>
  </si>
  <si>
    <t>ȳ</t>
  </si>
  <si>
    <t>ȳ²</t>
  </si>
  <si>
    <t>Rata-Rata</t>
  </si>
  <si>
    <t>MAE</t>
  </si>
  <si>
    <t>MSE</t>
  </si>
  <si>
    <t>RMSE</t>
  </si>
  <si>
    <t>R2</t>
  </si>
  <si>
    <t>USIA</t>
  </si>
  <si>
    <t>LAMA RAWAT INAP</t>
  </si>
  <si>
    <t>JUMLAH KASUS PER BULAN</t>
  </si>
  <si>
    <t>JENIS KELAMIN</t>
  </si>
  <si>
    <t>Lama rawat inap</t>
  </si>
  <si>
    <t>Jumlah kasus perbulan</t>
  </si>
  <si>
    <t>Jenis kelamin</t>
  </si>
  <si>
    <t>Kanan &gt; 55.5</t>
  </si>
  <si>
    <t>Kanan &gt; 4.5</t>
  </si>
  <si>
    <t>Kanan &gt; 28.4</t>
  </si>
  <si>
    <t>Kanan &gt; 1</t>
  </si>
  <si>
    <t>Entropy</t>
  </si>
  <si>
    <t>Kiri&lt;17.96</t>
  </si>
  <si>
    <t>Kiri&lt;2.65</t>
  </si>
  <si>
    <t>Kiri&lt;13.35</t>
  </si>
  <si>
    <t>Kiri&lt;0</t>
  </si>
  <si>
    <t>Tengah</t>
  </si>
  <si>
    <t>IG</t>
  </si>
  <si>
    <t>Pohon 2:</t>
  </si>
  <si>
    <t>IF Usia  &lt; 16,61</t>
  </si>
  <si>
    <t>THEN  Kategori Usia  = Anak-anak</t>
  </si>
  <si>
    <t>IF Usia ≤ 16,61 AND  Usia  &gt; 54,4</t>
  </si>
  <si>
    <t>THEN Kategori Usia  = Anak-anak</t>
  </si>
  <si>
    <t>IF Usia &gt; 54,4 THEN Kategori Usia = Anak-anak</t>
  </si>
  <si>
    <t>Kanan &gt; 54.4</t>
  </si>
  <si>
    <t>Kanan &gt; 4.74</t>
  </si>
  <si>
    <t>Kiri&lt;16.61</t>
  </si>
  <si>
    <t>Kiri&lt;2.61</t>
  </si>
  <si>
    <t>Pohon 3:</t>
  </si>
  <si>
    <t xml:space="preserve">IF Lama Rawat Inap  &lt; 2,44 </t>
  </si>
  <si>
    <t>THEN  Kelas = Sedang</t>
  </si>
  <si>
    <t xml:space="preserve">IF Lama Rawat Inap  ≤ 2,44 AND  Lama Rawat Inap  &gt; 4,68 </t>
  </si>
  <si>
    <t>THEN Kelas = Lama</t>
  </si>
  <si>
    <t>IF Lama Rawat Inap  &gt; 4,68 THEN Kelas = Sedang</t>
  </si>
  <si>
    <t>Kanan &gt; 4.68</t>
  </si>
  <si>
    <t>Kiri&lt;2.44</t>
  </si>
  <si>
    <t>Pohon 4:</t>
  </si>
  <si>
    <t>Rule 1.1</t>
  </si>
  <si>
    <t>IF Jenis Kelamin  ≤ 0 AND  Jenis Kelamin  &gt; 1</t>
  </si>
  <si>
    <t>THEN Kelas = Tinggi</t>
  </si>
  <si>
    <t>IF Jenis Kelamin  &gt; 1 THEN Kelas = Tinggi</t>
  </si>
  <si>
    <t>Pohon 5:</t>
  </si>
  <si>
    <t xml:space="preserve">IF Jumlah Kasus Per Bulan  &lt; 12,60 </t>
  </si>
  <si>
    <t>THEN  Risiko = Rendah</t>
  </si>
  <si>
    <t xml:space="preserve">IF Jumlah Kasus Per Bulan ≤ 12,60 AND  Jumlah Kasus Per Bulan  &gt; 29,21 </t>
  </si>
  <si>
    <t>THEN Risiko = Sedang</t>
  </si>
  <si>
    <t>IF Jumlah Kasus Per Bulan &gt; 29,21 THEN Risiko = Tinggi</t>
  </si>
  <si>
    <t>Kanan &gt; 54.7</t>
  </si>
  <si>
    <t>Kanan &gt; 4.72</t>
  </si>
  <si>
    <t>Kanan &gt; 29.21</t>
  </si>
  <si>
    <t>Kiri&lt;17.15</t>
  </si>
  <si>
    <t>Kiri&lt;2.48</t>
  </si>
  <si>
    <t>Kiri&lt;12.60</t>
  </si>
  <si>
    <t>Pohon 6:</t>
  </si>
  <si>
    <t xml:space="preserve">IF Lama Rawat Inap  &lt; 2,5 </t>
  </si>
  <si>
    <t xml:space="preserve">IF Lama Rawat Inap  ≤ 2,5 AND  Lama Rawat Inap  &gt; 4,67 </t>
  </si>
  <si>
    <t>IF Lama Rawat Inap  &gt; 4,67 THEN Kelas = Lama</t>
  </si>
  <si>
    <t>Kanan &gt; 55.47</t>
  </si>
  <si>
    <t>Kanan &gt; 4.67</t>
  </si>
  <si>
    <t>Kiri&lt;16.08</t>
  </si>
  <si>
    <t>Kiri&lt;2.5</t>
  </si>
  <si>
    <t>Pohon 7:</t>
  </si>
  <si>
    <t>THEN Kelas = Sedang</t>
  </si>
  <si>
    <t>Kanan &gt; 52.6</t>
  </si>
  <si>
    <t>Kiri&lt;15.89</t>
  </si>
  <si>
    <t>Kanan &gt; 54.27</t>
  </si>
  <si>
    <t>Pohon 8:</t>
  </si>
  <si>
    <t>IF Usia  &lt; 15,70</t>
  </si>
  <si>
    <t>IF Usia ≤ 15,70 AND  Usia  &gt; 54,27</t>
  </si>
  <si>
    <t>Kiri&lt;15.70</t>
  </si>
  <si>
    <t>IF Usia &gt; 54,27 THEN Kategori Usia = Dewasa</t>
  </si>
  <si>
    <t>Pohon 9:</t>
  </si>
  <si>
    <t xml:space="preserve">IF Jumlah Kasus Per Bulan  &lt; 11,31 </t>
  </si>
  <si>
    <t xml:space="preserve">IF Jumlah Kasus Per Bulan ≤ 11,31 AND  Jumlah Kasus Per Bulan  &gt; 29,95 </t>
  </si>
  <si>
    <t>IF Jumlah Kasus Per Bulan &gt; 29,95 THEN Risiko = Tinggi</t>
  </si>
  <si>
    <t>Kanan &gt; 51.19</t>
  </si>
  <si>
    <t>Kanan &gt; 4.73</t>
  </si>
  <si>
    <t>Kanan &gt; 25.95</t>
  </si>
  <si>
    <t>Kiri&lt;16.82</t>
  </si>
  <si>
    <t>Kiri&lt;2.37</t>
  </si>
  <si>
    <t>Kiri&lt;11.31</t>
  </si>
  <si>
    <t>Pohon 10:</t>
  </si>
  <si>
    <t>IF Usia  &lt; 17,31</t>
  </si>
  <si>
    <t>THEN  Kategori Usia  = Dewasa</t>
  </si>
  <si>
    <t>IF Usia ≤ 17,31 AND  Usia  &gt; 53,39</t>
  </si>
  <si>
    <t>IF Usia &gt; 53,39 THEN Kategori Usia = Dewasa</t>
  </si>
  <si>
    <t>Kanan &gt; 53.39</t>
  </si>
  <si>
    <t>Kiri&lt;17.31</t>
  </si>
  <si>
    <t>Kiri&lt;2.49</t>
  </si>
  <si>
    <t>Pohon 11:</t>
  </si>
  <si>
    <t>IF Lama Rawat Inap  ≤ 2,44 AND  Lama Rawat Inap  &gt; 4,68</t>
  </si>
  <si>
    <t>IF Lama Rawat Inap  &gt; 4,68 THEN Kelas = Lama</t>
  </si>
  <si>
    <t>Kanan &gt; 4.48</t>
  </si>
  <si>
    <t>Pohon 12:</t>
  </si>
  <si>
    <t>IF Jenis Kelamin  &gt; 1 THEN Kelas = Sedang</t>
  </si>
  <si>
    <t>Pohon 13:</t>
  </si>
  <si>
    <t xml:space="preserve">IF Jumlah Kasus Per Bulan  &lt; 11,77 </t>
  </si>
  <si>
    <t xml:space="preserve">IF Jumlah Kasus Per Bulan ≤ 11,77 AND  Jumlah Kasus Per Bulan  &gt; 24,90 </t>
  </si>
  <si>
    <t>IF Jumlah Kasus Per Bulan &gt; 29,40 THEN Risiko = Tinggi</t>
  </si>
  <si>
    <t>Kanan &gt; 52.01</t>
  </si>
  <si>
    <t>Kanan &gt; 4.6</t>
  </si>
  <si>
    <t>Kanan &gt; 24.90</t>
  </si>
  <si>
    <t>Kiri&lt;14.78</t>
  </si>
  <si>
    <t>Kiri&lt;2.50</t>
  </si>
  <si>
    <t>Kiri&lt;11.77</t>
  </si>
  <si>
    <t>Pohon 14:</t>
  </si>
  <si>
    <t>IF Usia ≤ 17,31 AND  Usia  &gt; 54,61</t>
  </si>
  <si>
    <t>IF Usia &gt; 54,61 THEN Kategori Usia = Anak-anak</t>
  </si>
  <si>
    <t>Kanan &gt; 54.61</t>
  </si>
  <si>
    <t>Kanan &gt; 4.80</t>
  </si>
  <si>
    <t>Kiri&lt;2.4</t>
  </si>
  <si>
    <t>Pohon 15:</t>
  </si>
  <si>
    <t xml:space="preserve">IF Lama Rawat Inap  &lt; 2,47 </t>
  </si>
  <si>
    <t>IF Lama Rawat Inap  ≤ 2,47 AND  Lama Rawat Inap  &gt; 4,63</t>
  </si>
  <si>
    <t>IF Lama Rawat Inap  &gt; 4,63 THEN Kelas = Lama</t>
  </si>
  <si>
    <t>Kanan &gt; 4.63</t>
  </si>
  <si>
    <t>Kiri&lt;2.47</t>
  </si>
  <si>
    <t>Sampel Pohon 1</t>
  </si>
  <si>
    <t>Sampel Pohon 2</t>
  </si>
  <si>
    <t xml:space="preserve">Prediksi Sampel 2 </t>
  </si>
  <si>
    <t xml:space="preserve">Aktual(Usia) </t>
  </si>
  <si>
    <t>Sampel Pohon 3</t>
  </si>
  <si>
    <t xml:space="preserve">Prediksi Sampel 3 </t>
  </si>
  <si>
    <t xml:space="preserve">Aktual(Lama Rawat Inap) </t>
  </si>
  <si>
    <t>Sampel Pohon 4</t>
  </si>
  <si>
    <t xml:space="preserve">Prediksi Sampel 4 </t>
  </si>
  <si>
    <t xml:space="preserve">Aktual( Jenis Kelamin) </t>
  </si>
  <si>
    <t>Sampel Pohon 5</t>
  </si>
  <si>
    <t>Prediksi Sampel 5</t>
  </si>
  <si>
    <t>Aktual (Jumlah Kasus Per Bulan)</t>
  </si>
  <si>
    <t>Sampel Pohon 6</t>
  </si>
  <si>
    <t>Prediksi Sampel 6</t>
  </si>
  <si>
    <t>Aktual ( Lama Rawat Inap)</t>
  </si>
  <si>
    <t>Sampel Pohon 7</t>
  </si>
  <si>
    <t>Prediksi Sampel 7</t>
  </si>
  <si>
    <t>Aktual (Jenis Kelamin)</t>
  </si>
  <si>
    <t>Sampel Pohon 8</t>
  </si>
  <si>
    <t>Prediksi Sampel 8</t>
  </si>
  <si>
    <t>Aktual</t>
  </si>
  <si>
    <t xml:space="preserve">(Usia) </t>
  </si>
  <si>
    <t>Sampel Pohon 9</t>
  </si>
  <si>
    <t>Prediksi Sampel 9</t>
  </si>
  <si>
    <t>(Jumlah Kasus Perbulan)</t>
  </si>
  <si>
    <t>Sampel Pohon 10</t>
  </si>
  <si>
    <t>Prediksi Sampel 10</t>
  </si>
  <si>
    <t>(Usia)</t>
  </si>
  <si>
    <t xml:space="preserve"> </t>
  </si>
  <si>
    <t>Sampel Pohon 11</t>
  </si>
  <si>
    <t>Prediksi Sampel 11</t>
  </si>
  <si>
    <t>(Lama Rawat Inap)</t>
  </si>
  <si>
    <t>Sampel Pohon 12</t>
  </si>
  <si>
    <t>Prediksi Sampel 12</t>
  </si>
  <si>
    <t>Sampel Pohon 13</t>
  </si>
  <si>
    <t>Prediksi Sampel 13</t>
  </si>
  <si>
    <t>Sampel Pohon 14</t>
  </si>
  <si>
    <t>Prediksi Sampel 14</t>
  </si>
  <si>
    <t>Aktual (Usia)</t>
  </si>
  <si>
    <t>Sampel Pohon 15</t>
  </si>
  <si>
    <t>Prediksi Sampel 15</t>
  </si>
  <si>
    <t>Aktual (Lama Rawat Inap)</t>
  </si>
  <si>
    <t>Sampel Pohon</t>
  </si>
  <si>
    <t>Sampel 1</t>
  </si>
  <si>
    <t>Sampel 2</t>
  </si>
  <si>
    <t>Sampel 3</t>
  </si>
  <si>
    <t>Sampel 4</t>
  </si>
  <si>
    <t>Sampel 5</t>
  </si>
  <si>
    <t>Sampel 6</t>
  </si>
  <si>
    <t>Sampel 7</t>
  </si>
  <si>
    <t>Sampel 8</t>
  </si>
  <si>
    <t>Sampel 9</t>
  </si>
  <si>
    <t>Sampel 10</t>
  </si>
  <si>
    <t>Sampel 11</t>
  </si>
  <si>
    <t>Sampel 12</t>
  </si>
  <si>
    <t>Sampel 13</t>
  </si>
  <si>
    <t>Sampel 14</t>
  </si>
  <si>
    <t>Sampel 15</t>
  </si>
  <si>
    <t>Nilai Aktual (Yi)</t>
  </si>
  <si>
    <t>Nilai Prediksi (Ŷi)</t>
  </si>
  <si>
    <t>Jumlah</t>
  </si>
</sst>
</file>

<file path=xl/styles.xml><?xml version="1.0" encoding="utf-8"?>
<styleSheet xmlns="http://schemas.openxmlformats.org/spreadsheetml/2006/main">
  <numFmts count="4">
    <numFmt numFmtId="42" formatCode="_(&quot;$&quot;* #,##0_);_(&quot;$&quot;* \(#,##0\);_(&quot;$&quot;* &quot;-&quot;_);_(@_)"/>
    <numFmt numFmtId="176" formatCode="_ * #,##0.00_ ;_ * \-#,##0.00_ ;_ * &quot;-&quot;??_ ;_ @_ "/>
    <numFmt numFmtId="177" formatCode="_ * #,##0_ ;_ * \-#,##0_ ;_ * &quot;-&quot;_ ;_ @_ "/>
    <numFmt numFmtId="44" formatCode="_(&quot;$&quot;* #,##0.00_);_(&quot;$&quot;* \(#,##0.00\);_(&quot;$&quot;* &quot;-&quot;??_);_(@_)"/>
  </numFmts>
  <fonts count="30">
    <font>
      <sz val="11"/>
      <color theme="1"/>
      <name val="Calibri"/>
      <charset val="134"/>
      <scheme val="minor"/>
    </font>
    <font>
      <b/>
      <sz val="11"/>
      <color theme="1"/>
      <name val="Cambria"/>
      <charset val="134"/>
    </font>
    <font>
      <b/>
      <sz val="12"/>
      <color theme="1"/>
      <name val="Times New Roman"/>
      <charset val="134"/>
    </font>
    <font>
      <sz val="11"/>
      <color theme="1"/>
      <name val="Cambria"/>
      <charset val="134"/>
    </font>
    <font>
      <sz val="12"/>
      <color theme="1"/>
      <name val="Times New Roman"/>
      <charset val="134"/>
    </font>
    <font>
      <sz val="11"/>
      <color theme="1"/>
      <name val="Calibri"/>
      <charset val="134"/>
      <scheme val="minor"/>
    </font>
    <font>
      <b/>
      <sz val="12"/>
      <color rgb="FF000000"/>
      <name val="Times New Roman"/>
      <charset val="134"/>
    </font>
    <font>
      <sz val="12"/>
      <color rgb="FF000000"/>
      <name val="Times New Roman"/>
      <charset val="134"/>
    </font>
    <font>
      <b/>
      <sz val="11"/>
      <color theme="1"/>
      <name val="Calibri"/>
      <charset val="134"/>
      <scheme val="minor"/>
    </font>
    <font>
      <u/>
      <sz val="12"/>
      <color theme="1"/>
      <name val="Times New Roman"/>
      <charset val="134"/>
    </font>
    <font>
      <b/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i/>
      <sz val="11"/>
      <color rgb="FF7F7F7F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884029663991"/>
        <bgColor indexed="64"/>
      </patternFill>
    </fill>
    <fill>
      <patternFill patternType="solid">
        <fgColor theme="8" tint="0.39988402966399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</fills>
  <borders count="2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rgb="FF000000"/>
      </bottom>
      <diagonal/>
    </border>
    <border>
      <left/>
      <right style="medium">
        <color auto="1"/>
      </right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0" fontId="5" fillId="0" borderId="0"/>
    <xf numFmtId="0" fontId="12" fillId="36" borderId="0" applyNumberFormat="0" applyBorder="0" applyAlignment="0" applyProtection="0">
      <alignment vertical="center"/>
    </xf>
    <xf numFmtId="0" fontId="17" fillId="34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7" fillId="27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24" fillId="0" borderId="20" applyNumberFormat="0" applyFill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2" fillId="35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20" fillId="0" borderId="18" applyNumberFormat="0" applyFill="0" applyAlignment="0" applyProtection="0">
      <alignment vertical="center"/>
    </xf>
    <xf numFmtId="0" fontId="28" fillId="30" borderId="2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0" fillId="16" borderId="17" applyNumberFormat="0" applyFont="0" applyAlignment="0" applyProtection="0">
      <alignment vertical="center"/>
    </xf>
    <xf numFmtId="0" fontId="26" fillId="31" borderId="21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5" fillId="30" borderId="21" applyNumberFormat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1" fillId="0" borderId="19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7" fillId="0" borderId="16" applyNumberFormat="0" applyFill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4" fillId="10" borderId="15" applyNumberFormat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</cellStyleXfs>
  <cellXfs count="74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5" fillId="2" borderId="5" xfId="0" applyFont="1" applyFill="1" applyBorder="1"/>
    <xf numFmtId="0" fontId="0" fillId="2" borderId="5" xfId="0" applyFill="1" applyBorder="1"/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center" vertical="center" wrapText="1"/>
    </xf>
    <xf numFmtId="3" fontId="7" fillId="3" borderId="4" xfId="0" applyNumberFormat="1" applyFont="1" applyFill="1" applyBorder="1" applyAlignment="1">
      <alignment horizontal="center" vertical="center" wrapText="1"/>
    </xf>
    <xf numFmtId="0" fontId="5" fillId="0" borderId="0" xfId="0" applyFont="1"/>
    <xf numFmtId="3" fontId="7" fillId="0" borderId="4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3" fontId="4" fillId="0" borderId="4" xfId="0" applyNumberFormat="1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3" fontId="4" fillId="0" borderId="2" xfId="0" applyNumberFormat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5" xfId="0" applyBorder="1"/>
    <xf numFmtId="0" fontId="0" fillId="0" borderId="12" xfId="0" applyBorder="1"/>
    <xf numFmtId="0" fontId="0" fillId="5" borderId="0" xfId="0" applyFill="1"/>
    <xf numFmtId="0" fontId="0" fillId="2" borderId="5" xfId="0" applyFill="1" applyBorder="1" applyAlignment="1">
      <alignment horizontal="center"/>
    </xf>
    <xf numFmtId="0" fontId="2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5" xfId="0" applyFont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5" fillId="0" borderId="0" xfId="1"/>
    <xf numFmtId="0" fontId="8" fillId="0" borderId="5" xfId="1" applyFont="1" applyBorder="1" applyAlignment="1">
      <alignment horizontal="center" vertical="center"/>
    </xf>
    <xf numFmtId="0" fontId="5" fillId="0" borderId="5" xfId="1" applyBorder="1" applyAlignment="1">
      <alignment horizontal="center"/>
    </xf>
    <xf numFmtId="0" fontId="5" fillId="0" borderId="5" xfId="1" applyBorder="1" applyAlignment="1">
      <alignment horizontal="center" vertical="center"/>
    </xf>
    <xf numFmtId="0" fontId="5" fillId="0" borderId="5" xfId="1" applyBorder="1"/>
    <xf numFmtId="0" fontId="5" fillId="0" borderId="12" xfId="1" applyBorder="1"/>
    <xf numFmtId="0" fontId="5" fillId="5" borderId="0" xfId="1" applyFill="1"/>
    <xf numFmtId="0" fontId="5" fillId="2" borderId="5" xfId="1" applyFill="1" applyBorder="1" applyAlignment="1">
      <alignment horizontal="center"/>
    </xf>
    <xf numFmtId="0" fontId="5" fillId="6" borderId="5" xfId="1" applyFill="1" applyBorder="1" applyAlignment="1">
      <alignment horizontal="center"/>
    </xf>
    <xf numFmtId="0" fontId="8" fillId="0" borderId="0" xfId="1" applyFont="1" applyAlignment="1">
      <alignment horizontal="center" vertical="center"/>
    </xf>
    <xf numFmtId="0" fontId="5" fillId="0" borderId="0" xfId="1" applyAlignment="1">
      <alignment horizontal="center"/>
    </xf>
    <xf numFmtId="0" fontId="5" fillId="7" borderId="0" xfId="1" applyFill="1"/>
    <xf numFmtId="0" fontId="5" fillId="0" borderId="5" xfId="1" applyFont="1" applyBorder="1" applyAlignment="1">
      <alignment horizontal="center"/>
    </xf>
    <xf numFmtId="0" fontId="8" fillId="0" borderId="5" xfId="1" applyFont="1" applyBorder="1" applyAlignment="1">
      <alignment horizontal="center" vertical="top"/>
    </xf>
    <xf numFmtId="0" fontId="5" fillId="0" borderId="5" xfId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2" fillId="0" borderId="0" xfId="0" applyFont="1"/>
    <xf numFmtId="0" fontId="0" fillId="0" borderId="13" xfId="0" applyBorder="1"/>
    <xf numFmtId="0" fontId="0" fillId="0" borderId="14" xfId="0" applyBorder="1"/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</cellXfs>
  <cellStyles count="50">
    <cellStyle name="Normal" xfId="0" builtinId="0"/>
    <cellStyle name="Normal 2" xfId="1"/>
    <cellStyle name="60% - Accent6" xfId="2" builtinId="52"/>
    <cellStyle name="40% - Accent6" xfId="3" builtinId="51"/>
    <cellStyle name="60% - Accent5" xfId="4" builtinId="48"/>
    <cellStyle name="Accent6" xfId="5" builtinId="49"/>
    <cellStyle name="40% - Accent5" xfId="6" builtinId="47"/>
    <cellStyle name="20% - Accent5" xfId="7" builtinId="46"/>
    <cellStyle name="60% - Accent4" xfId="8" builtinId="44"/>
    <cellStyle name="Accent5" xfId="9" builtinId="45"/>
    <cellStyle name="40% - Accent4" xfId="10" builtinId="43"/>
    <cellStyle name="Accent4" xfId="11" builtinId="41"/>
    <cellStyle name="Linked Cell" xfId="12" builtinId="24"/>
    <cellStyle name="40% - Accent3" xfId="13" builtinId="39"/>
    <cellStyle name="60% - Accent2" xfId="14" builtinId="36"/>
    <cellStyle name="Accent3" xfId="15" builtinId="37"/>
    <cellStyle name="40% - Accent2" xfId="16" builtinId="35"/>
    <cellStyle name="20% - Accent2" xfId="17" builtinId="34"/>
    <cellStyle name="Accent2" xfId="18" builtinId="33"/>
    <cellStyle name="40% - Accent1" xfId="19" builtinId="31"/>
    <cellStyle name="20% - Accent1" xfId="20" builtinId="30"/>
    <cellStyle name="Accent1" xfId="21" builtinId="29"/>
    <cellStyle name="Neutral" xfId="22" builtinId="28"/>
    <cellStyle name="60% - Accent1" xfId="23" builtinId="32"/>
    <cellStyle name="Bad" xfId="24" builtinId="27"/>
    <cellStyle name="20% - Accent4" xfId="25" builtinId="42"/>
    <cellStyle name="Total" xfId="26" builtinId="25"/>
    <cellStyle name="Output" xfId="27" builtinId="21"/>
    <cellStyle name="Currency" xfId="28" builtinId="4"/>
    <cellStyle name="20% - Accent3" xfId="29" builtinId="38"/>
    <cellStyle name="Note" xfId="30" builtinId="10"/>
    <cellStyle name="Input" xfId="31" builtinId="20"/>
    <cellStyle name="Heading 4" xfId="32" builtinId="19"/>
    <cellStyle name="Calculation" xfId="33" builtinId="22"/>
    <cellStyle name="Good" xfId="34" builtinId="26"/>
    <cellStyle name="Heading 3" xfId="35" builtinId="18"/>
    <cellStyle name="CExplanatory Text" xfId="36" builtinId="53"/>
    <cellStyle name="Heading 1" xfId="37" builtinId="16"/>
    <cellStyle name="Comma [0]" xfId="38" builtinId="6"/>
    <cellStyle name="20% - Accent6" xfId="39" builtinId="50"/>
    <cellStyle name="Title" xfId="40" builtinId="15"/>
    <cellStyle name="Currency [0]" xfId="41" builtinId="7"/>
    <cellStyle name="Warning Text" xfId="42" builtinId="11"/>
    <cellStyle name="Followed Hyperlink" xfId="43" builtinId="9"/>
    <cellStyle name="Heading 2" xfId="44" builtinId="17"/>
    <cellStyle name="Comma" xfId="45" builtinId="3"/>
    <cellStyle name="Check Cell" xfId="46" builtinId="23"/>
    <cellStyle name="60% - Accent3" xfId="47" builtinId="40"/>
    <cellStyle name="Percent" xfId="48" builtinId="5"/>
    <cellStyle name="Hyperlink" xfId="49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6" Type="http://schemas.openxmlformats.org/officeDocument/2006/relationships/sharedStrings" Target="sharedStrings.xml"/><Relationship Id="rId25" Type="http://schemas.openxmlformats.org/officeDocument/2006/relationships/styles" Target="styles.xml"/><Relationship Id="rId24" Type="http://schemas.openxmlformats.org/officeDocument/2006/relationships/theme" Target="theme/theme1.xml"/><Relationship Id="rId23" Type="http://schemas.openxmlformats.org/officeDocument/2006/relationships/externalLink" Target="externalLinks/externalLink1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17</xdr:col>
      <xdr:colOff>317658</xdr:colOff>
      <xdr:row>64</xdr:row>
      <xdr:rowOff>0</xdr:rowOff>
    </xdr:from>
    <xdr:to>
      <xdr:col>19</xdr:col>
      <xdr:colOff>762000</xdr:colOff>
      <xdr:row>68</xdr:row>
      <xdr:rowOff>7793</xdr:rowOff>
    </xdr:to>
    <xdr:sp>
      <xdr:nvSpPr>
        <xdr:cNvPr id="2" name="Oval 1"/>
        <xdr:cNvSpPr/>
      </xdr:nvSpPr>
      <xdr:spPr>
        <a:xfrm>
          <a:off x="22539960" y="12192000"/>
          <a:ext cx="2477135" cy="798195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16</xdr:col>
      <xdr:colOff>928687</xdr:colOff>
      <xdr:row>67</xdr:row>
      <xdr:rowOff>85559</xdr:rowOff>
    </xdr:from>
    <xdr:to>
      <xdr:col>17</xdr:col>
      <xdr:colOff>557093</xdr:colOff>
      <xdr:row>70</xdr:row>
      <xdr:rowOff>11906</xdr:rowOff>
    </xdr:to>
    <xdr:cxnSp>
      <xdr:nvCxnSpPr>
        <xdr:cNvPr id="3" name="Straight Connector 2"/>
        <xdr:cNvCxnSpPr>
          <a:stCxn id="2" idx="3"/>
        </xdr:cNvCxnSpPr>
      </xdr:nvCxnSpPr>
      <xdr:spPr>
        <a:xfrm flipH="1">
          <a:off x="21632545" y="12867640"/>
          <a:ext cx="1146810" cy="52641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466725</xdr:colOff>
      <xdr:row>67</xdr:row>
      <xdr:rowOff>188768</xdr:rowOff>
    </xdr:from>
    <xdr:to>
      <xdr:col>18</xdr:col>
      <xdr:colOff>520779</xdr:colOff>
      <xdr:row>71</xdr:row>
      <xdr:rowOff>74469</xdr:rowOff>
    </xdr:to>
    <xdr:cxnSp>
      <xdr:nvCxnSpPr>
        <xdr:cNvPr id="4" name="Straight Connector 3"/>
        <xdr:cNvCxnSpPr/>
      </xdr:nvCxnSpPr>
      <xdr:spPr>
        <a:xfrm flipH="1">
          <a:off x="23950295" y="12971145"/>
          <a:ext cx="53975" cy="6858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518380</xdr:colOff>
      <xdr:row>67</xdr:row>
      <xdr:rowOff>85559</xdr:rowOff>
    </xdr:from>
    <xdr:to>
      <xdr:col>19</xdr:col>
      <xdr:colOff>1085850</xdr:colOff>
      <xdr:row>70</xdr:row>
      <xdr:rowOff>7794</xdr:rowOff>
    </xdr:to>
    <xdr:cxnSp>
      <xdr:nvCxnSpPr>
        <xdr:cNvPr id="5" name="Straight Connector 4"/>
        <xdr:cNvCxnSpPr>
          <a:stCxn id="2" idx="5"/>
        </xdr:cNvCxnSpPr>
      </xdr:nvCxnSpPr>
      <xdr:spPr>
        <a:xfrm>
          <a:off x="24773255" y="12867640"/>
          <a:ext cx="567690" cy="52260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392907</xdr:colOff>
      <xdr:row>70</xdr:row>
      <xdr:rowOff>7793</xdr:rowOff>
    </xdr:from>
    <xdr:to>
      <xdr:col>17</xdr:col>
      <xdr:colOff>178594</xdr:colOff>
      <xdr:row>72</xdr:row>
      <xdr:rowOff>103044</xdr:rowOff>
    </xdr:to>
    <xdr:sp>
      <xdr:nvSpPr>
        <xdr:cNvPr id="6" name="Rectangle 5"/>
        <xdr:cNvSpPr/>
      </xdr:nvSpPr>
      <xdr:spPr>
        <a:xfrm>
          <a:off x="21096605" y="13390245"/>
          <a:ext cx="1304290" cy="4953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46 Sedang</a:t>
          </a:r>
          <a:endParaRPr lang="en-US" sz="1100" baseline="0"/>
        </a:p>
        <a:p>
          <a:pPr algn="l"/>
          <a:r>
            <a:rPr lang="en-US" sz="1100" baseline="0"/>
            <a:t>11 Rendah</a:t>
          </a:r>
          <a:endParaRPr lang="en-US" sz="1100"/>
        </a:p>
      </xdr:txBody>
    </xdr:sp>
    <xdr:clientData/>
  </xdr:twoCellAnchor>
  <xdr:oneCellAnchor>
    <xdr:from>
      <xdr:col>16</xdr:col>
      <xdr:colOff>821531</xdr:colOff>
      <xdr:row>67</xdr:row>
      <xdr:rowOff>148288</xdr:rowOff>
    </xdr:from>
    <xdr:ext cx="666750" cy="264560"/>
    <xdr:sp>
      <xdr:nvSpPr>
        <xdr:cNvPr id="7" name="TextBox 6"/>
        <xdr:cNvSpPr txBox="1"/>
      </xdr:nvSpPr>
      <xdr:spPr>
        <a:xfrm>
          <a:off x="21525230" y="12930505"/>
          <a:ext cx="666750" cy="2647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&lt;13,35</a:t>
          </a:r>
          <a:endParaRPr lang="en-US">
            <a:effectLst/>
          </a:endParaRPr>
        </a:p>
      </xdr:txBody>
    </xdr:sp>
    <xdr:clientData/>
  </xdr:oneCellAnchor>
  <xdr:oneCellAnchor>
    <xdr:from>
      <xdr:col>17</xdr:col>
      <xdr:colOff>581025</xdr:colOff>
      <xdr:row>68</xdr:row>
      <xdr:rowOff>131619</xdr:rowOff>
    </xdr:from>
    <xdr:ext cx="1162050" cy="264560"/>
    <mc:AlternateContent xmlns:mc="http://schemas.openxmlformats.org/markup-compatibility/2006">
      <mc:Choice xmlns:a14="http://schemas.microsoft.com/office/drawing/2010/main" Requires="a14">
        <xdr:sp>
          <xdr:nvSpPr>
            <xdr:cNvPr id="8" name="TextBox 7"/>
            <xdr:cNvSpPr txBox="1"/>
          </xdr:nvSpPr>
          <xdr:spPr>
            <a:xfrm>
              <a:off x="22803485" y="1311402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13,35 - &gt; 28,4</a:t>
              </a:r>
              <a:endParaRPr lang="en-US" sz="1100"/>
            </a:p>
          </xdr:txBody>
        </xdr:sp>
      </mc:Choice>
      <mc:Fallback>
        <xdr:sp>
          <xdr:nvSpPr>
            <xdr:cNvPr id="8" name="TextBox 7"/>
            <xdr:cNvSpPr txBox="1"/>
          </xdr:nvSpPr>
          <xdr:spPr>
            <a:xfrm>
              <a:off x="22803485" y="1311402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13,35 - &gt; 28,4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18</xdr:col>
      <xdr:colOff>57150</xdr:colOff>
      <xdr:row>71</xdr:row>
      <xdr:rowOff>64943</xdr:rowOff>
    </xdr:from>
    <xdr:to>
      <xdr:col>19</xdr:col>
      <xdr:colOff>352425</xdr:colOff>
      <xdr:row>73</xdr:row>
      <xdr:rowOff>141144</xdr:rowOff>
    </xdr:to>
    <xdr:sp>
      <xdr:nvSpPr>
        <xdr:cNvPr id="9" name="Rectangle 8"/>
        <xdr:cNvSpPr/>
      </xdr:nvSpPr>
      <xdr:spPr>
        <a:xfrm>
          <a:off x="23540720" y="13647420"/>
          <a:ext cx="1066800" cy="47625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40 Tinggi</a:t>
          </a:r>
          <a:endParaRPr lang="en-US" sz="1100"/>
        </a:p>
        <a:p>
          <a:pPr algn="l"/>
          <a:r>
            <a:rPr lang="en-US" sz="1100" baseline="0"/>
            <a:t>33 Sedang</a:t>
          </a:r>
          <a:endParaRPr lang="en-US" sz="1100" baseline="0"/>
        </a:p>
      </xdr:txBody>
    </xdr:sp>
    <xdr:clientData/>
  </xdr:twoCellAnchor>
  <xdr:twoCellAnchor>
    <xdr:from>
      <xdr:col>19</xdr:col>
      <xdr:colOff>695326</xdr:colOff>
      <xdr:row>70</xdr:row>
      <xdr:rowOff>7794</xdr:rowOff>
    </xdr:from>
    <xdr:to>
      <xdr:col>19</xdr:col>
      <xdr:colOff>1533526</xdr:colOff>
      <xdr:row>71</xdr:row>
      <xdr:rowOff>160194</xdr:rowOff>
    </xdr:to>
    <xdr:sp>
      <xdr:nvSpPr>
        <xdr:cNvPr id="10" name="Rectangle 9"/>
        <xdr:cNvSpPr/>
      </xdr:nvSpPr>
      <xdr:spPr>
        <a:xfrm>
          <a:off x="24950420" y="13390245"/>
          <a:ext cx="838200" cy="3524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33 </a:t>
          </a:r>
          <a:r>
            <a:rPr lang="en-US" sz="1100"/>
            <a:t>Tinggi</a:t>
          </a:r>
          <a:endParaRPr lang="en-US" sz="1100"/>
        </a:p>
      </xdr:txBody>
    </xdr:sp>
    <xdr:clientData/>
  </xdr:twoCellAnchor>
  <xdr:oneCellAnchor>
    <xdr:from>
      <xdr:col>19</xdr:col>
      <xdr:colOff>742950</xdr:colOff>
      <xdr:row>67</xdr:row>
      <xdr:rowOff>104775</xdr:rowOff>
    </xdr:from>
    <xdr:ext cx="666750" cy="264560"/>
    <xdr:sp>
      <xdr:nvSpPr>
        <xdr:cNvPr id="12" name="TextBox 11"/>
        <xdr:cNvSpPr txBox="1"/>
      </xdr:nvSpPr>
      <xdr:spPr>
        <a:xfrm>
          <a:off x="24998045" y="12887325"/>
          <a:ext cx="666750" cy="264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&gt;28,4</a:t>
          </a:r>
          <a:endParaRPr lang="en-US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16</xdr:col>
      <xdr:colOff>289083</xdr:colOff>
      <xdr:row>152</xdr:row>
      <xdr:rowOff>152400</xdr:rowOff>
    </xdr:from>
    <xdr:to>
      <xdr:col>19</xdr:col>
      <xdr:colOff>123825</xdr:colOff>
      <xdr:row>156</xdr:row>
      <xdr:rowOff>160193</xdr:rowOff>
    </xdr:to>
    <xdr:sp>
      <xdr:nvSpPr>
        <xdr:cNvPr id="2" name="Oval 1"/>
        <xdr:cNvSpPr/>
      </xdr:nvSpPr>
      <xdr:spPr>
        <a:xfrm>
          <a:off x="17357725" y="29108400"/>
          <a:ext cx="2590165" cy="798195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Usia</a:t>
          </a:r>
          <a:endParaRPr lang="en-US" sz="1100"/>
        </a:p>
      </xdr:txBody>
    </xdr:sp>
    <xdr:clientData/>
  </xdr:twoCellAnchor>
  <xdr:twoCellAnchor>
    <xdr:from>
      <xdr:col>15</xdr:col>
      <xdr:colOff>419100</xdr:colOff>
      <xdr:row>156</xdr:row>
      <xdr:rowOff>47459</xdr:rowOff>
    </xdr:from>
    <xdr:to>
      <xdr:col>16</xdr:col>
      <xdr:colOff>532703</xdr:colOff>
      <xdr:row>158</xdr:row>
      <xdr:rowOff>179244</xdr:rowOff>
    </xdr:to>
    <xdr:cxnSp>
      <xdr:nvCxnSpPr>
        <xdr:cNvPr id="3" name="Straight Connector 2"/>
        <xdr:cNvCxnSpPr>
          <a:stCxn id="2" idx="3"/>
        </xdr:cNvCxnSpPr>
      </xdr:nvCxnSpPr>
      <xdr:spPr>
        <a:xfrm flipH="1">
          <a:off x="16716375" y="29793565"/>
          <a:ext cx="884555" cy="53213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466725</xdr:colOff>
      <xdr:row>156</xdr:row>
      <xdr:rowOff>160193</xdr:rowOff>
    </xdr:from>
    <xdr:to>
      <xdr:col>17</xdr:col>
      <xdr:colOff>520779</xdr:colOff>
      <xdr:row>160</xdr:row>
      <xdr:rowOff>45894</xdr:rowOff>
    </xdr:to>
    <xdr:cxnSp>
      <xdr:nvCxnSpPr>
        <xdr:cNvPr id="4" name="Straight Connector 3"/>
        <xdr:cNvCxnSpPr/>
      </xdr:nvCxnSpPr>
      <xdr:spPr>
        <a:xfrm flipH="1">
          <a:off x="18747740" y="29906595"/>
          <a:ext cx="53975" cy="6858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489805</xdr:colOff>
      <xdr:row>156</xdr:row>
      <xdr:rowOff>47459</xdr:rowOff>
    </xdr:from>
    <xdr:to>
      <xdr:col>19</xdr:col>
      <xdr:colOff>447675</xdr:colOff>
      <xdr:row>158</xdr:row>
      <xdr:rowOff>160194</xdr:rowOff>
    </xdr:to>
    <xdr:cxnSp>
      <xdr:nvCxnSpPr>
        <xdr:cNvPr id="5" name="Straight Connector 4"/>
        <xdr:cNvCxnSpPr>
          <a:stCxn id="2" idx="5"/>
        </xdr:cNvCxnSpPr>
      </xdr:nvCxnSpPr>
      <xdr:spPr>
        <a:xfrm>
          <a:off x="19542125" y="29793565"/>
          <a:ext cx="729615" cy="51308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159</xdr:row>
      <xdr:rowOff>26843</xdr:rowOff>
    </xdr:from>
    <xdr:to>
      <xdr:col>16</xdr:col>
      <xdr:colOff>409575</xdr:colOff>
      <xdr:row>162</xdr:row>
      <xdr:rowOff>66675</xdr:rowOff>
    </xdr:to>
    <xdr:sp>
      <xdr:nvSpPr>
        <xdr:cNvPr id="6" name="Rectangle 5"/>
        <xdr:cNvSpPr/>
      </xdr:nvSpPr>
      <xdr:spPr>
        <a:xfrm>
          <a:off x="16297275" y="30373320"/>
          <a:ext cx="1181100" cy="64008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21 Dewasa</a:t>
          </a:r>
          <a:endParaRPr lang="en-US" sz="1100" baseline="0"/>
        </a:p>
        <a:p>
          <a:pPr algn="l"/>
          <a:r>
            <a:rPr lang="en-US" sz="1100" baseline="0"/>
            <a:t>23 Anak-Anak</a:t>
          </a:r>
          <a:endParaRPr lang="en-US" sz="1100" baseline="0"/>
        </a:p>
        <a:p>
          <a:pPr algn="l"/>
          <a:r>
            <a:rPr lang="en-US" sz="1100" baseline="0"/>
            <a:t>4 Lansia</a:t>
          </a:r>
          <a:endParaRPr lang="en-US" sz="1100"/>
        </a:p>
      </xdr:txBody>
    </xdr:sp>
    <xdr:clientData/>
  </xdr:twoCellAnchor>
  <xdr:oneCellAnchor>
    <xdr:from>
      <xdr:col>15</xdr:col>
      <xdr:colOff>285750</xdr:colOff>
      <xdr:row>156</xdr:row>
      <xdr:rowOff>83994</xdr:rowOff>
    </xdr:from>
    <xdr:ext cx="666750" cy="264560"/>
    <xdr:sp>
      <xdr:nvSpPr>
        <xdr:cNvPr id="7" name="TextBox 6"/>
        <xdr:cNvSpPr txBox="1"/>
      </xdr:nvSpPr>
      <xdr:spPr>
        <a:xfrm>
          <a:off x="16583025" y="29830395"/>
          <a:ext cx="666750" cy="264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&lt;16,61</a:t>
          </a:r>
          <a:endParaRPr lang="en-US">
            <a:effectLst/>
          </a:endParaRPr>
        </a:p>
      </xdr:txBody>
    </xdr:sp>
    <xdr:clientData/>
  </xdr:oneCellAnchor>
  <xdr:oneCellAnchor>
    <xdr:from>
      <xdr:col>16</xdr:col>
      <xdr:colOff>892419</xdr:colOff>
      <xdr:row>157</xdr:row>
      <xdr:rowOff>157996</xdr:rowOff>
    </xdr:from>
    <xdr:ext cx="1162050" cy="264560"/>
    <mc:AlternateContent xmlns:mc="http://schemas.openxmlformats.org/markup-compatibility/2006">
      <mc:Choice xmlns:a14="http://schemas.microsoft.com/office/drawing/2010/main" Requires="a14">
        <xdr:sp>
          <xdr:nvSpPr>
            <xdr:cNvPr id="8" name="TextBox 7"/>
            <xdr:cNvSpPr txBox="1"/>
          </xdr:nvSpPr>
          <xdr:spPr>
            <a:xfrm>
              <a:off x="17960975" y="30104080"/>
              <a:ext cx="1162050" cy="2647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16,61 - &gt; 54,4</a:t>
              </a:r>
              <a:endParaRPr lang="en-US" sz="1100"/>
            </a:p>
          </xdr:txBody>
        </xdr:sp>
      </mc:Choice>
      <mc:Fallback>
        <xdr:sp>
          <xdr:nvSpPr>
            <xdr:cNvPr id="8" name="TextBox 7"/>
            <xdr:cNvSpPr txBox="1"/>
          </xdr:nvSpPr>
          <xdr:spPr>
            <a:xfrm>
              <a:off x="17960975" y="30104080"/>
              <a:ext cx="1162050" cy="2647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16,61 - &gt; 54,4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17</xdr:col>
      <xdr:colOff>57150</xdr:colOff>
      <xdr:row>160</xdr:row>
      <xdr:rowOff>36368</xdr:rowOff>
    </xdr:from>
    <xdr:to>
      <xdr:col>18</xdr:col>
      <xdr:colOff>419100</xdr:colOff>
      <xdr:row>163</xdr:row>
      <xdr:rowOff>152400</xdr:rowOff>
    </xdr:to>
    <xdr:sp>
      <xdr:nvSpPr>
        <xdr:cNvPr id="9" name="Rectangle 8"/>
        <xdr:cNvSpPr/>
      </xdr:nvSpPr>
      <xdr:spPr>
        <a:xfrm>
          <a:off x="18338165" y="30582870"/>
          <a:ext cx="1133475" cy="70675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30 Dewasa</a:t>
          </a:r>
          <a:endParaRPr lang="en-US" sz="1100"/>
        </a:p>
        <a:p>
          <a:pPr algn="l"/>
          <a:r>
            <a:rPr lang="en-US" sz="1100" baseline="0"/>
            <a:t>44 Anak-Anak</a:t>
          </a:r>
          <a:endParaRPr lang="en-US" sz="1100" baseline="0"/>
        </a:p>
        <a:p>
          <a:pPr algn="l"/>
          <a:r>
            <a:rPr lang="en-US" sz="1100" baseline="0"/>
            <a:t>11 Lansia</a:t>
          </a:r>
          <a:endParaRPr lang="en-US" sz="1100" baseline="0"/>
        </a:p>
      </xdr:txBody>
    </xdr:sp>
    <xdr:clientData/>
  </xdr:twoCellAnchor>
  <xdr:twoCellAnchor>
    <xdr:from>
      <xdr:col>19</xdr:col>
      <xdr:colOff>85725</xdr:colOff>
      <xdr:row>158</xdr:row>
      <xdr:rowOff>169718</xdr:rowOff>
    </xdr:from>
    <xdr:to>
      <xdr:col>20</xdr:col>
      <xdr:colOff>161924</xdr:colOff>
      <xdr:row>161</xdr:row>
      <xdr:rowOff>161925</xdr:rowOff>
    </xdr:to>
    <xdr:sp>
      <xdr:nvSpPr>
        <xdr:cNvPr id="10" name="Rectangle 9"/>
        <xdr:cNvSpPr/>
      </xdr:nvSpPr>
      <xdr:spPr>
        <a:xfrm>
          <a:off x="19909790" y="30316170"/>
          <a:ext cx="1299845" cy="59245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14 Dewasa</a:t>
          </a:r>
          <a:endParaRPr lang="en-US">
            <a:effectLst/>
          </a:endParaRP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16 Anak-Anak</a:t>
          </a:r>
          <a:endParaRPr lang="en-US">
            <a:effectLst/>
          </a:endParaRPr>
        </a:p>
      </xdr:txBody>
    </xdr:sp>
    <xdr:clientData/>
  </xdr:twoCellAnchor>
  <xdr:oneCellAnchor>
    <xdr:from>
      <xdr:col>19</xdr:col>
      <xdr:colOff>133350</xdr:colOff>
      <xdr:row>156</xdr:row>
      <xdr:rowOff>76200</xdr:rowOff>
    </xdr:from>
    <xdr:ext cx="666750" cy="264560"/>
    <xdr:sp>
      <xdr:nvSpPr>
        <xdr:cNvPr id="11" name="TextBox 10"/>
        <xdr:cNvSpPr txBox="1"/>
      </xdr:nvSpPr>
      <xdr:spPr>
        <a:xfrm>
          <a:off x="19957415" y="29822775"/>
          <a:ext cx="666750" cy="264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&gt;54.4</a:t>
          </a:r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14</xdr:col>
      <xdr:colOff>917733</xdr:colOff>
      <xdr:row>153</xdr:row>
      <xdr:rowOff>0</xdr:rowOff>
    </xdr:from>
    <xdr:to>
      <xdr:col>17</xdr:col>
      <xdr:colOff>276225</xdr:colOff>
      <xdr:row>157</xdr:row>
      <xdr:rowOff>7793</xdr:rowOff>
    </xdr:to>
    <xdr:sp>
      <xdr:nvSpPr>
        <xdr:cNvPr id="2" name="Oval 1"/>
        <xdr:cNvSpPr/>
      </xdr:nvSpPr>
      <xdr:spPr>
        <a:xfrm>
          <a:off x="15401925" y="29146500"/>
          <a:ext cx="2285365" cy="807720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Lama</a:t>
          </a:r>
          <a:r>
            <a:rPr lang="en-US" sz="1100" baseline="0"/>
            <a:t> Rawat Inap</a:t>
          </a:r>
          <a:endParaRPr lang="en-US" sz="1100"/>
        </a:p>
      </xdr:txBody>
    </xdr:sp>
    <xdr:clientData/>
  </xdr:twoCellAnchor>
  <xdr:twoCellAnchor>
    <xdr:from>
      <xdr:col>16</xdr:col>
      <xdr:colOff>19050</xdr:colOff>
      <xdr:row>157</xdr:row>
      <xdr:rowOff>7793</xdr:rowOff>
    </xdr:from>
    <xdr:to>
      <xdr:col>16</xdr:col>
      <xdr:colOff>73104</xdr:colOff>
      <xdr:row>160</xdr:row>
      <xdr:rowOff>83994</xdr:rowOff>
    </xdr:to>
    <xdr:cxnSp>
      <xdr:nvCxnSpPr>
        <xdr:cNvPr id="3" name="Straight Connector 2"/>
        <xdr:cNvCxnSpPr/>
      </xdr:nvCxnSpPr>
      <xdr:spPr>
        <a:xfrm flipH="1">
          <a:off x="16658590" y="29954220"/>
          <a:ext cx="53975" cy="6762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42130</xdr:colOff>
      <xdr:row>156</xdr:row>
      <xdr:rowOff>85559</xdr:rowOff>
    </xdr:from>
    <xdr:to>
      <xdr:col>18</xdr:col>
      <xdr:colOff>0</xdr:colOff>
      <xdr:row>159</xdr:row>
      <xdr:rowOff>7794</xdr:rowOff>
    </xdr:to>
    <xdr:cxnSp>
      <xdr:nvCxnSpPr>
        <xdr:cNvPr id="4" name="Straight Connector 3"/>
        <xdr:cNvCxnSpPr>
          <a:stCxn id="2" idx="5"/>
        </xdr:cNvCxnSpPr>
      </xdr:nvCxnSpPr>
      <xdr:spPr>
        <a:xfrm>
          <a:off x="17452975" y="29831665"/>
          <a:ext cx="729615" cy="52260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28575</xdr:colOff>
      <xdr:row>159</xdr:row>
      <xdr:rowOff>64943</xdr:rowOff>
    </xdr:from>
    <xdr:to>
      <xdr:col>14</xdr:col>
      <xdr:colOff>1038225</xdr:colOff>
      <xdr:row>162</xdr:row>
      <xdr:rowOff>104775</xdr:rowOff>
    </xdr:to>
    <xdr:sp>
      <xdr:nvSpPr>
        <xdr:cNvPr id="5" name="Rectangle 4"/>
        <xdr:cNvSpPr/>
      </xdr:nvSpPr>
      <xdr:spPr>
        <a:xfrm>
          <a:off x="14512925" y="30411420"/>
          <a:ext cx="1009650" cy="64008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23 Sedang</a:t>
          </a:r>
          <a:endParaRPr lang="en-US" sz="1100" baseline="0"/>
        </a:p>
        <a:p>
          <a:pPr algn="l"/>
          <a:r>
            <a:rPr lang="en-US" sz="1100" baseline="0"/>
            <a:t>9 Lama</a:t>
          </a:r>
          <a:endParaRPr lang="en-US" sz="1100" baseline="0"/>
        </a:p>
        <a:p>
          <a:pPr algn="l"/>
          <a:r>
            <a:rPr lang="en-US" sz="1100" baseline="0"/>
            <a:t>4 Singkat</a:t>
          </a:r>
          <a:endParaRPr lang="en-US" sz="1100"/>
        </a:p>
      </xdr:txBody>
    </xdr:sp>
    <xdr:clientData/>
  </xdr:twoCellAnchor>
  <xdr:oneCellAnchor>
    <xdr:from>
      <xdr:col>14</xdr:col>
      <xdr:colOff>314325</xdr:colOff>
      <xdr:row>156</xdr:row>
      <xdr:rowOff>122094</xdr:rowOff>
    </xdr:from>
    <xdr:ext cx="666750" cy="264560"/>
    <xdr:sp>
      <xdr:nvSpPr>
        <xdr:cNvPr id="6" name="TextBox 5"/>
        <xdr:cNvSpPr txBox="1"/>
      </xdr:nvSpPr>
      <xdr:spPr>
        <a:xfrm>
          <a:off x="14798675" y="29868495"/>
          <a:ext cx="666750" cy="264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&lt;2,44</a:t>
          </a:r>
          <a:endParaRPr lang="en-US">
            <a:effectLst/>
          </a:endParaRPr>
        </a:p>
      </xdr:txBody>
    </xdr:sp>
    <xdr:clientData/>
  </xdr:oneCellAnchor>
  <xdr:oneCellAnchor>
    <xdr:from>
      <xdr:col>15</xdr:col>
      <xdr:colOff>133350</xdr:colOff>
      <xdr:row>157</xdr:row>
      <xdr:rowOff>141144</xdr:rowOff>
    </xdr:from>
    <xdr:ext cx="1162050" cy="264560"/>
    <mc:AlternateContent xmlns:mc="http://schemas.openxmlformats.org/markup-compatibility/2006">
      <mc:Choice xmlns:a14="http://schemas.microsoft.com/office/drawing/2010/main" Requires="a14">
        <xdr:sp>
          <xdr:nvSpPr>
            <xdr:cNvPr id="7" name="TextBox 6"/>
            <xdr:cNvSpPr txBox="1"/>
          </xdr:nvSpPr>
          <xdr:spPr>
            <a:xfrm>
              <a:off x="16001365" y="3008757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  <m:r>
                    <a:rPr lang="en-US" sz="1100" b="0" i="0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2</m:t>
                  </m:r>
                  <m:r>
                    <a:rPr lang="en-US" sz="1100" b="0" i="0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,</m:t>
                  </m:r>
                  <m:r>
                    <a:rPr lang="en-US" sz="1100" b="0" i="0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44</m:t>
                  </m:r>
                </m:oMath>
              </a14:m>
              <a:r>
                <a:rPr lang="en-US" sz="1100"/>
                <a:t> - &gt; 4,68</a:t>
              </a:r>
              <a:endParaRPr lang="en-US" sz="1100"/>
            </a:p>
          </xdr:txBody>
        </xdr:sp>
      </mc:Choice>
      <mc:Fallback>
        <xdr:sp>
          <xdr:nvSpPr>
            <xdr:cNvPr id="7" name="TextBox 6"/>
            <xdr:cNvSpPr txBox="1"/>
          </xdr:nvSpPr>
          <xdr:spPr>
            <a:xfrm>
              <a:off x="16001365" y="3008757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 b="0">
                  <a:latin typeface="Cambria Math" panose="02040503050406030204" pitchFamily="18" charset="0"/>
                  <a:ea typeface="Cambria Math" panose="02040503050406030204" pitchFamily="18" charset="0"/>
                </a:rPr>
                <a:t>2</a:t>
              </a:r>
              <a:r>
                <a:rPr lang="en-US" sz="1100" b="0">
                  <a:latin typeface="Cambria Math" panose="02040503050406030204" pitchFamily="18" charset="0"/>
                  <a:ea typeface="Cambria Math" panose="02040503050406030204" pitchFamily="18" charset="0"/>
                </a:rPr>
                <a:t>,</a:t>
              </a:r>
              <a:r>
                <a:rPr lang="en-US" sz="1100" b="0">
                  <a:latin typeface="Cambria Math" panose="02040503050406030204" pitchFamily="18" charset="0"/>
                  <a:ea typeface="Cambria Math" panose="02040503050406030204" pitchFamily="18" charset="0"/>
                </a:rPr>
                <a:t>44</a:t>
              </a:r>
              <a:r>
                <a:rPr lang="en-US" sz="1100"/>
                <a:t> - &gt; 4,68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15</xdr:col>
      <xdr:colOff>209550</xdr:colOff>
      <xdr:row>160</xdr:row>
      <xdr:rowOff>74468</xdr:rowOff>
    </xdr:from>
    <xdr:to>
      <xdr:col>16</xdr:col>
      <xdr:colOff>571500</xdr:colOff>
      <xdr:row>164</xdr:row>
      <xdr:rowOff>0</xdr:rowOff>
    </xdr:to>
    <xdr:sp>
      <xdr:nvSpPr>
        <xdr:cNvPr id="8" name="Rectangle 7"/>
        <xdr:cNvSpPr/>
      </xdr:nvSpPr>
      <xdr:spPr>
        <a:xfrm>
          <a:off x="16077565" y="30620970"/>
          <a:ext cx="1133475" cy="71628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28 Sedang</a:t>
          </a:r>
          <a:endParaRPr lang="en-US" sz="1100"/>
        </a:p>
        <a:p>
          <a:pPr algn="l"/>
          <a:r>
            <a:rPr lang="en-US" sz="1100" baseline="0"/>
            <a:t>54 Lama</a:t>
          </a:r>
          <a:endParaRPr lang="en-US" sz="1100" baseline="0"/>
        </a:p>
        <a:p>
          <a:pPr algn="l"/>
          <a:r>
            <a:rPr lang="en-US" sz="1100" baseline="0"/>
            <a:t>5 Singkat</a:t>
          </a:r>
          <a:endParaRPr lang="en-US" sz="1100" baseline="0"/>
        </a:p>
      </xdr:txBody>
    </xdr:sp>
    <xdr:clientData/>
  </xdr:twoCellAnchor>
  <xdr:twoCellAnchor>
    <xdr:from>
      <xdr:col>17</xdr:col>
      <xdr:colOff>238125</xdr:colOff>
      <xdr:row>159</xdr:row>
      <xdr:rowOff>17318</xdr:rowOff>
    </xdr:from>
    <xdr:to>
      <xdr:col>19</xdr:col>
      <xdr:colOff>66674</xdr:colOff>
      <xdr:row>162</xdr:row>
      <xdr:rowOff>95250</xdr:rowOff>
    </xdr:to>
    <xdr:sp>
      <xdr:nvSpPr>
        <xdr:cNvPr id="9" name="Rectangle 8"/>
        <xdr:cNvSpPr/>
      </xdr:nvSpPr>
      <xdr:spPr>
        <a:xfrm>
          <a:off x="17649190" y="30363795"/>
          <a:ext cx="1370965" cy="67818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19 Sedang</a:t>
          </a:r>
          <a:endParaRPr lang="en-US">
            <a:effectLst/>
          </a:endParaRP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18 Lama</a:t>
          </a:r>
          <a:endParaRPr lang="en-US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Singkat</a:t>
          </a:r>
          <a:endParaRPr lang="en-US">
            <a:effectLst/>
          </a:endParaRPr>
        </a:p>
      </xdr:txBody>
    </xdr:sp>
    <xdr:clientData/>
  </xdr:twoCellAnchor>
  <xdr:oneCellAnchor>
    <xdr:from>
      <xdr:col>17</xdr:col>
      <xdr:colOff>257175</xdr:colOff>
      <xdr:row>156</xdr:row>
      <xdr:rowOff>114300</xdr:rowOff>
    </xdr:from>
    <xdr:ext cx="666750" cy="264560"/>
    <xdr:sp>
      <xdr:nvSpPr>
        <xdr:cNvPr id="10" name="TextBox 9"/>
        <xdr:cNvSpPr txBox="1"/>
      </xdr:nvSpPr>
      <xdr:spPr>
        <a:xfrm>
          <a:off x="17668240" y="29860875"/>
          <a:ext cx="666750" cy="264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&gt;4.68</a:t>
          </a:r>
          <a:endParaRPr lang="en-US" sz="1100"/>
        </a:p>
      </xdr:txBody>
    </xdr:sp>
    <xdr:clientData/>
  </xdr:oneCellAnchor>
  <xdr:twoCellAnchor>
    <xdr:from>
      <xdr:col>14</xdr:col>
      <xdr:colOff>485775</xdr:colOff>
      <xdr:row>156</xdr:row>
      <xdr:rowOff>104775</xdr:rowOff>
    </xdr:from>
    <xdr:to>
      <xdr:col>15</xdr:col>
      <xdr:colOff>123128</xdr:colOff>
      <xdr:row>159</xdr:row>
      <xdr:rowOff>46060</xdr:rowOff>
    </xdr:to>
    <xdr:cxnSp>
      <xdr:nvCxnSpPr>
        <xdr:cNvPr id="11" name="Straight Connector 10"/>
        <xdr:cNvCxnSpPr/>
      </xdr:nvCxnSpPr>
      <xdr:spPr>
        <a:xfrm flipH="1">
          <a:off x="14970125" y="29851350"/>
          <a:ext cx="1020445" cy="54102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13</xdr:col>
      <xdr:colOff>0</xdr:colOff>
      <xdr:row>157</xdr:row>
      <xdr:rowOff>0</xdr:rowOff>
    </xdr:from>
    <xdr:to>
      <xdr:col>15</xdr:col>
      <xdr:colOff>272892</xdr:colOff>
      <xdr:row>161</xdr:row>
      <xdr:rowOff>7793</xdr:rowOff>
    </xdr:to>
    <xdr:sp>
      <xdr:nvSpPr>
        <xdr:cNvPr id="9" name="Oval 8"/>
        <xdr:cNvSpPr/>
      </xdr:nvSpPr>
      <xdr:spPr>
        <a:xfrm>
          <a:off x="12635865" y="29908500"/>
          <a:ext cx="2011045" cy="807720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Jenis</a:t>
          </a:r>
          <a:r>
            <a:rPr lang="en-US" sz="1100" baseline="0"/>
            <a:t> Kelamin</a:t>
          </a:r>
          <a:endParaRPr lang="en-US" sz="1100"/>
        </a:p>
      </xdr:txBody>
    </xdr:sp>
    <xdr:clientData/>
  </xdr:twoCellAnchor>
  <xdr:twoCellAnchor>
    <xdr:from>
      <xdr:col>14</xdr:col>
      <xdr:colOff>168117</xdr:colOff>
      <xdr:row>161</xdr:row>
      <xdr:rowOff>7793</xdr:rowOff>
    </xdr:from>
    <xdr:to>
      <xdr:col>14</xdr:col>
      <xdr:colOff>222171</xdr:colOff>
      <xdr:row>164</xdr:row>
      <xdr:rowOff>83994</xdr:rowOff>
    </xdr:to>
    <xdr:cxnSp>
      <xdr:nvCxnSpPr>
        <xdr:cNvPr id="10" name="Straight Connector 9"/>
        <xdr:cNvCxnSpPr/>
      </xdr:nvCxnSpPr>
      <xdr:spPr>
        <a:xfrm flipH="1">
          <a:off x="13575030" y="30716220"/>
          <a:ext cx="53975" cy="6667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38797</xdr:colOff>
      <xdr:row>160</xdr:row>
      <xdr:rowOff>85559</xdr:rowOff>
    </xdr:from>
    <xdr:to>
      <xdr:col>15</xdr:col>
      <xdr:colOff>596742</xdr:colOff>
      <xdr:row>163</xdr:row>
      <xdr:rowOff>7794</xdr:rowOff>
    </xdr:to>
    <xdr:cxnSp>
      <xdr:nvCxnSpPr>
        <xdr:cNvPr id="11" name="Straight Connector 10"/>
        <xdr:cNvCxnSpPr>
          <a:stCxn id="9" idx="5"/>
        </xdr:cNvCxnSpPr>
      </xdr:nvCxnSpPr>
      <xdr:spPr>
        <a:xfrm>
          <a:off x="14413230" y="30593665"/>
          <a:ext cx="557530" cy="52260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oneCellAnchor>
    <xdr:from>
      <xdr:col>13</xdr:col>
      <xdr:colOff>453867</xdr:colOff>
      <xdr:row>161</xdr:row>
      <xdr:rowOff>160194</xdr:rowOff>
    </xdr:from>
    <xdr:ext cx="1162050" cy="264560"/>
    <mc:AlternateContent xmlns:mc="http://schemas.openxmlformats.org/markup-compatibility/2006">
      <mc:Choice xmlns:a14="http://schemas.microsoft.com/office/drawing/2010/main" Requires="a14">
        <xdr:sp>
          <xdr:nvSpPr>
            <xdr:cNvPr id="12" name="TextBox 11"/>
            <xdr:cNvSpPr txBox="1"/>
          </xdr:nvSpPr>
          <xdr:spPr>
            <a:xfrm>
              <a:off x="13089255" y="3086862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  <m:r>
                    <a:rPr lang="en-US" sz="1100" b="0" i="0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0</m:t>
                  </m:r>
                </m:oMath>
              </a14:m>
              <a:r>
                <a:rPr lang="en-US" sz="1100"/>
                <a:t> - &gt; 1</a:t>
              </a:r>
              <a:endParaRPr lang="en-US" sz="1100"/>
            </a:p>
          </xdr:txBody>
        </xdr:sp>
      </mc:Choice>
      <mc:Fallback>
        <xdr:sp>
          <xdr:nvSpPr>
            <xdr:cNvPr id="12" name="TextBox 11"/>
            <xdr:cNvSpPr txBox="1"/>
          </xdr:nvSpPr>
          <xdr:spPr>
            <a:xfrm>
              <a:off x="13089255" y="3086862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 b="0">
                  <a:latin typeface="Cambria Math" panose="02040503050406030204" pitchFamily="18" charset="0"/>
                  <a:ea typeface="Cambria Math" panose="02040503050406030204" pitchFamily="18" charset="0"/>
                </a:rPr>
                <a:t>0</a:t>
              </a:r>
              <a:r>
                <a:rPr lang="en-US" sz="1100"/>
                <a:t> - &gt; 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13</xdr:col>
      <xdr:colOff>368142</xdr:colOff>
      <xdr:row>164</xdr:row>
      <xdr:rowOff>74467</xdr:rowOff>
    </xdr:from>
    <xdr:to>
      <xdr:col>14</xdr:col>
      <xdr:colOff>720567</xdr:colOff>
      <xdr:row>167</xdr:row>
      <xdr:rowOff>133350</xdr:rowOff>
    </xdr:to>
    <xdr:sp>
      <xdr:nvSpPr>
        <xdr:cNvPr id="13" name="Rectangle 12"/>
        <xdr:cNvSpPr/>
      </xdr:nvSpPr>
      <xdr:spPr>
        <a:xfrm>
          <a:off x="13003530" y="31373445"/>
          <a:ext cx="1123950" cy="63055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42 Tinggi</a:t>
          </a:r>
          <a:endParaRPr lang="en-US" sz="1100"/>
        </a:p>
        <a:p>
          <a:pPr algn="l"/>
          <a:r>
            <a:rPr lang="en-US" sz="1100" baseline="0"/>
            <a:t>36 Sedang</a:t>
          </a:r>
          <a:endParaRPr lang="en-US" sz="1100" baseline="0"/>
        </a:p>
        <a:p>
          <a:pPr algn="l"/>
          <a:r>
            <a:rPr lang="en-US" sz="1100" baseline="0"/>
            <a:t>5 Rendah</a:t>
          </a:r>
          <a:endParaRPr lang="en-US" sz="1100" baseline="0"/>
        </a:p>
      </xdr:txBody>
    </xdr:sp>
    <xdr:clientData/>
  </xdr:twoCellAnchor>
  <xdr:twoCellAnchor>
    <xdr:from>
      <xdr:col>15</xdr:col>
      <xdr:colOff>234792</xdr:colOff>
      <xdr:row>163</xdr:row>
      <xdr:rowOff>17318</xdr:rowOff>
    </xdr:from>
    <xdr:to>
      <xdr:col>16</xdr:col>
      <xdr:colOff>653891</xdr:colOff>
      <xdr:row>166</xdr:row>
      <xdr:rowOff>76200</xdr:rowOff>
    </xdr:to>
    <xdr:sp>
      <xdr:nvSpPr>
        <xdr:cNvPr id="14" name="Rectangle 13"/>
        <xdr:cNvSpPr/>
      </xdr:nvSpPr>
      <xdr:spPr>
        <a:xfrm>
          <a:off x="14608810" y="31125795"/>
          <a:ext cx="1190625" cy="63055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41 Tinggi</a:t>
          </a:r>
          <a:endParaRPr lang="en-US">
            <a:effectLst/>
          </a:endParaRP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33 Sedang</a:t>
          </a:r>
          <a:endParaRPr lang="en-US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 Rendah</a:t>
          </a:r>
          <a:endParaRPr lang="en-US">
            <a:effectLst/>
          </a:endParaRPr>
        </a:p>
      </xdr:txBody>
    </xdr:sp>
    <xdr:clientData/>
  </xdr:twoCellAnchor>
  <xdr:oneCellAnchor>
    <xdr:from>
      <xdr:col>15</xdr:col>
      <xdr:colOff>282417</xdr:colOff>
      <xdr:row>160</xdr:row>
      <xdr:rowOff>114300</xdr:rowOff>
    </xdr:from>
    <xdr:ext cx="666750" cy="264560"/>
    <xdr:sp>
      <xdr:nvSpPr>
        <xdr:cNvPr id="15" name="TextBox 14"/>
        <xdr:cNvSpPr txBox="1"/>
      </xdr:nvSpPr>
      <xdr:spPr>
        <a:xfrm>
          <a:off x="14656435" y="30622875"/>
          <a:ext cx="666750" cy="264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&gt;1</a:t>
          </a:r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16</xdr:col>
      <xdr:colOff>117633</xdr:colOff>
      <xdr:row>12</xdr:row>
      <xdr:rowOff>0</xdr:rowOff>
    </xdr:from>
    <xdr:to>
      <xdr:col>18</xdr:col>
      <xdr:colOff>304800</xdr:colOff>
      <xdr:row>16</xdr:row>
      <xdr:rowOff>7793</xdr:rowOff>
    </xdr:to>
    <xdr:sp>
      <xdr:nvSpPr>
        <xdr:cNvPr id="2" name="Oval 1"/>
        <xdr:cNvSpPr/>
      </xdr:nvSpPr>
      <xdr:spPr>
        <a:xfrm>
          <a:off x="17566005" y="2286000"/>
          <a:ext cx="2048510" cy="807720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15</xdr:col>
      <xdr:colOff>447675</xdr:colOff>
      <xdr:row>15</xdr:row>
      <xdr:rowOff>85559</xdr:rowOff>
    </xdr:from>
    <xdr:to>
      <xdr:col>16</xdr:col>
      <xdr:colOff>361253</xdr:colOff>
      <xdr:row>18</xdr:row>
      <xdr:rowOff>26844</xdr:rowOff>
    </xdr:to>
    <xdr:cxnSp>
      <xdr:nvCxnSpPr>
        <xdr:cNvPr id="3" name="Straight Connector 2"/>
        <xdr:cNvCxnSpPr>
          <a:stCxn id="2" idx="3"/>
        </xdr:cNvCxnSpPr>
      </xdr:nvCxnSpPr>
      <xdr:spPr>
        <a:xfrm flipH="1">
          <a:off x="16867505" y="2971165"/>
          <a:ext cx="941705" cy="54165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19050</xdr:colOff>
      <xdr:row>15</xdr:row>
      <xdr:rowOff>188768</xdr:rowOff>
    </xdr:from>
    <xdr:to>
      <xdr:col>17</xdr:col>
      <xdr:colOff>73104</xdr:colOff>
      <xdr:row>19</xdr:row>
      <xdr:rowOff>74469</xdr:rowOff>
    </xdr:to>
    <xdr:cxnSp>
      <xdr:nvCxnSpPr>
        <xdr:cNvPr id="4" name="Straight Connector 3"/>
        <xdr:cNvCxnSpPr/>
      </xdr:nvCxnSpPr>
      <xdr:spPr>
        <a:xfrm flipH="1">
          <a:off x="18557240" y="3074670"/>
          <a:ext cx="53975" cy="6858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61180</xdr:colOff>
      <xdr:row>15</xdr:row>
      <xdr:rowOff>85559</xdr:rowOff>
    </xdr:from>
    <xdr:to>
      <xdr:col>19</xdr:col>
      <xdr:colOff>19050</xdr:colOff>
      <xdr:row>18</xdr:row>
      <xdr:rowOff>7794</xdr:rowOff>
    </xdr:to>
    <xdr:cxnSp>
      <xdr:nvCxnSpPr>
        <xdr:cNvPr id="5" name="Straight Connector 4"/>
        <xdr:cNvCxnSpPr>
          <a:stCxn id="2" idx="5"/>
        </xdr:cNvCxnSpPr>
      </xdr:nvCxnSpPr>
      <xdr:spPr>
        <a:xfrm>
          <a:off x="19370675" y="2971165"/>
          <a:ext cx="729615" cy="52260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18</xdr:row>
      <xdr:rowOff>55418</xdr:rowOff>
    </xdr:from>
    <xdr:to>
      <xdr:col>16</xdr:col>
      <xdr:colOff>95250</xdr:colOff>
      <xdr:row>20</xdr:row>
      <xdr:rowOff>150669</xdr:rowOff>
    </xdr:to>
    <xdr:sp>
      <xdr:nvSpPr>
        <xdr:cNvPr id="6" name="Rectangle 5"/>
        <xdr:cNvSpPr/>
      </xdr:nvSpPr>
      <xdr:spPr>
        <a:xfrm>
          <a:off x="16419830" y="3541395"/>
          <a:ext cx="1123950" cy="4953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 13 Sedang</a:t>
          </a:r>
          <a:endParaRPr lang="en-US" sz="1100" baseline="0"/>
        </a:p>
        <a:p>
          <a:pPr algn="l"/>
          <a:r>
            <a:rPr lang="en-US" sz="1100" baseline="0"/>
            <a:t>18 Rendah</a:t>
          </a:r>
          <a:endParaRPr lang="en-US" sz="1100"/>
        </a:p>
      </xdr:txBody>
    </xdr:sp>
    <xdr:clientData/>
  </xdr:twoCellAnchor>
  <xdr:oneCellAnchor>
    <xdr:from>
      <xdr:col>15</xdr:col>
      <xdr:colOff>285750</xdr:colOff>
      <xdr:row>15</xdr:row>
      <xdr:rowOff>112569</xdr:rowOff>
    </xdr:from>
    <xdr:ext cx="666750" cy="264560"/>
    <xdr:sp>
      <xdr:nvSpPr>
        <xdr:cNvPr id="7" name="TextBox 6"/>
        <xdr:cNvSpPr txBox="1"/>
      </xdr:nvSpPr>
      <xdr:spPr>
        <a:xfrm>
          <a:off x="16705580" y="2998470"/>
          <a:ext cx="666750" cy="264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&lt;12,60</a:t>
          </a:r>
          <a:endParaRPr lang="en-US">
            <a:effectLst/>
          </a:endParaRPr>
        </a:p>
      </xdr:txBody>
    </xdr:sp>
    <xdr:clientData/>
  </xdr:oneCellAnchor>
  <xdr:oneCellAnchor>
    <xdr:from>
      <xdr:col>16</xdr:col>
      <xdr:colOff>381000</xdr:colOff>
      <xdr:row>16</xdr:row>
      <xdr:rowOff>131619</xdr:rowOff>
    </xdr:from>
    <xdr:ext cx="1162050" cy="264560"/>
    <mc:AlternateContent xmlns:mc="http://schemas.openxmlformats.org/markup-compatibility/2006">
      <mc:Choice xmlns:a14="http://schemas.microsoft.com/office/drawing/2010/main" Requires="a14">
        <xdr:sp>
          <xdr:nvSpPr>
            <xdr:cNvPr id="8" name="TextBox 7"/>
            <xdr:cNvSpPr txBox="1"/>
          </xdr:nvSpPr>
          <xdr:spPr>
            <a:xfrm>
              <a:off x="17829530" y="3217545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12,60 - &gt; 29,21</a:t>
              </a:r>
              <a:endParaRPr lang="en-US" sz="1100"/>
            </a:p>
          </xdr:txBody>
        </xdr:sp>
      </mc:Choice>
      <mc:Fallback>
        <xdr:sp>
          <xdr:nvSpPr>
            <xdr:cNvPr id="8" name="TextBox 7"/>
            <xdr:cNvSpPr txBox="1"/>
          </xdr:nvSpPr>
          <xdr:spPr>
            <a:xfrm>
              <a:off x="17829530" y="3217545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12,60 - &gt; 29,21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16</xdr:col>
      <xdr:colOff>457200</xdr:colOff>
      <xdr:row>19</xdr:row>
      <xdr:rowOff>64943</xdr:rowOff>
    </xdr:from>
    <xdr:to>
      <xdr:col>17</xdr:col>
      <xdr:colOff>504825</xdr:colOff>
      <xdr:row>21</xdr:row>
      <xdr:rowOff>141144</xdr:rowOff>
    </xdr:to>
    <xdr:sp>
      <xdr:nvSpPr>
        <xdr:cNvPr id="9" name="Rectangle 8"/>
        <xdr:cNvSpPr/>
      </xdr:nvSpPr>
      <xdr:spPr>
        <a:xfrm>
          <a:off x="17905730" y="3750945"/>
          <a:ext cx="1137285" cy="47625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36 Tinggi</a:t>
          </a:r>
          <a:endParaRPr lang="en-US" sz="1100"/>
        </a:p>
        <a:p>
          <a:pPr algn="l"/>
          <a:r>
            <a:rPr lang="en-US" sz="1100" baseline="0"/>
            <a:t>57 Sedang</a:t>
          </a:r>
          <a:endParaRPr lang="en-US" sz="1100" baseline="0"/>
        </a:p>
      </xdr:txBody>
    </xdr:sp>
    <xdr:clientData/>
  </xdr:twoCellAnchor>
  <xdr:twoCellAnchor>
    <xdr:from>
      <xdr:col>18</xdr:col>
      <xdr:colOff>238126</xdr:colOff>
      <xdr:row>18</xdr:row>
      <xdr:rowOff>7794</xdr:rowOff>
    </xdr:from>
    <xdr:to>
      <xdr:col>19</xdr:col>
      <xdr:colOff>466726</xdr:colOff>
      <xdr:row>19</xdr:row>
      <xdr:rowOff>160194</xdr:rowOff>
    </xdr:to>
    <xdr:sp>
      <xdr:nvSpPr>
        <xdr:cNvPr id="10" name="Rectangle 9"/>
        <xdr:cNvSpPr/>
      </xdr:nvSpPr>
      <xdr:spPr>
        <a:xfrm>
          <a:off x="19547840" y="3493770"/>
          <a:ext cx="1000125" cy="3524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39 </a:t>
          </a:r>
          <a:r>
            <a:rPr lang="en-US" sz="1100"/>
            <a:t>Tinggi</a:t>
          </a:r>
          <a:endParaRPr lang="en-US" sz="1100"/>
        </a:p>
      </xdr:txBody>
    </xdr:sp>
    <xdr:clientData/>
  </xdr:twoCellAnchor>
  <xdr:oneCellAnchor>
    <xdr:from>
      <xdr:col>18</xdr:col>
      <xdr:colOff>285750</xdr:colOff>
      <xdr:row>15</xdr:row>
      <xdr:rowOff>104775</xdr:rowOff>
    </xdr:from>
    <xdr:ext cx="666750" cy="264560"/>
    <xdr:sp>
      <xdr:nvSpPr>
        <xdr:cNvPr id="11" name="TextBox 10"/>
        <xdr:cNvSpPr txBox="1"/>
      </xdr:nvSpPr>
      <xdr:spPr>
        <a:xfrm>
          <a:off x="19595465" y="2990850"/>
          <a:ext cx="666750" cy="264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&gt;29,21</a:t>
          </a:r>
          <a:endParaRPr lang="en-US" sz="1100"/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17</xdr:col>
      <xdr:colOff>307201</xdr:colOff>
      <xdr:row>138</xdr:row>
      <xdr:rowOff>0</xdr:rowOff>
    </xdr:from>
    <xdr:to>
      <xdr:col>19</xdr:col>
      <xdr:colOff>906497</xdr:colOff>
      <xdr:row>141</xdr:row>
      <xdr:rowOff>182636</xdr:rowOff>
    </xdr:to>
    <xdr:sp>
      <xdr:nvSpPr>
        <xdr:cNvPr id="2" name="Oval 1"/>
        <xdr:cNvSpPr/>
      </xdr:nvSpPr>
      <xdr:spPr>
        <a:xfrm>
          <a:off x="17484725" y="26289000"/>
          <a:ext cx="1933575" cy="782320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LAMA RAWAT INAP</a:t>
          </a:r>
          <a:endParaRPr lang="en-US" sz="1100"/>
        </a:p>
      </xdr:txBody>
    </xdr:sp>
    <xdr:clientData/>
  </xdr:twoCellAnchor>
  <xdr:twoCellAnchor>
    <xdr:from>
      <xdr:col>16</xdr:col>
      <xdr:colOff>447675</xdr:colOff>
      <xdr:row>141</xdr:row>
      <xdr:rowOff>69902</xdr:rowOff>
    </xdr:from>
    <xdr:to>
      <xdr:col>17</xdr:col>
      <xdr:colOff>550821</xdr:colOff>
      <xdr:row>143</xdr:row>
      <xdr:rowOff>191249</xdr:rowOff>
    </xdr:to>
    <xdr:cxnSp>
      <xdr:nvCxnSpPr>
        <xdr:cNvPr id="3" name="Straight Connector 2"/>
        <xdr:cNvCxnSpPr>
          <a:stCxn id="2" idx="3"/>
        </xdr:cNvCxnSpPr>
      </xdr:nvCxnSpPr>
      <xdr:spPr>
        <a:xfrm flipH="1">
          <a:off x="16842105" y="26958925"/>
          <a:ext cx="886460" cy="5213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8426</xdr:colOff>
      <xdr:row>141</xdr:row>
      <xdr:rowOff>173111</xdr:rowOff>
    </xdr:from>
    <xdr:to>
      <xdr:col>19</xdr:col>
      <xdr:colOff>62480</xdr:colOff>
      <xdr:row>145</xdr:row>
      <xdr:rowOff>37935</xdr:rowOff>
    </xdr:to>
    <xdr:cxnSp>
      <xdr:nvCxnSpPr>
        <xdr:cNvPr id="4" name="Straight Connector 3"/>
        <xdr:cNvCxnSpPr/>
      </xdr:nvCxnSpPr>
      <xdr:spPr>
        <a:xfrm flipH="1">
          <a:off x="18520410" y="27061795"/>
          <a:ext cx="53975" cy="66484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662877</xdr:colOff>
      <xdr:row>141</xdr:row>
      <xdr:rowOff>69902</xdr:rowOff>
    </xdr:from>
    <xdr:to>
      <xdr:col>20</xdr:col>
      <xdr:colOff>280568</xdr:colOff>
      <xdr:row>143</xdr:row>
      <xdr:rowOff>172199</xdr:rowOff>
    </xdr:to>
    <xdr:cxnSp>
      <xdr:nvCxnSpPr>
        <xdr:cNvPr id="5" name="Straight Connector 4"/>
        <xdr:cNvCxnSpPr>
          <a:stCxn id="2" idx="5"/>
        </xdr:cNvCxnSpPr>
      </xdr:nvCxnSpPr>
      <xdr:spPr>
        <a:xfrm>
          <a:off x="19174460" y="26958925"/>
          <a:ext cx="842010" cy="50228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144</xdr:row>
      <xdr:rowOff>24103</xdr:rowOff>
    </xdr:from>
    <xdr:to>
      <xdr:col>17</xdr:col>
      <xdr:colOff>284818</xdr:colOff>
      <xdr:row>147</xdr:row>
      <xdr:rowOff>104384</xdr:rowOff>
    </xdr:to>
    <xdr:sp>
      <xdr:nvSpPr>
        <xdr:cNvPr id="6" name="Rectangle 5"/>
        <xdr:cNvSpPr/>
      </xdr:nvSpPr>
      <xdr:spPr>
        <a:xfrm>
          <a:off x="16394430" y="27512645"/>
          <a:ext cx="1068070" cy="68072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 20 Sedang</a:t>
          </a:r>
          <a:endParaRPr lang="en-US" sz="1100" baseline="0"/>
        </a:p>
        <a:p>
          <a:pPr algn="l"/>
          <a:r>
            <a:rPr lang="en-US" sz="1100" baseline="0"/>
            <a:t>17 Lama</a:t>
          </a:r>
          <a:endParaRPr lang="en-US" sz="1100" baseline="0"/>
        </a:p>
        <a:p>
          <a:pPr algn="l"/>
          <a:r>
            <a:rPr lang="en-US" sz="1100" baseline="0"/>
            <a:t>4 Singkat</a:t>
          </a:r>
          <a:endParaRPr lang="en-US" sz="1100"/>
        </a:p>
      </xdr:txBody>
    </xdr:sp>
    <xdr:clientData/>
  </xdr:twoCellAnchor>
  <xdr:oneCellAnchor>
    <xdr:from>
      <xdr:col>16</xdr:col>
      <xdr:colOff>285750</xdr:colOff>
      <xdr:row>141</xdr:row>
      <xdr:rowOff>96912</xdr:rowOff>
    </xdr:from>
    <xdr:ext cx="666750" cy="264560"/>
    <xdr:sp>
      <xdr:nvSpPr>
        <xdr:cNvPr id="7" name="TextBox 6"/>
        <xdr:cNvSpPr txBox="1"/>
      </xdr:nvSpPr>
      <xdr:spPr>
        <a:xfrm>
          <a:off x="16680180" y="26985595"/>
          <a:ext cx="666750" cy="2647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&lt;2,5</a:t>
          </a:r>
          <a:endParaRPr lang="en-US">
            <a:effectLst/>
          </a:endParaRPr>
        </a:p>
      </xdr:txBody>
    </xdr:sp>
    <xdr:clientData/>
  </xdr:oneCellAnchor>
  <xdr:oneCellAnchor>
    <xdr:from>
      <xdr:col>17</xdr:col>
      <xdr:colOff>570568</xdr:colOff>
      <xdr:row>142</xdr:row>
      <xdr:rowOff>110743</xdr:rowOff>
    </xdr:from>
    <xdr:ext cx="1162050" cy="264560"/>
    <mc:AlternateContent xmlns:mc="http://schemas.openxmlformats.org/markup-compatibility/2006">
      <mc:Choice xmlns:a14="http://schemas.microsoft.com/office/drawing/2010/main" Requires="a14">
        <xdr:sp>
          <xdr:nvSpPr>
            <xdr:cNvPr id="8" name="TextBox 7"/>
            <xdr:cNvSpPr txBox="1"/>
          </xdr:nvSpPr>
          <xdr:spPr>
            <a:xfrm>
              <a:off x="17748250" y="27199590"/>
              <a:ext cx="1162050" cy="2647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  <m:r>
                    <a:rPr lang="en-US" sz="1100" b="0" i="0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2</m:t>
                  </m:r>
                  <m:r>
                    <a:rPr lang="en-US" sz="1100" b="0" i="0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,</m:t>
                  </m:r>
                  <m:r>
                    <a:rPr lang="en-US" sz="1100" b="0" i="0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5</m:t>
                  </m:r>
                </m:oMath>
              </a14:m>
              <a:r>
                <a:rPr lang="en-US" sz="1100"/>
                <a:t> - &gt; 4,67</a:t>
              </a:r>
              <a:endParaRPr lang="en-US" sz="1100"/>
            </a:p>
          </xdr:txBody>
        </xdr:sp>
      </mc:Choice>
      <mc:Fallback>
        <xdr:sp>
          <xdr:nvSpPr>
            <xdr:cNvPr id="8" name="TextBox 7"/>
            <xdr:cNvSpPr txBox="1"/>
          </xdr:nvSpPr>
          <xdr:spPr>
            <a:xfrm>
              <a:off x="17748250" y="27199590"/>
              <a:ext cx="1162050" cy="2647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 b="0">
                  <a:latin typeface="Cambria Math" panose="02040503050406030204" pitchFamily="18" charset="0"/>
                  <a:ea typeface="Cambria Math" panose="02040503050406030204" pitchFamily="18" charset="0"/>
                </a:rPr>
                <a:t>2</a:t>
              </a:r>
              <a:r>
                <a:rPr lang="en-US" sz="1100" b="0">
                  <a:latin typeface="Cambria Math" panose="02040503050406030204" pitchFamily="18" charset="0"/>
                  <a:ea typeface="Cambria Math" panose="02040503050406030204" pitchFamily="18" charset="0"/>
                </a:rPr>
                <a:t>,</a:t>
              </a:r>
              <a:r>
                <a:rPr lang="en-US" sz="1100" b="0">
                  <a:latin typeface="Cambria Math" panose="02040503050406030204" pitchFamily="18" charset="0"/>
                  <a:ea typeface="Cambria Math" panose="02040503050406030204" pitchFamily="18" charset="0"/>
                </a:rPr>
                <a:t>5</a:t>
              </a:r>
              <a:r>
                <a:rPr lang="en-US" sz="1100"/>
                <a:t> - &gt; 4,67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18</xdr:col>
      <xdr:colOff>33515</xdr:colOff>
      <xdr:row>145</xdr:row>
      <xdr:rowOff>28409</xdr:rowOff>
    </xdr:from>
    <xdr:to>
      <xdr:col>19</xdr:col>
      <xdr:colOff>494201</xdr:colOff>
      <xdr:row>147</xdr:row>
      <xdr:rowOff>94172</xdr:rowOff>
    </xdr:to>
    <xdr:sp>
      <xdr:nvSpPr>
        <xdr:cNvPr id="9" name="Rectangle 8"/>
        <xdr:cNvSpPr/>
      </xdr:nvSpPr>
      <xdr:spPr>
        <a:xfrm>
          <a:off x="17994630" y="27717115"/>
          <a:ext cx="1011555" cy="46609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36 Sedang</a:t>
          </a:r>
          <a:endParaRPr lang="en-US" sz="1100"/>
        </a:p>
        <a:p>
          <a:pPr algn="l"/>
          <a:r>
            <a:rPr lang="en-US" sz="1100" baseline="0"/>
            <a:t>57 Lama</a:t>
          </a:r>
          <a:endParaRPr lang="en-US" sz="1100" baseline="0"/>
        </a:p>
      </xdr:txBody>
    </xdr:sp>
    <xdr:clientData/>
  </xdr:twoCellAnchor>
  <xdr:twoCellAnchor>
    <xdr:from>
      <xdr:col>19</xdr:col>
      <xdr:colOff>852871</xdr:colOff>
      <xdr:row>143</xdr:row>
      <xdr:rowOff>172198</xdr:rowOff>
    </xdr:from>
    <xdr:to>
      <xdr:col>21</xdr:col>
      <xdr:colOff>128038</xdr:colOff>
      <xdr:row>146</xdr:row>
      <xdr:rowOff>91335</xdr:rowOff>
    </xdr:to>
    <xdr:sp>
      <xdr:nvSpPr>
        <xdr:cNvPr id="10" name="Rectangle 9"/>
        <xdr:cNvSpPr/>
      </xdr:nvSpPr>
      <xdr:spPr>
        <a:xfrm>
          <a:off x="19364960" y="27461210"/>
          <a:ext cx="1282700" cy="51879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13 Sedang</a:t>
          </a:r>
          <a:endParaRPr lang="en-US" sz="1100"/>
        </a:p>
        <a:p>
          <a:pPr algn="l"/>
          <a:r>
            <a:rPr lang="en-US" sz="1100"/>
            <a:t> 15 Lama</a:t>
          </a:r>
          <a:endParaRPr lang="en-US" sz="1100"/>
        </a:p>
      </xdr:txBody>
    </xdr:sp>
    <xdr:clientData/>
  </xdr:twoCellAnchor>
  <xdr:oneCellAnchor>
    <xdr:from>
      <xdr:col>19</xdr:col>
      <xdr:colOff>887447</xdr:colOff>
      <xdr:row>141</xdr:row>
      <xdr:rowOff>89118</xdr:rowOff>
    </xdr:from>
    <xdr:ext cx="666750" cy="264560"/>
    <xdr:sp>
      <xdr:nvSpPr>
        <xdr:cNvPr id="11" name="TextBox 10"/>
        <xdr:cNvSpPr txBox="1"/>
      </xdr:nvSpPr>
      <xdr:spPr>
        <a:xfrm>
          <a:off x="19399250" y="26977975"/>
          <a:ext cx="666750" cy="264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&gt;4,67</a:t>
          </a:r>
          <a:endParaRPr lang="en-US" sz="1100"/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14</xdr:col>
      <xdr:colOff>0</xdr:colOff>
      <xdr:row>153</xdr:row>
      <xdr:rowOff>0</xdr:rowOff>
    </xdr:from>
    <xdr:to>
      <xdr:col>15</xdr:col>
      <xdr:colOff>557138</xdr:colOff>
      <xdr:row>157</xdr:row>
      <xdr:rowOff>17819</xdr:rowOff>
    </xdr:to>
    <xdr:sp>
      <xdr:nvSpPr>
        <xdr:cNvPr id="2" name="Oval 1"/>
        <xdr:cNvSpPr/>
      </xdr:nvSpPr>
      <xdr:spPr>
        <a:xfrm>
          <a:off x="13590270" y="29146500"/>
          <a:ext cx="1940560" cy="817880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Jenis</a:t>
          </a:r>
          <a:r>
            <a:rPr lang="en-US" sz="1100" baseline="0"/>
            <a:t> Kelamin</a:t>
          </a:r>
          <a:endParaRPr lang="en-US" sz="1100"/>
        </a:p>
      </xdr:txBody>
    </xdr:sp>
    <xdr:clientData/>
  </xdr:twoCellAnchor>
  <xdr:twoCellAnchor>
    <xdr:from>
      <xdr:col>14</xdr:col>
      <xdr:colOff>777717</xdr:colOff>
      <xdr:row>157</xdr:row>
      <xdr:rowOff>17819</xdr:rowOff>
    </xdr:from>
    <xdr:to>
      <xdr:col>14</xdr:col>
      <xdr:colOff>831771</xdr:colOff>
      <xdr:row>160</xdr:row>
      <xdr:rowOff>101540</xdr:rowOff>
    </xdr:to>
    <xdr:cxnSp>
      <xdr:nvCxnSpPr>
        <xdr:cNvPr id="3" name="Straight Connector 2"/>
        <xdr:cNvCxnSpPr/>
      </xdr:nvCxnSpPr>
      <xdr:spPr>
        <a:xfrm flipH="1">
          <a:off x="14367510" y="29964380"/>
          <a:ext cx="53975" cy="6737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323043</xdr:colOff>
      <xdr:row>156</xdr:row>
      <xdr:rowOff>93078</xdr:rowOff>
    </xdr:from>
    <xdr:to>
      <xdr:col>16</xdr:col>
      <xdr:colOff>266876</xdr:colOff>
      <xdr:row>159</xdr:row>
      <xdr:rowOff>22833</xdr:rowOff>
    </xdr:to>
    <xdr:cxnSp>
      <xdr:nvCxnSpPr>
        <xdr:cNvPr id="4" name="Straight Connector 3"/>
        <xdr:cNvCxnSpPr>
          <a:stCxn id="2" idx="5"/>
        </xdr:cNvCxnSpPr>
      </xdr:nvCxnSpPr>
      <xdr:spPr>
        <a:xfrm>
          <a:off x="15296515" y="29839285"/>
          <a:ext cx="727710" cy="5295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oneCellAnchor>
    <xdr:from>
      <xdr:col>14</xdr:col>
      <xdr:colOff>453867</xdr:colOff>
      <xdr:row>157</xdr:row>
      <xdr:rowOff>170220</xdr:rowOff>
    </xdr:from>
    <xdr:ext cx="1162050" cy="264560"/>
    <mc:AlternateContent xmlns:mc="http://schemas.openxmlformats.org/markup-compatibility/2006">
      <mc:Choice xmlns:a14="http://schemas.microsoft.com/office/drawing/2010/main" Requires="a14">
        <xdr:sp>
          <xdr:nvSpPr>
            <xdr:cNvPr id="5" name="TextBox 4"/>
            <xdr:cNvSpPr txBox="1"/>
          </xdr:nvSpPr>
          <xdr:spPr>
            <a:xfrm>
              <a:off x="14043660" y="3011678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  <m:r>
                    <a:rPr lang="en-US" sz="1100" b="0" i="0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0</m:t>
                  </m:r>
                </m:oMath>
              </a14:m>
              <a:r>
                <a:rPr lang="en-US" sz="1100"/>
                <a:t> - &gt; 1</a:t>
              </a:r>
              <a:endParaRPr lang="en-US" sz="1100"/>
            </a:p>
          </xdr:txBody>
        </xdr:sp>
      </mc:Choice>
      <mc:Fallback>
        <xdr:sp>
          <xdr:nvSpPr>
            <xdr:cNvPr id="5" name="TextBox 4"/>
            <xdr:cNvSpPr txBox="1"/>
          </xdr:nvSpPr>
          <xdr:spPr>
            <a:xfrm>
              <a:off x="14043660" y="3011678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 b="0">
                  <a:latin typeface="Cambria Math" panose="02040503050406030204" pitchFamily="18" charset="0"/>
                  <a:ea typeface="Cambria Math" panose="02040503050406030204" pitchFamily="18" charset="0"/>
                </a:rPr>
                <a:t>0</a:t>
              </a:r>
              <a:r>
                <a:rPr lang="en-US" sz="1100"/>
                <a:t> - &gt; 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14</xdr:col>
      <xdr:colOff>368142</xdr:colOff>
      <xdr:row>160</xdr:row>
      <xdr:rowOff>92013</xdr:rowOff>
    </xdr:from>
    <xdr:to>
      <xdr:col>15</xdr:col>
      <xdr:colOff>252338</xdr:colOff>
      <xdr:row>163</xdr:row>
      <xdr:rowOff>158415</xdr:rowOff>
    </xdr:to>
    <xdr:sp>
      <xdr:nvSpPr>
        <xdr:cNvPr id="6" name="Rectangle 5"/>
        <xdr:cNvSpPr/>
      </xdr:nvSpPr>
      <xdr:spPr>
        <a:xfrm>
          <a:off x="13957935" y="30628590"/>
          <a:ext cx="1268095" cy="63817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24 Tinggi</a:t>
          </a:r>
          <a:endParaRPr lang="en-US" sz="1100"/>
        </a:p>
        <a:p>
          <a:pPr algn="l"/>
          <a:r>
            <a:rPr lang="en-US" sz="1100" baseline="0"/>
            <a:t>33 Sedang</a:t>
          </a:r>
          <a:endParaRPr lang="en-US" sz="1100" baseline="0"/>
        </a:p>
        <a:p>
          <a:pPr algn="l"/>
          <a:r>
            <a:rPr lang="en-US" sz="1100" baseline="0"/>
            <a:t>9 Rendah</a:t>
          </a:r>
          <a:endParaRPr lang="en-US" sz="1100" baseline="0"/>
        </a:p>
      </xdr:txBody>
    </xdr:sp>
    <xdr:clientData/>
  </xdr:twoCellAnchor>
  <xdr:twoCellAnchor>
    <xdr:from>
      <xdr:col>15</xdr:col>
      <xdr:colOff>519038</xdr:colOff>
      <xdr:row>159</xdr:row>
      <xdr:rowOff>32357</xdr:rowOff>
    </xdr:from>
    <xdr:to>
      <xdr:col>17</xdr:col>
      <xdr:colOff>319514</xdr:colOff>
      <xdr:row>162</xdr:row>
      <xdr:rowOff>98759</xdr:rowOff>
    </xdr:to>
    <xdr:sp>
      <xdr:nvSpPr>
        <xdr:cNvPr id="7" name="Rectangle 6"/>
        <xdr:cNvSpPr/>
      </xdr:nvSpPr>
      <xdr:spPr>
        <a:xfrm>
          <a:off x="15492730" y="30378400"/>
          <a:ext cx="1367790" cy="63817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45 Tinggi</a:t>
          </a:r>
          <a:endParaRPr lang="en-US">
            <a:effectLst/>
          </a:endParaRP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41 Sedang</a:t>
          </a:r>
          <a:endParaRPr lang="en-US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11 Rendah</a:t>
          </a:r>
          <a:endParaRPr lang="en-US">
            <a:effectLst/>
          </a:endParaRPr>
        </a:p>
      </xdr:txBody>
    </xdr:sp>
    <xdr:clientData/>
  </xdr:twoCellAnchor>
  <xdr:oneCellAnchor>
    <xdr:from>
      <xdr:col>15</xdr:col>
      <xdr:colOff>566663</xdr:colOff>
      <xdr:row>156</xdr:row>
      <xdr:rowOff>121819</xdr:rowOff>
    </xdr:from>
    <xdr:ext cx="666750" cy="264560"/>
    <xdr:sp>
      <xdr:nvSpPr>
        <xdr:cNvPr id="8" name="TextBox 7"/>
        <xdr:cNvSpPr txBox="1"/>
      </xdr:nvSpPr>
      <xdr:spPr>
        <a:xfrm>
          <a:off x="15540355" y="29867860"/>
          <a:ext cx="666750" cy="2647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&gt;1</a:t>
          </a:r>
          <a:endParaRPr lang="en-US" sz="1100"/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11</xdr:col>
      <xdr:colOff>283954</xdr:colOff>
      <xdr:row>170</xdr:row>
      <xdr:rowOff>0</xdr:rowOff>
    </xdr:from>
    <xdr:to>
      <xdr:col>14</xdr:col>
      <xdr:colOff>442180</xdr:colOff>
      <xdr:row>174</xdr:row>
      <xdr:rowOff>15120</xdr:rowOff>
    </xdr:to>
    <xdr:sp>
      <xdr:nvSpPr>
        <xdr:cNvPr id="2" name="Oval 1"/>
        <xdr:cNvSpPr/>
      </xdr:nvSpPr>
      <xdr:spPr>
        <a:xfrm>
          <a:off x="9919335" y="32385000"/>
          <a:ext cx="2508885" cy="814705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Usia</a:t>
          </a:r>
          <a:endParaRPr lang="en-US" sz="1100"/>
        </a:p>
      </xdr:txBody>
    </xdr:sp>
    <xdr:clientData/>
  </xdr:twoCellAnchor>
  <xdr:twoCellAnchor>
    <xdr:from>
      <xdr:col>10</xdr:col>
      <xdr:colOff>419100</xdr:colOff>
      <xdr:row>173</xdr:row>
      <xdr:rowOff>92886</xdr:rowOff>
    </xdr:from>
    <xdr:to>
      <xdr:col>11</xdr:col>
      <xdr:colOff>527574</xdr:colOff>
      <xdr:row>176</xdr:row>
      <xdr:rowOff>37834</xdr:rowOff>
    </xdr:to>
    <xdr:cxnSp>
      <xdr:nvCxnSpPr>
        <xdr:cNvPr id="3" name="Straight Connector 2"/>
        <xdr:cNvCxnSpPr>
          <a:stCxn id="2" idx="3"/>
        </xdr:cNvCxnSpPr>
      </xdr:nvCxnSpPr>
      <xdr:spPr>
        <a:xfrm flipH="1">
          <a:off x="9271000" y="33077785"/>
          <a:ext cx="891540" cy="54483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185737</xdr:colOff>
      <xdr:row>174</xdr:row>
      <xdr:rowOff>15120</xdr:rowOff>
    </xdr:from>
    <xdr:to>
      <xdr:col>13</xdr:col>
      <xdr:colOff>239791</xdr:colOff>
      <xdr:row>177</xdr:row>
      <xdr:rowOff>98648</xdr:rowOff>
    </xdr:to>
    <xdr:cxnSp>
      <xdr:nvCxnSpPr>
        <xdr:cNvPr id="4" name="Straight Connector 3"/>
        <xdr:cNvCxnSpPr/>
      </xdr:nvCxnSpPr>
      <xdr:spPr>
        <a:xfrm flipH="1">
          <a:off x="11388090" y="33199705"/>
          <a:ext cx="53975" cy="68389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203689</xdr:colOff>
      <xdr:row>173</xdr:row>
      <xdr:rowOff>92886</xdr:rowOff>
    </xdr:from>
    <xdr:to>
      <xdr:col>14</xdr:col>
      <xdr:colOff>766030</xdr:colOff>
      <xdr:row>176</xdr:row>
      <xdr:rowOff>18784</xdr:rowOff>
    </xdr:to>
    <xdr:cxnSp>
      <xdr:nvCxnSpPr>
        <xdr:cNvPr id="5" name="Straight Connector 4"/>
        <xdr:cNvCxnSpPr>
          <a:stCxn id="2" idx="5"/>
        </xdr:cNvCxnSpPr>
      </xdr:nvCxnSpPr>
      <xdr:spPr>
        <a:xfrm>
          <a:off x="12189460" y="33077785"/>
          <a:ext cx="562610" cy="52578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176</xdr:row>
      <xdr:rowOff>77765</xdr:rowOff>
    </xdr:from>
    <xdr:to>
      <xdr:col>11</xdr:col>
      <xdr:colOff>404446</xdr:colOff>
      <xdr:row>179</xdr:row>
      <xdr:rowOff>123092</xdr:rowOff>
    </xdr:to>
    <xdr:sp>
      <xdr:nvSpPr>
        <xdr:cNvPr id="6" name="Rectangle 5"/>
        <xdr:cNvSpPr/>
      </xdr:nvSpPr>
      <xdr:spPr>
        <a:xfrm>
          <a:off x="8851900" y="33662620"/>
          <a:ext cx="1187450" cy="64516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19 Dewasa</a:t>
          </a:r>
          <a:endParaRPr lang="en-US" sz="1100" baseline="0"/>
        </a:p>
        <a:p>
          <a:pPr algn="l"/>
          <a:r>
            <a:rPr lang="en-US" sz="1100" baseline="0"/>
            <a:t>21 Anak-Anak</a:t>
          </a:r>
          <a:endParaRPr lang="en-US" sz="1100" baseline="0"/>
        </a:p>
        <a:p>
          <a:pPr algn="l"/>
          <a:r>
            <a:rPr lang="en-US" sz="1100" baseline="0"/>
            <a:t>6 Lansia</a:t>
          </a:r>
          <a:endParaRPr lang="en-US" sz="1100"/>
        </a:p>
      </xdr:txBody>
    </xdr:sp>
    <xdr:clientData/>
  </xdr:twoCellAnchor>
  <xdr:oneCellAnchor>
    <xdr:from>
      <xdr:col>10</xdr:col>
      <xdr:colOff>285750</xdr:colOff>
      <xdr:row>173</xdr:row>
      <xdr:rowOff>129421</xdr:rowOff>
    </xdr:from>
    <xdr:ext cx="666750" cy="264560"/>
    <xdr:sp>
      <xdr:nvSpPr>
        <xdr:cNvPr id="7" name="TextBox 6"/>
        <xdr:cNvSpPr txBox="1"/>
      </xdr:nvSpPr>
      <xdr:spPr>
        <a:xfrm>
          <a:off x="9137650" y="33113980"/>
          <a:ext cx="666750" cy="2647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&lt;15,70</a:t>
          </a:r>
          <a:endParaRPr lang="en-US">
            <a:effectLst/>
          </a:endParaRPr>
        </a:p>
      </xdr:txBody>
    </xdr:sp>
    <xdr:clientData/>
  </xdr:oneCellAnchor>
  <xdr:oneCellAnchor>
    <xdr:from>
      <xdr:col>12</xdr:col>
      <xdr:colOff>277690</xdr:colOff>
      <xdr:row>175</xdr:row>
      <xdr:rowOff>14755</xdr:rowOff>
    </xdr:from>
    <xdr:ext cx="1236785" cy="264560"/>
    <mc:AlternateContent xmlns:mc="http://schemas.openxmlformats.org/markup-compatibility/2006">
      <mc:Choice xmlns:a14="http://schemas.microsoft.com/office/drawing/2010/main" Requires="a14">
        <xdr:sp>
          <xdr:nvSpPr>
            <xdr:cNvPr id="8" name="TextBox 7"/>
            <xdr:cNvSpPr txBox="1"/>
          </xdr:nvSpPr>
          <xdr:spPr>
            <a:xfrm>
              <a:off x="10696575" y="33399730"/>
              <a:ext cx="123698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  <m:r>
                    <a:rPr lang="en-US" sz="1100" b="0" i="0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15</m:t>
                  </m:r>
                  <m:r>
                    <a:rPr lang="en-US" sz="1100" b="0" i="0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,</m:t>
                  </m:r>
                  <m:r>
                    <a:rPr lang="en-US" sz="1100" b="0" i="0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70</m:t>
                  </m:r>
                </m:oMath>
              </a14:m>
              <a:r>
                <a:rPr lang="en-US" sz="1100"/>
                <a:t> - &gt; 54,27</a:t>
              </a:r>
              <a:endParaRPr lang="en-US" sz="1100"/>
            </a:p>
          </xdr:txBody>
        </xdr:sp>
      </mc:Choice>
      <mc:Fallback>
        <xdr:sp>
          <xdr:nvSpPr>
            <xdr:cNvPr id="8" name="TextBox 7"/>
            <xdr:cNvSpPr txBox="1"/>
          </xdr:nvSpPr>
          <xdr:spPr>
            <a:xfrm>
              <a:off x="10696575" y="33399730"/>
              <a:ext cx="123698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 b="0">
                  <a:latin typeface="Cambria Math" panose="02040503050406030204" pitchFamily="18" charset="0"/>
                  <a:ea typeface="Cambria Math" panose="02040503050406030204" pitchFamily="18" charset="0"/>
                </a:rPr>
                <a:t>15</a:t>
              </a:r>
              <a:r>
                <a:rPr lang="en-US" sz="1100" b="0">
                  <a:latin typeface="Cambria Math" panose="02040503050406030204" pitchFamily="18" charset="0"/>
                  <a:ea typeface="Cambria Math" panose="02040503050406030204" pitchFamily="18" charset="0"/>
                </a:rPr>
                <a:t>,</a:t>
              </a:r>
              <a:r>
                <a:rPr lang="en-US" sz="1100" b="0">
                  <a:latin typeface="Cambria Math" panose="02040503050406030204" pitchFamily="18" charset="0"/>
                  <a:ea typeface="Cambria Math" panose="02040503050406030204" pitchFamily="18" charset="0"/>
                </a:rPr>
                <a:t>70</a:t>
              </a:r>
              <a:r>
                <a:rPr lang="en-US" sz="1100"/>
                <a:t> - &gt; 54,27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12</xdr:col>
      <xdr:colOff>385762</xdr:colOff>
      <xdr:row>177</xdr:row>
      <xdr:rowOff>89122</xdr:rowOff>
    </xdr:from>
    <xdr:to>
      <xdr:col>14</xdr:col>
      <xdr:colOff>209550</xdr:colOff>
      <xdr:row>180</xdr:row>
      <xdr:rowOff>180975</xdr:rowOff>
    </xdr:to>
    <xdr:sp>
      <xdr:nvSpPr>
        <xdr:cNvPr id="9" name="Rectangle 8"/>
        <xdr:cNvSpPr/>
      </xdr:nvSpPr>
      <xdr:spPr>
        <a:xfrm>
          <a:off x="10804525" y="33874075"/>
          <a:ext cx="1391285" cy="6826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36 Dewasa</a:t>
          </a:r>
          <a:endParaRPr lang="en-US" sz="1100"/>
        </a:p>
        <a:p>
          <a:pPr algn="l"/>
          <a:r>
            <a:rPr lang="en-US" sz="1100" baseline="0"/>
            <a:t>42 Anak-Anak</a:t>
          </a:r>
          <a:endParaRPr lang="en-US" sz="1100" baseline="0"/>
        </a:p>
        <a:p>
          <a:pPr algn="l"/>
          <a:r>
            <a:rPr lang="en-US" sz="1100" baseline="0"/>
            <a:t>7 Lansia</a:t>
          </a:r>
          <a:endParaRPr lang="en-US" sz="1100" baseline="0"/>
        </a:p>
      </xdr:txBody>
    </xdr:sp>
    <xdr:clientData/>
  </xdr:twoCellAnchor>
  <xdr:twoCellAnchor>
    <xdr:from>
      <xdr:col>14</xdr:col>
      <xdr:colOff>404080</xdr:colOff>
      <xdr:row>176</xdr:row>
      <xdr:rowOff>28308</xdr:rowOff>
    </xdr:from>
    <xdr:to>
      <xdr:col>15</xdr:col>
      <xdr:colOff>356454</xdr:colOff>
      <xdr:row>178</xdr:row>
      <xdr:rowOff>111735</xdr:rowOff>
    </xdr:to>
    <xdr:sp>
      <xdr:nvSpPr>
        <xdr:cNvPr id="10" name="Rectangle 9"/>
        <xdr:cNvSpPr/>
      </xdr:nvSpPr>
      <xdr:spPr>
        <a:xfrm>
          <a:off x="12390120" y="33613090"/>
          <a:ext cx="1336040" cy="48323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19 Dewasa</a:t>
          </a:r>
          <a:endParaRPr lang="en-US">
            <a:effectLst/>
          </a:endParaRP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13 Anak-Anak</a:t>
          </a:r>
          <a:endParaRPr lang="en-US">
            <a:effectLst/>
          </a:endParaRPr>
        </a:p>
      </xdr:txBody>
    </xdr:sp>
    <xdr:clientData/>
  </xdr:twoCellAnchor>
  <xdr:oneCellAnchor>
    <xdr:from>
      <xdr:col>14</xdr:col>
      <xdr:colOff>451705</xdr:colOff>
      <xdr:row>173</xdr:row>
      <xdr:rowOff>121627</xdr:rowOff>
    </xdr:from>
    <xdr:ext cx="666750" cy="264560"/>
    <xdr:sp>
      <xdr:nvSpPr>
        <xdr:cNvPr id="11" name="TextBox 10"/>
        <xdr:cNvSpPr txBox="1"/>
      </xdr:nvSpPr>
      <xdr:spPr>
        <a:xfrm>
          <a:off x="12437745" y="33106360"/>
          <a:ext cx="666750" cy="2647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&gt;54,27</a:t>
          </a:r>
          <a:endParaRPr lang="en-US" sz="1100"/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16</xdr:col>
      <xdr:colOff>117633</xdr:colOff>
      <xdr:row>153</xdr:row>
      <xdr:rowOff>0</xdr:rowOff>
    </xdr:from>
    <xdr:to>
      <xdr:col>18</xdr:col>
      <xdr:colOff>542925</xdr:colOff>
      <xdr:row>157</xdr:row>
      <xdr:rowOff>7793</xdr:rowOff>
    </xdr:to>
    <xdr:sp>
      <xdr:nvSpPr>
        <xdr:cNvPr id="20" name="Oval 19"/>
        <xdr:cNvSpPr/>
      </xdr:nvSpPr>
      <xdr:spPr>
        <a:xfrm>
          <a:off x="20602575" y="29146500"/>
          <a:ext cx="1968500" cy="807720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15</xdr:col>
      <xdr:colOff>447675</xdr:colOff>
      <xdr:row>156</xdr:row>
      <xdr:rowOff>85559</xdr:rowOff>
    </xdr:from>
    <xdr:to>
      <xdr:col>16</xdr:col>
      <xdr:colOff>361253</xdr:colOff>
      <xdr:row>159</xdr:row>
      <xdr:rowOff>26844</xdr:rowOff>
    </xdr:to>
    <xdr:cxnSp>
      <xdr:nvCxnSpPr>
        <xdr:cNvPr id="21" name="Straight Connector 20"/>
        <xdr:cNvCxnSpPr>
          <a:stCxn id="20" idx="3"/>
        </xdr:cNvCxnSpPr>
      </xdr:nvCxnSpPr>
      <xdr:spPr>
        <a:xfrm flipH="1">
          <a:off x="19904075" y="29831665"/>
          <a:ext cx="941705" cy="54165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257175</xdr:colOff>
      <xdr:row>156</xdr:row>
      <xdr:rowOff>188768</xdr:rowOff>
    </xdr:from>
    <xdr:to>
      <xdr:col>17</xdr:col>
      <xdr:colOff>311229</xdr:colOff>
      <xdr:row>160</xdr:row>
      <xdr:rowOff>74469</xdr:rowOff>
    </xdr:to>
    <xdr:cxnSp>
      <xdr:nvCxnSpPr>
        <xdr:cNvPr id="22" name="Straight Connector 21"/>
        <xdr:cNvCxnSpPr/>
      </xdr:nvCxnSpPr>
      <xdr:spPr>
        <a:xfrm flipH="1">
          <a:off x="21513800" y="29935170"/>
          <a:ext cx="53975" cy="6858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299305</xdr:colOff>
      <xdr:row>156</xdr:row>
      <xdr:rowOff>85559</xdr:rowOff>
    </xdr:from>
    <xdr:to>
      <xdr:col>19</xdr:col>
      <xdr:colOff>257175</xdr:colOff>
      <xdr:row>159</xdr:row>
      <xdr:rowOff>7794</xdr:rowOff>
    </xdr:to>
    <xdr:cxnSp>
      <xdr:nvCxnSpPr>
        <xdr:cNvPr id="23" name="Straight Connector 22"/>
        <xdr:cNvCxnSpPr>
          <a:stCxn id="20" idx="5"/>
        </xdr:cNvCxnSpPr>
      </xdr:nvCxnSpPr>
      <xdr:spPr>
        <a:xfrm>
          <a:off x="22327235" y="29831665"/>
          <a:ext cx="729615" cy="52260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159</xdr:row>
      <xdr:rowOff>55418</xdr:rowOff>
    </xdr:from>
    <xdr:to>
      <xdr:col>16</xdr:col>
      <xdr:colOff>95250</xdr:colOff>
      <xdr:row>161</xdr:row>
      <xdr:rowOff>188702</xdr:rowOff>
    </xdr:to>
    <xdr:sp>
      <xdr:nvSpPr>
        <xdr:cNvPr id="24" name="Rectangle 23"/>
        <xdr:cNvSpPr/>
      </xdr:nvSpPr>
      <xdr:spPr>
        <a:xfrm>
          <a:off x="19456400" y="30401895"/>
          <a:ext cx="1123950" cy="5334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9 Sedang</a:t>
          </a:r>
          <a:endParaRPr lang="en-US" sz="1100" baseline="0"/>
        </a:p>
        <a:p>
          <a:pPr algn="l"/>
          <a:r>
            <a:rPr lang="en-US" sz="1100" baseline="0"/>
            <a:t>19 Rendah</a:t>
          </a:r>
          <a:endParaRPr lang="en-US" sz="1100"/>
        </a:p>
      </xdr:txBody>
    </xdr:sp>
    <xdr:clientData/>
  </xdr:twoCellAnchor>
  <xdr:oneCellAnchor>
    <xdr:from>
      <xdr:col>15</xdr:col>
      <xdr:colOff>285750</xdr:colOff>
      <xdr:row>156</xdr:row>
      <xdr:rowOff>112569</xdr:rowOff>
    </xdr:from>
    <xdr:ext cx="666750" cy="264560"/>
    <xdr:sp>
      <xdr:nvSpPr>
        <xdr:cNvPr id="25" name="TextBox 24"/>
        <xdr:cNvSpPr txBox="1"/>
      </xdr:nvSpPr>
      <xdr:spPr>
        <a:xfrm>
          <a:off x="19742150" y="29858970"/>
          <a:ext cx="666750" cy="264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&lt;11,31</a:t>
          </a:r>
          <a:endParaRPr lang="en-US">
            <a:effectLst/>
          </a:endParaRPr>
        </a:p>
      </xdr:txBody>
    </xdr:sp>
    <xdr:clientData/>
  </xdr:oneCellAnchor>
  <xdr:oneCellAnchor>
    <xdr:from>
      <xdr:col>16</xdr:col>
      <xdr:colOff>381000</xdr:colOff>
      <xdr:row>157</xdr:row>
      <xdr:rowOff>131619</xdr:rowOff>
    </xdr:from>
    <xdr:ext cx="1162050" cy="264560"/>
    <mc:AlternateContent xmlns:mc="http://schemas.openxmlformats.org/markup-compatibility/2006">
      <mc:Choice xmlns:a14="http://schemas.microsoft.com/office/drawing/2010/main" Requires="a14">
        <xdr:sp>
          <xdr:nvSpPr>
            <xdr:cNvPr id="26" name="TextBox 25"/>
            <xdr:cNvSpPr txBox="1"/>
          </xdr:nvSpPr>
          <xdr:spPr>
            <a:xfrm>
              <a:off x="20866100" y="30078045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11,31 - &gt; 29,95</a:t>
              </a:r>
              <a:endParaRPr lang="en-US" sz="1100"/>
            </a:p>
          </xdr:txBody>
        </xdr:sp>
      </mc:Choice>
      <mc:Fallback>
        <xdr:sp>
          <xdr:nvSpPr>
            <xdr:cNvPr id="26" name="TextBox 25"/>
            <xdr:cNvSpPr txBox="1"/>
          </xdr:nvSpPr>
          <xdr:spPr>
            <a:xfrm>
              <a:off x="20866100" y="30078045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11,31 - &gt; 29,95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16</xdr:col>
      <xdr:colOff>457200</xdr:colOff>
      <xdr:row>160</xdr:row>
      <xdr:rowOff>64943</xdr:rowOff>
    </xdr:from>
    <xdr:to>
      <xdr:col>18</xdr:col>
      <xdr:colOff>133350</xdr:colOff>
      <xdr:row>162</xdr:row>
      <xdr:rowOff>158750</xdr:rowOff>
    </xdr:to>
    <xdr:sp>
      <xdr:nvSpPr>
        <xdr:cNvPr id="27" name="Rectangle 26"/>
        <xdr:cNvSpPr/>
      </xdr:nvSpPr>
      <xdr:spPr>
        <a:xfrm>
          <a:off x="20942300" y="30611445"/>
          <a:ext cx="1219200" cy="49403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37 Tinggi</a:t>
          </a:r>
          <a:endParaRPr lang="en-US" sz="1100"/>
        </a:p>
        <a:p>
          <a:pPr algn="l"/>
          <a:r>
            <a:rPr lang="en-US" sz="1100" baseline="0"/>
            <a:t>64 Sedang</a:t>
          </a:r>
          <a:endParaRPr lang="en-US" sz="1100" baseline="0"/>
        </a:p>
      </xdr:txBody>
    </xdr:sp>
    <xdr:clientData/>
  </xdr:twoCellAnchor>
  <xdr:twoCellAnchor>
    <xdr:from>
      <xdr:col>18</xdr:col>
      <xdr:colOff>476251</xdr:colOff>
      <xdr:row>159</xdr:row>
      <xdr:rowOff>7794</xdr:rowOff>
    </xdr:from>
    <xdr:to>
      <xdr:col>19</xdr:col>
      <xdr:colOff>704851</xdr:colOff>
      <xdr:row>160</xdr:row>
      <xdr:rowOff>160194</xdr:rowOff>
    </xdr:to>
    <xdr:sp>
      <xdr:nvSpPr>
        <xdr:cNvPr id="28" name="Rectangle 27"/>
        <xdr:cNvSpPr/>
      </xdr:nvSpPr>
      <xdr:spPr>
        <a:xfrm>
          <a:off x="22504400" y="30354270"/>
          <a:ext cx="1000125" cy="3524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34 </a:t>
          </a:r>
          <a:r>
            <a:rPr lang="en-US" sz="1100"/>
            <a:t>Tinggi</a:t>
          </a:r>
          <a:endParaRPr lang="en-US" sz="1100"/>
        </a:p>
      </xdr:txBody>
    </xdr:sp>
    <xdr:clientData/>
  </xdr:twoCellAnchor>
  <xdr:oneCellAnchor>
    <xdr:from>
      <xdr:col>18</xdr:col>
      <xdr:colOff>523875</xdr:colOff>
      <xdr:row>156</xdr:row>
      <xdr:rowOff>104775</xdr:rowOff>
    </xdr:from>
    <xdr:ext cx="666750" cy="264560"/>
    <xdr:sp>
      <xdr:nvSpPr>
        <xdr:cNvPr id="29" name="TextBox 28"/>
        <xdr:cNvSpPr txBox="1"/>
      </xdr:nvSpPr>
      <xdr:spPr>
        <a:xfrm>
          <a:off x="22552025" y="29851350"/>
          <a:ext cx="666750" cy="264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&gt;29.95</a:t>
          </a:r>
          <a:endParaRPr lang="en-US" sz="1100"/>
        </a:p>
      </xdr:txBody>
    </xdr:sp>
    <xdr:clientData/>
  </xdr:oneCellAnchor>
</xdr:wsDr>
</file>

<file path=xl/drawings/drawing1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15</xdr:col>
      <xdr:colOff>280001</xdr:colOff>
      <xdr:row>155</xdr:row>
      <xdr:rowOff>0</xdr:rowOff>
    </xdr:from>
    <xdr:to>
      <xdr:col>18</xdr:col>
      <xdr:colOff>87497</xdr:colOff>
      <xdr:row>159</xdr:row>
      <xdr:rowOff>16653</xdr:rowOff>
    </xdr:to>
    <xdr:sp>
      <xdr:nvSpPr>
        <xdr:cNvPr id="2" name="Oval 1"/>
        <xdr:cNvSpPr/>
      </xdr:nvSpPr>
      <xdr:spPr>
        <a:xfrm>
          <a:off x="16734790" y="29527500"/>
          <a:ext cx="2122170" cy="816610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Usia</a:t>
          </a:r>
          <a:endParaRPr lang="en-US" sz="1100"/>
        </a:p>
      </xdr:txBody>
    </xdr:sp>
    <xdr:clientData/>
  </xdr:twoCellAnchor>
  <xdr:twoCellAnchor>
    <xdr:from>
      <xdr:col>14</xdr:col>
      <xdr:colOff>419100</xdr:colOff>
      <xdr:row>158</xdr:row>
      <xdr:rowOff>92204</xdr:rowOff>
    </xdr:from>
    <xdr:to>
      <xdr:col>15</xdr:col>
      <xdr:colOff>523621</xdr:colOff>
      <xdr:row>161</xdr:row>
      <xdr:rowOff>40135</xdr:rowOff>
    </xdr:to>
    <xdr:cxnSp>
      <xdr:nvCxnSpPr>
        <xdr:cNvPr id="3" name="Straight Connector 2"/>
        <xdr:cNvCxnSpPr>
          <a:stCxn id="2" idx="3"/>
        </xdr:cNvCxnSpPr>
      </xdr:nvCxnSpPr>
      <xdr:spPr>
        <a:xfrm flipH="1">
          <a:off x="15429865" y="30219650"/>
          <a:ext cx="1548765" cy="54800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448561</xdr:colOff>
      <xdr:row>159</xdr:row>
      <xdr:rowOff>16653</xdr:rowOff>
    </xdr:from>
    <xdr:to>
      <xdr:col>16</xdr:col>
      <xdr:colOff>502615</xdr:colOff>
      <xdr:row>162</xdr:row>
      <xdr:rowOff>99500</xdr:rowOff>
    </xdr:to>
    <xdr:cxnSp>
      <xdr:nvCxnSpPr>
        <xdr:cNvPr id="4" name="Straight Connector 3"/>
        <xdr:cNvCxnSpPr/>
      </xdr:nvCxnSpPr>
      <xdr:spPr>
        <a:xfrm flipH="1">
          <a:off x="17675225" y="30344110"/>
          <a:ext cx="53975" cy="6826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462559</xdr:colOff>
      <xdr:row>158</xdr:row>
      <xdr:rowOff>92204</xdr:rowOff>
    </xdr:from>
    <xdr:to>
      <xdr:col>18</xdr:col>
      <xdr:colOff>411347</xdr:colOff>
      <xdr:row>161</xdr:row>
      <xdr:rowOff>21085</xdr:rowOff>
    </xdr:to>
    <xdr:cxnSp>
      <xdr:nvCxnSpPr>
        <xdr:cNvPr id="5" name="Straight Connector 4"/>
        <xdr:cNvCxnSpPr>
          <a:stCxn id="2" idx="5"/>
        </xdr:cNvCxnSpPr>
      </xdr:nvCxnSpPr>
      <xdr:spPr>
        <a:xfrm>
          <a:off x="18460720" y="30219650"/>
          <a:ext cx="720090" cy="52895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161</xdr:row>
      <xdr:rowOff>78234</xdr:rowOff>
    </xdr:from>
    <xdr:to>
      <xdr:col>15</xdr:col>
      <xdr:colOff>400493</xdr:colOff>
      <xdr:row>164</xdr:row>
      <xdr:rowOff>124711</xdr:rowOff>
    </xdr:to>
    <xdr:sp>
      <xdr:nvSpPr>
        <xdr:cNvPr id="6" name="Rectangle 5"/>
        <xdr:cNvSpPr/>
      </xdr:nvSpPr>
      <xdr:spPr>
        <a:xfrm>
          <a:off x="15010765" y="30805755"/>
          <a:ext cx="1844675" cy="64643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19 Dewasa</a:t>
          </a:r>
          <a:endParaRPr lang="en-US" sz="1100" baseline="0"/>
        </a:p>
        <a:p>
          <a:pPr algn="l"/>
          <a:r>
            <a:rPr lang="en-US" sz="1100" baseline="0"/>
            <a:t>16 Anak-Anak</a:t>
          </a:r>
          <a:endParaRPr lang="en-US" sz="1100" baseline="0"/>
        </a:p>
        <a:p>
          <a:pPr algn="l"/>
          <a:r>
            <a:rPr lang="en-US" sz="1100" baseline="0"/>
            <a:t>3 Lansia</a:t>
          </a:r>
          <a:endParaRPr lang="en-US" sz="1100"/>
        </a:p>
      </xdr:txBody>
    </xdr:sp>
    <xdr:clientData/>
  </xdr:twoCellAnchor>
  <xdr:oneCellAnchor>
    <xdr:from>
      <xdr:col>14</xdr:col>
      <xdr:colOff>285750</xdr:colOff>
      <xdr:row>158</xdr:row>
      <xdr:rowOff>128739</xdr:rowOff>
    </xdr:from>
    <xdr:ext cx="666750" cy="264560"/>
    <xdr:sp>
      <xdr:nvSpPr>
        <xdr:cNvPr id="7" name="TextBox 6"/>
        <xdr:cNvSpPr txBox="1"/>
      </xdr:nvSpPr>
      <xdr:spPr>
        <a:xfrm>
          <a:off x="15296515" y="30255845"/>
          <a:ext cx="666750" cy="2647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&lt;17,31</a:t>
          </a:r>
          <a:endParaRPr lang="en-US">
            <a:effectLst/>
          </a:endParaRPr>
        </a:p>
      </xdr:txBody>
    </xdr:sp>
    <xdr:clientData/>
  </xdr:oneCellAnchor>
  <xdr:oneCellAnchor>
    <xdr:from>
      <xdr:col>15</xdr:col>
      <xdr:colOff>571943</xdr:colOff>
      <xdr:row>159</xdr:row>
      <xdr:rowOff>150004</xdr:rowOff>
    </xdr:from>
    <xdr:ext cx="1162050" cy="264560"/>
    <mc:AlternateContent xmlns:mc="http://schemas.openxmlformats.org/markup-compatibility/2006">
      <mc:Choice xmlns:a14="http://schemas.microsoft.com/office/drawing/2010/main" Requires="a14">
        <xdr:sp>
          <xdr:nvSpPr>
            <xdr:cNvPr id="8" name="TextBox 7"/>
            <xdr:cNvSpPr txBox="1"/>
          </xdr:nvSpPr>
          <xdr:spPr>
            <a:xfrm>
              <a:off x="17026890" y="3047746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17,31 - &gt; 53,39</a:t>
              </a:r>
              <a:endParaRPr lang="en-US" sz="1100"/>
            </a:p>
          </xdr:txBody>
        </xdr:sp>
      </mc:Choice>
      <mc:Fallback>
        <xdr:sp>
          <xdr:nvSpPr>
            <xdr:cNvPr id="8" name="TextBox 7"/>
            <xdr:cNvSpPr txBox="1"/>
          </xdr:nvSpPr>
          <xdr:spPr>
            <a:xfrm>
              <a:off x="17026890" y="3047746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17,31 - &gt; 53,39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16</xdr:col>
      <xdr:colOff>38986</xdr:colOff>
      <xdr:row>162</xdr:row>
      <xdr:rowOff>89974</xdr:rowOff>
    </xdr:from>
    <xdr:to>
      <xdr:col>17</xdr:col>
      <xdr:colOff>431947</xdr:colOff>
      <xdr:row>165</xdr:row>
      <xdr:rowOff>143983</xdr:rowOff>
    </xdr:to>
    <xdr:sp>
      <xdr:nvSpPr>
        <xdr:cNvPr id="9" name="Rectangle 8"/>
        <xdr:cNvSpPr/>
      </xdr:nvSpPr>
      <xdr:spPr>
        <a:xfrm>
          <a:off x="17265650" y="31017210"/>
          <a:ext cx="1164590" cy="6445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39 </a:t>
          </a:r>
          <a:r>
            <a:rPr lang="en-US" sz="1100"/>
            <a:t>Dewasa</a:t>
          </a:r>
          <a:endParaRPr lang="en-US" sz="1100"/>
        </a:p>
        <a:p>
          <a:pPr algn="l"/>
          <a:r>
            <a:rPr lang="en-US" sz="1100" baseline="0"/>
            <a:t>48 Anak-Anak</a:t>
          </a:r>
          <a:endParaRPr lang="en-US" sz="1100" baseline="0"/>
        </a:p>
        <a:p>
          <a:pPr algn="l"/>
          <a:r>
            <a:rPr lang="en-US" sz="1100" baseline="0"/>
            <a:t>6 Lansia</a:t>
          </a:r>
          <a:endParaRPr lang="en-US" sz="1100" baseline="0"/>
        </a:p>
      </xdr:txBody>
    </xdr:sp>
    <xdr:clientData/>
  </xdr:twoCellAnchor>
  <xdr:twoCellAnchor>
    <xdr:from>
      <xdr:col>18</xdr:col>
      <xdr:colOff>49397</xdr:colOff>
      <xdr:row>161</xdr:row>
      <xdr:rowOff>30609</xdr:rowOff>
    </xdr:from>
    <xdr:to>
      <xdr:col>19</xdr:col>
      <xdr:colOff>468939</xdr:colOff>
      <xdr:row>163</xdr:row>
      <xdr:rowOff>112970</xdr:rowOff>
    </xdr:to>
    <xdr:sp>
      <xdr:nvSpPr>
        <xdr:cNvPr id="10" name="Rectangle 9"/>
        <xdr:cNvSpPr/>
      </xdr:nvSpPr>
      <xdr:spPr>
        <a:xfrm>
          <a:off x="18818860" y="30758130"/>
          <a:ext cx="1191260" cy="4819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17 Dewasa</a:t>
          </a:r>
          <a:endParaRPr lang="en-US">
            <a:effectLst/>
          </a:endParaRP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 Anak-Anak</a:t>
          </a:r>
          <a:endParaRPr lang="en-US">
            <a:effectLst/>
          </a:endParaRPr>
        </a:p>
      </xdr:txBody>
    </xdr:sp>
    <xdr:clientData/>
  </xdr:twoCellAnchor>
  <xdr:oneCellAnchor>
    <xdr:from>
      <xdr:col>18</xdr:col>
      <xdr:colOff>97022</xdr:colOff>
      <xdr:row>158</xdr:row>
      <xdr:rowOff>120945</xdr:rowOff>
    </xdr:from>
    <xdr:ext cx="666750" cy="264560"/>
    <xdr:sp>
      <xdr:nvSpPr>
        <xdr:cNvPr id="11" name="TextBox 10"/>
        <xdr:cNvSpPr txBox="1"/>
      </xdr:nvSpPr>
      <xdr:spPr>
        <a:xfrm>
          <a:off x="18866485" y="30248225"/>
          <a:ext cx="666750" cy="2647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&gt;53,39</a:t>
          </a:r>
          <a:endParaRPr lang="en-US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15</xdr:col>
      <xdr:colOff>279558</xdr:colOff>
      <xdr:row>155</xdr:row>
      <xdr:rowOff>0</xdr:rowOff>
    </xdr:from>
    <xdr:to>
      <xdr:col>18</xdr:col>
      <xdr:colOff>85725</xdr:colOff>
      <xdr:row>159</xdr:row>
      <xdr:rowOff>7793</xdr:rowOff>
    </xdr:to>
    <xdr:sp>
      <xdr:nvSpPr>
        <xdr:cNvPr id="2" name="Oval 1"/>
        <xdr:cNvSpPr/>
      </xdr:nvSpPr>
      <xdr:spPr>
        <a:xfrm>
          <a:off x="15045690" y="29527500"/>
          <a:ext cx="2120900" cy="807720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Lama</a:t>
          </a:r>
          <a:r>
            <a:rPr lang="en-US" sz="1100" baseline="0"/>
            <a:t> Rawat Inap</a:t>
          </a:r>
          <a:endParaRPr lang="en-US" sz="1100"/>
        </a:p>
      </xdr:txBody>
    </xdr:sp>
    <xdr:clientData/>
  </xdr:twoCellAnchor>
  <xdr:twoCellAnchor>
    <xdr:from>
      <xdr:col>16</xdr:col>
      <xdr:colOff>447675</xdr:colOff>
      <xdr:row>159</xdr:row>
      <xdr:rowOff>7793</xdr:rowOff>
    </xdr:from>
    <xdr:to>
      <xdr:col>16</xdr:col>
      <xdr:colOff>501729</xdr:colOff>
      <xdr:row>162</xdr:row>
      <xdr:rowOff>83994</xdr:rowOff>
    </xdr:to>
    <xdr:cxnSp>
      <xdr:nvCxnSpPr>
        <xdr:cNvPr id="3" name="Straight Connector 2"/>
        <xdr:cNvCxnSpPr/>
      </xdr:nvCxnSpPr>
      <xdr:spPr>
        <a:xfrm flipH="1">
          <a:off x="15985490" y="30335220"/>
          <a:ext cx="53975" cy="6762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461230</xdr:colOff>
      <xdr:row>158</xdr:row>
      <xdr:rowOff>85559</xdr:rowOff>
    </xdr:from>
    <xdr:to>
      <xdr:col>18</xdr:col>
      <xdr:colOff>409575</xdr:colOff>
      <xdr:row>161</xdr:row>
      <xdr:rowOff>7794</xdr:rowOff>
    </xdr:to>
    <xdr:cxnSp>
      <xdr:nvCxnSpPr>
        <xdr:cNvPr id="4" name="Straight Connector 3"/>
        <xdr:cNvCxnSpPr>
          <a:stCxn id="2" idx="5"/>
        </xdr:cNvCxnSpPr>
      </xdr:nvCxnSpPr>
      <xdr:spPr>
        <a:xfrm>
          <a:off x="16770350" y="30212665"/>
          <a:ext cx="720090" cy="52260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161</xdr:row>
      <xdr:rowOff>64943</xdr:rowOff>
    </xdr:from>
    <xdr:to>
      <xdr:col>15</xdr:col>
      <xdr:colOff>400050</xdr:colOff>
      <xdr:row>164</xdr:row>
      <xdr:rowOff>104775</xdr:rowOff>
    </xdr:to>
    <xdr:sp>
      <xdr:nvSpPr>
        <xdr:cNvPr id="5" name="Rectangle 4"/>
        <xdr:cNvSpPr/>
      </xdr:nvSpPr>
      <xdr:spPr>
        <a:xfrm>
          <a:off x="13994765" y="30792420"/>
          <a:ext cx="1171575" cy="64008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20 Sedang</a:t>
          </a:r>
          <a:endParaRPr lang="en-US" sz="1100" baseline="0"/>
        </a:p>
        <a:p>
          <a:pPr algn="l"/>
          <a:r>
            <a:rPr lang="en-US" sz="1100" baseline="0"/>
            <a:t>18 Lama</a:t>
          </a:r>
          <a:endParaRPr lang="en-US" sz="1100" baseline="0"/>
        </a:p>
        <a:p>
          <a:pPr algn="l"/>
          <a:r>
            <a:rPr lang="en-US" sz="1100" baseline="0"/>
            <a:t>4 Singkat</a:t>
          </a:r>
          <a:endParaRPr lang="en-US" sz="1100"/>
        </a:p>
      </xdr:txBody>
    </xdr:sp>
    <xdr:clientData/>
  </xdr:twoCellAnchor>
  <xdr:oneCellAnchor>
    <xdr:from>
      <xdr:col>14</xdr:col>
      <xdr:colOff>285750</xdr:colOff>
      <xdr:row>158</xdr:row>
      <xdr:rowOff>122094</xdr:rowOff>
    </xdr:from>
    <xdr:ext cx="666750" cy="264560"/>
    <xdr:sp>
      <xdr:nvSpPr>
        <xdr:cNvPr id="6" name="TextBox 5"/>
        <xdr:cNvSpPr txBox="1"/>
      </xdr:nvSpPr>
      <xdr:spPr>
        <a:xfrm>
          <a:off x="14280515" y="30249495"/>
          <a:ext cx="666750" cy="264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&lt;2,44</a:t>
          </a:r>
          <a:endParaRPr lang="en-US">
            <a:effectLst/>
          </a:endParaRPr>
        </a:p>
      </xdr:txBody>
    </xdr:sp>
    <xdr:clientData/>
  </xdr:oneCellAnchor>
  <xdr:oneCellAnchor>
    <xdr:from>
      <xdr:col>15</xdr:col>
      <xdr:colOff>571500</xdr:colOff>
      <xdr:row>159</xdr:row>
      <xdr:rowOff>141144</xdr:rowOff>
    </xdr:from>
    <xdr:ext cx="1162050" cy="264560"/>
    <mc:AlternateContent xmlns:mc="http://schemas.openxmlformats.org/markup-compatibility/2006">
      <mc:Choice xmlns:a14="http://schemas.microsoft.com/office/drawing/2010/main" Requires="a14">
        <xdr:sp>
          <xdr:nvSpPr>
            <xdr:cNvPr id="7" name="TextBox 6"/>
            <xdr:cNvSpPr txBox="1"/>
          </xdr:nvSpPr>
          <xdr:spPr>
            <a:xfrm>
              <a:off x="15337790" y="3046857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  <m:r>
                    <a:rPr lang="en-US" sz="1100" b="0" i="0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2</m:t>
                  </m:r>
                  <m:r>
                    <a:rPr lang="en-US" sz="1100" b="0" i="0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,</m:t>
                  </m:r>
                  <m:r>
                    <a:rPr lang="en-US" sz="1100" b="0" i="0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44</m:t>
                  </m:r>
                </m:oMath>
              </a14:m>
              <a:r>
                <a:rPr lang="en-US" sz="1100"/>
                <a:t> - &gt; 4,68</a:t>
              </a:r>
              <a:endParaRPr lang="en-US" sz="1100"/>
            </a:p>
          </xdr:txBody>
        </xdr:sp>
      </mc:Choice>
      <mc:Fallback>
        <xdr:sp>
          <xdr:nvSpPr>
            <xdr:cNvPr id="7" name="TextBox 6"/>
            <xdr:cNvSpPr txBox="1"/>
          </xdr:nvSpPr>
          <xdr:spPr>
            <a:xfrm>
              <a:off x="15337790" y="3046857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 b="0">
                  <a:latin typeface="Cambria Math" panose="02040503050406030204" pitchFamily="18" charset="0"/>
                  <a:ea typeface="Cambria Math" panose="02040503050406030204" pitchFamily="18" charset="0"/>
                </a:rPr>
                <a:t>2</a:t>
              </a:r>
              <a:r>
                <a:rPr lang="en-US" sz="1100" b="0">
                  <a:latin typeface="Cambria Math" panose="02040503050406030204" pitchFamily="18" charset="0"/>
                  <a:ea typeface="Cambria Math" panose="02040503050406030204" pitchFamily="18" charset="0"/>
                </a:rPr>
                <a:t>,</a:t>
              </a:r>
              <a:r>
                <a:rPr lang="en-US" sz="1100" b="0">
                  <a:latin typeface="Cambria Math" panose="02040503050406030204" pitchFamily="18" charset="0"/>
                  <a:ea typeface="Cambria Math" panose="02040503050406030204" pitchFamily="18" charset="0"/>
                </a:rPr>
                <a:t>44</a:t>
              </a:r>
              <a:r>
                <a:rPr lang="en-US" sz="1100"/>
                <a:t> - &gt; 4,68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16</xdr:col>
      <xdr:colOff>38100</xdr:colOff>
      <xdr:row>162</xdr:row>
      <xdr:rowOff>74468</xdr:rowOff>
    </xdr:from>
    <xdr:to>
      <xdr:col>17</xdr:col>
      <xdr:colOff>390525</xdr:colOff>
      <xdr:row>166</xdr:row>
      <xdr:rowOff>0</xdr:rowOff>
    </xdr:to>
    <xdr:sp>
      <xdr:nvSpPr>
        <xdr:cNvPr id="8" name="Rectangle 7"/>
        <xdr:cNvSpPr/>
      </xdr:nvSpPr>
      <xdr:spPr>
        <a:xfrm>
          <a:off x="15575915" y="31001970"/>
          <a:ext cx="1123950" cy="70675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43 Sedang</a:t>
          </a:r>
          <a:endParaRPr lang="en-US" sz="1100"/>
        </a:p>
        <a:p>
          <a:pPr algn="l"/>
          <a:r>
            <a:rPr lang="en-US" sz="1100" baseline="0"/>
            <a:t>41 Lama</a:t>
          </a:r>
          <a:endParaRPr lang="en-US" sz="1100" baseline="0"/>
        </a:p>
        <a:p>
          <a:pPr algn="l"/>
          <a:r>
            <a:rPr lang="en-US" sz="1100" baseline="0"/>
            <a:t>10 Singkat</a:t>
          </a:r>
          <a:endParaRPr lang="en-US" sz="1100" baseline="0"/>
        </a:p>
      </xdr:txBody>
    </xdr:sp>
    <xdr:clientData/>
  </xdr:twoCellAnchor>
  <xdr:twoCellAnchor>
    <xdr:from>
      <xdr:col>18</xdr:col>
      <xdr:colOff>47625</xdr:colOff>
      <xdr:row>161</xdr:row>
      <xdr:rowOff>17318</xdr:rowOff>
    </xdr:from>
    <xdr:to>
      <xdr:col>19</xdr:col>
      <xdr:colOff>466724</xdr:colOff>
      <xdr:row>164</xdr:row>
      <xdr:rowOff>95250</xdr:rowOff>
    </xdr:to>
    <xdr:sp>
      <xdr:nvSpPr>
        <xdr:cNvPr id="9" name="Rectangle 8"/>
        <xdr:cNvSpPr/>
      </xdr:nvSpPr>
      <xdr:spPr>
        <a:xfrm>
          <a:off x="17128490" y="30744795"/>
          <a:ext cx="1189990" cy="67818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 Sedang</a:t>
          </a:r>
          <a:endParaRPr lang="en-US">
            <a:effectLst/>
          </a:endParaRP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13 Lama</a:t>
          </a:r>
          <a:endParaRPr lang="en-US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 Singkat</a:t>
          </a:r>
          <a:endParaRPr lang="en-US">
            <a:effectLst/>
          </a:endParaRPr>
        </a:p>
      </xdr:txBody>
    </xdr:sp>
    <xdr:clientData/>
  </xdr:twoCellAnchor>
  <xdr:oneCellAnchor>
    <xdr:from>
      <xdr:col>18</xdr:col>
      <xdr:colOff>66675</xdr:colOff>
      <xdr:row>158</xdr:row>
      <xdr:rowOff>114300</xdr:rowOff>
    </xdr:from>
    <xdr:ext cx="666750" cy="264560"/>
    <xdr:sp>
      <xdr:nvSpPr>
        <xdr:cNvPr id="10" name="TextBox 9"/>
        <xdr:cNvSpPr txBox="1"/>
      </xdr:nvSpPr>
      <xdr:spPr>
        <a:xfrm>
          <a:off x="17147540" y="30241875"/>
          <a:ext cx="666750" cy="264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&gt;4.68</a:t>
          </a:r>
          <a:endParaRPr lang="en-US" sz="1100"/>
        </a:p>
      </xdr:txBody>
    </xdr:sp>
    <xdr:clientData/>
  </xdr:oneCellAnchor>
  <xdr:twoCellAnchor>
    <xdr:from>
      <xdr:col>14</xdr:col>
      <xdr:colOff>457200</xdr:colOff>
      <xdr:row>158</xdr:row>
      <xdr:rowOff>104775</xdr:rowOff>
    </xdr:from>
    <xdr:to>
      <xdr:col>15</xdr:col>
      <xdr:colOff>561278</xdr:colOff>
      <xdr:row>161</xdr:row>
      <xdr:rowOff>46060</xdr:rowOff>
    </xdr:to>
    <xdr:cxnSp>
      <xdr:nvCxnSpPr>
        <xdr:cNvPr id="11" name="Straight Connector 10"/>
        <xdr:cNvCxnSpPr/>
      </xdr:nvCxnSpPr>
      <xdr:spPr>
        <a:xfrm flipH="1">
          <a:off x="14451965" y="30232350"/>
          <a:ext cx="875030" cy="54102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10</xdr:col>
      <xdr:colOff>0</xdr:colOff>
      <xdr:row>158</xdr:row>
      <xdr:rowOff>0</xdr:rowOff>
    </xdr:from>
    <xdr:to>
      <xdr:col>12</xdr:col>
      <xdr:colOff>415767</xdr:colOff>
      <xdr:row>162</xdr:row>
      <xdr:rowOff>7793</xdr:rowOff>
    </xdr:to>
    <xdr:sp>
      <xdr:nvSpPr>
        <xdr:cNvPr id="2" name="Oval 1"/>
        <xdr:cNvSpPr/>
      </xdr:nvSpPr>
      <xdr:spPr>
        <a:xfrm>
          <a:off x="10346055" y="30099000"/>
          <a:ext cx="1958340" cy="807720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Jenis</a:t>
          </a:r>
          <a:r>
            <a:rPr lang="en-US" sz="1100" baseline="0"/>
            <a:t> Kelamin</a:t>
          </a:r>
          <a:endParaRPr lang="en-US" sz="1100"/>
        </a:p>
      </xdr:txBody>
    </xdr:sp>
    <xdr:clientData/>
  </xdr:twoCellAnchor>
  <xdr:twoCellAnchor>
    <xdr:from>
      <xdr:col>11</xdr:col>
      <xdr:colOff>168117</xdr:colOff>
      <xdr:row>162</xdr:row>
      <xdr:rowOff>7793</xdr:rowOff>
    </xdr:from>
    <xdr:to>
      <xdr:col>11</xdr:col>
      <xdr:colOff>222171</xdr:colOff>
      <xdr:row>165</xdr:row>
      <xdr:rowOff>83994</xdr:rowOff>
    </xdr:to>
    <xdr:cxnSp>
      <xdr:nvCxnSpPr>
        <xdr:cNvPr id="3" name="Straight Connector 2"/>
        <xdr:cNvCxnSpPr/>
      </xdr:nvCxnSpPr>
      <xdr:spPr>
        <a:xfrm flipH="1">
          <a:off x="11285220" y="30906720"/>
          <a:ext cx="53975" cy="6667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181672</xdr:colOff>
      <xdr:row>161</xdr:row>
      <xdr:rowOff>85559</xdr:rowOff>
    </xdr:from>
    <xdr:to>
      <xdr:col>13</xdr:col>
      <xdr:colOff>130017</xdr:colOff>
      <xdr:row>164</xdr:row>
      <xdr:rowOff>7794</xdr:rowOff>
    </xdr:to>
    <xdr:cxnSp>
      <xdr:nvCxnSpPr>
        <xdr:cNvPr id="4" name="Straight Connector 3"/>
        <xdr:cNvCxnSpPr>
          <a:stCxn id="2" idx="5"/>
        </xdr:cNvCxnSpPr>
      </xdr:nvCxnSpPr>
      <xdr:spPr>
        <a:xfrm>
          <a:off x="12070715" y="30784165"/>
          <a:ext cx="719455" cy="52260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oneCellAnchor>
    <xdr:from>
      <xdr:col>10</xdr:col>
      <xdr:colOff>453867</xdr:colOff>
      <xdr:row>162</xdr:row>
      <xdr:rowOff>160194</xdr:rowOff>
    </xdr:from>
    <xdr:ext cx="1162050" cy="264560"/>
    <mc:AlternateContent xmlns:mc="http://schemas.openxmlformats.org/markup-compatibility/2006">
      <mc:Choice xmlns:a14="http://schemas.microsoft.com/office/drawing/2010/main" Requires="a14">
        <xdr:sp>
          <xdr:nvSpPr>
            <xdr:cNvPr id="5" name="TextBox 4"/>
            <xdr:cNvSpPr txBox="1"/>
          </xdr:nvSpPr>
          <xdr:spPr>
            <a:xfrm>
              <a:off x="10799445" y="3105912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  <m:r>
                    <a:rPr lang="en-US" sz="1100" b="0" i="0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0</m:t>
                  </m:r>
                </m:oMath>
              </a14:m>
              <a:r>
                <a:rPr lang="en-US" sz="1100"/>
                <a:t> - &gt; 1</a:t>
              </a:r>
              <a:endParaRPr lang="en-US" sz="1100"/>
            </a:p>
          </xdr:txBody>
        </xdr:sp>
      </mc:Choice>
      <mc:Fallback>
        <xdr:sp>
          <xdr:nvSpPr>
            <xdr:cNvPr id="5" name="TextBox 4"/>
            <xdr:cNvSpPr txBox="1"/>
          </xdr:nvSpPr>
          <xdr:spPr>
            <a:xfrm>
              <a:off x="10799445" y="3105912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 b="0">
                  <a:latin typeface="Cambria Math" panose="02040503050406030204" pitchFamily="18" charset="0"/>
                  <a:ea typeface="Cambria Math" panose="02040503050406030204" pitchFamily="18" charset="0"/>
                </a:rPr>
                <a:t>0</a:t>
              </a:r>
              <a:r>
                <a:rPr lang="en-US" sz="1100"/>
                <a:t> - &gt; 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10</xdr:col>
      <xdr:colOff>368142</xdr:colOff>
      <xdr:row>165</xdr:row>
      <xdr:rowOff>74467</xdr:rowOff>
    </xdr:from>
    <xdr:to>
      <xdr:col>12</xdr:col>
      <xdr:colOff>110967</xdr:colOff>
      <xdr:row>168</xdr:row>
      <xdr:rowOff>140368</xdr:rowOff>
    </xdr:to>
    <xdr:sp>
      <xdr:nvSpPr>
        <xdr:cNvPr id="6" name="Rectangle 5"/>
        <xdr:cNvSpPr/>
      </xdr:nvSpPr>
      <xdr:spPr>
        <a:xfrm>
          <a:off x="10713720" y="31563945"/>
          <a:ext cx="1285875" cy="63754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27 Tinggi</a:t>
          </a:r>
          <a:endParaRPr lang="en-US" sz="1100"/>
        </a:p>
        <a:p>
          <a:pPr algn="l"/>
          <a:r>
            <a:rPr lang="en-US" sz="1100" baseline="0"/>
            <a:t>40 Sedang</a:t>
          </a:r>
          <a:endParaRPr lang="en-US" sz="1100" baseline="0"/>
        </a:p>
        <a:p>
          <a:pPr algn="l"/>
          <a:r>
            <a:rPr lang="en-US" sz="1100" baseline="0"/>
            <a:t>8 Rendah</a:t>
          </a:r>
          <a:endParaRPr lang="en-US" sz="1100" baseline="0"/>
        </a:p>
      </xdr:txBody>
    </xdr:sp>
    <xdr:clientData/>
  </xdr:twoCellAnchor>
  <xdr:twoCellAnchor>
    <xdr:from>
      <xdr:col>12</xdr:col>
      <xdr:colOff>377667</xdr:colOff>
      <xdr:row>164</xdr:row>
      <xdr:rowOff>17318</xdr:rowOff>
    </xdr:from>
    <xdr:to>
      <xdr:col>14</xdr:col>
      <xdr:colOff>187166</xdr:colOff>
      <xdr:row>167</xdr:row>
      <xdr:rowOff>80211</xdr:rowOff>
    </xdr:to>
    <xdr:sp>
      <xdr:nvSpPr>
        <xdr:cNvPr id="7" name="Rectangle 6"/>
        <xdr:cNvSpPr/>
      </xdr:nvSpPr>
      <xdr:spPr>
        <a:xfrm>
          <a:off x="12266295" y="31316295"/>
          <a:ext cx="1352550" cy="6343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 Tinggi </a:t>
          </a:r>
          <a:endParaRPr lang="en-US">
            <a:effectLst/>
          </a:endParaRP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43 Sedang</a:t>
          </a:r>
          <a:endParaRPr lang="en-US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 Rendah</a:t>
          </a:r>
          <a:endParaRPr lang="en-US">
            <a:effectLst/>
          </a:endParaRPr>
        </a:p>
      </xdr:txBody>
    </xdr:sp>
    <xdr:clientData/>
  </xdr:twoCellAnchor>
  <xdr:oneCellAnchor>
    <xdr:from>
      <xdr:col>12</xdr:col>
      <xdr:colOff>425292</xdr:colOff>
      <xdr:row>161</xdr:row>
      <xdr:rowOff>114300</xdr:rowOff>
    </xdr:from>
    <xdr:ext cx="666750" cy="264560"/>
    <xdr:sp>
      <xdr:nvSpPr>
        <xdr:cNvPr id="8" name="TextBox 7"/>
        <xdr:cNvSpPr txBox="1"/>
      </xdr:nvSpPr>
      <xdr:spPr>
        <a:xfrm>
          <a:off x="12313920" y="30813375"/>
          <a:ext cx="666750" cy="264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&gt;1</a:t>
          </a:r>
          <a:endParaRPr lang="en-US" sz="1100"/>
        </a:p>
      </xdr:txBody>
    </xdr:sp>
    <xdr:clientData/>
  </xdr:oneCellAnchor>
</xdr:wsDr>
</file>

<file path=xl/drawings/drawing1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16</xdr:col>
      <xdr:colOff>30321</xdr:colOff>
      <xdr:row>152</xdr:row>
      <xdr:rowOff>0</xdr:rowOff>
    </xdr:from>
    <xdr:to>
      <xdr:col>18</xdr:col>
      <xdr:colOff>447675</xdr:colOff>
      <xdr:row>156</xdr:row>
      <xdr:rowOff>7793</xdr:rowOff>
    </xdr:to>
    <xdr:sp>
      <xdr:nvSpPr>
        <xdr:cNvPr id="2" name="Oval 1"/>
        <xdr:cNvSpPr/>
      </xdr:nvSpPr>
      <xdr:spPr>
        <a:xfrm>
          <a:off x="19192240" y="28956000"/>
          <a:ext cx="1960880" cy="807720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JUMLAH</a:t>
          </a:r>
          <a:r>
            <a:rPr lang="en-US" sz="1100" baseline="0"/>
            <a:t> KASUS PER BULAN</a:t>
          </a:r>
          <a:endParaRPr lang="en-US" sz="1100"/>
        </a:p>
      </xdr:txBody>
    </xdr:sp>
    <xdr:clientData/>
  </xdr:twoCellAnchor>
  <xdr:twoCellAnchor>
    <xdr:from>
      <xdr:col>15</xdr:col>
      <xdr:colOff>447675</xdr:colOff>
      <xdr:row>155</xdr:row>
      <xdr:rowOff>85559</xdr:rowOff>
    </xdr:from>
    <xdr:to>
      <xdr:col>16</xdr:col>
      <xdr:colOff>273941</xdr:colOff>
      <xdr:row>158</xdr:row>
      <xdr:rowOff>26844</xdr:rowOff>
    </xdr:to>
    <xdr:cxnSp>
      <xdr:nvCxnSpPr>
        <xdr:cNvPr id="3" name="Straight Connector 2"/>
        <xdr:cNvCxnSpPr>
          <a:stCxn id="2" idx="3"/>
        </xdr:cNvCxnSpPr>
      </xdr:nvCxnSpPr>
      <xdr:spPr>
        <a:xfrm flipH="1">
          <a:off x="18483580" y="29641165"/>
          <a:ext cx="952500" cy="54165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165894</xdr:colOff>
      <xdr:row>155</xdr:row>
      <xdr:rowOff>188768</xdr:rowOff>
    </xdr:from>
    <xdr:to>
      <xdr:col>17</xdr:col>
      <xdr:colOff>219948</xdr:colOff>
      <xdr:row>159</xdr:row>
      <xdr:rowOff>74469</xdr:rowOff>
    </xdr:to>
    <xdr:cxnSp>
      <xdr:nvCxnSpPr>
        <xdr:cNvPr id="4" name="Straight Connector 3"/>
        <xdr:cNvCxnSpPr/>
      </xdr:nvCxnSpPr>
      <xdr:spPr>
        <a:xfrm flipH="1">
          <a:off x="20099655" y="29744670"/>
          <a:ext cx="53975" cy="6858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204055</xdr:colOff>
      <xdr:row>155</xdr:row>
      <xdr:rowOff>85559</xdr:rowOff>
    </xdr:from>
    <xdr:to>
      <xdr:col>19</xdr:col>
      <xdr:colOff>157957</xdr:colOff>
      <xdr:row>158</xdr:row>
      <xdr:rowOff>7794</xdr:rowOff>
    </xdr:to>
    <xdr:cxnSp>
      <xdr:nvCxnSpPr>
        <xdr:cNvPr id="5" name="Straight Connector 4"/>
        <xdr:cNvCxnSpPr>
          <a:stCxn id="2" idx="5"/>
        </xdr:cNvCxnSpPr>
      </xdr:nvCxnSpPr>
      <xdr:spPr>
        <a:xfrm>
          <a:off x="20909280" y="29641165"/>
          <a:ext cx="725170" cy="52260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158</xdr:row>
      <xdr:rowOff>55418</xdr:rowOff>
    </xdr:from>
    <xdr:to>
      <xdr:col>16</xdr:col>
      <xdr:colOff>7938</xdr:colOff>
      <xdr:row>160</xdr:row>
      <xdr:rowOff>150669</xdr:rowOff>
    </xdr:to>
    <xdr:sp>
      <xdr:nvSpPr>
        <xdr:cNvPr id="6" name="Rectangle 5"/>
        <xdr:cNvSpPr/>
      </xdr:nvSpPr>
      <xdr:spPr>
        <a:xfrm>
          <a:off x="18035905" y="30211395"/>
          <a:ext cx="1134110" cy="4953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6 Sedang</a:t>
          </a:r>
          <a:endParaRPr lang="en-US" sz="1100" baseline="0"/>
        </a:p>
        <a:p>
          <a:pPr algn="l"/>
          <a:r>
            <a:rPr lang="en-US" sz="1100" baseline="0"/>
            <a:t>18 Rendah</a:t>
          </a:r>
          <a:endParaRPr lang="en-US" sz="1100"/>
        </a:p>
      </xdr:txBody>
    </xdr:sp>
    <xdr:clientData/>
  </xdr:twoCellAnchor>
  <xdr:oneCellAnchor>
    <xdr:from>
      <xdr:col>15</xdr:col>
      <xdr:colOff>285750</xdr:colOff>
      <xdr:row>155</xdr:row>
      <xdr:rowOff>112569</xdr:rowOff>
    </xdr:from>
    <xdr:ext cx="666750" cy="264560"/>
    <xdr:sp>
      <xdr:nvSpPr>
        <xdr:cNvPr id="7" name="TextBox 6"/>
        <xdr:cNvSpPr txBox="1"/>
      </xdr:nvSpPr>
      <xdr:spPr>
        <a:xfrm>
          <a:off x="18321655" y="29668470"/>
          <a:ext cx="666750" cy="264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&lt;11,77</a:t>
          </a:r>
          <a:endParaRPr lang="en-US">
            <a:effectLst/>
          </a:endParaRPr>
        </a:p>
      </xdr:txBody>
    </xdr:sp>
    <xdr:clientData/>
  </xdr:oneCellAnchor>
  <xdr:oneCellAnchor>
    <xdr:from>
      <xdr:col>16</xdr:col>
      <xdr:colOff>293688</xdr:colOff>
      <xdr:row>156</xdr:row>
      <xdr:rowOff>131619</xdr:rowOff>
    </xdr:from>
    <xdr:ext cx="1162050" cy="264560"/>
    <mc:AlternateContent xmlns:mc="http://schemas.openxmlformats.org/markup-compatibility/2006">
      <mc:Choice xmlns:a14="http://schemas.microsoft.com/office/drawing/2010/main" Requires="a14">
        <xdr:sp>
          <xdr:nvSpPr>
            <xdr:cNvPr id="8" name="TextBox 7"/>
            <xdr:cNvSpPr txBox="1"/>
          </xdr:nvSpPr>
          <xdr:spPr>
            <a:xfrm>
              <a:off x="19455765" y="29887545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</m:oMath>
              </a14:m>
              <a:r>
                <a:rPr lang="en-US" sz="1100"/>
                <a:t>11,77 - &gt; 24,90</a:t>
              </a:r>
              <a:endParaRPr lang="en-US" sz="1100"/>
            </a:p>
          </xdr:txBody>
        </xdr:sp>
      </mc:Choice>
      <mc:Fallback>
        <xdr:sp>
          <xdr:nvSpPr>
            <xdr:cNvPr id="8" name="TextBox 7"/>
            <xdr:cNvSpPr txBox="1"/>
          </xdr:nvSpPr>
          <xdr:spPr>
            <a:xfrm>
              <a:off x="19455765" y="29887545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/>
                <a:t>11,77 - &gt; 24,90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16</xdr:col>
      <xdr:colOff>369888</xdr:colOff>
      <xdr:row>159</xdr:row>
      <xdr:rowOff>64943</xdr:rowOff>
    </xdr:from>
    <xdr:to>
      <xdr:col>18</xdr:col>
      <xdr:colOff>38100</xdr:colOff>
      <xdr:row>161</xdr:row>
      <xdr:rowOff>158750</xdr:rowOff>
    </xdr:to>
    <xdr:sp>
      <xdr:nvSpPr>
        <xdr:cNvPr id="9" name="Rectangle 8"/>
        <xdr:cNvSpPr/>
      </xdr:nvSpPr>
      <xdr:spPr>
        <a:xfrm>
          <a:off x="19531965" y="30420945"/>
          <a:ext cx="1211580" cy="49403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44 Tinggi</a:t>
          </a:r>
          <a:endParaRPr lang="en-US" sz="1100"/>
        </a:p>
        <a:p>
          <a:pPr algn="l"/>
          <a:r>
            <a:rPr lang="en-US" sz="1100" baseline="0"/>
            <a:t>66 Sedang</a:t>
          </a:r>
          <a:endParaRPr lang="en-US" sz="1100" baseline="0"/>
        </a:p>
      </xdr:txBody>
    </xdr:sp>
    <xdr:clientData/>
  </xdr:twoCellAnchor>
  <xdr:twoCellAnchor>
    <xdr:from>
      <xdr:col>18</xdr:col>
      <xdr:colOff>381001</xdr:colOff>
      <xdr:row>158</xdr:row>
      <xdr:rowOff>7794</xdr:rowOff>
    </xdr:from>
    <xdr:to>
      <xdr:col>19</xdr:col>
      <xdr:colOff>605633</xdr:colOff>
      <xdr:row>159</xdr:row>
      <xdr:rowOff>160194</xdr:rowOff>
    </xdr:to>
    <xdr:sp>
      <xdr:nvSpPr>
        <xdr:cNvPr id="10" name="Rectangle 9"/>
        <xdr:cNvSpPr/>
      </xdr:nvSpPr>
      <xdr:spPr>
        <a:xfrm>
          <a:off x="21086445" y="30163770"/>
          <a:ext cx="995680" cy="3524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29 </a:t>
          </a:r>
          <a:r>
            <a:rPr lang="en-US" sz="1100"/>
            <a:t>Tinggi</a:t>
          </a:r>
          <a:endParaRPr lang="en-US" sz="1100"/>
        </a:p>
      </xdr:txBody>
    </xdr:sp>
    <xdr:clientData/>
  </xdr:twoCellAnchor>
  <xdr:oneCellAnchor>
    <xdr:from>
      <xdr:col>18</xdr:col>
      <xdr:colOff>428625</xdr:colOff>
      <xdr:row>155</xdr:row>
      <xdr:rowOff>104775</xdr:rowOff>
    </xdr:from>
    <xdr:ext cx="666750" cy="264560"/>
    <xdr:sp>
      <xdr:nvSpPr>
        <xdr:cNvPr id="11" name="TextBox 10"/>
        <xdr:cNvSpPr txBox="1"/>
      </xdr:nvSpPr>
      <xdr:spPr>
        <a:xfrm>
          <a:off x="21134070" y="29660850"/>
          <a:ext cx="666750" cy="264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&gt;24,90</a:t>
          </a:r>
          <a:endParaRPr lang="en-US" sz="1100"/>
        </a:p>
      </xdr:txBody>
    </xdr:sp>
    <xdr:clientData/>
  </xdr:oneCellAnchor>
</xdr:wsDr>
</file>

<file path=xl/drawings/drawing1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16</xdr:col>
      <xdr:colOff>283954</xdr:colOff>
      <xdr:row>158</xdr:row>
      <xdr:rowOff>0</xdr:rowOff>
    </xdr:from>
    <xdr:to>
      <xdr:col>19</xdr:col>
      <xdr:colOff>442180</xdr:colOff>
      <xdr:row>162</xdr:row>
      <xdr:rowOff>15120</xdr:rowOff>
    </xdr:to>
    <xdr:sp>
      <xdr:nvSpPr>
        <xdr:cNvPr id="2" name="Oval 1"/>
        <xdr:cNvSpPr/>
      </xdr:nvSpPr>
      <xdr:spPr>
        <a:xfrm>
          <a:off x="15674975" y="30099000"/>
          <a:ext cx="2472690" cy="814705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Usia</a:t>
          </a:r>
          <a:endParaRPr lang="en-US" sz="1100"/>
        </a:p>
      </xdr:txBody>
    </xdr:sp>
    <xdr:clientData/>
  </xdr:twoCellAnchor>
  <xdr:twoCellAnchor>
    <xdr:from>
      <xdr:col>15</xdr:col>
      <xdr:colOff>419100</xdr:colOff>
      <xdr:row>161</xdr:row>
      <xdr:rowOff>92886</xdr:rowOff>
    </xdr:from>
    <xdr:to>
      <xdr:col>16</xdr:col>
      <xdr:colOff>527574</xdr:colOff>
      <xdr:row>164</xdr:row>
      <xdr:rowOff>37834</xdr:rowOff>
    </xdr:to>
    <xdr:cxnSp>
      <xdr:nvCxnSpPr>
        <xdr:cNvPr id="3" name="Straight Connector 2"/>
        <xdr:cNvCxnSpPr>
          <a:stCxn id="2" idx="3"/>
        </xdr:cNvCxnSpPr>
      </xdr:nvCxnSpPr>
      <xdr:spPr>
        <a:xfrm flipH="1">
          <a:off x="15038705" y="30791785"/>
          <a:ext cx="879475" cy="54483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185737</xdr:colOff>
      <xdr:row>162</xdr:row>
      <xdr:rowOff>15120</xdr:rowOff>
    </xdr:from>
    <xdr:to>
      <xdr:col>18</xdr:col>
      <xdr:colOff>239791</xdr:colOff>
      <xdr:row>165</xdr:row>
      <xdr:rowOff>98648</xdr:rowOff>
    </xdr:to>
    <xdr:cxnSp>
      <xdr:nvCxnSpPr>
        <xdr:cNvPr id="4" name="Straight Connector 3"/>
        <xdr:cNvCxnSpPr/>
      </xdr:nvCxnSpPr>
      <xdr:spPr>
        <a:xfrm flipH="1">
          <a:off x="17119600" y="30913705"/>
          <a:ext cx="53975" cy="68389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203689</xdr:colOff>
      <xdr:row>161</xdr:row>
      <xdr:rowOff>92886</xdr:rowOff>
    </xdr:from>
    <xdr:to>
      <xdr:col>20</xdr:col>
      <xdr:colOff>156430</xdr:colOff>
      <xdr:row>164</xdr:row>
      <xdr:rowOff>18784</xdr:rowOff>
    </xdr:to>
    <xdr:cxnSp>
      <xdr:nvCxnSpPr>
        <xdr:cNvPr id="5" name="Straight Connector 4"/>
        <xdr:cNvCxnSpPr>
          <a:stCxn id="2" idx="5"/>
        </xdr:cNvCxnSpPr>
      </xdr:nvCxnSpPr>
      <xdr:spPr>
        <a:xfrm>
          <a:off x="17908905" y="30791785"/>
          <a:ext cx="724535" cy="52578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164</xdr:row>
      <xdr:rowOff>77765</xdr:rowOff>
    </xdr:from>
    <xdr:to>
      <xdr:col>16</xdr:col>
      <xdr:colOff>404446</xdr:colOff>
      <xdr:row>167</xdr:row>
      <xdr:rowOff>123092</xdr:rowOff>
    </xdr:to>
    <xdr:sp>
      <xdr:nvSpPr>
        <xdr:cNvPr id="6" name="Rectangle 5"/>
        <xdr:cNvSpPr/>
      </xdr:nvSpPr>
      <xdr:spPr>
        <a:xfrm>
          <a:off x="14619605" y="31376620"/>
          <a:ext cx="1175385" cy="64516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17 Dewasa</a:t>
          </a:r>
          <a:endParaRPr lang="en-US" sz="1100" baseline="0"/>
        </a:p>
        <a:p>
          <a:pPr algn="l"/>
          <a:r>
            <a:rPr lang="en-US" sz="1100" baseline="0"/>
            <a:t>22 Anak-Anak</a:t>
          </a:r>
          <a:endParaRPr lang="en-US" sz="1100" baseline="0"/>
        </a:p>
        <a:p>
          <a:pPr algn="l"/>
          <a:r>
            <a:rPr lang="en-US" sz="1100" baseline="0"/>
            <a:t>1 Lansia</a:t>
          </a:r>
          <a:endParaRPr lang="en-US" sz="1100"/>
        </a:p>
      </xdr:txBody>
    </xdr:sp>
    <xdr:clientData/>
  </xdr:twoCellAnchor>
  <xdr:oneCellAnchor>
    <xdr:from>
      <xdr:col>15</xdr:col>
      <xdr:colOff>285750</xdr:colOff>
      <xdr:row>161</xdr:row>
      <xdr:rowOff>129421</xdr:rowOff>
    </xdr:from>
    <xdr:ext cx="666750" cy="264560"/>
    <xdr:sp>
      <xdr:nvSpPr>
        <xdr:cNvPr id="7" name="TextBox 6"/>
        <xdr:cNvSpPr txBox="1"/>
      </xdr:nvSpPr>
      <xdr:spPr>
        <a:xfrm>
          <a:off x="14905355" y="30827980"/>
          <a:ext cx="666750" cy="2647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&lt;17,31</a:t>
          </a:r>
          <a:endParaRPr lang="en-US">
            <a:effectLst/>
          </a:endParaRPr>
        </a:p>
      </xdr:txBody>
    </xdr:sp>
    <xdr:clientData/>
  </xdr:oneCellAnchor>
  <xdr:oneCellAnchor>
    <xdr:from>
      <xdr:col>17</xdr:col>
      <xdr:colOff>277690</xdr:colOff>
      <xdr:row>163</xdr:row>
      <xdr:rowOff>14755</xdr:rowOff>
    </xdr:from>
    <xdr:ext cx="1236785" cy="264560"/>
    <mc:AlternateContent xmlns:mc="http://schemas.openxmlformats.org/markup-compatibility/2006">
      <mc:Choice xmlns:a14="http://schemas.microsoft.com/office/drawing/2010/main" Requires="a14">
        <xdr:sp>
          <xdr:nvSpPr>
            <xdr:cNvPr id="8" name="TextBox 7"/>
            <xdr:cNvSpPr txBox="1"/>
          </xdr:nvSpPr>
          <xdr:spPr>
            <a:xfrm>
              <a:off x="16440150" y="31113730"/>
              <a:ext cx="123698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  <m:r>
                    <a:rPr lang="en-US" sz="1100" b="0" i="0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17</m:t>
                  </m:r>
                  <m:r>
                    <a:rPr lang="en-US" sz="1100" b="0" i="0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,</m:t>
                  </m:r>
                  <m:r>
                    <a:rPr lang="en-US" sz="1100" b="0" i="0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31</m:t>
                  </m:r>
                </m:oMath>
              </a14:m>
              <a:r>
                <a:rPr lang="en-US" sz="1100"/>
                <a:t> - &gt; 54,61</a:t>
              </a:r>
              <a:endParaRPr lang="en-US" sz="1100"/>
            </a:p>
          </xdr:txBody>
        </xdr:sp>
      </mc:Choice>
      <mc:Fallback>
        <xdr:sp>
          <xdr:nvSpPr>
            <xdr:cNvPr id="8" name="TextBox 7"/>
            <xdr:cNvSpPr txBox="1"/>
          </xdr:nvSpPr>
          <xdr:spPr>
            <a:xfrm>
              <a:off x="16440150" y="31113730"/>
              <a:ext cx="123698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 b="0">
                  <a:latin typeface="Cambria Math" panose="02040503050406030204" pitchFamily="18" charset="0"/>
                  <a:ea typeface="Cambria Math" panose="02040503050406030204" pitchFamily="18" charset="0"/>
                </a:rPr>
                <a:t>17</a:t>
              </a:r>
              <a:r>
                <a:rPr lang="en-US" sz="1100" b="0">
                  <a:latin typeface="Cambria Math" panose="02040503050406030204" pitchFamily="18" charset="0"/>
                  <a:ea typeface="Cambria Math" panose="02040503050406030204" pitchFamily="18" charset="0"/>
                </a:rPr>
                <a:t>,</a:t>
              </a:r>
              <a:r>
                <a:rPr lang="en-US" sz="1100" b="0">
                  <a:latin typeface="Cambria Math" panose="02040503050406030204" pitchFamily="18" charset="0"/>
                  <a:ea typeface="Cambria Math" panose="02040503050406030204" pitchFamily="18" charset="0"/>
                </a:rPr>
                <a:t>31</a:t>
              </a:r>
              <a:r>
                <a:rPr lang="en-US" sz="1100"/>
                <a:t> - &gt; 54,61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17</xdr:col>
      <xdr:colOff>385762</xdr:colOff>
      <xdr:row>165</xdr:row>
      <xdr:rowOff>89122</xdr:rowOff>
    </xdr:from>
    <xdr:to>
      <xdr:col>19</xdr:col>
      <xdr:colOff>209550</xdr:colOff>
      <xdr:row>168</xdr:row>
      <xdr:rowOff>180975</xdr:rowOff>
    </xdr:to>
    <xdr:sp>
      <xdr:nvSpPr>
        <xdr:cNvPr id="9" name="Rectangle 8"/>
        <xdr:cNvSpPr/>
      </xdr:nvSpPr>
      <xdr:spPr>
        <a:xfrm>
          <a:off x="16548100" y="31588075"/>
          <a:ext cx="1367155" cy="6826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36 Dewasa</a:t>
          </a:r>
          <a:endParaRPr lang="en-US" sz="1100"/>
        </a:p>
        <a:p>
          <a:pPr algn="l"/>
          <a:r>
            <a:rPr lang="en-US" sz="1100" baseline="0"/>
            <a:t>45 Anak-Anak</a:t>
          </a:r>
          <a:endParaRPr lang="en-US" sz="1100" baseline="0"/>
        </a:p>
        <a:p>
          <a:pPr algn="l"/>
          <a:r>
            <a:rPr lang="en-US" sz="1100" baseline="0"/>
            <a:t>8 Lansia</a:t>
          </a:r>
          <a:endParaRPr lang="en-US" sz="1100" baseline="0"/>
        </a:p>
      </xdr:txBody>
    </xdr:sp>
    <xdr:clientData/>
  </xdr:twoCellAnchor>
  <xdr:twoCellAnchor>
    <xdr:from>
      <xdr:col>19</xdr:col>
      <xdr:colOff>404080</xdr:colOff>
      <xdr:row>164</xdr:row>
      <xdr:rowOff>28307</xdr:rowOff>
    </xdr:from>
    <xdr:to>
      <xdr:col>21</xdr:col>
      <xdr:colOff>213579</xdr:colOff>
      <xdr:row>167</xdr:row>
      <xdr:rowOff>104774</xdr:rowOff>
    </xdr:to>
    <xdr:sp>
      <xdr:nvSpPr>
        <xdr:cNvPr id="10" name="Rectangle 9"/>
        <xdr:cNvSpPr/>
      </xdr:nvSpPr>
      <xdr:spPr>
        <a:xfrm>
          <a:off x="18109565" y="31327090"/>
          <a:ext cx="1352550" cy="67627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16 Dewasa</a:t>
          </a:r>
          <a:endParaRPr lang="en-US">
            <a:effectLst/>
          </a:endParaRP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17 Anak-Anak</a:t>
          </a:r>
          <a:endParaRPr lang="en-US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Lansia</a:t>
          </a:r>
          <a:endParaRPr lang="en-US">
            <a:effectLst/>
          </a:endParaRPr>
        </a:p>
      </xdr:txBody>
    </xdr:sp>
    <xdr:clientData/>
  </xdr:twoCellAnchor>
  <xdr:oneCellAnchor>
    <xdr:from>
      <xdr:col>19</xdr:col>
      <xdr:colOff>451705</xdr:colOff>
      <xdr:row>161</xdr:row>
      <xdr:rowOff>121627</xdr:rowOff>
    </xdr:from>
    <xdr:ext cx="666750" cy="264560"/>
    <xdr:sp>
      <xdr:nvSpPr>
        <xdr:cNvPr id="11" name="TextBox 10"/>
        <xdr:cNvSpPr txBox="1"/>
      </xdr:nvSpPr>
      <xdr:spPr>
        <a:xfrm>
          <a:off x="18157190" y="30820360"/>
          <a:ext cx="666750" cy="2647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&gt;54,61</a:t>
          </a:r>
          <a:endParaRPr lang="en-US" sz="1100"/>
        </a:p>
      </xdr:txBody>
    </xdr:sp>
    <xdr:clientData/>
  </xdr:oneCellAnchor>
</xdr:wsDr>
</file>

<file path=xl/drawings/drawing1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14</xdr:col>
      <xdr:colOff>889158</xdr:colOff>
      <xdr:row>157</xdr:row>
      <xdr:rowOff>0</xdr:rowOff>
    </xdr:from>
    <xdr:to>
      <xdr:col>17</xdr:col>
      <xdr:colOff>228600</xdr:colOff>
      <xdr:row>161</xdr:row>
      <xdr:rowOff>7793</xdr:rowOff>
    </xdr:to>
    <xdr:sp>
      <xdr:nvSpPr>
        <xdr:cNvPr id="2" name="Oval 1"/>
        <xdr:cNvSpPr/>
      </xdr:nvSpPr>
      <xdr:spPr>
        <a:xfrm>
          <a:off x="14552930" y="29908500"/>
          <a:ext cx="2266315" cy="807720"/>
        </a:xfrm>
        <a:prstGeom prst="ellips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Lama</a:t>
          </a:r>
          <a:r>
            <a:rPr lang="en-US" sz="1100" baseline="0"/>
            <a:t> Rawat Inap</a:t>
          </a:r>
          <a:endParaRPr lang="en-US" sz="1100"/>
        </a:p>
      </xdr:txBody>
    </xdr:sp>
    <xdr:clientData/>
  </xdr:twoCellAnchor>
  <xdr:twoCellAnchor>
    <xdr:from>
      <xdr:col>15</xdr:col>
      <xdr:colOff>590550</xdr:colOff>
      <xdr:row>161</xdr:row>
      <xdr:rowOff>7793</xdr:rowOff>
    </xdr:from>
    <xdr:to>
      <xdr:col>16</xdr:col>
      <xdr:colOff>35004</xdr:colOff>
      <xdr:row>164</xdr:row>
      <xdr:rowOff>83994</xdr:rowOff>
    </xdr:to>
    <xdr:cxnSp>
      <xdr:nvCxnSpPr>
        <xdr:cNvPr id="3" name="Straight Connector 2"/>
        <xdr:cNvCxnSpPr/>
      </xdr:nvCxnSpPr>
      <xdr:spPr>
        <a:xfrm flipH="1">
          <a:off x="15638145" y="30716220"/>
          <a:ext cx="215900" cy="6762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604105</xdr:colOff>
      <xdr:row>160</xdr:row>
      <xdr:rowOff>85559</xdr:rowOff>
    </xdr:from>
    <xdr:to>
      <xdr:col>17</xdr:col>
      <xdr:colOff>552450</xdr:colOff>
      <xdr:row>163</xdr:row>
      <xdr:rowOff>7794</xdr:rowOff>
    </xdr:to>
    <xdr:cxnSp>
      <xdr:nvCxnSpPr>
        <xdr:cNvPr id="4" name="Straight Connector 3"/>
        <xdr:cNvCxnSpPr>
          <a:stCxn id="2" idx="5"/>
        </xdr:cNvCxnSpPr>
      </xdr:nvCxnSpPr>
      <xdr:spPr>
        <a:xfrm>
          <a:off x="16423005" y="30593665"/>
          <a:ext cx="720090" cy="52260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163</xdr:row>
      <xdr:rowOff>64943</xdr:rowOff>
    </xdr:from>
    <xdr:to>
      <xdr:col>14</xdr:col>
      <xdr:colOff>1009650</xdr:colOff>
      <xdr:row>166</xdr:row>
      <xdr:rowOff>104775</xdr:rowOff>
    </xdr:to>
    <xdr:sp>
      <xdr:nvSpPr>
        <xdr:cNvPr id="5" name="Rectangle 4"/>
        <xdr:cNvSpPr/>
      </xdr:nvSpPr>
      <xdr:spPr>
        <a:xfrm>
          <a:off x="13663930" y="31173420"/>
          <a:ext cx="1009650" cy="64008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/>
            <a:t>20 Sedang</a:t>
          </a:r>
          <a:endParaRPr lang="en-US" sz="1100" baseline="0"/>
        </a:p>
        <a:p>
          <a:pPr algn="l"/>
          <a:r>
            <a:rPr lang="en-US" sz="1100" baseline="0"/>
            <a:t>11 Lama</a:t>
          </a:r>
          <a:endParaRPr lang="en-US" sz="1100" baseline="0"/>
        </a:p>
        <a:p>
          <a:pPr algn="l"/>
          <a:r>
            <a:rPr lang="en-US" sz="1100" baseline="0"/>
            <a:t>4 Singkat</a:t>
          </a:r>
          <a:endParaRPr lang="en-US" sz="1100"/>
        </a:p>
      </xdr:txBody>
    </xdr:sp>
    <xdr:clientData/>
  </xdr:twoCellAnchor>
  <xdr:oneCellAnchor>
    <xdr:from>
      <xdr:col>14</xdr:col>
      <xdr:colOff>285750</xdr:colOff>
      <xdr:row>160</xdr:row>
      <xdr:rowOff>122094</xdr:rowOff>
    </xdr:from>
    <xdr:ext cx="666750" cy="264560"/>
    <xdr:sp>
      <xdr:nvSpPr>
        <xdr:cNvPr id="6" name="TextBox 5"/>
        <xdr:cNvSpPr txBox="1"/>
      </xdr:nvSpPr>
      <xdr:spPr>
        <a:xfrm>
          <a:off x="13949680" y="30630495"/>
          <a:ext cx="666750" cy="264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&lt;2,47</a:t>
          </a:r>
          <a:endParaRPr lang="en-US">
            <a:effectLst/>
          </a:endParaRPr>
        </a:p>
      </xdr:txBody>
    </xdr:sp>
    <xdr:clientData/>
  </xdr:oneCellAnchor>
  <xdr:oneCellAnchor>
    <xdr:from>
      <xdr:col>15</xdr:col>
      <xdr:colOff>104775</xdr:colOff>
      <xdr:row>161</xdr:row>
      <xdr:rowOff>141144</xdr:rowOff>
    </xdr:from>
    <xdr:ext cx="1162050" cy="264560"/>
    <mc:AlternateContent xmlns:mc="http://schemas.openxmlformats.org/markup-compatibility/2006">
      <mc:Choice xmlns:a14="http://schemas.microsoft.com/office/drawing/2010/main" Requires="a14">
        <xdr:sp>
          <xdr:nvSpPr>
            <xdr:cNvPr id="7" name="TextBox 6"/>
            <xdr:cNvSpPr txBox="1"/>
          </xdr:nvSpPr>
          <xdr:spPr>
            <a:xfrm>
              <a:off x="15152370" y="3084957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≤</m:t>
                  </m:r>
                  <m:r>
                    <a:rPr lang="en-US" sz="1100" b="0" i="0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2</m:t>
                  </m:r>
                  <m:r>
                    <a:rPr lang="en-US" sz="1100" b="0" i="0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,</m:t>
                  </m:r>
                  <m:r>
                    <a:rPr lang="en-US" sz="1100" b="0" i="0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47</m:t>
                  </m:r>
                </m:oMath>
              </a14:m>
              <a:r>
                <a:rPr lang="en-US" sz="1100"/>
                <a:t> - &gt; 4,63</a:t>
              </a:r>
              <a:endParaRPr lang="en-US" sz="1100"/>
            </a:p>
          </xdr:txBody>
        </xdr:sp>
      </mc:Choice>
      <mc:Fallback>
        <xdr:sp>
          <xdr:nvSpPr>
            <xdr:cNvPr id="7" name="TextBox 6"/>
            <xdr:cNvSpPr txBox="1"/>
          </xdr:nvSpPr>
          <xdr:spPr>
            <a:xfrm>
              <a:off x="15152370" y="30849570"/>
              <a:ext cx="1162050" cy="2641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≤</a:t>
              </a:r>
              <a:r>
                <a:rPr lang="en-US" sz="1100" b="0">
                  <a:latin typeface="Cambria Math" panose="02040503050406030204" pitchFamily="18" charset="0"/>
                  <a:ea typeface="Cambria Math" panose="02040503050406030204" pitchFamily="18" charset="0"/>
                </a:rPr>
                <a:t>2</a:t>
              </a:r>
              <a:r>
                <a:rPr lang="en-US" sz="1100" b="0">
                  <a:latin typeface="Cambria Math" panose="02040503050406030204" pitchFamily="18" charset="0"/>
                  <a:ea typeface="Cambria Math" panose="02040503050406030204" pitchFamily="18" charset="0"/>
                </a:rPr>
                <a:t>,</a:t>
              </a:r>
              <a:r>
                <a:rPr lang="en-US" sz="1100" b="0">
                  <a:latin typeface="Cambria Math" panose="02040503050406030204" pitchFamily="18" charset="0"/>
                  <a:ea typeface="Cambria Math" panose="02040503050406030204" pitchFamily="18" charset="0"/>
                </a:rPr>
                <a:t>47</a:t>
              </a:r>
              <a:r>
                <a:rPr lang="en-US" sz="1100"/>
                <a:t> - &gt; 4,63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15</xdr:col>
      <xdr:colOff>180975</xdr:colOff>
      <xdr:row>164</xdr:row>
      <xdr:rowOff>74468</xdr:rowOff>
    </xdr:from>
    <xdr:to>
      <xdr:col>16</xdr:col>
      <xdr:colOff>533400</xdr:colOff>
      <xdr:row>168</xdr:row>
      <xdr:rowOff>0</xdr:rowOff>
    </xdr:to>
    <xdr:sp>
      <xdr:nvSpPr>
        <xdr:cNvPr id="8" name="Rectangle 7"/>
        <xdr:cNvSpPr/>
      </xdr:nvSpPr>
      <xdr:spPr>
        <a:xfrm>
          <a:off x="15228570" y="31382970"/>
          <a:ext cx="1123950" cy="70675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37 Sedang</a:t>
          </a:r>
          <a:endParaRPr lang="en-US" sz="1100"/>
        </a:p>
        <a:p>
          <a:pPr algn="l"/>
          <a:r>
            <a:rPr lang="en-US" sz="1100" baseline="0"/>
            <a:t>41 Lama</a:t>
          </a:r>
          <a:endParaRPr lang="en-US" sz="1100" baseline="0"/>
        </a:p>
        <a:p>
          <a:pPr algn="l"/>
          <a:r>
            <a:rPr lang="en-US" sz="1100" baseline="0"/>
            <a:t>11 Singkat</a:t>
          </a:r>
          <a:endParaRPr lang="en-US" sz="1100" baseline="0"/>
        </a:p>
      </xdr:txBody>
    </xdr:sp>
    <xdr:clientData/>
  </xdr:twoCellAnchor>
  <xdr:twoCellAnchor>
    <xdr:from>
      <xdr:col>17</xdr:col>
      <xdr:colOff>190500</xdr:colOff>
      <xdr:row>163</xdr:row>
      <xdr:rowOff>17318</xdr:rowOff>
    </xdr:from>
    <xdr:to>
      <xdr:col>18</xdr:col>
      <xdr:colOff>609599</xdr:colOff>
      <xdr:row>166</xdr:row>
      <xdr:rowOff>95250</xdr:rowOff>
    </xdr:to>
    <xdr:sp>
      <xdr:nvSpPr>
        <xdr:cNvPr id="9" name="Rectangle 8"/>
        <xdr:cNvSpPr/>
      </xdr:nvSpPr>
      <xdr:spPr>
        <a:xfrm>
          <a:off x="16781145" y="31125795"/>
          <a:ext cx="1189990" cy="67818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14 Sedang</a:t>
          </a:r>
          <a:endParaRPr lang="en-US">
            <a:effectLst/>
          </a:endParaRP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21 Lama</a:t>
          </a:r>
          <a:endParaRPr lang="en-US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 Singkat</a:t>
          </a:r>
          <a:endParaRPr lang="en-US">
            <a:effectLst/>
          </a:endParaRPr>
        </a:p>
      </xdr:txBody>
    </xdr:sp>
    <xdr:clientData/>
  </xdr:twoCellAnchor>
  <xdr:oneCellAnchor>
    <xdr:from>
      <xdr:col>17</xdr:col>
      <xdr:colOff>209550</xdr:colOff>
      <xdr:row>160</xdr:row>
      <xdr:rowOff>114300</xdr:rowOff>
    </xdr:from>
    <xdr:ext cx="666750" cy="264560"/>
    <xdr:sp>
      <xdr:nvSpPr>
        <xdr:cNvPr id="10" name="TextBox 9"/>
        <xdr:cNvSpPr txBox="1"/>
      </xdr:nvSpPr>
      <xdr:spPr>
        <a:xfrm>
          <a:off x="16800195" y="30622875"/>
          <a:ext cx="666750" cy="264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&gt;4.63</a:t>
          </a:r>
          <a:endParaRPr lang="en-US" sz="1100"/>
        </a:p>
      </xdr:txBody>
    </xdr:sp>
    <xdr:clientData/>
  </xdr:oneCellAnchor>
  <xdr:twoCellAnchor>
    <xdr:from>
      <xdr:col>14</xdr:col>
      <xdr:colOff>457200</xdr:colOff>
      <xdr:row>160</xdr:row>
      <xdr:rowOff>104775</xdr:rowOff>
    </xdr:from>
    <xdr:to>
      <xdr:col>15</xdr:col>
      <xdr:colOff>94553</xdr:colOff>
      <xdr:row>163</xdr:row>
      <xdr:rowOff>46060</xdr:rowOff>
    </xdr:to>
    <xdr:cxnSp>
      <xdr:nvCxnSpPr>
        <xdr:cNvPr id="11" name="Straight Connector 10"/>
        <xdr:cNvCxnSpPr/>
      </xdr:nvCxnSpPr>
      <xdr:spPr>
        <a:xfrm flipH="1">
          <a:off x="14121130" y="30613350"/>
          <a:ext cx="1020445" cy="54102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Copy%20of%20Data_DBD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ata_DBD"/>
      <sheetName val="Sampel 1"/>
      <sheetName val="Sampel2(1)"/>
      <sheetName val="Sheet1"/>
      <sheetName val="Sampel2(3)"/>
      <sheetName val="Sampel2(4)"/>
      <sheetName val="Sampel2(5)"/>
      <sheetName val="Sampel2(6)"/>
      <sheetName val="Sampel2(7)"/>
      <sheetName val="Sampel2(8)"/>
    </sheetNames>
    <sheetDataSet>
      <sheetData sheetId="0">
        <row r="1">
          <cell r="B1" t="str">
            <v>Usia</v>
          </cell>
          <cell r="C1" t="str">
            <v>Lama Rawat Inap</v>
          </cell>
        </row>
        <row r="1">
          <cell r="E1" t="str">
            <v>Jenis Kelamin</v>
          </cell>
          <cell r="F1" t="str">
            <v>Tingkat Resiko</v>
          </cell>
        </row>
        <row r="2">
          <cell r="B2">
            <v>34</v>
          </cell>
          <cell r="C2">
            <v>3</v>
          </cell>
        </row>
        <row r="2">
          <cell r="E2">
            <v>0</v>
          </cell>
          <cell r="F2" t="str">
            <v>Sedang</v>
          </cell>
        </row>
        <row r="3">
          <cell r="B3">
            <v>43</v>
          </cell>
          <cell r="C3">
            <v>3</v>
          </cell>
        </row>
        <row r="3">
          <cell r="E3">
            <v>1</v>
          </cell>
          <cell r="F3" t="str">
            <v>Sedang</v>
          </cell>
        </row>
        <row r="4">
          <cell r="B4">
            <v>23</v>
          </cell>
          <cell r="C4">
            <v>5</v>
          </cell>
        </row>
        <row r="4">
          <cell r="E4">
            <v>0</v>
          </cell>
          <cell r="F4" t="str">
            <v>Sedang</v>
          </cell>
        </row>
        <row r="5">
          <cell r="B5">
            <v>18</v>
          </cell>
          <cell r="C5">
            <v>2</v>
          </cell>
        </row>
        <row r="5">
          <cell r="E5">
            <v>1</v>
          </cell>
          <cell r="F5" t="str">
            <v>Sedang</v>
          </cell>
        </row>
        <row r="6">
          <cell r="B6">
            <v>14</v>
          </cell>
          <cell r="C6">
            <v>4</v>
          </cell>
        </row>
        <row r="6">
          <cell r="E6">
            <v>0</v>
          </cell>
          <cell r="F6" t="str">
            <v>Sedang</v>
          </cell>
        </row>
        <row r="7">
          <cell r="B7">
            <v>12</v>
          </cell>
          <cell r="C7">
            <v>1</v>
          </cell>
        </row>
        <row r="7">
          <cell r="E7">
            <v>1</v>
          </cell>
          <cell r="F7" t="str">
            <v>Sedang</v>
          </cell>
        </row>
        <row r="8">
          <cell r="B8">
            <v>4</v>
          </cell>
          <cell r="C8">
            <v>2</v>
          </cell>
        </row>
        <row r="8">
          <cell r="E8">
            <v>0</v>
          </cell>
          <cell r="F8" t="str">
            <v>Sedang</v>
          </cell>
        </row>
        <row r="9">
          <cell r="B9">
            <v>16</v>
          </cell>
          <cell r="C9">
            <v>6</v>
          </cell>
        </row>
        <row r="9">
          <cell r="E9">
            <v>1</v>
          </cell>
          <cell r="F9" t="str">
            <v>Sedang</v>
          </cell>
        </row>
        <row r="10">
          <cell r="B10">
            <v>18</v>
          </cell>
          <cell r="C10">
            <v>5</v>
          </cell>
        </row>
        <row r="10">
          <cell r="E10">
            <v>0</v>
          </cell>
          <cell r="F10" t="str">
            <v>Sedang</v>
          </cell>
        </row>
        <row r="11">
          <cell r="B11">
            <v>24</v>
          </cell>
          <cell r="C11">
            <v>5</v>
          </cell>
        </row>
        <row r="11">
          <cell r="E11">
            <v>1</v>
          </cell>
          <cell r="F11" t="str">
            <v>Sedang</v>
          </cell>
        </row>
        <row r="12">
          <cell r="B12">
            <v>23</v>
          </cell>
          <cell r="C12">
            <v>3</v>
          </cell>
        </row>
        <row r="12">
          <cell r="E12">
            <v>0</v>
          </cell>
          <cell r="F12" t="str">
            <v>Sedang</v>
          </cell>
        </row>
        <row r="13">
          <cell r="B13">
            <v>47</v>
          </cell>
          <cell r="C13">
            <v>2</v>
          </cell>
        </row>
        <row r="13">
          <cell r="E13">
            <v>0</v>
          </cell>
          <cell r="F13" t="str">
            <v>Sedang</v>
          </cell>
        </row>
        <row r="14">
          <cell r="B14">
            <v>49</v>
          </cell>
          <cell r="C14">
            <v>4</v>
          </cell>
        </row>
        <row r="14">
          <cell r="E14">
            <v>1</v>
          </cell>
          <cell r="F14" t="str">
            <v>Rendah</v>
          </cell>
        </row>
        <row r="15">
          <cell r="B15">
            <v>21</v>
          </cell>
          <cell r="C15">
            <v>2</v>
          </cell>
        </row>
        <row r="15">
          <cell r="E15">
            <v>0</v>
          </cell>
          <cell r="F15" t="str">
            <v>Rendah</v>
          </cell>
        </row>
        <row r="16">
          <cell r="B16">
            <v>66</v>
          </cell>
          <cell r="C16">
            <v>5</v>
          </cell>
        </row>
        <row r="16">
          <cell r="E16">
            <v>1</v>
          </cell>
          <cell r="F16" t="str">
            <v>Rendah</v>
          </cell>
        </row>
        <row r="17">
          <cell r="B17">
            <v>2</v>
          </cell>
          <cell r="C17">
            <v>3</v>
          </cell>
        </row>
        <row r="17">
          <cell r="E17">
            <v>0</v>
          </cell>
          <cell r="F17" t="str">
            <v>Rendah</v>
          </cell>
        </row>
        <row r="18">
          <cell r="B18">
            <v>49</v>
          </cell>
          <cell r="C18">
            <v>4</v>
          </cell>
        </row>
        <row r="18">
          <cell r="E18">
            <v>1</v>
          </cell>
          <cell r="F18" t="str">
            <v>Rendah</v>
          </cell>
        </row>
        <row r="19">
          <cell r="B19">
            <v>8</v>
          </cell>
          <cell r="C19">
            <v>4</v>
          </cell>
        </row>
        <row r="19">
          <cell r="E19">
            <v>0</v>
          </cell>
          <cell r="F19" t="str">
            <v>Rendah</v>
          </cell>
        </row>
        <row r="20">
          <cell r="B20">
            <v>15</v>
          </cell>
          <cell r="C20">
            <v>5</v>
          </cell>
        </row>
        <row r="20">
          <cell r="E20">
            <v>0</v>
          </cell>
          <cell r="F20" t="str">
            <v>Rendah</v>
          </cell>
        </row>
        <row r="21">
          <cell r="B21">
            <v>10</v>
          </cell>
          <cell r="C21">
            <v>5</v>
          </cell>
        </row>
        <row r="21">
          <cell r="E21">
            <v>1</v>
          </cell>
          <cell r="F21" t="str">
            <v>Sedang</v>
          </cell>
        </row>
        <row r="22">
          <cell r="B22">
            <v>6</v>
          </cell>
          <cell r="C22">
            <v>3</v>
          </cell>
        </row>
        <row r="22">
          <cell r="E22">
            <v>0</v>
          </cell>
          <cell r="F22" t="str">
            <v>Sedang</v>
          </cell>
        </row>
        <row r="23">
          <cell r="B23">
            <v>28</v>
          </cell>
          <cell r="C23">
            <v>4</v>
          </cell>
        </row>
        <row r="23">
          <cell r="E23">
            <v>1</v>
          </cell>
          <cell r="F23" t="str">
            <v>Sedang</v>
          </cell>
        </row>
        <row r="24">
          <cell r="B24">
            <v>60</v>
          </cell>
          <cell r="C24">
            <v>4</v>
          </cell>
        </row>
        <row r="24">
          <cell r="E24">
            <v>0</v>
          </cell>
          <cell r="F24" t="str">
            <v>Sedang</v>
          </cell>
        </row>
        <row r="25">
          <cell r="B25">
            <v>81</v>
          </cell>
          <cell r="C25">
            <v>5</v>
          </cell>
        </row>
        <row r="25">
          <cell r="E25">
            <v>0</v>
          </cell>
          <cell r="F25" t="str">
            <v>Sedang</v>
          </cell>
        </row>
        <row r="26">
          <cell r="B26">
            <v>75</v>
          </cell>
          <cell r="C26">
            <v>4</v>
          </cell>
        </row>
        <row r="26">
          <cell r="E26">
            <v>1</v>
          </cell>
          <cell r="F26" t="str">
            <v>Sedang</v>
          </cell>
        </row>
        <row r="27">
          <cell r="B27">
            <v>37</v>
          </cell>
          <cell r="C27">
            <v>4</v>
          </cell>
        </row>
        <row r="27">
          <cell r="E27">
            <v>1</v>
          </cell>
          <cell r="F27" t="str">
            <v>Sedang</v>
          </cell>
        </row>
        <row r="28">
          <cell r="B28">
            <v>22</v>
          </cell>
          <cell r="C28">
            <v>2</v>
          </cell>
        </row>
        <row r="28">
          <cell r="E28">
            <v>1</v>
          </cell>
          <cell r="F28" t="str">
            <v>Sedang</v>
          </cell>
        </row>
        <row r="29">
          <cell r="B29">
            <v>19</v>
          </cell>
          <cell r="C29">
            <v>2</v>
          </cell>
        </row>
        <row r="29">
          <cell r="E29">
            <v>1</v>
          </cell>
          <cell r="F29" t="str">
            <v>Sedang</v>
          </cell>
        </row>
        <row r="30">
          <cell r="B30">
            <v>3</v>
          </cell>
          <cell r="C30">
            <v>2</v>
          </cell>
        </row>
        <row r="30">
          <cell r="E30">
            <v>1</v>
          </cell>
          <cell r="F30" t="str">
            <v>Sedang</v>
          </cell>
        </row>
        <row r="31">
          <cell r="B31">
            <v>64</v>
          </cell>
          <cell r="C31">
            <v>4</v>
          </cell>
        </row>
        <row r="31">
          <cell r="E31">
            <v>1</v>
          </cell>
          <cell r="F31" t="str">
            <v>Sedang</v>
          </cell>
        </row>
        <row r="32">
          <cell r="B32">
            <v>54</v>
          </cell>
          <cell r="C32">
            <v>4</v>
          </cell>
        </row>
        <row r="32">
          <cell r="E32">
            <v>0</v>
          </cell>
          <cell r="F32" t="str">
            <v>Sedang</v>
          </cell>
        </row>
        <row r="33">
          <cell r="B33">
            <v>19</v>
          </cell>
          <cell r="C33">
            <v>4</v>
          </cell>
        </row>
        <row r="33">
          <cell r="E33">
            <v>1</v>
          </cell>
          <cell r="F33" t="str">
            <v>Sedang</v>
          </cell>
        </row>
        <row r="34">
          <cell r="B34">
            <v>55</v>
          </cell>
          <cell r="C34">
            <v>3</v>
          </cell>
        </row>
        <row r="34">
          <cell r="E34">
            <v>0</v>
          </cell>
          <cell r="F34" t="str">
            <v>Sedang</v>
          </cell>
        </row>
        <row r="35">
          <cell r="B35">
            <v>40</v>
          </cell>
          <cell r="C35">
            <v>3</v>
          </cell>
        </row>
        <row r="35">
          <cell r="E35">
            <v>1</v>
          </cell>
          <cell r="F35" t="str">
            <v>Rendah</v>
          </cell>
        </row>
        <row r="36">
          <cell r="B36">
            <v>27</v>
          </cell>
          <cell r="C36">
            <v>1</v>
          </cell>
        </row>
        <row r="36">
          <cell r="E36">
            <v>1</v>
          </cell>
          <cell r="F36" t="str">
            <v>Rendah</v>
          </cell>
        </row>
        <row r="37">
          <cell r="B37">
            <v>28</v>
          </cell>
          <cell r="C37">
            <v>4</v>
          </cell>
        </row>
        <row r="37">
          <cell r="E37">
            <v>1</v>
          </cell>
          <cell r="F37" t="str">
            <v>Rendah</v>
          </cell>
        </row>
        <row r="38">
          <cell r="B38">
            <v>52</v>
          </cell>
          <cell r="C38">
            <v>3</v>
          </cell>
        </row>
        <row r="38">
          <cell r="E38">
            <v>1</v>
          </cell>
          <cell r="F38" t="str">
            <v>Rendah</v>
          </cell>
        </row>
        <row r="39">
          <cell r="B39">
            <v>12</v>
          </cell>
          <cell r="C39">
            <v>5</v>
          </cell>
        </row>
        <row r="39">
          <cell r="E39">
            <v>1</v>
          </cell>
          <cell r="F39" t="str">
            <v>Sedang</v>
          </cell>
        </row>
        <row r="40">
          <cell r="B40">
            <v>65</v>
          </cell>
          <cell r="C40">
            <v>3</v>
          </cell>
        </row>
        <row r="40">
          <cell r="E40">
            <v>1</v>
          </cell>
          <cell r="F40" t="str">
            <v>Sedang</v>
          </cell>
        </row>
        <row r="41">
          <cell r="B41">
            <v>8</v>
          </cell>
          <cell r="C41">
            <v>4</v>
          </cell>
        </row>
        <row r="41">
          <cell r="E41">
            <v>0</v>
          </cell>
          <cell r="F41" t="str">
            <v>Sedang</v>
          </cell>
        </row>
        <row r="42">
          <cell r="B42">
            <v>21</v>
          </cell>
          <cell r="C42">
            <v>5</v>
          </cell>
        </row>
        <row r="42">
          <cell r="E42">
            <v>1</v>
          </cell>
          <cell r="F42" t="str">
            <v>Sedang</v>
          </cell>
        </row>
        <row r="43">
          <cell r="B43">
            <v>15</v>
          </cell>
          <cell r="C43">
            <v>4</v>
          </cell>
        </row>
        <row r="43">
          <cell r="E43">
            <v>0</v>
          </cell>
          <cell r="F43" t="str">
            <v>Sedang</v>
          </cell>
        </row>
        <row r="44">
          <cell r="B44">
            <v>28</v>
          </cell>
          <cell r="C44">
            <v>5</v>
          </cell>
        </row>
        <row r="44">
          <cell r="E44">
            <v>1</v>
          </cell>
          <cell r="F44" t="str">
            <v>Sedang</v>
          </cell>
        </row>
        <row r="45">
          <cell r="B45">
            <v>75</v>
          </cell>
          <cell r="C45">
            <v>3</v>
          </cell>
        </row>
        <row r="45">
          <cell r="E45">
            <v>1</v>
          </cell>
          <cell r="F45" t="str">
            <v>Sedang</v>
          </cell>
        </row>
        <row r="46">
          <cell r="B46">
            <v>62</v>
          </cell>
          <cell r="C46">
            <v>2</v>
          </cell>
        </row>
        <row r="46">
          <cell r="E46">
            <v>0</v>
          </cell>
          <cell r="F46" t="str">
            <v>Sedang</v>
          </cell>
        </row>
        <row r="47">
          <cell r="B47">
            <v>19</v>
          </cell>
          <cell r="C47">
            <v>2</v>
          </cell>
        </row>
        <row r="47">
          <cell r="E47">
            <v>0</v>
          </cell>
          <cell r="F47" t="str">
            <v>Sedang</v>
          </cell>
        </row>
        <row r="48">
          <cell r="B48">
            <v>50</v>
          </cell>
          <cell r="C48">
            <v>5</v>
          </cell>
        </row>
        <row r="48">
          <cell r="E48">
            <v>1</v>
          </cell>
          <cell r="F48" t="str">
            <v>Sedang</v>
          </cell>
        </row>
        <row r="49">
          <cell r="B49">
            <v>64</v>
          </cell>
          <cell r="C49">
            <v>5</v>
          </cell>
        </row>
        <row r="49">
          <cell r="E49">
            <v>0</v>
          </cell>
          <cell r="F49" t="str">
            <v>Sedang</v>
          </cell>
        </row>
        <row r="50">
          <cell r="B50">
            <v>19</v>
          </cell>
          <cell r="C50">
            <v>5</v>
          </cell>
        </row>
        <row r="50">
          <cell r="E50">
            <v>0</v>
          </cell>
          <cell r="F50" t="str">
            <v>Sedang</v>
          </cell>
        </row>
        <row r="51">
          <cell r="B51">
            <v>48</v>
          </cell>
          <cell r="C51">
            <v>4</v>
          </cell>
        </row>
        <row r="51">
          <cell r="E51">
            <v>0</v>
          </cell>
          <cell r="F51" t="str">
            <v>Sedang</v>
          </cell>
        </row>
        <row r="52">
          <cell r="B52">
            <v>59</v>
          </cell>
          <cell r="C52">
            <v>4</v>
          </cell>
        </row>
        <row r="52">
          <cell r="E52">
            <v>1</v>
          </cell>
          <cell r="F52" t="str">
            <v>Sedang</v>
          </cell>
        </row>
        <row r="53">
          <cell r="B53">
            <v>35</v>
          </cell>
          <cell r="C53">
            <v>4</v>
          </cell>
        </row>
        <row r="53">
          <cell r="E53">
            <v>1</v>
          </cell>
          <cell r="F53" t="str">
            <v>Sedang</v>
          </cell>
        </row>
        <row r="54">
          <cell r="B54">
            <v>7</v>
          </cell>
          <cell r="C54">
            <v>3</v>
          </cell>
        </row>
        <row r="54">
          <cell r="E54">
            <v>0</v>
          </cell>
          <cell r="F54" t="str">
            <v>Sedang</v>
          </cell>
        </row>
        <row r="55">
          <cell r="B55">
            <v>7</v>
          </cell>
          <cell r="C55">
            <v>4</v>
          </cell>
        </row>
        <row r="55">
          <cell r="E55">
            <v>1</v>
          </cell>
          <cell r="F55" t="str">
            <v>Sedang</v>
          </cell>
        </row>
        <row r="56">
          <cell r="B56">
            <v>4</v>
          </cell>
          <cell r="C56">
            <v>3</v>
          </cell>
        </row>
        <row r="56">
          <cell r="E56">
            <v>0</v>
          </cell>
          <cell r="F56" t="str">
            <v>Sedang</v>
          </cell>
        </row>
        <row r="57">
          <cell r="B57">
            <v>2</v>
          </cell>
          <cell r="C57">
            <v>2</v>
          </cell>
        </row>
        <row r="57">
          <cell r="E57">
            <v>1</v>
          </cell>
          <cell r="F57" t="str">
            <v>Sedang</v>
          </cell>
        </row>
        <row r="58">
          <cell r="B58">
            <v>17</v>
          </cell>
          <cell r="C58">
            <v>3</v>
          </cell>
        </row>
        <row r="58">
          <cell r="E58">
            <v>0</v>
          </cell>
          <cell r="F58" t="str">
            <v>Sedang</v>
          </cell>
        </row>
        <row r="59">
          <cell r="B59">
            <v>28</v>
          </cell>
          <cell r="C59">
            <v>4</v>
          </cell>
        </row>
        <row r="59">
          <cell r="E59">
            <v>0</v>
          </cell>
          <cell r="F59" t="str">
            <v>Sedang</v>
          </cell>
        </row>
        <row r="60">
          <cell r="B60">
            <v>68</v>
          </cell>
          <cell r="C60">
            <v>4</v>
          </cell>
        </row>
        <row r="60">
          <cell r="E60">
            <v>0</v>
          </cell>
          <cell r="F60" t="str">
            <v>Sedang</v>
          </cell>
        </row>
        <row r="61">
          <cell r="B61">
            <v>29</v>
          </cell>
          <cell r="C61">
            <v>3</v>
          </cell>
        </row>
        <row r="61">
          <cell r="E61">
            <v>1</v>
          </cell>
          <cell r="F61" t="str">
            <v>Sedang</v>
          </cell>
        </row>
        <row r="62">
          <cell r="B62">
            <v>43</v>
          </cell>
          <cell r="C62">
            <v>4</v>
          </cell>
        </row>
        <row r="62">
          <cell r="E62">
            <v>1</v>
          </cell>
          <cell r="F62" t="str">
            <v>Sedang</v>
          </cell>
        </row>
        <row r="63">
          <cell r="B63">
            <v>25</v>
          </cell>
          <cell r="C63">
            <v>3</v>
          </cell>
        </row>
        <row r="63">
          <cell r="E63">
            <v>0</v>
          </cell>
          <cell r="F63" t="str">
            <v>Sedang</v>
          </cell>
        </row>
        <row r="64">
          <cell r="B64">
            <v>35</v>
          </cell>
          <cell r="C64">
            <v>1</v>
          </cell>
        </row>
        <row r="64">
          <cell r="E64">
            <v>0</v>
          </cell>
          <cell r="F64" t="str">
            <v>Sedang</v>
          </cell>
        </row>
        <row r="65">
          <cell r="B65">
            <v>49</v>
          </cell>
          <cell r="C65">
            <v>3</v>
          </cell>
        </row>
        <row r="65">
          <cell r="E65">
            <v>0</v>
          </cell>
          <cell r="F65" t="str">
            <v>Sedang</v>
          </cell>
        </row>
        <row r="66">
          <cell r="B66">
            <v>21</v>
          </cell>
          <cell r="C66">
            <v>5</v>
          </cell>
        </row>
        <row r="66">
          <cell r="E66">
            <v>1</v>
          </cell>
          <cell r="F66" t="str">
            <v>Sedang</v>
          </cell>
        </row>
        <row r="67">
          <cell r="B67">
            <v>21</v>
          </cell>
          <cell r="C67">
            <v>3</v>
          </cell>
        </row>
        <row r="67">
          <cell r="E67">
            <v>1</v>
          </cell>
          <cell r="F67" t="str">
            <v>Sedang</v>
          </cell>
        </row>
        <row r="68">
          <cell r="B68">
            <v>44</v>
          </cell>
          <cell r="C68">
            <v>5</v>
          </cell>
        </row>
        <row r="68">
          <cell r="E68">
            <v>0</v>
          </cell>
          <cell r="F68" t="str">
            <v>Sedang</v>
          </cell>
        </row>
        <row r="69">
          <cell r="B69">
            <v>24</v>
          </cell>
          <cell r="C69">
            <v>4</v>
          </cell>
        </row>
        <row r="69">
          <cell r="E69">
            <v>1</v>
          </cell>
          <cell r="F69" t="str">
            <v>Sedang</v>
          </cell>
        </row>
        <row r="70">
          <cell r="B70">
            <v>26</v>
          </cell>
          <cell r="C70">
            <v>3</v>
          </cell>
        </row>
        <row r="70">
          <cell r="E70">
            <v>1</v>
          </cell>
          <cell r="F70" t="str">
            <v>Sedang</v>
          </cell>
        </row>
        <row r="71">
          <cell r="B71">
            <v>84</v>
          </cell>
          <cell r="C71">
            <v>3</v>
          </cell>
        </row>
        <row r="71">
          <cell r="E71">
            <v>0</v>
          </cell>
          <cell r="F71" t="str">
            <v>Sedang</v>
          </cell>
        </row>
        <row r="72">
          <cell r="B72">
            <v>3</v>
          </cell>
          <cell r="C72">
            <v>5</v>
          </cell>
        </row>
        <row r="72">
          <cell r="E72">
            <v>1</v>
          </cell>
          <cell r="F72" t="str">
            <v>Sedang</v>
          </cell>
        </row>
        <row r="73">
          <cell r="B73">
            <v>15</v>
          </cell>
          <cell r="C73">
            <v>3</v>
          </cell>
        </row>
        <row r="73">
          <cell r="E73">
            <v>1</v>
          </cell>
          <cell r="F73" t="str">
            <v>Sedang</v>
          </cell>
        </row>
        <row r="74">
          <cell r="B74">
            <v>9</v>
          </cell>
          <cell r="C74">
            <v>4</v>
          </cell>
        </row>
        <row r="74">
          <cell r="E74">
            <v>0</v>
          </cell>
          <cell r="F74" t="str">
            <v>Sedang</v>
          </cell>
        </row>
        <row r="75">
          <cell r="B75">
            <v>2</v>
          </cell>
          <cell r="C75">
            <v>2</v>
          </cell>
        </row>
        <row r="75">
          <cell r="E75">
            <v>1</v>
          </cell>
          <cell r="F75" t="str">
            <v>Sedang</v>
          </cell>
        </row>
        <row r="76">
          <cell r="B76">
            <v>70</v>
          </cell>
          <cell r="C76">
            <v>2</v>
          </cell>
        </row>
        <row r="76">
          <cell r="E76">
            <v>0</v>
          </cell>
          <cell r="F76" t="str">
            <v>Sedang</v>
          </cell>
        </row>
        <row r="77">
          <cell r="B77">
            <v>16</v>
          </cell>
          <cell r="C77">
            <v>4</v>
          </cell>
        </row>
        <row r="77">
          <cell r="E77">
            <v>1</v>
          </cell>
          <cell r="F77" t="str">
            <v>Sedang</v>
          </cell>
        </row>
        <row r="78">
          <cell r="B78">
            <v>6</v>
          </cell>
          <cell r="C78">
            <v>3</v>
          </cell>
        </row>
        <row r="78">
          <cell r="E78">
            <v>0</v>
          </cell>
          <cell r="F78" t="str">
            <v>Sedang</v>
          </cell>
        </row>
        <row r="79">
          <cell r="B79">
            <v>29</v>
          </cell>
          <cell r="C79">
            <v>3</v>
          </cell>
        </row>
        <row r="79">
          <cell r="E79">
            <v>0</v>
          </cell>
          <cell r="F79" t="str">
            <v>Sedang</v>
          </cell>
        </row>
        <row r="80">
          <cell r="B80">
            <v>27</v>
          </cell>
          <cell r="C80">
            <v>3</v>
          </cell>
        </row>
        <row r="80">
          <cell r="E80">
            <v>1</v>
          </cell>
          <cell r="F80" t="str">
            <v>Sedang</v>
          </cell>
        </row>
        <row r="81">
          <cell r="B81">
            <v>23</v>
          </cell>
          <cell r="C81">
            <v>5</v>
          </cell>
        </row>
        <row r="81">
          <cell r="E81">
            <v>1</v>
          </cell>
          <cell r="F81" t="str">
            <v>Sedang</v>
          </cell>
        </row>
        <row r="82">
          <cell r="B82">
            <v>28</v>
          </cell>
          <cell r="C82">
            <v>3</v>
          </cell>
        </row>
        <row r="82">
          <cell r="E82">
            <v>1</v>
          </cell>
          <cell r="F82" t="str">
            <v>Sedang</v>
          </cell>
        </row>
        <row r="83">
          <cell r="B83">
            <v>50</v>
          </cell>
          <cell r="C83">
            <v>3</v>
          </cell>
        </row>
        <row r="83">
          <cell r="E83">
            <v>0</v>
          </cell>
          <cell r="F83" t="str">
            <v>Sedang</v>
          </cell>
        </row>
        <row r="84">
          <cell r="B84">
            <v>42</v>
          </cell>
          <cell r="C84">
            <v>4</v>
          </cell>
        </row>
        <row r="84">
          <cell r="E84">
            <v>1</v>
          </cell>
          <cell r="F84" t="str">
            <v>Sedang</v>
          </cell>
        </row>
        <row r="85">
          <cell r="B85">
            <v>27</v>
          </cell>
          <cell r="C85">
            <v>9</v>
          </cell>
        </row>
        <row r="85">
          <cell r="E85">
            <v>0</v>
          </cell>
          <cell r="F85" t="str">
            <v>Sedang</v>
          </cell>
        </row>
        <row r="86">
          <cell r="B86">
            <v>23</v>
          </cell>
          <cell r="C86">
            <v>3</v>
          </cell>
        </row>
        <row r="86">
          <cell r="E86">
            <v>0</v>
          </cell>
          <cell r="F86" t="str">
            <v>Sedang</v>
          </cell>
        </row>
        <row r="87">
          <cell r="B87">
            <v>21</v>
          </cell>
          <cell r="C87">
            <v>3</v>
          </cell>
        </row>
        <row r="87">
          <cell r="E87">
            <v>0</v>
          </cell>
          <cell r="F87" t="str">
            <v>Sedang</v>
          </cell>
        </row>
        <row r="88">
          <cell r="B88">
            <v>20</v>
          </cell>
          <cell r="C88">
            <v>4</v>
          </cell>
        </row>
        <row r="88">
          <cell r="E88">
            <v>1</v>
          </cell>
          <cell r="F88" t="str">
            <v>Sedang</v>
          </cell>
        </row>
        <row r="89">
          <cell r="B89">
            <v>32</v>
          </cell>
          <cell r="C89">
            <v>4</v>
          </cell>
        </row>
        <row r="89">
          <cell r="E89">
            <v>0</v>
          </cell>
          <cell r="F89" t="str">
            <v>Sedang</v>
          </cell>
        </row>
        <row r="90">
          <cell r="B90">
            <v>47</v>
          </cell>
          <cell r="C90">
            <v>3</v>
          </cell>
        </row>
        <row r="90">
          <cell r="E90">
            <v>0</v>
          </cell>
          <cell r="F90" t="str">
            <v>Tinggi</v>
          </cell>
        </row>
        <row r="91">
          <cell r="B91">
            <v>35</v>
          </cell>
          <cell r="C91">
            <v>1</v>
          </cell>
        </row>
        <row r="91">
          <cell r="E91">
            <v>1</v>
          </cell>
          <cell r="F91" t="str">
            <v>Tinggi</v>
          </cell>
        </row>
        <row r="92">
          <cell r="B92">
            <v>55</v>
          </cell>
          <cell r="C92">
            <v>7</v>
          </cell>
        </row>
        <row r="92">
          <cell r="E92">
            <v>0</v>
          </cell>
          <cell r="F92" t="str">
            <v>Tinggi</v>
          </cell>
        </row>
        <row r="93">
          <cell r="B93">
            <v>65</v>
          </cell>
          <cell r="C93">
            <v>4</v>
          </cell>
        </row>
        <row r="93">
          <cell r="E93">
            <v>0</v>
          </cell>
          <cell r="F93" t="str">
            <v>Tinggi</v>
          </cell>
        </row>
        <row r="94">
          <cell r="B94">
            <v>12</v>
          </cell>
          <cell r="C94">
            <v>4</v>
          </cell>
        </row>
        <row r="94">
          <cell r="E94">
            <v>0</v>
          </cell>
          <cell r="F94" t="str">
            <v>Tinggi</v>
          </cell>
        </row>
        <row r="95">
          <cell r="B95">
            <v>11</v>
          </cell>
          <cell r="C95">
            <v>3</v>
          </cell>
        </row>
        <row r="95">
          <cell r="E95">
            <v>1</v>
          </cell>
          <cell r="F95" t="str">
            <v>Tinggi</v>
          </cell>
        </row>
        <row r="96">
          <cell r="B96">
            <v>56</v>
          </cell>
          <cell r="C96">
            <v>4</v>
          </cell>
        </row>
        <row r="96">
          <cell r="E96">
            <v>0</v>
          </cell>
          <cell r="F96" t="str">
            <v>Tinggi</v>
          </cell>
        </row>
        <row r="97">
          <cell r="B97">
            <v>16</v>
          </cell>
          <cell r="C97">
            <v>2</v>
          </cell>
        </row>
        <row r="97">
          <cell r="E97">
            <v>1</v>
          </cell>
          <cell r="F97" t="str">
            <v>Tinggi</v>
          </cell>
        </row>
        <row r="98">
          <cell r="B98">
            <v>16</v>
          </cell>
          <cell r="C98">
            <v>2</v>
          </cell>
        </row>
        <row r="98">
          <cell r="E98">
            <v>1</v>
          </cell>
          <cell r="F98" t="str">
            <v>Tinggi</v>
          </cell>
        </row>
        <row r="99">
          <cell r="B99">
            <v>4</v>
          </cell>
          <cell r="C99">
            <v>2</v>
          </cell>
        </row>
        <row r="99">
          <cell r="E99">
            <v>1</v>
          </cell>
          <cell r="F99" t="str">
            <v>Tinggi</v>
          </cell>
        </row>
        <row r="100">
          <cell r="B100">
            <v>19</v>
          </cell>
          <cell r="C100">
            <v>6</v>
          </cell>
        </row>
        <row r="100">
          <cell r="E100">
            <v>0</v>
          </cell>
          <cell r="F100" t="str">
            <v>Tinggi</v>
          </cell>
        </row>
        <row r="101">
          <cell r="B101">
            <v>42</v>
          </cell>
          <cell r="C101">
            <v>5</v>
          </cell>
        </row>
        <row r="101">
          <cell r="E101">
            <v>0</v>
          </cell>
          <cell r="F101" t="str">
            <v>Tinggi</v>
          </cell>
        </row>
        <row r="102">
          <cell r="B102">
            <v>41</v>
          </cell>
          <cell r="C102">
            <v>4</v>
          </cell>
        </row>
        <row r="102">
          <cell r="E102">
            <v>0</v>
          </cell>
          <cell r="F102" t="str">
            <v>Tinggi</v>
          </cell>
        </row>
        <row r="103">
          <cell r="B103">
            <v>22</v>
          </cell>
          <cell r="C103">
            <v>5</v>
          </cell>
        </row>
        <row r="103">
          <cell r="E103">
            <v>0</v>
          </cell>
          <cell r="F103" t="str">
            <v>Tinggi</v>
          </cell>
        </row>
        <row r="104">
          <cell r="B104">
            <v>37</v>
          </cell>
          <cell r="C104">
            <v>4</v>
          </cell>
        </row>
        <row r="104">
          <cell r="E104">
            <v>1</v>
          </cell>
          <cell r="F104" t="str">
            <v>Tinggi</v>
          </cell>
        </row>
        <row r="105">
          <cell r="B105">
            <v>61</v>
          </cell>
          <cell r="C105">
            <v>3</v>
          </cell>
        </row>
        <row r="105">
          <cell r="E105">
            <v>1</v>
          </cell>
          <cell r="F105" t="str">
            <v>Tinggi</v>
          </cell>
        </row>
        <row r="106">
          <cell r="B106">
            <v>23</v>
          </cell>
          <cell r="C106">
            <v>3</v>
          </cell>
        </row>
        <row r="106">
          <cell r="E106">
            <v>1</v>
          </cell>
          <cell r="F106" t="str">
            <v>Tinggi</v>
          </cell>
        </row>
        <row r="107">
          <cell r="B107">
            <v>48</v>
          </cell>
          <cell r="C107">
            <v>5</v>
          </cell>
        </row>
        <row r="107">
          <cell r="E107">
            <v>0</v>
          </cell>
          <cell r="F107" t="str">
            <v>Tinggi</v>
          </cell>
        </row>
        <row r="108">
          <cell r="B108">
            <v>69</v>
          </cell>
          <cell r="C108">
            <v>7</v>
          </cell>
        </row>
        <row r="108">
          <cell r="E108">
            <v>1</v>
          </cell>
          <cell r="F108" t="str">
            <v>Tinggi</v>
          </cell>
        </row>
        <row r="109">
          <cell r="B109">
            <v>40</v>
          </cell>
          <cell r="C109">
            <v>3</v>
          </cell>
        </row>
        <row r="109">
          <cell r="E109">
            <v>1</v>
          </cell>
          <cell r="F109" t="str">
            <v>Tinggi</v>
          </cell>
        </row>
        <row r="110">
          <cell r="B110">
            <v>42</v>
          </cell>
          <cell r="C110">
            <v>2</v>
          </cell>
        </row>
        <row r="110">
          <cell r="E110">
            <v>1</v>
          </cell>
          <cell r="F110" t="str">
            <v>Tinggi</v>
          </cell>
        </row>
        <row r="111">
          <cell r="B111">
            <v>25</v>
          </cell>
          <cell r="C111">
            <v>4</v>
          </cell>
        </row>
        <row r="111">
          <cell r="E111">
            <v>0</v>
          </cell>
          <cell r="F111" t="str">
            <v>Tinggi</v>
          </cell>
        </row>
        <row r="112">
          <cell r="B112">
            <v>61</v>
          </cell>
          <cell r="C112">
            <v>3</v>
          </cell>
        </row>
        <row r="112">
          <cell r="E112">
            <v>1</v>
          </cell>
          <cell r="F112" t="str">
            <v>Tinggi</v>
          </cell>
        </row>
        <row r="113">
          <cell r="B113">
            <v>69</v>
          </cell>
          <cell r="C113">
            <v>1</v>
          </cell>
        </row>
        <row r="113">
          <cell r="E113">
            <v>1</v>
          </cell>
          <cell r="F113" t="str">
            <v>Tinggi</v>
          </cell>
        </row>
        <row r="114">
          <cell r="B114">
            <v>14</v>
          </cell>
          <cell r="C114">
            <v>2</v>
          </cell>
        </row>
        <row r="114">
          <cell r="E114">
            <v>1</v>
          </cell>
          <cell r="F114" t="str">
            <v>Tinggi</v>
          </cell>
        </row>
        <row r="115">
          <cell r="B115">
            <v>52</v>
          </cell>
          <cell r="C115">
            <v>3</v>
          </cell>
        </row>
        <row r="115">
          <cell r="E115">
            <v>1</v>
          </cell>
          <cell r="F115" t="str">
            <v>Tinggi</v>
          </cell>
        </row>
        <row r="116">
          <cell r="B116">
            <v>32</v>
          </cell>
          <cell r="C116">
            <v>4</v>
          </cell>
        </row>
        <row r="116">
          <cell r="E116">
            <v>1</v>
          </cell>
          <cell r="F116" t="str">
            <v>Tinggi</v>
          </cell>
        </row>
        <row r="117">
          <cell r="B117">
            <v>49</v>
          </cell>
          <cell r="C117">
            <v>4</v>
          </cell>
        </row>
        <row r="117">
          <cell r="E117">
            <v>1</v>
          </cell>
          <cell r="F117" t="str">
            <v>Tinggi</v>
          </cell>
        </row>
        <row r="118">
          <cell r="B118">
            <v>67</v>
          </cell>
          <cell r="C118">
            <v>4</v>
          </cell>
        </row>
        <row r="118">
          <cell r="E118">
            <v>1</v>
          </cell>
          <cell r="F118" t="str">
            <v>Tinggi</v>
          </cell>
        </row>
        <row r="119">
          <cell r="B119">
            <v>30</v>
          </cell>
          <cell r="C119">
            <v>7</v>
          </cell>
        </row>
        <row r="119">
          <cell r="E119">
            <v>0</v>
          </cell>
          <cell r="F119" t="str">
            <v>Tinggi</v>
          </cell>
        </row>
        <row r="120">
          <cell r="B120">
            <v>26</v>
          </cell>
          <cell r="C120">
            <v>4</v>
          </cell>
        </row>
        <row r="120">
          <cell r="E120">
            <v>1</v>
          </cell>
          <cell r="F120" t="str">
            <v>Tinggi</v>
          </cell>
        </row>
        <row r="121">
          <cell r="B121">
            <v>82</v>
          </cell>
          <cell r="C121">
            <v>5</v>
          </cell>
        </row>
        <row r="121">
          <cell r="E121">
            <v>1</v>
          </cell>
          <cell r="F121" t="str">
            <v>Tinggi</v>
          </cell>
        </row>
        <row r="122">
          <cell r="B122">
            <v>28</v>
          </cell>
          <cell r="C122">
            <v>3</v>
          </cell>
        </row>
        <row r="122">
          <cell r="E122">
            <v>1</v>
          </cell>
          <cell r="F122" t="str">
            <v>Tinggi</v>
          </cell>
        </row>
        <row r="123">
          <cell r="B123">
            <v>22</v>
          </cell>
          <cell r="C123">
            <v>4</v>
          </cell>
        </row>
        <row r="123">
          <cell r="E123">
            <v>0</v>
          </cell>
          <cell r="F123" t="str">
            <v>Tinggi</v>
          </cell>
        </row>
        <row r="124">
          <cell r="B124">
            <v>24</v>
          </cell>
          <cell r="C124">
            <v>3</v>
          </cell>
        </row>
        <row r="124">
          <cell r="E124">
            <v>1</v>
          </cell>
          <cell r="F124" t="str">
            <v>Tinggi</v>
          </cell>
        </row>
        <row r="125">
          <cell r="B125">
            <v>39</v>
          </cell>
          <cell r="C125">
            <v>4</v>
          </cell>
        </row>
        <row r="125">
          <cell r="E125">
            <v>0</v>
          </cell>
          <cell r="F125" t="str">
            <v>Tinggi</v>
          </cell>
        </row>
        <row r="126">
          <cell r="B126">
            <v>51</v>
          </cell>
          <cell r="C126">
            <v>3</v>
          </cell>
        </row>
        <row r="126">
          <cell r="E126">
            <v>1</v>
          </cell>
          <cell r="F126" t="str">
            <v>Tinggi</v>
          </cell>
        </row>
        <row r="127">
          <cell r="B127">
            <v>21</v>
          </cell>
          <cell r="C127">
            <v>2</v>
          </cell>
        </row>
        <row r="127">
          <cell r="E127">
            <v>0</v>
          </cell>
          <cell r="F127" t="str">
            <v>Tinggi</v>
          </cell>
        </row>
        <row r="128">
          <cell r="B128">
            <v>38</v>
          </cell>
          <cell r="C128">
            <v>2</v>
          </cell>
        </row>
        <row r="128">
          <cell r="E128">
            <v>0</v>
          </cell>
          <cell r="F128" t="str">
            <v>Tinggi</v>
          </cell>
        </row>
        <row r="129">
          <cell r="B129">
            <v>4</v>
          </cell>
          <cell r="C129">
            <v>3</v>
          </cell>
        </row>
        <row r="129">
          <cell r="E129">
            <v>0</v>
          </cell>
          <cell r="F129" t="str">
            <v>Tinggi</v>
          </cell>
        </row>
        <row r="130">
          <cell r="B130">
            <v>12</v>
          </cell>
          <cell r="C130">
            <v>4</v>
          </cell>
        </row>
        <row r="130">
          <cell r="E130">
            <v>0</v>
          </cell>
          <cell r="F130" t="str">
            <v>Tinggi</v>
          </cell>
        </row>
        <row r="131">
          <cell r="B131">
            <v>10</v>
          </cell>
          <cell r="C131">
            <v>2</v>
          </cell>
        </row>
        <row r="131">
          <cell r="E131">
            <v>0</v>
          </cell>
          <cell r="F131" t="str">
            <v>Tinggi</v>
          </cell>
        </row>
        <row r="132">
          <cell r="B132">
            <v>10</v>
          </cell>
          <cell r="C132">
            <v>3</v>
          </cell>
        </row>
        <row r="132">
          <cell r="E132">
            <v>1</v>
          </cell>
          <cell r="F132" t="str">
            <v>Tinggi</v>
          </cell>
        </row>
        <row r="133">
          <cell r="B133">
            <v>6</v>
          </cell>
          <cell r="C133">
            <v>4</v>
          </cell>
        </row>
        <row r="133">
          <cell r="E133">
            <v>0</v>
          </cell>
          <cell r="F133" t="str">
            <v>Tinggi</v>
          </cell>
        </row>
        <row r="134">
          <cell r="B134">
            <v>4</v>
          </cell>
          <cell r="C134">
            <v>2</v>
          </cell>
        </row>
        <row r="134">
          <cell r="E134">
            <v>1</v>
          </cell>
          <cell r="F134" t="str">
            <v>Tinggi</v>
          </cell>
        </row>
        <row r="135">
          <cell r="B135">
            <v>10</v>
          </cell>
          <cell r="C135">
            <v>2</v>
          </cell>
        </row>
        <row r="135">
          <cell r="E135">
            <v>0</v>
          </cell>
          <cell r="F135" t="str">
            <v>Tinggi</v>
          </cell>
        </row>
        <row r="136">
          <cell r="B136">
            <v>6</v>
          </cell>
          <cell r="C136">
            <v>2</v>
          </cell>
        </row>
        <row r="136">
          <cell r="E136">
            <v>0</v>
          </cell>
          <cell r="F136" t="str">
            <v>Tinggi</v>
          </cell>
        </row>
        <row r="137">
          <cell r="B137">
            <v>3</v>
          </cell>
          <cell r="C137">
            <v>1</v>
          </cell>
        </row>
        <row r="137">
          <cell r="E137">
            <v>1</v>
          </cell>
          <cell r="F137" t="str">
            <v>Tinggi</v>
          </cell>
        </row>
        <row r="138">
          <cell r="B138">
            <v>13</v>
          </cell>
          <cell r="C138">
            <v>3</v>
          </cell>
        </row>
        <row r="138">
          <cell r="E138">
            <v>1</v>
          </cell>
          <cell r="F138" t="str">
            <v>Tinggi</v>
          </cell>
        </row>
        <row r="139">
          <cell r="B139">
            <v>52</v>
          </cell>
          <cell r="C139">
            <v>7</v>
          </cell>
        </row>
        <row r="139">
          <cell r="E139">
            <v>0</v>
          </cell>
          <cell r="F139" t="str">
            <v>Tinggi</v>
          </cell>
        </row>
        <row r="140">
          <cell r="B140">
            <v>74</v>
          </cell>
          <cell r="C140">
            <v>5</v>
          </cell>
        </row>
        <row r="140">
          <cell r="E140">
            <v>1</v>
          </cell>
          <cell r="F140" t="str">
            <v>Tinggi</v>
          </cell>
        </row>
        <row r="141">
          <cell r="B141">
            <v>36</v>
          </cell>
          <cell r="C141">
            <v>2</v>
          </cell>
        </row>
        <row r="141">
          <cell r="E141">
            <v>0</v>
          </cell>
          <cell r="F141" t="str">
            <v>Tinggi</v>
          </cell>
        </row>
        <row r="142">
          <cell r="B142">
            <v>39</v>
          </cell>
          <cell r="C142">
            <v>2</v>
          </cell>
        </row>
        <row r="142">
          <cell r="E142">
            <v>1</v>
          </cell>
          <cell r="F142" t="str">
            <v>Tinggi</v>
          </cell>
        </row>
        <row r="143">
          <cell r="B143">
            <v>20</v>
          </cell>
          <cell r="C143">
            <v>4</v>
          </cell>
        </row>
        <row r="143">
          <cell r="E143">
            <v>1</v>
          </cell>
          <cell r="F143" t="str">
            <v>Tinggi</v>
          </cell>
        </row>
        <row r="144">
          <cell r="B144">
            <v>61</v>
          </cell>
          <cell r="C144">
            <v>4</v>
          </cell>
        </row>
        <row r="144">
          <cell r="E144">
            <v>1</v>
          </cell>
          <cell r="F144" t="str">
            <v>Tinggi</v>
          </cell>
        </row>
        <row r="145">
          <cell r="B145">
            <v>28</v>
          </cell>
          <cell r="C145">
            <v>4</v>
          </cell>
        </row>
        <row r="145">
          <cell r="E145">
            <v>1</v>
          </cell>
          <cell r="F145" t="str">
            <v>Tinggi</v>
          </cell>
        </row>
        <row r="146">
          <cell r="B146">
            <v>34</v>
          </cell>
          <cell r="C146">
            <v>2</v>
          </cell>
        </row>
        <row r="146">
          <cell r="E146">
            <v>1</v>
          </cell>
          <cell r="F146" t="str">
            <v>Tinggi</v>
          </cell>
        </row>
        <row r="147">
          <cell r="B147">
            <v>66</v>
          </cell>
          <cell r="C147">
            <v>10</v>
          </cell>
        </row>
        <row r="147">
          <cell r="E147">
            <v>1</v>
          </cell>
          <cell r="F147" t="str">
            <v>Tinggi</v>
          </cell>
        </row>
        <row r="148">
          <cell r="B148">
            <v>55</v>
          </cell>
          <cell r="C148">
            <v>3</v>
          </cell>
        </row>
        <row r="148">
          <cell r="E148">
            <v>1</v>
          </cell>
          <cell r="F148" t="str">
            <v>Tinggi</v>
          </cell>
        </row>
        <row r="149">
          <cell r="B149">
            <v>19</v>
          </cell>
          <cell r="C149">
            <v>5</v>
          </cell>
        </row>
        <row r="149">
          <cell r="E149">
            <v>0</v>
          </cell>
          <cell r="F149" t="str">
            <v>Tinggi</v>
          </cell>
        </row>
        <row r="150">
          <cell r="B150">
            <v>61</v>
          </cell>
          <cell r="C150">
            <v>5</v>
          </cell>
        </row>
        <row r="150">
          <cell r="E150">
            <v>1</v>
          </cell>
          <cell r="F150" t="str">
            <v>Tinggi</v>
          </cell>
        </row>
        <row r="151">
          <cell r="B151">
            <v>24</v>
          </cell>
          <cell r="C151">
            <v>3</v>
          </cell>
        </row>
        <row r="151">
          <cell r="E151">
            <v>0</v>
          </cell>
          <cell r="F151" t="str">
            <v>Tinggi</v>
          </cell>
        </row>
        <row r="152">
          <cell r="B152">
            <v>47</v>
          </cell>
          <cell r="C152">
            <v>3</v>
          </cell>
        </row>
        <row r="152">
          <cell r="E152">
            <v>1</v>
          </cell>
          <cell r="F152" t="str">
            <v>Tinggi</v>
          </cell>
        </row>
        <row r="153">
          <cell r="B153">
            <v>73</v>
          </cell>
          <cell r="C153">
            <v>7</v>
          </cell>
        </row>
        <row r="153">
          <cell r="E153">
            <v>1</v>
          </cell>
          <cell r="F153" t="str">
            <v>Tinggi</v>
          </cell>
        </row>
        <row r="154">
          <cell r="B154">
            <v>18</v>
          </cell>
          <cell r="C154">
            <v>5</v>
          </cell>
        </row>
        <row r="154">
          <cell r="E154">
            <v>1</v>
          </cell>
          <cell r="F154" t="str">
            <v>Tinggi</v>
          </cell>
        </row>
        <row r="155">
          <cell r="B155">
            <v>19</v>
          </cell>
          <cell r="C155">
            <v>5</v>
          </cell>
        </row>
        <row r="155">
          <cell r="E155">
            <v>1</v>
          </cell>
          <cell r="F155" t="str">
            <v>Tinggi</v>
          </cell>
        </row>
        <row r="156">
          <cell r="B156">
            <v>5</v>
          </cell>
          <cell r="C156">
            <v>2</v>
          </cell>
        </row>
        <row r="156">
          <cell r="E156">
            <v>0</v>
          </cell>
          <cell r="F156" t="str">
            <v>Tinggi</v>
          </cell>
        </row>
        <row r="157">
          <cell r="B157">
            <v>15</v>
          </cell>
          <cell r="C157">
            <v>4</v>
          </cell>
        </row>
        <row r="157">
          <cell r="E157">
            <v>1</v>
          </cell>
          <cell r="F157" t="str">
            <v>Tinggi</v>
          </cell>
        </row>
        <row r="158">
          <cell r="B158">
            <v>5</v>
          </cell>
          <cell r="C158">
            <v>2</v>
          </cell>
        </row>
        <row r="158">
          <cell r="E158">
            <v>0</v>
          </cell>
          <cell r="F158" t="str">
            <v>Tinggi</v>
          </cell>
        </row>
        <row r="159">
          <cell r="B159">
            <v>17</v>
          </cell>
          <cell r="C159">
            <v>2</v>
          </cell>
        </row>
        <row r="159">
          <cell r="E159">
            <v>0</v>
          </cell>
          <cell r="F159" t="str">
            <v>Tinggi</v>
          </cell>
        </row>
        <row r="160">
          <cell r="B160">
            <v>16</v>
          </cell>
          <cell r="C160">
            <v>3</v>
          </cell>
        </row>
        <row r="160">
          <cell r="E160">
            <v>0</v>
          </cell>
          <cell r="F160" t="str">
            <v>Tinggi</v>
          </cell>
        </row>
        <row r="161">
          <cell r="B161">
            <v>12</v>
          </cell>
          <cell r="C161">
            <v>3</v>
          </cell>
        </row>
        <row r="161">
          <cell r="E161">
            <v>1</v>
          </cell>
          <cell r="F161" t="str">
            <v>Tinggi</v>
          </cell>
        </row>
        <row r="162">
          <cell r="B162">
            <v>22</v>
          </cell>
          <cell r="C162">
            <v>3</v>
          </cell>
        </row>
        <row r="162">
          <cell r="E162">
            <v>1</v>
          </cell>
          <cell r="F162" t="str">
            <v>Rendah</v>
          </cell>
        </row>
        <row r="163">
          <cell r="B163">
            <v>34</v>
          </cell>
          <cell r="C163">
            <v>4</v>
          </cell>
        </row>
        <row r="163">
          <cell r="E163">
            <v>1</v>
          </cell>
          <cell r="F163" t="str">
            <v>Rendah</v>
          </cell>
        </row>
        <row r="164">
          <cell r="B164">
            <v>10</v>
          </cell>
          <cell r="C164">
            <v>6</v>
          </cell>
        </row>
        <row r="164">
          <cell r="E164">
            <v>0</v>
          </cell>
          <cell r="F164" t="str">
            <v>Rendah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4"/>
  <sheetViews>
    <sheetView zoomScale="60" zoomScaleNormal="60" workbookViewId="0">
      <selection activeCell="B1" sqref="B1"/>
    </sheetView>
  </sheetViews>
  <sheetFormatPr defaultColWidth="9" defaultRowHeight="15" outlineLevelCol="5"/>
  <cols>
    <col min="1" max="1" width="20.7111111111111" customWidth="1"/>
    <col min="3" max="3" width="15.8518518518519" customWidth="1"/>
    <col min="4" max="4" width="21.5703703703704" customWidth="1"/>
    <col min="5" max="5" width="13.2814814814815" customWidth="1"/>
    <col min="6" max="6" width="16" customWidth="1"/>
  </cols>
  <sheetData>
    <row r="1" ht="16.5" spans="1:6">
      <c r="A1" s="72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69" t="s">
        <v>5</v>
      </c>
    </row>
    <row r="2" ht="16.5" spans="1:6">
      <c r="A2" s="73" t="s">
        <v>6</v>
      </c>
      <c r="B2" s="73">
        <v>34</v>
      </c>
      <c r="C2" s="73" t="s">
        <v>7</v>
      </c>
      <c r="D2" s="73">
        <v>12</v>
      </c>
      <c r="E2" s="73">
        <v>0</v>
      </c>
      <c r="F2" s="71" t="s">
        <v>8</v>
      </c>
    </row>
    <row r="3" ht="16.5" spans="1:6">
      <c r="A3" s="73" t="s">
        <v>9</v>
      </c>
      <c r="B3" s="73">
        <v>43</v>
      </c>
      <c r="C3" s="73" t="s">
        <v>7</v>
      </c>
      <c r="D3" s="73">
        <v>12</v>
      </c>
      <c r="E3" s="73">
        <v>1</v>
      </c>
      <c r="F3" s="71" t="s">
        <v>8</v>
      </c>
    </row>
    <row r="4" ht="16.5" spans="1:6">
      <c r="A4" s="73" t="s">
        <v>10</v>
      </c>
      <c r="B4" s="73">
        <v>23</v>
      </c>
      <c r="C4" s="73" t="s">
        <v>11</v>
      </c>
      <c r="D4" s="73">
        <v>12</v>
      </c>
      <c r="E4" s="73">
        <v>0</v>
      </c>
      <c r="F4" s="71" t="s">
        <v>8</v>
      </c>
    </row>
    <row r="5" ht="16.5" spans="1:6">
      <c r="A5" s="73" t="s">
        <v>12</v>
      </c>
      <c r="B5" s="73">
        <v>18</v>
      </c>
      <c r="C5" s="73" t="s">
        <v>13</v>
      </c>
      <c r="D5" s="73">
        <v>12</v>
      </c>
      <c r="E5" s="73">
        <v>1</v>
      </c>
      <c r="F5" s="71" t="s">
        <v>8</v>
      </c>
    </row>
    <row r="6" ht="16.5" spans="1:6">
      <c r="A6" s="73" t="s">
        <v>14</v>
      </c>
      <c r="B6" s="73">
        <v>14</v>
      </c>
      <c r="C6" s="73" t="s">
        <v>15</v>
      </c>
      <c r="D6" s="73">
        <v>12</v>
      </c>
      <c r="E6" s="73">
        <v>0</v>
      </c>
      <c r="F6" s="71" t="s">
        <v>8</v>
      </c>
    </row>
    <row r="7" ht="16.5" spans="1:6">
      <c r="A7" s="73" t="s">
        <v>16</v>
      </c>
      <c r="B7" s="73">
        <v>12</v>
      </c>
      <c r="C7" s="73" t="s">
        <v>17</v>
      </c>
      <c r="D7" s="73">
        <v>12</v>
      </c>
      <c r="E7" s="73">
        <v>1</v>
      </c>
      <c r="F7" s="71" t="s">
        <v>8</v>
      </c>
    </row>
    <row r="8" ht="16.5" spans="1:6">
      <c r="A8" s="73" t="s">
        <v>18</v>
      </c>
      <c r="B8" s="73">
        <v>4</v>
      </c>
      <c r="C8" s="73" t="s">
        <v>13</v>
      </c>
      <c r="D8" s="73">
        <v>12</v>
      </c>
      <c r="E8" s="73">
        <v>0</v>
      </c>
      <c r="F8" s="71" t="s">
        <v>8</v>
      </c>
    </row>
    <row r="9" ht="16.5" spans="1:6">
      <c r="A9" s="73" t="s">
        <v>19</v>
      </c>
      <c r="B9" s="73">
        <v>16</v>
      </c>
      <c r="C9" s="73" t="s">
        <v>20</v>
      </c>
      <c r="D9" s="73">
        <v>12</v>
      </c>
      <c r="E9" s="73">
        <v>1</v>
      </c>
      <c r="F9" s="71" t="s">
        <v>8</v>
      </c>
    </row>
    <row r="10" ht="16.5" spans="1:6">
      <c r="A10" s="73" t="s">
        <v>21</v>
      </c>
      <c r="B10" s="73">
        <v>18</v>
      </c>
      <c r="C10" s="73" t="s">
        <v>11</v>
      </c>
      <c r="D10" s="73">
        <v>12</v>
      </c>
      <c r="E10" s="73">
        <v>0</v>
      </c>
      <c r="F10" s="71" t="s">
        <v>8</v>
      </c>
    </row>
    <row r="11" ht="16.5" spans="1:6">
      <c r="A11" s="73" t="s">
        <v>22</v>
      </c>
      <c r="B11" s="73">
        <v>24</v>
      </c>
      <c r="C11" s="73" t="s">
        <v>11</v>
      </c>
      <c r="D11" s="73">
        <v>12</v>
      </c>
      <c r="E11" s="73">
        <v>1</v>
      </c>
      <c r="F11" s="71" t="s">
        <v>8</v>
      </c>
    </row>
    <row r="12" ht="16.5" spans="1:6">
      <c r="A12" s="73" t="s">
        <v>23</v>
      </c>
      <c r="B12" s="73">
        <v>23</v>
      </c>
      <c r="C12" s="73" t="s">
        <v>7</v>
      </c>
      <c r="D12" s="73">
        <v>12</v>
      </c>
      <c r="E12" s="73">
        <v>0</v>
      </c>
      <c r="F12" s="71" t="s">
        <v>8</v>
      </c>
    </row>
    <row r="13" ht="16.5" spans="1:6">
      <c r="A13" s="73" t="s">
        <v>24</v>
      </c>
      <c r="B13" s="73">
        <v>47</v>
      </c>
      <c r="C13" s="73" t="s">
        <v>13</v>
      </c>
      <c r="D13" s="73">
        <v>12</v>
      </c>
      <c r="E13" s="73">
        <v>0</v>
      </c>
      <c r="F13" s="71" t="s">
        <v>8</v>
      </c>
    </row>
    <row r="14" ht="16.5" spans="1:6">
      <c r="A14" s="73" t="s">
        <v>25</v>
      </c>
      <c r="B14" s="73">
        <v>49</v>
      </c>
      <c r="C14" s="73" t="s">
        <v>15</v>
      </c>
      <c r="D14" s="73">
        <v>7</v>
      </c>
      <c r="E14" s="73">
        <v>1</v>
      </c>
      <c r="F14" s="71" t="s">
        <v>26</v>
      </c>
    </row>
    <row r="15" ht="16.5" spans="1:6">
      <c r="A15" s="73" t="s">
        <v>27</v>
      </c>
      <c r="B15" s="73">
        <v>21</v>
      </c>
      <c r="C15" s="73" t="s">
        <v>13</v>
      </c>
      <c r="D15" s="73">
        <v>7</v>
      </c>
      <c r="E15" s="73">
        <v>0</v>
      </c>
      <c r="F15" s="71" t="s">
        <v>26</v>
      </c>
    </row>
    <row r="16" ht="16.5" spans="1:6">
      <c r="A16" s="73" t="s">
        <v>28</v>
      </c>
      <c r="B16" s="73">
        <v>66</v>
      </c>
      <c r="C16" s="73" t="s">
        <v>11</v>
      </c>
      <c r="D16" s="73">
        <v>7</v>
      </c>
      <c r="E16" s="73">
        <v>1</v>
      </c>
      <c r="F16" s="71" t="s">
        <v>26</v>
      </c>
    </row>
    <row r="17" ht="16.5" spans="1:6">
      <c r="A17" s="73" t="s">
        <v>29</v>
      </c>
      <c r="B17" s="73">
        <v>2</v>
      </c>
      <c r="C17" s="73" t="s">
        <v>7</v>
      </c>
      <c r="D17" s="73">
        <v>7</v>
      </c>
      <c r="E17" s="73">
        <v>0</v>
      </c>
      <c r="F17" s="71" t="s">
        <v>26</v>
      </c>
    </row>
    <row r="18" ht="16.5" spans="1:6">
      <c r="A18" s="73" t="s">
        <v>30</v>
      </c>
      <c r="B18" s="73">
        <v>49</v>
      </c>
      <c r="C18" s="73" t="s">
        <v>15</v>
      </c>
      <c r="D18" s="73">
        <v>7</v>
      </c>
      <c r="E18" s="73">
        <v>1</v>
      </c>
      <c r="F18" s="71" t="s">
        <v>26</v>
      </c>
    </row>
    <row r="19" ht="16.5" spans="1:6">
      <c r="A19" s="73" t="s">
        <v>31</v>
      </c>
      <c r="B19" s="73">
        <v>8</v>
      </c>
      <c r="C19" s="73" t="s">
        <v>15</v>
      </c>
      <c r="D19" s="73">
        <v>7</v>
      </c>
      <c r="E19" s="73">
        <v>0</v>
      </c>
      <c r="F19" s="71" t="s">
        <v>26</v>
      </c>
    </row>
    <row r="20" ht="16.5" spans="1:6">
      <c r="A20" s="73" t="s">
        <v>32</v>
      </c>
      <c r="B20" s="73">
        <v>15</v>
      </c>
      <c r="C20" s="73" t="s">
        <v>11</v>
      </c>
      <c r="D20" s="73">
        <v>7</v>
      </c>
      <c r="E20" s="73">
        <v>0</v>
      </c>
      <c r="F20" s="71" t="s">
        <v>26</v>
      </c>
    </row>
    <row r="21" ht="16.5" spans="1:6">
      <c r="A21" s="73" t="s">
        <v>33</v>
      </c>
      <c r="B21" s="73">
        <v>10</v>
      </c>
      <c r="C21" s="73" t="s">
        <v>11</v>
      </c>
      <c r="D21" s="73">
        <v>14</v>
      </c>
      <c r="E21" s="73">
        <v>1</v>
      </c>
      <c r="F21" s="71" t="s">
        <v>8</v>
      </c>
    </row>
    <row r="22" ht="16.5" spans="1:6">
      <c r="A22" s="73" t="s">
        <v>34</v>
      </c>
      <c r="B22" s="73">
        <v>6</v>
      </c>
      <c r="C22" s="73" t="s">
        <v>7</v>
      </c>
      <c r="D22" s="73">
        <v>14</v>
      </c>
      <c r="E22" s="73">
        <v>0</v>
      </c>
      <c r="F22" s="71" t="s">
        <v>8</v>
      </c>
    </row>
    <row r="23" ht="16.5" spans="1:6">
      <c r="A23" s="73" t="s">
        <v>35</v>
      </c>
      <c r="B23" s="73">
        <v>28</v>
      </c>
      <c r="C23" s="73" t="s">
        <v>15</v>
      </c>
      <c r="D23" s="73">
        <v>14</v>
      </c>
      <c r="E23" s="73">
        <v>1</v>
      </c>
      <c r="F23" s="71" t="s">
        <v>8</v>
      </c>
    </row>
    <row r="24" ht="16.5" spans="1:6">
      <c r="A24" s="73" t="s">
        <v>36</v>
      </c>
      <c r="B24" s="73">
        <v>60</v>
      </c>
      <c r="C24" s="73" t="s">
        <v>15</v>
      </c>
      <c r="D24" s="73">
        <v>14</v>
      </c>
      <c r="E24" s="73">
        <v>0</v>
      </c>
      <c r="F24" s="71" t="s">
        <v>8</v>
      </c>
    </row>
    <row r="25" ht="16.5" spans="1:6">
      <c r="A25" s="73" t="s">
        <v>37</v>
      </c>
      <c r="B25" s="73">
        <v>81</v>
      </c>
      <c r="C25" s="73" t="s">
        <v>11</v>
      </c>
      <c r="D25" s="73">
        <v>14</v>
      </c>
      <c r="E25" s="73">
        <v>0</v>
      </c>
      <c r="F25" s="71" t="s">
        <v>8</v>
      </c>
    </row>
    <row r="26" ht="16.5" spans="1:6">
      <c r="A26" s="73" t="s">
        <v>38</v>
      </c>
      <c r="B26" s="73">
        <v>75</v>
      </c>
      <c r="C26" s="73" t="s">
        <v>15</v>
      </c>
      <c r="D26" s="73">
        <v>14</v>
      </c>
      <c r="E26" s="73">
        <v>1</v>
      </c>
      <c r="F26" s="71" t="s">
        <v>8</v>
      </c>
    </row>
    <row r="27" ht="16.5" spans="1:6">
      <c r="A27" s="73" t="s">
        <v>39</v>
      </c>
      <c r="B27" s="73">
        <v>37</v>
      </c>
      <c r="C27" s="73" t="s">
        <v>15</v>
      </c>
      <c r="D27" s="73">
        <v>14</v>
      </c>
      <c r="E27" s="73">
        <v>1</v>
      </c>
      <c r="F27" s="71" t="s">
        <v>8</v>
      </c>
    </row>
    <row r="28" ht="16.5" spans="1:6">
      <c r="A28" s="73" t="s">
        <v>40</v>
      </c>
      <c r="B28" s="73">
        <v>22</v>
      </c>
      <c r="C28" s="73" t="s">
        <v>13</v>
      </c>
      <c r="D28" s="73">
        <v>14</v>
      </c>
      <c r="E28" s="73">
        <v>1</v>
      </c>
      <c r="F28" s="71" t="s">
        <v>8</v>
      </c>
    </row>
    <row r="29" ht="16.5" spans="1:6">
      <c r="A29" s="73" t="s">
        <v>41</v>
      </c>
      <c r="B29" s="73">
        <v>19</v>
      </c>
      <c r="C29" s="73" t="s">
        <v>13</v>
      </c>
      <c r="D29" s="73">
        <v>14</v>
      </c>
      <c r="E29" s="73">
        <v>1</v>
      </c>
      <c r="F29" s="71" t="s">
        <v>8</v>
      </c>
    </row>
    <row r="30" ht="16.5" spans="1:6">
      <c r="A30" s="73" t="s">
        <v>42</v>
      </c>
      <c r="B30" s="73" t="s">
        <v>43</v>
      </c>
      <c r="C30" s="73" t="s">
        <v>13</v>
      </c>
      <c r="D30" s="73">
        <v>14</v>
      </c>
      <c r="E30" s="73">
        <v>1</v>
      </c>
      <c r="F30" s="71" t="s">
        <v>8</v>
      </c>
    </row>
    <row r="31" ht="16.5" spans="1:6">
      <c r="A31" s="73" t="s">
        <v>44</v>
      </c>
      <c r="B31" s="73">
        <v>64</v>
      </c>
      <c r="C31" s="73" t="s">
        <v>15</v>
      </c>
      <c r="D31" s="73">
        <v>14</v>
      </c>
      <c r="E31" s="73">
        <v>1</v>
      </c>
      <c r="F31" s="71" t="s">
        <v>8</v>
      </c>
    </row>
    <row r="32" ht="16.5" spans="1:6">
      <c r="A32" s="73" t="s">
        <v>45</v>
      </c>
      <c r="B32" s="73">
        <v>54</v>
      </c>
      <c r="C32" s="73" t="s">
        <v>15</v>
      </c>
      <c r="D32" s="73">
        <v>14</v>
      </c>
      <c r="E32" s="73">
        <v>0</v>
      </c>
      <c r="F32" s="71" t="s">
        <v>8</v>
      </c>
    </row>
    <row r="33" ht="16.5" spans="1:6">
      <c r="A33" s="73" t="s">
        <v>46</v>
      </c>
      <c r="B33" s="73">
        <v>19</v>
      </c>
      <c r="C33" s="73" t="s">
        <v>15</v>
      </c>
      <c r="D33" s="73">
        <v>14</v>
      </c>
      <c r="E33" s="73">
        <v>1</v>
      </c>
      <c r="F33" s="71" t="s">
        <v>8</v>
      </c>
    </row>
    <row r="34" ht="16.5" spans="1:6">
      <c r="A34" s="73" t="s">
        <v>47</v>
      </c>
      <c r="B34" s="73">
        <v>55</v>
      </c>
      <c r="C34" s="73" t="s">
        <v>7</v>
      </c>
      <c r="D34" s="73">
        <v>14</v>
      </c>
      <c r="E34" s="73">
        <v>0</v>
      </c>
      <c r="F34" s="71" t="s">
        <v>8</v>
      </c>
    </row>
    <row r="35" ht="16.5" spans="1:6">
      <c r="A35" s="73" t="s">
        <v>48</v>
      </c>
      <c r="B35" s="73">
        <v>40</v>
      </c>
      <c r="C35" s="73" t="s">
        <v>7</v>
      </c>
      <c r="D35" s="73">
        <v>4</v>
      </c>
      <c r="E35" s="73">
        <v>1</v>
      </c>
      <c r="F35" s="71" t="s">
        <v>26</v>
      </c>
    </row>
    <row r="36" ht="16.5" spans="1:6">
      <c r="A36" s="73" t="s">
        <v>49</v>
      </c>
      <c r="B36" s="73">
        <v>27</v>
      </c>
      <c r="C36" s="73" t="s">
        <v>17</v>
      </c>
      <c r="D36" s="73">
        <v>4</v>
      </c>
      <c r="E36" s="73">
        <v>1</v>
      </c>
      <c r="F36" s="71" t="s">
        <v>26</v>
      </c>
    </row>
    <row r="37" ht="16.5" spans="1:6">
      <c r="A37" s="73" t="s">
        <v>50</v>
      </c>
      <c r="B37" s="73">
        <v>28</v>
      </c>
      <c r="C37" s="73" t="s">
        <v>15</v>
      </c>
      <c r="D37" s="73">
        <v>4</v>
      </c>
      <c r="E37" s="73">
        <v>1</v>
      </c>
      <c r="F37" s="71" t="s">
        <v>26</v>
      </c>
    </row>
    <row r="38" ht="16.5" spans="1:6">
      <c r="A38" s="73" t="s">
        <v>51</v>
      </c>
      <c r="B38" s="73">
        <v>52</v>
      </c>
      <c r="C38" s="73" t="s">
        <v>7</v>
      </c>
      <c r="D38" s="73">
        <v>4</v>
      </c>
      <c r="E38" s="73">
        <v>1</v>
      </c>
      <c r="F38" s="71" t="s">
        <v>26</v>
      </c>
    </row>
    <row r="39" ht="16.5" spans="1:6">
      <c r="A39" s="73" t="s">
        <v>52</v>
      </c>
      <c r="B39" s="73">
        <v>12</v>
      </c>
      <c r="C39" s="73" t="s">
        <v>11</v>
      </c>
      <c r="D39" s="73">
        <v>13</v>
      </c>
      <c r="E39" s="73">
        <v>1</v>
      </c>
      <c r="F39" s="71" t="s">
        <v>8</v>
      </c>
    </row>
    <row r="40" ht="16.5" spans="1:6">
      <c r="A40" s="73" t="s">
        <v>53</v>
      </c>
      <c r="B40" s="73">
        <v>65</v>
      </c>
      <c r="C40" s="73" t="s">
        <v>7</v>
      </c>
      <c r="D40" s="73">
        <v>13</v>
      </c>
      <c r="E40" s="73">
        <v>1</v>
      </c>
      <c r="F40" s="71" t="s">
        <v>8</v>
      </c>
    </row>
    <row r="41" ht="16.5" spans="1:6">
      <c r="A41" s="73" t="s">
        <v>54</v>
      </c>
      <c r="B41" s="73">
        <v>8</v>
      </c>
      <c r="C41" s="73" t="s">
        <v>15</v>
      </c>
      <c r="D41" s="73">
        <v>13</v>
      </c>
      <c r="E41" s="73">
        <v>0</v>
      </c>
      <c r="F41" s="71" t="s">
        <v>8</v>
      </c>
    </row>
    <row r="42" ht="16.5" spans="1:6">
      <c r="A42" s="73" t="s">
        <v>55</v>
      </c>
      <c r="B42" s="73">
        <v>21</v>
      </c>
      <c r="C42" s="73" t="s">
        <v>11</v>
      </c>
      <c r="D42" s="73">
        <v>13</v>
      </c>
      <c r="E42" s="73">
        <v>1</v>
      </c>
      <c r="F42" s="71" t="s">
        <v>8</v>
      </c>
    </row>
    <row r="43" ht="16.5" spans="1:6">
      <c r="A43" s="73" t="s">
        <v>56</v>
      </c>
      <c r="B43" s="73">
        <v>15</v>
      </c>
      <c r="C43" s="73" t="s">
        <v>15</v>
      </c>
      <c r="D43" s="73">
        <v>13</v>
      </c>
      <c r="E43" s="73">
        <v>0</v>
      </c>
      <c r="F43" s="71" t="s">
        <v>8</v>
      </c>
    </row>
    <row r="44" ht="16.5" spans="1:6">
      <c r="A44" s="73" t="s">
        <v>57</v>
      </c>
      <c r="B44" s="73">
        <v>28</v>
      </c>
      <c r="C44" s="73" t="s">
        <v>11</v>
      </c>
      <c r="D44" s="73">
        <v>13</v>
      </c>
      <c r="E44" s="73">
        <v>1</v>
      </c>
      <c r="F44" s="71" t="s">
        <v>8</v>
      </c>
    </row>
    <row r="45" ht="16.5" spans="1:6">
      <c r="A45" s="73" t="s">
        <v>58</v>
      </c>
      <c r="B45" s="73">
        <v>75</v>
      </c>
      <c r="C45" s="73" t="s">
        <v>7</v>
      </c>
      <c r="D45" s="73">
        <v>13</v>
      </c>
      <c r="E45" s="73">
        <v>1</v>
      </c>
      <c r="F45" s="71" t="s">
        <v>8</v>
      </c>
    </row>
    <row r="46" ht="16.5" spans="1:6">
      <c r="A46" s="73" t="s">
        <v>59</v>
      </c>
      <c r="B46" s="73">
        <v>62</v>
      </c>
      <c r="C46" s="73" t="s">
        <v>13</v>
      </c>
      <c r="D46" s="73">
        <v>13</v>
      </c>
      <c r="E46" s="73">
        <v>0</v>
      </c>
      <c r="F46" s="71" t="s">
        <v>8</v>
      </c>
    </row>
    <row r="47" ht="16.5" spans="1:6">
      <c r="A47" s="73" t="s">
        <v>60</v>
      </c>
      <c r="B47" s="73">
        <v>19</v>
      </c>
      <c r="C47" s="73" t="s">
        <v>13</v>
      </c>
      <c r="D47" s="73">
        <v>13</v>
      </c>
      <c r="E47" s="73">
        <v>0</v>
      </c>
      <c r="F47" s="71" t="s">
        <v>8</v>
      </c>
    </row>
    <row r="48" ht="16.5" spans="1:6">
      <c r="A48" s="73" t="s">
        <v>61</v>
      </c>
      <c r="B48" s="73">
        <v>50</v>
      </c>
      <c r="C48" s="73" t="s">
        <v>11</v>
      </c>
      <c r="D48" s="73">
        <v>13</v>
      </c>
      <c r="E48" s="73">
        <v>1</v>
      </c>
      <c r="F48" s="71" t="s">
        <v>8</v>
      </c>
    </row>
    <row r="49" ht="16.5" spans="1:6">
      <c r="A49" s="73" t="s">
        <v>62</v>
      </c>
      <c r="B49" s="73">
        <v>64</v>
      </c>
      <c r="C49" s="73" t="s">
        <v>11</v>
      </c>
      <c r="D49" s="73">
        <v>13</v>
      </c>
      <c r="E49" s="73">
        <v>0</v>
      </c>
      <c r="F49" s="71" t="s">
        <v>8</v>
      </c>
    </row>
    <row r="50" ht="16.5" spans="1:6">
      <c r="A50" s="73" t="s">
        <v>63</v>
      </c>
      <c r="B50" s="73">
        <v>19</v>
      </c>
      <c r="C50" s="73" t="s">
        <v>11</v>
      </c>
      <c r="D50" s="73">
        <v>13</v>
      </c>
      <c r="E50" s="73">
        <v>0</v>
      </c>
      <c r="F50" s="71" t="s">
        <v>8</v>
      </c>
    </row>
    <row r="51" ht="16.5" spans="1:6">
      <c r="A51" s="73" t="s">
        <v>64</v>
      </c>
      <c r="B51" s="73">
        <v>48</v>
      </c>
      <c r="C51" s="73" t="s">
        <v>15</v>
      </c>
      <c r="D51" s="73">
        <v>13</v>
      </c>
      <c r="E51" s="73">
        <v>0</v>
      </c>
      <c r="F51" s="71" t="s">
        <v>8</v>
      </c>
    </row>
    <row r="52" ht="16.5" spans="1:6">
      <c r="A52" s="73" t="s">
        <v>65</v>
      </c>
      <c r="B52" s="73">
        <v>59</v>
      </c>
      <c r="C52" s="73" t="s">
        <v>15</v>
      </c>
      <c r="D52" s="73">
        <v>15</v>
      </c>
      <c r="E52" s="73">
        <v>1</v>
      </c>
      <c r="F52" s="71" t="s">
        <v>8</v>
      </c>
    </row>
    <row r="53" ht="16.5" spans="1:6">
      <c r="A53" s="73" t="s">
        <v>66</v>
      </c>
      <c r="B53" s="73">
        <v>35</v>
      </c>
      <c r="C53" s="73" t="s">
        <v>15</v>
      </c>
      <c r="D53" s="73">
        <v>15</v>
      </c>
      <c r="E53" s="73">
        <v>1</v>
      </c>
      <c r="F53" s="71" t="s">
        <v>8</v>
      </c>
    </row>
    <row r="54" ht="16.5" spans="1:6">
      <c r="A54" s="73" t="s">
        <v>67</v>
      </c>
      <c r="B54" s="73">
        <v>7</v>
      </c>
      <c r="C54" s="73" t="s">
        <v>7</v>
      </c>
      <c r="D54" s="73">
        <v>15</v>
      </c>
      <c r="E54" s="73">
        <v>0</v>
      </c>
      <c r="F54" s="71" t="s">
        <v>8</v>
      </c>
    </row>
    <row r="55" ht="16.5" spans="1:6">
      <c r="A55" s="73" t="s">
        <v>68</v>
      </c>
      <c r="B55" s="73">
        <v>7</v>
      </c>
      <c r="C55" s="73" t="s">
        <v>15</v>
      </c>
      <c r="D55" s="73">
        <v>15</v>
      </c>
      <c r="E55" s="73">
        <v>1</v>
      </c>
      <c r="F55" s="71" t="s">
        <v>8</v>
      </c>
    </row>
    <row r="56" ht="16.5" spans="1:6">
      <c r="A56" s="73" t="s">
        <v>69</v>
      </c>
      <c r="B56" s="73">
        <v>4</v>
      </c>
      <c r="C56" s="73" t="s">
        <v>7</v>
      </c>
      <c r="D56" s="73">
        <v>15</v>
      </c>
      <c r="E56" s="73">
        <v>0</v>
      </c>
      <c r="F56" s="71" t="s">
        <v>8</v>
      </c>
    </row>
    <row r="57" ht="16.5" spans="1:6">
      <c r="A57" s="73" t="s">
        <v>70</v>
      </c>
      <c r="B57" s="73">
        <v>2</v>
      </c>
      <c r="C57" s="73" t="s">
        <v>13</v>
      </c>
      <c r="D57" s="73">
        <v>15</v>
      </c>
      <c r="E57" s="73">
        <v>1</v>
      </c>
      <c r="F57" s="71" t="s">
        <v>8</v>
      </c>
    </row>
    <row r="58" ht="16.5" spans="1:6">
      <c r="A58" s="73" t="s">
        <v>71</v>
      </c>
      <c r="B58" s="73">
        <v>17</v>
      </c>
      <c r="C58" s="73" t="s">
        <v>7</v>
      </c>
      <c r="D58" s="73">
        <v>15</v>
      </c>
      <c r="E58" s="73">
        <v>0</v>
      </c>
      <c r="F58" s="71" t="s">
        <v>8</v>
      </c>
    </row>
    <row r="59" ht="16.5" spans="1:6">
      <c r="A59" s="73" t="s">
        <v>72</v>
      </c>
      <c r="B59" s="73">
        <v>28</v>
      </c>
      <c r="C59" s="73" t="s">
        <v>15</v>
      </c>
      <c r="D59" s="73">
        <v>15</v>
      </c>
      <c r="E59" s="73">
        <v>0</v>
      </c>
      <c r="F59" s="71" t="s">
        <v>8</v>
      </c>
    </row>
    <row r="60" ht="16.5" spans="1:6">
      <c r="A60" s="73" t="s">
        <v>73</v>
      </c>
      <c r="B60" s="73">
        <v>68</v>
      </c>
      <c r="C60" s="73" t="s">
        <v>15</v>
      </c>
      <c r="D60" s="73">
        <v>15</v>
      </c>
      <c r="E60" s="73">
        <v>0</v>
      </c>
      <c r="F60" s="71" t="s">
        <v>8</v>
      </c>
    </row>
    <row r="61" ht="16.5" spans="1:6">
      <c r="A61" s="73" t="s">
        <v>74</v>
      </c>
      <c r="B61" s="73">
        <v>29</v>
      </c>
      <c r="C61" s="73" t="s">
        <v>7</v>
      </c>
      <c r="D61" s="73">
        <v>15</v>
      </c>
      <c r="E61" s="73">
        <v>1</v>
      </c>
      <c r="F61" s="71" t="s">
        <v>8</v>
      </c>
    </row>
    <row r="62" ht="16.5" spans="1:6">
      <c r="A62" s="73" t="s">
        <v>75</v>
      </c>
      <c r="B62" s="73">
        <v>43</v>
      </c>
      <c r="C62" s="73" t="s">
        <v>15</v>
      </c>
      <c r="D62" s="73">
        <v>15</v>
      </c>
      <c r="E62" s="73">
        <v>1</v>
      </c>
      <c r="F62" s="71" t="s">
        <v>8</v>
      </c>
    </row>
    <row r="63" ht="16.5" spans="1:6">
      <c r="A63" s="73" t="s">
        <v>76</v>
      </c>
      <c r="B63" s="73">
        <v>25</v>
      </c>
      <c r="C63" s="73" t="s">
        <v>7</v>
      </c>
      <c r="D63" s="73">
        <v>15</v>
      </c>
      <c r="E63" s="73">
        <v>0</v>
      </c>
      <c r="F63" s="71" t="s">
        <v>8</v>
      </c>
    </row>
    <row r="64" ht="16.5" spans="1:6">
      <c r="A64" s="73" t="s">
        <v>77</v>
      </c>
      <c r="B64" s="73">
        <v>35</v>
      </c>
      <c r="C64" s="73" t="s">
        <v>17</v>
      </c>
      <c r="D64" s="73">
        <v>15</v>
      </c>
      <c r="E64" s="73">
        <v>0</v>
      </c>
      <c r="F64" s="71" t="s">
        <v>8</v>
      </c>
    </row>
    <row r="65" ht="16.5" spans="1:6">
      <c r="A65" s="73" t="s">
        <v>78</v>
      </c>
      <c r="B65" s="73">
        <v>49</v>
      </c>
      <c r="C65" s="73" t="s">
        <v>7</v>
      </c>
      <c r="D65" s="73">
        <v>15</v>
      </c>
      <c r="E65" s="73">
        <v>0</v>
      </c>
      <c r="F65" s="71" t="s">
        <v>8</v>
      </c>
    </row>
    <row r="66" ht="16.5" spans="1:6">
      <c r="A66" s="73" t="s">
        <v>79</v>
      </c>
      <c r="B66" s="73">
        <v>21</v>
      </c>
      <c r="C66" s="73" t="s">
        <v>11</v>
      </c>
      <c r="D66" s="73">
        <v>15</v>
      </c>
      <c r="E66" s="73">
        <v>1</v>
      </c>
      <c r="F66" s="71" t="s">
        <v>8</v>
      </c>
    </row>
    <row r="67" ht="16.5" spans="1:6">
      <c r="A67" s="73" t="s">
        <v>80</v>
      </c>
      <c r="B67" s="73">
        <v>21</v>
      </c>
      <c r="C67" s="73" t="s">
        <v>7</v>
      </c>
      <c r="D67" s="73">
        <v>10</v>
      </c>
      <c r="E67" s="73">
        <v>1</v>
      </c>
      <c r="F67" s="71" t="s">
        <v>8</v>
      </c>
    </row>
    <row r="68" ht="16.5" spans="1:6">
      <c r="A68" s="73" t="s">
        <v>81</v>
      </c>
      <c r="B68" s="73">
        <v>44</v>
      </c>
      <c r="C68" s="73" t="s">
        <v>11</v>
      </c>
      <c r="D68" s="73">
        <v>10</v>
      </c>
      <c r="E68" s="73">
        <v>0</v>
      </c>
      <c r="F68" s="71" t="s">
        <v>8</v>
      </c>
    </row>
    <row r="69" ht="16.5" spans="1:6">
      <c r="A69" s="73" t="s">
        <v>82</v>
      </c>
      <c r="B69" s="73">
        <v>24</v>
      </c>
      <c r="C69" s="73" t="s">
        <v>15</v>
      </c>
      <c r="D69" s="73">
        <v>10</v>
      </c>
      <c r="E69" s="73">
        <v>1</v>
      </c>
      <c r="F69" s="71" t="s">
        <v>8</v>
      </c>
    </row>
    <row r="70" ht="16.5" spans="1:6">
      <c r="A70" s="73" t="s">
        <v>83</v>
      </c>
      <c r="B70" s="73">
        <v>26</v>
      </c>
      <c r="C70" s="73" t="s">
        <v>7</v>
      </c>
      <c r="D70" s="73">
        <v>10</v>
      </c>
      <c r="E70" s="73">
        <v>1</v>
      </c>
      <c r="F70" s="71" t="s">
        <v>8</v>
      </c>
    </row>
    <row r="71" ht="16.5" spans="1:6">
      <c r="A71" s="73" t="s">
        <v>84</v>
      </c>
      <c r="B71" s="73">
        <v>84</v>
      </c>
      <c r="C71" s="73" t="s">
        <v>7</v>
      </c>
      <c r="D71" s="73">
        <v>10</v>
      </c>
      <c r="E71" s="73">
        <v>0</v>
      </c>
      <c r="F71" s="71" t="s">
        <v>8</v>
      </c>
    </row>
    <row r="72" ht="16.5" spans="1:6">
      <c r="A72" s="73" t="s">
        <v>85</v>
      </c>
      <c r="B72" s="73">
        <v>3</v>
      </c>
      <c r="C72" s="73" t="s">
        <v>11</v>
      </c>
      <c r="D72" s="73">
        <v>10</v>
      </c>
      <c r="E72" s="73">
        <v>1</v>
      </c>
      <c r="F72" s="71" t="s">
        <v>8</v>
      </c>
    </row>
    <row r="73" ht="16.5" spans="1:6">
      <c r="A73" s="73" t="s">
        <v>86</v>
      </c>
      <c r="B73" s="73">
        <v>15</v>
      </c>
      <c r="C73" s="73" t="s">
        <v>7</v>
      </c>
      <c r="D73" s="73">
        <v>10</v>
      </c>
      <c r="E73" s="73">
        <v>1</v>
      </c>
      <c r="F73" s="71" t="s">
        <v>8</v>
      </c>
    </row>
    <row r="74" ht="16.5" spans="1:6">
      <c r="A74" s="73" t="s">
        <v>87</v>
      </c>
      <c r="B74" s="73">
        <v>9</v>
      </c>
      <c r="C74" s="73" t="s">
        <v>15</v>
      </c>
      <c r="D74" s="73">
        <v>10</v>
      </c>
      <c r="E74" s="73">
        <v>0</v>
      </c>
      <c r="F74" s="71" t="s">
        <v>8</v>
      </c>
    </row>
    <row r="75" ht="16.5" spans="1:6">
      <c r="A75" s="73" t="s">
        <v>88</v>
      </c>
      <c r="B75" s="73">
        <v>2</v>
      </c>
      <c r="C75" s="73" t="s">
        <v>13</v>
      </c>
      <c r="D75" s="73">
        <v>10</v>
      </c>
      <c r="E75" s="73">
        <v>1</v>
      </c>
      <c r="F75" s="71" t="s">
        <v>8</v>
      </c>
    </row>
    <row r="76" ht="16.5" spans="1:6">
      <c r="A76" s="73" t="s">
        <v>89</v>
      </c>
      <c r="B76" s="73">
        <v>70</v>
      </c>
      <c r="C76" s="73" t="s">
        <v>13</v>
      </c>
      <c r="D76" s="73">
        <v>10</v>
      </c>
      <c r="E76" s="73">
        <v>0</v>
      </c>
      <c r="F76" s="71" t="s">
        <v>8</v>
      </c>
    </row>
    <row r="77" ht="16.5" spans="1:6">
      <c r="A77" s="73" t="s">
        <v>90</v>
      </c>
      <c r="B77" s="73">
        <v>16</v>
      </c>
      <c r="C77" s="73" t="s">
        <v>15</v>
      </c>
      <c r="D77" s="73">
        <v>13</v>
      </c>
      <c r="E77" s="73">
        <v>1</v>
      </c>
      <c r="F77" s="71" t="s">
        <v>8</v>
      </c>
    </row>
    <row r="78" ht="16.5" spans="1:6">
      <c r="A78" s="73" t="s">
        <v>91</v>
      </c>
      <c r="B78" s="73">
        <v>6</v>
      </c>
      <c r="C78" s="73" t="s">
        <v>7</v>
      </c>
      <c r="D78" s="73">
        <v>13</v>
      </c>
      <c r="E78" s="73">
        <v>0</v>
      </c>
      <c r="F78" s="71" t="s">
        <v>8</v>
      </c>
    </row>
    <row r="79" ht="16.5" spans="1:6">
      <c r="A79" s="73" t="s">
        <v>92</v>
      </c>
      <c r="B79" s="73">
        <v>29</v>
      </c>
      <c r="C79" s="73" t="s">
        <v>7</v>
      </c>
      <c r="D79" s="73">
        <v>13</v>
      </c>
      <c r="E79" s="73">
        <v>0</v>
      </c>
      <c r="F79" s="71" t="s">
        <v>8</v>
      </c>
    </row>
    <row r="80" ht="16.5" spans="1:6">
      <c r="A80" s="73" t="s">
        <v>93</v>
      </c>
      <c r="B80" s="73">
        <v>27</v>
      </c>
      <c r="C80" s="73" t="s">
        <v>7</v>
      </c>
      <c r="D80" s="73">
        <v>13</v>
      </c>
      <c r="E80" s="73">
        <v>1</v>
      </c>
      <c r="F80" s="71" t="s">
        <v>8</v>
      </c>
    </row>
    <row r="81" ht="16.5" spans="1:6">
      <c r="A81" s="73" t="s">
        <v>94</v>
      </c>
      <c r="B81" s="73">
        <v>23</v>
      </c>
      <c r="C81" s="73" t="s">
        <v>11</v>
      </c>
      <c r="D81" s="73">
        <v>13</v>
      </c>
      <c r="E81" s="73">
        <v>1</v>
      </c>
      <c r="F81" s="71" t="s">
        <v>8</v>
      </c>
    </row>
    <row r="82" ht="16.5" spans="1:6">
      <c r="A82" s="73" t="s">
        <v>95</v>
      </c>
      <c r="B82" s="73">
        <v>28</v>
      </c>
      <c r="C82" s="73" t="s">
        <v>7</v>
      </c>
      <c r="D82" s="73">
        <v>13</v>
      </c>
      <c r="E82" s="73">
        <v>1</v>
      </c>
      <c r="F82" s="71" t="s">
        <v>8</v>
      </c>
    </row>
    <row r="83" ht="16.5" spans="1:6">
      <c r="A83" s="73" t="s">
        <v>96</v>
      </c>
      <c r="B83" s="73">
        <v>50</v>
      </c>
      <c r="C83" s="73" t="s">
        <v>7</v>
      </c>
      <c r="D83" s="73">
        <v>13</v>
      </c>
      <c r="E83" s="73">
        <v>0</v>
      </c>
      <c r="F83" s="71" t="s">
        <v>8</v>
      </c>
    </row>
    <row r="84" ht="16.5" spans="1:6">
      <c r="A84" s="73" t="s">
        <v>97</v>
      </c>
      <c r="B84" s="73">
        <v>42</v>
      </c>
      <c r="C84" s="73" t="s">
        <v>15</v>
      </c>
      <c r="D84" s="73">
        <v>13</v>
      </c>
      <c r="E84" s="73">
        <v>1</v>
      </c>
      <c r="F84" s="71" t="s">
        <v>8</v>
      </c>
    </row>
    <row r="85" ht="16.5" spans="1:6">
      <c r="A85" s="73" t="s">
        <v>98</v>
      </c>
      <c r="B85" s="73">
        <v>27</v>
      </c>
      <c r="C85" s="73" t="s">
        <v>99</v>
      </c>
      <c r="D85" s="73">
        <v>13</v>
      </c>
      <c r="E85" s="73">
        <v>0</v>
      </c>
      <c r="F85" s="71" t="s">
        <v>8</v>
      </c>
    </row>
    <row r="86" ht="16.5" spans="1:6">
      <c r="A86" s="73" t="s">
        <v>100</v>
      </c>
      <c r="B86" s="73">
        <v>23</v>
      </c>
      <c r="C86" s="73" t="s">
        <v>7</v>
      </c>
      <c r="D86" s="73">
        <v>13</v>
      </c>
      <c r="E86" s="73">
        <v>0</v>
      </c>
      <c r="F86" s="71" t="s">
        <v>8</v>
      </c>
    </row>
    <row r="87" ht="16.5" spans="1:6">
      <c r="A87" s="73" t="s">
        <v>101</v>
      </c>
      <c r="B87" s="73">
        <v>21</v>
      </c>
      <c r="C87" s="73" t="s">
        <v>7</v>
      </c>
      <c r="D87" s="73">
        <v>13</v>
      </c>
      <c r="E87" s="73">
        <v>0</v>
      </c>
      <c r="F87" s="71" t="s">
        <v>8</v>
      </c>
    </row>
    <row r="88" ht="16.5" spans="1:6">
      <c r="A88" s="73" t="s">
        <v>102</v>
      </c>
      <c r="B88" s="73">
        <v>20</v>
      </c>
      <c r="C88" s="73" t="s">
        <v>15</v>
      </c>
      <c r="D88" s="73">
        <v>13</v>
      </c>
      <c r="E88" s="73">
        <v>1</v>
      </c>
      <c r="F88" s="71" t="s">
        <v>8</v>
      </c>
    </row>
    <row r="89" ht="16.5" spans="1:6">
      <c r="A89" s="73" t="s">
        <v>103</v>
      </c>
      <c r="B89" s="73">
        <v>32</v>
      </c>
      <c r="C89" s="73" t="s">
        <v>15</v>
      </c>
      <c r="D89" s="73">
        <v>13</v>
      </c>
      <c r="E89" s="73">
        <v>0</v>
      </c>
      <c r="F89" s="71" t="s">
        <v>8</v>
      </c>
    </row>
    <row r="90" ht="16.5" spans="1:6">
      <c r="A90" s="73" t="s">
        <v>104</v>
      </c>
      <c r="B90" s="73">
        <v>47</v>
      </c>
      <c r="C90" s="73" t="s">
        <v>7</v>
      </c>
      <c r="D90" s="73">
        <v>18</v>
      </c>
      <c r="E90" s="73">
        <v>0</v>
      </c>
      <c r="F90" s="71" t="s">
        <v>105</v>
      </c>
    </row>
    <row r="91" ht="16.5" spans="1:6">
      <c r="A91" s="73" t="s">
        <v>106</v>
      </c>
      <c r="B91" s="73">
        <v>35</v>
      </c>
      <c r="C91" s="73" t="s">
        <v>17</v>
      </c>
      <c r="D91" s="73">
        <v>18</v>
      </c>
      <c r="E91" s="73">
        <v>1</v>
      </c>
      <c r="F91" s="71" t="s">
        <v>105</v>
      </c>
    </row>
    <row r="92" ht="16.5" spans="1:6">
      <c r="A92" s="73" t="s">
        <v>107</v>
      </c>
      <c r="B92" s="73">
        <v>55</v>
      </c>
      <c r="C92" s="73" t="s">
        <v>108</v>
      </c>
      <c r="D92" s="73">
        <v>18</v>
      </c>
      <c r="E92" s="73">
        <v>0</v>
      </c>
      <c r="F92" s="71" t="s">
        <v>105</v>
      </c>
    </row>
    <row r="93" ht="16.5" spans="1:6">
      <c r="A93" s="73" t="s">
        <v>109</v>
      </c>
      <c r="B93" s="73">
        <v>65</v>
      </c>
      <c r="C93" s="73" t="s">
        <v>15</v>
      </c>
      <c r="D93" s="73">
        <v>18</v>
      </c>
      <c r="E93" s="73">
        <v>0</v>
      </c>
      <c r="F93" s="71" t="s">
        <v>105</v>
      </c>
    </row>
    <row r="94" ht="16.5" spans="1:6">
      <c r="A94" s="73" t="s">
        <v>110</v>
      </c>
      <c r="B94" s="73">
        <v>12</v>
      </c>
      <c r="C94" s="73" t="s">
        <v>15</v>
      </c>
      <c r="D94" s="73">
        <v>18</v>
      </c>
      <c r="E94" s="73">
        <v>0</v>
      </c>
      <c r="F94" s="71" t="s">
        <v>105</v>
      </c>
    </row>
    <row r="95" ht="16.5" spans="1:6">
      <c r="A95" s="73" t="s">
        <v>111</v>
      </c>
      <c r="B95" s="73">
        <v>11</v>
      </c>
      <c r="C95" s="73" t="s">
        <v>7</v>
      </c>
      <c r="D95" s="73">
        <v>18</v>
      </c>
      <c r="E95" s="73">
        <v>1</v>
      </c>
      <c r="F95" s="71" t="s">
        <v>105</v>
      </c>
    </row>
    <row r="96" ht="16.5" spans="1:6">
      <c r="A96" s="73" t="s">
        <v>112</v>
      </c>
      <c r="B96" s="73">
        <v>56</v>
      </c>
      <c r="C96" s="73" t="s">
        <v>15</v>
      </c>
      <c r="D96" s="73">
        <v>18</v>
      </c>
      <c r="E96" s="73">
        <v>0</v>
      </c>
      <c r="F96" s="71" t="s">
        <v>105</v>
      </c>
    </row>
    <row r="97" ht="16.5" spans="1:6">
      <c r="A97" s="73" t="s">
        <v>113</v>
      </c>
      <c r="B97" s="73">
        <v>16</v>
      </c>
      <c r="C97" s="73" t="s">
        <v>13</v>
      </c>
      <c r="D97" s="73">
        <v>18</v>
      </c>
      <c r="E97" s="73">
        <v>1</v>
      </c>
      <c r="F97" s="71" t="s">
        <v>105</v>
      </c>
    </row>
    <row r="98" ht="16.5" spans="1:6">
      <c r="A98" s="73" t="s">
        <v>114</v>
      </c>
      <c r="B98" s="73">
        <v>16</v>
      </c>
      <c r="C98" s="73" t="s">
        <v>13</v>
      </c>
      <c r="D98" s="73">
        <v>18</v>
      </c>
      <c r="E98" s="73">
        <v>1</v>
      </c>
      <c r="F98" s="71" t="s">
        <v>105</v>
      </c>
    </row>
    <row r="99" ht="16.5" spans="1:6">
      <c r="A99" s="73" t="s">
        <v>115</v>
      </c>
      <c r="B99" s="73">
        <v>4</v>
      </c>
      <c r="C99" s="73" t="s">
        <v>13</v>
      </c>
      <c r="D99" s="73">
        <v>18</v>
      </c>
      <c r="E99" s="73">
        <v>1</v>
      </c>
      <c r="F99" s="71" t="s">
        <v>105</v>
      </c>
    </row>
    <row r="100" ht="16.5" spans="1:6">
      <c r="A100" s="73" t="s">
        <v>116</v>
      </c>
      <c r="B100" s="73">
        <v>19</v>
      </c>
      <c r="C100" s="73" t="s">
        <v>20</v>
      </c>
      <c r="D100" s="73">
        <v>18</v>
      </c>
      <c r="E100" s="73">
        <v>0</v>
      </c>
      <c r="F100" s="71" t="s">
        <v>105</v>
      </c>
    </row>
    <row r="101" ht="16.5" spans="1:6">
      <c r="A101" s="73" t="s">
        <v>117</v>
      </c>
      <c r="B101" s="73">
        <v>42</v>
      </c>
      <c r="C101" s="73" t="s">
        <v>11</v>
      </c>
      <c r="D101" s="73">
        <v>18</v>
      </c>
      <c r="E101" s="73">
        <v>0</v>
      </c>
      <c r="F101" s="71" t="s">
        <v>105</v>
      </c>
    </row>
    <row r="102" ht="16.5" spans="1:6">
      <c r="A102" s="73" t="s">
        <v>118</v>
      </c>
      <c r="B102" s="73">
        <v>41</v>
      </c>
      <c r="C102" s="73" t="s">
        <v>15</v>
      </c>
      <c r="D102" s="73">
        <v>18</v>
      </c>
      <c r="E102" s="73">
        <v>0</v>
      </c>
      <c r="F102" s="71" t="s">
        <v>105</v>
      </c>
    </row>
    <row r="103" ht="16.5" spans="1:6">
      <c r="A103" s="73" t="s">
        <v>119</v>
      </c>
      <c r="B103" s="73">
        <v>22</v>
      </c>
      <c r="C103" s="73" t="s">
        <v>11</v>
      </c>
      <c r="D103" s="73">
        <v>18</v>
      </c>
      <c r="E103" s="73">
        <v>0</v>
      </c>
      <c r="F103" s="71" t="s">
        <v>105</v>
      </c>
    </row>
    <row r="104" ht="16.5" spans="1:6">
      <c r="A104" s="73" t="s">
        <v>120</v>
      </c>
      <c r="B104" s="73">
        <v>37</v>
      </c>
      <c r="C104" s="73" t="s">
        <v>15</v>
      </c>
      <c r="D104" s="73">
        <v>18</v>
      </c>
      <c r="E104" s="73">
        <v>1</v>
      </c>
      <c r="F104" s="71" t="s">
        <v>105</v>
      </c>
    </row>
    <row r="105" ht="16.5" spans="1:6">
      <c r="A105" s="73" t="s">
        <v>121</v>
      </c>
      <c r="B105" s="73">
        <v>61</v>
      </c>
      <c r="C105" s="73" t="s">
        <v>7</v>
      </c>
      <c r="D105" s="73">
        <v>18</v>
      </c>
      <c r="E105" s="73">
        <v>1</v>
      </c>
      <c r="F105" s="71" t="s">
        <v>105</v>
      </c>
    </row>
    <row r="106" ht="16.5" spans="1:6">
      <c r="A106" s="73" t="s">
        <v>122</v>
      </c>
      <c r="B106" s="73">
        <v>23</v>
      </c>
      <c r="C106" s="73" t="s">
        <v>7</v>
      </c>
      <c r="D106" s="73">
        <v>18</v>
      </c>
      <c r="E106" s="73">
        <v>1</v>
      </c>
      <c r="F106" s="71" t="s">
        <v>105</v>
      </c>
    </row>
    <row r="107" ht="16.5" spans="1:6">
      <c r="A107" s="73" t="s">
        <v>123</v>
      </c>
      <c r="B107" s="73">
        <v>48</v>
      </c>
      <c r="C107" s="73" t="s">
        <v>11</v>
      </c>
      <c r="D107" s="73">
        <v>18</v>
      </c>
      <c r="E107" s="73">
        <v>0</v>
      </c>
      <c r="F107" s="71" t="s">
        <v>105</v>
      </c>
    </row>
    <row r="108" ht="16.5" spans="1:6">
      <c r="A108" s="73" t="s">
        <v>124</v>
      </c>
      <c r="B108" s="73">
        <v>69</v>
      </c>
      <c r="C108" s="73" t="s">
        <v>108</v>
      </c>
      <c r="D108" s="73">
        <v>33</v>
      </c>
      <c r="E108" s="73">
        <v>1</v>
      </c>
      <c r="F108" s="71" t="s">
        <v>105</v>
      </c>
    </row>
    <row r="109" ht="16.5" spans="1:6">
      <c r="A109" s="73" t="s">
        <v>125</v>
      </c>
      <c r="B109" s="73">
        <v>40</v>
      </c>
      <c r="C109" s="73" t="s">
        <v>7</v>
      </c>
      <c r="D109" s="73">
        <v>33</v>
      </c>
      <c r="E109" s="73">
        <v>1</v>
      </c>
      <c r="F109" s="71" t="s">
        <v>105</v>
      </c>
    </row>
    <row r="110" ht="16.5" spans="1:6">
      <c r="A110" s="73" t="s">
        <v>126</v>
      </c>
      <c r="B110" s="73">
        <v>42</v>
      </c>
      <c r="C110" s="73" t="s">
        <v>13</v>
      </c>
      <c r="D110" s="73">
        <v>33</v>
      </c>
      <c r="E110" s="73">
        <v>1</v>
      </c>
      <c r="F110" s="71" t="s">
        <v>105</v>
      </c>
    </row>
    <row r="111" ht="16.5" spans="1:6">
      <c r="A111" s="73" t="s">
        <v>127</v>
      </c>
      <c r="B111" s="73">
        <v>25</v>
      </c>
      <c r="C111" s="73" t="s">
        <v>15</v>
      </c>
      <c r="D111" s="73">
        <v>33</v>
      </c>
      <c r="E111" s="73">
        <v>0</v>
      </c>
      <c r="F111" s="71" t="s">
        <v>105</v>
      </c>
    </row>
    <row r="112" ht="16.5" spans="1:6">
      <c r="A112" s="73" t="s">
        <v>128</v>
      </c>
      <c r="B112" s="73">
        <v>61</v>
      </c>
      <c r="C112" s="73" t="s">
        <v>7</v>
      </c>
      <c r="D112" s="73">
        <v>33</v>
      </c>
      <c r="E112" s="73">
        <v>1</v>
      </c>
      <c r="F112" s="71" t="s">
        <v>105</v>
      </c>
    </row>
    <row r="113" ht="16.5" spans="1:6">
      <c r="A113" s="73" t="s">
        <v>129</v>
      </c>
      <c r="B113" s="73">
        <v>69</v>
      </c>
      <c r="C113" s="73" t="s">
        <v>17</v>
      </c>
      <c r="D113" s="73">
        <v>33</v>
      </c>
      <c r="E113" s="73">
        <v>1</v>
      </c>
      <c r="F113" s="71" t="s">
        <v>105</v>
      </c>
    </row>
    <row r="114" ht="16.5" spans="1:6">
      <c r="A114" s="73" t="s">
        <v>130</v>
      </c>
      <c r="B114" s="73">
        <v>14</v>
      </c>
      <c r="C114" s="73" t="s">
        <v>13</v>
      </c>
      <c r="D114" s="73">
        <v>33</v>
      </c>
      <c r="E114" s="73">
        <v>1</v>
      </c>
      <c r="F114" s="71" t="s">
        <v>105</v>
      </c>
    </row>
    <row r="115" ht="16.5" spans="1:6">
      <c r="A115" s="73" t="s">
        <v>131</v>
      </c>
      <c r="B115" s="73">
        <v>52</v>
      </c>
      <c r="C115" s="73" t="s">
        <v>7</v>
      </c>
      <c r="D115" s="73">
        <v>33</v>
      </c>
      <c r="E115" s="73">
        <v>1</v>
      </c>
      <c r="F115" s="71" t="s">
        <v>105</v>
      </c>
    </row>
    <row r="116" ht="16.5" spans="1:6">
      <c r="A116" s="73" t="s">
        <v>132</v>
      </c>
      <c r="B116" s="73">
        <v>32</v>
      </c>
      <c r="C116" s="73" t="s">
        <v>15</v>
      </c>
      <c r="D116" s="73">
        <v>33</v>
      </c>
      <c r="E116" s="73">
        <v>1</v>
      </c>
      <c r="F116" s="71" t="s">
        <v>105</v>
      </c>
    </row>
    <row r="117" ht="16.5" spans="1:6">
      <c r="A117" s="73" t="s">
        <v>133</v>
      </c>
      <c r="B117" s="73">
        <v>49</v>
      </c>
      <c r="C117" s="73" t="s">
        <v>15</v>
      </c>
      <c r="D117" s="73">
        <v>33</v>
      </c>
      <c r="E117" s="73">
        <v>1</v>
      </c>
      <c r="F117" s="71" t="s">
        <v>105</v>
      </c>
    </row>
    <row r="118" ht="16.5" spans="1:6">
      <c r="A118" s="73" t="s">
        <v>134</v>
      </c>
      <c r="B118" s="73">
        <v>67</v>
      </c>
      <c r="C118" s="73" t="s">
        <v>15</v>
      </c>
      <c r="D118" s="73">
        <v>33</v>
      </c>
      <c r="E118" s="73">
        <v>1</v>
      </c>
      <c r="F118" s="71" t="s">
        <v>105</v>
      </c>
    </row>
    <row r="119" ht="16.5" spans="1:6">
      <c r="A119" s="73" t="s">
        <v>135</v>
      </c>
      <c r="B119" s="73">
        <v>30</v>
      </c>
      <c r="C119" s="73" t="s">
        <v>108</v>
      </c>
      <c r="D119" s="73">
        <v>33</v>
      </c>
      <c r="E119" s="73">
        <v>0</v>
      </c>
      <c r="F119" s="71" t="s">
        <v>105</v>
      </c>
    </row>
    <row r="120" ht="16.5" spans="1:6">
      <c r="A120" s="73" t="s">
        <v>136</v>
      </c>
      <c r="B120" s="73">
        <v>26</v>
      </c>
      <c r="C120" s="73" t="s">
        <v>15</v>
      </c>
      <c r="D120" s="73">
        <v>33</v>
      </c>
      <c r="E120" s="73">
        <v>1</v>
      </c>
      <c r="F120" s="71" t="s">
        <v>105</v>
      </c>
    </row>
    <row r="121" ht="16.5" spans="1:6">
      <c r="A121" s="73" t="s">
        <v>137</v>
      </c>
      <c r="B121" s="73">
        <v>82</v>
      </c>
      <c r="C121" s="73" t="s">
        <v>11</v>
      </c>
      <c r="D121" s="73">
        <v>33</v>
      </c>
      <c r="E121" s="73">
        <v>1</v>
      </c>
      <c r="F121" s="71" t="s">
        <v>105</v>
      </c>
    </row>
    <row r="122" ht="16.5" spans="1:6">
      <c r="A122" s="73" t="s">
        <v>138</v>
      </c>
      <c r="B122" s="73">
        <v>28</v>
      </c>
      <c r="C122" s="73" t="s">
        <v>7</v>
      </c>
      <c r="D122" s="73">
        <v>33</v>
      </c>
      <c r="E122" s="73">
        <v>1</v>
      </c>
      <c r="F122" s="71" t="s">
        <v>105</v>
      </c>
    </row>
    <row r="123" ht="16.5" spans="1:6">
      <c r="A123" s="73" t="s">
        <v>139</v>
      </c>
      <c r="B123" s="73">
        <v>22</v>
      </c>
      <c r="C123" s="73" t="s">
        <v>15</v>
      </c>
      <c r="D123" s="73">
        <v>33</v>
      </c>
      <c r="E123" s="73">
        <v>0</v>
      </c>
      <c r="F123" s="71" t="s">
        <v>105</v>
      </c>
    </row>
    <row r="124" ht="16.5" spans="1:6">
      <c r="A124" s="73" t="s">
        <v>140</v>
      </c>
      <c r="B124" s="73">
        <v>24</v>
      </c>
      <c r="C124" s="73" t="s">
        <v>7</v>
      </c>
      <c r="D124" s="73">
        <v>33</v>
      </c>
      <c r="E124" s="73">
        <v>1</v>
      </c>
      <c r="F124" s="71" t="s">
        <v>105</v>
      </c>
    </row>
    <row r="125" ht="16.5" spans="1:6">
      <c r="A125" s="73" t="s">
        <v>141</v>
      </c>
      <c r="B125" s="73">
        <v>39</v>
      </c>
      <c r="C125" s="73" t="s">
        <v>15</v>
      </c>
      <c r="D125" s="73">
        <v>33</v>
      </c>
      <c r="E125" s="73">
        <v>0</v>
      </c>
      <c r="F125" s="71" t="s">
        <v>105</v>
      </c>
    </row>
    <row r="126" ht="16.5" spans="1:6">
      <c r="A126" s="73" t="s">
        <v>142</v>
      </c>
      <c r="B126" s="73">
        <v>51</v>
      </c>
      <c r="C126" s="73" t="s">
        <v>7</v>
      </c>
      <c r="D126" s="73">
        <v>33</v>
      </c>
      <c r="E126" s="73">
        <v>1</v>
      </c>
      <c r="F126" s="71" t="s">
        <v>105</v>
      </c>
    </row>
    <row r="127" ht="16.5" spans="1:6">
      <c r="A127" s="73" t="s">
        <v>143</v>
      </c>
      <c r="B127" s="73">
        <v>21</v>
      </c>
      <c r="C127" s="73" t="s">
        <v>13</v>
      </c>
      <c r="D127" s="73">
        <v>33</v>
      </c>
      <c r="E127" s="73">
        <v>0</v>
      </c>
      <c r="F127" s="71" t="s">
        <v>105</v>
      </c>
    </row>
    <row r="128" ht="16.5" spans="1:6">
      <c r="A128" s="73" t="s">
        <v>144</v>
      </c>
      <c r="B128" s="73">
        <v>38</v>
      </c>
      <c r="C128" s="73" t="s">
        <v>13</v>
      </c>
      <c r="D128" s="73">
        <v>33</v>
      </c>
      <c r="E128" s="73">
        <v>0</v>
      </c>
      <c r="F128" s="71" t="s">
        <v>105</v>
      </c>
    </row>
    <row r="129" ht="16.5" spans="1:6">
      <c r="A129" s="73" t="s">
        <v>145</v>
      </c>
      <c r="B129" s="73">
        <v>4.5</v>
      </c>
      <c r="C129" s="73" t="s">
        <v>7</v>
      </c>
      <c r="D129" s="73">
        <v>33</v>
      </c>
      <c r="E129" s="73">
        <v>0</v>
      </c>
      <c r="F129" s="71" t="s">
        <v>105</v>
      </c>
    </row>
    <row r="130" ht="16.5" spans="1:6">
      <c r="A130" s="73" t="s">
        <v>146</v>
      </c>
      <c r="B130" s="73">
        <v>12</v>
      </c>
      <c r="C130" s="73" t="s">
        <v>15</v>
      </c>
      <c r="D130" s="73">
        <v>33</v>
      </c>
      <c r="E130" s="73">
        <v>0</v>
      </c>
      <c r="F130" s="71" t="s">
        <v>105</v>
      </c>
    </row>
    <row r="131" ht="16.5" spans="1:6">
      <c r="A131" s="73" t="s">
        <v>147</v>
      </c>
      <c r="B131" s="73">
        <v>10</v>
      </c>
      <c r="C131" s="73" t="s">
        <v>13</v>
      </c>
      <c r="D131" s="73">
        <v>33</v>
      </c>
      <c r="E131" s="73">
        <v>0</v>
      </c>
      <c r="F131" s="71" t="s">
        <v>105</v>
      </c>
    </row>
    <row r="132" ht="16.5" spans="1:6">
      <c r="A132" s="73" t="s">
        <v>148</v>
      </c>
      <c r="B132" s="73">
        <v>10</v>
      </c>
      <c r="C132" s="73" t="s">
        <v>7</v>
      </c>
      <c r="D132" s="73">
        <v>33</v>
      </c>
      <c r="E132" s="73">
        <v>1</v>
      </c>
      <c r="F132" s="71" t="s">
        <v>105</v>
      </c>
    </row>
    <row r="133" ht="16.5" spans="1:6">
      <c r="A133" s="73" t="s">
        <v>149</v>
      </c>
      <c r="B133" s="73">
        <v>6</v>
      </c>
      <c r="C133" s="73" t="s">
        <v>15</v>
      </c>
      <c r="D133" s="73">
        <v>33</v>
      </c>
      <c r="E133" s="73">
        <v>0</v>
      </c>
      <c r="F133" s="71" t="s">
        <v>105</v>
      </c>
    </row>
    <row r="134" ht="16.5" spans="1:6">
      <c r="A134" s="73" t="s">
        <v>150</v>
      </c>
      <c r="B134" s="73">
        <v>4</v>
      </c>
      <c r="C134" s="73" t="s">
        <v>13</v>
      </c>
      <c r="D134" s="73">
        <v>33</v>
      </c>
      <c r="E134" s="73">
        <v>1</v>
      </c>
      <c r="F134" s="71" t="s">
        <v>105</v>
      </c>
    </row>
    <row r="135" ht="16.5" spans="1:6">
      <c r="A135" s="73" t="s">
        <v>151</v>
      </c>
      <c r="B135" s="73">
        <v>10</v>
      </c>
      <c r="C135" s="73" t="s">
        <v>13</v>
      </c>
      <c r="D135" s="73">
        <v>33</v>
      </c>
      <c r="E135" s="73">
        <v>0</v>
      </c>
      <c r="F135" s="71" t="s">
        <v>105</v>
      </c>
    </row>
    <row r="136" ht="16.5" spans="1:6">
      <c r="A136" s="73" t="s">
        <v>152</v>
      </c>
      <c r="B136" s="73">
        <v>6</v>
      </c>
      <c r="C136" s="73" t="s">
        <v>13</v>
      </c>
      <c r="D136" s="73">
        <v>33</v>
      </c>
      <c r="E136" s="73">
        <v>0</v>
      </c>
      <c r="F136" s="71" t="s">
        <v>105</v>
      </c>
    </row>
    <row r="137" ht="16.5" spans="1:6">
      <c r="A137" s="73" t="s">
        <v>153</v>
      </c>
      <c r="B137" s="73">
        <v>3.5</v>
      </c>
      <c r="C137" s="73" t="s">
        <v>17</v>
      </c>
      <c r="D137" s="73">
        <v>33</v>
      </c>
      <c r="E137" s="73">
        <v>1</v>
      </c>
      <c r="F137" s="71" t="s">
        <v>105</v>
      </c>
    </row>
    <row r="138" ht="16.5" spans="1:6">
      <c r="A138" s="73" t="s">
        <v>154</v>
      </c>
      <c r="B138" s="73">
        <v>13</v>
      </c>
      <c r="C138" s="73" t="s">
        <v>7</v>
      </c>
      <c r="D138" s="73">
        <v>33</v>
      </c>
      <c r="E138" s="73">
        <v>1</v>
      </c>
      <c r="F138" s="71" t="s">
        <v>105</v>
      </c>
    </row>
    <row r="139" ht="16.5" spans="1:6">
      <c r="A139" s="73" t="s">
        <v>155</v>
      </c>
      <c r="B139" s="73">
        <v>52</v>
      </c>
      <c r="C139" s="73" t="s">
        <v>108</v>
      </c>
      <c r="D139" s="73">
        <v>21</v>
      </c>
      <c r="E139" s="73">
        <v>0</v>
      </c>
      <c r="F139" s="71" t="s">
        <v>105</v>
      </c>
    </row>
    <row r="140" ht="16.5" spans="1:6">
      <c r="A140" s="73" t="s">
        <v>156</v>
      </c>
      <c r="B140" s="73">
        <v>74</v>
      </c>
      <c r="C140" s="73" t="s">
        <v>11</v>
      </c>
      <c r="D140" s="73">
        <v>21</v>
      </c>
      <c r="E140" s="73">
        <v>1</v>
      </c>
      <c r="F140" s="71" t="s">
        <v>105</v>
      </c>
    </row>
    <row r="141" ht="16.5" spans="1:6">
      <c r="A141" s="73" t="s">
        <v>157</v>
      </c>
      <c r="B141" s="73">
        <v>36</v>
      </c>
      <c r="C141" s="73" t="s">
        <v>13</v>
      </c>
      <c r="D141" s="73">
        <v>21</v>
      </c>
      <c r="E141" s="73">
        <v>0</v>
      </c>
      <c r="F141" s="71" t="s">
        <v>105</v>
      </c>
    </row>
    <row r="142" ht="16.5" spans="1:6">
      <c r="A142" s="73" t="s">
        <v>158</v>
      </c>
      <c r="B142" s="73">
        <v>39</v>
      </c>
      <c r="C142" s="73" t="s">
        <v>13</v>
      </c>
      <c r="D142" s="73">
        <v>21</v>
      </c>
      <c r="E142" s="73">
        <v>1</v>
      </c>
      <c r="F142" s="71" t="s">
        <v>105</v>
      </c>
    </row>
    <row r="143" ht="16.5" spans="1:6">
      <c r="A143" s="73" t="s">
        <v>159</v>
      </c>
      <c r="B143" s="73">
        <v>20</v>
      </c>
      <c r="C143" s="73" t="s">
        <v>15</v>
      </c>
      <c r="D143" s="73">
        <v>21</v>
      </c>
      <c r="E143" s="73">
        <v>1</v>
      </c>
      <c r="F143" s="71" t="s">
        <v>105</v>
      </c>
    </row>
    <row r="144" ht="16.5" spans="1:6">
      <c r="A144" s="73" t="s">
        <v>128</v>
      </c>
      <c r="B144" s="73">
        <v>61</v>
      </c>
      <c r="C144" s="73" t="s">
        <v>15</v>
      </c>
      <c r="D144" s="73">
        <v>21</v>
      </c>
      <c r="E144" s="73">
        <v>1</v>
      </c>
      <c r="F144" s="71" t="s">
        <v>105</v>
      </c>
    </row>
    <row r="145" ht="16.5" spans="1:6">
      <c r="A145" s="73" t="s">
        <v>160</v>
      </c>
      <c r="B145" s="73">
        <v>28</v>
      </c>
      <c r="C145" s="73" t="s">
        <v>15</v>
      </c>
      <c r="D145" s="73">
        <v>21</v>
      </c>
      <c r="E145" s="73">
        <v>1</v>
      </c>
      <c r="F145" s="71" t="s">
        <v>105</v>
      </c>
    </row>
    <row r="146" ht="16.5" spans="1:6">
      <c r="A146" s="73" t="s">
        <v>161</v>
      </c>
      <c r="B146" s="73">
        <v>34</v>
      </c>
      <c r="C146" s="73" t="s">
        <v>13</v>
      </c>
      <c r="D146" s="73">
        <v>21</v>
      </c>
      <c r="E146" s="73">
        <v>1</v>
      </c>
      <c r="F146" s="71" t="s">
        <v>105</v>
      </c>
    </row>
    <row r="147" ht="16.5" spans="1:6">
      <c r="A147" s="73" t="s">
        <v>162</v>
      </c>
      <c r="B147" s="73">
        <v>66</v>
      </c>
      <c r="C147" s="73" t="s">
        <v>163</v>
      </c>
      <c r="D147" s="73">
        <v>21</v>
      </c>
      <c r="E147" s="73">
        <v>1</v>
      </c>
      <c r="F147" s="71" t="s">
        <v>105</v>
      </c>
    </row>
    <row r="148" ht="16.5" spans="1:6">
      <c r="A148" s="73" t="s">
        <v>164</v>
      </c>
      <c r="B148" s="73">
        <v>55</v>
      </c>
      <c r="C148" s="73" t="s">
        <v>7</v>
      </c>
      <c r="D148" s="73">
        <v>21</v>
      </c>
      <c r="E148" s="73">
        <v>1</v>
      </c>
      <c r="F148" s="71" t="s">
        <v>105</v>
      </c>
    </row>
    <row r="149" ht="16.5" spans="1:6">
      <c r="A149" s="73" t="s">
        <v>165</v>
      </c>
      <c r="B149" s="73">
        <v>19</v>
      </c>
      <c r="C149" s="73" t="s">
        <v>11</v>
      </c>
      <c r="D149" s="73">
        <v>21</v>
      </c>
      <c r="E149" s="73">
        <v>0</v>
      </c>
      <c r="F149" s="71" t="s">
        <v>105</v>
      </c>
    </row>
    <row r="150" ht="16.5" spans="1:6">
      <c r="A150" s="73" t="s">
        <v>166</v>
      </c>
      <c r="B150" s="73">
        <v>61</v>
      </c>
      <c r="C150" s="73" t="s">
        <v>11</v>
      </c>
      <c r="D150" s="73">
        <v>21</v>
      </c>
      <c r="E150" s="73">
        <v>1</v>
      </c>
      <c r="F150" s="71" t="s">
        <v>105</v>
      </c>
    </row>
    <row r="151" ht="16.5" spans="1:6">
      <c r="A151" s="73" t="s">
        <v>167</v>
      </c>
      <c r="B151" s="73">
        <v>24</v>
      </c>
      <c r="C151" s="73" t="s">
        <v>7</v>
      </c>
      <c r="D151" s="73">
        <v>21</v>
      </c>
      <c r="E151" s="73">
        <v>0</v>
      </c>
      <c r="F151" s="71" t="s">
        <v>105</v>
      </c>
    </row>
    <row r="152" ht="16.5" spans="1:6">
      <c r="A152" s="73" t="s">
        <v>168</v>
      </c>
      <c r="B152" s="73">
        <v>47</v>
      </c>
      <c r="C152" s="73" t="s">
        <v>7</v>
      </c>
      <c r="D152" s="73">
        <v>21</v>
      </c>
      <c r="E152" s="73">
        <v>1</v>
      </c>
      <c r="F152" s="71" t="s">
        <v>105</v>
      </c>
    </row>
    <row r="153" ht="16.5" spans="1:6">
      <c r="A153" s="73" t="s">
        <v>169</v>
      </c>
      <c r="B153" s="73">
        <v>73</v>
      </c>
      <c r="C153" s="73" t="s">
        <v>108</v>
      </c>
      <c r="D153" s="73">
        <v>21</v>
      </c>
      <c r="E153" s="73">
        <v>1</v>
      </c>
      <c r="F153" s="71" t="s">
        <v>105</v>
      </c>
    </row>
    <row r="154" ht="16.5" spans="1:6">
      <c r="A154" s="73" t="s">
        <v>170</v>
      </c>
      <c r="B154" s="73">
        <v>18</v>
      </c>
      <c r="C154" s="73" t="s">
        <v>11</v>
      </c>
      <c r="D154" s="73">
        <v>21</v>
      </c>
      <c r="E154" s="73">
        <v>1</v>
      </c>
      <c r="F154" s="71" t="s">
        <v>105</v>
      </c>
    </row>
    <row r="155" ht="16.5" spans="1:6">
      <c r="A155" s="73" t="s">
        <v>171</v>
      </c>
      <c r="B155" s="73">
        <v>19</v>
      </c>
      <c r="C155" s="73" t="s">
        <v>11</v>
      </c>
      <c r="D155" s="73">
        <v>21</v>
      </c>
      <c r="E155" s="73">
        <v>1</v>
      </c>
      <c r="F155" s="71" t="s">
        <v>105</v>
      </c>
    </row>
    <row r="156" ht="16.5" spans="1:6">
      <c r="A156" s="73" t="s">
        <v>172</v>
      </c>
      <c r="B156" s="73">
        <v>5</v>
      </c>
      <c r="C156" s="73" t="s">
        <v>13</v>
      </c>
      <c r="D156" s="73">
        <v>21</v>
      </c>
      <c r="E156" s="73">
        <v>0</v>
      </c>
      <c r="F156" s="71" t="s">
        <v>105</v>
      </c>
    </row>
    <row r="157" ht="16.5" spans="1:6">
      <c r="A157" s="73" t="s">
        <v>173</v>
      </c>
      <c r="B157" s="73">
        <v>15</v>
      </c>
      <c r="C157" s="73" t="s">
        <v>15</v>
      </c>
      <c r="D157" s="73">
        <v>21</v>
      </c>
      <c r="E157" s="73">
        <v>1</v>
      </c>
      <c r="F157" s="71" t="s">
        <v>105</v>
      </c>
    </row>
    <row r="158" ht="16.5" spans="1:6">
      <c r="A158" s="73" t="s">
        <v>174</v>
      </c>
      <c r="B158" s="73">
        <v>5</v>
      </c>
      <c r="C158" s="73" t="s">
        <v>13</v>
      </c>
      <c r="D158" s="73">
        <v>21</v>
      </c>
      <c r="E158" s="73">
        <v>0</v>
      </c>
      <c r="F158" s="71" t="s">
        <v>105</v>
      </c>
    </row>
    <row r="159" ht="16.5" spans="1:6">
      <c r="A159" s="73" t="s">
        <v>175</v>
      </c>
      <c r="B159" s="73">
        <v>17</v>
      </c>
      <c r="C159" s="73" t="s">
        <v>13</v>
      </c>
      <c r="D159" s="73">
        <v>21</v>
      </c>
      <c r="E159" s="73">
        <v>0</v>
      </c>
      <c r="F159" s="71" t="s">
        <v>105</v>
      </c>
    </row>
    <row r="160" ht="16.5" spans="1:6">
      <c r="A160" s="73" t="s">
        <v>176</v>
      </c>
      <c r="B160" s="73">
        <v>16</v>
      </c>
      <c r="C160" s="73" t="s">
        <v>7</v>
      </c>
      <c r="D160" s="73">
        <v>21</v>
      </c>
      <c r="E160" s="73">
        <v>0</v>
      </c>
      <c r="F160" s="71" t="s">
        <v>105</v>
      </c>
    </row>
    <row r="161" ht="16.5" spans="1:6">
      <c r="A161" s="73" t="s">
        <v>177</v>
      </c>
      <c r="B161" s="73">
        <v>12</v>
      </c>
      <c r="C161" s="73" t="s">
        <v>7</v>
      </c>
      <c r="D161" s="73">
        <v>21</v>
      </c>
      <c r="E161" s="73">
        <v>1</v>
      </c>
      <c r="F161" s="71" t="s">
        <v>105</v>
      </c>
    </row>
    <row r="162" ht="16.5" spans="1:6">
      <c r="A162" s="73" t="s">
        <v>178</v>
      </c>
      <c r="B162" s="73">
        <v>22</v>
      </c>
      <c r="C162" s="73" t="s">
        <v>7</v>
      </c>
      <c r="D162" s="73">
        <v>3</v>
      </c>
      <c r="E162" s="73">
        <v>1</v>
      </c>
      <c r="F162" s="71" t="s">
        <v>26</v>
      </c>
    </row>
    <row r="163" ht="16.5" spans="1:6">
      <c r="A163" s="73" t="s">
        <v>179</v>
      </c>
      <c r="B163" s="73">
        <v>34</v>
      </c>
      <c r="C163" s="73" t="s">
        <v>15</v>
      </c>
      <c r="D163" s="73">
        <v>3</v>
      </c>
      <c r="E163" s="73">
        <v>1</v>
      </c>
      <c r="F163" s="71" t="s">
        <v>26</v>
      </c>
    </row>
    <row r="164" ht="16.5" spans="1:6">
      <c r="A164" s="73" t="s">
        <v>180</v>
      </c>
      <c r="B164" s="73">
        <v>10</v>
      </c>
      <c r="C164" s="73" t="s">
        <v>20</v>
      </c>
      <c r="D164" s="73">
        <v>3</v>
      </c>
      <c r="E164" s="73">
        <v>0</v>
      </c>
      <c r="F164" s="71" t="s">
        <v>26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tabSelected="1" workbookViewId="0">
      <selection activeCell="C3" sqref="C3"/>
    </sheetView>
  </sheetViews>
  <sheetFormatPr defaultColWidth="9" defaultRowHeight="15" outlineLevelRow="5" outlineLevelCol="3"/>
  <cols>
    <col min="1" max="1" width="21.7111111111111" customWidth="1"/>
    <col min="2" max="2" width="20.4222222222222" customWidth="1"/>
  </cols>
  <sheetData>
    <row r="1" spans="1:1">
      <c r="A1" s="20" t="s">
        <v>181</v>
      </c>
    </row>
    <row r="3" spans="1:3">
      <c r="A3" s="38" t="s">
        <v>1</v>
      </c>
      <c r="B3" s="38">
        <f ca="1">RAND()</f>
        <v>0.682881644483221</v>
      </c>
      <c r="C3" t="str">
        <f ca="1">INDEX($A$3:$A$6,MATCH(LARGE($B$3:$B$6,ROW(Y1)),$B$3:$B$6,0))</f>
        <v>Jumlah Kasus Per Bulan</v>
      </c>
    </row>
    <row r="4" spans="1:3">
      <c r="A4" s="38" t="s">
        <v>2</v>
      </c>
      <c r="B4" s="38">
        <f ca="1">RAND()</f>
        <v>0.528297260190101</v>
      </c>
      <c r="C4" t="str">
        <f ca="1">INDEX($A$3:$A$6,MATCH(LARGE($B$3:$B$6,ROW(Y2)),$B$3:$B$6,0))</f>
        <v>Jenis Kelamin</v>
      </c>
    </row>
    <row r="5" spans="1:2">
      <c r="A5" s="38" t="s">
        <v>4</v>
      </c>
      <c r="B5" s="38">
        <f ca="1">RAND()</f>
        <v>0.722645395866699</v>
      </c>
    </row>
    <row r="6" spans="1:4">
      <c r="A6" s="38" t="s">
        <v>182</v>
      </c>
      <c r="B6" s="38">
        <f ca="1">RAND()</f>
        <v>0.99784443341191</v>
      </c>
      <c r="D6">
        <v>9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"/>
  <sheetViews>
    <sheetView workbookViewId="0">
      <selection activeCell="I7" sqref="I7"/>
    </sheetView>
  </sheetViews>
  <sheetFormatPr defaultColWidth="9" defaultRowHeight="15" outlineLevelCol="4"/>
  <cols>
    <col min="2" max="2" width="24.2814814814815" customWidth="1"/>
    <col min="3" max="3" width="29.1407407407407" customWidth="1"/>
    <col min="4" max="4" width="16.4222222222222" customWidth="1"/>
    <col min="5" max="5" width="24" customWidth="1"/>
  </cols>
  <sheetData>
    <row r="1" ht="16.5" spans="1:5">
      <c r="A1" s="68" t="s">
        <v>1</v>
      </c>
      <c r="B1" s="69" t="s">
        <v>2</v>
      </c>
      <c r="C1" s="69" t="s">
        <v>3</v>
      </c>
      <c r="D1" s="69" t="s">
        <v>4</v>
      </c>
      <c r="E1" s="69" t="s">
        <v>5</v>
      </c>
    </row>
    <row r="2" ht="16.5" spans="1:5">
      <c r="A2" s="70">
        <v>34</v>
      </c>
      <c r="B2" s="71">
        <v>3</v>
      </c>
      <c r="C2" s="71">
        <v>12</v>
      </c>
      <c r="D2" s="71">
        <v>0</v>
      </c>
      <c r="E2" s="71" t="s">
        <v>8</v>
      </c>
    </row>
    <row r="3" ht="16.5" spans="1:5">
      <c r="A3" s="70">
        <v>43</v>
      </c>
      <c r="B3" s="71">
        <v>3</v>
      </c>
      <c r="C3" s="71">
        <v>12</v>
      </c>
      <c r="D3" s="71">
        <v>1</v>
      </c>
      <c r="E3" s="71" t="s">
        <v>8</v>
      </c>
    </row>
    <row r="4" ht="16.5" spans="1:5">
      <c r="A4" s="70">
        <v>49</v>
      </c>
      <c r="B4" s="71">
        <v>4</v>
      </c>
      <c r="C4" s="71">
        <v>7</v>
      </c>
      <c r="D4" s="71">
        <v>1</v>
      </c>
      <c r="E4" s="71" t="s">
        <v>26</v>
      </c>
    </row>
    <row r="5" ht="16.5" spans="1:5">
      <c r="A5" s="70">
        <v>21</v>
      </c>
      <c r="B5" s="71">
        <v>2</v>
      </c>
      <c r="C5" s="71">
        <v>7</v>
      </c>
      <c r="D5" s="71">
        <v>0</v>
      </c>
      <c r="E5" s="71" t="s">
        <v>26</v>
      </c>
    </row>
    <row r="6" ht="16.5" spans="1:5">
      <c r="A6" s="70">
        <v>16</v>
      </c>
      <c r="B6" s="71">
        <v>2</v>
      </c>
      <c r="C6" s="71">
        <v>18</v>
      </c>
      <c r="D6" s="71">
        <v>1</v>
      </c>
      <c r="E6" s="71" t="s">
        <v>105</v>
      </c>
    </row>
    <row r="7" ht="16.5" spans="1:5">
      <c r="A7" s="70">
        <v>16</v>
      </c>
      <c r="B7" s="71">
        <v>2</v>
      </c>
      <c r="C7" s="71">
        <v>18</v>
      </c>
      <c r="D7" s="71">
        <v>1</v>
      </c>
      <c r="E7" s="71" t="s">
        <v>105</v>
      </c>
    </row>
    <row r="8" ht="16.5" spans="1:5">
      <c r="A8" s="70">
        <v>4</v>
      </c>
      <c r="B8" s="71">
        <v>2</v>
      </c>
      <c r="C8" s="71">
        <v>18</v>
      </c>
      <c r="D8" s="71">
        <v>1</v>
      </c>
      <c r="E8" s="71" t="s">
        <v>105</v>
      </c>
    </row>
    <row r="9" ht="16.5" spans="1:5">
      <c r="A9" s="70">
        <v>19</v>
      </c>
      <c r="B9" s="71">
        <v>6</v>
      </c>
      <c r="C9" s="71">
        <v>18</v>
      </c>
      <c r="D9" s="71">
        <v>0</v>
      </c>
      <c r="E9" s="71" t="s">
        <v>105</v>
      </c>
    </row>
    <row r="10" ht="16.5" spans="1:5">
      <c r="A10" s="70">
        <v>12</v>
      </c>
      <c r="B10" s="71">
        <v>3</v>
      </c>
      <c r="C10" s="71">
        <v>21</v>
      </c>
      <c r="D10" s="71">
        <v>1</v>
      </c>
      <c r="E10" s="71" t="s">
        <v>105</v>
      </c>
    </row>
    <row r="11" ht="16.5" spans="1:5">
      <c r="A11" s="70">
        <v>22</v>
      </c>
      <c r="B11" s="71">
        <v>3</v>
      </c>
      <c r="C11" s="71">
        <v>3</v>
      </c>
      <c r="D11" s="71">
        <v>1</v>
      </c>
      <c r="E11" s="71" t="s">
        <v>26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64"/>
  <sheetViews>
    <sheetView topLeftCell="A39" workbookViewId="0">
      <selection activeCell="E1" sqref="E1:E53"/>
    </sheetView>
  </sheetViews>
  <sheetFormatPr defaultColWidth="9" defaultRowHeight="15" outlineLevelCol="4"/>
  <cols>
    <col min="2" max="2" width="23.5703703703704" customWidth="1"/>
    <col min="3" max="3" width="22" customWidth="1"/>
    <col min="4" max="4" width="17.5703703703704" customWidth="1"/>
    <col min="5" max="5" width="22" customWidth="1"/>
  </cols>
  <sheetData>
    <row r="1" spans="1:5">
      <c r="A1" s="35" t="s">
        <v>1</v>
      </c>
      <c r="B1" s="35" t="s">
        <v>2</v>
      </c>
      <c r="C1" s="35" t="s">
        <v>182</v>
      </c>
      <c r="D1" s="35" t="s">
        <v>4</v>
      </c>
      <c r="E1" s="35" t="s">
        <v>5</v>
      </c>
    </row>
    <row r="2" spans="1:5">
      <c r="A2" s="36">
        <v>21</v>
      </c>
      <c r="B2" s="36">
        <v>5</v>
      </c>
      <c r="C2" s="36">
        <v>13</v>
      </c>
      <c r="D2" s="36">
        <v>1</v>
      </c>
      <c r="E2" s="36" t="s">
        <v>8</v>
      </c>
    </row>
    <row r="3" spans="1:5">
      <c r="A3" s="36">
        <v>19</v>
      </c>
      <c r="B3" s="36">
        <v>2</v>
      </c>
      <c r="C3" s="36">
        <v>13</v>
      </c>
      <c r="D3" s="36">
        <v>0</v>
      </c>
      <c r="E3" s="36" t="s">
        <v>8</v>
      </c>
    </row>
    <row r="4" spans="1:5">
      <c r="A4" s="36">
        <v>22</v>
      </c>
      <c r="B4" s="36">
        <v>4</v>
      </c>
      <c r="C4" s="36">
        <v>33</v>
      </c>
      <c r="D4" s="36">
        <v>0</v>
      </c>
      <c r="E4" s="36" t="s">
        <v>105</v>
      </c>
    </row>
    <row r="5" spans="1:5">
      <c r="A5" s="36">
        <v>59</v>
      </c>
      <c r="B5" s="36">
        <v>4</v>
      </c>
      <c r="C5" s="36">
        <v>15</v>
      </c>
      <c r="D5" s="36">
        <v>1</v>
      </c>
      <c r="E5" s="36" t="s">
        <v>8</v>
      </c>
    </row>
    <row r="6" spans="1:5">
      <c r="A6" s="36">
        <v>25</v>
      </c>
      <c r="B6" s="36">
        <v>4</v>
      </c>
      <c r="C6" s="36">
        <v>33</v>
      </c>
      <c r="D6" s="36">
        <v>0</v>
      </c>
      <c r="E6" s="36" t="s">
        <v>105</v>
      </c>
    </row>
    <row r="7" spans="1:5">
      <c r="A7" s="36">
        <v>5</v>
      </c>
      <c r="B7" s="36">
        <v>2</v>
      </c>
      <c r="C7" s="36">
        <v>21</v>
      </c>
      <c r="D7" s="36">
        <v>0</v>
      </c>
      <c r="E7" s="36" t="s">
        <v>105</v>
      </c>
    </row>
    <row r="8" spans="1:5">
      <c r="A8" s="36">
        <v>35</v>
      </c>
      <c r="B8" s="36">
        <v>1</v>
      </c>
      <c r="C8" s="36">
        <v>15</v>
      </c>
      <c r="D8" s="36">
        <v>0</v>
      </c>
      <c r="E8" s="36" t="s">
        <v>8</v>
      </c>
    </row>
    <row r="9" spans="1:5">
      <c r="A9" s="36">
        <v>16</v>
      </c>
      <c r="B9" s="36">
        <v>3</v>
      </c>
      <c r="C9" s="36">
        <v>21</v>
      </c>
      <c r="D9" s="36">
        <v>0</v>
      </c>
      <c r="E9" s="36" t="s">
        <v>105</v>
      </c>
    </row>
    <row r="10" spans="1:5">
      <c r="A10" s="36">
        <v>28</v>
      </c>
      <c r="B10" s="36">
        <v>3</v>
      </c>
      <c r="C10" s="36">
        <v>13</v>
      </c>
      <c r="D10" s="36">
        <v>1</v>
      </c>
      <c r="E10" s="36" t="s">
        <v>8</v>
      </c>
    </row>
    <row r="11" spans="1:5">
      <c r="A11" s="36">
        <v>14</v>
      </c>
      <c r="B11" s="36">
        <v>4</v>
      </c>
      <c r="C11" s="36">
        <v>12</v>
      </c>
      <c r="D11" s="36">
        <v>0</v>
      </c>
      <c r="E11" s="36" t="s">
        <v>8</v>
      </c>
    </row>
    <row r="12" spans="1:5">
      <c r="A12" s="36">
        <v>82</v>
      </c>
      <c r="B12" s="36">
        <v>5</v>
      </c>
      <c r="C12" s="36">
        <v>33</v>
      </c>
      <c r="D12" s="36">
        <v>1</v>
      </c>
      <c r="E12" s="36" t="s">
        <v>105</v>
      </c>
    </row>
    <row r="13" spans="1:5">
      <c r="A13" s="36">
        <v>13</v>
      </c>
      <c r="B13" s="36">
        <v>3</v>
      </c>
      <c r="C13" s="36">
        <v>33</v>
      </c>
      <c r="D13" s="36">
        <v>1</v>
      </c>
      <c r="E13" s="36" t="s">
        <v>105</v>
      </c>
    </row>
    <row r="14" spans="1:5">
      <c r="A14" s="36">
        <v>28</v>
      </c>
      <c r="B14" s="36">
        <v>3</v>
      </c>
      <c r="C14" s="36">
        <v>33</v>
      </c>
      <c r="D14" s="36">
        <v>1</v>
      </c>
      <c r="E14" s="36" t="s">
        <v>105</v>
      </c>
    </row>
    <row r="15" spans="1:5">
      <c r="A15" s="36">
        <v>18</v>
      </c>
      <c r="B15" s="36">
        <v>5</v>
      </c>
      <c r="C15" s="36">
        <v>12</v>
      </c>
      <c r="D15" s="36">
        <v>0</v>
      </c>
      <c r="E15" s="36" t="s">
        <v>8</v>
      </c>
    </row>
    <row r="16" spans="1:5">
      <c r="A16" s="36">
        <v>84</v>
      </c>
      <c r="B16" s="36">
        <v>3</v>
      </c>
      <c r="C16" s="36">
        <v>10</v>
      </c>
      <c r="D16" s="36">
        <v>0</v>
      </c>
      <c r="E16" s="36" t="s">
        <v>8</v>
      </c>
    </row>
    <row r="17" spans="1:5">
      <c r="A17" s="36">
        <v>38</v>
      </c>
      <c r="B17" s="36">
        <v>2</v>
      </c>
      <c r="C17" s="36">
        <v>33</v>
      </c>
      <c r="D17" s="36">
        <v>0</v>
      </c>
      <c r="E17" s="36" t="s">
        <v>105</v>
      </c>
    </row>
    <row r="18" spans="1:5">
      <c r="A18" s="36">
        <v>66</v>
      </c>
      <c r="B18" s="36">
        <v>10</v>
      </c>
      <c r="C18" s="36">
        <v>21</v>
      </c>
      <c r="D18" s="36">
        <v>1</v>
      </c>
      <c r="E18" s="36" t="s">
        <v>105</v>
      </c>
    </row>
    <row r="19" spans="1:5">
      <c r="A19" s="36">
        <v>21</v>
      </c>
      <c r="B19" s="36">
        <v>2</v>
      </c>
      <c r="C19" s="36">
        <v>7</v>
      </c>
      <c r="D19" s="36">
        <v>0</v>
      </c>
      <c r="E19" s="36" t="s">
        <v>26</v>
      </c>
    </row>
    <row r="20" spans="1:5">
      <c r="A20" s="36">
        <v>24</v>
      </c>
      <c r="B20" s="36">
        <v>3</v>
      </c>
      <c r="C20" s="36">
        <v>21</v>
      </c>
      <c r="D20" s="36">
        <v>0</v>
      </c>
      <c r="E20" s="36" t="s">
        <v>105</v>
      </c>
    </row>
    <row r="21" spans="1:5">
      <c r="A21" s="36">
        <v>28</v>
      </c>
      <c r="B21" s="36">
        <v>4</v>
      </c>
      <c r="C21" s="36">
        <v>4</v>
      </c>
      <c r="D21" s="36">
        <v>1</v>
      </c>
      <c r="E21" s="36" t="s">
        <v>26</v>
      </c>
    </row>
    <row r="22" spans="1:5">
      <c r="A22" s="36">
        <v>23</v>
      </c>
      <c r="B22" s="36">
        <v>3</v>
      </c>
      <c r="C22" s="36">
        <v>18</v>
      </c>
      <c r="D22" s="36">
        <v>1</v>
      </c>
      <c r="E22" s="36" t="s">
        <v>105</v>
      </c>
    </row>
    <row r="23" spans="1:5">
      <c r="A23" s="36">
        <v>68</v>
      </c>
      <c r="B23" s="36">
        <v>4</v>
      </c>
      <c r="C23" s="36">
        <v>15</v>
      </c>
      <c r="D23" s="36">
        <v>0</v>
      </c>
      <c r="E23" s="36" t="s">
        <v>8</v>
      </c>
    </row>
    <row r="24" spans="1:5">
      <c r="A24" s="36">
        <v>8</v>
      </c>
      <c r="B24" s="36">
        <v>4</v>
      </c>
      <c r="C24" s="36">
        <v>13</v>
      </c>
      <c r="D24" s="36">
        <v>0</v>
      </c>
      <c r="E24" s="36" t="s">
        <v>8</v>
      </c>
    </row>
    <row r="25" spans="1:5">
      <c r="A25" s="36">
        <v>21</v>
      </c>
      <c r="B25" s="36">
        <v>2</v>
      </c>
      <c r="C25" s="36">
        <v>33</v>
      </c>
      <c r="D25" s="36">
        <v>0</v>
      </c>
      <c r="E25" s="36" t="s">
        <v>105</v>
      </c>
    </row>
    <row r="26" spans="1:5">
      <c r="A26" s="36">
        <v>61</v>
      </c>
      <c r="B26" s="36">
        <v>3</v>
      </c>
      <c r="C26" s="36">
        <v>18</v>
      </c>
      <c r="D26" s="36">
        <v>1</v>
      </c>
      <c r="E26" s="36" t="s">
        <v>105</v>
      </c>
    </row>
    <row r="27" spans="1:5">
      <c r="A27" s="36">
        <v>54</v>
      </c>
      <c r="B27" s="36">
        <v>4</v>
      </c>
      <c r="C27" s="36">
        <v>14</v>
      </c>
      <c r="D27" s="36">
        <v>0</v>
      </c>
      <c r="E27" s="36" t="s">
        <v>8</v>
      </c>
    </row>
    <row r="28" spans="1:5">
      <c r="A28" s="36">
        <v>4</v>
      </c>
      <c r="B28" s="36">
        <v>3</v>
      </c>
      <c r="C28" s="36">
        <v>15</v>
      </c>
      <c r="D28" s="36">
        <v>0</v>
      </c>
      <c r="E28" s="36" t="s">
        <v>8</v>
      </c>
    </row>
    <row r="29" spans="1:5">
      <c r="A29" s="36">
        <v>52</v>
      </c>
      <c r="B29" s="36">
        <v>7</v>
      </c>
      <c r="C29" s="36">
        <v>21</v>
      </c>
      <c r="D29" s="36">
        <v>0</v>
      </c>
      <c r="E29" s="36" t="s">
        <v>105</v>
      </c>
    </row>
    <row r="30" spans="1:5">
      <c r="A30" s="36">
        <v>23</v>
      </c>
      <c r="B30" s="36">
        <v>3</v>
      </c>
      <c r="C30" s="36">
        <v>18</v>
      </c>
      <c r="D30" s="36">
        <v>1</v>
      </c>
      <c r="E30" s="36" t="s">
        <v>105</v>
      </c>
    </row>
    <row r="31" spans="1:5">
      <c r="A31" s="36">
        <v>69</v>
      </c>
      <c r="B31" s="36">
        <v>7</v>
      </c>
      <c r="C31" s="36">
        <v>33</v>
      </c>
      <c r="D31" s="36">
        <v>1</v>
      </c>
      <c r="E31" s="36" t="s">
        <v>105</v>
      </c>
    </row>
    <row r="32" spans="1:5">
      <c r="A32" s="36">
        <v>17</v>
      </c>
      <c r="B32" s="36">
        <v>3</v>
      </c>
      <c r="C32" s="36">
        <v>15</v>
      </c>
      <c r="D32" s="36">
        <v>0</v>
      </c>
      <c r="E32" s="36" t="s">
        <v>8</v>
      </c>
    </row>
    <row r="33" spans="1:5">
      <c r="A33" s="36">
        <v>10</v>
      </c>
      <c r="B33" s="36">
        <v>5</v>
      </c>
      <c r="C33" s="36">
        <v>14</v>
      </c>
      <c r="D33" s="36">
        <v>1</v>
      </c>
      <c r="E33" s="36" t="s">
        <v>8</v>
      </c>
    </row>
    <row r="34" spans="1:5">
      <c r="A34" s="36">
        <v>23</v>
      </c>
      <c r="B34" s="36">
        <v>3</v>
      </c>
      <c r="C34" s="36">
        <v>18</v>
      </c>
      <c r="D34" s="36">
        <v>1</v>
      </c>
      <c r="E34" s="36" t="s">
        <v>105</v>
      </c>
    </row>
    <row r="35" spans="1:5">
      <c r="A35" s="36">
        <v>42</v>
      </c>
      <c r="B35" s="36">
        <v>4</v>
      </c>
      <c r="C35" s="36">
        <v>13</v>
      </c>
      <c r="D35" s="36">
        <v>1</v>
      </c>
      <c r="E35" s="36" t="s">
        <v>8</v>
      </c>
    </row>
    <row r="36" spans="1:5">
      <c r="A36" s="36">
        <v>50</v>
      </c>
      <c r="B36" s="36">
        <v>3</v>
      </c>
      <c r="C36" s="36">
        <v>13</v>
      </c>
      <c r="D36" s="36">
        <v>0</v>
      </c>
      <c r="E36" s="36" t="s">
        <v>8</v>
      </c>
    </row>
    <row r="37" spans="1:5">
      <c r="A37" s="36">
        <v>55</v>
      </c>
      <c r="B37" s="36">
        <v>3</v>
      </c>
      <c r="C37" s="36">
        <v>21</v>
      </c>
      <c r="D37" s="36">
        <v>1</v>
      </c>
      <c r="E37" s="36" t="s">
        <v>105</v>
      </c>
    </row>
    <row r="38" spans="1:5">
      <c r="A38" s="36">
        <v>15</v>
      </c>
      <c r="B38" s="36">
        <v>5</v>
      </c>
      <c r="C38" s="36">
        <v>7</v>
      </c>
      <c r="D38" s="36">
        <v>0</v>
      </c>
      <c r="E38" s="36" t="s">
        <v>26</v>
      </c>
    </row>
    <row r="39" spans="1:5">
      <c r="A39" s="36">
        <v>4</v>
      </c>
      <c r="B39" s="36">
        <v>3</v>
      </c>
      <c r="C39" s="36">
        <v>15</v>
      </c>
      <c r="D39" s="36">
        <v>0</v>
      </c>
      <c r="E39" s="36" t="s">
        <v>8</v>
      </c>
    </row>
    <row r="40" spans="1:5">
      <c r="A40" s="36">
        <v>61</v>
      </c>
      <c r="B40" s="36">
        <v>4</v>
      </c>
      <c r="C40" s="36">
        <v>21</v>
      </c>
      <c r="D40" s="36">
        <v>1</v>
      </c>
      <c r="E40" s="36" t="s">
        <v>105</v>
      </c>
    </row>
    <row r="41" spans="1:5">
      <c r="A41" s="36">
        <v>10</v>
      </c>
      <c r="B41" s="36">
        <v>2</v>
      </c>
      <c r="C41" s="36">
        <v>33</v>
      </c>
      <c r="D41" s="36">
        <v>0</v>
      </c>
      <c r="E41" s="36" t="s">
        <v>105</v>
      </c>
    </row>
    <row r="42" spans="1:5">
      <c r="A42" s="36">
        <v>61</v>
      </c>
      <c r="B42" s="36">
        <v>3</v>
      </c>
      <c r="C42" s="36">
        <v>33</v>
      </c>
      <c r="D42" s="36">
        <v>1</v>
      </c>
      <c r="E42" s="36" t="s">
        <v>105</v>
      </c>
    </row>
    <row r="43" spans="1:5">
      <c r="A43" s="36">
        <v>29</v>
      </c>
      <c r="B43" s="36">
        <v>3</v>
      </c>
      <c r="C43" s="36">
        <v>15</v>
      </c>
      <c r="D43" s="36">
        <v>1</v>
      </c>
      <c r="E43" s="36" t="s">
        <v>8</v>
      </c>
    </row>
    <row r="44" spans="1:5">
      <c r="A44" s="36">
        <v>65</v>
      </c>
      <c r="B44" s="36">
        <v>4</v>
      </c>
      <c r="C44" s="36">
        <v>18</v>
      </c>
      <c r="D44" s="36">
        <v>0</v>
      </c>
      <c r="E44" s="36" t="s">
        <v>105</v>
      </c>
    </row>
    <row r="45" spans="1:5">
      <c r="A45" s="36">
        <v>5</v>
      </c>
      <c r="B45" s="36">
        <v>2</v>
      </c>
      <c r="C45" s="36">
        <v>21</v>
      </c>
      <c r="D45" s="36">
        <v>0</v>
      </c>
      <c r="E45" s="36" t="s">
        <v>105</v>
      </c>
    </row>
    <row r="46" spans="1:5">
      <c r="A46" s="36">
        <v>30</v>
      </c>
      <c r="B46" s="36">
        <v>7</v>
      </c>
      <c r="C46" s="36">
        <v>33</v>
      </c>
      <c r="D46" s="36">
        <v>0</v>
      </c>
      <c r="E46" s="36" t="s">
        <v>105</v>
      </c>
    </row>
    <row r="47" spans="1:5">
      <c r="A47" s="36">
        <v>61</v>
      </c>
      <c r="B47" s="36">
        <v>3</v>
      </c>
      <c r="C47" s="36">
        <v>18</v>
      </c>
      <c r="D47" s="36">
        <v>1</v>
      </c>
      <c r="E47" s="36" t="s">
        <v>105</v>
      </c>
    </row>
    <row r="48" spans="1:5">
      <c r="A48" s="36">
        <v>75</v>
      </c>
      <c r="B48" s="36">
        <v>4</v>
      </c>
      <c r="C48" s="36">
        <v>14</v>
      </c>
      <c r="D48" s="36">
        <v>1</v>
      </c>
      <c r="E48" s="36" t="s">
        <v>8</v>
      </c>
    </row>
    <row r="49" spans="1:5">
      <c r="A49" s="36">
        <v>24</v>
      </c>
      <c r="B49" s="36">
        <v>3</v>
      </c>
      <c r="C49" s="36">
        <v>33</v>
      </c>
      <c r="D49" s="36">
        <v>1</v>
      </c>
      <c r="E49" s="36" t="s">
        <v>105</v>
      </c>
    </row>
    <row r="50" spans="1:5">
      <c r="A50" s="36">
        <v>21</v>
      </c>
      <c r="B50" s="36">
        <v>2</v>
      </c>
      <c r="C50" s="36">
        <v>7</v>
      </c>
      <c r="D50" s="36">
        <v>0</v>
      </c>
      <c r="E50" s="36" t="s">
        <v>26</v>
      </c>
    </row>
    <row r="51" spans="1:5">
      <c r="A51" s="36">
        <v>43</v>
      </c>
      <c r="B51" s="36">
        <v>3</v>
      </c>
      <c r="C51" s="36">
        <v>12</v>
      </c>
      <c r="D51" s="36">
        <v>1</v>
      </c>
      <c r="E51" s="36" t="s">
        <v>8</v>
      </c>
    </row>
    <row r="52" spans="1:5">
      <c r="A52" s="36">
        <v>18</v>
      </c>
      <c r="B52" s="36">
        <v>5</v>
      </c>
      <c r="C52" s="36">
        <v>12</v>
      </c>
      <c r="D52" s="36">
        <v>0</v>
      </c>
      <c r="E52" s="36" t="s">
        <v>8</v>
      </c>
    </row>
    <row r="53" spans="1:5">
      <c r="A53" s="36">
        <v>28</v>
      </c>
      <c r="B53" s="36">
        <v>4</v>
      </c>
      <c r="C53" s="36">
        <v>4</v>
      </c>
      <c r="D53" s="36">
        <v>1</v>
      </c>
      <c r="E53" s="36" t="s">
        <v>26</v>
      </c>
    </row>
    <row r="54" spans="1:5">
      <c r="A54" s="36">
        <v>12</v>
      </c>
      <c r="B54" s="36">
        <v>3</v>
      </c>
      <c r="C54" s="36">
        <v>21</v>
      </c>
      <c r="D54" s="36">
        <v>1</v>
      </c>
      <c r="E54" s="36" t="s">
        <v>105</v>
      </c>
    </row>
    <row r="55" spans="1:5">
      <c r="A55" s="36">
        <v>75</v>
      </c>
      <c r="B55" s="36">
        <v>3</v>
      </c>
      <c r="C55" s="36">
        <v>13</v>
      </c>
      <c r="D55" s="36">
        <v>1</v>
      </c>
      <c r="E55" s="36" t="s">
        <v>8</v>
      </c>
    </row>
    <row r="56" spans="1:5">
      <c r="A56" s="36">
        <v>24</v>
      </c>
      <c r="B56" s="36">
        <v>3</v>
      </c>
      <c r="C56" s="36">
        <v>21</v>
      </c>
      <c r="D56" s="36">
        <v>0</v>
      </c>
      <c r="E56" s="36" t="s">
        <v>105</v>
      </c>
    </row>
    <row r="57" spans="1:5">
      <c r="A57" s="36">
        <v>4</v>
      </c>
      <c r="B57" s="36">
        <v>3</v>
      </c>
      <c r="C57" s="36">
        <v>15</v>
      </c>
      <c r="D57" s="36">
        <v>0</v>
      </c>
      <c r="E57" s="36" t="s">
        <v>8</v>
      </c>
    </row>
    <row r="58" spans="1:5">
      <c r="A58" s="36">
        <v>54</v>
      </c>
      <c r="B58" s="36">
        <v>4</v>
      </c>
      <c r="C58" s="36">
        <v>14</v>
      </c>
      <c r="D58" s="36">
        <v>0</v>
      </c>
      <c r="E58" s="36" t="s">
        <v>8</v>
      </c>
    </row>
    <row r="59" spans="1:5">
      <c r="A59" s="36">
        <v>28</v>
      </c>
      <c r="B59" s="36">
        <v>4</v>
      </c>
      <c r="C59" s="36">
        <v>14</v>
      </c>
      <c r="D59" s="36">
        <v>1</v>
      </c>
      <c r="E59" s="36" t="s">
        <v>8</v>
      </c>
    </row>
    <row r="60" spans="1:5">
      <c r="A60" s="36">
        <v>21</v>
      </c>
      <c r="B60" s="36">
        <v>5</v>
      </c>
      <c r="C60" s="36">
        <v>15</v>
      </c>
      <c r="D60" s="36">
        <v>1</v>
      </c>
      <c r="E60" s="36" t="s">
        <v>8</v>
      </c>
    </row>
    <row r="61" spans="1:5">
      <c r="A61" s="36">
        <v>61</v>
      </c>
      <c r="B61" s="36">
        <v>3</v>
      </c>
      <c r="C61" s="36">
        <v>18</v>
      </c>
      <c r="D61" s="36">
        <v>1</v>
      </c>
      <c r="E61" s="36" t="s">
        <v>105</v>
      </c>
    </row>
    <row r="62" spans="1:5">
      <c r="A62" s="36">
        <v>15</v>
      </c>
      <c r="B62" s="36">
        <v>4</v>
      </c>
      <c r="C62" s="36">
        <v>21</v>
      </c>
      <c r="D62" s="36">
        <v>1</v>
      </c>
      <c r="E62" s="36" t="s">
        <v>105</v>
      </c>
    </row>
    <row r="63" spans="1:5">
      <c r="A63" s="36">
        <v>4</v>
      </c>
      <c r="B63" s="36">
        <v>2</v>
      </c>
      <c r="C63" s="36">
        <v>18</v>
      </c>
      <c r="D63" s="36">
        <v>1</v>
      </c>
      <c r="E63" s="36" t="s">
        <v>105</v>
      </c>
    </row>
    <row r="64" spans="1:5">
      <c r="A64" s="36">
        <v>68</v>
      </c>
      <c r="B64" s="36">
        <v>4</v>
      </c>
      <c r="C64" s="36">
        <v>15</v>
      </c>
      <c r="D64" s="36">
        <v>0</v>
      </c>
      <c r="E64" s="36" t="s">
        <v>8</v>
      </c>
    </row>
    <row r="65" spans="1:5">
      <c r="A65" s="36">
        <v>36</v>
      </c>
      <c r="B65" s="36">
        <v>2</v>
      </c>
      <c r="C65" s="36">
        <v>21</v>
      </c>
      <c r="D65" s="36">
        <v>0</v>
      </c>
      <c r="E65" s="36" t="s">
        <v>105</v>
      </c>
    </row>
    <row r="66" spans="1:5">
      <c r="A66" s="36">
        <v>38</v>
      </c>
      <c r="B66" s="36">
        <v>2</v>
      </c>
      <c r="C66" s="36">
        <v>33</v>
      </c>
      <c r="D66" s="36">
        <v>0</v>
      </c>
      <c r="E66" s="36" t="s">
        <v>105</v>
      </c>
    </row>
    <row r="67" spans="1:5">
      <c r="A67" s="36">
        <v>32</v>
      </c>
      <c r="B67" s="36">
        <v>4</v>
      </c>
      <c r="C67" s="36">
        <v>13</v>
      </c>
      <c r="D67" s="36">
        <v>0</v>
      </c>
      <c r="E67" s="36" t="s">
        <v>8</v>
      </c>
    </row>
    <row r="68" spans="1:5">
      <c r="A68" s="36">
        <v>24</v>
      </c>
      <c r="B68" s="36">
        <v>5</v>
      </c>
      <c r="C68" s="36">
        <v>12</v>
      </c>
      <c r="D68" s="36">
        <v>1</v>
      </c>
      <c r="E68" s="36" t="s">
        <v>8</v>
      </c>
    </row>
    <row r="69" spans="1:5">
      <c r="A69" s="36">
        <v>29</v>
      </c>
      <c r="B69" s="36">
        <v>3</v>
      </c>
      <c r="C69" s="36">
        <v>13</v>
      </c>
      <c r="D69" s="36">
        <v>0</v>
      </c>
      <c r="E69" s="36" t="s">
        <v>8</v>
      </c>
    </row>
    <row r="70" spans="1:5">
      <c r="A70" s="36">
        <v>6</v>
      </c>
      <c r="B70" s="36">
        <v>4</v>
      </c>
      <c r="C70" s="36">
        <v>33</v>
      </c>
      <c r="D70" s="36">
        <v>0</v>
      </c>
      <c r="E70" s="36" t="s">
        <v>105</v>
      </c>
    </row>
    <row r="71" spans="1:5">
      <c r="A71" s="36">
        <v>6</v>
      </c>
      <c r="B71" s="36">
        <v>4</v>
      </c>
      <c r="C71" s="36">
        <v>33</v>
      </c>
      <c r="D71" s="36">
        <v>0</v>
      </c>
      <c r="E71" s="36" t="s">
        <v>105</v>
      </c>
    </row>
    <row r="72" spans="1:5">
      <c r="A72" s="36">
        <v>12</v>
      </c>
      <c r="B72" s="36">
        <v>4</v>
      </c>
      <c r="C72" s="36">
        <v>18</v>
      </c>
      <c r="D72" s="36">
        <v>0</v>
      </c>
      <c r="E72" s="36" t="s">
        <v>105</v>
      </c>
    </row>
    <row r="73" spans="1:5">
      <c r="A73" s="36">
        <v>42</v>
      </c>
      <c r="B73" s="36">
        <v>4</v>
      </c>
      <c r="C73" s="36">
        <v>13</v>
      </c>
      <c r="D73" s="36">
        <v>1</v>
      </c>
      <c r="E73" s="36" t="s">
        <v>8</v>
      </c>
    </row>
    <row r="74" spans="1:5">
      <c r="A74" s="36">
        <v>19</v>
      </c>
      <c r="B74" s="36">
        <v>4</v>
      </c>
      <c r="C74" s="36">
        <v>14</v>
      </c>
      <c r="D74" s="36">
        <v>1</v>
      </c>
      <c r="E74" s="36" t="s">
        <v>8</v>
      </c>
    </row>
    <row r="75" spans="1:5">
      <c r="A75" s="36">
        <v>14</v>
      </c>
      <c r="B75" s="36">
        <v>2</v>
      </c>
      <c r="C75" s="36">
        <v>33</v>
      </c>
      <c r="D75" s="36">
        <v>1</v>
      </c>
      <c r="E75" s="36" t="s">
        <v>105</v>
      </c>
    </row>
    <row r="76" spans="1:5">
      <c r="A76" s="36">
        <v>16</v>
      </c>
      <c r="B76" s="36">
        <v>4</v>
      </c>
      <c r="C76" s="36">
        <v>13</v>
      </c>
      <c r="D76" s="36">
        <v>1</v>
      </c>
      <c r="E76" s="36" t="s">
        <v>8</v>
      </c>
    </row>
    <row r="77" spans="1:5">
      <c r="A77" s="36">
        <v>14</v>
      </c>
      <c r="B77" s="36">
        <v>2</v>
      </c>
      <c r="C77" s="36">
        <v>33</v>
      </c>
      <c r="D77" s="36">
        <v>1</v>
      </c>
      <c r="E77" s="36" t="s">
        <v>105</v>
      </c>
    </row>
    <row r="78" spans="1:5">
      <c r="A78" s="36">
        <v>41</v>
      </c>
      <c r="B78" s="36">
        <v>4</v>
      </c>
      <c r="C78" s="36">
        <v>18</v>
      </c>
      <c r="D78" s="36">
        <v>0</v>
      </c>
      <c r="E78" s="36" t="s">
        <v>105</v>
      </c>
    </row>
    <row r="79" spans="1:5">
      <c r="A79" s="36">
        <v>43</v>
      </c>
      <c r="B79" s="36">
        <v>3</v>
      </c>
      <c r="C79" s="36">
        <v>12</v>
      </c>
      <c r="D79" s="36">
        <v>1</v>
      </c>
      <c r="E79" s="36" t="s">
        <v>8</v>
      </c>
    </row>
    <row r="80" spans="1:5">
      <c r="A80" s="36">
        <v>3</v>
      </c>
      <c r="B80" s="36">
        <v>5</v>
      </c>
      <c r="C80" s="36">
        <v>10</v>
      </c>
      <c r="D80" s="36">
        <v>1</v>
      </c>
      <c r="E80" s="36" t="s">
        <v>8</v>
      </c>
    </row>
    <row r="81" spans="1:5">
      <c r="A81" s="36">
        <v>55</v>
      </c>
      <c r="B81" s="36">
        <v>7</v>
      </c>
      <c r="C81" s="36">
        <v>18</v>
      </c>
      <c r="D81" s="36">
        <v>0</v>
      </c>
      <c r="E81" s="36" t="s">
        <v>105</v>
      </c>
    </row>
    <row r="82" spans="1:5">
      <c r="A82" s="36">
        <v>49</v>
      </c>
      <c r="B82" s="36">
        <v>3</v>
      </c>
      <c r="C82" s="36">
        <v>15</v>
      </c>
      <c r="D82" s="36">
        <v>0</v>
      </c>
      <c r="E82" s="36" t="s">
        <v>8</v>
      </c>
    </row>
    <row r="83" spans="1:5">
      <c r="A83" s="36">
        <v>47</v>
      </c>
      <c r="B83" s="36">
        <v>3</v>
      </c>
      <c r="C83" s="36">
        <v>18</v>
      </c>
      <c r="D83" s="36">
        <v>0</v>
      </c>
      <c r="E83" s="36" t="s">
        <v>105</v>
      </c>
    </row>
    <row r="84" spans="1:5">
      <c r="A84" s="36">
        <v>65</v>
      </c>
      <c r="B84" s="36">
        <v>4</v>
      </c>
      <c r="C84" s="36">
        <v>18</v>
      </c>
      <c r="D84" s="36">
        <v>0</v>
      </c>
      <c r="E84" s="36" t="s">
        <v>105</v>
      </c>
    </row>
    <row r="85" spans="1:5">
      <c r="A85" s="36">
        <v>66</v>
      </c>
      <c r="B85" s="36">
        <v>5</v>
      </c>
      <c r="C85" s="36">
        <v>7</v>
      </c>
      <c r="D85" s="36">
        <v>1</v>
      </c>
      <c r="E85" s="36" t="s">
        <v>26</v>
      </c>
    </row>
    <row r="86" spans="1:5">
      <c r="A86" s="36">
        <v>34</v>
      </c>
      <c r="B86" s="36">
        <v>2</v>
      </c>
      <c r="C86" s="36">
        <v>21</v>
      </c>
      <c r="D86" s="36">
        <v>1</v>
      </c>
      <c r="E86" s="36" t="s">
        <v>105</v>
      </c>
    </row>
    <row r="87" spans="1:5">
      <c r="A87" s="36">
        <v>18</v>
      </c>
      <c r="B87" s="36">
        <v>5</v>
      </c>
      <c r="C87" s="36">
        <v>12</v>
      </c>
      <c r="D87" s="36">
        <v>0</v>
      </c>
      <c r="E87" s="36" t="s">
        <v>8</v>
      </c>
    </row>
    <row r="88" spans="1:5">
      <c r="A88" s="36">
        <v>32</v>
      </c>
      <c r="B88" s="36">
        <v>4</v>
      </c>
      <c r="C88" s="36">
        <v>33</v>
      </c>
      <c r="D88" s="36">
        <v>1</v>
      </c>
      <c r="E88" s="36" t="s">
        <v>105</v>
      </c>
    </row>
    <row r="89" spans="1:5">
      <c r="A89" s="36">
        <v>61</v>
      </c>
      <c r="B89" s="36">
        <v>4</v>
      </c>
      <c r="C89" s="36">
        <v>21</v>
      </c>
      <c r="D89" s="36">
        <v>1</v>
      </c>
      <c r="E89" s="36" t="s">
        <v>105</v>
      </c>
    </row>
    <row r="90" spans="1:5">
      <c r="A90" s="36">
        <v>75</v>
      </c>
      <c r="B90" s="36">
        <v>3</v>
      </c>
      <c r="C90" s="36">
        <v>13</v>
      </c>
      <c r="D90" s="36">
        <v>1</v>
      </c>
      <c r="E90" s="36" t="s">
        <v>8</v>
      </c>
    </row>
    <row r="91" spans="1:5">
      <c r="A91" s="36">
        <v>21</v>
      </c>
      <c r="B91" s="36">
        <v>5</v>
      </c>
      <c r="C91" s="36">
        <v>15</v>
      </c>
      <c r="D91" s="36">
        <v>1</v>
      </c>
      <c r="E91" s="36" t="s">
        <v>8</v>
      </c>
    </row>
    <row r="92" spans="1:5">
      <c r="A92" s="36">
        <v>8</v>
      </c>
      <c r="B92" s="36">
        <v>4</v>
      </c>
      <c r="C92" s="36">
        <v>13</v>
      </c>
      <c r="D92" s="36">
        <v>0</v>
      </c>
      <c r="E92" s="36" t="s">
        <v>8</v>
      </c>
    </row>
    <row r="93" spans="1:5">
      <c r="A93" s="36">
        <v>50</v>
      </c>
      <c r="B93" s="36">
        <v>3</v>
      </c>
      <c r="C93" s="36">
        <v>13</v>
      </c>
      <c r="D93" s="36">
        <v>0</v>
      </c>
      <c r="E93" s="36" t="s">
        <v>8</v>
      </c>
    </row>
    <row r="94" spans="1:5">
      <c r="A94" s="36">
        <v>28</v>
      </c>
      <c r="B94" s="36">
        <v>3</v>
      </c>
      <c r="C94" s="36">
        <v>13</v>
      </c>
      <c r="D94" s="36">
        <v>1</v>
      </c>
      <c r="E94" s="36" t="s">
        <v>8</v>
      </c>
    </row>
    <row r="95" spans="1:5">
      <c r="A95" s="36">
        <v>82</v>
      </c>
      <c r="B95" s="36">
        <v>5</v>
      </c>
      <c r="C95" s="36">
        <v>33</v>
      </c>
      <c r="D95" s="36">
        <v>1</v>
      </c>
      <c r="E95" s="36" t="s">
        <v>105</v>
      </c>
    </row>
    <row r="96" spans="1:5">
      <c r="A96" s="36">
        <v>48</v>
      </c>
      <c r="B96" s="36">
        <v>4</v>
      </c>
      <c r="C96" s="36">
        <v>13</v>
      </c>
      <c r="D96" s="36">
        <v>0</v>
      </c>
      <c r="E96" s="36" t="s">
        <v>8</v>
      </c>
    </row>
    <row r="97" spans="1:5">
      <c r="A97" s="36">
        <v>51</v>
      </c>
      <c r="B97" s="36">
        <v>3</v>
      </c>
      <c r="C97" s="36">
        <v>33</v>
      </c>
      <c r="D97" s="36">
        <v>1</v>
      </c>
      <c r="E97" s="36" t="s">
        <v>105</v>
      </c>
    </row>
    <row r="98" spans="1:5">
      <c r="A98" s="36">
        <v>39</v>
      </c>
      <c r="B98" s="36">
        <v>4</v>
      </c>
      <c r="C98" s="36">
        <v>33</v>
      </c>
      <c r="D98" s="36">
        <v>0</v>
      </c>
      <c r="E98" s="36" t="s">
        <v>105</v>
      </c>
    </row>
    <row r="99" spans="1:5">
      <c r="A99" s="36">
        <v>12</v>
      </c>
      <c r="B99" s="36">
        <v>5</v>
      </c>
      <c r="C99" s="36">
        <v>13</v>
      </c>
      <c r="D99" s="36">
        <v>1</v>
      </c>
      <c r="E99" s="36" t="s">
        <v>8</v>
      </c>
    </row>
    <row r="100" spans="1:5">
      <c r="A100" s="36">
        <v>4</v>
      </c>
      <c r="B100" s="36">
        <v>2</v>
      </c>
      <c r="C100" s="36">
        <v>12</v>
      </c>
      <c r="D100" s="36">
        <v>0</v>
      </c>
      <c r="E100" s="36" t="s">
        <v>8</v>
      </c>
    </row>
    <row r="101" spans="1:5">
      <c r="A101" s="36">
        <v>49</v>
      </c>
      <c r="B101" s="36">
        <v>4</v>
      </c>
      <c r="C101" s="36">
        <v>7</v>
      </c>
      <c r="D101" s="36">
        <v>1</v>
      </c>
      <c r="E101" s="36" t="s">
        <v>26</v>
      </c>
    </row>
    <row r="102" spans="1:5">
      <c r="A102" s="36">
        <v>10</v>
      </c>
      <c r="B102" s="36">
        <v>2</v>
      </c>
      <c r="C102" s="36">
        <v>33</v>
      </c>
      <c r="D102" s="36">
        <v>0</v>
      </c>
      <c r="E102" s="36" t="s">
        <v>105</v>
      </c>
    </row>
    <row r="103" spans="1:5">
      <c r="A103" s="36">
        <v>27</v>
      </c>
      <c r="B103" s="36">
        <v>3</v>
      </c>
      <c r="C103" s="36">
        <v>13</v>
      </c>
      <c r="D103" s="36">
        <v>1</v>
      </c>
      <c r="E103" s="36" t="s">
        <v>8</v>
      </c>
    </row>
    <row r="104" spans="1:5">
      <c r="A104" s="36">
        <v>35</v>
      </c>
      <c r="B104" s="36">
        <v>4</v>
      </c>
      <c r="C104" s="36">
        <v>15</v>
      </c>
      <c r="D104" s="36">
        <v>1</v>
      </c>
      <c r="E104" s="36" t="s">
        <v>8</v>
      </c>
    </row>
    <row r="105" spans="1:5">
      <c r="A105" s="36">
        <v>42</v>
      </c>
      <c r="B105" s="36">
        <v>4</v>
      </c>
      <c r="C105" s="36">
        <v>13</v>
      </c>
      <c r="D105" s="36">
        <v>1</v>
      </c>
      <c r="E105" s="36" t="s">
        <v>8</v>
      </c>
    </row>
    <row r="106" spans="1:5">
      <c r="A106" s="36">
        <v>23</v>
      </c>
      <c r="B106" s="36">
        <v>5</v>
      </c>
      <c r="C106" s="36">
        <v>13</v>
      </c>
      <c r="D106" s="36">
        <v>1</v>
      </c>
      <c r="E106" s="36" t="s">
        <v>8</v>
      </c>
    </row>
    <row r="107" spans="1:5">
      <c r="A107" s="36">
        <v>23</v>
      </c>
      <c r="B107" s="36">
        <v>3</v>
      </c>
      <c r="C107" s="36">
        <v>12</v>
      </c>
      <c r="D107" s="36">
        <v>0</v>
      </c>
      <c r="E107" s="36" t="s">
        <v>8</v>
      </c>
    </row>
    <row r="108" spans="1:5">
      <c r="A108" s="36">
        <v>52</v>
      </c>
      <c r="B108" s="36">
        <v>3</v>
      </c>
      <c r="C108" s="36">
        <v>33</v>
      </c>
      <c r="D108" s="36">
        <v>1</v>
      </c>
      <c r="E108" s="36" t="s">
        <v>105</v>
      </c>
    </row>
    <row r="109" spans="1:5">
      <c r="A109" s="36">
        <v>48</v>
      </c>
      <c r="B109" s="36">
        <v>5</v>
      </c>
      <c r="C109" s="36">
        <v>18</v>
      </c>
      <c r="D109" s="36">
        <v>0</v>
      </c>
      <c r="E109" s="36" t="s">
        <v>105</v>
      </c>
    </row>
    <row r="110" spans="1:5">
      <c r="A110" s="36">
        <v>70</v>
      </c>
      <c r="B110" s="36">
        <v>2</v>
      </c>
      <c r="C110" s="36">
        <v>10</v>
      </c>
      <c r="D110" s="36">
        <v>0</v>
      </c>
      <c r="E110" s="36" t="s">
        <v>8</v>
      </c>
    </row>
    <row r="111" spans="1:5">
      <c r="A111" s="36">
        <v>42</v>
      </c>
      <c r="B111" s="36">
        <v>4</v>
      </c>
      <c r="C111" s="36">
        <v>13</v>
      </c>
      <c r="D111" s="36">
        <v>1</v>
      </c>
      <c r="E111" s="36" t="s">
        <v>8</v>
      </c>
    </row>
    <row r="112" spans="1:5">
      <c r="A112" s="36">
        <v>68</v>
      </c>
      <c r="B112" s="36">
        <v>4</v>
      </c>
      <c r="C112" s="36">
        <v>15</v>
      </c>
      <c r="D112" s="36">
        <v>0</v>
      </c>
      <c r="E112" s="36" t="s">
        <v>8</v>
      </c>
    </row>
    <row r="113" spans="1:5">
      <c r="A113" s="36">
        <v>23</v>
      </c>
      <c r="B113" s="36">
        <v>3</v>
      </c>
      <c r="C113" s="36">
        <v>13</v>
      </c>
      <c r="D113" s="36">
        <v>0</v>
      </c>
      <c r="E113" s="36" t="s">
        <v>8</v>
      </c>
    </row>
    <row r="114" spans="1:5">
      <c r="A114" s="36">
        <v>4</v>
      </c>
      <c r="B114" s="36">
        <v>2</v>
      </c>
      <c r="C114" s="36">
        <v>33</v>
      </c>
      <c r="D114" s="36">
        <v>1</v>
      </c>
      <c r="E114" s="36" t="s">
        <v>105</v>
      </c>
    </row>
    <row r="115" spans="1:5">
      <c r="A115" s="36">
        <v>34</v>
      </c>
      <c r="B115" s="36">
        <v>4</v>
      </c>
      <c r="C115" s="36">
        <v>3</v>
      </c>
      <c r="D115" s="36">
        <v>1</v>
      </c>
      <c r="E115" s="36" t="s">
        <v>26</v>
      </c>
    </row>
    <row r="116" spans="1:5">
      <c r="A116" s="36">
        <v>52</v>
      </c>
      <c r="B116" s="36">
        <v>3</v>
      </c>
      <c r="C116" s="36">
        <v>33</v>
      </c>
      <c r="D116" s="36">
        <v>1</v>
      </c>
      <c r="E116" s="36" t="s">
        <v>105</v>
      </c>
    </row>
    <row r="117" spans="1:5">
      <c r="A117" s="36">
        <v>10</v>
      </c>
      <c r="B117" s="36">
        <v>5</v>
      </c>
      <c r="C117" s="36">
        <v>14</v>
      </c>
      <c r="D117" s="36">
        <v>1</v>
      </c>
      <c r="E117" s="36" t="s">
        <v>8</v>
      </c>
    </row>
    <row r="118" spans="1:5">
      <c r="A118" s="36">
        <v>28</v>
      </c>
      <c r="B118" s="36">
        <v>4</v>
      </c>
      <c r="C118" s="36">
        <v>21</v>
      </c>
      <c r="D118" s="36">
        <v>1</v>
      </c>
      <c r="E118" s="36" t="s">
        <v>105</v>
      </c>
    </row>
    <row r="119" spans="1:5">
      <c r="A119" s="36">
        <v>49</v>
      </c>
      <c r="B119" s="36">
        <v>4</v>
      </c>
      <c r="C119" s="36">
        <v>33</v>
      </c>
      <c r="D119" s="36">
        <v>1</v>
      </c>
      <c r="E119" s="36" t="s">
        <v>105</v>
      </c>
    </row>
    <row r="120" spans="1:5">
      <c r="A120" s="36">
        <v>65</v>
      </c>
      <c r="B120" s="36">
        <v>4</v>
      </c>
      <c r="C120" s="36">
        <v>18</v>
      </c>
      <c r="D120" s="36">
        <v>0</v>
      </c>
      <c r="E120" s="36" t="s">
        <v>105</v>
      </c>
    </row>
    <row r="121" spans="1:5">
      <c r="A121" s="36">
        <v>6</v>
      </c>
      <c r="B121" s="36">
        <v>3</v>
      </c>
      <c r="C121" s="36">
        <v>13</v>
      </c>
      <c r="D121" s="36">
        <v>0</v>
      </c>
      <c r="E121" s="36" t="s">
        <v>8</v>
      </c>
    </row>
    <row r="122" spans="1:5">
      <c r="A122" s="36">
        <v>37</v>
      </c>
      <c r="B122" s="36">
        <v>4</v>
      </c>
      <c r="C122" s="36">
        <v>14</v>
      </c>
      <c r="D122" s="36">
        <v>1</v>
      </c>
      <c r="E122" s="36" t="s">
        <v>8</v>
      </c>
    </row>
    <row r="123" spans="1:5">
      <c r="A123" s="36">
        <v>29</v>
      </c>
      <c r="B123" s="36">
        <v>3</v>
      </c>
      <c r="C123" s="36">
        <v>13</v>
      </c>
      <c r="D123" s="36">
        <v>0</v>
      </c>
      <c r="E123" s="36" t="s">
        <v>8</v>
      </c>
    </row>
    <row r="124" spans="1:5">
      <c r="A124" s="36">
        <v>34</v>
      </c>
      <c r="B124" s="36">
        <v>3</v>
      </c>
      <c r="C124" s="36">
        <v>12</v>
      </c>
      <c r="D124" s="36">
        <v>0</v>
      </c>
      <c r="E124" s="36" t="s">
        <v>8</v>
      </c>
    </row>
    <row r="125" spans="1:5">
      <c r="A125" s="36">
        <v>61</v>
      </c>
      <c r="B125" s="36">
        <v>3</v>
      </c>
      <c r="C125" s="36">
        <v>33</v>
      </c>
      <c r="D125" s="36">
        <v>1</v>
      </c>
      <c r="E125" s="36" t="s">
        <v>105</v>
      </c>
    </row>
    <row r="126" spans="1:5">
      <c r="A126" s="36">
        <v>23</v>
      </c>
      <c r="B126" s="36">
        <v>3</v>
      </c>
      <c r="C126" s="36">
        <v>13</v>
      </c>
      <c r="D126" s="36">
        <v>0</v>
      </c>
      <c r="E126" s="36" t="s">
        <v>8</v>
      </c>
    </row>
    <row r="127" spans="1:5">
      <c r="A127" s="36">
        <v>84</v>
      </c>
      <c r="B127" s="36">
        <v>3</v>
      </c>
      <c r="C127" s="36">
        <v>10</v>
      </c>
      <c r="D127" s="36">
        <v>0</v>
      </c>
      <c r="E127" s="36" t="s">
        <v>8</v>
      </c>
    </row>
    <row r="128" spans="1:5">
      <c r="A128" s="36">
        <v>55</v>
      </c>
      <c r="B128" s="36">
        <v>3</v>
      </c>
      <c r="C128" s="36">
        <v>21</v>
      </c>
      <c r="D128" s="36">
        <v>1</v>
      </c>
      <c r="E128" s="36" t="s">
        <v>105</v>
      </c>
    </row>
    <row r="129" spans="1:5">
      <c r="A129" s="36">
        <v>42</v>
      </c>
      <c r="B129" s="36">
        <v>2</v>
      </c>
      <c r="C129" s="36">
        <v>33</v>
      </c>
      <c r="D129" s="36">
        <v>1</v>
      </c>
      <c r="E129" s="36" t="s">
        <v>105</v>
      </c>
    </row>
    <row r="130" spans="1:5">
      <c r="A130" s="36">
        <v>16</v>
      </c>
      <c r="B130" s="36">
        <v>2</v>
      </c>
      <c r="C130" s="36">
        <v>18</v>
      </c>
      <c r="D130" s="36">
        <v>1</v>
      </c>
      <c r="E130" s="36" t="s">
        <v>105</v>
      </c>
    </row>
    <row r="131" spans="1:5">
      <c r="A131" s="36">
        <v>32</v>
      </c>
      <c r="B131" s="36">
        <v>4</v>
      </c>
      <c r="C131" s="36">
        <v>33</v>
      </c>
      <c r="D131" s="36">
        <v>1</v>
      </c>
      <c r="E131" s="36" t="s">
        <v>105</v>
      </c>
    </row>
    <row r="132" spans="1:5">
      <c r="A132" s="36">
        <v>4</v>
      </c>
      <c r="B132" s="36">
        <v>3</v>
      </c>
      <c r="C132" s="36">
        <v>15</v>
      </c>
      <c r="D132" s="36">
        <v>0</v>
      </c>
      <c r="E132" s="36" t="s">
        <v>8</v>
      </c>
    </row>
    <row r="133" spans="1:5">
      <c r="A133" s="36">
        <v>6</v>
      </c>
      <c r="B133" s="36">
        <v>3</v>
      </c>
      <c r="C133" s="36">
        <v>14</v>
      </c>
      <c r="D133" s="36">
        <v>0</v>
      </c>
      <c r="E133" s="36" t="s">
        <v>8</v>
      </c>
    </row>
    <row r="134" spans="1:5">
      <c r="A134" s="36">
        <v>43</v>
      </c>
      <c r="B134" s="36">
        <v>4</v>
      </c>
      <c r="C134" s="36">
        <v>15</v>
      </c>
      <c r="D134" s="36">
        <v>1</v>
      </c>
      <c r="E134" s="36" t="s">
        <v>8</v>
      </c>
    </row>
    <row r="135" spans="1:5">
      <c r="A135" s="36">
        <v>32</v>
      </c>
      <c r="B135" s="36">
        <v>4</v>
      </c>
      <c r="C135" s="36">
        <v>13</v>
      </c>
      <c r="D135" s="36">
        <v>0</v>
      </c>
      <c r="E135" s="36" t="s">
        <v>8</v>
      </c>
    </row>
    <row r="136" spans="1:5">
      <c r="A136" s="36">
        <v>64</v>
      </c>
      <c r="B136" s="36">
        <v>4</v>
      </c>
      <c r="C136" s="36">
        <v>14</v>
      </c>
      <c r="D136" s="36">
        <v>1</v>
      </c>
      <c r="E136" s="36" t="s">
        <v>8</v>
      </c>
    </row>
    <row r="137" spans="1:5">
      <c r="A137" s="36">
        <v>61</v>
      </c>
      <c r="B137" s="36">
        <v>3</v>
      </c>
      <c r="C137" s="36">
        <v>33</v>
      </c>
      <c r="D137" s="36">
        <v>1</v>
      </c>
      <c r="E137" s="36" t="s">
        <v>105</v>
      </c>
    </row>
    <row r="138" spans="1:5">
      <c r="A138" s="36">
        <v>47</v>
      </c>
      <c r="B138" s="36">
        <v>3</v>
      </c>
      <c r="C138" s="36">
        <v>21</v>
      </c>
      <c r="D138" s="36">
        <v>1</v>
      </c>
      <c r="E138" s="36" t="s">
        <v>105</v>
      </c>
    </row>
    <row r="139" spans="1:5">
      <c r="A139" s="36">
        <v>54</v>
      </c>
      <c r="B139" s="36">
        <v>4</v>
      </c>
      <c r="C139" s="36">
        <v>14</v>
      </c>
      <c r="D139" s="36">
        <v>0</v>
      </c>
      <c r="E139" s="36" t="s">
        <v>8</v>
      </c>
    </row>
    <row r="140" spans="1:5">
      <c r="A140" s="36">
        <v>2</v>
      </c>
      <c r="B140" s="36">
        <v>3</v>
      </c>
      <c r="C140" s="36">
        <v>7</v>
      </c>
      <c r="D140" s="36">
        <v>0</v>
      </c>
      <c r="E140" s="36" t="s">
        <v>26</v>
      </c>
    </row>
    <row r="141" spans="1:5">
      <c r="A141" s="36">
        <v>2</v>
      </c>
      <c r="B141" s="36">
        <v>2</v>
      </c>
      <c r="C141" s="36">
        <v>10</v>
      </c>
      <c r="D141" s="36">
        <v>1</v>
      </c>
      <c r="E141" s="36" t="s">
        <v>8</v>
      </c>
    </row>
    <row r="142" spans="1:5">
      <c r="A142" s="36">
        <v>27</v>
      </c>
      <c r="B142" s="36">
        <v>1</v>
      </c>
      <c r="C142" s="36">
        <v>4</v>
      </c>
      <c r="D142" s="36">
        <v>1</v>
      </c>
      <c r="E142" s="36" t="s">
        <v>26</v>
      </c>
    </row>
    <row r="143" spans="1:5">
      <c r="A143" s="36">
        <v>22</v>
      </c>
      <c r="B143" s="36">
        <v>3</v>
      </c>
      <c r="C143" s="36">
        <v>3</v>
      </c>
      <c r="D143" s="36">
        <v>1</v>
      </c>
      <c r="E143" s="36" t="s">
        <v>26</v>
      </c>
    </row>
    <row r="144" spans="1:5">
      <c r="A144" s="36">
        <v>42</v>
      </c>
      <c r="B144" s="36">
        <v>5</v>
      </c>
      <c r="C144" s="36">
        <v>18</v>
      </c>
      <c r="D144" s="36">
        <v>0</v>
      </c>
      <c r="E144" s="36" t="s">
        <v>105</v>
      </c>
    </row>
    <row r="145" spans="1:5">
      <c r="A145" s="36">
        <v>61</v>
      </c>
      <c r="B145" s="36">
        <v>4</v>
      </c>
      <c r="C145" s="36">
        <v>21</v>
      </c>
      <c r="D145" s="36">
        <v>1</v>
      </c>
      <c r="E145" s="36" t="s">
        <v>105</v>
      </c>
    </row>
    <row r="146" spans="1:5">
      <c r="A146" s="36">
        <v>65</v>
      </c>
      <c r="B146" s="36">
        <v>4</v>
      </c>
      <c r="C146" s="36">
        <v>18</v>
      </c>
      <c r="D146" s="36">
        <v>0</v>
      </c>
      <c r="E146" s="36" t="s">
        <v>105</v>
      </c>
    </row>
    <row r="147" spans="1:5">
      <c r="A147" s="36">
        <v>7</v>
      </c>
      <c r="B147" s="36">
        <v>3</v>
      </c>
      <c r="C147" s="36">
        <v>15</v>
      </c>
      <c r="D147" s="36">
        <v>0</v>
      </c>
      <c r="E147" s="36" t="s">
        <v>8</v>
      </c>
    </row>
    <row r="148" spans="1:5">
      <c r="A148" s="36">
        <v>19</v>
      </c>
      <c r="B148" s="36">
        <v>4</v>
      </c>
      <c r="C148" s="36">
        <v>14</v>
      </c>
      <c r="D148" s="36">
        <v>1</v>
      </c>
      <c r="E148" s="36" t="s">
        <v>8</v>
      </c>
    </row>
    <row r="149" spans="1:5">
      <c r="A149" s="36">
        <v>42</v>
      </c>
      <c r="B149" s="36">
        <v>5</v>
      </c>
      <c r="C149" s="36">
        <v>18</v>
      </c>
      <c r="D149" s="36">
        <v>0</v>
      </c>
      <c r="E149" s="36" t="s">
        <v>105</v>
      </c>
    </row>
    <row r="150" spans="1:5">
      <c r="A150" s="36">
        <v>49</v>
      </c>
      <c r="B150" s="36">
        <v>4</v>
      </c>
      <c r="C150" s="36">
        <v>33</v>
      </c>
      <c r="D150" s="36">
        <v>1</v>
      </c>
      <c r="E150" s="36" t="s">
        <v>105</v>
      </c>
    </row>
    <row r="151" spans="1:5">
      <c r="A151" s="36">
        <v>18</v>
      </c>
      <c r="B151" s="36">
        <v>2</v>
      </c>
      <c r="C151" s="36">
        <v>12</v>
      </c>
      <c r="D151" s="36">
        <v>1</v>
      </c>
      <c r="E151" s="36" t="s">
        <v>8</v>
      </c>
    </row>
    <row r="152" spans="1:5">
      <c r="A152" s="36">
        <v>6</v>
      </c>
      <c r="B152" s="36">
        <v>4</v>
      </c>
      <c r="C152" s="36">
        <v>33</v>
      </c>
      <c r="D152" s="36">
        <v>0</v>
      </c>
      <c r="E152" s="36" t="s">
        <v>105</v>
      </c>
    </row>
    <row r="153" spans="1:5">
      <c r="A153" s="36">
        <v>60</v>
      </c>
      <c r="B153" s="36">
        <v>4</v>
      </c>
      <c r="C153" s="36">
        <v>14</v>
      </c>
      <c r="D153" s="36">
        <v>0</v>
      </c>
      <c r="E153" s="36" t="s">
        <v>8</v>
      </c>
    </row>
    <row r="154" spans="1:5">
      <c r="A154" s="36">
        <v>7</v>
      </c>
      <c r="B154" s="36">
        <v>4</v>
      </c>
      <c r="C154" s="36">
        <v>15</v>
      </c>
      <c r="D154" s="36">
        <v>1</v>
      </c>
      <c r="E154" s="36" t="s">
        <v>8</v>
      </c>
    </row>
    <row r="155" spans="1:5">
      <c r="A155" s="36">
        <v>16</v>
      </c>
      <c r="B155" s="36">
        <v>4</v>
      </c>
      <c r="C155" s="36">
        <v>13</v>
      </c>
      <c r="D155" s="36">
        <v>1</v>
      </c>
      <c r="E155" s="36" t="s">
        <v>8</v>
      </c>
    </row>
    <row r="156" spans="1:5">
      <c r="A156" s="36">
        <v>55</v>
      </c>
      <c r="B156" s="36">
        <v>7</v>
      </c>
      <c r="C156" s="36">
        <v>18</v>
      </c>
      <c r="D156" s="36">
        <v>0</v>
      </c>
      <c r="E156" s="36" t="s">
        <v>105</v>
      </c>
    </row>
    <row r="157" spans="1:5">
      <c r="A157" s="36">
        <v>64</v>
      </c>
      <c r="B157" s="36">
        <v>4</v>
      </c>
      <c r="C157" s="36">
        <v>14</v>
      </c>
      <c r="D157" s="36">
        <v>1</v>
      </c>
      <c r="E157" s="36" t="s">
        <v>8</v>
      </c>
    </row>
    <row r="158" spans="1:5">
      <c r="A158" s="36">
        <v>52</v>
      </c>
      <c r="B158" s="36">
        <v>3</v>
      </c>
      <c r="C158" s="36">
        <v>33</v>
      </c>
      <c r="D158" s="36">
        <v>1</v>
      </c>
      <c r="E158" s="36" t="s">
        <v>105</v>
      </c>
    </row>
    <row r="159" spans="1:5">
      <c r="A159" s="36">
        <v>12</v>
      </c>
      <c r="B159" s="36">
        <v>5</v>
      </c>
      <c r="C159" s="36">
        <v>13</v>
      </c>
      <c r="D159" s="36">
        <v>1</v>
      </c>
      <c r="E159" s="36" t="s">
        <v>8</v>
      </c>
    </row>
    <row r="160" spans="1:5">
      <c r="A160" s="36">
        <v>17</v>
      </c>
      <c r="B160" s="36">
        <v>3</v>
      </c>
      <c r="C160" s="36">
        <v>15</v>
      </c>
      <c r="D160" s="36">
        <v>0</v>
      </c>
      <c r="E160" s="36" t="s">
        <v>8</v>
      </c>
    </row>
    <row r="161" spans="1:5">
      <c r="A161" s="36">
        <v>34</v>
      </c>
      <c r="B161" s="36">
        <v>2</v>
      </c>
      <c r="C161" s="36">
        <v>21</v>
      </c>
      <c r="D161" s="36">
        <v>1</v>
      </c>
      <c r="E161" s="36" t="s">
        <v>105</v>
      </c>
    </row>
    <row r="162" spans="1:5">
      <c r="A162" s="36">
        <v>61</v>
      </c>
      <c r="B162" s="36">
        <v>4</v>
      </c>
      <c r="C162" s="36">
        <v>21</v>
      </c>
      <c r="D162" s="36">
        <v>1</v>
      </c>
      <c r="E162" s="36" t="s">
        <v>105</v>
      </c>
    </row>
    <row r="163" spans="1:5">
      <c r="A163" s="36">
        <v>23</v>
      </c>
      <c r="B163" s="36">
        <v>5</v>
      </c>
      <c r="C163" s="36">
        <v>12</v>
      </c>
      <c r="D163" s="36">
        <v>0</v>
      </c>
      <c r="E163" s="36" t="s">
        <v>8</v>
      </c>
    </row>
    <row r="164" spans="1:5">
      <c r="A164" s="36">
        <v>24</v>
      </c>
      <c r="B164" s="36">
        <v>4</v>
      </c>
      <c r="C164" s="36">
        <v>10</v>
      </c>
      <c r="D164" s="36">
        <v>1</v>
      </c>
      <c r="E164" s="36" t="s">
        <v>8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32"/>
  <sheetViews>
    <sheetView zoomScale="93" zoomScaleNormal="93" topLeftCell="A159" workbookViewId="0">
      <selection activeCell="F172" sqref="F172"/>
    </sheetView>
  </sheetViews>
  <sheetFormatPr defaultColWidth="9" defaultRowHeight="15"/>
  <cols>
    <col min="2" max="2" width="8.71111111111111"/>
    <col min="3" max="3" width="15.8518518518519" customWidth="1"/>
    <col min="4" max="4" width="22" customWidth="1"/>
    <col min="5" max="5" width="13.2814814814815" customWidth="1"/>
    <col min="6" max="6" width="13.8518518518519" customWidth="1"/>
    <col min="7" max="7" width="12.4222222222222" customWidth="1"/>
    <col min="10" max="11" width="22.4222222222222" customWidth="1"/>
    <col min="12" max="12" width="16.1407407407407" customWidth="1"/>
    <col min="13" max="13" width="19.2814814814815" customWidth="1"/>
    <col min="15" max="15" width="26.4222222222222" customWidth="1"/>
    <col min="16" max="16" width="12.7111111111111" customWidth="1"/>
    <col min="17" max="17" width="17.7111111111111" customWidth="1"/>
    <col min="18" max="18" width="14.7111111111111" customWidth="1"/>
    <col min="20" max="20" width="24.8518518518519" customWidth="1"/>
    <col min="21" max="21" width="12.7111111111111" customWidth="1"/>
    <col min="22" max="22" width="12" customWidth="1"/>
  </cols>
  <sheetData>
    <row r="1" spans="1:17">
      <c r="A1" s="35" t="s">
        <v>183</v>
      </c>
      <c r="B1" s="35" t="s">
        <v>1</v>
      </c>
      <c r="C1" s="35" t="s">
        <v>2</v>
      </c>
      <c r="D1" s="35" t="s">
        <v>182</v>
      </c>
      <c r="E1" s="35" t="s">
        <v>4</v>
      </c>
      <c r="F1" s="35" t="s">
        <v>5</v>
      </c>
      <c r="H1" s="35" t="s">
        <v>183</v>
      </c>
      <c r="I1" s="35" t="s">
        <v>1</v>
      </c>
      <c r="J1" s="35" t="s">
        <v>2</v>
      </c>
      <c r="K1" s="35" t="s">
        <v>182</v>
      </c>
      <c r="L1" s="35" t="s">
        <v>4</v>
      </c>
      <c r="M1" s="35" t="s">
        <v>5</v>
      </c>
      <c r="O1" s="35" t="s">
        <v>184</v>
      </c>
      <c r="P1" s="38"/>
      <c r="Q1" s="38"/>
    </row>
    <row r="2" spans="1:17">
      <c r="A2" s="36">
        <f ca="1">RANDBETWEEN(2,164)</f>
        <v>48</v>
      </c>
      <c r="B2" s="36">
        <f ca="1" t="array" ref="B2">INDEX(Data_DBD!$B:$B,$A2)</f>
        <v>50</v>
      </c>
      <c r="C2" s="36" t="str">
        <f ca="1" t="array" ref="C2">INDEX(Data_DBD!$C:$C,$A2)</f>
        <v>5 Hari</v>
      </c>
      <c r="D2" s="36">
        <f ca="1" t="array" ref="D2">INDEX(Data_DBD!$D:$D,$A2)</f>
        <v>13</v>
      </c>
      <c r="E2" s="36">
        <f ca="1" t="array" ref="E2">INDEX(Data_DBD!$E:$E,$A2)</f>
        <v>1</v>
      </c>
      <c r="F2" s="36" t="str">
        <f ca="1" t="array" ref="F2">INDEX(Data_DBD!$F:$F,$A2)</f>
        <v>Sedang</v>
      </c>
      <c r="H2" s="36">
        <v>42</v>
      </c>
      <c r="I2" s="36">
        <v>21</v>
      </c>
      <c r="J2" s="36">
        <v>5</v>
      </c>
      <c r="K2" s="36">
        <v>13</v>
      </c>
      <c r="L2" s="36">
        <v>1</v>
      </c>
      <c r="M2" s="36" t="s">
        <v>8</v>
      </c>
      <c r="O2" s="38" t="s">
        <v>105</v>
      </c>
      <c r="P2" s="38">
        <f>COUNTIF(M2:M164,"Tinggi")</f>
        <v>73</v>
      </c>
      <c r="Q2" s="38">
        <f>P2/163</f>
        <v>0.447852760736196</v>
      </c>
    </row>
    <row r="3" spans="1:17">
      <c r="A3" s="36">
        <f ca="1" t="shared" ref="A3:A66" si="0">RANDBETWEEN(2,164)</f>
        <v>60</v>
      </c>
      <c r="B3" s="36">
        <f ca="1" t="array" ref="B3">INDEX(Data_DBD!$B:$B,$A3)</f>
        <v>68</v>
      </c>
      <c r="C3" s="36" t="str">
        <f ca="1" t="array" ref="C3">INDEX(Data_DBD!$C:$C,$A3)</f>
        <v>4 Hari</v>
      </c>
      <c r="D3" s="36">
        <f ca="1" t="array" ref="D3">INDEX(Data_DBD!$D:$D,$A3)</f>
        <v>15</v>
      </c>
      <c r="E3" s="36">
        <f ca="1" t="array" ref="E3">INDEX(Data_DBD!$E:$E,$A3)</f>
        <v>0</v>
      </c>
      <c r="F3" s="36" t="str">
        <f ca="1" t="array" ref="F3">INDEX(Data_DBD!$F:$F,$A3)</f>
        <v>Sedang</v>
      </c>
      <c r="H3" s="36">
        <v>47</v>
      </c>
      <c r="I3" s="36">
        <v>19</v>
      </c>
      <c r="J3" s="36">
        <v>2</v>
      </c>
      <c r="K3" s="36">
        <v>13</v>
      </c>
      <c r="L3" s="36">
        <v>0</v>
      </c>
      <c r="M3" s="36" t="s">
        <v>8</v>
      </c>
      <c r="O3" s="38" t="s">
        <v>8</v>
      </c>
      <c r="P3" s="38">
        <f>COUNTIF(M2:M164,"Sedang")</f>
        <v>79</v>
      </c>
      <c r="Q3" s="38">
        <f>P3/163</f>
        <v>0.484662576687117</v>
      </c>
    </row>
    <row r="4" spans="1:17">
      <c r="A4" s="36">
        <f ca="1" t="shared" si="0"/>
        <v>49</v>
      </c>
      <c r="B4" s="36">
        <f ca="1" t="array" ref="B4">INDEX(Data_DBD!$B:$B,$A4)</f>
        <v>64</v>
      </c>
      <c r="C4" s="36" t="str">
        <f ca="1" t="array" ref="C4">INDEX(Data_DBD!$C:$C,$A4)</f>
        <v>5 Hari</v>
      </c>
      <c r="D4" s="36">
        <f ca="1" t="array" ref="D4">INDEX(Data_DBD!$D:$D,$A4)</f>
        <v>13</v>
      </c>
      <c r="E4" s="36">
        <f ca="1" t="array" ref="E4">INDEX(Data_DBD!$E:$E,$A4)</f>
        <v>0</v>
      </c>
      <c r="F4" s="36" t="str">
        <f ca="1" t="array" ref="F4">INDEX(Data_DBD!$F:$F,$A4)</f>
        <v>Sedang</v>
      </c>
      <c r="H4" s="36">
        <v>123</v>
      </c>
      <c r="I4" s="36">
        <v>22</v>
      </c>
      <c r="J4" s="36">
        <v>4</v>
      </c>
      <c r="K4" s="36">
        <v>33</v>
      </c>
      <c r="L4" s="36">
        <v>0</v>
      </c>
      <c r="M4" s="36" t="s">
        <v>105</v>
      </c>
      <c r="O4" s="38" t="s">
        <v>26</v>
      </c>
      <c r="P4" s="38">
        <f>COUNTIF(M2:M164,"Rendah")</f>
        <v>11</v>
      </c>
      <c r="Q4" s="38">
        <f>P4/163</f>
        <v>0.0674846625766871</v>
      </c>
    </row>
    <row r="5" spans="1:16">
      <c r="A5" s="36">
        <f ca="1" t="shared" si="0"/>
        <v>134</v>
      </c>
      <c r="B5" s="36">
        <f ca="1" t="array" ref="B5">INDEX(Data_DBD!$B:$B,$A5)</f>
        <v>4</v>
      </c>
      <c r="C5" s="36" t="str">
        <f ca="1" t="array" ref="C5">INDEX(Data_DBD!$C:$C,$A5)</f>
        <v>2 Hari</v>
      </c>
      <c r="D5" s="36">
        <f ca="1" t="array" ref="D5">INDEX(Data_DBD!$D:$D,$A5)</f>
        <v>33</v>
      </c>
      <c r="E5" s="36">
        <f ca="1" t="array" ref="E5">INDEX(Data_DBD!$E:$E,$A5)</f>
        <v>1</v>
      </c>
      <c r="F5" s="36" t="str">
        <f ca="1" t="array" ref="F5">INDEX(Data_DBD!$F:$F,$A5)</f>
        <v>Tinggi</v>
      </c>
      <c r="H5" s="36">
        <v>52</v>
      </c>
      <c r="I5" s="36">
        <v>59</v>
      </c>
      <c r="J5" s="36">
        <v>4</v>
      </c>
      <c r="K5" s="36">
        <v>15</v>
      </c>
      <c r="L5" s="36">
        <v>1</v>
      </c>
      <c r="M5" s="36" t="s">
        <v>8</v>
      </c>
      <c r="O5" s="39" t="s">
        <v>185</v>
      </c>
      <c r="P5">
        <f>-(IFERROR(Q2*LOG(Q2,2),0)+IFERROR(Q3*LOG(Q3,2),0)+IFERROR(Q4*LOG(Q4,2),0))</f>
        <v>1.28793294129094</v>
      </c>
    </row>
    <row r="6" spans="1:13">
      <c r="A6" s="36">
        <f ca="1" t="shared" si="0"/>
        <v>74</v>
      </c>
      <c r="B6" s="36">
        <f ca="1" t="array" ref="B6">INDEX(Data_DBD!$B:$B,$A6)</f>
        <v>9</v>
      </c>
      <c r="C6" s="36" t="str">
        <f ca="1" t="array" ref="C6">INDEX(Data_DBD!$C:$C,$A6)</f>
        <v>4 Hari</v>
      </c>
      <c r="D6" s="36">
        <f ca="1" t="array" ref="D6">INDEX(Data_DBD!$D:$D,$A6)</f>
        <v>10</v>
      </c>
      <c r="E6" s="36">
        <f ca="1" t="array" ref="E6">INDEX(Data_DBD!$E:$E,$A6)</f>
        <v>0</v>
      </c>
      <c r="F6" s="36" t="str">
        <f ca="1" t="array" ref="F6">INDEX(Data_DBD!$F:$F,$A6)</f>
        <v>Sedang</v>
      </c>
      <c r="H6" s="36">
        <v>111</v>
      </c>
      <c r="I6" s="36">
        <v>25</v>
      </c>
      <c r="J6" s="36">
        <v>4</v>
      </c>
      <c r="K6" s="36">
        <v>33</v>
      </c>
      <c r="L6" s="36">
        <v>0</v>
      </c>
      <c r="M6" s="36" t="s">
        <v>105</v>
      </c>
    </row>
    <row r="7" spans="1:13">
      <c r="A7" s="36">
        <f ca="1" t="shared" si="0"/>
        <v>142</v>
      </c>
      <c r="B7" s="36">
        <f ca="1" t="array" ref="B7">INDEX(Data_DBD!$B:$B,$A7)</f>
        <v>39</v>
      </c>
      <c r="C7" s="36" t="str">
        <f ca="1" t="array" ref="C7">INDEX(Data_DBD!$C:$C,$A7)</f>
        <v>2 Hari</v>
      </c>
      <c r="D7" s="36">
        <f ca="1" t="array" ref="D7">INDEX(Data_DBD!$D:$D,$A7)</f>
        <v>21</v>
      </c>
      <c r="E7" s="36">
        <f ca="1" t="array" ref="E7">INDEX(Data_DBD!$E:$E,$A7)</f>
        <v>1</v>
      </c>
      <c r="F7" s="36" t="str">
        <f ca="1" t="array" ref="F7">INDEX(Data_DBD!$F:$F,$A7)</f>
        <v>Tinggi</v>
      </c>
      <c r="H7" s="36">
        <v>156</v>
      </c>
      <c r="I7" s="36">
        <v>5</v>
      </c>
      <c r="J7" s="36">
        <v>2</v>
      </c>
      <c r="K7" s="36">
        <v>21</v>
      </c>
      <c r="L7" s="36">
        <v>0</v>
      </c>
      <c r="M7" s="36" t="s">
        <v>105</v>
      </c>
    </row>
    <row r="8" spans="1:13">
      <c r="A8" s="36">
        <f ca="1" t="shared" si="0"/>
        <v>149</v>
      </c>
      <c r="B8" s="36">
        <f ca="1" t="array" ref="B8">INDEX(Data_DBD!$B:$B,$A8)</f>
        <v>19</v>
      </c>
      <c r="C8" s="36" t="str">
        <f ca="1" t="array" ref="C8">INDEX(Data_DBD!$C:$C,$A8)</f>
        <v>5 Hari</v>
      </c>
      <c r="D8" s="36">
        <f ca="1" t="array" ref="D8">INDEX(Data_DBD!$D:$D,$A8)</f>
        <v>21</v>
      </c>
      <c r="E8" s="36">
        <f ca="1" t="array" ref="E8">INDEX(Data_DBD!$E:$E,$A8)</f>
        <v>0</v>
      </c>
      <c r="F8" s="36" t="str">
        <f ca="1" t="array" ref="F8">INDEX(Data_DBD!$F:$F,$A8)</f>
        <v>Tinggi</v>
      </c>
      <c r="H8" s="36">
        <v>64</v>
      </c>
      <c r="I8" s="36">
        <v>35</v>
      </c>
      <c r="J8" s="36">
        <v>1</v>
      </c>
      <c r="K8" s="36">
        <v>15</v>
      </c>
      <c r="L8" s="36">
        <v>0</v>
      </c>
      <c r="M8" s="36" t="s">
        <v>8</v>
      </c>
    </row>
    <row r="9" spans="1:13">
      <c r="A9" s="36">
        <f ca="1" t="shared" si="0"/>
        <v>64</v>
      </c>
      <c r="B9" s="36">
        <f ca="1" t="array" ref="B9">INDEX(Data_DBD!$B:$B,$A9)</f>
        <v>35</v>
      </c>
      <c r="C9" s="36" t="str">
        <f ca="1" t="array" ref="C9">INDEX(Data_DBD!$C:$C,$A9)</f>
        <v>1 Hari</v>
      </c>
      <c r="D9" s="36">
        <f ca="1" t="array" ref="D9">INDEX(Data_DBD!$D:$D,$A9)</f>
        <v>15</v>
      </c>
      <c r="E9" s="36">
        <f ca="1" t="array" ref="E9">INDEX(Data_DBD!$E:$E,$A9)</f>
        <v>0</v>
      </c>
      <c r="F9" s="36" t="str">
        <f ca="1" t="array" ref="F9">INDEX(Data_DBD!$F:$F,$A9)</f>
        <v>Sedang</v>
      </c>
      <c r="H9" s="36">
        <v>160</v>
      </c>
      <c r="I9" s="36">
        <v>16</v>
      </c>
      <c r="J9" s="36">
        <v>3</v>
      </c>
      <c r="K9" s="36">
        <v>21</v>
      </c>
      <c r="L9" s="36">
        <v>0</v>
      </c>
      <c r="M9" s="36" t="s">
        <v>105</v>
      </c>
    </row>
    <row r="10" spans="1:13">
      <c r="A10" s="36">
        <f ca="1" t="shared" si="0"/>
        <v>35</v>
      </c>
      <c r="B10" s="36">
        <f ca="1" t="array" ref="B10">INDEX(Data_DBD!$B:$B,$A10)</f>
        <v>40</v>
      </c>
      <c r="C10" s="36" t="str">
        <f ca="1" t="array" ref="C10">INDEX(Data_DBD!$C:$C,$A10)</f>
        <v>3 Hari</v>
      </c>
      <c r="D10" s="36">
        <f ca="1" t="array" ref="D10">INDEX(Data_DBD!$D:$D,$A10)</f>
        <v>4</v>
      </c>
      <c r="E10" s="36">
        <f ca="1" t="array" ref="E10">INDEX(Data_DBD!$E:$E,$A10)</f>
        <v>1</v>
      </c>
      <c r="F10" s="36" t="str">
        <f ca="1" t="array" ref="F10">INDEX(Data_DBD!$F:$F,$A10)</f>
        <v>Rendah</v>
      </c>
      <c r="H10" s="36">
        <v>82</v>
      </c>
      <c r="I10" s="36">
        <v>28</v>
      </c>
      <c r="J10" s="36">
        <v>3</v>
      </c>
      <c r="K10" s="36">
        <v>13</v>
      </c>
      <c r="L10" s="36">
        <v>1</v>
      </c>
      <c r="M10" s="36" t="s">
        <v>8</v>
      </c>
    </row>
    <row r="11" spans="1:13">
      <c r="A11" s="36">
        <f ca="1" t="shared" si="0"/>
        <v>101</v>
      </c>
      <c r="B11" s="36">
        <f ca="1" t="array" ref="B11">INDEX(Data_DBD!$B:$B,$A11)</f>
        <v>42</v>
      </c>
      <c r="C11" s="36" t="str">
        <f ca="1" t="array" ref="C11">INDEX(Data_DBD!$C:$C,$A11)</f>
        <v>5 Hari</v>
      </c>
      <c r="D11" s="36">
        <f ca="1" t="array" ref="D11">INDEX(Data_DBD!$D:$D,$A11)</f>
        <v>18</v>
      </c>
      <c r="E11" s="36">
        <f ca="1" t="array" ref="E11">INDEX(Data_DBD!$E:$E,$A11)</f>
        <v>0</v>
      </c>
      <c r="F11" s="36" t="str">
        <f ca="1" t="array" ref="F11">INDEX(Data_DBD!$F:$F,$A11)</f>
        <v>Tinggi</v>
      </c>
      <c r="H11" s="36">
        <v>6</v>
      </c>
      <c r="I11" s="36">
        <v>14</v>
      </c>
      <c r="J11" s="36">
        <v>4</v>
      </c>
      <c r="K11" s="36">
        <v>12</v>
      </c>
      <c r="L11" s="36">
        <v>0</v>
      </c>
      <c r="M11" s="36" t="s">
        <v>8</v>
      </c>
    </row>
    <row r="12" spans="1:13">
      <c r="A12" s="36">
        <f ca="1" t="shared" si="0"/>
        <v>127</v>
      </c>
      <c r="B12" s="36">
        <f ca="1" t="array" ref="B12">INDEX(Data_DBD!$B:$B,$A12)</f>
        <v>21</v>
      </c>
      <c r="C12" s="36" t="str">
        <f ca="1" t="array" ref="C12">INDEX(Data_DBD!$C:$C,$A12)</f>
        <v>2 Hari</v>
      </c>
      <c r="D12" s="36">
        <f ca="1" t="array" ref="D12">INDEX(Data_DBD!$D:$D,$A12)</f>
        <v>33</v>
      </c>
      <c r="E12" s="36">
        <f ca="1" t="array" ref="E12">INDEX(Data_DBD!$E:$E,$A12)</f>
        <v>0</v>
      </c>
      <c r="F12" s="36" t="str">
        <f ca="1" t="array" ref="F12">INDEX(Data_DBD!$F:$F,$A12)</f>
        <v>Tinggi</v>
      </c>
      <c r="H12" s="36">
        <v>121</v>
      </c>
      <c r="I12" s="36">
        <v>82</v>
      </c>
      <c r="J12" s="36">
        <v>5</v>
      </c>
      <c r="K12" s="36">
        <v>33</v>
      </c>
      <c r="L12" s="36">
        <v>1</v>
      </c>
      <c r="M12" s="36" t="s">
        <v>105</v>
      </c>
    </row>
    <row r="13" spans="1:13">
      <c r="A13" s="36">
        <f ca="1" t="shared" si="0"/>
        <v>164</v>
      </c>
      <c r="B13" s="36">
        <f ca="1" t="array" ref="B13">INDEX(Data_DBD!$B:$B,$A13)</f>
        <v>10</v>
      </c>
      <c r="C13" s="36" t="str">
        <f ca="1" t="array" ref="C13">INDEX(Data_DBD!$C:$C,$A13)</f>
        <v>6 Hari</v>
      </c>
      <c r="D13" s="36">
        <f ca="1" t="array" ref="D13">INDEX(Data_DBD!$D:$D,$A13)</f>
        <v>3</v>
      </c>
      <c r="E13" s="36">
        <f ca="1" t="array" ref="E13">INDEX(Data_DBD!$E:$E,$A13)</f>
        <v>0</v>
      </c>
      <c r="F13" s="36" t="str">
        <f ca="1" t="array" ref="F13">INDEX(Data_DBD!$F:$F,$A13)</f>
        <v>Rendah</v>
      </c>
      <c r="H13" s="36">
        <v>138</v>
      </c>
      <c r="I13" s="36">
        <v>13</v>
      </c>
      <c r="J13" s="36">
        <v>3</v>
      </c>
      <c r="K13" s="36">
        <v>33</v>
      </c>
      <c r="L13" s="36">
        <v>1</v>
      </c>
      <c r="M13" s="36" t="s">
        <v>105</v>
      </c>
    </row>
    <row r="14" spans="1:13">
      <c r="A14" s="36">
        <f ca="1" t="shared" si="0"/>
        <v>55</v>
      </c>
      <c r="B14" s="36">
        <f ca="1" t="array" ref="B14">INDEX(Data_DBD!$B:$B,$A14)</f>
        <v>7</v>
      </c>
      <c r="C14" s="36" t="str">
        <f ca="1" t="array" ref="C14">INDEX(Data_DBD!$C:$C,$A14)</f>
        <v>4 Hari</v>
      </c>
      <c r="D14" s="36">
        <f ca="1" t="array" ref="D14">INDEX(Data_DBD!$D:$D,$A14)</f>
        <v>15</v>
      </c>
      <c r="E14" s="36">
        <f ca="1" t="array" ref="E14">INDEX(Data_DBD!$E:$E,$A14)</f>
        <v>1</v>
      </c>
      <c r="F14" s="36" t="str">
        <f ca="1" t="array" ref="F14">INDEX(Data_DBD!$F:$F,$A14)</f>
        <v>Sedang</v>
      </c>
      <c r="H14" s="36">
        <v>122</v>
      </c>
      <c r="I14" s="36">
        <v>28</v>
      </c>
      <c r="J14" s="36">
        <v>3</v>
      </c>
      <c r="K14" s="36">
        <v>33</v>
      </c>
      <c r="L14" s="36">
        <v>1</v>
      </c>
      <c r="M14" s="36" t="s">
        <v>105</v>
      </c>
    </row>
    <row r="15" spans="1:13">
      <c r="A15" s="36">
        <f ca="1" t="shared" si="0"/>
        <v>104</v>
      </c>
      <c r="B15" s="36">
        <f ca="1" t="array" ref="B15">INDEX(Data_DBD!$B:$B,$A15)</f>
        <v>37</v>
      </c>
      <c r="C15" s="36" t="str">
        <f ca="1" t="array" ref="C15">INDEX(Data_DBD!$C:$C,$A15)</f>
        <v>4 Hari</v>
      </c>
      <c r="D15" s="36">
        <f ca="1" t="array" ref="D15">INDEX(Data_DBD!$D:$D,$A15)</f>
        <v>18</v>
      </c>
      <c r="E15" s="36">
        <f ca="1" t="array" ref="E15">INDEX(Data_DBD!$E:$E,$A15)</f>
        <v>1</v>
      </c>
      <c r="F15" s="36" t="str">
        <f ca="1" t="array" ref="F15">INDEX(Data_DBD!$F:$F,$A15)</f>
        <v>Tinggi</v>
      </c>
      <c r="H15" s="36">
        <v>10</v>
      </c>
      <c r="I15" s="36">
        <v>18</v>
      </c>
      <c r="J15" s="36">
        <v>5</v>
      </c>
      <c r="K15" s="36">
        <v>12</v>
      </c>
      <c r="L15" s="36">
        <v>0</v>
      </c>
      <c r="M15" s="36" t="s">
        <v>8</v>
      </c>
    </row>
    <row r="16" spans="1:13">
      <c r="A16" s="36">
        <f ca="1" t="shared" si="0"/>
        <v>57</v>
      </c>
      <c r="B16" s="36">
        <f ca="1" t="array" ref="B16">INDEX(Data_DBD!$B:$B,$A16)</f>
        <v>2</v>
      </c>
      <c r="C16" s="36" t="str">
        <f ca="1" t="array" ref="C16">INDEX(Data_DBD!$C:$C,$A16)</f>
        <v>2 Hari</v>
      </c>
      <c r="D16" s="36">
        <f ca="1" t="array" ref="D16">INDEX(Data_DBD!$D:$D,$A16)</f>
        <v>15</v>
      </c>
      <c r="E16" s="36">
        <f ca="1" t="array" ref="E16">INDEX(Data_DBD!$E:$E,$A16)</f>
        <v>1</v>
      </c>
      <c r="F16" s="36" t="str">
        <f ca="1" t="array" ref="F16">INDEX(Data_DBD!$F:$F,$A16)</f>
        <v>Sedang</v>
      </c>
      <c r="H16" s="36">
        <v>71</v>
      </c>
      <c r="I16" s="36">
        <v>84</v>
      </c>
      <c r="J16" s="36">
        <v>3</v>
      </c>
      <c r="K16" s="36">
        <v>10</v>
      </c>
      <c r="L16" s="36">
        <v>0</v>
      </c>
      <c r="M16" s="36" t="s">
        <v>8</v>
      </c>
    </row>
    <row r="17" spans="1:13">
      <c r="A17" s="36">
        <f ca="1" t="shared" si="0"/>
        <v>156</v>
      </c>
      <c r="B17" s="36">
        <f ca="1" t="array" ref="B17">INDEX(Data_DBD!$B:$B,$A17)</f>
        <v>5</v>
      </c>
      <c r="C17" s="36" t="str">
        <f ca="1" t="array" ref="C17">INDEX(Data_DBD!$C:$C,$A17)</f>
        <v>2 Hari</v>
      </c>
      <c r="D17" s="36">
        <f ca="1" t="array" ref="D17">INDEX(Data_DBD!$D:$D,$A17)</f>
        <v>21</v>
      </c>
      <c r="E17" s="36">
        <f ca="1" t="array" ref="E17">INDEX(Data_DBD!$E:$E,$A17)</f>
        <v>0</v>
      </c>
      <c r="F17" s="36" t="str">
        <f ca="1" t="array" ref="F17">INDEX(Data_DBD!$F:$F,$A17)</f>
        <v>Tinggi</v>
      </c>
      <c r="H17" s="36">
        <v>128</v>
      </c>
      <c r="I17" s="36">
        <v>38</v>
      </c>
      <c r="J17" s="36">
        <v>2</v>
      </c>
      <c r="K17" s="36">
        <v>33</v>
      </c>
      <c r="L17" s="36">
        <v>0</v>
      </c>
      <c r="M17" s="36" t="s">
        <v>105</v>
      </c>
    </row>
    <row r="18" spans="1:13">
      <c r="A18" s="36">
        <f ca="1" t="shared" si="0"/>
        <v>75</v>
      </c>
      <c r="B18" s="36">
        <f ca="1" t="array" ref="B18">INDEX(Data_DBD!$B:$B,$A18)</f>
        <v>2</v>
      </c>
      <c r="C18" s="36" t="str">
        <f ca="1" t="array" ref="C18">INDEX(Data_DBD!$C:$C,$A18)</f>
        <v>2 Hari</v>
      </c>
      <c r="D18" s="36">
        <f ca="1" t="array" ref="D18">INDEX(Data_DBD!$D:$D,$A18)</f>
        <v>10</v>
      </c>
      <c r="E18" s="36">
        <f ca="1" t="array" ref="E18">INDEX(Data_DBD!$E:$E,$A18)</f>
        <v>1</v>
      </c>
      <c r="F18" s="36" t="str">
        <f ca="1" t="array" ref="F18">INDEX(Data_DBD!$F:$F,$A18)</f>
        <v>Sedang</v>
      </c>
      <c r="H18" s="36">
        <v>147</v>
      </c>
      <c r="I18" s="36">
        <v>66</v>
      </c>
      <c r="J18" s="36">
        <v>10</v>
      </c>
      <c r="K18" s="36">
        <v>21</v>
      </c>
      <c r="L18" s="36">
        <v>1</v>
      </c>
      <c r="M18" s="36" t="s">
        <v>105</v>
      </c>
    </row>
    <row r="19" spans="1:13">
      <c r="A19" s="36">
        <f ca="1" t="shared" si="0"/>
        <v>155</v>
      </c>
      <c r="B19" s="36">
        <f ca="1" t="array" ref="B19">INDEX(Data_DBD!$B:$B,$A19)</f>
        <v>19</v>
      </c>
      <c r="C19" s="36" t="str">
        <f ca="1" t="array" ref="C19">INDEX(Data_DBD!$C:$C,$A19)</f>
        <v>5 Hari</v>
      </c>
      <c r="D19" s="36">
        <f ca="1" t="array" ref="D19">INDEX(Data_DBD!$D:$D,$A19)</f>
        <v>21</v>
      </c>
      <c r="E19" s="36">
        <f ca="1" t="array" ref="E19">INDEX(Data_DBD!$E:$E,$A19)</f>
        <v>1</v>
      </c>
      <c r="F19" s="36" t="str">
        <f ca="1" t="array" ref="F19">INDEX(Data_DBD!$F:$F,$A19)</f>
        <v>Tinggi</v>
      </c>
      <c r="H19" s="36">
        <v>15</v>
      </c>
      <c r="I19" s="36">
        <v>21</v>
      </c>
      <c r="J19" s="36">
        <v>2</v>
      </c>
      <c r="K19" s="36">
        <v>7</v>
      </c>
      <c r="L19" s="36">
        <v>0</v>
      </c>
      <c r="M19" s="36" t="s">
        <v>26</v>
      </c>
    </row>
    <row r="20" spans="1:13">
      <c r="A20" s="36">
        <f ca="1" t="shared" si="0"/>
        <v>18</v>
      </c>
      <c r="B20" s="36">
        <f ca="1" t="array" ref="B20">INDEX(Data_DBD!$B:$B,$A20)</f>
        <v>49</v>
      </c>
      <c r="C20" s="36" t="str">
        <f ca="1" t="array" ref="C20">INDEX(Data_DBD!$C:$C,$A20)</f>
        <v>4 Hari</v>
      </c>
      <c r="D20" s="36">
        <f ca="1" t="array" ref="D20">INDEX(Data_DBD!$D:$D,$A20)</f>
        <v>7</v>
      </c>
      <c r="E20" s="36">
        <f ca="1" t="array" ref="E20">INDEX(Data_DBD!$E:$E,$A20)</f>
        <v>1</v>
      </c>
      <c r="F20" s="36" t="str">
        <f ca="1" t="array" ref="F20">INDEX(Data_DBD!$F:$F,$A20)</f>
        <v>Rendah</v>
      </c>
      <c r="H20" s="36">
        <v>151</v>
      </c>
      <c r="I20" s="36">
        <v>24</v>
      </c>
      <c r="J20" s="36">
        <v>3</v>
      </c>
      <c r="K20" s="36">
        <v>21</v>
      </c>
      <c r="L20" s="36">
        <v>0</v>
      </c>
      <c r="M20" s="36" t="s">
        <v>105</v>
      </c>
    </row>
    <row r="21" spans="1:13">
      <c r="A21" s="36">
        <f ca="1" t="shared" si="0"/>
        <v>94</v>
      </c>
      <c r="B21" s="36">
        <f ca="1" t="array" ref="B21">INDEX(Data_DBD!$B:$B,$A21)</f>
        <v>12</v>
      </c>
      <c r="C21" s="36" t="str">
        <f ca="1" t="array" ref="C21">INDEX(Data_DBD!$C:$C,$A21)</f>
        <v>4 Hari</v>
      </c>
      <c r="D21" s="36">
        <f ca="1" t="array" ref="D21">INDEX(Data_DBD!$D:$D,$A21)</f>
        <v>18</v>
      </c>
      <c r="E21" s="36">
        <f ca="1" t="array" ref="E21">INDEX(Data_DBD!$E:$E,$A21)</f>
        <v>0</v>
      </c>
      <c r="F21" s="36" t="str">
        <f ca="1" t="array" ref="F21">INDEX(Data_DBD!$F:$F,$A21)</f>
        <v>Tinggi</v>
      </c>
      <c r="H21" s="36">
        <v>37</v>
      </c>
      <c r="I21" s="36">
        <v>28</v>
      </c>
      <c r="J21" s="36">
        <v>4</v>
      </c>
      <c r="K21" s="36">
        <v>4</v>
      </c>
      <c r="L21" s="36">
        <v>1</v>
      </c>
      <c r="M21" s="36" t="s">
        <v>26</v>
      </c>
    </row>
    <row r="22" spans="1:13">
      <c r="A22" s="36">
        <f ca="1" t="shared" si="0"/>
        <v>33</v>
      </c>
      <c r="B22" s="36">
        <f ca="1" t="array" ref="B22">INDEX(Data_DBD!$B:$B,$A22)</f>
        <v>19</v>
      </c>
      <c r="C22" s="36" t="str">
        <f ca="1" t="array" ref="C22">INDEX(Data_DBD!$C:$C,$A22)</f>
        <v>4 Hari</v>
      </c>
      <c r="D22" s="36">
        <f ca="1" t="array" ref="D22">INDEX(Data_DBD!$D:$D,$A22)</f>
        <v>14</v>
      </c>
      <c r="E22" s="36">
        <f ca="1" t="array" ref="E22">INDEX(Data_DBD!$E:$E,$A22)</f>
        <v>1</v>
      </c>
      <c r="F22" s="36" t="str">
        <f ca="1" t="array" ref="F22">INDEX(Data_DBD!$F:$F,$A22)</f>
        <v>Sedang</v>
      </c>
      <c r="H22" s="36">
        <v>106</v>
      </c>
      <c r="I22" s="36">
        <v>23</v>
      </c>
      <c r="J22" s="36">
        <v>3</v>
      </c>
      <c r="K22" s="36">
        <v>18</v>
      </c>
      <c r="L22" s="36">
        <v>1</v>
      </c>
      <c r="M22" s="36" t="s">
        <v>105</v>
      </c>
    </row>
    <row r="23" spans="1:13">
      <c r="A23" s="36">
        <f ca="1" t="shared" si="0"/>
        <v>149</v>
      </c>
      <c r="B23" s="36">
        <f ca="1" t="array" ref="B23">INDEX(Data_DBD!$B:$B,$A23)</f>
        <v>19</v>
      </c>
      <c r="C23" s="36" t="str">
        <f ca="1" t="array" ref="C23">INDEX(Data_DBD!$C:$C,$A23)</f>
        <v>5 Hari</v>
      </c>
      <c r="D23" s="36">
        <f ca="1" t="array" ref="D23">INDEX(Data_DBD!$D:$D,$A23)</f>
        <v>21</v>
      </c>
      <c r="E23" s="36">
        <f ca="1" t="array" ref="E23">INDEX(Data_DBD!$E:$E,$A23)</f>
        <v>0</v>
      </c>
      <c r="F23" s="36" t="str">
        <f ca="1" t="array" ref="F23">INDEX(Data_DBD!$F:$F,$A23)</f>
        <v>Tinggi</v>
      </c>
      <c r="H23" s="36">
        <v>60</v>
      </c>
      <c r="I23" s="36">
        <v>68</v>
      </c>
      <c r="J23" s="36">
        <v>4</v>
      </c>
      <c r="K23" s="36">
        <v>15</v>
      </c>
      <c r="L23" s="36">
        <v>0</v>
      </c>
      <c r="M23" s="36" t="s">
        <v>8</v>
      </c>
    </row>
    <row r="24" spans="1:13">
      <c r="A24" s="36">
        <f ca="1" t="shared" si="0"/>
        <v>81</v>
      </c>
      <c r="B24" s="36">
        <f ca="1" t="array" ref="B24">INDEX(Data_DBD!$B:$B,$A24)</f>
        <v>23</v>
      </c>
      <c r="C24" s="36" t="str">
        <f ca="1" t="array" ref="C24">INDEX(Data_DBD!$C:$C,$A24)</f>
        <v>5 Hari</v>
      </c>
      <c r="D24" s="36">
        <f ca="1" t="array" ref="D24">INDEX(Data_DBD!$D:$D,$A24)</f>
        <v>13</v>
      </c>
      <c r="E24" s="36">
        <f ca="1" t="array" ref="E24">INDEX(Data_DBD!$E:$E,$A24)</f>
        <v>1</v>
      </c>
      <c r="F24" s="36" t="str">
        <f ca="1" t="array" ref="F24">INDEX(Data_DBD!$F:$F,$A24)</f>
        <v>Sedang</v>
      </c>
      <c r="H24" s="36">
        <v>41</v>
      </c>
      <c r="I24" s="36">
        <v>8</v>
      </c>
      <c r="J24" s="36">
        <v>4</v>
      </c>
      <c r="K24" s="36">
        <v>13</v>
      </c>
      <c r="L24" s="36">
        <v>0</v>
      </c>
      <c r="M24" s="36" t="s">
        <v>8</v>
      </c>
    </row>
    <row r="25" spans="1:13">
      <c r="A25" s="36">
        <f ca="1" t="shared" si="0"/>
        <v>156</v>
      </c>
      <c r="B25" s="36">
        <f ca="1" t="array" ref="B25">INDEX(Data_DBD!$B:$B,$A25)</f>
        <v>5</v>
      </c>
      <c r="C25" s="36" t="str">
        <f ca="1" t="array" ref="C25">INDEX(Data_DBD!$C:$C,$A25)</f>
        <v>2 Hari</v>
      </c>
      <c r="D25" s="36">
        <f ca="1" t="array" ref="D25">INDEX(Data_DBD!$D:$D,$A25)</f>
        <v>21</v>
      </c>
      <c r="E25" s="36">
        <f ca="1" t="array" ref="E25">INDEX(Data_DBD!$E:$E,$A25)</f>
        <v>0</v>
      </c>
      <c r="F25" s="36" t="str">
        <f ca="1" t="array" ref="F25">INDEX(Data_DBD!$F:$F,$A25)</f>
        <v>Tinggi</v>
      </c>
      <c r="H25" s="36">
        <v>127</v>
      </c>
      <c r="I25" s="36">
        <v>21</v>
      </c>
      <c r="J25" s="36">
        <v>2</v>
      </c>
      <c r="K25" s="36">
        <v>33</v>
      </c>
      <c r="L25" s="36">
        <v>0</v>
      </c>
      <c r="M25" s="36" t="s">
        <v>105</v>
      </c>
    </row>
    <row r="26" spans="1:13">
      <c r="A26" s="36">
        <f ca="1" t="shared" si="0"/>
        <v>80</v>
      </c>
      <c r="B26" s="36">
        <f ca="1" t="array" ref="B26">INDEX(Data_DBD!$B:$B,$A26)</f>
        <v>27</v>
      </c>
      <c r="C26" s="36" t="str">
        <f ca="1" t="array" ref="C26">INDEX(Data_DBD!$C:$C,$A26)</f>
        <v>3 Hari</v>
      </c>
      <c r="D26" s="36">
        <f ca="1" t="array" ref="D26">INDEX(Data_DBD!$D:$D,$A26)</f>
        <v>13</v>
      </c>
      <c r="E26" s="36">
        <f ca="1" t="array" ref="E26">INDEX(Data_DBD!$E:$E,$A26)</f>
        <v>1</v>
      </c>
      <c r="F26" s="36" t="str">
        <f ca="1" t="array" ref="F26">INDEX(Data_DBD!$F:$F,$A26)</f>
        <v>Sedang</v>
      </c>
      <c r="H26" s="36">
        <v>105</v>
      </c>
      <c r="I26" s="36">
        <v>61</v>
      </c>
      <c r="J26" s="36">
        <v>3</v>
      </c>
      <c r="K26" s="36">
        <v>18</v>
      </c>
      <c r="L26" s="36">
        <v>1</v>
      </c>
      <c r="M26" s="36" t="s">
        <v>105</v>
      </c>
    </row>
    <row r="27" spans="1:13">
      <c r="A27" s="36">
        <f ca="1" t="shared" si="0"/>
        <v>124</v>
      </c>
      <c r="B27" s="36">
        <f ca="1" t="array" ref="B27">INDEX(Data_DBD!$B:$B,$A27)</f>
        <v>24</v>
      </c>
      <c r="C27" s="36" t="str">
        <f ca="1" t="array" ref="C27">INDEX(Data_DBD!$C:$C,$A27)</f>
        <v>3 Hari</v>
      </c>
      <c r="D27" s="36">
        <f ca="1" t="array" ref="D27">INDEX(Data_DBD!$D:$D,$A27)</f>
        <v>33</v>
      </c>
      <c r="E27" s="36">
        <f ca="1" t="array" ref="E27">INDEX(Data_DBD!$E:$E,$A27)</f>
        <v>1</v>
      </c>
      <c r="F27" s="36" t="str">
        <f ca="1" t="array" ref="F27">INDEX(Data_DBD!$F:$F,$A27)</f>
        <v>Tinggi</v>
      </c>
      <c r="H27" s="36">
        <v>32</v>
      </c>
      <c r="I27" s="36">
        <v>54</v>
      </c>
      <c r="J27" s="36">
        <v>4</v>
      </c>
      <c r="K27" s="36">
        <v>14</v>
      </c>
      <c r="L27" s="36">
        <v>0</v>
      </c>
      <c r="M27" s="36" t="s">
        <v>8</v>
      </c>
    </row>
    <row r="28" spans="1:13">
      <c r="A28" s="36">
        <f ca="1" t="shared" si="0"/>
        <v>21</v>
      </c>
      <c r="B28" s="36">
        <f ca="1" t="array" ref="B28">INDEX(Data_DBD!$B:$B,$A28)</f>
        <v>10</v>
      </c>
      <c r="C28" s="36" t="str">
        <f ca="1" t="array" ref="C28">INDEX(Data_DBD!$C:$C,$A28)</f>
        <v>5 Hari</v>
      </c>
      <c r="D28" s="36">
        <f ca="1" t="array" ref="D28">INDEX(Data_DBD!$D:$D,$A28)</f>
        <v>14</v>
      </c>
      <c r="E28" s="36">
        <f ca="1" t="array" ref="E28">INDEX(Data_DBD!$E:$E,$A28)</f>
        <v>1</v>
      </c>
      <c r="F28" s="36" t="str">
        <f ca="1" t="array" ref="F28">INDEX(Data_DBD!$F:$F,$A28)</f>
        <v>Sedang</v>
      </c>
      <c r="H28" s="36">
        <v>56</v>
      </c>
      <c r="I28" s="36">
        <v>4</v>
      </c>
      <c r="J28" s="36">
        <v>3</v>
      </c>
      <c r="K28" s="36">
        <v>15</v>
      </c>
      <c r="L28" s="36">
        <v>0</v>
      </c>
      <c r="M28" s="36" t="s">
        <v>8</v>
      </c>
    </row>
    <row r="29" spans="1:13">
      <c r="A29" s="36">
        <f ca="1" t="shared" si="0"/>
        <v>10</v>
      </c>
      <c r="B29" s="36">
        <f ca="1" t="array" ref="B29">INDEX(Data_DBD!$B:$B,$A29)</f>
        <v>18</v>
      </c>
      <c r="C29" s="36" t="str">
        <f ca="1" t="array" ref="C29">INDEX(Data_DBD!$C:$C,$A29)</f>
        <v>5 Hari</v>
      </c>
      <c r="D29" s="36">
        <f ca="1" t="array" ref="D29">INDEX(Data_DBD!$D:$D,$A29)</f>
        <v>12</v>
      </c>
      <c r="E29" s="36">
        <f ca="1" t="array" ref="E29">INDEX(Data_DBD!$E:$E,$A29)</f>
        <v>0</v>
      </c>
      <c r="F29" s="36" t="str">
        <f ca="1" t="array" ref="F29">INDEX(Data_DBD!$F:$F,$A29)</f>
        <v>Sedang</v>
      </c>
      <c r="H29" s="36">
        <v>139</v>
      </c>
      <c r="I29" s="36">
        <v>52</v>
      </c>
      <c r="J29" s="36">
        <v>7</v>
      </c>
      <c r="K29" s="36">
        <v>21</v>
      </c>
      <c r="L29" s="36">
        <v>0</v>
      </c>
      <c r="M29" s="36" t="s">
        <v>105</v>
      </c>
    </row>
    <row r="30" spans="1:13">
      <c r="A30" s="36">
        <f ca="1" t="shared" si="0"/>
        <v>60</v>
      </c>
      <c r="B30" s="36">
        <f ca="1" t="array" ref="B30">INDEX(Data_DBD!$B:$B,$A30)</f>
        <v>68</v>
      </c>
      <c r="C30" s="36" t="str">
        <f ca="1" t="array" ref="C30">INDEX(Data_DBD!$C:$C,$A30)</f>
        <v>4 Hari</v>
      </c>
      <c r="D30" s="36">
        <f ca="1" t="array" ref="D30">INDEX(Data_DBD!$D:$D,$A30)</f>
        <v>15</v>
      </c>
      <c r="E30" s="36">
        <f ca="1" t="array" ref="E30">INDEX(Data_DBD!$E:$E,$A30)</f>
        <v>0</v>
      </c>
      <c r="F30" s="36" t="str">
        <f ca="1" t="array" ref="F30">INDEX(Data_DBD!$F:$F,$A30)</f>
        <v>Sedang</v>
      </c>
      <c r="H30" s="36">
        <v>106</v>
      </c>
      <c r="I30" s="36">
        <v>23</v>
      </c>
      <c r="J30" s="36">
        <v>3</v>
      </c>
      <c r="K30" s="36">
        <v>18</v>
      </c>
      <c r="L30" s="36">
        <v>1</v>
      </c>
      <c r="M30" s="36" t="s">
        <v>105</v>
      </c>
    </row>
    <row r="31" spans="1:13">
      <c r="A31" s="36">
        <f ca="1" t="shared" si="0"/>
        <v>23</v>
      </c>
      <c r="B31" s="36">
        <f ca="1" t="array" ref="B31">INDEX(Data_DBD!$B:$B,$A31)</f>
        <v>28</v>
      </c>
      <c r="C31" s="36" t="str">
        <f ca="1" t="array" ref="C31">INDEX(Data_DBD!$C:$C,$A31)</f>
        <v>4 Hari</v>
      </c>
      <c r="D31" s="36">
        <f ca="1" t="array" ref="D31">INDEX(Data_DBD!$D:$D,$A31)</f>
        <v>14</v>
      </c>
      <c r="E31" s="36">
        <f ca="1" t="array" ref="E31">INDEX(Data_DBD!$E:$E,$A31)</f>
        <v>1</v>
      </c>
      <c r="F31" s="36" t="str">
        <f ca="1" t="array" ref="F31">INDEX(Data_DBD!$F:$F,$A31)</f>
        <v>Sedang</v>
      </c>
      <c r="H31" s="36">
        <v>108</v>
      </c>
      <c r="I31" s="36">
        <v>69</v>
      </c>
      <c r="J31" s="36">
        <v>7</v>
      </c>
      <c r="K31" s="36">
        <v>33</v>
      </c>
      <c r="L31" s="36">
        <v>1</v>
      </c>
      <c r="M31" s="36" t="s">
        <v>105</v>
      </c>
    </row>
    <row r="32" spans="1:13">
      <c r="A32" s="36">
        <f ca="1" t="shared" si="0"/>
        <v>41</v>
      </c>
      <c r="B32" s="36">
        <f ca="1" t="array" ref="B32">INDEX(Data_DBD!$B:$B,$A32)</f>
        <v>8</v>
      </c>
      <c r="C32" s="36" t="str">
        <f ca="1" t="array" ref="C32">INDEX(Data_DBD!$C:$C,$A32)</f>
        <v>4 Hari</v>
      </c>
      <c r="D32" s="36">
        <f ca="1" t="array" ref="D32">INDEX(Data_DBD!$D:$D,$A32)</f>
        <v>13</v>
      </c>
      <c r="E32" s="36">
        <f ca="1" t="array" ref="E32">INDEX(Data_DBD!$E:$E,$A32)</f>
        <v>0</v>
      </c>
      <c r="F32" s="36" t="str">
        <f ca="1" t="array" ref="F32">INDEX(Data_DBD!$F:$F,$A32)</f>
        <v>Sedang</v>
      </c>
      <c r="H32" s="36">
        <v>58</v>
      </c>
      <c r="I32" s="36">
        <v>17</v>
      </c>
      <c r="J32" s="36">
        <v>3</v>
      </c>
      <c r="K32" s="36">
        <v>15</v>
      </c>
      <c r="L32" s="36">
        <v>0</v>
      </c>
      <c r="M32" s="36" t="s">
        <v>8</v>
      </c>
    </row>
    <row r="33" spans="1:13">
      <c r="A33" s="36">
        <f ca="1" t="shared" si="0"/>
        <v>42</v>
      </c>
      <c r="B33" s="36">
        <f ca="1" t="array" ref="B33">INDEX(Data_DBD!$B:$B,$A33)</f>
        <v>21</v>
      </c>
      <c r="C33" s="36" t="str">
        <f ca="1" t="array" ref="C33">INDEX(Data_DBD!$C:$C,$A33)</f>
        <v>5 Hari</v>
      </c>
      <c r="D33" s="36">
        <f ca="1" t="array" ref="D33">INDEX(Data_DBD!$D:$D,$A33)</f>
        <v>13</v>
      </c>
      <c r="E33" s="36">
        <f ca="1" t="array" ref="E33">INDEX(Data_DBD!$E:$E,$A33)</f>
        <v>1</v>
      </c>
      <c r="F33" s="36" t="str">
        <f ca="1" t="array" ref="F33">INDEX(Data_DBD!$F:$F,$A33)</f>
        <v>Sedang</v>
      </c>
      <c r="H33" s="36">
        <v>21</v>
      </c>
      <c r="I33" s="36">
        <v>10</v>
      </c>
      <c r="J33" s="36">
        <v>5</v>
      </c>
      <c r="K33" s="36">
        <v>14</v>
      </c>
      <c r="L33" s="36">
        <v>1</v>
      </c>
      <c r="M33" s="36" t="s">
        <v>8</v>
      </c>
    </row>
    <row r="34" spans="1:13">
      <c r="A34" s="36">
        <f ca="1" t="shared" si="0"/>
        <v>101</v>
      </c>
      <c r="B34" s="36">
        <f ca="1" t="array" ref="B34">INDEX(Data_DBD!$B:$B,$A34)</f>
        <v>42</v>
      </c>
      <c r="C34" s="36" t="str">
        <f ca="1" t="array" ref="C34">INDEX(Data_DBD!$C:$C,$A34)</f>
        <v>5 Hari</v>
      </c>
      <c r="D34" s="36">
        <f ca="1" t="array" ref="D34">INDEX(Data_DBD!$D:$D,$A34)</f>
        <v>18</v>
      </c>
      <c r="E34" s="36">
        <f ca="1" t="array" ref="E34">INDEX(Data_DBD!$E:$E,$A34)</f>
        <v>0</v>
      </c>
      <c r="F34" s="36" t="str">
        <f ca="1" t="array" ref="F34">INDEX(Data_DBD!$F:$F,$A34)</f>
        <v>Tinggi</v>
      </c>
      <c r="H34" s="36">
        <v>106</v>
      </c>
      <c r="I34" s="36">
        <v>23</v>
      </c>
      <c r="J34" s="36">
        <v>3</v>
      </c>
      <c r="K34" s="36">
        <v>18</v>
      </c>
      <c r="L34" s="36">
        <v>1</v>
      </c>
      <c r="M34" s="36" t="s">
        <v>105</v>
      </c>
    </row>
    <row r="35" spans="1:13">
      <c r="A35" s="36">
        <f ca="1" t="shared" si="0"/>
        <v>42</v>
      </c>
      <c r="B35" s="36">
        <f ca="1" t="array" ref="B35">INDEX(Data_DBD!$B:$B,$A35)</f>
        <v>21</v>
      </c>
      <c r="C35" s="36" t="str">
        <f ca="1" t="array" ref="C35">INDEX(Data_DBD!$C:$C,$A35)</f>
        <v>5 Hari</v>
      </c>
      <c r="D35" s="36">
        <f ca="1" t="array" ref="D35">INDEX(Data_DBD!$D:$D,$A35)</f>
        <v>13</v>
      </c>
      <c r="E35" s="36">
        <f ca="1" t="array" ref="E35">INDEX(Data_DBD!$E:$E,$A35)</f>
        <v>1</v>
      </c>
      <c r="F35" s="36" t="str">
        <f ca="1" t="array" ref="F35">INDEX(Data_DBD!$F:$F,$A35)</f>
        <v>Sedang</v>
      </c>
      <c r="H35" s="36">
        <v>84</v>
      </c>
      <c r="I35" s="36">
        <v>42</v>
      </c>
      <c r="J35" s="36">
        <v>4</v>
      </c>
      <c r="K35" s="36">
        <v>13</v>
      </c>
      <c r="L35" s="36">
        <v>1</v>
      </c>
      <c r="M35" s="36" t="s">
        <v>8</v>
      </c>
    </row>
    <row r="36" spans="1:13">
      <c r="A36" s="36">
        <f ca="1" t="shared" si="0"/>
        <v>45</v>
      </c>
      <c r="B36" s="36">
        <f ca="1" t="array" ref="B36">INDEX(Data_DBD!$B:$B,$A36)</f>
        <v>75</v>
      </c>
      <c r="C36" s="36" t="str">
        <f ca="1" t="array" ref="C36">INDEX(Data_DBD!$C:$C,$A36)</f>
        <v>3 Hari</v>
      </c>
      <c r="D36" s="36">
        <f ca="1" t="array" ref="D36">INDEX(Data_DBD!$D:$D,$A36)</f>
        <v>13</v>
      </c>
      <c r="E36" s="36">
        <f ca="1" t="array" ref="E36">INDEX(Data_DBD!$E:$E,$A36)</f>
        <v>1</v>
      </c>
      <c r="F36" s="36" t="str">
        <f ca="1" t="array" ref="F36">INDEX(Data_DBD!$F:$F,$A36)</f>
        <v>Sedang</v>
      </c>
      <c r="H36" s="36">
        <v>83</v>
      </c>
      <c r="I36" s="36">
        <v>50</v>
      </c>
      <c r="J36" s="36">
        <v>3</v>
      </c>
      <c r="K36" s="36">
        <v>13</v>
      </c>
      <c r="L36" s="36">
        <v>0</v>
      </c>
      <c r="M36" s="36" t="s">
        <v>8</v>
      </c>
    </row>
    <row r="37" spans="1:13">
      <c r="A37" s="36">
        <f ca="1" t="shared" si="0"/>
        <v>161</v>
      </c>
      <c r="B37" s="36">
        <f ca="1" t="array" ref="B37">INDEX(Data_DBD!$B:$B,$A37)</f>
        <v>12</v>
      </c>
      <c r="C37" s="36" t="str">
        <f ca="1" t="array" ref="C37">INDEX(Data_DBD!$C:$C,$A37)</f>
        <v>3 Hari</v>
      </c>
      <c r="D37" s="36">
        <f ca="1" t="array" ref="D37">INDEX(Data_DBD!$D:$D,$A37)</f>
        <v>21</v>
      </c>
      <c r="E37" s="36">
        <f ca="1" t="array" ref="E37">INDEX(Data_DBD!$E:$E,$A37)</f>
        <v>1</v>
      </c>
      <c r="F37" s="36" t="str">
        <f ca="1" t="array" ref="F37">INDEX(Data_DBD!$F:$F,$A37)</f>
        <v>Tinggi</v>
      </c>
      <c r="H37" s="36">
        <v>148</v>
      </c>
      <c r="I37" s="36">
        <v>55</v>
      </c>
      <c r="J37" s="36">
        <v>3</v>
      </c>
      <c r="K37" s="36">
        <v>21</v>
      </c>
      <c r="L37" s="36">
        <v>1</v>
      </c>
      <c r="M37" s="36" t="s">
        <v>105</v>
      </c>
    </row>
    <row r="38" spans="1:13">
      <c r="A38" s="36">
        <f ca="1" t="shared" si="0"/>
        <v>29</v>
      </c>
      <c r="B38" s="36">
        <f ca="1" t="array" ref="B38">INDEX(Data_DBD!$B:$B,$A38)</f>
        <v>19</v>
      </c>
      <c r="C38" s="36" t="str">
        <f ca="1" t="array" ref="C38">INDEX(Data_DBD!$C:$C,$A38)</f>
        <v>2 Hari</v>
      </c>
      <c r="D38" s="36">
        <f ca="1" t="array" ref="D38">INDEX(Data_DBD!$D:$D,$A38)</f>
        <v>14</v>
      </c>
      <c r="E38" s="36">
        <f ca="1" t="array" ref="E38">INDEX(Data_DBD!$E:$E,$A38)</f>
        <v>1</v>
      </c>
      <c r="F38" s="36" t="str">
        <f ca="1" t="array" ref="F38">INDEX(Data_DBD!$F:$F,$A38)</f>
        <v>Sedang</v>
      </c>
      <c r="H38" s="36">
        <v>20</v>
      </c>
      <c r="I38" s="36">
        <v>15</v>
      </c>
      <c r="J38" s="36">
        <v>5</v>
      </c>
      <c r="K38" s="36">
        <v>7</v>
      </c>
      <c r="L38" s="36">
        <v>0</v>
      </c>
      <c r="M38" s="36" t="s">
        <v>26</v>
      </c>
    </row>
    <row r="39" spans="1:13">
      <c r="A39" s="36">
        <f ca="1" t="shared" si="0"/>
        <v>130</v>
      </c>
      <c r="B39" s="36">
        <f ca="1" t="array" ref="B39">INDEX(Data_DBD!$B:$B,$A39)</f>
        <v>12</v>
      </c>
      <c r="C39" s="36" t="str">
        <f ca="1" t="array" ref="C39">INDEX(Data_DBD!$C:$C,$A39)</f>
        <v>4 Hari</v>
      </c>
      <c r="D39" s="36">
        <f ca="1" t="array" ref="D39">INDEX(Data_DBD!$D:$D,$A39)</f>
        <v>33</v>
      </c>
      <c r="E39" s="36">
        <f ca="1" t="array" ref="E39">INDEX(Data_DBD!$E:$E,$A39)</f>
        <v>0</v>
      </c>
      <c r="F39" s="36" t="str">
        <f ca="1" t="array" ref="F39">INDEX(Data_DBD!$F:$F,$A39)</f>
        <v>Tinggi</v>
      </c>
      <c r="H39" s="36">
        <v>56</v>
      </c>
      <c r="I39" s="36">
        <v>4</v>
      </c>
      <c r="J39" s="36">
        <v>3</v>
      </c>
      <c r="K39" s="36">
        <v>15</v>
      </c>
      <c r="L39" s="36">
        <v>0</v>
      </c>
      <c r="M39" s="36" t="s">
        <v>8</v>
      </c>
    </row>
    <row r="40" spans="1:13">
      <c r="A40" s="36">
        <f ca="1" t="shared" si="0"/>
        <v>149</v>
      </c>
      <c r="B40" s="36">
        <f ca="1" t="array" ref="B40">INDEX(Data_DBD!$B:$B,$A40)</f>
        <v>19</v>
      </c>
      <c r="C40" s="36" t="str">
        <f ca="1" t="array" ref="C40">INDEX(Data_DBD!$C:$C,$A40)</f>
        <v>5 Hari</v>
      </c>
      <c r="D40" s="36">
        <f ca="1" t="array" ref="D40">INDEX(Data_DBD!$D:$D,$A40)</f>
        <v>21</v>
      </c>
      <c r="E40" s="36">
        <f ca="1" t="array" ref="E40">INDEX(Data_DBD!$E:$E,$A40)</f>
        <v>0</v>
      </c>
      <c r="F40" s="36" t="str">
        <f ca="1" t="array" ref="F40">INDEX(Data_DBD!$F:$F,$A40)</f>
        <v>Tinggi</v>
      </c>
      <c r="H40" s="36">
        <v>144</v>
      </c>
      <c r="I40" s="36">
        <v>61</v>
      </c>
      <c r="J40" s="36">
        <v>4</v>
      </c>
      <c r="K40" s="36">
        <v>21</v>
      </c>
      <c r="L40" s="36">
        <v>1</v>
      </c>
      <c r="M40" s="36" t="s">
        <v>105</v>
      </c>
    </row>
    <row r="41" spans="1:13">
      <c r="A41" s="36">
        <f ca="1" t="shared" si="0"/>
        <v>89</v>
      </c>
      <c r="B41" s="36">
        <f ca="1" t="array" ref="B41">INDEX(Data_DBD!$B:$B,$A41)</f>
        <v>32</v>
      </c>
      <c r="C41" s="36" t="str">
        <f ca="1" t="array" ref="C41">INDEX(Data_DBD!$C:$C,$A41)</f>
        <v>4 Hari</v>
      </c>
      <c r="D41" s="36">
        <f ca="1" t="array" ref="D41">INDEX(Data_DBD!$D:$D,$A41)</f>
        <v>13</v>
      </c>
      <c r="E41" s="36">
        <f ca="1" t="array" ref="E41">INDEX(Data_DBD!$E:$E,$A41)</f>
        <v>0</v>
      </c>
      <c r="F41" s="36" t="str">
        <f ca="1" t="array" ref="F41">INDEX(Data_DBD!$F:$F,$A41)</f>
        <v>Sedang</v>
      </c>
      <c r="H41" s="36">
        <v>135</v>
      </c>
      <c r="I41" s="36">
        <v>10</v>
      </c>
      <c r="J41" s="36">
        <v>2</v>
      </c>
      <c r="K41" s="36">
        <v>33</v>
      </c>
      <c r="L41" s="36">
        <v>0</v>
      </c>
      <c r="M41" s="36" t="s">
        <v>105</v>
      </c>
    </row>
    <row r="42" spans="1:13">
      <c r="A42" s="36">
        <f ca="1" t="shared" si="0"/>
        <v>164</v>
      </c>
      <c r="B42" s="36">
        <f ca="1" t="array" ref="B42">INDEX(Data_DBD!$B:$B,$A42)</f>
        <v>10</v>
      </c>
      <c r="C42" s="36" t="str">
        <f ca="1" t="array" ref="C42">INDEX(Data_DBD!$C:$C,$A42)</f>
        <v>6 Hari</v>
      </c>
      <c r="D42" s="36">
        <f ca="1" t="array" ref="D42">INDEX(Data_DBD!$D:$D,$A42)</f>
        <v>3</v>
      </c>
      <c r="E42" s="36">
        <f ca="1" t="array" ref="E42">INDEX(Data_DBD!$E:$E,$A42)</f>
        <v>0</v>
      </c>
      <c r="F42" s="36" t="str">
        <f ca="1" t="array" ref="F42">INDEX(Data_DBD!$F:$F,$A42)</f>
        <v>Rendah</v>
      </c>
      <c r="H42" s="36">
        <v>112</v>
      </c>
      <c r="I42" s="36">
        <v>61</v>
      </c>
      <c r="J42" s="36">
        <v>3</v>
      </c>
      <c r="K42" s="36">
        <v>33</v>
      </c>
      <c r="L42" s="36">
        <v>1</v>
      </c>
      <c r="M42" s="36" t="s">
        <v>105</v>
      </c>
    </row>
    <row r="43" spans="1:13">
      <c r="A43" s="36">
        <f ca="1" t="shared" si="0"/>
        <v>94</v>
      </c>
      <c r="B43" s="36">
        <f ca="1" t="array" ref="B43">INDEX(Data_DBD!$B:$B,$A43)</f>
        <v>12</v>
      </c>
      <c r="C43" s="36" t="str">
        <f ca="1" t="array" ref="C43">INDEX(Data_DBD!$C:$C,$A43)</f>
        <v>4 Hari</v>
      </c>
      <c r="D43" s="36">
        <f ca="1" t="array" ref="D43">INDEX(Data_DBD!$D:$D,$A43)</f>
        <v>18</v>
      </c>
      <c r="E43" s="36">
        <f ca="1" t="array" ref="E43">INDEX(Data_DBD!$E:$E,$A43)</f>
        <v>0</v>
      </c>
      <c r="F43" s="36" t="str">
        <f ca="1" t="array" ref="F43">INDEX(Data_DBD!$F:$F,$A43)</f>
        <v>Tinggi</v>
      </c>
      <c r="H43" s="36">
        <v>61</v>
      </c>
      <c r="I43" s="36">
        <v>29</v>
      </c>
      <c r="J43" s="36">
        <v>3</v>
      </c>
      <c r="K43" s="36">
        <v>15</v>
      </c>
      <c r="L43" s="36">
        <v>1</v>
      </c>
      <c r="M43" s="36" t="s">
        <v>8</v>
      </c>
    </row>
    <row r="44" spans="1:13">
      <c r="A44" s="36">
        <f ca="1" t="shared" si="0"/>
        <v>159</v>
      </c>
      <c r="B44" s="36">
        <f ca="1" t="array" ref="B44">INDEX(Data_DBD!$B:$B,$A44)</f>
        <v>17</v>
      </c>
      <c r="C44" s="36" t="str">
        <f ca="1" t="array" ref="C44">INDEX(Data_DBD!$C:$C,$A44)</f>
        <v>2 Hari</v>
      </c>
      <c r="D44" s="36">
        <f ca="1" t="array" ref="D44">INDEX(Data_DBD!$D:$D,$A44)</f>
        <v>21</v>
      </c>
      <c r="E44" s="36">
        <f ca="1" t="array" ref="E44">INDEX(Data_DBD!$E:$E,$A44)</f>
        <v>0</v>
      </c>
      <c r="F44" s="36" t="str">
        <f ca="1" t="array" ref="F44">INDEX(Data_DBD!$F:$F,$A44)</f>
        <v>Tinggi</v>
      </c>
      <c r="H44" s="36">
        <v>93</v>
      </c>
      <c r="I44" s="36">
        <v>65</v>
      </c>
      <c r="J44" s="36">
        <v>4</v>
      </c>
      <c r="K44" s="36">
        <v>18</v>
      </c>
      <c r="L44" s="36">
        <v>0</v>
      </c>
      <c r="M44" s="36" t="s">
        <v>105</v>
      </c>
    </row>
    <row r="45" spans="1:13">
      <c r="A45" s="36">
        <f ca="1" t="shared" si="0"/>
        <v>126</v>
      </c>
      <c r="B45" s="36">
        <f ca="1" t="array" ref="B45">INDEX(Data_DBD!$B:$B,$A45)</f>
        <v>51</v>
      </c>
      <c r="C45" s="36" t="str">
        <f ca="1" t="array" ref="C45">INDEX(Data_DBD!$C:$C,$A45)</f>
        <v>3 Hari</v>
      </c>
      <c r="D45" s="36">
        <f ca="1" t="array" ref="D45">INDEX(Data_DBD!$D:$D,$A45)</f>
        <v>33</v>
      </c>
      <c r="E45" s="36">
        <f ca="1" t="array" ref="E45">INDEX(Data_DBD!$E:$E,$A45)</f>
        <v>1</v>
      </c>
      <c r="F45" s="36" t="str">
        <f ca="1" t="array" ref="F45">INDEX(Data_DBD!$F:$F,$A45)</f>
        <v>Tinggi</v>
      </c>
      <c r="H45" s="36">
        <v>158</v>
      </c>
      <c r="I45" s="36">
        <v>5</v>
      </c>
      <c r="J45" s="36">
        <v>2</v>
      </c>
      <c r="K45" s="36">
        <v>21</v>
      </c>
      <c r="L45" s="36">
        <v>0</v>
      </c>
      <c r="M45" s="36" t="s">
        <v>105</v>
      </c>
    </row>
    <row r="46" spans="1:13">
      <c r="A46" s="36">
        <f ca="1" t="shared" si="0"/>
        <v>92</v>
      </c>
      <c r="B46" s="36">
        <f ca="1" t="array" ref="B46">INDEX(Data_DBD!$B:$B,$A46)</f>
        <v>55</v>
      </c>
      <c r="C46" s="36" t="str">
        <f ca="1" t="array" ref="C46">INDEX(Data_DBD!$C:$C,$A46)</f>
        <v>7 Hari</v>
      </c>
      <c r="D46" s="36">
        <f ca="1" t="array" ref="D46">INDEX(Data_DBD!$D:$D,$A46)</f>
        <v>18</v>
      </c>
      <c r="E46" s="36">
        <f ca="1" t="array" ref="E46">INDEX(Data_DBD!$E:$E,$A46)</f>
        <v>0</v>
      </c>
      <c r="F46" s="36" t="str">
        <f ca="1" t="array" ref="F46">INDEX(Data_DBD!$F:$F,$A46)</f>
        <v>Tinggi</v>
      </c>
      <c r="H46" s="36">
        <v>119</v>
      </c>
      <c r="I46" s="36">
        <v>30</v>
      </c>
      <c r="J46" s="36">
        <v>7</v>
      </c>
      <c r="K46" s="36">
        <v>33</v>
      </c>
      <c r="L46" s="36">
        <v>0</v>
      </c>
      <c r="M46" s="36" t="s">
        <v>105</v>
      </c>
    </row>
    <row r="47" spans="1:13">
      <c r="A47" s="36">
        <f ca="1" t="shared" si="0"/>
        <v>24</v>
      </c>
      <c r="B47" s="36">
        <f ca="1" t="array" ref="B47">INDEX(Data_DBD!$B:$B,$A47)</f>
        <v>60</v>
      </c>
      <c r="C47" s="36" t="str">
        <f ca="1" t="array" ref="C47">INDEX(Data_DBD!$C:$C,$A47)</f>
        <v>4 Hari</v>
      </c>
      <c r="D47" s="36">
        <f ca="1" t="array" ref="D47">INDEX(Data_DBD!$D:$D,$A47)</f>
        <v>14</v>
      </c>
      <c r="E47" s="36">
        <f ca="1" t="array" ref="E47">INDEX(Data_DBD!$E:$E,$A47)</f>
        <v>0</v>
      </c>
      <c r="F47" s="36" t="str">
        <f ca="1" t="array" ref="F47">INDEX(Data_DBD!$F:$F,$A47)</f>
        <v>Sedang</v>
      </c>
      <c r="H47" s="36">
        <v>105</v>
      </c>
      <c r="I47" s="36">
        <v>61</v>
      </c>
      <c r="J47" s="36">
        <v>3</v>
      </c>
      <c r="K47" s="36">
        <v>18</v>
      </c>
      <c r="L47" s="36">
        <v>1</v>
      </c>
      <c r="M47" s="36" t="s">
        <v>105</v>
      </c>
    </row>
    <row r="48" spans="1:13">
      <c r="A48" s="36">
        <f ca="1" t="shared" si="0"/>
        <v>6</v>
      </c>
      <c r="B48" s="36">
        <f ca="1" t="array" ref="B48">INDEX(Data_DBD!$B:$B,$A48)</f>
        <v>14</v>
      </c>
      <c r="C48" s="36" t="str">
        <f ca="1" t="array" ref="C48">INDEX(Data_DBD!$C:$C,$A48)</f>
        <v>4 Hari</v>
      </c>
      <c r="D48" s="36">
        <f ca="1" t="array" ref="D48">INDEX(Data_DBD!$D:$D,$A48)</f>
        <v>12</v>
      </c>
      <c r="E48" s="36">
        <f ca="1" t="array" ref="E48">INDEX(Data_DBD!$E:$E,$A48)</f>
        <v>0</v>
      </c>
      <c r="F48" s="36" t="str">
        <f ca="1" t="array" ref="F48">INDEX(Data_DBD!$F:$F,$A48)</f>
        <v>Sedang</v>
      </c>
      <c r="H48" s="36">
        <v>26</v>
      </c>
      <c r="I48" s="36">
        <v>75</v>
      </c>
      <c r="J48" s="36">
        <v>4</v>
      </c>
      <c r="K48" s="36">
        <v>14</v>
      </c>
      <c r="L48" s="36">
        <v>1</v>
      </c>
      <c r="M48" s="36" t="s">
        <v>8</v>
      </c>
    </row>
    <row r="49" spans="1:13">
      <c r="A49" s="36">
        <f ca="1" t="shared" si="0"/>
        <v>137</v>
      </c>
      <c r="B49" s="36">
        <f ca="1" t="array" ref="B49">INDEX(Data_DBD!$B:$B,$A49)</f>
        <v>3.5</v>
      </c>
      <c r="C49" s="36" t="str">
        <f ca="1" t="array" ref="C49">INDEX(Data_DBD!$C:$C,$A49)</f>
        <v>1 Hari</v>
      </c>
      <c r="D49" s="36">
        <f ca="1" t="array" ref="D49">INDEX(Data_DBD!$D:$D,$A49)</f>
        <v>33</v>
      </c>
      <c r="E49" s="36">
        <f ca="1" t="array" ref="E49">INDEX(Data_DBD!$E:$E,$A49)</f>
        <v>1</v>
      </c>
      <c r="F49" s="36" t="str">
        <f ca="1" t="array" ref="F49">INDEX(Data_DBD!$F:$F,$A49)</f>
        <v>Tinggi</v>
      </c>
      <c r="H49" s="36">
        <v>124</v>
      </c>
      <c r="I49" s="36">
        <v>24</v>
      </c>
      <c r="J49" s="36">
        <v>3</v>
      </c>
      <c r="K49" s="36">
        <v>33</v>
      </c>
      <c r="L49" s="36">
        <v>1</v>
      </c>
      <c r="M49" s="36" t="s">
        <v>105</v>
      </c>
    </row>
    <row r="50" spans="1:13">
      <c r="A50" s="36">
        <f ca="1" t="shared" si="0"/>
        <v>74</v>
      </c>
      <c r="B50" s="36">
        <f ca="1" t="array" ref="B50">INDEX(Data_DBD!$B:$B,$A50)</f>
        <v>9</v>
      </c>
      <c r="C50" s="36" t="str">
        <f ca="1" t="array" ref="C50">INDEX(Data_DBD!$C:$C,$A50)</f>
        <v>4 Hari</v>
      </c>
      <c r="D50" s="36">
        <f ca="1" t="array" ref="D50">INDEX(Data_DBD!$D:$D,$A50)</f>
        <v>10</v>
      </c>
      <c r="E50" s="36">
        <f ca="1" t="array" ref="E50">INDEX(Data_DBD!$E:$E,$A50)</f>
        <v>0</v>
      </c>
      <c r="F50" s="36" t="str">
        <f ca="1" t="array" ref="F50">INDEX(Data_DBD!$F:$F,$A50)</f>
        <v>Sedang</v>
      </c>
      <c r="H50" s="36">
        <v>15</v>
      </c>
      <c r="I50" s="36">
        <v>21</v>
      </c>
      <c r="J50" s="36">
        <v>2</v>
      </c>
      <c r="K50" s="36">
        <v>7</v>
      </c>
      <c r="L50" s="36">
        <v>0</v>
      </c>
      <c r="M50" s="36" t="s">
        <v>26</v>
      </c>
    </row>
    <row r="51" spans="1:13">
      <c r="A51" s="36">
        <f ca="1" t="shared" si="0"/>
        <v>122</v>
      </c>
      <c r="B51" s="36">
        <f ca="1" t="array" ref="B51">INDEX(Data_DBD!$B:$B,$A51)</f>
        <v>28</v>
      </c>
      <c r="C51" s="36" t="str">
        <f ca="1" t="array" ref="C51">INDEX(Data_DBD!$C:$C,$A51)</f>
        <v>3 Hari</v>
      </c>
      <c r="D51" s="36">
        <f ca="1" t="array" ref="D51">INDEX(Data_DBD!$D:$D,$A51)</f>
        <v>33</v>
      </c>
      <c r="E51" s="36">
        <f ca="1" t="array" ref="E51">INDEX(Data_DBD!$E:$E,$A51)</f>
        <v>1</v>
      </c>
      <c r="F51" s="36" t="str">
        <f ca="1" t="array" ref="F51">INDEX(Data_DBD!$F:$F,$A51)</f>
        <v>Tinggi</v>
      </c>
      <c r="H51" s="36">
        <v>3</v>
      </c>
      <c r="I51" s="36">
        <v>43</v>
      </c>
      <c r="J51" s="36">
        <v>3</v>
      </c>
      <c r="K51" s="36">
        <v>12</v>
      </c>
      <c r="L51" s="36">
        <v>1</v>
      </c>
      <c r="M51" s="36" t="s">
        <v>8</v>
      </c>
    </row>
    <row r="52" spans="1:13">
      <c r="A52" s="36">
        <f ca="1" t="shared" si="0"/>
        <v>119</v>
      </c>
      <c r="B52" s="36">
        <f ca="1" t="array" ref="B52">INDEX(Data_DBD!$B:$B,$A52)</f>
        <v>30</v>
      </c>
      <c r="C52" s="36" t="str">
        <f ca="1" t="array" ref="C52">INDEX(Data_DBD!$C:$C,$A52)</f>
        <v>7 Hari</v>
      </c>
      <c r="D52" s="36">
        <f ca="1" t="array" ref="D52">INDEX(Data_DBD!$D:$D,$A52)</f>
        <v>33</v>
      </c>
      <c r="E52" s="36">
        <f ca="1" t="array" ref="E52">INDEX(Data_DBD!$E:$E,$A52)</f>
        <v>0</v>
      </c>
      <c r="F52" s="36" t="str">
        <f ca="1" t="array" ref="F52">INDEX(Data_DBD!$F:$F,$A52)</f>
        <v>Tinggi</v>
      </c>
      <c r="H52" s="36">
        <v>10</v>
      </c>
      <c r="I52" s="36">
        <v>18</v>
      </c>
      <c r="J52" s="36">
        <v>5</v>
      </c>
      <c r="K52" s="36">
        <v>12</v>
      </c>
      <c r="L52" s="36">
        <v>0</v>
      </c>
      <c r="M52" s="36" t="s">
        <v>8</v>
      </c>
    </row>
    <row r="53" spans="1:13">
      <c r="A53" s="36">
        <f ca="1" t="shared" si="0"/>
        <v>144</v>
      </c>
      <c r="B53" s="36">
        <f ca="1" t="array" ref="B53">INDEX(Data_DBD!$B:$B,$A53)</f>
        <v>61</v>
      </c>
      <c r="C53" s="36" t="str">
        <f ca="1" t="array" ref="C53">INDEX(Data_DBD!$C:$C,$A53)</f>
        <v>4 Hari</v>
      </c>
      <c r="D53" s="36">
        <f ca="1" t="array" ref="D53">INDEX(Data_DBD!$D:$D,$A53)</f>
        <v>21</v>
      </c>
      <c r="E53" s="36">
        <f ca="1" t="array" ref="E53">INDEX(Data_DBD!$E:$E,$A53)</f>
        <v>1</v>
      </c>
      <c r="F53" s="36" t="str">
        <f ca="1" t="array" ref="F53">INDEX(Data_DBD!$F:$F,$A53)</f>
        <v>Tinggi</v>
      </c>
      <c r="H53" s="36">
        <v>37</v>
      </c>
      <c r="I53" s="36">
        <v>28</v>
      </c>
      <c r="J53" s="36">
        <v>4</v>
      </c>
      <c r="K53" s="36">
        <v>4</v>
      </c>
      <c r="L53" s="36">
        <v>1</v>
      </c>
      <c r="M53" s="36" t="s">
        <v>26</v>
      </c>
    </row>
    <row r="54" spans="1:13">
      <c r="A54" s="36">
        <f ca="1" t="shared" si="0"/>
        <v>22</v>
      </c>
      <c r="B54" s="36">
        <f ca="1" t="array" ref="B54">INDEX(Data_DBD!$B:$B,$A54)</f>
        <v>6</v>
      </c>
      <c r="C54" s="36" t="str">
        <f ca="1" t="array" ref="C54">INDEX(Data_DBD!$C:$C,$A54)</f>
        <v>3 Hari</v>
      </c>
      <c r="D54" s="36">
        <f ca="1" t="array" ref="D54">INDEX(Data_DBD!$D:$D,$A54)</f>
        <v>14</v>
      </c>
      <c r="E54" s="36">
        <f ca="1" t="array" ref="E54">INDEX(Data_DBD!$E:$E,$A54)</f>
        <v>0</v>
      </c>
      <c r="F54" s="36" t="str">
        <f ca="1" t="array" ref="F54">INDEX(Data_DBD!$F:$F,$A54)</f>
        <v>Sedang</v>
      </c>
      <c r="H54" s="36">
        <v>161</v>
      </c>
      <c r="I54" s="36">
        <v>12</v>
      </c>
      <c r="J54" s="36">
        <v>3</v>
      </c>
      <c r="K54" s="36">
        <v>21</v>
      </c>
      <c r="L54" s="36">
        <v>1</v>
      </c>
      <c r="M54" s="36" t="s">
        <v>105</v>
      </c>
    </row>
    <row r="55" spans="1:13">
      <c r="A55" s="36">
        <f ca="1" t="shared" si="0"/>
        <v>149</v>
      </c>
      <c r="B55" s="36">
        <f ca="1" t="array" ref="B55">INDEX(Data_DBD!$B:$B,$A55)</f>
        <v>19</v>
      </c>
      <c r="C55" s="36" t="str">
        <f ca="1" t="array" ref="C55">INDEX(Data_DBD!$C:$C,$A55)</f>
        <v>5 Hari</v>
      </c>
      <c r="D55" s="36">
        <f ca="1" t="array" ref="D55">INDEX(Data_DBD!$D:$D,$A55)</f>
        <v>21</v>
      </c>
      <c r="E55" s="36">
        <f ca="1" t="array" ref="E55">INDEX(Data_DBD!$E:$E,$A55)</f>
        <v>0</v>
      </c>
      <c r="F55" s="36" t="str">
        <f ca="1" t="array" ref="F55">INDEX(Data_DBD!$F:$F,$A55)</f>
        <v>Tinggi</v>
      </c>
      <c r="H55" s="36">
        <v>45</v>
      </c>
      <c r="I55" s="36">
        <v>75</v>
      </c>
      <c r="J55" s="36">
        <v>3</v>
      </c>
      <c r="K55" s="36">
        <v>13</v>
      </c>
      <c r="L55" s="36">
        <v>1</v>
      </c>
      <c r="M55" s="36" t="s">
        <v>8</v>
      </c>
    </row>
    <row r="56" spans="1:13">
      <c r="A56" s="36">
        <f ca="1" t="shared" si="0"/>
        <v>147</v>
      </c>
      <c r="B56" s="36">
        <f ca="1" t="array" ref="B56">INDEX(Data_DBD!$B:$B,$A56)</f>
        <v>66</v>
      </c>
      <c r="C56" s="36" t="str">
        <f ca="1" t="array" ref="C56">INDEX(Data_DBD!$C:$C,$A56)</f>
        <v>10 Hari</v>
      </c>
      <c r="D56" s="36">
        <f ca="1" t="array" ref="D56">INDEX(Data_DBD!$D:$D,$A56)</f>
        <v>21</v>
      </c>
      <c r="E56" s="36">
        <f ca="1" t="array" ref="E56">INDEX(Data_DBD!$E:$E,$A56)</f>
        <v>1</v>
      </c>
      <c r="F56" s="36" t="str">
        <f ca="1" t="array" ref="F56">INDEX(Data_DBD!$F:$F,$A56)</f>
        <v>Tinggi</v>
      </c>
      <c r="H56" s="36">
        <v>151</v>
      </c>
      <c r="I56" s="36">
        <v>24</v>
      </c>
      <c r="J56" s="36">
        <v>3</v>
      </c>
      <c r="K56" s="36">
        <v>21</v>
      </c>
      <c r="L56" s="36">
        <v>0</v>
      </c>
      <c r="M56" s="36" t="s">
        <v>105</v>
      </c>
    </row>
    <row r="57" spans="1:13">
      <c r="A57" s="36">
        <f ca="1" t="shared" si="0"/>
        <v>43</v>
      </c>
      <c r="B57" s="36">
        <f ca="1" t="array" ref="B57">INDEX(Data_DBD!$B:$B,$A57)</f>
        <v>15</v>
      </c>
      <c r="C57" s="36" t="str">
        <f ca="1" t="array" ref="C57">INDEX(Data_DBD!$C:$C,$A57)</f>
        <v>4 Hari</v>
      </c>
      <c r="D57" s="36">
        <f ca="1" t="array" ref="D57">INDEX(Data_DBD!$D:$D,$A57)</f>
        <v>13</v>
      </c>
      <c r="E57" s="36">
        <f ca="1" t="array" ref="E57">INDEX(Data_DBD!$E:$E,$A57)</f>
        <v>0</v>
      </c>
      <c r="F57" s="36" t="str">
        <f ca="1" t="array" ref="F57">INDEX(Data_DBD!$F:$F,$A57)</f>
        <v>Sedang</v>
      </c>
      <c r="H57" s="36">
        <v>56</v>
      </c>
      <c r="I57" s="36">
        <v>4</v>
      </c>
      <c r="J57" s="36">
        <v>3</v>
      </c>
      <c r="K57" s="36">
        <v>15</v>
      </c>
      <c r="L57" s="36">
        <v>0</v>
      </c>
      <c r="M57" s="36" t="s">
        <v>8</v>
      </c>
    </row>
    <row r="58" spans="1:13">
      <c r="A58" s="36">
        <f ca="1" t="shared" si="0"/>
        <v>15</v>
      </c>
      <c r="B58" s="36">
        <f ca="1" t="array" ref="B58">INDEX(Data_DBD!$B:$B,$A58)</f>
        <v>21</v>
      </c>
      <c r="C58" s="36" t="str">
        <f ca="1" t="array" ref="C58">INDEX(Data_DBD!$C:$C,$A58)</f>
        <v>2 Hari</v>
      </c>
      <c r="D58" s="36">
        <f ca="1" t="array" ref="D58">INDEX(Data_DBD!$D:$D,$A58)</f>
        <v>7</v>
      </c>
      <c r="E58" s="36">
        <f ca="1" t="array" ref="E58">INDEX(Data_DBD!$E:$E,$A58)</f>
        <v>0</v>
      </c>
      <c r="F58" s="36" t="str">
        <f ca="1" t="array" ref="F58">INDEX(Data_DBD!$F:$F,$A58)</f>
        <v>Rendah</v>
      </c>
      <c r="H58" s="36">
        <v>32</v>
      </c>
      <c r="I58" s="36">
        <v>54</v>
      </c>
      <c r="J58" s="36">
        <v>4</v>
      </c>
      <c r="K58" s="36">
        <v>14</v>
      </c>
      <c r="L58" s="36">
        <v>0</v>
      </c>
      <c r="M58" s="36" t="s">
        <v>8</v>
      </c>
    </row>
    <row r="59" spans="1:13">
      <c r="A59" s="36">
        <f ca="1" t="shared" si="0"/>
        <v>133</v>
      </c>
      <c r="B59" s="36">
        <f ca="1" t="array" ref="B59">INDEX(Data_DBD!$B:$B,$A59)</f>
        <v>6</v>
      </c>
      <c r="C59" s="36" t="str">
        <f ca="1" t="array" ref="C59">INDEX(Data_DBD!$C:$C,$A59)</f>
        <v>4 Hari</v>
      </c>
      <c r="D59" s="36">
        <f ca="1" t="array" ref="D59">INDEX(Data_DBD!$D:$D,$A59)</f>
        <v>33</v>
      </c>
      <c r="E59" s="36">
        <f ca="1" t="array" ref="E59">INDEX(Data_DBD!$E:$E,$A59)</f>
        <v>0</v>
      </c>
      <c r="F59" s="36" t="str">
        <f ca="1" t="array" ref="F59">INDEX(Data_DBD!$F:$F,$A59)</f>
        <v>Tinggi</v>
      </c>
      <c r="H59" s="36">
        <v>23</v>
      </c>
      <c r="I59" s="36">
        <v>28</v>
      </c>
      <c r="J59" s="36">
        <v>4</v>
      </c>
      <c r="K59" s="36">
        <v>14</v>
      </c>
      <c r="L59" s="36">
        <v>1</v>
      </c>
      <c r="M59" s="36" t="s">
        <v>8</v>
      </c>
    </row>
    <row r="60" spans="1:13">
      <c r="A60" s="36">
        <f ca="1" t="shared" si="0"/>
        <v>160</v>
      </c>
      <c r="B60" s="36">
        <f ca="1" t="array" ref="B60">INDEX(Data_DBD!$B:$B,$A60)</f>
        <v>16</v>
      </c>
      <c r="C60" s="36" t="str">
        <f ca="1" t="array" ref="C60">INDEX(Data_DBD!$C:$C,$A60)</f>
        <v>3 Hari</v>
      </c>
      <c r="D60" s="36">
        <f ca="1" t="array" ref="D60">INDEX(Data_DBD!$D:$D,$A60)</f>
        <v>21</v>
      </c>
      <c r="E60" s="36">
        <f ca="1" t="array" ref="E60">INDEX(Data_DBD!$E:$E,$A60)</f>
        <v>0</v>
      </c>
      <c r="F60" s="36" t="str">
        <f ca="1" t="array" ref="F60">INDEX(Data_DBD!$F:$F,$A60)</f>
        <v>Tinggi</v>
      </c>
      <c r="H60" s="36">
        <v>66</v>
      </c>
      <c r="I60" s="36">
        <v>21</v>
      </c>
      <c r="J60" s="36">
        <v>5</v>
      </c>
      <c r="K60" s="36">
        <v>15</v>
      </c>
      <c r="L60" s="36">
        <v>1</v>
      </c>
      <c r="M60" s="36" t="s">
        <v>8</v>
      </c>
    </row>
    <row r="61" spans="1:13">
      <c r="A61" s="36">
        <f ca="1" t="shared" si="0"/>
        <v>86</v>
      </c>
      <c r="B61" s="36">
        <f ca="1" t="array" ref="B61">INDEX(Data_DBD!$B:$B,$A61)</f>
        <v>23</v>
      </c>
      <c r="C61" s="36" t="str">
        <f ca="1" t="array" ref="C61">INDEX(Data_DBD!$C:$C,$A61)</f>
        <v>3 Hari</v>
      </c>
      <c r="D61" s="36">
        <f ca="1" t="array" ref="D61">INDEX(Data_DBD!$D:$D,$A61)</f>
        <v>13</v>
      </c>
      <c r="E61" s="36">
        <f ca="1" t="array" ref="E61">INDEX(Data_DBD!$E:$E,$A61)</f>
        <v>0</v>
      </c>
      <c r="F61" s="36" t="str">
        <f ca="1" t="array" ref="F61">INDEX(Data_DBD!$F:$F,$A61)</f>
        <v>Sedang</v>
      </c>
      <c r="H61" s="36">
        <v>105</v>
      </c>
      <c r="I61" s="36">
        <v>61</v>
      </c>
      <c r="J61" s="36">
        <v>3</v>
      </c>
      <c r="K61" s="36">
        <v>18</v>
      </c>
      <c r="L61" s="36">
        <v>1</v>
      </c>
      <c r="M61" s="36" t="s">
        <v>105</v>
      </c>
    </row>
    <row r="62" spans="1:13">
      <c r="A62" s="36">
        <f ca="1" t="shared" si="0"/>
        <v>100</v>
      </c>
      <c r="B62" s="36">
        <f ca="1" t="array" ref="B62">INDEX(Data_DBD!$B:$B,$A62)</f>
        <v>19</v>
      </c>
      <c r="C62" s="36" t="str">
        <f ca="1" t="array" ref="C62">INDEX(Data_DBD!$C:$C,$A62)</f>
        <v>6 Hari</v>
      </c>
      <c r="D62" s="36">
        <f ca="1" t="array" ref="D62">INDEX(Data_DBD!$D:$D,$A62)</f>
        <v>18</v>
      </c>
      <c r="E62" s="36">
        <f ca="1" t="array" ref="E62">INDEX(Data_DBD!$E:$E,$A62)</f>
        <v>0</v>
      </c>
      <c r="F62" s="36" t="str">
        <f ca="1" t="array" ref="F62">INDEX(Data_DBD!$F:$F,$A62)</f>
        <v>Tinggi</v>
      </c>
      <c r="H62" s="36">
        <v>157</v>
      </c>
      <c r="I62" s="36">
        <v>15</v>
      </c>
      <c r="J62" s="36">
        <v>4</v>
      </c>
      <c r="K62" s="36">
        <v>21</v>
      </c>
      <c r="L62" s="36">
        <v>1</v>
      </c>
      <c r="M62" s="36" t="s">
        <v>105</v>
      </c>
    </row>
    <row r="63" spans="1:13">
      <c r="A63" s="36">
        <f ca="1" t="shared" si="0"/>
        <v>60</v>
      </c>
      <c r="B63" s="36">
        <f ca="1" t="array" ref="B63">INDEX(Data_DBD!$B:$B,$A63)</f>
        <v>68</v>
      </c>
      <c r="C63" s="36" t="str">
        <f ca="1" t="array" ref="C63">INDEX(Data_DBD!$C:$C,$A63)</f>
        <v>4 Hari</v>
      </c>
      <c r="D63" s="36">
        <f ca="1" t="array" ref="D63">INDEX(Data_DBD!$D:$D,$A63)</f>
        <v>15</v>
      </c>
      <c r="E63" s="36">
        <f ca="1" t="array" ref="E63">INDEX(Data_DBD!$E:$E,$A63)</f>
        <v>0</v>
      </c>
      <c r="F63" s="36" t="str">
        <f ca="1" t="array" ref="F63">INDEX(Data_DBD!$F:$F,$A63)</f>
        <v>Sedang</v>
      </c>
      <c r="H63" s="36">
        <v>99</v>
      </c>
      <c r="I63" s="36">
        <v>4</v>
      </c>
      <c r="J63" s="36">
        <v>2</v>
      </c>
      <c r="K63" s="36">
        <v>18</v>
      </c>
      <c r="L63" s="36">
        <v>1</v>
      </c>
      <c r="M63" s="36" t="s">
        <v>105</v>
      </c>
    </row>
    <row r="64" spans="1:13">
      <c r="A64" s="36">
        <f ca="1" t="shared" si="0"/>
        <v>124</v>
      </c>
      <c r="B64" s="36">
        <f ca="1" t="array" ref="B64">INDEX(Data_DBD!$B:$B,$A64)</f>
        <v>24</v>
      </c>
      <c r="C64" s="36" t="str">
        <f ca="1" t="array" ref="C64">INDEX(Data_DBD!$C:$C,$A64)</f>
        <v>3 Hari</v>
      </c>
      <c r="D64" s="36">
        <f ca="1" t="array" ref="D64">INDEX(Data_DBD!$D:$D,$A64)</f>
        <v>33</v>
      </c>
      <c r="E64" s="36">
        <f ca="1" t="array" ref="E64">INDEX(Data_DBD!$E:$E,$A64)</f>
        <v>1</v>
      </c>
      <c r="F64" s="36" t="str">
        <f ca="1" t="array" ref="F64">INDEX(Data_DBD!$F:$F,$A64)</f>
        <v>Tinggi</v>
      </c>
      <c r="H64" s="36">
        <v>60</v>
      </c>
      <c r="I64" s="36">
        <v>68</v>
      </c>
      <c r="J64" s="36">
        <v>4</v>
      </c>
      <c r="K64" s="36">
        <v>15</v>
      </c>
      <c r="L64" s="36">
        <v>0</v>
      </c>
      <c r="M64" s="36" t="s">
        <v>8</v>
      </c>
    </row>
    <row r="65" spans="1:13">
      <c r="A65" s="36">
        <f ca="1" t="shared" si="0"/>
        <v>85</v>
      </c>
      <c r="B65" s="36">
        <f ca="1" t="array" ref="B65">INDEX(Data_DBD!$B:$B,$A65)</f>
        <v>27</v>
      </c>
      <c r="C65" s="36" t="str">
        <f ca="1" t="array" ref="C65">INDEX(Data_DBD!$C:$C,$A65)</f>
        <v>9 Hari</v>
      </c>
      <c r="D65" s="36">
        <f ca="1" t="array" ref="D65">INDEX(Data_DBD!$D:$D,$A65)</f>
        <v>13</v>
      </c>
      <c r="E65" s="36">
        <f ca="1" t="array" ref="E65">INDEX(Data_DBD!$E:$E,$A65)</f>
        <v>0</v>
      </c>
      <c r="F65" s="36" t="str">
        <f ca="1" t="array" ref="F65">INDEX(Data_DBD!$F:$F,$A65)</f>
        <v>Sedang</v>
      </c>
      <c r="H65" s="36">
        <v>141</v>
      </c>
      <c r="I65" s="36">
        <v>36</v>
      </c>
      <c r="J65" s="36">
        <v>2</v>
      </c>
      <c r="K65" s="36">
        <v>21</v>
      </c>
      <c r="L65" s="36">
        <v>0</v>
      </c>
      <c r="M65" s="36" t="s">
        <v>105</v>
      </c>
    </row>
    <row r="66" ht="15.75" spans="1:21">
      <c r="A66" s="36">
        <f ca="1" t="shared" si="0"/>
        <v>42</v>
      </c>
      <c r="B66" s="36">
        <f ca="1" t="array" ref="B66">INDEX(Data_DBD!$B:$B,$A66)</f>
        <v>21</v>
      </c>
      <c r="C66" s="36" t="str">
        <f ca="1" t="array" ref="C66">INDEX(Data_DBD!$C:$C,$A66)</f>
        <v>5 Hari</v>
      </c>
      <c r="D66" s="36">
        <f ca="1" t="array" ref="D66">INDEX(Data_DBD!$D:$D,$A66)</f>
        <v>13</v>
      </c>
      <c r="E66" s="36">
        <f ca="1" t="array" ref="E66">INDEX(Data_DBD!$E:$E,$A66)</f>
        <v>1</v>
      </c>
      <c r="F66" s="36" t="str">
        <f ca="1" t="array" ref="F66">INDEX(Data_DBD!$F:$F,$A66)</f>
        <v>Sedang</v>
      </c>
      <c r="H66" s="36">
        <v>128</v>
      </c>
      <c r="I66" s="36">
        <v>38</v>
      </c>
      <c r="J66" s="36">
        <v>2</v>
      </c>
      <c r="K66" s="36">
        <v>33</v>
      </c>
      <c r="L66" s="36">
        <v>0</v>
      </c>
      <c r="M66" s="36" t="s">
        <v>105</v>
      </c>
      <c r="U66" s="42" t="s">
        <v>186</v>
      </c>
    </row>
    <row r="67" ht="15.75" spans="1:21">
      <c r="A67" s="36">
        <f ca="1" t="shared" ref="A67:A130" si="1">RANDBETWEEN(2,164)</f>
        <v>48</v>
      </c>
      <c r="B67" s="36">
        <f ca="1" t="array" ref="B67">INDEX(Data_DBD!$B:$B,$A67)</f>
        <v>50</v>
      </c>
      <c r="C67" s="36" t="str">
        <f ca="1" t="array" ref="C67">INDEX(Data_DBD!$C:$C,$A67)</f>
        <v>5 Hari</v>
      </c>
      <c r="D67" s="36">
        <f ca="1" t="array" ref="D67">INDEX(Data_DBD!$D:$D,$A67)</f>
        <v>13</v>
      </c>
      <c r="E67" s="36">
        <f ca="1" t="array" ref="E67">INDEX(Data_DBD!$E:$E,$A67)</f>
        <v>1</v>
      </c>
      <c r="F67" s="36" t="str">
        <f ca="1" t="array" ref="F67">INDEX(Data_DBD!$F:$F,$A67)</f>
        <v>Sedang</v>
      </c>
      <c r="H67" s="36">
        <v>89</v>
      </c>
      <c r="I67" s="36">
        <v>32</v>
      </c>
      <c r="J67" s="36">
        <v>4</v>
      </c>
      <c r="K67" s="36">
        <v>13</v>
      </c>
      <c r="L67" s="36">
        <v>0</v>
      </c>
      <c r="M67" s="36" t="s">
        <v>8</v>
      </c>
      <c r="U67" s="43" t="s">
        <v>187</v>
      </c>
    </row>
    <row r="68" ht="15.75" spans="1:21">
      <c r="A68" s="36">
        <f ca="1" t="shared" si="1"/>
        <v>15</v>
      </c>
      <c r="B68" s="36">
        <f ca="1" t="array" ref="B68">INDEX(Data_DBD!$B:$B,$A68)</f>
        <v>21</v>
      </c>
      <c r="C68" s="36" t="str">
        <f ca="1" t="array" ref="C68">INDEX(Data_DBD!$C:$C,$A68)</f>
        <v>2 Hari</v>
      </c>
      <c r="D68" s="36">
        <f ca="1" t="array" ref="D68">INDEX(Data_DBD!$D:$D,$A68)</f>
        <v>7</v>
      </c>
      <c r="E68" s="36">
        <f ca="1" t="array" ref="E68">INDEX(Data_DBD!$E:$E,$A68)</f>
        <v>0</v>
      </c>
      <c r="F68" s="36" t="str">
        <f ca="1" t="array" ref="F68">INDEX(Data_DBD!$F:$F,$A68)</f>
        <v>Rendah</v>
      </c>
      <c r="H68" s="36">
        <v>11</v>
      </c>
      <c r="I68" s="36">
        <v>24</v>
      </c>
      <c r="J68" s="36">
        <v>5</v>
      </c>
      <c r="K68" s="36">
        <v>12</v>
      </c>
      <c r="L68" s="36">
        <v>1</v>
      </c>
      <c r="M68" s="36" t="s">
        <v>8</v>
      </c>
      <c r="U68" s="44" t="s">
        <v>188</v>
      </c>
    </row>
    <row r="69" ht="15.75" spans="1:21">
      <c r="A69" s="36">
        <f ca="1" t="shared" si="1"/>
        <v>113</v>
      </c>
      <c r="B69" s="36">
        <f ca="1" t="array" ref="B69">INDEX(Data_DBD!$B:$B,$A69)</f>
        <v>69</v>
      </c>
      <c r="C69" s="36" t="str">
        <f ca="1" t="array" ref="C69">INDEX(Data_DBD!$C:$C,$A69)</f>
        <v>1 Hari</v>
      </c>
      <c r="D69" s="36">
        <f ca="1" t="array" ref="D69">INDEX(Data_DBD!$D:$D,$A69)</f>
        <v>33</v>
      </c>
      <c r="E69" s="36">
        <f ca="1" t="array" ref="E69">INDEX(Data_DBD!$E:$E,$A69)</f>
        <v>1</v>
      </c>
      <c r="F69" s="36" t="str">
        <f ca="1" t="array" ref="F69">INDEX(Data_DBD!$F:$F,$A69)</f>
        <v>Tinggi</v>
      </c>
      <c r="H69" s="36">
        <v>79</v>
      </c>
      <c r="I69" s="36">
        <v>29</v>
      </c>
      <c r="J69" s="36">
        <v>3</v>
      </c>
      <c r="K69" s="36">
        <v>13</v>
      </c>
      <c r="L69" s="36">
        <v>0</v>
      </c>
      <c r="M69" s="36" t="s">
        <v>8</v>
      </c>
      <c r="U69" s="44" t="s">
        <v>189</v>
      </c>
    </row>
    <row r="70" ht="15.75" spans="1:21">
      <c r="A70" s="36">
        <f ca="1" t="shared" si="1"/>
        <v>57</v>
      </c>
      <c r="B70" s="36">
        <f ca="1" t="array" ref="B70">INDEX(Data_DBD!$B:$B,$A70)</f>
        <v>2</v>
      </c>
      <c r="C70" s="36" t="str">
        <f ca="1" t="array" ref="C70">INDEX(Data_DBD!$C:$C,$A70)</f>
        <v>2 Hari</v>
      </c>
      <c r="D70" s="36">
        <f ca="1" t="array" ref="D70">INDEX(Data_DBD!$D:$D,$A70)</f>
        <v>15</v>
      </c>
      <c r="E70" s="36">
        <f ca="1" t="array" ref="E70">INDEX(Data_DBD!$E:$E,$A70)</f>
        <v>1</v>
      </c>
      <c r="F70" s="36" t="str">
        <f ca="1" t="array" ref="F70">INDEX(Data_DBD!$F:$F,$A70)</f>
        <v>Sedang</v>
      </c>
      <c r="H70" s="36">
        <v>133</v>
      </c>
      <c r="I70" s="36">
        <v>6</v>
      </c>
      <c r="J70" s="36">
        <v>4</v>
      </c>
      <c r="K70" s="36">
        <v>33</v>
      </c>
      <c r="L70" s="36">
        <v>0</v>
      </c>
      <c r="M70" s="36" t="s">
        <v>105</v>
      </c>
      <c r="U70" s="43" t="s">
        <v>190</v>
      </c>
    </row>
    <row r="71" ht="15.75" spans="1:21">
      <c r="A71" s="36">
        <f ca="1" t="shared" si="1"/>
        <v>18</v>
      </c>
      <c r="B71" s="36">
        <f ca="1" t="array" ref="B71">INDEX(Data_DBD!$B:$B,$A71)</f>
        <v>49</v>
      </c>
      <c r="C71" s="36" t="str">
        <f ca="1" t="array" ref="C71">INDEX(Data_DBD!$C:$C,$A71)</f>
        <v>4 Hari</v>
      </c>
      <c r="D71" s="36">
        <f ca="1" t="array" ref="D71">INDEX(Data_DBD!$D:$D,$A71)</f>
        <v>7</v>
      </c>
      <c r="E71" s="36">
        <f ca="1" t="array" ref="E71">INDEX(Data_DBD!$E:$E,$A71)</f>
        <v>1</v>
      </c>
      <c r="F71" s="36" t="str">
        <f ca="1" t="array" ref="F71">INDEX(Data_DBD!$F:$F,$A71)</f>
        <v>Rendah</v>
      </c>
      <c r="H71" s="36">
        <v>133</v>
      </c>
      <c r="I71" s="36">
        <v>6</v>
      </c>
      <c r="J71" s="36">
        <v>4</v>
      </c>
      <c r="K71" s="36">
        <v>33</v>
      </c>
      <c r="L71" s="36">
        <v>0</v>
      </c>
      <c r="M71" s="36" t="s">
        <v>105</v>
      </c>
      <c r="U71" s="44" t="s">
        <v>191</v>
      </c>
    </row>
    <row r="72" ht="15.75" spans="1:21">
      <c r="A72" s="36">
        <f ca="1" t="shared" si="1"/>
        <v>55</v>
      </c>
      <c r="B72" s="36">
        <f ca="1" t="array" ref="B72">INDEX(Data_DBD!$B:$B,$A72)</f>
        <v>7</v>
      </c>
      <c r="C72" s="36" t="str">
        <f ca="1" t="array" ref="C72">INDEX(Data_DBD!$C:$C,$A72)</f>
        <v>4 Hari</v>
      </c>
      <c r="D72" s="36">
        <f ca="1" t="array" ref="D72">INDEX(Data_DBD!$D:$D,$A72)</f>
        <v>15</v>
      </c>
      <c r="E72" s="36">
        <f ca="1" t="array" ref="E72">INDEX(Data_DBD!$E:$E,$A72)</f>
        <v>1</v>
      </c>
      <c r="F72" s="36" t="str">
        <f ca="1" t="array" ref="F72">INDEX(Data_DBD!$F:$F,$A72)</f>
        <v>Sedang</v>
      </c>
      <c r="H72" s="36">
        <v>94</v>
      </c>
      <c r="I72" s="36">
        <v>12</v>
      </c>
      <c r="J72" s="36">
        <v>4</v>
      </c>
      <c r="K72" s="36">
        <v>18</v>
      </c>
      <c r="L72" s="36">
        <v>0</v>
      </c>
      <c r="M72" s="36" t="s">
        <v>105</v>
      </c>
      <c r="U72" s="44" t="s">
        <v>192</v>
      </c>
    </row>
    <row r="73" ht="15.75" spans="1:21">
      <c r="A73" s="36">
        <f ca="1" t="shared" si="1"/>
        <v>133</v>
      </c>
      <c r="B73" s="36">
        <f ca="1" t="array" ref="B73">INDEX(Data_DBD!$B:$B,$A73)</f>
        <v>6</v>
      </c>
      <c r="C73" s="36" t="str">
        <f ca="1" t="array" ref="C73">INDEX(Data_DBD!$C:$C,$A73)</f>
        <v>4 Hari</v>
      </c>
      <c r="D73" s="36">
        <f ca="1" t="array" ref="D73">INDEX(Data_DBD!$D:$D,$A73)</f>
        <v>33</v>
      </c>
      <c r="E73" s="36">
        <f ca="1" t="array" ref="E73">INDEX(Data_DBD!$E:$E,$A73)</f>
        <v>0</v>
      </c>
      <c r="F73" s="36" t="str">
        <f ca="1" t="array" ref="F73">INDEX(Data_DBD!$F:$F,$A73)</f>
        <v>Tinggi</v>
      </c>
      <c r="H73" s="36">
        <v>84</v>
      </c>
      <c r="I73" s="36">
        <v>42</v>
      </c>
      <c r="J73" s="36">
        <v>4</v>
      </c>
      <c r="K73" s="36">
        <v>13</v>
      </c>
      <c r="L73" s="36">
        <v>1</v>
      </c>
      <c r="M73" s="36" t="s">
        <v>8</v>
      </c>
      <c r="U73" s="43" t="s">
        <v>193</v>
      </c>
    </row>
    <row r="74" ht="15.75" spans="1:21">
      <c r="A74" s="36">
        <f ca="1" t="shared" si="1"/>
        <v>89</v>
      </c>
      <c r="B74" s="36">
        <f ca="1" t="array" ref="B74">INDEX(Data_DBD!$B:$B,$A74)</f>
        <v>32</v>
      </c>
      <c r="C74" s="36" t="str">
        <f ca="1" t="array" ref="C74">INDEX(Data_DBD!$C:$C,$A74)</f>
        <v>4 Hari</v>
      </c>
      <c r="D74" s="36">
        <f ca="1" t="array" ref="D74">INDEX(Data_DBD!$D:$D,$A74)</f>
        <v>13</v>
      </c>
      <c r="E74" s="36">
        <f ca="1" t="array" ref="E74">INDEX(Data_DBD!$E:$E,$A74)</f>
        <v>0</v>
      </c>
      <c r="F74" s="36" t="str">
        <f ca="1" t="array" ref="F74">INDEX(Data_DBD!$F:$F,$A74)</f>
        <v>Sedang</v>
      </c>
      <c r="H74" s="36">
        <v>33</v>
      </c>
      <c r="I74" s="36">
        <v>19</v>
      </c>
      <c r="J74" s="36">
        <v>4</v>
      </c>
      <c r="K74" s="36">
        <v>14</v>
      </c>
      <c r="L74" s="36">
        <v>1</v>
      </c>
      <c r="M74" s="36" t="s">
        <v>8</v>
      </c>
      <c r="U74" s="44" t="s">
        <v>194</v>
      </c>
    </row>
    <row r="75" spans="1:13">
      <c r="A75" s="36">
        <f ca="1" t="shared" si="1"/>
        <v>32</v>
      </c>
      <c r="B75" s="36">
        <f ca="1" t="array" ref="B75">INDEX(Data_DBD!$B:$B,$A75)</f>
        <v>54</v>
      </c>
      <c r="C75" s="36" t="str">
        <f ca="1" t="array" ref="C75">INDEX(Data_DBD!$C:$C,$A75)</f>
        <v>4 Hari</v>
      </c>
      <c r="D75" s="36">
        <f ca="1" t="array" ref="D75">INDEX(Data_DBD!$D:$D,$A75)</f>
        <v>14</v>
      </c>
      <c r="E75" s="36">
        <f ca="1" t="array" ref="E75">INDEX(Data_DBD!$E:$E,$A75)</f>
        <v>0</v>
      </c>
      <c r="F75" s="36" t="str">
        <f ca="1" t="array" ref="F75">INDEX(Data_DBD!$F:$F,$A75)</f>
        <v>Sedang</v>
      </c>
      <c r="H75" s="36">
        <v>114</v>
      </c>
      <c r="I75" s="36">
        <v>14</v>
      </c>
      <c r="J75" s="36">
        <v>2</v>
      </c>
      <c r="K75" s="36">
        <v>33</v>
      </c>
      <c r="L75" s="36">
        <v>1</v>
      </c>
      <c r="M75" s="36" t="s">
        <v>105</v>
      </c>
    </row>
    <row r="76" spans="1:13">
      <c r="A76" s="36">
        <f ca="1" t="shared" si="1"/>
        <v>155</v>
      </c>
      <c r="B76" s="36">
        <f ca="1" t="array" ref="B76">INDEX(Data_DBD!$B:$B,$A76)</f>
        <v>19</v>
      </c>
      <c r="C76" s="36" t="str">
        <f ca="1" t="array" ref="C76">INDEX(Data_DBD!$C:$C,$A76)</f>
        <v>5 Hari</v>
      </c>
      <c r="D76" s="36">
        <f ca="1" t="array" ref="D76">INDEX(Data_DBD!$D:$D,$A76)</f>
        <v>21</v>
      </c>
      <c r="E76" s="36">
        <f ca="1" t="array" ref="E76">INDEX(Data_DBD!$E:$E,$A76)</f>
        <v>1</v>
      </c>
      <c r="F76" s="36" t="str">
        <f ca="1" t="array" ref="F76">INDEX(Data_DBD!$F:$F,$A76)</f>
        <v>Tinggi</v>
      </c>
      <c r="H76" s="36">
        <v>77</v>
      </c>
      <c r="I76" s="36">
        <v>16</v>
      </c>
      <c r="J76" s="36">
        <v>4</v>
      </c>
      <c r="K76" s="36">
        <v>13</v>
      </c>
      <c r="L76" s="36">
        <v>1</v>
      </c>
      <c r="M76" s="36" t="s">
        <v>8</v>
      </c>
    </row>
    <row r="77" spans="1:13">
      <c r="A77" s="36">
        <f ca="1" t="shared" si="1"/>
        <v>133</v>
      </c>
      <c r="B77" s="36">
        <f ca="1" t="array" ref="B77">INDEX(Data_DBD!$B:$B,$A77)</f>
        <v>6</v>
      </c>
      <c r="C77" s="36" t="str">
        <f ca="1" t="array" ref="C77">INDEX(Data_DBD!$C:$C,$A77)</f>
        <v>4 Hari</v>
      </c>
      <c r="D77" s="36">
        <f ca="1" t="array" ref="D77">INDEX(Data_DBD!$D:$D,$A77)</f>
        <v>33</v>
      </c>
      <c r="E77" s="36">
        <f ca="1" t="array" ref="E77">INDEX(Data_DBD!$E:$E,$A77)</f>
        <v>0</v>
      </c>
      <c r="F77" s="36" t="str">
        <f ca="1" t="array" ref="F77">INDEX(Data_DBD!$F:$F,$A77)</f>
        <v>Tinggi</v>
      </c>
      <c r="H77" s="36">
        <v>114</v>
      </c>
      <c r="I77" s="36">
        <v>14</v>
      </c>
      <c r="J77" s="36">
        <v>2</v>
      </c>
      <c r="K77" s="36">
        <v>33</v>
      </c>
      <c r="L77" s="36">
        <v>1</v>
      </c>
      <c r="M77" s="36" t="s">
        <v>105</v>
      </c>
    </row>
    <row r="78" spans="1:13">
      <c r="A78" s="36">
        <f ca="1" t="shared" si="1"/>
        <v>137</v>
      </c>
      <c r="B78" s="36">
        <f ca="1" t="array" ref="B78">INDEX(Data_DBD!$B:$B,$A78)</f>
        <v>3.5</v>
      </c>
      <c r="C78" s="36" t="str">
        <f ca="1" t="array" ref="C78">INDEX(Data_DBD!$C:$C,$A78)</f>
        <v>1 Hari</v>
      </c>
      <c r="D78" s="36">
        <f ca="1" t="array" ref="D78">INDEX(Data_DBD!$D:$D,$A78)</f>
        <v>33</v>
      </c>
      <c r="E78" s="36">
        <f ca="1" t="array" ref="E78">INDEX(Data_DBD!$E:$E,$A78)</f>
        <v>1</v>
      </c>
      <c r="F78" s="36" t="str">
        <f ca="1" t="array" ref="F78">INDEX(Data_DBD!$F:$F,$A78)</f>
        <v>Tinggi</v>
      </c>
      <c r="H78" s="36">
        <v>102</v>
      </c>
      <c r="I78" s="36">
        <v>41</v>
      </c>
      <c r="J78" s="36">
        <v>4</v>
      </c>
      <c r="K78" s="36">
        <v>18</v>
      </c>
      <c r="L78" s="36">
        <v>0</v>
      </c>
      <c r="M78" s="36" t="s">
        <v>105</v>
      </c>
    </row>
    <row r="79" spans="1:15">
      <c r="A79" s="36">
        <f ca="1" t="shared" si="1"/>
        <v>89</v>
      </c>
      <c r="B79" s="36">
        <f ca="1" t="array" ref="B79">INDEX(Data_DBD!$B:$B,$A79)</f>
        <v>32</v>
      </c>
      <c r="C79" s="36" t="str">
        <f ca="1" t="array" ref="C79">INDEX(Data_DBD!$C:$C,$A79)</f>
        <v>4 Hari</v>
      </c>
      <c r="D79" s="36">
        <f ca="1" t="array" ref="D79">INDEX(Data_DBD!$D:$D,$A79)</f>
        <v>13</v>
      </c>
      <c r="E79" s="36">
        <f ca="1" t="array" ref="E79">INDEX(Data_DBD!$E:$E,$A79)</f>
        <v>0</v>
      </c>
      <c r="F79" s="36" t="str">
        <f ca="1" t="array" ref="F79">INDEX(Data_DBD!$F:$F,$A79)</f>
        <v>Sedang</v>
      </c>
      <c r="H79" s="36">
        <v>3</v>
      </c>
      <c r="I79" s="36">
        <v>43</v>
      </c>
      <c r="J79" s="36">
        <v>3</v>
      </c>
      <c r="K79" s="36">
        <v>12</v>
      </c>
      <c r="L79" s="36">
        <v>1</v>
      </c>
      <c r="M79" s="36" t="s">
        <v>8</v>
      </c>
      <c r="O79" s="20" t="s">
        <v>195</v>
      </c>
    </row>
    <row r="80" ht="15.75" spans="1:13">
      <c r="A80" s="36">
        <f ca="1" t="shared" si="1"/>
        <v>127</v>
      </c>
      <c r="B80" s="36">
        <f ca="1" t="array" ref="B80">INDEX(Data_DBD!$B:$B,$A80)</f>
        <v>21</v>
      </c>
      <c r="C80" s="36" t="str">
        <f ca="1" t="array" ref="C80">INDEX(Data_DBD!$C:$C,$A80)</f>
        <v>2 Hari</v>
      </c>
      <c r="D80" s="36">
        <f ca="1" t="array" ref="D80">INDEX(Data_DBD!$D:$D,$A80)</f>
        <v>33</v>
      </c>
      <c r="E80" s="36">
        <f ca="1" t="array" ref="E80">INDEX(Data_DBD!$E:$E,$A80)</f>
        <v>0</v>
      </c>
      <c r="F80" s="36" t="str">
        <f ca="1" t="array" ref="F80">INDEX(Data_DBD!$F:$F,$A80)</f>
        <v>Tinggi</v>
      </c>
      <c r="H80" s="36">
        <v>72</v>
      </c>
      <c r="I80" s="36">
        <v>3</v>
      </c>
      <c r="J80" s="36">
        <v>5</v>
      </c>
      <c r="K80" s="36">
        <v>10</v>
      </c>
      <c r="L80" s="36">
        <v>1</v>
      </c>
      <c r="M80" s="36" t="s">
        <v>8</v>
      </c>
    </row>
    <row r="81" ht="48" spans="1:20">
      <c r="A81" s="36">
        <f ca="1" t="shared" si="1"/>
        <v>103</v>
      </c>
      <c r="B81" s="36">
        <f ca="1" t="array" ref="B81">INDEX(Data_DBD!$B:$B,$A81)</f>
        <v>22</v>
      </c>
      <c r="C81" s="36" t="str">
        <f ca="1" t="array" ref="C81">INDEX(Data_DBD!$C:$C,$A81)</f>
        <v>5 Hari</v>
      </c>
      <c r="D81" s="36">
        <f ca="1" t="array" ref="D81">INDEX(Data_DBD!$D:$D,$A81)</f>
        <v>18</v>
      </c>
      <c r="E81" s="36">
        <f ca="1" t="array" ref="E81">INDEX(Data_DBD!$E:$E,$A81)</f>
        <v>0</v>
      </c>
      <c r="F81" s="36" t="str">
        <f ca="1" t="array" ref="F81">INDEX(Data_DBD!$F:$F,$A81)</f>
        <v>Tinggi</v>
      </c>
      <c r="H81" s="36">
        <v>92</v>
      </c>
      <c r="I81" s="36">
        <v>55</v>
      </c>
      <c r="J81" s="36">
        <v>7</v>
      </c>
      <c r="K81" s="36">
        <v>18</v>
      </c>
      <c r="L81" s="36">
        <v>0</v>
      </c>
      <c r="M81" s="36" t="s">
        <v>105</v>
      </c>
      <c r="O81" s="22" t="s">
        <v>196</v>
      </c>
      <c r="P81" s="3" t="s">
        <v>197</v>
      </c>
      <c r="Q81" s="3" t="s">
        <v>198</v>
      </c>
      <c r="R81" s="3" t="s">
        <v>199</v>
      </c>
      <c r="S81" s="3" t="s">
        <v>200</v>
      </c>
      <c r="T81" s="3" t="s">
        <v>201</v>
      </c>
    </row>
    <row r="82" ht="16.5" spans="1:20">
      <c r="A82" s="36">
        <f ca="1" t="shared" si="1"/>
        <v>121</v>
      </c>
      <c r="B82" s="36">
        <f ca="1" t="array" ref="B82">INDEX(Data_DBD!$B:$B,$A82)</f>
        <v>82</v>
      </c>
      <c r="C82" s="36" t="str">
        <f ca="1" t="array" ref="C82">INDEX(Data_DBD!$C:$C,$A82)</f>
        <v>5 Hari</v>
      </c>
      <c r="D82" s="36">
        <f ca="1" t="array" ref="D82">INDEX(Data_DBD!$D:$D,$A82)</f>
        <v>33</v>
      </c>
      <c r="E82" s="36">
        <f ca="1" t="array" ref="E82">INDEX(Data_DBD!$E:$E,$A82)</f>
        <v>1</v>
      </c>
      <c r="F82" s="36" t="str">
        <f ca="1" t="array" ref="F82">INDEX(Data_DBD!$F:$F,$A82)</f>
        <v>Tinggi</v>
      </c>
      <c r="H82" s="36">
        <v>65</v>
      </c>
      <c r="I82" s="36">
        <v>49</v>
      </c>
      <c r="J82" s="36">
        <v>3</v>
      </c>
      <c r="K82" s="36">
        <v>15</v>
      </c>
      <c r="L82" s="36">
        <v>0</v>
      </c>
      <c r="M82" s="36" t="s">
        <v>8</v>
      </c>
      <c r="O82" s="23">
        <v>46</v>
      </c>
      <c r="P82" s="5">
        <v>13</v>
      </c>
      <c r="Q82" s="5">
        <f>ABS(P82-O82)</f>
        <v>33</v>
      </c>
      <c r="R82" s="5">
        <f>(P82-O82)^2</f>
        <v>1089</v>
      </c>
      <c r="S82" s="5">
        <f>P82-$P$87</f>
        <v>-5.8</v>
      </c>
      <c r="T82" s="5">
        <f>S82^2</f>
        <v>33.64</v>
      </c>
    </row>
    <row r="83" ht="16.5" spans="1:20">
      <c r="A83" s="36">
        <f ca="1" t="shared" si="1"/>
        <v>32</v>
      </c>
      <c r="B83" s="36">
        <f ca="1" t="array" ref="B83">INDEX(Data_DBD!$B:$B,$A83)</f>
        <v>54</v>
      </c>
      <c r="C83" s="36" t="str">
        <f ca="1" t="array" ref="C83">INDEX(Data_DBD!$C:$C,$A83)</f>
        <v>4 Hari</v>
      </c>
      <c r="D83" s="36">
        <f ca="1" t="array" ref="D83">INDEX(Data_DBD!$D:$D,$A83)</f>
        <v>14</v>
      </c>
      <c r="E83" s="36">
        <f ca="1" t="array" ref="E83">INDEX(Data_DBD!$E:$E,$A83)</f>
        <v>0</v>
      </c>
      <c r="F83" s="36" t="str">
        <f ca="1" t="array" ref="F83">INDEX(Data_DBD!$F:$F,$A83)</f>
        <v>Sedang</v>
      </c>
      <c r="H83" s="36">
        <v>90</v>
      </c>
      <c r="I83" s="36">
        <v>47</v>
      </c>
      <c r="J83" s="36">
        <v>3</v>
      </c>
      <c r="K83" s="36">
        <v>18</v>
      </c>
      <c r="L83" s="36">
        <v>0</v>
      </c>
      <c r="M83" s="36" t="s">
        <v>105</v>
      </c>
      <c r="O83" s="23">
        <v>11</v>
      </c>
      <c r="P83" s="5">
        <v>33</v>
      </c>
      <c r="Q83" s="5">
        <f>ABS(P83-O83)</f>
        <v>22</v>
      </c>
      <c r="R83" s="5">
        <f t="shared" ref="R83:R86" si="2">(P83-O83)^2</f>
        <v>484</v>
      </c>
      <c r="S83" s="5">
        <f t="shared" ref="S83:S86" si="3">P83-$P$87</f>
        <v>14.2</v>
      </c>
      <c r="T83" s="5">
        <f t="shared" ref="T83:T86" si="4">S83^2</f>
        <v>201.64</v>
      </c>
    </row>
    <row r="84" ht="16.5" spans="1:20">
      <c r="A84" s="36">
        <f ca="1" t="shared" si="1"/>
        <v>45</v>
      </c>
      <c r="B84" s="36">
        <f ca="1" t="array" ref="B84">INDEX(Data_DBD!$B:$B,$A84)</f>
        <v>75</v>
      </c>
      <c r="C84" s="36" t="str">
        <f ca="1" t="array" ref="C84">INDEX(Data_DBD!$C:$C,$A84)</f>
        <v>3 Hari</v>
      </c>
      <c r="D84" s="36">
        <f ca="1" t="array" ref="D84">INDEX(Data_DBD!$D:$D,$A84)</f>
        <v>13</v>
      </c>
      <c r="E84" s="36">
        <f ca="1" t="array" ref="E84">INDEX(Data_DBD!$E:$E,$A84)</f>
        <v>1</v>
      </c>
      <c r="F84" s="36" t="str">
        <f ca="1" t="array" ref="F84">INDEX(Data_DBD!$F:$F,$A84)</f>
        <v>Sedang</v>
      </c>
      <c r="H84" s="36">
        <v>93</v>
      </c>
      <c r="I84" s="36">
        <v>65</v>
      </c>
      <c r="J84" s="36">
        <v>4</v>
      </c>
      <c r="K84" s="36">
        <v>18</v>
      </c>
      <c r="L84" s="36">
        <v>0</v>
      </c>
      <c r="M84" s="36" t="s">
        <v>105</v>
      </c>
      <c r="O84" s="23">
        <v>40</v>
      </c>
      <c r="P84" s="5">
        <v>15</v>
      </c>
      <c r="Q84" s="5">
        <f t="shared" ref="Q83:Q86" si="5">ABS(P84-O84)</f>
        <v>25</v>
      </c>
      <c r="R84" s="5">
        <f t="shared" si="2"/>
        <v>625</v>
      </c>
      <c r="S84" s="5">
        <f t="shared" si="3"/>
        <v>-3.8</v>
      </c>
      <c r="T84" s="5">
        <f t="shared" si="4"/>
        <v>14.44</v>
      </c>
    </row>
    <row r="85" ht="16.5" spans="1:20">
      <c r="A85" s="36">
        <f ca="1" t="shared" si="1"/>
        <v>122</v>
      </c>
      <c r="B85" s="36">
        <f ca="1" t="array" ref="B85">INDEX(Data_DBD!$B:$B,$A85)</f>
        <v>28</v>
      </c>
      <c r="C85" s="36" t="str">
        <f ca="1" t="array" ref="C85">INDEX(Data_DBD!$C:$C,$A85)</f>
        <v>3 Hari</v>
      </c>
      <c r="D85" s="36">
        <f ca="1" t="array" ref="D85">INDEX(Data_DBD!$D:$D,$A85)</f>
        <v>33</v>
      </c>
      <c r="E85" s="36">
        <f ca="1" t="array" ref="E85">INDEX(Data_DBD!$E:$E,$A85)</f>
        <v>1</v>
      </c>
      <c r="F85" s="36" t="str">
        <f ca="1" t="array" ref="F85">INDEX(Data_DBD!$F:$F,$A85)</f>
        <v>Tinggi</v>
      </c>
      <c r="H85" s="36">
        <v>16</v>
      </c>
      <c r="I85" s="36">
        <v>66</v>
      </c>
      <c r="J85" s="36">
        <v>5</v>
      </c>
      <c r="K85" s="36">
        <v>7</v>
      </c>
      <c r="L85" s="36">
        <v>1</v>
      </c>
      <c r="M85" s="36" t="s">
        <v>26</v>
      </c>
      <c r="O85" s="23">
        <v>33</v>
      </c>
      <c r="P85" s="5">
        <v>21</v>
      </c>
      <c r="Q85" s="5">
        <f t="shared" si="5"/>
        <v>12</v>
      </c>
      <c r="R85" s="5">
        <f t="shared" si="2"/>
        <v>144</v>
      </c>
      <c r="S85" s="5">
        <f t="shared" si="3"/>
        <v>2.2</v>
      </c>
      <c r="T85" s="5">
        <f t="shared" si="4"/>
        <v>4.84</v>
      </c>
    </row>
    <row r="86" ht="16.5" spans="1:20">
      <c r="A86" s="36">
        <f ca="1" t="shared" si="1"/>
        <v>94</v>
      </c>
      <c r="B86" s="36">
        <f ca="1" t="array" ref="B86">INDEX(Data_DBD!$B:$B,$A86)</f>
        <v>12</v>
      </c>
      <c r="C86" s="36" t="str">
        <f ca="1" t="array" ref="C86">INDEX(Data_DBD!$C:$C,$A86)</f>
        <v>4 Hari</v>
      </c>
      <c r="D86" s="36">
        <f ca="1" t="array" ref="D86">INDEX(Data_DBD!$D:$D,$A86)</f>
        <v>18</v>
      </c>
      <c r="E86" s="36">
        <f ca="1" t="array" ref="E86">INDEX(Data_DBD!$E:$E,$A86)</f>
        <v>0</v>
      </c>
      <c r="F86" s="36" t="str">
        <f ca="1" t="array" ref="F86">INDEX(Data_DBD!$F:$F,$A86)</f>
        <v>Tinggi</v>
      </c>
      <c r="H86" s="36">
        <v>146</v>
      </c>
      <c r="I86" s="36">
        <v>34</v>
      </c>
      <c r="J86" s="36">
        <v>2</v>
      </c>
      <c r="K86" s="36">
        <v>21</v>
      </c>
      <c r="L86" s="36">
        <v>1</v>
      </c>
      <c r="M86" s="36" t="s">
        <v>105</v>
      </c>
      <c r="O86" s="23">
        <v>33</v>
      </c>
      <c r="P86" s="5">
        <v>12</v>
      </c>
      <c r="Q86" s="5">
        <f t="shared" si="5"/>
        <v>21</v>
      </c>
      <c r="R86" s="5">
        <f t="shared" si="2"/>
        <v>441</v>
      </c>
      <c r="S86" s="5">
        <f t="shared" si="3"/>
        <v>-6.8</v>
      </c>
      <c r="T86" s="5">
        <f t="shared" si="4"/>
        <v>46.24</v>
      </c>
    </row>
    <row r="87" ht="16.5" spans="1:20">
      <c r="A87" s="36">
        <f ca="1" t="shared" si="1"/>
        <v>101</v>
      </c>
      <c r="B87" s="36">
        <f ca="1" t="array" ref="B87">INDEX(Data_DBD!$B:$B,$A87)</f>
        <v>42</v>
      </c>
      <c r="C87" s="36" t="str">
        <f ca="1" t="array" ref="C87">INDEX(Data_DBD!$C:$C,$A87)</f>
        <v>5 Hari</v>
      </c>
      <c r="D87" s="36">
        <f ca="1" t="array" ref="D87">INDEX(Data_DBD!$D:$D,$A87)</f>
        <v>18</v>
      </c>
      <c r="E87" s="36">
        <f ca="1" t="array" ref="E87">INDEX(Data_DBD!$E:$E,$A87)</f>
        <v>0</v>
      </c>
      <c r="F87" s="36" t="str">
        <f ca="1" t="array" ref="F87">INDEX(Data_DBD!$F:$F,$A87)</f>
        <v>Tinggi</v>
      </c>
      <c r="H87" s="36">
        <v>10</v>
      </c>
      <c r="I87" s="36">
        <v>18</v>
      </c>
      <c r="J87" s="36">
        <v>5</v>
      </c>
      <c r="K87" s="36">
        <v>12</v>
      </c>
      <c r="L87" s="36">
        <v>0</v>
      </c>
      <c r="M87" s="36" t="s">
        <v>8</v>
      </c>
      <c r="O87" s="24" t="s">
        <v>202</v>
      </c>
      <c r="P87" s="5">
        <f>AVERAGE(P82:P86)</f>
        <v>18.8</v>
      </c>
      <c r="Q87" s="5">
        <f>AVERAGE(Q82:Q86)</f>
        <v>22.6</v>
      </c>
      <c r="R87" s="5">
        <f>SUM(R82:R86)</f>
        <v>2783</v>
      </c>
      <c r="S87" s="5"/>
      <c r="T87" s="5">
        <f>SUM(T82:T86)</f>
        <v>300.8</v>
      </c>
    </row>
    <row r="88" spans="1:13">
      <c r="A88" s="36">
        <f ca="1" t="shared" si="1"/>
        <v>14</v>
      </c>
      <c r="B88" s="36">
        <f ca="1" t="array" ref="B88">INDEX(Data_DBD!$B:$B,$A88)</f>
        <v>49</v>
      </c>
      <c r="C88" s="36" t="str">
        <f ca="1" t="array" ref="C88">INDEX(Data_DBD!$C:$C,$A88)</f>
        <v>4 Hari</v>
      </c>
      <c r="D88" s="36">
        <f ca="1" t="array" ref="D88">INDEX(Data_DBD!$D:$D,$A88)</f>
        <v>7</v>
      </c>
      <c r="E88" s="36">
        <f ca="1" t="array" ref="E88">INDEX(Data_DBD!$E:$E,$A88)</f>
        <v>1</v>
      </c>
      <c r="F88" s="36" t="str">
        <f ca="1" t="array" ref="F88">INDEX(Data_DBD!$F:$F,$A88)</f>
        <v>Rendah</v>
      </c>
      <c r="H88" s="36">
        <v>116</v>
      </c>
      <c r="I88" s="36">
        <v>32</v>
      </c>
      <c r="J88" s="36">
        <v>4</v>
      </c>
      <c r="K88" s="36">
        <v>33</v>
      </c>
      <c r="L88" s="36">
        <v>1</v>
      </c>
      <c r="M88" s="36" t="s">
        <v>105</v>
      </c>
    </row>
    <row r="89" spans="1:16">
      <c r="A89" s="36">
        <f ca="1" t="shared" si="1"/>
        <v>85</v>
      </c>
      <c r="B89" s="36">
        <f ca="1" t="array" ref="B89">INDEX(Data_DBD!$B:$B,$A89)</f>
        <v>27</v>
      </c>
      <c r="C89" s="36" t="str">
        <f ca="1" t="array" ref="C89">INDEX(Data_DBD!$C:$C,$A89)</f>
        <v>9 Hari</v>
      </c>
      <c r="D89" s="36">
        <f ca="1" t="array" ref="D89">INDEX(Data_DBD!$D:$D,$A89)</f>
        <v>13</v>
      </c>
      <c r="E89" s="36">
        <f ca="1" t="array" ref="E89">INDEX(Data_DBD!$E:$E,$A89)</f>
        <v>0</v>
      </c>
      <c r="F89" s="36" t="str">
        <f ca="1" t="array" ref="F89">INDEX(Data_DBD!$F:$F,$A89)</f>
        <v>Sedang</v>
      </c>
      <c r="H89" s="36">
        <v>144</v>
      </c>
      <c r="I89" s="36">
        <v>61</v>
      </c>
      <c r="J89" s="36">
        <v>4</v>
      </c>
      <c r="K89" s="36">
        <v>21</v>
      </c>
      <c r="L89" s="36">
        <v>1</v>
      </c>
      <c r="M89" s="36" t="s">
        <v>105</v>
      </c>
      <c r="O89" s="9" t="s">
        <v>203</v>
      </c>
      <c r="P89" s="10">
        <f>AVERAGE(Q82:Q86)</f>
        <v>22.6</v>
      </c>
    </row>
    <row r="90" spans="1:16">
      <c r="A90" s="36">
        <f ca="1" t="shared" si="1"/>
        <v>83</v>
      </c>
      <c r="B90" s="36">
        <f ca="1" t="array" ref="B90">INDEX(Data_DBD!$B:$B,$A90)</f>
        <v>50</v>
      </c>
      <c r="C90" s="36" t="str">
        <f ca="1" t="array" ref="C90">INDEX(Data_DBD!$C:$C,$A90)</f>
        <v>3 Hari</v>
      </c>
      <c r="D90" s="36">
        <f ca="1" t="array" ref="D90">INDEX(Data_DBD!$D:$D,$A90)</f>
        <v>13</v>
      </c>
      <c r="E90" s="36">
        <f ca="1" t="array" ref="E90">INDEX(Data_DBD!$E:$E,$A90)</f>
        <v>0</v>
      </c>
      <c r="F90" s="36" t="str">
        <f ca="1" t="array" ref="F90">INDEX(Data_DBD!$F:$F,$A90)</f>
        <v>Sedang</v>
      </c>
      <c r="H90" s="36">
        <v>45</v>
      </c>
      <c r="I90" s="36">
        <v>75</v>
      </c>
      <c r="J90" s="36">
        <v>3</v>
      </c>
      <c r="K90" s="36">
        <v>13</v>
      </c>
      <c r="L90" s="36">
        <v>1</v>
      </c>
      <c r="M90" s="36" t="s">
        <v>8</v>
      </c>
      <c r="O90" s="9" t="s">
        <v>204</v>
      </c>
      <c r="P90" s="10">
        <f>AVERAGE(R82:R86)</f>
        <v>556.6</v>
      </c>
    </row>
    <row r="91" spans="1:16">
      <c r="A91" s="36">
        <f ca="1" t="shared" si="1"/>
        <v>10</v>
      </c>
      <c r="B91" s="36">
        <f ca="1" t="array" ref="B91">INDEX(Data_DBD!$B:$B,$A91)</f>
        <v>18</v>
      </c>
      <c r="C91" s="36" t="str">
        <f ca="1" t="array" ref="C91">INDEX(Data_DBD!$C:$C,$A91)</f>
        <v>5 Hari</v>
      </c>
      <c r="D91" s="36">
        <f ca="1" t="array" ref="D91">INDEX(Data_DBD!$D:$D,$A91)</f>
        <v>12</v>
      </c>
      <c r="E91" s="36">
        <f ca="1" t="array" ref="E91">INDEX(Data_DBD!$E:$E,$A91)</f>
        <v>0</v>
      </c>
      <c r="F91" s="36" t="str">
        <f ca="1" t="array" ref="F91">INDEX(Data_DBD!$F:$F,$A91)</f>
        <v>Sedang</v>
      </c>
      <c r="H91" s="36">
        <v>66</v>
      </c>
      <c r="I91" s="36">
        <v>21</v>
      </c>
      <c r="J91" s="36">
        <v>5</v>
      </c>
      <c r="K91" s="36">
        <v>15</v>
      </c>
      <c r="L91" s="36">
        <v>1</v>
      </c>
      <c r="M91" s="36" t="s">
        <v>8</v>
      </c>
      <c r="O91" s="9" t="s">
        <v>205</v>
      </c>
      <c r="P91" s="9">
        <f>SQRT(AVERAGE(R82:R86))</f>
        <v>23.5923716484799</v>
      </c>
    </row>
    <row r="92" spans="1:16">
      <c r="A92" s="36">
        <f ca="1" t="shared" si="1"/>
        <v>60</v>
      </c>
      <c r="B92" s="36">
        <f ca="1" t="array" ref="B92">INDEX(Data_DBD!$B:$B,$A92)</f>
        <v>68</v>
      </c>
      <c r="C92" s="36" t="str">
        <f ca="1" t="array" ref="C92">INDEX(Data_DBD!$C:$C,$A92)</f>
        <v>4 Hari</v>
      </c>
      <c r="D92" s="36">
        <f ca="1" t="array" ref="D92">INDEX(Data_DBD!$D:$D,$A92)</f>
        <v>15</v>
      </c>
      <c r="E92" s="36">
        <f ca="1" t="array" ref="E92">INDEX(Data_DBD!$E:$E,$A92)</f>
        <v>0</v>
      </c>
      <c r="F92" s="36" t="str">
        <f ca="1" t="array" ref="F92">INDEX(Data_DBD!$F:$F,$A92)</f>
        <v>Sedang</v>
      </c>
      <c r="H92" s="36">
        <v>41</v>
      </c>
      <c r="I92" s="36">
        <v>8</v>
      </c>
      <c r="J92" s="36">
        <v>4</v>
      </c>
      <c r="K92" s="36">
        <v>13</v>
      </c>
      <c r="L92" s="36">
        <v>0</v>
      </c>
      <c r="M92" s="36" t="s">
        <v>8</v>
      </c>
      <c r="O92" s="9" t="s">
        <v>206</v>
      </c>
      <c r="P92" s="10">
        <f>1-(SUM(R82:R86)/SUM(T82:T86))</f>
        <v>-8.25199468085106</v>
      </c>
    </row>
    <row r="93" spans="1:13">
      <c r="A93" s="36">
        <f ca="1" t="shared" si="1"/>
        <v>148</v>
      </c>
      <c r="B93" s="36">
        <f ca="1" t="array" ref="B93">INDEX(Data_DBD!$B:$B,$A93)</f>
        <v>55</v>
      </c>
      <c r="C93" s="36" t="str">
        <f ca="1" t="array" ref="C93">INDEX(Data_DBD!$C:$C,$A93)</f>
        <v>3 Hari</v>
      </c>
      <c r="D93" s="36">
        <f ca="1" t="array" ref="D93">INDEX(Data_DBD!$D:$D,$A93)</f>
        <v>21</v>
      </c>
      <c r="E93" s="36">
        <f ca="1" t="array" ref="E93">INDEX(Data_DBD!$E:$E,$A93)</f>
        <v>1</v>
      </c>
      <c r="F93" s="36" t="str">
        <f ca="1" t="array" ref="F93">INDEX(Data_DBD!$F:$F,$A93)</f>
        <v>Tinggi</v>
      </c>
      <c r="H93" s="36">
        <v>83</v>
      </c>
      <c r="I93" s="36">
        <v>50</v>
      </c>
      <c r="J93" s="36">
        <v>3</v>
      </c>
      <c r="K93" s="36">
        <v>13</v>
      </c>
      <c r="L93" s="36">
        <v>0</v>
      </c>
      <c r="M93" s="36" t="s">
        <v>8</v>
      </c>
    </row>
    <row r="94" spans="1:13">
      <c r="A94" s="36">
        <f ca="1" t="shared" si="1"/>
        <v>10</v>
      </c>
      <c r="B94" s="36">
        <f ca="1" t="array" ref="B94">INDEX(Data_DBD!$B:$B,$A94)</f>
        <v>18</v>
      </c>
      <c r="C94" s="36" t="str">
        <f ca="1" t="array" ref="C94">INDEX(Data_DBD!$C:$C,$A94)</f>
        <v>5 Hari</v>
      </c>
      <c r="D94" s="36">
        <f ca="1" t="array" ref="D94">INDEX(Data_DBD!$D:$D,$A94)</f>
        <v>12</v>
      </c>
      <c r="E94" s="36">
        <f ca="1" t="array" ref="E94">INDEX(Data_DBD!$E:$E,$A94)</f>
        <v>0</v>
      </c>
      <c r="F94" s="36" t="str">
        <f ca="1" t="array" ref="F94">INDEX(Data_DBD!$F:$F,$A94)</f>
        <v>Sedang</v>
      </c>
      <c r="H94" s="36">
        <v>82</v>
      </c>
      <c r="I94" s="36">
        <v>28</v>
      </c>
      <c r="J94" s="36">
        <v>3</v>
      </c>
      <c r="K94" s="36">
        <v>13</v>
      </c>
      <c r="L94" s="36">
        <v>1</v>
      </c>
      <c r="M94" s="36" t="s">
        <v>8</v>
      </c>
    </row>
    <row r="95" spans="1:13">
      <c r="A95" s="36">
        <f ca="1" t="shared" si="1"/>
        <v>4</v>
      </c>
      <c r="B95" s="36">
        <f ca="1" t="array" ref="B95">INDEX(Data_DBD!$B:$B,$A95)</f>
        <v>23</v>
      </c>
      <c r="C95" s="36" t="str">
        <f ca="1" t="array" ref="C95">INDEX(Data_DBD!$C:$C,$A95)</f>
        <v>5 Hari</v>
      </c>
      <c r="D95" s="36">
        <f ca="1" t="array" ref="D95">INDEX(Data_DBD!$D:$D,$A95)</f>
        <v>12</v>
      </c>
      <c r="E95" s="36">
        <f ca="1" t="array" ref="E95">INDEX(Data_DBD!$E:$E,$A95)</f>
        <v>0</v>
      </c>
      <c r="F95" s="36" t="str">
        <f ca="1" t="array" ref="F95">INDEX(Data_DBD!$F:$F,$A95)</f>
        <v>Sedang</v>
      </c>
      <c r="H95" s="36">
        <v>121</v>
      </c>
      <c r="I95" s="36">
        <v>82</v>
      </c>
      <c r="J95" s="36">
        <v>5</v>
      </c>
      <c r="K95" s="36">
        <v>33</v>
      </c>
      <c r="L95" s="36">
        <v>1</v>
      </c>
      <c r="M95" s="36" t="s">
        <v>105</v>
      </c>
    </row>
    <row r="96" spans="1:13">
      <c r="A96" s="36">
        <f ca="1" t="shared" si="1"/>
        <v>127</v>
      </c>
      <c r="B96" s="36">
        <f ca="1" t="array" ref="B96">INDEX(Data_DBD!$B:$B,$A96)</f>
        <v>21</v>
      </c>
      <c r="C96" s="36" t="str">
        <f ca="1" t="array" ref="C96">INDEX(Data_DBD!$C:$C,$A96)</f>
        <v>2 Hari</v>
      </c>
      <c r="D96" s="36">
        <f ca="1" t="array" ref="D96">INDEX(Data_DBD!$D:$D,$A96)</f>
        <v>33</v>
      </c>
      <c r="E96" s="36">
        <f ca="1" t="array" ref="E96">INDEX(Data_DBD!$E:$E,$A96)</f>
        <v>0</v>
      </c>
      <c r="F96" s="36" t="str">
        <f ca="1" t="array" ref="F96">INDEX(Data_DBD!$F:$F,$A96)</f>
        <v>Tinggi</v>
      </c>
      <c r="H96" s="36">
        <v>51</v>
      </c>
      <c r="I96" s="36">
        <v>48</v>
      </c>
      <c r="J96" s="36">
        <v>4</v>
      </c>
      <c r="K96" s="36">
        <v>13</v>
      </c>
      <c r="L96" s="36">
        <v>0</v>
      </c>
      <c r="M96" s="36" t="s">
        <v>8</v>
      </c>
    </row>
    <row r="97" spans="1:13">
      <c r="A97" s="36">
        <f ca="1" t="shared" si="1"/>
        <v>23</v>
      </c>
      <c r="B97" s="36">
        <f ca="1" t="array" ref="B97">INDEX(Data_DBD!$B:$B,$A97)</f>
        <v>28</v>
      </c>
      <c r="C97" s="36" t="str">
        <f ca="1" t="array" ref="C97">INDEX(Data_DBD!$C:$C,$A97)</f>
        <v>4 Hari</v>
      </c>
      <c r="D97" s="36">
        <f ca="1" t="array" ref="D97">INDEX(Data_DBD!$D:$D,$A97)</f>
        <v>14</v>
      </c>
      <c r="E97" s="36">
        <f ca="1" t="array" ref="E97">INDEX(Data_DBD!$E:$E,$A97)</f>
        <v>1</v>
      </c>
      <c r="F97" s="36" t="str">
        <f ca="1" t="array" ref="F97">INDEX(Data_DBD!$F:$F,$A97)</f>
        <v>Sedang</v>
      </c>
      <c r="H97" s="36">
        <v>126</v>
      </c>
      <c r="I97" s="36">
        <v>51</v>
      </c>
      <c r="J97" s="36">
        <v>3</v>
      </c>
      <c r="K97" s="36">
        <v>33</v>
      </c>
      <c r="L97" s="36">
        <v>1</v>
      </c>
      <c r="M97" s="36" t="s">
        <v>105</v>
      </c>
    </row>
    <row r="98" spans="1:13">
      <c r="A98" s="36">
        <f ca="1" t="shared" si="1"/>
        <v>149</v>
      </c>
      <c r="B98" s="36">
        <f ca="1" t="array" ref="B98">INDEX(Data_DBD!$B:$B,$A98)</f>
        <v>19</v>
      </c>
      <c r="C98" s="36" t="str">
        <f ca="1" t="array" ref="C98">INDEX(Data_DBD!$C:$C,$A98)</f>
        <v>5 Hari</v>
      </c>
      <c r="D98" s="36">
        <f ca="1" t="array" ref="D98">INDEX(Data_DBD!$D:$D,$A98)</f>
        <v>21</v>
      </c>
      <c r="E98" s="36">
        <f ca="1" t="array" ref="E98">INDEX(Data_DBD!$E:$E,$A98)</f>
        <v>0</v>
      </c>
      <c r="F98" s="36" t="str">
        <f ca="1" t="array" ref="F98">INDEX(Data_DBD!$F:$F,$A98)</f>
        <v>Tinggi</v>
      </c>
      <c r="H98" s="36">
        <v>125</v>
      </c>
      <c r="I98" s="36">
        <v>39</v>
      </c>
      <c r="J98" s="36">
        <v>4</v>
      </c>
      <c r="K98" s="36">
        <v>33</v>
      </c>
      <c r="L98" s="36">
        <v>0</v>
      </c>
      <c r="M98" s="36" t="s">
        <v>105</v>
      </c>
    </row>
    <row r="99" spans="1:13">
      <c r="A99" s="36">
        <f ca="1" t="shared" si="1"/>
        <v>101</v>
      </c>
      <c r="B99" s="36">
        <f ca="1" t="array" ref="B99">INDEX(Data_DBD!$B:$B,$A99)</f>
        <v>42</v>
      </c>
      <c r="C99" s="36" t="str">
        <f ca="1" t="array" ref="C99">INDEX(Data_DBD!$C:$C,$A99)</f>
        <v>5 Hari</v>
      </c>
      <c r="D99" s="36">
        <f ca="1" t="array" ref="D99">INDEX(Data_DBD!$D:$D,$A99)</f>
        <v>18</v>
      </c>
      <c r="E99" s="36">
        <f ca="1" t="array" ref="E99">INDEX(Data_DBD!$E:$E,$A99)</f>
        <v>0</v>
      </c>
      <c r="F99" s="36" t="str">
        <f ca="1" t="array" ref="F99">INDEX(Data_DBD!$F:$F,$A99)</f>
        <v>Tinggi</v>
      </c>
      <c r="H99" s="36">
        <v>39</v>
      </c>
      <c r="I99" s="36">
        <v>12</v>
      </c>
      <c r="J99" s="36">
        <v>5</v>
      </c>
      <c r="K99" s="36">
        <v>13</v>
      </c>
      <c r="L99" s="36">
        <v>1</v>
      </c>
      <c r="M99" s="36" t="s">
        <v>8</v>
      </c>
    </row>
    <row r="100" spans="1:13">
      <c r="A100" s="36">
        <f ca="1" t="shared" si="1"/>
        <v>164</v>
      </c>
      <c r="B100" s="36">
        <f ca="1" t="array" ref="B100">INDEX(Data_DBD!$B:$B,$A100)</f>
        <v>10</v>
      </c>
      <c r="C100" s="36" t="str">
        <f ca="1" t="array" ref="C100">INDEX(Data_DBD!$C:$C,$A100)</f>
        <v>6 Hari</v>
      </c>
      <c r="D100" s="36">
        <f ca="1" t="array" ref="D100">INDEX(Data_DBD!$D:$D,$A100)</f>
        <v>3</v>
      </c>
      <c r="E100" s="36">
        <f ca="1" t="array" ref="E100">INDEX(Data_DBD!$E:$E,$A100)</f>
        <v>0</v>
      </c>
      <c r="F100" s="36" t="str">
        <f ca="1" t="array" ref="F100">INDEX(Data_DBD!$F:$F,$A100)</f>
        <v>Rendah</v>
      </c>
      <c r="H100" s="36">
        <v>8</v>
      </c>
      <c r="I100" s="36">
        <v>4</v>
      </c>
      <c r="J100" s="36">
        <v>2</v>
      </c>
      <c r="K100" s="36">
        <v>12</v>
      </c>
      <c r="L100" s="36">
        <v>0</v>
      </c>
      <c r="M100" s="36" t="s">
        <v>8</v>
      </c>
    </row>
    <row r="101" spans="1:13">
      <c r="A101" s="36">
        <f ca="1" t="shared" si="1"/>
        <v>33</v>
      </c>
      <c r="B101" s="36">
        <f ca="1" t="array" ref="B101">INDEX(Data_DBD!$B:$B,$A101)</f>
        <v>19</v>
      </c>
      <c r="C101" s="36" t="str">
        <f ca="1" t="array" ref="C101">INDEX(Data_DBD!$C:$C,$A101)</f>
        <v>4 Hari</v>
      </c>
      <c r="D101" s="36">
        <f ca="1" t="array" ref="D101">INDEX(Data_DBD!$D:$D,$A101)</f>
        <v>14</v>
      </c>
      <c r="E101" s="36">
        <f ca="1" t="array" ref="E101">INDEX(Data_DBD!$E:$E,$A101)</f>
        <v>1</v>
      </c>
      <c r="F101" s="36" t="str">
        <f ca="1" t="array" ref="F101">INDEX(Data_DBD!$F:$F,$A101)</f>
        <v>Sedang</v>
      </c>
      <c r="H101" s="36">
        <v>14</v>
      </c>
      <c r="I101" s="36">
        <v>49</v>
      </c>
      <c r="J101" s="36">
        <v>4</v>
      </c>
      <c r="K101" s="36">
        <v>7</v>
      </c>
      <c r="L101" s="36">
        <v>1</v>
      </c>
      <c r="M101" s="36" t="s">
        <v>26</v>
      </c>
    </row>
    <row r="102" spans="1:13">
      <c r="A102" s="36">
        <f ca="1" t="shared" si="1"/>
        <v>51</v>
      </c>
      <c r="B102" s="36">
        <f ca="1" t="array" ref="B102">INDEX(Data_DBD!$B:$B,$A102)</f>
        <v>48</v>
      </c>
      <c r="C102" s="36" t="str">
        <f ca="1" t="array" ref="C102">INDEX(Data_DBD!$C:$C,$A102)</f>
        <v>4 Hari</v>
      </c>
      <c r="D102" s="36">
        <f ca="1" t="array" ref="D102">INDEX(Data_DBD!$D:$D,$A102)</f>
        <v>13</v>
      </c>
      <c r="E102" s="36">
        <f ca="1" t="array" ref="E102">INDEX(Data_DBD!$E:$E,$A102)</f>
        <v>0</v>
      </c>
      <c r="F102" s="36" t="str">
        <f ca="1" t="array" ref="F102">INDEX(Data_DBD!$F:$F,$A102)</f>
        <v>Sedang</v>
      </c>
      <c r="H102" s="36">
        <v>135</v>
      </c>
      <c r="I102" s="36">
        <v>10</v>
      </c>
      <c r="J102" s="36">
        <v>2</v>
      </c>
      <c r="K102" s="36">
        <v>33</v>
      </c>
      <c r="L102" s="36">
        <v>0</v>
      </c>
      <c r="M102" s="36" t="s">
        <v>105</v>
      </c>
    </row>
    <row r="103" spans="1:13">
      <c r="A103" s="36">
        <f ca="1" t="shared" si="1"/>
        <v>156</v>
      </c>
      <c r="B103" s="36">
        <f ca="1" t="array" ref="B103">INDEX(Data_DBD!$B:$B,$A103)</f>
        <v>5</v>
      </c>
      <c r="C103" s="36" t="str">
        <f ca="1" t="array" ref="C103">INDEX(Data_DBD!$C:$C,$A103)</f>
        <v>2 Hari</v>
      </c>
      <c r="D103" s="36">
        <f ca="1" t="array" ref="D103">INDEX(Data_DBD!$D:$D,$A103)</f>
        <v>21</v>
      </c>
      <c r="E103" s="36">
        <f ca="1" t="array" ref="E103">INDEX(Data_DBD!$E:$E,$A103)</f>
        <v>0</v>
      </c>
      <c r="F103" s="36" t="str">
        <f ca="1" t="array" ref="F103">INDEX(Data_DBD!$F:$F,$A103)</f>
        <v>Tinggi</v>
      </c>
      <c r="H103" s="36">
        <v>80</v>
      </c>
      <c r="I103" s="36">
        <v>27</v>
      </c>
      <c r="J103" s="36">
        <v>3</v>
      </c>
      <c r="K103" s="36">
        <v>13</v>
      </c>
      <c r="L103" s="36">
        <v>1</v>
      </c>
      <c r="M103" s="36" t="s">
        <v>8</v>
      </c>
    </row>
    <row r="104" spans="1:13">
      <c r="A104" s="36">
        <f ca="1" t="shared" si="1"/>
        <v>75</v>
      </c>
      <c r="B104" s="36">
        <f ca="1" t="array" ref="B104">INDEX(Data_DBD!$B:$B,$A104)</f>
        <v>2</v>
      </c>
      <c r="C104" s="36" t="str">
        <f ca="1" t="array" ref="C104">INDEX(Data_DBD!$C:$C,$A104)</f>
        <v>2 Hari</v>
      </c>
      <c r="D104" s="36">
        <f ca="1" t="array" ref="D104">INDEX(Data_DBD!$D:$D,$A104)</f>
        <v>10</v>
      </c>
      <c r="E104" s="36">
        <f ca="1" t="array" ref="E104">INDEX(Data_DBD!$E:$E,$A104)</f>
        <v>1</v>
      </c>
      <c r="F104" s="36" t="str">
        <f ca="1" t="array" ref="F104">INDEX(Data_DBD!$F:$F,$A104)</f>
        <v>Sedang</v>
      </c>
      <c r="H104" s="36">
        <v>53</v>
      </c>
      <c r="I104" s="36">
        <v>35</v>
      </c>
      <c r="J104" s="36">
        <v>4</v>
      </c>
      <c r="K104" s="36">
        <v>15</v>
      </c>
      <c r="L104" s="36">
        <v>1</v>
      </c>
      <c r="M104" s="36" t="s">
        <v>8</v>
      </c>
    </row>
    <row r="105" spans="1:13">
      <c r="A105" s="36">
        <f ca="1" t="shared" si="1"/>
        <v>121</v>
      </c>
      <c r="B105" s="36">
        <f ca="1" t="array" ref="B105">INDEX(Data_DBD!$B:$B,$A105)</f>
        <v>82</v>
      </c>
      <c r="C105" s="36" t="str">
        <f ca="1" t="array" ref="C105">INDEX(Data_DBD!$C:$C,$A105)</f>
        <v>5 Hari</v>
      </c>
      <c r="D105" s="36">
        <f ca="1" t="array" ref="D105">INDEX(Data_DBD!$D:$D,$A105)</f>
        <v>33</v>
      </c>
      <c r="E105" s="36">
        <f ca="1" t="array" ref="E105">INDEX(Data_DBD!$E:$E,$A105)</f>
        <v>1</v>
      </c>
      <c r="F105" s="36" t="str">
        <f ca="1" t="array" ref="F105">INDEX(Data_DBD!$F:$F,$A105)</f>
        <v>Tinggi</v>
      </c>
      <c r="H105" s="36">
        <v>84</v>
      </c>
      <c r="I105" s="36">
        <v>42</v>
      </c>
      <c r="J105" s="36">
        <v>4</v>
      </c>
      <c r="K105" s="36">
        <v>13</v>
      </c>
      <c r="L105" s="36">
        <v>1</v>
      </c>
      <c r="M105" s="36" t="s">
        <v>8</v>
      </c>
    </row>
    <row r="106" spans="1:13">
      <c r="A106" s="36">
        <f ca="1" t="shared" si="1"/>
        <v>66</v>
      </c>
      <c r="B106" s="36">
        <f ca="1" t="array" ref="B106">INDEX(Data_DBD!$B:$B,$A106)</f>
        <v>21</v>
      </c>
      <c r="C106" s="36" t="str">
        <f ca="1" t="array" ref="C106">INDEX(Data_DBD!$C:$C,$A106)</f>
        <v>5 Hari</v>
      </c>
      <c r="D106" s="36">
        <f ca="1" t="array" ref="D106">INDEX(Data_DBD!$D:$D,$A106)</f>
        <v>15</v>
      </c>
      <c r="E106" s="36">
        <f ca="1" t="array" ref="E106">INDEX(Data_DBD!$E:$E,$A106)</f>
        <v>1</v>
      </c>
      <c r="F106" s="36" t="str">
        <f ca="1" t="array" ref="F106">INDEX(Data_DBD!$F:$F,$A106)</f>
        <v>Sedang</v>
      </c>
      <c r="H106" s="36">
        <v>81</v>
      </c>
      <c r="I106" s="36">
        <v>23</v>
      </c>
      <c r="J106" s="36">
        <v>5</v>
      </c>
      <c r="K106" s="36">
        <v>13</v>
      </c>
      <c r="L106" s="36">
        <v>1</v>
      </c>
      <c r="M106" s="36" t="s">
        <v>8</v>
      </c>
    </row>
    <row r="107" spans="1:13">
      <c r="A107" s="36">
        <f ca="1" t="shared" si="1"/>
        <v>124</v>
      </c>
      <c r="B107" s="36">
        <f ca="1" t="array" ref="B107">INDEX(Data_DBD!$B:$B,$A107)</f>
        <v>24</v>
      </c>
      <c r="C107" s="36" t="str">
        <f ca="1" t="array" ref="C107">INDEX(Data_DBD!$C:$C,$A107)</f>
        <v>3 Hari</v>
      </c>
      <c r="D107" s="36">
        <f ca="1" t="array" ref="D107">INDEX(Data_DBD!$D:$D,$A107)</f>
        <v>33</v>
      </c>
      <c r="E107" s="36">
        <f ca="1" t="array" ref="E107">INDEX(Data_DBD!$E:$E,$A107)</f>
        <v>1</v>
      </c>
      <c r="F107" s="36" t="str">
        <f ca="1" t="array" ref="F107">INDEX(Data_DBD!$F:$F,$A107)</f>
        <v>Tinggi</v>
      </c>
      <c r="H107" s="36">
        <v>12</v>
      </c>
      <c r="I107" s="36">
        <v>23</v>
      </c>
      <c r="J107" s="36">
        <v>3</v>
      </c>
      <c r="K107" s="36">
        <v>12</v>
      </c>
      <c r="L107" s="36">
        <v>0</v>
      </c>
      <c r="M107" s="36" t="s">
        <v>8</v>
      </c>
    </row>
    <row r="108" spans="1:13">
      <c r="A108" s="36">
        <f ca="1" t="shared" si="1"/>
        <v>66</v>
      </c>
      <c r="B108" s="36">
        <f ca="1" t="array" ref="B108">INDEX(Data_DBD!$B:$B,$A108)</f>
        <v>21</v>
      </c>
      <c r="C108" s="36" t="str">
        <f ca="1" t="array" ref="C108">INDEX(Data_DBD!$C:$C,$A108)</f>
        <v>5 Hari</v>
      </c>
      <c r="D108" s="36">
        <f ca="1" t="array" ref="D108">INDEX(Data_DBD!$D:$D,$A108)</f>
        <v>15</v>
      </c>
      <c r="E108" s="36">
        <f ca="1" t="array" ref="E108">INDEX(Data_DBD!$E:$E,$A108)</f>
        <v>1</v>
      </c>
      <c r="F108" s="36" t="str">
        <f ca="1" t="array" ref="F108">INDEX(Data_DBD!$F:$F,$A108)</f>
        <v>Sedang</v>
      </c>
      <c r="H108" s="36">
        <v>115</v>
      </c>
      <c r="I108" s="36">
        <v>52</v>
      </c>
      <c r="J108" s="36">
        <v>3</v>
      </c>
      <c r="K108" s="36">
        <v>33</v>
      </c>
      <c r="L108" s="36">
        <v>1</v>
      </c>
      <c r="M108" s="36" t="s">
        <v>105</v>
      </c>
    </row>
    <row r="109" spans="1:13">
      <c r="A109" s="36">
        <f ca="1" t="shared" si="1"/>
        <v>149</v>
      </c>
      <c r="B109" s="36">
        <f ca="1" t="array" ref="B109">INDEX(Data_DBD!$B:$B,$A109)</f>
        <v>19</v>
      </c>
      <c r="C109" s="36" t="str">
        <f ca="1" t="array" ref="C109">INDEX(Data_DBD!$C:$C,$A109)</f>
        <v>5 Hari</v>
      </c>
      <c r="D109" s="36">
        <f ca="1" t="array" ref="D109">INDEX(Data_DBD!$D:$D,$A109)</f>
        <v>21</v>
      </c>
      <c r="E109" s="36">
        <f ca="1" t="array" ref="E109">INDEX(Data_DBD!$E:$E,$A109)</f>
        <v>0</v>
      </c>
      <c r="F109" s="36" t="str">
        <f ca="1" t="array" ref="F109">INDEX(Data_DBD!$F:$F,$A109)</f>
        <v>Tinggi</v>
      </c>
      <c r="H109" s="36">
        <v>107</v>
      </c>
      <c r="I109" s="36">
        <v>48</v>
      </c>
      <c r="J109" s="36">
        <v>5</v>
      </c>
      <c r="K109" s="36">
        <v>18</v>
      </c>
      <c r="L109" s="36">
        <v>0</v>
      </c>
      <c r="M109" s="36" t="s">
        <v>105</v>
      </c>
    </row>
    <row r="110" spans="1:13">
      <c r="A110" s="36">
        <f ca="1" t="shared" si="1"/>
        <v>81</v>
      </c>
      <c r="B110" s="36">
        <f ca="1" t="array" ref="B110">INDEX(Data_DBD!$B:$B,$A110)</f>
        <v>23</v>
      </c>
      <c r="C110" s="36" t="str">
        <f ca="1" t="array" ref="C110">INDEX(Data_DBD!$C:$C,$A110)</f>
        <v>5 Hari</v>
      </c>
      <c r="D110" s="36">
        <f ca="1" t="array" ref="D110">INDEX(Data_DBD!$D:$D,$A110)</f>
        <v>13</v>
      </c>
      <c r="E110" s="36">
        <f ca="1" t="array" ref="E110">INDEX(Data_DBD!$E:$E,$A110)</f>
        <v>1</v>
      </c>
      <c r="F110" s="36" t="str">
        <f ca="1" t="array" ref="F110">INDEX(Data_DBD!$F:$F,$A110)</f>
        <v>Sedang</v>
      </c>
      <c r="H110" s="36">
        <v>76</v>
      </c>
      <c r="I110" s="36">
        <v>70</v>
      </c>
      <c r="J110" s="36">
        <v>2</v>
      </c>
      <c r="K110" s="36">
        <v>10</v>
      </c>
      <c r="L110" s="36">
        <v>0</v>
      </c>
      <c r="M110" s="36" t="s">
        <v>8</v>
      </c>
    </row>
    <row r="111" spans="1:13">
      <c r="A111" s="36">
        <f ca="1" t="shared" si="1"/>
        <v>156</v>
      </c>
      <c r="B111" s="36">
        <f ca="1" t="array" ref="B111">INDEX(Data_DBD!$B:$B,$A111)</f>
        <v>5</v>
      </c>
      <c r="C111" s="36" t="str">
        <f ca="1" t="array" ref="C111">INDEX(Data_DBD!$C:$C,$A111)</f>
        <v>2 Hari</v>
      </c>
      <c r="D111" s="36">
        <f ca="1" t="array" ref="D111">INDEX(Data_DBD!$D:$D,$A111)</f>
        <v>21</v>
      </c>
      <c r="E111" s="36">
        <f ca="1" t="array" ref="E111">INDEX(Data_DBD!$E:$E,$A111)</f>
        <v>0</v>
      </c>
      <c r="F111" s="36" t="str">
        <f ca="1" t="array" ref="F111">INDEX(Data_DBD!$F:$F,$A111)</f>
        <v>Tinggi</v>
      </c>
      <c r="H111" s="36">
        <v>84</v>
      </c>
      <c r="I111" s="36">
        <v>42</v>
      </c>
      <c r="J111" s="36">
        <v>4</v>
      </c>
      <c r="K111" s="36">
        <v>13</v>
      </c>
      <c r="L111" s="36">
        <v>1</v>
      </c>
      <c r="M111" s="36" t="s">
        <v>8</v>
      </c>
    </row>
    <row r="112" spans="1:13">
      <c r="A112" s="36">
        <f ca="1" t="shared" si="1"/>
        <v>124</v>
      </c>
      <c r="B112" s="36">
        <f ca="1" t="array" ref="B112">INDEX(Data_DBD!$B:$B,$A112)</f>
        <v>24</v>
      </c>
      <c r="C112" s="36" t="str">
        <f ca="1" t="array" ref="C112">INDEX(Data_DBD!$C:$C,$A112)</f>
        <v>3 Hari</v>
      </c>
      <c r="D112" s="36">
        <f ca="1" t="array" ref="D112">INDEX(Data_DBD!$D:$D,$A112)</f>
        <v>33</v>
      </c>
      <c r="E112" s="36">
        <f ca="1" t="array" ref="E112">INDEX(Data_DBD!$E:$E,$A112)</f>
        <v>1</v>
      </c>
      <c r="F112" s="36" t="str">
        <f ca="1" t="array" ref="F112">INDEX(Data_DBD!$F:$F,$A112)</f>
        <v>Tinggi</v>
      </c>
      <c r="H112" s="36">
        <v>60</v>
      </c>
      <c r="I112" s="36">
        <v>68</v>
      </c>
      <c r="J112" s="36">
        <v>4</v>
      </c>
      <c r="K112" s="36">
        <v>15</v>
      </c>
      <c r="L112" s="36">
        <v>0</v>
      </c>
      <c r="M112" s="36" t="s">
        <v>8</v>
      </c>
    </row>
    <row r="113" spans="1:13">
      <c r="A113" s="36">
        <f ca="1" t="shared" si="1"/>
        <v>45</v>
      </c>
      <c r="B113" s="36">
        <f ca="1" t="array" ref="B113">INDEX(Data_DBD!$B:$B,$A113)</f>
        <v>75</v>
      </c>
      <c r="C113" s="36" t="str">
        <f ca="1" t="array" ref="C113">INDEX(Data_DBD!$C:$C,$A113)</f>
        <v>3 Hari</v>
      </c>
      <c r="D113" s="36">
        <f ca="1" t="array" ref="D113">INDEX(Data_DBD!$D:$D,$A113)</f>
        <v>13</v>
      </c>
      <c r="E113" s="36">
        <f ca="1" t="array" ref="E113">INDEX(Data_DBD!$E:$E,$A113)</f>
        <v>1</v>
      </c>
      <c r="F113" s="36" t="str">
        <f ca="1" t="array" ref="F113">INDEX(Data_DBD!$F:$F,$A113)</f>
        <v>Sedang</v>
      </c>
      <c r="H113" s="36">
        <v>86</v>
      </c>
      <c r="I113" s="36">
        <v>23</v>
      </c>
      <c r="J113" s="36">
        <v>3</v>
      </c>
      <c r="K113" s="36">
        <v>13</v>
      </c>
      <c r="L113" s="36">
        <v>0</v>
      </c>
      <c r="M113" s="36" t="s">
        <v>8</v>
      </c>
    </row>
    <row r="114" spans="1:13">
      <c r="A114" s="36">
        <f ca="1" t="shared" si="1"/>
        <v>19</v>
      </c>
      <c r="B114" s="36">
        <f ca="1" t="array" ref="B114">INDEX(Data_DBD!$B:$B,$A114)</f>
        <v>8</v>
      </c>
      <c r="C114" s="36" t="str">
        <f ca="1" t="array" ref="C114">INDEX(Data_DBD!$C:$C,$A114)</f>
        <v>4 Hari</v>
      </c>
      <c r="D114" s="36">
        <f ca="1" t="array" ref="D114">INDEX(Data_DBD!$D:$D,$A114)</f>
        <v>7</v>
      </c>
      <c r="E114" s="36">
        <f ca="1" t="array" ref="E114">INDEX(Data_DBD!$E:$E,$A114)</f>
        <v>0</v>
      </c>
      <c r="F114" s="36" t="str">
        <f ca="1" t="array" ref="F114">INDEX(Data_DBD!$F:$F,$A114)</f>
        <v>Rendah</v>
      </c>
      <c r="H114" s="36">
        <v>134</v>
      </c>
      <c r="I114" s="36">
        <v>4</v>
      </c>
      <c r="J114" s="36">
        <v>2</v>
      </c>
      <c r="K114" s="36">
        <v>33</v>
      </c>
      <c r="L114" s="36">
        <v>1</v>
      </c>
      <c r="M114" s="36" t="s">
        <v>105</v>
      </c>
    </row>
    <row r="115" spans="1:13">
      <c r="A115" s="36">
        <f ca="1" t="shared" si="1"/>
        <v>137</v>
      </c>
      <c r="B115" s="36">
        <f ca="1" t="array" ref="B115">INDEX(Data_DBD!$B:$B,$A115)</f>
        <v>3.5</v>
      </c>
      <c r="C115" s="36" t="str">
        <f ca="1" t="array" ref="C115">INDEX(Data_DBD!$C:$C,$A115)</f>
        <v>1 Hari</v>
      </c>
      <c r="D115" s="36">
        <f ca="1" t="array" ref="D115">INDEX(Data_DBD!$D:$D,$A115)</f>
        <v>33</v>
      </c>
      <c r="E115" s="36">
        <f ca="1" t="array" ref="E115">INDEX(Data_DBD!$E:$E,$A115)</f>
        <v>1</v>
      </c>
      <c r="F115" s="36" t="str">
        <f ca="1" t="array" ref="F115">INDEX(Data_DBD!$F:$F,$A115)</f>
        <v>Tinggi</v>
      </c>
      <c r="H115" s="36">
        <v>163</v>
      </c>
      <c r="I115" s="36">
        <v>34</v>
      </c>
      <c r="J115" s="36">
        <v>4</v>
      </c>
      <c r="K115" s="36">
        <v>3</v>
      </c>
      <c r="L115" s="36">
        <v>1</v>
      </c>
      <c r="M115" s="36" t="s">
        <v>26</v>
      </c>
    </row>
    <row r="116" spans="1:13">
      <c r="A116" s="36">
        <f ca="1" t="shared" si="1"/>
        <v>142</v>
      </c>
      <c r="B116" s="36">
        <f ca="1" t="array" ref="B116">INDEX(Data_DBD!$B:$B,$A116)</f>
        <v>39</v>
      </c>
      <c r="C116" s="36" t="str">
        <f ca="1" t="array" ref="C116">INDEX(Data_DBD!$C:$C,$A116)</f>
        <v>2 Hari</v>
      </c>
      <c r="D116" s="36">
        <f ca="1" t="array" ref="D116">INDEX(Data_DBD!$D:$D,$A116)</f>
        <v>21</v>
      </c>
      <c r="E116" s="36">
        <f ca="1" t="array" ref="E116">INDEX(Data_DBD!$E:$E,$A116)</f>
        <v>1</v>
      </c>
      <c r="F116" s="36" t="str">
        <f ca="1" t="array" ref="F116">INDEX(Data_DBD!$F:$F,$A116)</f>
        <v>Tinggi</v>
      </c>
      <c r="H116" s="36">
        <v>115</v>
      </c>
      <c r="I116" s="36">
        <v>52</v>
      </c>
      <c r="J116" s="36">
        <v>3</v>
      </c>
      <c r="K116" s="36">
        <v>33</v>
      </c>
      <c r="L116" s="36">
        <v>1</v>
      </c>
      <c r="M116" s="36" t="s">
        <v>105</v>
      </c>
    </row>
    <row r="117" spans="1:13">
      <c r="A117" s="36">
        <f ca="1" t="shared" si="1"/>
        <v>100</v>
      </c>
      <c r="B117" s="36">
        <f ca="1" t="array" ref="B117">INDEX(Data_DBD!$B:$B,$A117)</f>
        <v>19</v>
      </c>
      <c r="C117" s="36" t="str">
        <f ca="1" t="array" ref="C117">INDEX(Data_DBD!$C:$C,$A117)</f>
        <v>6 Hari</v>
      </c>
      <c r="D117" s="36">
        <f ca="1" t="array" ref="D117">INDEX(Data_DBD!$D:$D,$A117)</f>
        <v>18</v>
      </c>
      <c r="E117" s="36">
        <f ca="1" t="array" ref="E117">INDEX(Data_DBD!$E:$E,$A117)</f>
        <v>0</v>
      </c>
      <c r="F117" s="36" t="str">
        <f ca="1" t="array" ref="F117">INDEX(Data_DBD!$F:$F,$A117)</f>
        <v>Tinggi</v>
      </c>
      <c r="H117" s="36">
        <v>21</v>
      </c>
      <c r="I117" s="36">
        <v>10</v>
      </c>
      <c r="J117" s="36">
        <v>5</v>
      </c>
      <c r="K117" s="36">
        <v>14</v>
      </c>
      <c r="L117" s="36">
        <v>1</v>
      </c>
      <c r="M117" s="36" t="s">
        <v>8</v>
      </c>
    </row>
    <row r="118" spans="1:13">
      <c r="A118" s="36">
        <f ca="1" t="shared" si="1"/>
        <v>27</v>
      </c>
      <c r="B118" s="36">
        <f ca="1" t="array" ref="B118">INDEX(Data_DBD!$B:$B,$A118)</f>
        <v>37</v>
      </c>
      <c r="C118" s="36" t="str">
        <f ca="1" t="array" ref="C118">INDEX(Data_DBD!$C:$C,$A118)</f>
        <v>4 Hari</v>
      </c>
      <c r="D118" s="36">
        <f ca="1" t="array" ref="D118">INDEX(Data_DBD!$D:$D,$A118)</f>
        <v>14</v>
      </c>
      <c r="E118" s="36">
        <f ca="1" t="array" ref="E118">INDEX(Data_DBD!$E:$E,$A118)</f>
        <v>1</v>
      </c>
      <c r="F118" s="36" t="str">
        <f ca="1" t="array" ref="F118">INDEX(Data_DBD!$F:$F,$A118)</f>
        <v>Sedang</v>
      </c>
      <c r="H118" s="36">
        <v>145</v>
      </c>
      <c r="I118" s="36">
        <v>28</v>
      </c>
      <c r="J118" s="36">
        <v>4</v>
      </c>
      <c r="K118" s="36">
        <v>21</v>
      </c>
      <c r="L118" s="36">
        <v>1</v>
      </c>
      <c r="M118" s="36" t="s">
        <v>105</v>
      </c>
    </row>
    <row r="119" spans="1:13">
      <c r="A119" s="36">
        <f ca="1" t="shared" si="1"/>
        <v>116</v>
      </c>
      <c r="B119" s="36">
        <f ca="1" t="array" ref="B119">INDEX(Data_DBD!$B:$B,$A119)</f>
        <v>32</v>
      </c>
      <c r="C119" s="36" t="str">
        <f ca="1" t="array" ref="C119">INDEX(Data_DBD!$C:$C,$A119)</f>
        <v>4 Hari</v>
      </c>
      <c r="D119" s="36">
        <f ca="1" t="array" ref="D119">INDEX(Data_DBD!$D:$D,$A119)</f>
        <v>33</v>
      </c>
      <c r="E119" s="36">
        <f ca="1" t="array" ref="E119">INDEX(Data_DBD!$E:$E,$A119)</f>
        <v>1</v>
      </c>
      <c r="F119" s="36" t="str">
        <f ca="1" t="array" ref="F119">INDEX(Data_DBD!$F:$F,$A119)</f>
        <v>Tinggi</v>
      </c>
      <c r="H119" s="36">
        <v>117</v>
      </c>
      <c r="I119" s="36">
        <v>49</v>
      </c>
      <c r="J119" s="36">
        <v>4</v>
      </c>
      <c r="K119" s="36">
        <v>33</v>
      </c>
      <c r="L119" s="36">
        <v>1</v>
      </c>
      <c r="M119" s="36" t="s">
        <v>105</v>
      </c>
    </row>
    <row r="120" spans="1:13">
      <c r="A120" s="36">
        <f ca="1" t="shared" si="1"/>
        <v>42</v>
      </c>
      <c r="B120" s="36">
        <f ca="1" t="array" ref="B120">INDEX(Data_DBD!$B:$B,$A120)</f>
        <v>21</v>
      </c>
      <c r="C120" s="36" t="str">
        <f ca="1" t="array" ref="C120">INDEX(Data_DBD!$C:$C,$A120)</f>
        <v>5 Hari</v>
      </c>
      <c r="D120" s="36">
        <f ca="1" t="array" ref="D120">INDEX(Data_DBD!$D:$D,$A120)</f>
        <v>13</v>
      </c>
      <c r="E120" s="36">
        <f ca="1" t="array" ref="E120">INDEX(Data_DBD!$E:$E,$A120)</f>
        <v>1</v>
      </c>
      <c r="F120" s="36" t="str">
        <f ca="1" t="array" ref="F120">INDEX(Data_DBD!$F:$F,$A120)</f>
        <v>Sedang</v>
      </c>
      <c r="H120" s="36">
        <v>93</v>
      </c>
      <c r="I120" s="36">
        <v>65</v>
      </c>
      <c r="J120" s="36">
        <v>4</v>
      </c>
      <c r="K120" s="36">
        <v>18</v>
      </c>
      <c r="L120" s="36">
        <v>0</v>
      </c>
      <c r="M120" s="36" t="s">
        <v>105</v>
      </c>
    </row>
    <row r="121" spans="1:13">
      <c r="A121" s="36">
        <f ca="1" t="shared" si="1"/>
        <v>94</v>
      </c>
      <c r="B121" s="36">
        <f ca="1" t="array" ref="B121">INDEX(Data_DBD!$B:$B,$A121)</f>
        <v>12</v>
      </c>
      <c r="C121" s="36" t="str">
        <f ca="1" t="array" ref="C121">INDEX(Data_DBD!$C:$C,$A121)</f>
        <v>4 Hari</v>
      </c>
      <c r="D121" s="36">
        <f ca="1" t="array" ref="D121">INDEX(Data_DBD!$D:$D,$A121)</f>
        <v>18</v>
      </c>
      <c r="E121" s="36">
        <f ca="1" t="array" ref="E121">INDEX(Data_DBD!$E:$E,$A121)</f>
        <v>0</v>
      </c>
      <c r="F121" s="36" t="str">
        <f ca="1" t="array" ref="F121">INDEX(Data_DBD!$F:$F,$A121)</f>
        <v>Tinggi</v>
      </c>
      <c r="H121" s="36">
        <v>78</v>
      </c>
      <c r="I121" s="36">
        <v>6</v>
      </c>
      <c r="J121" s="36">
        <v>3</v>
      </c>
      <c r="K121" s="36">
        <v>13</v>
      </c>
      <c r="L121" s="36">
        <v>0</v>
      </c>
      <c r="M121" s="36" t="s">
        <v>8</v>
      </c>
    </row>
    <row r="122" spans="1:13">
      <c r="A122" s="36">
        <f ca="1" t="shared" si="1"/>
        <v>43</v>
      </c>
      <c r="B122" s="36">
        <f ca="1" t="array" ref="B122">INDEX(Data_DBD!$B:$B,$A122)</f>
        <v>15</v>
      </c>
      <c r="C122" s="36" t="str">
        <f ca="1" t="array" ref="C122">INDEX(Data_DBD!$C:$C,$A122)</f>
        <v>4 Hari</v>
      </c>
      <c r="D122" s="36">
        <f ca="1" t="array" ref="D122">INDEX(Data_DBD!$D:$D,$A122)</f>
        <v>13</v>
      </c>
      <c r="E122" s="36">
        <f ca="1" t="array" ref="E122">INDEX(Data_DBD!$E:$E,$A122)</f>
        <v>0</v>
      </c>
      <c r="F122" s="36" t="str">
        <f ca="1" t="array" ref="F122">INDEX(Data_DBD!$F:$F,$A122)</f>
        <v>Sedang</v>
      </c>
      <c r="H122" s="36">
        <v>27</v>
      </c>
      <c r="I122" s="36">
        <v>37</v>
      </c>
      <c r="J122" s="36">
        <v>4</v>
      </c>
      <c r="K122" s="36">
        <v>14</v>
      </c>
      <c r="L122" s="36">
        <v>1</v>
      </c>
      <c r="M122" s="36" t="s">
        <v>8</v>
      </c>
    </row>
    <row r="123" spans="1:13">
      <c r="A123" s="36">
        <f ca="1" t="shared" si="1"/>
        <v>25</v>
      </c>
      <c r="B123" s="36">
        <f ca="1" t="array" ref="B123">INDEX(Data_DBD!$B:$B,$A123)</f>
        <v>81</v>
      </c>
      <c r="C123" s="36" t="str">
        <f ca="1" t="array" ref="C123">INDEX(Data_DBD!$C:$C,$A123)</f>
        <v>5 Hari</v>
      </c>
      <c r="D123" s="36">
        <f ca="1" t="array" ref="D123">INDEX(Data_DBD!$D:$D,$A123)</f>
        <v>14</v>
      </c>
      <c r="E123" s="36">
        <f ca="1" t="array" ref="E123">INDEX(Data_DBD!$E:$E,$A123)</f>
        <v>0</v>
      </c>
      <c r="F123" s="36" t="str">
        <f ca="1" t="array" ref="F123">INDEX(Data_DBD!$F:$F,$A123)</f>
        <v>Sedang</v>
      </c>
      <c r="H123" s="36">
        <v>79</v>
      </c>
      <c r="I123" s="36">
        <v>29</v>
      </c>
      <c r="J123" s="36">
        <v>3</v>
      </c>
      <c r="K123" s="36">
        <v>13</v>
      </c>
      <c r="L123" s="36">
        <v>0</v>
      </c>
      <c r="M123" s="36" t="s">
        <v>8</v>
      </c>
    </row>
    <row r="124" spans="1:13">
      <c r="A124" s="36">
        <f ca="1" t="shared" si="1"/>
        <v>48</v>
      </c>
      <c r="B124" s="36">
        <f ca="1" t="array" ref="B124">INDEX(Data_DBD!$B:$B,$A124)</f>
        <v>50</v>
      </c>
      <c r="C124" s="36" t="str">
        <f ca="1" t="array" ref="C124">INDEX(Data_DBD!$C:$C,$A124)</f>
        <v>5 Hari</v>
      </c>
      <c r="D124" s="36">
        <f ca="1" t="array" ref="D124">INDEX(Data_DBD!$D:$D,$A124)</f>
        <v>13</v>
      </c>
      <c r="E124" s="36">
        <f ca="1" t="array" ref="E124">INDEX(Data_DBD!$E:$E,$A124)</f>
        <v>1</v>
      </c>
      <c r="F124" s="36" t="str">
        <f ca="1" t="array" ref="F124">INDEX(Data_DBD!$F:$F,$A124)</f>
        <v>Sedang</v>
      </c>
      <c r="H124" s="36">
        <v>2</v>
      </c>
      <c r="I124" s="36">
        <v>34</v>
      </c>
      <c r="J124" s="36">
        <v>3</v>
      </c>
      <c r="K124" s="36">
        <v>12</v>
      </c>
      <c r="L124" s="36">
        <v>0</v>
      </c>
      <c r="M124" s="36" t="s">
        <v>8</v>
      </c>
    </row>
    <row r="125" spans="1:13">
      <c r="A125" s="36">
        <f ca="1" t="shared" si="1"/>
        <v>102</v>
      </c>
      <c r="B125" s="36">
        <f ca="1" t="array" ref="B125">INDEX(Data_DBD!$B:$B,$A125)</f>
        <v>41</v>
      </c>
      <c r="C125" s="36" t="str">
        <f ca="1" t="array" ref="C125">INDEX(Data_DBD!$C:$C,$A125)</f>
        <v>4 Hari</v>
      </c>
      <c r="D125" s="36">
        <f ca="1" t="array" ref="D125">INDEX(Data_DBD!$D:$D,$A125)</f>
        <v>18</v>
      </c>
      <c r="E125" s="36">
        <f ca="1" t="array" ref="E125">INDEX(Data_DBD!$E:$E,$A125)</f>
        <v>0</v>
      </c>
      <c r="F125" s="36" t="str">
        <f ca="1" t="array" ref="F125">INDEX(Data_DBD!$F:$F,$A125)</f>
        <v>Tinggi</v>
      </c>
      <c r="H125" s="36">
        <v>112</v>
      </c>
      <c r="I125" s="36">
        <v>61</v>
      </c>
      <c r="J125" s="36">
        <v>3</v>
      </c>
      <c r="K125" s="36">
        <v>33</v>
      </c>
      <c r="L125" s="36">
        <v>1</v>
      </c>
      <c r="M125" s="36" t="s">
        <v>105</v>
      </c>
    </row>
    <row r="126" spans="1:13">
      <c r="A126" s="36">
        <f ca="1" t="shared" si="1"/>
        <v>149</v>
      </c>
      <c r="B126" s="36">
        <f ca="1" t="array" ref="B126">INDEX(Data_DBD!$B:$B,$A126)</f>
        <v>19</v>
      </c>
      <c r="C126" s="36" t="str">
        <f ca="1" t="array" ref="C126">INDEX(Data_DBD!$C:$C,$A126)</f>
        <v>5 Hari</v>
      </c>
      <c r="D126" s="36">
        <f ca="1" t="array" ref="D126">INDEX(Data_DBD!$D:$D,$A126)</f>
        <v>21</v>
      </c>
      <c r="E126" s="36">
        <f ca="1" t="array" ref="E126">INDEX(Data_DBD!$E:$E,$A126)</f>
        <v>0</v>
      </c>
      <c r="F126" s="36" t="str">
        <f ca="1" t="array" ref="F126">INDEX(Data_DBD!$F:$F,$A126)</f>
        <v>Tinggi</v>
      </c>
      <c r="H126" s="36">
        <v>86</v>
      </c>
      <c r="I126" s="36">
        <v>23</v>
      </c>
      <c r="J126" s="36">
        <v>3</v>
      </c>
      <c r="K126" s="36">
        <v>13</v>
      </c>
      <c r="L126" s="36">
        <v>0</v>
      </c>
      <c r="M126" s="36" t="s">
        <v>8</v>
      </c>
    </row>
    <row r="127" spans="1:13">
      <c r="A127" s="36">
        <f ca="1" t="shared" si="1"/>
        <v>149</v>
      </c>
      <c r="B127" s="36">
        <f ca="1" t="array" ref="B127">INDEX(Data_DBD!$B:$B,$A127)</f>
        <v>19</v>
      </c>
      <c r="C127" s="36" t="str">
        <f ca="1" t="array" ref="C127">INDEX(Data_DBD!$C:$C,$A127)</f>
        <v>5 Hari</v>
      </c>
      <c r="D127" s="36">
        <f ca="1" t="array" ref="D127">INDEX(Data_DBD!$D:$D,$A127)</f>
        <v>21</v>
      </c>
      <c r="E127" s="36">
        <f ca="1" t="array" ref="E127">INDEX(Data_DBD!$E:$E,$A127)</f>
        <v>0</v>
      </c>
      <c r="F127" s="36" t="str">
        <f ca="1" t="array" ref="F127">INDEX(Data_DBD!$F:$F,$A127)</f>
        <v>Tinggi</v>
      </c>
      <c r="H127" s="36">
        <v>71</v>
      </c>
      <c r="I127" s="36">
        <v>84</v>
      </c>
      <c r="J127" s="36">
        <v>3</v>
      </c>
      <c r="K127" s="36">
        <v>10</v>
      </c>
      <c r="L127" s="36">
        <v>0</v>
      </c>
      <c r="M127" s="36" t="s">
        <v>8</v>
      </c>
    </row>
    <row r="128" spans="1:13">
      <c r="A128" s="36">
        <f ca="1" t="shared" si="1"/>
        <v>133</v>
      </c>
      <c r="B128" s="36">
        <f ca="1" t="array" ref="B128">INDEX(Data_DBD!$B:$B,$A128)</f>
        <v>6</v>
      </c>
      <c r="C128" s="36" t="str">
        <f ca="1" t="array" ref="C128">INDEX(Data_DBD!$C:$C,$A128)</f>
        <v>4 Hari</v>
      </c>
      <c r="D128" s="36">
        <f ca="1" t="array" ref="D128">INDEX(Data_DBD!$D:$D,$A128)</f>
        <v>33</v>
      </c>
      <c r="E128" s="36">
        <f ca="1" t="array" ref="E128">INDEX(Data_DBD!$E:$E,$A128)</f>
        <v>0</v>
      </c>
      <c r="F128" s="36" t="str">
        <f ca="1" t="array" ref="F128">INDEX(Data_DBD!$F:$F,$A128)</f>
        <v>Tinggi</v>
      </c>
      <c r="H128" s="36">
        <v>148</v>
      </c>
      <c r="I128" s="36">
        <v>55</v>
      </c>
      <c r="J128" s="36">
        <v>3</v>
      </c>
      <c r="K128" s="36">
        <v>21</v>
      </c>
      <c r="L128" s="36">
        <v>1</v>
      </c>
      <c r="M128" s="36" t="s">
        <v>105</v>
      </c>
    </row>
    <row r="129" spans="1:13">
      <c r="A129" s="36">
        <f ca="1" t="shared" si="1"/>
        <v>45</v>
      </c>
      <c r="B129" s="36">
        <f ca="1" t="array" ref="B129">INDEX(Data_DBD!$B:$B,$A129)</f>
        <v>75</v>
      </c>
      <c r="C129" s="36" t="str">
        <f ca="1" t="array" ref="C129">INDEX(Data_DBD!$C:$C,$A129)</f>
        <v>3 Hari</v>
      </c>
      <c r="D129" s="36">
        <f ca="1" t="array" ref="D129">INDEX(Data_DBD!$D:$D,$A129)</f>
        <v>13</v>
      </c>
      <c r="E129" s="36">
        <f ca="1" t="array" ref="E129">INDEX(Data_DBD!$E:$E,$A129)</f>
        <v>1</v>
      </c>
      <c r="F129" s="36" t="str">
        <f ca="1" t="array" ref="F129">INDEX(Data_DBD!$F:$F,$A129)</f>
        <v>Sedang</v>
      </c>
      <c r="H129" s="36">
        <v>110</v>
      </c>
      <c r="I129" s="36">
        <v>42</v>
      </c>
      <c r="J129" s="36">
        <v>2</v>
      </c>
      <c r="K129" s="36">
        <v>33</v>
      </c>
      <c r="L129" s="36">
        <v>1</v>
      </c>
      <c r="M129" s="36" t="s">
        <v>105</v>
      </c>
    </row>
    <row r="130" spans="1:13">
      <c r="A130" s="36">
        <f ca="1" t="shared" si="1"/>
        <v>121</v>
      </c>
      <c r="B130" s="36">
        <f ca="1" t="array" ref="B130">INDEX(Data_DBD!$B:$B,$A130)</f>
        <v>82</v>
      </c>
      <c r="C130" s="36" t="str">
        <f ca="1" t="array" ref="C130">INDEX(Data_DBD!$C:$C,$A130)</f>
        <v>5 Hari</v>
      </c>
      <c r="D130" s="36">
        <f ca="1" t="array" ref="D130">INDEX(Data_DBD!$D:$D,$A130)</f>
        <v>33</v>
      </c>
      <c r="E130" s="36">
        <f ca="1" t="array" ref="E130">INDEX(Data_DBD!$E:$E,$A130)</f>
        <v>1</v>
      </c>
      <c r="F130" s="36" t="str">
        <f ca="1" t="array" ref="F130">INDEX(Data_DBD!$F:$F,$A130)</f>
        <v>Tinggi</v>
      </c>
      <c r="H130" s="36">
        <v>98</v>
      </c>
      <c r="I130" s="36">
        <v>16</v>
      </c>
      <c r="J130" s="36">
        <v>2</v>
      </c>
      <c r="K130" s="36">
        <v>18</v>
      </c>
      <c r="L130" s="36">
        <v>1</v>
      </c>
      <c r="M130" s="36" t="s">
        <v>105</v>
      </c>
    </row>
    <row r="131" spans="1:13">
      <c r="A131" s="36">
        <f ca="1" t="shared" ref="A131:A164" si="6">RANDBETWEEN(2,164)</f>
        <v>43</v>
      </c>
      <c r="B131" s="36">
        <f ca="1" t="array" ref="B131">INDEX(Data_DBD!$B:$B,$A131)</f>
        <v>15</v>
      </c>
      <c r="C131" s="36" t="str">
        <f ca="1" t="array" ref="C131">INDEX(Data_DBD!$C:$C,$A131)</f>
        <v>4 Hari</v>
      </c>
      <c r="D131" s="36">
        <f ca="1" t="array" ref="D131">INDEX(Data_DBD!$D:$D,$A131)</f>
        <v>13</v>
      </c>
      <c r="E131" s="36">
        <f ca="1" t="array" ref="E131">INDEX(Data_DBD!$E:$E,$A131)</f>
        <v>0</v>
      </c>
      <c r="F131" s="36" t="str">
        <f ca="1" t="array" ref="F131">INDEX(Data_DBD!$F:$F,$A131)</f>
        <v>Sedang</v>
      </c>
      <c r="H131" s="36">
        <v>116</v>
      </c>
      <c r="I131" s="36">
        <v>32</v>
      </c>
      <c r="J131" s="36">
        <v>4</v>
      </c>
      <c r="K131" s="36">
        <v>33</v>
      </c>
      <c r="L131" s="36">
        <v>1</v>
      </c>
      <c r="M131" s="36" t="s">
        <v>105</v>
      </c>
    </row>
    <row r="132" spans="1:13">
      <c r="A132" s="36">
        <f ca="1" t="shared" si="6"/>
        <v>155</v>
      </c>
      <c r="B132" s="36">
        <f ca="1" t="array" ref="B132">INDEX(Data_DBD!$B:$B,$A132)</f>
        <v>19</v>
      </c>
      <c r="C132" s="36" t="str">
        <f ca="1" t="array" ref="C132">INDEX(Data_DBD!$C:$C,$A132)</f>
        <v>5 Hari</v>
      </c>
      <c r="D132" s="36">
        <f ca="1" t="array" ref="D132">INDEX(Data_DBD!$D:$D,$A132)</f>
        <v>21</v>
      </c>
      <c r="E132" s="36">
        <f ca="1" t="array" ref="E132">INDEX(Data_DBD!$E:$E,$A132)</f>
        <v>1</v>
      </c>
      <c r="F132" s="36" t="str">
        <f ca="1" t="array" ref="F132">INDEX(Data_DBD!$F:$F,$A132)</f>
        <v>Tinggi</v>
      </c>
      <c r="H132" s="36">
        <v>56</v>
      </c>
      <c r="I132" s="36">
        <v>4</v>
      </c>
      <c r="J132" s="36">
        <v>3</v>
      </c>
      <c r="K132" s="36">
        <v>15</v>
      </c>
      <c r="L132" s="36">
        <v>0</v>
      </c>
      <c r="M132" s="36" t="s">
        <v>8</v>
      </c>
    </row>
    <row r="133" spans="1:13">
      <c r="A133" s="36">
        <f ca="1" t="shared" si="6"/>
        <v>160</v>
      </c>
      <c r="B133" s="36">
        <f ca="1" t="array" ref="B133">INDEX(Data_DBD!$B:$B,$A133)</f>
        <v>16</v>
      </c>
      <c r="C133" s="36" t="str">
        <f ca="1" t="array" ref="C133">INDEX(Data_DBD!$C:$C,$A133)</f>
        <v>3 Hari</v>
      </c>
      <c r="D133" s="36">
        <f ca="1" t="array" ref="D133">INDEX(Data_DBD!$D:$D,$A133)</f>
        <v>21</v>
      </c>
      <c r="E133" s="36">
        <f ca="1" t="array" ref="E133">INDEX(Data_DBD!$E:$E,$A133)</f>
        <v>0</v>
      </c>
      <c r="F133" s="36" t="str">
        <f ca="1" t="array" ref="F133">INDEX(Data_DBD!$F:$F,$A133)</f>
        <v>Tinggi</v>
      </c>
      <c r="H133" s="36">
        <v>22</v>
      </c>
      <c r="I133" s="36">
        <v>6</v>
      </c>
      <c r="J133" s="36">
        <v>3</v>
      </c>
      <c r="K133" s="36">
        <v>14</v>
      </c>
      <c r="L133" s="36">
        <v>0</v>
      </c>
      <c r="M133" s="36" t="s">
        <v>8</v>
      </c>
    </row>
    <row r="134" spans="1:13">
      <c r="A134" s="36">
        <f ca="1" t="shared" si="6"/>
        <v>6</v>
      </c>
      <c r="B134" s="36">
        <f ca="1" t="array" ref="B134">INDEX(Data_DBD!$B:$B,$A134)</f>
        <v>14</v>
      </c>
      <c r="C134" s="36" t="str">
        <f ca="1" t="array" ref="C134">INDEX(Data_DBD!$C:$C,$A134)</f>
        <v>4 Hari</v>
      </c>
      <c r="D134" s="36">
        <f ca="1" t="array" ref="D134">INDEX(Data_DBD!$D:$D,$A134)</f>
        <v>12</v>
      </c>
      <c r="E134" s="36">
        <f ca="1" t="array" ref="E134">INDEX(Data_DBD!$E:$E,$A134)</f>
        <v>0</v>
      </c>
      <c r="F134" s="36" t="str">
        <f ca="1" t="array" ref="F134">INDEX(Data_DBD!$F:$F,$A134)</f>
        <v>Sedang</v>
      </c>
      <c r="H134" s="36">
        <v>62</v>
      </c>
      <c r="I134" s="36">
        <v>43</v>
      </c>
      <c r="J134" s="36">
        <v>4</v>
      </c>
      <c r="K134" s="36">
        <v>15</v>
      </c>
      <c r="L134" s="36">
        <v>1</v>
      </c>
      <c r="M134" s="36" t="s">
        <v>8</v>
      </c>
    </row>
    <row r="135" spans="1:13">
      <c r="A135" s="36">
        <f ca="1" t="shared" si="6"/>
        <v>157</v>
      </c>
      <c r="B135" s="36">
        <f ca="1" t="array" ref="B135">INDEX(Data_DBD!$B:$B,$A135)</f>
        <v>15</v>
      </c>
      <c r="C135" s="36" t="str">
        <f ca="1" t="array" ref="C135">INDEX(Data_DBD!$C:$C,$A135)</f>
        <v>4 Hari</v>
      </c>
      <c r="D135" s="36">
        <f ca="1" t="array" ref="D135">INDEX(Data_DBD!$D:$D,$A135)</f>
        <v>21</v>
      </c>
      <c r="E135" s="36">
        <f ca="1" t="array" ref="E135">INDEX(Data_DBD!$E:$E,$A135)</f>
        <v>1</v>
      </c>
      <c r="F135" s="36" t="str">
        <f ca="1" t="array" ref="F135">INDEX(Data_DBD!$F:$F,$A135)</f>
        <v>Tinggi</v>
      </c>
      <c r="H135" s="36">
        <v>89</v>
      </c>
      <c r="I135" s="36">
        <v>32</v>
      </c>
      <c r="J135" s="36">
        <v>4</v>
      </c>
      <c r="K135" s="36">
        <v>13</v>
      </c>
      <c r="L135" s="36">
        <v>0</v>
      </c>
      <c r="M135" s="36" t="s">
        <v>8</v>
      </c>
    </row>
    <row r="136" spans="1:13">
      <c r="A136" s="36">
        <f ca="1" t="shared" si="6"/>
        <v>14</v>
      </c>
      <c r="B136" s="36">
        <f ca="1" t="array" ref="B136">INDEX(Data_DBD!$B:$B,$A136)</f>
        <v>49</v>
      </c>
      <c r="C136" s="36" t="str">
        <f ca="1" t="array" ref="C136">INDEX(Data_DBD!$C:$C,$A136)</f>
        <v>4 Hari</v>
      </c>
      <c r="D136" s="36">
        <f ca="1" t="array" ref="D136">INDEX(Data_DBD!$D:$D,$A136)</f>
        <v>7</v>
      </c>
      <c r="E136" s="36">
        <f ca="1" t="array" ref="E136">INDEX(Data_DBD!$E:$E,$A136)</f>
        <v>1</v>
      </c>
      <c r="F136" s="36" t="str">
        <f ca="1" t="array" ref="F136">INDEX(Data_DBD!$F:$F,$A136)</f>
        <v>Rendah</v>
      </c>
      <c r="H136" s="36">
        <v>31</v>
      </c>
      <c r="I136" s="36">
        <v>64</v>
      </c>
      <c r="J136" s="36">
        <v>4</v>
      </c>
      <c r="K136" s="36">
        <v>14</v>
      </c>
      <c r="L136" s="36">
        <v>1</v>
      </c>
      <c r="M136" s="36" t="s">
        <v>8</v>
      </c>
    </row>
    <row r="137" spans="1:13">
      <c r="A137" s="36">
        <f ca="1" t="shared" si="6"/>
        <v>7</v>
      </c>
      <c r="B137" s="36">
        <f ca="1" t="array" ref="B137">INDEX(Data_DBD!$B:$B,$A137)</f>
        <v>12</v>
      </c>
      <c r="C137" s="36" t="str">
        <f ca="1" t="array" ref="C137">INDEX(Data_DBD!$C:$C,$A137)</f>
        <v>1 Hari</v>
      </c>
      <c r="D137" s="36">
        <f ca="1" t="array" ref="D137">INDEX(Data_DBD!$D:$D,$A137)</f>
        <v>12</v>
      </c>
      <c r="E137" s="36">
        <f ca="1" t="array" ref="E137">INDEX(Data_DBD!$E:$E,$A137)</f>
        <v>1</v>
      </c>
      <c r="F137" s="36" t="str">
        <f ca="1" t="array" ref="F137">INDEX(Data_DBD!$F:$F,$A137)</f>
        <v>Sedang</v>
      </c>
      <c r="H137" s="36">
        <v>112</v>
      </c>
      <c r="I137" s="36">
        <v>61</v>
      </c>
      <c r="J137" s="36">
        <v>3</v>
      </c>
      <c r="K137" s="36">
        <v>33</v>
      </c>
      <c r="L137" s="36">
        <v>1</v>
      </c>
      <c r="M137" s="36" t="s">
        <v>105</v>
      </c>
    </row>
    <row r="138" spans="1:13">
      <c r="A138" s="36">
        <f ca="1" t="shared" si="6"/>
        <v>21</v>
      </c>
      <c r="B138" s="36">
        <f ca="1" t="array" ref="B138">INDEX(Data_DBD!$B:$B,$A138)</f>
        <v>10</v>
      </c>
      <c r="C138" s="36" t="str">
        <f ca="1" t="array" ref="C138">INDEX(Data_DBD!$C:$C,$A138)</f>
        <v>5 Hari</v>
      </c>
      <c r="D138" s="36">
        <f ca="1" t="array" ref="D138">INDEX(Data_DBD!$D:$D,$A138)</f>
        <v>14</v>
      </c>
      <c r="E138" s="36">
        <f ca="1" t="array" ref="E138">INDEX(Data_DBD!$E:$E,$A138)</f>
        <v>1</v>
      </c>
      <c r="F138" s="36" t="str">
        <f ca="1" t="array" ref="F138">INDEX(Data_DBD!$F:$F,$A138)</f>
        <v>Sedang</v>
      </c>
      <c r="H138" s="36">
        <v>152</v>
      </c>
      <c r="I138" s="36">
        <v>47</v>
      </c>
      <c r="J138" s="36">
        <v>3</v>
      </c>
      <c r="K138" s="36">
        <v>21</v>
      </c>
      <c r="L138" s="36">
        <v>1</v>
      </c>
      <c r="M138" s="36" t="s">
        <v>105</v>
      </c>
    </row>
    <row r="139" spans="1:13">
      <c r="A139" s="36">
        <f ca="1" t="shared" si="6"/>
        <v>89</v>
      </c>
      <c r="B139" s="36">
        <f ca="1" t="array" ref="B139">INDEX(Data_DBD!$B:$B,$A139)</f>
        <v>32</v>
      </c>
      <c r="C139" s="36" t="str">
        <f ca="1" t="array" ref="C139">INDEX(Data_DBD!$C:$C,$A139)</f>
        <v>4 Hari</v>
      </c>
      <c r="D139" s="36">
        <f ca="1" t="array" ref="D139">INDEX(Data_DBD!$D:$D,$A139)</f>
        <v>13</v>
      </c>
      <c r="E139" s="36">
        <f ca="1" t="array" ref="E139">INDEX(Data_DBD!$E:$E,$A139)</f>
        <v>0</v>
      </c>
      <c r="F139" s="36" t="str">
        <f ca="1" t="array" ref="F139">INDEX(Data_DBD!$F:$F,$A139)</f>
        <v>Sedang</v>
      </c>
      <c r="H139" s="36">
        <v>32</v>
      </c>
      <c r="I139" s="36">
        <v>54</v>
      </c>
      <c r="J139" s="36">
        <v>4</v>
      </c>
      <c r="K139" s="36">
        <v>14</v>
      </c>
      <c r="L139" s="36">
        <v>0</v>
      </c>
      <c r="M139" s="36" t="s">
        <v>8</v>
      </c>
    </row>
    <row r="140" spans="1:13">
      <c r="A140" s="36">
        <f ca="1" t="shared" si="6"/>
        <v>32</v>
      </c>
      <c r="B140" s="36">
        <f ca="1" t="array" ref="B140">INDEX(Data_DBD!$B:$B,$A140)</f>
        <v>54</v>
      </c>
      <c r="C140" s="36" t="str">
        <f ca="1" t="array" ref="C140">INDEX(Data_DBD!$C:$C,$A140)</f>
        <v>4 Hari</v>
      </c>
      <c r="D140" s="36">
        <f ca="1" t="array" ref="D140">INDEX(Data_DBD!$D:$D,$A140)</f>
        <v>14</v>
      </c>
      <c r="E140" s="36">
        <f ca="1" t="array" ref="E140">INDEX(Data_DBD!$E:$E,$A140)</f>
        <v>0</v>
      </c>
      <c r="F140" s="36" t="str">
        <f ca="1" t="array" ref="F140">INDEX(Data_DBD!$F:$F,$A140)</f>
        <v>Sedang</v>
      </c>
      <c r="H140" s="36">
        <v>17</v>
      </c>
      <c r="I140" s="36">
        <v>2</v>
      </c>
      <c r="J140" s="36">
        <v>3</v>
      </c>
      <c r="K140" s="36">
        <v>7</v>
      </c>
      <c r="L140" s="36">
        <v>0</v>
      </c>
      <c r="M140" s="36" t="s">
        <v>26</v>
      </c>
    </row>
    <row r="141" spans="1:13">
      <c r="A141" s="36">
        <f ca="1" t="shared" si="6"/>
        <v>43</v>
      </c>
      <c r="B141" s="36">
        <f ca="1" t="array" ref="B141">INDEX(Data_DBD!$B:$B,$A141)</f>
        <v>15</v>
      </c>
      <c r="C141" s="36" t="str">
        <f ca="1" t="array" ref="C141">INDEX(Data_DBD!$C:$C,$A141)</f>
        <v>4 Hari</v>
      </c>
      <c r="D141" s="36">
        <f ca="1" t="array" ref="D141">INDEX(Data_DBD!$D:$D,$A141)</f>
        <v>13</v>
      </c>
      <c r="E141" s="36">
        <f ca="1" t="array" ref="E141">INDEX(Data_DBD!$E:$E,$A141)</f>
        <v>0</v>
      </c>
      <c r="F141" s="36" t="str">
        <f ca="1" t="array" ref="F141">INDEX(Data_DBD!$F:$F,$A141)</f>
        <v>Sedang</v>
      </c>
      <c r="H141" s="36">
        <v>75</v>
      </c>
      <c r="I141" s="36">
        <v>2</v>
      </c>
      <c r="J141" s="36">
        <v>2</v>
      </c>
      <c r="K141" s="36">
        <v>10</v>
      </c>
      <c r="L141" s="36">
        <v>1</v>
      </c>
      <c r="M141" s="36" t="s">
        <v>8</v>
      </c>
    </row>
    <row r="142" spans="1:13">
      <c r="A142" s="36">
        <f ca="1" t="shared" si="6"/>
        <v>4</v>
      </c>
      <c r="B142" s="36">
        <f ca="1" t="array" ref="B142">INDEX(Data_DBD!$B:$B,$A142)</f>
        <v>23</v>
      </c>
      <c r="C142" s="36" t="str">
        <f ca="1" t="array" ref="C142">INDEX(Data_DBD!$C:$C,$A142)</f>
        <v>5 Hari</v>
      </c>
      <c r="D142" s="36">
        <f ca="1" t="array" ref="D142">INDEX(Data_DBD!$D:$D,$A142)</f>
        <v>12</v>
      </c>
      <c r="E142" s="36">
        <f ca="1" t="array" ref="E142">INDEX(Data_DBD!$E:$E,$A142)</f>
        <v>0</v>
      </c>
      <c r="F142" s="36" t="str">
        <f ca="1" t="array" ref="F142">INDEX(Data_DBD!$F:$F,$A142)</f>
        <v>Sedang</v>
      </c>
      <c r="H142" s="36">
        <v>36</v>
      </c>
      <c r="I142" s="36">
        <v>27</v>
      </c>
      <c r="J142" s="36">
        <v>1</v>
      </c>
      <c r="K142" s="36">
        <v>4</v>
      </c>
      <c r="L142" s="36">
        <v>1</v>
      </c>
      <c r="M142" s="36" t="s">
        <v>26</v>
      </c>
    </row>
    <row r="143" spans="1:13">
      <c r="A143" s="36">
        <f ca="1" t="shared" si="6"/>
        <v>148</v>
      </c>
      <c r="B143" s="36">
        <f ca="1" t="array" ref="B143">INDEX(Data_DBD!$B:$B,$A143)</f>
        <v>55</v>
      </c>
      <c r="C143" s="36" t="str">
        <f ca="1" t="array" ref="C143">INDEX(Data_DBD!$C:$C,$A143)</f>
        <v>3 Hari</v>
      </c>
      <c r="D143" s="36">
        <f ca="1" t="array" ref="D143">INDEX(Data_DBD!$D:$D,$A143)</f>
        <v>21</v>
      </c>
      <c r="E143" s="36">
        <f ca="1" t="array" ref="E143">INDEX(Data_DBD!$E:$E,$A143)</f>
        <v>1</v>
      </c>
      <c r="F143" s="36" t="str">
        <f ca="1" t="array" ref="F143">INDEX(Data_DBD!$F:$F,$A143)</f>
        <v>Tinggi</v>
      </c>
      <c r="H143" s="36">
        <v>162</v>
      </c>
      <c r="I143" s="36">
        <v>22</v>
      </c>
      <c r="J143" s="36">
        <v>3</v>
      </c>
      <c r="K143" s="36">
        <v>3</v>
      </c>
      <c r="L143" s="36">
        <v>1</v>
      </c>
      <c r="M143" s="36" t="s">
        <v>26</v>
      </c>
    </row>
    <row r="144" spans="1:13">
      <c r="A144" s="36">
        <f ca="1" t="shared" si="6"/>
        <v>66</v>
      </c>
      <c r="B144" s="36">
        <f ca="1" t="array" ref="B144">INDEX(Data_DBD!$B:$B,$A144)</f>
        <v>21</v>
      </c>
      <c r="C144" s="36" t="str">
        <f ca="1" t="array" ref="C144">INDEX(Data_DBD!$C:$C,$A144)</f>
        <v>5 Hari</v>
      </c>
      <c r="D144" s="36">
        <f ca="1" t="array" ref="D144">INDEX(Data_DBD!$D:$D,$A144)</f>
        <v>15</v>
      </c>
      <c r="E144" s="36">
        <f ca="1" t="array" ref="E144">INDEX(Data_DBD!$E:$E,$A144)</f>
        <v>1</v>
      </c>
      <c r="F144" s="36" t="str">
        <f ca="1" t="array" ref="F144">INDEX(Data_DBD!$F:$F,$A144)</f>
        <v>Sedang</v>
      </c>
      <c r="H144" s="36">
        <v>101</v>
      </c>
      <c r="I144" s="36">
        <v>42</v>
      </c>
      <c r="J144" s="36">
        <v>5</v>
      </c>
      <c r="K144" s="36">
        <v>18</v>
      </c>
      <c r="L144" s="36">
        <v>0</v>
      </c>
      <c r="M144" s="36" t="s">
        <v>105</v>
      </c>
    </row>
    <row r="145" spans="1:13">
      <c r="A145" s="36">
        <f ca="1" t="shared" si="6"/>
        <v>147</v>
      </c>
      <c r="B145" s="36">
        <f ca="1" t="array" ref="B145">INDEX(Data_DBD!$B:$B,$A145)</f>
        <v>66</v>
      </c>
      <c r="C145" s="36" t="str">
        <f ca="1" t="array" ref="C145">INDEX(Data_DBD!$C:$C,$A145)</f>
        <v>10 Hari</v>
      </c>
      <c r="D145" s="36">
        <f ca="1" t="array" ref="D145">INDEX(Data_DBD!$D:$D,$A145)</f>
        <v>21</v>
      </c>
      <c r="E145" s="36">
        <f ca="1" t="array" ref="E145">INDEX(Data_DBD!$E:$E,$A145)</f>
        <v>1</v>
      </c>
      <c r="F145" s="36" t="str">
        <f ca="1" t="array" ref="F145">INDEX(Data_DBD!$F:$F,$A145)</f>
        <v>Tinggi</v>
      </c>
      <c r="H145" s="36">
        <v>144</v>
      </c>
      <c r="I145" s="36">
        <v>61</v>
      </c>
      <c r="J145" s="36">
        <v>4</v>
      </c>
      <c r="K145" s="36">
        <v>21</v>
      </c>
      <c r="L145" s="36">
        <v>1</v>
      </c>
      <c r="M145" s="36" t="s">
        <v>105</v>
      </c>
    </row>
    <row r="146" spans="1:13">
      <c r="A146" s="36">
        <f ca="1" t="shared" si="6"/>
        <v>157</v>
      </c>
      <c r="B146" s="36">
        <f ca="1" t="array" ref="B146">INDEX(Data_DBD!$B:$B,$A146)</f>
        <v>15</v>
      </c>
      <c r="C146" s="36" t="str">
        <f ca="1" t="array" ref="C146">INDEX(Data_DBD!$C:$C,$A146)</f>
        <v>4 Hari</v>
      </c>
      <c r="D146" s="36">
        <f ca="1" t="array" ref="D146">INDEX(Data_DBD!$D:$D,$A146)</f>
        <v>21</v>
      </c>
      <c r="E146" s="36">
        <f ca="1" t="array" ref="E146">INDEX(Data_DBD!$E:$E,$A146)</f>
        <v>1</v>
      </c>
      <c r="F146" s="36" t="str">
        <f ca="1" t="array" ref="F146">INDEX(Data_DBD!$F:$F,$A146)</f>
        <v>Tinggi</v>
      </c>
      <c r="H146" s="36">
        <v>93</v>
      </c>
      <c r="I146" s="36">
        <v>65</v>
      </c>
      <c r="J146" s="36">
        <v>4</v>
      </c>
      <c r="K146" s="36">
        <v>18</v>
      </c>
      <c r="L146" s="36">
        <v>0</v>
      </c>
      <c r="M146" s="36" t="s">
        <v>105</v>
      </c>
    </row>
    <row r="147" spans="1:13">
      <c r="A147" s="36">
        <f ca="1" t="shared" si="6"/>
        <v>31</v>
      </c>
      <c r="B147" s="36">
        <f ca="1" t="array" ref="B147">INDEX(Data_DBD!$B:$B,$A147)</f>
        <v>64</v>
      </c>
      <c r="C147" s="36" t="str">
        <f ca="1" t="array" ref="C147">INDEX(Data_DBD!$C:$C,$A147)</f>
        <v>4 Hari</v>
      </c>
      <c r="D147" s="36">
        <f ca="1" t="array" ref="D147">INDEX(Data_DBD!$D:$D,$A147)</f>
        <v>14</v>
      </c>
      <c r="E147" s="36">
        <f ca="1" t="array" ref="E147">INDEX(Data_DBD!$E:$E,$A147)</f>
        <v>1</v>
      </c>
      <c r="F147" s="36" t="str">
        <f ca="1" t="array" ref="F147">INDEX(Data_DBD!$F:$F,$A147)</f>
        <v>Sedang</v>
      </c>
      <c r="H147" s="36">
        <v>54</v>
      </c>
      <c r="I147" s="36">
        <v>7</v>
      </c>
      <c r="J147" s="36">
        <v>3</v>
      </c>
      <c r="K147" s="36">
        <v>15</v>
      </c>
      <c r="L147" s="36">
        <v>0</v>
      </c>
      <c r="M147" s="36" t="s">
        <v>8</v>
      </c>
    </row>
    <row r="148" spans="1:13">
      <c r="A148" s="36">
        <f ca="1" t="shared" si="6"/>
        <v>124</v>
      </c>
      <c r="B148" s="36">
        <f ca="1" t="array" ref="B148">INDEX(Data_DBD!$B:$B,$A148)</f>
        <v>24</v>
      </c>
      <c r="C148" s="36" t="str">
        <f ca="1" t="array" ref="C148">INDEX(Data_DBD!$C:$C,$A148)</f>
        <v>3 Hari</v>
      </c>
      <c r="D148" s="36">
        <f ca="1" t="array" ref="D148">INDEX(Data_DBD!$D:$D,$A148)</f>
        <v>33</v>
      </c>
      <c r="E148" s="36">
        <f ca="1" t="array" ref="E148">INDEX(Data_DBD!$E:$E,$A148)</f>
        <v>1</v>
      </c>
      <c r="F148" s="36" t="str">
        <f ca="1" t="array" ref="F148">INDEX(Data_DBD!$F:$F,$A148)</f>
        <v>Tinggi</v>
      </c>
      <c r="H148" s="36">
        <v>33</v>
      </c>
      <c r="I148" s="36">
        <v>19</v>
      </c>
      <c r="J148" s="36">
        <v>4</v>
      </c>
      <c r="K148" s="36">
        <v>14</v>
      </c>
      <c r="L148" s="36">
        <v>1</v>
      </c>
      <c r="M148" s="36" t="s">
        <v>8</v>
      </c>
    </row>
    <row r="149" spans="1:13">
      <c r="A149" s="36">
        <f ca="1" t="shared" si="6"/>
        <v>10</v>
      </c>
      <c r="B149" s="36">
        <f ca="1" t="array" ref="B149">INDEX(Data_DBD!$B:$B,$A149)</f>
        <v>18</v>
      </c>
      <c r="C149" s="36" t="str">
        <f ca="1" t="array" ref="C149">INDEX(Data_DBD!$C:$C,$A149)</f>
        <v>5 Hari</v>
      </c>
      <c r="D149" s="36">
        <f ca="1" t="array" ref="D149">INDEX(Data_DBD!$D:$D,$A149)</f>
        <v>12</v>
      </c>
      <c r="E149" s="36">
        <f ca="1" t="array" ref="E149">INDEX(Data_DBD!$E:$E,$A149)</f>
        <v>0</v>
      </c>
      <c r="F149" s="36" t="str">
        <f ca="1" t="array" ref="F149">INDEX(Data_DBD!$F:$F,$A149)</f>
        <v>Sedang</v>
      </c>
      <c r="H149" s="36">
        <v>101</v>
      </c>
      <c r="I149" s="36">
        <v>42</v>
      </c>
      <c r="J149" s="36">
        <v>5</v>
      </c>
      <c r="K149" s="36">
        <v>18</v>
      </c>
      <c r="L149" s="36">
        <v>0</v>
      </c>
      <c r="M149" s="36" t="s">
        <v>105</v>
      </c>
    </row>
    <row r="150" spans="1:13">
      <c r="A150" s="36">
        <f ca="1" t="shared" si="6"/>
        <v>80</v>
      </c>
      <c r="B150" s="36">
        <f ca="1" t="array" ref="B150">INDEX(Data_DBD!$B:$B,$A150)</f>
        <v>27</v>
      </c>
      <c r="C150" s="36" t="str">
        <f ca="1" t="array" ref="C150">INDEX(Data_DBD!$C:$C,$A150)</f>
        <v>3 Hari</v>
      </c>
      <c r="D150" s="36">
        <f ca="1" t="array" ref="D150">INDEX(Data_DBD!$D:$D,$A150)</f>
        <v>13</v>
      </c>
      <c r="E150" s="36">
        <f ca="1" t="array" ref="E150">INDEX(Data_DBD!$E:$E,$A150)</f>
        <v>1</v>
      </c>
      <c r="F150" s="36" t="str">
        <f ca="1" t="array" ref="F150">INDEX(Data_DBD!$F:$F,$A150)</f>
        <v>Sedang</v>
      </c>
      <c r="H150" s="36">
        <v>117</v>
      </c>
      <c r="I150" s="36">
        <v>49</v>
      </c>
      <c r="J150" s="36">
        <v>4</v>
      </c>
      <c r="K150" s="36">
        <v>33</v>
      </c>
      <c r="L150" s="36">
        <v>1</v>
      </c>
      <c r="M150" s="36" t="s">
        <v>105</v>
      </c>
    </row>
    <row r="151" spans="1:13">
      <c r="A151" s="36">
        <f ca="1" t="shared" si="6"/>
        <v>137</v>
      </c>
      <c r="B151" s="36">
        <f ca="1" t="array" ref="B151">INDEX(Data_DBD!$B:$B,$A151)</f>
        <v>3.5</v>
      </c>
      <c r="C151" s="36" t="str">
        <f ca="1" t="array" ref="C151">INDEX(Data_DBD!$C:$C,$A151)</f>
        <v>1 Hari</v>
      </c>
      <c r="D151" s="36">
        <f ca="1" t="array" ref="D151">INDEX(Data_DBD!$D:$D,$A151)</f>
        <v>33</v>
      </c>
      <c r="E151" s="36">
        <f ca="1" t="array" ref="E151">INDEX(Data_DBD!$E:$E,$A151)</f>
        <v>1</v>
      </c>
      <c r="F151" s="36" t="str">
        <f ca="1" t="array" ref="F151">INDEX(Data_DBD!$F:$F,$A151)</f>
        <v>Tinggi</v>
      </c>
      <c r="H151" s="36">
        <v>5</v>
      </c>
      <c r="I151" s="36">
        <v>18</v>
      </c>
      <c r="J151" s="36">
        <v>2</v>
      </c>
      <c r="K151" s="36">
        <v>12</v>
      </c>
      <c r="L151" s="36">
        <v>1</v>
      </c>
      <c r="M151" s="36" t="s">
        <v>8</v>
      </c>
    </row>
    <row r="152" spans="1:13">
      <c r="A152" s="36">
        <f ca="1" t="shared" si="6"/>
        <v>70</v>
      </c>
      <c r="B152" s="36">
        <f ca="1" t="array" ref="B152">INDEX(Data_DBD!$B:$B,$A152)</f>
        <v>26</v>
      </c>
      <c r="C152" s="36" t="str">
        <f ca="1" t="array" ref="C152">INDEX(Data_DBD!$C:$C,$A152)</f>
        <v>3 Hari</v>
      </c>
      <c r="D152" s="36">
        <f ca="1" t="array" ref="D152">INDEX(Data_DBD!$D:$D,$A152)</f>
        <v>10</v>
      </c>
      <c r="E152" s="36">
        <f ca="1" t="array" ref="E152">INDEX(Data_DBD!$E:$E,$A152)</f>
        <v>1</v>
      </c>
      <c r="F152" s="36" t="str">
        <f ca="1" t="array" ref="F152">INDEX(Data_DBD!$F:$F,$A152)</f>
        <v>Sedang</v>
      </c>
      <c r="H152" s="36">
        <v>133</v>
      </c>
      <c r="I152" s="36">
        <v>6</v>
      </c>
      <c r="J152" s="36">
        <v>4</v>
      </c>
      <c r="K152" s="36">
        <v>33</v>
      </c>
      <c r="L152" s="36">
        <v>0</v>
      </c>
      <c r="M152" s="36" t="s">
        <v>105</v>
      </c>
    </row>
    <row r="153" spans="1:13">
      <c r="A153" s="36">
        <f ca="1" t="shared" si="6"/>
        <v>142</v>
      </c>
      <c r="B153" s="36">
        <f ca="1" t="array" ref="B153">INDEX(Data_DBD!$B:$B,$A153)</f>
        <v>39</v>
      </c>
      <c r="C153" s="36" t="str">
        <f ca="1" t="array" ref="C153">INDEX(Data_DBD!$C:$C,$A153)</f>
        <v>2 Hari</v>
      </c>
      <c r="D153" s="36">
        <f ca="1" t="array" ref="D153">INDEX(Data_DBD!$D:$D,$A153)</f>
        <v>21</v>
      </c>
      <c r="E153" s="36">
        <f ca="1" t="array" ref="E153">INDEX(Data_DBD!$E:$E,$A153)</f>
        <v>1</v>
      </c>
      <c r="F153" s="36" t="str">
        <f ca="1" t="array" ref="F153">INDEX(Data_DBD!$F:$F,$A153)</f>
        <v>Tinggi</v>
      </c>
      <c r="H153" s="36">
        <v>24</v>
      </c>
      <c r="I153" s="36">
        <v>60</v>
      </c>
      <c r="J153" s="36">
        <v>4</v>
      </c>
      <c r="K153" s="36">
        <v>14</v>
      </c>
      <c r="L153" s="36">
        <v>0</v>
      </c>
      <c r="M153" s="36" t="s">
        <v>8</v>
      </c>
    </row>
    <row r="154" spans="1:13">
      <c r="A154" s="36">
        <f ca="1" t="shared" si="6"/>
        <v>40</v>
      </c>
      <c r="B154" s="36">
        <f ca="1" t="array" ref="B154">INDEX(Data_DBD!$B:$B,$A154)</f>
        <v>65</v>
      </c>
      <c r="C154" s="36" t="str">
        <f ca="1" t="array" ref="C154">INDEX(Data_DBD!$C:$C,$A154)</f>
        <v>3 Hari</v>
      </c>
      <c r="D154" s="36">
        <f ca="1" t="array" ref="D154">INDEX(Data_DBD!$D:$D,$A154)</f>
        <v>13</v>
      </c>
      <c r="E154" s="36">
        <f ca="1" t="array" ref="E154">INDEX(Data_DBD!$E:$E,$A154)</f>
        <v>1</v>
      </c>
      <c r="F154" s="36" t="str">
        <f ca="1" t="array" ref="F154">INDEX(Data_DBD!$F:$F,$A154)</f>
        <v>Sedang</v>
      </c>
      <c r="H154" s="36">
        <v>55</v>
      </c>
      <c r="I154" s="36">
        <v>7</v>
      </c>
      <c r="J154" s="36">
        <v>4</v>
      </c>
      <c r="K154" s="36">
        <v>15</v>
      </c>
      <c r="L154" s="36">
        <v>1</v>
      </c>
      <c r="M154" s="36" t="s">
        <v>8</v>
      </c>
    </row>
    <row r="155" spans="1:13">
      <c r="A155" s="36">
        <f ca="1" t="shared" si="6"/>
        <v>160</v>
      </c>
      <c r="B155" s="36">
        <f ca="1" t="array" ref="B155">INDEX(Data_DBD!$B:$B,$A155)</f>
        <v>16</v>
      </c>
      <c r="C155" s="36" t="str">
        <f ca="1" t="array" ref="C155">INDEX(Data_DBD!$C:$C,$A155)</f>
        <v>3 Hari</v>
      </c>
      <c r="D155" s="36">
        <f ca="1" t="array" ref="D155">INDEX(Data_DBD!$D:$D,$A155)</f>
        <v>21</v>
      </c>
      <c r="E155" s="36">
        <f ca="1" t="array" ref="E155">INDEX(Data_DBD!$E:$E,$A155)</f>
        <v>0</v>
      </c>
      <c r="F155" s="36" t="str">
        <f ca="1" t="array" ref="F155">INDEX(Data_DBD!$F:$F,$A155)</f>
        <v>Tinggi</v>
      </c>
      <c r="H155" s="36">
        <v>77</v>
      </c>
      <c r="I155" s="36">
        <v>16</v>
      </c>
      <c r="J155" s="36">
        <v>4</v>
      </c>
      <c r="K155" s="36">
        <v>13</v>
      </c>
      <c r="L155" s="36">
        <v>1</v>
      </c>
      <c r="M155" s="36" t="s">
        <v>8</v>
      </c>
    </row>
    <row r="156" spans="1:13">
      <c r="A156" s="36">
        <f ca="1" t="shared" si="6"/>
        <v>159</v>
      </c>
      <c r="B156" s="36">
        <f ca="1" t="array" ref="B156">INDEX(Data_DBD!$B:$B,$A156)</f>
        <v>17</v>
      </c>
      <c r="C156" s="36" t="str">
        <f ca="1" t="array" ref="C156">INDEX(Data_DBD!$C:$C,$A156)</f>
        <v>2 Hari</v>
      </c>
      <c r="D156" s="36">
        <f ca="1" t="array" ref="D156">INDEX(Data_DBD!$D:$D,$A156)</f>
        <v>21</v>
      </c>
      <c r="E156" s="36">
        <f ca="1" t="array" ref="E156">INDEX(Data_DBD!$E:$E,$A156)</f>
        <v>0</v>
      </c>
      <c r="F156" s="36" t="str">
        <f ca="1" t="array" ref="F156">INDEX(Data_DBD!$F:$F,$A156)</f>
        <v>Tinggi</v>
      </c>
      <c r="H156" s="36">
        <v>92</v>
      </c>
      <c r="I156" s="36">
        <v>55</v>
      </c>
      <c r="J156" s="36">
        <v>7</v>
      </c>
      <c r="K156" s="36">
        <v>18</v>
      </c>
      <c r="L156" s="36">
        <v>0</v>
      </c>
      <c r="M156" s="36" t="s">
        <v>105</v>
      </c>
    </row>
    <row r="157" spans="1:13">
      <c r="A157" s="36">
        <f ca="1" t="shared" si="6"/>
        <v>30</v>
      </c>
      <c r="B157" s="36" t="str">
        <f ca="1" t="array" ref="B157">INDEX(Data_DBD!$B:$B,$A157)</f>
        <v>2,8</v>
      </c>
      <c r="C157" s="36" t="str">
        <f ca="1" t="array" ref="C157">INDEX(Data_DBD!$C:$C,$A157)</f>
        <v>2 Hari</v>
      </c>
      <c r="D157" s="36">
        <f ca="1" t="array" ref="D157">INDEX(Data_DBD!$D:$D,$A157)</f>
        <v>14</v>
      </c>
      <c r="E157" s="36">
        <f ca="1" t="array" ref="E157">INDEX(Data_DBD!$E:$E,$A157)</f>
        <v>1</v>
      </c>
      <c r="F157" s="36" t="str">
        <f ca="1" t="array" ref="F157">INDEX(Data_DBD!$F:$F,$A157)</f>
        <v>Sedang</v>
      </c>
      <c r="H157" s="36">
        <v>31</v>
      </c>
      <c r="I157" s="36">
        <v>64</v>
      </c>
      <c r="J157" s="36">
        <v>4</v>
      </c>
      <c r="K157" s="36">
        <v>14</v>
      </c>
      <c r="L157" s="36">
        <v>1</v>
      </c>
      <c r="M157" s="36" t="s">
        <v>8</v>
      </c>
    </row>
    <row r="158" spans="1:13">
      <c r="A158" s="36">
        <f ca="1" t="shared" si="6"/>
        <v>83</v>
      </c>
      <c r="B158" s="36">
        <f ca="1" t="array" ref="B158">INDEX(Data_DBD!$B:$B,$A158)</f>
        <v>50</v>
      </c>
      <c r="C158" s="36" t="str">
        <f ca="1" t="array" ref="C158">INDEX(Data_DBD!$C:$C,$A158)</f>
        <v>3 Hari</v>
      </c>
      <c r="D158" s="36">
        <f ca="1" t="array" ref="D158">INDEX(Data_DBD!$D:$D,$A158)</f>
        <v>13</v>
      </c>
      <c r="E158" s="36">
        <f ca="1" t="array" ref="E158">INDEX(Data_DBD!$E:$E,$A158)</f>
        <v>0</v>
      </c>
      <c r="F158" s="36" t="str">
        <f ca="1" t="array" ref="F158">INDEX(Data_DBD!$F:$F,$A158)</f>
        <v>Sedang</v>
      </c>
      <c r="H158" s="36">
        <v>115</v>
      </c>
      <c r="I158" s="36">
        <v>52</v>
      </c>
      <c r="J158" s="36">
        <v>3</v>
      </c>
      <c r="K158" s="36">
        <v>33</v>
      </c>
      <c r="L158" s="36">
        <v>1</v>
      </c>
      <c r="M158" s="36" t="s">
        <v>105</v>
      </c>
    </row>
    <row r="159" spans="1:13">
      <c r="A159" s="36">
        <f ca="1" t="shared" si="6"/>
        <v>33</v>
      </c>
      <c r="B159" s="36">
        <f ca="1" t="array" ref="B159">INDEX(Data_DBD!$B:$B,$A159)</f>
        <v>19</v>
      </c>
      <c r="C159" s="36" t="str">
        <f ca="1" t="array" ref="C159">INDEX(Data_DBD!$C:$C,$A159)</f>
        <v>4 Hari</v>
      </c>
      <c r="D159" s="36">
        <f ca="1" t="array" ref="D159">INDEX(Data_DBD!$D:$D,$A159)</f>
        <v>14</v>
      </c>
      <c r="E159" s="36">
        <f ca="1" t="array" ref="E159">INDEX(Data_DBD!$E:$E,$A159)</f>
        <v>1</v>
      </c>
      <c r="F159" s="36" t="str">
        <f ca="1" t="array" ref="F159">INDEX(Data_DBD!$F:$F,$A159)</f>
        <v>Sedang</v>
      </c>
      <c r="H159" s="36">
        <v>39</v>
      </c>
      <c r="I159" s="36">
        <v>12</v>
      </c>
      <c r="J159" s="36">
        <v>5</v>
      </c>
      <c r="K159" s="36">
        <v>13</v>
      </c>
      <c r="L159" s="36">
        <v>1</v>
      </c>
      <c r="M159" s="36" t="s">
        <v>8</v>
      </c>
    </row>
    <row r="160" spans="1:13">
      <c r="A160" s="36">
        <f ca="1" t="shared" si="6"/>
        <v>121</v>
      </c>
      <c r="B160" s="36">
        <f ca="1" t="array" ref="B160">INDEX(Data_DBD!$B:$B,$A160)</f>
        <v>82</v>
      </c>
      <c r="C160" s="36" t="str">
        <f ca="1" t="array" ref="C160">INDEX(Data_DBD!$C:$C,$A160)</f>
        <v>5 Hari</v>
      </c>
      <c r="D160" s="36">
        <f ca="1" t="array" ref="D160">INDEX(Data_DBD!$D:$D,$A160)</f>
        <v>33</v>
      </c>
      <c r="E160" s="36">
        <f ca="1" t="array" ref="E160">INDEX(Data_DBD!$E:$E,$A160)</f>
        <v>1</v>
      </c>
      <c r="F160" s="36" t="str">
        <f ca="1" t="array" ref="F160">INDEX(Data_DBD!$F:$F,$A160)</f>
        <v>Tinggi</v>
      </c>
      <c r="H160" s="36">
        <v>58</v>
      </c>
      <c r="I160" s="36">
        <v>17</v>
      </c>
      <c r="J160" s="36">
        <v>3</v>
      </c>
      <c r="K160" s="36">
        <v>15</v>
      </c>
      <c r="L160" s="36">
        <v>0</v>
      </c>
      <c r="M160" s="36" t="s">
        <v>8</v>
      </c>
    </row>
    <row r="161" spans="1:13">
      <c r="A161" s="36">
        <f ca="1" t="shared" si="6"/>
        <v>121</v>
      </c>
      <c r="B161" s="36">
        <f ca="1" t="array" ref="B161">INDEX(Data_DBD!$B:$B,$A161)</f>
        <v>82</v>
      </c>
      <c r="C161" s="36" t="str">
        <f ca="1" t="array" ref="C161">INDEX(Data_DBD!$C:$C,$A161)</f>
        <v>5 Hari</v>
      </c>
      <c r="D161" s="36">
        <f ca="1" t="array" ref="D161">INDEX(Data_DBD!$D:$D,$A161)</f>
        <v>33</v>
      </c>
      <c r="E161" s="36">
        <f ca="1" t="array" ref="E161">INDEX(Data_DBD!$E:$E,$A161)</f>
        <v>1</v>
      </c>
      <c r="F161" s="36" t="str">
        <f ca="1" t="array" ref="F161">INDEX(Data_DBD!$F:$F,$A161)</f>
        <v>Tinggi</v>
      </c>
      <c r="H161" s="36">
        <v>146</v>
      </c>
      <c r="I161" s="36">
        <v>34</v>
      </c>
      <c r="J161" s="36">
        <v>2</v>
      </c>
      <c r="K161" s="36">
        <v>21</v>
      </c>
      <c r="L161" s="36">
        <v>1</v>
      </c>
      <c r="M161" s="36" t="s">
        <v>105</v>
      </c>
    </row>
    <row r="162" spans="1:13">
      <c r="A162" s="36">
        <f ca="1" t="shared" si="6"/>
        <v>99</v>
      </c>
      <c r="B162" s="36">
        <f ca="1" t="array" ref="B162">INDEX(Data_DBD!$B:$B,$A162)</f>
        <v>4</v>
      </c>
      <c r="C162" s="36" t="str">
        <f ca="1" t="array" ref="C162">INDEX(Data_DBD!$C:$C,$A162)</f>
        <v>2 Hari</v>
      </c>
      <c r="D162" s="36">
        <f ca="1" t="array" ref="D162">INDEX(Data_DBD!$D:$D,$A162)</f>
        <v>18</v>
      </c>
      <c r="E162" s="36">
        <f ca="1" t="array" ref="E162">INDEX(Data_DBD!$E:$E,$A162)</f>
        <v>1</v>
      </c>
      <c r="F162" s="36" t="str">
        <f ca="1" t="array" ref="F162">INDEX(Data_DBD!$F:$F,$A162)</f>
        <v>Tinggi</v>
      </c>
      <c r="H162" s="36">
        <v>144</v>
      </c>
      <c r="I162" s="36">
        <v>61</v>
      </c>
      <c r="J162" s="36">
        <v>4</v>
      </c>
      <c r="K162" s="36">
        <v>21</v>
      </c>
      <c r="L162" s="36">
        <v>1</v>
      </c>
      <c r="M162" s="36" t="s">
        <v>105</v>
      </c>
    </row>
    <row r="163" spans="1:13">
      <c r="A163" s="36">
        <f ca="1" t="shared" si="6"/>
        <v>29</v>
      </c>
      <c r="B163" s="36">
        <f ca="1" t="array" ref="B163">INDEX(Data_DBD!$B:$B,$A163)</f>
        <v>19</v>
      </c>
      <c r="C163" s="36" t="str">
        <f ca="1" t="array" ref="C163">INDEX(Data_DBD!$C:$C,$A163)</f>
        <v>2 Hari</v>
      </c>
      <c r="D163" s="36">
        <f ca="1" t="array" ref="D163">INDEX(Data_DBD!$D:$D,$A163)</f>
        <v>14</v>
      </c>
      <c r="E163" s="36">
        <f ca="1" t="array" ref="E163">INDEX(Data_DBD!$E:$E,$A163)</f>
        <v>1</v>
      </c>
      <c r="F163" s="36" t="str">
        <f ca="1" t="array" ref="F163">INDEX(Data_DBD!$F:$F,$A163)</f>
        <v>Sedang</v>
      </c>
      <c r="H163" s="36">
        <v>4</v>
      </c>
      <c r="I163" s="36">
        <v>23</v>
      </c>
      <c r="J163" s="36">
        <v>5</v>
      </c>
      <c r="K163" s="36">
        <v>12</v>
      </c>
      <c r="L163" s="36">
        <v>0</v>
      </c>
      <c r="M163" s="36" t="s">
        <v>8</v>
      </c>
    </row>
    <row r="164" spans="1:13">
      <c r="A164" s="36">
        <f ca="1" t="shared" si="6"/>
        <v>162</v>
      </c>
      <c r="B164" s="36">
        <f ca="1" t="array" ref="B164">INDEX(Data_DBD!$B:$B,$A164)</f>
        <v>22</v>
      </c>
      <c r="C164" s="36" t="str">
        <f ca="1" t="array" ref="C164">INDEX(Data_DBD!$C:$C,$A164)</f>
        <v>3 Hari</v>
      </c>
      <c r="D164" s="36">
        <f ca="1" t="array" ref="D164">INDEX(Data_DBD!$D:$D,$A164)</f>
        <v>3</v>
      </c>
      <c r="E164" s="36">
        <f ca="1" t="array" ref="E164">INDEX(Data_DBD!$E:$E,$A164)</f>
        <v>1</v>
      </c>
      <c r="F164" s="36" t="str">
        <f ca="1" t="array" ref="F164">INDEX(Data_DBD!$F:$F,$A164)</f>
        <v>Rendah</v>
      </c>
      <c r="H164" s="36">
        <v>69</v>
      </c>
      <c r="I164" s="36">
        <v>24</v>
      </c>
      <c r="J164" s="36">
        <v>4</v>
      </c>
      <c r="K164" s="36">
        <v>10</v>
      </c>
      <c r="L164" s="36">
        <v>1</v>
      </c>
      <c r="M164" s="36" t="s">
        <v>8</v>
      </c>
    </row>
    <row r="165" spans="9:12">
      <c r="I165" s="48">
        <f>AVERAGE(I2:I164)</f>
        <v>34.558282208589</v>
      </c>
      <c r="J165" s="48">
        <f>AVERAGE(J2:J164)</f>
        <v>3.60736196319018</v>
      </c>
      <c r="K165" s="48">
        <f>AVERAGE(K2:K164)</f>
        <v>18.2699386503067</v>
      </c>
      <c r="L165" s="48">
        <f>AVERAGE(L2:L164)</f>
        <v>0.533742331288344</v>
      </c>
    </row>
    <row r="167" spans="2:2">
      <c r="B167">
        <v>2</v>
      </c>
    </row>
    <row r="168" spans="5:20">
      <c r="E168" s="40" t="s">
        <v>207</v>
      </c>
      <c r="J168" s="40" t="s">
        <v>208</v>
      </c>
      <c r="O168" s="40" t="s">
        <v>209</v>
      </c>
      <c r="T168" s="40" t="s">
        <v>210</v>
      </c>
    </row>
    <row r="169" spans="5:22">
      <c r="E169" s="36" t="s">
        <v>1</v>
      </c>
      <c r="F169" s="36">
        <f>AVERAGEIF($I$2:$I$164,"&lt;="&amp;$I$165)</f>
        <v>17.967032967033</v>
      </c>
      <c r="G169" s="36">
        <f>AVERAGEIF($I$2:$I$164,"&gt;"&amp;$I$165)</f>
        <v>55.5277777777778</v>
      </c>
      <c r="J169" s="36" t="s">
        <v>211</v>
      </c>
      <c r="K169" s="36">
        <f>AVERAGEIF($J$2:$J$164,"&lt;="&amp;$J$165)</f>
        <v>2.65822784810127</v>
      </c>
      <c r="L169" s="36">
        <f>AVERAGEIF($J$2:$J$164,"&gt;"&amp;$J$165)</f>
        <v>4.5</v>
      </c>
      <c r="O169" s="36" t="s">
        <v>212</v>
      </c>
      <c r="P169" s="36">
        <f>AVERAGEIF($K$2:$K$164,"&lt;="&amp;$K$165)</f>
        <v>13.3545454545455</v>
      </c>
      <c r="Q169" s="36">
        <f>AVERAGEIF($K$2:$K$164,"&gt;"&amp;$K$165)</f>
        <v>28.4716981132075</v>
      </c>
      <c r="T169" s="36" t="s">
        <v>213</v>
      </c>
      <c r="U169" s="36">
        <f>AVERAGEIF($L$2:$L$164,"&lt;="&amp;$L$165)</f>
        <v>0</v>
      </c>
      <c r="V169" s="36">
        <f>AVERAGEIF($L$2:$L$164,"&gt;"&amp;$L$165)</f>
        <v>1</v>
      </c>
    </row>
    <row r="170" spans="5:22">
      <c r="E170" s="36" t="str">
        <f t="array" ref="E170:E332">IF($I$2:$I$164&lt;$F$169,"kiri",IF($I$2:$I$164&lt;$G$169,"tengah","kanan"))</f>
        <v>tengah</v>
      </c>
      <c r="F170" s="36" t="s">
        <v>214</v>
      </c>
      <c r="G170" s="36"/>
      <c r="J170" s="36" t="str">
        <f t="array" ref="J170:J332">IF($J$2:$J$164&lt;$K$169,"kiri",IF($J$2:$J$164&lt;$L$169,"tengah","kanan"))</f>
        <v>kanan</v>
      </c>
      <c r="K170" s="36" t="s">
        <v>215</v>
      </c>
      <c r="L170" s="36"/>
      <c r="O170" s="36" t="str">
        <f t="array" ref="O170:O332">IF($K$2:$K$164&lt;$P$169,"kiri",IF($K$2:$K$164&lt;$Q$169,"tengah","kanan"))</f>
        <v>kiri</v>
      </c>
      <c r="P170" s="36" t="s">
        <v>216</v>
      </c>
      <c r="Q170" s="36"/>
      <c r="T170" s="36" t="str">
        <f t="array" ref="T170:T332">IF($L$2:$L$164&lt;$U$169,"kiri",IF($L$2:$L$164&lt;$V$169,"tengah","kanan"))</f>
        <v>kanan</v>
      </c>
      <c r="U170" s="36" t="s">
        <v>217</v>
      </c>
      <c r="V170" s="36"/>
    </row>
    <row r="171" spans="5:22">
      <c r="E171" s="36" t="str">
        <v>tengah</v>
      </c>
      <c r="F171" s="36">
        <f>COUNTIFS($E$170:$E$332,"Kanan",$M$2:$M$164,"Tinggi")</f>
        <v>18</v>
      </c>
      <c r="G171" s="36">
        <f>F171/32</f>
        <v>0.5625</v>
      </c>
      <c r="J171" s="36" t="str">
        <v>kiri</v>
      </c>
      <c r="K171" s="36">
        <f>COUNTIFS($J$170:$J$332,"Kanan",$M$2:$M$164,"Tinggi")</f>
        <v>11</v>
      </c>
      <c r="L171" s="36">
        <f>K171/27</f>
        <v>0.407407407407407</v>
      </c>
      <c r="O171" s="36" t="str">
        <v>kiri</v>
      </c>
      <c r="P171" s="36">
        <f>COUNTIFS($O$170:$O$332,"Kanan",$M$2:$M$164,"Tinggi")</f>
        <v>33</v>
      </c>
      <c r="Q171" s="36">
        <f>P171/33</f>
        <v>1</v>
      </c>
      <c r="T171" s="36" t="str">
        <v>tengah</v>
      </c>
      <c r="U171" s="36">
        <f>COUNTIFS($T$170:$T$332,"Kanan",$M$2:$M$164,"Tinggi")</f>
        <v>42</v>
      </c>
      <c r="V171" s="36">
        <f>U171/87</f>
        <v>0.482758620689655</v>
      </c>
    </row>
    <row r="172" spans="5:22">
      <c r="E172" s="36" t="str">
        <v>tengah</v>
      </c>
      <c r="F172" s="36">
        <f>COUNTIFS($E$170:$E$332,"Kanan",$M$2:$M$164,"Sedang")</f>
        <v>13</v>
      </c>
      <c r="G172" s="36">
        <f>F172/32</f>
        <v>0.40625</v>
      </c>
      <c r="J172" s="36" t="str">
        <v>tengah</v>
      </c>
      <c r="K172" s="36">
        <f>COUNTIFS($J$170:$J$332,"Kanan",$M$2:$M$164,"Sedang")</f>
        <v>14</v>
      </c>
      <c r="L172" s="36">
        <f>K172/27</f>
        <v>0.518518518518518</v>
      </c>
      <c r="O172" s="36" t="str">
        <v>kanan</v>
      </c>
      <c r="P172" s="36">
        <f>COUNTIFS($O$170:$O$332,"Kanan",$M$2:$M$164,"Sedang")</f>
        <v>0</v>
      </c>
      <c r="Q172" s="36">
        <f>P172/27</f>
        <v>0</v>
      </c>
      <c r="T172" s="36" t="str">
        <v>tengah</v>
      </c>
      <c r="U172" s="36">
        <f>COUNTIFS($T$170:$T$332,"Kanan",$M$2:$M$164,"Sedang")</f>
        <v>38</v>
      </c>
      <c r="V172" s="36">
        <f>U172/87</f>
        <v>0.436781609195402</v>
      </c>
    </row>
    <row r="173" spans="5:22">
      <c r="E173" s="36" t="str">
        <v>kanan</v>
      </c>
      <c r="F173" s="36">
        <f>COUNTIFS($E$170:$E$332,"Kanan",$M$2:$M$164,"Rendah")</f>
        <v>1</v>
      </c>
      <c r="G173" s="36">
        <f>F173/32</f>
        <v>0.03125</v>
      </c>
      <c r="J173" s="36" t="str">
        <v>tengah</v>
      </c>
      <c r="K173" s="36">
        <f>COUNTIFS($J$170:$J$332,"Kanan",$M$2:$M$164,"Rendah")</f>
        <v>2</v>
      </c>
      <c r="L173" s="36">
        <f>K173/27</f>
        <v>0.0740740740740741</v>
      </c>
      <c r="O173" s="36" t="str">
        <v>tengah</v>
      </c>
      <c r="P173" s="36">
        <f>COUNTIFS($O$170:$O$332,"Kanan",$M$2:$M$164,"Rendah")</f>
        <v>0</v>
      </c>
      <c r="Q173" s="36">
        <f>P173/27</f>
        <v>0</v>
      </c>
      <c r="T173" s="36" t="str">
        <v>kanan</v>
      </c>
      <c r="U173" s="36">
        <f>COUNTIFS($T$170:$T$332,"Kanan",$M$2:$M$164,"Rendah")</f>
        <v>7</v>
      </c>
      <c r="V173" s="36">
        <f>U173/87</f>
        <v>0.0804597701149425</v>
      </c>
    </row>
    <row r="174" spans="5:22">
      <c r="E174" s="36" t="str">
        <v>tengah</v>
      </c>
      <c r="F174" s="36" t="s">
        <v>218</v>
      </c>
      <c r="G174" s="36">
        <f>-(IFERROR(G171*LOG(G171,2),0)+IFERROR(G172*LOG(G172,2),0)+IFERROR(G173*LOG(G173,2),0))</f>
        <v>1.15111355119388</v>
      </c>
      <c r="J174" s="36" t="str">
        <v>tengah</v>
      </c>
      <c r="K174" s="36" t="s">
        <v>218</v>
      </c>
      <c r="L174" s="36">
        <f>-(IFERROR(L171*LOG(L171,2),0)+IFERROR(L172*LOG(L172,2),0)+IFERROR(L173*LOG(L173,2),0))</f>
        <v>1.29723132757766</v>
      </c>
      <c r="O174" s="36" t="str">
        <v>kanan</v>
      </c>
      <c r="P174" s="36" t="s">
        <v>218</v>
      </c>
      <c r="Q174" s="36">
        <f>-(IFERROR(Q171*LOG(Q171,2),0)+IFERROR(Q172*LOG(Q172,2),0)+IFERROR(Q173*LOG(Q173,2),0))</f>
        <v>0</v>
      </c>
      <c r="T174" s="36" t="str">
        <v>tengah</v>
      </c>
      <c r="U174" s="36" t="s">
        <v>218</v>
      </c>
      <c r="V174" s="36">
        <f>-(IFERROR(V171*LOG(V171,2),0)+IFERROR(V172*LOG(V172,2),0)+IFERROR(V173*LOG(V173,2),0))</f>
        <v>1.32167841858474</v>
      </c>
    </row>
    <row r="175" spans="5:22">
      <c r="E175" s="36" t="str">
        <v>kiri</v>
      </c>
      <c r="F175" s="36"/>
      <c r="G175" s="36">
        <f>SUM(F171:F173)/163</f>
        <v>0.196319018404908</v>
      </c>
      <c r="J175" s="36" t="str">
        <v>kiri</v>
      </c>
      <c r="K175" s="36"/>
      <c r="L175" s="36">
        <f>SUM(K171:K173)/163</f>
        <v>0.165644171779141</v>
      </c>
      <c r="O175" s="36" t="str">
        <v>tengah</v>
      </c>
      <c r="P175" s="36"/>
      <c r="Q175" s="36">
        <f>SUM(P171:P173)/163</f>
        <v>0.202453987730061</v>
      </c>
      <c r="T175" s="36" t="str">
        <v>tengah</v>
      </c>
      <c r="U175" s="36"/>
      <c r="V175" s="36">
        <f>SUM(U171:U173)/163</f>
        <v>0.533742331288344</v>
      </c>
    </row>
    <row r="176" spans="5:22">
      <c r="E176" s="36" t="str">
        <v>tengah</v>
      </c>
      <c r="F176" s="36"/>
      <c r="G176" s="41">
        <f>G174*G175</f>
        <v>0.22598548244297</v>
      </c>
      <c r="J176" s="36" t="str">
        <v>kiri</v>
      </c>
      <c r="K176" s="36"/>
      <c r="L176" s="41">
        <f>L174*L175</f>
        <v>0.214878808862558</v>
      </c>
      <c r="O176" s="36" t="str">
        <v>tengah</v>
      </c>
      <c r="P176" s="36"/>
      <c r="Q176" s="41">
        <f>Q174*Q175</f>
        <v>0</v>
      </c>
      <c r="T176" s="36" t="str">
        <v>tengah</v>
      </c>
      <c r="U176" s="36"/>
      <c r="V176" s="41">
        <f>V174*V175</f>
        <v>0.705435720348908</v>
      </c>
    </row>
    <row r="177" spans="5:22">
      <c r="E177" s="36" t="str">
        <v>kiri</v>
      </c>
      <c r="F177" s="36"/>
      <c r="G177" s="36"/>
      <c r="J177" s="36" t="str">
        <v>tengah</v>
      </c>
      <c r="K177" s="36"/>
      <c r="L177" s="36"/>
      <c r="O177" s="36" t="str">
        <v>tengah</v>
      </c>
      <c r="P177" s="36"/>
      <c r="Q177" s="36"/>
      <c r="T177" s="36" t="str">
        <v>tengah</v>
      </c>
      <c r="U177" s="36"/>
      <c r="V177" s="36"/>
    </row>
    <row r="178" spans="5:22">
      <c r="E178" s="36" t="str">
        <v>tengah</v>
      </c>
      <c r="F178" s="36"/>
      <c r="G178" s="36"/>
      <c r="J178" s="36" t="str">
        <v>tengah</v>
      </c>
      <c r="K178" s="36"/>
      <c r="L178" s="36"/>
      <c r="O178" s="36" t="str">
        <v>kiri</v>
      </c>
      <c r="P178" s="36"/>
      <c r="Q178" s="36"/>
      <c r="T178" s="36" t="str">
        <v>kanan</v>
      </c>
      <c r="U178" s="36"/>
      <c r="V178" s="36"/>
    </row>
    <row r="179" spans="5:22">
      <c r="E179" s="36" t="str">
        <v>kiri</v>
      </c>
      <c r="F179" s="36" t="s">
        <v>219</v>
      </c>
      <c r="G179" s="36"/>
      <c r="J179" s="36" t="str">
        <v>tengah</v>
      </c>
      <c r="K179" s="36" t="s">
        <v>220</v>
      </c>
      <c r="L179" s="36"/>
      <c r="O179" s="36" t="str">
        <v>kiri</v>
      </c>
      <c r="P179" s="36" t="s">
        <v>221</v>
      </c>
      <c r="Q179" s="36"/>
      <c r="T179" s="36" t="str">
        <v>tengah</v>
      </c>
      <c r="U179" s="36" t="s">
        <v>222</v>
      </c>
      <c r="V179" s="36"/>
    </row>
    <row r="180" spans="5:22">
      <c r="E180" s="36" t="str">
        <v>kanan</v>
      </c>
      <c r="F180" s="36">
        <f>COUNTIFS($E$170:$E$332,"Kiri",$M$2:$M$164,"Tinggi")</f>
        <v>17</v>
      </c>
      <c r="G180" s="36">
        <f>F180/41</f>
        <v>0.414634146341463</v>
      </c>
      <c r="J180" s="36" t="str">
        <v>kanan</v>
      </c>
      <c r="K180" s="36">
        <f>COUNTIFS($J$170:$J$332,"Kiri",$M$2:$M$164,"Tinggi")</f>
        <v>16</v>
      </c>
      <c r="L180" s="36">
        <f>K180/25</f>
        <v>0.64</v>
      </c>
      <c r="O180" s="36" t="str">
        <v>kanan</v>
      </c>
      <c r="P180" s="36">
        <f>COUNTIFS($O$170:$O$332,"Kiri",$M$2:$M$164,"Tinggi")</f>
        <v>0</v>
      </c>
      <c r="Q180" s="36">
        <f>P180/57</f>
        <v>0</v>
      </c>
      <c r="T180" s="36" t="str">
        <v>kanan</v>
      </c>
      <c r="U180" s="36">
        <f>COUNTIFS($T$170:$T$332,"Kiri",$M$2:$M$164,"Tinggi")</f>
        <v>0</v>
      </c>
      <c r="V180" s="36">
        <f>U180/57</f>
        <v>0</v>
      </c>
    </row>
    <row r="181" spans="5:22">
      <c r="E181" s="36" t="str">
        <v>kiri</v>
      </c>
      <c r="F181" s="36">
        <f>COUNTIFS($E$170:$E$332,"Kiri",$M$2:$M$164,"Sedang")</f>
        <v>22</v>
      </c>
      <c r="G181" s="36">
        <f>F181/41</f>
        <v>0.536585365853659</v>
      </c>
      <c r="J181" s="36" t="str">
        <v>tengah</v>
      </c>
      <c r="K181" s="36">
        <f>COUNTIFS($J$170:$J$332,"Kiri",$M$2:$M$164,"Sedang")</f>
        <v>6</v>
      </c>
      <c r="L181" s="36">
        <f>K181/25</f>
        <v>0.24</v>
      </c>
      <c r="O181" s="36" t="str">
        <v>kanan</v>
      </c>
      <c r="P181" s="36">
        <f>COUNTIFS($O$170:$O$332,"Kiri",$M$2:$M$164,"Sedang")</f>
        <v>46</v>
      </c>
      <c r="Q181" s="36">
        <f>P181/57</f>
        <v>0.807017543859649</v>
      </c>
      <c r="T181" s="36" t="str">
        <v>kanan</v>
      </c>
      <c r="U181" s="36">
        <f>COUNTIFS($T$170:$T$332,"Kiri",$M$2:$M$164,"Sedang")</f>
        <v>0</v>
      </c>
      <c r="V181" s="36">
        <f>U181/57</f>
        <v>0</v>
      </c>
    </row>
    <row r="182" spans="5:22">
      <c r="E182" s="36" t="str">
        <v>tengah</v>
      </c>
      <c r="F182" s="36">
        <f>COUNTIFS($E$170:$E$332,"Kiri",$M$2:$M$164,"Rendah")</f>
        <v>2</v>
      </c>
      <c r="G182" s="36">
        <f>F182/41</f>
        <v>0.0487804878048781</v>
      </c>
      <c r="J182" s="36" t="str">
        <v>tengah</v>
      </c>
      <c r="K182" s="36">
        <f>COUNTIFS($J$170:$J$332,"Kiri",$M$2:$M$164,"Rendah")</f>
        <v>3</v>
      </c>
      <c r="L182" s="36">
        <f>K182/25</f>
        <v>0.12</v>
      </c>
      <c r="O182" s="36" t="str">
        <v>kanan</v>
      </c>
      <c r="P182" s="36">
        <f>COUNTIFS($O$170:$O$332,"Kiri",$M$2:$M$164,"Rendah")</f>
        <v>11</v>
      </c>
      <c r="Q182" s="36">
        <f>P182/57</f>
        <v>0.192982456140351</v>
      </c>
      <c r="T182" s="36" t="str">
        <v>kanan</v>
      </c>
      <c r="U182" s="36">
        <f>COUNTIFS($T$170:$T$332,"Kiri",$M$2:$M$164,"Rendah")</f>
        <v>0</v>
      </c>
      <c r="V182" s="36">
        <f>U182/57</f>
        <v>0</v>
      </c>
    </row>
    <row r="183" spans="5:22">
      <c r="E183" s="36" t="str">
        <v>tengah</v>
      </c>
      <c r="F183" s="36" t="s">
        <v>218</v>
      </c>
      <c r="G183" s="36">
        <f>-(IFERROR(G180*LOG(G180,2),0)+IFERROR(G181*LOG(G181,2),0)+IFERROR(G182*LOG(G182,2),0))</f>
        <v>1.22110410434305</v>
      </c>
      <c r="J183" s="36" t="str">
        <v>kanan</v>
      </c>
      <c r="K183" s="36" t="s">
        <v>218</v>
      </c>
      <c r="L183" s="36">
        <f>-(IFERROR(L180*LOG(L180,2),0)+IFERROR(L181*LOG(L181,2),0)+IFERROR(L182*LOG(L182,2),0))</f>
        <v>1.27326968951511</v>
      </c>
      <c r="O183" s="36" t="str">
        <v>kiri</v>
      </c>
      <c r="P183" s="36" t="s">
        <v>218</v>
      </c>
      <c r="Q183" s="36">
        <f>-(IFERROR(Q180*LOG(Q180,2),0)+IFERROR(Q181*LOG(Q181,2),0)+IFERROR(Q182*LOG(Q182,2),0))</f>
        <v>0.707669000416797</v>
      </c>
      <c r="T183" s="36" t="str">
        <v>tengah</v>
      </c>
      <c r="U183" s="36" t="s">
        <v>218</v>
      </c>
      <c r="V183" s="36">
        <f>-(IFERROR(V180*LOG(V180,2),0)+IFERROR(V181*LOG(V181,2),0)+IFERROR(V182*LOG(V182,2),0))</f>
        <v>0</v>
      </c>
    </row>
    <row r="184" spans="5:22">
      <c r="E184" s="36" t="str">
        <v>kanan</v>
      </c>
      <c r="F184" s="36"/>
      <c r="G184" s="36">
        <f>SUM(F180:F182)/163</f>
        <v>0.251533742331288</v>
      </c>
      <c r="J184" s="36" t="str">
        <v>tengah</v>
      </c>
      <c r="K184" s="36"/>
      <c r="L184" s="36">
        <f>SUM(K180:K182)/163</f>
        <v>0.153374233128834</v>
      </c>
      <c r="O184" s="36" t="str">
        <v>kiri</v>
      </c>
      <c r="P184" s="36"/>
      <c r="Q184" s="36">
        <f>SUM(P180:P182)/163</f>
        <v>0.349693251533742</v>
      </c>
      <c r="T184" s="36" t="str">
        <v>tengah</v>
      </c>
      <c r="U184" s="36"/>
      <c r="V184" s="36">
        <f>SUM(U180:U182)/163</f>
        <v>0</v>
      </c>
    </row>
    <row r="185" spans="5:22">
      <c r="E185" s="36" t="str">
        <v>tengah</v>
      </c>
      <c r="F185" s="36"/>
      <c r="G185" s="41">
        <f>G183*G184</f>
        <v>0.307148885141504</v>
      </c>
      <c r="J185" s="36" t="str">
        <v>kiri</v>
      </c>
      <c r="K185" s="36"/>
      <c r="L185" s="41">
        <f>L183*L184</f>
        <v>0.195286762195569</v>
      </c>
      <c r="O185" s="36" t="str">
        <v>kanan</v>
      </c>
      <c r="P185" s="36"/>
      <c r="Q185" s="41">
        <f>Q183*Q184</f>
        <v>0.247467073765383</v>
      </c>
      <c r="T185" s="36" t="str">
        <v>tengah</v>
      </c>
      <c r="U185" s="36"/>
      <c r="V185" s="41">
        <f>V183*V184</f>
        <v>0</v>
      </c>
    </row>
    <row r="186" spans="5:22">
      <c r="E186" s="36" t="str">
        <v>kanan</v>
      </c>
      <c r="F186" s="36"/>
      <c r="G186" s="36"/>
      <c r="J186" s="36" t="str">
        <v>kanan</v>
      </c>
      <c r="K186" s="36"/>
      <c r="L186" s="36"/>
      <c r="O186" s="36" t="str">
        <v>tengah</v>
      </c>
      <c r="P186" s="36"/>
      <c r="Q186" s="36"/>
      <c r="T186" s="36" t="str">
        <v>kanan</v>
      </c>
      <c r="U186" s="36"/>
      <c r="V186" s="36"/>
    </row>
    <row r="187" spans="5:22">
      <c r="E187" s="36" t="str">
        <v>tengah</v>
      </c>
      <c r="F187" s="36"/>
      <c r="G187" s="36"/>
      <c r="J187" s="36" t="str">
        <v>kiri</v>
      </c>
      <c r="K187" s="36"/>
      <c r="L187" s="36"/>
      <c r="O187" s="36" t="str">
        <v>kiri</v>
      </c>
      <c r="P187" s="36"/>
      <c r="Q187" s="36"/>
      <c r="T187" s="36" t="str">
        <v>tengah</v>
      </c>
      <c r="U187" s="36"/>
      <c r="V187" s="36"/>
    </row>
    <row r="188" spans="5:22">
      <c r="E188" s="36" t="str">
        <v>tengah</v>
      </c>
      <c r="F188" s="36" t="s">
        <v>223</v>
      </c>
      <c r="G188" s="36"/>
      <c r="J188" s="36" t="str">
        <v>tengah</v>
      </c>
      <c r="K188" s="36" t="s">
        <v>223</v>
      </c>
      <c r="L188" s="36"/>
      <c r="O188" s="36" t="str">
        <v>tengah</v>
      </c>
      <c r="P188" s="36" t="s">
        <v>223</v>
      </c>
      <c r="Q188" s="36"/>
      <c r="T188" s="36" t="str">
        <v>tengah</v>
      </c>
      <c r="U188" s="36" t="s">
        <v>223</v>
      </c>
      <c r="V188" s="36"/>
    </row>
    <row r="189" spans="5:22">
      <c r="E189" s="36" t="str">
        <v>tengah</v>
      </c>
      <c r="F189" s="36">
        <f>COUNTIFS($E$170:$E$332,"Tengah",$M$2:$M$164,"Tinggi")</f>
        <v>38</v>
      </c>
      <c r="G189" s="36">
        <f>F189/90</f>
        <v>0.422222222222222</v>
      </c>
      <c r="J189" s="36" t="str">
        <v>tengah</v>
      </c>
      <c r="K189" s="36">
        <f>COUNTIFS($J$170:$J$332,"Tengah",$M$2:$M$164,"Tinggi")</f>
        <v>46</v>
      </c>
      <c r="L189" s="36">
        <f>K189/111</f>
        <v>0.414414414414414</v>
      </c>
      <c r="O189" s="36" t="str">
        <v>kiri</v>
      </c>
      <c r="P189" s="36">
        <f>COUNTIFS($O$170:$O$332,"Tengah",$M$2:$M$164,"Tinggi")</f>
        <v>40</v>
      </c>
      <c r="Q189" s="36">
        <f>P189/73</f>
        <v>0.547945205479452</v>
      </c>
      <c r="T189" s="36" t="str">
        <v>kanan</v>
      </c>
      <c r="U189" s="36">
        <f>COUNTIFS($T$170:$T$332,"Tengah",$M$2:$M$164,"Tinggi")</f>
        <v>31</v>
      </c>
      <c r="V189" s="36">
        <f>U189/76</f>
        <v>0.407894736842105</v>
      </c>
    </row>
    <row r="190" spans="5:22">
      <c r="E190" s="36" t="str">
        <v>tengah</v>
      </c>
      <c r="F190" s="36">
        <f>COUNTIFS($E$170:$E$332,"Tengah",$M$2:$M$164,"Sedang")</f>
        <v>44</v>
      </c>
      <c r="G190" s="36">
        <f>F190/90</f>
        <v>0.488888888888889</v>
      </c>
      <c r="J190" s="36" t="str">
        <v>tengah</v>
      </c>
      <c r="K190" s="36">
        <f>COUNTIFS($J$170:$J$332,"Tengah",$M$2:$M$164,"Sedang")</f>
        <v>59</v>
      </c>
      <c r="L190" s="36">
        <f>K190/111</f>
        <v>0.531531531531532</v>
      </c>
      <c r="O190" s="36" t="str">
        <v>tengah</v>
      </c>
      <c r="P190" s="36">
        <f>COUNTIFS($O$170:$O$332,"Tengah",$M$2:$M$164,"Sedang")</f>
        <v>33</v>
      </c>
      <c r="Q190" s="36">
        <f>P190/73</f>
        <v>0.452054794520548</v>
      </c>
      <c r="T190" s="36" t="str">
        <v>kanan</v>
      </c>
      <c r="U190" s="36">
        <f>COUNTIFS($T$170:$T$332,"Tengah",$M$2:$M$164,"Sedang")</f>
        <v>41</v>
      </c>
      <c r="V190" s="36">
        <f>U190/76</f>
        <v>0.539473684210526</v>
      </c>
    </row>
    <row r="191" spans="5:22">
      <c r="E191" s="36" t="str">
        <v>kanan</v>
      </c>
      <c r="F191" s="36">
        <f>COUNTIFS($E$170:$E$332,"Tengah",$M$2:$M$164,"Rendah")</f>
        <v>8</v>
      </c>
      <c r="G191" s="36">
        <f>F191/90</f>
        <v>0.0888888888888889</v>
      </c>
      <c r="J191" s="36" t="str">
        <v>tengah</v>
      </c>
      <c r="K191" s="36">
        <f>COUNTIFS($J$170:$J$332,"Tengah",$M$2:$M$164,"Rendah")</f>
        <v>6</v>
      </c>
      <c r="L191" s="36">
        <f>K191/111</f>
        <v>0.0540540540540541</v>
      </c>
      <c r="O191" s="36" t="str">
        <v>tengah</v>
      </c>
      <c r="P191" s="36">
        <f>COUNTIFS($O$170:$O$332,"Tengah",$M$2:$M$164,"Rendah")</f>
        <v>0</v>
      </c>
      <c r="Q191" s="36">
        <f>P191/73</f>
        <v>0</v>
      </c>
      <c r="T191" s="36" t="str">
        <v>tengah</v>
      </c>
      <c r="U191" s="36">
        <f>COUNTIFS($T$170:$T$332,"Tengah",$M$2:$M$164,"Rendah")</f>
        <v>4</v>
      </c>
      <c r="V191" s="36">
        <f>U191/76</f>
        <v>0.0526315789473684</v>
      </c>
    </row>
    <row r="192" spans="5:22">
      <c r="E192" s="36" t="str">
        <v>kiri</v>
      </c>
      <c r="F192" s="36" t="s">
        <v>218</v>
      </c>
      <c r="G192" s="36">
        <f>-(IFERROR(G189*LOG(G189,2),0)+IFERROR(G190*LOG(G190,2),0)+IFERROR(G191*LOG(G191,2),0))</f>
        <v>1.34033935487526</v>
      </c>
      <c r="J192" s="36" t="str">
        <v>tengah</v>
      </c>
      <c r="K192" s="36" t="s">
        <v>218</v>
      </c>
      <c r="L192" s="36">
        <f>-(IFERROR(L189*LOG(L189,2),0)+IFERROR(L190*LOG(L190,2),0)+IFERROR(L191*LOG(L191,2),0))</f>
        <v>1.2388342006267</v>
      </c>
      <c r="O192" s="36" t="str">
        <v>kiri</v>
      </c>
      <c r="P192" s="36" t="s">
        <v>218</v>
      </c>
      <c r="Q192" s="36">
        <f>-(IFERROR(Q189*LOG(Q189,2),0)+IFERROR(Q190*LOG(Q190,2),0)+IFERROR(Q191*LOG(Q191,2),0))</f>
        <v>0.993357028272847</v>
      </c>
      <c r="T192" s="36" t="str">
        <v>tengah</v>
      </c>
      <c r="U192" s="36" t="s">
        <v>218</v>
      </c>
      <c r="V192" s="36">
        <f>-(IFERROR(V189*LOG(V189,2),0)+IFERROR(V190*LOG(V190,2),0)+IFERROR(V191*LOG(V191,2),0))</f>
        <v>1.23161543697866</v>
      </c>
    </row>
    <row r="193" spans="5:22">
      <c r="E193" s="36" t="str">
        <v>tengah</v>
      </c>
      <c r="F193" s="36"/>
      <c r="G193" s="36">
        <f>SUM(F189:F191)/163</f>
        <v>0.552147239263804</v>
      </c>
      <c r="J193" s="36" t="str">
        <v>kiri</v>
      </c>
      <c r="K193" s="36"/>
      <c r="L193" s="36">
        <f>SUM(K189:K191)/163</f>
        <v>0.680981595092024</v>
      </c>
      <c r="O193" s="36" t="str">
        <v>kanan</v>
      </c>
      <c r="P193" s="36"/>
      <c r="Q193" s="36">
        <f>SUM(P189:P191)/163</f>
        <v>0.447852760736196</v>
      </c>
      <c r="T193" s="36" t="str">
        <v>tengah</v>
      </c>
      <c r="U193" s="36"/>
      <c r="V193" s="36">
        <f>SUM(U189:U191)/163</f>
        <v>0.466257668711656</v>
      </c>
    </row>
    <row r="194" spans="5:22">
      <c r="E194" s="36" t="str">
        <v>kanan</v>
      </c>
      <c r="F194" s="36"/>
      <c r="G194" s="41">
        <f>G192*G193</f>
        <v>0.740064674471003</v>
      </c>
      <c r="J194" s="36" t="str">
        <v>tengah</v>
      </c>
      <c r="K194" s="36"/>
      <c r="L194" s="41">
        <f>L192*L193</f>
        <v>0.843623289997323</v>
      </c>
      <c r="O194" s="36" t="str">
        <v>tengah</v>
      </c>
      <c r="P194" s="36"/>
      <c r="Q194" s="41">
        <f>Q192*Q193</f>
        <v>0.444877687508698</v>
      </c>
      <c r="T194" s="36" t="str">
        <v>kanan</v>
      </c>
      <c r="U194" s="36"/>
      <c r="V194" s="41">
        <f>V192*V193</f>
        <v>0.574250142394957</v>
      </c>
    </row>
    <row r="195" spans="5:22">
      <c r="E195" s="36" t="str">
        <v>tengah</v>
      </c>
      <c r="F195" s="36"/>
      <c r="G195" s="36"/>
      <c r="J195" s="36" t="str">
        <v>tengah</v>
      </c>
      <c r="K195" s="36"/>
      <c r="L195" s="36"/>
      <c r="O195" s="36" t="str">
        <v>tengah</v>
      </c>
      <c r="P195" s="36"/>
      <c r="Q195" s="36"/>
      <c r="T195" s="36" t="str">
        <v>tengah</v>
      </c>
      <c r="U195" s="36"/>
      <c r="V195" s="36"/>
    </row>
    <row r="196" spans="5:22">
      <c r="E196" s="36" t="str">
        <v>kiri</v>
      </c>
      <c r="F196" s="36" t="s">
        <v>224</v>
      </c>
      <c r="G196" s="45" t="s">
        <v>218</v>
      </c>
      <c r="J196" s="36" t="str">
        <v>tengah</v>
      </c>
      <c r="K196" s="36" t="s">
        <v>224</v>
      </c>
      <c r="L196" s="45" t="s">
        <v>218</v>
      </c>
      <c r="O196" s="36" t="str">
        <v>tengah</v>
      </c>
      <c r="P196" s="36" t="s">
        <v>224</v>
      </c>
      <c r="Q196" s="45" t="s">
        <v>218</v>
      </c>
      <c r="T196" s="36" t="str">
        <v>tengah</v>
      </c>
      <c r="U196" s="36" t="s">
        <v>224</v>
      </c>
      <c r="V196" s="45" t="s">
        <v>218</v>
      </c>
    </row>
    <row r="197" spans="5:22">
      <c r="E197" s="36" t="str">
        <v>tengah</v>
      </c>
      <c r="F197" s="46">
        <f>P5-(G176+G185+G194)</f>
        <v>0.0147338992354631</v>
      </c>
      <c r="G197" s="41">
        <f>(G176+G185+G194)</f>
        <v>1.27319904205548</v>
      </c>
      <c r="J197" s="36" t="str">
        <v>kanan</v>
      </c>
      <c r="K197" s="46">
        <f>P5-(L176+L185+L194)</f>
        <v>0.0341440802354906</v>
      </c>
      <c r="L197" s="41">
        <f>(L176+L185+L194)</f>
        <v>1.25378886105545</v>
      </c>
      <c r="O197" s="36" t="str">
        <v>tengah</v>
      </c>
      <c r="P197" s="46">
        <f>P5-(Q176+Q185+Q194)</f>
        <v>0.595588180016858</v>
      </c>
      <c r="Q197" s="41">
        <f>(Q176+Q185+Q194)</f>
        <v>0.692344761274081</v>
      </c>
      <c r="T197" s="36" t="str">
        <v>tengah</v>
      </c>
      <c r="U197" s="46">
        <f>P5-(V176+V185+V194)</f>
        <v>0.00824707854707429</v>
      </c>
      <c r="V197" s="41">
        <f>(V176+V185+V194)</f>
        <v>1.27968586274386</v>
      </c>
    </row>
    <row r="198" spans="5:22">
      <c r="E198" s="36" t="str">
        <v>tengah</v>
      </c>
      <c r="F198" s="36"/>
      <c r="G198" s="36"/>
      <c r="J198" s="36" t="str">
        <v>tengah</v>
      </c>
      <c r="K198" s="36"/>
      <c r="L198" s="36"/>
      <c r="O198" s="36" t="str">
        <v>tengah</v>
      </c>
      <c r="P198" s="36"/>
      <c r="Q198" s="36"/>
      <c r="T198" s="36" t="str">
        <v>kanan</v>
      </c>
      <c r="U198" s="36"/>
      <c r="V198" s="36"/>
    </row>
    <row r="199" spans="5:22">
      <c r="E199" s="36" t="str">
        <v>kanan</v>
      </c>
      <c r="F199" s="36"/>
      <c r="G199" s="36"/>
      <c r="J199" s="36" t="str">
        <v>kanan</v>
      </c>
      <c r="K199" s="36"/>
      <c r="L199" s="36"/>
      <c r="O199" s="36" t="str">
        <v>kanan</v>
      </c>
      <c r="P199" s="36"/>
      <c r="Q199" s="36"/>
      <c r="T199" s="36" t="str">
        <v>kanan</v>
      </c>
      <c r="U199" s="36"/>
      <c r="V199" s="36"/>
    </row>
    <row r="200" spans="5:22">
      <c r="E200" s="36" t="str">
        <v>kiri</v>
      </c>
      <c r="F200" s="36"/>
      <c r="G200" s="36"/>
      <c r="J200" s="36" t="str">
        <v>tengah</v>
      </c>
      <c r="K200" s="36"/>
      <c r="L200" s="36"/>
      <c r="O200" s="36" t="str">
        <v>tengah</v>
      </c>
      <c r="P200" s="36"/>
      <c r="Q200" s="36"/>
      <c r="T200" s="36" t="str">
        <v>tengah</v>
      </c>
      <c r="U200" s="36"/>
      <c r="V200" s="36"/>
    </row>
    <row r="201" spans="5:22">
      <c r="E201" s="36" t="str">
        <v>kiri</v>
      </c>
      <c r="F201" s="36"/>
      <c r="G201" s="36"/>
      <c r="J201" s="36" t="str">
        <v>kanan</v>
      </c>
      <c r="K201" s="36"/>
      <c r="L201" s="36"/>
      <c r="O201" s="36" t="str">
        <v>tengah</v>
      </c>
      <c r="P201" s="36"/>
      <c r="Q201" s="36"/>
      <c r="T201" s="36" t="str">
        <v>kanan</v>
      </c>
      <c r="U201" s="36"/>
      <c r="V201" s="36"/>
    </row>
    <row r="202" spans="5:22">
      <c r="E202" s="36" t="str">
        <v>tengah</v>
      </c>
      <c r="F202" s="36"/>
      <c r="G202" s="36"/>
      <c r="J202" s="36" t="str">
        <v>tengah</v>
      </c>
      <c r="K202" s="36"/>
      <c r="L202" s="36"/>
      <c r="O202" s="36" t="str">
        <v>tengah</v>
      </c>
      <c r="P202" s="36"/>
      <c r="Q202" s="36"/>
      <c r="T202" s="36" t="str">
        <v>kanan</v>
      </c>
      <c r="U202" s="36"/>
      <c r="V202" s="36"/>
    </row>
    <row r="203" spans="5:22">
      <c r="E203" s="36" t="str">
        <v>tengah</v>
      </c>
      <c r="F203" s="36"/>
      <c r="G203" s="36"/>
      <c r="J203" s="36" t="str">
        <v>tengah</v>
      </c>
      <c r="K203" s="36"/>
      <c r="L203" s="36"/>
      <c r="O203" s="36" t="str">
        <v>kiri</v>
      </c>
      <c r="P203" s="36"/>
      <c r="Q203" s="36"/>
      <c r="T203" s="36" t="str">
        <v>kanan</v>
      </c>
      <c r="U203" s="36"/>
      <c r="V203" s="36"/>
    </row>
    <row r="204" spans="5:22">
      <c r="E204" s="36" t="str">
        <v>tengah</v>
      </c>
      <c r="F204" s="36"/>
      <c r="G204" s="36"/>
      <c r="J204" s="36" t="str">
        <v>tengah</v>
      </c>
      <c r="K204" s="36"/>
      <c r="L204" s="36"/>
      <c r="O204" s="36" t="str">
        <v>kiri</v>
      </c>
      <c r="P204" s="36"/>
      <c r="Q204" s="36"/>
      <c r="T204" s="36" t="str">
        <v>tengah</v>
      </c>
      <c r="U204" s="36"/>
      <c r="V204" s="36"/>
    </row>
    <row r="205" spans="5:22">
      <c r="E205" s="36" t="str">
        <v>tengah</v>
      </c>
      <c r="F205" s="36"/>
      <c r="G205" s="36"/>
      <c r="J205" s="36" t="str">
        <v>tengah</v>
      </c>
      <c r="K205" s="36"/>
      <c r="L205" s="36"/>
      <c r="O205" s="36" t="str">
        <v>tengah</v>
      </c>
      <c r="P205" s="36"/>
      <c r="Q205" s="36"/>
      <c r="T205" s="36" t="str">
        <v>kanan</v>
      </c>
      <c r="U205" s="36"/>
      <c r="V205" s="36"/>
    </row>
    <row r="206" spans="5:22">
      <c r="E206" s="36" t="str">
        <v>kiri</v>
      </c>
      <c r="F206" s="36"/>
      <c r="G206" s="36"/>
      <c r="J206" s="36" t="str">
        <v>kanan</v>
      </c>
      <c r="K206" s="36"/>
      <c r="L206" s="36"/>
      <c r="O206" s="36" t="str">
        <v>kiri</v>
      </c>
      <c r="P206" s="36"/>
      <c r="Q206" s="36"/>
      <c r="T206" s="36" t="str">
        <v>tengah</v>
      </c>
      <c r="U206" s="36"/>
      <c r="V206" s="36"/>
    </row>
    <row r="207" spans="5:22">
      <c r="E207" s="36" t="str">
        <v>kiri</v>
      </c>
      <c r="F207" s="36"/>
      <c r="G207" s="36"/>
      <c r="J207" s="36" t="str">
        <v>tengah</v>
      </c>
      <c r="K207" s="36"/>
      <c r="L207" s="36"/>
      <c r="O207" s="36" t="str">
        <v>tengah</v>
      </c>
      <c r="P207" s="36"/>
      <c r="Q207" s="36"/>
      <c r="T207" s="36" t="str">
        <v>tengah</v>
      </c>
      <c r="U207" s="36"/>
      <c r="V207" s="36"/>
    </row>
    <row r="208" spans="5:22">
      <c r="E208" s="36" t="str">
        <v>kanan</v>
      </c>
      <c r="F208" s="36"/>
      <c r="G208" s="36"/>
      <c r="J208" s="36" t="str">
        <v>tengah</v>
      </c>
      <c r="K208" s="36"/>
      <c r="L208" s="36"/>
      <c r="O208" s="36" t="str">
        <v>tengah</v>
      </c>
      <c r="P208" s="36"/>
      <c r="Q208" s="36"/>
      <c r="T208" s="36" t="str">
        <v>kanan</v>
      </c>
      <c r="U208" s="36"/>
      <c r="V208" s="36"/>
    </row>
    <row r="209" spans="5:22">
      <c r="E209" s="36" t="str">
        <v>kiri</v>
      </c>
      <c r="F209" s="36"/>
      <c r="G209" s="36"/>
      <c r="J209" s="36" t="str">
        <v>kiri</v>
      </c>
      <c r="K209" s="36"/>
      <c r="L209" s="36"/>
      <c r="O209" s="36" t="str">
        <v>kanan</v>
      </c>
      <c r="P209" s="36"/>
      <c r="Q209" s="36"/>
      <c r="T209" s="36" t="str">
        <v>tengah</v>
      </c>
      <c r="U209" s="36"/>
      <c r="V209" s="36"/>
    </row>
    <row r="210" spans="5:22">
      <c r="E210" s="36" t="str">
        <v>kanan</v>
      </c>
      <c r="F210" s="36"/>
      <c r="G210" s="36"/>
      <c r="J210" s="36" t="str">
        <v>tengah</v>
      </c>
      <c r="K210" s="36"/>
      <c r="L210" s="36"/>
      <c r="O210" s="36" t="str">
        <v>kanan</v>
      </c>
      <c r="P210" s="36"/>
      <c r="Q210" s="36"/>
      <c r="T210" s="36" t="str">
        <v>kanan</v>
      </c>
      <c r="U210" s="36"/>
      <c r="V210" s="36"/>
    </row>
    <row r="211" spans="5:22">
      <c r="E211" s="36" t="str">
        <v>tengah</v>
      </c>
      <c r="F211" s="36"/>
      <c r="G211" s="36"/>
      <c r="J211" s="36" t="str">
        <v>tengah</v>
      </c>
      <c r="K211" s="36"/>
      <c r="L211" s="36"/>
      <c r="O211" s="36" t="str">
        <v>tengah</v>
      </c>
      <c r="P211" s="36"/>
      <c r="Q211" s="36"/>
      <c r="T211" s="36" t="str">
        <v>kanan</v>
      </c>
      <c r="U211" s="36"/>
      <c r="V211" s="36"/>
    </row>
    <row r="212" spans="5:22">
      <c r="E212" s="36" t="str">
        <v>kanan</v>
      </c>
      <c r="F212" s="36"/>
      <c r="G212" s="36"/>
      <c r="J212" s="36" t="str">
        <v>tengah</v>
      </c>
      <c r="K212" s="36"/>
      <c r="L212" s="36"/>
      <c r="O212" s="36" t="str">
        <v>tengah</v>
      </c>
      <c r="P212" s="36"/>
      <c r="Q212" s="36"/>
      <c r="T212" s="36" t="str">
        <v>tengah</v>
      </c>
      <c r="U212" s="36"/>
      <c r="V212" s="36"/>
    </row>
    <row r="213" spans="5:22">
      <c r="E213" s="36" t="str">
        <v>kiri</v>
      </c>
      <c r="F213" s="36"/>
      <c r="G213" s="36"/>
      <c r="J213" s="36" t="str">
        <v>kiri</v>
      </c>
      <c r="K213" s="36"/>
      <c r="L213" s="36"/>
      <c r="O213" s="36" t="str">
        <v>tengah</v>
      </c>
      <c r="P213" s="36"/>
      <c r="Q213" s="36"/>
      <c r="T213" s="36" t="str">
        <v>tengah</v>
      </c>
      <c r="U213" s="36"/>
      <c r="V213" s="36"/>
    </row>
    <row r="214" spans="5:22">
      <c r="E214" s="36" t="str">
        <v>tengah</v>
      </c>
      <c r="F214" s="36"/>
      <c r="G214" s="36"/>
      <c r="J214" s="36" t="str">
        <v>kanan</v>
      </c>
      <c r="K214" s="36"/>
      <c r="L214" s="36"/>
      <c r="O214" s="36" t="str">
        <v>kanan</v>
      </c>
      <c r="P214" s="36"/>
      <c r="Q214" s="36"/>
      <c r="T214" s="36" t="str">
        <v>tengah</v>
      </c>
      <c r="U214" s="36"/>
      <c r="V214" s="36"/>
    </row>
    <row r="215" spans="5:22">
      <c r="E215" s="36" t="str">
        <v>kanan</v>
      </c>
      <c r="F215" s="36"/>
      <c r="G215" s="36"/>
      <c r="J215" s="36" t="str">
        <v>tengah</v>
      </c>
      <c r="K215" s="36"/>
      <c r="L215" s="36"/>
      <c r="O215" s="36" t="str">
        <v>tengah</v>
      </c>
      <c r="P215" s="36"/>
      <c r="Q215" s="36"/>
      <c r="T215" s="36" t="str">
        <v>kanan</v>
      </c>
      <c r="U215" s="36"/>
      <c r="V215" s="36"/>
    </row>
    <row r="216" spans="5:22">
      <c r="E216" s="36" t="str">
        <v>kanan</v>
      </c>
      <c r="F216" s="36"/>
      <c r="G216" s="36"/>
      <c r="J216" s="36" t="str">
        <v>tengah</v>
      </c>
      <c r="K216" s="36"/>
      <c r="L216" s="36"/>
      <c r="O216" s="36" t="str">
        <v>tengah</v>
      </c>
      <c r="P216" s="36"/>
      <c r="Q216" s="36"/>
      <c r="T216" s="36" t="str">
        <v>kanan</v>
      </c>
      <c r="U216" s="36"/>
      <c r="V216" s="36"/>
    </row>
    <row r="217" spans="5:22">
      <c r="E217" s="36" t="str">
        <v>tengah</v>
      </c>
      <c r="F217" s="36"/>
      <c r="G217" s="36"/>
      <c r="J217" s="36" t="str">
        <v>tengah</v>
      </c>
      <c r="K217" s="36"/>
      <c r="L217" s="36"/>
      <c r="O217" s="36" t="str">
        <v>kanan</v>
      </c>
      <c r="P217" s="36"/>
      <c r="Q217" s="36"/>
      <c r="T217" s="36" t="str">
        <v>kanan</v>
      </c>
      <c r="U217" s="36"/>
      <c r="V217" s="36"/>
    </row>
    <row r="218" spans="5:22">
      <c r="E218" s="36" t="str">
        <v>tengah</v>
      </c>
      <c r="F218" s="36"/>
      <c r="G218" s="36"/>
      <c r="J218" s="36" t="str">
        <v>kiri</v>
      </c>
      <c r="K218" s="36"/>
      <c r="L218" s="36"/>
      <c r="O218" s="36" t="str">
        <v>kiri</v>
      </c>
      <c r="P218" s="36"/>
      <c r="Q218" s="36"/>
      <c r="T218" s="36" t="str">
        <v>tengah</v>
      </c>
      <c r="U218" s="36"/>
      <c r="V218" s="36"/>
    </row>
    <row r="219" spans="5:22">
      <c r="E219" s="36" t="str">
        <v>tengah</v>
      </c>
      <c r="F219" s="36"/>
      <c r="G219" s="36"/>
      <c r="J219" s="36" t="str">
        <v>tengah</v>
      </c>
      <c r="K219" s="36"/>
      <c r="L219" s="36"/>
      <c r="O219" s="36" t="str">
        <v>kiri</v>
      </c>
      <c r="P219" s="36"/>
      <c r="Q219" s="36"/>
      <c r="T219" s="36" t="str">
        <v>kanan</v>
      </c>
      <c r="U219" s="36"/>
      <c r="V219" s="36"/>
    </row>
    <row r="220" spans="5:22">
      <c r="E220" s="36" t="str">
        <v>tengah</v>
      </c>
      <c r="F220" s="36"/>
      <c r="G220" s="36"/>
      <c r="J220" s="36" t="str">
        <v>kanan</v>
      </c>
      <c r="K220" s="36"/>
      <c r="L220" s="36"/>
      <c r="O220" s="36" t="str">
        <v>kiri</v>
      </c>
      <c r="P220" s="36"/>
      <c r="Q220" s="36"/>
      <c r="T220" s="36" t="str">
        <v>tengah</v>
      </c>
      <c r="U220" s="36"/>
      <c r="V220" s="36"/>
    </row>
    <row r="221" spans="5:22">
      <c r="E221" s="36" t="str">
        <v>tengah</v>
      </c>
      <c r="F221" s="36"/>
      <c r="G221" s="36"/>
      <c r="J221" s="36" t="str">
        <v>tengah</v>
      </c>
      <c r="K221" s="36"/>
      <c r="L221" s="36"/>
      <c r="O221" s="36" t="str">
        <v>kiri</v>
      </c>
      <c r="P221" s="36"/>
      <c r="Q221" s="36"/>
      <c r="T221" s="36" t="str">
        <v>kanan</v>
      </c>
      <c r="U221" s="36"/>
      <c r="V221" s="36"/>
    </row>
    <row r="222" spans="5:22">
      <c r="E222" s="36" t="str">
        <v>kiri</v>
      </c>
      <c r="F222" s="36"/>
      <c r="G222" s="36"/>
      <c r="J222" s="36" t="str">
        <v>tengah</v>
      </c>
      <c r="K222" s="36"/>
      <c r="L222" s="36"/>
      <c r="O222" s="36" t="str">
        <v>tengah</v>
      </c>
      <c r="P222" s="36"/>
      <c r="Q222" s="36"/>
      <c r="T222" s="36" t="str">
        <v>kanan</v>
      </c>
      <c r="U222" s="36"/>
      <c r="V222" s="36"/>
    </row>
    <row r="223" spans="5:22">
      <c r="E223" s="36" t="str">
        <v>kanan</v>
      </c>
      <c r="F223" s="36"/>
      <c r="G223" s="36"/>
      <c r="J223" s="36" t="str">
        <v>tengah</v>
      </c>
      <c r="K223" s="36"/>
      <c r="L223" s="36"/>
      <c r="O223" s="36" t="str">
        <v>kiri</v>
      </c>
      <c r="P223" s="36"/>
      <c r="Q223" s="36"/>
      <c r="T223" s="36" t="str">
        <v>kanan</v>
      </c>
      <c r="U223" s="36"/>
      <c r="V223" s="36"/>
    </row>
    <row r="224" spans="5:22">
      <c r="E224" s="36" t="str">
        <v>tengah</v>
      </c>
      <c r="F224" s="36"/>
      <c r="G224" s="36"/>
      <c r="J224" s="36" t="str">
        <v>tengah</v>
      </c>
      <c r="K224" s="36"/>
      <c r="L224" s="36"/>
      <c r="O224" s="36" t="str">
        <v>tengah</v>
      </c>
      <c r="P224" s="36"/>
      <c r="Q224" s="36"/>
      <c r="T224" s="36" t="str">
        <v>tengah</v>
      </c>
      <c r="U224" s="36"/>
      <c r="V224" s="36"/>
    </row>
    <row r="225" spans="5:22">
      <c r="E225" s="36" t="str">
        <v>kiri</v>
      </c>
      <c r="F225" s="36"/>
      <c r="G225" s="36"/>
      <c r="J225" s="36" t="str">
        <v>tengah</v>
      </c>
      <c r="K225" s="36"/>
      <c r="L225" s="36"/>
      <c r="O225" s="36" t="str">
        <v>tengah</v>
      </c>
      <c r="P225" s="36"/>
      <c r="Q225" s="36"/>
      <c r="T225" s="36" t="str">
        <v>tengah</v>
      </c>
      <c r="U225" s="36"/>
      <c r="V225" s="36"/>
    </row>
    <row r="226" spans="5:22">
      <c r="E226" s="36" t="str">
        <v>tengah</v>
      </c>
      <c r="F226" s="36"/>
      <c r="G226" s="36"/>
      <c r="J226" s="36" t="str">
        <v>tengah</v>
      </c>
      <c r="K226" s="36"/>
      <c r="L226" s="36"/>
      <c r="O226" s="36" t="str">
        <v>tengah</v>
      </c>
      <c r="P226" s="36"/>
      <c r="Q226" s="36"/>
      <c r="T226" s="36" t="str">
        <v>tengah</v>
      </c>
      <c r="U226" s="36"/>
      <c r="V226" s="36"/>
    </row>
    <row r="227" spans="5:22">
      <c r="E227" s="36" t="str">
        <v>tengah</v>
      </c>
      <c r="F227" s="36"/>
      <c r="G227" s="36"/>
      <c r="J227" s="36" t="str">
        <v>tengah</v>
      </c>
      <c r="K227" s="36"/>
      <c r="L227" s="36"/>
      <c r="O227" s="36" t="str">
        <v>tengah</v>
      </c>
      <c r="P227" s="36"/>
      <c r="Q227" s="36"/>
      <c r="T227" s="36" t="str">
        <v>kanan</v>
      </c>
      <c r="U227" s="36"/>
      <c r="V227" s="36"/>
    </row>
    <row r="228" spans="5:22">
      <c r="E228" s="36" t="str">
        <v>tengah</v>
      </c>
      <c r="F228" s="36"/>
      <c r="G228" s="36"/>
      <c r="J228" s="36" t="str">
        <v>kanan</v>
      </c>
      <c r="K228" s="36"/>
      <c r="L228" s="36"/>
      <c r="O228" s="36" t="str">
        <v>tengah</v>
      </c>
      <c r="P228" s="36"/>
      <c r="Q228" s="36"/>
      <c r="T228" s="36" t="str">
        <v>kanan</v>
      </c>
      <c r="U228" s="36"/>
      <c r="V228" s="36"/>
    </row>
    <row r="229" spans="5:22">
      <c r="E229" s="36" t="str">
        <v>kanan</v>
      </c>
      <c r="F229" s="36"/>
      <c r="G229" s="36"/>
      <c r="J229" s="36" t="str">
        <v>tengah</v>
      </c>
      <c r="K229" s="36"/>
      <c r="L229" s="36"/>
      <c r="O229" s="36" t="str">
        <v>tengah</v>
      </c>
      <c r="P229" s="36"/>
      <c r="Q229" s="36"/>
      <c r="T229" s="36" t="str">
        <v>kanan</v>
      </c>
      <c r="U229" s="36"/>
      <c r="V229" s="36"/>
    </row>
    <row r="230" spans="5:22">
      <c r="E230" s="36" t="str">
        <v>kiri</v>
      </c>
      <c r="F230" s="36"/>
      <c r="G230" s="36"/>
      <c r="J230" s="36" t="str">
        <v>tengah</v>
      </c>
      <c r="K230" s="36"/>
      <c r="L230" s="36"/>
      <c r="O230" s="36" t="str">
        <v>tengah</v>
      </c>
      <c r="P230" s="36"/>
      <c r="Q230" s="36"/>
      <c r="T230" s="36" t="str">
        <v>kanan</v>
      </c>
      <c r="U230" s="36"/>
      <c r="V230" s="36"/>
    </row>
    <row r="231" spans="5:22">
      <c r="E231" s="36" t="str">
        <v>kiri</v>
      </c>
      <c r="F231" s="36"/>
      <c r="G231" s="36"/>
      <c r="J231" s="36" t="str">
        <v>kiri</v>
      </c>
      <c r="K231" s="36"/>
      <c r="L231" s="36"/>
      <c r="O231" s="36" t="str">
        <v>tengah</v>
      </c>
      <c r="P231" s="36"/>
      <c r="Q231" s="36"/>
      <c r="T231" s="36" t="str">
        <v>kanan</v>
      </c>
      <c r="U231" s="36"/>
      <c r="V231" s="36"/>
    </row>
    <row r="232" spans="5:22">
      <c r="E232" s="36" t="str">
        <v>kanan</v>
      </c>
      <c r="F232" s="36"/>
      <c r="G232" s="36"/>
      <c r="J232" s="36" t="str">
        <v>tengah</v>
      </c>
      <c r="K232" s="36"/>
      <c r="L232" s="36"/>
      <c r="O232" s="36" t="str">
        <v>tengah</v>
      </c>
      <c r="P232" s="36"/>
      <c r="Q232" s="36"/>
      <c r="T232" s="36" t="str">
        <v>tengah</v>
      </c>
      <c r="U232" s="36"/>
      <c r="V232" s="36"/>
    </row>
    <row r="233" spans="5:22">
      <c r="E233" s="36" t="str">
        <v>tengah</v>
      </c>
      <c r="F233" s="36"/>
      <c r="G233" s="36"/>
      <c r="J233" s="36" t="str">
        <v>kiri</v>
      </c>
      <c r="K233" s="36"/>
      <c r="L233" s="36"/>
      <c r="O233" s="36" t="str">
        <v>tengah</v>
      </c>
      <c r="P233" s="36"/>
      <c r="Q233" s="36"/>
      <c r="T233" s="36" t="str">
        <v>tengah</v>
      </c>
      <c r="U233" s="36"/>
      <c r="V233" s="36"/>
    </row>
    <row r="234" spans="5:22">
      <c r="E234" s="36" t="str">
        <v>tengah</v>
      </c>
      <c r="F234" s="36"/>
      <c r="G234" s="36"/>
      <c r="J234" s="36" t="str">
        <v>kiri</v>
      </c>
      <c r="K234" s="36"/>
      <c r="L234" s="36"/>
      <c r="O234" s="36" t="str">
        <v>kanan</v>
      </c>
      <c r="P234" s="36"/>
      <c r="Q234" s="36"/>
      <c r="T234" s="36" t="str">
        <v>tengah</v>
      </c>
      <c r="U234" s="36"/>
      <c r="V234" s="36"/>
    </row>
    <row r="235" spans="5:22">
      <c r="E235" s="36" t="str">
        <v>tengah</v>
      </c>
      <c r="F235" s="36"/>
      <c r="G235" s="36"/>
      <c r="J235" s="36" t="str">
        <v>tengah</v>
      </c>
      <c r="K235" s="36"/>
      <c r="L235" s="36"/>
      <c r="O235" s="36" t="str">
        <v>kiri</v>
      </c>
      <c r="P235" s="36"/>
      <c r="Q235" s="36"/>
      <c r="T235" s="36" t="str">
        <v>tengah</v>
      </c>
      <c r="U235" s="36"/>
      <c r="V235" s="36"/>
    </row>
    <row r="236" spans="5:22">
      <c r="E236" s="36" t="str">
        <v>tengah</v>
      </c>
      <c r="F236" s="36"/>
      <c r="G236" s="36"/>
      <c r="J236" s="36" t="str">
        <v>kanan</v>
      </c>
      <c r="K236" s="36"/>
      <c r="L236" s="36"/>
      <c r="O236" s="36" t="str">
        <v>kiri</v>
      </c>
      <c r="P236" s="36"/>
      <c r="Q236" s="36"/>
      <c r="T236" s="36" t="str">
        <v>kanan</v>
      </c>
      <c r="U236" s="36"/>
      <c r="V236" s="36"/>
    </row>
    <row r="237" spans="5:22">
      <c r="E237" s="36" t="str">
        <v>tengah</v>
      </c>
      <c r="F237" s="36"/>
      <c r="G237" s="36"/>
      <c r="J237" s="36" t="str">
        <v>tengah</v>
      </c>
      <c r="K237" s="36"/>
      <c r="L237" s="36"/>
      <c r="O237" s="36" t="str">
        <v>kiri</v>
      </c>
      <c r="P237" s="36"/>
      <c r="Q237" s="36"/>
      <c r="T237" s="36" t="str">
        <v>tengah</v>
      </c>
      <c r="U237" s="36"/>
      <c r="V237" s="36"/>
    </row>
    <row r="238" spans="5:22">
      <c r="E238" s="36" t="str">
        <v>kiri</v>
      </c>
      <c r="F238" s="36"/>
      <c r="G238" s="36"/>
      <c r="J238" s="36" t="str">
        <v>tengah</v>
      </c>
      <c r="K238" s="36"/>
      <c r="L238" s="36"/>
      <c r="O238" s="36" t="str">
        <v>kanan</v>
      </c>
      <c r="P238" s="36"/>
      <c r="Q238" s="36"/>
      <c r="T238" s="36" t="str">
        <v>tengah</v>
      </c>
      <c r="U238" s="36"/>
      <c r="V238" s="36"/>
    </row>
    <row r="239" spans="5:22">
      <c r="E239" s="36" t="str">
        <v>kiri</v>
      </c>
      <c r="F239" s="36"/>
      <c r="G239" s="36"/>
      <c r="J239" s="36" t="str">
        <v>tengah</v>
      </c>
      <c r="K239" s="36"/>
      <c r="L239" s="36"/>
      <c r="O239" s="36" t="str">
        <v>kanan</v>
      </c>
      <c r="P239" s="36"/>
      <c r="Q239" s="36"/>
      <c r="T239" s="36" t="str">
        <v>tengah</v>
      </c>
      <c r="U239" s="36"/>
      <c r="V239" s="36"/>
    </row>
    <row r="240" spans="5:22">
      <c r="E240" s="36" t="str">
        <v>kiri</v>
      </c>
      <c r="F240" s="36"/>
      <c r="G240" s="36"/>
      <c r="J240" s="36" t="str">
        <v>tengah</v>
      </c>
      <c r="K240" s="36"/>
      <c r="L240" s="36"/>
      <c r="O240" s="36" t="str">
        <v>tengah</v>
      </c>
      <c r="P240" s="36"/>
      <c r="Q240" s="36"/>
      <c r="T240" s="36" t="str">
        <v>tengah</v>
      </c>
      <c r="U240" s="36"/>
      <c r="V240" s="36"/>
    </row>
    <row r="241" spans="5:22">
      <c r="E241" s="36" t="str">
        <v>tengah</v>
      </c>
      <c r="F241" s="36"/>
      <c r="G241" s="36"/>
      <c r="J241" s="36" t="str">
        <v>tengah</v>
      </c>
      <c r="K241" s="36"/>
      <c r="L241" s="36"/>
      <c r="O241" s="36" t="str">
        <v>kiri</v>
      </c>
      <c r="P241" s="36"/>
      <c r="Q241" s="36"/>
      <c r="T241" s="36" t="str">
        <v>kanan</v>
      </c>
      <c r="U241" s="36"/>
      <c r="V241" s="36"/>
    </row>
    <row r="242" spans="5:22">
      <c r="E242" s="36" t="str">
        <v>tengah</v>
      </c>
      <c r="F242" s="36"/>
      <c r="G242" s="36"/>
      <c r="J242" s="36" t="str">
        <v>tengah</v>
      </c>
      <c r="K242" s="36"/>
      <c r="L242" s="36"/>
      <c r="O242" s="36" t="str">
        <v>tengah</v>
      </c>
      <c r="P242" s="36"/>
      <c r="Q242" s="36"/>
      <c r="T242" s="36" t="str">
        <v>kanan</v>
      </c>
      <c r="U242" s="36"/>
      <c r="V242" s="36"/>
    </row>
    <row r="243" spans="5:22">
      <c r="E243" s="36" t="str">
        <v>kiri</v>
      </c>
      <c r="F243" s="36"/>
      <c r="G243" s="36"/>
      <c r="J243" s="36" t="str">
        <v>kiri</v>
      </c>
      <c r="K243" s="36"/>
      <c r="L243" s="36"/>
      <c r="O243" s="36" t="str">
        <v>kanan</v>
      </c>
      <c r="P243" s="36"/>
      <c r="Q243" s="36"/>
      <c r="T243" s="36" t="str">
        <v>kanan</v>
      </c>
      <c r="U243" s="36"/>
      <c r="V243" s="36"/>
    </row>
    <row r="244" spans="5:22">
      <c r="E244" s="36" t="str">
        <v>kiri</v>
      </c>
      <c r="F244" s="36"/>
      <c r="G244" s="36"/>
      <c r="J244" s="36" t="str">
        <v>tengah</v>
      </c>
      <c r="K244" s="36"/>
      <c r="L244" s="36"/>
      <c r="O244" s="36" t="str">
        <v>kiri</v>
      </c>
      <c r="P244" s="36"/>
      <c r="Q244" s="36"/>
      <c r="T244" s="36" t="str">
        <v>kanan</v>
      </c>
      <c r="U244" s="36"/>
      <c r="V244" s="36"/>
    </row>
    <row r="245" spans="5:22">
      <c r="E245" s="36" t="str">
        <v>kiri</v>
      </c>
      <c r="F245" s="36"/>
      <c r="G245" s="36"/>
      <c r="J245" s="36" t="str">
        <v>kiri</v>
      </c>
      <c r="K245" s="36"/>
      <c r="L245" s="36"/>
      <c r="O245" s="36" t="str">
        <v>kanan</v>
      </c>
      <c r="P245" s="36"/>
      <c r="Q245" s="36"/>
      <c r="T245" s="36" t="str">
        <v>kanan</v>
      </c>
      <c r="U245" s="36"/>
      <c r="V245" s="36"/>
    </row>
    <row r="246" spans="5:22">
      <c r="E246" s="36" t="str">
        <v>tengah</v>
      </c>
      <c r="F246" s="36"/>
      <c r="G246" s="36"/>
      <c r="J246" s="36" t="str">
        <v>tengah</v>
      </c>
      <c r="K246" s="36"/>
      <c r="L246" s="36"/>
      <c r="O246" s="36" t="str">
        <v>tengah</v>
      </c>
      <c r="P246" s="36"/>
      <c r="Q246" s="36"/>
      <c r="T246" s="36" t="str">
        <v>tengah</v>
      </c>
      <c r="U246" s="36"/>
      <c r="V246" s="36"/>
    </row>
    <row r="247" spans="5:22">
      <c r="E247" s="36" t="str">
        <v>tengah</v>
      </c>
      <c r="F247" s="36"/>
      <c r="G247" s="36"/>
      <c r="J247" s="36" t="str">
        <v>tengah</v>
      </c>
      <c r="K247" s="36"/>
      <c r="L247" s="36"/>
      <c r="O247" s="36" t="str">
        <v>kiri</v>
      </c>
      <c r="P247" s="36"/>
      <c r="Q247" s="36"/>
      <c r="T247" s="36" t="str">
        <v>kanan</v>
      </c>
      <c r="U247" s="36"/>
      <c r="V247" s="36"/>
    </row>
    <row r="248" spans="5:22">
      <c r="E248" s="36" t="str">
        <v>kiri</v>
      </c>
      <c r="F248" s="36"/>
      <c r="G248" s="36"/>
      <c r="J248" s="36" t="str">
        <v>kanan</v>
      </c>
      <c r="K248" s="36"/>
      <c r="L248" s="36"/>
      <c r="O248" s="36" t="str">
        <v>kiri</v>
      </c>
      <c r="P248" s="36"/>
      <c r="Q248" s="36"/>
      <c r="T248" s="36" t="str">
        <v>kanan</v>
      </c>
      <c r="U248" s="36"/>
      <c r="V248" s="36"/>
    </row>
    <row r="249" spans="5:22">
      <c r="E249" s="36" t="str">
        <v>tengah</v>
      </c>
      <c r="F249" s="36"/>
      <c r="G249" s="36"/>
      <c r="J249" s="36" t="str">
        <v>kanan</v>
      </c>
      <c r="K249" s="36"/>
      <c r="L249" s="36"/>
      <c r="O249" s="36" t="str">
        <v>tengah</v>
      </c>
      <c r="P249" s="36"/>
      <c r="Q249" s="36"/>
      <c r="T249" s="36" t="str">
        <v>tengah</v>
      </c>
      <c r="U249" s="36"/>
      <c r="V249" s="36"/>
    </row>
    <row r="250" spans="5:22">
      <c r="E250" s="36" t="str">
        <v>tengah</v>
      </c>
      <c r="F250" s="36"/>
      <c r="G250" s="36"/>
      <c r="J250" s="36" t="str">
        <v>tengah</v>
      </c>
      <c r="K250" s="36"/>
      <c r="L250" s="36"/>
      <c r="O250" s="36" t="str">
        <v>tengah</v>
      </c>
      <c r="P250" s="36"/>
      <c r="Q250" s="36"/>
      <c r="T250" s="36" t="str">
        <v>tengah</v>
      </c>
      <c r="U250" s="36"/>
      <c r="V250" s="36"/>
    </row>
    <row r="251" spans="5:22">
      <c r="E251" s="36" t="str">
        <v>tengah</v>
      </c>
      <c r="F251" s="36"/>
      <c r="G251" s="36"/>
      <c r="J251" s="36" t="str">
        <v>tengah</v>
      </c>
      <c r="K251" s="36"/>
      <c r="L251" s="36"/>
      <c r="O251" s="36" t="str">
        <v>tengah</v>
      </c>
      <c r="P251" s="36"/>
      <c r="Q251" s="36"/>
      <c r="T251" s="36" t="str">
        <v>tengah</v>
      </c>
      <c r="U251" s="36"/>
      <c r="V251" s="36"/>
    </row>
    <row r="252" spans="5:22">
      <c r="E252" s="36" t="str">
        <v>kanan</v>
      </c>
      <c r="F252" s="36"/>
      <c r="G252" s="36"/>
      <c r="J252" s="36" t="str">
        <v>tengah</v>
      </c>
      <c r="K252" s="36"/>
      <c r="L252" s="36"/>
      <c r="O252" s="36" t="str">
        <v>tengah</v>
      </c>
      <c r="P252" s="36"/>
      <c r="Q252" s="36"/>
      <c r="T252" s="36" t="str">
        <v>tengah</v>
      </c>
      <c r="U252" s="36"/>
      <c r="V252" s="36"/>
    </row>
    <row r="253" spans="5:22">
      <c r="E253" s="36" t="str">
        <v>kanan</v>
      </c>
      <c r="F253" s="36"/>
      <c r="G253" s="36"/>
      <c r="J253" s="36" t="str">
        <v>kanan</v>
      </c>
      <c r="K253" s="36"/>
      <c r="L253" s="36"/>
      <c r="O253" s="36" t="str">
        <v>kiri</v>
      </c>
      <c r="P253" s="36"/>
      <c r="Q253" s="36"/>
      <c r="T253" s="36" t="str">
        <v>kanan</v>
      </c>
      <c r="U253" s="36"/>
      <c r="V253" s="36"/>
    </row>
    <row r="254" spans="5:22">
      <c r="E254" s="36" t="str">
        <v>tengah</v>
      </c>
      <c r="F254" s="36"/>
      <c r="G254" s="36"/>
      <c r="J254" s="36" t="str">
        <v>kiri</v>
      </c>
      <c r="K254" s="36"/>
      <c r="L254" s="36"/>
      <c r="O254" s="36" t="str">
        <v>tengah</v>
      </c>
      <c r="P254" s="36"/>
      <c r="Q254" s="36"/>
      <c r="T254" s="36" t="str">
        <v>kanan</v>
      </c>
      <c r="U254" s="36"/>
      <c r="V254" s="36"/>
    </row>
    <row r="255" spans="5:22">
      <c r="E255" s="36" t="str">
        <v>tengah</v>
      </c>
      <c r="F255" s="36"/>
      <c r="G255" s="36"/>
      <c r="J255" s="36" t="str">
        <v>kanan</v>
      </c>
      <c r="K255" s="36"/>
      <c r="L255" s="36"/>
      <c r="O255" s="36" t="str">
        <v>kiri</v>
      </c>
      <c r="P255" s="36"/>
      <c r="Q255" s="36"/>
      <c r="T255" s="36" t="str">
        <v>tengah</v>
      </c>
      <c r="U255" s="36"/>
      <c r="V255" s="36"/>
    </row>
    <row r="256" spans="5:22">
      <c r="E256" s="36" t="str">
        <v>tengah</v>
      </c>
      <c r="F256" s="36"/>
      <c r="G256" s="36"/>
      <c r="J256" s="36" t="str">
        <v>tengah</v>
      </c>
      <c r="K256" s="36"/>
      <c r="L256" s="36"/>
      <c r="O256" s="36" t="str">
        <v>kanan</v>
      </c>
      <c r="P256" s="36"/>
      <c r="Q256" s="36"/>
      <c r="T256" s="36" t="str">
        <v>kanan</v>
      </c>
      <c r="U256" s="36"/>
      <c r="V256" s="36"/>
    </row>
    <row r="257" spans="5:22">
      <c r="E257" s="36" t="str">
        <v>kanan</v>
      </c>
      <c r="F257" s="36"/>
      <c r="G257" s="36"/>
      <c r="J257" s="36" t="str">
        <v>tengah</v>
      </c>
      <c r="K257" s="36"/>
      <c r="L257" s="36"/>
      <c r="O257" s="36" t="str">
        <v>tengah</v>
      </c>
      <c r="P257" s="36"/>
      <c r="Q257" s="36"/>
      <c r="T257" s="36" t="str">
        <v>kanan</v>
      </c>
      <c r="U257" s="36"/>
      <c r="V257" s="36"/>
    </row>
    <row r="258" spans="5:22">
      <c r="E258" s="36" t="str">
        <v>kanan</v>
      </c>
      <c r="F258" s="36"/>
      <c r="G258" s="36"/>
      <c r="J258" s="36" t="str">
        <v>tengah</v>
      </c>
      <c r="K258" s="36"/>
      <c r="L258" s="36"/>
      <c r="O258" s="36" t="str">
        <v>kiri</v>
      </c>
      <c r="P258" s="36"/>
      <c r="Q258" s="36"/>
      <c r="T258" s="36" t="str">
        <v>kanan</v>
      </c>
      <c r="U258" s="36"/>
      <c r="V258" s="36"/>
    </row>
    <row r="259" spans="5:22">
      <c r="E259" s="36" t="str">
        <v>tengah</v>
      </c>
      <c r="F259" s="36"/>
      <c r="G259" s="36"/>
      <c r="J259" s="36" t="str">
        <v>kanan</v>
      </c>
      <c r="K259" s="36"/>
      <c r="L259" s="36"/>
      <c r="O259" s="36" t="str">
        <v>tengah</v>
      </c>
      <c r="P259" s="36"/>
      <c r="Q259" s="36"/>
      <c r="T259" s="36" t="str">
        <v>kanan</v>
      </c>
      <c r="U259" s="36"/>
      <c r="V259" s="36"/>
    </row>
    <row r="260" spans="5:22">
      <c r="E260" s="36" t="str">
        <v>kiri</v>
      </c>
      <c r="F260" s="36"/>
      <c r="G260" s="36"/>
      <c r="J260" s="36" t="str">
        <v>tengah</v>
      </c>
      <c r="K260" s="36"/>
      <c r="L260" s="36"/>
      <c r="O260" s="36" t="str">
        <v>kiri</v>
      </c>
      <c r="P260" s="36"/>
      <c r="Q260" s="36"/>
      <c r="T260" s="36" t="str">
        <v>tengah</v>
      </c>
      <c r="U260" s="36"/>
      <c r="V260" s="36"/>
    </row>
    <row r="261" spans="5:22">
      <c r="E261" s="36" t="str">
        <v>tengah</v>
      </c>
      <c r="F261" s="36"/>
      <c r="G261" s="36"/>
      <c r="J261" s="36" t="str">
        <v>tengah</v>
      </c>
      <c r="K261" s="36"/>
      <c r="L261" s="36"/>
      <c r="O261" s="36" t="str">
        <v>kiri</v>
      </c>
      <c r="P261" s="36"/>
      <c r="Q261" s="36"/>
      <c r="T261" s="36" t="str">
        <v>tengah</v>
      </c>
      <c r="U261" s="36"/>
      <c r="V261" s="36"/>
    </row>
    <row r="262" spans="5:22">
      <c r="E262" s="36" t="str">
        <v>tengah</v>
      </c>
      <c r="F262" s="36"/>
      <c r="G262" s="36"/>
      <c r="J262" s="36" t="str">
        <v>tengah</v>
      </c>
      <c r="K262" s="36"/>
      <c r="L262" s="36"/>
      <c r="O262" s="36" t="str">
        <v>kiri</v>
      </c>
      <c r="P262" s="36"/>
      <c r="Q262" s="36"/>
      <c r="T262" s="36" t="str">
        <v>kanan</v>
      </c>
      <c r="U262" s="36"/>
      <c r="V262" s="36"/>
    </row>
    <row r="263" spans="5:22">
      <c r="E263" s="36" t="str">
        <v>kanan</v>
      </c>
      <c r="F263" s="36"/>
      <c r="G263" s="36"/>
      <c r="J263" s="36" t="str">
        <v>kanan</v>
      </c>
      <c r="K263" s="36"/>
      <c r="L263" s="36"/>
      <c r="O263" s="36" t="str">
        <v>kanan</v>
      </c>
      <c r="P263" s="36"/>
      <c r="Q263" s="36"/>
      <c r="T263" s="36" t="str">
        <v>kanan</v>
      </c>
      <c r="U263" s="36"/>
      <c r="V263" s="36"/>
    </row>
    <row r="264" spans="5:22">
      <c r="E264" s="36" t="str">
        <v>tengah</v>
      </c>
      <c r="F264" s="36"/>
      <c r="G264" s="36"/>
      <c r="J264" s="36" t="str">
        <v>tengah</v>
      </c>
      <c r="K264" s="36"/>
      <c r="L264" s="36"/>
      <c r="O264" s="36" t="str">
        <v>kiri</v>
      </c>
      <c r="P264" s="36"/>
      <c r="Q264" s="36"/>
      <c r="T264" s="36" t="str">
        <v>tengah</v>
      </c>
      <c r="U264" s="36"/>
      <c r="V264" s="36"/>
    </row>
    <row r="265" spans="5:22">
      <c r="E265" s="36" t="str">
        <v>tengah</v>
      </c>
      <c r="F265" s="36"/>
      <c r="G265" s="36"/>
      <c r="J265" s="36" t="str">
        <v>tengah</v>
      </c>
      <c r="K265" s="36"/>
      <c r="L265" s="36"/>
      <c r="O265" s="36" t="str">
        <v>kanan</v>
      </c>
      <c r="P265" s="36"/>
      <c r="Q265" s="36"/>
      <c r="T265" s="36" t="str">
        <v>kanan</v>
      </c>
      <c r="U265" s="36"/>
      <c r="V265" s="36"/>
    </row>
    <row r="266" spans="5:22">
      <c r="E266" s="36" t="str">
        <v>tengah</v>
      </c>
      <c r="F266" s="36"/>
      <c r="G266" s="36"/>
      <c r="J266" s="36" t="str">
        <v>tengah</v>
      </c>
      <c r="K266" s="36"/>
      <c r="L266" s="36"/>
      <c r="O266" s="36" t="str">
        <v>kanan</v>
      </c>
      <c r="P266" s="36"/>
      <c r="Q266" s="36"/>
      <c r="T266" s="36" t="str">
        <v>tengah</v>
      </c>
      <c r="U266" s="36"/>
      <c r="V266" s="36"/>
    </row>
    <row r="267" spans="5:22">
      <c r="E267" s="36" t="str">
        <v>kiri</v>
      </c>
      <c r="F267" s="36"/>
      <c r="G267" s="36"/>
      <c r="J267" s="36" t="str">
        <v>kanan</v>
      </c>
      <c r="K267" s="36"/>
      <c r="L267" s="36"/>
      <c r="O267" s="36" t="str">
        <v>kiri</v>
      </c>
      <c r="P267" s="36"/>
      <c r="Q267" s="36"/>
      <c r="T267" s="36" t="str">
        <v>kanan</v>
      </c>
      <c r="U267" s="36"/>
      <c r="V267" s="36"/>
    </row>
    <row r="268" spans="5:22">
      <c r="E268" s="36" t="str">
        <v>kiri</v>
      </c>
      <c r="F268" s="36"/>
      <c r="G268" s="36"/>
      <c r="J268" s="36" t="str">
        <v>kiri</v>
      </c>
      <c r="K268" s="36"/>
      <c r="L268" s="36"/>
      <c r="O268" s="36" t="str">
        <v>kiri</v>
      </c>
      <c r="P268" s="36"/>
      <c r="Q268" s="36"/>
      <c r="T268" s="36" t="str">
        <v>tengah</v>
      </c>
      <c r="U268" s="36"/>
      <c r="V268" s="36"/>
    </row>
    <row r="269" spans="5:22">
      <c r="E269" s="36" t="str">
        <v>tengah</v>
      </c>
      <c r="F269" s="36"/>
      <c r="G269" s="36"/>
      <c r="J269" s="36" t="str">
        <v>tengah</v>
      </c>
      <c r="K269" s="36"/>
      <c r="L269" s="36"/>
      <c r="O269" s="36" t="str">
        <v>kiri</v>
      </c>
      <c r="P269" s="36"/>
      <c r="Q269" s="36"/>
      <c r="T269" s="36" t="str">
        <v>kanan</v>
      </c>
      <c r="U269" s="36"/>
      <c r="V269" s="36"/>
    </row>
    <row r="270" spans="5:22">
      <c r="E270" s="36" t="str">
        <v>kiri</v>
      </c>
      <c r="F270" s="36"/>
      <c r="G270" s="36"/>
      <c r="J270" s="36" t="str">
        <v>kiri</v>
      </c>
      <c r="K270" s="36"/>
      <c r="L270" s="36"/>
      <c r="O270" s="36" t="str">
        <v>kanan</v>
      </c>
      <c r="P270" s="36"/>
      <c r="Q270" s="36"/>
      <c r="T270" s="36" t="str">
        <v>tengah</v>
      </c>
      <c r="U270" s="36"/>
      <c r="V270" s="36"/>
    </row>
    <row r="271" spans="5:22">
      <c r="E271" s="36" t="str">
        <v>tengah</v>
      </c>
      <c r="F271" s="36"/>
      <c r="G271" s="36"/>
      <c r="J271" s="36" t="str">
        <v>tengah</v>
      </c>
      <c r="K271" s="36"/>
      <c r="L271" s="36"/>
      <c r="O271" s="36" t="str">
        <v>kiri</v>
      </c>
      <c r="P271" s="36"/>
      <c r="Q271" s="36"/>
      <c r="T271" s="36" t="str">
        <v>kanan</v>
      </c>
      <c r="U271" s="36"/>
      <c r="V271" s="36"/>
    </row>
    <row r="272" spans="5:22">
      <c r="E272" s="36" t="str">
        <v>tengah</v>
      </c>
      <c r="F272" s="36"/>
      <c r="G272" s="36"/>
      <c r="J272" s="36" t="str">
        <v>tengah</v>
      </c>
      <c r="K272" s="36"/>
      <c r="L272" s="36"/>
      <c r="O272" s="36" t="str">
        <v>tengah</v>
      </c>
      <c r="P272" s="36"/>
      <c r="Q272" s="36"/>
      <c r="T272" s="36" t="str">
        <v>kanan</v>
      </c>
      <c r="U272" s="36"/>
      <c r="V272" s="36"/>
    </row>
    <row r="273" spans="5:22">
      <c r="E273" s="36" t="str">
        <v>tengah</v>
      </c>
      <c r="F273" s="36"/>
      <c r="G273" s="36"/>
      <c r="J273" s="36" t="str">
        <v>tengah</v>
      </c>
      <c r="K273" s="36"/>
      <c r="L273" s="36"/>
      <c r="O273" s="36" t="str">
        <v>kiri</v>
      </c>
      <c r="P273" s="36"/>
      <c r="Q273" s="36"/>
      <c r="T273" s="36" t="str">
        <v>kanan</v>
      </c>
      <c r="U273" s="36"/>
      <c r="V273" s="36"/>
    </row>
    <row r="274" spans="5:22">
      <c r="E274" s="36" t="str">
        <v>tengah</v>
      </c>
      <c r="F274" s="36"/>
      <c r="G274" s="36"/>
      <c r="J274" s="36" t="str">
        <v>kanan</v>
      </c>
      <c r="K274" s="36"/>
      <c r="L274" s="36"/>
      <c r="O274" s="36" t="str">
        <v>kiri</v>
      </c>
      <c r="P274" s="36"/>
      <c r="Q274" s="36"/>
      <c r="T274" s="36" t="str">
        <v>kanan</v>
      </c>
      <c r="U274" s="36"/>
      <c r="V274" s="36"/>
    </row>
    <row r="275" spans="5:22">
      <c r="E275" s="36" t="str">
        <v>tengah</v>
      </c>
      <c r="F275" s="36"/>
      <c r="G275" s="36"/>
      <c r="J275" s="36" t="str">
        <v>tengah</v>
      </c>
      <c r="K275" s="36"/>
      <c r="L275" s="36"/>
      <c r="O275" s="36" t="str">
        <v>kiri</v>
      </c>
      <c r="P275" s="36"/>
      <c r="Q275" s="36"/>
      <c r="T275" s="36" t="str">
        <v>tengah</v>
      </c>
      <c r="U275" s="36"/>
      <c r="V275" s="36"/>
    </row>
    <row r="276" spans="5:22">
      <c r="E276" s="36" t="str">
        <v>tengah</v>
      </c>
      <c r="F276" s="36"/>
      <c r="G276" s="36"/>
      <c r="J276" s="36" t="str">
        <v>tengah</v>
      </c>
      <c r="K276" s="36"/>
      <c r="L276" s="36"/>
      <c r="O276" s="36" t="str">
        <v>kanan</v>
      </c>
      <c r="P276" s="36"/>
      <c r="Q276" s="36"/>
      <c r="T276" s="36" t="str">
        <v>kanan</v>
      </c>
      <c r="U276" s="36"/>
      <c r="V276" s="36"/>
    </row>
    <row r="277" spans="5:22">
      <c r="E277" s="36" t="str">
        <v>tengah</v>
      </c>
      <c r="F277" s="36"/>
      <c r="G277" s="36"/>
      <c r="J277" s="36" t="str">
        <v>kanan</v>
      </c>
      <c r="K277" s="36"/>
      <c r="L277" s="36"/>
      <c r="O277" s="36" t="str">
        <v>tengah</v>
      </c>
      <c r="P277" s="36"/>
      <c r="Q277" s="36"/>
      <c r="T277" s="36" t="str">
        <v>tengah</v>
      </c>
      <c r="U277" s="36"/>
      <c r="V277" s="36"/>
    </row>
    <row r="278" spans="5:22">
      <c r="E278" s="36" t="str">
        <v>kanan</v>
      </c>
      <c r="F278" s="36"/>
      <c r="G278" s="36"/>
      <c r="J278" s="36" t="str">
        <v>kiri</v>
      </c>
      <c r="K278" s="36"/>
      <c r="L278" s="36"/>
      <c r="O278" s="36" t="str">
        <v>kiri</v>
      </c>
      <c r="P278" s="36"/>
      <c r="Q278" s="36"/>
      <c r="T278" s="36" t="str">
        <v>tengah</v>
      </c>
      <c r="U278" s="36"/>
      <c r="V278" s="36"/>
    </row>
    <row r="279" spans="5:22">
      <c r="E279" s="36" t="str">
        <v>tengah</v>
      </c>
      <c r="F279" s="36"/>
      <c r="G279" s="36"/>
      <c r="J279" s="36" t="str">
        <v>tengah</v>
      </c>
      <c r="K279" s="36"/>
      <c r="L279" s="36"/>
      <c r="O279" s="36" t="str">
        <v>kiri</v>
      </c>
      <c r="P279" s="36"/>
      <c r="Q279" s="36"/>
      <c r="T279" s="36" t="str">
        <v>kanan</v>
      </c>
      <c r="U279" s="36"/>
      <c r="V279" s="36"/>
    </row>
    <row r="280" spans="5:22">
      <c r="E280" s="36" t="str">
        <v>kanan</v>
      </c>
      <c r="F280" s="36"/>
      <c r="G280" s="36"/>
      <c r="J280" s="36" t="str">
        <v>tengah</v>
      </c>
      <c r="K280" s="36"/>
      <c r="L280" s="36"/>
      <c r="O280" s="36" t="str">
        <v>tengah</v>
      </c>
      <c r="P280" s="36"/>
      <c r="Q280" s="36"/>
      <c r="T280" s="36" t="str">
        <v>tengah</v>
      </c>
      <c r="U280" s="36"/>
      <c r="V280" s="36"/>
    </row>
    <row r="281" spans="5:22">
      <c r="E281" s="36" t="str">
        <v>tengah</v>
      </c>
      <c r="F281" s="36"/>
      <c r="G281" s="36"/>
      <c r="J281" s="36" t="str">
        <v>tengah</v>
      </c>
      <c r="K281" s="36"/>
      <c r="L281" s="36"/>
      <c r="O281" s="36" t="str">
        <v>kiri</v>
      </c>
      <c r="P281" s="36"/>
      <c r="Q281" s="36"/>
      <c r="T281" s="36" t="str">
        <v>tengah</v>
      </c>
      <c r="U281" s="36"/>
      <c r="V281" s="36"/>
    </row>
    <row r="282" spans="5:22">
      <c r="E282" s="36" t="str">
        <v>kiri</v>
      </c>
      <c r="F282" s="36"/>
      <c r="G282" s="36"/>
      <c r="J282" s="36" t="str">
        <v>kiri</v>
      </c>
      <c r="K282" s="36"/>
      <c r="L282" s="36"/>
      <c r="O282" s="36" t="str">
        <v>kanan</v>
      </c>
      <c r="P282" s="36"/>
      <c r="Q282" s="36"/>
      <c r="T282" s="36" t="str">
        <v>kanan</v>
      </c>
      <c r="U282" s="36"/>
      <c r="V282" s="36"/>
    </row>
    <row r="283" spans="5:22">
      <c r="E283" s="36" t="str">
        <v>tengah</v>
      </c>
      <c r="F283" s="36"/>
      <c r="G283" s="36"/>
      <c r="J283" s="36" t="str">
        <v>tengah</v>
      </c>
      <c r="K283" s="36"/>
      <c r="L283" s="36"/>
      <c r="O283" s="36" t="str">
        <v>kiri</v>
      </c>
      <c r="P283" s="36"/>
      <c r="Q283" s="36"/>
      <c r="T283" s="36" t="str">
        <v>kanan</v>
      </c>
      <c r="U283" s="36"/>
      <c r="V283" s="36"/>
    </row>
    <row r="284" spans="5:22">
      <c r="E284" s="36" t="str">
        <v>tengah</v>
      </c>
      <c r="F284" s="36"/>
      <c r="G284" s="36"/>
      <c r="J284" s="36" t="str">
        <v>tengah</v>
      </c>
      <c r="K284" s="36"/>
      <c r="L284" s="36"/>
      <c r="O284" s="36" t="str">
        <v>kanan</v>
      </c>
      <c r="P284" s="36"/>
      <c r="Q284" s="36"/>
      <c r="T284" s="36" t="str">
        <v>kanan</v>
      </c>
      <c r="U284" s="36"/>
      <c r="V284" s="36"/>
    </row>
    <row r="285" spans="5:22">
      <c r="E285" s="36" t="str">
        <v>kiri</v>
      </c>
      <c r="F285" s="36"/>
      <c r="G285" s="36"/>
      <c r="J285" s="36" t="str">
        <v>kanan</v>
      </c>
      <c r="K285" s="36"/>
      <c r="L285" s="36"/>
      <c r="O285" s="36" t="str">
        <v>tengah</v>
      </c>
      <c r="P285" s="36"/>
      <c r="Q285" s="36"/>
      <c r="T285" s="36" t="str">
        <v>kanan</v>
      </c>
      <c r="U285" s="36"/>
      <c r="V285" s="36"/>
    </row>
    <row r="286" spans="5:22">
      <c r="E286" s="36" t="str">
        <v>tengah</v>
      </c>
      <c r="F286" s="36"/>
      <c r="G286" s="36"/>
      <c r="J286" s="36" t="str">
        <v>tengah</v>
      </c>
      <c r="K286" s="36"/>
      <c r="L286" s="36"/>
      <c r="O286" s="36" t="str">
        <v>tengah</v>
      </c>
      <c r="P286" s="36"/>
      <c r="Q286" s="36"/>
      <c r="T286" s="36" t="str">
        <v>kanan</v>
      </c>
      <c r="U286" s="36"/>
      <c r="V286" s="36"/>
    </row>
    <row r="287" spans="5:22">
      <c r="E287" s="36" t="str">
        <v>tengah</v>
      </c>
      <c r="F287" s="36"/>
      <c r="G287" s="36"/>
      <c r="J287" s="36" t="str">
        <v>tengah</v>
      </c>
      <c r="K287" s="36"/>
      <c r="L287" s="36"/>
      <c r="O287" s="36" t="str">
        <v>kanan</v>
      </c>
      <c r="P287" s="36"/>
      <c r="Q287" s="36"/>
      <c r="T287" s="36" t="str">
        <v>kanan</v>
      </c>
      <c r="U287" s="36"/>
      <c r="V287" s="36"/>
    </row>
    <row r="288" spans="5:22">
      <c r="E288" s="36" t="str">
        <v>kanan</v>
      </c>
      <c r="F288" s="36"/>
      <c r="G288" s="36"/>
      <c r="J288" s="36" t="str">
        <v>tengah</v>
      </c>
      <c r="K288" s="36"/>
      <c r="L288" s="36"/>
      <c r="O288" s="36" t="str">
        <v>tengah</v>
      </c>
      <c r="P288" s="36"/>
      <c r="Q288" s="36"/>
      <c r="T288" s="36" t="str">
        <v>tengah</v>
      </c>
      <c r="U288" s="36"/>
      <c r="V288" s="36"/>
    </row>
    <row r="289" spans="5:22">
      <c r="E289" s="36" t="str">
        <v>kiri</v>
      </c>
      <c r="F289" s="36"/>
      <c r="G289" s="36"/>
      <c r="J289" s="36" t="str">
        <v>tengah</v>
      </c>
      <c r="K289" s="36"/>
      <c r="L289" s="36"/>
      <c r="O289" s="36" t="str">
        <v>kiri</v>
      </c>
      <c r="P289" s="36"/>
      <c r="Q289" s="36"/>
      <c r="T289" s="36" t="str">
        <v>tengah</v>
      </c>
      <c r="U289" s="36"/>
      <c r="V289" s="36"/>
    </row>
    <row r="290" spans="5:22">
      <c r="E290" s="36" t="str">
        <v>tengah</v>
      </c>
      <c r="F290" s="36"/>
      <c r="G290" s="36"/>
      <c r="J290" s="36" t="str">
        <v>tengah</v>
      </c>
      <c r="K290" s="36"/>
      <c r="L290" s="36"/>
      <c r="O290" s="36" t="str">
        <v>tengah</v>
      </c>
      <c r="P290" s="36"/>
      <c r="Q290" s="36"/>
      <c r="T290" s="36" t="str">
        <v>kanan</v>
      </c>
      <c r="U290" s="36"/>
      <c r="V290" s="36"/>
    </row>
    <row r="291" spans="5:22">
      <c r="E291" s="36" t="str">
        <v>tengah</v>
      </c>
      <c r="F291" s="36"/>
      <c r="G291" s="36"/>
      <c r="J291" s="36" t="str">
        <v>tengah</v>
      </c>
      <c r="K291" s="36"/>
      <c r="L291" s="36"/>
      <c r="O291" s="36" t="str">
        <v>kiri</v>
      </c>
      <c r="P291" s="36"/>
      <c r="Q291" s="36"/>
      <c r="T291" s="36" t="str">
        <v>tengah</v>
      </c>
      <c r="U291" s="36"/>
      <c r="V291" s="36"/>
    </row>
    <row r="292" spans="5:22">
      <c r="E292" s="36" t="str">
        <v>tengah</v>
      </c>
      <c r="F292" s="36"/>
      <c r="G292" s="36"/>
      <c r="J292" s="36" t="str">
        <v>tengah</v>
      </c>
      <c r="K292" s="36"/>
      <c r="L292" s="36"/>
      <c r="O292" s="36" t="str">
        <v>kiri</v>
      </c>
      <c r="P292" s="36"/>
      <c r="Q292" s="36"/>
      <c r="T292" s="36" t="str">
        <v>tengah</v>
      </c>
      <c r="U292" s="36"/>
      <c r="V292" s="36"/>
    </row>
    <row r="293" spans="5:22">
      <c r="E293" s="36" t="str">
        <v>kanan</v>
      </c>
      <c r="F293" s="36"/>
      <c r="G293" s="36"/>
      <c r="J293" s="36" t="str">
        <v>tengah</v>
      </c>
      <c r="K293" s="36"/>
      <c r="L293" s="36"/>
      <c r="O293" s="36" t="str">
        <v>kanan</v>
      </c>
      <c r="P293" s="36"/>
      <c r="Q293" s="36"/>
      <c r="T293" s="36" t="str">
        <v>kanan</v>
      </c>
      <c r="U293" s="36"/>
      <c r="V293" s="36"/>
    </row>
    <row r="294" spans="5:22">
      <c r="E294" s="36" t="str">
        <v>tengah</v>
      </c>
      <c r="F294" s="36"/>
      <c r="G294" s="36"/>
      <c r="J294" s="36" t="str">
        <v>tengah</v>
      </c>
      <c r="K294" s="36"/>
      <c r="L294" s="36"/>
      <c r="O294" s="36" t="str">
        <v>kiri</v>
      </c>
      <c r="P294" s="36"/>
      <c r="Q294" s="36"/>
      <c r="T294" s="36" t="str">
        <v>tengah</v>
      </c>
      <c r="U294" s="36"/>
      <c r="V294" s="36"/>
    </row>
    <row r="295" spans="5:22">
      <c r="E295" s="36" t="str">
        <v>kanan</v>
      </c>
      <c r="F295" s="36"/>
      <c r="G295" s="36"/>
      <c r="J295" s="36" t="str">
        <v>tengah</v>
      </c>
      <c r="K295" s="36"/>
      <c r="L295" s="36"/>
      <c r="O295" s="36" t="str">
        <v>kiri</v>
      </c>
      <c r="P295" s="36"/>
      <c r="Q295" s="36"/>
      <c r="T295" s="36" t="str">
        <v>tengah</v>
      </c>
      <c r="U295" s="36"/>
      <c r="V295" s="36"/>
    </row>
    <row r="296" spans="5:22">
      <c r="E296" s="36" t="str">
        <v>tengah</v>
      </c>
      <c r="F296" s="36"/>
      <c r="G296" s="36"/>
      <c r="J296" s="36" t="str">
        <v>tengah</v>
      </c>
      <c r="K296" s="36"/>
      <c r="L296" s="36"/>
      <c r="O296" s="36" t="str">
        <v>tengah</v>
      </c>
      <c r="P296" s="36"/>
      <c r="Q296" s="36"/>
      <c r="T296" s="36" t="str">
        <v>kanan</v>
      </c>
      <c r="U296" s="36"/>
      <c r="V296" s="36"/>
    </row>
    <row r="297" spans="5:22">
      <c r="E297" s="36" t="str">
        <v>tengah</v>
      </c>
      <c r="F297" s="36"/>
      <c r="G297" s="36"/>
      <c r="J297" s="36" t="str">
        <v>kiri</v>
      </c>
      <c r="K297" s="36"/>
      <c r="L297" s="36"/>
      <c r="O297" s="36" t="str">
        <v>kanan</v>
      </c>
      <c r="P297" s="36"/>
      <c r="Q297" s="36"/>
      <c r="T297" s="36" t="str">
        <v>kanan</v>
      </c>
      <c r="U297" s="36"/>
      <c r="V297" s="36"/>
    </row>
    <row r="298" spans="5:22">
      <c r="E298" s="36" t="str">
        <v>kiri</v>
      </c>
      <c r="F298" s="36"/>
      <c r="G298" s="36"/>
      <c r="J298" s="36" t="str">
        <v>kiri</v>
      </c>
      <c r="K298" s="36"/>
      <c r="L298" s="36"/>
      <c r="O298" s="36" t="str">
        <v>tengah</v>
      </c>
      <c r="P298" s="36"/>
      <c r="Q298" s="36"/>
      <c r="T298" s="36" t="str">
        <v>kanan</v>
      </c>
      <c r="U298" s="36"/>
      <c r="V298" s="36"/>
    </row>
    <row r="299" spans="5:22">
      <c r="E299" s="36" t="str">
        <v>tengah</v>
      </c>
      <c r="F299" s="36"/>
      <c r="G299" s="36"/>
      <c r="J299" s="36" t="str">
        <v>tengah</v>
      </c>
      <c r="K299" s="36"/>
      <c r="L299" s="36"/>
      <c r="O299" s="36" t="str">
        <v>kanan</v>
      </c>
      <c r="P299" s="36"/>
      <c r="Q299" s="36"/>
      <c r="T299" s="36" t="str">
        <v>kanan</v>
      </c>
      <c r="U299" s="36"/>
      <c r="V299" s="36"/>
    </row>
    <row r="300" spans="5:22">
      <c r="E300" s="36" t="str">
        <v>kiri</v>
      </c>
      <c r="F300" s="36"/>
      <c r="G300" s="36"/>
      <c r="J300" s="36" t="str">
        <v>tengah</v>
      </c>
      <c r="K300" s="36"/>
      <c r="L300" s="36"/>
      <c r="O300" s="36" t="str">
        <v>tengah</v>
      </c>
      <c r="P300" s="36"/>
      <c r="Q300" s="36"/>
      <c r="T300" s="36" t="str">
        <v>tengah</v>
      </c>
      <c r="U300" s="36"/>
      <c r="V300" s="36"/>
    </row>
    <row r="301" spans="5:22">
      <c r="E301" s="36" t="str">
        <v>kiri</v>
      </c>
      <c r="F301" s="36"/>
      <c r="G301" s="36"/>
      <c r="J301" s="36" t="str">
        <v>tengah</v>
      </c>
      <c r="K301" s="36"/>
      <c r="L301" s="36"/>
      <c r="O301" s="36" t="str">
        <v>tengah</v>
      </c>
      <c r="P301" s="36"/>
      <c r="Q301" s="36"/>
      <c r="T301" s="36" t="str">
        <v>tengah</v>
      </c>
      <c r="U301" s="36"/>
      <c r="V301" s="36"/>
    </row>
    <row r="302" spans="5:22">
      <c r="E302" s="36" t="str">
        <v>tengah</v>
      </c>
      <c r="F302" s="36"/>
      <c r="G302" s="36"/>
      <c r="J302" s="36" t="str">
        <v>tengah</v>
      </c>
      <c r="K302" s="36"/>
      <c r="L302" s="36"/>
      <c r="O302" s="36" t="str">
        <v>tengah</v>
      </c>
      <c r="P302" s="36"/>
      <c r="Q302" s="36"/>
      <c r="T302" s="36" t="str">
        <v>kanan</v>
      </c>
      <c r="U302" s="36"/>
      <c r="V302" s="36"/>
    </row>
    <row r="303" spans="5:22">
      <c r="E303" s="36" t="str">
        <v>tengah</v>
      </c>
      <c r="F303" s="36"/>
      <c r="G303" s="36"/>
      <c r="J303" s="36" t="str">
        <v>tengah</v>
      </c>
      <c r="K303" s="36"/>
      <c r="L303" s="36"/>
      <c r="O303" s="36" t="str">
        <v>kiri</v>
      </c>
      <c r="P303" s="36"/>
      <c r="Q303" s="36"/>
      <c r="T303" s="36" t="str">
        <v>tengah</v>
      </c>
      <c r="U303" s="36"/>
      <c r="V303" s="36"/>
    </row>
    <row r="304" spans="5:22">
      <c r="E304" s="36" t="str">
        <v>kanan</v>
      </c>
      <c r="F304" s="36"/>
      <c r="G304" s="36"/>
      <c r="J304" s="36" t="str">
        <v>tengah</v>
      </c>
      <c r="K304" s="36"/>
      <c r="L304" s="36"/>
      <c r="O304" s="36" t="str">
        <v>tengah</v>
      </c>
      <c r="P304" s="36"/>
      <c r="Q304" s="36"/>
      <c r="T304" s="36" t="str">
        <v>kanan</v>
      </c>
      <c r="U304" s="36"/>
      <c r="V304" s="36"/>
    </row>
    <row r="305" spans="5:22">
      <c r="E305" s="36" t="str">
        <v>kanan</v>
      </c>
      <c r="F305" s="36"/>
      <c r="G305" s="36"/>
      <c r="J305" s="36" t="str">
        <v>tengah</v>
      </c>
      <c r="K305" s="36"/>
      <c r="L305" s="36"/>
      <c r="O305" s="36" t="str">
        <v>kanan</v>
      </c>
      <c r="P305" s="36"/>
      <c r="Q305" s="36"/>
      <c r="T305" s="36" t="str">
        <v>kanan</v>
      </c>
      <c r="U305" s="36"/>
      <c r="V305" s="36"/>
    </row>
    <row r="306" spans="5:22">
      <c r="E306" s="36" t="str">
        <v>tengah</v>
      </c>
      <c r="F306" s="36"/>
      <c r="G306" s="36"/>
      <c r="J306" s="36" t="str">
        <v>tengah</v>
      </c>
      <c r="K306" s="36"/>
      <c r="L306" s="36"/>
      <c r="O306" s="36" t="str">
        <v>tengah</v>
      </c>
      <c r="P306" s="36"/>
      <c r="Q306" s="36"/>
      <c r="T306" s="36" t="str">
        <v>kanan</v>
      </c>
      <c r="U306" s="36"/>
      <c r="V306" s="36"/>
    </row>
    <row r="307" spans="5:22">
      <c r="E307" s="36" t="str">
        <v>tengah</v>
      </c>
      <c r="F307" s="36"/>
      <c r="G307" s="36"/>
      <c r="J307" s="36" t="str">
        <v>tengah</v>
      </c>
      <c r="K307" s="36"/>
      <c r="L307" s="36"/>
      <c r="O307" s="36" t="str">
        <v>tengah</v>
      </c>
      <c r="P307" s="36"/>
      <c r="Q307" s="36"/>
      <c r="T307" s="36" t="str">
        <v>tengah</v>
      </c>
      <c r="U307" s="36"/>
      <c r="V307" s="36"/>
    </row>
    <row r="308" spans="5:22">
      <c r="E308" s="36" t="str">
        <v>kiri</v>
      </c>
      <c r="F308" s="36"/>
      <c r="G308" s="36"/>
      <c r="J308" s="36" t="str">
        <v>tengah</v>
      </c>
      <c r="K308" s="36"/>
      <c r="L308" s="36"/>
      <c r="O308" s="36" t="str">
        <v>kiri</v>
      </c>
      <c r="P308" s="36"/>
      <c r="Q308" s="36"/>
      <c r="T308" s="36" t="str">
        <v>tengah</v>
      </c>
      <c r="U308" s="36"/>
      <c r="V308" s="36"/>
    </row>
    <row r="309" spans="5:22">
      <c r="E309" s="36" t="str">
        <v>kiri</v>
      </c>
      <c r="F309" s="36"/>
      <c r="G309" s="36"/>
      <c r="J309" s="36" t="str">
        <v>kiri</v>
      </c>
      <c r="K309" s="36"/>
      <c r="L309" s="36"/>
      <c r="O309" s="36" t="str">
        <v>kiri</v>
      </c>
      <c r="P309" s="36"/>
      <c r="Q309" s="36"/>
      <c r="T309" s="36" t="str">
        <v>kanan</v>
      </c>
      <c r="U309" s="36"/>
      <c r="V309" s="36"/>
    </row>
    <row r="310" spans="5:22">
      <c r="E310" s="36" t="str">
        <v>tengah</v>
      </c>
      <c r="F310" s="36"/>
      <c r="G310" s="36"/>
      <c r="J310" s="36" t="str">
        <v>kiri</v>
      </c>
      <c r="K310" s="36"/>
      <c r="L310" s="36"/>
      <c r="O310" s="36" t="str">
        <v>kiri</v>
      </c>
      <c r="P310" s="36"/>
      <c r="Q310" s="36"/>
      <c r="T310" s="36" t="str">
        <v>kanan</v>
      </c>
      <c r="U310" s="36"/>
      <c r="V310" s="36"/>
    </row>
    <row r="311" spans="5:22">
      <c r="E311" s="36" t="str">
        <v>tengah</v>
      </c>
      <c r="F311" s="36"/>
      <c r="G311" s="36"/>
      <c r="J311" s="36" t="str">
        <v>tengah</v>
      </c>
      <c r="K311" s="36"/>
      <c r="L311" s="36"/>
      <c r="O311" s="36" t="str">
        <v>kiri</v>
      </c>
      <c r="P311" s="36"/>
      <c r="Q311" s="36"/>
      <c r="T311" s="36" t="str">
        <v>kanan</v>
      </c>
      <c r="U311" s="36"/>
      <c r="V311" s="36"/>
    </row>
    <row r="312" spans="5:22">
      <c r="E312" s="36" t="str">
        <v>tengah</v>
      </c>
      <c r="F312" s="36"/>
      <c r="G312" s="36"/>
      <c r="J312" s="36" t="str">
        <v>kanan</v>
      </c>
      <c r="K312" s="36"/>
      <c r="L312" s="36"/>
      <c r="O312" s="36" t="str">
        <v>tengah</v>
      </c>
      <c r="P312" s="36"/>
      <c r="Q312" s="36"/>
      <c r="T312" s="36" t="str">
        <v>tengah</v>
      </c>
      <c r="U312" s="36"/>
      <c r="V312" s="36"/>
    </row>
    <row r="313" spans="5:22">
      <c r="E313" s="36" t="str">
        <v>kanan</v>
      </c>
      <c r="F313" s="36"/>
      <c r="G313" s="36"/>
      <c r="J313" s="36" t="str">
        <v>tengah</v>
      </c>
      <c r="K313" s="36"/>
      <c r="L313" s="36"/>
      <c r="O313" s="36" t="str">
        <v>tengah</v>
      </c>
      <c r="P313" s="36"/>
      <c r="Q313" s="36"/>
      <c r="T313" s="36" t="str">
        <v>kanan</v>
      </c>
      <c r="U313" s="36"/>
      <c r="V313" s="36"/>
    </row>
    <row r="314" spans="5:22">
      <c r="E314" s="36" t="str">
        <v>kanan</v>
      </c>
      <c r="F314" s="36"/>
      <c r="G314" s="36"/>
      <c r="J314" s="36" t="str">
        <v>tengah</v>
      </c>
      <c r="K314" s="36"/>
      <c r="L314" s="36"/>
      <c r="O314" s="36" t="str">
        <v>tengah</v>
      </c>
      <c r="P314" s="36"/>
      <c r="Q314" s="36"/>
      <c r="T314" s="36" t="str">
        <v>tengah</v>
      </c>
      <c r="U314" s="36"/>
      <c r="V314" s="36"/>
    </row>
    <row r="315" spans="5:22">
      <c r="E315" s="36" t="str">
        <v>kiri</v>
      </c>
      <c r="F315" s="36"/>
      <c r="G315" s="36"/>
      <c r="J315" s="36" t="str">
        <v>tengah</v>
      </c>
      <c r="K315" s="36"/>
      <c r="L315" s="36"/>
      <c r="O315" s="36" t="str">
        <v>tengah</v>
      </c>
      <c r="P315" s="36"/>
      <c r="Q315" s="36"/>
      <c r="T315" s="36" t="str">
        <v>tengah</v>
      </c>
      <c r="U315" s="36"/>
      <c r="V315" s="36"/>
    </row>
    <row r="316" spans="5:22">
      <c r="E316" s="36" t="str">
        <v>tengah</v>
      </c>
      <c r="F316" s="36"/>
      <c r="G316" s="36"/>
      <c r="J316" s="36" t="str">
        <v>tengah</v>
      </c>
      <c r="K316" s="36"/>
      <c r="L316" s="36"/>
      <c r="O316" s="36" t="str">
        <v>tengah</v>
      </c>
      <c r="P316" s="36"/>
      <c r="Q316" s="36"/>
      <c r="T316" s="36" t="str">
        <v>kanan</v>
      </c>
      <c r="U316" s="36"/>
      <c r="V316" s="36"/>
    </row>
    <row r="317" spans="5:22">
      <c r="E317" s="36" t="str">
        <v>tengah</v>
      </c>
      <c r="F317" s="36"/>
      <c r="G317" s="36"/>
      <c r="J317" s="36" t="str">
        <v>kanan</v>
      </c>
      <c r="K317" s="36"/>
      <c r="L317" s="36"/>
      <c r="O317" s="36" t="str">
        <v>tengah</v>
      </c>
      <c r="P317" s="36"/>
      <c r="Q317" s="36"/>
      <c r="T317" s="36" t="str">
        <v>tengah</v>
      </c>
      <c r="U317" s="36"/>
      <c r="V317" s="36"/>
    </row>
    <row r="318" spans="5:22">
      <c r="E318" s="36" t="str">
        <v>tengah</v>
      </c>
      <c r="F318" s="36"/>
      <c r="G318" s="36"/>
      <c r="J318" s="36" t="str">
        <v>tengah</v>
      </c>
      <c r="K318" s="36"/>
      <c r="L318" s="36"/>
      <c r="O318" s="36" t="str">
        <v>kanan</v>
      </c>
      <c r="P318" s="36"/>
      <c r="Q318" s="36"/>
      <c r="T318" s="36" t="str">
        <v>kanan</v>
      </c>
      <c r="U318" s="36"/>
      <c r="V318" s="36"/>
    </row>
    <row r="319" spans="5:22">
      <c r="E319" s="36" t="str">
        <v>tengah</v>
      </c>
      <c r="F319" s="36"/>
      <c r="G319" s="36"/>
      <c r="J319" s="36" t="str">
        <v>kiri</v>
      </c>
      <c r="K319" s="36"/>
      <c r="L319" s="36"/>
      <c r="O319" s="36" t="str">
        <v>kiri</v>
      </c>
      <c r="P319" s="36"/>
      <c r="Q319" s="36"/>
      <c r="T319" s="36" t="str">
        <v>kanan</v>
      </c>
      <c r="U319" s="36"/>
      <c r="V319" s="36"/>
    </row>
    <row r="320" spans="5:22">
      <c r="E320" s="36" t="str">
        <v>kiri</v>
      </c>
      <c r="F320" s="36"/>
      <c r="G320" s="36"/>
      <c r="J320" s="36" t="str">
        <v>tengah</v>
      </c>
      <c r="K320" s="36"/>
      <c r="L320" s="36"/>
      <c r="O320" s="36" t="str">
        <v>kanan</v>
      </c>
      <c r="P320" s="36"/>
      <c r="Q320" s="36"/>
      <c r="T320" s="36" t="str">
        <v>tengah</v>
      </c>
      <c r="U320" s="36"/>
      <c r="V320" s="36"/>
    </row>
    <row r="321" spans="5:22">
      <c r="E321" s="36" t="str">
        <v>kanan</v>
      </c>
      <c r="F321" s="36"/>
      <c r="G321" s="36"/>
      <c r="J321" s="36" t="str">
        <v>tengah</v>
      </c>
      <c r="K321" s="36"/>
      <c r="L321" s="36"/>
      <c r="O321" s="36" t="str">
        <v>tengah</v>
      </c>
      <c r="P321" s="36"/>
      <c r="Q321" s="36"/>
      <c r="T321" s="36" t="str">
        <v>tengah</v>
      </c>
      <c r="U321" s="36"/>
      <c r="V321" s="36"/>
    </row>
    <row r="322" spans="5:22">
      <c r="E322" s="36" t="str">
        <v>kiri</v>
      </c>
      <c r="F322" s="36"/>
      <c r="G322" s="36"/>
      <c r="J322" s="36" t="str">
        <v>tengah</v>
      </c>
      <c r="K322" s="36"/>
      <c r="L322" s="36"/>
      <c r="O322" s="36" t="str">
        <v>tengah</v>
      </c>
      <c r="P322" s="36"/>
      <c r="Q322" s="36"/>
      <c r="T322" s="36" t="str">
        <v>kanan</v>
      </c>
      <c r="U322" s="36"/>
      <c r="V322" s="36"/>
    </row>
    <row r="323" spans="5:22">
      <c r="E323" s="36" t="str">
        <v>kiri</v>
      </c>
      <c r="F323" s="36"/>
      <c r="G323" s="36"/>
      <c r="J323" s="36" t="str">
        <v>tengah</v>
      </c>
      <c r="K323" s="36"/>
      <c r="L323" s="36"/>
      <c r="O323" s="36" t="str">
        <v>kiri</v>
      </c>
      <c r="P323" s="36"/>
      <c r="Q323" s="36"/>
      <c r="T323" s="36" t="str">
        <v>kanan</v>
      </c>
      <c r="U323" s="36"/>
      <c r="V323" s="36"/>
    </row>
    <row r="324" spans="5:22">
      <c r="E324" s="36" t="str">
        <v>tengah</v>
      </c>
      <c r="F324" s="36"/>
      <c r="G324" s="36"/>
      <c r="J324" s="36" t="str">
        <v>kanan</v>
      </c>
      <c r="K324" s="36"/>
      <c r="L324" s="36"/>
      <c r="O324" s="36" t="str">
        <v>tengah</v>
      </c>
      <c r="P324" s="36"/>
      <c r="Q324" s="36"/>
      <c r="T324" s="36" t="str">
        <v>tengah</v>
      </c>
      <c r="U324" s="36"/>
      <c r="V324" s="36"/>
    </row>
    <row r="325" spans="5:22">
      <c r="E325" s="36" t="str">
        <v>kanan</v>
      </c>
      <c r="F325" s="36"/>
      <c r="G325" s="36"/>
      <c r="J325" s="36" t="str">
        <v>tengah</v>
      </c>
      <c r="K325" s="36"/>
      <c r="L325" s="36"/>
      <c r="O325" s="36" t="str">
        <v>tengah</v>
      </c>
      <c r="P325" s="36"/>
      <c r="Q325" s="36"/>
      <c r="T325" s="36" t="str">
        <v>kanan</v>
      </c>
      <c r="U325" s="36"/>
      <c r="V325" s="36"/>
    </row>
    <row r="326" spans="5:22">
      <c r="E326" s="36" t="str">
        <v>tengah</v>
      </c>
      <c r="F326" s="36"/>
      <c r="G326" s="36"/>
      <c r="J326" s="36" t="str">
        <v>tengah</v>
      </c>
      <c r="K326" s="36"/>
      <c r="L326" s="36"/>
      <c r="O326" s="36" t="str">
        <v>kanan</v>
      </c>
      <c r="P326" s="36"/>
      <c r="Q326" s="36"/>
      <c r="T326" s="36" t="str">
        <v>kanan</v>
      </c>
      <c r="U326" s="36"/>
      <c r="V326" s="36"/>
    </row>
    <row r="327" spans="5:22">
      <c r="E327" s="36" t="str">
        <v>kiri</v>
      </c>
      <c r="F327" s="36"/>
      <c r="G327" s="36"/>
      <c r="J327" s="36" t="str">
        <v>kanan</v>
      </c>
      <c r="K327" s="36"/>
      <c r="L327" s="36"/>
      <c r="O327" s="36" t="str">
        <v>kiri</v>
      </c>
      <c r="P327" s="36"/>
      <c r="Q327" s="36"/>
      <c r="T327" s="36" t="str">
        <v>kanan</v>
      </c>
      <c r="U327" s="36"/>
      <c r="V327" s="36"/>
    </row>
    <row r="328" spans="5:22">
      <c r="E328" s="36" t="str">
        <v>kiri</v>
      </c>
      <c r="F328" s="36"/>
      <c r="G328" s="36"/>
      <c r="J328" s="36" t="str">
        <v>tengah</v>
      </c>
      <c r="K328" s="36"/>
      <c r="L328" s="36"/>
      <c r="O328" s="36" t="str">
        <v>tengah</v>
      </c>
      <c r="P328" s="36"/>
      <c r="Q328" s="36"/>
      <c r="T328" s="36" t="str">
        <v>tengah</v>
      </c>
      <c r="U328" s="36"/>
      <c r="V328" s="36"/>
    </row>
    <row r="329" spans="5:22">
      <c r="E329" s="36" t="str">
        <v>tengah</v>
      </c>
      <c r="F329" s="36"/>
      <c r="G329" s="36"/>
      <c r="J329" s="36" t="str">
        <v>kiri</v>
      </c>
      <c r="K329" s="36"/>
      <c r="L329" s="36"/>
      <c r="O329" s="36" t="str">
        <v>tengah</v>
      </c>
      <c r="P329" s="36"/>
      <c r="Q329" s="36"/>
      <c r="T329" s="36" t="str">
        <v>kanan</v>
      </c>
      <c r="U329" s="36"/>
      <c r="V329" s="36"/>
    </row>
    <row r="330" spans="5:22">
      <c r="E330" s="36" t="str">
        <v>kanan</v>
      </c>
      <c r="F330" s="36"/>
      <c r="G330" s="36"/>
      <c r="J330" s="36" t="str">
        <v>tengah</v>
      </c>
      <c r="K330" s="36"/>
      <c r="L330" s="36"/>
      <c r="O330" s="36" t="str">
        <v>tengah</v>
      </c>
      <c r="P330" s="36"/>
      <c r="Q330" s="36"/>
      <c r="T330" s="36" t="str">
        <v>kanan</v>
      </c>
      <c r="U330" s="36"/>
      <c r="V330" s="36"/>
    </row>
    <row r="331" spans="5:22">
      <c r="E331" s="36" t="str">
        <v>tengah</v>
      </c>
      <c r="F331" s="36"/>
      <c r="G331" s="36"/>
      <c r="J331" s="36" t="str">
        <v>kanan</v>
      </c>
      <c r="K331" s="36"/>
      <c r="L331" s="36"/>
      <c r="O331" s="36" t="str">
        <v>kiri</v>
      </c>
      <c r="P331" s="36"/>
      <c r="Q331" s="36"/>
      <c r="T331" s="36" t="str">
        <v>tengah</v>
      </c>
      <c r="U331" s="36"/>
      <c r="V331" s="36"/>
    </row>
    <row r="332" spans="5:22">
      <c r="E332" s="36" t="str">
        <v>tengah</v>
      </c>
      <c r="F332" s="36"/>
      <c r="G332" s="36"/>
      <c r="J332" s="36" t="str">
        <v>tengah</v>
      </c>
      <c r="K332" s="36"/>
      <c r="L332" s="36"/>
      <c r="O332" s="36" t="str">
        <v>kiri</v>
      </c>
      <c r="P332" s="36"/>
      <c r="Q332" s="36"/>
      <c r="T332" s="36" t="str">
        <v>kanan</v>
      </c>
      <c r="U332" s="36"/>
      <c r="V332" s="36"/>
    </row>
  </sheetData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32"/>
  <sheetViews>
    <sheetView topLeftCell="F186" workbookViewId="0">
      <selection activeCell="L197" sqref="L197"/>
    </sheetView>
  </sheetViews>
  <sheetFormatPr defaultColWidth="9" defaultRowHeight="15"/>
  <cols>
    <col min="3" max="3" width="15.8518518518519" customWidth="1"/>
    <col min="4" max="4" width="22" customWidth="1"/>
    <col min="5" max="5" width="13.2814814814815" customWidth="1"/>
    <col min="6" max="6" width="13.8518518518519" customWidth="1"/>
    <col min="7" max="7" width="12" customWidth="1"/>
    <col min="10" max="10" width="15.8518518518519" customWidth="1"/>
    <col min="11" max="11" width="13.2814814814815" customWidth="1"/>
    <col min="12" max="12" width="13.8518518518519" customWidth="1"/>
    <col min="15" max="15" width="16.1407407407407" customWidth="1"/>
    <col min="17" max="17" width="14.1407407407407" customWidth="1"/>
    <col min="20" max="20" width="14.2814814814815" customWidth="1"/>
  </cols>
  <sheetData>
    <row r="1" spans="1:17">
      <c r="A1" s="35" t="s">
        <v>183</v>
      </c>
      <c r="B1" s="35" t="s">
        <v>1</v>
      </c>
      <c r="C1" s="35" t="s">
        <v>2</v>
      </c>
      <c r="D1" s="35" t="s">
        <v>4</v>
      </c>
      <c r="E1" s="35" t="s">
        <v>5</v>
      </c>
      <c r="H1" s="36" t="s">
        <v>183</v>
      </c>
      <c r="I1" s="36" t="s">
        <v>1</v>
      </c>
      <c r="J1" s="36" t="s">
        <v>2</v>
      </c>
      <c r="K1" s="36" t="s">
        <v>4</v>
      </c>
      <c r="L1" s="36" t="s">
        <v>5</v>
      </c>
      <c r="O1" s="35" t="s">
        <v>184</v>
      </c>
      <c r="P1" s="38"/>
      <c r="Q1" s="38"/>
    </row>
    <row r="2" spans="1:17">
      <c r="A2" s="36">
        <f ca="1">RANDBETWEEN(2,164)</f>
        <v>138</v>
      </c>
      <c r="B2" s="36">
        <f ca="1" t="array" ref="B2">INDEX(Data_DBD!$B:$B,$A2)</f>
        <v>13</v>
      </c>
      <c r="C2" s="36" t="str">
        <f ca="1" t="array" ref="C2">INDEX(Data_DBD!$C:$C,$A2)</f>
        <v>3 Hari</v>
      </c>
      <c r="D2" s="36">
        <f ca="1" t="array" ref="D2">INDEX(Data_DBD!$E:$E,$A2)</f>
        <v>1</v>
      </c>
      <c r="E2" s="36" t="str">
        <f ca="1" t="array" ref="E2">INDEX(Data_DBD!$F:$F,$A2)</f>
        <v>Tinggi</v>
      </c>
      <c r="H2" s="36">
        <v>95</v>
      </c>
      <c r="I2" s="36">
        <v>11</v>
      </c>
      <c r="J2" s="36">
        <v>3</v>
      </c>
      <c r="K2" s="36">
        <v>1</v>
      </c>
      <c r="L2" s="36" t="s">
        <v>105</v>
      </c>
      <c r="O2" s="38" t="s">
        <v>105</v>
      </c>
      <c r="P2" s="38">
        <f>COUNTIF(L2:L164,"Tinggi")</f>
        <v>65</v>
      </c>
      <c r="Q2" s="38">
        <f>P2/163</f>
        <v>0.398773006134969</v>
      </c>
    </row>
    <row r="3" spans="1:17">
      <c r="A3" s="36">
        <f ca="1" t="shared" ref="A3:A66" si="0">RANDBETWEEN(2,164)</f>
        <v>104</v>
      </c>
      <c r="B3" s="36">
        <f ca="1" t="array" ref="B3">INDEX(Data_DBD!$B:$B,$A3)</f>
        <v>37</v>
      </c>
      <c r="C3" s="36" t="str">
        <f ca="1" t="array" ref="C3">INDEX(Data_DBD!$C:$C,$A3)</f>
        <v>4 Hari</v>
      </c>
      <c r="D3" s="36">
        <f ca="1" t="array" ref="D3">INDEX(Data_DBD!$E:$E,$A3)</f>
        <v>1</v>
      </c>
      <c r="E3" s="36" t="str">
        <f ca="1" t="array" ref="E3">INDEX(Data_DBD!$F:$F,$A3)</f>
        <v>Tinggi</v>
      </c>
      <c r="H3" s="36">
        <v>12</v>
      </c>
      <c r="I3" s="36">
        <v>23</v>
      </c>
      <c r="J3" s="36">
        <v>3</v>
      </c>
      <c r="K3" s="36">
        <v>0</v>
      </c>
      <c r="L3" s="36" t="s">
        <v>8</v>
      </c>
      <c r="O3" s="38" t="s">
        <v>8</v>
      </c>
      <c r="P3" s="38">
        <f>COUNTIF(L2:L164,"Sedang")</f>
        <v>83</v>
      </c>
      <c r="Q3" s="38">
        <f>P3/163</f>
        <v>0.50920245398773</v>
      </c>
    </row>
    <row r="4" spans="1:17">
      <c r="A4" s="36">
        <f ca="1" t="shared" si="0"/>
        <v>98</v>
      </c>
      <c r="B4" s="36">
        <f ca="1" t="array" ref="B4">INDEX(Data_DBD!$B:$B,$A4)</f>
        <v>16</v>
      </c>
      <c r="C4" s="36" t="str">
        <f ca="1" t="array" ref="C4">INDEX(Data_DBD!$C:$C,$A4)</f>
        <v>2 Hari</v>
      </c>
      <c r="D4" s="36">
        <f ca="1" t="array" ref="D4">INDEX(Data_DBD!$E:$E,$A4)</f>
        <v>1</v>
      </c>
      <c r="E4" s="36" t="str">
        <f ca="1" t="array" ref="E4">INDEX(Data_DBD!$F:$F,$A4)</f>
        <v>Tinggi</v>
      </c>
      <c r="H4" s="36">
        <v>30</v>
      </c>
      <c r="I4" s="36">
        <v>3</v>
      </c>
      <c r="J4" s="36">
        <v>2</v>
      </c>
      <c r="K4" s="36">
        <v>1</v>
      </c>
      <c r="L4" s="36" t="s">
        <v>8</v>
      </c>
      <c r="O4" s="38" t="s">
        <v>26</v>
      </c>
      <c r="P4" s="38">
        <f>COUNTIF(L2:L164,"Rendah")</f>
        <v>15</v>
      </c>
      <c r="Q4" s="38">
        <f>P4/163</f>
        <v>0.0920245398773006</v>
      </c>
    </row>
    <row r="5" spans="1:17">
      <c r="A5" s="36">
        <f ca="1" t="shared" si="0"/>
        <v>86</v>
      </c>
      <c r="B5" s="36">
        <f ca="1" t="array" ref="B5">INDEX(Data_DBD!$B:$B,$A5)</f>
        <v>23</v>
      </c>
      <c r="C5" s="36" t="str">
        <f ca="1" t="array" ref="C5">INDEX(Data_DBD!$C:$C,$A5)</f>
        <v>3 Hari</v>
      </c>
      <c r="D5" s="36">
        <f ca="1" t="array" ref="D5">INDEX(Data_DBD!$E:$E,$A5)</f>
        <v>0</v>
      </c>
      <c r="E5" s="36" t="str">
        <f ca="1" t="array" ref="E5">INDEX(Data_DBD!$F:$F,$A5)</f>
        <v>Sedang</v>
      </c>
      <c r="H5" s="36">
        <v>76</v>
      </c>
      <c r="I5" s="36">
        <v>70</v>
      </c>
      <c r="J5" s="36">
        <v>2</v>
      </c>
      <c r="K5" s="36">
        <v>0</v>
      </c>
      <c r="L5" s="36" t="s">
        <v>8</v>
      </c>
      <c r="O5" s="38" t="s">
        <v>185</v>
      </c>
      <c r="P5" s="66">
        <f>-(IFERROR(Q2*LOG(Q2,2),0)+IFERROR(Q3*LOG(Q3,2),0)+IFERROR(Q4*LOG(Q4,2),0))</f>
        <v>1.34145490525702</v>
      </c>
      <c r="Q5" s="67"/>
    </row>
    <row r="6" spans="1:12">
      <c r="A6" s="36">
        <f ca="1" t="shared" si="0"/>
        <v>123</v>
      </c>
      <c r="B6" s="36">
        <f ca="1" t="array" ref="B6">INDEX(Data_DBD!$B:$B,$A6)</f>
        <v>22</v>
      </c>
      <c r="C6" s="36" t="str">
        <f ca="1" t="array" ref="C6">INDEX(Data_DBD!$C:$C,$A6)</f>
        <v>4 Hari</v>
      </c>
      <c r="D6" s="36">
        <f ca="1" t="array" ref="D6">INDEX(Data_DBD!$E:$E,$A6)</f>
        <v>0</v>
      </c>
      <c r="E6" s="36" t="str">
        <f ca="1" t="array" ref="E6">INDEX(Data_DBD!$F:$F,$A6)</f>
        <v>Tinggi</v>
      </c>
      <c r="H6" s="36">
        <v>85</v>
      </c>
      <c r="I6" s="36">
        <v>27</v>
      </c>
      <c r="J6" s="36">
        <v>9</v>
      </c>
      <c r="K6" s="36">
        <v>0</v>
      </c>
      <c r="L6" s="36" t="s">
        <v>8</v>
      </c>
    </row>
    <row r="7" spans="1:12">
      <c r="A7" s="36">
        <f ca="1" t="shared" si="0"/>
        <v>137</v>
      </c>
      <c r="B7" s="36">
        <f ca="1" t="array" ref="B7">INDEX(Data_DBD!$B:$B,$A7)</f>
        <v>3.5</v>
      </c>
      <c r="C7" s="36" t="str">
        <f ca="1" t="array" ref="C7">INDEX(Data_DBD!$C:$C,$A7)</f>
        <v>1 Hari</v>
      </c>
      <c r="D7" s="36">
        <f ca="1" t="array" ref="D7">INDEX(Data_DBD!$E:$E,$A7)</f>
        <v>1</v>
      </c>
      <c r="E7" s="36" t="str">
        <f ca="1" t="array" ref="E7">INDEX(Data_DBD!$F:$F,$A7)</f>
        <v>Tinggi</v>
      </c>
      <c r="H7" s="36">
        <v>55</v>
      </c>
      <c r="I7" s="36">
        <v>7</v>
      </c>
      <c r="J7" s="36">
        <v>4</v>
      </c>
      <c r="K7" s="36">
        <v>1</v>
      </c>
      <c r="L7" s="36" t="s">
        <v>8</v>
      </c>
    </row>
    <row r="8" spans="1:12">
      <c r="A8" s="36">
        <f ca="1" t="shared" si="0"/>
        <v>60</v>
      </c>
      <c r="B8" s="36">
        <f ca="1" t="array" ref="B8">INDEX(Data_DBD!$B:$B,$A8)</f>
        <v>68</v>
      </c>
      <c r="C8" s="36" t="str">
        <f ca="1" t="array" ref="C8">INDEX(Data_DBD!$C:$C,$A8)</f>
        <v>4 Hari</v>
      </c>
      <c r="D8" s="36">
        <f ca="1" t="array" ref="D8">INDEX(Data_DBD!$E:$E,$A8)</f>
        <v>0</v>
      </c>
      <c r="E8" s="36" t="str">
        <f ca="1" t="array" ref="E8">INDEX(Data_DBD!$F:$F,$A8)</f>
        <v>Sedang</v>
      </c>
      <c r="H8" s="36">
        <v>51</v>
      </c>
      <c r="I8" s="36">
        <v>48</v>
      </c>
      <c r="J8" s="36">
        <v>4</v>
      </c>
      <c r="K8" s="36">
        <v>0</v>
      </c>
      <c r="L8" s="36" t="s">
        <v>8</v>
      </c>
    </row>
    <row r="9" spans="1:12">
      <c r="A9" s="36">
        <f ca="1" t="shared" si="0"/>
        <v>160</v>
      </c>
      <c r="B9" s="36">
        <f ca="1" t="array" ref="B9">INDEX(Data_DBD!$B:$B,$A9)</f>
        <v>16</v>
      </c>
      <c r="C9" s="36" t="str">
        <f ca="1" t="array" ref="C9">INDEX(Data_DBD!$C:$C,$A9)</f>
        <v>3 Hari</v>
      </c>
      <c r="D9" s="36">
        <f ca="1" t="array" ref="D9">INDEX(Data_DBD!$E:$E,$A9)</f>
        <v>0</v>
      </c>
      <c r="E9" s="36" t="str">
        <f ca="1" t="array" ref="E9">INDEX(Data_DBD!$F:$F,$A9)</f>
        <v>Tinggi</v>
      </c>
      <c r="H9" s="36">
        <v>108</v>
      </c>
      <c r="I9" s="36">
        <v>69</v>
      </c>
      <c r="J9" s="36">
        <v>7</v>
      </c>
      <c r="K9" s="36">
        <v>1</v>
      </c>
      <c r="L9" s="36" t="s">
        <v>105</v>
      </c>
    </row>
    <row r="10" spans="1:12">
      <c r="A10" s="36">
        <f ca="1" t="shared" si="0"/>
        <v>29</v>
      </c>
      <c r="B10" s="36">
        <f ca="1" t="array" ref="B10">INDEX(Data_DBD!$B:$B,$A10)</f>
        <v>19</v>
      </c>
      <c r="C10" s="36" t="str">
        <f ca="1" t="array" ref="C10">INDEX(Data_DBD!$C:$C,$A10)</f>
        <v>2 Hari</v>
      </c>
      <c r="D10" s="36">
        <f ca="1" t="array" ref="D10">INDEX(Data_DBD!$E:$E,$A10)</f>
        <v>1</v>
      </c>
      <c r="E10" s="36" t="str">
        <f ca="1" t="array" ref="E10">INDEX(Data_DBD!$F:$F,$A10)</f>
        <v>Sedang</v>
      </c>
      <c r="H10" s="36">
        <v>72</v>
      </c>
      <c r="I10" s="36">
        <v>3</v>
      </c>
      <c r="J10" s="36">
        <v>5</v>
      </c>
      <c r="K10" s="36">
        <v>1</v>
      </c>
      <c r="L10" s="36" t="s">
        <v>8</v>
      </c>
    </row>
    <row r="11" spans="1:12">
      <c r="A11" s="36">
        <f ca="1" t="shared" si="0"/>
        <v>75</v>
      </c>
      <c r="B11" s="36">
        <f ca="1" t="array" ref="B11">INDEX(Data_DBD!$B:$B,$A11)</f>
        <v>2</v>
      </c>
      <c r="C11" s="36" t="str">
        <f ca="1" t="array" ref="C11">INDEX(Data_DBD!$C:$C,$A11)</f>
        <v>2 Hari</v>
      </c>
      <c r="D11" s="36">
        <f ca="1" t="array" ref="D11">INDEX(Data_DBD!$E:$E,$A11)</f>
        <v>1</v>
      </c>
      <c r="E11" s="36" t="str">
        <f ca="1" t="array" ref="E11">INDEX(Data_DBD!$F:$F,$A11)</f>
        <v>Sedang</v>
      </c>
      <c r="H11" s="36">
        <v>147</v>
      </c>
      <c r="I11" s="36">
        <v>66</v>
      </c>
      <c r="J11" s="36">
        <v>10</v>
      </c>
      <c r="K11" s="36">
        <v>1</v>
      </c>
      <c r="L11" s="36" t="s">
        <v>105</v>
      </c>
    </row>
    <row r="12" spans="1:12">
      <c r="A12" s="36">
        <f ca="1" t="shared" si="0"/>
        <v>120</v>
      </c>
      <c r="B12" s="36">
        <f ca="1" t="array" ref="B12">INDEX(Data_DBD!$B:$B,$A12)</f>
        <v>26</v>
      </c>
      <c r="C12" s="36" t="str">
        <f ca="1" t="array" ref="C12">INDEX(Data_DBD!$C:$C,$A12)</f>
        <v>4 Hari</v>
      </c>
      <c r="D12" s="36">
        <f ca="1" t="array" ref="D12">INDEX(Data_DBD!$E:$E,$A12)</f>
        <v>1</v>
      </c>
      <c r="E12" s="36" t="str">
        <f ca="1" t="array" ref="E12">INDEX(Data_DBD!$F:$F,$A12)</f>
        <v>Tinggi</v>
      </c>
      <c r="H12" s="36">
        <v>69</v>
      </c>
      <c r="I12" s="36">
        <v>24</v>
      </c>
      <c r="J12" s="36">
        <v>4</v>
      </c>
      <c r="K12" s="36">
        <v>1</v>
      </c>
      <c r="L12" s="36" t="s">
        <v>8</v>
      </c>
    </row>
    <row r="13" spans="1:12">
      <c r="A13" s="36">
        <f ca="1" t="shared" si="0"/>
        <v>89</v>
      </c>
      <c r="B13" s="36">
        <f ca="1" t="array" ref="B13">INDEX(Data_DBD!$B:$B,$A13)</f>
        <v>32</v>
      </c>
      <c r="C13" s="36" t="str">
        <f ca="1" t="array" ref="C13">INDEX(Data_DBD!$C:$C,$A13)</f>
        <v>4 Hari</v>
      </c>
      <c r="D13" s="36">
        <f ca="1" t="array" ref="D13">INDEX(Data_DBD!$E:$E,$A13)</f>
        <v>0</v>
      </c>
      <c r="E13" s="36" t="str">
        <f ca="1" t="array" ref="E13">INDEX(Data_DBD!$F:$F,$A13)</f>
        <v>Sedang</v>
      </c>
      <c r="H13" s="36">
        <v>4</v>
      </c>
      <c r="I13" s="36">
        <v>23</v>
      </c>
      <c r="J13" s="36">
        <v>5</v>
      </c>
      <c r="K13" s="36">
        <v>0</v>
      </c>
      <c r="L13" s="36" t="s">
        <v>8</v>
      </c>
    </row>
    <row r="14" spans="1:12">
      <c r="A14" s="36">
        <f ca="1" t="shared" si="0"/>
        <v>121</v>
      </c>
      <c r="B14" s="36">
        <f ca="1" t="array" ref="B14">INDEX(Data_DBD!$B:$B,$A14)</f>
        <v>82</v>
      </c>
      <c r="C14" s="36" t="str">
        <f ca="1" t="array" ref="C14">INDEX(Data_DBD!$C:$C,$A14)</f>
        <v>5 Hari</v>
      </c>
      <c r="D14" s="36">
        <f ca="1" t="array" ref="D14">INDEX(Data_DBD!$E:$E,$A14)</f>
        <v>1</v>
      </c>
      <c r="E14" s="36" t="str">
        <f ca="1" t="array" ref="E14">INDEX(Data_DBD!$F:$F,$A14)</f>
        <v>Tinggi</v>
      </c>
      <c r="H14" s="36">
        <v>6</v>
      </c>
      <c r="I14" s="36">
        <v>14</v>
      </c>
      <c r="J14" s="36">
        <v>4</v>
      </c>
      <c r="K14" s="36">
        <v>0</v>
      </c>
      <c r="L14" s="36" t="s">
        <v>8</v>
      </c>
    </row>
    <row r="15" spans="1:12">
      <c r="A15" s="36">
        <f ca="1" t="shared" si="0"/>
        <v>56</v>
      </c>
      <c r="B15" s="36">
        <f ca="1" t="array" ref="B15">INDEX(Data_DBD!$B:$B,$A15)</f>
        <v>4</v>
      </c>
      <c r="C15" s="36" t="str">
        <f ca="1" t="array" ref="C15">INDEX(Data_DBD!$C:$C,$A15)</f>
        <v>3 Hari</v>
      </c>
      <c r="D15" s="36">
        <f ca="1" t="array" ref="D15">INDEX(Data_DBD!$E:$E,$A15)</f>
        <v>0</v>
      </c>
      <c r="E15" s="36" t="str">
        <f ca="1" t="array" ref="E15">INDEX(Data_DBD!$F:$F,$A15)</f>
        <v>Sedang</v>
      </c>
      <c r="H15" s="36">
        <v>13</v>
      </c>
      <c r="I15" s="36">
        <v>47</v>
      </c>
      <c r="J15" s="36">
        <v>2</v>
      </c>
      <c r="K15" s="36">
        <v>0</v>
      </c>
      <c r="L15" s="36" t="s">
        <v>8</v>
      </c>
    </row>
    <row r="16" spans="1:12">
      <c r="A16" s="36">
        <f ca="1" t="shared" si="0"/>
        <v>103</v>
      </c>
      <c r="B16" s="36">
        <f ca="1" t="array" ref="B16">INDEX(Data_DBD!$B:$B,$A16)</f>
        <v>22</v>
      </c>
      <c r="C16" s="36" t="str">
        <f ca="1" t="array" ref="C16">INDEX(Data_DBD!$C:$C,$A16)</f>
        <v>5 Hari</v>
      </c>
      <c r="D16" s="36">
        <f ca="1" t="array" ref="D16">INDEX(Data_DBD!$E:$E,$A16)</f>
        <v>0</v>
      </c>
      <c r="E16" s="36" t="str">
        <f ca="1" t="array" ref="E16">INDEX(Data_DBD!$F:$F,$A16)</f>
        <v>Tinggi</v>
      </c>
      <c r="H16" s="36">
        <v>142</v>
      </c>
      <c r="I16" s="36">
        <v>39</v>
      </c>
      <c r="J16" s="36">
        <v>2</v>
      </c>
      <c r="K16" s="36">
        <v>1</v>
      </c>
      <c r="L16" s="36" t="s">
        <v>105</v>
      </c>
    </row>
    <row r="17" spans="1:12">
      <c r="A17" s="36">
        <f ca="1" t="shared" si="0"/>
        <v>133</v>
      </c>
      <c r="B17" s="36">
        <f ca="1" t="array" ref="B17">INDEX(Data_DBD!$B:$B,$A17)</f>
        <v>6</v>
      </c>
      <c r="C17" s="36" t="str">
        <f ca="1" t="array" ref="C17">INDEX(Data_DBD!$C:$C,$A17)</f>
        <v>4 Hari</v>
      </c>
      <c r="D17" s="36">
        <f ca="1" t="array" ref="D17">INDEX(Data_DBD!$E:$E,$A17)</f>
        <v>0</v>
      </c>
      <c r="E17" s="36" t="str">
        <f ca="1" t="array" ref="E17">INDEX(Data_DBD!$F:$F,$A17)</f>
        <v>Tinggi</v>
      </c>
      <c r="H17" s="36">
        <v>159</v>
      </c>
      <c r="I17" s="36">
        <v>17</v>
      </c>
      <c r="J17" s="36">
        <v>2</v>
      </c>
      <c r="K17" s="36">
        <v>0</v>
      </c>
      <c r="L17" s="36" t="s">
        <v>105</v>
      </c>
    </row>
    <row r="18" spans="1:12">
      <c r="A18" s="36">
        <f ca="1" t="shared" si="0"/>
        <v>161</v>
      </c>
      <c r="B18" s="36">
        <f ca="1" t="array" ref="B18">INDEX(Data_DBD!$B:$B,$A18)</f>
        <v>12</v>
      </c>
      <c r="C18" s="36" t="str">
        <f ca="1" t="array" ref="C18">INDEX(Data_DBD!$C:$C,$A18)</f>
        <v>3 Hari</v>
      </c>
      <c r="D18" s="36">
        <f ca="1" t="array" ref="D18">INDEX(Data_DBD!$E:$E,$A18)</f>
        <v>1</v>
      </c>
      <c r="E18" s="36" t="str">
        <f ca="1" t="array" ref="E18">INDEX(Data_DBD!$F:$F,$A18)</f>
        <v>Tinggi</v>
      </c>
      <c r="H18" s="36">
        <v>8</v>
      </c>
      <c r="I18" s="36">
        <v>4</v>
      </c>
      <c r="J18" s="36">
        <v>2</v>
      </c>
      <c r="K18" s="36">
        <v>0</v>
      </c>
      <c r="L18" s="36" t="s">
        <v>8</v>
      </c>
    </row>
    <row r="19" spans="1:12">
      <c r="A19" s="36">
        <f ca="1" t="shared" si="0"/>
        <v>39</v>
      </c>
      <c r="B19" s="36">
        <f ca="1" t="array" ref="B19">INDEX(Data_DBD!$B:$B,$A19)</f>
        <v>12</v>
      </c>
      <c r="C19" s="36" t="str">
        <f ca="1" t="array" ref="C19">INDEX(Data_DBD!$C:$C,$A19)</f>
        <v>5 Hari</v>
      </c>
      <c r="D19" s="36">
        <f ca="1" t="array" ref="D19">INDEX(Data_DBD!$E:$E,$A19)</f>
        <v>1</v>
      </c>
      <c r="E19" s="36" t="str">
        <f ca="1" t="array" ref="E19">INDEX(Data_DBD!$F:$F,$A19)</f>
        <v>Sedang</v>
      </c>
      <c r="H19" s="36">
        <v>105</v>
      </c>
      <c r="I19" s="36">
        <v>61</v>
      </c>
      <c r="J19" s="36">
        <v>3</v>
      </c>
      <c r="K19" s="36">
        <v>1</v>
      </c>
      <c r="L19" s="36" t="s">
        <v>105</v>
      </c>
    </row>
    <row r="20" spans="1:12">
      <c r="A20" s="36">
        <f ca="1" t="shared" si="0"/>
        <v>135</v>
      </c>
      <c r="B20" s="36">
        <f ca="1" t="array" ref="B20">INDEX(Data_DBD!$B:$B,$A20)</f>
        <v>10</v>
      </c>
      <c r="C20" s="36" t="str">
        <f ca="1" t="array" ref="C20">INDEX(Data_DBD!$C:$C,$A20)</f>
        <v>2 Hari</v>
      </c>
      <c r="D20" s="36">
        <f ca="1" t="array" ref="D20">INDEX(Data_DBD!$E:$E,$A20)</f>
        <v>0</v>
      </c>
      <c r="E20" s="36" t="str">
        <f ca="1" t="array" ref="E20">INDEX(Data_DBD!$F:$F,$A20)</f>
        <v>Tinggi</v>
      </c>
      <c r="H20" s="36">
        <v>122</v>
      </c>
      <c r="I20" s="36">
        <v>28</v>
      </c>
      <c r="J20" s="36">
        <v>3</v>
      </c>
      <c r="K20" s="36">
        <v>1</v>
      </c>
      <c r="L20" s="36" t="s">
        <v>105</v>
      </c>
    </row>
    <row r="21" spans="1:12">
      <c r="A21" s="36">
        <f ca="1" t="shared" si="0"/>
        <v>27</v>
      </c>
      <c r="B21" s="36">
        <f ca="1" t="array" ref="B21">INDEX(Data_DBD!$B:$B,$A21)</f>
        <v>37</v>
      </c>
      <c r="C21" s="36" t="str">
        <f ca="1" t="array" ref="C21">INDEX(Data_DBD!$C:$C,$A21)</f>
        <v>4 Hari</v>
      </c>
      <c r="D21" s="36">
        <f ca="1" t="array" ref="D21">INDEX(Data_DBD!$E:$E,$A21)</f>
        <v>1</v>
      </c>
      <c r="E21" s="36" t="str">
        <f ca="1" t="array" ref="E21">INDEX(Data_DBD!$F:$F,$A21)</f>
        <v>Sedang</v>
      </c>
      <c r="H21" s="36">
        <v>161</v>
      </c>
      <c r="I21" s="36">
        <v>12</v>
      </c>
      <c r="J21" s="36">
        <v>3</v>
      </c>
      <c r="K21" s="36">
        <v>1</v>
      </c>
      <c r="L21" s="36" t="s">
        <v>105</v>
      </c>
    </row>
    <row r="22" spans="1:12">
      <c r="A22" s="36">
        <f ca="1" t="shared" si="0"/>
        <v>86</v>
      </c>
      <c r="B22" s="36">
        <f ca="1" t="array" ref="B22">INDEX(Data_DBD!$B:$B,$A22)</f>
        <v>23</v>
      </c>
      <c r="C22" s="36" t="str">
        <f ca="1" t="array" ref="C22">INDEX(Data_DBD!$C:$C,$A22)</f>
        <v>3 Hari</v>
      </c>
      <c r="D22" s="36">
        <f ca="1" t="array" ref="D22">INDEX(Data_DBD!$E:$E,$A22)</f>
        <v>0</v>
      </c>
      <c r="E22" s="36" t="str">
        <f ca="1" t="array" ref="E22">INDEX(Data_DBD!$F:$F,$A22)</f>
        <v>Sedang</v>
      </c>
      <c r="H22" s="36">
        <v>138</v>
      </c>
      <c r="I22" s="36">
        <v>13</v>
      </c>
      <c r="J22" s="36">
        <v>3</v>
      </c>
      <c r="K22" s="36">
        <v>1</v>
      </c>
      <c r="L22" s="36" t="s">
        <v>105</v>
      </c>
    </row>
    <row r="23" spans="1:12">
      <c r="A23" s="36">
        <f ca="1" t="shared" si="0"/>
        <v>80</v>
      </c>
      <c r="B23" s="36">
        <f ca="1" t="array" ref="B23">INDEX(Data_DBD!$B:$B,$A23)</f>
        <v>27</v>
      </c>
      <c r="C23" s="36" t="str">
        <f ca="1" t="array" ref="C23">INDEX(Data_DBD!$C:$C,$A23)</f>
        <v>3 Hari</v>
      </c>
      <c r="D23" s="36">
        <f ca="1" t="array" ref="D23">INDEX(Data_DBD!$E:$E,$A23)</f>
        <v>1</v>
      </c>
      <c r="E23" s="36" t="str">
        <f ca="1" t="array" ref="E23">INDEX(Data_DBD!$F:$F,$A23)</f>
        <v>Sedang</v>
      </c>
      <c r="H23" s="36">
        <v>34</v>
      </c>
      <c r="I23" s="36">
        <v>55</v>
      </c>
      <c r="J23" s="36">
        <v>3</v>
      </c>
      <c r="K23" s="36">
        <v>0</v>
      </c>
      <c r="L23" s="36" t="s">
        <v>8</v>
      </c>
    </row>
    <row r="24" spans="1:12">
      <c r="A24" s="36">
        <f ca="1" t="shared" si="0"/>
        <v>115</v>
      </c>
      <c r="B24" s="36">
        <f ca="1" t="array" ref="B24">INDEX(Data_DBD!$B:$B,$A24)</f>
        <v>52</v>
      </c>
      <c r="C24" s="36" t="str">
        <f ca="1" t="array" ref="C24">INDEX(Data_DBD!$C:$C,$A24)</f>
        <v>3 Hari</v>
      </c>
      <c r="D24" s="36">
        <f ca="1" t="array" ref="D24">INDEX(Data_DBD!$E:$E,$A24)</f>
        <v>1</v>
      </c>
      <c r="E24" s="36" t="str">
        <f ca="1" t="array" ref="E24">INDEX(Data_DBD!$F:$F,$A24)</f>
        <v>Tinggi</v>
      </c>
      <c r="H24" s="36">
        <v>54</v>
      </c>
      <c r="I24" s="36">
        <v>7</v>
      </c>
      <c r="J24" s="36">
        <v>3</v>
      </c>
      <c r="K24" s="36">
        <v>0</v>
      </c>
      <c r="L24" s="36" t="s">
        <v>8</v>
      </c>
    </row>
    <row r="25" spans="1:12">
      <c r="A25" s="36">
        <f ca="1" t="shared" si="0"/>
        <v>49</v>
      </c>
      <c r="B25" s="36">
        <f ca="1" t="array" ref="B25">INDEX(Data_DBD!$B:$B,$A25)</f>
        <v>64</v>
      </c>
      <c r="C25" s="36" t="str">
        <f ca="1" t="array" ref="C25">INDEX(Data_DBD!$C:$C,$A25)</f>
        <v>5 Hari</v>
      </c>
      <c r="D25" s="36">
        <f ca="1" t="array" ref="D25">INDEX(Data_DBD!$E:$E,$A25)</f>
        <v>0</v>
      </c>
      <c r="E25" s="36" t="str">
        <f ca="1" t="array" ref="E25">INDEX(Data_DBD!$F:$F,$A25)</f>
        <v>Sedang</v>
      </c>
      <c r="H25" s="36">
        <v>69</v>
      </c>
      <c r="I25" s="36">
        <v>24</v>
      </c>
      <c r="J25" s="36">
        <v>4</v>
      </c>
      <c r="K25" s="36">
        <v>1</v>
      </c>
      <c r="L25" s="36" t="s">
        <v>8</v>
      </c>
    </row>
    <row r="26" spans="1:12">
      <c r="A26" s="36">
        <f ca="1" t="shared" si="0"/>
        <v>126</v>
      </c>
      <c r="B26" s="36">
        <f ca="1" t="array" ref="B26">INDEX(Data_DBD!$B:$B,$A26)</f>
        <v>51</v>
      </c>
      <c r="C26" s="36" t="str">
        <f ca="1" t="array" ref="C26">INDEX(Data_DBD!$C:$C,$A26)</f>
        <v>3 Hari</v>
      </c>
      <c r="D26" s="36">
        <f ca="1" t="array" ref="D26">INDEX(Data_DBD!$E:$E,$A26)</f>
        <v>1</v>
      </c>
      <c r="E26" s="36" t="str">
        <f ca="1" t="array" ref="E26">INDEX(Data_DBD!$F:$F,$A26)</f>
        <v>Tinggi</v>
      </c>
      <c r="H26" s="36">
        <v>34</v>
      </c>
      <c r="I26" s="36">
        <v>55</v>
      </c>
      <c r="J26" s="36">
        <v>3</v>
      </c>
      <c r="K26" s="36">
        <v>0</v>
      </c>
      <c r="L26" s="36" t="s">
        <v>8</v>
      </c>
    </row>
    <row r="27" spans="1:12">
      <c r="A27" s="36">
        <f ca="1" t="shared" si="0"/>
        <v>10</v>
      </c>
      <c r="B27" s="36">
        <f ca="1" t="array" ref="B27">INDEX(Data_DBD!$B:$B,$A27)</f>
        <v>18</v>
      </c>
      <c r="C27" s="36" t="str">
        <f ca="1" t="array" ref="C27">INDEX(Data_DBD!$C:$C,$A27)</f>
        <v>5 Hari</v>
      </c>
      <c r="D27" s="36">
        <f ca="1" t="array" ref="D27">INDEX(Data_DBD!$E:$E,$A27)</f>
        <v>0</v>
      </c>
      <c r="E27" s="36" t="str">
        <f ca="1" t="array" ref="E27">INDEX(Data_DBD!$F:$F,$A27)</f>
        <v>Sedang</v>
      </c>
      <c r="H27" s="36">
        <v>15</v>
      </c>
      <c r="I27" s="36">
        <v>21</v>
      </c>
      <c r="J27" s="36">
        <v>2</v>
      </c>
      <c r="K27" s="36">
        <v>0</v>
      </c>
      <c r="L27" s="36" t="s">
        <v>26</v>
      </c>
    </row>
    <row r="28" spans="1:12">
      <c r="A28" s="36">
        <f ca="1" t="shared" si="0"/>
        <v>161</v>
      </c>
      <c r="B28" s="36">
        <f ca="1" t="array" ref="B28">INDEX(Data_DBD!$B:$B,$A28)</f>
        <v>12</v>
      </c>
      <c r="C28" s="36" t="str">
        <f ca="1" t="array" ref="C28">INDEX(Data_DBD!$C:$C,$A28)</f>
        <v>3 Hari</v>
      </c>
      <c r="D28" s="36">
        <f ca="1" t="array" ref="D28">INDEX(Data_DBD!$E:$E,$A28)</f>
        <v>1</v>
      </c>
      <c r="E28" s="36" t="str">
        <f ca="1" t="array" ref="E28">INDEX(Data_DBD!$F:$F,$A28)</f>
        <v>Tinggi</v>
      </c>
      <c r="H28" s="36">
        <v>63</v>
      </c>
      <c r="I28" s="36">
        <v>25</v>
      </c>
      <c r="J28" s="36">
        <v>3</v>
      </c>
      <c r="K28" s="36">
        <v>0</v>
      </c>
      <c r="L28" s="36" t="s">
        <v>8</v>
      </c>
    </row>
    <row r="29" spans="1:12">
      <c r="A29" s="36">
        <f ca="1" t="shared" si="0"/>
        <v>86</v>
      </c>
      <c r="B29" s="36">
        <f ca="1" t="array" ref="B29">INDEX(Data_DBD!$B:$B,$A29)</f>
        <v>23</v>
      </c>
      <c r="C29" s="36" t="str">
        <f ca="1" t="array" ref="C29">INDEX(Data_DBD!$C:$C,$A29)</f>
        <v>3 Hari</v>
      </c>
      <c r="D29" s="36">
        <f ca="1" t="array" ref="D29">INDEX(Data_DBD!$E:$E,$A29)</f>
        <v>0</v>
      </c>
      <c r="E29" s="36" t="str">
        <f ca="1" t="array" ref="E29">INDEX(Data_DBD!$F:$F,$A29)</f>
        <v>Sedang</v>
      </c>
      <c r="H29" s="36">
        <v>93</v>
      </c>
      <c r="I29" s="36">
        <v>65</v>
      </c>
      <c r="J29" s="36">
        <v>4</v>
      </c>
      <c r="K29" s="36">
        <v>0</v>
      </c>
      <c r="L29" s="36" t="s">
        <v>105</v>
      </c>
    </row>
    <row r="30" spans="1:12">
      <c r="A30" s="36">
        <f ca="1" t="shared" si="0"/>
        <v>159</v>
      </c>
      <c r="B30" s="36">
        <f ca="1" t="array" ref="B30">INDEX(Data_DBD!$B:$B,$A30)</f>
        <v>17</v>
      </c>
      <c r="C30" s="36" t="str">
        <f ca="1" t="array" ref="C30">INDEX(Data_DBD!$C:$C,$A30)</f>
        <v>2 Hari</v>
      </c>
      <c r="D30" s="36">
        <f ca="1" t="array" ref="D30">INDEX(Data_DBD!$E:$E,$A30)</f>
        <v>0</v>
      </c>
      <c r="E30" s="36" t="str">
        <f ca="1" t="array" ref="E30">INDEX(Data_DBD!$F:$F,$A30)</f>
        <v>Tinggi</v>
      </c>
      <c r="H30" s="36">
        <v>137</v>
      </c>
      <c r="I30" s="36">
        <v>3</v>
      </c>
      <c r="J30" s="36">
        <v>1</v>
      </c>
      <c r="K30" s="36">
        <v>1</v>
      </c>
      <c r="L30" s="36" t="s">
        <v>105</v>
      </c>
    </row>
    <row r="31" spans="1:12">
      <c r="A31" s="36">
        <f ca="1" t="shared" si="0"/>
        <v>5</v>
      </c>
      <c r="B31" s="36">
        <f ca="1" t="array" ref="B31">INDEX(Data_DBD!$B:$B,$A31)</f>
        <v>18</v>
      </c>
      <c r="C31" s="36" t="str">
        <f ca="1" t="array" ref="C31">INDEX(Data_DBD!$C:$C,$A31)</f>
        <v>2 Hari</v>
      </c>
      <c r="D31" s="36">
        <f ca="1" t="array" ref="D31">INDEX(Data_DBD!$E:$E,$A31)</f>
        <v>1</v>
      </c>
      <c r="E31" s="36" t="str">
        <f ca="1" t="array" ref="E31">INDEX(Data_DBD!$F:$F,$A31)</f>
        <v>Sedang</v>
      </c>
      <c r="H31" s="36">
        <v>3</v>
      </c>
      <c r="I31" s="36">
        <v>43</v>
      </c>
      <c r="J31" s="36">
        <v>3</v>
      </c>
      <c r="K31" s="36">
        <v>1</v>
      </c>
      <c r="L31" s="36" t="s">
        <v>8</v>
      </c>
    </row>
    <row r="32" spans="1:12">
      <c r="A32" s="36">
        <f ca="1" t="shared" si="0"/>
        <v>66</v>
      </c>
      <c r="B32" s="36">
        <f ca="1" t="array" ref="B32">INDEX(Data_DBD!$B:$B,$A32)</f>
        <v>21</v>
      </c>
      <c r="C32" s="36" t="str">
        <f ca="1" t="array" ref="C32">INDEX(Data_DBD!$C:$C,$A32)</f>
        <v>5 Hari</v>
      </c>
      <c r="D32" s="36">
        <f ca="1" t="array" ref="D32">INDEX(Data_DBD!$E:$E,$A32)</f>
        <v>1</v>
      </c>
      <c r="E32" s="36" t="str">
        <f ca="1" t="array" ref="E32">INDEX(Data_DBD!$F:$F,$A32)</f>
        <v>Sedang</v>
      </c>
      <c r="H32" s="36">
        <v>91</v>
      </c>
      <c r="I32" s="36">
        <v>35</v>
      </c>
      <c r="J32" s="36">
        <v>1</v>
      </c>
      <c r="K32" s="36">
        <v>1</v>
      </c>
      <c r="L32" s="36" t="s">
        <v>105</v>
      </c>
    </row>
    <row r="33" spans="1:12">
      <c r="A33" s="36">
        <f ca="1" t="shared" si="0"/>
        <v>100</v>
      </c>
      <c r="B33" s="36">
        <f ca="1" t="array" ref="B33">INDEX(Data_DBD!$B:$B,$A33)</f>
        <v>19</v>
      </c>
      <c r="C33" s="36" t="str">
        <f ca="1" t="array" ref="C33">INDEX(Data_DBD!$C:$C,$A33)</f>
        <v>6 Hari</v>
      </c>
      <c r="D33" s="36">
        <f ca="1" t="array" ref="D33">INDEX(Data_DBD!$E:$E,$A33)</f>
        <v>0</v>
      </c>
      <c r="E33" s="36" t="str">
        <f ca="1" t="array" ref="E33">INDEX(Data_DBD!$F:$F,$A33)</f>
        <v>Tinggi</v>
      </c>
      <c r="H33" s="36">
        <v>91</v>
      </c>
      <c r="I33" s="36">
        <v>35</v>
      </c>
      <c r="J33" s="36">
        <v>1</v>
      </c>
      <c r="K33" s="36">
        <v>1</v>
      </c>
      <c r="L33" s="36" t="s">
        <v>105</v>
      </c>
    </row>
    <row r="34" spans="1:12">
      <c r="A34" s="36">
        <f ca="1" t="shared" si="0"/>
        <v>108</v>
      </c>
      <c r="B34" s="36">
        <f ca="1" t="array" ref="B34">INDEX(Data_DBD!$B:$B,$A34)</f>
        <v>69</v>
      </c>
      <c r="C34" s="36" t="str">
        <f ca="1" t="array" ref="C34">INDEX(Data_DBD!$C:$C,$A34)</f>
        <v>7 Hari</v>
      </c>
      <c r="D34" s="36">
        <f ca="1" t="array" ref="D34">INDEX(Data_DBD!$E:$E,$A34)</f>
        <v>1</v>
      </c>
      <c r="E34" s="36" t="str">
        <f ca="1" t="array" ref="E34">INDEX(Data_DBD!$F:$F,$A34)</f>
        <v>Tinggi</v>
      </c>
      <c r="H34" s="36">
        <v>75</v>
      </c>
      <c r="I34" s="36">
        <v>2</v>
      </c>
      <c r="J34" s="36">
        <v>2</v>
      </c>
      <c r="K34" s="36">
        <v>1</v>
      </c>
      <c r="L34" s="36" t="s">
        <v>8</v>
      </c>
    </row>
    <row r="35" spans="1:12">
      <c r="A35" s="36">
        <f ca="1" t="shared" si="0"/>
        <v>13</v>
      </c>
      <c r="B35" s="36">
        <f ca="1" t="array" ref="B35">INDEX(Data_DBD!$B:$B,$A35)</f>
        <v>47</v>
      </c>
      <c r="C35" s="36" t="str">
        <f ca="1" t="array" ref="C35">INDEX(Data_DBD!$C:$C,$A35)</f>
        <v>2 Hari</v>
      </c>
      <c r="D35" s="36">
        <f ca="1" t="array" ref="D35">INDEX(Data_DBD!$E:$E,$A35)</f>
        <v>0</v>
      </c>
      <c r="E35" s="36" t="str">
        <f ca="1" t="array" ref="E35">INDEX(Data_DBD!$F:$F,$A35)</f>
        <v>Sedang</v>
      </c>
      <c r="H35" s="36">
        <v>151</v>
      </c>
      <c r="I35" s="36">
        <v>24</v>
      </c>
      <c r="J35" s="36">
        <v>3</v>
      </c>
      <c r="K35" s="36">
        <v>0</v>
      </c>
      <c r="L35" s="36" t="s">
        <v>105</v>
      </c>
    </row>
    <row r="36" spans="1:12">
      <c r="A36" s="36">
        <f ca="1" t="shared" si="0"/>
        <v>24</v>
      </c>
      <c r="B36" s="36">
        <f ca="1" t="array" ref="B36">INDEX(Data_DBD!$B:$B,$A36)</f>
        <v>60</v>
      </c>
      <c r="C36" s="36" t="str">
        <f ca="1" t="array" ref="C36">INDEX(Data_DBD!$C:$C,$A36)</f>
        <v>4 Hari</v>
      </c>
      <c r="D36" s="36">
        <f ca="1" t="array" ref="D36">INDEX(Data_DBD!$E:$E,$A36)</f>
        <v>0</v>
      </c>
      <c r="E36" s="36" t="str">
        <f ca="1" t="array" ref="E36">INDEX(Data_DBD!$F:$F,$A36)</f>
        <v>Sedang</v>
      </c>
      <c r="H36" s="36">
        <v>80</v>
      </c>
      <c r="I36" s="36">
        <v>27</v>
      </c>
      <c r="J36" s="36">
        <v>3</v>
      </c>
      <c r="K36" s="36">
        <v>1</v>
      </c>
      <c r="L36" s="36" t="s">
        <v>8</v>
      </c>
    </row>
    <row r="37" spans="1:12">
      <c r="A37" s="36">
        <f ca="1" t="shared" si="0"/>
        <v>31</v>
      </c>
      <c r="B37" s="36">
        <f ca="1" t="array" ref="B37">INDEX(Data_DBD!$B:$B,$A37)</f>
        <v>64</v>
      </c>
      <c r="C37" s="36" t="str">
        <f ca="1" t="array" ref="C37">INDEX(Data_DBD!$C:$C,$A37)</f>
        <v>4 Hari</v>
      </c>
      <c r="D37" s="36">
        <f ca="1" t="array" ref="D37">INDEX(Data_DBD!$E:$E,$A37)</f>
        <v>1</v>
      </c>
      <c r="E37" s="36" t="str">
        <f ca="1" t="array" ref="E37">INDEX(Data_DBD!$F:$F,$A37)</f>
        <v>Sedang</v>
      </c>
      <c r="H37" s="36">
        <v>23</v>
      </c>
      <c r="I37" s="36">
        <v>28</v>
      </c>
      <c r="J37" s="36">
        <v>4</v>
      </c>
      <c r="K37" s="36">
        <v>1</v>
      </c>
      <c r="L37" s="36" t="s">
        <v>8</v>
      </c>
    </row>
    <row r="38" spans="1:12">
      <c r="A38" s="36">
        <f ca="1" t="shared" si="0"/>
        <v>27</v>
      </c>
      <c r="B38" s="36">
        <f ca="1" t="array" ref="B38">INDEX(Data_DBD!$B:$B,$A38)</f>
        <v>37</v>
      </c>
      <c r="C38" s="36" t="str">
        <f ca="1" t="array" ref="C38">INDEX(Data_DBD!$C:$C,$A38)</f>
        <v>4 Hari</v>
      </c>
      <c r="D38" s="36">
        <f ca="1" t="array" ref="D38">INDEX(Data_DBD!$E:$E,$A38)</f>
        <v>1</v>
      </c>
      <c r="E38" s="36" t="str">
        <f ca="1" t="array" ref="E38">INDEX(Data_DBD!$F:$F,$A38)</f>
        <v>Sedang</v>
      </c>
      <c r="H38" s="36">
        <v>35</v>
      </c>
      <c r="I38" s="36">
        <v>40</v>
      </c>
      <c r="J38" s="36">
        <v>3</v>
      </c>
      <c r="K38" s="36">
        <v>1</v>
      </c>
      <c r="L38" s="36" t="s">
        <v>26</v>
      </c>
    </row>
    <row r="39" spans="1:12">
      <c r="A39" s="36">
        <f ca="1" t="shared" si="0"/>
        <v>138</v>
      </c>
      <c r="B39" s="36">
        <f ca="1" t="array" ref="B39">INDEX(Data_DBD!$B:$B,$A39)</f>
        <v>13</v>
      </c>
      <c r="C39" s="36" t="str">
        <f ca="1" t="array" ref="C39">INDEX(Data_DBD!$C:$C,$A39)</f>
        <v>3 Hari</v>
      </c>
      <c r="D39" s="36">
        <f ca="1" t="array" ref="D39">INDEX(Data_DBD!$E:$E,$A39)</f>
        <v>1</v>
      </c>
      <c r="E39" s="36" t="str">
        <f ca="1" t="array" ref="E39">INDEX(Data_DBD!$F:$F,$A39)</f>
        <v>Tinggi</v>
      </c>
      <c r="H39" s="36">
        <v>129</v>
      </c>
      <c r="I39" s="36">
        <v>4</v>
      </c>
      <c r="J39" s="36">
        <v>3</v>
      </c>
      <c r="K39" s="36">
        <v>0</v>
      </c>
      <c r="L39" s="36" t="s">
        <v>105</v>
      </c>
    </row>
    <row r="40" spans="1:12">
      <c r="A40" s="36">
        <f ca="1" t="shared" si="0"/>
        <v>19</v>
      </c>
      <c r="B40" s="36">
        <f ca="1" t="array" ref="B40">INDEX(Data_DBD!$B:$B,$A40)</f>
        <v>8</v>
      </c>
      <c r="C40" s="36" t="str">
        <f ca="1" t="array" ref="C40">INDEX(Data_DBD!$C:$C,$A40)</f>
        <v>4 Hari</v>
      </c>
      <c r="D40" s="36">
        <f ca="1" t="array" ref="D40">INDEX(Data_DBD!$E:$E,$A40)</f>
        <v>0</v>
      </c>
      <c r="E40" s="36" t="str">
        <f ca="1" t="array" ref="E40">INDEX(Data_DBD!$F:$F,$A40)</f>
        <v>Rendah</v>
      </c>
      <c r="H40" s="36">
        <v>143</v>
      </c>
      <c r="I40" s="36">
        <v>20</v>
      </c>
      <c r="J40" s="36">
        <v>4</v>
      </c>
      <c r="K40" s="36">
        <v>1</v>
      </c>
      <c r="L40" s="36" t="s">
        <v>105</v>
      </c>
    </row>
    <row r="41" spans="1:12">
      <c r="A41" s="36">
        <f ca="1" t="shared" si="0"/>
        <v>71</v>
      </c>
      <c r="B41" s="36">
        <f ca="1" t="array" ref="B41">INDEX(Data_DBD!$B:$B,$A41)</f>
        <v>84</v>
      </c>
      <c r="C41" s="36" t="str">
        <f ca="1" t="array" ref="C41">INDEX(Data_DBD!$C:$C,$A41)</f>
        <v>3 Hari</v>
      </c>
      <c r="D41" s="36">
        <f ca="1" t="array" ref="D41">INDEX(Data_DBD!$E:$E,$A41)</f>
        <v>0</v>
      </c>
      <c r="E41" s="36" t="str">
        <f ca="1" t="array" ref="E41">INDEX(Data_DBD!$F:$F,$A41)</f>
        <v>Sedang</v>
      </c>
      <c r="H41" s="36">
        <v>53</v>
      </c>
      <c r="I41" s="36">
        <v>35</v>
      </c>
      <c r="J41" s="36">
        <v>4</v>
      </c>
      <c r="K41" s="36">
        <v>1</v>
      </c>
      <c r="L41" s="36" t="s">
        <v>8</v>
      </c>
    </row>
    <row r="42" spans="1:12">
      <c r="A42" s="36">
        <f ca="1" t="shared" si="0"/>
        <v>100</v>
      </c>
      <c r="B42" s="36">
        <f ca="1" t="array" ref="B42">INDEX(Data_DBD!$B:$B,$A42)</f>
        <v>19</v>
      </c>
      <c r="C42" s="36" t="str">
        <f ca="1" t="array" ref="C42">INDEX(Data_DBD!$C:$C,$A42)</f>
        <v>6 Hari</v>
      </c>
      <c r="D42" s="36">
        <f ca="1" t="array" ref="D42">INDEX(Data_DBD!$E:$E,$A42)</f>
        <v>0</v>
      </c>
      <c r="E42" s="36" t="str">
        <f ca="1" t="array" ref="E42">INDEX(Data_DBD!$F:$F,$A42)</f>
        <v>Tinggi</v>
      </c>
      <c r="H42" s="36">
        <v>72</v>
      </c>
      <c r="I42" s="36">
        <v>3</v>
      </c>
      <c r="J42" s="36">
        <v>5</v>
      </c>
      <c r="K42" s="36">
        <v>1</v>
      </c>
      <c r="L42" s="36" t="s">
        <v>8</v>
      </c>
    </row>
    <row r="43" spans="1:12">
      <c r="A43" s="36">
        <f ca="1" t="shared" si="0"/>
        <v>92</v>
      </c>
      <c r="B43" s="36">
        <f ca="1" t="array" ref="B43">INDEX(Data_DBD!$B:$B,$A43)</f>
        <v>55</v>
      </c>
      <c r="C43" s="36" t="str">
        <f ca="1" t="array" ref="C43">INDEX(Data_DBD!$C:$C,$A43)</f>
        <v>7 Hari</v>
      </c>
      <c r="D43" s="36">
        <f ca="1" t="array" ref="D43">INDEX(Data_DBD!$E:$E,$A43)</f>
        <v>0</v>
      </c>
      <c r="E43" s="36" t="str">
        <f ca="1" t="array" ref="E43">INDEX(Data_DBD!$F:$F,$A43)</f>
        <v>Tinggi</v>
      </c>
      <c r="H43" s="36">
        <v>157</v>
      </c>
      <c r="I43" s="36">
        <v>15</v>
      </c>
      <c r="J43" s="36">
        <v>4</v>
      </c>
      <c r="K43" s="36">
        <v>1</v>
      </c>
      <c r="L43" s="36" t="s">
        <v>105</v>
      </c>
    </row>
    <row r="44" spans="1:12">
      <c r="A44" s="36">
        <f ca="1" t="shared" si="0"/>
        <v>137</v>
      </c>
      <c r="B44" s="36">
        <f ca="1" t="array" ref="B44">INDEX(Data_DBD!$B:$B,$A44)</f>
        <v>3.5</v>
      </c>
      <c r="C44" s="36" t="str">
        <f ca="1" t="array" ref="C44">INDEX(Data_DBD!$C:$C,$A44)</f>
        <v>1 Hari</v>
      </c>
      <c r="D44" s="36">
        <f ca="1" t="array" ref="D44">INDEX(Data_DBD!$E:$E,$A44)</f>
        <v>1</v>
      </c>
      <c r="E44" s="36" t="str">
        <f ca="1" t="array" ref="E44">INDEX(Data_DBD!$F:$F,$A44)</f>
        <v>Tinggi</v>
      </c>
      <c r="H44" s="36">
        <v>50</v>
      </c>
      <c r="I44" s="36">
        <v>19</v>
      </c>
      <c r="J44" s="36">
        <v>5</v>
      </c>
      <c r="K44" s="36">
        <v>0</v>
      </c>
      <c r="L44" s="36" t="s">
        <v>8</v>
      </c>
    </row>
    <row r="45" spans="1:12">
      <c r="A45" s="36">
        <f ca="1" t="shared" si="0"/>
        <v>160</v>
      </c>
      <c r="B45" s="36">
        <f ca="1" t="array" ref="B45">INDEX(Data_DBD!$B:$B,$A45)</f>
        <v>16</v>
      </c>
      <c r="C45" s="36" t="str">
        <f ca="1" t="array" ref="C45">INDEX(Data_DBD!$C:$C,$A45)</f>
        <v>3 Hari</v>
      </c>
      <c r="D45" s="36">
        <f ca="1" t="array" ref="D45">INDEX(Data_DBD!$E:$E,$A45)</f>
        <v>0</v>
      </c>
      <c r="E45" s="36" t="str">
        <f ca="1" t="array" ref="E45">INDEX(Data_DBD!$F:$F,$A45)</f>
        <v>Tinggi</v>
      </c>
      <c r="H45" s="36">
        <v>124</v>
      </c>
      <c r="I45" s="36">
        <v>24</v>
      </c>
      <c r="J45" s="36">
        <v>3</v>
      </c>
      <c r="K45" s="36">
        <v>1</v>
      </c>
      <c r="L45" s="36" t="s">
        <v>105</v>
      </c>
    </row>
    <row r="46" spans="1:12">
      <c r="A46" s="36">
        <f ca="1" t="shared" si="0"/>
        <v>38</v>
      </c>
      <c r="B46" s="36">
        <f ca="1" t="array" ref="B46">INDEX(Data_DBD!$B:$B,$A46)</f>
        <v>52</v>
      </c>
      <c r="C46" s="36" t="str">
        <f ca="1" t="array" ref="C46">INDEX(Data_DBD!$C:$C,$A46)</f>
        <v>3 Hari</v>
      </c>
      <c r="D46" s="36">
        <f ca="1" t="array" ref="D46">INDEX(Data_DBD!$E:$E,$A46)</f>
        <v>1</v>
      </c>
      <c r="E46" s="36" t="str">
        <f ca="1" t="array" ref="E46">INDEX(Data_DBD!$F:$F,$A46)</f>
        <v>Rendah</v>
      </c>
      <c r="H46" s="36">
        <v>75</v>
      </c>
      <c r="I46" s="36">
        <v>2</v>
      </c>
      <c r="J46" s="36">
        <v>2</v>
      </c>
      <c r="K46" s="36">
        <v>1</v>
      </c>
      <c r="L46" s="36" t="s">
        <v>8</v>
      </c>
    </row>
    <row r="47" spans="1:12">
      <c r="A47" s="36">
        <f ca="1" t="shared" si="0"/>
        <v>18</v>
      </c>
      <c r="B47" s="36">
        <f ca="1" t="array" ref="B47">INDEX(Data_DBD!$B:$B,$A47)</f>
        <v>49</v>
      </c>
      <c r="C47" s="36" t="str">
        <f ca="1" t="array" ref="C47">INDEX(Data_DBD!$C:$C,$A47)</f>
        <v>4 Hari</v>
      </c>
      <c r="D47" s="36">
        <f ca="1" t="array" ref="D47">INDEX(Data_DBD!$E:$E,$A47)</f>
        <v>1</v>
      </c>
      <c r="E47" s="36" t="str">
        <f ca="1" t="array" ref="E47">INDEX(Data_DBD!$F:$F,$A47)</f>
        <v>Rendah</v>
      </c>
      <c r="H47" s="36">
        <v>147</v>
      </c>
      <c r="I47" s="36">
        <v>66</v>
      </c>
      <c r="J47" s="36">
        <v>10</v>
      </c>
      <c r="K47" s="36">
        <v>1</v>
      </c>
      <c r="L47" s="36" t="s">
        <v>105</v>
      </c>
    </row>
    <row r="48" spans="1:12">
      <c r="A48" s="36">
        <f ca="1" t="shared" si="0"/>
        <v>137</v>
      </c>
      <c r="B48" s="36">
        <f ca="1" t="array" ref="B48">INDEX(Data_DBD!$B:$B,$A48)</f>
        <v>3.5</v>
      </c>
      <c r="C48" s="36" t="str">
        <f ca="1" t="array" ref="C48">INDEX(Data_DBD!$C:$C,$A48)</f>
        <v>1 Hari</v>
      </c>
      <c r="D48" s="36">
        <f ca="1" t="array" ref="D48">INDEX(Data_DBD!$E:$E,$A48)</f>
        <v>1</v>
      </c>
      <c r="E48" s="36" t="str">
        <f ca="1" t="array" ref="E48">INDEX(Data_DBD!$F:$F,$A48)</f>
        <v>Tinggi</v>
      </c>
      <c r="H48" s="36">
        <v>45</v>
      </c>
      <c r="I48" s="36">
        <v>75</v>
      </c>
      <c r="J48" s="36">
        <v>3</v>
      </c>
      <c r="K48" s="36">
        <v>1</v>
      </c>
      <c r="L48" s="36" t="s">
        <v>8</v>
      </c>
    </row>
    <row r="49" spans="1:12">
      <c r="A49" s="36">
        <f ca="1" t="shared" si="0"/>
        <v>100</v>
      </c>
      <c r="B49" s="36">
        <f ca="1" t="array" ref="B49">INDEX(Data_DBD!$B:$B,$A49)</f>
        <v>19</v>
      </c>
      <c r="C49" s="36" t="str">
        <f ca="1" t="array" ref="C49">INDEX(Data_DBD!$C:$C,$A49)</f>
        <v>6 Hari</v>
      </c>
      <c r="D49" s="36">
        <f ca="1" t="array" ref="D49">INDEX(Data_DBD!$E:$E,$A49)</f>
        <v>0</v>
      </c>
      <c r="E49" s="36" t="str">
        <f ca="1" t="array" ref="E49">INDEX(Data_DBD!$F:$F,$A49)</f>
        <v>Tinggi</v>
      </c>
      <c r="H49" s="36">
        <v>163</v>
      </c>
      <c r="I49" s="36">
        <v>34</v>
      </c>
      <c r="J49" s="36">
        <v>4</v>
      </c>
      <c r="K49" s="36">
        <v>1</v>
      </c>
      <c r="L49" s="36" t="s">
        <v>26</v>
      </c>
    </row>
    <row r="50" spans="1:12">
      <c r="A50" s="36">
        <f ca="1" t="shared" si="0"/>
        <v>121</v>
      </c>
      <c r="B50" s="36">
        <f ca="1" t="array" ref="B50">INDEX(Data_DBD!$B:$B,$A50)</f>
        <v>82</v>
      </c>
      <c r="C50" s="36" t="str">
        <f ca="1" t="array" ref="C50">INDEX(Data_DBD!$C:$C,$A50)</f>
        <v>5 Hari</v>
      </c>
      <c r="D50" s="36">
        <f ca="1" t="array" ref="D50">INDEX(Data_DBD!$E:$E,$A50)</f>
        <v>1</v>
      </c>
      <c r="E50" s="36" t="str">
        <f ca="1" t="array" ref="E50">INDEX(Data_DBD!$F:$F,$A50)</f>
        <v>Tinggi</v>
      </c>
      <c r="H50" s="36">
        <v>40</v>
      </c>
      <c r="I50" s="36">
        <v>65</v>
      </c>
      <c r="J50" s="36">
        <v>3</v>
      </c>
      <c r="K50" s="36">
        <v>1</v>
      </c>
      <c r="L50" s="36" t="s">
        <v>8</v>
      </c>
    </row>
    <row r="51" spans="1:12">
      <c r="A51" s="36">
        <f ca="1" t="shared" si="0"/>
        <v>144</v>
      </c>
      <c r="B51" s="36">
        <f ca="1" t="array" ref="B51">INDEX(Data_DBD!$B:$B,$A51)</f>
        <v>61</v>
      </c>
      <c r="C51" s="36" t="str">
        <f ca="1" t="array" ref="C51">INDEX(Data_DBD!$C:$C,$A51)</f>
        <v>4 Hari</v>
      </c>
      <c r="D51" s="36">
        <f ca="1" t="array" ref="D51">INDEX(Data_DBD!$E:$E,$A51)</f>
        <v>1</v>
      </c>
      <c r="E51" s="36" t="str">
        <f ca="1" t="array" ref="E51">INDEX(Data_DBD!$F:$F,$A51)</f>
        <v>Tinggi</v>
      </c>
      <c r="H51" s="36">
        <v>22</v>
      </c>
      <c r="I51" s="36">
        <v>6</v>
      </c>
      <c r="J51" s="36">
        <v>3</v>
      </c>
      <c r="K51" s="36">
        <v>0</v>
      </c>
      <c r="L51" s="36" t="s">
        <v>8</v>
      </c>
    </row>
    <row r="52" spans="1:12">
      <c r="A52" s="36">
        <f ca="1" t="shared" si="0"/>
        <v>21</v>
      </c>
      <c r="B52" s="36">
        <f ca="1" t="array" ref="B52">INDEX(Data_DBD!$B:$B,$A52)</f>
        <v>10</v>
      </c>
      <c r="C52" s="36" t="str">
        <f ca="1" t="array" ref="C52">INDEX(Data_DBD!$C:$C,$A52)</f>
        <v>5 Hari</v>
      </c>
      <c r="D52" s="36">
        <f ca="1" t="array" ref="D52">INDEX(Data_DBD!$E:$E,$A52)</f>
        <v>1</v>
      </c>
      <c r="E52" s="36" t="str">
        <f ca="1" t="array" ref="E52">INDEX(Data_DBD!$F:$F,$A52)</f>
        <v>Sedang</v>
      </c>
      <c r="H52" s="36">
        <v>105</v>
      </c>
      <c r="I52" s="36">
        <v>61</v>
      </c>
      <c r="J52" s="36">
        <v>3</v>
      </c>
      <c r="K52" s="36">
        <v>1</v>
      </c>
      <c r="L52" s="36" t="s">
        <v>105</v>
      </c>
    </row>
    <row r="53" spans="1:12">
      <c r="A53" s="36">
        <f ca="1" t="shared" si="0"/>
        <v>103</v>
      </c>
      <c r="B53" s="36">
        <f ca="1" t="array" ref="B53">INDEX(Data_DBD!$B:$B,$A53)</f>
        <v>22</v>
      </c>
      <c r="C53" s="36" t="str">
        <f ca="1" t="array" ref="C53">INDEX(Data_DBD!$C:$C,$A53)</f>
        <v>5 Hari</v>
      </c>
      <c r="D53" s="36">
        <f ca="1" t="array" ref="D53">INDEX(Data_DBD!$E:$E,$A53)</f>
        <v>0</v>
      </c>
      <c r="E53" s="36" t="str">
        <f ca="1" t="array" ref="E53">INDEX(Data_DBD!$F:$F,$A53)</f>
        <v>Tinggi</v>
      </c>
      <c r="H53" s="36">
        <v>12</v>
      </c>
      <c r="I53" s="36">
        <v>23</v>
      </c>
      <c r="J53" s="36">
        <v>3</v>
      </c>
      <c r="K53" s="36">
        <v>0</v>
      </c>
      <c r="L53" s="36" t="s">
        <v>8</v>
      </c>
    </row>
    <row r="54" spans="1:12">
      <c r="A54" s="36">
        <f ca="1" t="shared" si="0"/>
        <v>121</v>
      </c>
      <c r="B54" s="36">
        <f ca="1" t="array" ref="B54">INDEX(Data_DBD!$B:$B,$A54)</f>
        <v>82</v>
      </c>
      <c r="C54" s="36" t="str">
        <f ca="1" t="array" ref="C54">INDEX(Data_DBD!$C:$C,$A54)</f>
        <v>5 Hari</v>
      </c>
      <c r="D54" s="36">
        <f ca="1" t="array" ref="D54">INDEX(Data_DBD!$E:$E,$A54)</f>
        <v>1</v>
      </c>
      <c r="E54" s="36" t="str">
        <f ca="1" t="array" ref="E54">INDEX(Data_DBD!$F:$F,$A54)</f>
        <v>Tinggi</v>
      </c>
      <c r="H54" s="36">
        <v>155</v>
      </c>
      <c r="I54" s="36">
        <v>19</v>
      </c>
      <c r="J54" s="36">
        <v>5</v>
      </c>
      <c r="K54" s="36">
        <v>1</v>
      </c>
      <c r="L54" s="36" t="s">
        <v>105</v>
      </c>
    </row>
    <row r="55" spans="1:12">
      <c r="A55" s="36">
        <f ca="1" t="shared" si="0"/>
        <v>155</v>
      </c>
      <c r="B55" s="36">
        <f ca="1" t="array" ref="B55">INDEX(Data_DBD!$B:$B,$A55)</f>
        <v>19</v>
      </c>
      <c r="C55" s="36" t="str">
        <f ca="1" t="array" ref="C55">INDEX(Data_DBD!$C:$C,$A55)</f>
        <v>5 Hari</v>
      </c>
      <c r="D55" s="36">
        <f ca="1" t="array" ref="D55">INDEX(Data_DBD!$E:$E,$A55)</f>
        <v>1</v>
      </c>
      <c r="E55" s="36" t="str">
        <f ca="1" t="array" ref="E55">INDEX(Data_DBD!$F:$F,$A55)</f>
        <v>Tinggi</v>
      </c>
      <c r="H55" s="36">
        <v>45</v>
      </c>
      <c r="I55" s="36">
        <v>75</v>
      </c>
      <c r="J55" s="36">
        <v>3</v>
      </c>
      <c r="K55" s="36">
        <v>1</v>
      </c>
      <c r="L55" s="36" t="s">
        <v>8</v>
      </c>
    </row>
    <row r="56" spans="1:12">
      <c r="A56" s="36">
        <f ca="1" t="shared" si="0"/>
        <v>164</v>
      </c>
      <c r="B56" s="36">
        <f ca="1" t="array" ref="B56">INDEX(Data_DBD!$B:$B,$A56)</f>
        <v>10</v>
      </c>
      <c r="C56" s="36" t="str">
        <f ca="1" t="array" ref="C56">INDEX(Data_DBD!$C:$C,$A56)</f>
        <v>6 Hari</v>
      </c>
      <c r="D56" s="36">
        <f ca="1" t="array" ref="D56">INDEX(Data_DBD!$E:$E,$A56)</f>
        <v>0</v>
      </c>
      <c r="E56" s="36" t="str">
        <f ca="1" t="array" ref="E56">INDEX(Data_DBD!$F:$F,$A56)</f>
        <v>Rendah</v>
      </c>
      <c r="H56" s="36">
        <v>91</v>
      </c>
      <c r="I56" s="36">
        <v>35</v>
      </c>
      <c r="J56" s="36">
        <v>1</v>
      </c>
      <c r="K56" s="36">
        <v>1</v>
      </c>
      <c r="L56" s="36" t="s">
        <v>105</v>
      </c>
    </row>
    <row r="57" spans="1:12">
      <c r="A57" s="36">
        <f ca="1" t="shared" si="0"/>
        <v>25</v>
      </c>
      <c r="B57" s="36">
        <f ca="1" t="array" ref="B57">INDEX(Data_DBD!$B:$B,$A57)</f>
        <v>81</v>
      </c>
      <c r="C57" s="36" t="str">
        <f ca="1" t="array" ref="C57">INDEX(Data_DBD!$C:$C,$A57)</f>
        <v>5 Hari</v>
      </c>
      <c r="D57" s="36">
        <f ca="1" t="array" ref="D57">INDEX(Data_DBD!$E:$E,$A57)</f>
        <v>0</v>
      </c>
      <c r="E57" s="36" t="str">
        <f ca="1" t="array" ref="E57">INDEX(Data_DBD!$F:$F,$A57)</f>
        <v>Sedang</v>
      </c>
      <c r="H57" s="36">
        <v>60</v>
      </c>
      <c r="I57" s="36">
        <v>68</v>
      </c>
      <c r="J57" s="36">
        <v>4</v>
      </c>
      <c r="K57" s="36">
        <v>0</v>
      </c>
      <c r="L57" s="36" t="s">
        <v>8</v>
      </c>
    </row>
    <row r="58" spans="1:12">
      <c r="A58" s="36">
        <f ca="1" t="shared" si="0"/>
        <v>108</v>
      </c>
      <c r="B58" s="36">
        <f ca="1" t="array" ref="B58">INDEX(Data_DBD!$B:$B,$A58)</f>
        <v>69</v>
      </c>
      <c r="C58" s="36" t="str">
        <f ca="1" t="array" ref="C58">INDEX(Data_DBD!$C:$C,$A58)</f>
        <v>7 Hari</v>
      </c>
      <c r="D58" s="36">
        <f ca="1" t="array" ref="D58">INDEX(Data_DBD!$E:$E,$A58)</f>
        <v>1</v>
      </c>
      <c r="E58" s="36" t="str">
        <f ca="1" t="array" ref="E58">INDEX(Data_DBD!$F:$F,$A58)</f>
        <v>Tinggi</v>
      </c>
      <c r="H58" s="36">
        <v>76</v>
      </c>
      <c r="I58" s="36">
        <v>70</v>
      </c>
      <c r="J58" s="36">
        <v>2</v>
      </c>
      <c r="K58" s="36">
        <v>0</v>
      </c>
      <c r="L58" s="36" t="s">
        <v>8</v>
      </c>
    </row>
    <row r="59" spans="1:12">
      <c r="A59" s="36">
        <f ca="1" t="shared" si="0"/>
        <v>17</v>
      </c>
      <c r="B59" s="36">
        <f ca="1" t="array" ref="B59">INDEX(Data_DBD!$B:$B,$A59)</f>
        <v>2</v>
      </c>
      <c r="C59" s="36" t="str">
        <f ca="1" t="array" ref="C59">INDEX(Data_DBD!$C:$C,$A59)</f>
        <v>3 Hari</v>
      </c>
      <c r="D59" s="36">
        <f ca="1" t="array" ref="D59">INDEX(Data_DBD!$E:$E,$A59)</f>
        <v>0</v>
      </c>
      <c r="E59" s="36" t="str">
        <f ca="1" t="array" ref="E59">INDEX(Data_DBD!$F:$F,$A59)</f>
        <v>Rendah</v>
      </c>
      <c r="H59" s="36">
        <v>82</v>
      </c>
      <c r="I59" s="36">
        <v>28</v>
      </c>
      <c r="J59" s="36">
        <v>3</v>
      </c>
      <c r="K59" s="36">
        <v>1</v>
      </c>
      <c r="L59" s="36" t="s">
        <v>8</v>
      </c>
    </row>
    <row r="60" spans="1:12">
      <c r="A60" s="36">
        <f ca="1" t="shared" si="0"/>
        <v>137</v>
      </c>
      <c r="B60" s="36">
        <f ca="1" t="array" ref="B60">INDEX(Data_DBD!$B:$B,$A60)</f>
        <v>3.5</v>
      </c>
      <c r="C60" s="36" t="str">
        <f ca="1" t="array" ref="C60">INDEX(Data_DBD!$C:$C,$A60)</f>
        <v>1 Hari</v>
      </c>
      <c r="D60" s="36">
        <f ca="1" t="array" ref="D60">INDEX(Data_DBD!$E:$E,$A60)</f>
        <v>1</v>
      </c>
      <c r="E60" s="36" t="str">
        <f ca="1" t="array" ref="E60">INDEX(Data_DBD!$F:$F,$A60)</f>
        <v>Tinggi</v>
      </c>
      <c r="H60" s="36">
        <v>154</v>
      </c>
      <c r="I60" s="36">
        <v>18</v>
      </c>
      <c r="J60" s="36">
        <v>5</v>
      </c>
      <c r="K60" s="36">
        <v>1</v>
      </c>
      <c r="L60" s="36" t="s">
        <v>105</v>
      </c>
    </row>
    <row r="61" spans="1:12">
      <c r="A61" s="36">
        <f ca="1" t="shared" si="0"/>
        <v>164</v>
      </c>
      <c r="B61" s="36">
        <f ca="1" t="array" ref="B61">INDEX(Data_DBD!$B:$B,$A61)</f>
        <v>10</v>
      </c>
      <c r="C61" s="36" t="str">
        <f ca="1" t="array" ref="C61">INDEX(Data_DBD!$C:$C,$A61)</f>
        <v>6 Hari</v>
      </c>
      <c r="D61" s="36">
        <f ca="1" t="array" ref="D61">INDEX(Data_DBD!$E:$E,$A61)</f>
        <v>0</v>
      </c>
      <c r="E61" s="36" t="str">
        <f ca="1" t="array" ref="E61">INDEX(Data_DBD!$F:$F,$A61)</f>
        <v>Rendah</v>
      </c>
      <c r="H61" s="36">
        <v>63</v>
      </c>
      <c r="I61" s="36">
        <v>25</v>
      </c>
      <c r="J61" s="36">
        <v>3</v>
      </c>
      <c r="K61" s="36">
        <v>0</v>
      </c>
      <c r="L61" s="36" t="s">
        <v>8</v>
      </c>
    </row>
    <row r="62" spans="1:12">
      <c r="A62" s="36">
        <f ca="1" t="shared" si="0"/>
        <v>137</v>
      </c>
      <c r="B62" s="36">
        <f ca="1" t="array" ref="B62">INDEX(Data_DBD!$B:$B,$A62)</f>
        <v>3.5</v>
      </c>
      <c r="C62" s="36" t="str">
        <f ca="1" t="array" ref="C62">INDEX(Data_DBD!$C:$C,$A62)</f>
        <v>1 Hari</v>
      </c>
      <c r="D62" s="36">
        <f ca="1" t="array" ref="D62">INDEX(Data_DBD!$E:$E,$A62)</f>
        <v>1</v>
      </c>
      <c r="E62" s="36" t="str">
        <f ca="1" t="array" ref="E62">INDEX(Data_DBD!$F:$F,$A62)</f>
        <v>Tinggi</v>
      </c>
      <c r="H62" s="36">
        <v>17</v>
      </c>
      <c r="I62" s="36">
        <v>2</v>
      </c>
      <c r="J62" s="36">
        <v>3</v>
      </c>
      <c r="K62" s="36">
        <v>0</v>
      </c>
      <c r="L62" s="36" t="s">
        <v>26</v>
      </c>
    </row>
    <row r="63" spans="1:12">
      <c r="A63" s="36">
        <f ca="1" t="shared" si="0"/>
        <v>128</v>
      </c>
      <c r="B63" s="36">
        <f ca="1" t="array" ref="B63">INDEX(Data_DBD!$B:$B,$A63)</f>
        <v>38</v>
      </c>
      <c r="C63" s="36" t="str">
        <f ca="1" t="array" ref="C63">INDEX(Data_DBD!$C:$C,$A63)</f>
        <v>2 Hari</v>
      </c>
      <c r="D63" s="36">
        <f ca="1" t="array" ref="D63">INDEX(Data_DBD!$E:$E,$A63)</f>
        <v>0</v>
      </c>
      <c r="E63" s="36" t="str">
        <f ca="1" t="array" ref="E63">INDEX(Data_DBD!$F:$F,$A63)</f>
        <v>Tinggi</v>
      </c>
      <c r="H63" s="36">
        <v>157</v>
      </c>
      <c r="I63" s="36">
        <v>15</v>
      </c>
      <c r="J63" s="36">
        <v>4</v>
      </c>
      <c r="K63" s="36">
        <v>1</v>
      </c>
      <c r="L63" s="36" t="s">
        <v>105</v>
      </c>
    </row>
    <row r="64" spans="1:12">
      <c r="A64" s="36">
        <f ca="1" t="shared" si="0"/>
        <v>70</v>
      </c>
      <c r="B64" s="36">
        <f ca="1" t="array" ref="B64">INDEX(Data_DBD!$B:$B,$A64)</f>
        <v>26</v>
      </c>
      <c r="C64" s="36" t="str">
        <f ca="1" t="array" ref="C64">INDEX(Data_DBD!$C:$C,$A64)</f>
        <v>3 Hari</v>
      </c>
      <c r="D64" s="36">
        <f ca="1" t="array" ref="D64">INDEX(Data_DBD!$E:$E,$A64)</f>
        <v>1</v>
      </c>
      <c r="E64" s="36" t="str">
        <f ca="1" t="array" ref="E64">INDEX(Data_DBD!$F:$F,$A64)</f>
        <v>Sedang</v>
      </c>
      <c r="H64" s="36">
        <v>123</v>
      </c>
      <c r="I64" s="36">
        <v>22</v>
      </c>
      <c r="J64" s="36">
        <v>4</v>
      </c>
      <c r="K64" s="36">
        <v>0</v>
      </c>
      <c r="L64" s="36" t="s">
        <v>105</v>
      </c>
    </row>
    <row r="65" spans="1:12">
      <c r="A65" s="36">
        <f ca="1" t="shared" si="0"/>
        <v>39</v>
      </c>
      <c r="B65" s="36">
        <f ca="1" t="array" ref="B65">INDEX(Data_DBD!$B:$B,$A65)</f>
        <v>12</v>
      </c>
      <c r="C65" s="36" t="str">
        <f ca="1" t="array" ref="C65">INDEX(Data_DBD!$C:$C,$A65)</f>
        <v>5 Hari</v>
      </c>
      <c r="D65" s="36">
        <f ca="1" t="array" ref="D65">INDEX(Data_DBD!$E:$E,$A65)</f>
        <v>1</v>
      </c>
      <c r="E65" s="36" t="str">
        <f ca="1" t="array" ref="E65">INDEX(Data_DBD!$F:$F,$A65)</f>
        <v>Sedang</v>
      </c>
      <c r="H65" s="36">
        <v>3</v>
      </c>
      <c r="I65" s="36">
        <v>43</v>
      </c>
      <c r="J65" s="36">
        <v>3</v>
      </c>
      <c r="K65" s="36">
        <v>1</v>
      </c>
      <c r="L65" s="36" t="s">
        <v>8</v>
      </c>
    </row>
    <row r="66" spans="1:12">
      <c r="A66" s="36">
        <f ca="1" t="shared" si="0"/>
        <v>128</v>
      </c>
      <c r="B66" s="36">
        <f ca="1" t="array" ref="B66">INDEX(Data_DBD!$B:$B,$A66)</f>
        <v>38</v>
      </c>
      <c r="C66" s="36" t="str">
        <f ca="1" t="array" ref="C66">INDEX(Data_DBD!$C:$C,$A66)</f>
        <v>2 Hari</v>
      </c>
      <c r="D66" s="36">
        <f ca="1" t="array" ref="D66">INDEX(Data_DBD!$E:$E,$A66)</f>
        <v>0</v>
      </c>
      <c r="E66" s="36" t="str">
        <f ca="1" t="array" ref="E66">INDEX(Data_DBD!$F:$F,$A66)</f>
        <v>Tinggi</v>
      </c>
      <c r="H66" s="36">
        <v>32</v>
      </c>
      <c r="I66" s="36">
        <v>54</v>
      </c>
      <c r="J66" s="36">
        <v>4</v>
      </c>
      <c r="K66" s="36">
        <v>0</v>
      </c>
      <c r="L66" s="36" t="s">
        <v>8</v>
      </c>
    </row>
    <row r="67" spans="1:12">
      <c r="A67" s="36">
        <f ca="1" t="shared" ref="A67:A130" si="1">RANDBETWEEN(2,164)</f>
        <v>65</v>
      </c>
      <c r="B67" s="36">
        <f ca="1" t="array" ref="B67">INDEX(Data_DBD!$B:$B,$A67)</f>
        <v>49</v>
      </c>
      <c r="C67" s="36" t="str">
        <f ca="1" t="array" ref="C67">INDEX(Data_DBD!$C:$C,$A67)</f>
        <v>3 Hari</v>
      </c>
      <c r="D67" s="36">
        <f ca="1" t="array" ref="D67">INDEX(Data_DBD!$E:$E,$A67)</f>
        <v>0</v>
      </c>
      <c r="E67" s="36" t="str">
        <f ca="1" t="array" ref="E67">INDEX(Data_DBD!$F:$F,$A67)</f>
        <v>Sedang</v>
      </c>
      <c r="H67" s="36">
        <v>121</v>
      </c>
      <c r="I67" s="36">
        <v>82</v>
      </c>
      <c r="J67" s="36">
        <v>5</v>
      </c>
      <c r="K67" s="36">
        <v>1</v>
      </c>
      <c r="L67" s="36" t="s">
        <v>105</v>
      </c>
    </row>
    <row r="68" spans="1:12">
      <c r="A68" s="36">
        <f ca="1" t="shared" si="1"/>
        <v>121</v>
      </c>
      <c r="B68" s="36">
        <f ca="1" t="array" ref="B68">INDEX(Data_DBD!$B:$B,$A68)</f>
        <v>82</v>
      </c>
      <c r="C68" s="36" t="str">
        <f ca="1" t="array" ref="C68">INDEX(Data_DBD!$C:$C,$A68)</f>
        <v>5 Hari</v>
      </c>
      <c r="D68" s="36">
        <f ca="1" t="array" ref="D68">INDEX(Data_DBD!$E:$E,$A68)</f>
        <v>1</v>
      </c>
      <c r="E68" s="36" t="str">
        <f ca="1" t="array" ref="E68">INDEX(Data_DBD!$F:$F,$A68)</f>
        <v>Tinggi</v>
      </c>
      <c r="H68" s="36">
        <v>60</v>
      </c>
      <c r="I68" s="36">
        <v>68</v>
      </c>
      <c r="J68" s="36">
        <v>4</v>
      </c>
      <c r="K68" s="36">
        <v>0</v>
      </c>
      <c r="L68" s="36" t="s">
        <v>8</v>
      </c>
    </row>
    <row r="69" spans="1:12">
      <c r="A69" s="36">
        <f ca="1" t="shared" si="1"/>
        <v>100</v>
      </c>
      <c r="B69" s="36">
        <f ca="1" t="array" ref="B69">INDEX(Data_DBD!$B:$B,$A69)</f>
        <v>19</v>
      </c>
      <c r="C69" s="36" t="str">
        <f ca="1" t="array" ref="C69">INDEX(Data_DBD!$C:$C,$A69)</f>
        <v>6 Hari</v>
      </c>
      <c r="D69" s="36">
        <f ca="1" t="array" ref="D69">INDEX(Data_DBD!$E:$E,$A69)</f>
        <v>0</v>
      </c>
      <c r="E69" s="36" t="str">
        <f ca="1" t="array" ref="E69">INDEX(Data_DBD!$F:$F,$A69)</f>
        <v>Tinggi</v>
      </c>
      <c r="H69" s="36">
        <v>15</v>
      </c>
      <c r="I69" s="36">
        <v>21</v>
      </c>
      <c r="J69" s="36">
        <v>2</v>
      </c>
      <c r="K69" s="36">
        <v>0</v>
      </c>
      <c r="L69" s="36" t="s">
        <v>26</v>
      </c>
    </row>
    <row r="70" spans="1:12">
      <c r="A70" s="36">
        <f ca="1" t="shared" si="1"/>
        <v>22</v>
      </c>
      <c r="B70" s="36">
        <f ca="1" t="array" ref="B70">INDEX(Data_DBD!$B:$B,$A70)</f>
        <v>6</v>
      </c>
      <c r="C70" s="36" t="str">
        <f ca="1" t="array" ref="C70">INDEX(Data_DBD!$C:$C,$A70)</f>
        <v>3 Hari</v>
      </c>
      <c r="D70" s="36">
        <f ca="1" t="array" ref="D70">INDEX(Data_DBD!$E:$E,$A70)</f>
        <v>0</v>
      </c>
      <c r="E70" s="36" t="str">
        <f ca="1" t="array" ref="E70">INDEX(Data_DBD!$F:$F,$A70)</f>
        <v>Sedang</v>
      </c>
      <c r="H70" s="36">
        <v>122</v>
      </c>
      <c r="I70" s="36">
        <v>28</v>
      </c>
      <c r="J70" s="36">
        <v>3</v>
      </c>
      <c r="K70" s="36">
        <v>1</v>
      </c>
      <c r="L70" s="36" t="s">
        <v>105</v>
      </c>
    </row>
    <row r="71" spans="1:12">
      <c r="A71" s="36">
        <f ca="1" t="shared" si="1"/>
        <v>27</v>
      </c>
      <c r="B71" s="36">
        <f ca="1" t="array" ref="B71">INDEX(Data_DBD!$B:$B,$A71)</f>
        <v>37</v>
      </c>
      <c r="C71" s="36" t="str">
        <f ca="1" t="array" ref="C71">INDEX(Data_DBD!$C:$C,$A71)</f>
        <v>4 Hari</v>
      </c>
      <c r="D71" s="36">
        <f ca="1" t="array" ref="D71">INDEX(Data_DBD!$E:$E,$A71)</f>
        <v>1</v>
      </c>
      <c r="E71" s="36" t="str">
        <f ca="1" t="array" ref="E71">INDEX(Data_DBD!$F:$F,$A71)</f>
        <v>Sedang</v>
      </c>
      <c r="H71" s="36">
        <v>61</v>
      </c>
      <c r="I71" s="36">
        <v>29</v>
      </c>
      <c r="J71" s="36">
        <v>3</v>
      </c>
      <c r="K71" s="36">
        <v>1</v>
      </c>
      <c r="L71" s="36" t="s">
        <v>8</v>
      </c>
    </row>
    <row r="72" spans="1:12">
      <c r="A72" s="36">
        <f ca="1" t="shared" si="1"/>
        <v>3</v>
      </c>
      <c r="B72" s="36">
        <f ca="1" t="array" ref="B72">INDEX(Data_DBD!$B:$B,$A72)</f>
        <v>43</v>
      </c>
      <c r="C72" s="36" t="str">
        <f ca="1" t="array" ref="C72">INDEX(Data_DBD!$C:$C,$A72)</f>
        <v>3 Hari</v>
      </c>
      <c r="D72" s="36">
        <f ca="1" t="array" ref="D72">INDEX(Data_DBD!$E:$E,$A72)</f>
        <v>1</v>
      </c>
      <c r="E72" s="36" t="str">
        <f ca="1" t="array" ref="E72">INDEX(Data_DBD!$F:$F,$A72)</f>
        <v>Sedang</v>
      </c>
      <c r="H72" s="36">
        <v>74</v>
      </c>
      <c r="I72" s="36">
        <v>9</v>
      </c>
      <c r="J72" s="36">
        <v>4</v>
      </c>
      <c r="K72" s="36">
        <v>0</v>
      </c>
      <c r="L72" s="36" t="s">
        <v>8</v>
      </c>
    </row>
    <row r="73" spans="1:12">
      <c r="A73" s="36">
        <f ca="1" t="shared" si="1"/>
        <v>98</v>
      </c>
      <c r="B73" s="36">
        <f ca="1" t="array" ref="B73">INDEX(Data_DBD!$B:$B,$A73)</f>
        <v>16</v>
      </c>
      <c r="C73" s="36" t="str">
        <f ca="1" t="array" ref="C73">INDEX(Data_DBD!$C:$C,$A73)</f>
        <v>2 Hari</v>
      </c>
      <c r="D73" s="36">
        <f ca="1" t="array" ref="D73">INDEX(Data_DBD!$E:$E,$A73)</f>
        <v>1</v>
      </c>
      <c r="E73" s="36" t="str">
        <f ca="1" t="array" ref="E73">INDEX(Data_DBD!$F:$F,$A73)</f>
        <v>Tinggi</v>
      </c>
      <c r="H73" s="36">
        <v>54</v>
      </c>
      <c r="I73" s="36">
        <v>7</v>
      </c>
      <c r="J73" s="36">
        <v>3</v>
      </c>
      <c r="K73" s="36">
        <v>0</v>
      </c>
      <c r="L73" s="36" t="s">
        <v>8</v>
      </c>
    </row>
    <row r="74" spans="1:12">
      <c r="A74" s="36">
        <f ca="1" t="shared" si="1"/>
        <v>18</v>
      </c>
      <c r="B74" s="36">
        <f ca="1" t="array" ref="B74">INDEX(Data_DBD!$B:$B,$A74)</f>
        <v>49</v>
      </c>
      <c r="C74" s="36" t="str">
        <f ca="1" t="array" ref="C74">INDEX(Data_DBD!$C:$C,$A74)</f>
        <v>4 Hari</v>
      </c>
      <c r="D74" s="36">
        <f ca="1" t="array" ref="D74">INDEX(Data_DBD!$E:$E,$A74)</f>
        <v>1</v>
      </c>
      <c r="E74" s="36" t="str">
        <f ca="1" t="array" ref="E74">INDEX(Data_DBD!$F:$F,$A74)</f>
        <v>Rendah</v>
      </c>
      <c r="H74" s="36">
        <v>86</v>
      </c>
      <c r="I74" s="36">
        <v>23</v>
      </c>
      <c r="J74" s="36">
        <v>3</v>
      </c>
      <c r="K74" s="36">
        <v>0</v>
      </c>
      <c r="L74" s="36" t="s">
        <v>8</v>
      </c>
    </row>
    <row r="75" spans="1:12">
      <c r="A75" s="36">
        <f ca="1" t="shared" si="1"/>
        <v>102</v>
      </c>
      <c r="B75" s="36">
        <f ca="1" t="array" ref="B75">INDEX(Data_DBD!$B:$B,$A75)</f>
        <v>41</v>
      </c>
      <c r="C75" s="36" t="str">
        <f ca="1" t="array" ref="C75">INDEX(Data_DBD!$C:$C,$A75)</f>
        <v>4 Hari</v>
      </c>
      <c r="D75" s="36">
        <f ca="1" t="array" ref="D75">INDEX(Data_DBD!$E:$E,$A75)</f>
        <v>0</v>
      </c>
      <c r="E75" s="36" t="str">
        <f ca="1" t="array" ref="E75">INDEX(Data_DBD!$F:$F,$A75)</f>
        <v>Tinggi</v>
      </c>
      <c r="H75" s="36">
        <v>136</v>
      </c>
      <c r="I75" s="36">
        <v>6</v>
      </c>
      <c r="J75" s="36">
        <v>2</v>
      </c>
      <c r="K75" s="36">
        <v>0</v>
      </c>
      <c r="L75" s="36" t="s">
        <v>105</v>
      </c>
    </row>
    <row r="76" spans="1:12">
      <c r="A76" s="36">
        <f ca="1" t="shared" si="1"/>
        <v>147</v>
      </c>
      <c r="B76" s="36">
        <f ca="1" t="array" ref="B76">INDEX(Data_DBD!$B:$B,$A76)</f>
        <v>66</v>
      </c>
      <c r="C76" s="36" t="str">
        <f ca="1" t="array" ref="C76">INDEX(Data_DBD!$C:$C,$A76)</f>
        <v>10 Hari</v>
      </c>
      <c r="D76" s="36">
        <f ca="1" t="array" ref="D76">INDEX(Data_DBD!$E:$E,$A76)</f>
        <v>1</v>
      </c>
      <c r="E76" s="36" t="str">
        <f ca="1" t="array" ref="E76">INDEX(Data_DBD!$F:$F,$A76)</f>
        <v>Tinggi</v>
      </c>
      <c r="H76" s="36">
        <v>47</v>
      </c>
      <c r="I76" s="36">
        <v>19</v>
      </c>
      <c r="J76" s="36">
        <v>2</v>
      </c>
      <c r="K76" s="36">
        <v>0</v>
      </c>
      <c r="L76" s="36" t="s">
        <v>8</v>
      </c>
    </row>
    <row r="77" spans="1:12">
      <c r="A77" s="36">
        <f ca="1" t="shared" si="1"/>
        <v>103</v>
      </c>
      <c r="B77" s="36">
        <f ca="1" t="array" ref="B77">INDEX(Data_DBD!$B:$B,$A77)</f>
        <v>22</v>
      </c>
      <c r="C77" s="36" t="str">
        <f ca="1" t="array" ref="C77">INDEX(Data_DBD!$C:$C,$A77)</f>
        <v>5 Hari</v>
      </c>
      <c r="D77" s="36">
        <f ca="1" t="array" ref="D77">INDEX(Data_DBD!$E:$E,$A77)</f>
        <v>0</v>
      </c>
      <c r="E77" s="36" t="str">
        <f ca="1" t="array" ref="E77">INDEX(Data_DBD!$F:$F,$A77)</f>
        <v>Tinggi</v>
      </c>
      <c r="H77" s="36">
        <v>161</v>
      </c>
      <c r="I77" s="36">
        <v>12</v>
      </c>
      <c r="J77" s="36">
        <v>3</v>
      </c>
      <c r="K77" s="36">
        <v>1</v>
      </c>
      <c r="L77" s="36" t="s">
        <v>105</v>
      </c>
    </row>
    <row r="78" spans="1:12">
      <c r="A78" s="36">
        <f ca="1" t="shared" si="1"/>
        <v>31</v>
      </c>
      <c r="B78" s="36">
        <f ca="1" t="array" ref="B78">INDEX(Data_DBD!$B:$B,$A78)</f>
        <v>64</v>
      </c>
      <c r="C78" s="36" t="str">
        <f ca="1" t="array" ref="C78">INDEX(Data_DBD!$C:$C,$A78)</f>
        <v>4 Hari</v>
      </c>
      <c r="D78" s="36">
        <f ca="1" t="array" ref="D78">INDEX(Data_DBD!$E:$E,$A78)</f>
        <v>1</v>
      </c>
      <c r="E78" s="36" t="str">
        <f ca="1" t="array" ref="E78">INDEX(Data_DBD!$F:$F,$A78)</f>
        <v>Sedang</v>
      </c>
      <c r="H78" s="36">
        <v>110</v>
      </c>
      <c r="I78" s="36">
        <v>42</v>
      </c>
      <c r="J78" s="36">
        <v>2</v>
      </c>
      <c r="K78" s="36">
        <v>1</v>
      </c>
      <c r="L78" s="36" t="s">
        <v>105</v>
      </c>
    </row>
    <row r="79" spans="1:12">
      <c r="A79" s="36">
        <f ca="1" t="shared" si="1"/>
        <v>121</v>
      </c>
      <c r="B79" s="36">
        <f ca="1" t="array" ref="B79">INDEX(Data_DBD!$B:$B,$A79)</f>
        <v>82</v>
      </c>
      <c r="C79" s="36" t="str">
        <f ca="1" t="array" ref="C79">INDEX(Data_DBD!$C:$C,$A79)</f>
        <v>5 Hari</v>
      </c>
      <c r="D79" s="36">
        <f ca="1" t="array" ref="D79">INDEX(Data_DBD!$E:$E,$A79)</f>
        <v>1</v>
      </c>
      <c r="E79" s="36" t="str">
        <f ca="1" t="array" ref="E79">INDEX(Data_DBD!$F:$F,$A79)</f>
        <v>Tinggi</v>
      </c>
      <c r="H79" s="36">
        <v>102</v>
      </c>
      <c r="I79" s="36">
        <v>41</v>
      </c>
      <c r="J79" s="36">
        <v>4</v>
      </c>
      <c r="K79" s="36">
        <v>0</v>
      </c>
      <c r="L79" s="36" t="s">
        <v>105</v>
      </c>
    </row>
    <row r="80" spans="1:12">
      <c r="A80" s="36">
        <f ca="1" t="shared" si="1"/>
        <v>124</v>
      </c>
      <c r="B80" s="36">
        <f ca="1" t="array" ref="B80">INDEX(Data_DBD!$B:$B,$A80)</f>
        <v>24</v>
      </c>
      <c r="C80" s="36" t="str">
        <f ca="1" t="array" ref="C80">INDEX(Data_DBD!$C:$C,$A80)</f>
        <v>3 Hari</v>
      </c>
      <c r="D80" s="36">
        <f ca="1" t="array" ref="D80">INDEX(Data_DBD!$E:$E,$A80)</f>
        <v>1</v>
      </c>
      <c r="E80" s="36" t="str">
        <f ca="1" t="array" ref="E80">INDEX(Data_DBD!$F:$F,$A80)</f>
        <v>Tinggi</v>
      </c>
      <c r="H80" s="36">
        <v>121</v>
      </c>
      <c r="I80" s="36">
        <v>82</v>
      </c>
      <c r="J80" s="36">
        <v>5</v>
      </c>
      <c r="K80" s="36">
        <v>1</v>
      </c>
      <c r="L80" s="36" t="s">
        <v>105</v>
      </c>
    </row>
    <row r="81" spans="1:12">
      <c r="A81" s="36">
        <f ca="1" t="shared" si="1"/>
        <v>159</v>
      </c>
      <c r="B81" s="36">
        <f ca="1" t="array" ref="B81">INDEX(Data_DBD!$B:$B,$A81)</f>
        <v>17</v>
      </c>
      <c r="C81" s="36" t="str">
        <f ca="1" t="array" ref="C81">INDEX(Data_DBD!$C:$C,$A81)</f>
        <v>2 Hari</v>
      </c>
      <c r="D81" s="36">
        <f ca="1" t="array" ref="D81">INDEX(Data_DBD!$E:$E,$A81)</f>
        <v>0</v>
      </c>
      <c r="E81" s="36" t="str">
        <f ca="1" t="array" ref="E81">INDEX(Data_DBD!$F:$F,$A81)</f>
        <v>Tinggi</v>
      </c>
      <c r="H81" s="36">
        <v>56</v>
      </c>
      <c r="I81" s="36">
        <v>4</v>
      </c>
      <c r="J81" s="36">
        <v>3</v>
      </c>
      <c r="K81" s="36">
        <v>0</v>
      </c>
      <c r="L81" s="36" t="s">
        <v>8</v>
      </c>
    </row>
    <row r="82" spans="1:12">
      <c r="A82" s="36">
        <f ca="1" t="shared" si="1"/>
        <v>77</v>
      </c>
      <c r="B82" s="36">
        <f ca="1" t="array" ref="B82">INDEX(Data_DBD!$B:$B,$A82)</f>
        <v>16</v>
      </c>
      <c r="C82" s="36" t="str">
        <f ca="1" t="array" ref="C82">INDEX(Data_DBD!$C:$C,$A82)</f>
        <v>4 Hari</v>
      </c>
      <c r="D82" s="36">
        <f ca="1" t="array" ref="D82">INDEX(Data_DBD!$E:$E,$A82)</f>
        <v>1</v>
      </c>
      <c r="E82" s="36" t="str">
        <f ca="1" t="array" ref="E82">INDEX(Data_DBD!$F:$F,$A82)</f>
        <v>Sedang</v>
      </c>
      <c r="H82" s="36">
        <v>4</v>
      </c>
      <c r="I82" s="36">
        <v>23</v>
      </c>
      <c r="J82" s="36">
        <v>5</v>
      </c>
      <c r="K82" s="36">
        <v>0</v>
      </c>
      <c r="L82" s="36" t="s">
        <v>8</v>
      </c>
    </row>
    <row r="83" spans="1:12">
      <c r="A83" s="36">
        <f ca="1" t="shared" si="1"/>
        <v>126</v>
      </c>
      <c r="B83" s="36">
        <f ca="1" t="array" ref="B83">INDEX(Data_DBD!$B:$B,$A83)</f>
        <v>51</v>
      </c>
      <c r="C83" s="36" t="str">
        <f ca="1" t="array" ref="C83">INDEX(Data_DBD!$C:$C,$A83)</f>
        <v>3 Hari</v>
      </c>
      <c r="D83" s="36">
        <f ca="1" t="array" ref="D83">INDEX(Data_DBD!$E:$E,$A83)</f>
        <v>1</v>
      </c>
      <c r="E83" s="36" t="str">
        <f ca="1" t="array" ref="E83">INDEX(Data_DBD!$F:$F,$A83)</f>
        <v>Tinggi</v>
      </c>
      <c r="H83" s="36">
        <v>90</v>
      </c>
      <c r="I83" s="36">
        <v>47</v>
      </c>
      <c r="J83" s="36">
        <v>3</v>
      </c>
      <c r="K83" s="36">
        <v>0</v>
      </c>
      <c r="L83" s="36" t="s">
        <v>105</v>
      </c>
    </row>
    <row r="84" spans="1:12">
      <c r="A84" s="36">
        <f ca="1" t="shared" si="1"/>
        <v>102</v>
      </c>
      <c r="B84" s="36">
        <f ca="1" t="array" ref="B84">INDEX(Data_DBD!$B:$B,$A84)</f>
        <v>41</v>
      </c>
      <c r="C84" s="36" t="str">
        <f ca="1" t="array" ref="C84">INDEX(Data_DBD!$C:$C,$A84)</f>
        <v>4 Hari</v>
      </c>
      <c r="D84" s="36">
        <f ca="1" t="array" ref="D84">INDEX(Data_DBD!$E:$E,$A84)</f>
        <v>0</v>
      </c>
      <c r="E84" s="36" t="str">
        <f ca="1" t="array" ref="E84">INDEX(Data_DBD!$F:$F,$A84)</f>
        <v>Tinggi</v>
      </c>
      <c r="H84" s="36">
        <v>69</v>
      </c>
      <c r="I84" s="36">
        <v>24</v>
      </c>
      <c r="J84" s="36">
        <v>4</v>
      </c>
      <c r="K84" s="36">
        <v>1</v>
      </c>
      <c r="L84" s="36" t="s">
        <v>8</v>
      </c>
    </row>
    <row r="85" spans="1:12">
      <c r="A85" s="36">
        <f ca="1" t="shared" si="1"/>
        <v>100</v>
      </c>
      <c r="B85" s="36">
        <f ca="1" t="array" ref="B85">INDEX(Data_DBD!$B:$B,$A85)</f>
        <v>19</v>
      </c>
      <c r="C85" s="36" t="str">
        <f ca="1" t="array" ref="C85">INDEX(Data_DBD!$C:$C,$A85)</f>
        <v>6 Hari</v>
      </c>
      <c r="D85" s="36">
        <f ca="1" t="array" ref="D85">INDEX(Data_DBD!$E:$E,$A85)</f>
        <v>0</v>
      </c>
      <c r="E85" s="36" t="str">
        <f ca="1" t="array" ref="E85">INDEX(Data_DBD!$F:$F,$A85)</f>
        <v>Tinggi</v>
      </c>
      <c r="H85" s="36">
        <v>112</v>
      </c>
      <c r="I85" s="36">
        <v>61</v>
      </c>
      <c r="J85" s="36">
        <v>3</v>
      </c>
      <c r="K85" s="36">
        <v>1</v>
      </c>
      <c r="L85" s="36" t="s">
        <v>105</v>
      </c>
    </row>
    <row r="86" spans="1:12">
      <c r="A86" s="36">
        <f ca="1" t="shared" si="1"/>
        <v>81</v>
      </c>
      <c r="B86" s="36">
        <f ca="1" t="array" ref="B86">INDEX(Data_DBD!$B:$B,$A86)</f>
        <v>23</v>
      </c>
      <c r="C86" s="36" t="str">
        <f ca="1" t="array" ref="C86">INDEX(Data_DBD!$C:$C,$A86)</f>
        <v>5 Hari</v>
      </c>
      <c r="D86" s="36">
        <f ca="1" t="array" ref="D86">INDEX(Data_DBD!$E:$E,$A86)</f>
        <v>1</v>
      </c>
      <c r="E86" s="36" t="str">
        <f ca="1" t="array" ref="E86">INDEX(Data_DBD!$F:$F,$A86)</f>
        <v>Sedang</v>
      </c>
      <c r="H86" s="36">
        <v>94</v>
      </c>
      <c r="I86" s="36">
        <v>12</v>
      </c>
      <c r="J86" s="36">
        <v>4</v>
      </c>
      <c r="K86" s="36">
        <v>0</v>
      </c>
      <c r="L86" s="36" t="s">
        <v>105</v>
      </c>
    </row>
    <row r="87" spans="1:12">
      <c r="A87" s="36">
        <f ca="1" t="shared" si="1"/>
        <v>24</v>
      </c>
      <c r="B87" s="36">
        <f ca="1" t="array" ref="B87">INDEX(Data_DBD!$B:$B,$A87)</f>
        <v>60</v>
      </c>
      <c r="C87" s="36" t="str">
        <f ca="1" t="array" ref="C87">INDEX(Data_DBD!$C:$C,$A87)</f>
        <v>4 Hari</v>
      </c>
      <c r="D87" s="36">
        <f ca="1" t="array" ref="D87">INDEX(Data_DBD!$E:$E,$A87)</f>
        <v>0</v>
      </c>
      <c r="E87" s="36" t="str">
        <f ca="1" t="array" ref="E87">INDEX(Data_DBD!$F:$F,$A87)</f>
        <v>Sedang</v>
      </c>
      <c r="H87" s="36">
        <v>143</v>
      </c>
      <c r="I87" s="36">
        <v>20</v>
      </c>
      <c r="J87" s="36">
        <v>4</v>
      </c>
      <c r="K87" s="36">
        <v>1</v>
      </c>
      <c r="L87" s="36" t="s">
        <v>105</v>
      </c>
    </row>
    <row r="88" spans="1:12">
      <c r="A88" s="36">
        <f ca="1" t="shared" si="1"/>
        <v>55</v>
      </c>
      <c r="B88" s="36">
        <f ca="1" t="array" ref="B88">INDEX(Data_DBD!$B:$B,$A88)</f>
        <v>7</v>
      </c>
      <c r="C88" s="36" t="str">
        <f ca="1" t="array" ref="C88">INDEX(Data_DBD!$C:$C,$A88)</f>
        <v>4 Hari</v>
      </c>
      <c r="D88" s="36">
        <f ca="1" t="array" ref="D88">INDEX(Data_DBD!$E:$E,$A88)</f>
        <v>1</v>
      </c>
      <c r="E88" s="36" t="str">
        <f ca="1" t="array" ref="E88">INDEX(Data_DBD!$F:$F,$A88)</f>
        <v>Sedang</v>
      </c>
      <c r="H88" s="36">
        <v>94</v>
      </c>
      <c r="I88" s="36">
        <v>12</v>
      </c>
      <c r="J88" s="36">
        <v>4</v>
      </c>
      <c r="K88" s="36">
        <v>0</v>
      </c>
      <c r="L88" s="36" t="s">
        <v>105</v>
      </c>
    </row>
    <row r="89" spans="1:12">
      <c r="A89" s="36">
        <f ca="1" t="shared" si="1"/>
        <v>122</v>
      </c>
      <c r="B89" s="36">
        <f ca="1" t="array" ref="B89">INDEX(Data_DBD!$B:$B,$A89)</f>
        <v>28</v>
      </c>
      <c r="C89" s="36" t="str">
        <f ca="1" t="array" ref="C89">INDEX(Data_DBD!$C:$C,$A89)</f>
        <v>3 Hari</v>
      </c>
      <c r="D89" s="36">
        <f ca="1" t="array" ref="D89">INDEX(Data_DBD!$E:$E,$A89)</f>
        <v>1</v>
      </c>
      <c r="E89" s="36" t="str">
        <f ca="1" t="array" ref="E89">INDEX(Data_DBD!$F:$F,$A89)</f>
        <v>Tinggi</v>
      </c>
      <c r="H89" s="36">
        <v>53</v>
      </c>
      <c r="I89" s="36">
        <v>35</v>
      </c>
      <c r="J89" s="36">
        <v>4</v>
      </c>
      <c r="K89" s="36">
        <v>1</v>
      </c>
      <c r="L89" s="36" t="s">
        <v>8</v>
      </c>
    </row>
    <row r="90" spans="1:12">
      <c r="A90" s="36">
        <f ca="1" t="shared" si="1"/>
        <v>94</v>
      </c>
      <c r="B90" s="36">
        <f ca="1" t="array" ref="B90">INDEX(Data_DBD!$B:$B,$A90)</f>
        <v>12</v>
      </c>
      <c r="C90" s="36" t="str">
        <f ca="1" t="array" ref="C90">INDEX(Data_DBD!$C:$C,$A90)</f>
        <v>4 Hari</v>
      </c>
      <c r="D90" s="36">
        <f ca="1" t="array" ref="D90">INDEX(Data_DBD!$E:$E,$A90)</f>
        <v>0</v>
      </c>
      <c r="E90" s="36" t="str">
        <f ca="1" t="array" ref="E90">INDEX(Data_DBD!$F:$F,$A90)</f>
        <v>Tinggi</v>
      </c>
      <c r="H90" s="36">
        <v>52</v>
      </c>
      <c r="I90" s="36">
        <v>59</v>
      </c>
      <c r="J90" s="36">
        <v>4</v>
      </c>
      <c r="K90" s="36">
        <v>1</v>
      </c>
      <c r="L90" s="36" t="s">
        <v>8</v>
      </c>
    </row>
    <row r="91" spans="1:12">
      <c r="A91" s="36">
        <f ca="1" t="shared" si="1"/>
        <v>56</v>
      </c>
      <c r="B91" s="36">
        <f ca="1" t="array" ref="B91">INDEX(Data_DBD!$B:$B,$A91)</f>
        <v>4</v>
      </c>
      <c r="C91" s="36" t="str">
        <f ca="1" t="array" ref="C91">INDEX(Data_DBD!$C:$C,$A91)</f>
        <v>3 Hari</v>
      </c>
      <c r="D91" s="36">
        <f ca="1" t="array" ref="D91">INDEX(Data_DBD!$E:$E,$A91)</f>
        <v>0</v>
      </c>
      <c r="E91" s="36" t="str">
        <f ca="1" t="array" ref="E91">INDEX(Data_DBD!$F:$F,$A91)</f>
        <v>Sedang</v>
      </c>
      <c r="H91" s="36">
        <v>94</v>
      </c>
      <c r="I91" s="36">
        <v>12</v>
      </c>
      <c r="J91" s="36">
        <v>4</v>
      </c>
      <c r="K91" s="36">
        <v>0</v>
      </c>
      <c r="L91" s="36" t="s">
        <v>105</v>
      </c>
    </row>
    <row r="92" spans="1:12">
      <c r="A92" s="36">
        <f ca="1" t="shared" si="1"/>
        <v>121</v>
      </c>
      <c r="B92" s="36">
        <f ca="1" t="array" ref="B92">INDEX(Data_DBD!$B:$B,$A92)</f>
        <v>82</v>
      </c>
      <c r="C92" s="36" t="str">
        <f ca="1" t="array" ref="C92">INDEX(Data_DBD!$C:$C,$A92)</f>
        <v>5 Hari</v>
      </c>
      <c r="D92" s="36">
        <f ca="1" t="array" ref="D92">INDEX(Data_DBD!$E:$E,$A92)</f>
        <v>1</v>
      </c>
      <c r="E92" s="36" t="str">
        <f ca="1" t="array" ref="E92">INDEX(Data_DBD!$F:$F,$A92)</f>
        <v>Tinggi</v>
      </c>
      <c r="H92" s="36">
        <v>34</v>
      </c>
      <c r="I92" s="36">
        <v>55</v>
      </c>
      <c r="J92" s="36">
        <v>3</v>
      </c>
      <c r="K92" s="36">
        <v>0</v>
      </c>
      <c r="L92" s="36" t="s">
        <v>8</v>
      </c>
    </row>
    <row r="93" spans="1:12">
      <c r="A93" s="36">
        <f ca="1" t="shared" si="1"/>
        <v>27</v>
      </c>
      <c r="B93" s="36">
        <f ca="1" t="array" ref="B93">INDEX(Data_DBD!$B:$B,$A93)</f>
        <v>37</v>
      </c>
      <c r="C93" s="36" t="str">
        <f ca="1" t="array" ref="C93">INDEX(Data_DBD!$C:$C,$A93)</f>
        <v>4 Hari</v>
      </c>
      <c r="D93" s="36">
        <f ca="1" t="array" ref="D93">INDEX(Data_DBD!$E:$E,$A93)</f>
        <v>1</v>
      </c>
      <c r="E93" s="36" t="str">
        <f ca="1" t="array" ref="E93">INDEX(Data_DBD!$F:$F,$A93)</f>
        <v>Sedang</v>
      </c>
      <c r="H93" s="36">
        <v>23</v>
      </c>
      <c r="I93" s="36">
        <v>28</v>
      </c>
      <c r="J93" s="36">
        <v>4</v>
      </c>
      <c r="K93" s="36">
        <v>1</v>
      </c>
      <c r="L93" s="36" t="s">
        <v>8</v>
      </c>
    </row>
    <row r="94" spans="1:12">
      <c r="A94" s="36">
        <f ca="1" t="shared" si="1"/>
        <v>121</v>
      </c>
      <c r="B94" s="36">
        <f ca="1" t="array" ref="B94">INDEX(Data_DBD!$B:$B,$A94)</f>
        <v>82</v>
      </c>
      <c r="C94" s="36" t="str">
        <f ca="1" t="array" ref="C94">INDEX(Data_DBD!$C:$C,$A94)</f>
        <v>5 Hari</v>
      </c>
      <c r="D94" s="36">
        <f ca="1" t="array" ref="D94">INDEX(Data_DBD!$E:$E,$A94)</f>
        <v>1</v>
      </c>
      <c r="E94" s="36" t="str">
        <f ca="1" t="array" ref="E94">INDEX(Data_DBD!$F:$F,$A94)</f>
        <v>Tinggi</v>
      </c>
      <c r="H94" s="36">
        <v>24</v>
      </c>
      <c r="I94" s="36">
        <v>60</v>
      </c>
      <c r="J94" s="36">
        <v>4</v>
      </c>
      <c r="K94" s="36">
        <v>0</v>
      </c>
      <c r="L94" s="36" t="s">
        <v>8</v>
      </c>
    </row>
    <row r="95" spans="1:12">
      <c r="A95" s="36">
        <f ca="1" t="shared" si="1"/>
        <v>121</v>
      </c>
      <c r="B95" s="36">
        <f ca="1" t="array" ref="B95">INDEX(Data_DBD!$B:$B,$A95)</f>
        <v>82</v>
      </c>
      <c r="C95" s="36" t="str">
        <f ca="1" t="array" ref="C95">INDEX(Data_DBD!$C:$C,$A95)</f>
        <v>5 Hari</v>
      </c>
      <c r="D95" s="36">
        <f ca="1" t="array" ref="D95">INDEX(Data_DBD!$E:$E,$A95)</f>
        <v>1</v>
      </c>
      <c r="E95" s="36" t="str">
        <f ca="1" t="array" ref="E95">INDEX(Data_DBD!$F:$F,$A95)</f>
        <v>Tinggi</v>
      </c>
      <c r="H95" s="36">
        <v>10</v>
      </c>
      <c r="I95" s="36">
        <v>18</v>
      </c>
      <c r="J95" s="36">
        <v>5</v>
      </c>
      <c r="K95" s="36">
        <v>0</v>
      </c>
      <c r="L95" s="36" t="s">
        <v>8</v>
      </c>
    </row>
    <row r="96" spans="1:12">
      <c r="A96" s="36">
        <f ca="1" t="shared" si="1"/>
        <v>5</v>
      </c>
      <c r="B96" s="36">
        <f ca="1" t="array" ref="B96">INDEX(Data_DBD!$B:$B,$A96)</f>
        <v>18</v>
      </c>
      <c r="C96" s="36" t="str">
        <f ca="1" t="array" ref="C96">INDEX(Data_DBD!$C:$C,$A96)</f>
        <v>2 Hari</v>
      </c>
      <c r="D96" s="36">
        <f ca="1" t="array" ref="D96">INDEX(Data_DBD!$E:$E,$A96)</f>
        <v>1</v>
      </c>
      <c r="E96" s="36" t="str">
        <f ca="1" t="array" ref="E96">INDEX(Data_DBD!$F:$F,$A96)</f>
        <v>Sedang</v>
      </c>
      <c r="H96" s="36">
        <v>32</v>
      </c>
      <c r="I96" s="36">
        <v>54</v>
      </c>
      <c r="J96" s="36">
        <v>4</v>
      </c>
      <c r="K96" s="36">
        <v>0</v>
      </c>
      <c r="L96" s="36" t="s">
        <v>8</v>
      </c>
    </row>
    <row r="97" spans="1:12">
      <c r="A97" s="36">
        <f ca="1" t="shared" si="1"/>
        <v>50</v>
      </c>
      <c r="B97" s="36">
        <f ca="1" t="array" ref="B97">INDEX(Data_DBD!$B:$B,$A97)</f>
        <v>19</v>
      </c>
      <c r="C97" s="36" t="str">
        <f ca="1" t="array" ref="C97">INDEX(Data_DBD!$C:$C,$A97)</f>
        <v>5 Hari</v>
      </c>
      <c r="D97" s="36">
        <f ca="1" t="array" ref="D97">INDEX(Data_DBD!$E:$E,$A97)</f>
        <v>0</v>
      </c>
      <c r="E97" s="36" t="str">
        <f ca="1" t="array" ref="E97">INDEX(Data_DBD!$F:$F,$A97)</f>
        <v>Sedang</v>
      </c>
      <c r="H97" s="36">
        <v>56</v>
      </c>
      <c r="I97" s="36">
        <v>4</v>
      </c>
      <c r="J97" s="36">
        <v>3</v>
      </c>
      <c r="K97" s="36">
        <v>0</v>
      </c>
      <c r="L97" s="36" t="s">
        <v>8</v>
      </c>
    </row>
    <row r="98" spans="1:12">
      <c r="A98" s="36">
        <f ca="1" t="shared" si="1"/>
        <v>131</v>
      </c>
      <c r="B98" s="36">
        <f ca="1" t="array" ref="B98">INDEX(Data_DBD!$B:$B,$A98)</f>
        <v>10</v>
      </c>
      <c r="C98" s="36" t="str">
        <f ca="1" t="array" ref="C98">INDEX(Data_DBD!$C:$C,$A98)</f>
        <v>2 Hari</v>
      </c>
      <c r="D98" s="36">
        <f ca="1" t="array" ref="D98">INDEX(Data_DBD!$E:$E,$A98)</f>
        <v>0</v>
      </c>
      <c r="E98" s="36" t="str">
        <f ca="1" t="array" ref="E98">INDEX(Data_DBD!$F:$F,$A98)</f>
        <v>Tinggi</v>
      </c>
      <c r="H98" s="36">
        <v>37</v>
      </c>
      <c r="I98" s="36">
        <v>28</v>
      </c>
      <c r="J98" s="36">
        <v>4</v>
      </c>
      <c r="K98" s="36">
        <v>1</v>
      </c>
      <c r="L98" s="36" t="s">
        <v>26</v>
      </c>
    </row>
    <row r="99" spans="1:12">
      <c r="A99" s="36">
        <f ca="1" t="shared" si="1"/>
        <v>108</v>
      </c>
      <c r="B99" s="36">
        <f ca="1" t="array" ref="B99">INDEX(Data_DBD!$B:$B,$A99)</f>
        <v>69</v>
      </c>
      <c r="C99" s="36" t="str">
        <f ca="1" t="array" ref="C99">INDEX(Data_DBD!$C:$C,$A99)</f>
        <v>7 Hari</v>
      </c>
      <c r="D99" s="36">
        <f ca="1" t="array" ref="D99">INDEX(Data_DBD!$E:$E,$A99)</f>
        <v>1</v>
      </c>
      <c r="E99" s="36" t="str">
        <f ca="1" t="array" ref="E99">INDEX(Data_DBD!$F:$F,$A99)</f>
        <v>Tinggi</v>
      </c>
      <c r="H99" s="36">
        <v>49</v>
      </c>
      <c r="I99" s="36">
        <v>64</v>
      </c>
      <c r="J99" s="36">
        <v>5</v>
      </c>
      <c r="K99" s="36">
        <v>0</v>
      </c>
      <c r="L99" s="36" t="s">
        <v>8</v>
      </c>
    </row>
    <row r="100" spans="1:12">
      <c r="A100" s="36">
        <f ca="1" t="shared" si="1"/>
        <v>162</v>
      </c>
      <c r="B100" s="36">
        <f ca="1" t="array" ref="B100">INDEX(Data_DBD!$B:$B,$A100)</f>
        <v>22</v>
      </c>
      <c r="C100" s="36" t="str">
        <f ca="1" t="array" ref="C100">INDEX(Data_DBD!$C:$C,$A100)</f>
        <v>3 Hari</v>
      </c>
      <c r="D100" s="36">
        <f ca="1" t="array" ref="D100">INDEX(Data_DBD!$E:$E,$A100)</f>
        <v>1</v>
      </c>
      <c r="E100" s="36" t="str">
        <f ca="1" t="array" ref="E100">INDEX(Data_DBD!$F:$F,$A100)</f>
        <v>Rendah</v>
      </c>
      <c r="H100" s="36">
        <v>62</v>
      </c>
      <c r="I100" s="36">
        <v>43</v>
      </c>
      <c r="J100" s="36">
        <v>4</v>
      </c>
      <c r="K100" s="36">
        <v>1</v>
      </c>
      <c r="L100" s="36" t="s">
        <v>8</v>
      </c>
    </row>
    <row r="101" spans="1:12">
      <c r="A101" s="36">
        <f ca="1" t="shared" si="1"/>
        <v>63</v>
      </c>
      <c r="B101" s="36">
        <f ca="1" t="array" ref="B101">INDEX(Data_DBD!$B:$B,$A101)</f>
        <v>25</v>
      </c>
      <c r="C101" s="36" t="str">
        <f ca="1" t="array" ref="C101">INDEX(Data_DBD!$C:$C,$A101)</f>
        <v>3 Hari</v>
      </c>
      <c r="D101" s="36">
        <f ca="1" t="array" ref="D101">INDEX(Data_DBD!$E:$E,$A101)</f>
        <v>0</v>
      </c>
      <c r="E101" s="36" t="str">
        <f ca="1" t="array" ref="E101">INDEX(Data_DBD!$F:$F,$A101)</f>
        <v>Sedang</v>
      </c>
      <c r="H101" s="36">
        <v>57</v>
      </c>
      <c r="I101" s="36">
        <v>2</v>
      </c>
      <c r="J101" s="36">
        <v>2</v>
      </c>
      <c r="K101" s="36">
        <v>1</v>
      </c>
      <c r="L101" s="36" t="s">
        <v>8</v>
      </c>
    </row>
    <row r="102" spans="1:12">
      <c r="A102" s="36">
        <f ca="1" t="shared" si="1"/>
        <v>117</v>
      </c>
      <c r="B102" s="36">
        <f ca="1" t="array" ref="B102">INDEX(Data_DBD!$B:$B,$A102)</f>
        <v>49</v>
      </c>
      <c r="C102" s="36" t="str">
        <f ca="1" t="array" ref="C102">INDEX(Data_DBD!$C:$C,$A102)</f>
        <v>4 Hari</v>
      </c>
      <c r="D102" s="36">
        <f ca="1" t="array" ref="D102">INDEX(Data_DBD!$E:$E,$A102)</f>
        <v>1</v>
      </c>
      <c r="E102" s="36" t="str">
        <f ca="1" t="array" ref="E102">INDEX(Data_DBD!$F:$F,$A102)</f>
        <v>Tinggi</v>
      </c>
      <c r="H102" s="36">
        <v>18</v>
      </c>
      <c r="I102" s="36">
        <v>49</v>
      </c>
      <c r="J102" s="36">
        <v>4</v>
      </c>
      <c r="K102" s="36">
        <v>1</v>
      </c>
      <c r="L102" s="36" t="s">
        <v>26</v>
      </c>
    </row>
    <row r="103" spans="1:12">
      <c r="A103" s="36">
        <f ca="1" t="shared" si="1"/>
        <v>164</v>
      </c>
      <c r="B103" s="36">
        <f ca="1" t="array" ref="B103">INDEX(Data_DBD!$B:$B,$A103)</f>
        <v>10</v>
      </c>
      <c r="C103" s="36" t="str">
        <f ca="1" t="array" ref="C103">INDEX(Data_DBD!$C:$C,$A103)</f>
        <v>6 Hari</v>
      </c>
      <c r="D103" s="36">
        <f ca="1" t="array" ref="D103">INDEX(Data_DBD!$E:$E,$A103)</f>
        <v>0</v>
      </c>
      <c r="E103" s="36" t="str">
        <f ca="1" t="array" ref="E103">INDEX(Data_DBD!$F:$F,$A103)</f>
        <v>Rendah</v>
      </c>
      <c r="H103" s="36">
        <v>138</v>
      </c>
      <c r="I103" s="36">
        <v>13</v>
      </c>
      <c r="J103" s="36">
        <v>3</v>
      </c>
      <c r="K103" s="36">
        <v>1</v>
      </c>
      <c r="L103" s="36" t="s">
        <v>105</v>
      </c>
    </row>
    <row r="104" spans="1:12">
      <c r="A104" s="36">
        <f ca="1" t="shared" si="1"/>
        <v>148</v>
      </c>
      <c r="B104" s="36">
        <f ca="1" t="array" ref="B104">INDEX(Data_DBD!$B:$B,$A104)</f>
        <v>55</v>
      </c>
      <c r="C104" s="36" t="str">
        <f ca="1" t="array" ref="C104">INDEX(Data_DBD!$C:$C,$A104)</f>
        <v>3 Hari</v>
      </c>
      <c r="D104" s="36">
        <f ca="1" t="array" ref="D104">INDEX(Data_DBD!$E:$E,$A104)</f>
        <v>1</v>
      </c>
      <c r="E104" s="36" t="str">
        <f ca="1" t="array" ref="E104">INDEX(Data_DBD!$F:$F,$A104)</f>
        <v>Tinggi</v>
      </c>
      <c r="H104" s="36">
        <v>42</v>
      </c>
      <c r="I104" s="36">
        <v>21</v>
      </c>
      <c r="J104" s="36">
        <v>5</v>
      </c>
      <c r="K104" s="36">
        <v>1</v>
      </c>
      <c r="L104" s="36" t="s">
        <v>8</v>
      </c>
    </row>
    <row r="105" spans="1:12">
      <c r="A105" s="36">
        <f ca="1" t="shared" si="1"/>
        <v>101</v>
      </c>
      <c r="B105" s="36">
        <f ca="1" t="array" ref="B105">INDEX(Data_DBD!$B:$B,$A105)</f>
        <v>42</v>
      </c>
      <c r="C105" s="36" t="str">
        <f ca="1" t="array" ref="C105">INDEX(Data_DBD!$C:$C,$A105)</f>
        <v>5 Hari</v>
      </c>
      <c r="D105" s="36">
        <f ca="1" t="array" ref="D105">INDEX(Data_DBD!$E:$E,$A105)</f>
        <v>0</v>
      </c>
      <c r="E105" s="36" t="str">
        <f ca="1" t="array" ref="E105">INDEX(Data_DBD!$F:$F,$A105)</f>
        <v>Tinggi</v>
      </c>
      <c r="H105" s="36">
        <v>20</v>
      </c>
      <c r="I105" s="36">
        <v>15</v>
      </c>
      <c r="J105" s="36">
        <v>5</v>
      </c>
      <c r="K105" s="36">
        <v>0</v>
      </c>
      <c r="L105" s="36" t="s">
        <v>26</v>
      </c>
    </row>
    <row r="106" spans="1:12">
      <c r="A106" s="36">
        <f ca="1" t="shared" si="1"/>
        <v>13</v>
      </c>
      <c r="B106" s="36">
        <f ca="1" t="array" ref="B106">INDEX(Data_DBD!$B:$B,$A106)</f>
        <v>47</v>
      </c>
      <c r="C106" s="36" t="str">
        <f ca="1" t="array" ref="C106">INDEX(Data_DBD!$C:$C,$A106)</f>
        <v>2 Hari</v>
      </c>
      <c r="D106" s="36">
        <f ca="1" t="array" ref="D106">INDEX(Data_DBD!$E:$E,$A106)</f>
        <v>0</v>
      </c>
      <c r="E106" s="36" t="str">
        <f ca="1" t="array" ref="E106">INDEX(Data_DBD!$F:$F,$A106)</f>
        <v>Sedang</v>
      </c>
      <c r="H106" s="36">
        <v>37</v>
      </c>
      <c r="I106" s="36">
        <v>28</v>
      </c>
      <c r="J106" s="36">
        <v>4</v>
      </c>
      <c r="K106" s="36">
        <v>1</v>
      </c>
      <c r="L106" s="36" t="s">
        <v>26</v>
      </c>
    </row>
    <row r="107" spans="1:12">
      <c r="A107" s="36">
        <f ca="1" t="shared" si="1"/>
        <v>123</v>
      </c>
      <c r="B107" s="36">
        <f ca="1" t="array" ref="B107">INDEX(Data_DBD!$B:$B,$A107)</f>
        <v>22</v>
      </c>
      <c r="C107" s="36" t="str">
        <f ca="1" t="array" ref="C107">INDEX(Data_DBD!$C:$C,$A107)</f>
        <v>4 Hari</v>
      </c>
      <c r="D107" s="36">
        <f ca="1" t="array" ref="D107">INDEX(Data_DBD!$E:$E,$A107)</f>
        <v>0</v>
      </c>
      <c r="E107" s="36" t="str">
        <f ca="1" t="array" ref="E107">INDEX(Data_DBD!$F:$F,$A107)</f>
        <v>Tinggi</v>
      </c>
      <c r="H107" s="36">
        <v>43</v>
      </c>
      <c r="I107" s="36">
        <v>15</v>
      </c>
      <c r="J107" s="36">
        <v>4</v>
      </c>
      <c r="K107" s="36">
        <v>0</v>
      </c>
      <c r="L107" s="36" t="s">
        <v>8</v>
      </c>
    </row>
    <row r="108" spans="1:12">
      <c r="A108" s="36">
        <f ca="1" t="shared" si="1"/>
        <v>27</v>
      </c>
      <c r="B108" s="36">
        <f ca="1" t="array" ref="B108">INDEX(Data_DBD!$B:$B,$A108)</f>
        <v>37</v>
      </c>
      <c r="C108" s="36" t="str">
        <f ca="1" t="array" ref="C108">INDEX(Data_DBD!$C:$C,$A108)</f>
        <v>4 Hari</v>
      </c>
      <c r="D108" s="36">
        <f ca="1" t="array" ref="D108">INDEX(Data_DBD!$E:$E,$A108)</f>
        <v>1</v>
      </c>
      <c r="E108" s="36" t="str">
        <f ca="1" t="array" ref="E108">INDEX(Data_DBD!$F:$F,$A108)</f>
        <v>Sedang</v>
      </c>
      <c r="H108" s="36">
        <v>65</v>
      </c>
      <c r="I108" s="36">
        <v>49</v>
      </c>
      <c r="J108" s="36">
        <v>3</v>
      </c>
      <c r="K108" s="36">
        <v>0</v>
      </c>
      <c r="L108" s="36" t="s">
        <v>8</v>
      </c>
    </row>
    <row r="109" spans="1:12">
      <c r="A109" s="36">
        <f ca="1" t="shared" si="1"/>
        <v>161</v>
      </c>
      <c r="B109" s="36">
        <f ca="1" t="array" ref="B109">INDEX(Data_DBD!$B:$B,$A109)</f>
        <v>12</v>
      </c>
      <c r="C109" s="36" t="str">
        <f ca="1" t="array" ref="C109">INDEX(Data_DBD!$C:$C,$A109)</f>
        <v>3 Hari</v>
      </c>
      <c r="D109" s="36">
        <f ca="1" t="array" ref="D109">INDEX(Data_DBD!$E:$E,$A109)</f>
        <v>1</v>
      </c>
      <c r="E109" s="36" t="str">
        <f ca="1" t="array" ref="E109">INDEX(Data_DBD!$F:$F,$A109)</f>
        <v>Tinggi</v>
      </c>
      <c r="H109" s="36">
        <v>140</v>
      </c>
      <c r="I109" s="36">
        <v>74</v>
      </c>
      <c r="J109" s="36">
        <v>5</v>
      </c>
      <c r="K109" s="36">
        <v>1</v>
      </c>
      <c r="L109" s="36" t="s">
        <v>105</v>
      </c>
    </row>
    <row r="110" spans="1:12">
      <c r="A110" s="36">
        <f ca="1" t="shared" si="1"/>
        <v>38</v>
      </c>
      <c r="B110" s="36">
        <f ca="1" t="array" ref="B110">INDEX(Data_DBD!$B:$B,$A110)</f>
        <v>52</v>
      </c>
      <c r="C110" s="36" t="str">
        <f ca="1" t="array" ref="C110">INDEX(Data_DBD!$C:$C,$A110)</f>
        <v>3 Hari</v>
      </c>
      <c r="D110" s="36">
        <f ca="1" t="array" ref="D110">INDEX(Data_DBD!$E:$E,$A110)</f>
        <v>1</v>
      </c>
      <c r="E110" s="36" t="str">
        <f ca="1" t="array" ref="E110">INDEX(Data_DBD!$F:$F,$A110)</f>
        <v>Rendah</v>
      </c>
      <c r="H110" s="36">
        <v>68</v>
      </c>
      <c r="I110" s="36">
        <v>44</v>
      </c>
      <c r="J110" s="36">
        <v>5</v>
      </c>
      <c r="K110" s="36">
        <v>0</v>
      </c>
      <c r="L110" s="36" t="s">
        <v>8</v>
      </c>
    </row>
    <row r="111" spans="1:12">
      <c r="A111" s="36">
        <f ca="1" t="shared" si="1"/>
        <v>3</v>
      </c>
      <c r="B111" s="36">
        <f ca="1" t="array" ref="B111">INDEX(Data_DBD!$B:$B,$A111)</f>
        <v>43</v>
      </c>
      <c r="C111" s="36" t="str">
        <f ca="1" t="array" ref="C111">INDEX(Data_DBD!$C:$C,$A111)</f>
        <v>3 Hari</v>
      </c>
      <c r="D111" s="36">
        <f ca="1" t="array" ref="D111">INDEX(Data_DBD!$E:$E,$A111)</f>
        <v>1</v>
      </c>
      <c r="E111" s="36" t="str">
        <f ca="1" t="array" ref="E111">INDEX(Data_DBD!$F:$F,$A111)</f>
        <v>Sedang</v>
      </c>
      <c r="H111" s="36">
        <v>90</v>
      </c>
      <c r="I111" s="36">
        <v>47</v>
      </c>
      <c r="J111" s="36">
        <v>3</v>
      </c>
      <c r="K111" s="36">
        <v>0</v>
      </c>
      <c r="L111" s="36" t="s">
        <v>105</v>
      </c>
    </row>
    <row r="112" spans="1:12">
      <c r="A112" s="36">
        <f ca="1" t="shared" si="1"/>
        <v>117</v>
      </c>
      <c r="B112" s="36">
        <f ca="1" t="array" ref="B112">INDEX(Data_DBD!$B:$B,$A112)</f>
        <v>49</v>
      </c>
      <c r="C112" s="36" t="str">
        <f ca="1" t="array" ref="C112">INDEX(Data_DBD!$C:$C,$A112)</f>
        <v>4 Hari</v>
      </c>
      <c r="D112" s="36">
        <f ca="1" t="array" ref="D112">INDEX(Data_DBD!$E:$E,$A112)</f>
        <v>1</v>
      </c>
      <c r="E112" s="36" t="str">
        <f ca="1" t="array" ref="E112">INDEX(Data_DBD!$F:$F,$A112)</f>
        <v>Tinggi</v>
      </c>
      <c r="H112" s="36">
        <v>45</v>
      </c>
      <c r="I112" s="36">
        <v>75</v>
      </c>
      <c r="J112" s="36">
        <v>3</v>
      </c>
      <c r="K112" s="36">
        <v>1</v>
      </c>
      <c r="L112" s="36" t="s">
        <v>8</v>
      </c>
    </row>
    <row r="113" spans="1:12">
      <c r="A113" s="36">
        <f ca="1" t="shared" si="1"/>
        <v>15</v>
      </c>
      <c r="B113" s="36">
        <f ca="1" t="array" ref="B113">INDEX(Data_DBD!$B:$B,$A113)</f>
        <v>21</v>
      </c>
      <c r="C113" s="36" t="str">
        <f ca="1" t="array" ref="C113">INDEX(Data_DBD!$C:$C,$A113)</f>
        <v>2 Hari</v>
      </c>
      <c r="D113" s="36">
        <f ca="1" t="array" ref="D113">INDEX(Data_DBD!$E:$E,$A113)</f>
        <v>0</v>
      </c>
      <c r="E113" s="36" t="str">
        <f ca="1" t="array" ref="E113">INDEX(Data_DBD!$F:$F,$A113)</f>
        <v>Rendah</v>
      </c>
      <c r="H113" s="36">
        <v>18</v>
      </c>
      <c r="I113" s="36">
        <v>49</v>
      </c>
      <c r="J113" s="36">
        <v>4</v>
      </c>
      <c r="K113" s="36">
        <v>1</v>
      </c>
      <c r="L113" s="36" t="s">
        <v>26</v>
      </c>
    </row>
    <row r="114" spans="1:12">
      <c r="A114" s="36">
        <f ca="1" t="shared" si="1"/>
        <v>144</v>
      </c>
      <c r="B114" s="36">
        <f ca="1" t="array" ref="B114">INDEX(Data_DBD!$B:$B,$A114)</f>
        <v>61</v>
      </c>
      <c r="C114" s="36" t="str">
        <f ca="1" t="array" ref="C114">INDEX(Data_DBD!$C:$C,$A114)</f>
        <v>4 Hari</v>
      </c>
      <c r="D114" s="36">
        <f ca="1" t="array" ref="D114">INDEX(Data_DBD!$E:$E,$A114)</f>
        <v>1</v>
      </c>
      <c r="E114" s="36" t="str">
        <f ca="1" t="array" ref="E114">INDEX(Data_DBD!$F:$F,$A114)</f>
        <v>Tinggi</v>
      </c>
      <c r="H114" s="36">
        <v>127</v>
      </c>
      <c r="I114" s="36">
        <v>21</v>
      </c>
      <c r="J114" s="36">
        <v>2</v>
      </c>
      <c r="K114" s="36">
        <v>0</v>
      </c>
      <c r="L114" s="36" t="s">
        <v>105</v>
      </c>
    </row>
    <row r="115" spans="1:12">
      <c r="A115" s="36">
        <f ca="1" t="shared" si="1"/>
        <v>139</v>
      </c>
      <c r="B115" s="36">
        <f ca="1" t="array" ref="B115">INDEX(Data_DBD!$B:$B,$A115)</f>
        <v>52</v>
      </c>
      <c r="C115" s="36" t="str">
        <f ca="1" t="array" ref="C115">INDEX(Data_DBD!$C:$C,$A115)</f>
        <v>7 Hari</v>
      </c>
      <c r="D115" s="36">
        <f ca="1" t="array" ref="D115">INDEX(Data_DBD!$E:$E,$A115)</f>
        <v>0</v>
      </c>
      <c r="E115" s="36" t="str">
        <f ca="1" t="array" ref="E115">INDEX(Data_DBD!$F:$F,$A115)</f>
        <v>Tinggi</v>
      </c>
      <c r="H115" s="36">
        <v>160</v>
      </c>
      <c r="I115" s="36">
        <v>16</v>
      </c>
      <c r="J115" s="36">
        <v>3</v>
      </c>
      <c r="K115" s="36">
        <v>0</v>
      </c>
      <c r="L115" s="36" t="s">
        <v>105</v>
      </c>
    </row>
    <row r="116" spans="1:12">
      <c r="A116" s="36">
        <f ca="1" t="shared" si="1"/>
        <v>89</v>
      </c>
      <c r="B116" s="36">
        <f ca="1" t="array" ref="B116">INDEX(Data_DBD!$B:$B,$A116)</f>
        <v>32</v>
      </c>
      <c r="C116" s="36" t="str">
        <f ca="1" t="array" ref="C116">INDEX(Data_DBD!$C:$C,$A116)</f>
        <v>4 Hari</v>
      </c>
      <c r="D116" s="36">
        <f ca="1" t="array" ref="D116">INDEX(Data_DBD!$E:$E,$A116)</f>
        <v>0</v>
      </c>
      <c r="E116" s="36" t="str">
        <f ca="1" t="array" ref="E116">INDEX(Data_DBD!$F:$F,$A116)</f>
        <v>Sedang</v>
      </c>
      <c r="H116" s="36">
        <v>80</v>
      </c>
      <c r="I116" s="36">
        <v>27</v>
      </c>
      <c r="J116" s="36">
        <v>3</v>
      </c>
      <c r="K116" s="36">
        <v>1</v>
      </c>
      <c r="L116" s="36" t="s">
        <v>8</v>
      </c>
    </row>
    <row r="117" spans="1:12">
      <c r="A117" s="36">
        <f ca="1" t="shared" si="1"/>
        <v>32</v>
      </c>
      <c r="B117" s="36">
        <f ca="1" t="array" ref="B117">INDEX(Data_DBD!$B:$B,$A117)</f>
        <v>54</v>
      </c>
      <c r="C117" s="36" t="str">
        <f ca="1" t="array" ref="C117">INDEX(Data_DBD!$C:$C,$A117)</f>
        <v>4 Hari</v>
      </c>
      <c r="D117" s="36">
        <f ca="1" t="array" ref="D117">INDEX(Data_DBD!$E:$E,$A117)</f>
        <v>0</v>
      </c>
      <c r="E117" s="36" t="str">
        <f ca="1" t="array" ref="E117">INDEX(Data_DBD!$F:$F,$A117)</f>
        <v>Sedang</v>
      </c>
      <c r="H117" s="36">
        <v>159</v>
      </c>
      <c r="I117" s="36">
        <v>17</v>
      </c>
      <c r="J117" s="36">
        <v>2</v>
      </c>
      <c r="K117" s="36">
        <v>0</v>
      </c>
      <c r="L117" s="36" t="s">
        <v>105</v>
      </c>
    </row>
    <row r="118" spans="1:12">
      <c r="A118" s="36">
        <f ca="1" t="shared" si="1"/>
        <v>13</v>
      </c>
      <c r="B118" s="36">
        <f ca="1" t="array" ref="B118">INDEX(Data_DBD!$B:$B,$A118)</f>
        <v>47</v>
      </c>
      <c r="C118" s="36" t="str">
        <f ca="1" t="array" ref="C118">INDEX(Data_DBD!$C:$C,$A118)</f>
        <v>2 Hari</v>
      </c>
      <c r="D118" s="36">
        <f ca="1" t="array" ref="D118">INDEX(Data_DBD!$E:$E,$A118)</f>
        <v>0</v>
      </c>
      <c r="E118" s="36" t="str">
        <f ca="1" t="array" ref="E118">INDEX(Data_DBD!$F:$F,$A118)</f>
        <v>Sedang</v>
      </c>
      <c r="H118" s="36">
        <v>117</v>
      </c>
      <c r="I118" s="36">
        <v>49</v>
      </c>
      <c r="J118" s="36">
        <v>4</v>
      </c>
      <c r="K118" s="36">
        <v>1</v>
      </c>
      <c r="L118" s="36" t="s">
        <v>105</v>
      </c>
    </row>
    <row r="119" spans="1:12">
      <c r="A119" s="36">
        <f ca="1" t="shared" si="1"/>
        <v>78</v>
      </c>
      <c r="B119" s="36">
        <f ca="1" t="array" ref="B119">INDEX(Data_DBD!$B:$B,$A119)</f>
        <v>6</v>
      </c>
      <c r="C119" s="36" t="str">
        <f ca="1" t="array" ref="C119">INDEX(Data_DBD!$C:$C,$A119)</f>
        <v>3 Hari</v>
      </c>
      <c r="D119" s="36">
        <f ca="1" t="array" ref="D119">INDEX(Data_DBD!$E:$E,$A119)</f>
        <v>0</v>
      </c>
      <c r="E119" s="36" t="str">
        <f ca="1" t="array" ref="E119">INDEX(Data_DBD!$F:$F,$A119)</f>
        <v>Sedang</v>
      </c>
      <c r="H119" s="36">
        <v>107</v>
      </c>
      <c r="I119" s="36">
        <v>48</v>
      </c>
      <c r="J119" s="36">
        <v>5</v>
      </c>
      <c r="K119" s="36">
        <v>0</v>
      </c>
      <c r="L119" s="36" t="s">
        <v>105</v>
      </c>
    </row>
    <row r="120" spans="1:12">
      <c r="A120" s="36">
        <f ca="1" t="shared" si="1"/>
        <v>139</v>
      </c>
      <c r="B120" s="36">
        <f ca="1" t="array" ref="B120">INDEX(Data_DBD!$B:$B,$A120)</f>
        <v>52</v>
      </c>
      <c r="C120" s="36" t="str">
        <f ca="1" t="array" ref="C120">INDEX(Data_DBD!$C:$C,$A120)</f>
        <v>7 Hari</v>
      </c>
      <c r="D120" s="36">
        <f ca="1" t="array" ref="D120">INDEX(Data_DBD!$E:$E,$A120)</f>
        <v>0</v>
      </c>
      <c r="E120" s="36" t="str">
        <f ca="1" t="array" ref="E120">INDEX(Data_DBD!$F:$F,$A120)</f>
        <v>Tinggi</v>
      </c>
      <c r="H120" s="36">
        <v>85</v>
      </c>
      <c r="I120" s="36">
        <v>27</v>
      </c>
      <c r="J120" s="36">
        <v>9</v>
      </c>
      <c r="K120" s="36">
        <v>0</v>
      </c>
      <c r="L120" s="36" t="s">
        <v>8</v>
      </c>
    </row>
    <row r="121" spans="1:12">
      <c r="A121" s="36">
        <f ca="1" t="shared" si="1"/>
        <v>32</v>
      </c>
      <c r="B121" s="36">
        <f ca="1" t="array" ref="B121">INDEX(Data_DBD!$B:$B,$A121)</f>
        <v>54</v>
      </c>
      <c r="C121" s="36" t="str">
        <f ca="1" t="array" ref="C121">INDEX(Data_DBD!$C:$C,$A121)</f>
        <v>4 Hari</v>
      </c>
      <c r="D121" s="36">
        <f ca="1" t="array" ref="D121">INDEX(Data_DBD!$E:$E,$A121)</f>
        <v>0</v>
      </c>
      <c r="E121" s="36" t="str">
        <f ca="1" t="array" ref="E121">INDEX(Data_DBD!$F:$F,$A121)</f>
        <v>Sedang</v>
      </c>
      <c r="H121" s="36">
        <v>38</v>
      </c>
      <c r="I121" s="36">
        <v>52</v>
      </c>
      <c r="J121" s="36">
        <v>3</v>
      </c>
      <c r="K121" s="36">
        <v>1</v>
      </c>
      <c r="L121" s="36" t="s">
        <v>26</v>
      </c>
    </row>
    <row r="122" spans="1:12">
      <c r="A122" s="36">
        <f ca="1" t="shared" si="1"/>
        <v>101</v>
      </c>
      <c r="B122" s="36">
        <f ca="1" t="array" ref="B122">INDEX(Data_DBD!$B:$B,$A122)</f>
        <v>42</v>
      </c>
      <c r="C122" s="36" t="str">
        <f ca="1" t="array" ref="C122">INDEX(Data_DBD!$C:$C,$A122)</f>
        <v>5 Hari</v>
      </c>
      <c r="D122" s="36">
        <f ca="1" t="array" ref="D122">INDEX(Data_DBD!$E:$E,$A122)</f>
        <v>0</v>
      </c>
      <c r="E122" s="36" t="str">
        <f ca="1" t="array" ref="E122">INDEX(Data_DBD!$F:$F,$A122)</f>
        <v>Tinggi</v>
      </c>
      <c r="H122" s="36">
        <v>158</v>
      </c>
      <c r="I122" s="36">
        <v>5</v>
      </c>
      <c r="J122" s="36">
        <v>2</v>
      </c>
      <c r="K122" s="36">
        <v>0</v>
      </c>
      <c r="L122" s="36" t="s">
        <v>105</v>
      </c>
    </row>
    <row r="123" spans="1:12">
      <c r="A123" s="36">
        <f ca="1" t="shared" si="1"/>
        <v>107</v>
      </c>
      <c r="B123" s="36">
        <f ca="1" t="array" ref="B123">INDEX(Data_DBD!$B:$B,$A123)</f>
        <v>48</v>
      </c>
      <c r="C123" s="36" t="str">
        <f ca="1" t="array" ref="C123">INDEX(Data_DBD!$C:$C,$A123)</f>
        <v>5 Hari</v>
      </c>
      <c r="D123" s="36">
        <f ca="1" t="array" ref="D123">INDEX(Data_DBD!$E:$E,$A123)</f>
        <v>0</v>
      </c>
      <c r="E123" s="36" t="str">
        <f ca="1" t="array" ref="E123">INDEX(Data_DBD!$F:$F,$A123)</f>
        <v>Tinggi</v>
      </c>
      <c r="H123" s="36">
        <v>38</v>
      </c>
      <c r="I123" s="36">
        <v>52</v>
      </c>
      <c r="J123" s="36">
        <v>3</v>
      </c>
      <c r="K123" s="36">
        <v>1</v>
      </c>
      <c r="L123" s="36" t="s">
        <v>26</v>
      </c>
    </row>
    <row r="124" spans="1:12">
      <c r="A124" s="36">
        <f ca="1" t="shared" si="1"/>
        <v>81</v>
      </c>
      <c r="B124" s="36">
        <f ca="1" t="array" ref="B124">INDEX(Data_DBD!$B:$B,$A124)</f>
        <v>23</v>
      </c>
      <c r="C124" s="36" t="str">
        <f ca="1" t="array" ref="C124">INDEX(Data_DBD!$C:$C,$A124)</f>
        <v>5 Hari</v>
      </c>
      <c r="D124" s="36">
        <f ca="1" t="array" ref="D124">INDEX(Data_DBD!$E:$E,$A124)</f>
        <v>1</v>
      </c>
      <c r="E124" s="36" t="str">
        <f ca="1" t="array" ref="E124">INDEX(Data_DBD!$F:$F,$A124)</f>
        <v>Sedang</v>
      </c>
      <c r="H124" s="36">
        <v>71</v>
      </c>
      <c r="I124" s="36">
        <v>84</v>
      </c>
      <c r="J124" s="36">
        <v>3</v>
      </c>
      <c r="K124" s="36">
        <v>0</v>
      </c>
      <c r="L124" s="36" t="s">
        <v>8</v>
      </c>
    </row>
    <row r="125" spans="1:12">
      <c r="A125" s="36">
        <f ca="1" t="shared" si="1"/>
        <v>121</v>
      </c>
      <c r="B125" s="36">
        <f ca="1" t="array" ref="B125">INDEX(Data_DBD!$B:$B,$A125)</f>
        <v>82</v>
      </c>
      <c r="C125" s="36" t="str">
        <f ca="1" t="array" ref="C125">INDEX(Data_DBD!$C:$C,$A125)</f>
        <v>5 Hari</v>
      </c>
      <c r="D125" s="36">
        <f ca="1" t="array" ref="D125">INDEX(Data_DBD!$E:$E,$A125)</f>
        <v>1</v>
      </c>
      <c r="E125" s="36" t="str">
        <f ca="1" t="array" ref="E125">INDEX(Data_DBD!$F:$F,$A125)</f>
        <v>Tinggi</v>
      </c>
      <c r="H125" s="36">
        <v>131</v>
      </c>
      <c r="I125" s="36">
        <v>10</v>
      </c>
      <c r="J125" s="36">
        <v>2</v>
      </c>
      <c r="K125" s="36">
        <v>0</v>
      </c>
      <c r="L125" s="36" t="s">
        <v>105</v>
      </c>
    </row>
    <row r="126" spans="1:12">
      <c r="A126" s="36">
        <f ca="1" t="shared" si="1"/>
        <v>85</v>
      </c>
      <c r="B126" s="36">
        <f ca="1" t="array" ref="B126">INDEX(Data_DBD!$B:$B,$A126)</f>
        <v>27</v>
      </c>
      <c r="C126" s="36" t="str">
        <f ca="1" t="array" ref="C126">INDEX(Data_DBD!$C:$C,$A126)</f>
        <v>9 Hari</v>
      </c>
      <c r="D126" s="36">
        <f ca="1" t="array" ref="D126">INDEX(Data_DBD!$E:$E,$A126)</f>
        <v>0</v>
      </c>
      <c r="E126" s="36" t="str">
        <f ca="1" t="array" ref="E126">INDEX(Data_DBD!$F:$F,$A126)</f>
        <v>Sedang</v>
      </c>
      <c r="H126" s="36">
        <v>7</v>
      </c>
      <c r="I126" s="36">
        <v>12</v>
      </c>
      <c r="J126" s="36">
        <v>1</v>
      </c>
      <c r="K126" s="36">
        <v>1</v>
      </c>
      <c r="L126" s="36" t="s">
        <v>8</v>
      </c>
    </row>
    <row r="127" spans="1:12">
      <c r="A127" s="36">
        <f ca="1" t="shared" si="1"/>
        <v>56</v>
      </c>
      <c r="B127" s="36">
        <f ca="1" t="array" ref="B127">INDEX(Data_DBD!$B:$B,$A127)</f>
        <v>4</v>
      </c>
      <c r="C127" s="36" t="str">
        <f ca="1" t="array" ref="C127">INDEX(Data_DBD!$C:$C,$A127)</f>
        <v>3 Hari</v>
      </c>
      <c r="D127" s="36">
        <f ca="1" t="array" ref="D127">INDEX(Data_DBD!$E:$E,$A127)</f>
        <v>0</v>
      </c>
      <c r="E127" s="36" t="str">
        <f ca="1" t="array" ref="E127">INDEX(Data_DBD!$F:$F,$A127)</f>
        <v>Sedang</v>
      </c>
      <c r="H127" s="36">
        <v>145</v>
      </c>
      <c r="I127" s="36">
        <v>28</v>
      </c>
      <c r="J127" s="36">
        <v>4</v>
      </c>
      <c r="K127" s="36">
        <v>1</v>
      </c>
      <c r="L127" s="36" t="s">
        <v>105</v>
      </c>
    </row>
    <row r="128" spans="1:12">
      <c r="A128" s="36">
        <f ca="1" t="shared" si="1"/>
        <v>7</v>
      </c>
      <c r="B128" s="36">
        <f ca="1" t="array" ref="B128">INDEX(Data_DBD!$B:$B,$A128)</f>
        <v>12</v>
      </c>
      <c r="C128" s="36" t="str">
        <f ca="1" t="array" ref="C128">INDEX(Data_DBD!$C:$C,$A128)</f>
        <v>1 Hari</v>
      </c>
      <c r="D128" s="36">
        <f ca="1" t="array" ref="D128">INDEX(Data_DBD!$E:$E,$A128)</f>
        <v>1</v>
      </c>
      <c r="E128" s="36" t="str">
        <f ca="1" t="array" ref="E128">INDEX(Data_DBD!$F:$F,$A128)</f>
        <v>Sedang</v>
      </c>
      <c r="H128" s="36">
        <v>161</v>
      </c>
      <c r="I128" s="36">
        <v>12</v>
      </c>
      <c r="J128" s="36">
        <v>3</v>
      </c>
      <c r="K128" s="36">
        <v>1</v>
      </c>
      <c r="L128" s="36" t="s">
        <v>105</v>
      </c>
    </row>
    <row r="129" spans="1:12">
      <c r="A129" s="36">
        <f ca="1" t="shared" si="1"/>
        <v>44</v>
      </c>
      <c r="B129" s="36">
        <f ca="1" t="array" ref="B129">INDEX(Data_DBD!$B:$B,$A129)</f>
        <v>28</v>
      </c>
      <c r="C129" s="36" t="str">
        <f ca="1" t="array" ref="C129">INDEX(Data_DBD!$C:$C,$A129)</f>
        <v>5 Hari</v>
      </c>
      <c r="D129" s="36">
        <f ca="1" t="array" ref="D129">INDEX(Data_DBD!$E:$E,$A129)</f>
        <v>1</v>
      </c>
      <c r="E129" s="36" t="str">
        <f ca="1" t="array" ref="E129">INDEX(Data_DBD!$F:$F,$A129)</f>
        <v>Sedang</v>
      </c>
      <c r="H129" s="36">
        <v>62</v>
      </c>
      <c r="I129" s="36">
        <v>43</v>
      </c>
      <c r="J129" s="36">
        <v>4</v>
      </c>
      <c r="K129" s="36">
        <v>1</v>
      </c>
      <c r="L129" s="36" t="s">
        <v>8</v>
      </c>
    </row>
    <row r="130" spans="1:12">
      <c r="A130" s="36">
        <f ca="1" t="shared" si="1"/>
        <v>51</v>
      </c>
      <c r="B130" s="36">
        <f ca="1" t="array" ref="B130">INDEX(Data_DBD!$B:$B,$A130)</f>
        <v>48</v>
      </c>
      <c r="C130" s="36" t="str">
        <f ca="1" t="array" ref="C130">INDEX(Data_DBD!$C:$C,$A130)</f>
        <v>4 Hari</v>
      </c>
      <c r="D130" s="36">
        <f ca="1" t="array" ref="D130">INDEX(Data_DBD!$E:$E,$A130)</f>
        <v>0</v>
      </c>
      <c r="E130" s="36" t="str">
        <f ca="1" t="array" ref="E130">INDEX(Data_DBD!$F:$F,$A130)</f>
        <v>Sedang</v>
      </c>
      <c r="H130" s="36">
        <v>123</v>
      </c>
      <c r="I130" s="36">
        <v>22</v>
      </c>
      <c r="J130" s="36">
        <v>4</v>
      </c>
      <c r="K130" s="36">
        <v>0</v>
      </c>
      <c r="L130" s="36" t="s">
        <v>105</v>
      </c>
    </row>
    <row r="131" spans="1:12">
      <c r="A131" s="36">
        <f ca="1" t="shared" ref="A131:A164" si="2">RANDBETWEEN(2,164)</f>
        <v>101</v>
      </c>
      <c r="B131" s="36">
        <f ca="1" t="array" ref="B131">INDEX(Data_DBD!$B:$B,$A131)</f>
        <v>42</v>
      </c>
      <c r="C131" s="36" t="str">
        <f ca="1" t="array" ref="C131">INDEX(Data_DBD!$C:$C,$A131)</f>
        <v>5 Hari</v>
      </c>
      <c r="D131" s="36">
        <f ca="1" t="array" ref="D131">INDEX(Data_DBD!$E:$E,$A131)</f>
        <v>0</v>
      </c>
      <c r="E131" s="36" t="str">
        <f ca="1" t="array" ref="E131">INDEX(Data_DBD!$F:$F,$A131)</f>
        <v>Tinggi</v>
      </c>
      <c r="H131" s="36">
        <v>144</v>
      </c>
      <c r="I131" s="36">
        <v>61</v>
      </c>
      <c r="J131" s="36">
        <v>4</v>
      </c>
      <c r="K131" s="36">
        <v>1</v>
      </c>
      <c r="L131" s="36" t="s">
        <v>105</v>
      </c>
    </row>
    <row r="132" spans="1:12">
      <c r="A132" s="36">
        <f ca="1" t="shared" si="2"/>
        <v>106</v>
      </c>
      <c r="B132" s="36">
        <f ca="1" t="array" ref="B132">INDEX(Data_DBD!$B:$B,$A132)</f>
        <v>23</v>
      </c>
      <c r="C132" s="36" t="str">
        <f ca="1" t="array" ref="C132">INDEX(Data_DBD!$C:$C,$A132)</f>
        <v>3 Hari</v>
      </c>
      <c r="D132" s="36">
        <f ca="1" t="array" ref="D132">INDEX(Data_DBD!$E:$E,$A132)</f>
        <v>1</v>
      </c>
      <c r="E132" s="36" t="str">
        <f ca="1" t="array" ref="E132">INDEX(Data_DBD!$F:$F,$A132)</f>
        <v>Tinggi</v>
      </c>
      <c r="H132" s="36">
        <v>147</v>
      </c>
      <c r="I132" s="36">
        <v>66</v>
      </c>
      <c r="J132" s="36">
        <v>10</v>
      </c>
      <c r="K132" s="36">
        <v>1</v>
      </c>
      <c r="L132" s="36" t="s">
        <v>105</v>
      </c>
    </row>
    <row r="133" spans="1:12">
      <c r="A133" s="36">
        <f ca="1" t="shared" si="2"/>
        <v>23</v>
      </c>
      <c r="B133" s="36">
        <f ca="1" t="array" ref="B133">INDEX(Data_DBD!$B:$B,$A133)</f>
        <v>28</v>
      </c>
      <c r="C133" s="36" t="str">
        <f ca="1" t="array" ref="C133">INDEX(Data_DBD!$C:$C,$A133)</f>
        <v>4 Hari</v>
      </c>
      <c r="D133" s="36">
        <f ca="1" t="array" ref="D133">INDEX(Data_DBD!$E:$E,$A133)</f>
        <v>1</v>
      </c>
      <c r="E133" s="36" t="str">
        <f ca="1" t="array" ref="E133">INDEX(Data_DBD!$F:$F,$A133)</f>
        <v>Sedang</v>
      </c>
      <c r="H133" s="36">
        <v>90</v>
      </c>
      <c r="I133" s="36">
        <v>47</v>
      </c>
      <c r="J133" s="36">
        <v>3</v>
      </c>
      <c r="K133" s="36">
        <v>0</v>
      </c>
      <c r="L133" s="36" t="s">
        <v>105</v>
      </c>
    </row>
    <row r="134" spans="1:12">
      <c r="A134" s="36">
        <f ca="1" t="shared" si="2"/>
        <v>46</v>
      </c>
      <c r="B134" s="36">
        <f ca="1" t="array" ref="B134">INDEX(Data_DBD!$B:$B,$A134)</f>
        <v>62</v>
      </c>
      <c r="C134" s="36" t="str">
        <f ca="1" t="array" ref="C134">INDEX(Data_DBD!$C:$C,$A134)</f>
        <v>2 Hari</v>
      </c>
      <c r="D134" s="36">
        <f ca="1" t="array" ref="D134">INDEX(Data_DBD!$E:$E,$A134)</f>
        <v>0</v>
      </c>
      <c r="E134" s="36" t="str">
        <f ca="1" t="array" ref="E134">INDEX(Data_DBD!$F:$F,$A134)</f>
        <v>Sedang</v>
      </c>
      <c r="H134" s="36">
        <v>79</v>
      </c>
      <c r="I134" s="36">
        <v>29</v>
      </c>
      <c r="J134" s="36">
        <v>3</v>
      </c>
      <c r="K134" s="36">
        <v>0</v>
      </c>
      <c r="L134" s="36" t="s">
        <v>8</v>
      </c>
    </row>
    <row r="135" spans="1:12">
      <c r="A135" s="36">
        <f ca="1" t="shared" si="2"/>
        <v>153</v>
      </c>
      <c r="B135" s="36">
        <f ca="1" t="array" ref="B135">INDEX(Data_DBD!$B:$B,$A135)</f>
        <v>73</v>
      </c>
      <c r="C135" s="36" t="str">
        <f ca="1" t="array" ref="C135">INDEX(Data_DBD!$C:$C,$A135)</f>
        <v>7 Hari</v>
      </c>
      <c r="D135" s="36">
        <f ca="1" t="array" ref="D135">INDEX(Data_DBD!$E:$E,$A135)</f>
        <v>1</v>
      </c>
      <c r="E135" s="36" t="str">
        <f ca="1" t="array" ref="E135">INDEX(Data_DBD!$F:$F,$A135)</f>
        <v>Tinggi</v>
      </c>
      <c r="H135" s="36">
        <v>79</v>
      </c>
      <c r="I135" s="36">
        <v>29</v>
      </c>
      <c r="J135" s="36">
        <v>3</v>
      </c>
      <c r="K135" s="36">
        <v>0</v>
      </c>
      <c r="L135" s="36" t="s">
        <v>8</v>
      </c>
    </row>
    <row r="136" spans="1:12">
      <c r="A136" s="36">
        <f ca="1" t="shared" si="2"/>
        <v>32</v>
      </c>
      <c r="B136" s="36">
        <f ca="1" t="array" ref="B136">INDEX(Data_DBD!$B:$B,$A136)</f>
        <v>54</v>
      </c>
      <c r="C136" s="36" t="str">
        <f ca="1" t="array" ref="C136">INDEX(Data_DBD!$C:$C,$A136)</f>
        <v>4 Hari</v>
      </c>
      <c r="D136" s="36">
        <f ca="1" t="array" ref="D136">INDEX(Data_DBD!$E:$E,$A136)</f>
        <v>0</v>
      </c>
      <c r="E136" s="36" t="str">
        <f ca="1" t="array" ref="E136">INDEX(Data_DBD!$F:$F,$A136)</f>
        <v>Sedang</v>
      </c>
      <c r="H136" s="36">
        <v>27</v>
      </c>
      <c r="I136" s="36">
        <v>37</v>
      </c>
      <c r="J136" s="36">
        <v>4</v>
      </c>
      <c r="K136" s="36">
        <v>1</v>
      </c>
      <c r="L136" s="36" t="s">
        <v>8</v>
      </c>
    </row>
    <row r="137" spans="1:12">
      <c r="A137" s="36">
        <f ca="1" t="shared" si="2"/>
        <v>48</v>
      </c>
      <c r="B137" s="36">
        <f ca="1" t="array" ref="B137">INDEX(Data_DBD!$B:$B,$A137)</f>
        <v>50</v>
      </c>
      <c r="C137" s="36" t="str">
        <f ca="1" t="array" ref="C137">INDEX(Data_DBD!$C:$C,$A137)</f>
        <v>5 Hari</v>
      </c>
      <c r="D137" s="36">
        <f ca="1" t="array" ref="D137">INDEX(Data_DBD!$E:$E,$A137)</f>
        <v>1</v>
      </c>
      <c r="E137" s="36" t="str">
        <f ca="1" t="array" ref="E137">INDEX(Data_DBD!$F:$F,$A137)</f>
        <v>Sedang</v>
      </c>
      <c r="H137" s="36">
        <v>151</v>
      </c>
      <c r="I137" s="36">
        <v>24</v>
      </c>
      <c r="J137" s="36">
        <v>3</v>
      </c>
      <c r="K137" s="36">
        <v>0</v>
      </c>
      <c r="L137" s="36" t="s">
        <v>105</v>
      </c>
    </row>
    <row r="138" spans="1:12">
      <c r="A138" s="36">
        <f ca="1" t="shared" si="2"/>
        <v>7</v>
      </c>
      <c r="B138" s="36">
        <f ca="1" t="array" ref="B138">INDEX(Data_DBD!$B:$B,$A138)</f>
        <v>12</v>
      </c>
      <c r="C138" s="36" t="str">
        <f ca="1" t="array" ref="C138">INDEX(Data_DBD!$C:$C,$A138)</f>
        <v>1 Hari</v>
      </c>
      <c r="D138" s="36">
        <f ca="1" t="array" ref="D138">INDEX(Data_DBD!$E:$E,$A138)</f>
        <v>1</v>
      </c>
      <c r="E138" s="36" t="str">
        <f ca="1" t="array" ref="E138">INDEX(Data_DBD!$F:$F,$A138)</f>
        <v>Sedang</v>
      </c>
      <c r="H138" s="36">
        <v>19</v>
      </c>
      <c r="I138" s="36">
        <v>8</v>
      </c>
      <c r="J138" s="36">
        <v>4</v>
      </c>
      <c r="K138" s="36">
        <v>0</v>
      </c>
      <c r="L138" s="36" t="s">
        <v>26</v>
      </c>
    </row>
    <row r="139" spans="1:12">
      <c r="A139" s="36">
        <f ca="1" t="shared" si="2"/>
        <v>160</v>
      </c>
      <c r="B139" s="36">
        <f ca="1" t="array" ref="B139">INDEX(Data_DBD!$B:$B,$A139)</f>
        <v>16</v>
      </c>
      <c r="C139" s="36" t="str">
        <f ca="1" t="array" ref="C139">INDEX(Data_DBD!$C:$C,$A139)</f>
        <v>3 Hari</v>
      </c>
      <c r="D139" s="36">
        <f ca="1" t="array" ref="D139">INDEX(Data_DBD!$E:$E,$A139)</f>
        <v>0</v>
      </c>
      <c r="E139" s="36" t="str">
        <f ca="1" t="array" ref="E139">INDEX(Data_DBD!$F:$F,$A139)</f>
        <v>Tinggi</v>
      </c>
      <c r="H139" s="36">
        <v>78</v>
      </c>
      <c r="I139" s="36">
        <v>6</v>
      </c>
      <c r="J139" s="36">
        <v>3</v>
      </c>
      <c r="K139" s="36">
        <v>0</v>
      </c>
      <c r="L139" s="36" t="s">
        <v>8</v>
      </c>
    </row>
    <row r="140" spans="1:12">
      <c r="A140" s="36">
        <f ca="1" t="shared" si="2"/>
        <v>7</v>
      </c>
      <c r="B140" s="36">
        <f ca="1" t="array" ref="B140">INDEX(Data_DBD!$B:$B,$A140)</f>
        <v>12</v>
      </c>
      <c r="C140" s="36" t="str">
        <f ca="1" t="array" ref="C140">INDEX(Data_DBD!$C:$C,$A140)</f>
        <v>1 Hari</v>
      </c>
      <c r="D140" s="36">
        <f ca="1" t="array" ref="D140">INDEX(Data_DBD!$E:$E,$A140)</f>
        <v>1</v>
      </c>
      <c r="E140" s="36" t="str">
        <f ca="1" t="array" ref="E140">INDEX(Data_DBD!$F:$F,$A140)</f>
        <v>Sedang</v>
      </c>
      <c r="H140" s="36">
        <v>11</v>
      </c>
      <c r="I140" s="36">
        <v>24</v>
      </c>
      <c r="J140" s="36">
        <v>5</v>
      </c>
      <c r="K140" s="36">
        <v>1</v>
      </c>
      <c r="L140" s="36" t="s">
        <v>8</v>
      </c>
    </row>
    <row r="141" spans="1:12">
      <c r="A141" s="36">
        <f ca="1" t="shared" si="2"/>
        <v>17</v>
      </c>
      <c r="B141" s="36">
        <f ca="1" t="array" ref="B141">INDEX(Data_DBD!$B:$B,$A141)</f>
        <v>2</v>
      </c>
      <c r="C141" s="36" t="str">
        <f ca="1" t="array" ref="C141">INDEX(Data_DBD!$C:$C,$A141)</f>
        <v>3 Hari</v>
      </c>
      <c r="D141" s="36">
        <f ca="1" t="array" ref="D141">INDEX(Data_DBD!$E:$E,$A141)</f>
        <v>0</v>
      </c>
      <c r="E141" s="36" t="str">
        <f ca="1" t="array" ref="E141">INDEX(Data_DBD!$F:$F,$A141)</f>
        <v>Rendah</v>
      </c>
      <c r="H141" s="36">
        <v>95</v>
      </c>
      <c r="I141" s="36">
        <v>11</v>
      </c>
      <c r="J141" s="36">
        <v>3</v>
      </c>
      <c r="K141" s="36">
        <v>1</v>
      </c>
      <c r="L141" s="36" t="s">
        <v>105</v>
      </c>
    </row>
    <row r="142" spans="1:12">
      <c r="A142" s="36">
        <f ca="1" t="shared" si="2"/>
        <v>11</v>
      </c>
      <c r="B142" s="36">
        <f ca="1" t="array" ref="B142">INDEX(Data_DBD!$B:$B,$A142)</f>
        <v>24</v>
      </c>
      <c r="C142" s="36" t="str">
        <f ca="1" t="array" ref="C142">INDEX(Data_DBD!$C:$C,$A142)</f>
        <v>5 Hari</v>
      </c>
      <c r="D142" s="36">
        <f ca="1" t="array" ref="D142">INDEX(Data_DBD!$E:$E,$A142)</f>
        <v>1</v>
      </c>
      <c r="E142" s="36" t="str">
        <f ca="1" t="array" ref="E142">INDEX(Data_DBD!$F:$F,$A142)</f>
        <v>Sedang</v>
      </c>
      <c r="H142" s="36">
        <v>65</v>
      </c>
      <c r="I142" s="36">
        <v>49</v>
      </c>
      <c r="J142" s="36">
        <v>3</v>
      </c>
      <c r="K142" s="36">
        <v>0</v>
      </c>
      <c r="L142" s="36" t="s">
        <v>8</v>
      </c>
    </row>
    <row r="143" spans="1:12">
      <c r="A143" s="36">
        <f ca="1" t="shared" si="2"/>
        <v>78</v>
      </c>
      <c r="B143" s="36">
        <f ca="1" t="array" ref="B143">INDEX(Data_DBD!$B:$B,$A143)</f>
        <v>6</v>
      </c>
      <c r="C143" s="36" t="str">
        <f ca="1" t="array" ref="C143">INDEX(Data_DBD!$C:$C,$A143)</f>
        <v>3 Hari</v>
      </c>
      <c r="D143" s="36">
        <f ca="1" t="array" ref="D143">INDEX(Data_DBD!$E:$E,$A143)</f>
        <v>0</v>
      </c>
      <c r="E143" s="36" t="str">
        <f ca="1" t="array" ref="E143">INDEX(Data_DBD!$F:$F,$A143)</f>
        <v>Sedang</v>
      </c>
      <c r="H143" s="36">
        <v>57</v>
      </c>
      <c r="I143" s="36">
        <v>2</v>
      </c>
      <c r="J143" s="36">
        <v>2</v>
      </c>
      <c r="K143" s="36">
        <v>1</v>
      </c>
      <c r="L143" s="36" t="s">
        <v>8</v>
      </c>
    </row>
    <row r="144" spans="1:12">
      <c r="A144" s="36">
        <f ca="1" t="shared" si="2"/>
        <v>94</v>
      </c>
      <c r="B144" s="36">
        <f ca="1" t="array" ref="B144">INDEX(Data_DBD!$B:$B,$A144)</f>
        <v>12</v>
      </c>
      <c r="C144" s="36" t="str">
        <f ca="1" t="array" ref="C144">INDEX(Data_DBD!$C:$C,$A144)</f>
        <v>4 Hari</v>
      </c>
      <c r="D144" s="36">
        <f ca="1" t="array" ref="D144">INDEX(Data_DBD!$E:$E,$A144)</f>
        <v>0</v>
      </c>
      <c r="E144" s="36" t="str">
        <f ca="1" t="array" ref="E144">INDEX(Data_DBD!$F:$F,$A144)</f>
        <v>Tinggi</v>
      </c>
      <c r="H144" s="36">
        <v>113</v>
      </c>
      <c r="I144" s="36">
        <v>69</v>
      </c>
      <c r="J144" s="36">
        <v>1</v>
      </c>
      <c r="K144" s="36">
        <v>1</v>
      </c>
      <c r="L144" s="36" t="s">
        <v>105</v>
      </c>
    </row>
    <row r="145" spans="1:12">
      <c r="A145" s="36">
        <f ca="1" t="shared" si="2"/>
        <v>139</v>
      </c>
      <c r="B145" s="36">
        <f ca="1" t="array" ref="B145">INDEX(Data_DBD!$B:$B,$A145)</f>
        <v>52</v>
      </c>
      <c r="C145" s="36" t="str">
        <f ca="1" t="array" ref="C145">INDEX(Data_DBD!$C:$C,$A145)</f>
        <v>7 Hari</v>
      </c>
      <c r="D145" s="36">
        <f ca="1" t="array" ref="D145">INDEX(Data_DBD!$E:$E,$A145)</f>
        <v>0</v>
      </c>
      <c r="E145" s="36" t="str">
        <f ca="1" t="array" ref="E145">INDEX(Data_DBD!$F:$F,$A145)</f>
        <v>Tinggi</v>
      </c>
      <c r="H145" s="36">
        <v>58</v>
      </c>
      <c r="I145" s="36">
        <v>17</v>
      </c>
      <c r="J145" s="36">
        <v>3</v>
      </c>
      <c r="K145" s="36">
        <v>0</v>
      </c>
      <c r="L145" s="36" t="s">
        <v>8</v>
      </c>
    </row>
    <row r="146" spans="1:12">
      <c r="A146" s="36">
        <f ca="1" t="shared" si="2"/>
        <v>10</v>
      </c>
      <c r="B146" s="36">
        <f ca="1" t="array" ref="B146">INDEX(Data_DBD!$B:$B,$A146)</f>
        <v>18</v>
      </c>
      <c r="C146" s="36" t="str">
        <f ca="1" t="array" ref="C146">INDEX(Data_DBD!$C:$C,$A146)</f>
        <v>5 Hari</v>
      </c>
      <c r="D146" s="36">
        <f ca="1" t="array" ref="D146">INDEX(Data_DBD!$E:$E,$A146)</f>
        <v>0</v>
      </c>
      <c r="E146" s="36" t="str">
        <f ca="1" t="array" ref="E146">INDEX(Data_DBD!$F:$F,$A146)</f>
        <v>Sedang</v>
      </c>
      <c r="H146" s="36">
        <v>111</v>
      </c>
      <c r="I146" s="36">
        <v>25</v>
      </c>
      <c r="J146" s="36">
        <v>4</v>
      </c>
      <c r="K146" s="36">
        <v>0</v>
      </c>
      <c r="L146" s="36" t="s">
        <v>105</v>
      </c>
    </row>
    <row r="147" spans="1:12">
      <c r="A147" s="36">
        <f ca="1" t="shared" si="2"/>
        <v>104</v>
      </c>
      <c r="B147" s="36">
        <f ca="1" t="array" ref="B147">INDEX(Data_DBD!$B:$B,$A147)</f>
        <v>37</v>
      </c>
      <c r="C147" s="36" t="str">
        <f ca="1" t="array" ref="C147">INDEX(Data_DBD!$C:$C,$A147)</f>
        <v>4 Hari</v>
      </c>
      <c r="D147" s="36">
        <f ca="1" t="array" ref="D147">INDEX(Data_DBD!$E:$E,$A147)</f>
        <v>1</v>
      </c>
      <c r="E147" s="36" t="str">
        <f ca="1" t="array" ref="E147">INDEX(Data_DBD!$F:$F,$A147)</f>
        <v>Tinggi</v>
      </c>
      <c r="H147" s="36">
        <v>6</v>
      </c>
      <c r="I147" s="36">
        <v>14</v>
      </c>
      <c r="J147" s="36">
        <v>4</v>
      </c>
      <c r="K147" s="36">
        <v>0</v>
      </c>
      <c r="L147" s="36" t="s">
        <v>8</v>
      </c>
    </row>
    <row r="148" spans="1:12">
      <c r="A148" s="36">
        <f ca="1" t="shared" si="2"/>
        <v>120</v>
      </c>
      <c r="B148" s="36">
        <f ca="1" t="array" ref="B148">INDEX(Data_DBD!$B:$B,$A148)</f>
        <v>26</v>
      </c>
      <c r="C148" s="36" t="str">
        <f ca="1" t="array" ref="C148">INDEX(Data_DBD!$C:$C,$A148)</f>
        <v>4 Hari</v>
      </c>
      <c r="D148" s="36">
        <f ca="1" t="array" ref="D148">INDEX(Data_DBD!$E:$E,$A148)</f>
        <v>1</v>
      </c>
      <c r="E148" s="36" t="str">
        <f ca="1" t="array" ref="E148">INDEX(Data_DBD!$F:$F,$A148)</f>
        <v>Tinggi</v>
      </c>
      <c r="H148" s="36">
        <v>43</v>
      </c>
      <c r="I148" s="36">
        <v>15</v>
      </c>
      <c r="J148" s="36">
        <v>4</v>
      </c>
      <c r="K148" s="36">
        <v>0</v>
      </c>
      <c r="L148" s="36" t="s">
        <v>8</v>
      </c>
    </row>
    <row r="149" spans="1:12">
      <c r="A149" s="36">
        <f ca="1" t="shared" si="2"/>
        <v>75</v>
      </c>
      <c r="B149" s="36">
        <f ca="1" t="array" ref="B149">INDEX(Data_DBD!$B:$B,$A149)</f>
        <v>2</v>
      </c>
      <c r="C149" s="36" t="str">
        <f ca="1" t="array" ref="C149">INDEX(Data_DBD!$C:$C,$A149)</f>
        <v>2 Hari</v>
      </c>
      <c r="D149" s="36">
        <f ca="1" t="array" ref="D149">INDEX(Data_DBD!$E:$E,$A149)</f>
        <v>1</v>
      </c>
      <c r="E149" s="36" t="str">
        <f ca="1" t="array" ref="E149">INDEX(Data_DBD!$F:$F,$A149)</f>
        <v>Sedang</v>
      </c>
      <c r="H149" s="36">
        <v>101</v>
      </c>
      <c r="I149" s="36">
        <v>42</v>
      </c>
      <c r="J149" s="36">
        <v>5</v>
      </c>
      <c r="K149" s="36">
        <v>0</v>
      </c>
      <c r="L149" s="36" t="s">
        <v>105</v>
      </c>
    </row>
    <row r="150" spans="1:12">
      <c r="A150" s="36">
        <f ca="1" t="shared" si="2"/>
        <v>104</v>
      </c>
      <c r="B150" s="36">
        <f ca="1" t="array" ref="B150">INDEX(Data_DBD!$B:$B,$A150)</f>
        <v>37</v>
      </c>
      <c r="C150" s="36" t="str">
        <f ca="1" t="array" ref="C150">INDEX(Data_DBD!$C:$C,$A150)</f>
        <v>4 Hari</v>
      </c>
      <c r="D150" s="36">
        <f ca="1" t="array" ref="D150">INDEX(Data_DBD!$E:$E,$A150)</f>
        <v>1</v>
      </c>
      <c r="E150" s="36" t="str">
        <f ca="1" t="array" ref="E150">INDEX(Data_DBD!$F:$F,$A150)</f>
        <v>Tinggi</v>
      </c>
      <c r="H150" s="36">
        <v>7</v>
      </c>
      <c r="I150" s="36">
        <v>12</v>
      </c>
      <c r="J150" s="36">
        <v>1</v>
      </c>
      <c r="K150" s="36">
        <v>1</v>
      </c>
      <c r="L150" s="36" t="s">
        <v>8</v>
      </c>
    </row>
    <row r="151" spans="1:12">
      <c r="A151" s="36">
        <f ca="1" t="shared" si="2"/>
        <v>4</v>
      </c>
      <c r="B151" s="36">
        <f ca="1" t="array" ref="B151">INDEX(Data_DBD!$B:$B,$A151)</f>
        <v>23</v>
      </c>
      <c r="C151" s="36" t="str">
        <f ca="1" t="array" ref="C151">INDEX(Data_DBD!$C:$C,$A151)</f>
        <v>5 Hari</v>
      </c>
      <c r="D151" s="36">
        <f ca="1" t="array" ref="D151">INDEX(Data_DBD!$E:$E,$A151)</f>
        <v>0</v>
      </c>
      <c r="E151" s="36" t="str">
        <f ca="1" t="array" ref="E151">INDEX(Data_DBD!$F:$F,$A151)</f>
        <v>Sedang</v>
      </c>
      <c r="H151" s="36">
        <v>85</v>
      </c>
      <c r="I151" s="36">
        <v>27</v>
      </c>
      <c r="J151" s="36">
        <v>9</v>
      </c>
      <c r="K151" s="36">
        <v>0</v>
      </c>
      <c r="L151" s="36" t="s">
        <v>8</v>
      </c>
    </row>
    <row r="152" spans="1:12">
      <c r="A152" s="36">
        <f ca="1" t="shared" si="2"/>
        <v>41</v>
      </c>
      <c r="B152" s="36">
        <f ca="1" t="array" ref="B152">INDEX(Data_DBD!$B:$B,$A152)</f>
        <v>8</v>
      </c>
      <c r="C152" s="36" t="str">
        <f ca="1" t="array" ref="C152">INDEX(Data_DBD!$C:$C,$A152)</f>
        <v>4 Hari</v>
      </c>
      <c r="D152" s="36">
        <f ca="1" t="array" ref="D152">INDEX(Data_DBD!$E:$E,$A152)</f>
        <v>0</v>
      </c>
      <c r="E152" s="36" t="str">
        <f ca="1" t="array" ref="E152">INDEX(Data_DBD!$F:$F,$A152)</f>
        <v>Sedang</v>
      </c>
      <c r="H152" s="36">
        <v>122</v>
      </c>
      <c r="I152" s="36">
        <v>28</v>
      </c>
      <c r="J152" s="36">
        <v>3</v>
      </c>
      <c r="K152" s="36">
        <v>1</v>
      </c>
      <c r="L152" s="36" t="s">
        <v>105</v>
      </c>
    </row>
    <row r="153" spans="1:12">
      <c r="A153" s="36">
        <f ca="1" t="shared" si="2"/>
        <v>139</v>
      </c>
      <c r="B153" s="36">
        <f ca="1" t="array" ref="B153">INDEX(Data_DBD!$B:$B,$A153)</f>
        <v>52</v>
      </c>
      <c r="C153" s="36" t="str">
        <f ca="1" t="array" ref="C153">INDEX(Data_DBD!$C:$C,$A153)</f>
        <v>7 Hari</v>
      </c>
      <c r="D153" s="36">
        <f ca="1" t="array" ref="D153">INDEX(Data_DBD!$E:$E,$A153)</f>
        <v>0</v>
      </c>
      <c r="E153" s="36" t="str">
        <f ca="1" t="array" ref="E153">INDEX(Data_DBD!$F:$F,$A153)</f>
        <v>Tinggi</v>
      </c>
      <c r="H153" s="36">
        <v>35</v>
      </c>
      <c r="I153" s="36">
        <v>40</v>
      </c>
      <c r="J153" s="36">
        <v>3</v>
      </c>
      <c r="K153" s="36">
        <v>1</v>
      </c>
      <c r="L153" s="36" t="s">
        <v>26</v>
      </c>
    </row>
    <row r="154" ht="15.75" spans="1:22">
      <c r="A154" s="36">
        <f ca="1" t="shared" si="2"/>
        <v>142</v>
      </c>
      <c r="B154" s="36">
        <f ca="1" t="array" ref="B154">INDEX(Data_DBD!$B:$B,$A154)</f>
        <v>39</v>
      </c>
      <c r="C154" s="36" t="str">
        <f ca="1" t="array" ref="C154">INDEX(Data_DBD!$C:$C,$A154)</f>
        <v>2 Hari</v>
      </c>
      <c r="D154" s="36">
        <f ca="1" t="array" ref="D154">INDEX(Data_DBD!$E:$E,$A154)</f>
        <v>1</v>
      </c>
      <c r="E154" s="36" t="str">
        <f ca="1" t="array" ref="E154">INDEX(Data_DBD!$F:$F,$A154)</f>
        <v>Tinggi</v>
      </c>
      <c r="H154" s="36">
        <v>161</v>
      </c>
      <c r="I154" s="36">
        <v>12</v>
      </c>
      <c r="J154" s="36">
        <v>3</v>
      </c>
      <c r="K154" s="36">
        <v>1</v>
      </c>
      <c r="L154" s="36" t="s">
        <v>105</v>
      </c>
      <c r="V154" s="42" t="s">
        <v>225</v>
      </c>
    </row>
    <row r="155" ht="15.75" spans="1:22">
      <c r="A155" s="36">
        <f ca="1" t="shared" si="2"/>
        <v>80</v>
      </c>
      <c r="B155" s="36">
        <f ca="1" t="array" ref="B155">INDEX(Data_DBD!$B:$B,$A155)</f>
        <v>27</v>
      </c>
      <c r="C155" s="36" t="str">
        <f ca="1" t="array" ref="C155">INDEX(Data_DBD!$C:$C,$A155)</f>
        <v>3 Hari</v>
      </c>
      <c r="D155" s="36">
        <f ca="1" t="array" ref="D155">INDEX(Data_DBD!$E:$E,$A155)</f>
        <v>1</v>
      </c>
      <c r="E155" s="36" t="str">
        <f ca="1" t="array" ref="E155">INDEX(Data_DBD!$F:$F,$A155)</f>
        <v>Sedang</v>
      </c>
      <c r="H155" s="36">
        <v>31</v>
      </c>
      <c r="I155" s="36">
        <v>64</v>
      </c>
      <c r="J155" s="36">
        <v>4</v>
      </c>
      <c r="K155" s="36">
        <v>1</v>
      </c>
      <c r="L155" s="36" t="s">
        <v>8</v>
      </c>
      <c r="V155" s="43" t="s">
        <v>187</v>
      </c>
    </row>
    <row r="156" ht="15.75" spans="1:22">
      <c r="A156" s="36">
        <f ca="1" t="shared" si="2"/>
        <v>89</v>
      </c>
      <c r="B156" s="36">
        <f ca="1" t="array" ref="B156">INDEX(Data_DBD!$B:$B,$A156)</f>
        <v>32</v>
      </c>
      <c r="C156" s="36" t="str">
        <f ca="1" t="array" ref="C156">INDEX(Data_DBD!$C:$C,$A156)</f>
        <v>4 Hari</v>
      </c>
      <c r="D156" s="36">
        <f ca="1" t="array" ref="D156">INDEX(Data_DBD!$E:$E,$A156)</f>
        <v>0</v>
      </c>
      <c r="E156" s="36" t="str">
        <f ca="1" t="array" ref="E156">INDEX(Data_DBD!$F:$F,$A156)</f>
        <v>Sedang</v>
      </c>
      <c r="H156" s="36">
        <v>144</v>
      </c>
      <c r="I156" s="36">
        <v>61</v>
      </c>
      <c r="J156" s="36">
        <v>4</v>
      </c>
      <c r="K156" s="36">
        <v>1</v>
      </c>
      <c r="L156" s="36" t="s">
        <v>105</v>
      </c>
      <c r="V156" s="44" t="s">
        <v>226</v>
      </c>
    </row>
    <row r="157" ht="15.75" spans="1:22">
      <c r="A157" s="36">
        <f ca="1" t="shared" si="2"/>
        <v>32</v>
      </c>
      <c r="B157" s="36">
        <f ca="1" t="array" ref="B157">INDEX(Data_DBD!$B:$B,$A157)</f>
        <v>54</v>
      </c>
      <c r="C157" s="36" t="str">
        <f ca="1" t="array" ref="C157">INDEX(Data_DBD!$C:$C,$A157)</f>
        <v>4 Hari</v>
      </c>
      <c r="D157" s="36">
        <f ca="1" t="array" ref="D157">INDEX(Data_DBD!$E:$E,$A157)</f>
        <v>0</v>
      </c>
      <c r="E157" s="36" t="str">
        <f ca="1" t="array" ref="E157">INDEX(Data_DBD!$F:$F,$A157)</f>
        <v>Sedang</v>
      </c>
      <c r="H157" s="36">
        <v>77</v>
      </c>
      <c r="I157" s="36">
        <v>16</v>
      </c>
      <c r="J157" s="36">
        <v>4</v>
      </c>
      <c r="K157" s="36">
        <v>1</v>
      </c>
      <c r="L157" s="36" t="s">
        <v>8</v>
      </c>
      <c r="V157" s="44" t="s">
        <v>227</v>
      </c>
    </row>
    <row r="158" ht="15.75" spans="1:22">
      <c r="A158" s="36">
        <f ca="1" t="shared" si="2"/>
        <v>104</v>
      </c>
      <c r="B158" s="36">
        <f ca="1" t="array" ref="B158">INDEX(Data_DBD!$B:$B,$A158)</f>
        <v>37</v>
      </c>
      <c r="C158" s="36" t="str">
        <f ca="1" t="array" ref="C158">INDEX(Data_DBD!$C:$C,$A158)</f>
        <v>4 Hari</v>
      </c>
      <c r="D158" s="36">
        <f ca="1" t="array" ref="D158">INDEX(Data_DBD!$E:$E,$A158)</f>
        <v>1</v>
      </c>
      <c r="E158" s="36" t="str">
        <f ca="1" t="array" ref="E158">INDEX(Data_DBD!$F:$F,$A158)</f>
        <v>Tinggi</v>
      </c>
      <c r="H158" s="36">
        <v>79</v>
      </c>
      <c r="I158" s="36">
        <v>29</v>
      </c>
      <c r="J158" s="36">
        <v>3</v>
      </c>
      <c r="K158" s="36">
        <v>0</v>
      </c>
      <c r="L158" s="36" t="s">
        <v>8</v>
      </c>
      <c r="V158" s="43" t="s">
        <v>190</v>
      </c>
    </row>
    <row r="159" ht="15.75" spans="1:22">
      <c r="A159" s="36">
        <f ca="1" t="shared" si="2"/>
        <v>6</v>
      </c>
      <c r="B159" s="36">
        <f ca="1" t="array" ref="B159">INDEX(Data_DBD!$B:$B,$A159)</f>
        <v>14</v>
      </c>
      <c r="C159" s="36" t="str">
        <f ca="1" t="array" ref="C159">INDEX(Data_DBD!$C:$C,$A159)</f>
        <v>4 Hari</v>
      </c>
      <c r="D159" s="36">
        <f ca="1" t="array" ref="D159">INDEX(Data_DBD!$E:$E,$A159)</f>
        <v>0</v>
      </c>
      <c r="E159" s="36" t="str">
        <f ca="1" t="array" ref="E159">INDEX(Data_DBD!$F:$F,$A159)</f>
        <v>Sedang</v>
      </c>
      <c r="H159" s="36">
        <v>103</v>
      </c>
      <c r="I159" s="36">
        <v>22</v>
      </c>
      <c r="J159" s="36">
        <v>5</v>
      </c>
      <c r="K159" s="36">
        <v>0</v>
      </c>
      <c r="L159" s="36" t="s">
        <v>105</v>
      </c>
      <c r="V159" s="44" t="s">
        <v>228</v>
      </c>
    </row>
    <row r="160" ht="15.75" spans="1:22">
      <c r="A160" s="36">
        <f ca="1" t="shared" si="2"/>
        <v>32</v>
      </c>
      <c r="B160" s="36">
        <f ca="1" t="array" ref="B160">INDEX(Data_DBD!$B:$B,$A160)</f>
        <v>54</v>
      </c>
      <c r="C160" s="36" t="str">
        <f ca="1" t="array" ref="C160">INDEX(Data_DBD!$C:$C,$A160)</f>
        <v>4 Hari</v>
      </c>
      <c r="D160" s="36">
        <f ca="1" t="array" ref="D160">INDEX(Data_DBD!$E:$E,$A160)</f>
        <v>0</v>
      </c>
      <c r="E160" s="36" t="str">
        <f ca="1" t="array" ref="E160">INDEX(Data_DBD!$F:$F,$A160)</f>
        <v>Sedang</v>
      </c>
      <c r="H160" s="36">
        <v>94</v>
      </c>
      <c r="I160" s="36">
        <v>12</v>
      </c>
      <c r="J160" s="36">
        <v>4</v>
      </c>
      <c r="K160" s="36">
        <v>0</v>
      </c>
      <c r="L160" s="36" t="s">
        <v>105</v>
      </c>
      <c r="V160" s="44" t="s">
        <v>229</v>
      </c>
    </row>
    <row r="161" ht="15.75" spans="1:22">
      <c r="A161" s="36">
        <f ca="1" t="shared" si="2"/>
        <v>85</v>
      </c>
      <c r="B161" s="36">
        <f ca="1" t="array" ref="B161">INDEX(Data_DBD!$B:$B,$A161)</f>
        <v>27</v>
      </c>
      <c r="C161" s="36" t="str">
        <f ca="1" t="array" ref="C161">INDEX(Data_DBD!$C:$C,$A161)</f>
        <v>9 Hari</v>
      </c>
      <c r="D161" s="36">
        <f ca="1" t="array" ref="D161">INDEX(Data_DBD!$E:$E,$A161)</f>
        <v>0</v>
      </c>
      <c r="E161" s="36" t="str">
        <f ca="1" t="array" ref="E161">INDEX(Data_DBD!$F:$F,$A161)</f>
        <v>Sedang</v>
      </c>
      <c r="H161" s="36">
        <v>81</v>
      </c>
      <c r="I161" s="36">
        <v>23</v>
      </c>
      <c r="J161" s="36">
        <v>5</v>
      </c>
      <c r="K161" s="36">
        <v>1</v>
      </c>
      <c r="L161" s="36" t="s">
        <v>8</v>
      </c>
      <c r="V161" s="43" t="s">
        <v>193</v>
      </c>
    </row>
    <row r="162" ht="15.75" spans="1:22">
      <c r="A162" s="36">
        <f ca="1" t="shared" si="2"/>
        <v>44</v>
      </c>
      <c r="B162" s="36">
        <f ca="1" t="array" ref="B162">INDEX(Data_DBD!$B:$B,$A162)</f>
        <v>28</v>
      </c>
      <c r="C162" s="36" t="str">
        <f ca="1" t="array" ref="C162">INDEX(Data_DBD!$C:$C,$A162)</f>
        <v>5 Hari</v>
      </c>
      <c r="D162" s="36">
        <f ca="1" t="array" ref="D162">INDEX(Data_DBD!$E:$E,$A162)</f>
        <v>1</v>
      </c>
      <c r="E162" s="36" t="str">
        <f ca="1" t="array" ref="E162">INDEX(Data_DBD!$F:$F,$A162)</f>
        <v>Sedang</v>
      </c>
      <c r="H162" s="36">
        <v>17</v>
      </c>
      <c r="I162" s="36">
        <v>2</v>
      </c>
      <c r="J162" s="36">
        <v>3</v>
      </c>
      <c r="K162" s="36">
        <v>0</v>
      </c>
      <c r="L162" s="36" t="s">
        <v>26</v>
      </c>
      <c r="V162" s="44" t="s">
        <v>230</v>
      </c>
    </row>
    <row r="163" spans="1:12">
      <c r="A163" s="36">
        <f ca="1" t="shared" si="2"/>
        <v>101</v>
      </c>
      <c r="B163" s="36">
        <f ca="1" t="array" ref="B163">INDEX(Data_DBD!$B:$B,$A163)</f>
        <v>42</v>
      </c>
      <c r="C163" s="36" t="str">
        <f ca="1" t="array" ref="C163">INDEX(Data_DBD!$C:$C,$A163)</f>
        <v>5 Hari</v>
      </c>
      <c r="D163" s="36">
        <f ca="1" t="array" ref="D163">INDEX(Data_DBD!$E:$E,$A163)</f>
        <v>0</v>
      </c>
      <c r="E163" s="36" t="str">
        <f ca="1" t="array" ref="E163">INDEX(Data_DBD!$F:$F,$A163)</f>
        <v>Tinggi</v>
      </c>
      <c r="H163" s="36">
        <v>2</v>
      </c>
      <c r="I163" s="36">
        <v>34</v>
      </c>
      <c r="J163" s="36">
        <v>3</v>
      </c>
      <c r="K163" s="36">
        <v>0</v>
      </c>
      <c r="L163" s="36" t="s">
        <v>8</v>
      </c>
    </row>
    <row r="164" spans="1:12">
      <c r="A164" s="36">
        <f ca="1" t="shared" si="2"/>
        <v>148</v>
      </c>
      <c r="B164" s="36">
        <f ca="1" t="array" ref="B164">INDEX(Data_DBD!$B:$B,$A164)</f>
        <v>55</v>
      </c>
      <c r="C164" s="36" t="str">
        <f ca="1" t="array" ref="C164">INDEX(Data_DBD!$C:$C,$A164)</f>
        <v>3 Hari</v>
      </c>
      <c r="D164" s="36">
        <f ca="1" t="array" ref="D164">INDEX(Data_DBD!$E:$E,$A164)</f>
        <v>1</v>
      </c>
      <c r="E164" s="36" t="str">
        <f ca="1" t="array" ref="E164">INDEX(Data_DBD!$F:$F,$A164)</f>
        <v>Tinggi</v>
      </c>
      <c r="H164" s="36">
        <v>138</v>
      </c>
      <c r="I164" s="36">
        <v>13</v>
      </c>
      <c r="J164" s="36">
        <v>3</v>
      </c>
      <c r="K164" s="36">
        <v>1</v>
      </c>
      <c r="L164" s="36" t="s">
        <v>105</v>
      </c>
    </row>
    <row r="165" spans="9:11">
      <c r="I165">
        <f>AVERAGE(I2:I164)</f>
        <v>31.4846625766871</v>
      </c>
      <c r="J165">
        <f>AVERAGE(J2:J164)</f>
        <v>3.59509202453988</v>
      </c>
      <c r="K165">
        <f>AVERAGE(K2:K164)</f>
        <v>0.521472392638037</v>
      </c>
    </row>
    <row r="167" spans="2:2">
      <c r="B167">
        <v>2</v>
      </c>
    </row>
    <row r="168" spans="5:17">
      <c r="E168" s="40" t="s">
        <v>207</v>
      </c>
      <c r="J168" s="40" t="s">
        <v>208</v>
      </c>
      <c r="Q168" s="40" t="s">
        <v>210</v>
      </c>
    </row>
    <row r="169" spans="5:19">
      <c r="E169" s="36" t="s">
        <v>1</v>
      </c>
      <c r="F169" s="36">
        <f>AVERAGEIF($I$2:$I$164,"&lt;="&amp;$I$165)</f>
        <v>16.6161616161616</v>
      </c>
      <c r="G169" s="36">
        <f>AVERAGEIF($I$2:$I$164,"&gt;"&amp;$I$165)</f>
        <v>54.484375</v>
      </c>
      <c r="J169" s="36" t="s">
        <v>211</v>
      </c>
      <c r="K169" s="36">
        <f>AVERAGEIF($J$2:$J$164,"&lt;="&amp;$J$165)</f>
        <v>2.61363636363636</v>
      </c>
      <c r="L169" s="36">
        <f>AVERAGEIF($J$2:$J$164,"&gt;"&amp;$J$165)</f>
        <v>4.74666666666667</v>
      </c>
      <c r="Q169" s="36" t="s">
        <v>213</v>
      </c>
      <c r="R169" s="36">
        <f>AVERAGEIF($K$2:$K$164,"&lt;="&amp;$K$165)</f>
        <v>0</v>
      </c>
      <c r="S169" s="36">
        <f>AVERAGEIF($K$2:$K$164,"&gt;"&amp;$K$165)</f>
        <v>1</v>
      </c>
    </row>
    <row r="170" spans="5:19">
      <c r="E170" s="36" t="str">
        <f t="array" ref="E170:E332">IF($I$2:$I$164&lt;$F$169,"kiri",IF($I$2:$I$164&lt;$G$169,"tengah","kanan"))</f>
        <v>kiri</v>
      </c>
      <c r="F170" s="36" t="s">
        <v>231</v>
      </c>
      <c r="G170" s="36"/>
      <c r="J170" s="36" t="str">
        <f t="array" ref="J170:J332">IF($J$2:$J$164&lt;$K$169,"kiri",IF($J$2:$J$164&lt;$L$169,"tengah","kanan"))</f>
        <v>tengah</v>
      </c>
      <c r="K170" s="36" t="s">
        <v>232</v>
      </c>
      <c r="L170" s="36"/>
      <c r="Q170" s="36" t="str">
        <f t="array" ref="Q170:Q332">IF($K$2:$K$164&lt;$R$169,"kiri",IF($K$2:$K$164&lt;$S$169,"tengah","kanan"))</f>
        <v>kanan</v>
      </c>
      <c r="R170" s="36" t="s">
        <v>217</v>
      </c>
      <c r="S170" s="36"/>
    </row>
    <row r="171" spans="5:19">
      <c r="E171" s="36" t="str">
        <v>tengah</v>
      </c>
      <c r="F171" s="36">
        <f>COUNTIFS($E$170:$E$332,"Kanan",$L$2:$L$164,"Tinggi")</f>
        <v>14</v>
      </c>
      <c r="G171" s="36">
        <f>F171/30</f>
        <v>0.466666666666667</v>
      </c>
      <c r="J171" s="36" t="str">
        <v>tengah</v>
      </c>
      <c r="K171" s="36">
        <f>COUNTIFS($J$170:$J$332,"Kanan",$L$2:$L$164,"Tinggi")</f>
        <v>12</v>
      </c>
      <c r="L171" s="36">
        <f>K171/27</f>
        <v>0.444444444444444</v>
      </c>
      <c r="Q171" s="36" t="str">
        <v>tengah</v>
      </c>
      <c r="R171" s="36">
        <f>COUNTIFS($Q$170:$Q$332,"Kanan",$L$2:$L$164,"Tinggi")</f>
        <v>40</v>
      </c>
      <c r="S171" s="36">
        <f>R171/85</f>
        <v>0.470588235294118</v>
      </c>
    </row>
    <row r="172" spans="5:19">
      <c r="E172" s="36" t="str">
        <v>kiri</v>
      </c>
      <c r="F172" s="36">
        <f>COUNTIFS($E$170:$E$332,"Kanan",$L$2:$L$164,"Sedang")</f>
        <v>16</v>
      </c>
      <c r="G172" s="36">
        <f>F172/30</f>
        <v>0.533333333333333</v>
      </c>
      <c r="J172" s="36" t="str">
        <v>kiri</v>
      </c>
      <c r="K172" s="36">
        <f>COUNTIFS($J$170:$J$332,"Kanan",$L$2:$L$164,"Sedang")</f>
        <v>14</v>
      </c>
      <c r="L172" s="36">
        <f>K172/27</f>
        <v>0.518518518518518</v>
      </c>
      <c r="Q172" s="36" t="str">
        <v>kanan</v>
      </c>
      <c r="R172" s="36">
        <f>COUNTIFS($Q$170:$Q$332,"Kanan",$L$2:$L$164,"Sedang")</f>
        <v>36</v>
      </c>
      <c r="S172" s="36">
        <f>R172/85</f>
        <v>0.423529411764706</v>
      </c>
    </row>
    <row r="173" spans="5:19">
      <c r="E173" s="36" t="str">
        <v>kanan</v>
      </c>
      <c r="F173" s="36">
        <f>COUNTIFS($E$170:$E$332,"Kanan",$L$2:$L$164,"Rendah")</f>
        <v>0</v>
      </c>
      <c r="G173" s="36">
        <f>F173/30</f>
        <v>0</v>
      </c>
      <c r="J173" s="36" t="str">
        <v>kiri</v>
      </c>
      <c r="K173" s="36">
        <f>COUNTIFS($J$170:$J$332,"Kanan",$L$2:$L$164,"Rendah")</f>
        <v>1</v>
      </c>
      <c r="L173" s="36">
        <f>K173/27</f>
        <v>0.037037037037037</v>
      </c>
      <c r="Q173" s="36" t="str">
        <v>tengah</v>
      </c>
      <c r="R173" s="36">
        <f>COUNTIFS($Q$170:$Q$332,"Kanan",$L$2:$L$164,"Rendah")</f>
        <v>9</v>
      </c>
      <c r="S173" s="36">
        <f>R173/85</f>
        <v>0.105882352941176</v>
      </c>
    </row>
    <row r="174" spans="5:19">
      <c r="E174" s="36" t="str">
        <v>tengah</v>
      </c>
      <c r="F174" s="36" t="s">
        <v>218</v>
      </c>
      <c r="G174" s="36">
        <f>-(IFERROR(G171*LOG(G171,2),0)+IFERROR(G172*LOG(G172,2),0)+IFERROR(G173*LOG(G173,2),0))</f>
        <v>0.996791631981637</v>
      </c>
      <c r="J174" s="36" t="str">
        <v>kanan</v>
      </c>
      <c r="K174" s="36" t="s">
        <v>218</v>
      </c>
      <c r="L174" s="36">
        <f>-(IFERROR(L171*LOG(L171,2),0)+IFERROR(L172*LOG(L172,2),0)+IFERROR(L173*LOG(L173,2),0))</f>
        <v>1.18738680151679</v>
      </c>
      <c r="Q174" s="36" t="str">
        <v>tengah</v>
      </c>
      <c r="R174" s="36" t="s">
        <v>218</v>
      </c>
      <c r="S174" s="36">
        <f>-(IFERROR(S171*LOG(S171,2),0)+IFERROR(S172*LOG(S172,2),0)+IFERROR(S173*LOG(S173,2),0))</f>
        <v>1.37969977307419</v>
      </c>
    </row>
    <row r="175" spans="5:19">
      <c r="E175" s="36" t="str">
        <v>kiri</v>
      </c>
      <c r="F175" s="36"/>
      <c r="G175" s="36">
        <f>SUM(F171:F173)/163</f>
        <v>0.184049079754601</v>
      </c>
      <c r="J175" s="36" t="str">
        <v>tengah</v>
      </c>
      <c r="K175" s="36"/>
      <c r="L175" s="36">
        <f>SUM(K171:K173)/163</f>
        <v>0.165644171779141</v>
      </c>
      <c r="Q175" s="36" t="str">
        <v>kanan</v>
      </c>
      <c r="R175" s="36"/>
      <c r="S175" s="36">
        <f>SUM(R171:R173)/163</f>
        <v>0.521472392638037</v>
      </c>
    </row>
    <row r="176" spans="5:19">
      <c r="E176" s="36" t="str">
        <v>tengah</v>
      </c>
      <c r="F176" s="36"/>
      <c r="G176" s="41">
        <f>G174*G175</f>
        <v>0.183458582573307</v>
      </c>
      <c r="J176" s="36" t="str">
        <v>tengah</v>
      </c>
      <c r="K176" s="36"/>
      <c r="L176" s="41">
        <f>L174*L175</f>
        <v>0.196683703318732</v>
      </c>
      <c r="Q176" s="36" t="str">
        <v>tengah</v>
      </c>
      <c r="R176" s="36"/>
      <c r="S176" s="41">
        <f>S174*S175</f>
        <v>0.719475341787154</v>
      </c>
    </row>
    <row r="177" spans="5:19">
      <c r="E177" s="36" t="str">
        <v>kanan</v>
      </c>
      <c r="F177" s="36"/>
      <c r="G177" s="36"/>
      <c r="J177" s="36" t="str">
        <v>kanan</v>
      </c>
      <c r="K177" s="36"/>
      <c r="L177" s="36"/>
      <c r="Q177" s="36" t="str">
        <v>kanan</v>
      </c>
      <c r="R177" s="36"/>
      <c r="S177" s="36"/>
    </row>
    <row r="178" spans="5:19">
      <c r="E178" s="36" t="str">
        <v>kiri</v>
      </c>
      <c r="F178" s="36"/>
      <c r="G178" s="36"/>
      <c r="J178" s="36" t="str">
        <v>kanan</v>
      </c>
      <c r="K178" s="36"/>
      <c r="L178" s="36"/>
      <c r="Q178" s="36" t="str">
        <v>kanan</v>
      </c>
      <c r="R178" s="36"/>
      <c r="S178" s="36"/>
    </row>
    <row r="179" spans="5:19">
      <c r="E179" s="36" t="str">
        <v>kanan</v>
      </c>
      <c r="F179" s="36" t="s">
        <v>233</v>
      </c>
      <c r="G179" s="36"/>
      <c r="J179" s="36" t="str">
        <v>kanan</v>
      </c>
      <c r="K179" s="36" t="s">
        <v>234</v>
      </c>
      <c r="L179" s="36"/>
      <c r="Q179" s="36" t="str">
        <v>kanan</v>
      </c>
      <c r="R179" s="36" t="s">
        <v>222</v>
      </c>
      <c r="S179" s="36"/>
    </row>
    <row r="180" spans="5:19">
      <c r="E180" s="36" t="str">
        <v>tengah</v>
      </c>
      <c r="F180" s="36">
        <f>COUNTIFS($E$170:$E$332,"Kiri",$L$2:$L$164,"Tinggi")</f>
        <v>21</v>
      </c>
      <c r="G180" s="36">
        <f>F180/48</f>
        <v>0.4375</v>
      </c>
      <c r="J180" s="36" t="str">
        <v>tengah</v>
      </c>
      <c r="K180" s="36">
        <f>COUNTIFS($J$170:$J$332,"Kiri",$L$2:$L$164,"Tinggi")</f>
        <v>13</v>
      </c>
      <c r="L180" s="36">
        <f>K180/27</f>
        <v>0.481481481481481</v>
      </c>
      <c r="Q180" s="36" t="str">
        <v>kanan</v>
      </c>
      <c r="R180" s="36">
        <f>COUNTIFS($Q$170:$Q$332,"Kiri",$L$2:$L$164,"Tinggi")</f>
        <v>0</v>
      </c>
      <c r="S180" s="36">
        <f>R180/57</f>
        <v>0</v>
      </c>
    </row>
    <row r="181" spans="5:19">
      <c r="E181" s="36" t="str">
        <v>tengah</v>
      </c>
      <c r="F181" s="36">
        <f>COUNTIFS($E$170:$E$332,"Kiri",$L$2:$L$164,"Sedang")</f>
        <v>23</v>
      </c>
      <c r="G181" s="36">
        <f>F181/48</f>
        <v>0.479166666666667</v>
      </c>
      <c r="J181" s="36" t="str">
        <v>kanan</v>
      </c>
      <c r="K181" s="36">
        <f>COUNTIFS($J$170:$J$332,"Kiri",$L$2:$L$164,"Sedang")</f>
        <v>12</v>
      </c>
      <c r="L181" s="36">
        <f>K181/27</f>
        <v>0.444444444444444</v>
      </c>
      <c r="Q181" s="36" t="str">
        <v>tengah</v>
      </c>
      <c r="R181" s="36">
        <f>COUNTIFS($Q$170:$Q$332,"Kiri",$L$2:$L$164,"Sedang")</f>
        <v>0</v>
      </c>
      <c r="S181" s="36">
        <f>R181/57</f>
        <v>0</v>
      </c>
    </row>
    <row r="182" spans="5:19">
      <c r="E182" s="36" t="str">
        <v>kiri</v>
      </c>
      <c r="F182" s="36">
        <f>COUNTIFS($E$170:$E$332,"Kiri",$L$2:$L$164,"Rendah")</f>
        <v>4</v>
      </c>
      <c r="G182" s="36">
        <f>F182/48</f>
        <v>0.0833333333333333</v>
      </c>
      <c r="J182" s="36" t="str">
        <v>tengah</v>
      </c>
      <c r="K182" s="36">
        <f>COUNTIFS($J$170:$J$332,"Kiri",$L$2:$L$164,"Rendah")</f>
        <v>2</v>
      </c>
      <c r="L182" s="36">
        <f>K182/27</f>
        <v>0.0740740740740741</v>
      </c>
      <c r="Q182" s="36" t="str">
        <v>tengah</v>
      </c>
      <c r="R182" s="36">
        <f>COUNTIFS($Q$170:$Q$332,"Kiri",$L$2:$L$164,"Rendah")</f>
        <v>0</v>
      </c>
      <c r="S182" s="36">
        <f>R182/57</f>
        <v>0</v>
      </c>
    </row>
    <row r="183" spans="5:19">
      <c r="E183" s="36" t="str">
        <v>tengah</v>
      </c>
      <c r="F183" s="36" t="s">
        <v>218</v>
      </c>
      <c r="G183" s="36">
        <f>-(IFERROR(G180*LOG(G180,2),0)+IFERROR(G181*LOG(G181,2),0)+IFERROR(G182*LOG(G182,2),0))</f>
        <v>1.3291168576448</v>
      </c>
      <c r="J183" s="36" t="str">
        <v>kiri</v>
      </c>
      <c r="K183" s="36" t="s">
        <v>218</v>
      </c>
      <c r="L183" s="36">
        <f>-(IFERROR(L180*LOG(L180,2),0)+IFERROR(L181*LOG(L181,2),0)+IFERROR(L182*LOG(L182,2),0))</f>
        <v>1.30580356347873</v>
      </c>
      <c r="Q183" s="36" t="str">
        <v>tengah</v>
      </c>
      <c r="R183" s="36" t="s">
        <v>218</v>
      </c>
      <c r="S183" s="36">
        <f>-(IFERROR(S180*LOG(S180,2),0)+IFERROR(S181*LOG(S181,2),0)+IFERROR(S182*LOG(S182,2),0))</f>
        <v>0</v>
      </c>
    </row>
    <row r="184" spans="5:19">
      <c r="E184" s="36" t="str">
        <v>tengah</v>
      </c>
      <c r="F184" s="36"/>
      <c r="G184" s="36">
        <f>SUM(F180:F182)/163</f>
        <v>0.294478527607362</v>
      </c>
      <c r="J184" s="36" t="str">
        <v>kiri</v>
      </c>
      <c r="K184" s="36"/>
      <c r="L184" s="36">
        <f>SUM(K180:K182)/163</f>
        <v>0.165644171779141</v>
      </c>
      <c r="Q184" s="36" t="str">
        <v>kanan</v>
      </c>
      <c r="R184" s="36"/>
      <c r="S184" s="36">
        <f>SUM(R180:R182)/163</f>
        <v>0</v>
      </c>
    </row>
    <row r="185" spans="5:19">
      <c r="E185" s="36" t="str">
        <v>tengah</v>
      </c>
      <c r="F185" s="36"/>
      <c r="G185" s="41">
        <f>G183*G184</f>
        <v>0.391396375257363</v>
      </c>
      <c r="J185" s="36" t="str">
        <v>kiri</v>
      </c>
      <c r="K185" s="36"/>
      <c r="L185" s="41">
        <f>L183*L184</f>
        <v>0.216298749778684</v>
      </c>
      <c r="Q185" s="36" t="str">
        <v>tengah</v>
      </c>
      <c r="R185" s="36"/>
      <c r="S185" s="41">
        <f>S183*S184</f>
        <v>0</v>
      </c>
    </row>
    <row r="186" spans="5:19">
      <c r="E186" s="36" t="str">
        <v>kiri</v>
      </c>
      <c r="F186" s="36"/>
      <c r="G186" s="36"/>
      <c r="J186" s="36" t="str">
        <v>kiri</v>
      </c>
      <c r="K186" s="36"/>
      <c r="L186" s="36"/>
      <c r="Q186" s="36" t="str">
        <v>tengah</v>
      </c>
      <c r="R186" s="36"/>
      <c r="S186" s="36"/>
    </row>
    <row r="187" spans="5:19">
      <c r="E187" s="36" t="str">
        <v>kanan</v>
      </c>
      <c r="F187" s="36"/>
      <c r="G187" s="36"/>
      <c r="J187" s="36" t="str">
        <v>tengah</v>
      </c>
      <c r="K187" s="36"/>
      <c r="L187" s="36"/>
      <c r="Q187" s="36" t="str">
        <v>kanan</v>
      </c>
      <c r="R187" s="36"/>
      <c r="S187" s="36"/>
    </row>
    <row r="188" spans="5:19">
      <c r="E188" s="36" t="str">
        <v>tengah</v>
      </c>
      <c r="F188" s="36" t="s">
        <v>223</v>
      </c>
      <c r="G188" s="36"/>
      <c r="J188" s="36" t="str">
        <v>tengah</v>
      </c>
      <c r="K188" s="36" t="s">
        <v>223</v>
      </c>
      <c r="L188" s="36"/>
      <c r="Q188" s="36" t="str">
        <v>kanan</v>
      </c>
      <c r="R188" s="36" t="s">
        <v>223</v>
      </c>
      <c r="S188" s="36"/>
    </row>
    <row r="189" spans="5:19">
      <c r="E189" s="36" t="str">
        <v>kiri</v>
      </c>
      <c r="F189" s="36">
        <f>COUNTIFS($E$170:$E$332,"Tengah",$L$2:$L$164,"Tinggi")</f>
        <v>30</v>
      </c>
      <c r="G189" s="36">
        <f>F189/85</f>
        <v>0.352941176470588</v>
      </c>
      <c r="J189" s="36" t="str">
        <v>tengah</v>
      </c>
      <c r="K189" s="36">
        <f>COUNTIFS($J$170:$J$332,"Tengah",$L$2:$L$164,"Tinggi")</f>
        <v>40</v>
      </c>
      <c r="L189" s="36">
        <f>K189/109</f>
        <v>0.36697247706422</v>
      </c>
      <c r="Q189" s="36" t="str">
        <v>kanan</v>
      </c>
      <c r="R189" s="36">
        <f>COUNTIFS($Q$170:$Q$332,"Tengah",$L$2:$L$164,"Tinggi")</f>
        <v>25</v>
      </c>
      <c r="S189" s="36">
        <f>R189/78</f>
        <v>0.320512820512821</v>
      </c>
    </row>
    <row r="190" spans="5:19">
      <c r="E190" s="36" t="str">
        <v>kiri</v>
      </c>
      <c r="F190" s="36">
        <f>COUNTIFS($E$170:$E$332,"Tengah",$L$2:$L$164,"Sedang")</f>
        <v>44</v>
      </c>
      <c r="G190" s="36">
        <f>F190/85</f>
        <v>0.517647058823529</v>
      </c>
      <c r="J190" s="36" t="str">
        <v>tengah</v>
      </c>
      <c r="K190" s="36">
        <f>COUNTIFS($J$170:$J$332,"Tengah",$L$2:$L$164,"Sedang")</f>
        <v>57</v>
      </c>
      <c r="L190" s="36">
        <f>K190/109</f>
        <v>0.522935779816514</v>
      </c>
      <c r="Q190" s="36" t="str">
        <v>kanan</v>
      </c>
      <c r="R190" s="36">
        <f>COUNTIFS($Q$170:$Q$332,"Tengah",$L$2:$L$164,"Sedang")</f>
        <v>47</v>
      </c>
      <c r="S190" s="36">
        <f>R190/78</f>
        <v>0.602564102564103</v>
      </c>
    </row>
    <row r="191" spans="5:19">
      <c r="E191" s="36" t="str">
        <v>kanan</v>
      </c>
      <c r="F191" s="36">
        <f>COUNTIFS($E$170:$E$332,"Tengah",$L$2:$L$164,"Rendah")</f>
        <v>11</v>
      </c>
      <c r="G191" s="36">
        <f>F191/85</f>
        <v>0.129411764705882</v>
      </c>
      <c r="J191" s="36" t="str">
        <v>tengah</v>
      </c>
      <c r="K191" s="36">
        <f>COUNTIFS($J$170:$J$332,"Tengah",$L$2:$L$164,"Rendah")</f>
        <v>12</v>
      </c>
      <c r="L191" s="36">
        <f>K191/109</f>
        <v>0.110091743119266</v>
      </c>
      <c r="Q191" s="36" t="str">
        <v>tengah</v>
      </c>
      <c r="R191" s="36">
        <f>COUNTIFS($Q$170:$Q$332,"Tengah",$L$2:$L$164,"Rendah")</f>
        <v>6</v>
      </c>
      <c r="S191" s="36">
        <f>R191/78</f>
        <v>0.0769230769230769</v>
      </c>
    </row>
    <row r="192" spans="5:19">
      <c r="E192" s="36" t="str">
        <v>kiri</v>
      </c>
      <c r="F192" s="36" t="s">
        <v>218</v>
      </c>
      <c r="G192" s="36">
        <f>-(IFERROR(G189*LOG(G189,2),0)+IFERROR(G190*LOG(G190,2),0)+IFERROR(G191*LOG(G191,2),0))</f>
        <v>1.40379732562821</v>
      </c>
      <c r="J192" s="36" t="str">
        <v>tengah</v>
      </c>
      <c r="K192" s="36" t="s">
        <v>218</v>
      </c>
      <c r="L192" s="36">
        <f>-(IFERROR(L189*LOG(L189,2),0)+IFERROR(L190*LOG(L190,2),0)+IFERROR(L191*LOG(L191,2),0))</f>
        <v>1.37028153017565</v>
      </c>
      <c r="Q192" s="36" t="str">
        <v>tengah</v>
      </c>
      <c r="R192" s="36" t="s">
        <v>218</v>
      </c>
      <c r="S192" s="36">
        <f>-(IFERROR(S189*LOG(S189,2),0)+IFERROR(S190*LOG(S190,2),0)+IFERROR(S191*LOG(S191,2),0))</f>
        <v>1.25114765761168</v>
      </c>
    </row>
    <row r="193" spans="5:19">
      <c r="E193" s="36" t="str">
        <v>tengah</v>
      </c>
      <c r="F193" s="36"/>
      <c r="G193" s="36">
        <f>SUM(F189:F191)/163</f>
        <v>0.521472392638037</v>
      </c>
      <c r="J193" s="36" t="str">
        <v>tengah</v>
      </c>
      <c r="K193" s="36"/>
      <c r="L193" s="36">
        <f>SUM(K189:K191)/163</f>
        <v>0.668711656441718</v>
      </c>
      <c r="Q193" s="36" t="str">
        <v>kanan</v>
      </c>
      <c r="R193" s="36"/>
      <c r="S193" s="36">
        <f>SUM(R189:R191)/163</f>
        <v>0.478527607361963</v>
      </c>
    </row>
    <row r="194" spans="5:19">
      <c r="E194" s="36" t="str">
        <v>kanan</v>
      </c>
      <c r="F194" s="36"/>
      <c r="G194" s="41">
        <f>G192*G193</f>
        <v>0.732041550174219</v>
      </c>
      <c r="J194" s="36" t="str">
        <v>tengah</v>
      </c>
      <c r="K194" s="36"/>
      <c r="L194" s="41">
        <f>L192*L193</f>
        <v>0.916323231835254</v>
      </c>
      <c r="Q194" s="36" t="str">
        <v>tengah</v>
      </c>
      <c r="R194" s="36"/>
      <c r="S194" s="41">
        <f>S192*S193</f>
        <v>0.598708695053444</v>
      </c>
    </row>
    <row r="195" spans="5:19">
      <c r="E195" s="36" t="str">
        <v>tengah</v>
      </c>
      <c r="F195" s="36"/>
      <c r="G195" s="36"/>
      <c r="J195" s="36" t="str">
        <v>kiri</v>
      </c>
      <c r="K195" s="36"/>
      <c r="L195" s="36"/>
      <c r="Q195" s="36" t="str">
        <v>tengah</v>
      </c>
      <c r="R195" s="36"/>
      <c r="S195" s="36"/>
    </row>
    <row r="196" spans="5:19">
      <c r="E196" s="36" t="str">
        <v>tengah</v>
      </c>
      <c r="F196" s="36" t="s">
        <v>224</v>
      </c>
      <c r="G196" s="45" t="s">
        <v>218</v>
      </c>
      <c r="J196" s="36" t="str">
        <v>tengah</v>
      </c>
      <c r="K196" s="36" t="s">
        <v>224</v>
      </c>
      <c r="L196" s="45" t="s">
        <v>218</v>
      </c>
      <c r="Q196" s="36" t="str">
        <v>tengah</v>
      </c>
      <c r="R196" s="36" t="s">
        <v>224</v>
      </c>
      <c r="S196" s="45" t="s">
        <v>218</v>
      </c>
    </row>
    <row r="197" spans="5:19">
      <c r="E197" s="36" t="str">
        <v>kanan</v>
      </c>
      <c r="F197" s="46">
        <f>P5-(G176+G185+$G$194)</f>
        <v>0.0345583972521255</v>
      </c>
      <c r="G197" s="41">
        <f>(G176+G185+G194)</f>
        <v>1.30689650800489</v>
      </c>
      <c r="J197" s="36" t="str">
        <v>tengah</v>
      </c>
      <c r="K197" s="46">
        <f>P5-(L176+L185+L194)</f>
        <v>0.0121492203243456</v>
      </c>
      <c r="L197" s="41">
        <f>(L176+L185+L194)</f>
        <v>1.32930568493267</v>
      </c>
      <c r="Q197" s="36" t="str">
        <v>tengah</v>
      </c>
      <c r="R197" s="46">
        <f>P5-(S176+S185+S194)</f>
        <v>0.0232708684164178</v>
      </c>
      <c r="S197" s="36">
        <f>(S176+S185+S194)</f>
        <v>1.3181840368406</v>
      </c>
    </row>
    <row r="198" spans="5:19">
      <c r="E198" s="36" t="str">
        <v>kiri</v>
      </c>
      <c r="F198" s="36"/>
      <c r="G198" s="36"/>
      <c r="J198" s="36" t="str">
        <v>kiri</v>
      </c>
      <c r="K198" s="36"/>
      <c r="L198" s="36"/>
      <c r="Q198" s="36" t="str">
        <v>kanan</v>
      </c>
      <c r="R198" s="36"/>
      <c r="S198" s="36"/>
    </row>
    <row r="199" spans="5:19">
      <c r="E199" s="36" t="str">
        <v>tengah</v>
      </c>
      <c r="F199" s="36"/>
      <c r="G199" s="36"/>
      <c r="J199" s="36" t="str">
        <v>tengah</v>
      </c>
      <c r="K199" s="36"/>
      <c r="L199" s="36"/>
      <c r="Q199" s="36" t="str">
        <v>kanan</v>
      </c>
      <c r="R199" s="36"/>
      <c r="S199" s="36"/>
    </row>
    <row r="200" spans="5:19">
      <c r="E200" s="36" t="str">
        <v>tengah</v>
      </c>
      <c r="F200" s="36"/>
      <c r="G200" s="36"/>
      <c r="J200" s="36" t="str">
        <v>kiri</v>
      </c>
      <c r="K200" s="36"/>
      <c r="L200" s="36"/>
      <c r="Q200" s="36" t="str">
        <v>kanan</v>
      </c>
      <c r="R200" s="36"/>
      <c r="S200" s="36"/>
    </row>
    <row r="201" spans="5:19">
      <c r="E201" s="36" t="str">
        <v>tengah</v>
      </c>
      <c r="F201" s="36"/>
      <c r="G201" s="36"/>
      <c r="J201" s="36" t="str">
        <v>kiri</v>
      </c>
      <c r="K201" s="36"/>
      <c r="L201" s="36"/>
      <c r="Q201" s="36" t="str">
        <v>kanan</v>
      </c>
      <c r="R201" s="36"/>
      <c r="S201" s="36"/>
    </row>
    <row r="202" spans="5:19">
      <c r="E202" s="36" t="str">
        <v>kiri</v>
      </c>
      <c r="F202" s="36"/>
      <c r="G202" s="36"/>
      <c r="J202" s="36" t="str">
        <v>kiri</v>
      </c>
      <c r="K202" s="36"/>
      <c r="L202" s="36"/>
      <c r="Q202" s="36" t="str">
        <v>kanan</v>
      </c>
      <c r="R202" s="36"/>
      <c r="S202" s="36"/>
    </row>
    <row r="203" spans="5:19">
      <c r="E203" s="36" t="str">
        <v>tengah</v>
      </c>
      <c r="F203" s="36"/>
      <c r="G203" s="36"/>
      <c r="J203" s="36" t="str">
        <v>tengah</v>
      </c>
      <c r="K203" s="36"/>
      <c r="L203" s="36"/>
      <c r="Q203" s="36" t="str">
        <v>tengah</v>
      </c>
      <c r="R203" s="36"/>
      <c r="S203" s="36"/>
    </row>
    <row r="204" spans="5:19">
      <c r="E204" s="36" t="str">
        <v>tengah</v>
      </c>
      <c r="F204" s="36"/>
      <c r="G204" s="36"/>
      <c r="J204" s="36" t="str">
        <v>tengah</v>
      </c>
      <c r="K204" s="36"/>
      <c r="L204" s="36"/>
      <c r="Q204" s="36" t="str">
        <v>kanan</v>
      </c>
      <c r="R204" s="36"/>
      <c r="S204" s="36"/>
    </row>
    <row r="205" spans="5:19">
      <c r="E205" s="36" t="str">
        <v>tengah</v>
      </c>
      <c r="F205" s="36"/>
      <c r="G205" s="36"/>
      <c r="J205" s="36" t="str">
        <v>tengah</v>
      </c>
      <c r="K205" s="36"/>
      <c r="L205" s="36"/>
      <c r="Q205" s="36" t="str">
        <v>kanan</v>
      </c>
      <c r="R205" s="36"/>
      <c r="S205" s="36"/>
    </row>
    <row r="206" spans="5:19">
      <c r="E206" s="36" t="str">
        <v>tengah</v>
      </c>
      <c r="F206" s="36"/>
      <c r="G206" s="36"/>
      <c r="J206" s="36" t="str">
        <v>tengah</v>
      </c>
      <c r="K206" s="36"/>
      <c r="L206" s="36"/>
      <c r="Q206" s="36" t="str">
        <v>kanan</v>
      </c>
      <c r="R206" s="36"/>
      <c r="S206" s="36"/>
    </row>
    <row r="207" spans="5:19">
      <c r="E207" s="36" t="str">
        <v>kiri</v>
      </c>
      <c r="F207" s="36"/>
      <c r="G207" s="36"/>
      <c r="J207" s="36" t="str">
        <v>tengah</v>
      </c>
      <c r="K207" s="36"/>
      <c r="L207" s="36"/>
      <c r="Q207" s="36" t="str">
        <v>tengah</v>
      </c>
      <c r="R207" s="36"/>
      <c r="S207" s="36"/>
    </row>
    <row r="208" spans="5:19">
      <c r="E208" s="36" t="str">
        <v>tengah</v>
      </c>
      <c r="F208" s="36"/>
      <c r="G208" s="36"/>
      <c r="J208" s="36" t="str">
        <v>tengah</v>
      </c>
      <c r="K208" s="36"/>
      <c r="L208" s="36"/>
      <c r="Q208" s="36" t="str">
        <v>kanan</v>
      </c>
      <c r="R208" s="36"/>
      <c r="S208" s="36"/>
    </row>
    <row r="209" spans="5:19">
      <c r="E209" s="36" t="str">
        <v>tengah</v>
      </c>
      <c r="F209" s="36"/>
      <c r="G209" s="36"/>
      <c r="J209" s="36" t="str">
        <v>tengah</v>
      </c>
      <c r="K209" s="36"/>
      <c r="L209" s="36"/>
      <c r="Q209" s="36" t="str">
        <v>kanan</v>
      </c>
      <c r="R209" s="36"/>
      <c r="S209" s="36"/>
    </row>
    <row r="210" spans="5:19">
      <c r="E210" s="36" t="str">
        <v>kiri</v>
      </c>
      <c r="F210" s="36"/>
      <c r="G210" s="36"/>
      <c r="J210" s="36" t="str">
        <v>kanan</v>
      </c>
      <c r="K210" s="36"/>
      <c r="L210" s="36"/>
      <c r="Q210" s="36" t="str">
        <v>kanan</v>
      </c>
      <c r="R210" s="36"/>
      <c r="S210" s="36"/>
    </row>
    <row r="211" spans="5:19">
      <c r="E211" s="36" t="str">
        <v>kiri</v>
      </c>
      <c r="F211" s="36"/>
      <c r="G211" s="36"/>
      <c r="J211" s="36" t="str">
        <v>tengah</v>
      </c>
      <c r="K211" s="36"/>
      <c r="L211" s="36"/>
      <c r="Q211" s="36" t="str">
        <v>kanan</v>
      </c>
      <c r="R211" s="36"/>
      <c r="S211" s="36"/>
    </row>
    <row r="212" spans="5:19">
      <c r="E212" s="36" t="str">
        <v>tengah</v>
      </c>
      <c r="F212" s="36"/>
      <c r="G212" s="36"/>
      <c r="J212" s="36" t="str">
        <v>kanan</v>
      </c>
      <c r="K212" s="36"/>
      <c r="L212" s="36"/>
      <c r="Q212" s="36" t="str">
        <v>tengah</v>
      </c>
      <c r="R212" s="36"/>
      <c r="S212" s="36"/>
    </row>
    <row r="213" spans="5:19">
      <c r="E213" s="36" t="str">
        <v>tengah</v>
      </c>
      <c r="F213" s="36"/>
      <c r="G213" s="36"/>
      <c r="J213" s="36" t="str">
        <v>tengah</v>
      </c>
      <c r="K213" s="36"/>
      <c r="L213" s="36"/>
      <c r="Q213" s="36" t="str">
        <v>kanan</v>
      </c>
      <c r="R213" s="36"/>
      <c r="S213" s="36"/>
    </row>
    <row r="214" spans="5:19">
      <c r="E214" s="36" t="str">
        <v>kiri</v>
      </c>
      <c r="F214" s="36"/>
      <c r="G214" s="36"/>
      <c r="J214" s="36" t="str">
        <v>kiri</v>
      </c>
      <c r="K214" s="36"/>
      <c r="L214" s="36"/>
      <c r="Q214" s="36" t="str">
        <v>kanan</v>
      </c>
      <c r="R214" s="36"/>
      <c r="S214" s="36"/>
    </row>
    <row r="215" spans="5:19">
      <c r="E215" s="36" t="str">
        <v>kanan</v>
      </c>
      <c r="F215" s="36"/>
      <c r="G215" s="36"/>
      <c r="J215" s="36" t="str">
        <v>kanan</v>
      </c>
      <c r="K215" s="36"/>
      <c r="L215" s="36"/>
      <c r="Q215" s="36" t="str">
        <v>kanan</v>
      </c>
      <c r="R215" s="36"/>
      <c r="S215" s="36"/>
    </row>
    <row r="216" spans="5:19">
      <c r="E216" s="36" t="str">
        <v>kanan</v>
      </c>
      <c r="F216" s="36"/>
      <c r="G216" s="36"/>
      <c r="J216" s="36" t="str">
        <v>tengah</v>
      </c>
      <c r="K216" s="36"/>
      <c r="L216" s="36"/>
      <c r="Q216" s="36" t="str">
        <v>kanan</v>
      </c>
      <c r="R216" s="36"/>
      <c r="S216" s="36"/>
    </row>
    <row r="217" spans="5:19">
      <c r="E217" s="36" t="str">
        <v>tengah</v>
      </c>
      <c r="F217" s="36"/>
      <c r="G217" s="36"/>
      <c r="J217" s="36" t="str">
        <v>tengah</v>
      </c>
      <c r="K217" s="36"/>
      <c r="L217" s="36"/>
      <c r="Q217" s="36" t="str">
        <v>kanan</v>
      </c>
      <c r="R217" s="36"/>
      <c r="S217" s="36"/>
    </row>
    <row r="218" spans="5:19">
      <c r="E218" s="36" t="str">
        <v>kanan</v>
      </c>
      <c r="F218" s="36"/>
      <c r="G218" s="36"/>
      <c r="J218" s="36" t="str">
        <v>tengah</v>
      </c>
      <c r="K218" s="36"/>
      <c r="L218" s="36"/>
      <c r="Q218" s="36" t="str">
        <v>kanan</v>
      </c>
      <c r="R218" s="36"/>
      <c r="S218" s="36"/>
    </row>
    <row r="219" spans="5:19">
      <c r="E219" s="36" t="str">
        <v>kiri</v>
      </c>
      <c r="F219" s="36"/>
      <c r="G219" s="36"/>
      <c r="J219" s="36" t="str">
        <v>tengah</v>
      </c>
      <c r="K219" s="36"/>
      <c r="L219" s="36"/>
      <c r="Q219" s="36" t="str">
        <v>tengah</v>
      </c>
      <c r="R219" s="36"/>
      <c r="S219" s="36"/>
    </row>
    <row r="220" spans="5:19">
      <c r="E220" s="36" t="str">
        <v>kanan</v>
      </c>
      <c r="F220" s="36"/>
      <c r="G220" s="36"/>
      <c r="J220" s="36" t="str">
        <v>tengah</v>
      </c>
      <c r="K220" s="36"/>
      <c r="L220" s="36"/>
      <c r="Q220" s="36" t="str">
        <v>kanan</v>
      </c>
      <c r="R220" s="36"/>
      <c r="S220" s="36"/>
    </row>
    <row r="221" spans="5:19">
      <c r="E221" s="36" t="str">
        <v>tengah</v>
      </c>
      <c r="F221" s="36"/>
      <c r="G221" s="36"/>
      <c r="J221" s="36" t="str">
        <v>tengah</v>
      </c>
      <c r="K221" s="36"/>
      <c r="L221" s="36"/>
      <c r="Q221" s="36" t="str">
        <v>tengah</v>
      </c>
      <c r="R221" s="36"/>
      <c r="S221" s="36"/>
    </row>
    <row r="222" spans="5:19">
      <c r="E222" s="36" t="str">
        <v>tengah</v>
      </c>
      <c r="F222" s="36"/>
      <c r="G222" s="36"/>
      <c r="J222" s="36" t="str">
        <v>kanan</v>
      </c>
      <c r="K222" s="36"/>
      <c r="L222" s="36"/>
      <c r="Q222" s="36" t="str">
        <v>kanan</v>
      </c>
      <c r="R222" s="36"/>
      <c r="S222" s="36"/>
    </row>
    <row r="223" spans="5:19">
      <c r="E223" s="36" t="str">
        <v>kanan</v>
      </c>
      <c r="F223" s="36"/>
      <c r="G223" s="36"/>
      <c r="J223" s="36" t="str">
        <v>tengah</v>
      </c>
      <c r="K223" s="36"/>
      <c r="L223" s="36"/>
      <c r="Q223" s="36" t="str">
        <v>kanan</v>
      </c>
      <c r="R223" s="36"/>
      <c r="S223" s="36"/>
    </row>
    <row r="224" spans="5:19">
      <c r="E224" s="36" t="str">
        <v>tengah</v>
      </c>
      <c r="F224" s="36"/>
      <c r="G224" s="36"/>
      <c r="J224" s="36" t="str">
        <v>kiri</v>
      </c>
      <c r="K224" s="36"/>
      <c r="L224" s="36"/>
      <c r="Q224" s="36" t="str">
        <v>kanan</v>
      </c>
      <c r="R224" s="36"/>
      <c r="S224" s="36"/>
    </row>
    <row r="225" spans="5:19">
      <c r="E225" s="36" t="str">
        <v>kanan</v>
      </c>
      <c r="F225" s="36"/>
      <c r="G225" s="36"/>
      <c r="J225" s="36" t="str">
        <v>tengah</v>
      </c>
      <c r="K225" s="36"/>
      <c r="L225" s="36"/>
      <c r="Q225" s="36" t="str">
        <v>tengah</v>
      </c>
      <c r="R225" s="36"/>
      <c r="S225" s="36"/>
    </row>
    <row r="226" spans="5:19">
      <c r="E226" s="36" t="str">
        <v>kanan</v>
      </c>
      <c r="F226" s="36"/>
      <c r="G226" s="36"/>
      <c r="J226" s="36" t="str">
        <v>kiri</v>
      </c>
      <c r="K226" s="36"/>
      <c r="L226" s="36"/>
      <c r="Q226" s="36" t="str">
        <v>tengah</v>
      </c>
      <c r="R226" s="36"/>
      <c r="S226" s="36"/>
    </row>
    <row r="227" spans="5:19">
      <c r="E227" s="36" t="str">
        <v>tengah</v>
      </c>
      <c r="F227" s="36"/>
      <c r="G227" s="36"/>
      <c r="J227" s="36" t="str">
        <v>tengah</v>
      </c>
      <c r="K227" s="36"/>
      <c r="L227" s="36"/>
      <c r="Q227" s="36" t="str">
        <v>kanan</v>
      </c>
      <c r="R227" s="36"/>
      <c r="S227" s="36"/>
    </row>
    <row r="228" spans="5:19">
      <c r="E228" s="36" t="str">
        <v>tengah</v>
      </c>
      <c r="F228" s="36"/>
      <c r="G228" s="36"/>
      <c r="J228" s="36" t="str">
        <v>kanan</v>
      </c>
      <c r="K228" s="36"/>
      <c r="L228" s="36"/>
      <c r="Q228" s="36" t="str">
        <v>kanan</v>
      </c>
      <c r="R228" s="36"/>
      <c r="S228" s="36"/>
    </row>
    <row r="229" spans="5:19">
      <c r="E229" s="36" t="str">
        <v>tengah</v>
      </c>
      <c r="F229" s="36"/>
      <c r="G229" s="36"/>
      <c r="J229" s="36" t="str">
        <v>tengah</v>
      </c>
      <c r="K229" s="36"/>
      <c r="L229" s="36"/>
      <c r="Q229" s="36" t="str">
        <v>tengah</v>
      </c>
      <c r="R229" s="36"/>
      <c r="S229" s="36"/>
    </row>
    <row r="230" spans="5:19">
      <c r="E230" s="36" t="str">
        <v>kiri</v>
      </c>
      <c r="F230" s="36"/>
      <c r="G230" s="36"/>
      <c r="J230" s="36" t="str">
        <v>tengah</v>
      </c>
      <c r="K230" s="36"/>
      <c r="L230" s="36"/>
      <c r="Q230" s="36" t="str">
        <v>tengah</v>
      </c>
      <c r="R230" s="36"/>
      <c r="S230" s="36"/>
    </row>
    <row r="231" spans="5:19">
      <c r="E231" s="36" t="str">
        <v>kiri</v>
      </c>
      <c r="F231" s="36"/>
      <c r="G231" s="36"/>
      <c r="J231" s="36" t="str">
        <v>tengah</v>
      </c>
      <c r="K231" s="36"/>
      <c r="L231" s="36"/>
      <c r="Q231" s="36" t="str">
        <v>kanan</v>
      </c>
      <c r="R231" s="36"/>
      <c r="S231" s="36"/>
    </row>
    <row r="232" spans="5:19">
      <c r="E232" s="36" t="str">
        <v>tengah</v>
      </c>
      <c r="F232" s="36"/>
      <c r="G232" s="36"/>
      <c r="J232" s="36" t="str">
        <v>tengah</v>
      </c>
      <c r="K232" s="36"/>
      <c r="L232" s="36"/>
      <c r="Q232" s="36" t="str">
        <v>tengah</v>
      </c>
      <c r="R232" s="36"/>
      <c r="S232" s="36"/>
    </row>
    <row r="233" spans="5:19">
      <c r="E233" s="36" t="str">
        <v>tengah</v>
      </c>
      <c r="F233" s="36"/>
      <c r="G233" s="36"/>
      <c r="J233" s="36" t="str">
        <v>tengah</v>
      </c>
      <c r="K233" s="36"/>
      <c r="L233" s="36"/>
      <c r="Q233" s="36" t="str">
        <v>kanan</v>
      </c>
      <c r="R233" s="36"/>
      <c r="S233" s="36"/>
    </row>
    <row r="234" spans="5:19">
      <c r="E234" s="36" t="str">
        <v>tengah</v>
      </c>
      <c r="F234" s="36"/>
      <c r="G234" s="36"/>
      <c r="J234" s="36" t="str">
        <v>tengah</v>
      </c>
      <c r="K234" s="36"/>
      <c r="L234" s="36"/>
      <c r="Q234" s="36" t="str">
        <v>tengah</v>
      </c>
      <c r="R234" s="36"/>
      <c r="S234" s="36"/>
    </row>
    <row r="235" spans="5:19">
      <c r="E235" s="36" t="str">
        <v>kanan</v>
      </c>
      <c r="F235" s="36"/>
      <c r="G235" s="36"/>
      <c r="J235" s="36" t="str">
        <v>kanan</v>
      </c>
      <c r="K235" s="36"/>
      <c r="L235" s="36"/>
      <c r="Q235" s="36" t="str">
        <v>kanan</v>
      </c>
      <c r="R235" s="36"/>
      <c r="S235" s="36"/>
    </row>
    <row r="236" spans="5:19">
      <c r="E236" s="36" t="str">
        <v>kanan</v>
      </c>
      <c r="F236" s="36"/>
      <c r="G236" s="36"/>
      <c r="J236" s="36" t="str">
        <v>tengah</v>
      </c>
      <c r="K236" s="36"/>
      <c r="L236" s="36"/>
      <c r="Q236" s="36" t="str">
        <v>tengah</v>
      </c>
      <c r="R236" s="36"/>
      <c r="S236" s="36"/>
    </row>
    <row r="237" spans="5:19">
      <c r="E237" s="36" t="str">
        <v>tengah</v>
      </c>
      <c r="F237" s="36"/>
      <c r="G237" s="36"/>
      <c r="J237" s="36" t="str">
        <v>kiri</v>
      </c>
      <c r="K237" s="36"/>
      <c r="L237" s="36"/>
      <c r="Q237" s="36" t="str">
        <v>tengah</v>
      </c>
      <c r="R237" s="36"/>
      <c r="S237" s="36"/>
    </row>
    <row r="238" spans="5:19">
      <c r="E238" s="36" t="str">
        <v>tengah</v>
      </c>
      <c r="F238" s="36"/>
      <c r="G238" s="36"/>
      <c r="J238" s="36" t="str">
        <v>tengah</v>
      </c>
      <c r="K238" s="36"/>
      <c r="L238" s="36"/>
      <c r="Q238" s="36" t="str">
        <v>kanan</v>
      </c>
      <c r="R238" s="36"/>
      <c r="S238" s="36"/>
    </row>
    <row r="239" spans="5:19">
      <c r="E239" s="36" t="str">
        <v>tengah</v>
      </c>
      <c r="F239" s="36"/>
      <c r="G239" s="36"/>
      <c r="J239" s="36" t="str">
        <v>tengah</v>
      </c>
      <c r="K239" s="36"/>
      <c r="L239" s="36"/>
      <c r="Q239" s="36" t="str">
        <v>kanan</v>
      </c>
      <c r="R239" s="36"/>
      <c r="S239" s="36"/>
    </row>
    <row r="240" spans="5:19">
      <c r="E240" s="36" t="str">
        <v>kiri</v>
      </c>
      <c r="F240" s="36"/>
      <c r="G240" s="36"/>
      <c r="J240" s="36" t="str">
        <v>tengah</v>
      </c>
      <c r="K240" s="36"/>
      <c r="L240" s="36"/>
      <c r="Q240" s="36" t="str">
        <v>tengah</v>
      </c>
      <c r="R240" s="36"/>
      <c r="S240" s="36"/>
    </row>
    <row r="241" spans="5:19">
      <c r="E241" s="36" t="str">
        <v>kiri</v>
      </c>
      <c r="F241" s="36"/>
      <c r="G241" s="36"/>
      <c r="J241" s="36" t="str">
        <v>tengah</v>
      </c>
      <c r="K241" s="36"/>
      <c r="L241" s="36"/>
      <c r="Q241" s="36" t="str">
        <v>tengah</v>
      </c>
      <c r="R241" s="36"/>
      <c r="S241" s="36"/>
    </row>
    <row r="242" spans="5:19">
      <c r="E242" s="36" t="str">
        <v>tengah</v>
      </c>
      <c r="F242" s="36"/>
      <c r="G242" s="36"/>
      <c r="J242" s="36" t="str">
        <v>tengah</v>
      </c>
      <c r="K242" s="36"/>
      <c r="L242" s="36"/>
      <c r="Q242" s="36" t="str">
        <v>tengah</v>
      </c>
      <c r="R242" s="36"/>
      <c r="S242" s="36"/>
    </row>
    <row r="243" spans="5:19">
      <c r="E243" s="36" t="str">
        <v>kiri</v>
      </c>
      <c r="F243" s="36"/>
      <c r="G243" s="36"/>
      <c r="J243" s="36" t="str">
        <v>kiri</v>
      </c>
      <c r="K243" s="36"/>
      <c r="L243" s="36"/>
      <c r="Q243" s="36" t="str">
        <v>tengah</v>
      </c>
      <c r="R243" s="36"/>
      <c r="S243" s="36"/>
    </row>
    <row r="244" spans="5:19">
      <c r="E244" s="36" t="str">
        <v>tengah</v>
      </c>
      <c r="F244" s="36"/>
      <c r="G244" s="36"/>
      <c r="J244" s="36" t="str">
        <v>kiri</v>
      </c>
      <c r="K244" s="36"/>
      <c r="L244" s="36"/>
      <c r="Q244" s="36" t="str">
        <v>tengah</v>
      </c>
      <c r="R244" s="36"/>
      <c r="S244" s="36"/>
    </row>
    <row r="245" spans="5:19">
      <c r="E245" s="36" t="str">
        <v>kiri</v>
      </c>
      <c r="F245" s="36"/>
      <c r="G245" s="36"/>
      <c r="J245" s="36" t="str">
        <v>tengah</v>
      </c>
      <c r="K245" s="36"/>
      <c r="L245" s="36"/>
      <c r="Q245" s="36" t="str">
        <v>kanan</v>
      </c>
      <c r="R245" s="36"/>
      <c r="S245" s="36"/>
    </row>
    <row r="246" spans="5:19">
      <c r="E246" s="36" t="str">
        <v>tengah</v>
      </c>
      <c r="F246" s="36"/>
      <c r="G246" s="36"/>
      <c r="J246" s="36" t="str">
        <v>kiri</v>
      </c>
      <c r="K246" s="36"/>
      <c r="L246" s="36"/>
      <c r="Q246" s="36" t="str">
        <v>kanan</v>
      </c>
      <c r="R246" s="36"/>
      <c r="S246" s="36"/>
    </row>
    <row r="247" spans="5:19">
      <c r="E247" s="36" t="str">
        <v>tengah</v>
      </c>
      <c r="F247" s="36"/>
      <c r="G247" s="36"/>
      <c r="J247" s="36" t="str">
        <v>tengah</v>
      </c>
      <c r="K247" s="36"/>
      <c r="L247" s="36"/>
      <c r="Q247" s="36" t="str">
        <v>tengah</v>
      </c>
      <c r="R247" s="36"/>
      <c r="S247" s="36"/>
    </row>
    <row r="248" spans="5:19">
      <c r="E248" s="36" t="str">
        <v>kanan</v>
      </c>
      <c r="F248" s="36"/>
      <c r="G248" s="36"/>
      <c r="J248" s="36" t="str">
        <v>kanan</v>
      </c>
      <c r="K248" s="36"/>
      <c r="L248" s="36"/>
      <c r="Q248" s="36" t="str">
        <v>kanan</v>
      </c>
      <c r="R248" s="36"/>
      <c r="S248" s="36"/>
    </row>
    <row r="249" spans="5:19">
      <c r="E249" s="36" t="str">
        <v>kiri</v>
      </c>
      <c r="F249" s="36"/>
      <c r="G249" s="36"/>
      <c r="J249" s="36" t="str">
        <v>tengah</v>
      </c>
      <c r="K249" s="36"/>
      <c r="L249" s="36"/>
      <c r="Q249" s="36" t="str">
        <v>tengah</v>
      </c>
      <c r="R249" s="36"/>
      <c r="S249" s="36"/>
    </row>
    <row r="250" spans="5:19">
      <c r="E250" s="36" t="str">
        <v>tengah</v>
      </c>
      <c r="F250" s="36"/>
      <c r="G250" s="36"/>
      <c r="J250" s="36" t="str">
        <v>kanan</v>
      </c>
      <c r="K250" s="36"/>
      <c r="L250" s="36"/>
      <c r="Q250" s="36" t="str">
        <v>tengah</v>
      </c>
      <c r="R250" s="36"/>
      <c r="S250" s="36"/>
    </row>
    <row r="251" spans="5:19">
      <c r="E251" s="36" t="str">
        <v>tengah</v>
      </c>
      <c r="F251" s="36"/>
      <c r="G251" s="36"/>
      <c r="J251" s="36" t="str">
        <v>tengah</v>
      </c>
      <c r="K251" s="36"/>
      <c r="L251" s="36"/>
      <c r="Q251" s="36" t="str">
        <v>tengah</v>
      </c>
      <c r="R251" s="36"/>
      <c r="S251" s="36"/>
    </row>
    <row r="252" spans="5:19">
      <c r="E252" s="36" t="str">
        <v>tengah</v>
      </c>
      <c r="F252" s="36"/>
      <c r="G252" s="36"/>
      <c r="J252" s="36" t="str">
        <v>tengah</v>
      </c>
      <c r="K252" s="36"/>
      <c r="L252" s="36"/>
      <c r="Q252" s="36" t="str">
        <v>kanan</v>
      </c>
      <c r="R252" s="36"/>
      <c r="S252" s="36"/>
    </row>
    <row r="253" spans="5:19">
      <c r="E253" s="36" t="str">
        <v>kanan</v>
      </c>
      <c r="F253" s="36"/>
      <c r="G253" s="36"/>
      <c r="J253" s="36" t="str">
        <v>tengah</v>
      </c>
      <c r="K253" s="36"/>
      <c r="L253" s="36"/>
      <c r="Q253" s="36" t="str">
        <v>kanan</v>
      </c>
      <c r="R253" s="36"/>
      <c r="S253" s="36"/>
    </row>
    <row r="254" spans="5:19">
      <c r="E254" s="36" t="str">
        <v>kiri</v>
      </c>
      <c r="F254" s="36"/>
      <c r="G254" s="36"/>
      <c r="J254" s="36" t="str">
        <v>tengah</v>
      </c>
      <c r="K254" s="36"/>
      <c r="L254" s="36"/>
      <c r="Q254" s="36" t="str">
        <v>tengah</v>
      </c>
      <c r="R254" s="36"/>
      <c r="S254" s="36"/>
    </row>
    <row r="255" spans="5:19">
      <c r="E255" s="36" t="str">
        <v>tengah</v>
      </c>
      <c r="F255" s="36"/>
      <c r="G255" s="36"/>
      <c r="J255" s="36" t="str">
        <v>tengah</v>
      </c>
      <c r="K255" s="36"/>
      <c r="L255" s="36"/>
      <c r="Q255" s="36" t="str">
        <v>kanan</v>
      </c>
      <c r="R255" s="36"/>
      <c r="S255" s="36"/>
    </row>
    <row r="256" spans="5:19">
      <c r="E256" s="36" t="str">
        <v>kiri</v>
      </c>
      <c r="F256" s="36"/>
      <c r="G256" s="36"/>
      <c r="J256" s="36" t="str">
        <v>tengah</v>
      </c>
      <c r="K256" s="36"/>
      <c r="L256" s="36"/>
      <c r="Q256" s="36" t="str">
        <v>tengah</v>
      </c>
      <c r="R256" s="36"/>
      <c r="S256" s="36"/>
    </row>
    <row r="257" spans="5:19">
      <c r="E257" s="36" t="str">
        <v>tengah</v>
      </c>
      <c r="F257" s="36"/>
      <c r="G257" s="36"/>
      <c r="J257" s="36" t="str">
        <v>tengah</v>
      </c>
      <c r="K257" s="36"/>
      <c r="L257" s="36"/>
      <c r="Q257" s="36" t="str">
        <v>kanan</v>
      </c>
      <c r="R257" s="36"/>
      <c r="S257" s="36"/>
    </row>
    <row r="258" spans="5:19">
      <c r="E258" s="36" t="str">
        <v>kanan</v>
      </c>
      <c r="F258" s="36"/>
      <c r="G258" s="36"/>
      <c r="J258" s="36" t="str">
        <v>tengah</v>
      </c>
      <c r="K258" s="36"/>
      <c r="L258" s="36"/>
      <c r="Q258" s="36" t="str">
        <v>kanan</v>
      </c>
      <c r="R258" s="36"/>
      <c r="S258" s="36"/>
    </row>
    <row r="259" spans="5:19">
      <c r="E259" s="36" t="str">
        <v>kiri</v>
      </c>
      <c r="F259" s="36"/>
      <c r="G259" s="36"/>
      <c r="J259" s="36" t="str">
        <v>tengah</v>
      </c>
      <c r="K259" s="36"/>
      <c r="L259" s="36"/>
      <c r="Q259" s="36" t="str">
        <v>tengah</v>
      </c>
      <c r="R259" s="36"/>
      <c r="S259" s="36"/>
    </row>
    <row r="260" spans="5:19">
      <c r="E260" s="36" t="str">
        <v>kanan</v>
      </c>
      <c r="F260" s="36"/>
      <c r="G260" s="36"/>
      <c r="J260" s="36" t="str">
        <v>tengah</v>
      </c>
      <c r="K260" s="36"/>
      <c r="L260" s="36"/>
      <c r="Q260" s="36" t="str">
        <v>tengah</v>
      </c>
      <c r="R260" s="36"/>
      <c r="S260" s="36"/>
    </row>
    <row r="261" spans="5:19">
      <c r="E261" s="36" t="str">
        <v>tengah</v>
      </c>
      <c r="F261" s="36"/>
      <c r="G261" s="36"/>
      <c r="J261" s="36" t="str">
        <v>tengah</v>
      </c>
      <c r="K261" s="36"/>
      <c r="L261" s="36"/>
      <c r="Q261" s="36" t="str">
        <v>kanan</v>
      </c>
      <c r="R261" s="36"/>
      <c r="S261" s="36"/>
    </row>
    <row r="262" spans="5:19">
      <c r="E262" s="36" t="str">
        <v>kanan</v>
      </c>
      <c r="F262" s="36"/>
      <c r="G262" s="36"/>
      <c r="J262" s="36" t="str">
        <v>tengah</v>
      </c>
      <c r="K262" s="36"/>
      <c r="L262" s="36"/>
      <c r="Q262" s="36" t="str">
        <v>tengah</v>
      </c>
      <c r="R262" s="36"/>
      <c r="S262" s="36"/>
    </row>
    <row r="263" spans="5:19">
      <c r="E263" s="36" t="str">
        <v>tengah</v>
      </c>
      <c r="F263" s="36"/>
      <c r="G263" s="36"/>
      <c r="J263" s="36" t="str">
        <v>kanan</v>
      </c>
      <c r="K263" s="36"/>
      <c r="L263" s="36"/>
      <c r="Q263" s="36" t="str">
        <v>tengah</v>
      </c>
      <c r="R263" s="36"/>
      <c r="S263" s="36"/>
    </row>
    <row r="264" spans="5:19">
      <c r="E264" s="36" t="str">
        <v>tengah</v>
      </c>
      <c r="F264" s="36"/>
      <c r="G264" s="36"/>
      <c r="J264" s="36" t="str">
        <v>tengah</v>
      </c>
      <c r="K264" s="36"/>
      <c r="L264" s="36"/>
      <c r="Q264" s="36" t="str">
        <v>tengah</v>
      </c>
      <c r="R264" s="36"/>
      <c r="S264" s="36"/>
    </row>
    <row r="265" spans="5:19">
      <c r="E265" s="36" t="str">
        <v>kiri</v>
      </c>
      <c r="F265" s="36"/>
      <c r="G265" s="36"/>
      <c r="J265" s="36" t="str">
        <v>tengah</v>
      </c>
      <c r="K265" s="36"/>
      <c r="L265" s="36"/>
      <c r="Q265" s="36" t="str">
        <v>tengah</v>
      </c>
      <c r="R265" s="36"/>
      <c r="S265" s="36"/>
    </row>
    <row r="266" spans="5:19">
      <c r="E266" s="36" t="str">
        <v>tengah</v>
      </c>
      <c r="F266" s="36"/>
      <c r="G266" s="36"/>
      <c r="J266" s="36" t="str">
        <v>tengah</v>
      </c>
      <c r="K266" s="36"/>
      <c r="L266" s="36"/>
      <c r="Q266" s="36" t="str">
        <v>kanan</v>
      </c>
      <c r="R266" s="36"/>
      <c r="S266" s="36"/>
    </row>
    <row r="267" spans="5:19">
      <c r="E267" s="36" t="str">
        <v>kanan</v>
      </c>
      <c r="F267" s="36"/>
      <c r="G267" s="36"/>
      <c r="J267" s="36" t="str">
        <v>kanan</v>
      </c>
      <c r="K267" s="36"/>
      <c r="L267" s="36"/>
      <c r="Q267" s="36" t="str">
        <v>tengah</v>
      </c>
      <c r="R267" s="36"/>
      <c r="S267" s="36"/>
    </row>
    <row r="268" spans="5:19">
      <c r="E268" s="36" t="str">
        <v>tengah</v>
      </c>
      <c r="F268" s="36"/>
      <c r="G268" s="36"/>
      <c r="J268" s="36" t="str">
        <v>tengah</v>
      </c>
      <c r="K268" s="36"/>
      <c r="L268" s="36"/>
      <c r="Q268" s="36" t="str">
        <v>kanan</v>
      </c>
      <c r="R268" s="36"/>
      <c r="S268" s="36"/>
    </row>
    <row r="269" spans="5:19">
      <c r="E269" s="36" t="str">
        <v>kiri</v>
      </c>
      <c r="F269" s="36"/>
      <c r="G269" s="36"/>
      <c r="J269" s="36" t="str">
        <v>kiri</v>
      </c>
      <c r="K269" s="36"/>
      <c r="L269" s="36"/>
      <c r="Q269" s="36" t="str">
        <v>kanan</v>
      </c>
      <c r="R269" s="36"/>
      <c r="S269" s="36"/>
    </row>
    <row r="270" spans="5:19">
      <c r="E270" s="36" t="str">
        <v>tengah</v>
      </c>
      <c r="F270" s="36"/>
      <c r="G270" s="36"/>
      <c r="J270" s="36" t="str">
        <v>tengah</v>
      </c>
      <c r="K270" s="36"/>
      <c r="L270" s="36"/>
      <c r="Q270" s="36" t="str">
        <v>kanan</v>
      </c>
      <c r="R270" s="36"/>
      <c r="S270" s="36"/>
    </row>
    <row r="271" spans="5:19">
      <c r="E271" s="36" t="str">
        <v>kiri</v>
      </c>
      <c r="F271" s="36"/>
      <c r="G271" s="36"/>
      <c r="J271" s="36" t="str">
        <v>tengah</v>
      </c>
      <c r="K271" s="36"/>
      <c r="L271" s="36"/>
      <c r="Q271" s="36" t="str">
        <v>kanan</v>
      </c>
      <c r="R271" s="36"/>
      <c r="S271" s="36"/>
    </row>
    <row r="272" spans="5:19">
      <c r="E272" s="36" t="str">
        <v>tengah</v>
      </c>
      <c r="F272" s="36"/>
      <c r="G272" s="36"/>
      <c r="J272" s="36" t="str">
        <v>kanan</v>
      </c>
      <c r="K272" s="36"/>
      <c r="L272" s="36"/>
      <c r="Q272" s="36" t="str">
        <v>kanan</v>
      </c>
      <c r="R272" s="36"/>
      <c r="S272" s="36"/>
    </row>
    <row r="273" spans="5:19">
      <c r="E273" s="36" t="str">
        <v>kiri</v>
      </c>
      <c r="F273" s="36"/>
      <c r="G273" s="36"/>
      <c r="J273" s="36" t="str">
        <v>kanan</v>
      </c>
      <c r="K273" s="36"/>
      <c r="L273" s="36"/>
      <c r="Q273" s="36" t="str">
        <v>tengah</v>
      </c>
      <c r="R273" s="36"/>
      <c r="S273" s="36"/>
    </row>
    <row r="274" spans="5:19">
      <c r="E274" s="36" t="str">
        <v>tengah</v>
      </c>
      <c r="F274" s="36"/>
      <c r="G274" s="36"/>
      <c r="J274" s="36" t="str">
        <v>tengah</v>
      </c>
      <c r="K274" s="36"/>
      <c r="L274" s="36"/>
      <c r="Q274" s="36" t="str">
        <v>kanan</v>
      </c>
      <c r="R274" s="36"/>
      <c r="S274" s="36"/>
    </row>
    <row r="275" spans="5:19">
      <c r="E275" s="36" t="str">
        <v>kiri</v>
      </c>
      <c r="F275" s="36"/>
      <c r="G275" s="36"/>
      <c r="J275" s="36" t="str">
        <v>tengah</v>
      </c>
      <c r="K275" s="36"/>
      <c r="L275" s="36"/>
      <c r="Q275" s="36" t="str">
        <v>tengah</v>
      </c>
      <c r="R275" s="36"/>
      <c r="S275" s="36"/>
    </row>
    <row r="276" spans="5:19">
      <c r="E276" s="36" t="str">
        <v>tengah</v>
      </c>
      <c r="F276" s="36"/>
      <c r="G276" s="36"/>
      <c r="J276" s="36" t="str">
        <v>tengah</v>
      </c>
      <c r="K276" s="36"/>
      <c r="L276" s="36"/>
      <c r="Q276" s="36" t="str">
        <v>tengah</v>
      </c>
      <c r="R276" s="36"/>
      <c r="S276" s="36"/>
    </row>
    <row r="277" spans="5:19">
      <c r="E277" s="36" t="str">
        <v>kanan</v>
      </c>
      <c r="F277" s="36"/>
      <c r="G277" s="36"/>
      <c r="J277" s="36" t="str">
        <v>kanan</v>
      </c>
      <c r="K277" s="36"/>
      <c r="L277" s="36"/>
      <c r="Q277" s="36" t="str">
        <v>kanan</v>
      </c>
      <c r="R277" s="36"/>
      <c r="S277" s="36"/>
    </row>
    <row r="278" spans="5:19">
      <c r="E278" s="36" t="str">
        <v>tengah</v>
      </c>
      <c r="F278" s="36"/>
      <c r="G278" s="36"/>
      <c r="J278" s="36" t="str">
        <v>kanan</v>
      </c>
      <c r="K278" s="36"/>
      <c r="L278" s="36"/>
      <c r="Q278" s="36" t="str">
        <v>tengah</v>
      </c>
      <c r="R278" s="36"/>
      <c r="S278" s="36"/>
    </row>
    <row r="279" spans="5:19">
      <c r="E279" s="36" t="str">
        <v>tengah</v>
      </c>
      <c r="F279" s="36"/>
      <c r="G279" s="36"/>
      <c r="J279" s="36" t="str">
        <v>tengah</v>
      </c>
      <c r="K279" s="36"/>
      <c r="L279" s="36"/>
      <c r="Q279" s="36" t="str">
        <v>tengah</v>
      </c>
      <c r="R279" s="36"/>
      <c r="S279" s="36"/>
    </row>
    <row r="280" spans="5:19">
      <c r="E280" s="36" t="str">
        <v>kanan</v>
      </c>
      <c r="F280" s="36"/>
      <c r="G280" s="36"/>
      <c r="J280" s="36" t="str">
        <v>tengah</v>
      </c>
      <c r="K280" s="36"/>
      <c r="L280" s="36"/>
      <c r="Q280" s="36" t="str">
        <v>kanan</v>
      </c>
      <c r="R280" s="36"/>
      <c r="S280" s="36"/>
    </row>
    <row r="281" spans="5:19">
      <c r="E281" s="36" t="str">
        <v>tengah</v>
      </c>
      <c r="F281" s="36"/>
      <c r="G281" s="36"/>
      <c r="J281" s="36" t="str">
        <v>tengah</v>
      </c>
      <c r="K281" s="36"/>
      <c r="L281" s="36"/>
      <c r="Q281" s="36" t="str">
        <v>kanan</v>
      </c>
      <c r="R281" s="36"/>
      <c r="S281" s="36"/>
    </row>
    <row r="282" spans="5:19">
      <c r="E282" s="36" t="str">
        <v>tengah</v>
      </c>
      <c r="F282" s="36"/>
      <c r="G282" s="36"/>
      <c r="J282" s="36" t="str">
        <v>kiri</v>
      </c>
      <c r="K282" s="36"/>
      <c r="L282" s="36"/>
      <c r="Q282" s="36" t="str">
        <v>tengah</v>
      </c>
      <c r="R282" s="36"/>
      <c r="S282" s="36"/>
    </row>
    <row r="283" spans="5:19">
      <c r="E283" s="36" t="str">
        <v>kiri</v>
      </c>
      <c r="F283" s="36"/>
      <c r="G283" s="36"/>
      <c r="J283" s="36" t="str">
        <v>tengah</v>
      </c>
      <c r="K283" s="36"/>
      <c r="L283" s="36"/>
      <c r="Q283" s="36" t="str">
        <v>tengah</v>
      </c>
      <c r="R283" s="36"/>
      <c r="S283" s="36"/>
    </row>
    <row r="284" spans="5:19">
      <c r="E284" s="36" t="str">
        <v>tengah</v>
      </c>
      <c r="F284" s="36"/>
      <c r="G284" s="36"/>
      <c r="J284" s="36" t="str">
        <v>tengah</v>
      </c>
      <c r="K284" s="36"/>
      <c r="L284" s="36"/>
      <c r="Q284" s="36" t="str">
        <v>kanan</v>
      </c>
      <c r="R284" s="36"/>
      <c r="S284" s="36"/>
    </row>
    <row r="285" spans="5:19">
      <c r="E285" s="36" t="str">
        <v>tengah</v>
      </c>
      <c r="F285" s="36"/>
      <c r="G285" s="36"/>
      <c r="J285" s="36" t="str">
        <v>kiri</v>
      </c>
      <c r="K285" s="36"/>
      <c r="L285" s="36"/>
      <c r="Q285" s="36" t="str">
        <v>tengah</v>
      </c>
      <c r="R285" s="36"/>
      <c r="S285" s="36"/>
    </row>
    <row r="286" spans="5:19">
      <c r="E286" s="36" t="str">
        <v>tengah</v>
      </c>
      <c r="F286" s="36"/>
      <c r="G286" s="36"/>
      <c r="J286" s="36" t="str">
        <v>tengah</v>
      </c>
      <c r="K286" s="36"/>
      <c r="L286" s="36"/>
      <c r="Q286" s="36" t="str">
        <v>kanan</v>
      </c>
      <c r="R286" s="36"/>
      <c r="S286" s="36"/>
    </row>
    <row r="287" spans="5:19">
      <c r="E287" s="36" t="str">
        <v>tengah</v>
      </c>
      <c r="F287" s="36"/>
      <c r="G287" s="36"/>
      <c r="J287" s="36" t="str">
        <v>kanan</v>
      </c>
      <c r="K287" s="36"/>
      <c r="L287" s="36"/>
      <c r="Q287" s="36" t="str">
        <v>tengah</v>
      </c>
      <c r="R287" s="36"/>
      <c r="S287" s="36"/>
    </row>
    <row r="288" spans="5:19">
      <c r="E288" s="36" t="str">
        <v>tengah</v>
      </c>
      <c r="F288" s="36"/>
      <c r="G288" s="36"/>
      <c r="J288" s="36" t="str">
        <v>kanan</v>
      </c>
      <c r="K288" s="36"/>
      <c r="L288" s="36"/>
      <c r="Q288" s="36" t="str">
        <v>tengah</v>
      </c>
      <c r="R288" s="36"/>
      <c r="S288" s="36"/>
    </row>
    <row r="289" spans="5:19">
      <c r="E289" s="36" t="str">
        <v>tengah</v>
      </c>
      <c r="F289" s="36"/>
      <c r="G289" s="36"/>
      <c r="J289" s="36" t="str">
        <v>tengah</v>
      </c>
      <c r="K289" s="36"/>
      <c r="L289" s="36"/>
      <c r="Q289" s="36" t="str">
        <v>kanan</v>
      </c>
      <c r="R289" s="36"/>
      <c r="S289" s="36"/>
    </row>
    <row r="290" spans="5:19">
      <c r="E290" s="36" t="str">
        <v>kiri</v>
      </c>
      <c r="F290" s="36"/>
      <c r="G290" s="36"/>
      <c r="J290" s="36" t="str">
        <v>kiri</v>
      </c>
      <c r="K290" s="36"/>
      <c r="L290" s="36"/>
      <c r="Q290" s="36" t="str">
        <v>tengah</v>
      </c>
      <c r="R290" s="36"/>
      <c r="S290" s="36"/>
    </row>
    <row r="291" spans="5:19">
      <c r="E291" s="36" t="str">
        <v>tengah</v>
      </c>
      <c r="F291" s="36"/>
      <c r="G291" s="36"/>
      <c r="J291" s="36" t="str">
        <v>tengah</v>
      </c>
      <c r="K291" s="36"/>
      <c r="L291" s="36"/>
      <c r="Q291" s="36" t="str">
        <v>kanan</v>
      </c>
      <c r="R291" s="36"/>
      <c r="S291" s="36"/>
    </row>
    <row r="292" spans="5:19">
      <c r="E292" s="36" t="str">
        <v>kanan</v>
      </c>
      <c r="F292" s="36"/>
      <c r="G292" s="36"/>
      <c r="J292" s="36" t="str">
        <v>tengah</v>
      </c>
      <c r="K292" s="36"/>
      <c r="L292" s="36"/>
      <c r="Q292" s="36" t="str">
        <v>tengah</v>
      </c>
      <c r="R292" s="36"/>
      <c r="S292" s="36"/>
    </row>
    <row r="293" spans="5:19">
      <c r="E293" s="36" t="str">
        <v>kiri</v>
      </c>
      <c r="F293" s="36"/>
      <c r="G293" s="36"/>
      <c r="J293" s="36" t="str">
        <v>kiri</v>
      </c>
      <c r="K293" s="36"/>
      <c r="L293" s="36"/>
      <c r="Q293" s="36" t="str">
        <v>tengah</v>
      </c>
      <c r="R293" s="36"/>
      <c r="S293" s="36"/>
    </row>
    <row r="294" spans="5:19">
      <c r="E294" s="36" t="str">
        <v>kiri</v>
      </c>
      <c r="F294" s="36"/>
      <c r="G294" s="36"/>
      <c r="J294" s="36" t="str">
        <v>kiri</v>
      </c>
      <c r="K294" s="36"/>
      <c r="L294" s="36"/>
      <c r="Q294" s="36" t="str">
        <v>kanan</v>
      </c>
      <c r="R294" s="36"/>
      <c r="S294" s="36"/>
    </row>
    <row r="295" spans="5:19">
      <c r="E295" s="36" t="str">
        <v>tengah</v>
      </c>
      <c r="F295" s="36"/>
      <c r="G295" s="36"/>
      <c r="J295" s="36" t="str">
        <v>tengah</v>
      </c>
      <c r="K295" s="36"/>
      <c r="L295" s="36"/>
      <c r="Q295" s="36" t="str">
        <v>kanan</v>
      </c>
      <c r="R295" s="36"/>
      <c r="S295" s="36"/>
    </row>
    <row r="296" spans="5:19">
      <c r="E296" s="36" t="str">
        <v>kiri</v>
      </c>
      <c r="F296" s="36"/>
      <c r="G296" s="36"/>
      <c r="J296" s="36" t="str">
        <v>tengah</v>
      </c>
      <c r="K296" s="36"/>
      <c r="L296" s="36"/>
      <c r="Q296" s="36" t="str">
        <v>kanan</v>
      </c>
      <c r="R296" s="36"/>
      <c r="S296" s="36"/>
    </row>
    <row r="297" spans="5:19">
      <c r="E297" s="36" t="str">
        <v>tengah</v>
      </c>
      <c r="F297" s="36"/>
      <c r="G297" s="36"/>
      <c r="J297" s="36" t="str">
        <v>tengah</v>
      </c>
      <c r="K297" s="36"/>
      <c r="L297" s="36"/>
      <c r="Q297" s="36" t="str">
        <v>kanan</v>
      </c>
      <c r="R297" s="36"/>
      <c r="S297" s="36"/>
    </row>
    <row r="298" spans="5:19">
      <c r="E298" s="36" t="str">
        <v>tengah</v>
      </c>
      <c r="F298" s="36"/>
      <c r="G298" s="36"/>
      <c r="J298" s="36" t="str">
        <v>tengah</v>
      </c>
      <c r="K298" s="36"/>
      <c r="L298" s="36"/>
      <c r="Q298" s="36" t="str">
        <v>tengah</v>
      </c>
      <c r="R298" s="36"/>
      <c r="S298" s="36"/>
    </row>
    <row r="299" spans="5:19">
      <c r="E299" s="36" t="str">
        <v>kanan</v>
      </c>
      <c r="F299" s="36"/>
      <c r="G299" s="36"/>
      <c r="J299" s="36" t="str">
        <v>tengah</v>
      </c>
      <c r="K299" s="36"/>
      <c r="L299" s="36"/>
      <c r="Q299" s="36" t="str">
        <v>kanan</v>
      </c>
      <c r="R299" s="36"/>
      <c r="S299" s="36"/>
    </row>
    <row r="300" spans="5:19">
      <c r="E300" s="36" t="str">
        <v>kanan</v>
      </c>
      <c r="F300" s="36"/>
      <c r="G300" s="36"/>
      <c r="J300" s="36" t="str">
        <v>kanan</v>
      </c>
      <c r="K300" s="36"/>
      <c r="L300" s="36"/>
      <c r="Q300" s="36" t="str">
        <v>kanan</v>
      </c>
      <c r="R300" s="36"/>
      <c r="S300" s="36"/>
    </row>
    <row r="301" spans="5:19">
      <c r="E301" s="36" t="str">
        <v>tengah</v>
      </c>
      <c r="F301" s="36"/>
      <c r="G301" s="36"/>
      <c r="J301" s="36" t="str">
        <v>tengah</v>
      </c>
      <c r="K301" s="36"/>
      <c r="L301" s="36"/>
      <c r="Q301" s="36" t="str">
        <v>tengah</v>
      </c>
      <c r="R301" s="36"/>
      <c r="S301" s="36"/>
    </row>
    <row r="302" spans="5:19">
      <c r="E302" s="36" t="str">
        <v>tengah</v>
      </c>
      <c r="F302" s="36"/>
      <c r="G302" s="36"/>
      <c r="J302" s="36" t="str">
        <v>tengah</v>
      </c>
      <c r="K302" s="36"/>
      <c r="L302" s="36"/>
      <c r="Q302" s="36" t="str">
        <v>tengah</v>
      </c>
      <c r="R302" s="36"/>
      <c r="S302" s="36"/>
    </row>
    <row r="303" spans="5:19">
      <c r="E303" s="36" t="str">
        <v>tengah</v>
      </c>
      <c r="F303" s="36"/>
      <c r="G303" s="36"/>
      <c r="J303" s="36" t="str">
        <v>tengah</v>
      </c>
      <c r="K303" s="36"/>
      <c r="L303" s="36"/>
      <c r="Q303" s="36" t="str">
        <v>tengah</v>
      </c>
      <c r="R303" s="36"/>
      <c r="S303" s="36"/>
    </row>
    <row r="304" spans="5:19">
      <c r="E304" s="36" t="str">
        <v>tengah</v>
      </c>
      <c r="F304" s="36"/>
      <c r="G304" s="36"/>
      <c r="J304" s="36" t="str">
        <v>tengah</v>
      </c>
      <c r="K304" s="36"/>
      <c r="L304" s="36"/>
      <c r="Q304" s="36" t="str">
        <v>kanan</v>
      </c>
      <c r="R304" s="36"/>
      <c r="S304" s="36"/>
    </row>
    <row r="305" spans="5:19">
      <c r="E305" s="36" t="str">
        <v>tengah</v>
      </c>
      <c r="F305" s="36"/>
      <c r="G305" s="36"/>
      <c r="J305" s="36" t="str">
        <v>tengah</v>
      </c>
      <c r="K305" s="36"/>
      <c r="L305" s="36"/>
      <c r="Q305" s="36" t="str">
        <v>tengah</v>
      </c>
      <c r="R305" s="36"/>
      <c r="S305" s="36"/>
    </row>
    <row r="306" spans="5:19">
      <c r="E306" s="36" t="str">
        <v>kiri</v>
      </c>
      <c r="F306" s="36"/>
      <c r="G306" s="36"/>
      <c r="J306" s="36" t="str">
        <v>tengah</v>
      </c>
      <c r="K306" s="36"/>
      <c r="L306" s="36"/>
      <c r="Q306" s="36" t="str">
        <v>tengah</v>
      </c>
      <c r="R306" s="36"/>
      <c r="S306" s="36"/>
    </row>
    <row r="307" spans="5:19">
      <c r="E307" s="36" t="str">
        <v>kiri</v>
      </c>
      <c r="F307" s="36"/>
      <c r="G307" s="36"/>
      <c r="J307" s="36" t="str">
        <v>tengah</v>
      </c>
      <c r="K307" s="36"/>
      <c r="L307" s="36"/>
      <c r="Q307" s="36" t="str">
        <v>tengah</v>
      </c>
      <c r="R307" s="36"/>
      <c r="S307" s="36"/>
    </row>
    <row r="308" spans="5:19">
      <c r="E308" s="36" t="str">
        <v>tengah</v>
      </c>
      <c r="F308" s="36"/>
      <c r="G308" s="36"/>
      <c r="J308" s="36" t="str">
        <v>kanan</v>
      </c>
      <c r="K308" s="36"/>
      <c r="L308" s="36"/>
      <c r="Q308" s="36" t="str">
        <v>kanan</v>
      </c>
      <c r="R308" s="36"/>
      <c r="S308" s="36"/>
    </row>
    <row r="309" spans="5:19">
      <c r="E309" s="36" t="str">
        <v>kiri</v>
      </c>
      <c r="F309" s="36"/>
      <c r="G309" s="36"/>
      <c r="J309" s="36" t="str">
        <v>tengah</v>
      </c>
      <c r="K309" s="36"/>
      <c r="L309" s="36"/>
      <c r="Q309" s="36" t="str">
        <v>kanan</v>
      </c>
      <c r="R309" s="36"/>
      <c r="S309" s="36"/>
    </row>
    <row r="310" spans="5:19">
      <c r="E310" s="36" t="str">
        <v>tengah</v>
      </c>
      <c r="F310" s="36"/>
      <c r="G310" s="36"/>
      <c r="J310" s="36" t="str">
        <v>tengah</v>
      </c>
      <c r="K310" s="36"/>
      <c r="L310" s="36"/>
      <c r="Q310" s="36" t="str">
        <v>tengah</v>
      </c>
      <c r="R310" s="36"/>
      <c r="S310" s="36"/>
    </row>
    <row r="311" spans="5:19">
      <c r="E311" s="36" t="str">
        <v>kiri</v>
      </c>
      <c r="F311" s="36"/>
      <c r="G311" s="36"/>
      <c r="J311" s="36" t="str">
        <v>kiri</v>
      </c>
      <c r="K311" s="36"/>
      <c r="L311" s="36"/>
      <c r="Q311" s="36" t="str">
        <v>kanan</v>
      </c>
      <c r="R311" s="36"/>
      <c r="S311" s="36"/>
    </row>
    <row r="312" spans="5:19">
      <c r="E312" s="36" t="str">
        <v>kanan</v>
      </c>
      <c r="F312" s="36"/>
      <c r="G312" s="36"/>
      <c r="J312" s="36" t="str">
        <v>kiri</v>
      </c>
      <c r="K312" s="36"/>
      <c r="L312" s="36"/>
      <c r="Q312" s="36" t="str">
        <v>kanan</v>
      </c>
      <c r="R312" s="36"/>
      <c r="S312" s="36"/>
    </row>
    <row r="313" spans="5:19">
      <c r="E313" s="36" t="str">
        <v>tengah</v>
      </c>
      <c r="F313" s="36"/>
      <c r="G313" s="36"/>
      <c r="J313" s="36" t="str">
        <v>tengah</v>
      </c>
      <c r="K313" s="36"/>
      <c r="L313" s="36"/>
      <c r="Q313" s="36" t="str">
        <v>tengah</v>
      </c>
      <c r="R313" s="36"/>
      <c r="S313" s="36"/>
    </row>
    <row r="314" spans="5:19">
      <c r="E314" s="36" t="str">
        <v>tengah</v>
      </c>
      <c r="F314" s="36"/>
      <c r="G314" s="36"/>
      <c r="J314" s="36" t="str">
        <v>tengah</v>
      </c>
      <c r="K314" s="36"/>
      <c r="L314" s="36"/>
      <c r="Q314" s="36" t="str">
        <v>tengah</v>
      </c>
      <c r="R314" s="36"/>
      <c r="S314" s="36"/>
    </row>
    <row r="315" spans="5:19">
      <c r="E315" s="36" t="str">
        <v>kiri</v>
      </c>
      <c r="F315" s="36"/>
      <c r="G315" s="36"/>
      <c r="J315" s="36" t="str">
        <v>tengah</v>
      </c>
      <c r="K315" s="36"/>
      <c r="L315" s="36"/>
      <c r="Q315" s="36" t="str">
        <v>tengah</v>
      </c>
      <c r="R315" s="36"/>
      <c r="S315" s="36"/>
    </row>
    <row r="316" spans="5:19">
      <c r="E316" s="36" t="str">
        <v>kiri</v>
      </c>
      <c r="F316" s="36"/>
      <c r="G316" s="36"/>
      <c r="J316" s="36" t="str">
        <v>tengah</v>
      </c>
      <c r="K316" s="36"/>
      <c r="L316" s="36"/>
      <c r="Q316" s="36" t="str">
        <v>tengah</v>
      </c>
      <c r="R316" s="36"/>
      <c r="S316" s="36"/>
    </row>
    <row r="317" spans="5:19">
      <c r="E317" s="36" t="str">
        <v>tengah</v>
      </c>
      <c r="F317" s="36"/>
      <c r="G317" s="36"/>
      <c r="J317" s="36" t="str">
        <v>kanan</v>
      </c>
      <c r="K317" s="36"/>
      <c r="L317" s="36"/>
      <c r="Q317" s="36" t="str">
        <v>tengah</v>
      </c>
      <c r="R317" s="36"/>
      <c r="S317" s="36"/>
    </row>
    <row r="318" spans="5:19">
      <c r="E318" s="36" t="str">
        <v>kiri</v>
      </c>
      <c r="F318" s="36"/>
      <c r="G318" s="36"/>
      <c r="J318" s="36" t="str">
        <v>kiri</v>
      </c>
      <c r="K318" s="36"/>
      <c r="L318" s="36"/>
      <c r="Q318" s="36" t="str">
        <v>kanan</v>
      </c>
      <c r="R318" s="36"/>
      <c r="S318" s="36"/>
    </row>
    <row r="319" spans="5:19">
      <c r="E319" s="36" t="str">
        <v>tengah</v>
      </c>
      <c r="F319" s="36"/>
      <c r="G319" s="36"/>
      <c r="J319" s="36" t="str">
        <v>kanan</v>
      </c>
      <c r="K319" s="36"/>
      <c r="L319" s="36"/>
      <c r="Q319" s="36" t="str">
        <v>tengah</v>
      </c>
      <c r="R319" s="36"/>
      <c r="S319" s="36"/>
    </row>
    <row r="320" spans="5:19">
      <c r="E320" s="36" t="str">
        <v>tengah</v>
      </c>
      <c r="F320" s="36"/>
      <c r="G320" s="36"/>
      <c r="J320" s="36" t="str">
        <v>tengah</v>
      </c>
      <c r="K320" s="36"/>
      <c r="L320" s="36"/>
      <c r="Q320" s="36" t="str">
        <v>kanan</v>
      </c>
      <c r="R320" s="36"/>
      <c r="S320" s="36"/>
    </row>
    <row r="321" spans="5:19">
      <c r="E321" s="36" t="str">
        <v>tengah</v>
      </c>
      <c r="F321" s="36"/>
      <c r="G321" s="36"/>
      <c r="J321" s="36" t="str">
        <v>tengah</v>
      </c>
      <c r="K321" s="36"/>
      <c r="L321" s="36"/>
      <c r="Q321" s="36" t="str">
        <v>kanan</v>
      </c>
      <c r="R321" s="36"/>
      <c r="S321" s="36"/>
    </row>
    <row r="322" spans="5:19">
      <c r="E322" s="36" t="str">
        <v>kiri</v>
      </c>
      <c r="F322" s="36"/>
      <c r="G322" s="36"/>
      <c r="J322" s="36" t="str">
        <v>tengah</v>
      </c>
      <c r="K322" s="36"/>
      <c r="L322" s="36"/>
      <c r="Q322" s="36" t="str">
        <v>kanan</v>
      </c>
      <c r="R322" s="36"/>
      <c r="S322" s="36"/>
    </row>
    <row r="323" spans="5:19">
      <c r="E323" s="36" t="str">
        <v>kanan</v>
      </c>
      <c r="F323" s="36"/>
      <c r="G323" s="36"/>
      <c r="J323" s="36" t="str">
        <v>tengah</v>
      </c>
      <c r="K323" s="36"/>
      <c r="L323" s="36"/>
      <c r="Q323" s="36" t="str">
        <v>kanan</v>
      </c>
      <c r="R323" s="36"/>
      <c r="S323" s="36"/>
    </row>
    <row r="324" spans="5:19">
      <c r="E324" s="36" t="str">
        <v>kanan</v>
      </c>
      <c r="F324" s="36"/>
      <c r="G324" s="36"/>
      <c r="J324" s="36" t="str">
        <v>tengah</v>
      </c>
      <c r="K324" s="36"/>
      <c r="L324" s="36"/>
      <c r="Q324" s="36" t="str">
        <v>kanan</v>
      </c>
      <c r="R324" s="36"/>
      <c r="S324" s="36"/>
    </row>
    <row r="325" spans="5:19">
      <c r="E325" s="36" t="str">
        <v>kiri</v>
      </c>
      <c r="F325" s="36"/>
      <c r="G325" s="36"/>
      <c r="J325" s="36" t="str">
        <v>tengah</v>
      </c>
      <c r="K325" s="36"/>
      <c r="L325" s="36"/>
      <c r="Q325" s="36" t="str">
        <v>kanan</v>
      </c>
      <c r="R325" s="36"/>
      <c r="S325" s="36"/>
    </row>
    <row r="326" spans="5:19">
      <c r="E326" s="36" t="str">
        <v>tengah</v>
      </c>
      <c r="F326" s="36"/>
      <c r="G326" s="36"/>
      <c r="J326" s="36" t="str">
        <v>tengah</v>
      </c>
      <c r="K326" s="36"/>
      <c r="L326" s="36"/>
      <c r="Q326" s="36" t="str">
        <v>tengah</v>
      </c>
      <c r="R326" s="36"/>
      <c r="S326" s="36"/>
    </row>
    <row r="327" spans="5:19">
      <c r="E327" s="36" t="str">
        <v>tengah</v>
      </c>
      <c r="F327" s="36"/>
      <c r="G327" s="36"/>
      <c r="J327" s="36" t="str">
        <v>kanan</v>
      </c>
      <c r="K327" s="36"/>
      <c r="L327" s="36"/>
      <c r="Q327" s="36" t="str">
        <v>tengah</v>
      </c>
      <c r="R327" s="36"/>
      <c r="S327" s="36"/>
    </row>
    <row r="328" spans="5:19">
      <c r="E328" s="36" t="str">
        <v>kiri</v>
      </c>
      <c r="F328" s="36"/>
      <c r="G328" s="36"/>
      <c r="J328" s="36" t="str">
        <v>tengah</v>
      </c>
      <c r="K328" s="36"/>
      <c r="L328" s="36"/>
      <c r="Q328" s="36" t="str">
        <v>tengah</v>
      </c>
      <c r="R328" s="36"/>
      <c r="S328" s="36"/>
    </row>
    <row r="329" spans="5:19">
      <c r="E329" s="36" t="str">
        <v>tengah</v>
      </c>
      <c r="F329" s="36"/>
      <c r="G329" s="36"/>
      <c r="J329" s="36" t="str">
        <v>kanan</v>
      </c>
      <c r="K329" s="36"/>
      <c r="L329" s="36"/>
      <c r="Q329" s="36" t="str">
        <v>kanan</v>
      </c>
      <c r="R329" s="36"/>
      <c r="S329" s="36"/>
    </row>
    <row r="330" spans="5:19">
      <c r="E330" s="36" t="str">
        <v>kiri</v>
      </c>
      <c r="F330" s="36"/>
      <c r="G330" s="36"/>
      <c r="J330" s="36" t="str">
        <v>tengah</v>
      </c>
      <c r="K330" s="36"/>
      <c r="L330" s="36"/>
      <c r="Q330" s="36" t="str">
        <v>tengah</v>
      </c>
      <c r="R330" s="36"/>
      <c r="S330" s="36"/>
    </row>
    <row r="331" spans="5:19">
      <c r="E331" s="36" t="str">
        <v>tengah</v>
      </c>
      <c r="F331" s="36"/>
      <c r="G331" s="36"/>
      <c r="J331" s="36" t="str">
        <v>tengah</v>
      </c>
      <c r="K331" s="36"/>
      <c r="L331" s="36"/>
      <c r="Q331" s="36" t="str">
        <v>tengah</v>
      </c>
      <c r="R331" s="36"/>
      <c r="S331" s="36"/>
    </row>
    <row r="332" spans="5:19">
      <c r="E332" s="36" t="str">
        <v>kiri</v>
      </c>
      <c r="F332" s="36"/>
      <c r="G332" s="36"/>
      <c r="J332" s="36" t="str">
        <v>tengah</v>
      </c>
      <c r="K332" s="36"/>
      <c r="L332" s="36"/>
      <c r="Q332" s="36" t="str">
        <v>kanan</v>
      </c>
      <c r="R332" s="36"/>
      <c r="S332" s="36"/>
    </row>
  </sheetData>
  <pageMargins left="0.7" right="0.7" top="0.75" bottom="0.75" header="0.3" footer="0.3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32"/>
  <sheetViews>
    <sheetView zoomScale="98" zoomScaleNormal="98" topLeftCell="C187" workbookViewId="0">
      <selection activeCell="P197" sqref="P197"/>
    </sheetView>
  </sheetViews>
  <sheetFormatPr defaultColWidth="9" defaultRowHeight="15"/>
  <cols>
    <col min="2" max="3" width="15.8518518518519" customWidth="1"/>
    <col min="4" max="5" width="13.8518518518519" customWidth="1"/>
    <col min="9" max="9" width="15.8518518518519" customWidth="1"/>
    <col min="10" max="10" width="13.2814814814815" customWidth="1"/>
    <col min="11" max="11" width="13.8518518518519" customWidth="1"/>
    <col min="14" max="14" width="12.5703703703704" customWidth="1"/>
    <col min="15" max="15" width="16.1407407407407" customWidth="1"/>
  </cols>
  <sheetData>
    <row r="1" spans="1:17">
      <c r="A1" s="35" t="s">
        <v>183</v>
      </c>
      <c r="B1" s="35" t="s">
        <v>2</v>
      </c>
      <c r="C1" s="35" t="s">
        <v>4</v>
      </c>
      <c r="D1" s="35" t="s">
        <v>5</v>
      </c>
      <c r="H1" s="47" t="s">
        <v>183</v>
      </c>
      <c r="I1" s="47" t="s">
        <v>2</v>
      </c>
      <c r="J1" s="47" t="s">
        <v>4</v>
      </c>
      <c r="K1" s="47" t="s">
        <v>5</v>
      </c>
      <c r="O1" s="35" t="s">
        <v>184</v>
      </c>
      <c r="P1" s="38"/>
      <c r="Q1" s="38"/>
    </row>
    <row r="2" spans="1:17">
      <c r="A2" s="36">
        <f ca="1">RANDBETWEEN(2,164)</f>
        <v>22</v>
      </c>
      <c r="B2" s="36" t="str">
        <f ca="1" t="array" ref="B2">INDEX(Data_DBD!$C:$C,$A2)</f>
        <v>3 Hari</v>
      </c>
      <c r="C2" s="36">
        <f ca="1" t="array" ref="C2">INDEX(Data_DBD!$E:$E,$A2)</f>
        <v>0</v>
      </c>
      <c r="D2" s="36" t="str">
        <f ca="1" t="array" ref="D2">INDEX(Data_DBD!$F:$F,$A2)</f>
        <v>Sedang</v>
      </c>
      <c r="H2" s="36">
        <v>98</v>
      </c>
      <c r="I2" s="36">
        <v>2</v>
      </c>
      <c r="J2" s="36">
        <v>1</v>
      </c>
      <c r="K2" s="36" t="s">
        <v>105</v>
      </c>
      <c r="O2" s="38" t="s">
        <v>105</v>
      </c>
      <c r="P2" s="38">
        <f>COUNTIF(K2:K164,"Tinggi")</f>
        <v>70</v>
      </c>
      <c r="Q2" s="38">
        <f>P2/163</f>
        <v>0.429447852760736</v>
      </c>
    </row>
    <row r="3" spans="1:17">
      <c r="A3" s="36">
        <f ca="1" t="shared" ref="A3:A66" si="0">RANDBETWEEN(2,164)</f>
        <v>50</v>
      </c>
      <c r="B3" s="36" t="str">
        <f ca="1" t="array" ref="B3">INDEX(Data_DBD!$C:$C,$A3)</f>
        <v>5 Hari</v>
      </c>
      <c r="C3" s="36">
        <f ca="1" t="array" ref="C3">INDEX(Data_DBD!$E:$E,$A3)</f>
        <v>0</v>
      </c>
      <c r="D3" s="36" t="str">
        <f ca="1" t="array" ref="D3">INDEX(Data_DBD!$F:$F,$A3)</f>
        <v>Sedang</v>
      </c>
      <c r="H3" s="36">
        <v>126</v>
      </c>
      <c r="I3" s="36">
        <v>3</v>
      </c>
      <c r="J3" s="36">
        <v>1</v>
      </c>
      <c r="K3" s="36" t="s">
        <v>105</v>
      </c>
      <c r="O3" s="38" t="s">
        <v>8</v>
      </c>
      <c r="P3" s="38">
        <f>COUNTIF(K2:K164,"Sedang")</f>
        <v>81</v>
      </c>
      <c r="Q3" s="38">
        <f>P3/163</f>
        <v>0.496932515337423</v>
      </c>
    </row>
    <row r="4" spans="1:17">
      <c r="A4" s="36">
        <f ca="1" t="shared" si="0"/>
        <v>162</v>
      </c>
      <c r="B4" s="36" t="str">
        <f ca="1" t="array" ref="B4">INDEX(Data_DBD!$C:$C,$A4)</f>
        <v>3 Hari</v>
      </c>
      <c r="C4" s="36">
        <f ca="1" t="array" ref="C4">INDEX(Data_DBD!$E:$E,$A4)</f>
        <v>1</v>
      </c>
      <c r="D4" s="36" t="str">
        <f ca="1" t="array" ref="D4">INDEX(Data_DBD!$F:$F,$A4)</f>
        <v>Rendah</v>
      </c>
      <c r="H4" s="36">
        <v>49</v>
      </c>
      <c r="I4" s="36">
        <v>5</v>
      </c>
      <c r="J4" s="36">
        <v>0</v>
      </c>
      <c r="K4" s="36" t="s">
        <v>8</v>
      </c>
      <c r="O4" s="38" t="s">
        <v>26</v>
      </c>
      <c r="P4" s="38">
        <f>COUNTIF(K2:K164,"Rendah")</f>
        <v>12</v>
      </c>
      <c r="Q4" s="38">
        <f>P4/163</f>
        <v>0.0736196319018405</v>
      </c>
    </row>
    <row r="5" spans="1:16">
      <c r="A5" s="36">
        <f ca="1" t="shared" si="0"/>
        <v>13</v>
      </c>
      <c r="B5" s="36" t="str">
        <f ca="1" t="array" ref="B5">INDEX(Data_DBD!$C:$C,$A5)</f>
        <v>2 Hari</v>
      </c>
      <c r="C5" s="36">
        <f ca="1" t="array" ref="C5">INDEX(Data_DBD!$E:$E,$A5)</f>
        <v>0</v>
      </c>
      <c r="D5" s="36" t="str">
        <f ca="1" t="array" ref="D5">INDEX(Data_DBD!$F:$F,$A5)</f>
        <v>Sedang</v>
      </c>
      <c r="H5" s="36">
        <v>14</v>
      </c>
      <c r="I5" s="36">
        <v>4</v>
      </c>
      <c r="J5" s="36">
        <v>1</v>
      </c>
      <c r="K5" s="36" t="s">
        <v>26</v>
      </c>
      <c r="O5" s="39" t="s">
        <v>185</v>
      </c>
      <c r="P5">
        <f>-(IFERROR(Q2*LOG(Q2,2),0)+IFERROR(Q3*LOG(Q3,2),0)+IFERROR(Q4*LOG(Q4,2),0))</f>
        <v>1.30211949516079</v>
      </c>
    </row>
    <row r="6" spans="1:11">
      <c r="A6" s="36">
        <f ca="1" t="shared" si="0"/>
        <v>23</v>
      </c>
      <c r="B6" s="36" t="str">
        <f ca="1" t="array" ref="B6">INDEX(Data_DBD!$C:$C,$A6)</f>
        <v>4 Hari</v>
      </c>
      <c r="C6" s="36">
        <f ca="1" t="array" ref="C6">INDEX(Data_DBD!$E:$E,$A6)</f>
        <v>1</v>
      </c>
      <c r="D6" s="36" t="str">
        <f ca="1" t="array" ref="D6">INDEX(Data_DBD!$F:$F,$A6)</f>
        <v>Sedang</v>
      </c>
      <c r="H6" s="36">
        <v>54</v>
      </c>
      <c r="I6" s="36">
        <v>3</v>
      </c>
      <c r="J6" s="36">
        <v>0</v>
      </c>
      <c r="K6" s="36" t="s">
        <v>8</v>
      </c>
    </row>
    <row r="7" spans="1:11">
      <c r="A7" s="36">
        <f ca="1" t="shared" si="0"/>
        <v>100</v>
      </c>
      <c r="B7" s="36" t="str">
        <f ca="1" t="array" ref="B7">INDEX(Data_DBD!$C:$C,$A7)</f>
        <v>6 Hari</v>
      </c>
      <c r="C7" s="36">
        <f ca="1" t="array" ref="C7">INDEX(Data_DBD!$E:$E,$A7)</f>
        <v>0</v>
      </c>
      <c r="D7" s="36" t="str">
        <f ca="1" t="array" ref="D7">INDEX(Data_DBD!$F:$F,$A7)</f>
        <v>Tinggi</v>
      </c>
      <c r="H7" s="36">
        <v>80</v>
      </c>
      <c r="I7" s="36">
        <v>3</v>
      </c>
      <c r="J7" s="36">
        <v>1</v>
      </c>
      <c r="K7" s="36" t="s">
        <v>8</v>
      </c>
    </row>
    <row r="8" spans="1:11">
      <c r="A8" s="36">
        <f ca="1" t="shared" si="0"/>
        <v>153</v>
      </c>
      <c r="B8" s="36" t="str">
        <f ca="1" t="array" ref="B8">INDEX(Data_DBD!$C:$C,$A8)</f>
        <v>7 Hari</v>
      </c>
      <c r="C8" s="36">
        <f ca="1" t="array" ref="C8">INDEX(Data_DBD!$E:$E,$A8)</f>
        <v>1</v>
      </c>
      <c r="D8" s="36" t="str">
        <f ca="1" t="array" ref="D8">INDEX(Data_DBD!$F:$F,$A8)</f>
        <v>Tinggi</v>
      </c>
      <c r="H8" s="36">
        <v>36</v>
      </c>
      <c r="I8" s="36">
        <v>1</v>
      </c>
      <c r="J8" s="36">
        <v>1</v>
      </c>
      <c r="K8" s="36" t="s">
        <v>26</v>
      </c>
    </row>
    <row r="9" spans="1:11">
      <c r="A9" s="36">
        <f ca="1" t="shared" si="0"/>
        <v>100</v>
      </c>
      <c r="B9" s="36" t="str">
        <f ca="1" t="array" ref="B9">INDEX(Data_DBD!$C:$C,$A9)</f>
        <v>6 Hari</v>
      </c>
      <c r="C9" s="36">
        <f ca="1" t="array" ref="C9">INDEX(Data_DBD!$E:$E,$A9)</f>
        <v>0</v>
      </c>
      <c r="D9" s="36" t="str">
        <f ca="1" t="array" ref="D9">INDEX(Data_DBD!$F:$F,$A9)</f>
        <v>Tinggi</v>
      </c>
      <c r="H9" s="36">
        <v>105</v>
      </c>
      <c r="I9" s="36">
        <v>3</v>
      </c>
      <c r="J9" s="36">
        <v>1</v>
      </c>
      <c r="K9" s="36" t="s">
        <v>105</v>
      </c>
    </row>
    <row r="10" spans="1:11">
      <c r="A10" s="36">
        <f ca="1" t="shared" si="0"/>
        <v>122</v>
      </c>
      <c r="B10" s="36" t="str">
        <f ca="1" t="array" ref="B10">INDEX(Data_DBD!$C:$C,$A10)</f>
        <v>3 Hari</v>
      </c>
      <c r="C10" s="36">
        <f ca="1" t="array" ref="C10">INDEX(Data_DBD!$E:$E,$A10)</f>
        <v>1</v>
      </c>
      <c r="D10" s="36" t="str">
        <f ca="1" t="array" ref="D10">INDEX(Data_DBD!$F:$F,$A10)</f>
        <v>Tinggi</v>
      </c>
      <c r="H10" s="36">
        <v>26</v>
      </c>
      <c r="I10" s="36">
        <v>4</v>
      </c>
      <c r="J10" s="36">
        <v>1</v>
      </c>
      <c r="K10" s="36" t="s">
        <v>8</v>
      </c>
    </row>
    <row r="11" spans="1:11">
      <c r="A11" s="36">
        <f ca="1" t="shared" si="0"/>
        <v>33</v>
      </c>
      <c r="B11" s="36" t="str">
        <f ca="1" t="array" ref="B11">INDEX(Data_DBD!$C:$C,$A11)</f>
        <v>4 Hari</v>
      </c>
      <c r="C11" s="36">
        <f ca="1" t="array" ref="C11">INDEX(Data_DBD!$E:$E,$A11)</f>
        <v>1</v>
      </c>
      <c r="D11" s="36" t="str">
        <f ca="1" t="array" ref="D11">INDEX(Data_DBD!$F:$F,$A11)</f>
        <v>Sedang</v>
      </c>
      <c r="H11" s="36">
        <v>63</v>
      </c>
      <c r="I11" s="36">
        <v>3</v>
      </c>
      <c r="J11" s="36">
        <v>0</v>
      </c>
      <c r="K11" s="36" t="s">
        <v>8</v>
      </c>
    </row>
    <row r="12" spans="1:11">
      <c r="A12" s="36">
        <f ca="1" t="shared" si="0"/>
        <v>48</v>
      </c>
      <c r="B12" s="36" t="str">
        <f ca="1" t="array" ref="B12">INDEX(Data_DBD!$C:$C,$A12)</f>
        <v>5 Hari</v>
      </c>
      <c r="C12" s="36">
        <f ca="1" t="array" ref="C12">INDEX(Data_DBD!$E:$E,$A12)</f>
        <v>1</v>
      </c>
      <c r="D12" s="36" t="str">
        <f ca="1" t="array" ref="D12">INDEX(Data_DBD!$F:$F,$A12)</f>
        <v>Sedang</v>
      </c>
      <c r="H12" s="36">
        <v>107</v>
      </c>
      <c r="I12" s="36">
        <v>5</v>
      </c>
      <c r="J12" s="36">
        <v>0</v>
      </c>
      <c r="K12" s="36" t="s">
        <v>105</v>
      </c>
    </row>
    <row r="13" spans="1:11">
      <c r="A13" s="36">
        <f ca="1" t="shared" si="0"/>
        <v>107</v>
      </c>
      <c r="B13" s="36" t="str">
        <f ca="1" t="array" ref="B13">INDEX(Data_DBD!$C:$C,$A13)</f>
        <v>5 Hari</v>
      </c>
      <c r="C13" s="36">
        <f ca="1" t="array" ref="C13">INDEX(Data_DBD!$E:$E,$A13)</f>
        <v>0</v>
      </c>
      <c r="D13" s="36" t="str">
        <f ca="1" t="array" ref="D13">INDEX(Data_DBD!$F:$F,$A13)</f>
        <v>Tinggi</v>
      </c>
      <c r="H13" s="36">
        <v>50</v>
      </c>
      <c r="I13" s="36">
        <v>5</v>
      </c>
      <c r="J13" s="36">
        <v>0</v>
      </c>
      <c r="K13" s="36" t="s">
        <v>8</v>
      </c>
    </row>
    <row r="14" spans="1:11">
      <c r="A14" s="36">
        <f ca="1" t="shared" si="0"/>
        <v>159</v>
      </c>
      <c r="B14" s="36" t="str">
        <f ca="1" t="array" ref="B14">INDEX(Data_DBD!$C:$C,$A14)</f>
        <v>2 Hari</v>
      </c>
      <c r="C14" s="36">
        <f ca="1" t="array" ref="C14">INDEX(Data_DBD!$E:$E,$A14)</f>
        <v>0</v>
      </c>
      <c r="D14" s="36" t="str">
        <f ca="1" t="array" ref="D14">INDEX(Data_DBD!$F:$F,$A14)</f>
        <v>Tinggi</v>
      </c>
      <c r="H14" s="36">
        <v>99</v>
      </c>
      <c r="I14" s="36">
        <v>2</v>
      </c>
      <c r="J14" s="36">
        <v>1</v>
      </c>
      <c r="K14" s="36" t="s">
        <v>105</v>
      </c>
    </row>
    <row r="15" spans="1:11">
      <c r="A15" s="36">
        <f ca="1" t="shared" si="0"/>
        <v>126</v>
      </c>
      <c r="B15" s="36" t="str">
        <f ca="1" t="array" ref="B15">INDEX(Data_DBD!$C:$C,$A15)</f>
        <v>3 Hari</v>
      </c>
      <c r="C15" s="36">
        <f ca="1" t="array" ref="C15">INDEX(Data_DBD!$E:$E,$A15)</f>
        <v>1</v>
      </c>
      <c r="D15" s="36" t="str">
        <f ca="1" t="array" ref="D15">INDEX(Data_DBD!$F:$F,$A15)</f>
        <v>Tinggi</v>
      </c>
      <c r="H15" s="36">
        <v>149</v>
      </c>
      <c r="I15" s="36">
        <v>5</v>
      </c>
      <c r="J15" s="36">
        <v>0</v>
      </c>
      <c r="K15" s="36" t="s">
        <v>105</v>
      </c>
    </row>
    <row r="16" spans="1:11">
      <c r="A16" s="36">
        <f ca="1" t="shared" si="0"/>
        <v>4</v>
      </c>
      <c r="B16" s="36" t="str">
        <f ca="1" t="array" ref="B16">INDEX(Data_DBD!$C:$C,$A16)</f>
        <v>5 Hari</v>
      </c>
      <c r="C16" s="36">
        <f ca="1" t="array" ref="C16">INDEX(Data_DBD!$E:$E,$A16)</f>
        <v>0</v>
      </c>
      <c r="D16" s="36" t="str">
        <f ca="1" t="array" ref="D16">INDEX(Data_DBD!$F:$F,$A16)</f>
        <v>Sedang</v>
      </c>
      <c r="H16" s="36">
        <v>72</v>
      </c>
      <c r="I16" s="36">
        <v>5</v>
      </c>
      <c r="J16" s="36">
        <v>1</v>
      </c>
      <c r="K16" s="36" t="s">
        <v>8</v>
      </c>
    </row>
    <row r="17" spans="1:11">
      <c r="A17" s="36">
        <f ca="1" t="shared" si="0"/>
        <v>121</v>
      </c>
      <c r="B17" s="36" t="str">
        <f ca="1" t="array" ref="B17">INDEX(Data_DBD!$C:$C,$A17)</f>
        <v>5 Hari</v>
      </c>
      <c r="C17" s="36">
        <f ca="1" t="array" ref="C17">INDEX(Data_DBD!$E:$E,$A17)</f>
        <v>1</v>
      </c>
      <c r="D17" s="36" t="str">
        <f ca="1" t="array" ref="D17">INDEX(Data_DBD!$F:$F,$A17)</f>
        <v>Tinggi</v>
      </c>
      <c r="H17" s="36">
        <v>109</v>
      </c>
      <c r="I17" s="36">
        <v>3</v>
      </c>
      <c r="J17" s="36">
        <v>1</v>
      </c>
      <c r="K17" s="36" t="s">
        <v>105</v>
      </c>
    </row>
    <row r="18" spans="1:11">
      <c r="A18" s="36">
        <f ca="1" t="shared" si="0"/>
        <v>3</v>
      </c>
      <c r="B18" s="36" t="str">
        <f ca="1" t="array" ref="B18">INDEX(Data_DBD!$C:$C,$A18)</f>
        <v>3 Hari</v>
      </c>
      <c r="C18" s="36">
        <f ca="1" t="array" ref="C18">INDEX(Data_DBD!$E:$E,$A18)</f>
        <v>1</v>
      </c>
      <c r="D18" s="36" t="str">
        <f ca="1" t="array" ref="D18">INDEX(Data_DBD!$F:$F,$A18)</f>
        <v>Sedang</v>
      </c>
      <c r="H18" s="36">
        <v>88</v>
      </c>
      <c r="I18" s="36">
        <v>4</v>
      </c>
      <c r="J18" s="36">
        <v>1</v>
      </c>
      <c r="K18" s="36" t="s">
        <v>8</v>
      </c>
    </row>
    <row r="19" spans="1:11">
      <c r="A19" s="36">
        <f ca="1" t="shared" si="0"/>
        <v>24</v>
      </c>
      <c r="B19" s="36" t="str">
        <f ca="1" t="array" ref="B19">INDEX(Data_DBD!$C:$C,$A19)</f>
        <v>4 Hari</v>
      </c>
      <c r="C19" s="36">
        <f ca="1" t="array" ref="C19">INDEX(Data_DBD!$E:$E,$A19)</f>
        <v>0</v>
      </c>
      <c r="D19" s="36" t="str">
        <f ca="1" t="array" ref="D19">INDEX(Data_DBD!$F:$F,$A19)</f>
        <v>Sedang</v>
      </c>
      <c r="H19" s="36">
        <v>56</v>
      </c>
      <c r="I19" s="36">
        <v>3</v>
      </c>
      <c r="J19" s="36">
        <v>0</v>
      </c>
      <c r="K19" s="36" t="s">
        <v>8</v>
      </c>
    </row>
    <row r="20" spans="1:11">
      <c r="A20" s="36">
        <f ca="1" t="shared" si="0"/>
        <v>142</v>
      </c>
      <c r="B20" s="36" t="str">
        <f ca="1" t="array" ref="B20">INDEX(Data_DBD!$C:$C,$A20)</f>
        <v>2 Hari</v>
      </c>
      <c r="C20" s="36">
        <f ca="1" t="array" ref="C20">INDEX(Data_DBD!$E:$E,$A20)</f>
        <v>1</v>
      </c>
      <c r="D20" s="36" t="str">
        <f ca="1" t="array" ref="D20">INDEX(Data_DBD!$F:$F,$A20)</f>
        <v>Tinggi</v>
      </c>
      <c r="H20" s="36">
        <v>39</v>
      </c>
      <c r="I20" s="36">
        <v>5</v>
      </c>
      <c r="J20" s="36">
        <v>1</v>
      </c>
      <c r="K20" s="36" t="s">
        <v>8</v>
      </c>
    </row>
    <row r="21" spans="1:11">
      <c r="A21" s="36">
        <f ca="1" t="shared" si="0"/>
        <v>80</v>
      </c>
      <c r="B21" s="36" t="str">
        <f ca="1" t="array" ref="B21">INDEX(Data_DBD!$C:$C,$A21)</f>
        <v>3 Hari</v>
      </c>
      <c r="C21" s="36">
        <f ca="1" t="array" ref="C21">INDEX(Data_DBD!$E:$E,$A21)</f>
        <v>1</v>
      </c>
      <c r="D21" s="36" t="str">
        <f ca="1" t="array" ref="D21">INDEX(Data_DBD!$F:$F,$A21)</f>
        <v>Sedang</v>
      </c>
      <c r="H21" s="36">
        <v>72</v>
      </c>
      <c r="I21" s="36">
        <v>5</v>
      </c>
      <c r="J21" s="36">
        <v>1</v>
      </c>
      <c r="K21" s="36" t="s">
        <v>8</v>
      </c>
    </row>
    <row r="22" spans="1:11">
      <c r="A22" s="36">
        <f ca="1" t="shared" si="0"/>
        <v>146</v>
      </c>
      <c r="B22" s="36" t="str">
        <f ca="1" t="array" ref="B22">INDEX(Data_DBD!$C:$C,$A22)</f>
        <v>2 Hari</v>
      </c>
      <c r="C22" s="36">
        <f ca="1" t="array" ref="C22">INDEX(Data_DBD!$E:$E,$A22)</f>
        <v>1</v>
      </c>
      <c r="D22" s="36" t="str">
        <f ca="1" t="array" ref="D22">INDEX(Data_DBD!$F:$F,$A22)</f>
        <v>Tinggi</v>
      </c>
      <c r="H22" s="36">
        <v>128</v>
      </c>
      <c r="I22" s="36">
        <v>2</v>
      </c>
      <c r="J22" s="36">
        <v>0</v>
      </c>
      <c r="K22" s="36" t="s">
        <v>105</v>
      </c>
    </row>
    <row r="23" spans="1:11">
      <c r="A23" s="36">
        <f ca="1" t="shared" si="0"/>
        <v>66</v>
      </c>
      <c r="B23" s="36" t="str">
        <f ca="1" t="array" ref="B23">INDEX(Data_DBD!$C:$C,$A23)</f>
        <v>5 Hari</v>
      </c>
      <c r="C23" s="36">
        <f ca="1" t="array" ref="C23">INDEX(Data_DBD!$E:$E,$A23)</f>
        <v>1</v>
      </c>
      <c r="D23" s="36" t="str">
        <f ca="1" t="array" ref="D23">INDEX(Data_DBD!$F:$F,$A23)</f>
        <v>Sedang</v>
      </c>
      <c r="H23" s="36">
        <v>35</v>
      </c>
      <c r="I23" s="36">
        <v>3</v>
      </c>
      <c r="J23" s="36">
        <v>1</v>
      </c>
      <c r="K23" s="36" t="s">
        <v>26</v>
      </c>
    </row>
    <row r="24" spans="1:11">
      <c r="A24" s="36">
        <f ca="1" t="shared" si="0"/>
        <v>11</v>
      </c>
      <c r="B24" s="36" t="str">
        <f ca="1" t="array" ref="B24">INDEX(Data_DBD!$C:$C,$A24)</f>
        <v>5 Hari</v>
      </c>
      <c r="C24" s="36">
        <f ca="1" t="array" ref="C24">INDEX(Data_DBD!$E:$E,$A24)</f>
        <v>1</v>
      </c>
      <c r="D24" s="36" t="str">
        <f ca="1" t="array" ref="D24">INDEX(Data_DBD!$F:$F,$A24)</f>
        <v>Sedang</v>
      </c>
      <c r="H24" s="36">
        <v>98</v>
      </c>
      <c r="I24" s="36">
        <v>2</v>
      </c>
      <c r="J24" s="36">
        <v>1</v>
      </c>
      <c r="K24" s="36" t="s">
        <v>105</v>
      </c>
    </row>
    <row r="25" spans="1:11">
      <c r="A25" s="36">
        <f ca="1" t="shared" si="0"/>
        <v>157</v>
      </c>
      <c r="B25" s="36" t="str">
        <f ca="1" t="array" ref="B25">INDEX(Data_DBD!$C:$C,$A25)</f>
        <v>4 Hari</v>
      </c>
      <c r="C25" s="36">
        <f ca="1" t="array" ref="C25">INDEX(Data_DBD!$E:$E,$A25)</f>
        <v>1</v>
      </c>
      <c r="D25" s="36" t="str">
        <f ca="1" t="array" ref="D25">INDEX(Data_DBD!$F:$F,$A25)</f>
        <v>Tinggi</v>
      </c>
      <c r="H25" s="36">
        <v>12</v>
      </c>
      <c r="I25" s="36">
        <v>3</v>
      </c>
      <c r="J25" s="36">
        <v>0</v>
      </c>
      <c r="K25" s="36" t="s">
        <v>8</v>
      </c>
    </row>
    <row r="26" spans="1:11">
      <c r="A26" s="36">
        <f ca="1" t="shared" si="0"/>
        <v>33</v>
      </c>
      <c r="B26" s="36" t="str">
        <f ca="1" t="array" ref="B26">INDEX(Data_DBD!$C:$C,$A26)</f>
        <v>4 Hari</v>
      </c>
      <c r="C26" s="36">
        <f ca="1" t="array" ref="C26">INDEX(Data_DBD!$E:$E,$A26)</f>
        <v>1</v>
      </c>
      <c r="D26" s="36" t="str">
        <f ca="1" t="array" ref="D26">INDEX(Data_DBD!$F:$F,$A26)</f>
        <v>Sedang</v>
      </c>
      <c r="H26" s="36">
        <v>7</v>
      </c>
      <c r="I26" s="36">
        <v>1</v>
      </c>
      <c r="J26" s="36">
        <v>1</v>
      </c>
      <c r="K26" s="36" t="s">
        <v>8</v>
      </c>
    </row>
    <row r="27" spans="1:11">
      <c r="A27" s="36">
        <f ca="1" t="shared" si="0"/>
        <v>121</v>
      </c>
      <c r="B27" s="36" t="str">
        <f ca="1" t="array" ref="B27">INDEX(Data_DBD!$C:$C,$A27)</f>
        <v>5 Hari</v>
      </c>
      <c r="C27" s="36">
        <f ca="1" t="array" ref="C27">INDEX(Data_DBD!$E:$E,$A27)</f>
        <v>1</v>
      </c>
      <c r="D27" s="36" t="str">
        <f ca="1" t="array" ref="D27">INDEX(Data_DBD!$F:$F,$A27)</f>
        <v>Tinggi</v>
      </c>
      <c r="H27" s="36">
        <v>71</v>
      </c>
      <c r="I27" s="36">
        <v>3</v>
      </c>
      <c r="J27" s="36">
        <v>0</v>
      </c>
      <c r="K27" s="36" t="s">
        <v>8</v>
      </c>
    </row>
    <row r="28" spans="1:11">
      <c r="A28" s="36">
        <f ca="1" t="shared" si="0"/>
        <v>88</v>
      </c>
      <c r="B28" s="36" t="str">
        <f ca="1" t="array" ref="B28">INDEX(Data_DBD!$C:$C,$A28)</f>
        <v>4 Hari</v>
      </c>
      <c r="C28" s="36">
        <f ca="1" t="array" ref="C28">INDEX(Data_DBD!$E:$E,$A28)</f>
        <v>1</v>
      </c>
      <c r="D28" s="36" t="str">
        <f ca="1" t="array" ref="D28">INDEX(Data_DBD!$F:$F,$A28)</f>
        <v>Sedang</v>
      </c>
      <c r="H28" s="36">
        <v>34</v>
      </c>
      <c r="I28" s="36">
        <v>3</v>
      </c>
      <c r="J28" s="36">
        <v>0</v>
      </c>
      <c r="K28" s="36" t="s">
        <v>8</v>
      </c>
    </row>
    <row r="29" spans="1:11">
      <c r="A29" s="36">
        <f ca="1" t="shared" si="0"/>
        <v>134</v>
      </c>
      <c r="B29" s="36" t="str">
        <f ca="1" t="array" ref="B29">INDEX(Data_DBD!$C:$C,$A29)</f>
        <v>2 Hari</v>
      </c>
      <c r="C29" s="36">
        <f ca="1" t="array" ref="C29">INDEX(Data_DBD!$E:$E,$A29)</f>
        <v>1</v>
      </c>
      <c r="D29" s="36" t="str">
        <f ca="1" t="array" ref="D29">INDEX(Data_DBD!$F:$F,$A29)</f>
        <v>Tinggi</v>
      </c>
      <c r="H29" s="36">
        <v>62</v>
      </c>
      <c r="I29" s="36">
        <v>4</v>
      </c>
      <c r="J29" s="36">
        <v>1</v>
      </c>
      <c r="K29" s="36" t="s">
        <v>8</v>
      </c>
    </row>
    <row r="30" spans="1:11">
      <c r="A30" s="36">
        <f ca="1" t="shared" si="0"/>
        <v>29</v>
      </c>
      <c r="B30" s="36" t="str">
        <f ca="1" t="array" ref="B30">INDEX(Data_DBD!$C:$C,$A30)</f>
        <v>2 Hari</v>
      </c>
      <c r="C30" s="36">
        <f ca="1" t="array" ref="C30">INDEX(Data_DBD!$E:$E,$A30)</f>
        <v>1</v>
      </c>
      <c r="D30" s="36" t="str">
        <f ca="1" t="array" ref="D30">INDEX(Data_DBD!$F:$F,$A30)</f>
        <v>Sedang</v>
      </c>
      <c r="H30" s="36">
        <v>3</v>
      </c>
      <c r="I30" s="36">
        <v>3</v>
      </c>
      <c r="J30" s="36">
        <v>1</v>
      </c>
      <c r="K30" s="36" t="s">
        <v>8</v>
      </c>
    </row>
    <row r="31" spans="1:11">
      <c r="A31" s="36">
        <f ca="1" t="shared" si="0"/>
        <v>3</v>
      </c>
      <c r="B31" s="36" t="str">
        <f ca="1" t="array" ref="B31">INDEX(Data_DBD!$C:$C,$A31)</f>
        <v>3 Hari</v>
      </c>
      <c r="C31" s="36">
        <f ca="1" t="array" ref="C31">INDEX(Data_DBD!$E:$E,$A31)</f>
        <v>1</v>
      </c>
      <c r="D31" s="36" t="str">
        <f ca="1" t="array" ref="D31">INDEX(Data_DBD!$F:$F,$A31)</f>
        <v>Sedang</v>
      </c>
      <c r="H31" s="36">
        <v>3</v>
      </c>
      <c r="I31" s="36">
        <v>3</v>
      </c>
      <c r="J31" s="36">
        <v>1</v>
      </c>
      <c r="K31" s="36" t="s">
        <v>8</v>
      </c>
    </row>
    <row r="32" spans="1:11">
      <c r="A32" s="36">
        <f ca="1" t="shared" si="0"/>
        <v>120</v>
      </c>
      <c r="B32" s="36" t="str">
        <f ca="1" t="array" ref="B32">INDEX(Data_DBD!$C:$C,$A32)</f>
        <v>4 Hari</v>
      </c>
      <c r="C32" s="36">
        <f ca="1" t="array" ref="C32">INDEX(Data_DBD!$E:$E,$A32)</f>
        <v>1</v>
      </c>
      <c r="D32" s="36" t="str">
        <f ca="1" t="array" ref="D32">INDEX(Data_DBD!$F:$F,$A32)</f>
        <v>Tinggi</v>
      </c>
      <c r="H32" s="36">
        <v>41</v>
      </c>
      <c r="I32" s="36">
        <v>4</v>
      </c>
      <c r="J32" s="36">
        <v>0</v>
      </c>
      <c r="K32" s="36" t="s">
        <v>8</v>
      </c>
    </row>
    <row r="33" spans="1:11">
      <c r="A33" s="36">
        <f ca="1" t="shared" si="0"/>
        <v>66</v>
      </c>
      <c r="B33" s="36" t="str">
        <f ca="1" t="array" ref="B33">INDEX(Data_DBD!$C:$C,$A33)</f>
        <v>5 Hari</v>
      </c>
      <c r="C33" s="36">
        <f ca="1" t="array" ref="C33">INDEX(Data_DBD!$E:$E,$A33)</f>
        <v>1</v>
      </c>
      <c r="D33" s="36" t="str">
        <f ca="1" t="array" ref="D33">INDEX(Data_DBD!$F:$F,$A33)</f>
        <v>Sedang</v>
      </c>
      <c r="H33" s="36">
        <v>146</v>
      </c>
      <c r="I33" s="36">
        <v>2</v>
      </c>
      <c r="J33" s="36">
        <v>1</v>
      </c>
      <c r="K33" s="36" t="s">
        <v>105</v>
      </c>
    </row>
    <row r="34" spans="1:11">
      <c r="A34" s="36">
        <f ca="1" t="shared" si="0"/>
        <v>120</v>
      </c>
      <c r="B34" s="36" t="str">
        <f ca="1" t="array" ref="B34">INDEX(Data_DBD!$C:$C,$A34)</f>
        <v>4 Hari</v>
      </c>
      <c r="C34" s="36">
        <f ca="1" t="array" ref="C34">INDEX(Data_DBD!$E:$E,$A34)</f>
        <v>1</v>
      </c>
      <c r="D34" s="36" t="str">
        <f ca="1" t="array" ref="D34">INDEX(Data_DBD!$F:$F,$A34)</f>
        <v>Tinggi</v>
      </c>
      <c r="H34" s="36">
        <v>107</v>
      </c>
      <c r="I34" s="36">
        <v>5</v>
      </c>
      <c r="J34" s="36">
        <v>0</v>
      </c>
      <c r="K34" s="36" t="s">
        <v>105</v>
      </c>
    </row>
    <row r="35" spans="1:11">
      <c r="A35" s="36">
        <f ca="1" t="shared" si="0"/>
        <v>121</v>
      </c>
      <c r="B35" s="36" t="str">
        <f ca="1" t="array" ref="B35">INDEX(Data_DBD!$C:$C,$A35)</f>
        <v>5 Hari</v>
      </c>
      <c r="C35" s="36">
        <f ca="1" t="array" ref="C35">INDEX(Data_DBD!$E:$E,$A35)</f>
        <v>1</v>
      </c>
      <c r="D35" s="36" t="str">
        <f ca="1" t="array" ref="D35">INDEX(Data_DBD!$F:$F,$A35)</f>
        <v>Tinggi</v>
      </c>
      <c r="H35" s="36">
        <v>114</v>
      </c>
      <c r="I35" s="36">
        <v>2</v>
      </c>
      <c r="J35" s="36">
        <v>1</v>
      </c>
      <c r="K35" s="36" t="s">
        <v>105</v>
      </c>
    </row>
    <row r="36" spans="1:11">
      <c r="A36" s="36">
        <f ca="1" t="shared" si="0"/>
        <v>56</v>
      </c>
      <c r="B36" s="36" t="str">
        <f ca="1" t="array" ref="B36">INDEX(Data_DBD!$C:$C,$A36)</f>
        <v>3 Hari</v>
      </c>
      <c r="C36" s="36">
        <f ca="1" t="array" ref="C36">INDEX(Data_DBD!$E:$E,$A36)</f>
        <v>0</v>
      </c>
      <c r="D36" s="36" t="str">
        <f ca="1" t="array" ref="D36">INDEX(Data_DBD!$F:$F,$A36)</f>
        <v>Sedang</v>
      </c>
      <c r="H36" s="36">
        <v>47</v>
      </c>
      <c r="I36" s="36">
        <v>2</v>
      </c>
      <c r="J36" s="36">
        <v>0</v>
      </c>
      <c r="K36" s="36" t="s">
        <v>8</v>
      </c>
    </row>
    <row r="37" spans="1:11">
      <c r="A37" s="36">
        <f ca="1" t="shared" si="0"/>
        <v>103</v>
      </c>
      <c r="B37" s="36" t="str">
        <f ca="1" t="array" ref="B37">INDEX(Data_DBD!$C:$C,$A37)</f>
        <v>5 Hari</v>
      </c>
      <c r="C37" s="36">
        <f ca="1" t="array" ref="C37">INDEX(Data_DBD!$E:$E,$A37)</f>
        <v>0</v>
      </c>
      <c r="D37" s="36" t="str">
        <f ca="1" t="array" ref="D37">INDEX(Data_DBD!$F:$F,$A37)</f>
        <v>Tinggi</v>
      </c>
      <c r="H37" s="36">
        <v>40</v>
      </c>
      <c r="I37" s="36">
        <v>3</v>
      </c>
      <c r="J37" s="36">
        <v>1</v>
      </c>
      <c r="K37" s="36" t="s">
        <v>8</v>
      </c>
    </row>
    <row r="38" spans="1:11">
      <c r="A38" s="36">
        <f ca="1" t="shared" si="0"/>
        <v>61</v>
      </c>
      <c r="B38" s="36" t="str">
        <f ca="1" t="array" ref="B38">INDEX(Data_DBD!$C:$C,$A38)</f>
        <v>3 Hari</v>
      </c>
      <c r="C38" s="36">
        <f ca="1" t="array" ref="C38">INDEX(Data_DBD!$E:$E,$A38)</f>
        <v>1</v>
      </c>
      <c r="D38" s="36" t="str">
        <f ca="1" t="array" ref="D38">INDEX(Data_DBD!$F:$F,$A38)</f>
        <v>Sedang</v>
      </c>
      <c r="H38" s="36">
        <v>104</v>
      </c>
      <c r="I38" s="36">
        <v>4</v>
      </c>
      <c r="J38" s="36">
        <v>1</v>
      </c>
      <c r="K38" s="36" t="s">
        <v>105</v>
      </c>
    </row>
    <row r="39" spans="1:11">
      <c r="A39" s="36">
        <f ca="1" t="shared" si="0"/>
        <v>107</v>
      </c>
      <c r="B39" s="36" t="str">
        <f ca="1" t="array" ref="B39">INDEX(Data_DBD!$C:$C,$A39)</f>
        <v>5 Hari</v>
      </c>
      <c r="C39" s="36">
        <f ca="1" t="array" ref="C39">INDEX(Data_DBD!$E:$E,$A39)</f>
        <v>0</v>
      </c>
      <c r="D39" s="36" t="str">
        <f ca="1" t="array" ref="D39">INDEX(Data_DBD!$F:$F,$A39)</f>
        <v>Tinggi</v>
      </c>
      <c r="H39" s="36">
        <v>78</v>
      </c>
      <c r="I39" s="36">
        <v>3</v>
      </c>
      <c r="J39" s="36">
        <v>0</v>
      </c>
      <c r="K39" s="36" t="s">
        <v>8</v>
      </c>
    </row>
    <row r="40" spans="1:11">
      <c r="A40" s="36">
        <f ca="1" t="shared" si="0"/>
        <v>138</v>
      </c>
      <c r="B40" s="36" t="str">
        <f ca="1" t="array" ref="B40">INDEX(Data_DBD!$C:$C,$A40)</f>
        <v>3 Hari</v>
      </c>
      <c r="C40" s="36">
        <f ca="1" t="array" ref="C40">INDEX(Data_DBD!$E:$E,$A40)</f>
        <v>1</v>
      </c>
      <c r="D40" s="36" t="str">
        <f ca="1" t="array" ref="D40">INDEX(Data_DBD!$F:$F,$A40)</f>
        <v>Tinggi</v>
      </c>
      <c r="H40" s="36">
        <v>149</v>
      </c>
      <c r="I40" s="36">
        <v>5</v>
      </c>
      <c r="J40" s="36">
        <v>0</v>
      </c>
      <c r="K40" s="36" t="s">
        <v>105</v>
      </c>
    </row>
    <row r="41" spans="1:11">
      <c r="A41" s="36">
        <f ca="1" t="shared" si="0"/>
        <v>44</v>
      </c>
      <c r="B41" s="36" t="str">
        <f ca="1" t="array" ref="B41">INDEX(Data_DBD!$C:$C,$A41)</f>
        <v>5 Hari</v>
      </c>
      <c r="C41" s="36">
        <f ca="1" t="array" ref="C41">INDEX(Data_DBD!$E:$E,$A41)</f>
        <v>1</v>
      </c>
      <c r="D41" s="36" t="str">
        <f ca="1" t="array" ref="D41">INDEX(Data_DBD!$F:$F,$A41)</f>
        <v>Sedang</v>
      </c>
      <c r="H41" s="36">
        <v>154</v>
      </c>
      <c r="I41" s="36">
        <v>5</v>
      </c>
      <c r="J41" s="36">
        <v>1</v>
      </c>
      <c r="K41" s="36" t="s">
        <v>105</v>
      </c>
    </row>
    <row r="42" spans="1:11">
      <c r="A42" s="36">
        <f ca="1" t="shared" si="0"/>
        <v>144</v>
      </c>
      <c r="B42" s="36" t="str">
        <f ca="1" t="array" ref="B42">INDEX(Data_DBD!$C:$C,$A42)</f>
        <v>4 Hari</v>
      </c>
      <c r="C42" s="36">
        <f ca="1" t="array" ref="C42">INDEX(Data_DBD!$E:$E,$A42)</f>
        <v>1</v>
      </c>
      <c r="D42" s="36" t="str">
        <f ca="1" t="array" ref="D42">INDEX(Data_DBD!$F:$F,$A42)</f>
        <v>Tinggi</v>
      </c>
      <c r="H42" s="36">
        <v>37</v>
      </c>
      <c r="I42" s="36">
        <v>4</v>
      </c>
      <c r="J42" s="36">
        <v>1</v>
      </c>
      <c r="K42" s="36" t="s">
        <v>26</v>
      </c>
    </row>
    <row r="43" spans="1:11">
      <c r="A43" s="36">
        <f ca="1" t="shared" si="0"/>
        <v>41</v>
      </c>
      <c r="B43" s="36" t="str">
        <f ca="1" t="array" ref="B43">INDEX(Data_DBD!$C:$C,$A43)</f>
        <v>4 Hari</v>
      </c>
      <c r="C43" s="36">
        <f ca="1" t="array" ref="C43">INDEX(Data_DBD!$E:$E,$A43)</f>
        <v>0</v>
      </c>
      <c r="D43" s="36" t="str">
        <f ca="1" t="array" ref="D43">INDEX(Data_DBD!$F:$F,$A43)</f>
        <v>Sedang</v>
      </c>
      <c r="H43" s="36">
        <v>52</v>
      </c>
      <c r="I43" s="36">
        <v>4</v>
      </c>
      <c r="J43" s="36">
        <v>1</v>
      </c>
      <c r="K43" s="36" t="s">
        <v>8</v>
      </c>
    </row>
    <row r="44" spans="1:11">
      <c r="A44" s="36">
        <f ca="1" t="shared" si="0"/>
        <v>102</v>
      </c>
      <c r="B44" s="36" t="str">
        <f ca="1" t="array" ref="B44">INDEX(Data_DBD!$C:$C,$A44)</f>
        <v>4 Hari</v>
      </c>
      <c r="C44" s="36">
        <f ca="1" t="array" ref="C44">INDEX(Data_DBD!$E:$E,$A44)</f>
        <v>0</v>
      </c>
      <c r="D44" s="36" t="str">
        <f ca="1" t="array" ref="D44">INDEX(Data_DBD!$F:$F,$A44)</f>
        <v>Tinggi</v>
      </c>
      <c r="H44" s="36">
        <v>30</v>
      </c>
      <c r="I44" s="36">
        <v>2</v>
      </c>
      <c r="J44" s="36">
        <v>1</v>
      </c>
      <c r="K44" s="36" t="s">
        <v>8</v>
      </c>
    </row>
    <row r="45" spans="1:11">
      <c r="A45" s="36">
        <f ca="1" t="shared" si="0"/>
        <v>56</v>
      </c>
      <c r="B45" s="36" t="str">
        <f ca="1" t="array" ref="B45">INDEX(Data_DBD!$C:$C,$A45)</f>
        <v>3 Hari</v>
      </c>
      <c r="C45" s="36">
        <f ca="1" t="array" ref="C45">INDEX(Data_DBD!$E:$E,$A45)</f>
        <v>0</v>
      </c>
      <c r="D45" s="36" t="str">
        <f ca="1" t="array" ref="D45">INDEX(Data_DBD!$F:$F,$A45)</f>
        <v>Sedang</v>
      </c>
      <c r="H45" s="36">
        <v>71</v>
      </c>
      <c r="I45" s="36">
        <v>3</v>
      </c>
      <c r="J45" s="36">
        <v>0</v>
      </c>
      <c r="K45" s="36" t="s">
        <v>8</v>
      </c>
    </row>
    <row r="46" spans="1:11">
      <c r="A46" s="36">
        <f ca="1" t="shared" si="0"/>
        <v>122</v>
      </c>
      <c r="B46" s="36" t="str">
        <f ca="1" t="array" ref="B46">INDEX(Data_DBD!$C:$C,$A46)</f>
        <v>3 Hari</v>
      </c>
      <c r="C46" s="36">
        <f ca="1" t="array" ref="C46">INDEX(Data_DBD!$E:$E,$A46)</f>
        <v>1</v>
      </c>
      <c r="D46" s="36" t="str">
        <f ca="1" t="array" ref="D46">INDEX(Data_DBD!$F:$F,$A46)</f>
        <v>Tinggi</v>
      </c>
      <c r="H46" s="36">
        <v>139</v>
      </c>
      <c r="I46" s="36">
        <v>7</v>
      </c>
      <c r="J46" s="36">
        <v>0</v>
      </c>
      <c r="K46" s="36" t="s">
        <v>105</v>
      </c>
    </row>
    <row r="47" spans="1:11">
      <c r="A47" s="36">
        <f ca="1" t="shared" si="0"/>
        <v>103</v>
      </c>
      <c r="B47" s="36" t="str">
        <f ca="1" t="array" ref="B47">INDEX(Data_DBD!$C:$C,$A47)</f>
        <v>5 Hari</v>
      </c>
      <c r="C47" s="36">
        <f ca="1" t="array" ref="C47">INDEX(Data_DBD!$E:$E,$A47)</f>
        <v>0</v>
      </c>
      <c r="D47" s="36" t="str">
        <f ca="1" t="array" ref="D47">INDEX(Data_DBD!$F:$F,$A47)</f>
        <v>Tinggi</v>
      </c>
      <c r="H47" s="36">
        <v>109</v>
      </c>
      <c r="I47" s="36">
        <v>3</v>
      </c>
      <c r="J47" s="36">
        <v>1</v>
      </c>
      <c r="K47" s="36" t="s">
        <v>105</v>
      </c>
    </row>
    <row r="48" spans="1:11">
      <c r="A48" s="36">
        <f ca="1" t="shared" si="0"/>
        <v>101</v>
      </c>
      <c r="B48" s="36" t="str">
        <f ca="1" t="array" ref="B48">INDEX(Data_DBD!$C:$C,$A48)</f>
        <v>5 Hari</v>
      </c>
      <c r="C48" s="36">
        <f ca="1" t="array" ref="C48">INDEX(Data_DBD!$E:$E,$A48)</f>
        <v>0</v>
      </c>
      <c r="D48" s="36" t="str">
        <f ca="1" t="array" ref="D48">INDEX(Data_DBD!$F:$F,$A48)</f>
        <v>Tinggi</v>
      </c>
      <c r="H48" s="36">
        <v>147</v>
      </c>
      <c r="I48" s="36">
        <v>10</v>
      </c>
      <c r="J48" s="36">
        <v>1</v>
      </c>
      <c r="K48" s="36" t="s">
        <v>105</v>
      </c>
    </row>
    <row r="49" spans="1:11">
      <c r="A49" s="36">
        <f ca="1" t="shared" si="0"/>
        <v>61</v>
      </c>
      <c r="B49" s="36" t="str">
        <f ca="1" t="array" ref="B49">INDEX(Data_DBD!$C:$C,$A49)</f>
        <v>3 Hari</v>
      </c>
      <c r="C49" s="36">
        <f ca="1" t="array" ref="C49">INDEX(Data_DBD!$E:$E,$A49)</f>
        <v>1</v>
      </c>
      <c r="D49" s="36" t="str">
        <f ca="1" t="array" ref="D49">INDEX(Data_DBD!$F:$F,$A49)</f>
        <v>Sedang</v>
      </c>
      <c r="H49" s="36">
        <v>76</v>
      </c>
      <c r="I49" s="36">
        <v>2</v>
      </c>
      <c r="J49" s="36">
        <v>0</v>
      </c>
      <c r="K49" s="36" t="s">
        <v>8</v>
      </c>
    </row>
    <row r="50" spans="1:11">
      <c r="A50" s="36">
        <f ca="1" t="shared" si="0"/>
        <v>101</v>
      </c>
      <c r="B50" s="36" t="str">
        <f ca="1" t="array" ref="B50">INDEX(Data_DBD!$C:$C,$A50)</f>
        <v>5 Hari</v>
      </c>
      <c r="C50" s="36">
        <f ca="1" t="array" ref="C50">INDEX(Data_DBD!$E:$E,$A50)</f>
        <v>0</v>
      </c>
      <c r="D50" s="36" t="str">
        <f ca="1" t="array" ref="D50">INDEX(Data_DBD!$F:$F,$A50)</f>
        <v>Tinggi</v>
      </c>
      <c r="H50" s="36">
        <v>137</v>
      </c>
      <c r="I50" s="36">
        <v>1</v>
      </c>
      <c r="J50" s="36">
        <v>1</v>
      </c>
      <c r="K50" s="36" t="s">
        <v>105</v>
      </c>
    </row>
    <row r="51" spans="1:11">
      <c r="A51" s="36">
        <f ca="1" t="shared" si="0"/>
        <v>85</v>
      </c>
      <c r="B51" s="36" t="str">
        <f ca="1" t="array" ref="B51">INDEX(Data_DBD!$C:$C,$A51)</f>
        <v>9 Hari</v>
      </c>
      <c r="C51" s="36">
        <f ca="1" t="array" ref="C51">INDEX(Data_DBD!$E:$E,$A51)</f>
        <v>0</v>
      </c>
      <c r="D51" s="36" t="str">
        <f ca="1" t="array" ref="D51">INDEX(Data_DBD!$F:$F,$A51)</f>
        <v>Sedang</v>
      </c>
      <c r="H51" s="36">
        <v>72</v>
      </c>
      <c r="I51" s="36">
        <v>5</v>
      </c>
      <c r="J51" s="36">
        <v>1</v>
      </c>
      <c r="K51" s="36" t="s">
        <v>8</v>
      </c>
    </row>
    <row r="52" spans="1:11">
      <c r="A52" s="36">
        <f ca="1" t="shared" si="0"/>
        <v>41</v>
      </c>
      <c r="B52" s="36" t="str">
        <f ca="1" t="array" ref="B52">INDEX(Data_DBD!$C:$C,$A52)</f>
        <v>4 Hari</v>
      </c>
      <c r="C52" s="36">
        <f ca="1" t="array" ref="C52">INDEX(Data_DBD!$E:$E,$A52)</f>
        <v>0</v>
      </c>
      <c r="D52" s="36" t="str">
        <f ca="1" t="array" ref="D52">INDEX(Data_DBD!$F:$F,$A52)</f>
        <v>Sedang</v>
      </c>
      <c r="H52" s="36">
        <v>11</v>
      </c>
      <c r="I52" s="36">
        <v>5</v>
      </c>
      <c r="J52" s="36">
        <v>1</v>
      </c>
      <c r="K52" s="36" t="s">
        <v>8</v>
      </c>
    </row>
    <row r="53" spans="1:11">
      <c r="A53" s="36">
        <f ca="1" t="shared" si="0"/>
        <v>159</v>
      </c>
      <c r="B53" s="36" t="str">
        <f ca="1" t="array" ref="B53">INDEX(Data_DBD!$C:$C,$A53)</f>
        <v>2 Hari</v>
      </c>
      <c r="C53" s="36">
        <f ca="1" t="array" ref="C53">INDEX(Data_DBD!$E:$E,$A53)</f>
        <v>0</v>
      </c>
      <c r="D53" s="36" t="str">
        <f ca="1" t="array" ref="D53">INDEX(Data_DBD!$F:$F,$A53)</f>
        <v>Tinggi</v>
      </c>
      <c r="H53" s="36">
        <v>123</v>
      </c>
      <c r="I53" s="36">
        <v>4</v>
      </c>
      <c r="J53" s="36">
        <v>0</v>
      </c>
      <c r="K53" s="36" t="s">
        <v>105</v>
      </c>
    </row>
    <row r="54" spans="1:11">
      <c r="A54" s="36">
        <f ca="1" t="shared" si="0"/>
        <v>122</v>
      </c>
      <c r="B54" s="36" t="str">
        <f ca="1" t="array" ref="B54">INDEX(Data_DBD!$C:$C,$A54)</f>
        <v>3 Hari</v>
      </c>
      <c r="C54" s="36">
        <f ca="1" t="array" ref="C54">INDEX(Data_DBD!$E:$E,$A54)</f>
        <v>1</v>
      </c>
      <c r="D54" s="36" t="str">
        <f ca="1" t="array" ref="D54">INDEX(Data_DBD!$F:$F,$A54)</f>
        <v>Tinggi</v>
      </c>
      <c r="H54" s="36">
        <v>51</v>
      </c>
      <c r="I54" s="36">
        <v>4</v>
      </c>
      <c r="J54" s="36">
        <v>0</v>
      </c>
      <c r="K54" s="36" t="s">
        <v>8</v>
      </c>
    </row>
    <row r="55" spans="1:11">
      <c r="A55" s="36">
        <f ca="1" t="shared" si="0"/>
        <v>133</v>
      </c>
      <c r="B55" s="36" t="str">
        <f ca="1" t="array" ref="B55">INDEX(Data_DBD!$C:$C,$A55)</f>
        <v>4 Hari</v>
      </c>
      <c r="C55" s="36">
        <f ca="1" t="array" ref="C55">INDEX(Data_DBD!$E:$E,$A55)</f>
        <v>0</v>
      </c>
      <c r="D55" s="36" t="str">
        <f ca="1" t="array" ref="D55">INDEX(Data_DBD!$F:$F,$A55)</f>
        <v>Tinggi</v>
      </c>
      <c r="H55" s="36">
        <v>70</v>
      </c>
      <c r="I55" s="36">
        <v>3</v>
      </c>
      <c r="J55" s="36">
        <v>1</v>
      </c>
      <c r="K55" s="36" t="s">
        <v>8</v>
      </c>
    </row>
    <row r="56" spans="1:11">
      <c r="A56" s="36">
        <f ca="1" t="shared" si="0"/>
        <v>85</v>
      </c>
      <c r="B56" s="36" t="str">
        <f ca="1" t="array" ref="B56">INDEX(Data_DBD!$C:$C,$A56)</f>
        <v>9 Hari</v>
      </c>
      <c r="C56" s="36">
        <f ca="1" t="array" ref="C56">INDEX(Data_DBD!$E:$E,$A56)</f>
        <v>0</v>
      </c>
      <c r="D56" s="36" t="str">
        <f ca="1" t="array" ref="D56">INDEX(Data_DBD!$F:$F,$A56)</f>
        <v>Sedang</v>
      </c>
      <c r="H56" s="36">
        <v>81</v>
      </c>
      <c r="I56" s="36">
        <v>5</v>
      </c>
      <c r="J56" s="36">
        <v>1</v>
      </c>
      <c r="K56" s="36" t="s">
        <v>8</v>
      </c>
    </row>
    <row r="57" spans="1:11">
      <c r="A57" s="36">
        <f ca="1" t="shared" si="0"/>
        <v>48</v>
      </c>
      <c r="B57" s="36" t="str">
        <f ca="1" t="array" ref="B57">INDEX(Data_DBD!$C:$C,$A57)</f>
        <v>5 Hari</v>
      </c>
      <c r="C57" s="36">
        <f ca="1" t="array" ref="C57">INDEX(Data_DBD!$E:$E,$A57)</f>
        <v>1</v>
      </c>
      <c r="D57" s="36" t="str">
        <f ca="1" t="array" ref="D57">INDEX(Data_DBD!$F:$F,$A57)</f>
        <v>Sedang</v>
      </c>
      <c r="H57" s="36">
        <v>51</v>
      </c>
      <c r="I57" s="36">
        <v>4</v>
      </c>
      <c r="J57" s="36">
        <v>0</v>
      </c>
      <c r="K57" s="36" t="s">
        <v>8</v>
      </c>
    </row>
    <row r="58" spans="1:11">
      <c r="A58" s="36">
        <f ca="1" t="shared" si="0"/>
        <v>148</v>
      </c>
      <c r="B58" s="36" t="str">
        <f ca="1" t="array" ref="B58">INDEX(Data_DBD!$C:$C,$A58)</f>
        <v>3 Hari</v>
      </c>
      <c r="C58" s="36">
        <f ca="1" t="array" ref="C58">INDEX(Data_DBD!$E:$E,$A58)</f>
        <v>1</v>
      </c>
      <c r="D58" s="36" t="str">
        <f ca="1" t="array" ref="D58">INDEX(Data_DBD!$F:$F,$A58)</f>
        <v>Tinggi</v>
      </c>
      <c r="H58" s="36">
        <v>92</v>
      </c>
      <c r="I58" s="36">
        <v>7</v>
      </c>
      <c r="J58" s="36">
        <v>0</v>
      </c>
      <c r="K58" s="36" t="s">
        <v>105</v>
      </c>
    </row>
    <row r="59" spans="1:11">
      <c r="A59" s="36">
        <f ca="1" t="shared" si="0"/>
        <v>66</v>
      </c>
      <c r="B59" s="36" t="str">
        <f ca="1" t="array" ref="B59">INDEX(Data_DBD!$C:$C,$A59)</f>
        <v>5 Hari</v>
      </c>
      <c r="C59" s="36">
        <f ca="1" t="array" ref="C59">INDEX(Data_DBD!$E:$E,$A59)</f>
        <v>1</v>
      </c>
      <c r="D59" s="36" t="str">
        <f ca="1" t="array" ref="D59">INDEX(Data_DBD!$F:$F,$A59)</f>
        <v>Sedang</v>
      </c>
      <c r="H59" s="36">
        <v>60</v>
      </c>
      <c r="I59" s="36">
        <v>4</v>
      </c>
      <c r="J59" s="36">
        <v>0</v>
      </c>
      <c r="K59" s="36" t="s">
        <v>8</v>
      </c>
    </row>
    <row r="60" spans="1:11">
      <c r="A60" s="36">
        <f ca="1" t="shared" si="0"/>
        <v>48</v>
      </c>
      <c r="B60" s="36" t="str">
        <f ca="1" t="array" ref="B60">INDEX(Data_DBD!$C:$C,$A60)</f>
        <v>5 Hari</v>
      </c>
      <c r="C60" s="36">
        <f ca="1" t="array" ref="C60">INDEX(Data_DBD!$E:$E,$A60)</f>
        <v>1</v>
      </c>
      <c r="D60" s="36" t="str">
        <f ca="1" t="array" ref="D60">INDEX(Data_DBD!$F:$F,$A60)</f>
        <v>Sedang</v>
      </c>
      <c r="H60" s="36">
        <v>103</v>
      </c>
      <c r="I60" s="36">
        <v>5</v>
      </c>
      <c r="J60" s="36">
        <v>0</v>
      </c>
      <c r="K60" s="36" t="s">
        <v>105</v>
      </c>
    </row>
    <row r="61" spans="1:11">
      <c r="A61" s="36">
        <f ca="1" t="shared" si="0"/>
        <v>157</v>
      </c>
      <c r="B61" s="36" t="str">
        <f ca="1" t="array" ref="B61">INDEX(Data_DBD!$C:$C,$A61)</f>
        <v>4 Hari</v>
      </c>
      <c r="C61" s="36">
        <f ca="1" t="array" ref="C61">INDEX(Data_DBD!$E:$E,$A61)</f>
        <v>1</v>
      </c>
      <c r="D61" s="36" t="str">
        <f ca="1" t="array" ref="D61">INDEX(Data_DBD!$F:$F,$A61)</f>
        <v>Tinggi</v>
      </c>
      <c r="H61" s="36">
        <v>70</v>
      </c>
      <c r="I61" s="36">
        <v>3</v>
      </c>
      <c r="J61" s="36">
        <v>1</v>
      </c>
      <c r="K61" s="36" t="s">
        <v>8</v>
      </c>
    </row>
    <row r="62" spans="1:11">
      <c r="A62" s="36">
        <f ca="1" t="shared" si="0"/>
        <v>135</v>
      </c>
      <c r="B62" s="36" t="str">
        <f ca="1" t="array" ref="B62">INDEX(Data_DBD!$C:$C,$A62)</f>
        <v>2 Hari</v>
      </c>
      <c r="C62" s="36">
        <f ca="1" t="array" ref="C62">INDEX(Data_DBD!$E:$E,$A62)</f>
        <v>0</v>
      </c>
      <c r="D62" s="36" t="str">
        <f ca="1" t="array" ref="D62">INDEX(Data_DBD!$F:$F,$A62)</f>
        <v>Tinggi</v>
      </c>
      <c r="H62" s="36">
        <v>101</v>
      </c>
      <c r="I62" s="36">
        <v>5</v>
      </c>
      <c r="J62" s="36">
        <v>0</v>
      </c>
      <c r="K62" s="36" t="s">
        <v>105</v>
      </c>
    </row>
    <row r="63" spans="1:11">
      <c r="A63" s="36">
        <f ca="1" t="shared" si="0"/>
        <v>104</v>
      </c>
      <c r="B63" s="36" t="str">
        <f ca="1" t="array" ref="B63">INDEX(Data_DBD!$C:$C,$A63)</f>
        <v>4 Hari</v>
      </c>
      <c r="C63" s="36">
        <f ca="1" t="array" ref="C63">INDEX(Data_DBD!$E:$E,$A63)</f>
        <v>1</v>
      </c>
      <c r="D63" s="36" t="str">
        <f ca="1" t="array" ref="D63">INDEX(Data_DBD!$F:$F,$A63)</f>
        <v>Tinggi</v>
      </c>
      <c r="H63" s="36">
        <v>72</v>
      </c>
      <c r="I63" s="36">
        <v>5</v>
      </c>
      <c r="J63" s="36">
        <v>1</v>
      </c>
      <c r="K63" s="36" t="s">
        <v>8</v>
      </c>
    </row>
    <row r="64" spans="1:11">
      <c r="A64" s="36">
        <f ca="1" t="shared" si="0"/>
        <v>27</v>
      </c>
      <c r="B64" s="36" t="str">
        <f ca="1" t="array" ref="B64">INDEX(Data_DBD!$C:$C,$A64)</f>
        <v>4 Hari</v>
      </c>
      <c r="C64" s="36">
        <f ca="1" t="array" ref="C64">INDEX(Data_DBD!$E:$E,$A64)</f>
        <v>1</v>
      </c>
      <c r="D64" s="36" t="str">
        <f ca="1" t="array" ref="D64">INDEX(Data_DBD!$F:$F,$A64)</f>
        <v>Sedang</v>
      </c>
      <c r="H64" s="36">
        <v>130</v>
      </c>
      <c r="I64" s="36">
        <v>4</v>
      </c>
      <c r="J64" s="36">
        <v>0</v>
      </c>
      <c r="K64" s="36" t="s">
        <v>105</v>
      </c>
    </row>
    <row r="65" spans="1:11">
      <c r="A65" s="36">
        <f ca="1" t="shared" si="0"/>
        <v>98</v>
      </c>
      <c r="B65" s="36" t="str">
        <f ca="1" t="array" ref="B65">INDEX(Data_DBD!$C:$C,$A65)</f>
        <v>2 Hari</v>
      </c>
      <c r="C65" s="36">
        <f ca="1" t="array" ref="C65">INDEX(Data_DBD!$E:$E,$A65)</f>
        <v>1</v>
      </c>
      <c r="D65" s="36" t="str">
        <f ca="1" t="array" ref="D65">INDEX(Data_DBD!$F:$F,$A65)</f>
        <v>Tinggi</v>
      </c>
      <c r="H65" s="36">
        <v>20</v>
      </c>
      <c r="I65" s="36">
        <v>5</v>
      </c>
      <c r="J65" s="36">
        <v>0</v>
      </c>
      <c r="K65" s="36" t="s">
        <v>26</v>
      </c>
    </row>
    <row r="66" spans="1:11">
      <c r="A66" s="36">
        <f ca="1" t="shared" si="0"/>
        <v>20</v>
      </c>
      <c r="B66" s="36" t="str">
        <f ca="1" t="array" ref="B66">INDEX(Data_DBD!$C:$C,$A66)</f>
        <v>5 Hari</v>
      </c>
      <c r="C66" s="36">
        <f ca="1" t="array" ref="C66">INDEX(Data_DBD!$E:$E,$A66)</f>
        <v>0</v>
      </c>
      <c r="D66" s="36" t="str">
        <f ca="1" t="array" ref="D66">INDEX(Data_DBD!$F:$F,$A66)</f>
        <v>Rendah</v>
      </c>
      <c r="H66" s="36">
        <v>75</v>
      </c>
      <c r="I66" s="36">
        <v>2</v>
      </c>
      <c r="J66" s="36">
        <v>1</v>
      </c>
      <c r="K66" s="36" t="s">
        <v>8</v>
      </c>
    </row>
    <row r="67" spans="1:11">
      <c r="A67" s="36">
        <f ca="1" t="shared" ref="A67:A130" si="1">RANDBETWEEN(2,164)</f>
        <v>121</v>
      </c>
      <c r="B67" s="36" t="str">
        <f ca="1" t="array" ref="B67">INDEX(Data_DBD!$C:$C,$A67)</f>
        <v>5 Hari</v>
      </c>
      <c r="C67" s="36">
        <f ca="1" t="array" ref="C67">INDEX(Data_DBD!$E:$E,$A67)</f>
        <v>1</v>
      </c>
      <c r="D67" s="36" t="str">
        <f ca="1" t="array" ref="D67">INDEX(Data_DBD!$F:$F,$A67)</f>
        <v>Tinggi</v>
      </c>
      <c r="H67" s="36">
        <v>94</v>
      </c>
      <c r="I67" s="36">
        <v>4</v>
      </c>
      <c r="J67" s="36">
        <v>0</v>
      </c>
      <c r="K67" s="36" t="s">
        <v>105</v>
      </c>
    </row>
    <row r="68" spans="1:11">
      <c r="A68" s="36">
        <f ca="1" t="shared" si="1"/>
        <v>19</v>
      </c>
      <c r="B68" s="36" t="str">
        <f ca="1" t="array" ref="B68">INDEX(Data_DBD!$C:$C,$A68)</f>
        <v>4 Hari</v>
      </c>
      <c r="C68" s="36">
        <f ca="1" t="array" ref="C68">INDEX(Data_DBD!$E:$E,$A68)</f>
        <v>0</v>
      </c>
      <c r="D68" s="36" t="str">
        <f ca="1" t="array" ref="D68">INDEX(Data_DBD!$F:$F,$A68)</f>
        <v>Rendah</v>
      </c>
      <c r="H68" s="36">
        <v>37</v>
      </c>
      <c r="I68" s="36">
        <v>4</v>
      </c>
      <c r="J68" s="36">
        <v>1</v>
      </c>
      <c r="K68" s="36" t="s">
        <v>26</v>
      </c>
    </row>
    <row r="69" spans="1:11">
      <c r="A69" s="36">
        <f ca="1" t="shared" si="1"/>
        <v>146</v>
      </c>
      <c r="B69" s="36" t="str">
        <f ca="1" t="array" ref="B69">INDEX(Data_DBD!$C:$C,$A69)</f>
        <v>2 Hari</v>
      </c>
      <c r="C69" s="36">
        <f ca="1" t="array" ref="C69">INDEX(Data_DBD!$E:$E,$A69)</f>
        <v>1</v>
      </c>
      <c r="D69" s="36" t="str">
        <f ca="1" t="array" ref="D69">INDEX(Data_DBD!$F:$F,$A69)</f>
        <v>Tinggi</v>
      </c>
      <c r="H69" s="36">
        <v>144</v>
      </c>
      <c r="I69" s="36">
        <v>4</v>
      </c>
      <c r="J69" s="36">
        <v>1</v>
      </c>
      <c r="K69" s="36" t="s">
        <v>105</v>
      </c>
    </row>
    <row r="70" spans="1:11">
      <c r="A70" s="36">
        <f ca="1" t="shared" si="1"/>
        <v>119</v>
      </c>
      <c r="B70" s="36" t="str">
        <f ca="1" t="array" ref="B70">INDEX(Data_DBD!$C:$C,$A70)</f>
        <v>7 Hari</v>
      </c>
      <c r="C70" s="36">
        <f ca="1" t="array" ref="C70">INDEX(Data_DBD!$E:$E,$A70)</f>
        <v>0</v>
      </c>
      <c r="D70" s="36" t="str">
        <f ca="1" t="array" ref="D70">INDEX(Data_DBD!$F:$F,$A70)</f>
        <v>Tinggi</v>
      </c>
      <c r="H70" s="36">
        <v>154</v>
      </c>
      <c r="I70" s="36">
        <v>5</v>
      </c>
      <c r="J70" s="36">
        <v>1</v>
      </c>
      <c r="K70" s="36" t="s">
        <v>105</v>
      </c>
    </row>
    <row r="71" spans="1:11">
      <c r="A71" s="36">
        <f ca="1" t="shared" si="1"/>
        <v>130</v>
      </c>
      <c r="B71" s="36" t="str">
        <f ca="1" t="array" ref="B71">INDEX(Data_DBD!$C:$C,$A71)</f>
        <v>4 Hari</v>
      </c>
      <c r="C71" s="36">
        <f ca="1" t="array" ref="C71">INDEX(Data_DBD!$E:$E,$A71)</f>
        <v>0</v>
      </c>
      <c r="D71" s="36" t="str">
        <f ca="1" t="array" ref="D71">INDEX(Data_DBD!$F:$F,$A71)</f>
        <v>Tinggi</v>
      </c>
      <c r="H71" s="36">
        <v>111</v>
      </c>
      <c r="I71" s="36">
        <v>4</v>
      </c>
      <c r="J71" s="36">
        <v>0</v>
      </c>
      <c r="K71" s="36" t="s">
        <v>105</v>
      </c>
    </row>
    <row r="72" spans="1:11">
      <c r="A72" s="36">
        <f ca="1" t="shared" si="1"/>
        <v>51</v>
      </c>
      <c r="B72" s="36" t="str">
        <f ca="1" t="array" ref="B72">INDEX(Data_DBD!$C:$C,$A72)</f>
        <v>4 Hari</v>
      </c>
      <c r="C72" s="36">
        <f ca="1" t="array" ref="C72">INDEX(Data_DBD!$E:$E,$A72)</f>
        <v>0</v>
      </c>
      <c r="D72" s="36" t="str">
        <f ca="1" t="array" ref="D72">INDEX(Data_DBD!$F:$F,$A72)</f>
        <v>Sedang</v>
      </c>
      <c r="H72" s="36">
        <v>149</v>
      </c>
      <c r="I72" s="36">
        <v>5</v>
      </c>
      <c r="J72" s="36">
        <v>0</v>
      </c>
      <c r="K72" s="36" t="s">
        <v>105</v>
      </c>
    </row>
    <row r="73" spans="1:11">
      <c r="A73" s="36">
        <f ca="1" t="shared" si="1"/>
        <v>116</v>
      </c>
      <c r="B73" s="36" t="str">
        <f ca="1" t="array" ref="B73">INDEX(Data_DBD!$C:$C,$A73)</f>
        <v>4 Hari</v>
      </c>
      <c r="C73" s="36">
        <f ca="1" t="array" ref="C73">INDEX(Data_DBD!$E:$E,$A73)</f>
        <v>1</v>
      </c>
      <c r="D73" s="36" t="str">
        <f ca="1" t="array" ref="D73">INDEX(Data_DBD!$F:$F,$A73)</f>
        <v>Tinggi</v>
      </c>
      <c r="H73" s="36">
        <v>52</v>
      </c>
      <c r="I73" s="36">
        <v>4</v>
      </c>
      <c r="J73" s="36">
        <v>1</v>
      </c>
      <c r="K73" s="36" t="s">
        <v>8</v>
      </c>
    </row>
    <row r="74" spans="1:11">
      <c r="A74" s="36">
        <f ca="1" t="shared" si="1"/>
        <v>149</v>
      </c>
      <c r="B74" s="36" t="str">
        <f ca="1" t="array" ref="B74">INDEX(Data_DBD!$C:$C,$A74)</f>
        <v>5 Hari</v>
      </c>
      <c r="C74" s="36">
        <f ca="1" t="array" ref="C74">INDEX(Data_DBD!$E:$E,$A74)</f>
        <v>0</v>
      </c>
      <c r="D74" s="36" t="str">
        <f ca="1" t="array" ref="D74">INDEX(Data_DBD!$F:$F,$A74)</f>
        <v>Tinggi</v>
      </c>
      <c r="H74" s="36">
        <v>65</v>
      </c>
      <c r="I74" s="36">
        <v>3</v>
      </c>
      <c r="J74" s="36">
        <v>0</v>
      </c>
      <c r="K74" s="36" t="s">
        <v>8</v>
      </c>
    </row>
    <row r="75" spans="1:11">
      <c r="A75" s="36">
        <f ca="1" t="shared" si="1"/>
        <v>134</v>
      </c>
      <c r="B75" s="36" t="str">
        <f ca="1" t="array" ref="B75">INDEX(Data_DBD!$C:$C,$A75)</f>
        <v>2 Hari</v>
      </c>
      <c r="C75" s="36">
        <f ca="1" t="array" ref="C75">INDEX(Data_DBD!$E:$E,$A75)</f>
        <v>1</v>
      </c>
      <c r="D75" s="36" t="str">
        <f ca="1" t="array" ref="D75">INDEX(Data_DBD!$F:$F,$A75)</f>
        <v>Tinggi</v>
      </c>
      <c r="H75" s="36">
        <v>112</v>
      </c>
      <c r="I75" s="36">
        <v>3</v>
      </c>
      <c r="J75" s="36">
        <v>1</v>
      </c>
      <c r="K75" s="36" t="s">
        <v>105</v>
      </c>
    </row>
    <row r="76" spans="1:11">
      <c r="A76" s="36">
        <f ca="1" t="shared" si="1"/>
        <v>48</v>
      </c>
      <c r="B76" s="36" t="str">
        <f ca="1" t="array" ref="B76">INDEX(Data_DBD!$C:$C,$A76)</f>
        <v>5 Hari</v>
      </c>
      <c r="C76" s="36">
        <f ca="1" t="array" ref="C76">INDEX(Data_DBD!$E:$E,$A76)</f>
        <v>1</v>
      </c>
      <c r="D76" s="36" t="str">
        <f ca="1" t="array" ref="D76">INDEX(Data_DBD!$F:$F,$A76)</f>
        <v>Sedang</v>
      </c>
      <c r="H76" s="36">
        <v>25</v>
      </c>
      <c r="I76" s="36">
        <v>5</v>
      </c>
      <c r="J76" s="36">
        <v>0</v>
      </c>
      <c r="K76" s="36" t="s">
        <v>8</v>
      </c>
    </row>
    <row r="77" spans="1:11">
      <c r="A77" s="36">
        <f ca="1" t="shared" si="1"/>
        <v>115</v>
      </c>
      <c r="B77" s="36" t="str">
        <f ca="1" t="array" ref="B77">INDEX(Data_DBD!$C:$C,$A77)</f>
        <v>3 Hari</v>
      </c>
      <c r="C77" s="36">
        <f ca="1" t="array" ref="C77">INDEX(Data_DBD!$E:$E,$A77)</f>
        <v>1</v>
      </c>
      <c r="D77" s="36" t="str">
        <f ca="1" t="array" ref="D77">INDEX(Data_DBD!$F:$F,$A77)</f>
        <v>Tinggi</v>
      </c>
      <c r="H77" s="36">
        <v>138</v>
      </c>
      <c r="I77" s="36">
        <v>3</v>
      </c>
      <c r="J77" s="36">
        <v>1</v>
      </c>
      <c r="K77" s="36" t="s">
        <v>105</v>
      </c>
    </row>
    <row r="78" spans="1:11">
      <c r="A78" s="36">
        <f ca="1" t="shared" si="1"/>
        <v>143</v>
      </c>
      <c r="B78" s="36" t="str">
        <f ca="1" t="array" ref="B78">INDEX(Data_DBD!$C:$C,$A78)</f>
        <v>4 Hari</v>
      </c>
      <c r="C78" s="36">
        <f ca="1" t="array" ref="C78">INDEX(Data_DBD!$E:$E,$A78)</f>
        <v>1</v>
      </c>
      <c r="D78" s="36" t="str">
        <f ca="1" t="array" ref="D78">INDEX(Data_DBD!$F:$F,$A78)</f>
        <v>Tinggi</v>
      </c>
      <c r="H78" s="36">
        <v>133</v>
      </c>
      <c r="I78" s="36">
        <v>4</v>
      </c>
      <c r="J78" s="36">
        <v>0</v>
      </c>
      <c r="K78" s="36" t="s">
        <v>105</v>
      </c>
    </row>
    <row r="79" spans="1:11">
      <c r="A79" s="36">
        <f ca="1" t="shared" si="1"/>
        <v>102</v>
      </c>
      <c r="B79" s="36" t="str">
        <f ca="1" t="array" ref="B79">INDEX(Data_DBD!$C:$C,$A79)</f>
        <v>4 Hari</v>
      </c>
      <c r="C79" s="36">
        <f ca="1" t="array" ref="C79">INDEX(Data_DBD!$E:$E,$A79)</f>
        <v>0</v>
      </c>
      <c r="D79" s="36" t="str">
        <f ca="1" t="array" ref="D79">INDEX(Data_DBD!$F:$F,$A79)</f>
        <v>Tinggi</v>
      </c>
      <c r="H79" s="36">
        <v>43</v>
      </c>
      <c r="I79" s="36">
        <v>4</v>
      </c>
      <c r="J79" s="36">
        <v>0</v>
      </c>
      <c r="K79" s="36" t="s">
        <v>8</v>
      </c>
    </row>
    <row r="80" spans="1:11">
      <c r="A80" s="36">
        <f ca="1" t="shared" si="1"/>
        <v>119</v>
      </c>
      <c r="B80" s="36" t="str">
        <f ca="1" t="array" ref="B80">INDEX(Data_DBD!$C:$C,$A80)</f>
        <v>7 Hari</v>
      </c>
      <c r="C80" s="36">
        <f ca="1" t="array" ref="C80">INDEX(Data_DBD!$E:$E,$A80)</f>
        <v>0</v>
      </c>
      <c r="D80" s="36" t="str">
        <f ca="1" t="array" ref="D80">INDEX(Data_DBD!$F:$F,$A80)</f>
        <v>Tinggi</v>
      </c>
      <c r="H80" s="36">
        <v>162</v>
      </c>
      <c r="I80" s="36">
        <v>3</v>
      </c>
      <c r="J80" s="36">
        <v>1</v>
      </c>
      <c r="K80" s="36" t="s">
        <v>26</v>
      </c>
    </row>
    <row r="81" spans="1:11">
      <c r="A81" s="36">
        <f ca="1" t="shared" si="1"/>
        <v>133</v>
      </c>
      <c r="B81" s="36" t="str">
        <f ca="1" t="array" ref="B81">INDEX(Data_DBD!$C:$C,$A81)</f>
        <v>4 Hari</v>
      </c>
      <c r="C81" s="36">
        <f ca="1" t="array" ref="C81">INDEX(Data_DBD!$E:$E,$A81)</f>
        <v>0</v>
      </c>
      <c r="D81" s="36" t="str">
        <f ca="1" t="array" ref="D81">INDEX(Data_DBD!$F:$F,$A81)</f>
        <v>Tinggi</v>
      </c>
      <c r="H81" s="36">
        <v>42</v>
      </c>
      <c r="I81" s="36">
        <v>5</v>
      </c>
      <c r="J81" s="36">
        <v>1</v>
      </c>
      <c r="K81" s="36" t="s">
        <v>8</v>
      </c>
    </row>
    <row r="82" spans="1:11">
      <c r="A82" s="36">
        <f ca="1" t="shared" si="1"/>
        <v>135</v>
      </c>
      <c r="B82" s="36" t="str">
        <f ca="1" t="array" ref="B82">INDEX(Data_DBD!$C:$C,$A82)</f>
        <v>2 Hari</v>
      </c>
      <c r="C82" s="36">
        <f ca="1" t="array" ref="C82">INDEX(Data_DBD!$E:$E,$A82)</f>
        <v>0</v>
      </c>
      <c r="D82" s="36" t="str">
        <f ca="1" t="array" ref="D82">INDEX(Data_DBD!$F:$F,$A82)</f>
        <v>Tinggi</v>
      </c>
      <c r="H82" s="36">
        <v>43</v>
      </c>
      <c r="I82" s="36">
        <v>4</v>
      </c>
      <c r="J82" s="36">
        <v>0</v>
      </c>
      <c r="K82" s="36" t="s">
        <v>8</v>
      </c>
    </row>
    <row r="83" spans="1:11">
      <c r="A83" s="36">
        <f ca="1" t="shared" si="1"/>
        <v>27</v>
      </c>
      <c r="B83" s="36" t="str">
        <f ca="1" t="array" ref="B83">INDEX(Data_DBD!$C:$C,$A83)</f>
        <v>4 Hari</v>
      </c>
      <c r="C83" s="36">
        <f ca="1" t="array" ref="C83">INDEX(Data_DBD!$E:$E,$A83)</f>
        <v>1</v>
      </c>
      <c r="D83" s="36" t="str">
        <f ca="1" t="array" ref="D83">INDEX(Data_DBD!$F:$F,$A83)</f>
        <v>Sedang</v>
      </c>
      <c r="H83" s="36">
        <v>80</v>
      </c>
      <c r="I83" s="36">
        <v>3</v>
      </c>
      <c r="J83" s="36">
        <v>1</v>
      </c>
      <c r="K83" s="36" t="s">
        <v>8</v>
      </c>
    </row>
    <row r="84" spans="1:11">
      <c r="A84" s="36">
        <f ca="1" t="shared" si="1"/>
        <v>49</v>
      </c>
      <c r="B84" s="36" t="str">
        <f ca="1" t="array" ref="B84">INDEX(Data_DBD!$C:$C,$A84)</f>
        <v>5 Hari</v>
      </c>
      <c r="C84" s="36">
        <f ca="1" t="array" ref="C84">INDEX(Data_DBD!$E:$E,$A84)</f>
        <v>0</v>
      </c>
      <c r="D84" s="36" t="str">
        <f ca="1" t="array" ref="D84">INDEX(Data_DBD!$F:$F,$A84)</f>
        <v>Sedang</v>
      </c>
      <c r="H84" s="36">
        <v>78</v>
      </c>
      <c r="I84" s="36">
        <v>3</v>
      </c>
      <c r="J84" s="36">
        <v>0</v>
      </c>
      <c r="K84" s="36" t="s">
        <v>8</v>
      </c>
    </row>
    <row r="85" spans="1:11">
      <c r="A85" s="36">
        <f ca="1" t="shared" si="1"/>
        <v>155</v>
      </c>
      <c r="B85" s="36" t="str">
        <f ca="1" t="array" ref="B85">INDEX(Data_DBD!$C:$C,$A85)</f>
        <v>5 Hari</v>
      </c>
      <c r="C85" s="36">
        <f ca="1" t="array" ref="C85">INDEX(Data_DBD!$E:$E,$A85)</f>
        <v>1</v>
      </c>
      <c r="D85" s="36" t="str">
        <f ca="1" t="array" ref="D85">INDEX(Data_DBD!$F:$F,$A85)</f>
        <v>Tinggi</v>
      </c>
      <c r="H85" s="36">
        <v>134</v>
      </c>
      <c r="I85" s="36">
        <v>2</v>
      </c>
      <c r="J85" s="36">
        <v>1</v>
      </c>
      <c r="K85" s="36" t="s">
        <v>105</v>
      </c>
    </row>
    <row r="86" spans="1:11">
      <c r="A86" s="36">
        <f ca="1" t="shared" si="1"/>
        <v>147</v>
      </c>
      <c r="B86" s="36" t="str">
        <f ca="1" t="array" ref="B86">INDEX(Data_DBD!$C:$C,$A86)</f>
        <v>10 Hari</v>
      </c>
      <c r="C86" s="36">
        <f ca="1" t="array" ref="C86">INDEX(Data_DBD!$E:$E,$A86)</f>
        <v>1</v>
      </c>
      <c r="D86" s="36" t="str">
        <f ca="1" t="array" ref="D86">INDEX(Data_DBD!$F:$F,$A86)</f>
        <v>Tinggi</v>
      </c>
      <c r="H86" s="36">
        <v>22</v>
      </c>
      <c r="I86" s="36">
        <v>3</v>
      </c>
      <c r="J86" s="36">
        <v>0</v>
      </c>
      <c r="K86" s="36" t="s">
        <v>8</v>
      </c>
    </row>
    <row r="87" spans="1:11">
      <c r="A87" s="36">
        <f ca="1" t="shared" si="1"/>
        <v>49</v>
      </c>
      <c r="B87" s="36" t="str">
        <f ca="1" t="array" ref="B87">INDEX(Data_DBD!$C:$C,$A87)</f>
        <v>5 Hari</v>
      </c>
      <c r="C87" s="36">
        <f ca="1" t="array" ref="C87">INDEX(Data_DBD!$E:$E,$A87)</f>
        <v>0</v>
      </c>
      <c r="D87" s="36" t="str">
        <f ca="1" t="array" ref="D87">INDEX(Data_DBD!$F:$F,$A87)</f>
        <v>Sedang</v>
      </c>
      <c r="H87" s="36">
        <v>49</v>
      </c>
      <c r="I87" s="36">
        <v>5</v>
      </c>
      <c r="J87" s="36">
        <v>0</v>
      </c>
      <c r="K87" s="36" t="s">
        <v>8</v>
      </c>
    </row>
    <row r="88" spans="1:11">
      <c r="A88" s="36">
        <f ca="1" t="shared" si="1"/>
        <v>56</v>
      </c>
      <c r="B88" s="36" t="str">
        <f ca="1" t="array" ref="B88">INDEX(Data_DBD!$C:$C,$A88)</f>
        <v>3 Hari</v>
      </c>
      <c r="C88" s="36">
        <f ca="1" t="array" ref="C88">INDEX(Data_DBD!$E:$E,$A88)</f>
        <v>0</v>
      </c>
      <c r="D88" s="36" t="str">
        <f ca="1" t="array" ref="D88">INDEX(Data_DBD!$F:$F,$A88)</f>
        <v>Sedang</v>
      </c>
      <c r="H88" s="36">
        <v>73</v>
      </c>
      <c r="I88" s="36">
        <v>3</v>
      </c>
      <c r="J88" s="36">
        <v>1</v>
      </c>
      <c r="K88" s="36" t="s">
        <v>8</v>
      </c>
    </row>
    <row r="89" spans="1:11">
      <c r="A89" s="36">
        <f ca="1" t="shared" si="1"/>
        <v>103</v>
      </c>
      <c r="B89" s="36" t="str">
        <f ca="1" t="array" ref="B89">INDEX(Data_DBD!$C:$C,$A89)</f>
        <v>5 Hari</v>
      </c>
      <c r="C89" s="36">
        <f ca="1" t="array" ref="C89">INDEX(Data_DBD!$E:$E,$A89)</f>
        <v>0</v>
      </c>
      <c r="D89" s="36" t="str">
        <f ca="1" t="array" ref="D89">INDEX(Data_DBD!$F:$F,$A89)</f>
        <v>Tinggi</v>
      </c>
      <c r="H89" s="36">
        <v>67</v>
      </c>
      <c r="I89" s="36">
        <v>3</v>
      </c>
      <c r="J89" s="36">
        <v>1</v>
      </c>
      <c r="K89" s="36" t="s">
        <v>8</v>
      </c>
    </row>
    <row r="90" spans="1:11">
      <c r="A90" s="36">
        <f ca="1" t="shared" si="1"/>
        <v>126</v>
      </c>
      <c r="B90" s="36" t="str">
        <f ca="1" t="array" ref="B90">INDEX(Data_DBD!$C:$C,$A90)</f>
        <v>3 Hari</v>
      </c>
      <c r="C90" s="36">
        <f ca="1" t="array" ref="C90">INDEX(Data_DBD!$E:$E,$A90)</f>
        <v>1</v>
      </c>
      <c r="D90" s="36" t="str">
        <f ca="1" t="array" ref="D90">INDEX(Data_DBD!$F:$F,$A90)</f>
        <v>Tinggi</v>
      </c>
      <c r="H90" s="36">
        <v>91</v>
      </c>
      <c r="I90" s="36">
        <v>1</v>
      </c>
      <c r="J90" s="36">
        <v>1</v>
      </c>
      <c r="K90" s="36" t="s">
        <v>105</v>
      </c>
    </row>
    <row r="91" spans="1:11">
      <c r="A91" s="36">
        <f ca="1" t="shared" si="1"/>
        <v>133</v>
      </c>
      <c r="B91" s="36" t="str">
        <f ca="1" t="array" ref="B91">INDEX(Data_DBD!$C:$C,$A91)</f>
        <v>4 Hari</v>
      </c>
      <c r="C91" s="36">
        <f ca="1" t="array" ref="C91">INDEX(Data_DBD!$E:$E,$A91)</f>
        <v>0</v>
      </c>
      <c r="D91" s="36" t="str">
        <f ca="1" t="array" ref="D91">INDEX(Data_DBD!$F:$F,$A91)</f>
        <v>Tinggi</v>
      </c>
      <c r="H91" s="36">
        <v>13</v>
      </c>
      <c r="I91" s="36">
        <v>2</v>
      </c>
      <c r="J91" s="36">
        <v>0</v>
      </c>
      <c r="K91" s="36" t="s">
        <v>8</v>
      </c>
    </row>
    <row r="92" spans="1:11">
      <c r="A92" s="36">
        <f ca="1" t="shared" si="1"/>
        <v>121</v>
      </c>
      <c r="B92" s="36" t="str">
        <f ca="1" t="array" ref="B92">INDEX(Data_DBD!$C:$C,$A92)</f>
        <v>5 Hari</v>
      </c>
      <c r="C92" s="36">
        <f ca="1" t="array" ref="C92">INDEX(Data_DBD!$E:$E,$A92)</f>
        <v>1</v>
      </c>
      <c r="D92" s="36" t="str">
        <f ca="1" t="array" ref="D92">INDEX(Data_DBD!$F:$F,$A92)</f>
        <v>Tinggi</v>
      </c>
      <c r="H92" s="36">
        <v>149</v>
      </c>
      <c r="I92" s="36">
        <v>5</v>
      </c>
      <c r="J92" s="36">
        <v>0</v>
      </c>
      <c r="K92" s="36" t="s">
        <v>105</v>
      </c>
    </row>
    <row r="93" spans="1:11">
      <c r="A93" s="36">
        <f ca="1" t="shared" si="1"/>
        <v>123</v>
      </c>
      <c r="B93" s="36" t="str">
        <f ca="1" t="array" ref="B93">INDEX(Data_DBD!$C:$C,$A93)</f>
        <v>4 Hari</v>
      </c>
      <c r="C93" s="36">
        <f ca="1" t="array" ref="C93">INDEX(Data_DBD!$E:$E,$A93)</f>
        <v>0</v>
      </c>
      <c r="D93" s="36" t="str">
        <f ca="1" t="array" ref="D93">INDEX(Data_DBD!$F:$F,$A93)</f>
        <v>Tinggi</v>
      </c>
      <c r="H93" s="36">
        <v>109</v>
      </c>
      <c r="I93" s="36">
        <v>3</v>
      </c>
      <c r="J93" s="36">
        <v>1</v>
      </c>
      <c r="K93" s="36" t="s">
        <v>105</v>
      </c>
    </row>
    <row r="94" spans="1:11">
      <c r="A94" s="36">
        <f ca="1" t="shared" si="1"/>
        <v>29</v>
      </c>
      <c r="B94" s="36" t="str">
        <f ca="1" t="array" ref="B94">INDEX(Data_DBD!$C:$C,$A94)</f>
        <v>2 Hari</v>
      </c>
      <c r="C94" s="36">
        <f ca="1" t="array" ref="C94">INDEX(Data_DBD!$E:$E,$A94)</f>
        <v>1</v>
      </c>
      <c r="D94" s="36" t="str">
        <f ca="1" t="array" ref="D94">INDEX(Data_DBD!$F:$F,$A94)</f>
        <v>Sedang</v>
      </c>
      <c r="H94" s="36">
        <v>135</v>
      </c>
      <c r="I94" s="36">
        <v>2</v>
      </c>
      <c r="J94" s="36">
        <v>0</v>
      </c>
      <c r="K94" s="36" t="s">
        <v>105</v>
      </c>
    </row>
    <row r="95" spans="1:11">
      <c r="A95" s="36">
        <f ca="1" t="shared" si="1"/>
        <v>48</v>
      </c>
      <c r="B95" s="36" t="str">
        <f ca="1" t="array" ref="B95">INDEX(Data_DBD!$C:$C,$A95)</f>
        <v>5 Hari</v>
      </c>
      <c r="C95" s="36">
        <f ca="1" t="array" ref="C95">INDEX(Data_DBD!$E:$E,$A95)</f>
        <v>1</v>
      </c>
      <c r="D95" s="36" t="str">
        <f ca="1" t="array" ref="D95">INDEX(Data_DBD!$F:$F,$A95)</f>
        <v>Sedang</v>
      </c>
      <c r="H95" s="36">
        <v>144</v>
      </c>
      <c r="I95" s="36">
        <v>4</v>
      </c>
      <c r="J95" s="36">
        <v>1</v>
      </c>
      <c r="K95" s="36" t="s">
        <v>105</v>
      </c>
    </row>
    <row r="96" spans="1:11">
      <c r="A96" s="36">
        <f ca="1" t="shared" si="1"/>
        <v>148</v>
      </c>
      <c r="B96" s="36" t="str">
        <f ca="1" t="array" ref="B96">INDEX(Data_DBD!$C:$C,$A96)</f>
        <v>3 Hari</v>
      </c>
      <c r="C96" s="36">
        <f ca="1" t="array" ref="C96">INDEX(Data_DBD!$E:$E,$A96)</f>
        <v>1</v>
      </c>
      <c r="D96" s="36" t="str">
        <f ca="1" t="array" ref="D96">INDEX(Data_DBD!$F:$F,$A96)</f>
        <v>Tinggi</v>
      </c>
      <c r="H96" s="36">
        <v>91</v>
      </c>
      <c r="I96" s="36">
        <v>1</v>
      </c>
      <c r="J96" s="36">
        <v>1</v>
      </c>
      <c r="K96" s="36" t="s">
        <v>105</v>
      </c>
    </row>
    <row r="97" spans="1:11">
      <c r="A97" s="36">
        <f ca="1" t="shared" si="1"/>
        <v>20</v>
      </c>
      <c r="B97" s="36" t="str">
        <f ca="1" t="array" ref="B97">INDEX(Data_DBD!$C:$C,$A97)</f>
        <v>5 Hari</v>
      </c>
      <c r="C97" s="36">
        <f ca="1" t="array" ref="C97">INDEX(Data_DBD!$E:$E,$A97)</f>
        <v>0</v>
      </c>
      <c r="D97" s="36" t="str">
        <f ca="1" t="array" ref="D97">INDEX(Data_DBD!$F:$F,$A97)</f>
        <v>Rendah</v>
      </c>
      <c r="H97" s="36">
        <v>66</v>
      </c>
      <c r="I97" s="36">
        <v>5</v>
      </c>
      <c r="J97" s="36">
        <v>1</v>
      </c>
      <c r="K97" s="36" t="s">
        <v>8</v>
      </c>
    </row>
    <row r="98" spans="1:11">
      <c r="A98" s="36">
        <f ca="1" t="shared" si="1"/>
        <v>130</v>
      </c>
      <c r="B98" s="36" t="str">
        <f ca="1" t="array" ref="B98">INDEX(Data_DBD!$C:$C,$A98)</f>
        <v>4 Hari</v>
      </c>
      <c r="C98" s="36">
        <f ca="1" t="array" ref="C98">INDEX(Data_DBD!$E:$E,$A98)</f>
        <v>0</v>
      </c>
      <c r="D98" s="36" t="str">
        <f ca="1" t="array" ref="D98">INDEX(Data_DBD!$F:$F,$A98)</f>
        <v>Tinggi</v>
      </c>
      <c r="H98" s="36">
        <v>3</v>
      </c>
      <c r="I98" s="36">
        <v>3</v>
      </c>
      <c r="J98" s="36">
        <v>1</v>
      </c>
      <c r="K98" s="36" t="s">
        <v>8</v>
      </c>
    </row>
    <row r="99" spans="1:11">
      <c r="A99" s="36">
        <f ca="1" t="shared" si="1"/>
        <v>70</v>
      </c>
      <c r="B99" s="36" t="str">
        <f ca="1" t="array" ref="B99">INDEX(Data_DBD!$C:$C,$A99)</f>
        <v>3 Hari</v>
      </c>
      <c r="C99" s="36">
        <f ca="1" t="array" ref="C99">INDEX(Data_DBD!$E:$E,$A99)</f>
        <v>1</v>
      </c>
      <c r="D99" s="36" t="str">
        <f ca="1" t="array" ref="D99">INDEX(Data_DBD!$F:$F,$A99)</f>
        <v>Sedang</v>
      </c>
      <c r="H99" s="36">
        <v>103</v>
      </c>
      <c r="I99" s="36">
        <v>5</v>
      </c>
      <c r="J99" s="36">
        <v>0</v>
      </c>
      <c r="K99" s="36" t="s">
        <v>105</v>
      </c>
    </row>
    <row r="100" spans="1:11">
      <c r="A100" s="36">
        <f ca="1" t="shared" si="1"/>
        <v>10</v>
      </c>
      <c r="B100" s="36" t="str">
        <f ca="1" t="array" ref="B100">INDEX(Data_DBD!$C:$C,$A100)</f>
        <v>5 Hari</v>
      </c>
      <c r="C100" s="36">
        <f ca="1" t="array" ref="C100">INDEX(Data_DBD!$E:$E,$A100)</f>
        <v>0</v>
      </c>
      <c r="D100" s="36" t="str">
        <f ca="1" t="array" ref="D100">INDEX(Data_DBD!$F:$F,$A100)</f>
        <v>Sedang</v>
      </c>
      <c r="H100" s="36">
        <v>15</v>
      </c>
      <c r="I100" s="36">
        <v>2</v>
      </c>
      <c r="J100" s="36">
        <v>0</v>
      </c>
      <c r="K100" s="36" t="s">
        <v>26</v>
      </c>
    </row>
    <row r="101" spans="1:11">
      <c r="A101" s="36">
        <f ca="1" t="shared" si="1"/>
        <v>30</v>
      </c>
      <c r="B101" s="36" t="str">
        <f ca="1" t="array" ref="B101">INDEX(Data_DBD!$C:$C,$A101)</f>
        <v>2 Hari</v>
      </c>
      <c r="C101" s="36">
        <f ca="1" t="array" ref="C101">INDEX(Data_DBD!$E:$E,$A101)</f>
        <v>1</v>
      </c>
      <c r="D101" s="36" t="str">
        <f ca="1" t="array" ref="D101">INDEX(Data_DBD!$F:$F,$A101)</f>
        <v>Sedang</v>
      </c>
      <c r="H101" s="36">
        <v>102</v>
      </c>
      <c r="I101" s="36">
        <v>4</v>
      </c>
      <c r="J101" s="36">
        <v>0</v>
      </c>
      <c r="K101" s="36" t="s">
        <v>105</v>
      </c>
    </row>
    <row r="102" spans="1:11">
      <c r="A102" s="36">
        <f ca="1" t="shared" si="1"/>
        <v>39</v>
      </c>
      <c r="B102" s="36" t="str">
        <f ca="1" t="array" ref="B102">INDEX(Data_DBD!$C:$C,$A102)</f>
        <v>5 Hari</v>
      </c>
      <c r="C102" s="36">
        <f ca="1" t="array" ref="C102">INDEX(Data_DBD!$E:$E,$A102)</f>
        <v>1</v>
      </c>
      <c r="D102" s="36" t="str">
        <f ca="1" t="array" ref="D102">INDEX(Data_DBD!$F:$F,$A102)</f>
        <v>Sedang</v>
      </c>
      <c r="H102" s="36">
        <v>91</v>
      </c>
      <c r="I102" s="36">
        <v>1</v>
      </c>
      <c r="J102" s="36">
        <v>1</v>
      </c>
      <c r="K102" s="36" t="s">
        <v>105</v>
      </c>
    </row>
    <row r="103" spans="1:11">
      <c r="A103" s="36">
        <f ca="1" t="shared" si="1"/>
        <v>135</v>
      </c>
      <c r="B103" s="36" t="str">
        <f ca="1" t="array" ref="B103">INDEX(Data_DBD!$C:$C,$A103)</f>
        <v>2 Hari</v>
      </c>
      <c r="C103" s="36">
        <f ca="1" t="array" ref="C103">INDEX(Data_DBD!$E:$E,$A103)</f>
        <v>0</v>
      </c>
      <c r="D103" s="36" t="str">
        <f ca="1" t="array" ref="D103">INDEX(Data_DBD!$F:$F,$A103)</f>
        <v>Tinggi</v>
      </c>
      <c r="H103" s="36">
        <v>137</v>
      </c>
      <c r="I103" s="36">
        <v>1</v>
      </c>
      <c r="J103" s="36">
        <v>1</v>
      </c>
      <c r="K103" s="36" t="s">
        <v>105</v>
      </c>
    </row>
    <row r="104" spans="1:11">
      <c r="A104" s="36">
        <f ca="1" t="shared" si="1"/>
        <v>29</v>
      </c>
      <c r="B104" s="36" t="str">
        <f ca="1" t="array" ref="B104">INDEX(Data_DBD!$C:$C,$A104)</f>
        <v>2 Hari</v>
      </c>
      <c r="C104" s="36">
        <f ca="1" t="array" ref="C104">INDEX(Data_DBD!$E:$E,$A104)</f>
        <v>1</v>
      </c>
      <c r="D104" s="36" t="str">
        <f ca="1" t="array" ref="D104">INDEX(Data_DBD!$F:$F,$A104)</f>
        <v>Sedang</v>
      </c>
      <c r="H104" s="36">
        <v>104</v>
      </c>
      <c r="I104" s="36">
        <v>4</v>
      </c>
      <c r="J104" s="36">
        <v>1</v>
      </c>
      <c r="K104" s="36" t="s">
        <v>105</v>
      </c>
    </row>
    <row r="105" spans="1:11">
      <c r="A105" s="36">
        <f ca="1" t="shared" si="1"/>
        <v>113</v>
      </c>
      <c r="B105" s="36" t="str">
        <f ca="1" t="array" ref="B105">INDEX(Data_DBD!$C:$C,$A105)</f>
        <v>1 Hari</v>
      </c>
      <c r="C105" s="36">
        <f ca="1" t="array" ref="C105">INDEX(Data_DBD!$E:$E,$A105)</f>
        <v>1</v>
      </c>
      <c r="D105" s="36" t="str">
        <f ca="1" t="array" ref="D105">INDEX(Data_DBD!$F:$F,$A105)</f>
        <v>Tinggi</v>
      </c>
      <c r="H105" s="36">
        <v>118</v>
      </c>
      <c r="I105" s="36">
        <v>4</v>
      </c>
      <c r="J105" s="36">
        <v>1</v>
      </c>
      <c r="K105" s="36" t="s">
        <v>105</v>
      </c>
    </row>
    <row r="106" spans="1:11">
      <c r="A106" s="36">
        <f ca="1" t="shared" si="1"/>
        <v>161</v>
      </c>
      <c r="B106" s="36" t="str">
        <f ca="1" t="array" ref="B106">INDEX(Data_DBD!$C:$C,$A106)</f>
        <v>3 Hari</v>
      </c>
      <c r="C106" s="36">
        <f ca="1" t="array" ref="C106">INDEX(Data_DBD!$E:$E,$A106)</f>
        <v>1</v>
      </c>
      <c r="D106" s="36" t="str">
        <f ca="1" t="array" ref="D106">INDEX(Data_DBD!$F:$F,$A106)</f>
        <v>Tinggi</v>
      </c>
      <c r="H106" s="36">
        <v>114</v>
      </c>
      <c r="I106" s="36">
        <v>2</v>
      </c>
      <c r="J106" s="36">
        <v>1</v>
      </c>
      <c r="K106" s="36" t="s">
        <v>105</v>
      </c>
    </row>
    <row r="107" spans="1:11">
      <c r="A107" s="36">
        <f ca="1" t="shared" si="1"/>
        <v>131</v>
      </c>
      <c r="B107" s="36" t="str">
        <f ca="1" t="array" ref="B107">INDEX(Data_DBD!$C:$C,$A107)</f>
        <v>2 Hari</v>
      </c>
      <c r="C107" s="36">
        <f ca="1" t="array" ref="C107">INDEX(Data_DBD!$E:$E,$A107)</f>
        <v>0</v>
      </c>
      <c r="D107" s="36" t="str">
        <f ca="1" t="array" ref="D107">INDEX(Data_DBD!$F:$F,$A107)</f>
        <v>Tinggi</v>
      </c>
      <c r="H107" s="36">
        <v>52</v>
      </c>
      <c r="I107" s="36">
        <v>4</v>
      </c>
      <c r="J107" s="36">
        <v>1</v>
      </c>
      <c r="K107" s="36" t="s">
        <v>8</v>
      </c>
    </row>
    <row r="108" spans="1:11">
      <c r="A108" s="36">
        <f ca="1" t="shared" si="1"/>
        <v>149</v>
      </c>
      <c r="B108" s="36" t="str">
        <f ca="1" t="array" ref="B108">INDEX(Data_DBD!$C:$C,$A108)</f>
        <v>5 Hari</v>
      </c>
      <c r="C108" s="36">
        <f ca="1" t="array" ref="C108">INDEX(Data_DBD!$E:$E,$A108)</f>
        <v>0</v>
      </c>
      <c r="D108" s="36" t="str">
        <f ca="1" t="array" ref="D108">INDEX(Data_DBD!$F:$F,$A108)</f>
        <v>Tinggi</v>
      </c>
      <c r="H108" s="36">
        <v>52</v>
      </c>
      <c r="I108" s="36">
        <v>4</v>
      </c>
      <c r="J108" s="36">
        <v>1</v>
      </c>
      <c r="K108" s="36" t="s">
        <v>8</v>
      </c>
    </row>
    <row r="109" spans="1:11">
      <c r="A109" s="36">
        <f ca="1" t="shared" si="1"/>
        <v>10</v>
      </c>
      <c r="B109" s="36" t="str">
        <f ca="1" t="array" ref="B109">INDEX(Data_DBD!$C:$C,$A109)</f>
        <v>5 Hari</v>
      </c>
      <c r="C109" s="36">
        <f ca="1" t="array" ref="C109">INDEX(Data_DBD!$E:$E,$A109)</f>
        <v>0</v>
      </c>
      <c r="D109" s="36" t="str">
        <f ca="1" t="array" ref="D109">INDEX(Data_DBD!$F:$F,$A109)</f>
        <v>Sedang</v>
      </c>
      <c r="H109" s="36">
        <v>140</v>
      </c>
      <c r="I109" s="36">
        <v>5</v>
      </c>
      <c r="J109" s="36">
        <v>1</v>
      </c>
      <c r="K109" s="36" t="s">
        <v>105</v>
      </c>
    </row>
    <row r="110" spans="1:11">
      <c r="A110" s="36">
        <f ca="1" t="shared" si="1"/>
        <v>24</v>
      </c>
      <c r="B110" s="36" t="str">
        <f ca="1" t="array" ref="B110">INDEX(Data_DBD!$C:$C,$A110)</f>
        <v>4 Hari</v>
      </c>
      <c r="C110" s="36">
        <f ca="1" t="array" ref="C110">INDEX(Data_DBD!$E:$E,$A110)</f>
        <v>0</v>
      </c>
      <c r="D110" s="36" t="str">
        <f ca="1" t="array" ref="D110">INDEX(Data_DBD!$F:$F,$A110)</f>
        <v>Sedang</v>
      </c>
      <c r="H110" s="36">
        <v>124</v>
      </c>
      <c r="I110" s="36">
        <v>3</v>
      </c>
      <c r="J110" s="36">
        <v>1</v>
      </c>
      <c r="K110" s="36" t="s">
        <v>105</v>
      </c>
    </row>
    <row r="111" spans="1:11">
      <c r="A111" s="36">
        <f ca="1" t="shared" si="1"/>
        <v>51</v>
      </c>
      <c r="B111" s="36" t="str">
        <f ca="1" t="array" ref="B111">INDEX(Data_DBD!$C:$C,$A111)</f>
        <v>4 Hari</v>
      </c>
      <c r="C111" s="36">
        <f ca="1" t="array" ref="C111">INDEX(Data_DBD!$E:$E,$A111)</f>
        <v>0</v>
      </c>
      <c r="D111" s="36" t="str">
        <f ca="1" t="array" ref="D111">INDEX(Data_DBD!$F:$F,$A111)</f>
        <v>Sedang</v>
      </c>
      <c r="H111" s="36">
        <v>114</v>
      </c>
      <c r="I111" s="36">
        <v>2</v>
      </c>
      <c r="J111" s="36">
        <v>1</v>
      </c>
      <c r="K111" s="36" t="s">
        <v>105</v>
      </c>
    </row>
    <row r="112" spans="1:11">
      <c r="A112" s="36">
        <f ca="1" t="shared" si="1"/>
        <v>138</v>
      </c>
      <c r="B112" s="36" t="str">
        <f ca="1" t="array" ref="B112">INDEX(Data_DBD!$C:$C,$A112)</f>
        <v>3 Hari</v>
      </c>
      <c r="C112" s="36">
        <f ca="1" t="array" ref="C112">INDEX(Data_DBD!$E:$E,$A112)</f>
        <v>1</v>
      </c>
      <c r="D112" s="36" t="str">
        <f ca="1" t="array" ref="D112">INDEX(Data_DBD!$F:$F,$A112)</f>
        <v>Tinggi</v>
      </c>
      <c r="H112" s="36">
        <v>22</v>
      </c>
      <c r="I112" s="36">
        <v>3</v>
      </c>
      <c r="J112" s="36">
        <v>0</v>
      </c>
      <c r="K112" s="36" t="s">
        <v>8</v>
      </c>
    </row>
    <row r="113" spans="1:11">
      <c r="A113" s="36">
        <f ca="1" t="shared" si="1"/>
        <v>33</v>
      </c>
      <c r="B113" s="36" t="str">
        <f ca="1" t="array" ref="B113">INDEX(Data_DBD!$C:$C,$A113)</f>
        <v>4 Hari</v>
      </c>
      <c r="C113" s="36">
        <f ca="1" t="array" ref="C113">INDEX(Data_DBD!$E:$E,$A113)</f>
        <v>1</v>
      </c>
      <c r="D113" s="36" t="str">
        <f ca="1" t="array" ref="D113">INDEX(Data_DBD!$F:$F,$A113)</f>
        <v>Sedang</v>
      </c>
      <c r="H113" s="36">
        <v>51</v>
      </c>
      <c r="I113" s="36">
        <v>4</v>
      </c>
      <c r="J113" s="36">
        <v>0</v>
      </c>
      <c r="K113" s="36" t="s">
        <v>8</v>
      </c>
    </row>
    <row r="114" spans="1:11">
      <c r="A114" s="36">
        <f ca="1" t="shared" si="1"/>
        <v>115</v>
      </c>
      <c r="B114" s="36" t="str">
        <f ca="1" t="array" ref="B114">INDEX(Data_DBD!$C:$C,$A114)</f>
        <v>3 Hari</v>
      </c>
      <c r="C114" s="36">
        <f ca="1" t="array" ref="C114">INDEX(Data_DBD!$E:$E,$A114)</f>
        <v>1</v>
      </c>
      <c r="D114" s="36" t="str">
        <f ca="1" t="array" ref="D114">INDEX(Data_DBD!$F:$F,$A114)</f>
        <v>Tinggi</v>
      </c>
      <c r="H114" s="36">
        <v>158</v>
      </c>
      <c r="I114" s="36">
        <v>2</v>
      </c>
      <c r="J114" s="36">
        <v>0</v>
      </c>
      <c r="K114" s="36" t="s">
        <v>105</v>
      </c>
    </row>
    <row r="115" spans="1:11">
      <c r="A115" s="36">
        <f ca="1" t="shared" si="1"/>
        <v>41</v>
      </c>
      <c r="B115" s="36" t="str">
        <f ca="1" t="array" ref="B115">INDEX(Data_DBD!$C:$C,$A115)</f>
        <v>4 Hari</v>
      </c>
      <c r="C115" s="36">
        <f ca="1" t="array" ref="C115">INDEX(Data_DBD!$E:$E,$A115)</f>
        <v>0</v>
      </c>
      <c r="D115" s="36" t="str">
        <f ca="1" t="array" ref="D115">INDEX(Data_DBD!$F:$F,$A115)</f>
        <v>Sedang</v>
      </c>
      <c r="H115" s="36">
        <v>86</v>
      </c>
      <c r="I115" s="36">
        <v>3</v>
      </c>
      <c r="J115" s="36">
        <v>0</v>
      </c>
      <c r="K115" s="36" t="s">
        <v>8</v>
      </c>
    </row>
    <row r="116" spans="1:11">
      <c r="A116" s="36">
        <f ca="1" t="shared" si="1"/>
        <v>99</v>
      </c>
      <c r="B116" s="36" t="str">
        <f ca="1" t="array" ref="B116">INDEX(Data_DBD!$C:$C,$A116)</f>
        <v>2 Hari</v>
      </c>
      <c r="C116" s="36">
        <f ca="1" t="array" ref="C116">INDEX(Data_DBD!$E:$E,$A116)</f>
        <v>1</v>
      </c>
      <c r="D116" s="36" t="str">
        <f ca="1" t="array" ref="D116">INDEX(Data_DBD!$F:$F,$A116)</f>
        <v>Tinggi</v>
      </c>
      <c r="H116" s="36">
        <v>138</v>
      </c>
      <c r="I116" s="36">
        <v>3</v>
      </c>
      <c r="J116" s="36">
        <v>1</v>
      </c>
      <c r="K116" s="36" t="s">
        <v>105</v>
      </c>
    </row>
    <row r="117" spans="1:11">
      <c r="A117" s="36">
        <f ca="1" t="shared" si="1"/>
        <v>27</v>
      </c>
      <c r="B117" s="36" t="str">
        <f ca="1" t="array" ref="B117">INDEX(Data_DBD!$C:$C,$A117)</f>
        <v>4 Hari</v>
      </c>
      <c r="C117" s="36">
        <f ca="1" t="array" ref="C117">INDEX(Data_DBD!$E:$E,$A117)</f>
        <v>1</v>
      </c>
      <c r="D117" s="36" t="str">
        <f ca="1" t="array" ref="D117">INDEX(Data_DBD!$F:$F,$A117)</f>
        <v>Sedang</v>
      </c>
      <c r="H117" s="36">
        <v>142</v>
      </c>
      <c r="I117" s="36">
        <v>2</v>
      </c>
      <c r="J117" s="36">
        <v>1</v>
      </c>
      <c r="K117" s="36" t="s">
        <v>105</v>
      </c>
    </row>
    <row r="118" spans="1:11">
      <c r="A118" s="36">
        <f ca="1" t="shared" si="1"/>
        <v>66</v>
      </c>
      <c r="B118" s="36" t="str">
        <f ca="1" t="array" ref="B118">INDEX(Data_DBD!$C:$C,$A118)</f>
        <v>5 Hari</v>
      </c>
      <c r="C118" s="36">
        <f ca="1" t="array" ref="C118">INDEX(Data_DBD!$E:$E,$A118)</f>
        <v>1</v>
      </c>
      <c r="D118" s="36" t="str">
        <f ca="1" t="array" ref="D118">INDEX(Data_DBD!$F:$F,$A118)</f>
        <v>Sedang</v>
      </c>
      <c r="H118" s="36">
        <v>2</v>
      </c>
      <c r="I118" s="36">
        <v>3</v>
      </c>
      <c r="J118" s="36">
        <v>0</v>
      </c>
      <c r="K118" s="36" t="s">
        <v>8</v>
      </c>
    </row>
    <row r="119" spans="1:11">
      <c r="A119" s="36">
        <f ca="1" t="shared" si="1"/>
        <v>49</v>
      </c>
      <c r="B119" s="36" t="str">
        <f ca="1" t="array" ref="B119">INDEX(Data_DBD!$C:$C,$A119)</f>
        <v>5 Hari</v>
      </c>
      <c r="C119" s="36">
        <f ca="1" t="array" ref="C119">INDEX(Data_DBD!$E:$E,$A119)</f>
        <v>0</v>
      </c>
      <c r="D119" s="36" t="str">
        <f ca="1" t="array" ref="D119">INDEX(Data_DBD!$F:$F,$A119)</f>
        <v>Sedang</v>
      </c>
      <c r="H119" s="36">
        <v>53</v>
      </c>
      <c r="I119" s="36">
        <v>4</v>
      </c>
      <c r="J119" s="36">
        <v>1</v>
      </c>
      <c r="K119" s="36" t="s">
        <v>8</v>
      </c>
    </row>
    <row r="120" spans="1:11">
      <c r="A120" s="36">
        <f ca="1" t="shared" si="1"/>
        <v>122</v>
      </c>
      <c r="B120" s="36" t="str">
        <f ca="1" t="array" ref="B120">INDEX(Data_DBD!$C:$C,$A120)</f>
        <v>3 Hari</v>
      </c>
      <c r="C120" s="36">
        <f ca="1" t="array" ref="C120">INDEX(Data_DBD!$E:$E,$A120)</f>
        <v>1</v>
      </c>
      <c r="D120" s="36" t="str">
        <f ca="1" t="array" ref="D120">INDEX(Data_DBD!$F:$F,$A120)</f>
        <v>Tinggi</v>
      </c>
      <c r="H120" s="36">
        <v>62</v>
      </c>
      <c r="I120" s="36">
        <v>4</v>
      </c>
      <c r="J120" s="36">
        <v>1</v>
      </c>
      <c r="K120" s="36" t="s">
        <v>8</v>
      </c>
    </row>
    <row r="121" spans="1:11">
      <c r="A121" s="36">
        <f ca="1" t="shared" si="1"/>
        <v>128</v>
      </c>
      <c r="B121" s="36" t="str">
        <f ca="1" t="array" ref="B121">INDEX(Data_DBD!$C:$C,$A121)</f>
        <v>2 Hari</v>
      </c>
      <c r="C121" s="36">
        <f ca="1" t="array" ref="C121">INDEX(Data_DBD!$E:$E,$A121)</f>
        <v>0</v>
      </c>
      <c r="D121" s="36" t="str">
        <f ca="1" t="array" ref="D121">INDEX(Data_DBD!$F:$F,$A121)</f>
        <v>Tinggi</v>
      </c>
      <c r="H121" s="36">
        <v>68</v>
      </c>
      <c r="I121" s="36">
        <v>5</v>
      </c>
      <c r="J121" s="36">
        <v>0</v>
      </c>
      <c r="K121" s="36" t="s">
        <v>8</v>
      </c>
    </row>
    <row r="122" spans="1:11">
      <c r="A122" s="36">
        <f ca="1" t="shared" si="1"/>
        <v>98</v>
      </c>
      <c r="B122" s="36" t="str">
        <f ca="1" t="array" ref="B122">INDEX(Data_DBD!$C:$C,$A122)</f>
        <v>2 Hari</v>
      </c>
      <c r="C122" s="36">
        <f ca="1" t="array" ref="C122">INDEX(Data_DBD!$E:$E,$A122)</f>
        <v>1</v>
      </c>
      <c r="D122" s="36" t="str">
        <f ca="1" t="array" ref="D122">INDEX(Data_DBD!$F:$F,$A122)</f>
        <v>Tinggi</v>
      </c>
      <c r="H122" s="36">
        <v>127</v>
      </c>
      <c r="I122" s="36">
        <v>2</v>
      </c>
      <c r="J122" s="36">
        <v>0</v>
      </c>
      <c r="K122" s="36" t="s">
        <v>105</v>
      </c>
    </row>
    <row r="123" spans="1:11">
      <c r="A123" s="36">
        <f ca="1" t="shared" si="1"/>
        <v>116</v>
      </c>
      <c r="B123" s="36" t="str">
        <f ca="1" t="array" ref="B123">INDEX(Data_DBD!$C:$C,$A123)</f>
        <v>4 Hari</v>
      </c>
      <c r="C123" s="36">
        <f ca="1" t="array" ref="C123">INDEX(Data_DBD!$E:$E,$A123)</f>
        <v>1</v>
      </c>
      <c r="D123" s="36" t="str">
        <f ca="1" t="array" ref="D123">INDEX(Data_DBD!$F:$F,$A123)</f>
        <v>Tinggi</v>
      </c>
      <c r="H123" s="36">
        <v>45</v>
      </c>
      <c r="I123" s="36">
        <v>3</v>
      </c>
      <c r="J123" s="36">
        <v>1</v>
      </c>
      <c r="K123" s="36" t="s">
        <v>8</v>
      </c>
    </row>
    <row r="124" spans="1:11">
      <c r="A124" s="36">
        <f ca="1" t="shared" si="1"/>
        <v>123</v>
      </c>
      <c r="B124" s="36" t="str">
        <f ca="1" t="array" ref="B124">INDEX(Data_DBD!$C:$C,$A124)</f>
        <v>4 Hari</v>
      </c>
      <c r="C124" s="36">
        <f ca="1" t="array" ref="C124">INDEX(Data_DBD!$E:$E,$A124)</f>
        <v>0</v>
      </c>
      <c r="D124" s="36" t="str">
        <f ca="1" t="array" ref="D124">INDEX(Data_DBD!$F:$F,$A124)</f>
        <v>Tinggi</v>
      </c>
      <c r="H124" s="36">
        <v>12</v>
      </c>
      <c r="I124" s="36">
        <v>3</v>
      </c>
      <c r="J124" s="36">
        <v>0</v>
      </c>
      <c r="K124" s="36" t="s">
        <v>8</v>
      </c>
    </row>
    <row r="125" spans="1:11">
      <c r="A125" s="36">
        <f ca="1" t="shared" si="1"/>
        <v>30</v>
      </c>
      <c r="B125" s="36" t="str">
        <f ca="1" t="array" ref="B125">INDEX(Data_DBD!$C:$C,$A125)</f>
        <v>2 Hari</v>
      </c>
      <c r="C125" s="36">
        <f ca="1" t="array" ref="C125">INDEX(Data_DBD!$E:$E,$A125)</f>
        <v>1</v>
      </c>
      <c r="D125" s="36" t="str">
        <f ca="1" t="array" ref="D125">INDEX(Data_DBD!$F:$F,$A125)</f>
        <v>Sedang</v>
      </c>
      <c r="H125" s="36">
        <v>15</v>
      </c>
      <c r="I125" s="36">
        <v>2</v>
      </c>
      <c r="J125" s="36">
        <v>0</v>
      </c>
      <c r="K125" s="36" t="s">
        <v>26</v>
      </c>
    </row>
    <row r="126" spans="1:11">
      <c r="A126" s="36">
        <f ca="1" t="shared" si="1"/>
        <v>161</v>
      </c>
      <c r="B126" s="36" t="str">
        <f ca="1" t="array" ref="B126">INDEX(Data_DBD!$C:$C,$A126)</f>
        <v>3 Hari</v>
      </c>
      <c r="C126" s="36">
        <f ca="1" t="array" ref="C126">INDEX(Data_DBD!$E:$E,$A126)</f>
        <v>1</v>
      </c>
      <c r="D126" s="36" t="str">
        <f ca="1" t="array" ref="D126">INDEX(Data_DBD!$F:$F,$A126)</f>
        <v>Tinggi</v>
      </c>
      <c r="H126" s="36">
        <v>6</v>
      </c>
      <c r="I126" s="36">
        <v>4</v>
      </c>
      <c r="J126" s="36">
        <v>0</v>
      </c>
      <c r="K126" s="36" t="s">
        <v>8</v>
      </c>
    </row>
    <row r="127" spans="1:11">
      <c r="A127" s="36">
        <f ca="1" t="shared" si="1"/>
        <v>155</v>
      </c>
      <c r="B127" s="36" t="str">
        <f ca="1" t="array" ref="B127">INDEX(Data_DBD!$C:$C,$A127)</f>
        <v>5 Hari</v>
      </c>
      <c r="C127" s="36">
        <f ca="1" t="array" ref="C127">INDEX(Data_DBD!$E:$E,$A127)</f>
        <v>1</v>
      </c>
      <c r="D127" s="36" t="str">
        <f ca="1" t="array" ref="D127">INDEX(Data_DBD!$F:$F,$A127)</f>
        <v>Tinggi</v>
      </c>
      <c r="H127" s="36">
        <v>143</v>
      </c>
      <c r="I127" s="36">
        <v>4</v>
      </c>
      <c r="J127" s="36">
        <v>1</v>
      </c>
      <c r="K127" s="36" t="s">
        <v>105</v>
      </c>
    </row>
    <row r="128" spans="1:11">
      <c r="A128" s="36">
        <f ca="1" t="shared" si="1"/>
        <v>161</v>
      </c>
      <c r="B128" s="36" t="str">
        <f ca="1" t="array" ref="B128">INDEX(Data_DBD!$C:$C,$A128)</f>
        <v>3 Hari</v>
      </c>
      <c r="C128" s="36">
        <f ca="1" t="array" ref="C128">INDEX(Data_DBD!$E:$E,$A128)</f>
        <v>1</v>
      </c>
      <c r="D128" s="36" t="str">
        <f ca="1" t="array" ref="D128">INDEX(Data_DBD!$F:$F,$A128)</f>
        <v>Tinggi</v>
      </c>
      <c r="H128" s="36">
        <v>20</v>
      </c>
      <c r="I128" s="36">
        <v>5</v>
      </c>
      <c r="J128" s="36">
        <v>0</v>
      </c>
      <c r="K128" s="36" t="s">
        <v>26</v>
      </c>
    </row>
    <row r="129" spans="1:11">
      <c r="A129" s="36">
        <f ca="1" t="shared" si="1"/>
        <v>119</v>
      </c>
      <c r="B129" s="36" t="str">
        <f ca="1" t="array" ref="B129">INDEX(Data_DBD!$C:$C,$A129)</f>
        <v>7 Hari</v>
      </c>
      <c r="C129" s="36">
        <f ca="1" t="array" ref="C129">INDEX(Data_DBD!$E:$E,$A129)</f>
        <v>0</v>
      </c>
      <c r="D129" s="36" t="str">
        <f ca="1" t="array" ref="D129">INDEX(Data_DBD!$F:$F,$A129)</f>
        <v>Tinggi</v>
      </c>
      <c r="H129" s="36">
        <v>67</v>
      </c>
      <c r="I129" s="36">
        <v>3</v>
      </c>
      <c r="J129" s="36">
        <v>1</v>
      </c>
      <c r="K129" s="36" t="s">
        <v>8</v>
      </c>
    </row>
    <row r="130" spans="1:11">
      <c r="A130" s="36">
        <f ca="1" t="shared" si="1"/>
        <v>57</v>
      </c>
      <c r="B130" s="36" t="str">
        <f ca="1" t="array" ref="B130">INDEX(Data_DBD!$C:$C,$A130)</f>
        <v>2 Hari</v>
      </c>
      <c r="C130" s="36">
        <f ca="1" t="array" ref="C130">INDEX(Data_DBD!$E:$E,$A130)</f>
        <v>1</v>
      </c>
      <c r="D130" s="36" t="str">
        <f ca="1" t="array" ref="D130">INDEX(Data_DBD!$F:$F,$A130)</f>
        <v>Sedang</v>
      </c>
      <c r="H130" s="36">
        <v>6</v>
      </c>
      <c r="I130" s="36">
        <v>4</v>
      </c>
      <c r="J130" s="36">
        <v>0</v>
      </c>
      <c r="K130" s="36" t="s">
        <v>8</v>
      </c>
    </row>
    <row r="131" spans="1:11">
      <c r="A131" s="36">
        <f ca="1" t="shared" ref="A131:A164" si="2">RANDBETWEEN(2,164)</f>
        <v>23</v>
      </c>
      <c r="B131" s="36" t="str">
        <f ca="1" t="array" ref="B131">INDEX(Data_DBD!$C:$C,$A131)</f>
        <v>4 Hari</v>
      </c>
      <c r="C131" s="36">
        <f ca="1" t="array" ref="C131">INDEX(Data_DBD!$E:$E,$A131)</f>
        <v>1</v>
      </c>
      <c r="D131" s="36" t="str">
        <f ca="1" t="array" ref="D131">INDEX(Data_DBD!$F:$F,$A131)</f>
        <v>Sedang</v>
      </c>
      <c r="H131" s="36">
        <v>72</v>
      </c>
      <c r="I131" s="36">
        <v>5</v>
      </c>
      <c r="J131" s="36">
        <v>1</v>
      </c>
      <c r="K131" s="36" t="s">
        <v>8</v>
      </c>
    </row>
    <row r="132" spans="1:11">
      <c r="A132" s="36">
        <f ca="1" t="shared" si="2"/>
        <v>33</v>
      </c>
      <c r="B132" s="36" t="str">
        <f ca="1" t="array" ref="B132">INDEX(Data_DBD!$C:$C,$A132)</f>
        <v>4 Hari</v>
      </c>
      <c r="C132" s="36">
        <f ca="1" t="array" ref="C132">INDEX(Data_DBD!$E:$E,$A132)</f>
        <v>1</v>
      </c>
      <c r="D132" s="36" t="str">
        <f ca="1" t="array" ref="D132">INDEX(Data_DBD!$F:$F,$A132)</f>
        <v>Sedang</v>
      </c>
      <c r="H132" s="36">
        <v>44</v>
      </c>
      <c r="I132" s="36">
        <v>5</v>
      </c>
      <c r="J132" s="36">
        <v>1</v>
      </c>
      <c r="K132" s="36" t="s">
        <v>8</v>
      </c>
    </row>
    <row r="133" spans="1:11">
      <c r="A133" s="36">
        <f ca="1" t="shared" si="2"/>
        <v>161</v>
      </c>
      <c r="B133" s="36" t="str">
        <f ca="1" t="array" ref="B133">INDEX(Data_DBD!$C:$C,$A133)</f>
        <v>3 Hari</v>
      </c>
      <c r="C133" s="36">
        <f ca="1" t="array" ref="C133">INDEX(Data_DBD!$E:$E,$A133)</f>
        <v>1</v>
      </c>
      <c r="D133" s="36" t="str">
        <f ca="1" t="array" ref="D133">INDEX(Data_DBD!$F:$F,$A133)</f>
        <v>Tinggi</v>
      </c>
      <c r="H133" s="36">
        <v>62</v>
      </c>
      <c r="I133" s="36">
        <v>4</v>
      </c>
      <c r="J133" s="36">
        <v>1</v>
      </c>
      <c r="K133" s="36" t="s">
        <v>8</v>
      </c>
    </row>
    <row r="134" spans="1:11">
      <c r="A134" s="36">
        <f ca="1" t="shared" si="2"/>
        <v>162</v>
      </c>
      <c r="B134" s="36" t="str">
        <f ca="1" t="array" ref="B134">INDEX(Data_DBD!$C:$C,$A134)</f>
        <v>3 Hari</v>
      </c>
      <c r="C134" s="36">
        <f ca="1" t="array" ref="C134">INDEX(Data_DBD!$E:$E,$A134)</f>
        <v>1</v>
      </c>
      <c r="D134" s="36" t="str">
        <f ca="1" t="array" ref="D134">INDEX(Data_DBD!$F:$F,$A134)</f>
        <v>Rendah</v>
      </c>
      <c r="H134" s="36">
        <v>90</v>
      </c>
      <c r="I134" s="36">
        <v>3</v>
      </c>
      <c r="J134" s="36">
        <v>0</v>
      </c>
      <c r="K134" s="36" t="s">
        <v>105</v>
      </c>
    </row>
    <row r="135" spans="1:11">
      <c r="A135" s="36">
        <f ca="1" t="shared" si="2"/>
        <v>164</v>
      </c>
      <c r="B135" s="36" t="str">
        <f ca="1" t="array" ref="B135">INDEX(Data_DBD!$C:$C,$A135)</f>
        <v>6 Hari</v>
      </c>
      <c r="C135" s="36">
        <f ca="1" t="array" ref="C135">INDEX(Data_DBD!$E:$E,$A135)</f>
        <v>0</v>
      </c>
      <c r="D135" s="36" t="str">
        <f ca="1" t="array" ref="D135">INDEX(Data_DBD!$F:$F,$A135)</f>
        <v>Rendah</v>
      </c>
      <c r="H135" s="36">
        <v>55</v>
      </c>
      <c r="I135" s="36">
        <v>4</v>
      </c>
      <c r="J135" s="36">
        <v>1</v>
      </c>
      <c r="K135" s="36" t="s">
        <v>8</v>
      </c>
    </row>
    <row r="136" spans="1:11">
      <c r="A136" s="36">
        <f ca="1" t="shared" si="2"/>
        <v>143</v>
      </c>
      <c r="B136" s="36" t="str">
        <f ca="1" t="array" ref="B136">INDEX(Data_DBD!$C:$C,$A136)</f>
        <v>4 Hari</v>
      </c>
      <c r="C136" s="36">
        <f ca="1" t="array" ref="C136">INDEX(Data_DBD!$E:$E,$A136)</f>
        <v>1</v>
      </c>
      <c r="D136" s="36" t="str">
        <f ca="1" t="array" ref="D136">INDEX(Data_DBD!$F:$F,$A136)</f>
        <v>Tinggi</v>
      </c>
      <c r="H136" s="36">
        <v>118</v>
      </c>
      <c r="I136" s="36">
        <v>4</v>
      </c>
      <c r="J136" s="36">
        <v>1</v>
      </c>
      <c r="K136" s="36" t="s">
        <v>105</v>
      </c>
    </row>
    <row r="137" spans="1:11">
      <c r="A137" s="36">
        <f ca="1" t="shared" si="2"/>
        <v>57</v>
      </c>
      <c r="B137" s="36" t="str">
        <f ca="1" t="array" ref="B137">INDEX(Data_DBD!$C:$C,$A137)</f>
        <v>2 Hari</v>
      </c>
      <c r="C137" s="36">
        <f ca="1" t="array" ref="C137">INDEX(Data_DBD!$E:$E,$A137)</f>
        <v>1</v>
      </c>
      <c r="D137" s="36" t="str">
        <f ca="1" t="array" ref="D137">INDEX(Data_DBD!$F:$F,$A137)</f>
        <v>Sedang</v>
      </c>
      <c r="H137" s="36">
        <v>41</v>
      </c>
      <c r="I137" s="36">
        <v>4</v>
      </c>
      <c r="J137" s="36">
        <v>0</v>
      </c>
      <c r="K137" s="36" t="s">
        <v>8</v>
      </c>
    </row>
    <row r="138" spans="1:11">
      <c r="A138" s="36">
        <f ca="1" t="shared" si="2"/>
        <v>141</v>
      </c>
      <c r="B138" s="36" t="str">
        <f ca="1" t="array" ref="B138">INDEX(Data_DBD!$C:$C,$A138)</f>
        <v>2 Hari</v>
      </c>
      <c r="C138" s="36">
        <f ca="1" t="array" ref="C138">INDEX(Data_DBD!$E:$E,$A138)</f>
        <v>0</v>
      </c>
      <c r="D138" s="36" t="str">
        <f ca="1" t="array" ref="D138">INDEX(Data_DBD!$F:$F,$A138)</f>
        <v>Tinggi</v>
      </c>
      <c r="H138" s="36">
        <v>121</v>
      </c>
      <c r="I138" s="36">
        <v>5</v>
      </c>
      <c r="J138" s="36">
        <v>1</v>
      </c>
      <c r="K138" s="36" t="s">
        <v>105</v>
      </c>
    </row>
    <row r="139" spans="1:11">
      <c r="A139" s="36">
        <f ca="1" t="shared" si="2"/>
        <v>89</v>
      </c>
      <c r="B139" s="36" t="str">
        <f ca="1" t="array" ref="B139">INDEX(Data_DBD!$C:$C,$A139)</f>
        <v>4 Hari</v>
      </c>
      <c r="C139" s="36">
        <f ca="1" t="array" ref="C139">INDEX(Data_DBD!$E:$E,$A139)</f>
        <v>0</v>
      </c>
      <c r="D139" s="36" t="str">
        <f ca="1" t="array" ref="D139">INDEX(Data_DBD!$F:$F,$A139)</f>
        <v>Sedang</v>
      </c>
      <c r="H139" s="36">
        <v>126</v>
      </c>
      <c r="I139" s="36">
        <v>3</v>
      </c>
      <c r="J139" s="36">
        <v>1</v>
      </c>
      <c r="K139" s="36" t="s">
        <v>105</v>
      </c>
    </row>
    <row r="140" spans="1:11">
      <c r="A140" s="36">
        <f ca="1" t="shared" si="2"/>
        <v>164</v>
      </c>
      <c r="B140" s="36" t="str">
        <f ca="1" t="array" ref="B140">INDEX(Data_DBD!$C:$C,$A140)</f>
        <v>6 Hari</v>
      </c>
      <c r="C140" s="36">
        <f ca="1" t="array" ref="C140">INDEX(Data_DBD!$E:$E,$A140)</f>
        <v>0</v>
      </c>
      <c r="D140" s="36" t="str">
        <f ca="1" t="array" ref="D140">INDEX(Data_DBD!$F:$F,$A140)</f>
        <v>Rendah</v>
      </c>
      <c r="H140" s="36">
        <v>40</v>
      </c>
      <c r="I140" s="36">
        <v>3</v>
      </c>
      <c r="J140" s="36">
        <v>1</v>
      </c>
      <c r="K140" s="36" t="s">
        <v>8</v>
      </c>
    </row>
    <row r="141" spans="1:11">
      <c r="A141" s="36">
        <f ca="1" t="shared" si="2"/>
        <v>55</v>
      </c>
      <c r="B141" s="36" t="str">
        <f ca="1" t="array" ref="B141">INDEX(Data_DBD!$C:$C,$A141)</f>
        <v>4 Hari</v>
      </c>
      <c r="C141" s="36">
        <f ca="1" t="array" ref="C141">INDEX(Data_DBD!$E:$E,$A141)</f>
        <v>1</v>
      </c>
      <c r="D141" s="36" t="str">
        <f ca="1" t="array" ref="D141">INDEX(Data_DBD!$F:$F,$A141)</f>
        <v>Sedang</v>
      </c>
      <c r="H141" s="36">
        <v>129</v>
      </c>
      <c r="I141" s="36">
        <v>3</v>
      </c>
      <c r="J141" s="36">
        <v>0</v>
      </c>
      <c r="K141" s="36" t="s">
        <v>105</v>
      </c>
    </row>
    <row r="142" spans="1:11">
      <c r="A142" s="36">
        <f ca="1" t="shared" si="2"/>
        <v>94</v>
      </c>
      <c r="B142" s="36" t="str">
        <f ca="1" t="array" ref="B142">INDEX(Data_DBD!$C:$C,$A142)</f>
        <v>4 Hari</v>
      </c>
      <c r="C142" s="36">
        <f ca="1" t="array" ref="C142">INDEX(Data_DBD!$E:$E,$A142)</f>
        <v>0</v>
      </c>
      <c r="D142" s="36" t="str">
        <f ca="1" t="array" ref="D142">INDEX(Data_DBD!$F:$F,$A142)</f>
        <v>Tinggi</v>
      </c>
      <c r="H142" s="36">
        <v>95</v>
      </c>
      <c r="I142" s="36">
        <v>3</v>
      </c>
      <c r="J142" s="36">
        <v>1</v>
      </c>
      <c r="K142" s="36" t="s">
        <v>105</v>
      </c>
    </row>
    <row r="143" spans="1:11">
      <c r="A143" s="36">
        <f ca="1" t="shared" si="2"/>
        <v>78</v>
      </c>
      <c r="B143" s="36" t="str">
        <f ca="1" t="array" ref="B143">INDEX(Data_DBD!$C:$C,$A143)</f>
        <v>3 Hari</v>
      </c>
      <c r="C143" s="36">
        <f ca="1" t="array" ref="C143">INDEX(Data_DBD!$E:$E,$A143)</f>
        <v>0</v>
      </c>
      <c r="D143" s="36" t="str">
        <f ca="1" t="array" ref="D143">INDEX(Data_DBD!$F:$F,$A143)</f>
        <v>Sedang</v>
      </c>
      <c r="H143" s="36">
        <v>64</v>
      </c>
      <c r="I143" s="36">
        <v>1</v>
      </c>
      <c r="J143" s="36">
        <v>0</v>
      </c>
      <c r="K143" s="36" t="s">
        <v>8</v>
      </c>
    </row>
    <row r="144" spans="1:11">
      <c r="A144" s="36">
        <f ca="1" t="shared" si="2"/>
        <v>38</v>
      </c>
      <c r="B144" s="36" t="str">
        <f ca="1" t="array" ref="B144">INDEX(Data_DBD!$C:$C,$A144)</f>
        <v>3 Hari</v>
      </c>
      <c r="C144" s="36">
        <f ca="1" t="array" ref="C144">INDEX(Data_DBD!$E:$E,$A144)</f>
        <v>1</v>
      </c>
      <c r="D144" s="36" t="str">
        <f ca="1" t="array" ref="D144">INDEX(Data_DBD!$F:$F,$A144)</f>
        <v>Rendah</v>
      </c>
      <c r="H144" s="36">
        <v>16</v>
      </c>
      <c r="I144" s="36">
        <v>5</v>
      </c>
      <c r="J144" s="36">
        <v>1</v>
      </c>
      <c r="K144" s="36" t="s">
        <v>26</v>
      </c>
    </row>
    <row r="145" spans="1:11">
      <c r="A145" s="36">
        <f ca="1" t="shared" si="2"/>
        <v>101</v>
      </c>
      <c r="B145" s="36" t="str">
        <f ca="1" t="array" ref="B145">INDEX(Data_DBD!$C:$C,$A145)</f>
        <v>5 Hari</v>
      </c>
      <c r="C145" s="36">
        <f ca="1" t="array" ref="C145">INDEX(Data_DBD!$E:$E,$A145)</f>
        <v>0</v>
      </c>
      <c r="D145" s="36" t="str">
        <f ca="1" t="array" ref="D145">INDEX(Data_DBD!$F:$F,$A145)</f>
        <v>Tinggi</v>
      </c>
      <c r="H145" s="36">
        <v>139</v>
      </c>
      <c r="I145" s="36">
        <v>7</v>
      </c>
      <c r="J145" s="36">
        <v>0</v>
      </c>
      <c r="K145" s="36" t="s">
        <v>105</v>
      </c>
    </row>
    <row r="146" spans="1:11">
      <c r="A146" s="36">
        <f ca="1" t="shared" si="2"/>
        <v>149</v>
      </c>
      <c r="B146" s="36" t="str">
        <f ca="1" t="array" ref="B146">INDEX(Data_DBD!$C:$C,$A146)</f>
        <v>5 Hari</v>
      </c>
      <c r="C146" s="36">
        <f ca="1" t="array" ref="C146">INDEX(Data_DBD!$E:$E,$A146)</f>
        <v>0</v>
      </c>
      <c r="D146" s="36" t="str">
        <f ca="1" t="array" ref="D146">INDEX(Data_DBD!$F:$F,$A146)</f>
        <v>Tinggi</v>
      </c>
      <c r="H146" s="36">
        <v>128</v>
      </c>
      <c r="I146" s="36">
        <v>2</v>
      </c>
      <c r="J146" s="36">
        <v>0</v>
      </c>
      <c r="K146" s="36" t="s">
        <v>105</v>
      </c>
    </row>
    <row r="147" spans="1:11">
      <c r="A147" s="36">
        <f ca="1" t="shared" si="2"/>
        <v>144</v>
      </c>
      <c r="B147" s="36" t="str">
        <f ca="1" t="array" ref="B147">INDEX(Data_DBD!$C:$C,$A147)</f>
        <v>4 Hari</v>
      </c>
      <c r="C147" s="36">
        <f ca="1" t="array" ref="C147">INDEX(Data_DBD!$E:$E,$A147)</f>
        <v>1</v>
      </c>
      <c r="D147" s="36" t="str">
        <f ca="1" t="array" ref="D147">INDEX(Data_DBD!$F:$F,$A147)</f>
        <v>Tinggi</v>
      </c>
      <c r="H147" s="36">
        <v>65</v>
      </c>
      <c r="I147" s="36">
        <v>3</v>
      </c>
      <c r="J147" s="36">
        <v>0</v>
      </c>
      <c r="K147" s="36" t="s">
        <v>8</v>
      </c>
    </row>
    <row r="148" spans="1:11">
      <c r="A148" s="36">
        <f ca="1" t="shared" si="2"/>
        <v>122</v>
      </c>
      <c r="B148" s="36" t="str">
        <f ca="1" t="array" ref="B148">INDEX(Data_DBD!$C:$C,$A148)</f>
        <v>3 Hari</v>
      </c>
      <c r="C148" s="36">
        <f ca="1" t="array" ref="C148">INDEX(Data_DBD!$E:$E,$A148)</f>
        <v>1</v>
      </c>
      <c r="D148" s="36" t="str">
        <f ca="1" t="array" ref="D148">INDEX(Data_DBD!$F:$F,$A148)</f>
        <v>Tinggi</v>
      </c>
      <c r="H148" s="36">
        <v>39</v>
      </c>
      <c r="I148" s="36">
        <v>5</v>
      </c>
      <c r="J148" s="36">
        <v>1</v>
      </c>
      <c r="K148" s="36" t="s">
        <v>8</v>
      </c>
    </row>
    <row r="149" spans="1:11">
      <c r="A149" s="36">
        <f ca="1" t="shared" si="2"/>
        <v>101</v>
      </c>
      <c r="B149" s="36" t="str">
        <f ca="1" t="array" ref="B149">INDEX(Data_DBD!$C:$C,$A149)</f>
        <v>5 Hari</v>
      </c>
      <c r="C149" s="36">
        <f ca="1" t="array" ref="C149">INDEX(Data_DBD!$E:$E,$A149)</f>
        <v>0</v>
      </c>
      <c r="D149" s="36" t="str">
        <f ca="1" t="array" ref="D149">INDEX(Data_DBD!$F:$F,$A149)</f>
        <v>Tinggi</v>
      </c>
      <c r="H149" s="36">
        <v>105</v>
      </c>
      <c r="I149" s="36">
        <v>3</v>
      </c>
      <c r="J149" s="36">
        <v>1</v>
      </c>
      <c r="K149" s="36" t="s">
        <v>105</v>
      </c>
    </row>
    <row r="150" spans="1:11">
      <c r="A150" s="36">
        <f ca="1" t="shared" si="2"/>
        <v>38</v>
      </c>
      <c r="B150" s="36" t="str">
        <f ca="1" t="array" ref="B150">INDEX(Data_DBD!$C:$C,$A150)</f>
        <v>3 Hari</v>
      </c>
      <c r="C150" s="36">
        <f ca="1" t="array" ref="C150">INDEX(Data_DBD!$E:$E,$A150)</f>
        <v>1</v>
      </c>
      <c r="D150" s="36" t="str">
        <f ca="1" t="array" ref="D150">INDEX(Data_DBD!$F:$F,$A150)</f>
        <v>Rendah</v>
      </c>
      <c r="H150" s="36">
        <v>85</v>
      </c>
      <c r="I150" s="36">
        <v>9</v>
      </c>
      <c r="J150" s="36">
        <v>0</v>
      </c>
      <c r="K150" s="36" t="s">
        <v>8</v>
      </c>
    </row>
    <row r="151" spans="1:11">
      <c r="A151" s="36">
        <f ca="1" t="shared" si="2"/>
        <v>77</v>
      </c>
      <c r="B151" s="36" t="str">
        <f ca="1" t="array" ref="B151">INDEX(Data_DBD!$C:$C,$A151)</f>
        <v>4 Hari</v>
      </c>
      <c r="C151" s="36">
        <f ca="1" t="array" ref="C151">INDEX(Data_DBD!$E:$E,$A151)</f>
        <v>1</v>
      </c>
      <c r="D151" s="36" t="str">
        <f ca="1" t="array" ref="D151">INDEX(Data_DBD!$F:$F,$A151)</f>
        <v>Sedang</v>
      </c>
      <c r="H151" s="36">
        <v>78</v>
      </c>
      <c r="I151" s="36">
        <v>3</v>
      </c>
      <c r="J151" s="36">
        <v>0</v>
      </c>
      <c r="K151" s="36" t="s">
        <v>8</v>
      </c>
    </row>
    <row r="152" spans="1:11">
      <c r="A152" s="36">
        <f ca="1" t="shared" si="2"/>
        <v>23</v>
      </c>
      <c r="B152" s="36" t="str">
        <f ca="1" t="array" ref="B152">INDEX(Data_DBD!$C:$C,$A152)</f>
        <v>4 Hari</v>
      </c>
      <c r="C152" s="36">
        <f ca="1" t="array" ref="C152">INDEX(Data_DBD!$E:$E,$A152)</f>
        <v>1</v>
      </c>
      <c r="D152" s="36" t="str">
        <f ca="1" t="array" ref="D152">INDEX(Data_DBD!$F:$F,$A152)</f>
        <v>Sedang</v>
      </c>
      <c r="H152" s="36">
        <v>15</v>
      </c>
      <c r="I152" s="36">
        <v>2</v>
      </c>
      <c r="J152" s="36">
        <v>0</v>
      </c>
      <c r="K152" s="36" t="s">
        <v>26</v>
      </c>
    </row>
    <row r="153" spans="1:11">
      <c r="A153" s="36">
        <f ca="1" t="shared" si="2"/>
        <v>85</v>
      </c>
      <c r="B153" s="36" t="str">
        <f ca="1" t="array" ref="B153">INDEX(Data_DBD!$C:$C,$A153)</f>
        <v>9 Hari</v>
      </c>
      <c r="C153" s="36">
        <f ca="1" t="array" ref="C153">INDEX(Data_DBD!$E:$E,$A153)</f>
        <v>0</v>
      </c>
      <c r="D153" s="36" t="str">
        <f ca="1" t="array" ref="D153">INDEX(Data_DBD!$F:$F,$A153)</f>
        <v>Sedang</v>
      </c>
      <c r="H153" s="36">
        <v>76</v>
      </c>
      <c r="I153" s="36">
        <v>2</v>
      </c>
      <c r="J153" s="36">
        <v>0</v>
      </c>
      <c r="K153" s="36" t="s">
        <v>8</v>
      </c>
    </row>
    <row r="154" ht="15.75" spans="1:21">
      <c r="A154" s="36">
        <f ca="1" t="shared" si="2"/>
        <v>141</v>
      </c>
      <c r="B154" s="36" t="str">
        <f ca="1" t="array" ref="B154">INDEX(Data_DBD!$C:$C,$A154)</f>
        <v>2 Hari</v>
      </c>
      <c r="C154" s="36">
        <f ca="1" t="array" ref="C154">INDEX(Data_DBD!$E:$E,$A154)</f>
        <v>0</v>
      </c>
      <c r="D154" s="36" t="str">
        <f ca="1" t="array" ref="D154">INDEX(Data_DBD!$F:$F,$A154)</f>
        <v>Tinggi</v>
      </c>
      <c r="H154" s="36">
        <v>91</v>
      </c>
      <c r="I154" s="36">
        <v>1</v>
      </c>
      <c r="J154" s="36">
        <v>1</v>
      </c>
      <c r="K154" s="36" t="s">
        <v>105</v>
      </c>
      <c r="U154" s="42" t="s">
        <v>235</v>
      </c>
    </row>
    <row r="155" ht="15.75" spans="1:21">
      <c r="A155" s="36">
        <f ca="1" t="shared" si="2"/>
        <v>77</v>
      </c>
      <c r="B155" s="36" t="str">
        <f ca="1" t="array" ref="B155">INDEX(Data_DBD!$C:$C,$A155)</f>
        <v>4 Hari</v>
      </c>
      <c r="C155" s="36">
        <f ca="1" t="array" ref="C155">INDEX(Data_DBD!$E:$E,$A155)</f>
        <v>1</v>
      </c>
      <c r="D155" s="36" t="str">
        <f ca="1" t="array" ref="D155">INDEX(Data_DBD!$F:$F,$A155)</f>
        <v>Sedang</v>
      </c>
      <c r="H155" s="36">
        <v>150</v>
      </c>
      <c r="I155" s="36">
        <v>5</v>
      </c>
      <c r="J155" s="36">
        <v>1</v>
      </c>
      <c r="K155" s="36" t="s">
        <v>105</v>
      </c>
      <c r="U155" s="43" t="s">
        <v>187</v>
      </c>
    </row>
    <row r="156" ht="15.75" spans="1:21">
      <c r="A156" s="36">
        <f ca="1" t="shared" si="2"/>
        <v>99</v>
      </c>
      <c r="B156" s="36" t="str">
        <f ca="1" t="array" ref="B156">INDEX(Data_DBD!$C:$C,$A156)</f>
        <v>2 Hari</v>
      </c>
      <c r="C156" s="36">
        <f ca="1" t="array" ref="C156">INDEX(Data_DBD!$E:$E,$A156)</f>
        <v>1</v>
      </c>
      <c r="D156" s="36" t="str">
        <f ca="1" t="array" ref="D156">INDEX(Data_DBD!$F:$F,$A156)</f>
        <v>Tinggi</v>
      </c>
      <c r="H156" s="36">
        <v>74</v>
      </c>
      <c r="I156" s="36">
        <v>4</v>
      </c>
      <c r="J156" s="36">
        <v>0</v>
      </c>
      <c r="K156" s="36" t="s">
        <v>8</v>
      </c>
      <c r="U156" s="44" t="s">
        <v>236</v>
      </c>
    </row>
    <row r="157" ht="15.75" spans="1:21">
      <c r="A157" s="36">
        <f ca="1" t="shared" si="2"/>
        <v>33</v>
      </c>
      <c r="B157" s="36" t="str">
        <f ca="1" t="array" ref="B157">INDEX(Data_DBD!$C:$C,$A157)</f>
        <v>4 Hari</v>
      </c>
      <c r="C157" s="36">
        <f ca="1" t="array" ref="C157">INDEX(Data_DBD!$E:$E,$A157)</f>
        <v>1</v>
      </c>
      <c r="D157" s="36" t="str">
        <f ca="1" t="array" ref="D157">INDEX(Data_DBD!$F:$F,$A157)</f>
        <v>Sedang</v>
      </c>
      <c r="H157" s="36">
        <v>41</v>
      </c>
      <c r="I157" s="36">
        <v>4</v>
      </c>
      <c r="J157" s="36">
        <v>0</v>
      </c>
      <c r="K157" s="36" t="s">
        <v>8</v>
      </c>
      <c r="U157" s="44" t="s">
        <v>237</v>
      </c>
    </row>
    <row r="158" ht="15.75" spans="1:21">
      <c r="A158" s="36">
        <f ca="1" t="shared" si="2"/>
        <v>55</v>
      </c>
      <c r="B158" s="36" t="str">
        <f ca="1" t="array" ref="B158">INDEX(Data_DBD!$C:$C,$A158)</f>
        <v>4 Hari</v>
      </c>
      <c r="C158" s="36">
        <f ca="1" t="array" ref="C158">INDEX(Data_DBD!$E:$E,$A158)</f>
        <v>1</v>
      </c>
      <c r="D158" s="36" t="str">
        <f ca="1" t="array" ref="D158">INDEX(Data_DBD!$F:$F,$A158)</f>
        <v>Sedang</v>
      </c>
      <c r="H158" s="36">
        <v>142</v>
      </c>
      <c r="I158" s="36">
        <v>2</v>
      </c>
      <c r="J158" s="36">
        <v>1</v>
      </c>
      <c r="K158" s="36" t="s">
        <v>105</v>
      </c>
      <c r="U158" s="43" t="s">
        <v>190</v>
      </c>
    </row>
    <row r="159" ht="15.75" spans="1:21">
      <c r="A159" s="36">
        <f ca="1" t="shared" si="2"/>
        <v>94</v>
      </c>
      <c r="B159" s="36" t="str">
        <f ca="1" t="array" ref="B159">INDEX(Data_DBD!$C:$C,$A159)</f>
        <v>4 Hari</v>
      </c>
      <c r="C159" s="36">
        <f ca="1" t="array" ref="C159">INDEX(Data_DBD!$E:$E,$A159)</f>
        <v>0</v>
      </c>
      <c r="D159" s="36" t="str">
        <f ca="1" t="array" ref="D159">INDEX(Data_DBD!$F:$F,$A159)</f>
        <v>Tinggi</v>
      </c>
      <c r="H159" s="36">
        <v>155</v>
      </c>
      <c r="I159" s="36">
        <v>5</v>
      </c>
      <c r="J159" s="36">
        <v>1</v>
      </c>
      <c r="K159" s="36" t="s">
        <v>105</v>
      </c>
      <c r="U159" s="44" t="s">
        <v>238</v>
      </c>
    </row>
    <row r="160" ht="15.75" spans="1:21">
      <c r="A160" s="36">
        <f ca="1" t="shared" si="2"/>
        <v>101</v>
      </c>
      <c r="B160" s="36" t="str">
        <f ca="1" t="array" ref="B160">INDEX(Data_DBD!$C:$C,$A160)</f>
        <v>5 Hari</v>
      </c>
      <c r="C160" s="36">
        <f ca="1" t="array" ref="C160">INDEX(Data_DBD!$E:$E,$A160)</f>
        <v>0</v>
      </c>
      <c r="D160" s="36" t="str">
        <f ca="1" t="array" ref="D160">INDEX(Data_DBD!$F:$F,$A160)</f>
        <v>Tinggi</v>
      </c>
      <c r="H160" s="36">
        <v>98</v>
      </c>
      <c r="I160" s="36">
        <v>2</v>
      </c>
      <c r="J160" s="36">
        <v>1</v>
      </c>
      <c r="K160" s="36" t="s">
        <v>105</v>
      </c>
      <c r="U160" s="44" t="s">
        <v>239</v>
      </c>
    </row>
    <row r="161" ht="15.75" spans="1:21">
      <c r="A161" s="36">
        <f ca="1" t="shared" si="2"/>
        <v>149</v>
      </c>
      <c r="B161" s="36" t="str">
        <f ca="1" t="array" ref="B161">INDEX(Data_DBD!$C:$C,$A161)</f>
        <v>5 Hari</v>
      </c>
      <c r="C161" s="36">
        <f ca="1" t="array" ref="C161">INDEX(Data_DBD!$E:$E,$A161)</f>
        <v>0</v>
      </c>
      <c r="D161" s="36" t="str">
        <f ca="1" t="array" ref="D161">INDEX(Data_DBD!$F:$F,$A161)</f>
        <v>Tinggi</v>
      </c>
      <c r="H161" s="36">
        <v>28</v>
      </c>
      <c r="I161" s="36">
        <v>2</v>
      </c>
      <c r="J161" s="36">
        <v>1</v>
      </c>
      <c r="K161" s="36" t="s">
        <v>8</v>
      </c>
      <c r="U161" s="43" t="s">
        <v>193</v>
      </c>
    </row>
    <row r="162" ht="15.75" spans="1:21">
      <c r="A162" s="36">
        <f ca="1" t="shared" si="2"/>
        <v>65</v>
      </c>
      <c r="B162" s="36" t="str">
        <f ca="1" t="array" ref="B162">INDEX(Data_DBD!$C:$C,$A162)</f>
        <v>3 Hari</v>
      </c>
      <c r="C162" s="36">
        <f ca="1" t="array" ref="C162">INDEX(Data_DBD!$E:$E,$A162)</f>
        <v>0</v>
      </c>
      <c r="D162" s="36" t="str">
        <f ca="1" t="array" ref="D162">INDEX(Data_DBD!$F:$F,$A162)</f>
        <v>Sedang</v>
      </c>
      <c r="H162" s="36">
        <v>87</v>
      </c>
      <c r="I162" s="36">
        <v>3</v>
      </c>
      <c r="J162" s="36">
        <v>0</v>
      </c>
      <c r="K162" s="36" t="s">
        <v>8</v>
      </c>
      <c r="U162" s="44" t="s">
        <v>240</v>
      </c>
    </row>
    <row r="163" ht="15.75" spans="1:21">
      <c r="A163" s="36">
        <f ca="1" t="shared" si="2"/>
        <v>31</v>
      </c>
      <c r="B163" s="36" t="str">
        <f ca="1" t="array" ref="B163">INDEX(Data_DBD!$C:$C,$A163)</f>
        <v>4 Hari</v>
      </c>
      <c r="C163" s="36">
        <f ca="1" t="array" ref="C163">INDEX(Data_DBD!$E:$E,$A163)</f>
        <v>1</v>
      </c>
      <c r="D163" s="36" t="str">
        <f ca="1" t="array" ref="D163">INDEX(Data_DBD!$F:$F,$A163)</f>
        <v>Sedang</v>
      </c>
      <c r="H163" s="36">
        <v>120</v>
      </c>
      <c r="I163" s="36">
        <v>4</v>
      </c>
      <c r="J163" s="36">
        <v>1</v>
      </c>
      <c r="K163" s="36" t="s">
        <v>105</v>
      </c>
      <c r="U163" s="65"/>
    </row>
    <row r="164" spans="1:11">
      <c r="A164" s="36">
        <f ca="1" t="shared" si="2"/>
        <v>93</v>
      </c>
      <c r="B164" s="36" t="str">
        <f ca="1" t="array" ref="B164">INDEX(Data_DBD!$C:$C,$A164)</f>
        <v>4 Hari</v>
      </c>
      <c r="C164" s="36">
        <f ca="1" t="array" ref="C164">INDEX(Data_DBD!$E:$E,$A164)</f>
        <v>0</v>
      </c>
      <c r="D164" s="36" t="str">
        <f ca="1" t="array" ref="D164">INDEX(Data_DBD!$F:$F,$A164)</f>
        <v>Tinggi</v>
      </c>
      <c r="H164" s="36">
        <v>137</v>
      </c>
      <c r="I164" s="36">
        <v>1</v>
      </c>
      <c r="J164" s="36">
        <v>1</v>
      </c>
      <c r="K164" s="36" t="s">
        <v>105</v>
      </c>
    </row>
    <row r="165" spans="9:10">
      <c r="I165">
        <f>AVERAGE(I2:I164)</f>
        <v>3.54601226993865</v>
      </c>
      <c r="J165">
        <f>AVERAGE(J2:J164)</f>
        <v>0.56441717791411</v>
      </c>
    </row>
    <row r="167" spans="2:2">
      <c r="B167">
        <v>6</v>
      </c>
    </row>
    <row r="168" spans="9:14">
      <c r="I168" s="40" t="s">
        <v>208</v>
      </c>
      <c r="N168" s="40" t="s">
        <v>210</v>
      </c>
    </row>
    <row r="169" spans="9:16">
      <c r="I169" s="36" t="s">
        <v>211</v>
      </c>
      <c r="J169" s="36">
        <f>AVERAGEIF($I$2:$I$164,"&lt;="&amp;$I$165)</f>
        <v>2.44578313253012</v>
      </c>
      <c r="K169" s="36">
        <f>AVERAGEIF($I$2:$I$164,"&gt;"&amp;$I$165)</f>
        <v>4.6875</v>
      </c>
      <c r="N169" s="36" t="s">
        <v>213</v>
      </c>
      <c r="O169" s="36">
        <f>AVERAGEIF($J$2:$J$164,"&lt;="&amp;$J$165)</f>
        <v>0</v>
      </c>
      <c r="P169" s="36">
        <f>AVERAGEIF($J$2:$J$164,"&gt;"&amp;$J$165)</f>
        <v>1</v>
      </c>
    </row>
    <row r="170" spans="9:16">
      <c r="I170" s="36" t="str">
        <f t="array" ref="I170:I332">IF($I$2:$I$164&lt;$J$169,"kiri",IF($I$2:$I$164&lt;$K$169,"tengah","kanan"))</f>
        <v>kiri</v>
      </c>
      <c r="J170" s="36" t="s">
        <v>241</v>
      </c>
      <c r="K170" s="36"/>
      <c r="N170" s="36" t="str">
        <f t="array" ref="N170:N332">IF($J$2:$J$164&lt;$O$169,"kiri",IF($J$2:$J$164&lt;$P$169,"tengah","kanan"))</f>
        <v>kanan</v>
      </c>
      <c r="O170" s="36" t="s">
        <v>217</v>
      </c>
      <c r="P170" s="36"/>
    </row>
    <row r="171" spans="9:16">
      <c r="I171" s="36" t="str">
        <v>tengah</v>
      </c>
      <c r="J171" s="36">
        <f>COUNTIFS($I$170:$I$332,"Kanan",$K$2:$K$164,"Tinggi")</f>
        <v>19</v>
      </c>
      <c r="K171" s="36">
        <f>J171/40</f>
        <v>0.475</v>
      </c>
      <c r="N171" s="36" t="str">
        <v>kanan</v>
      </c>
      <c r="O171" s="36">
        <f>COUNTIFS($N$170:$N$332,"Kanan",$K$2:$K$164,"Tinggi")</f>
        <v>45</v>
      </c>
      <c r="P171" s="36">
        <f>O171/92</f>
        <v>0.489130434782609</v>
      </c>
    </row>
    <row r="172" spans="9:16">
      <c r="I172" s="36" t="str">
        <v>kanan</v>
      </c>
      <c r="J172" s="36">
        <f>COUNTIFS($I$170:$I$332,"Kanan",$K$2:$K$164,"Sedang")</f>
        <v>18</v>
      </c>
      <c r="K172" s="36">
        <f>J172/40</f>
        <v>0.45</v>
      </c>
      <c r="N172" s="36" t="str">
        <v>tengah</v>
      </c>
      <c r="O172" s="36">
        <f>COUNTIFS($N$170:$N$332,"Kanan",$K$2:$K$164,"Sedang")</f>
        <v>40</v>
      </c>
      <c r="P172" s="36">
        <f>O172/92</f>
        <v>0.434782608695652</v>
      </c>
    </row>
    <row r="173" spans="9:16">
      <c r="I173" s="36" t="str">
        <v>tengah</v>
      </c>
      <c r="J173" s="36">
        <f>COUNTIFS($I$170:$I$332,"Kanan",$K$2:$K$164,"Rendah")</f>
        <v>3</v>
      </c>
      <c r="K173" s="36">
        <f>J173/40</f>
        <v>0.075</v>
      </c>
      <c r="N173" s="36" t="str">
        <v>kanan</v>
      </c>
      <c r="O173" s="36">
        <f>COUNTIFS($N$170:$N$332,"Kanan",$K$2:$K$164,"Rendah")</f>
        <v>7</v>
      </c>
      <c r="P173" s="36">
        <f>O173/92</f>
        <v>0.0760869565217391</v>
      </c>
    </row>
    <row r="174" spans="9:16">
      <c r="I174" s="36" t="str">
        <v>tengah</v>
      </c>
      <c r="J174" s="36" t="s">
        <v>218</v>
      </c>
      <c r="K174" s="36">
        <f>-(IFERROR(K171*LOG(K171,2),0)+IFERROR(K172*LOG(K172,2),0)+IFERROR(K173*LOG(K173,2),0))</f>
        <v>1.30882408779853</v>
      </c>
      <c r="N174" s="36" t="str">
        <v>tengah</v>
      </c>
      <c r="O174" s="36" t="s">
        <v>218</v>
      </c>
      <c r="P174" s="36">
        <f>-(IFERROR(P171*LOG(P171,2),0)+IFERROR(P172*LOG(P172,2),0)+IFERROR(P173*LOG(P173,2),0))</f>
        <v>1.30984459100557</v>
      </c>
    </row>
    <row r="175" spans="9:16">
      <c r="I175" s="36" t="str">
        <v>tengah</v>
      </c>
      <c r="J175" s="36"/>
      <c r="K175" s="36">
        <f>SUM(J171:J173)/163</f>
        <v>0.245398773006135</v>
      </c>
      <c r="N175" s="36" t="str">
        <v>kanan</v>
      </c>
      <c r="O175" s="36"/>
      <c r="P175" s="36">
        <f>SUM(O171:O173)/163</f>
        <v>0.56441717791411</v>
      </c>
    </row>
    <row r="176" spans="9:16">
      <c r="I176" s="36" t="str">
        <v>kiri</v>
      </c>
      <c r="J176" s="36"/>
      <c r="K176" s="41">
        <f>K174*K175</f>
        <v>0.321183825226634</v>
      </c>
      <c r="N176" s="36" t="str">
        <v>kanan</v>
      </c>
      <c r="O176" s="36"/>
      <c r="P176" s="41">
        <f>P174*P175</f>
        <v>0.739298787561424</v>
      </c>
    </row>
    <row r="177" spans="9:16">
      <c r="I177" s="36" t="str">
        <v>tengah</v>
      </c>
      <c r="J177" s="36"/>
      <c r="K177" s="36"/>
      <c r="N177" s="36" t="str">
        <v>kanan</v>
      </c>
      <c r="O177" s="36"/>
      <c r="P177" s="36"/>
    </row>
    <row r="178" spans="9:16">
      <c r="I178" s="36" t="str">
        <v>tengah</v>
      </c>
      <c r="J178" s="36"/>
      <c r="K178" s="36"/>
      <c r="N178" s="36" t="str">
        <v>kanan</v>
      </c>
      <c r="O178" s="36"/>
      <c r="P178" s="36"/>
    </row>
    <row r="179" spans="9:16">
      <c r="I179" s="36" t="str">
        <v>tengah</v>
      </c>
      <c r="J179" s="36" t="s">
        <v>242</v>
      </c>
      <c r="K179" s="36"/>
      <c r="N179" s="36" t="str">
        <v>tengah</v>
      </c>
      <c r="O179" s="36" t="s">
        <v>222</v>
      </c>
      <c r="P179" s="36"/>
    </row>
    <row r="180" spans="9:16">
      <c r="I180" s="36" t="str">
        <v>kanan</v>
      </c>
      <c r="J180" s="36">
        <f>COUNTIFS($I$170:$I$332,"Kiri",$K$2:$K$164,"Tinggi")</f>
        <v>23</v>
      </c>
      <c r="K180" s="36">
        <f>J180/36</f>
        <v>0.638888888888889</v>
      </c>
      <c r="N180" s="36" t="str">
        <v>tengah</v>
      </c>
      <c r="O180" s="36">
        <f>COUNTIFS($N$170:$N$332,"Kiri",$K$2:$K$164,"Tinggi")</f>
        <v>0</v>
      </c>
      <c r="P180" s="36">
        <f>O180/57</f>
        <v>0</v>
      </c>
    </row>
    <row r="181" spans="9:16">
      <c r="I181" s="36" t="str">
        <v>kanan</v>
      </c>
      <c r="J181" s="36">
        <f>COUNTIFS($I$170:$I$332,"Kiri",$K$2:$K$164,"Sedang")</f>
        <v>9</v>
      </c>
      <c r="K181" s="36">
        <f>J181/36</f>
        <v>0.25</v>
      </c>
      <c r="N181" s="36" t="str">
        <v>tengah</v>
      </c>
      <c r="O181" s="36">
        <f>COUNTIFS($N$170:$N$332,"Kiri",$K$2:$K$164,"Sedang")</f>
        <v>0</v>
      </c>
      <c r="P181" s="36">
        <f>O181/57</f>
        <v>0</v>
      </c>
    </row>
    <row r="182" spans="9:16">
      <c r="I182" s="36" t="str">
        <v>kiri</v>
      </c>
      <c r="J182" s="36">
        <f>COUNTIFS($I$170:$I$332,"Kiri",$K$2:$K$164,"Rendah")</f>
        <v>4</v>
      </c>
      <c r="K182" s="36">
        <f>J182/36</f>
        <v>0.111111111111111</v>
      </c>
      <c r="N182" s="36" t="str">
        <v>kanan</v>
      </c>
      <c r="O182" s="36">
        <f>COUNTIFS($N$170:$N$332,"Kiri",$K$2:$K$164,"Rendah")</f>
        <v>0</v>
      </c>
      <c r="P182" s="36">
        <f>O182/57</f>
        <v>0</v>
      </c>
    </row>
    <row r="183" spans="9:16">
      <c r="I183" s="36" t="str">
        <v>kanan</v>
      </c>
      <c r="J183" s="36" t="s">
        <v>218</v>
      </c>
      <c r="K183" s="36">
        <f>-(IFERROR(K180*LOG(K180,2),0)+IFERROR(K181*LOG(K181,2),0)+IFERROR(K182*LOG(K182,2),0))</f>
        <v>1.2651680569342</v>
      </c>
      <c r="N183" s="36" t="str">
        <v>tengah</v>
      </c>
      <c r="O183" s="36" t="s">
        <v>218</v>
      </c>
      <c r="P183" s="36">
        <f>-(IFERROR(P180*LOG(P180,2),0)+IFERROR(P181*LOG(P181,2),0)+IFERROR(P182*LOG(P182,2),0))</f>
        <v>0</v>
      </c>
    </row>
    <row r="184" spans="9:16">
      <c r="I184" s="36" t="str">
        <v>kanan</v>
      </c>
      <c r="J184" s="36"/>
      <c r="K184" s="36">
        <f>SUM(J180:J182)/163</f>
        <v>0.220858895705521</v>
      </c>
      <c r="N184" s="36" t="str">
        <v>kanan</v>
      </c>
      <c r="O184" s="36"/>
      <c r="P184" s="36">
        <f>SUM(O180:O182)/163</f>
        <v>0</v>
      </c>
    </row>
    <row r="185" spans="9:16">
      <c r="I185" s="36" t="str">
        <v>tengah</v>
      </c>
      <c r="J185" s="36"/>
      <c r="K185" s="41">
        <f>K183*K184</f>
        <v>0.279423619936387</v>
      </c>
      <c r="N185" s="36" t="str">
        <v>kanan</v>
      </c>
      <c r="O185" s="36"/>
      <c r="P185" s="41">
        <f>P183*P184</f>
        <v>0</v>
      </c>
    </row>
    <row r="186" spans="9:16">
      <c r="I186" s="36" t="str">
        <v>tengah</v>
      </c>
      <c r="J186" s="36"/>
      <c r="K186" s="36"/>
      <c r="N186" s="36" t="str">
        <v>kanan</v>
      </c>
      <c r="O186" s="36"/>
      <c r="P186" s="36"/>
    </row>
    <row r="187" spans="9:16">
      <c r="I187" s="36" t="str">
        <v>tengah</v>
      </c>
      <c r="J187" s="36"/>
      <c r="K187" s="36"/>
      <c r="N187" s="36" t="str">
        <v>tengah</v>
      </c>
      <c r="O187" s="36"/>
      <c r="P187" s="36"/>
    </row>
    <row r="188" spans="9:16">
      <c r="I188" s="36" t="str">
        <v>kanan</v>
      </c>
      <c r="J188" s="36" t="s">
        <v>223</v>
      </c>
      <c r="K188" s="36"/>
      <c r="N188" s="36" t="str">
        <v>kanan</v>
      </c>
      <c r="O188" s="36" t="s">
        <v>223</v>
      </c>
      <c r="P188" s="36"/>
    </row>
    <row r="189" spans="9:16">
      <c r="I189" s="36" t="str">
        <v>kanan</v>
      </c>
      <c r="J189" s="36">
        <f>COUNTIFS($I$170:$I$332,"Tengah",$K$2:$K$164,"Tinggi")</f>
        <v>28</v>
      </c>
      <c r="K189" s="36">
        <f>J189/87</f>
        <v>0.32183908045977</v>
      </c>
      <c r="N189" s="36" t="str">
        <v>kanan</v>
      </c>
      <c r="O189" s="36">
        <f>COUNTIFS($N$170:$N$332,"Tengah",$K$2:$K$164,"Tinggi")</f>
        <v>25</v>
      </c>
      <c r="P189" s="36">
        <f>O189/71</f>
        <v>0.352112676056338</v>
      </c>
    </row>
    <row r="190" spans="9:16">
      <c r="I190" s="36" t="str">
        <v>kiri</v>
      </c>
      <c r="J190" s="36">
        <f>COUNTIFS($I$170:$I$332,"Tengah",$K$2:$K$164,"Sedang")</f>
        <v>54</v>
      </c>
      <c r="K190" s="36">
        <f>J190/87</f>
        <v>0.620689655172414</v>
      </c>
      <c r="N190" s="36" t="str">
        <v>tengah</v>
      </c>
      <c r="O190" s="36">
        <f>COUNTIFS($N$170:$N$332,"Tengah",$K$2:$K$164,"Sedang")</f>
        <v>41</v>
      </c>
      <c r="P190" s="36">
        <f>O190/71</f>
        <v>0.577464788732394</v>
      </c>
    </row>
    <row r="191" spans="9:16">
      <c r="I191" s="36" t="str">
        <v>tengah</v>
      </c>
      <c r="J191" s="36">
        <f>COUNTIFS($I$170:$I$332,"Tengah",$K$2:$K$164,"Rendah")</f>
        <v>5</v>
      </c>
      <c r="K191" s="36">
        <f>J191/87</f>
        <v>0.0574712643678161</v>
      </c>
      <c r="N191" s="36" t="str">
        <v>kanan</v>
      </c>
      <c r="O191" s="36">
        <f>COUNTIFS($N$170:$N$332,"Tengah",$K$2:$K$164,"Rendah")</f>
        <v>5</v>
      </c>
      <c r="P191" s="36">
        <f>O191/71</f>
        <v>0.0704225352112676</v>
      </c>
    </row>
    <row r="192" spans="9:16">
      <c r="I192" s="36" t="str">
        <v>kiri</v>
      </c>
      <c r="J192" s="36" t="s">
        <v>218</v>
      </c>
      <c r="K192" s="36">
        <f>-(IFERROR(K189*LOG(K189,2),0)+IFERROR(K190*LOG(K190,2),0)+IFERROR(K191*LOG(K191,2),0))</f>
        <v>1.19030552563175</v>
      </c>
      <c r="N192" s="36" t="str">
        <v>kanan</v>
      </c>
      <c r="O192" s="36" t="s">
        <v>218</v>
      </c>
      <c r="P192" s="36">
        <f>-(IFERROR(P189*LOG(P189,2),0)+IFERROR(P190*LOG(P190,2),0)+IFERROR(P191*LOG(P191,2),0))</f>
        <v>1.25727278981248</v>
      </c>
    </row>
    <row r="193" spans="9:16">
      <c r="I193" s="36" t="str">
        <v>tengah</v>
      </c>
      <c r="J193" s="36"/>
      <c r="K193" s="36">
        <f>SUM(J189:J191)/163</f>
        <v>0.533742331288344</v>
      </c>
      <c r="N193" s="36" t="str">
        <v>tengah</v>
      </c>
      <c r="O193" s="36"/>
      <c r="P193" s="36">
        <f>SUM(O189:O191)/163</f>
        <v>0.43558282208589</v>
      </c>
    </row>
    <row r="194" spans="9:16">
      <c r="I194" s="36" t="str">
        <v>kiri</v>
      </c>
      <c r="J194" s="36"/>
      <c r="K194" s="41">
        <f>K192*K193</f>
        <v>0.635316446196088</v>
      </c>
      <c r="N194" s="36" t="str">
        <v>kanan</v>
      </c>
      <c r="O194" s="36"/>
      <c r="P194" s="41">
        <f>P192*P193</f>
        <v>0.547646429918319</v>
      </c>
    </row>
    <row r="195" spans="9:16">
      <c r="I195" s="36" t="str">
        <v>tengah</v>
      </c>
      <c r="J195" s="36"/>
      <c r="K195" s="36"/>
      <c r="N195" s="36" t="str">
        <v>tengah</v>
      </c>
      <c r="O195" s="36"/>
      <c r="P195" s="36"/>
    </row>
    <row r="196" spans="9:16">
      <c r="I196" s="36" t="str">
        <v>tengah</v>
      </c>
      <c r="J196" s="36" t="s">
        <v>224</v>
      </c>
      <c r="K196" s="45" t="s">
        <v>218</v>
      </c>
      <c r="N196" s="36" t="str">
        <v>tengah</v>
      </c>
      <c r="O196" s="36" t="s">
        <v>224</v>
      </c>
      <c r="P196" s="45" t="s">
        <v>218</v>
      </c>
    </row>
    <row r="197" spans="9:16">
      <c r="I197" s="36" t="str">
        <v>tengah</v>
      </c>
      <c r="J197" s="46">
        <f>P5-(K176+K185+K194)</f>
        <v>0.0661956038016811</v>
      </c>
      <c r="K197" s="41">
        <f>(K176+K185+K194)</f>
        <v>1.23592389135911</v>
      </c>
      <c r="N197" s="36" t="str">
        <v>kanan</v>
      </c>
      <c r="O197" s="46">
        <f>P5-(P176+P185+P194)</f>
        <v>0.0151742776810466</v>
      </c>
      <c r="P197" s="41">
        <f>(P176+P185+P194)</f>
        <v>1.28694521747974</v>
      </c>
    </row>
    <row r="198" spans="9:16">
      <c r="I198" s="36" t="str">
        <v>tengah</v>
      </c>
      <c r="J198" s="36"/>
      <c r="K198" s="36"/>
      <c r="N198" s="36" t="str">
        <v>kanan</v>
      </c>
      <c r="O198" s="36"/>
      <c r="P198" s="36"/>
    </row>
    <row r="199" spans="9:16">
      <c r="I199" s="36" t="str">
        <v>tengah</v>
      </c>
      <c r="J199" s="36"/>
      <c r="K199" s="36"/>
      <c r="N199" s="36" t="str">
        <v>kanan</v>
      </c>
      <c r="O199" s="36"/>
      <c r="P199" s="36"/>
    </row>
    <row r="200" spans="9:16">
      <c r="I200" s="36" t="str">
        <v>tengah</v>
      </c>
      <c r="J200" s="36"/>
      <c r="K200" s="36"/>
      <c r="N200" s="36" t="str">
        <v>tengah</v>
      </c>
      <c r="O200" s="36"/>
      <c r="P200" s="36"/>
    </row>
    <row r="201" spans="9:16">
      <c r="I201" s="36" t="str">
        <v>kiri</v>
      </c>
      <c r="J201" s="36"/>
      <c r="K201" s="36"/>
      <c r="N201" s="36" t="str">
        <v>kanan</v>
      </c>
      <c r="O201" s="36"/>
      <c r="P201" s="36"/>
    </row>
    <row r="202" spans="9:16">
      <c r="I202" s="36" t="str">
        <v>kanan</v>
      </c>
      <c r="J202" s="36"/>
      <c r="K202" s="36"/>
      <c r="N202" s="36" t="str">
        <v>tengah</v>
      </c>
      <c r="O202" s="36"/>
      <c r="P202" s="36"/>
    </row>
    <row r="203" spans="9:16">
      <c r="I203" s="36" t="str">
        <v>kiri</v>
      </c>
      <c r="J203" s="36"/>
      <c r="K203" s="36"/>
      <c r="N203" s="36" t="str">
        <v>kanan</v>
      </c>
      <c r="O203" s="36"/>
      <c r="P203" s="36"/>
    </row>
    <row r="204" spans="9:16">
      <c r="I204" s="36" t="str">
        <v>kiri</v>
      </c>
      <c r="J204" s="36"/>
      <c r="K204" s="36"/>
      <c r="N204" s="36" t="str">
        <v>tengah</v>
      </c>
      <c r="O204" s="36"/>
      <c r="P204" s="36"/>
    </row>
    <row r="205" spans="9:16">
      <c r="I205" s="36" t="str">
        <v>tengah</v>
      </c>
      <c r="J205" s="36"/>
      <c r="K205" s="36"/>
      <c r="N205" s="36" t="str">
        <v>kanan</v>
      </c>
      <c r="O205" s="36"/>
      <c r="P205" s="36"/>
    </row>
    <row r="206" spans="9:16">
      <c r="I206" s="36" t="str">
        <v>tengah</v>
      </c>
      <c r="J206" s="36"/>
      <c r="K206" s="36"/>
      <c r="N206" s="36" t="str">
        <v>kanan</v>
      </c>
      <c r="O206" s="36"/>
      <c r="P206" s="36"/>
    </row>
    <row r="207" spans="9:16">
      <c r="I207" s="36" t="str">
        <v>tengah</v>
      </c>
      <c r="J207" s="36"/>
      <c r="K207" s="36"/>
      <c r="N207" s="36" t="str">
        <v>tengah</v>
      </c>
      <c r="O207" s="36"/>
      <c r="P207" s="36"/>
    </row>
    <row r="208" spans="9:16">
      <c r="I208" s="36" t="str">
        <v>kanan</v>
      </c>
      <c r="J208" s="36"/>
      <c r="K208" s="36"/>
      <c r="N208" s="36" t="str">
        <v>tengah</v>
      </c>
      <c r="O208" s="36"/>
      <c r="P208" s="36"/>
    </row>
    <row r="209" spans="9:16">
      <c r="I209" s="36" t="str">
        <v>kanan</v>
      </c>
      <c r="J209" s="36"/>
      <c r="K209" s="36"/>
      <c r="N209" s="36" t="str">
        <v>kanan</v>
      </c>
      <c r="O209" s="36"/>
      <c r="P209" s="36"/>
    </row>
    <row r="210" spans="9:16">
      <c r="I210" s="36" t="str">
        <v>tengah</v>
      </c>
      <c r="J210" s="36"/>
      <c r="K210" s="36"/>
      <c r="N210" s="36" t="str">
        <v>kanan</v>
      </c>
      <c r="O210" s="36"/>
      <c r="P210" s="36"/>
    </row>
    <row r="211" spans="9:16">
      <c r="I211" s="36" t="str">
        <v>tengah</v>
      </c>
      <c r="J211" s="36"/>
      <c r="K211" s="36"/>
      <c r="N211" s="36" t="str">
        <v>kanan</v>
      </c>
      <c r="O211" s="36"/>
      <c r="P211" s="36"/>
    </row>
    <row r="212" spans="9:16">
      <c r="I212" s="36" t="str">
        <v>kiri</v>
      </c>
      <c r="J212" s="36"/>
      <c r="K212" s="36"/>
      <c r="N212" s="36" t="str">
        <v>kanan</v>
      </c>
      <c r="O212" s="36"/>
      <c r="P212" s="36"/>
    </row>
    <row r="213" spans="9:16">
      <c r="I213" s="36" t="str">
        <v>tengah</v>
      </c>
      <c r="J213" s="36"/>
      <c r="K213" s="36"/>
      <c r="N213" s="36" t="str">
        <v>tengah</v>
      </c>
      <c r="O213" s="36"/>
      <c r="P213" s="36"/>
    </row>
    <row r="214" spans="9:16">
      <c r="I214" s="36" t="str">
        <v>kanan</v>
      </c>
      <c r="J214" s="36"/>
      <c r="K214" s="36"/>
      <c r="N214" s="36" t="str">
        <v>tengah</v>
      </c>
      <c r="O214" s="36"/>
      <c r="P214" s="36"/>
    </row>
    <row r="215" spans="9:16">
      <c r="I215" s="36" t="str">
        <v>tengah</v>
      </c>
      <c r="J215" s="36"/>
      <c r="K215" s="36"/>
      <c r="N215" s="36" t="str">
        <v>kanan</v>
      </c>
      <c r="O215" s="36"/>
      <c r="P215" s="36"/>
    </row>
    <row r="216" spans="9:16">
      <c r="I216" s="36" t="str">
        <v>kanan</v>
      </c>
      <c r="J216" s="36"/>
      <c r="K216" s="36"/>
      <c r="N216" s="36" t="str">
        <v>kanan</v>
      </c>
      <c r="O216" s="36"/>
      <c r="P216" s="36"/>
    </row>
    <row r="217" spans="9:16">
      <c r="I217" s="36" t="str">
        <v>kiri</v>
      </c>
      <c r="J217" s="36"/>
      <c r="K217" s="36"/>
      <c r="N217" s="36" t="str">
        <v>tengah</v>
      </c>
      <c r="O217" s="36"/>
      <c r="P217" s="36"/>
    </row>
    <row r="218" spans="9:16">
      <c r="I218" s="36" t="str">
        <v>kiri</v>
      </c>
      <c r="J218" s="36"/>
      <c r="K218" s="36"/>
      <c r="N218" s="36" t="str">
        <v>kanan</v>
      </c>
      <c r="O218" s="36"/>
      <c r="P218" s="36"/>
    </row>
    <row r="219" spans="9:16">
      <c r="I219" s="36" t="str">
        <v>kanan</v>
      </c>
      <c r="J219" s="36"/>
      <c r="K219" s="36"/>
      <c r="N219" s="36" t="str">
        <v>kanan</v>
      </c>
      <c r="O219" s="36"/>
      <c r="P219" s="36"/>
    </row>
    <row r="220" spans="9:16">
      <c r="I220" s="36" t="str">
        <v>kanan</v>
      </c>
      <c r="J220" s="36"/>
      <c r="K220" s="36"/>
      <c r="N220" s="36" t="str">
        <v>kanan</v>
      </c>
      <c r="O220" s="36"/>
      <c r="P220" s="36"/>
    </row>
    <row r="221" spans="9:16">
      <c r="I221" s="36" t="str">
        <v>tengah</v>
      </c>
      <c r="J221" s="36"/>
      <c r="K221" s="36"/>
      <c r="N221" s="36" t="str">
        <v>tengah</v>
      </c>
      <c r="O221" s="36"/>
      <c r="P221" s="36"/>
    </row>
    <row r="222" spans="9:16">
      <c r="I222" s="36" t="str">
        <v>tengah</v>
      </c>
      <c r="J222" s="36"/>
      <c r="K222" s="36"/>
      <c r="N222" s="36" t="str">
        <v>tengah</v>
      </c>
      <c r="O222" s="36"/>
      <c r="P222" s="36"/>
    </row>
    <row r="223" spans="9:16">
      <c r="I223" s="36" t="str">
        <v>tengah</v>
      </c>
      <c r="J223" s="36"/>
      <c r="K223" s="36"/>
      <c r="N223" s="36" t="str">
        <v>kanan</v>
      </c>
      <c r="O223" s="36"/>
      <c r="P223" s="36"/>
    </row>
    <row r="224" spans="9:16">
      <c r="I224" s="36" t="str">
        <v>kanan</v>
      </c>
      <c r="J224" s="36"/>
      <c r="K224" s="36"/>
      <c r="N224" s="36" t="str">
        <v>kanan</v>
      </c>
      <c r="O224" s="36"/>
      <c r="P224" s="36"/>
    </row>
    <row r="225" spans="9:16">
      <c r="I225" s="36" t="str">
        <v>tengah</v>
      </c>
      <c r="J225" s="36"/>
      <c r="K225" s="36"/>
      <c r="N225" s="36" t="str">
        <v>tengah</v>
      </c>
      <c r="O225" s="36"/>
      <c r="P225" s="36"/>
    </row>
    <row r="226" spans="9:16">
      <c r="I226" s="36" t="str">
        <v>kanan</v>
      </c>
      <c r="J226" s="36"/>
      <c r="K226" s="36"/>
      <c r="N226" s="36" t="str">
        <v>tengah</v>
      </c>
      <c r="O226" s="36"/>
      <c r="P226" s="36"/>
    </row>
    <row r="227" spans="9:16">
      <c r="I227" s="36" t="str">
        <v>tengah</v>
      </c>
      <c r="J227" s="36"/>
      <c r="K227" s="36"/>
      <c r="N227" s="36" t="str">
        <v>tengah</v>
      </c>
      <c r="O227" s="36"/>
      <c r="P227" s="36"/>
    </row>
    <row r="228" spans="9:16">
      <c r="I228" s="36" t="str">
        <v>kanan</v>
      </c>
      <c r="J228" s="36"/>
      <c r="K228" s="36"/>
      <c r="N228" s="36" t="str">
        <v>tengah</v>
      </c>
      <c r="O228" s="36"/>
      <c r="P228" s="36"/>
    </row>
    <row r="229" spans="9:16">
      <c r="I229" s="36" t="str">
        <v>tengah</v>
      </c>
      <c r="J229" s="36"/>
      <c r="K229" s="36"/>
      <c r="N229" s="36" t="str">
        <v>kanan</v>
      </c>
      <c r="O229" s="36"/>
      <c r="P229" s="36"/>
    </row>
    <row r="230" spans="9:16">
      <c r="I230" s="36" t="str">
        <v>kanan</v>
      </c>
      <c r="J230" s="36"/>
      <c r="K230" s="36"/>
      <c r="N230" s="36" t="str">
        <v>tengah</v>
      </c>
      <c r="O230" s="36"/>
      <c r="P230" s="36"/>
    </row>
    <row r="231" spans="9:16">
      <c r="I231" s="36" t="str">
        <v>kanan</v>
      </c>
      <c r="J231" s="36"/>
      <c r="K231" s="36"/>
      <c r="N231" s="36" t="str">
        <v>kanan</v>
      </c>
      <c r="O231" s="36"/>
      <c r="P231" s="36"/>
    </row>
    <row r="232" spans="9:16">
      <c r="I232" s="36" t="str">
        <v>tengah</v>
      </c>
      <c r="J232" s="36"/>
      <c r="K232" s="36"/>
      <c r="N232" s="36" t="str">
        <v>tengah</v>
      </c>
      <c r="O232" s="36"/>
      <c r="P232" s="36"/>
    </row>
    <row r="233" spans="9:16">
      <c r="I233" s="36" t="str">
        <v>kanan</v>
      </c>
      <c r="J233" s="36"/>
      <c r="K233" s="36"/>
      <c r="N233" s="36" t="str">
        <v>tengah</v>
      </c>
      <c r="O233" s="36"/>
      <c r="P233" s="36"/>
    </row>
    <row r="234" spans="9:16">
      <c r="I234" s="36" t="str">
        <v>kiri</v>
      </c>
      <c r="J234" s="36"/>
      <c r="K234" s="36"/>
      <c r="N234" s="36" t="str">
        <v>kanan</v>
      </c>
      <c r="O234" s="36"/>
      <c r="P234" s="36"/>
    </row>
    <row r="235" spans="9:16">
      <c r="I235" s="36" t="str">
        <v>tengah</v>
      </c>
      <c r="J235" s="36"/>
      <c r="K235" s="36"/>
      <c r="N235" s="36" t="str">
        <v>tengah</v>
      </c>
      <c r="O235" s="36"/>
      <c r="P235" s="36"/>
    </row>
    <row r="236" spans="9:16">
      <c r="I236" s="36" t="str">
        <v>tengah</v>
      </c>
      <c r="J236" s="36"/>
      <c r="K236" s="36"/>
      <c r="N236" s="36" t="str">
        <v>kanan</v>
      </c>
      <c r="O236" s="36"/>
      <c r="P236" s="36"/>
    </row>
    <row r="237" spans="9:16">
      <c r="I237" s="36" t="str">
        <v>tengah</v>
      </c>
      <c r="J237" s="36"/>
      <c r="K237" s="36"/>
      <c r="N237" s="36" t="str">
        <v>kanan</v>
      </c>
      <c r="O237" s="36"/>
      <c r="P237" s="36"/>
    </row>
    <row r="238" spans="9:16">
      <c r="I238" s="36" t="str">
        <v>kanan</v>
      </c>
      <c r="J238" s="36"/>
      <c r="K238" s="36"/>
      <c r="N238" s="36" t="str">
        <v>kanan</v>
      </c>
      <c r="O238" s="36"/>
      <c r="P238" s="36"/>
    </row>
    <row r="239" spans="9:16">
      <c r="I239" s="36" t="str">
        <v>tengah</v>
      </c>
      <c r="J239" s="36"/>
      <c r="K239" s="36"/>
      <c r="N239" s="36" t="str">
        <v>tengah</v>
      </c>
      <c r="O239" s="36"/>
      <c r="P239" s="36"/>
    </row>
    <row r="240" spans="9:16">
      <c r="I240" s="36" t="str">
        <v>kanan</v>
      </c>
      <c r="J240" s="36"/>
      <c r="K240" s="36"/>
      <c r="N240" s="36" t="str">
        <v>tengah</v>
      </c>
      <c r="O240" s="36"/>
      <c r="P240" s="36"/>
    </row>
    <row r="241" spans="9:16">
      <c r="I241" s="36" t="str">
        <v>tengah</v>
      </c>
      <c r="J241" s="36"/>
      <c r="K241" s="36"/>
      <c r="N241" s="36" t="str">
        <v>kanan</v>
      </c>
      <c r="O241" s="36"/>
      <c r="P241" s="36"/>
    </row>
    <row r="242" spans="9:16">
      <c r="I242" s="36" t="str">
        <v>tengah</v>
      </c>
      <c r="J242" s="36"/>
      <c r="K242" s="36"/>
      <c r="N242" s="36" t="str">
        <v>tengah</v>
      </c>
      <c r="O242" s="36"/>
      <c r="P242" s="36"/>
    </row>
    <row r="243" spans="9:16">
      <c r="I243" s="36" t="str">
        <v>tengah</v>
      </c>
      <c r="J243" s="36"/>
      <c r="K243" s="36"/>
      <c r="N243" s="36" t="str">
        <v>kanan</v>
      </c>
      <c r="O243" s="36"/>
      <c r="P243" s="36"/>
    </row>
    <row r="244" spans="9:16">
      <c r="I244" s="36" t="str">
        <v>kanan</v>
      </c>
      <c r="J244" s="36"/>
      <c r="K244" s="36"/>
      <c r="N244" s="36" t="str">
        <v>tengah</v>
      </c>
      <c r="O244" s="36"/>
      <c r="P244" s="36"/>
    </row>
    <row r="245" spans="9:16">
      <c r="I245" s="36" t="str">
        <v>tengah</v>
      </c>
      <c r="J245" s="36"/>
      <c r="K245" s="36"/>
      <c r="N245" s="36" t="str">
        <v>kanan</v>
      </c>
      <c r="O245" s="36"/>
      <c r="P245" s="36"/>
    </row>
    <row r="246" spans="9:16">
      <c r="I246" s="36" t="str">
        <v>tengah</v>
      </c>
      <c r="J246" s="36"/>
      <c r="K246" s="36"/>
      <c r="N246" s="36" t="str">
        <v>tengah</v>
      </c>
      <c r="O246" s="36"/>
      <c r="P246" s="36"/>
    </row>
    <row r="247" spans="9:16">
      <c r="I247" s="36" t="str">
        <v>tengah</v>
      </c>
      <c r="J247" s="36"/>
      <c r="K247" s="36"/>
      <c r="N247" s="36" t="str">
        <v>tengah</v>
      </c>
      <c r="O247" s="36"/>
      <c r="P247" s="36"/>
    </row>
    <row r="248" spans="9:16">
      <c r="I248" s="36" t="str">
        <v>tengah</v>
      </c>
      <c r="J248" s="36"/>
      <c r="K248" s="36"/>
      <c r="N248" s="36" t="str">
        <v>kanan</v>
      </c>
      <c r="O248" s="36"/>
      <c r="P248" s="36"/>
    </row>
    <row r="249" spans="9:16">
      <c r="I249" s="36" t="str">
        <v>kanan</v>
      </c>
      <c r="J249" s="36"/>
      <c r="K249" s="36"/>
      <c r="N249" s="36" t="str">
        <v>kanan</v>
      </c>
      <c r="O249" s="36"/>
      <c r="P249" s="36"/>
    </row>
    <row r="250" spans="9:16">
      <c r="I250" s="36" t="str">
        <v>tengah</v>
      </c>
      <c r="J250" s="36"/>
      <c r="K250" s="36"/>
      <c r="N250" s="36" t="str">
        <v>tengah</v>
      </c>
      <c r="O250" s="36"/>
      <c r="P250" s="36"/>
    </row>
    <row r="251" spans="9:16">
      <c r="I251" s="36" t="str">
        <v>tengah</v>
      </c>
      <c r="J251" s="36"/>
      <c r="K251" s="36"/>
      <c r="N251" s="36" t="str">
        <v>kanan</v>
      </c>
      <c r="O251" s="36"/>
      <c r="P251" s="36"/>
    </row>
    <row r="252" spans="9:16">
      <c r="I252" s="36" t="str">
        <v>tengah</v>
      </c>
      <c r="J252" s="36"/>
      <c r="K252" s="36"/>
      <c r="N252" s="36" t="str">
        <v>tengah</v>
      </c>
      <c r="O252" s="36"/>
      <c r="P252" s="36"/>
    </row>
    <row r="253" spans="9:16">
      <c r="I253" s="36" t="str">
        <v>kiri</v>
      </c>
      <c r="J253" s="36"/>
      <c r="K253" s="36"/>
      <c r="N253" s="36" t="str">
        <v>kanan</v>
      </c>
      <c r="O253" s="36"/>
      <c r="P253" s="36"/>
    </row>
    <row r="254" spans="9:16">
      <c r="I254" s="36" t="str">
        <v>tengah</v>
      </c>
      <c r="J254" s="36"/>
      <c r="K254" s="36"/>
      <c r="N254" s="36" t="str">
        <v>tengah</v>
      </c>
      <c r="O254" s="36"/>
      <c r="P254" s="36"/>
    </row>
    <row r="255" spans="9:16">
      <c r="I255" s="36" t="str">
        <v>kanan</v>
      </c>
      <c r="J255" s="36"/>
      <c r="K255" s="36"/>
      <c r="N255" s="36" t="str">
        <v>tengah</v>
      </c>
      <c r="O255" s="36"/>
      <c r="P255" s="36"/>
    </row>
    <row r="256" spans="9:16">
      <c r="I256" s="36" t="str">
        <v>tengah</v>
      </c>
      <c r="J256" s="36"/>
      <c r="K256" s="36"/>
      <c r="N256" s="36" t="str">
        <v>kanan</v>
      </c>
      <c r="O256" s="36"/>
      <c r="P256" s="36"/>
    </row>
    <row r="257" spans="9:16">
      <c r="I257" s="36" t="str">
        <v>tengah</v>
      </c>
      <c r="J257" s="36"/>
      <c r="K257" s="36"/>
      <c r="N257" s="36" t="str">
        <v>kanan</v>
      </c>
      <c r="O257" s="36"/>
      <c r="P257" s="36"/>
    </row>
    <row r="258" spans="9:16">
      <c r="I258" s="36" t="str">
        <v>kiri</v>
      </c>
      <c r="J258" s="36"/>
      <c r="K258" s="36"/>
      <c r="N258" s="36" t="str">
        <v>kanan</v>
      </c>
      <c r="O258" s="36"/>
      <c r="P258" s="36"/>
    </row>
    <row r="259" spans="9:16">
      <c r="I259" s="36" t="str">
        <v>kiri</v>
      </c>
      <c r="J259" s="36"/>
      <c r="K259" s="36"/>
      <c r="N259" s="36" t="str">
        <v>tengah</v>
      </c>
      <c r="O259" s="36"/>
      <c r="P259" s="36"/>
    </row>
    <row r="260" spans="9:16">
      <c r="I260" s="36" t="str">
        <v>kanan</v>
      </c>
      <c r="J260" s="36"/>
      <c r="K260" s="36"/>
      <c r="N260" s="36" t="str">
        <v>tengah</v>
      </c>
      <c r="O260" s="36"/>
      <c r="P260" s="36"/>
    </row>
    <row r="261" spans="9:16">
      <c r="I261" s="36" t="str">
        <v>tengah</v>
      </c>
      <c r="J261" s="36"/>
      <c r="K261" s="36"/>
      <c r="N261" s="36" t="str">
        <v>kanan</v>
      </c>
      <c r="O261" s="36"/>
      <c r="P261" s="36"/>
    </row>
    <row r="262" spans="9:16">
      <c r="I262" s="36" t="str">
        <v>kiri</v>
      </c>
      <c r="J262" s="36"/>
      <c r="K262" s="36"/>
      <c r="N262" s="36" t="str">
        <v>tengah</v>
      </c>
      <c r="O262" s="36"/>
      <c r="P262" s="36"/>
    </row>
    <row r="263" spans="9:16">
      <c r="I263" s="36" t="str">
        <v>tengah</v>
      </c>
      <c r="J263" s="36"/>
      <c r="K263" s="36"/>
      <c r="N263" s="36" t="str">
        <v>kanan</v>
      </c>
      <c r="O263" s="36"/>
      <c r="P263" s="36"/>
    </row>
    <row r="264" spans="9:16">
      <c r="I264" s="36" t="str">
        <v>kiri</v>
      </c>
      <c r="J264" s="36"/>
      <c r="K264" s="36"/>
      <c r="N264" s="36" t="str">
        <v>kanan</v>
      </c>
      <c r="O264" s="36"/>
      <c r="P264" s="36"/>
    </row>
    <row r="265" spans="9:16">
      <c r="I265" s="36" t="str">
        <v>kanan</v>
      </c>
      <c r="J265" s="36"/>
      <c r="K265" s="36"/>
      <c r="N265" s="36" t="str">
        <v>kanan</v>
      </c>
      <c r="O265" s="36"/>
      <c r="P265" s="36"/>
    </row>
    <row r="266" spans="9:16">
      <c r="I266" s="36" t="str">
        <v>tengah</v>
      </c>
      <c r="J266" s="36"/>
      <c r="K266" s="36"/>
      <c r="N266" s="36" t="str">
        <v>kanan</v>
      </c>
      <c r="O266" s="36"/>
      <c r="P266" s="36"/>
    </row>
    <row r="267" spans="9:16">
      <c r="I267" s="36" t="str">
        <v>kanan</v>
      </c>
      <c r="J267" s="36"/>
      <c r="K267" s="36"/>
      <c r="N267" s="36" t="str">
        <v>tengah</v>
      </c>
      <c r="O267" s="36"/>
      <c r="P267" s="36"/>
    </row>
    <row r="268" spans="9:16">
      <c r="I268" s="36" t="str">
        <v>kiri</v>
      </c>
      <c r="J268" s="36"/>
      <c r="K268" s="36"/>
      <c r="N268" s="36" t="str">
        <v>tengah</v>
      </c>
      <c r="O268" s="36"/>
      <c r="P268" s="36"/>
    </row>
    <row r="269" spans="9:16">
      <c r="I269" s="36" t="str">
        <v>tengah</v>
      </c>
      <c r="J269" s="36"/>
      <c r="K269" s="36"/>
      <c r="N269" s="36" t="str">
        <v>tengah</v>
      </c>
      <c r="O269" s="36"/>
      <c r="P269" s="36"/>
    </row>
    <row r="270" spans="9:16">
      <c r="I270" s="36" t="str">
        <v>kiri</v>
      </c>
      <c r="J270" s="36"/>
      <c r="K270" s="36"/>
      <c r="N270" s="36" t="str">
        <v>kanan</v>
      </c>
      <c r="O270" s="36"/>
      <c r="P270" s="36"/>
    </row>
    <row r="271" spans="9:16">
      <c r="I271" s="36" t="str">
        <v>kiri</v>
      </c>
      <c r="J271" s="36"/>
      <c r="K271" s="36"/>
      <c r="N271" s="36" t="str">
        <v>kanan</v>
      </c>
      <c r="O271" s="36"/>
      <c r="P271" s="36"/>
    </row>
    <row r="272" spans="9:16">
      <c r="I272" s="36" t="str">
        <v>tengah</v>
      </c>
      <c r="J272" s="36"/>
      <c r="K272" s="36"/>
      <c r="N272" s="36" t="str">
        <v>kanan</v>
      </c>
      <c r="O272" s="36"/>
      <c r="P272" s="36"/>
    </row>
    <row r="273" spans="9:16">
      <c r="I273" s="36" t="str">
        <v>tengah</v>
      </c>
      <c r="J273" s="36"/>
      <c r="K273" s="36"/>
      <c r="N273" s="36" t="str">
        <v>kanan</v>
      </c>
      <c r="O273" s="36"/>
      <c r="P273" s="36"/>
    </row>
    <row r="274" spans="9:16">
      <c r="I274" s="36" t="str">
        <v>kiri</v>
      </c>
      <c r="J274" s="36"/>
      <c r="K274" s="36"/>
      <c r="N274" s="36" t="str">
        <v>kanan</v>
      </c>
      <c r="O274" s="36"/>
      <c r="P274" s="36"/>
    </row>
    <row r="275" spans="9:16">
      <c r="I275" s="36" t="str">
        <v>tengah</v>
      </c>
      <c r="J275" s="36"/>
      <c r="K275" s="36"/>
      <c r="N275" s="36" t="str">
        <v>kanan</v>
      </c>
      <c r="O275" s="36"/>
      <c r="P275" s="36"/>
    </row>
    <row r="276" spans="9:16">
      <c r="I276" s="36" t="str">
        <v>tengah</v>
      </c>
      <c r="J276" s="36"/>
      <c r="K276" s="36"/>
      <c r="N276" s="36" t="str">
        <v>kanan</v>
      </c>
      <c r="O276" s="36"/>
      <c r="P276" s="36"/>
    </row>
    <row r="277" spans="9:16">
      <c r="I277" s="36" t="str">
        <v>kanan</v>
      </c>
      <c r="J277" s="36"/>
      <c r="K277" s="36"/>
      <c r="N277" s="36" t="str">
        <v>kanan</v>
      </c>
      <c r="O277" s="36"/>
      <c r="P277" s="36"/>
    </row>
    <row r="278" spans="9:16">
      <c r="I278" s="36" t="str">
        <v>tengah</v>
      </c>
      <c r="J278" s="36"/>
      <c r="K278" s="36"/>
      <c r="N278" s="36" t="str">
        <v>kanan</v>
      </c>
      <c r="O278" s="36"/>
      <c r="P278" s="36"/>
    </row>
    <row r="279" spans="9:16">
      <c r="I279" s="36" t="str">
        <v>kiri</v>
      </c>
      <c r="J279" s="36"/>
      <c r="K279" s="36"/>
      <c r="N279" s="36" t="str">
        <v>kanan</v>
      </c>
      <c r="O279" s="36"/>
      <c r="P279" s="36"/>
    </row>
    <row r="280" spans="9:16">
      <c r="I280" s="36" t="str">
        <v>tengah</v>
      </c>
      <c r="J280" s="36"/>
      <c r="K280" s="36"/>
      <c r="N280" s="36" t="str">
        <v>tengah</v>
      </c>
      <c r="O280" s="36"/>
      <c r="P280" s="36"/>
    </row>
    <row r="281" spans="9:16">
      <c r="I281" s="36" t="str">
        <v>tengah</v>
      </c>
      <c r="J281" s="36"/>
      <c r="K281" s="36"/>
      <c r="N281" s="36" t="str">
        <v>tengah</v>
      </c>
      <c r="O281" s="36"/>
      <c r="P281" s="36"/>
    </row>
    <row r="282" spans="9:16">
      <c r="I282" s="36" t="str">
        <v>kiri</v>
      </c>
      <c r="J282" s="36"/>
      <c r="K282" s="36"/>
      <c r="N282" s="36" t="str">
        <v>tengah</v>
      </c>
      <c r="O282" s="36"/>
      <c r="P282" s="36"/>
    </row>
    <row r="283" spans="9:16">
      <c r="I283" s="36" t="str">
        <v>tengah</v>
      </c>
      <c r="J283" s="36"/>
      <c r="K283" s="36"/>
      <c r="N283" s="36" t="str">
        <v>tengah</v>
      </c>
      <c r="O283" s="36"/>
      <c r="P283" s="36"/>
    </row>
    <row r="284" spans="9:16">
      <c r="I284" s="36" t="str">
        <v>tengah</v>
      </c>
      <c r="J284" s="36"/>
      <c r="K284" s="36"/>
      <c r="N284" s="36" t="str">
        <v>kanan</v>
      </c>
      <c r="O284" s="36"/>
      <c r="P284" s="36"/>
    </row>
    <row r="285" spans="9:16">
      <c r="I285" s="36" t="str">
        <v>kiri</v>
      </c>
      <c r="J285" s="36"/>
      <c r="K285" s="36"/>
      <c r="N285" s="36" t="str">
        <v>kanan</v>
      </c>
      <c r="O285" s="36"/>
      <c r="P285" s="36"/>
    </row>
    <row r="286" spans="9:16">
      <c r="I286" s="36" t="str">
        <v>tengah</v>
      </c>
      <c r="J286" s="36"/>
      <c r="K286" s="36"/>
      <c r="N286" s="36" t="str">
        <v>tengah</v>
      </c>
      <c r="O286" s="36"/>
      <c r="P286" s="36"/>
    </row>
    <row r="287" spans="9:16">
      <c r="I287" s="36" t="str">
        <v>tengah</v>
      </c>
      <c r="J287" s="36"/>
      <c r="K287" s="36"/>
      <c r="N287" s="36" t="str">
        <v>kanan</v>
      </c>
      <c r="O287" s="36"/>
      <c r="P287" s="36"/>
    </row>
    <row r="288" spans="9:16">
      <c r="I288" s="36" t="str">
        <v>tengah</v>
      </c>
      <c r="J288" s="36"/>
      <c r="K288" s="36"/>
      <c r="N288" s="36" t="str">
        <v>kanan</v>
      </c>
      <c r="O288" s="36"/>
      <c r="P288" s="36"/>
    </row>
    <row r="289" spans="9:16">
      <c r="I289" s="36" t="str">
        <v>kanan</v>
      </c>
      <c r="J289" s="36"/>
      <c r="K289" s="36"/>
      <c r="N289" s="36" t="str">
        <v>tengah</v>
      </c>
      <c r="O289" s="36"/>
      <c r="P289" s="36"/>
    </row>
    <row r="290" spans="9:16">
      <c r="I290" s="36" t="str">
        <v>kiri</v>
      </c>
      <c r="J290" s="36"/>
      <c r="K290" s="36"/>
      <c r="N290" s="36" t="str">
        <v>tengah</v>
      </c>
      <c r="O290" s="36"/>
      <c r="P290" s="36"/>
    </row>
    <row r="291" spans="9:16">
      <c r="I291" s="36" t="str">
        <v>tengah</v>
      </c>
      <c r="J291" s="36"/>
      <c r="K291" s="36"/>
      <c r="N291" s="36" t="str">
        <v>kanan</v>
      </c>
      <c r="O291" s="36"/>
      <c r="P291" s="36"/>
    </row>
    <row r="292" spans="9:16">
      <c r="I292" s="36" t="str">
        <v>tengah</v>
      </c>
      <c r="J292" s="36"/>
      <c r="K292" s="36"/>
      <c r="N292" s="36" t="str">
        <v>tengah</v>
      </c>
      <c r="O292" s="36"/>
      <c r="P292" s="36"/>
    </row>
    <row r="293" spans="9:16">
      <c r="I293" s="36" t="str">
        <v>kiri</v>
      </c>
      <c r="J293" s="36"/>
      <c r="K293" s="36"/>
      <c r="N293" s="36" t="str">
        <v>tengah</v>
      </c>
      <c r="O293" s="36"/>
      <c r="P293" s="36"/>
    </row>
    <row r="294" spans="9:16">
      <c r="I294" s="36" t="str">
        <v>tengah</v>
      </c>
      <c r="J294" s="36"/>
      <c r="K294" s="36"/>
      <c r="N294" s="36" t="str">
        <v>tengah</v>
      </c>
      <c r="O294" s="36"/>
      <c r="P294" s="36"/>
    </row>
    <row r="295" spans="9:16">
      <c r="I295" s="36" t="str">
        <v>tengah</v>
      </c>
      <c r="J295" s="36"/>
      <c r="K295" s="36"/>
      <c r="N295" s="36" t="str">
        <v>kanan</v>
      </c>
      <c r="O295" s="36"/>
      <c r="P295" s="36"/>
    </row>
    <row r="296" spans="9:16">
      <c r="I296" s="36" t="str">
        <v>kanan</v>
      </c>
      <c r="J296" s="36"/>
      <c r="K296" s="36"/>
      <c r="N296" s="36" t="str">
        <v>tengah</v>
      </c>
      <c r="O296" s="36"/>
      <c r="P296" s="36"/>
    </row>
    <row r="297" spans="9:16">
      <c r="I297" s="36" t="str">
        <v>tengah</v>
      </c>
      <c r="J297" s="36"/>
      <c r="K297" s="36"/>
      <c r="N297" s="36" t="str">
        <v>kanan</v>
      </c>
      <c r="O297" s="36"/>
      <c r="P297" s="36"/>
    </row>
    <row r="298" spans="9:16">
      <c r="I298" s="36" t="str">
        <v>tengah</v>
      </c>
      <c r="J298" s="36"/>
      <c r="K298" s="36"/>
      <c r="N298" s="36" t="str">
        <v>tengah</v>
      </c>
      <c r="O298" s="36"/>
      <c r="P298" s="36"/>
    </row>
    <row r="299" spans="9:16">
      <c r="I299" s="36" t="str">
        <v>kanan</v>
      </c>
      <c r="J299" s="36"/>
      <c r="K299" s="36"/>
      <c r="N299" s="36" t="str">
        <v>kanan</v>
      </c>
      <c r="O299" s="36"/>
      <c r="P299" s="36"/>
    </row>
    <row r="300" spans="9:16">
      <c r="I300" s="36" t="str">
        <v>kanan</v>
      </c>
      <c r="J300" s="36"/>
      <c r="K300" s="36"/>
      <c r="N300" s="36" t="str">
        <v>kanan</v>
      </c>
      <c r="O300" s="36"/>
      <c r="P300" s="36"/>
    </row>
    <row r="301" spans="9:16">
      <c r="I301" s="36" t="str">
        <v>tengah</v>
      </c>
      <c r="J301" s="36"/>
      <c r="K301" s="36"/>
      <c r="N301" s="36" t="str">
        <v>kanan</v>
      </c>
      <c r="O301" s="36"/>
      <c r="P301" s="36"/>
    </row>
    <row r="302" spans="9:16">
      <c r="I302" s="36" t="str">
        <v>tengah</v>
      </c>
      <c r="J302" s="36"/>
      <c r="K302" s="36"/>
      <c r="N302" s="36" t="str">
        <v>tengah</v>
      </c>
      <c r="O302" s="36"/>
      <c r="P302" s="36"/>
    </row>
    <row r="303" spans="9:16">
      <c r="I303" s="36" t="str">
        <v>tengah</v>
      </c>
      <c r="J303" s="36"/>
      <c r="K303" s="36"/>
      <c r="N303" s="36" t="str">
        <v>kanan</v>
      </c>
      <c r="O303" s="36"/>
      <c r="P303" s="36"/>
    </row>
    <row r="304" spans="9:16">
      <c r="I304" s="36" t="str">
        <v>tengah</v>
      </c>
      <c r="J304" s="36"/>
      <c r="K304" s="36"/>
      <c r="N304" s="36" t="str">
        <v>kanan</v>
      </c>
      <c r="O304" s="36"/>
      <c r="P304" s="36"/>
    </row>
    <row r="305" spans="9:16">
      <c r="I305" s="36" t="str">
        <v>tengah</v>
      </c>
      <c r="J305" s="36"/>
      <c r="K305" s="36"/>
      <c r="N305" s="36" t="str">
        <v>tengah</v>
      </c>
      <c r="O305" s="36"/>
      <c r="P305" s="36"/>
    </row>
    <row r="306" spans="9:16">
      <c r="I306" s="36" t="str">
        <v>kanan</v>
      </c>
      <c r="J306" s="36"/>
      <c r="K306" s="36"/>
      <c r="N306" s="36" t="str">
        <v>kanan</v>
      </c>
      <c r="O306" s="36"/>
      <c r="P306" s="36"/>
    </row>
    <row r="307" spans="9:16">
      <c r="I307" s="36" t="str">
        <v>tengah</v>
      </c>
      <c r="J307" s="36"/>
      <c r="K307" s="36"/>
      <c r="N307" s="36" t="str">
        <v>kanan</v>
      </c>
      <c r="O307" s="36"/>
      <c r="P307" s="36"/>
    </row>
    <row r="308" spans="9:16">
      <c r="I308" s="36" t="str">
        <v>tengah</v>
      </c>
      <c r="J308" s="36"/>
      <c r="K308" s="36"/>
      <c r="N308" s="36" t="str">
        <v>kanan</v>
      </c>
      <c r="O308" s="36"/>
      <c r="P308" s="36"/>
    </row>
    <row r="309" spans="9:16">
      <c r="I309" s="36" t="str">
        <v>tengah</v>
      </c>
      <c r="J309" s="36"/>
      <c r="K309" s="36"/>
      <c r="N309" s="36" t="str">
        <v>tengah</v>
      </c>
      <c r="O309" s="36"/>
      <c r="P309" s="36"/>
    </row>
    <row r="310" spans="9:16">
      <c r="I310" s="36" t="str">
        <v>tengah</v>
      </c>
      <c r="J310" s="36"/>
      <c r="K310" s="36"/>
      <c r="N310" s="36" t="str">
        <v>kanan</v>
      </c>
      <c r="O310" s="36"/>
      <c r="P310" s="36"/>
    </row>
    <row r="311" spans="9:16">
      <c r="I311" s="36" t="str">
        <v>kiri</v>
      </c>
      <c r="J311" s="36"/>
      <c r="K311" s="36"/>
      <c r="N311" s="36" t="str">
        <v>tengah</v>
      </c>
      <c r="O311" s="36"/>
      <c r="P311" s="36"/>
    </row>
    <row r="312" spans="9:16">
      <c r="I312" s="36" t="str">
        <v>kanan</v>
      </c>
      <c r="J312" s="36"/>
      <c r="K312" s="36"/>
      <c r="N312" s="36" t="str">
        <v>kanan</v>
      </c>
      <c r="O312" s="36"/>
      <c r="P312" s="36"/>
    </row>
    <row r="313" spans="9:16">
      <c r="I313" s="36" t="str">
        <v>kanan</v>
      </c>
      <c r="J313" s="36"/>
      <c r="K313" s="36"/>
      <c r="N313" s="36" t="str">
        <v>tengah</v>
      </c>
      <c r="O313" s="36"/>
      <c r="P313" s="36"/>
    </row>
    <row r="314" spans="9:16">
      <c r="I314" s="36" t="str">
        <v>kiri</v>
      </c>
      <c r="J314" s="36"/>
      <c r="K314" s="36"/>
      <c r="N314" s="36" t="str">
        <v>tengah</v>
      </c>
      <c r="O314" s="36"/>
      <c r="P314" s="36"/>
    </row>
    <row r="315" spans="9:16">
      <c r="I315" s="36" t="str">
        <v>tengah</v>
      </c>
      <c r="J315" s="36"/>
      <c r="K315" s="36"/>
      <c r="N315" s="36" t="str">
        <v>tengah</v>
      </c>
      <c r="O315" s="36"/>
      <c r="P315" s="36"/>
    </row>
    <row r="316" spans="9:16">
      <c r="I316" s="36" t="str">
        <v>kanan</v>
      </c>
      <c r="J316" s="36"/>
      <c r="K316" s="36"/>
      <c r="N316" s="36" t="str">
        <v>kanan</v>
      </c>
      <c r="O316" s="36"/>
      <c r="P316" s="36"/>
    </row>
    <row r="317" spans="9:16">
      <c r="I317" s="36" t="str">
        <v>tengah</v>
      </c>
      <c r="J317" s="36"/>
      <c r="K317" s="36"/>
      <c r="N317" s="36" t="str">
        <v>kanan</v>
      </c>
      <c r="O317" s="36"/>
      <c r="P317" s="36"/>
    </row>
    <row r="318" spans="9:16">
      <c r="I318" s="36" t="str">
        <v>kanan</v>
      </c>
      <c r="J318" s="36"/>
      <c r="K318" s="36"/>
      <c r="N318" s="36" t="str">
        <v>tengah</v>
      </c>
      <c r="O318" s="36"/>
      <c r="P318" s="36"/>
    </row>
    <row r="319" spans="9:16">
      <c r="I319" s="36" t="str">
        <v>tengah</v>
      </c>
      <c r="J319" s="36"/>
      <c r="K319" s="36"/>
      <c r="N319" s="36" t="str">
        <v>tengah</v>
      </c>
      <c r="O319" s="36"/>
      <c r="P319" s="36"/>
    </row>
    <row r="320" spans="9:16">
      <c r="I320" s="36" t="str">
        <v>kiri</v>
      </c>
      <c r="J320" s="36"/>
      <c r="K320" s="36"/>
      <c r="N320" s="36" t="str">
        <v>tengah</v>
      </c>
      <c r="O320" s="36"/>
      <c r="P320" s="36"/>
    </row>
    <row r="321" spans="9:16">
      <c r="I321" s="36" t="str">
        <v>kiri</v>
      </c>
      <c r="J321" s="36"/>
      <c r="K321" s="36"/>
      <c r="N321" s="36" t="str">
        <v>tengah</v>
      </c>
      <c r="O321" s="36"/>
      <c r="P321" s="36"/>
    </row>
    <row r="322" spans="9:16">
      <c r="I322" s="36" t="str">
        <v>kiri</v>
      </c>
      <c r="J322" s="36"/>
      <c r="K322" s="36"/>
      <c r="N322" s="36" t="str">
        <v>kanan</v>
      </c>
      <c r="O322" s="36"/>
      <c r="P322" s="36"/>
    </row>
    <row r="323" spans="9:16">
      <c r="I323" s="36" t="str">
        <v>kanan</v>
      </c>
      <c r="J323" s="36"/>
      <c r="K323" s="36"/>
      <c r="N323" s="36" t="str">
        <v>kanan</v>
      </c>
      <c r="O323" s="36"/>
      <c r="P323" s="36"/>
    </row>
    <row r="324" spans="9:16">
      <c r="I324" s="36" t="str">
        <v>tengah</v>
      </c>
      <c r="J324" s="36"/>
      <c r="K324" s="36"/>
      <c r="N324" s="36" t="str">
        <v>tengah</v>
      </c>
      <c r="O324" s="36"/>
      <c r="P324" s="36"/>
    </row>
    <row r="325" spans="9:16">
      <c r="I325" s="36" t="str">
        <v>tengah</v>
      </c>
      <c r="J325" s="36"/>
      <c r="K325" s="36"/>
      <c r="N325" s="36" t="str">
        <v>tengah</v>
      </c>
      <c r="O325" s="36"/>
      <c r="P325" s="36"/>
    </row>
    <row r="326" spans="9:16">
      <c r="I326" s="36" t="str">
        <v>kiri</v>
      </c>
      <c r="J326" s="36"/>
      <c r="K326" s="36"/>
      <c r="N326" s="36" t="str">
        <v>kanan</v>
      </c>
      <c r="O326" s="36"/>
      <c r="P326" s="36"/>
    </row>
    <row r="327" spans="9:16">
      <c r="I327" s="36" t="str">
        <v>kanan</v>
      </c>
      <c r="J327" s="36"/>
      <c r="K327" s="36"/>
      <c r="N327" s="36" t="str">
        <v>kanan</v>
      </c>
      <c r="O327" s="36"/>
      <c r="P327" s="36"/>
    </row>
    <row r="328" spans="9:16">
      <c r="I328" s="36" t="str">
        <v>kiri</v>
      </c>
      <c r="J328" s="36"/>
      <c r="K328" s="36"/>
      <c r="N328" s="36" t="str">
        <v>kanan</v>
      </c>
      <c r="O328" s="36"/>
      <c r="P328" s="36"/>
    </row>
    <row r="329" spans="9:16">
      <c r="I329" s="36" t="str">
        <v>kiri</v>
      </c>
      <c r="J329" s="36"/>
      <c r="K329" s="36"/>
      <c r="N329" s="36" t="str">
        <v>kanan</v>
      </c>
      <c r="O329" s="36"/>
      <c r="P329" s="36"/>
    </row>
    <row r="330" spans="9:16">
      <c r="I330" s="36" t="str">
        <v>tengah</v>
      </c>
      <c r="J330" s="36"/>
      <c r="K330" s="36"/>
      <c r="N330" s="36" t="str">
        <v>tengah</v>
      </c>
      <c r="O330" s="36"/>
      <c r="P330" s="36"/>
    </row>
    <row r="331" spans="9:16">
      <c r="I331" s="36" t="str">
        <v>tengah</v>
      </c>
      <c r="J331" s="36"/>
      <c r="K331" s="36"/>
      <c r="N331" s="36" t="str">
        <v>kanan</v>
      </c>
      <c r="O331" s="36"/>
      <c r="P331" s="36"/>
    </row>
    <row r="332" spans="9:16">
      <c r="I332" s="36" t="str">
        <v>kiri</v>
      </c>
      <c r="J332" s="36"/>
      <c r="K332" s="36"/>
      <c r="N332" s="36" t="str">
        <v>kanan</v>
      </c>
      <c r="O332" s="36"/>
      <c r="P332" s="36"/>
    </row>
  </sheetData>
  <pageMargins left="0.7" right="0.7" top="0.75" bottom="0.75" header="0.3" footer="0.3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32"/>
  <sheetViews>
    <sheetView zoomScale="93" zoomScaleNormal="93" topLeftCell="A187" workbookViewId="0">
      <selection activeCell="J198" sqref="J198"/>
    </sheetView>
  </sheetViews>
  <sheetFormatPr defaultColWidth="9" defaultRowHeight="15"/>
  <cols>
    <col min="2" max="2" width="15.8518518518519" customWidth="1"/>
    <col min="3" max="3" width="13.2814814814815" customWidth="1"/>
    <col min="4" max="4" width="13.8518518518519" customWidth="1"/>
    <col min="8" max="8" width="14.2814814814815" customWidth="1"/>
    <col min="9" max="9" width="13.2814814814815" customWidth="1"/>
    <col min="10" max="10" width="13.8518518518519" customWidth="1"/>
    <col min="15" max="15" width="11.2814814814815" customWidth="1"/>
    <col min="17" max="17" width="11.7111111111111" customWidth="1"/>
  </cols>
  <sheetData>
    <row r="1" spans="1:17">
      <c r="A1" s="35" t="s">
        <v>183</v>
      </c>
      <c r="B1" s="35" t="s">
        <v>4</v>
      </c>
      <c r="C1" s="35" t="s">
        <v>5</v>
      </c>
      <c r="H1" s="64" t="s">
        <v>183</v>
      </c>
      <c r="I1" s="64" t="s">
        <v>4</v>
      </c>
      <c r="J1" s="64" t="s">
        <v>5</v>
      </c>
      <c r="O1" s="35" t="s">
        <v>184</v>
      </c>
      <c r="P1" s="38"/>
      <c r="Q1" s="38"/>
    </row>
    <row r="2" spans="1:17">
      <c r="A2" s="36">
        <f ca="1">RANDBETWEEN(2,164)</f>
        <v>157</v>
      </c>
      <c r="B2" s="36">
        <f ca="1" t="array" ref="B2">INDEX(Data_DBD!$E:$E,$A2)</f>
        <v>1</v>
      </c>
      <c r="C2" s="36" t="str">
        <f ca="1" t="array" ref="C2">INDEX(Data_DBD!$F:$F,$A2)</f>
        <v>Tinggi</v>
      </c>
      <c r="H2" s="64">
        <v>150</v>
      </c>
      <c r="I2" s="64">
        <v>1</v>
      </c>
      <c r="J2" s="64" t="s">
        <v>105</v>
      </c>
      <c r="O2" s="38" t="s">
        <v>105</v>
      </c>
      <c r="P2" s="38">
        <f>COUNTIF(J2:J164,"Tinggi")</f>
        <v>83</v>
      </c>
      <c r="Q2" s="38">
        <f>P2/163</f>
        <v>0.50920245398773</v>
      </c>
    </row>
    <row r="3" spans="1:17">
      <c r="A3" s="36">
        <f ca="1" t="shared" ref="A3:A66" si="0">RANDBETWEEN(2,164)</f>
        <v>10</v>
      </c>
      <c r="B3" s="36">
        <f ca="1" t="array" ref="B3">INDEX(Data_DBD!$E:$E,$A3)</f>
        <v>0</v>
      </c>
      <c r="C3" s="36" t="str">
        <f ca="1" t="array" ref="C3">INDEX(Data_DBD!$F:$F,$A3)</f>
        <v>Sedang</v>
      </c>
      <c r="H3" s="64">
        <v>88</v>
      </c>
      <c r="I3" s="64">
        <v>1</v>
      </c>
      <c r="J3" s="64" t="s">
        <v>8</v>
      </c>
      <c r="O3" s="38" t="s">
        <v>8</v>
      </c>
      <c r="P3" s="38">
        <f>COUNTIF(J2:J164,"Sedang")</f>
        <v>69</v>
      </c>
      <c r="Q3" s="38">
        <f>P3/163</f>
        <v>0.423312883435583</v>
      </c>
    </row>
    <row r="4" spans="1:17">
      <c r="A4" s="36">
        <f ca="1" t="shared" si="0"/>
        <v>4</v>
      </c>
      <c r="B4" s="36">
        <f ca="1" t="array" ref="B4">INDEX(Data_DBD!$E:$E,$A4)</f>
        <v>0</v>
      </c>
      <c r="C4" s="36" t="str">
        <f ca="1" t="array" ref="C4">INDEX(Data_DBD!$F:$F,$A4)</f>
        <v>Sedang</v>
      </c>
      <c r="H4" s="64">
        <v>120</v>
      </c>
      <c r="I4" s="64">
        <v>1</v>
      </c>
      <c r="J4" s="64" t="s">
        <v>105</v>
      </c>
      <c r="O4" s="38" t="s">
        <v>26</v>
      </c>
      <c r="P4" s="38">
        <f>COUNTIF(J2:J164,"Rendah")</f>
        <v>11</v>
      </c>
      <c r="Q4" s="38">
        <f>P4/163</f>
        <v>0.0674846625766871</v>
      </c>
    </row>
    <row r="5" spans="1:16">
      <c r="A5" s="36">
        <f ca="1" t="shared" si="0"/>
        <v>149</v>
      </c>
      <c r="B5" s="36">
        <f ca="1" t="array" ref="B5">INDEX(Data_DBD!$E:$E,$A5)</f>
        <v>0</v>
      </c>
      <c r="C5" s="36" t="str">
        <f ca="1" t="array" ref="C5">INDEX(Data_DBD!$F:$F,$A5)</f>
        <v>Tinggi</v>
      </c>
      <c r="H5" s="64">
        <v>62</v>
      </c>
      <c r="I5" s="64">
        <v>1</v>
      </c>
      <c r="J5" s="64" t="s">
        <v>8</v>
      </c>
      <c r="O5" s="39" t="s">
        <v>185</v>
      </c>
      <c r="P5">
        <f>-(IFERROR(Q2*LOG(Q2,2),0)+IFERROR(Q3*LOG(Q3,2),0)+IFERROR(Q4*LOG(Q4,2),0))</f>
        <v>1.28326675469428</v>
      </c>
    </row>
    <row r="6" spans="1:10">
      <c r="A6" s="36">
        <f ca="1" t="shared" si="0"/>
        <v>3</v>
      </c>
      <c r="B6" s="36">
        <f ca="1" t="array" ref="B6">INDEX(Data_DBD!$E:$E,$A6)</f>
        <v>1</v>
      </c>
      <c r="C6" s="36" t="str">
        <f ca="1" t="array" ref="C6">INDEX(Data_DBD!$F:$F,$A6)</f>
        <v>Sedang</v>
      </c>
      <c r="H6" s="64">
        <v>153</v>
      </c>
      <c r="I6" s="64">
        <v>1</v>
      </c>
      <c r="J6" s="64" t="s">
        <v>105</v>
      </c>
    </row>
    <row r="7" spans="1:10">
      <c r="A7" s="36">
        <f ca="1" t="shared" si="0"/>
        <v>149</v>
      </c>
      <c r="B7" s="36">
        <f ca="1" t="array" ref="B7">INDEX(Data_DBD!$E:$E,$A7)</f>
        <v>0</v>
      </c>
      <c r="C7" s="36" t="str">
        <f ca="1" t="array" ref="C7">INDEX(Data_DBD!$F:$F,$A7)</f>
        <v>Tinggi</v>
      </c>
      <c r="H7" s="64">
        <v>6</v>
      </c>
      <c r="I7" s="64">
        <v>0</v>
      </c>
      <c r="J7" s="64" t="s">
        <v>8</v>
      </c>
    </row>
    <row r="8" spans="1:10">
      <c r="A8" s="36">
        <f ca="1" t="shared" si="0"/>
        <v>42</v>
      </c>
      <c r="B8" s="36">
        <f ca="1" t="array" ref="B8">INDEX(Data_DBD!$E:$E,$A8)</f>
        <v>1</v>
      </c>
      <c r="C8" s="36" t="str">
        <f ca="1" t="array" ref="C8">INDEX(Data_DBD!$F:$F,$A8)</f>
        <v>Sedang</v>
      </c>
      <c r="H8" s="64">
        <v>95</v>
      </c>
      <c r="I8" s="64">
        <v>1</v>
      </c>
      <c r="J8" s="64" t="s">
        <v>105</v>
      </c>
    </row>
    <row r="9" spans="1:10">
      <c r="A9" s="36">
        <f ca="1" t="shared" si="0"/>
        <v>133</v>
      </c>
      <c r="B9" s="36">
        <f ca="1" t="array" ref="B9">INDEX(Data_DBD!$E:$E,$A9)</f>
        <v>0</v>
      </c>
      <c r="C9" s="36" t="str">
        <f ca="1" t="array" ref="C9">INDEX(Data_DBD!$F:$F,$A9)</f>
        <v>Tinggi</v>
      </c>
      <c r="H9" s="64">
        <v>69</v>
      </c>
      <c r="I9" s="64">
        <v>1</v>
      </c>
      <c r="J9" s="64" t="s">
        <v>8</v>
      </c>
    </row>
    <row r="10" spans="1:10">
      <c r="A10" s="36">
        <f ca="1" t="shared" si="0"/>
        <v>14</v>
      </c>
      <c r="B10" s="36">
        <f ca="1" t="array" ref="B10">INDEX(Data_DBD!$E:$E,$A10)</f>
        <v>1</v>
      </c>
      <c r="C10" s="36" t="str">
        <f ca="1" t="array" ref="C10">INDEX(Data_DBD!$F:$F,$A10)</f>
        <v>Rendah</v>
      </c>
      <c r="H10" s="64">
        <v>138</v>
      </c>
      <c r="I10" s="64">
        <v>1</v>
      </c>
      <c r="J10" s="64" t="s">
        <v>105</v>
      </c>
    </row>
    <row r="11" spans="1:10">
      <c r="A11" s="36">
        <f ca="1" t="shared" si="0"/>
        <v>83</v>
      </c>
      <c r="B11" s="36">
        <f ca="1" t="array" ref="B11">INDEX(Data_DBD!$E:$E,$A11)</f>
        <v>0</v>
      </c>
      <c r="C11" s="36" t="str">
        <f ca="1" t="array" ref="C11">INDEX(Data_DBD!$F:$F,$A11)</f>
        <v>Sedang</v>
      </c>
      <c r="H11" s="64">
        <v>81</v>
      </c>
      <c r="I11" s="64">
        <v>1</v>
      </c>
      <c r="J11" s="64" t="s">
        <v>8</v>
      </c>
    </row>
    <row r="12" spans="1:10">
      <c r="A12" s="36">
        <f ca="1" t="shared" si="0"/>
        <v>100</v>
      </c>
      <c r="B12" s="36">
        <f ca="1" t="array" ref="B12">INDEX(Data_DBD!$E:$E,$A12)</f>
        <v>0</v>
      </c>
      <c r="C12" s="36" t="str">
        <f ca="1" t="array" ref="C12">INDEX(Data_DBD!$F:$F,$A12)</f>
        <v>Tinggi</v>
      </c>
      <c r="H12" s="64">
        <v>88</v>
      </c>
      <c r="I12" s="64">
        <v>1</v>
      </c>
      <c r="J12" s="64" t="s">
        <v>8</v>
      </c>
    </row>
    <row r="13" spans="1:10">
      <c r="A13" s="36">
        <f ca="1" t="shared" si="0"/>
        <v>92</v>
      </c>
      <c r="B13" s="36">
        <f ca="1" t="array" ref="B13">INDEX(Data_DBD!$E:$E,$A13)</f>
        <v>0</v>
      </c>
      <c r="C13" s="36" t="str">
        <f ca="1" t="array" ref="C13">INDEX(Data_DBD!$F:$F,$A13)</f>
        <v>Tinggi</v>
      </c>
      <c r="H13" s="64">
        <v>56</v>
      </c>
      <c r="I13" s="64">
        <v>0</v>
      </c>
      <c r="J13" s="64" t="s">
        <v>8</v>
      </c>
    </row>
    <row r="14" spans="1:10">
      <c r="A14" s="36">
        <f ca="1" t="shared" si="0"/>
        <v>117</v>
      </c>
      <c r="B14" s="36">
        <f ca="1" t="array" ref="B14">INDEX(Data_DBD!$E:$E,$A14)</f>
        <v>1</v>
      </c>
      <c r="C14" s="36" t="str">
        <f ca="1" t="array" ref="C14">INDEX(Data_DBD!$F:$F,$A14)</f>
        <v>Tinggi</v>
      </c>
      <c r="H14" s="64">
        <v>58</v>
      </c>
      <c r="I14" s="64">
        <v>0</v>
      </c>
      <c r="J14" s="64" t="s">
        <v>8</v>
      </c>
    </row>
    <row r="15" spans="1:10">
      <c r="A15" s="36">
        <f ca="1" t="shared" si="0"/>
        <v>133</v>
      </c>
      <c r="B15" s="36">
        <f ca="1" t="array" ref="B15">INDEX(Data_DBD!$E:$E,$A15)</f>
        <v>0</v>
      </c>
      <c r="C15" s="36" t="str">
        <f ca="1" t="array" ref="C15">INDEX(Data_DBD!$F:$F,$A15)</f>
        <v>Tinggi</v>
      </c>
      <c r="H15" s="64">
        <v>138</v>
      </c>
      <c r="I15" s="64">
        <v>1</v>
      </c>
      <c r="J15" s="64" t="s">
        <v>105</v>
      </c>
    </row>
    <row r="16" spans="1:10">
      <c r="A16" s="36">
        <f ca="1" t="shared" si="0"/>
        <v>6</v>
      </c>
      <c r="B16" s="36">
        <f ca="1" t="array" ref="B16">INDEX(Data_DBD!$E:$E,$A16)</f>
        <v>0</v>
      </c>
      <c r="C16" s="36" t="str">
        <f ca="1" t="array" ref="C16">INDEX(Data_DBD!$F:$F,$A16)</f>
        <v>Sedang</v>
      </c>
      <c r="H16" s="64">
        <v>25</v>
      </c>
      <c r="I16" s="64">
        <v>0</v>
      </c>
      <c r="J16" s="64" t="s">
        <v>8</v>
      </c>
    </row>
    <row r="17" spans="1:10">
      <c r="A17" s="36">
        <f ca="1" t="shared" si="0"/>
        <v>3</v>
      </c>
      <c r="B17" s="36">
        <f ca="1" t="array" ref="B17">INDEX(Data_DBD!$E:$E,$A17)</f>
        <v>1</v>
      </c>
      <c r="C17" s="36" t="str">
        <f ca="1" t="array" ref="C17">INDEX(Data_DBD!$F:$F,$A17)</f>
        <v>Sedang</v>
      </c>
      <c r="H17" s="64">
        <v>9</v>
      </c>
      <c r="I17" s="64">
        <v>1</v>
      </c>
      <c r="J17" s="64" t="s">
        <v>8</v>
      </c>
    </row>
    <row r="18" spans="1:10">
      <c r="A18" s="36">
        <f ca="1" t="shared" si="0"/>
        <v>94</v>
      </c>
      <c r="B18" s="36">
        <f ca="1" t="array" ref="B18">INDEX(Data_DBD!$E:$E,$A18)</f>
        <v>0</v>
      </c>
      <c r="C18" s="36" t="str">
        <f ca="1" t="array" ref="C18">INDEX(Data_DBD!$F:$F,$A18)</f>
        <v>Tinggi</v>
      </c>
      <c r="H18" s="64">
        <v>158</v>
      </c>
      <c r="I18" s="64">
        <v>0</v>
      </c>
      <c r="J18" s="64" t="s">
        <v>105</v>
      </c>
    </row>
    <row r="19" spans="1:10">
      <c r="A19" s="36">
        <f ca="1" t="shared" si="0"/>
        <v>11</v>
      </c>
      <c r="B19" s="36">
        <f ca="1" t="array" ref="B19">INDEX(Data_DBD!$E:$E,$A19)</f>
        <v>1</v>
      </c>
      <c r="C19" s="36" t="str">
        <f ca="1" t="array" ref="C19">INDEX(Data_DBD!$F:$F,$A19)</f>
        <v>Sedang</v>
      </c>
      <c r="H19" s="64">
        <v>161</v>
      </c>
      <c r="I19" s="64">
        <v>1</v>
      </c>
      <c r="J19" s="64" t="s">
        <v>105</v>
      </c>
    </row>
    <row r="20" spans="1:10">
      <c r="A20" s="36">
        <f ca="1" t="shared" si="0"/>
        <v>162</v>
      </c>
      <c r="B20" s="36">
        <f ca="1" t="array" ref="B20">INDEX(Data_DBD!$E:$E,$A20)</f>
        <v>1</v>
      </c>
      <c r="C20" s="36" t="str">
        <f ca="1" t="array" ref="C20">INDEX(Data_DBD!$F:$F,$A20)</f>
        <v>Rendah</v>
      </c>
      <c r="H20" s="64">
        <v>79</v>
      </c>
      <c r="I20" s="64">
        <v>0</v>
      </c>
      <c r="J20" s="64" t="s">
        <v>8</v>
      </c>
    </row>
    <row r="21" spans="1:10">
      <c r="A21" s="36">
        <f ca="1" t="shared" si="0"/>
        <v>119</v>
      </c>
      <c r="B21" s="36">
        <f ca="1" t="array" ref="B21">INDEX(Data_DBD!$E:$E,$A21)</f>
        <v>0</v>
      </c>
      <c r="C21" s="36" t="str">
        <f ca="1" t="array" ref="C21">INDEX(Data_DBD!$F:$F,$A21)</f>
        <v>Tinggi</v>
      </c>
      <c r="H21" s="64">
        <v>59</v>
      </c>
      <c r="I21" s="64">
        <v>0</v>
      </c>
      <c r="J21" s="64" t="s">
        <v>8</v>
      </c>
    </row>
    <row r="22" spans="1:10">
      <c r="A22" s="36">
        <f ca="1" t="shared" si="0"/>
        <v>101</v>
      </c>
      <c r="B22" s="36">
        <f ca="1" t="array" ref="B22">INDEX(Data_DBD!$E:$E,$A22)</f>
        <v>0</v>
      </c>
      <c r="C22" s="36" t="str">
        <f ca="1" t="array" ref="C22">INDEX(Data_DBD!$F:$F,$A22)</f>
        <v>Tinggi</v>
      </c>
      <c r="H22" s="64">
        <v>92</v>
      </c>
      <c r="I22" s="64">
        <v>0</v>
      </c>
      <c r="J22" s="64" t="s">
        <v>105</v>
      </c>
    </row>
    <row r="23" spans="1:10">
      <c r="A23" s="36">
        <f ca="1" t="shared" si="0"/>
        <v>127</v>
      </c>
      <c r="B23" s="36">
        <f ca="1" t="array" ref="B23">INDEX(Data_DBD!$E:$E,$A23)</f>
        <v>0</v>
      </c>
      <c r="C23" s="36" t="str">
        <f ca="1" t="array" ref="C23">INDEX(Data_DBD!$F:$F,$A23)</f>
        <v>Tinggi</v>
      </c>
      <c r="H23" s="64">
        <v>4</v>
      </c>
      <c r="I23" s="64">
        <v>0</v>
      </c>
      <c r="J23" s="64" t="s">
        <v>8</v>
      </c>
    </row>
    <row r="24" spans="1:10">
      <c r="A24" s="36">
        <f ca="1" t="shared" si="0"/>
        <v>65</v>
      </c>
      <c r="B24" s="36">
        <f ca="1" t="array" ref="B24">INDEX(Data_DBD!$E:$E,$A24)</f>
        <v>0</v>
      </c>
      <c r="C24" s="36" t="str">
        <f ca="1" t="array" ref="C24">INDEX(Data_DBD!$F:$F,$A24)</f>
        <v>Sedang</v>
      </c>
      <c r="H24" s="64">
        <v>120</v>
      </c>
      <c r="I24" s="64">
        <v>1</v>
      </c>
      <c r="J24" s="64" t="s">
        <v>105</v>
      </c>
    </row>
    <row r="25" spans="1:10">
      <c r="A25" s="36">
        <f ca="1" t="shared" si="0"/>
        <v>10</v>
      </c>
      <c r="B25" s="36">
        <f ca="1" t="array" ref="B25">INDEX(Data_DBD!$E:$E,$A25)</f>
        <v>0</v>
      </c>
      <c r="C25" s="36" t="str">
        <f ca="1" t="array" ref="C25">INDEX(Data_DBD!$F:$F,$A25)</f>
        <v>Sedang</v>
      </c>
      <c r="H25" s="64">
        <v>10</v>
      </c>
      <c r="I25" s="64">
        <v>0</v>
      </c>
      <c r="J25" s="64" t="s">
        <v>8</v>
      </c>
    </row>
    <row r="26" spans="1:10">
      <c r="A26" s="36">
        <f ca="1" t="shared" si="0"/>
        <v>78</v>
      </c>
      <c r="B26" s="36">
        <f ca="1" t="array" ref="B26">INDEX(Data_DBD!$E:$E,$A26)</f>
        <v>0</v>
      </c>
      <c r="C26" s="36" t="str">
        <f ca="1" t="array" ref="C26">INDEX(Data_DBD!$F:$F,$A26)</f>
        <v>Sedang</v>
      </c>
      <c r="H26" s="64">
        <v>125</v>
      </c>
      <c r="I26" s="64">
        <v>0</v>
      </c>
      <c r="J26" s="64" t="s">
        <v>105</v>
      </c>
    </row>
    <row r="27" spans="1:10">
      <c r="A27" s="36">
        <f ca="1" t="shared" si="0"/>
        <v>48</v>
      </c>
      <c r="B27" s="36">
        <f ca="1" t="array" ref="B27">INDEX(Data_DBD!$E:$E,$A27)</f>
        <v>1</v>
      </c>
      <c r="C27" s="36" t="str">
        <f ca="1" t="array" ref="C27">INDEX(Data_DBD!$F:$F,$A27)</f>
        <v>Sedang</v>
      </c>
      <c r="H27" s="64">
        <v>128</v>
      </c>
      <c r="I27" s="64">
        <v>0</v>
      </c>
      <c r="J27" s="64" t="s">
        <v>105</v>
      </c>
    </row>
    <row r="28" spans="1:10">
      <c r="A28" s="36">
        <f ca="1" t="shared" si="0"/>
        <v>150</v>
      </c>
      <c r="B28" s="36">
        <f ca="1" t="array" ref="B28">INDEX(Data_DBD!$E:$E,$A28)</f>
        <v>1</v>
      </c>
      <c r="C28" s="36" t="str">
        <f ca="1" t="array" ref="C28">INDEX(Data_DBD!$F:$F,$A28)</f>
        <v>Tinggi</v>
      </c>
      <c r="H28" s="64">
        <v>106</v>
      </c>
      <c r="I28" s="64">
        <v>1</v>
      </c>
      <c r="J28" s="64" t="s">
        <v>105</v>
      </c>
    </row>
    <row r="29" spans="1:10">
      <c r="A29" s="36">
        <f ca="1" t="shared" si="0"/>
        <v>66</v>
      </c>
      <c r="B29" s="36">
        <f ca="1" t="array" ref="B29">INDEX(Data_DBD!$E:$E,$A29)</f>
        <v>1</v>
      </c>
      <c r="C29" s="36" t="str">
        <f ca="1" t="array" ref="C29">INDEX(Data_DBD!$F:$F,$A29)</f>
        <v>Sedang</v>
      </c>
      <c r="H29" s="64">
        <v>7</v>
      </c>
      <c r="I29" s="64">
        <v>1</v>
      </c>
      <c r="J29" s="64" t="s">
        <v>8</v>
      </c>
    </row>
    <row r="30" spans="1:10">
      <c r="A30" s="36">
        <f ca="1" t="shared" si="0"/>
        <v>92</v>
      </c>
      <c r="B30" s="36">
        <f ca="1" t="array" ref="B30">INDEX(Data_DBD!$E:$E,$A30)</f>
        <v>0</v>
      </c>
      <c r="C30" s="36" t="str">
        <f ca="1" t="array" ref="C30">INDEX(Data_DBD!$F:$F,$A30)</f>
        <v>Tinggi</v>
      </c>
      <c r="H30" s="64">
        <v>7</v>
      </c>
      <c r="I30" s="64">
        <v>1</v>
      </c>
      <c r="J30" s="64" t="s">
        <v>8</v>
      </c>
    </row>
    <row r="31" spans="1:10">
      <c r="A31" s="36">
        <f ca="1" t="shared" si="0"/>
        <v>14</v>
      </c>
      <c r="B31" s="36">
        <f ca="1" t="array" ref="B31">INDEX(Data_DBD!$E:$E,$A31)</f>
        <v>1</v>
      </c>
      <c r="C31" s="36" t="str">
        <f ca="1" t="array" ref="C31">INDEX(Data_DBD!$F:$F,$A31)</f>
        <v>Rendah</v>
      </c>
      <c r="H31" s="64">
        <v>142</v>
      </c>
      <c r="I31" s="64">
        <v>1</v>
      </c>
      <c r="J31" s="64" t="s">
        <v>105</v>
      </c>
    </row>
    <row r="32" spans="1:10">
      <c r="A32" s="36">
        <f ca="1" t="shared" si="0"/>
        <v>19</v>
      </c>
      <c r="B32" s="36">
        <f ca="1" t="array" ref="B32">INDEX(Data_DBD!$E:$E,$A32)</f>
        <v>0</v>
      </c>
      <c r="C32" s="36" t="str">
        <f ca="1" t="array" ref="C32">INDEX(Data_DBD!$F:$F,$A32)</f>
        <v>Rendah</v>
      </c>
      <c r="H32" s="64">
        <v>112</v>
      </c>
      <c r="I32" s="64">
        <v>1</v>
      </c>
      <c r="J32" s="64" t="s">
        <v>105</v>
      </c>
    </row>
    <row r="33" spans="1:10">
      <c r="A33" s="36">
        <f ca="1" t="shared" si="0"/>
        <v>150</v>
      </c>
      <c r="B33" s="36">
        <f ca="1" t="array" ref="B33">INDEX(Data_DBD!$E:$E,$A33)</f>
        <v>1</v>
      </c>
      <c r="C33" s="36" t="str">
        <f ca="1" t="array" ref="C33">INDEX(Data_DBD!$F:$F,$A33)</f>
        <v>Tinggi</v>
      </c>
      <c r="H33" s="64">
        <v>48</v>
      </c>
      <c r="I33" s="64">
        <v>1</v>
      </c>
      <c r="J33" s="64" t="s">
        <v>8</v>
      </c>
    </row>
    <row r="34" spans="1:10">
      <c r="A34" s="36">
        <f ca="1" t="shared" si="0"/>
        <v>155</v>
      </c>
      <c r="B34" s="36">
        <f ca="1" t="array" ref="B34">INDEX(Data_DBD!$E:$E,$A34)</f>
        <v>1</v>
      </c>
      <c r="C34" s="36" t="str">
        <f ca="1" t="array" ref="C34">INDEX(Data_DBD!$F:$F,$A34)</f>
        <v>Tinggi</v>
      </c>
      <c r="H34" s="64">
        <v>43</v>
      </c>
      <c r="I34" s="64">
        <v>0</v>
      </c>
      <c r="J34" s="64" t="s">
        <v>8</v>
      </c>
    </row>
    <row r="35" spans="1:10">
      <c r="A35" s="36">
        <f ca="1" t="shared" si="0"/>
        <v>56</v>
      </c>
      <c r="B35" s="36">
        <f ca="1" t="array" ref="B35">INDEX(Data_DBD!$E:$E,$A35)</f>
        <v>0</v>
      </c>
      <c r="C35" s="36" t="str">
        <f ca="1" t="array" ref="C35">INDEX(Data_DBD!$F:$F,$A35)</f>
        <v>Sedang</v>
      </c>
      <c r="H35" s="64">
        <v>127</v>
      </c>
      <c r="I35" s="64">
        <v>0</v>
      </c>
      <c r="J35" s="64" t="s">
        <v>105</v>
      </c>
    </row>
    <row r="36" spans="1:10">
      <c r="A36" s="36">
        <f ca="1" t="shared" si="0"/>
        <v>162</v>
      </c>
      <c r="B36" s="36">
        <f ca="1" t="array" ref="B36">INDEX(Data_DBD!$E:$E,$A36)</f>
        <v>1</v>
      </c>
      <c r="C36" s="36" t="str">
        <f ca="1" t="array" ref="C36">INDEX(Data_DBD!$F:$F,$A36)</f>
        <v>Rendah</v>
      </c>
      <c r="H36" s="64">
        <v>53</v>
      </c>
      <c r="I36" s="64">
        <v>1</v>
      </c>
      <c r="J36" s="64" t="s">
        <v>8</v>
      </c>
    </row>
    <row r="37" spans="1:10">
      <c r="A37" s="36">
        <f ca="1" t="shared" si="0"/>
        <v>161</v>
      </c>
      <c r="B37" s="36">
        <f ca="1" t="array" ref="B37">INDEX(Data_DBD!$E:$E,$A37)</f>
        <v>1</v>
      </c>
      <c r="C37" s="36" t="str">
        <f ca="1" t="array" ref="C37">INDEX(Data_DBD!$F:$F,$A37)</f>
        <v>Tinggi</v>
      </c>
      <c r="H37" s="64">
        <v>97</v>
      </c>
      <c r="I37" s="64">
        <v>1</v>
      </c>
      <c r="J37" s="64" t="s">
        <v>105</v>
      </c>
    </row>
    <row r="38" spans="1:10">
      <c r="A38" s="36">
        <f ca="1" t="shared" si="0"/>
        <v>139</v>
      </c>
      <c r="B38" s="36">
        <f ca="1" t="array" ref="B38">INDEX(Data_DBD!$E:$E,$A38)</f>
        <v>0</v>
      </c>
      <c r="C38" s="36" t="str">
        <f ca="1" t="array" ref="C38">INDEX(Data_DBD!$F:$F,$A38)</f>
        <v>Tinggi</v>
      </c>
      <c r="H38" s="64">
        <v>65</v>
      </c>
      <c r="I38" s="64">
        <v>0</v>
      </c>
      <c r="J38" s="64" t="s">
        <v>8</v>
      </c>
    </row>
    <row r="39" spans="1:10">
      <c r="A39" s="36">
        <f ca="1" t="shared" si="0"/>
        <v>117</v>
      </c>
      <c r="B39" s="36">
        <f ca="1" t="array" ref="B39">INDEX(Data_DBD!$E:$E,$A39)</f>
        <v>1</v>
      </c>
      <c r="C39" s="36" t="str">
        <f ca="1" t="array" ref="C39">INDEX(Data_DBD!$F:$F,$A39)</f>
        <v>Tinggi</v>
      </c>
      <c r="H39" s="64">
        <v>149</v>
      </c>
      <c r="I39" s="64">
        <v>0</v>
      </c>
      <c r="J39" s="64" t="s">
        <v>105</v>
      </c>
    </row>
    <row r="40" spans="1:10">
      <c r="A40" s="36">
        <f ca="1" t="shared" si="0"/>
        <v>148</v>
      </c>
      <c r="B40" s="36">
        <f ca="1" t="array" ref="B40">INDEX(Data_DBD!$E:$E,$A40)</f>
        <v>1</v>
      </c>
      <c r="C40" s="36" t="str">
        <f ca="1" t="array" ref="C40">INDEX(Data_DBD!$F:$F,$A40)</f>
        <v>Tinggi</v>
      </c>
      <c r="H40" s="64">
        <v>54</v>
      </c>
      <c r="I40" s="64">
        <v>0</v>
      </c>
      <c r="J40" s="64" t="s">
        <v>8</v>
      </c>
    </row>
    <row r="41" spans="1:10">
      <c r="A41" s="36">
        <f ca="1" t="shared" si="0"/>
        <v>27</v>
      </c>
      <c r="B41" s="36">
        <f ca="1" t="array" ref="B41">INDEX(Data_DBD!$E:$E,$A41)</f>
        <v>1</v>
      </c>
      <c r="C41" s="36" t="str">
        <f ca="1" t="array" ref="C41">INDEX(Data_DBD!$F:$F,$A41)</f>
        <v>Sedang</v>
      </c>
      <c r="H41" s="64">
        <v>11</v>
      </c>
      <c r="I41" s="64">
        <v>1</v>
      </c>
      <c r="J41" s="64" t="s">
        <v>8</v>
      </c>
    </row>
    <row r="42" spans="1:10">
      <c r="A42" s="36">
        <f ca="1" t="shared" si="0"/>
        <v>53</v>
      </c>
      <c r="B42" s="36">
        <f ca="1" t="array" ref="B42">INDEX(Data_DBD!$E:$E,$A42)</f>
        <v>1</v>
      </c>
      <c r="C42" s="36" t="str">
        <f ca="1" t="array" ref="C42">INDEX(Data_DBD!$F:$F,$A42)</f>
        <v>Sedang</v>
      </c>
      <c r="H42" s="64">
        <v>124</v>
      </c>
      <c r="I42" s="64">
        <v>1</v>
      </c>
      <c r="J42" s="64" t="s">
        <v>105</v>
      </c>
    </row>
    <row r="43" spans="1:10">
      <c r="A43" s="36">
        <f ca="1" t="shared" si="0"/>
        <v>53</v>
      </c>
      <c r="B43" s="36">
        <f ca="1" t="array" ref="B43">INDEX(Data_DBD!$E:$E,$A43)</f>
        <v>1</v>
      </c>
      <c r="C43" s="36" t="str">
        <f ca="1" t="array" ref="C43">INDEX(Data_DBD!$F:$F,$A43)</f>
        <v>Sedang</v>
      </c>
      <c r="H43" s="64">
        <v>51</v>
      </c>
      <c r="I43" s="64">
        <v>0</v>
      </c>
      <c r="J43" s="64" t="s">
        <v>8</v>
      </c>
    </row>
    <row r="44" spans="1:10">
      <c r="A44" s="36">
        <f ca="1" t="shared" si="0"/>
        <v>3</v>
      </c>
      <c r="B44" s="36">
        <f ca="1" t="array" ref="B44">INDEX(Data_DBD!$E:$E,$A44)</f>
        <v>1</v>
      </c>
      <c r="C44" s="36" t="str">
        <f ca="1" t="array" ref="C44">INDEX(Data_DBD!$F:$F,$A44)</f>
        <v>Sedang</v>
      </c>
      <c r="H44" s="64">
        <v>119</v>
      </c>
      <c r="I44" s="64">
        <v>0</v>
      </c>
      <c r="J44" s="64" t="s">
        <v>105</v>
      </c>
    </row>
    <row r="45" spans="1:10">
      <c r="A45" s="36">
        <f ca="1" t="shared" si="0"/>
        <v>145</v>
      </c>
      <c r="B45" s="36">
        <f ca="1" t="array" ref="B45">INDEX(Data_DBD!$E:$E,$A45)</f>
        <v>1</v>
      </c>
      <c r="C45" s="36" t="str">
        <f ca="1" t="array" ref="C45">INDEX(Data_DBD!$F:$F,$A45)</f>
        <v>Tinggi</v>
      </c>
      <c r="H45" s="64">
        <v>151</v>
      </c>
      <c r="I45" s="64">
        <v>0</v>
      </c>
      <c r="J45" s="64" t="s">
        <v>105</v>
      </c>
    </row>
    <row r="46" spans="1:10">
      <c r="A46" s="36">
        <f ca="1" t="shared" si="0"/>
        <v>85</v>
      </c>
      <c r="B46" s="36">
        <f ca="1" t="array" ref="B46">INDEX(Data_DBD!$E:$E,$A46)</f>
        <v>0</v>
      </c>
      <c r="C46" s="36" t="str">
        <f ca="1" t="array" ref="C46">INDEX(Data_DBD!$F:$F,$A46)</f>
        <v>Sedang</v>
      </c>
      <c r="H46" s="64">
        <v>46</v>
      </c>
      <c r="I46" s="64">
        <v>0</v>
      </c>
      <c r="J46" s="64" t="s">
        <v>8</v>
      </c>
    </row>
    <row r="47" spans="1:10">
      <c r="A47" s="36">
        <f ca="1" t="shared" si="0"/>
        <v>60</v>
      </c>
      <c r="B47" s="36">
        <f ca="1" t="array" ref="B47">INDEX(Data_DBD!$E:$E,$A47)</f>
        <v>0</v>
      </c>
      <c r="C47" s="36" t="str">
        <f ca="1" t="array" ref="C47">INDEX(Data_DBD!$F:$F,$A47)</f>
        <v>Sedang</v>
      </c>
      <c r="H47" s="64">
        <v>156</v>
      </c>
      <c r="I47" s="64">
        <v>0</v>
      </c>
      <c r="J47" s="64" t="s">
        <v>105</v>
      </c>
    </row>
    <row r="48" spans="1:10">
      <c r="A48" s="36">
        <f ca="1" t="shared" si="0"/>
        <v>137</v>
      </c>
      <c r="B48" s="36">
        <f ca="1" t="array" ref="B48">INDEX(Data_DBD!$E:$E,$A48)</f>
        <v>1</v>
      </c>
      <c r="C48" s="36" t="str">
        <f ca="1" t="array" ref="C48">INDEX(Data_DBD!$F:$F,$A48)</f>
        <v>Tinggi</v>
      </c>
      <c r="H48" s="64">
        <v>116</v>
      </c>
      <c r="I48" s="64">
        <v>1</v>
      </c>
      <c r="J48" s="64" t="s">
        <v>105</v>
      </c>
    </row>
    <row r="49" spans="1:10">
      <c r="A49" s="36">
        <f ca="1" t="shared" si="0"/>
        <v>51</v>
      </c>
      <c r="B49" s="36">
        <f ca="1" t="array" ref="B49">INDEX(Data_DBD!$E:$E,$A49)</f>
        <v>0</v>
      </c>
      <c r="C49" s="36" t="str">
        <f ca="1" t="array" ref="C49">INDEX(Data_DBD!$F:$F,$A49)</f>
        <v>Sedang</v>
      </c>
      <c r="H49" s="64">
        <v>117</v>
      </c>
      <c r="I49" s="64">
        <v>1</v>
      </c>
      <c r="J49" s="64" t="s">
        <v>105</v>
      </c>
    </row>
    <row r="50" spans="1:10">
      <c r="A50" s="36">
        <f ca="1" t="shared" si="0"/>
        <v>75</v>
      </c>
      <c r="B50" s="36">
        <f ca="1" t="array" ref="B50">INDEX(Data_DBD!$E:$E,$A50)</f>
        <v>1</v>
      </c>
      <c r="C50" s="36" t="str">
        <f ca="1" t="array" ref="C50">INDEX(Data_DBD!$F:$F,$A50)</f>
        <v>Sedang</v>
      </c>
      <c r="H50" s="64">
        <v>50</v>
      </c>
      <c r="I50" s="64">
        <v>0</v>
      </c>
      <c r="J50" s="64" t="s">
        <v>8</v>
      </c>
    </row>
    <row r="51" spans="1:10">
      <c r="A51" s="36">
        <f ca="1" t="shared" si="0"/>
        <v>21</v>
      </c>
      <c r="B51" s="36">
        <f ca="1" t="array" ref="B51">INDEX(Data_DBD!$E:$E,$A51)</f>
        <v>1</v>
      </c>
      <c r="C51" s="36" t="str">
        <f ca="1" t="array" ref="C51">INDEX(Data_DBD!$F:$F,$A51)</f>
        <v>Sedang</v>
      </c>
      <c r="H51" s="64">
        <v>46</v>
      </c>
      <c r="I51" s="64">
        <v>0</v>
      </c>
      <c r="J51" s="64" t="s">
        <v>8</v>
      </c>
    </row>
    <row r="52" spans="1:10">
      <c r="A52" s="36">
        <f ca="1" t="shared" si="0"/>
        <v>137</v>
      </c>
      <c r="B52" s="36">
        <f ca="1" t="array" ref="B52">INDEX(Data_DBD!$E:$E,$A52)</f>
        <v>1</v>
      </c>
      <c r="C52" s="36" t="str">
        <f ca="1" t="array" ref="C52">INDEX(Data_DBD!$F:$F,$A52)</f>
        <v>Tinggi</v>
      </c>
      <c r="H52" s="64">
        <v>17</v>
      </c>
      <c r="I52" s="64">
        <v>0</v>
      </c>
      <c r="J52" s="64" t="s">
        <v>26</v>
      </c>
    </row>
    <row r="53" spans="1:10">
      <c r="A53" s="36">
        <f ca="1" t="shared" si="0"/>
        <v>66</v>
      </c>
      <c r="B53" s="36">
        <f ca="1" t="array" ref="B53">INDEX(Data_DBD!$E:$E,$A53)</f>
        <v>1</v>
      </c>
      <c r="C53" s="36" t="str">
        <f ca="1" t="array" ref="C53">INDEX(Data_DBD!$F:$F,$A53)</f>
        <v>Sedang</v>
      </c>
      <c r="H53" s="64">
        <v>159</v>
      </c>
      <c r="I53" s="64">
        <v>0</v>
      </c>
      <c r="J53" s="64" t="s">
        <v>105</v>
      </c>
    </row>
    <row r="54" spans="1:10">
      <c r="A54" s="36">
        <f ca="1" t="shared" si="0"/>
        <v>70</v>
      </c>
      <c r="B54" s="36">
        <f ca="1" t="array" ref="B54">INDEX(Data_DBD!$E:$E,$A54)</f>
        <v>1</v>
      </c>
      <c r="C54" s="36" t="str">
        <f ca="1" t="array" ref="C54">INDEX(Data_DBD!$F:$F,$A54)</f>
        <v>Sedang</v>
      </c>
      <c r="H54" s="64">
        <v>148</v>
      </c>
      <c r="I54" s="64">
        <v>1</v>
      </c>
      <c r="J54" s="64" t="s">
        <v>105</v>
      </c>
    </row>
    <row r="55" spans="1:10">
      <c r="A55" s="36">
        <f ca="1" t="shared" si="0"/>
        <v>94</v>
      </c>
      <c r="B55" s="36">
        <f ca="1" t="array" ref="B55">INDEX(Data_DBD!$E:$E,$A55)</f>
        <v>0</v>
      </c>
      <c r="C55" s="36" t="str">
        <f ca="1" t="array" ref="C55">INDEX(Data_DBD!$F:$F,$A55)</f>
        <v>Tinggi</v>
      </c>
      <c r="H55" s="64">
        <v>14</v>
      </c>
      <c r="I55" s="64">
        <v>1</v>
      </c>
      <c r="J55" s="64" t="s">
        <v>26</v>
      </c>
    </row>
    <row r="56" spans="1:10">
      <c r="A56" s="36">
        <f ca="1" t="shared" si="0"/>
        <v>164</v>
      </c>
      <c r="B56" s="36">
        <f ca="1" t="array" ref="B56">INDEX(Data_DBD!$E:$E,$A56)</f>
        <v>0</v>
      </c>
      <c r="C56" s="36" t="str">
        <f ca="1" t="array" ref="C56">INDEX(Data_DBD!$F:$F,$A56)</f>
        <v>Rendah</v>
      </c>
      <c r="H56" s="64">
        <v>102</v>
      </c>
      <c r="I56" s="64">
        <v>0</v>
      </c>
      <c r="J56" s="64" t="s">
        <v>105</v>
      </c>
    </row>
    <row r="57" spans="1:10">
      <c r="A57" s="36">
        <f ca="1" t="shared" si="0"/>
        <v>83</v>
      </c>
      <c r="B57" s="36">
        <f ca="1" t="array" ref="B57">INDEX(Data_DBD!$E:$E,$A57)</f>
        <v>0</v>
      </c>
      <c r="C57" s="36" t="str">
        <f ca="1" t="array" ref="C57">INDEX(Data_DBD!$F:$F,$A57)</f>
        <v>Sedang</v>
      </c>
      <c r="H57" s="64">
        <v>7</v>
      </c>
      <c r="I57" s="64">
        <v>1</v>
      </c>
      <c r="J57" s="64" t="s">
        <v>8</v>
      </c>
    </row>
    <row r="58" spans="1:10">
      <c r="A58" s="36">
        <f ca="1" t="shared" si="0"/>
        <v>18</v>
      </c>
      <c r="B58" s="36">
        <f ca="1" t="array" ref="B58">INDEX(Data_DBD!$E:$E,$A58)</f>
        <v>1</v>
      </c>
      <c r="C58" s="36" t="str">
        <f ca="1" t="array" ref="C58">INDEX(Data_DBD!$F:$F,$A58)</f>
        <v>Rendah</v>
      </c>
      <c r="H58" s="64">
        <v>100</v>
      </c>
      <c r="I58" s="64">
        <v>0</v>
      </c>
      <c r="J58" s="64" t="s">
        <v>105</v>
      </c>
    </row>
    <row r="59" spans="1:10">
      <c r="A59" s="36">
        <f ca="1" t="shared" si="0"/>
        <v>121</v>
      </c>
      <c r="B59" s="36">
        <f ca="1" t="array" ref="B59">INDEX(Data_DBD!$E:$E,$A59)</f>
        <v>1</v>
      </c>
      <c r="C59" s="36" t="str">
        <f ca="1" t="array" ref="C59">INDEX(Data_DBD!$F:$F,$A59)</f>
        <v>Tinggi</v>
      </c>
      <c r="H59" s="64">
        <v>164</v>
      </c>
      <c r="I59" s="64">
        <v>0</v>
      </c>
      <c r="J59" s="64" t="s">
        <v>26</v>
      </c>
    </row>
    <row r="60" spans="1:10">
      <c r="A60" s="36">
        <f ca="1" t="shared" si="0"/>
        <v>65</v>
      </c>
      <c r="B60" s="36">
        <f ca="1" t="array" ref="B60">INDEX(Data_DBD!$E:$E,$A60)</f>
        <v>0</v>
      </c>
      <c r="C60" s="36" t="str">
        <f ca="1" t="array" ref="C60">INDEX(Data_DBD!$F:$F,$A60)</f>
        <v>Sedang</v>
      </c>
      <c r="H60" s="64">
        <v>53</v>
      </c>
      <c r="I60" s="64">
        <v>1</v>
      </c>
      <c r="J60" s="64" t="s">
        <v>8</v>
      </c>
    </row>
    <row r="61" spans="1:10">
      <c r="A61" s="36">
        <f ca="1" t="shared" si="0"/>
        <v>139</v>
      </c>
      <c r="B61" s="36">
        <f ca="1" t="array" ref="B61">INDEX(Data_DBD!$E:$E,$A61)</f>
        <v>0</v>
      </c>
      <c r="C61" s="36" t="str">
        <f ca="1" t="array" ref="C61">INDEX(Data_DBD!$F:$F,$A61)</f>
        <v>Tinggi</v>
      </c>
      <c r="H61" s="64">
        <v>140</v>
      </c>
      <c r="I61" s="64">
        <v>1</v>
      </c>
      <c r="J61" s="64" t="s">
        <v>105</v>
      </c>
    </row>
    <row r="62" spans="1:10">
      <c r="A62" s="36">
        <f ca="1" t="shared" si="0"/>
        <v>119</v>
      </c>
      <c r="B62" s="36">
        <f ca="1" t="array" ref="B62">INDEX(Data_DBD!$E:$E,$A62)</f>
        <v>0</v>
      </c>
      <c r="C62" s="36" t="str">
        <f ca="1" t="array" ref="C62">INDEX(Data_DBD!$F:$F,$A62)</f>
        <v>Tinggi</v>
      </c>
      <c r="H62" s="64">
        <v>132</v>
      </c>
      <c r="I62" s="64">
        <v>1</v>
      </c>
      <c r="J62" s="64" t="s">
        <v>105</v>
      </c>
    </row>
    <row r="63" spans="1:10">
      <c r="A63" s="36">
        <f ca="1" t="shared" si="0"/>
        <v>39</v>
      </c>
      <c r="B63" s="36">
        <f ca="1" t="array" ref="B63">INDEX(Data_DBD!$E:$E,$A63)</f>
        <v>1</v>
      </c>
      <c r="C63" s="36" t="str">
        <f ca="1" t="array" ref="C63">INDEX(Data_DBD!$F:$F,$A63)</f>
        <v>Sedang</v>
      </c>
      <c r="H63" s="64">
        <v>19</v>
      </c>
      <c r="I63" s="64">
        <v>0</v>
      </c>
      <c r="J63" s="64" t="s">
        <v>26</v>
      </c>
    </row>
    <row r="64" spans="1:10">
      <c r="A64" s="36">
        <f ca="1" t="shared" si="0"/>
        <v>159</v>
      </c>
      <c r="B64" s="36">
        <f ca="1" t="array" ref="B64">INDEX(Data_DBD!$E:$E,$A64)</f>
        <v>0</v>
      </c>
      <c r="C64" s="36" t="str">
        <f ca="1" t="array" ref="C64">INDEX(Data_DBD!$F:$F,$A64)</f>
        <v>Tinggi</v>
      </c>
      <c r="H64" s="64">
        <v>68</v>
      </c>
      <c r="I64" s="64">
        <v>0</v>
      </c>
      <c r="J64" s="64" t="s">
        <v>8</v>
      </c>
    </row>
    <row r="65" spans="1:10">
      <c r="A65" s="36">
        <f ca="1" t="shared" si="0"/>
        <v>128</v>
      </c>
      <c r="B65" s="36">
        <f ca="1" t="array" ref="B65">INDEX(Data_DBD!$E:$E,$A65)</f>
        <v>0</v>
      </c>
      <c r="C65" s="36" t="str">
        <f ca="1" t="array" ref="C65">INDEX(Data_DBD!$F:$F,$A65)</f>
        <v>Tinggi</v>
      </c>
      <c r="H65" s="64">
        <v>113</v>
      </c>
      <c r="I65" s="64">
        <v>1</v>
      </c>
      <c r="J65" s="64" t="s">
        <v>105</v>
      </c>
    </row>
    <row r="66" spans="1:10">
      <c r="A66" s="36">
        <f ca="1" t="shared" si="0"/>
        <v>103</v>
      </c>
      <c r="B66" s="36">
        <f ca="1" t="array" ref="B66">INDEX(Data_DBD!$E:$E,$A66)</f>
        <v>0</v>
      </c>
      <c r="C66" s="36" t="str">
        <f ca="1" t="array" ref="C66">INDEX(Data_DBD!$F:$F,$A66)</f>
        <v>Tinggi</v>
      </c>
      <c r="H66" s="64">
        <v>144</v>
      </c>
      <c r="I66" s="64">
        <v>1</v>
      </c>
      <c r="J66" s="64" t="s">
        <v>105</v>
      </c>
    </row>
    <row r="67" spans="1:10">
      <c r="A67" s="36">
        <f ca="1" t="shared" ref="A67:A130" si="1">RANDBETWEEN(2,164)</f>
        <v>77</v>
      </c>
      <c r="B67" s="36">
        <f ca="1" t="array" ref="B67">INDEX(Data_DBD!$E:$E,$A67)</f>
        <v>1</v>
      </c>
      <c r="C67" s="36" t="str">
        <f ca="1" t="array" ref="C67">INDEX(Data_DBD!$F:$F,$A67)</f>
        <v>Sedang</v>
      </c>
      <c r="H67" s="64">
        <v>136</v>
      </c>
      <c r="I67" s="64">
        <v>0</v>
      </c>
      <c r="J67" s="64" t="s">
        <v>105</v>
      </c>
    </row>
    <row r="68" spans="1:10">
      <c r="A68" s="36">
        <f ca="1" t="shared" si="1"/>
        <v>100</v>
      </c>
      <c r="B68" s="36">
        <f ca="1" t="array" ref="B68">INDEX(Data_DBD!$E:$E,$A68)</f>
        <v>0</v>
      </c>
      <c r="C68" s="36" t="str">
        <f ca="1" t="array" ref="C68">INDEX(Data_DBD!$F:$F,$A68)</f>
        <v>Tinggi</v>
      </c>
      <c r="H68" s="64">
        <v>28</v>
      </c>
      <c r="I68" s="64">
        <v>1</v>
      </c>
      <c r="J68" s="64" t="s">
        <v>8</v>
      </c>
    </row>
    <row r="69" spans="1:10">
      <c r="A69" s="36">
        <f ca="1" t="shared" si="1"/>
        <v>41</v>
      </c>
      <c r="B69" s="36">
        <f ca="1" t="array" ref="B69">INDEX(Data_DBD!$E:$E,$A69)</f>
        <v>0</v>
      </c>
      <c r="C69" s="36" t="str">
        <f ca="1" t="array" ref="C69">INDEX(Data_DBD!$F:$F,$A69)</f>
        <v>Sedang</v>
      </c>
      <c r="H69" s="64">
        <v>52</v>
      </c>
      <c r="I69" s="64">
        <v>1</v>
      </c>
      <c r="J69" s="64" t="s">
        <v>8</v>
      </c>
    </row>
    <row r="70" spans="1:10">
      <c r="A70" s="36">
        <f ca="1" t="shared" si="1"/>
        <v>89</v>
      </c>
      <c r="B70" s="36">
        <f ca="1" t="array" ref="B70">INDEX(Data_DBD!$E:$E,$A70)</f>
        <v>0</v>
      </c>
      <c r="C70" s="36" t="str">
        <f ca="1" t="array" ref="C70">INDEX(Data_DBD!$F:$F,$A70)</f>
        <v>Sedang</v>
      </c>
      <c r="H70" s="64">
        <v>42</v>
      </c>
      <c r="I70" s="64">
        <v>1</v>
      </c>
      <c r="J70" s="64" t="s">
        <v>8</v>
      </c>
    </row>
    <row r="71" spans="1:10">
      <c r="A71" s="36">
        <f ca="1" t="shared" si="1"/>
        <v>134</v>
      </c>
      <c r="B71" s="36">
        <f ca="1" t="array" ref="B71">INDEX(Data_DBD!$E:$E,$A71)</f>
        <v>1</v>
      </c>
      <c r="C71" s="36" t="str">
        <f ca="1" t="array" ref="C71">INDEX(Data_DBD!$F:$F,$A71)</f>
        <v>Tinggi</v>
      </c>
      <c r="H71" s="64">
        <v>104</v>
      </c>
      <c r="I71" s="64">
        <v>1</v>
      </c>
      <c r="J71" s="64" t="s">
        <v>105</v>
      </c>
    </row>
    <row r="72" spans="1:10">
      <c r="A72" s="36">
        <f ca="1" t="shared" si="1"/>
        <v>78</v>
      </c>
      <c r="B72" s="36">
        <f ca="1" t="array" ref="B72">INDEX(Data_DBD!$E:$E,$A72)</f>
        <v>0</v>
      </c>
      <c r="C72" s="36" t="str">
        <f ca="1" t="array" ref="C72">INDEX(Data_DBD!$F:$F,$A72)</f>
        <v>Sedang</v>
      </c>
      <c r="H72" s="64">
        <v>34</v>
      </c>
      <c r="I72" s="64">
        <v>0</v>
      </c>
      <c r="J72" s="64" t="s">
        <v>8</v>
      </c>
    </row>
    <row r="73" spans="1:10">
      <c r="A73" s="36">
        <f ca="1" t="shared" si="1"/>
        <v>139</v>
      </c>
      <c r="B73" s="36">
        <f ca="1" t="array" ref="B73">INDEX(Data_DBD!$E:$E,$A73)</f>
        <v>0</v>
      </c>
      <c r="C73" s="36" t="str">
        <f ca="1" t="array" ref="C73">INDEX(Data_DBD!$F:$F,$A73)</f>
        <v>Tinggi</v>
      </c>
      <c r="H73" s="64">
        <v>38</v>
      </c>
      <c r="I73" s="64">
        <v>1</v>
      </c>
      <c r="J73" s="64" t="s">
        <v>26</v>
      </c>
    </row>
    <row r="74" spans="1:10">
      <c r="A74" s="36">
        <f ca="1" t="shared" si="1"/>
        <v>55</v>
      </c>
      <c r="B74" s="36">
        <f ca="1" t="array" ref="B74">INDEX(Data_DBD!$E:$E,$A74)</f>
        <v>1</v>
      </c>
      <c r="C74" s="36" t="str">
        <f ca="1" t="array" ref="C74">INDEX(Data_DBD!$F:$F,$A74)</f>
        <v>Sedang</v>
      </c>
      <c r="H74" s="64">
        <v>90</v>
      </c>
      <c r="I74" s="64">
        <v>0</v>
      </c>
      <c r="J74" s="64" t="s">
        <v>105</v>
      </c>
    </row>
    <row r="75" spans="1:10">
      <c r="A75" s="36">
        <f ca="1" t="shared" si="1"/>
        <v>94</v>
      </c>
      <c r="B75" s="36">
        <f ca="1" t="array" ref="B75">INDEX(Data_DBD!$E:$E,$A75)</f>
        <v>0</v>
      </c>
      <c r="C75" s="36" t="str">
        <f ca="1" t="array" ref="C75">INDEX(Data_DBD!$F:$F,$A75)</f>
        <v>Tinggi</v>
      </c>
      <c r="H75" s="64">
        <v>109</v>
      </c>
      <c r="I75" s="64">
        <v>1</v>
      </c>
      <c r="J75" s="64" t="s">
        <v>105</v>
      </c>
    </row>
    <row r="76" spans="1:10">
      <c r="A76" s="36">
        <f ca="1" t="shared" si="1"/>
        <v>29</v>
      </c>
      <c r="B76" s="36">
        <f ca="1" t="array" ref="B76">INDEX(Data_DBD!$E:$E,$A76)</f>
        <v>1</v>
      </c>
      <c r="C76" s="36" t="str">
        <f ca="1" t="array" ref="C76">INDEX(Data_DBD!$F:$F,$A76)</f>
        <v>Sedang</v>
      </c>
      <c r="H76" s="64">
        <v>122</v>
      </c>
      <c r="I76" s="64">
        <v>1</v>
      </c>
      <c r="J76" s="64" t="s">
        <v>105</v>
      </c>
    </row>
    <row r="77" spans="1:10">
      <c r="A77" s="36">
        <f ca="1" t="shared" si="1"/>
        <v>101</v>
      </c>
      <c r="B77" s="36">
        <f ca="1" t="array" ref="B77">INDEX(Data_DBD!$E:$E,$A77)</f>
        <v>0</v>
      </c>
      <c r="C77" s="36" t="str">
        <f ca="1" t="array" ref="C77">INDEX(Data_DBD!$F:$F,$A77)</f>
        <v>Tinggi</v>
      </c>
      <c r="H77" s="64">
        <v>147</v>
      </c>
      <c r="I77" s="64">
        <v>1</v>
      </c>
      <c r="J77" s="64" t="s">
        <v>105</v>
      </c>
    </row>
    <row r="78" spans="1:10">
      <c r="A78" s="36">
        <f ca="1" t="shared" si="1"/>
        <v>161</v>
      </c>
      <c r="B78" s="36">
        <f ca="1" t="array" ref="B78">INDEX(Data_DBD!$E:$E,$A78)</f>
        <v>1</v>
      </c>
      <c r="C78" s="36" t="str">
        <f ca="1" t="array" ref="C78">INDEX(Data_DBD!$F:$F,$A78)</f>
        <v>Tinggi</v>
      </c>
      <c r="H78" s="64">
        <v>33</v>
      </c>
      <c r="I78" s="64">
        <v>1</v>
      </c>
      <c r="J78" s="64" t="s">
        <v>8</v>
      </c>
    </row>
    <row r="79" spans="1:10">
      <c r="A79" s="36">
        <f ca="1" t="shared" si="1"/>
        <v>94</v>
      </c>
      <c r="B79" s="36">
        <f ca="1" t="array" ref="B79">INDEX(Data_DBD!$E:$E,$A79)</f>
        <v>0</v>
      </c>
      <c r="C79" s="36" t="str">
        <f ca="1" t="array" ref="C79">INDEX(Data_DBD!$F:$F,$A79)</f>
        <v>Tinggi</v>
      </c>
      <c r="H79" s="64">
        <v>42</v>
      </c>
      <c r="I79" s="64">
        <v>1</v>
      </c>
      <c r="J79" s="64" t="s">
        <v>8</v>
      </c>
    </row>
    <row r="80" spans="1:10">
      <c r="A80" s="36">
        <f ca="1" t="shared" si="1"/>
        <v>10</v>
      </c>
      <c r="B80" s="36">
        <f ca="1" t="array" ref="B80">INDEX(Data_DBD!$E:$E,$A80)</f>
        <v>0</v>
      </c>
      <c r="C80" s="36" t="str">
        <f ca="1" t="array" ref="C80">INDEX(Data_DBD!$F:$F,$A80)</f>
        <v>Sedang</v>
      </c>
      <c r="H80" s="64">
        <v>74</v>
      </c>
      <c r="I80" s="64">
        <v>0</v>
      </c>
      <c r="J80" s="64" t="s">
        <v>8</v>
      </c>
    </row>
    <row r="81" spans="1:10">
      <c r="A81" s="36">
        <f ca="1" t="shared" si="1"/>
        <v>70</v>
      </c>
      <c r="B81" s="36">
        <f ca="1" t="array" ref="B81">INDEX(Data_DBD!$E:$E,$A81)</f>
        <v>1</v>
      </c>
      <c r="C81" s="36" t="str">
        <f ca="1" t="array" ref="C81">INDEX(Data_DBD!$F:$F,$A81)</f>
        <v>Sedang</v>
      </c>
      <c r="H81" s="64">
        <v>60</v>
      </c>
      <c r="I81" s="64">
        <v>0</v>
      </c>
      <c r="J81" s="64" t="s">
        <v>8</v>
      </c>
    </row>
    <row r="82" spans="1:10">
      <c r="A82" s="36">
        <f ca="1" t="shared" si="1"/>
        <v>10</v>
      </c>
      <c r="B82" s="36">
        <f ca="1" t="array" ref="B82">INDEX(Data_DBD!$E:$E,$A82)</f>
        <v>0</v>
      </c>
      <c r="C82" s="36" t="str">
        <f ca="1" t="array" ref="C82">INDEX(Data_DBD!$F:$F,$A82)</f>
        <v>Sedang</v>
      </c>
      <c r="H82" s="64">
        <v>67</v>
      </c>
      <c r="I82" s="64">
        <v>1</v>
      </c>
      <c r="J82" s="64" t="s">
        <v>8</v>
      </c>
    </row>
    <row r="83" spans="1:10">
      <c r="A83" s="36">
        <f ca="1" t="shared" si="1"/>
        <v>157</v>
      </c>
      <c r="B83" s="36">
        <f ca="1" t="array" ref="B83">INDEX(Data_DBD!$E:$E,$A83)</f>
        <v>1</v>
      </c>
      <c r="C83" s="36" t="str">
        <f ca="1" t="array" ref="C83">INDEX(Data_DBD!$F:$F,$A83)</f>
        <v>Tinggi</v>
      </c>
      <c r="H83" s="64">
        <v>92</v>
      </c>
      <c r="I83" s="64">
        <v>0</v>
      </c>
      <c r="J83" s="64" t="s">
        <v>105</v>
      </c>
    </row>
    <row r="84" spans="1:10">
      <c r="A84" s="36">
        <f ca="1" t="shared" si="1"/>
        <v>137</v>
      </c>
      <c r="B84" s="36">
        <f ca="1" t="array" ref="B84">INDEX(Data_DBD!$E:$E,$A84)</f>
        <v>1</v>
      </c>
      <c r="C84" s="36" t="str">
        <f ca="1" t="array" ref="C84">INDEX(Data_DBD!$F:$F,$A84)</f>
        <v>Tinggi</v>
      </c>
      <c r="H84" s="64">
        <v>90</v>
      </c>
      <c r="I84" s="64">
        <v>0</v>
      </c>
      <c r="J84" s="64" t="s">
        <v>105</v>
      </c>
    </row>
    <row r="85" spans="1:10">
      <c r="A85" s="36">
        <f ca="1" t="shared" si="1"/>
        <v>25</v>
      </c>
      <c r="B85" s="36">
        <f ca="1" t="array" ref="B85">INDEX(Data_DBD!$E:$E,$A85)</f>
        <v>0</v>
      </c>
      <c r="C85" s="36" t="str">
        <f ca="1" t="array" ref="C85">INDEX(Data_DBD!$F:$F,$A85)</f>
        <v>Sedang</v>
      </c>
      <c r="H85" s="64">
        <v>71</v>
      </c>
      <c r="I85" s="64">
        <v>0</v>
      </c>
      <c r="J85" s="64" t="s">
        <v>8</v>
      </c>
    </row>
    <row r="86" spans="1:10">
      <c r="A86" s="36">
        <f ca="1" t="shared" si="1"/>
        <v>68</v>
      </c>
      <c r="B86" s="36">
        <f ca="1" t="array" ref="B86">INDEX(Data_DBD!$E:$E,$A86)</f>
        <v>0</v>
      </c>
      <c r="C86" s="36" t="str">
        <f ca="1" t="array" ref="C86">INDEX(Data_DBD!$F:$F,$A86)</f>
        <v>Sedang</v>
      </c>
      <c r="H86" s="64">
        <v>158</v>
      </c>
      <c r="I86" s="64">
        <v>0</v>
      </c>
      <c r="J86" s="64" t="s">
        <v>105</v>
      </c>
    </row>
    <row r="87" spans="1:10">
      <c r="A87" s="36">
        <f ca="1" t="shared" si="1"/>
        <v>19</v>
      </c>
      <c r="B87" s="36">
        <f ca="1" t="array" ref="B87">INDEX(Data_DBD!$E:$E,$A87)</f>
        <v>0</v>
      </c>
      <c r="C87" s="36" t="str">
        <f ca="1" t="array" ref="C87">INDEX(Data_DBD!$F:$F,$A87)</f>
        <v>Rendah</v>
      </c>
      <c r="H87" s="64">
        <v>76</v>
      </c>
      <c r="I87" s="64">
        <v>0</v>
      </c>
      <c r="J87" s="64" t="s">
        <v>8</v>
      </c>
    </row>
    <row r="88" spans="1:10">
      <c r="A88" s="36">
        <f ca="1" t="shared" si="1"/>
        <v>66</v>
      </c>
      <c r="B88" s="36">
        <f ca="1" t="array" ref="B88">INDEX(Data_DBD!$E:$E,$A88)</f>
        <v>1</v>
      </c>
      <c r="C88" s="36" t="str">
        <f ca="1" t="array" ref="C88">INDEX(Data_DBD!$F:$F,$A88)</f>
        <v>Sedang</v>
      </c>
      <c r="H88" s="64">
        <v>130</v>
      </c>
      <c r="I88" s="64">
        <v>0</v>
      </c>
      <c r="J88" s="64" t="s">
        <v>105</v>
      </c>
    </row>
    <row r="89" spans="1:10">
      <c r="A89" s="36">
        <f ca="1" t="shared" si="1"/>
        <v>121</v>
      </c>
      <c r="B89" s="36">
        <f ca="1" t="array" ref="B89">INDEX(Data_DBD!$E:$E,$A89)</f>
        <v>1</v>
      </c>
      <c r="C89" s="36" t="str">
        <f ca="1" t="array" ref="C89">INDEX(Data_DBD!$F:$F,$A89)</f>
        <v>Tinggi</v>
      </c>
      <c r="H89" s="64">
        <v>137</v>
      </c>
      <c r="I89" s="64">
        <v>1</v>
      </c>
      <c r="J89" s="64" t="s">
        <v>105</v>
      </c>
    </row>
    <row r="90" spans="1:10">
      <c r="A90" s="36">
        <f ca="1" t="shared" si="1"/>
        <v>102</v>
      </c>
      <c r="B90" s="36">
        <f ca="1" t="array" ref="B90">INDEX(Data_DBD!$E:$E,$A90)</f>
        <v>0</v>
      </c>
      <c r="C90" s="36" t="str">
        <f ca="1" t="array" ref="C90">INDEX(Data_DBD!$F:$F,$A90)</f>
        <v>Tinggi</v>
      </c>
      <c r="H90" s="64">
        <v>131</v>
      </c>
      <c r="I90" s="64">
        <v>0</v>
      </c>
      <c r="J90" s="64" t="s">
        <v>105</v>
      </c>
    </row>
    <row r="91" spans="1:10">
      <c r="A91" s="36">
        <f ca="1" t="shared" si="1"/>
        <v>147</v>
      </c>
      <c r="B91" s="36">
        <f ca="1" t="array" ref="B91">INDEX(Data_DBD!$E:$E,$A91)</f>
        <v>1</v>
      </c>
      <c r="C91" s="36" t="str">
        <f ca="1" t="array" ref="C91">INDEX(Data_DBD!$F:$F,$A91)</f>
        <v>Tinggi</v>
      </c>
      <c r="H91" s="64">
        <v>161</v>
      </c>
      <c r="I91" s="64">
        <v>1</v>
      </c>
      <c r="J91" s="64" t="s">
        <v>105</v>
      </c>
    </row>
    <row r="92" spans="1:10">
      <c r="A92" s="36">
        <f ca="1" t="shared" si="1"/>
        <v>31</v>
      </c>
      <c r="B92" s="36">
        <f ca="1" t="array" ref="B92">INDEX(Data_DBD!$E:$E,$A92)</f>
        <v>1</v>
      </c>
      <c r="C92" s="36" t="str">
        <f ca="1" t="array" ref="C92">INDEX(Data_DBD!$F:$F,$A92)</f>
        <v>Sedang</v>
      </c>
      <c r="H92" s="64">
        <v>125</v>
      </c>
      <c r="I92" s="64">
        <v>0</v>
      </c>
      <c r="J92" s="64" t="s">
        <v>105</v>
      </c>
    </row>
    <row r="93" spans="1:10">
      <c r="A93" s="36">
        <f ca="1" t="shared" si="1"/>
        <v>32</v>
      </c>
      <c r="B93" s="36">
        <f ca="1" t="array" ref="B93">INDEX(Data_DBD!$E:$E,$A93)</f>
        <v>0</v>
      </c>
      <c r="C93" s="36" t="str">
        <f ca="1" t="array" ref="C93">INDEX(Data_DBD!$F:$F,$A93)</f>
        <v>Sedang</v>
      </c>
      <c r="H93" s="64">
        <v>100</v>
      </c>
      <c r="I93" s="64">
        <v>0</v>
      </c>
      <c r="J93" s="64" t="s">
        <v>105</v>
      </c>
    </row>
    <row r="94" spans="1:10">
      <c r="A94" s="36">
        <f ca="1" t="shared" si="1"/>
        <v>119</v>
      </c>
      <c r="B94" s="36">
        <f ca="1" t="array" ref="B94">INDEX(Data_DBD!$E:$E,$A94)</f>
        <v>0</v>
      </c>
      <c r="C94" s="36" t="str">
        <f ca="1" t="array" ref="C94">INDEX(Data_DBD!$F:$F,$A94)</f>
        <v>Tinggi</v>
      </c>
      <c r="H94" s="64">
        <v>94</v>
      </c>
      <c r="I94" s="64">
        <v>0</v>
      </c>
      <c r="J94" s="64" t="s">
        <v>105</v>
      </c>
    </row>
    <row r="95" spans="1:10">
      <c r="A95" s="36">
        <f ca="1" t="shared" si="1"/>
        <v>56</v>
      </c>
      <c r="B95" s="36">
        <f ca="1" t="array" ref="B95">INDEX(Data_DBD!$E:$E,$A95)</f>
        <v>0</v>
      </c>
      <c r="C95" s="36" t="str">
        <f ca="1" t="array" ref="C95">INDEX(Data_DBD!$F:$F,$A95)</f>
        <v>Sedang</v>
      </c>
      <c r="H95" s="64">
        <v>68</v>
      </c>
      <c r="I95" s="64">
        <v>0</v>
      </c>
      <c r="J95" s="64" t="s">
        <v>8</v>
      </c>
    </row>
    <row r="96" spans="1:10">
      <c r="A96" s="36">
        <f ca="1" t="shared" si="1"/>
        <v>44</v>
      </c>
      <c r="B96" s="36">
        <f ca="1" t="array" ref="B96">INDEX(Data_DBD!$E:$E,$A96)</f>
        <v>1</v>
      </c>
      <c r="C96" s="36" t="str">
        <f ca="1" t="array" ref="C96">INDEX(Data_DBD!$F:$F,$A96)</f>
        <v>Sedang</v>
      </c>
      <c r="H96" s="64">
        <v>20</v>
      </c>
      <c r="I96" s="64">
        <v>0</v>
      </c>
      <c r="J96" s="64" t="s">
        <v>26</v>
      </c>
    </row>
    <row r="97" spans="1:10">
      <c r="A97" s="36">
        <f ca="1" t="shared" si="1"/>
        <v>102</v>
      </c>
      <c r="B97" s="36">
        <f ca="1" t="array" ref="B97">INDEX(Data_DBD!$E:$E,$A97)</f>
        <v>0</v>
      </c>
      <c r="C97" s="36" t="str">
        <f ca="1" t="array" ref="C97">INDEX(Data_DBD!$F:$F,$A97)</f>
        <v>Tinggi</v>
      </c>
      <c r="H97" s="64">
        <v>6</v>
      </c>
      <c r="I97" s="64">
        <v>0</v>
      </c>
      <c r="J97" s="64" t="s">
        <v>8</v>
      </c>
    </row>
    <row r="98" spans="1:10">
      <c r="A98" s="36">
        <f ca="1" t="shared" si="1"/>
        <v>25</v>
      </c>
      <c r="B98" s="36">
        <f ca="1" t="array" ref="B98">INDEX(Data_DBD!$E:$E,$A98)</f>
        <v>0</v>
      </c>
      <c r="C98" s="36" t="str">
        <f ca="1" t="array" ref="C98">INDEX(Data_DBD!$F:$F,$A98)</f>
        <v>Sedang</v>
      </c>
      <c r="H98" s="64">
        <v>39</v>
      </c>
      <c r="I98" s="64">
        <v>1</v>
      </c>
      <c r="J98" s="64" t="s">
        <v>8</v>
      </c>
    </row>
    <row r="99" spans="1:10">
      <c r="A99" s="36">
        <f ca="1" t="shared" si="1"/>
        <v>101</v>
      </c>
      <c r="B99" s="36">
        <f ca="1" t="array" ref="B99">INDEX(Data_DBD!$E:$E,$A99)</f>
        <v>0</v>
      </c>
      <c r="C99" s="36" t="str">
        <f ca="1" t="array" ref="C99">INDEX(Data_DBD!$F:$F,$A99)</f>
        <v>Tinggi</v>
      </c>
      <c r="H99" s="64">
        <v>42</v>
      </c>
      <c r="I99" s="64">
        <v>1</v>
      </c>
      <c r="J99" s="64" t="s">
        <v>8</v>
      </c>
    </row>
    <row r="100" spans="1:10">
      <c r="A100" s="36">
        <f ca="1" t="shared" si="1"/>
        <v>153</v>
      </c>
      <c r="B100" s="36">
        <f ca="1" t="array" ref="B100">INDEX(Data_DBD!$E:$E,$A100)</f>
        <v>1</v>
      </c>
      <c r="C100" s="36" t="str">
        <f ca="1" t="array" ref="C100">INDEX(Data_DBD!$F:$F,$A100)</f>
        <v>Tinggi</v>
      </c>
      <c r="H100" s="64">
        <v>74</v>
      </c>
      <c r="I100" s="64">
        <v>0</v>
      </c>
      <c r="J100" s="64" t="s">
        <v>8</v>
      </c>
    </row>
    <row r="101" spans="1:10">
      <c r="A101" s="36">
        <f ca="1" t="shared" si="1"/>
        <v>164</v>
      </c>
      <c r="B101" s="36">
        <f ca="1" t="array" ref="B101">INDEX(Data_DBD!$E:$E,$A101)</f>
        <v>0</v>
      </c>
      <c r="C101" s="36" t="str">
        <f ca="1" t="array" ref="C101">INDEX(Data_DBD!$F:$F,$A101)</f>
        <v>Rendah</v>
      </c>
      <c r="H101" s="64">
        <v>120</v>
      </c>
      <c r="I101" s="64">
        <v>1</v>
      </c>
      <c r="J101" s="64" t="s">
        <v>105</v>
      </c>
    </row>
    <row r="102" spans="1:10">
      <c r="A102" s="36">
        <f ca="1" t="shared" si="1"/>
        <v>121</v>
      </c>
      <c r="B102" s="36">
        <f ca="1" t="array" ref="B102">INDEX(Data_DBD!$E:$E,$A102)</f>
        <v>1</v>
      </c>
      <c r="C102" s="36" t="str">
        <f ca="1" t="array" ref="C102">INDEX(Data_DBD!$F:$F,$A102)</f>
        <v>Tinggi</v>
      </c>
      <c r="H102" s="64">
        <v>66</v>
      </c>
      <c r="I102" s="64">
        <v>1</v>
      </c>
      <c r="J102" s="64" t="s">
        <v>8</v>
      </c>
    </row>
    <row r="103" spans="1:10">
      <c r="A103" s="36">
        <f ca="1" t="shared" si="1"/>
        <v>41</v>
      </c>
      <c r="B103" s="36">
        <f ca="1" t="array" ref="B103">INDEX(Data_DBD!$E:$E,$A103)</f>
        <v>0</v>
      </c>
      <c r="C103" s="36" t="str">
        <f ca="1" t="array" ref="C103">INDEX(Data_DBD!$F:$F,$A103)</f>
        <v>Sedang</v>
      </c>
      <c r="H103" s="64">
        <v>150</v>
      </c>
      <c r="I103" s="64">
        <v>1</v>
      </c>
      <c r="J103" s="64" t="s">
        <v>105</v>
      </c>
    </row>
    <row r="104" spans="1:10">
      <c r="A104" s="36">
        <f ca="1" t="shared" si="1"/>
        <v>138</v>
      </c>
      <c r="B104" s="36">
        <f ca="1" t="array" ref="B104">INDEX(Data_DBD!$E:$E,$A104)</f>
        <v>1</v>
      </c>
      <c r="C104" s="36" t="str">
        <f ca="1" t="array" ref="C104">INDEX(Data_DBD!$F:$F,$A104)</f>
        <v>Tinggi</v>
      </c>
      <c r="H104" s="64">
        <v>159</v>
      </c>
      <c r="I104" s="64">
        <v>0</v>
      </c>
      <c r="J104" s="64" t="s">
        <v>105</v>
      </c>
    </row>
    <row r="105" spans="1:10">
      <c r="A105" s="36">
        <f ca="1" t="shared" si="1"/>
        <v>66</v>
      </c>
      <c r="B105" s="36">
        <f ca="1" t="array" ref="B105">INDEX(Data_DBD!$E:$E,$A105)</f>
        <v>1</v>
      </c>
      <c r="C105" s="36" t="str">
        <f ca="1" t="array" ref="C105">INDEX(Data_DBD!$F:$F,$A105)</f>
        <v>Sedang</v>
      </c>
      <c r="H105" s="64">
        <v>25</v>
      </c>
      <c r="I105" s="64">
        <v>0</v>
      </c>
      <c r="J105" s="64" t="s">
        <v>8</v>
      </c>
    </row>
    <row r="106" spans="1:10">
      <c r="A106" s="36">
        <f ca="1" t="shared" si="1"/>
        <v>81</v>
      </c>
      <c r="B106" s="36">
        <f ca="1" t="array" ref="B106">INDEX(Data_DBD!$E:$E,$A106)</f>
        <v>1</v>
      </c>
      <c r="C106" s="36" t="str">
        <f ca="1" t="array" ref="C106">INDEX(Data_DBD!$F:$F,$A106)</f>
        <v>Sedang</v>
      </c>
      <c r="H106" s="64">
        <v>53</v>
      </c>
      <c r="I106" s="64">
        <v>1</v>
      </c>
      <c r="J106" s="64" t="s">
        <v>8</v>
      </c>
    </row>
    <row r="107" spans="1:10">
      <c r="A107" s="36">
        <f ca="1" t="shared" si="1"/>
        <v>56</v>
      </c>
      <c r="B107" s="36">
        <f ca="1" t="array" ref="B107">INDEX(Data_DBD!$E:$E,$A107)</f>
        <v>0</v>
      </c>
      <c r="C107" s="36" t="str">
        <f ca="1" t="array" ref="C107">INDEX(Data_DBD!$F:$F,$A107)</f>
        <v>Sedang</v>
      </c>
      <c r="H107" s="64">
        <v>92</v>
      </c>
      <c r="I107" s="64">
        <v>0</v>
      </c>
      <c r="J107" s="64" t="s">
        <v>105</v>
      </c>
    </row>
    <row r="108" spans="1:10">
      <c r="A108" s="36">
        <f ca="1" t="shared" si="1"/>
        <v>124</v>
      </c>
      <c r="B108" s="36">
        <f ca="1" t="array" ref="B108">INDEX(Data_DBD!$E:$E,$A108)</f>
        <v>1</v>
      </c>
      <c r="C108" s="36" t="str">
        <f ca="1" t="array" ref="C108">INDEX(Data_DBD!$F:$F,$A108)</f>
        <v>Tinggi</v>
      </c>
      <c r="H108" s="64">
        <v>42</v>
      </c>
      <c r="I108" s="64">
        <v>1</v>
      </c>
      <c r="J108" s="64" t="s">
        <v>8</v>
      </c>
    </row>
    <row r="109" spans="1:10">
      <c r="A109" s="36">
        <f ca="1" t="shared" si="1"/>
        <v>29</v>
      </c>
      <c r="B109" s="36">
        <f ca="1" t="array" ref="B109">INDEX(Data_DBD!$E:$E,$A109)</f>
        <v>1</v>
      </c>
      <c r="C109" s="36" t="str">
        <f ca="1" t="array" ref="C109">INDEX(Data_DBD!$F:$F,$A109)</f>
        <v>Sedang</v>
      </c>
      <c r="H109" s="64">
        <v>48</v>
      </c>
      <c r="I109" s="64">
        <v>1</v>
      </c>
      <c r="J109" s="64" t="s">
        <v>8</v>
      </c>
    </row>
    <row r="110" spans="1:10">
      <c r="A110" s="36">
        <f ca="1" t="shared" si="1"/>
        <v>19</v>
      </c>
      <c r="B110" s="36">
        <f ca="1" t="array" ref="B110">INDEX(Data_DBD!$E:$E,$A110)</f>
        <v>0</v>
      </c>
      <c r="C110" s="36" t="str">
        <f ca="1" t="array" ref="C110">INDEX(Data_DBD!$F:$F,$A110)</f>
        <v>Rendah</v>
      </c>
      <c r="H110" s="64">
        <v>148</v>
      </c>
      <c r="I110" s="64">
        <v>1</v>
      </c>
      <c r="J110" s="64" t="s">
        <v>105</v>
      </c>
    </row>
    <row r="111" spans="1:10">
      <c r="A111" s="36">
        <f ca="1" t="shared" si="1"/>
        <v>32</v>
      </c>
      <c r="B111" s="36">
        <f ca="1" t="array" ref="B111">INDEX(Data_DBD!$E:$E,$A111)</f>
        <v>0</v>
      </c>
      <c r="C111" s="36" t="str">
        <f ca="1" t="array" ref="C111">INDEX(Data_DBD!$F:$F,$A111)</f>
        <v>Sedang</v>
      </c>
      <c r="H111" s="64">
        <v>103</v>
      </c>
      <c r="I111" s="64">
        <v>0</v>
      </c>
      <c r="J111" s="64" t="s">
        <v>105</v>
      </c>
    </row>
    <row r="112" spans="1:10">
      <c r="A112" s="36">
        <f ca="1" t="shared" si="1"/>
        <v>31</v>
      </c>
      <c r="B112" s="36">
        <f ca="1" t="array" ref="B112">INDEX(Data_DBD!$E:$E,$A112)</f>
        <v>1</v>
      </c>
      <c r="C112" s="36" t="str">
        <f ca="1" t="array" ref="C112">INDEX(Data_DBD!$F:$F,$A112)</f>
        <v>Sedang</v>
      </c>
      <c r="H112" s="64">
        <v>58</v>
      </c>
      <c r="I112" s="64">
        <v>0</v>
      </c>
      <c r="J112" s="64" t="s">
        <v>8</v>
      </c>
    </row>
    <row r="113" spans="1:10">
      <c r="A113" s="36">
        <f ca="1" t="shared" si="1"/>
        <v>102</v>
      </c>
      <c r="B113" s="36">
        <f ca="1" t="array" ref="B113">INDEX(Data_DBD!$E:$E,$A113)</f>
        <v>0</v>
      </c>
      <c r="C113" s="36" t="str">
        <f ca="1" t="array" ref="C113">INDEX(Data_DBD!$F:$F,$A113)</f>
        <v>Tinggi</v>
      </c>
      <c r="H113" s="64">
        <v>100</v>
      </c>
      <c r="I113" s="64">
        <v>0</v>
      </c>
      <c r="J113" s="64" t="s">
        <v>105</v>
      </c>
    </row>
    <row r="114" spans="1:10">
      <c r="A114" s="36">
        <f ca="1" t="shared" si="1"/>
        <v>5</v>
      </c>
      <c r="B114" s="36">
        <f ca="1" t="array" ref="B114">INDEX(Data_DBD!$E:$E,$A114)</f>
        <v>1</v>
      </c>
      <c r="C114" s="36" t="str">
        <f ca="1" t="array" ref="C114">INDEX(Data_DBD!$F:$F,$A114)</f>
        <v>Sedang</v>
      </c>
      <c r="H114" s="64">
        <v>143</v>
      </c>
      <c r="I114" s="64">
        <v>1</v>
      </c>
      <c r="J114" s="64" t="s">
        <v>105</v>
      </c>
    </row>
    <row r="115" spans="1:10">
      <c r="A115" s="36">
        <f ca="1" t="shared" si="1"/>
        <v>34</v>
      </c>
      <c r="B115" s="36">
        <f ca="1" t="array" ref="B115">INDEX(Data_DBD!$E:$E,$A115)</f>
        <v>0</v>
      </c>
      <c r="C115" s="36" t="str">
        <f ca="1" t="array" ref="C115">INDEX(Data_DBD!$F:$F,$A115)</f>
        <v>Sedang</v>
      </c>
      <c r="H115" s="64">
        <v>48</v>
      </c>
      <c r="I115" s="64">
        <v>1</v>
      </c>
      <c r="J115" s="64" t="s">
        <v>8</v>
      </c>
    </row>
    <row r="116" spans="1:10">
      <c r="A116" s="36">
        <f ca="1" t="shared" si="1"/>
        <v>108</v>
      </c>
      <c r="B116" s="36">
        <f ca="1" t="array" ref="B116">INDEX(Data_DBD!$E:$E,$A116)</f>
        <v>1</v>
      </c>
      <c r="C116" s="36" t="str">
        <f ca="1" t="array" ref="C116">INDEX(Data_DBD!$F:$F,$A116)</f>
        <v>Tinggi</v>
      </c>
      <c r="H116" s="64">
        <v>76</v>
      </c>
      <c r="I116" s="64">
        <v>0</v>
      </c>
      <c r="J116" s="64" t="s">
        <v>8</v>
      </c>
    </row>
    <row r="117" spans="1:10">
      <c r="A117" s="36">
        <f ca="1" t="shared" si="1"/>
        <v>69</v>
      </c>
      <c r="B117" s="36">
        <f ca="1" t="array" ref="B117">INDEX(Data_DBD!$E:$E,$A117)</f>
        <v>1</v>
      </c>
      <c r="C117" s="36" t="str">
        <f ca="1" t="array" ref="C117">INDEX(Data_DBD!$F:$F,$A117)</f>
        <v>Sedang</v>
      </c>
      <c r="H117" s="64">
        <v>155</v>
      </c>
      <c r="I117" s="64">
        <v>1</v>
      </c>
      <c r="J117" s="64" t="s">
        <v>105</v>
      </c>
    </row>
    <row r="118" spans="1:10">
      <c r="A118" s="36">
        <f ca="1" t="shared" si="1"/>
        <v>139</v>
      </c>
      <c r="B118" s="36">
        <f ca="1" t="array" ref="B118">INDEX(Data_DBD!$E:$E,$A118)</f>
        <v>0</v>
      </c>
      <c r="C118" s="36" t="str">
        <f ca="1" t="array" ref="C118">INDEX(Data_DBD!$F:$F,$A118)</f>
        <v>Tinggi</v>
      </c>
      <c r="H118" s="64">
        <v>130</v>
      </c>
      <c r="I118" s="64">
        <v>0</v>
      </c>
      <c r="J118" s="64" t="s">
        <v>105</v>
      </c>
    </row>
    <row r="119" spans="1:10">
      <c r="A119" s="36">
        <f ca="1" t="shared" si="1"/>
        <v>44</v>
      </c>
      <c r="B119" s="36">
        <f ca="1" t="array" ref="B119">INDEX(Data_DBD!$E:$E,$A119)</f>
        <v>1</v>
      </c>
      <c r="C119" s="36" t="str">
        <f ca="1" t="array" ref="C119">INDEX(Data_DBD!$F:$F,$A119)</f>
        <v>Sedang</v>
      </c>
      <c r="H119" s="64">
        <v>75</v>
      </c>
      <c r="I119" s="64">
        <v>1</v>
      </c>
      <c r="J119" s="64" t="s">
        <v>8</v>
      </c>
    </row>
    <row r="120" spans="1:10">
      <c r="A120" s="36">
        <f ca="1" t="shared" si="1"/>
        <v>101</v>
      </c>
      <c r="B120" s="36">
        <f ca="1" t="array" ref="B120">INDEX(Data_DBD!$E:$E,$A120)</f>
        <v>0</v>
      </c>
      <c r="C120" s="36" t="str">
        <f ca="1" t="array" ref="C120">INDEX(Data_DBD!$F:$F,$A120)</f>
        <v>Tinggi</v>
      </c>
      <c r="H120" s="64">
        <v>121</v>
      </c>
      <c r="I120" s="64">
        <v>1</v>
      </c>
      <c r="J120" s="64" t="s">
        <v>105</v>
      </c>
    </row>
    <row r="121" spans="1:10">
      <c r="A121" s="36">
        <f ca="1" t="shared" si="1"/>
        <v>153</v>
      </c>
      <c r="B121" s="36">
        <f ca="1" t="array" ref="B121">INDEX(Data_DBD!$E:$E,$A121)</f>
        <v>1</v>
      </c>
      <c r="C121" s="36" t="str">
        <f ca="1" t="array" ref="C121">INDEX(Data_DBD!$F:$F,$A121)</f>
        <v>Tinggi</v>
      </c>
      <c r="H121" s="64">
        <v>125</v>
      </c>
      <c r="I121" s="64">
        <v>0</v>
      </c>
      <c r="J121" s="64" t="s">
        <v>105</v>
      </c>
    </row>
    <row r="122" spans="1:10">
      <c r="A122" s="36">
        <f ca="1" t="shared" si="1"/>
        <v>98</v>
      </c>
      <c r="B122" s="36">
        <f ca="1" t="array" ref="B122">INDEX(Data_DBD!$E:$E,$A122)</f>
        <v>1</v>
      </c>
      <c r="C122" s="36" t="str">
        <f ca="1" t="array" ref="C122">INDEX(Data_DBD!$F:$F,$A122)</f>
        <v>Tinggi</v>
      </c>
      <c r="H122" s="64">
        <v>36</v>
      </c>
      <c r="I122" s="64">
        <v>1</v>
      </c>
      <c r="J122" s="64" t="s">
        <v>26</v>
      </c>
    </row>
    <row r="123" spans="1:10">
      <c r="A123" s="36">
        <f ca="1" t="shared" si="1"/>
        <v>19</v>
      </c>
      <c r="B123" s="36">
        <f ca="1" t="array" ref="B123">INDEX(Data_DBD!$E:$E,$A123)</f>
        <v>0</v>
      </c>
      <c r="C123" s="36" t="str">
        <f ca="1" t="array" ref="C123">INDEX(Data_DBD!$F:$F,$A123)</f>
        <v>Rendah</v>
      </c>
      <c r="H123" s="64">
        <v>55</v>
      </c>
      <c r="I123" s="64">
        <v>1</v>
      </c>
      <c r="J123" s="64" t="s">
        <v>8</v>
      </c>
    </row>
    <row r="124" spans="1:10">
      <c r="A124" s="36">
        <f ca="1" t="shared" si="1"/>
        <v>147</v>
      </c>
      <c r="B124" s="36">
        <f ca="1" t="array" ref="B124">INDEX(Data_DBD!$E:$E,$A124)</f>
        <v>1</v>
      </c>
      <c r="C124" s="36" t="str">
        <f ca="1" t="array" ref="C124">INDEX(Data_DBD!$F:$F,$A124)</f>
        <v>Tinggi</v>
      </c>
      <c r="H124" s="64">
        <v>45</v>
      </c>
      <c r="I124" s="64">
        <v>1</v>
      </c>
      <c r="J124" s="64" t="s">
        <v>8</v>
      </c>
    </row>
    <row r="125" spans="1:10">
      <c r="A125" s="36">
        <f ca="1" t="shared" si="1"/>
        <v>11</v>
      </c>
      <c r="B125" s="36">
        <f ca="1" t="array" ref="B125">INDEX(Data_DBD!$E:$E,$A125)</f>
        <v>1</v>
      </c>
      <c r="C125" s="36" t="str">
        <f ca="1" t="array" ref="C125">INDEX(Data_DBD!$F:$F,$A125)</f>
        <v>Sedang</v>
      </c>
      <c r="H125" s="64">
        <v>154</v>
      </c>
      <c r="I125" s="64">
        <v>1</v>
      </c>
      <c r="J125" s="64" t="s">
        <v>105</v>
      </c>
    </row>
    <row r="126" spans="1:10">
      <c r="A126" s="36">
        <f ca="1" t="shared" si="1"/>
        <v>155</v>
      </c>
      <c r="B126" s="36">
        <f ca="1" t="array" ref="B126">INDEX(Data_DBD!$E:$E,$A126)</f>
        <v>1</v>
      </c>
      <c r="C126" s="36" t="str">
        <f ca="1" t="array" ref="C126">INDEX(Data_DBD!$F:$F,$A126)</f>
        <v>Tinggi</v>
      </c>
      <c r="H126" s="64">
        <v>163</v>
      </c>
      <c r="I126" s="64">
        <v>1</v>
      </c>
      <c r="J126" s="64" t="s">
        <v>26</v>
      </c>
    </row>
    <row r="127" spans="1:10">
      <c r="A127" s="36">
        <f ca="1" t="shared" si="1"/>
        <v>24</v>
      </c>
      <c r="B127" s="36">
        <f ca="1" t="array" ref="B127">INDEX(Data_DBD!$E:$E,$A127)</f>
        <v>0</v>
      </c>
      <c r="C127" s="36" t="str">
        <f ca="1" t="array" ref="C127">INDEX(Data_DBD!$F:$F,$A127)</f>
        <v>Sedang</v>
      </c>
      <c r="H127" s="64">
        <v>104</v>
      </c>
      <c r="I127" s="64">
        <v>1</v>
      </c>
      <c r="J127" s="64" t="s">
        <v>105</v>
      </c>
    </row>
    <row r="128" spans="1:10">
      <c r="A128" s="36">
        <f ca="1" t="shared" si="1"/>
        <v>31</v>
      </c>
      <c r="B128" s="36">
        <f ca="1" t="array" ref="B128">INDEX(Data_DBD!$E:$E,$A128)</f>
        <v>1</v>
      </c>
      <c r="C128" s="36" t="str">
        <f ca="1" t="array" ref="C128">INDEX(Data_DBD!$F:$F,$A128)</f>
        <v>Sedang</v>
      </c>
      <c r="H128" s="64">
        <v>98</v>
      </c>
      <c r="I128" s="64">
        <v>1</v>
      </c>
      <c r="J128" s="64" t="s">
        <v>105</v>
      </c>
    </row>
    <row r="129" spans="1:10">
      <c r="A129" s="36">
        <f ca="1" t="shared" si="1"/>
        <v>13</v>
      </c>
      <c r="B129" s="36">
        <f ca="1" t="array" ref="B129">INDEX(Data_DBD!$E:$E,$A129)</f>
        <v>0</v>
      </c>
      <c r="C129" s="36" t="str">
        <f ca="1" t="array" ref="C129">INDEX(Data_DBD!$F:$F,$A129)</f>
        <v>Sedang</v>
      </c>
      <c r="H129" s="64">
        <v>153</v>
      </c>
      <c r="I129" s="64">
        <v>1</v>
      </c>
      <c r="J129" s="64" t="s">
        <v>105</v>
      </c>
    </row>
    <row r="130" spans="1:10">
      <c r="A130" s="36">
        <f ca="1" t="shared" si="1"/>
        <v>131</v>
      </c>
      <c r="B130" s="36">
        <f ca="1" t="array" ref="B130">INDEX(Data_DBD!$E:$E,$A130)</f>
        <v>0</v>
      </c>
      <c r="C130" s="36" t="str">
        <f ca="1" t="array" ref="C130">INDEX(Data_DBD!$F:$F,$A130)</f>
        <v>Tinggi</v>
      </c>
      <c r="H130" s="64">
        <v>156</v>
      </c>
      <c r="I130" s="64">
        <v>0</v>
      </c>
      <c r="J130" s="64" t="s">
        <v>105</v>
      </c>
    </row>
    <row r="131" spans="1:10">
      <c r="A131" s="36">
        <f ca="1" t="shared" ref="A131:A164" si="2">RANDBETWEEN(2,164)</f>
        <v>160</v>
      </c>
      <c r="B131" s="36">
        <f ca="1" t="array" ref="B131">INDEX(Data_DBD!$E:$E,$A131)</f>
        <v>0</v>
      </c>
      <c r="C131" s="36" t="str">
        <f ca="1" t="array" ref="C131">INDEX(Data_DBD!$F:$F,$A131)</f>
        <v>Tinggi</v>
      </c>
      <c r="H131" s="64">
        <v>129</v>
      </c>
      <c r="I131" s="64">
        <v>0</v>
      </c>
      <c r="J131" s="64" t="s">
        <v>105</v>
      </c>
    </row>
    <row r="132" spans="1:10">
      <c r="A132" s="36">
        <f ca="1" t="shared" si="2"/>
        <v>89</v>
      </c>
      <c r="B132" s="36">
        <f ca="1" t="array" ref="B132">INDEX(Data_DBD!$E:$E,$A132)</f>
        <v>0</v>
      </c>
      <c r="C132" s="36" t="str">
        <f ca="1" t="array" ref="C132">INDEX(Data_DBD!$F:$F,$A132)</f>
        <v>Sedang</v>
      </c>
      <c r="H132" s="64">
        <v>115</v>
      </c>
      <c r="I132" s="64">
        <v>1</v>
      </c>
      <c r="J132" s="64" t="s">
        <v>105</v>
      </c>
    </row>
    <row r="133" spans="1:10">
      <c r="A133" s="36">
        <f ca="1" t="shared" si="2"/>
        <v>123</v>
      </c>
      <c r="B133" s="36">
        <f ca="1" t="array" ref="B133">INDEX(Data_DBD!$E:$E,$A133)</f>
        <v>0</v>
      </c>
      <c r="C133" s="36" t="str">
        <f ca="1" t="array" ref="C133">INDEX(Data_DBD!$F:$F,$A133)</f>
        <v>Tinggi</v>
      </c>
      <c r="H133" s="64">
        <v>105</v>
      </c>
      <c r="I133" s="64">
        <v>1</v>
      </c>
      <c r="J133" s="64" t="s">
        <v>105</v>
      </c>
    </row>
    <row r="134" spans="1:10">
      <c r="A134" s="36">
        <f ca="1" t="shared" si="2"/>
        <v>34</v>
      </c>
      <c r="B134" s="36">
        <f ca="1" t="array" ref="B134">INDEX(Data_DBD!$E:$E,$A134)</f>
        <v>0</v>
      </c>
      <c r="C134" s="36" t="str">
        <f ca="1" t="array" ref="C134">INDEX(Data_DBD!$F:$F,$A134)</f>
        <v>Sedang</v>
      </c>
      <c r="H134" s="64">
        <v>96</v>
      </c>
      <c r="I134" s="64">
        <v>0</v>
      </c>
      <c r="J134" s="64" t="s">
        <v>105</v>
      </c>
    </row>
    <row r="135" spans="1:10">
      <c r="A135" s="36">
        <f ca="1" t="shared" si="2"/>
        <v>84</v>
      </c>
      <c r="B135" s="36">
        <f ca="1" t="array" ref="B135">INDEX(Data_DBD!$E:$E,$A135)</f>
        <v>1</v>
      </c>
      <c r="C135" s="36" t="str">
        <f ca="1" t="array" ref="C135">INDEX(Data_DBD!$F:$F,$A135)</f>
        <v>Sedang</v>
      </c>
      <c r="H135" s="64">
        <v>6</v>
      </c>
      <c r="I135" s="64">
        <v>0</v>
      </c>
      <c r="J135" s="64" t="s">
        <v>8</v>
      </c>
    </row>
    <row r="136" spans="1:10">
      <c r="A136" s="36">
        <f ca="1" t="shared" si="2"/>
        <v>155</v>
      </c>
      <c r="B136" s="36">
        <f ca="1" t="array" ref="B136">INDEX(Data_DBD!$E:$E,$A136)</f>
        <v>1</v>
      </c>
      <c r="C136" s="36" t="str">
        <f ca="1" t="array" ref="C136">INDEX(Data_DBD!$F:$F,$A136)</f>
        <v>Tinggi</v>
      </c>
      <c r="H136" s="64">
        <v>135</v>
      </c>
      <c r="I136" s="64">
        <v>0</v>
      </c>
      <c r="J136" s="64" t="s">
        <v>105</v>
      </c>
    </row>
    <row r="137" spans="1:10">
      <c r="A137" s="36">
        <f ca="1" t="shared" si="2"/>
        <v>122</v>
      </c>
      <c r="B137" s="36">
        <f ca="1" t="array" ref="B137">INDEX(Data_DBD!$E:$E,$A137)</f>
        <v>1</v>
      </c>
      <c r="C137" s="36" t="str">
        <f ca="1" t="array" ref="C137">INDEX(Data_DBD!$F:$F,$A137)</f>
        <v>Tinggi</v>
      </c>
      <c r="H137" s="64">
        <v>105</v>
      </c>
      <c r="I137" s="64">
        <v>1</v>
      </c>
      <c r="J137" s="64" t="s">
        <v>105</v>
      </c>
    </row>
    <row r="138" spans="1:10">
      <c r="A138" s="36">
        <f ca="1" t="shared" si="2"/>
        <v>11</v>
      </c>
      <c r="B138" s="36">
        <f ca="1" t="array" ref="B138">INDEX(Data_DBD!$E:$E,$A138)</f>
        <v>1</v>
      </c>
      <c r="C138" s="36" t="str">
        <f ca="1" t="array" ref="C138">INDEX(Data_DBD!$F:$F,$A138)</f>
        <v>Sedang</v>
      </c>
      <c r="H138" s="64">
        <v>67</v>
      </c>
      <c r="I138" s="64">
        <v>1</v>
      </c>
      <c r="J138" s="64" t="s">
        <v>8</v>
      </c>
    </row>
    <row r="139" spans="1:10">
      <c r="A139" s="36">
        <f ca="1" t="shared" si="2"/>
        <v>124</v>
      </c>
      <c r="B139" s="36">
        <f ca="1" t="array" ref="B139">INDEX(Data_DBD!$E:$E,$A139)</f>
        <v>1</v>
      </c>
      <c r="C139" s="36" t="str">
        <f ca="1" t="array" ref="C139">INDEX(Data_DBD!$F:$F,$A139)</f>
        <v>Tinggi</v>
      </c>
      <c r="H139" s="64">
        <v>135</v>
      </c>
      <c r="I139" s="64">
        <v>0</v>
      </c>
      <c r="J139" s="64" t="s">
        <v>105</v>
      </c>
    </row>
    <row r="140" spans="1:10">
      <c r="A140" s="36">
        <f ca="1" t="shared" si="2"/>
        <v>69</v>
      </c>
      <c r="B140" s="36">
        <f ca="1" t="array" ref="B140">INDEX(Data_DBD!$E:$E,$A140)</f>
        <v>1</v>
      </c>
      <c r="C140" s="36" t="str">
        <f ca="1" t="array" ref="C140">INDEX(Data_DBD!$F:$F,$A140)</f>
        <v>Sedang</v>
      </c>
      <c r="H140" s="64">
        <v>93</v>
      </c>
      <c r="I140" s="64">
        <v>0</v>
      </c>
      <c r="J140" s="64" t="s">
        <v>105</v>
      </c>
    </row>
    <row r="141" spans="1:10">
      <c r="A141" s="36">
        <f ca="1" t="shared" si="2"/>
        <v>33</v>
      </c>
      <c r="B141" s="36">
        <f ca="1" t="array" ref="B141">INDEX(Data_DBD!$E:$E,$A141)</f>
        <v>1</v>
      </c>
      <c r="C141" s="36" t="str">
        <f ca="1" t="array" ref="C141">INDEX(Data_DBD!$F:$F,$A141)</f>
        <v>Sedang</v>
      </c>
      <c r="H141" s="64">
        <v>101</v>
      </c>
      <c r="I141" s="64">
        <v>0</v>
      </c>
      <c r="J141" s="64" t="s">
        <v>105</v>
      </c>
    </row>
    <row r="142" spans="1:10">
      <c r="A142" s="36">
        <f ca="1" t="shared" si="2"/>
        <v>107</v>
      </c>
      <c r="B142" s="36">
        <f ca="1" t="array" ref="B142">INDEX(Data_DBD!$E:$E,$A142)</f>
        <v>0</v>
      </c>
      <c r="C142" s="36" t="str">
        <f ca="1" t="array" ref="C142">INDEX(Data_DBD!$F:$F,$A142)</f>
        <v>Tinggi</v>
      </c>
      <c r="H142" s="64">
        <v>158</v>
      </c>
      <c r="I142" s="64">
        <v>0</v>
      </c>
      <c r="J142" s="64" t="s">
        <v>105</v>
      </c>
    </row>
    <row r="143" spans="1:10">
      <c r="A143" s="36">
        <f ca="1" t="shared" si="2"/>
        <v>146</v>
      </c>
      <c r="B143" s="36">
        <f ca="1" t="array" ref="B143">INDEX(Data_DBD!$E:$E,$A143)</f>
        <v>1</v>
      </c>
      <c r="C143" s="36" t="str">
        <f ca="1" t="array" ref="C143">INDEX(Data_DBD!$F:$F,$A143)</f>
        <v>Tinggi</v>
      </c>
      <c r="H143" s="64">
        <v>78</v>
      </c>
      <c r="I143" s="64">
        <v>0</v>
      </c>
      <c r="J143" s="64" t="s">
        <v>8</v>
      </c>
    </row>
    <row r="144" spans="1:10">
      <c r="A144" s="36">
        <f ca="1" t="shared" si="2"/>
        <v>70</v>
      </c>
      <c r="B144" s="36">
        <f ca="1" t="array" ref="B144">INDEX(Data_DBD!$E:$E,$A144)</f>
        <v>1</v>
      </c>
      <c r="C144" s="36" t="str">
        <f ca="1" t="array" ref="C144">INDEX(Data_DBD!$F:$F,$A144)</f>
        <v>Sedang</v>
      </c>
      <c r="H144" s="64">
        <v>18</v>
      </c>
      <c r="I144" s="64">
        <v>1</v>
      </c>
      <c r="J144" s="64" t="s">
        <v>26</v>
      </c>
    </row>
    <row r="145" spans="1:10">
      <c r="A145" s="36">
        <f ca="1" t="shared" si="2"/>
        <v>17</v>
      </c>
      <c r="B145" s="36">
        <f ca="1" t="array" ref="B145">INDEX(Data_DBD!$E:$E,$A145)</f>
        <v>0</v>
      </c>
      <c r="C145" s="36" t="str">
        <f ca="1" t="array" ref="C145">INDEX(Data_DBD!$F:$F,$A145)</f>
        <v>Rendah</v>
      </c>
      <c r="H145" s="64">
        <v>24</v>
      </c>
      <c r="I145" s="64">
        <v>0</v>
      </c>
      <c r="J145" s="64" t="s">
        <v>8</v>
      </c>
    </row>
    <row r="146" spans="1:10">
      <c r="A146" s="36">
        <f ca="1" t="shared" si="2"/>
        <v>138</v>
      </c>
      <c r="B146" s="36">
        <f ca="1" t="array" ref="B146">INDEX(Data_DBD!$E:$E,$A146)</f>
        <v>1</v>
      </c>
      <c r="C146" s="36" t="str">
        <f ca="1" t="array" ref="C146">INDEX(Data_DBD!$F:$F,$A146)</f>
        <v>Tinggi</v>
      </c>
      <c r="H146" s="64">
        <v>92</v>
      </c>
      <c r="I146" s="64">
        <v>0</v>
      </c>
      <c r="J146" s="64" t="s">
        <v>105</v>
      </c>
    </row>
    <row r="147" spans="1:10">
      <c r="A147" s="36">
        <f ca="1" t="shared" si="2"/>
        <v>41</v>
      </c>
      <c r="B147" s="36">
        <f ca="1" t="array" ref="B147">INDEX(Data_DBD!$E:$E,$A147)</f>
        <v>0</v>
      </c>
      <c r="C147" s="36" t="str">
        <f ca="1" t="array" ref="C147">INDEX(Data_DBD!$F:$F,$A147)</f>
        <v>Sedang</v>
      </c>
      <c r="H147" s="64">
        <v>125</v>
      </c>
      <c r="I147" s="64">
        <v>0</v>
      </c>
      <c r="J147" s="64" t="s">
        <v>105</v>
      </c>
    </row>
    <row r="148" spans="1:10">
      <c r="A148" s="36">
        <f ca="1" t="shared" si="2"/>
        <v>22</v>
      </c>
      <c r="B148" s="36">
        <f ca="1" t="array" ref="B148">INDEX(Data_DBD!$E:$E,$A148)</f>
        <v>0</v>
      </c>
      <c r="C148" s="36" t="str">
        <f ca="1" t="array" ref="C148">INDEX(Data_DBD!$F:$F,$A148)</f>
        <v>Sedang</v>
      </c>
      <c r="H148" s="64">
        <v>51</v>
      </c>
      <c r="I148" s="64">
        <v>0</v>
      </c>
      <c r="J148" s="64" t="s">
        <v>8</v>
      </c>
    </row>
    <row r="149" spans="1:10">
      <c r="A149" s="36">
        <f ca="1" t="shared" si="2"/>
        <v>119</v>
      </c>
      <c r="B149" s="36">
        <f ca="1" t="array" ref="B149">INDEX(Data_DBD!$E:$E,$A149)</f>
        <v>0</v>
      </c>
      <c r="C149" s="36" t="str">
        <f ca="1" t="array" ref="C149">INDEX(Data_DBD!$F:$F,$A149)</f>
        <v>Tinggi</v>
      </c>
      <c r="H149" s="64">
        <v>65</v>
      </c>
      <c r="I149" s="64">
        <v>0</v>
      </c>
      <c r="J149" s="64" t="s">
        <v>8</v>
      </c>
    </row>
    <row r="150" spans="1:10">
      <c r="A150" s="36">
        <f ca="1" t="shared" si="2"/>
        <v>63</v>
      </c>
      <c r="B150" s="36">
        <f ca="1" t="array" ref="B150">INDEX(Data_DBD!$E:$E,$A150)</f>
        <v>0</v>
      </c>
      <c r="C150" s="36" t="str">
        <f ca="1" t="array" ref="C150">INDEX(Data_DBD!$F:$F,$A150)</f>
        <v>Sedang</v>
      </c>
      <c r="H150" s="64">
        <v>58</v>
      </c>
      <c r="I150" s="64">
        <v>0</v>
      </c>
      <c r="J150" s="64" t="s">
        <v>8</v>
      </c>
    </row>
    <row r="151" spans="1:10">
      <c r="A151" s="36">
        <f ca="1" t="shared" si="2"/>
        <v>134</v>
      </c>
      <c r="B151" s="36">
        <f ca="1" t="array" ref="B151">INDEX(Data_DBD!$E:$E,$A151)</f>
        <v>1</v>
      </c>
      <c r="C151" s="36" t="str">
        <f ca="1" t="array" ref="C151">INDEX(Data_DBD!$F:$F,$A151)</f>
        <v>Tinggi</v>
      </c>
      <c r="H151" s="64">
        <v>79</v>
      </c>
      <c r="I151" s="64">
        <v>0</v>
      </c>
      <c r="J151" s="64" t="s">
        <v>8</v>
      </c>
    </row>
    <row r="152" spans="1:10">
      <c r="A152" s="36">
        <f ca="1" t="shared" si="2"/>
        <v>46</v>
      </c>
      <c r="B152" s="36">
        <f ca="1" t="array" ref="B152">INDEX(Data_DBD!$E:$E,$A152)</f>
        <v>0</v>
      </c>
      <c r="C152" s="36" t="str">
        <f ca="1" t="array" ref="C152">INDEX(Data_DBD!$F:$F,$A152)</f>
        <v>Sedang</v>
      </c>
      <c r="H152" s="64">
        <v>135</v>
      </c>
      <c r="I152" s="64">
        <v>0</v>
      </c>
      <c r="J152" s="64" t="s">
        <v>105</v>
      </c>
    </row>
    <row r="153" spans="1:10">
      <c r="A153" s="36">
        <f ca="1" t="shared" si="2"/>
        <v>133</v>
      </c>
      <c r="B153" s="36">
        <f ca="1" t="array" ref="B153">INDEX(Data_DBD!$E:$E,$A153)</f>
        <v>0</v>
      </c>
      <c r="C153" s="36" t="str">
        <f ca="1" t="array" ref="C153">INDEX(Data_DBD!$F:$F,$A153)</f>
        <v>Tinggi</v>
      </c>
      <c r="H153" s="64">
        <v>141</v>
      </c>
      <c r="I153" s="64">
        <v>0</v>
      </c>
      <c r="J153" s="64" t="s">
        <v>105</v>
      </c>
    </row>
    <row r="154" spans="1:10">
      <c r="A154" s="36">
        <f ca="1" t="shared" si="2"/>
        <v>161</v>
      </c>
      <c r="B154" s="36">
        <f ca="1" t="array" ref="B154">INDEX(Data_DBD!$E:$E,$A154)</f>
        <v>1</v>
      </c>
      <c r="C154" s="36" t="str">
        <f ca="1" t="array" ref="C154">INDEX(Data_DBD!$F:$F,$A154)</f>
        <v>Tinggi</v>
      </c>
      <c r="H154" s="64">
        <v>137</v>
      </c>
      <c r="I154" s="64">
        <v>1</v>
      </c>
      <c r="J154" s="64" t="s">
        <v>105</v>
      </c>
    </row>
    <row r="155" spans="1:10">
      <c r="A155" s="36">
        <f ca="1" t="shared" si="2"/>
        <v>94</v>
      </c>
      <c r="B155" s="36">
        <f ca="1" t="array" ref="B155">INDEX(Data_DBD!$E:$E,$A155)</f>
        <v>0</v>
      </c>
      <c r="C155" s="36" t="str">
        <f ca="1" t="array" ref="C155">INDEX(Data_DBD!$F:$F,$A155)</f>
        <v>Tinggi</v>
      </c>
      <c r="H155" s="64">
        <v>36</v>
      </c>
      <c r="I155" s="64">
        <v>1</v>
      </c>
      <c r="J155" s="64" t="s">
        <v>26</v>
      </c>
    </row>
    <row r="156" spans="1:10">
      <c r="A156" s="36">
        <f ca="1" t="shared" si="2"/>
        <v>32</v>
      </c>
      <c r="B156" s="36">
        <f ca="1" t="array" ref="B156">INDEX(Data_DBD!$E:$E,$A156)</f>
        <v>0</v>
      </c>
      <c r="C156" s="36" t="str">
        <f ca="1" t="array" ref="C156">INDEX(Data_DBD!$F:$F,$A156)</f>
        <v>Sedang</v>
      </c>
      <c r="H156" s="64">
        <v>31</v>
      </c>
      <c r="I156" s="64">
        <v>1</v>
      </c>
      <c r="J156" s="64" t="s">
        <v>8</v>
      </c>
    </row>
    <row r="157" spans="1:10">
      <c r="A157" s="36">
        <f ca="1" t="shared" si="2"/>
        <v>133</v>
      </c>
      <c r="B157" s="36">
        <f ca="1" t="array" ref="B157">INDEX(Data_DBD!$E:$E,$A157)</f>
        <v>0</v>
      </c>
      <c r="C157" s="36" t="str">
        <f ca="1" t="array" ref="C157">INDEX(Data_DBD!$F:$F,$A157)</f>
        <v>Tinggi</v>
      </c>
      <c r="H157" s="64">
        <v>10</v>
      </c>
      <c r="I157" s="64">
        <v>0</v>
      </c>
      <c r="J157" s="64" t="s">
        <v>8</v>
      </c>
    </row>
    <row r="158" ht="15.75" spans="1:18">
      <c r="A158" s="36">
        <f ca="1" t="shared" si="2"/>
        <v>39</v>
      </c>
      <c r="B158" s="36">
        <f ca="1" t="array" ref="B158">INDEX(Data_DBD!$E:$E,$A158)</f>
        <v>1</v>
      </c>
      <c r="C158" s="36" t="str">
        <f ca="1" t="array" ref="C158">INDEX(Data_DBD!$F:$F,$A158)</f>
        <v>Sedang</v>
      </c>
      <c r="H158" s="64">
        <v>98</v>
      </c>
      <c r="I158" s="64">
        <v>1</v>
      </c>
      <c r="J158" s="64" t="s">
        <v>105</v>
      </c>
      <c r="R158" s="42" t="s">
        <v>243</v>
      </c>
    </row>
    <row r="159" ht="15.75" spans="1:18">
      <c r="A159" s="36">
        <f ca="1" t="shared" si="2"/>
        <v>50</v>
      </c>
      <c r="B159" s="36">
        <f ca="1" t="array" ref="B159">INDEX(Data_DBD!$E:$E,$A159)</f>
        <v>0</v>
      </c>
      <c r="C159" s="36" t="str">
        <f ca="1" t="array" ref="C159">INDEX(Data_DBD!$F:$F,$A159)</f>
        <v>Sedang</v>
      </c>
      <c r="H159" s="64">
        <v>129</v>
      </c>
      <c r="I159" s="64">
        <v>0</v>
      </c>
      <c r="J159" s="64" t="s">
        <v>105</v>
      </c>
      <c r="R159" s="43" t="s">
        <v>244</v>
      </c>
    </row>
    <row r="160" ht="15.75" spans="1:18">
      <c r="A160" s="36">
        <f ca="1" t="shared" si="2"/>
        <v>57</v>
      </c>
      <c r="B160" s="36">
        <f ca="1" t="array" ref="B160">INDEX(Data_DBD!$E:$E,$A160)</f>
        <v>1</v>
      </c>
      <c r="C160" s="36" t="str">
        <f ca="1" t="array" ref="C160">INDEX(Data_DBD!$F:$F,$A160)</f>
        <v>Sedang</v>
      </c>
      <c r="H160" s="64">
        <v>127</v>
      </c>
      <c r="I160" s="64">
        <v>0</v>
      </c>
      <c r="J160" s="64" t="s">
        <v>105</v>
      </c>
      <c r="R160" s="44" t="s">
        <v>245</v>
      </c>
    </row>
    <row r="161" ht="15.75" spans="1:18">
      <c r="A161" s="36">
        <f ca="1" t="shared" si="2"/>
        <v>118</v>
      </c>
      <c r="B161" s="36">
        <f ca="1" t="array" ref="B161">INDEX(Data_DBD!$E:$E,$A161)</f>
        <v>1</v>
      </c>
      <c r="C161" s="36" t="str">
        <f ca="1" t="array" ref="C161">INDEX(Data_DBD!$F:$F,$A161)</f>
        <v>Tinggi</v>
      </c>
      <c r="H161" s="64">
        <v>80</v>
      </c>
      <c r="I161" s="64">
        <v>1</v>
      </c>
      <c r="J161" s="64" t="s">
        <v>8</v>
      </c>
      <c r="R161" s="44" t="s">
        <v>246</v>
      </c>
    </row>
    <row r="162" ht="15.75" spans="1:18">
      <c r="A162" s="36">
        <f ca="1" t="shared" si="2"/>
        <v>41</v>
      </c>
      <c r="B162" s="36">
        <f ca="1" t="array" ref="B162">INDEX(Data_DBD!$E:$E,$A162)</f>
        <v>0</v>
      </c>
      <c r="C162" s="36" t="str">
        <f ca="1" t="array" ref="C162">INDEX(Data_DBD!$F:$F,$A162)</f>
        <v>Sedang</v>
      </c>
      <c r="H162" s="64">
        <v>164</v>
      </c>
      <c r="I162" s="64">
        <v>0</v>
      </c>
      <c r="J162" s="64" t="s">
        <v>26</v>
      </c>
      <c r="R162" s="43" t="s">
        <v>190</v>
      </c>
    </row>
    <row r="163" ht="15.75" spans="1:18">
      <c r="A163" s="36">
        <f ca="1" t="shared" si="2"/>
        <v>70</v>
      </c>
      <c r="B163" s="36">
        <f ca="1" t="array" ref="B163">INDEX(Data_DBD!$E:$E,$A163)</f>
        <v>1</v>
      </c>
      <c r="C163" s="36" t="str">
        <f ca="1" t="array" ref="C163">INDEX(Data_DBD!$F:$F,$A163)</f>
        <v>Sedang</v>
      </c>
      <c r="H163" s="64">
        <v>61</v>
      </c>
      <c r="I163" s="64">
        <v>1</v>
      </c>
      <c r="J163" s="64" t="s">
        <v>8</v>
      </c>
      <c r="R163" s="44" t="s">
        <v>247</v>
      </c>
    </row>
    <row r="164" spans="1:10">
      <c r="A164" s="36">
        <f ca="1" t="shared" si="2"/>
        <v>5</v>
      </c>
      <c r="B164" s="36">
        <f ca="1" t="array" ref="B164">INDEX(Data_DBD!$E:$E,$A164)</f>
        <v>1</v>
      </c>
      <c r="C164" s="36" t="str">
        <f ca="1" t="array" ref="C164">INDEX(Data_DBD!$F:$F,$A164)</f>
        <v>Sedang</v>
      </c>
      <c r="H164" s="64">
        <v>56</v>
      </c>
      <c r="I164" s="64">
        <v>0</v>
      </c>
      <c r="J164" s="64" t="s">
        <v>8</v>
      </c>
    </row>
    <row r="165" spans="9:9">
      <c r="I165">
        <f>AVERAGE(I2:I164)</f>
        <v>0.49079754601227</v>
      </c>
    </row>
    <row r="166" spans="2:2">
      <c r="B166">
        <v>10</v>
      </c>
    </row>
    <row r="168" spans="8:8">
      <c r="H168" s="40" t="s">
        <v>210</v>
      </c>
    </row>
    <row r="169" spans="8:10">
      <c r="H169" s="36" t="s">
        <v>213</v>
      </c>
      <c r="I169" s="36">
        <f>AVERAGEIF($I$2:$I$164,"&lt;="&amp;$I$165)</f>
        <v>0</v>
      </c>
      <c r="J169" s="36">
        <f>AVERAGEIF($I$2:$I$164,"&gt;"&amp;$I$165)</f>
        <v>1</v>
      </c>
    </row>
    <row r="170" spans="8:10">
      <c r="H170" s="36" t="str">
        <f t="array" ref="H170:H332">IF($I$2:$I$164&lt;$I$169,"kiri",IF($I$2:$I$164&lt;$J$169,"tengah","kanan"))</f>
        <v>kanan</v>
      </c>
      <c r="I170" s="36" t="s">
        <v>217</v>
      </c>
      <c r="J170" s="36"/>
    </row>
    <row r="171" spans="8:10">
      <c r="H171" s="36" t="str">
        <v>kanan</v>
      </c>
      <c r="I171" s="36">
        <f>COUNTIFS($H$170:$H$332,"Kanan",$J$2:$J$164,"Tinggi")</f>
        <v>41</v>
      </c>
      <c r="J171" s="36">
        <f>I171/80</f>
        <v>0.5125</v>
      </c>
    </row>
    <row r="172" spans="8:10">
      <c r="H172" s="36" t="str">
        <v>kanan</v>
      </c>
      <c r="I172" s="36">
        <f>COUNTIFS($H$170:$H$332,"Kanan",$J$2:$J$164,"Sedang")</f>
        <v>33</v>
      </c>
      <c r="J172" s="36">
        <f>I172/80</f>
        <v>0.4125</v>
      </c>
    </row>
    <row r="173" spans="8:10">
      <c r="H173" s="36" t="str">
        <v>kanan</v>
      </c>
      <c r="I173" s="36">
        <f>COUNTIFS($H$170:$H$332,"Kanan",$J$2:$J$164,"Rendah")</f>
        <v>6</v>
      </c>
      <c r="J173" s="36">
        <f>I173/80</f>
        <v>0.075</v>
      </c>
    </row>
    <row r="174" spans="8:10">
      <c r="H174" s="36" t="str">
        <v>kanan</v>
      </c>
      <c r="I174" s="36" t="s">
        <v>218</v>
      </c>
      <c r="J174" s="36">
        <f>-(IFERROR(J171*LOG(J171,2),0)+IFERROR(J172*LOG(J172,2),0)+IFERROR(J173*LOG(J173,2),0))</f>
        <v>1.30149793073115</v>
      </c>
    </row>
    <row r="175" spans="8:10">
      <c r="H175" s="36" t="str">
        <v>tengah</v>
      </c>
      <c r="I175" s="36"/>
      <c r="J175" s="36">
        <f>SUM(I171:I173)/163</f>
        <v>0.49079754601227</v>
      </c>
    </row>
    <row r="176" spans="8:10">
      <c r="H176" s="36" t="str">
        <v>kanan</v>
      </c>
      <c r="I176" s="36"/>
      <c r="J176" s="41">
        <f>J174*J175</f>
        <v>0.638771990542894</v>
      </c>
    </row>
    <row r="177" spans="8:10">
      <c r="H177" s="36" t="str">
        <v>kanan</v>
      </c>
      <c r="I177" s="36"/>
      <c r="J177" s="36"/>
    </row>
    <row r="178" spans="8:10">
      <c r="H178" s="36" t="str">
        <v>kanan</v>
      </c>
      <c r="I178" s="36"/>
      <c r="J178" s="36"/>
    </row>
    <row r="179" spans="8:10">
      <c r="H179" s="36" t="str">
        <v>kanan</v>
      </c>
      <c r="I179" s="36" t="s">
        <v>222</v>
      </c>
      <c r="J179" s="36"/>
    </row>
    <row r="180" spans="8:10">
      <c r="H180" s="36" t="str">
        <v>kanan</v>
      </c>
      <c r="I180" s="36">
        <f>COUNTIFS($H$170:$H$332,"Kiri",$J$2:$J$164,"Tinggi")</f>
        <v>0</v>
      </c>
      <c r="J180" s="36">
        <f>I180/57</f>
        <v>0</v>
      </c>
    </row>
    <row r="181" spans="8:10">
      <c r="H181" s="36" t="str">
        <v>tengah</v>
      </c>
      <c r="I181" s="36">
        <f>COUNTIFS($H$170:$H$332,"Kiri",$J$2:$J$164,"Sedang")</f>
        <v>0</v>
      </c>
      <c r="J181" s="36">
        <f>I181/57</f>
        <v>0</v>
      </c>
    </row>
    <row r="182" spans="8:10">
      <c r="H182" s="36" t="str">
        <v>tengah</v>
      </c>
      <c r="I182" s="36">
        <f>COUNTIFS($H$170:$H$332,"Kiri",$J$2:$J$164,"Rendah")</f>
        <v>0</v>
      </c>
      <c r="J182" s="36">
        <f>I182/57</f>
        <v>0</v>
      </c>
    </row>
    <row r="183" spans="8:10">
      <c r="H183" s="36" t="str">
        <v>kanan</v>
      </c>
      <c r="I183" s="36" t="s">
        <v>218</v>
      </c>
      <c r="J183" s="36">
        <f>-(IFERROR(J180*LOG(J180,2),0)+IFERROR(J181*LOG(J181,2),0)+IFERROR(J182*LOG(J182,2),0))</f>
        <v>0</v>
      </c>
    </row>
    <row r="184" spans="8:10">
      <c r="H184" s="36" t="str">
        <v>tengah</v>
      </c>
      <c r="I184" s="36"/>
      <c r="J184" s="36">
        <f>SUM(I180:I182)/163</f>
        <v>0</v>
      </c>
    </row>
    <row r="185" spans="8:10">
      <c r="H185" s="36" t="str">
        <v>kanan</v>
      </c>
      <c r="I185" s="36"/>
      <c r="J185" s="41">
        <f>J183*J184</f>
        <v>0</v>
      </c>
    </row>
    <row r="186" spans="8:10">
      <c r="H186" s="36" t="str">
        <v>tengah</v>
      </c>
      <c r="I186" s="36"/>
      <c r="J186" s="36"/>
    </row>
    <row r="187" spans="8:10">
      <c r="H187" s="36" t="str">
        <v>kanan</v>
      </c>
      <c r="I187" s="36"/>
      <c r="J187" s="36"/>
    </row>
    <row r="188" spans="8:10">
      <c r="H188" s="36" t="str">
        <v>tengah</v>
      </c>
      <c r="I188" s="36" t="s">
        <v>223</v>
      </c>
      <c r="J188" s="36"/>
    </row>
    <row r="189" spans="8:10">
      <c r="H189" s="36" t="str">
        <v>tengah</v>
      </c>
      <c r="I189" s="36">
        <f>COUNTIFS($H$170:$H$332,"Tengah",$J$2:$J$164,"Tinggi")</f>
        <v>42</v>
      </c>
      <c r="J189" s="36">
        <f>I189/86</f>
        <v>0.488372093023256</v>
      </c>
    </row>
    <row r="190" spans="8:10">
      <c r="H190" s="36" t="str">
        <v>tengah</v>
      </c>
      <c r="I190" s="36">
        <f>COUNTIFS($H$170:$H$332,"Tengah",$J$2:$J$164,"Sedang")</f>
        <v>36</v>
      </c>
      <c r="J190" s="36">
        <f>I190/86</f>
        <v>0.418604651162791</v>
      </c>
    </row>
    <row r="191" spans="8:10">
      <c r="H191" s="36" t="str">
        <v>tengah</v>
      </c>
      <c r="I191" s="36">
        <f>COUNTIFS($H$170:$H$332,"Tengah",$J$2:$J$164,"Rendah")</f>
        <v>5</v>
      </c>
      <c r="J191" s="36">
        <f>I191/86</f>
        <v>0.0581395348837209</v>
      </c>
    </row>
    <row r="192" spans="8:10">
      <c r="H192" s="36" t="str">
        <v>kanan</v>
      </c>
      <c r="I192" s="36" t="s">
        <v>218</v>
      </c>
      <c r="J192" s="36">
        <f>-(IFERROR(J189*LOG(J189,2),0)+IFERROR(J190*LOG(J190,2),0)+IFERROR(J191*LOG(J191,2),0))</f>
        <v>1.2694849111303</v>
      </c>
    </row>
    <row r="193" spans="8:10">
      <c r="H193" s="36" t="str">
        <v>tengah</v>
      </c>
      <c r="I193" s="36"/>
      <c r="J193" s="36">
        <f>SUM(I189:I191)/163</f>
        <v>0.50920245398773</v>
      </c>
    </row>
    <row r="194" spans="8:10">
      <c r="H194" s="36" t="str">
        <v>tengah</v>
      </c>
      <c r="I194" s="36"/>
      <c r="J194" s="41">
        <f>J192*J193</f>
        <v>0.646424832047946</v>
      </c>
    </row>
    <row r="195" spans="8:10">
      <c r="H195" s="36" t="str">
        <v>tengah</v>
      </c>
      <c r="I195" s="36"/>
      <c r="J195" s="36"/>
    </row>
    <row r="196" spans="8:10">
      <c r="H196" s="36" t="str">
        <v>kanan</v>
      </c>
      <c r="I196" s="36" t="s">
        <v>224</v>
      </c>
      <c r="J196" s="36" t="s">
        <v>218</v>
      </c>
    </row>
    <row r="197" spans="8:10">
      <c r="H197" s="36" t="str">
        <v>kanan</v>
      </c>
      <c r="I197" s="46">
        <f>P5-(J176+J185+J194)</f>
        <v>-0.00193006789656391</v>
      </c>
      <c r="J197" s="41">
        <f>(J176+J185+J194)</f>
        <v>1.28519682259084</v>
      </c>
    </row>
    <row r="198" spans="8:10">
      <c r="H198" s="36" t="str">
        <v>kanan</v>
      </c>
      <c r="I198" s="36"/>
      <c r="J198" s="36"/>
    </row>
    <row r="199" spans="8:10">
      <c r="H199" s="36" t="str">
        <v>kanan</v>
      </c>
      <c r="I199" s="36"/>
      <c r="J199" s="36"/>
    </row>
    <row r="200" spans="8:10">
      <c r="H200" s="36" t="str">
        <v>kanan</v>
      </c>
      <c r="I200" s="36"/>
      <c r="J200" s="36"/>
    </row>
    <row r="201" spans="8:10">
      <c r="H201" s="36" t="str">
        <v>kanan</v>
      </c>
      <c r="I201" s="36"/>
      <c r="J201" s="36"/>
    </row>
    <row r="202" spans="8:10">
      <c r="H202" s="36" t="str">
        <v>tengah</v>
      </c>
      <c r="I202" s="36"/>
      <c r="J202" s="36"/>
    </row>
    <row r="203" spans="8:10">
      <c r="H203" s="36" t="str">
        <v>tengah</v>
      </c>
      <c r="I203" s="36"/>
      <c r="J203" s="36"/>
    </row>
    <row r="204" spans="8:10">
      <c r="H204" s="36" t="str">
        <v>kanan</v>
      </c>
      <c r="I204" s="36"/>
      <c r="J204" s="36"/>
    </row>
    <row r="205" spans="8:10">
      <c r="H205" s="36" t="str">
        <v>kanan</v>
      </c>
      <c r="I205" s="36"/>
      <c r="J205" s="36"/>
    </row>
    <row r="206" spans="8:10">
      <c r="H206" s="36" t="str">
        <v>tengah</v>
      </c>
      <c r="I206" s="36"/>
      <c r="J206" s="36"/>
    </row>
    <row r="207" spans="8:10">
      <c r="H207" s="36" t="str">
        <v>tengah</v>
      </c>
      <c r="I207" s="36"/>
      <c r="J207" s="36"/>
    </row>
    <row r="208" spans="8:10">
      <c r="H208" s="36" t="str">
        <v>tengah</v>
      </c>
      <c r="I208" s="36"/>
      <c r="J208" s="36"/>
    </row>
    <row r="209" spans="8:10">
      <c r="H209" s="36" t="str">
        <v>kanan</v>
      </c>
      <c r="I209" s="36"/>
      <c r="J209" s="36"/>
    </row>
    <row r="210" spans="8:10">
      <c r="H210" s="36" t="str">
        <v>kanan</v>
      </c>
      <c r="I210" s="36"/>
      <c r="J210" s="36"/>
    </row>
    <row r="211" spans="8:10">
      <c r="H211" s="36" t="str">
        <v>tengah</v>
      </c>
      <c r="I211" s="36"/>
      <c r="J211" s="36"/>
    </row>
    <row r="212" spans="8:10">
      <c r="H212" s="36" t="str">
        <v>tengah</v>
      </c>
      <c r="I212" s="36"/>
      <c r="J212" s="36"/>
    </row>
    <row r="213" spans="8:10">
      <c r="H213" s="36" t="str">
        <v>tengah</v>
      </c>
      <c r="I213" s="36"/>
      <c r="J213" s="36"/>
    </row>
    <row r="214" spans="8:10">
      <c r="H214" s="36" t="str">
        <v>tengah</v>
      </c>
      <c r="I214" s="36"/>
      <c r="J214" s="36"/>
    </row>
    <row r="215" spans="8:10">
      <c r="H215" s="36" t="str">
        <v>tengah</v>
      </c>
      <c r="I215" s="36"/>
      <c r="J215" s="36"/>
    </row>
    <row r="216" spans="8:10">
      <c r="H216" s="36" t="str">
        <v>kanan</v>
      </c>
      <c r="I216" s="36"/>
      <c r="J216" s="36"/>
    </row>
    <row r="217" spans="8:10">
      <c r="H217" s="36" t="str">
        <v>kanan</v>
      </c>
      <c r="I217" s="36"/>
      <c r="J217" s="36"/>
    </row>
    <row r="218" spans="8:10">
      <c r="H218" s="36" t="str">
        <v>tengah</v>
      </c>
      <c r="I218" s="36"/>
      <c r="J218" s="36"/>
    </row>
    <row r="219" spans="8:10">
      <c r="H219" s="36" t="str">
        <v>tengah</v>
      </c>
      <c r="I219" s="36"/>
      <c r="J219" s="36"/>
    </row>
    <row r="220" spans="8:10">
      <c r="H220" s="36" t="str">
        <v>tengah</v>
      </c>
      <c r="I220" s="36"/>
      <c r="J220" s="36"/>
    </row>
    <row r="221" spans="8:10">
      <c r="H221" s="36" t="str">
        <v>tengah</v>
      </c>
      <c r="I221" s="36"/>
      <c r="J221" s="36"/>
    </row>
    <row r="222" spans="8:10">
      <c r="H222" s="36" t="str">
        <v>kanan</v>
      </c>
      <c r="I222" s="36"/>
      <c r="J222" s="36"/>
    </row>
    <row r="223" spans="8:10">
      <c r="H223" s="36" t="str">
        <v>kanan</v>
      </c>
      <c r="I223" s="36"/>
      <c r="J223" s="36"/>
    </row>
    <row r="224" spans="8:10">
      <c r="H224" s="36" t="str">
        <v>tengah</v>
      </c>
      <c r="I224" s="36"/>
      <c r="J224" s="36"/>
    </row>
    <row r="225" spans="8:10">
      <c r="H225" s="36" t="str">
        <v>kanan</v>
      </c>
      <c r="I225" s="36"/>
      <c r="J225" s="36"/>
    </row>
    <row r="226" spans="8:10">
      <c r="H226" s="36" t="str">
        <v>tengah</v>
      </c>
      <c r="I226" s="36"/>
      <c r="J226" s="36"/>
    </row>
    <row r="227" spans="8:10">
      <c r="H227" s="36" t="str">
        <v>tengah</v>
      </c>
      <c r="I227" s="36"/>
      <c r="J227" s="36"/>
    </row>
    <row r="228" spans="8:10">
      <c r="H228" s="36" t="str">
        <v>kanan</v>
      </c>
      <c r="I228" s="36"/>
      <c r="J228" s="36"/>
    </row>
    <row r="229" spans="8:10">
      <c r="H229" s="36" t="str">
        <v>kanan</v>
      </c>
      <c r="I229" s="36"/>
      <c r="J229" s="36"/>
    </row>
    <row r="230" spans="8:10">
      <c r="H230" s="36" t="str">
        <v>kanan</v>
      </c>
      <c r="I230" s="36"/>
      <c r="J230" s="36"/>
    </row>
    <row r="231" spans="8:10">
      <c r="H231" s="36" t="str">
        <v>tengah</v>
      </c>
      <c r="I231" s="36"/>
      <c r="J231" s="36"/>
    </row>
    <row r="232" spans="8:10">
      <c r="H232" s="36" t="str">
        <v>tengah</v>
      </c>
      <c r="I232" s="36"/>
      <c r="J232" s="36"/>
    </row>
    <row r="233" spans="8:10">
      <c r="H233" s="36" t="str">
        <v>kanan</v>
      </c>
      <c r="I233" s="36"/>
      <c r="J233" s="36"/>
    </row>
    <row r="234" spans="8:10">
      <c r="H234" s="36" t="str">
        <v>kanan</v>
      </c>
      <c r="I234" s="36"/>
      <c r="J234" s="36"/>
    </row>
    <row r="235" spans="8:10">
      <c r="H235" s="36" t="str">
        <v>tengah</v>
      </c>
      <c r="I235" s="36"/>
      <c r="J235" s="36"/>
    </row>
    <row r="236" spans="8:10">
      <c r="H236" s="36" t="str">
        <v>kanan</v>
      </c>
      <c r="I236" s="36"/>
      <c r="J236" s="36"/>
    </row>
    <row r="237" spans="8:10">
      <c r="H237" s="36" t="str">
        <v>kanan</v>
      </c>
      <c r="I237" s="36"/>
      <c r="J237" s="36"/>
    </row>
    <row r="238" spans="8:10">
      <c r="H238" s="36" t="str">
        <v>kanan</v>
      </c>
      <c r="I238" s="36"/>
      <c r="J238" s="36"/>
    </row>
    <row r="239" spans="8:10">
      <c r="H239" s="36" t="str">
        <v>kanan</v>
      </c>
      <c r="I239" s="36"/>
      <c r="J239" s="36"/>
    </row>
    <row r="240" spans="8:10">
      <c r="H240" s="36" t="str">
        <v>tengah</v>
      </c>
      <c r="I240" s="36"/>
      <c r="J240" s="36"/>
    </row>
    <row r="241" spans="8:10">
      <c r="H241" s="36" t="str">
        <v>kanan</v>
      </c>
      <c r="I241" s="36"/>
      <c r="J241" s="36"/>
    </row>
    <row r="242" spans="8:10">
      <c r="H242" s="36" t="str">
        <v>tengah</v>
      </c>
      <c r="I242" s="36"/>
      <c r="J242" s="36"/>
    </row>
    <row r="243" spans="8:10">
      <c r="H243" s="36" t="str">
        <v>kanan</v>
      </c>
      <c r="I243" s="36"/>
      <c r="J243" s="36"/>
    </row>
    <row r="244" spans="8:10">
      <c r="H244" s="36" t="str">
        <v>kanan</v>
      </c>
      <c r="I244" s="36"/>
      <c r="J244" s="36"/>
    </row>
    <row r="245" spans="8:10">
      <c r="H245" s="36" t="str">
        <v>kanan</v>
      </c>
      <c r="I245" s="36"/>
      <c r="J245" s="36"/>
    </row>
    <row r="246" spans="8:10">
      <c r="H246" s="36" t="str">
        <v>kanan</v>
      </c>
      <c r="I246" s="36"/>
      <c r="J246" s="36"/>
    </row>
    <row r="247" spans="8:10">
      <c r="H247" s="36" t="str">
        <v>kanan</v>
      </c>
      <c r="I247" s="36"/>
      <c r="J247" s="36"/>
    </row>
    <row r="248" spans="8:10">
      <c r="H248" s="36" t="str">
        <v>tengah</v>
      </c>
      <c r="I248" s="36"/>
      <c r="J248" s="36"/>
    </row>
    <row r="249" spans="8:10">
      <c r="H249" s="36" t="str">
        <v>tengah</v>
      </c>
      <c r="I249" s="36"/>
      <c r="J249" s="36"/>
    </row>
    <row r="250" spans="8:10">
      <c r="H250" s="36" t="str">
        <v>kanan</v>
      </c>
      <c r="I250" s="36"/>
      <c r="J250" s="36"/>
    </row>
    <row r="251" spans="8:10">
      <c r="H251" s="36" t="str">
        <v>tengah</v>
      </c>
      <c r="I251" s="36"/>
      <c r="J251" s="36"/>
    </row>
    <row r="252" spans="8:10">
      <c r="H252" s="36" t="str">
        <v>tengah</v>
      </c>
      <c r="I252" s="36"/>
      <c r="J252" s="36"/>
    </row>
    <row r="253" spans="8:10">
      <c r="H253" s="36" t="str">
        <v>tengah</v>
      </c>
      <c r="I253" s="36"/>
      <c r="J253" s="36"/>
    </row>
    <row r="254" spans="8:10">
      <c r="H254" s="36" t="str">
        <v>tengah</v>
      </c>
      <c r="I254" s="36"/>
      <c r="J254" s="36"/>
    </row>
    <row r="255" spans="8:10">
      <c r="H255" s="36" t="str">
        <v>tengah</v>
      </c>
      <c r="I255" s="36"/>
      <c r="J255" s="36"/>
    </row>
    <row r="256" spans="8:10">
      <c r="H256" s="36" t="str">
        <v>tengah</v>
      </c>
      <c r="I256" s="36"/>
      <c r="J256" s="36"/>
    </row>
    <row r="257" spans="8:10">
      <c r="H257" s="36" t="str">
        <v>kanan</v>
      </c>
      <c r="I257" s="36"/>
      <c r="J257" s="36"/>
    </row>
    <row r="258" spans="8:10">
      <c r="H258" s="36" t="str">
        <v>tengah</v>
      </c>
      <c r="I258" s="36"/>
      <c r="J258" s="36"/>
    </row>
    <row r="259" spans="8:10">
      <c r="H259" s="36" t="str">
        <v>kanan</v>
      </c>
      <c r="I259" s="36"/>
      <c r="J259" s="36"/>
    </row>
    <row r="260" spans="8:10">
      <c r="H260" s="36" t="str">
        <v>tengah</v>
      </c>
      <c r="I260" s="36"/>
      <c r="J260" s="36"/>
    </row>
    <row r="261" spans="8:10">
      <c r="H261" s="36" t="str">
        <v>tengah</v>
      </c>
      <c r="I261" s="36"/>
      <c r="J261" s="36"/>
    </row>
    <row r="262" spans="8:10">
      <c r="H262" s="36" t="str">
        <v>tengah</v>
      </c>
      <c r="I262" s="36"/>
      <c r="J262" s="36"/>
    </row>
    <row r="263" spans="8:10">
      <c r="H263" s="36" t="str">
        <v>tengah</v>
      </c>
      <c r="I263" s="36"/>
      <c r="J263" s="36"/>
    </row>
    <row r="264" spans="8:10">
      <c r="H264" s="36" t="str">
        <v>tengah</v>
      </c>
      <c r="I264" s="36"/>
      <c r="J264" s="36"/>
    </row>
    <row r="265" spans="8:10">
      <c r="H265" s="36" t="str">
        <v>tengah</v>
      </c>
      <c r="I265" s="36"/>
      <c r="J265" s="36"/>
    </row>
    <row r="266" spans="8:10">
      <c r="H266" s="36" t="str">
        <v>kanan</v>
      </c>
      <c r="I266" s="36"/>
      <c r="J266" s="36"/>
    </row>
    <row r="267" spans="8:10">
      <c r="H267" s="36" t="str">
        <v>kanan</v>
      </c>
      <c r="I267" s="36"/>
      <c r="J267" s="36"/>
    </row>
    <row r="268" spans="8:10">
      <c r="H268" s="36" t="str">
        <v>tengah</v>
      </c>
      <c r="I268" s="36"/>
      <c r="J268" s="36"/>
    </row>
    <row r="269" spans="8:10">
      <c r="H269" s="36" t="str">
        <v>kanan</v>
      </c>
      <c r="I269" s="36"/>
      <c r="J269" s="36"/>
    </row>
    <row r="270" spans="8:10">
      <c r="H270" s="36" t="str">
        <v>kanan</v>
      </c>
      <c r="I270" s="36"/>
      <c r="J270" s="36"/>
    </row>
    <row r="271" spans="8:10">
      <c r="H271" s="36" t="str">
        <v>kanan</v>
      </c>
      <c r="I271" s="36"/>
      <c r="J271" s="36"/>
    </row>
    <row r="272" spans="8:10">
      <c r="H272" s="36" t="str">
        <v>tengah</v>
      </c>
      <c r="I272" s="36"/>
      <c r="J272" s="36"/>
    </row>
    <row r="273" spans="8:10">
      <c r="H273" s="36" t="str">
        <v>tengah</v>
      </c>
      <c r="I273" s="36"/>
      <c r="J273" s="36"/>
    </row>
    <row r="274" spans="8:10">
      <c r="H274" s="36" t="str">
        <v>kanan</v>
      </c>
      <c r="I274" s="36"/>
      <c r="J274" s="36"/>
    </row>
    <row r="275" spans="8:10">
      <c r="H275" s="36" t="str">
        <v>tengah</v>
      </c>
      <c r="I275" s="36"/>
      <c r="J275" s="36"/>
    </row>
    <row r="276" spans="8:10">
      <c r="H276" s="36" t="str">
        <v>kanan</v>
      </c>
      <c r="I276" s="36"/>
      <c r="J276" s="36"/>
    </row>
    <row r="277" spans="8:10">
      <c r="H277" s="36" t="str">
        <v>kanan</v>
      </c>
      <c r="I277" s="36"/>
      <c r="J277" s="36"/>
    </row>
    <row r="278" spans="8:10">
      <c r="H278" s="36" t="str">
        <v>kanan</v>
      </c>
      <c r="I278" s="36"/>
      <c r="J278" s="36"/>
    </row>
    <row r="279" spans="8:10">
      <c r="H279" s="36" t="str">
        <v>tengah</v>
      </c>
      <c r="I279" s="36"/>
      <c r="J279" s="36"/>
    </row>
    <row r="280" spans="8:10">
      <c r="H280" s="36" t="str">
        <v>tengah</v>
      </c>
      <c r="I280" s="36"/>
      <c r="J280" s="36"/>
    </row>
    <row r="281" spans="8:10">
      <c r="H281" s="36" t="str">
        <v>tengah</v>
      </c>
      <c r="I281" s="36"/>
      <c r="J281" s="36"/>
    </row>
    <row r="282" spans="8:10">
      <c r="H282" s="36" t="str">
        <v>kanan</v>
      </c>
      <c r="I282" s="36"/>
      <c r="J282" s="36"/>
    </row>
    <row r="283" spans="8:10">
      <c r="H283" s="36" t="str">
        <v>kanan</v>
      </c>
      <c r="I283" s="36"/>
      <c r="J283" s="36"/>
    </row>
    <row r="284" spans="8:10">
      <c r="H284" s="36" t="str">
        <v>tengah</v>
      </c>
      <c r="I284" s="36"/>
      <c r="J284" s="36"/>
    </row>
    <row r="285" spans="8:10">
      <c r="H285" s="36" t="str">
        <v>kanan</v>
      </c>
      <c r="I285" s="36"/>
      <c r="J285" s="36"/>
    </row>
    <row r="286" spans="8:10">
      <c r="H286" s="36" t="str">
        <v>tengah</v>
      </c>
      <c r="I286" s="36"/>
      <c r="J286" s="36"/>
    </row>
    <row r="287" spans="8:10">
      <c r="H287" s="36" t="str">
        <v>kanan</v>
      </c>
      <c r="I287" s="36"/>
      <c r="J287" s="36"/>
    </row>
    <row r="288" spans="8:10">
      <c r="H288" s="36" t="str">
        <v>kanan</v>
      </c>
      <c r="I288" s="36"/>
      <c r="J288" s="36"/>
    </row>
    <row r="289" spans="8:10">
      <c r="H289" s="36" t="str">
        <v>tengah</v>
      </c>
      <c r="I289" s="36"/>
      <c r="J289" s="36"/>
    </row>
    <row r="290" spans="8:10">
      <c r="H290" s="36" t="str">
        <v>kanan</v>
      </c>
      <c r="I290" s="36"/>
      <c r="J290" s="36"/>
    </row>
    <row r="291" spans="8:10">
      <c r="H291" s="36" t="str">
        <v>kanan</v>
      </c>
      <c r="I291" s="36"/>
      <c r="J291" s="36"/>
    </row>
    <row r="292" spans="8:10">
      <c r="H292" s="36" t="str">
        <v>kanan</v>
      </c>
      <c r="I292" s="36"/>
      <c r="J292" s="36"/>
    </row>
    <row r="293" spans="8:10">
      <c r="H293" s="36" t="str">
        <v>kanan</v>
      </c>
      <c r="I293" s="36"/>
      <c r="J293" s="36"/>
    </row>
    <row r="294" spans="8:10">
      <c r="H294" s="36" t="str">
        <v>kanan</v>
      </c>
      <c r="I294" s="36"/>
      <c r="J294" s="36"/>
    </row>
    <row r="295" spans="8:10">
      <c r="H295" s="36" t="str">
        <v>kanan</v>
      </c>
      <c r="I295" s="36"/>
      <c r="J295" s="36"/>
    </row>
    <row r="296" spans="8:10">
      <c r="H296" s="36" t="str">
        <v>kanan</v>
      </c>
      <c r="I296" s="36"/>
      <c r="J296" s="36"/>
    </row>
    <row r="297" spans="8:10">
      <c r="H297" s="36" t="str">
        <v>kanan</v>
      </c>
      <c r="I297" s="36"/>
      <c r="J297" s="36"/>
    </row>
    <row r="298" spans="8:10">
      <c r="H298" s="36" t="str">
        <v>tengah</v>
      </c>
      <c r="I298" s="36"/>
      <c r="J298" s="36"/>
    </row>
    <row r="299" spans="8:10">
      <c r="H299" s="36" t="str">
        <v>tengah</v>
      </c>
      <c r="I299" s="36"/>
      <c r="J299" s="36"/>
    </row>
    <row r="300" spans="8:10">
      <c r="H300" s="36" t="str">
        <v>kanan</v>
      </c>
      <c r="I300" s="36"/>
      <c r="J300" s="36"/>
    </row>
    <row r="301" spans="8:10">
      <c r="H301" s="36" t="str">
        <v>kanan</v>
      </c>
      <c r="I301" s="36"/>
      <c r="J301" s="36"/>
    </row>
    <row r="302" spans="8:10">
      <c r="H302" s="36" t="str">
        <v>tengah</v>
      </c>
      <c r="I302" s="36"/>
      <c r="J302" s="36"/>
    </row>
    <row r="303" spans="8:10">
      <c r="H303" s="36" t="str">
        <v>tengah</v>
      </c>
      <c r="I303" s="36"/>
      <c r="J303" s="36"/>
    </row>
    <row r="304" spans="8:10">
      <c r="H304" s="36" t="str">
        <v>tengah</v>
      </c>
      <c r="I304" s="36"/>
      <c r="J304" s="36"/>
    </row>
    <row r="305" spans="8:10">
      <c r="H305" s="36" t="str">
        <v>kanan</v>
      </c>
      <c r="I305" s="36"/>
      <c r="J305" s="36"/>
    </row>
    <row r="306" spans="8:10">
      <c r="H306" s="36" t="str">
        <v>kanan</v>
      </c>
      <c r="I306" s="36"/>
      <c r="J306" s="36"/>
    </row>
    <row r="307" spans="8:10">
      <c r="H307" s="36" t="str">
        <v>tengah</v>
      </c>
      <c r="I307" s="36"/>
      <c r="J307" s="36"/>
    </row>
    <row r="308" spans="8:10">
      <c r="H308" s="36" t="str">
        <v>tengah</v>
      </c>
      <c r="I308" s="36"/>
      <c r="J308" s="36"/>
    </row>
    <row r="309" spans="8:10">
      <c r="H309" s="36" t="str">
        <v>tengah</v>
      </c>
      <c r="I309" s="36"/>
      <c r="J309" s="36"/>
    </row>
    <row r="310" spans="8:10">
      <c r="H310" s="36" t="str">
        <v>tengah</v>
      </c>
      <c r="I310" s="36"/>
      <c r="J310" s="36"/>
    </row>
    <row r="311" spans="8:10">
      <c r="H311" s="36" t="str">
        <v>tengah</v>
      </c>
      <c r="I311" s="36"/>
      <c r="J311" s="36"/>
    </row>
    <row r="312" spans="8:10">
      <c r="H312" s="36" t="str">
        <v>kanan</v>
      </c>
      <c r="I312" s="36"/>
      <c r="J312" s="36"/>
    </row>
    <row r="313" spans="8:10">
      <c r="H313" s="36" t="str">
        <v>tengah</v>
      </c>
      <c r="I313" s="36"/>
      <c r="J313" s="36"/>
    </row>
    <row r="314" spans="8:10">
      <c r="H314" s="36" t="str">
        <v>tengah</v>
      </c>
      <c r="I314" s="36"/>
      <c r="J314" s="36"/>
    </row>
    <row r="315" spans="8:10">
      <c r="H315" s="36" t="str">
        <v>tengah</v>
      </c>
      <c r="I315" s="36"/>
      <c r="J315" s="36"/>
    </row>
    <row r="316" spans="8:10">
      <c r="H316" s="36" t="str">
        <v>tengah</v>
      </c>
      <c r="I316" s="36"/>
      <c r="J316" s="36"/>
    </row>
    <row r="317" spans="8:10">
      <c r="H317" s="36" t="str">
        <v>tengah</v>
      </c>
      <c r="I317" s="36"/>
      <c r="J317" s="36"/>
    </row>
    <row r="318" spans="8:10">
      <c r="H318" s="36" t="str">
        <v>tengah</v>
      </c>
      <c r="I318" s="36"/>
      <c r="J318" s="36"/>
    </row>
    <row r="319" spans="8:10">
      <c r="H319" s="36" t="str">
        <v>tengah</v>
      </c>
      <c r="I319" s="36"/>
      <c r="J319" s="36"/>
    </row>
    <row r="320" spans="8:10">
      <c r="H320" s="36" t="str">
        <v>tengah</v>
      </c>
      <c r="I320" s="36"/>
      <c r="J320" s="36"/>
    </row>
    <row r="321" spans="8:10">
      <c r="H321" s="36" t="str">
        <v>tengah</v>
      </c>
      <c r="I321" s="36"/>
      <c r="J321" s="36"/>
    </row>
    <row r="322" spans="8:10">
      <c r="H322" s="36" t="str">
        <v>kanan</v>
      </c>
      <c r="I322" s="36"/>
      <c r="J322" s="36"/>
    </row>
    <row r="323" spans="8:10">
      <c r="H323" s="36" t="str">
        <v>kanan</v>
      </c>
      <c r="I323" s="36"/>
      <c r="J323" s="36"/>
    </row>
    <row r="324" spans="8:10">
      <c r="H324" s="36" t="str">
        <v>kanan</v>
      </c>
      <c r="I324" s="36"/>
      <c r="J324" s="36"/>
    </row>
    <row r="325" spans="8:10">
      <c r="H325" s="36" t="str">
        <v>tengah</v>
      </c>
      <c r="I325" s="36"/>
      <c r="J325" s="36"/>
    </row>
    <row r="326" spans="8:10">
      <c r="H326" s="36" t="str">
        <v>kanan</v>
      </c>
      <c r="I326" s="36"/>
      <c r="J326" s="36"/>
    </row>
    <row r="327" spans="8:10">
      <c r="H327" s="36" t="str">
        <v>tengah</v>
      </c>
      <c r="I327" s="36"/>
      <c r="J327" s="36"/>
    </row>
    <row r="328" spans="8:10">
      <c r="H328" s="36" t="str">
        <v>tengah</v>
      </c>
      <c r="I328" s="36"/>
      <c r="J328" s="36"/>
    </row>
    <row r="329" spans="8:10">
      <c r="H329" s="36" t="str">
        <v>kanan</v>
      </c>
      <c r="I329" s="36"/>
      <c r="J329" s="36"/>
    </row>
    <row r="330" spans="8:10">
      <c r="H330" s="36" t="str">
        <v>tengah</v>
      </c>
      <c r="I330" s="36"/>
      <c r="J330" s="36"/>
    </row>
    <row r="331" spans="8:10">
      <c r="H331" s="36" t="str">
        <v>kanan</v>
      </c>
      <c r="I331" s="36"/>
      <c r="J331" s="36"/>
    </row>
    <row r="332" spans="8:10">
      <c r="H332" s="36" t="str">
        <v>tengah</v>
      </c>
      <c r="I332" s="36"/>
      <c r="J332" s="36"/>
    </row>
  </sheetData>
  <pageMargins left="0.7" right="0.7" top="0.75" bottom="0.75" header="0.3" footer="0.3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32"/>
  <sheetViews>
    <sheetView zoomScale="91" zoomScaleNormal="91" topLeftCell="G4" workbookViewId="0">
      <selection activeCell="V197" sqref="V197"/>
    </sheetView>
  </sheetViews>
  <sheetFormatPr defaultColWidth="9" defaultRowHeight="15"/>
  <cols>
    <col min="3" max="3" width="15.8518518518519" customWidth="1"/>
    <col min="6" max="6" width="13.8518518518519" customWidth="1"/>
    <col min="10" max="10" width="15.8518518518519" customWidth="1"/>
    <col min="11" max="11" width="22" customWidth="1"/>
    <col min="12" max="12" width="13.2814814814815" customWidth="1"/>
    <col min="13" max="13" width="13.8518518518519" customWidth="1"/>
    <col min="15" max="15" width="24.8518518518519" customWidth="1"/>
    <col min="16" max="16" width="12" customWidth="1"/>
    <col min="17" max="17" width="12.7111111111111" customWidth="1"/>
    <col min="20" max="20" width="14.2814814814815" customWidth="1"/>
    <col min="21" max="22" width="12" customWidth="1"/>
  </cols>
  <sheetData>
    <row r="1" spans="1:17">
      <c r="A1" s="35" t="s">
        <v>183</v>
      </c>
      <c r="B1" s="35" t="s">
        <v>1</v>
      </c>
      <c r="C1" s="35" t="s">
        <v>2</v>
      </c>
      <c r="D1" s="35" t="s">
        <v>182</v>
      </c>
      <c r="E1" s="35" t="s">
        <v>4</v>
      </c>
      <c r="F1" s="35" t="s">
        <v>5</v>
      </c>
      <c r="H1" s="36" t="s">
        <v>183</v>
      </c>
      <c r="I1" s="36" t="s">
        <v>1</v>
      </c>
      <c r="J1" s="36" t="s">
        <v>2</v>
      </c>
      <c r="K1" s="36" t="s">
        <v>182</v>
      </c>
      <c r="L1" s="36" t="s">
        <v>4</v>
      </c>
      <c r="M1" s="36" t="s">
        <v>5</v>
      </c>
      <c r="O1" s="35" t="s">
        <v>184</v>
      </c>
      <c r="P1" s="38"/>
      <c r="Q1" s="38"/>
    </row>
    <row r="2" spans="1:17">
      <c r="A2" s="36">
        <f ca="1">RANDBETWEEN(2,164)</f>
        <v>23</v>
      </c>
      <c r="B2" s="36">
        <f ca="1" t="array" ref="B2">INDEX(Data_DBD!$B:$B,$A2)</f>
        <v>28</v>
      </c>
      <c r="C2" s="36" t="str">
        <f ca="1" t="array" ref="C2">INDEX(Data_DBD!$C:$C,$A2)</f>
        <v>4 Hari</v>
      </c>
      <c r="D2" s="36">
        <f ca="1" t="array" ref="D2">INDEX(Data_DBD!$D:$D,$A2)</f>
        <v>14</v>
      </c>
      <c r="E2" s="36">
        <f ca="1" t="array" ref="E2">INDEX(Data_DBD!$E:$E,$A2)</f>
        <v>1</v>
      </c>
      <c r="F2" s="36" t="str">
        <f ca="1" t="array" ref="F2">INDEX(Data_DBD!$F:$F,$A2)</f>
        <v>Sedang</v>
      </c>
      <c r="H2" s="36">
        <v>14</v>
      </c>
      <c r="I2" s="36">
        <v>49</v>
      </c>
      <c r="J2" s="36">
        <v>4</v>
      </c>
      <c r="K2" s="36">
        <v>7</v>
      </c>
      <c r="L2" s="36">
        <v>1</v>
      </c>
      <c r="M2" s="36" t="s">
        <v>26</v>
      </c>
      <c r="O2" s="38" t="s">
        <v>105</v>
      </c>
      <c r="P2" s="38">
        <f>COUNTIF(M2:M164,"Tinggi")</f>
        <v>75</v>
      </c>
      <c r="Q2" s="38">
        <f>P2/163</f>
        <v>0.460122699386503</v>
      </c>
    </row>
    <row r="3" spans="1:17">
      <c r="A3" s="36">
        <f ca="1" t="shared" ref="A3:A66" si="0">RANDBETWEEN(2,164)</f>
        <v>162</v>
      </c>
      <c r="B3" s="36">
        <f ca="1" t="array" ref="B3">INDEX(Data_DBD!$B:$B,$A3)</f>
        <v>22</v>
      </c>
      <c r="C3" s="36" t="str">
        <f ca="1" t="array" ref="C3">INDEX(Data_DBD!$C:$C,$A3)</f>
        <v>3 Hari</v>
      </c>
      <c r="D3" s="36">
        <f ca="1" t="array" ref="D3">INDEX(Data_DBD!$D:$D,$A3)</f>
        <v>3</v>
      </c>
      <c r="E3" s="36">
        <f ca="1" t="array" ref="E3">INDEX(Data_DBD!$E:$E,$A3)</f>
        <v>1</v>
      </c>
      <c r="F3" s="36" t="str">
        <f ca="1" t="array" ref="F3">INDEX(Data_DBD!$F:$F,$A3)</f>
        <v>Rendah</v>
      </c>
      <c r="H3" s="36">
        <v>127</v>
      </c>
      <c r="I3" s="36">
        <v>21</v>
      </c>
      <c r="J3" s="36">
        <v>2</v>
      </c>
      <c r="K3" s="36">
        <v>33</v>
      </c>
      <c r="L3" s="36">
        <v>0</v>
      </c>
      <c r="M3" s="36" t="s">
        <v>105</v>
      </c>
      <c r="O3" s="38" t="s">
        <v>8</v>
      </c>
      <c r="P3" s="38">
        <f>COUNTIF(M2:M164,"Sedang")</f>
        <v>70</v>
      </c>
      <c r="Q3" s="38">
        <f>P3/163</f>
        <v>0.429447852760736</v>
      </c>
    </row>
    <row r="4" spans="1:17">
      <c r="A4" s="36">
        <f ca="1" t="shared" si="0"/>
        <v>65</v>
      </c>
      <c r="B4" s="36">
        <f ca="1" t="array" ref="B4">INDEX(Data_DBD!$B:$B,$A4)</f>
        <v>49</v>
      </c>
      <c r="C4" s="36" t="str">
        <f ca="1" t="array" ref="C4">INDEX(Data_DBD!$C:$C,$A4)</f>
        <v>3 Hari</v>
      </c>
      <c r="D4" s="36">
        <f ca="1" t="array" ref="D4">INDEX(Data_DBD!$D:$D,$A4)</f>
        <v>15</v>
      </c>
      <c r="E4" s="36">
        <f ca="1" t="array" ref="E4">INDEX(Data_DBD!$E:$E,$A4)</f>
        <v>0</v>
      </c>
      <c r="F4" s="36" t="str">
        <f ca="1" t="array" ref="F4">INDEX(Data_DBD!$F:$F,$A4)</f>
        <v>Sedang</v>
      </c>
      <c r="H4" s="36">
        <v>62</v>
      </c>
      <c r="I4" s="36">
        <v>43</v>
      </c>
      <c r="J4" s="36">
        <v>4</v>
      </c>
      <c r="K4" s="36">
        <v>15</v>
      </c>
      <c r="L4" s="36">
        <v>1</v>
      </c>
      <c r="M4" s="36" t="s">
        <v>8</v>
      </c>
      <c r="O4" s="38" t="s">
        <v>26</v>
      </c>
      <c r="P4" s="38">
        <f>COUNTIF(M2:M164,"Rendah")</f>
        <v>18</v>
      </c>
      <c r="Q4" s="38">
        <f>P4/163</f>
        <v>0.110429447852761</v>
      </c>
    </row>
    <row r="5" spans="1:16">
      <c r="A5" s="36">
        <f ca="1" t="shared" si="0"/>
        <v>149</v>
      </c>
      <c r="B5" s="36">
        <f ca="1" t="array" ref="B5">INDEX(Data_DBD!$B:$B,$A5)</f>
        <v>19</v>
      </c>
      <c r="C5" s="36" t="str">
        <f ca="1" t="array" ref="C5">INDEX(Data_DBD!$C:$C,$A5)</f>
        <v>5 Hari</v>
      </c>
      <c r="D5" s="36">
        <f ca="1" t="array" ref="D5">INDEX(Data_DBD!$D:$D,$A5)</f>
        <v>21</v>
      </c>
      <c r="E5" s="36">
        <f ca="1" t="array" ref="E5">INDEX(Data_DBD!$E:$E,$A5)</f>
        <v>0</v>
      </c>
      <c r="F5" s="36" t="str">
        <f ca="1" t="array" ref="F5">INDEX(Data_DBD!$F:$F,$A5)</f>
        <v>Tinggi</v>
      </c>
      <c r="H5" s="36">
        <v>137</v>
      </c>
      <c r="I5" s="36">
        <v>3</v>
      </c>
      <c r="J5" s="36">
        <v>1</v>
      </c>
      <c r="K5" s="36">
        <v>33</v>
      </c>
      <c r="L5" s="36">
        <v>1</v>
      </c>
      <c r="M5" s="36" t="s">
        <v>105</v>
      </c>
      <c r="O5" s="39" t="s">
        <v>185</v>
      </c>
      <c r="P5">
        <f>-(IFERROR(Q2*LOG(Q2,2),0)+IFERROR(Q3*LOG(Q3,2),0)+IFERROR(Q4*LOG(Q4,2),0))</f>
        <v>1.39001733828445</v>
      </c>
    </row>
    <row r="6" spans="1:13">
      <c r="A6" s="36">
        <f ca="1" t="shared" si="0"/>
        <v>149</v>
      </c>
      <c r="B6" s="36">
        <f ca="1" t="array" ref="B6">INDEX(Data_DBD!$B:$B,$A6)</f>
        <v>19</v>
      </c>
      <c r="C6" s="36" t="str">
        <f ca="1" t="array" ref="C6">INDEX(Data_DBD!$C:$C,$A6)</f>
        <v>5 Hari</v>
      </c>
      <c r="D6" s="36">
        <f ca="1" t="array" ref="D6">INDEX(Data_DBD!$D:$D,$A6)</f>
        <v>21</v>
      </c>
      <c r="E6" s="36">
        <f ca="1" t="array" ref="E6">INDEX(Data_DBD!$E:$E,$A6)</f>
        <v>0</v>
      </c>
      <c r="F6" s="36" t="str">
        <f ca="1" t="array" ref="F6">INDEX(Data_DBD!$F:$F,$A6)</f>
        <v>Tinggi</v>
      </c>
      <c r="H6" s="36">
        <v>25</v>
      </c>
      <c r="I6" s="36">
        <v>81</v>
      </c>
      <c r="J6" s="36">
        <v>5</v>
      </c>
      <c r="K6" s="36">
        <v>14</v>
      </c>
      <c r="L6" s="36">
        <v>0</v>
      </c>
      <c r="M6" s="36" t="s">
        <v>8</v>
      </c>
    </row>
    <row r="7" spans="1:13">
      <c r="A7" s="36">
        <f ca="1" t="shared" si="0"/>
        <v>32</v>
      </c>
      <c r="B7" s="36">
        <f ca="1" t="array" ref="B7">INDEX(Data_DBD!$B:$B,$A7)</f>
        <v>54</v>
      </c>
      <c r="C7" s="36" t="str">
        <f ca="1" t="array" ref="C7">INDEX(Data_DBD!$C:$C,$A7)</f>
        <v>4 Hari</v>
      </c>
      <c r="D7" s="36">
        <f ca="1" t="array" ref="D7">INDEX(Data_DBD!$D:$D,$A7)</f>
        <v>14</v>
      </c>
      <c r="E7" s="36">
        <f ca="1" t="array" ref="E7">INDEX(Data_DBD!$E:$E,$A7)</f>
        <v>0</v>
      </c>
      <c r="F7" s="36" t="str">
        <f ca="1" t="array" ref="F7">INDEX(Data_DBD!$F:$F,$A7)</f>
        <v>Sedang</v>
      </c>
      <c r="H7" s="36">
        <v>151</v>
      </c>
      <c r="I7" s="36">
        <v>24</v>
      </c>
      <c r="J7" s="36">
        <v>3</v>
      </c>
      <c r="K7" s="36">
        <v>21</v>
      </c>
      <c r="L7" s="36">
        <v>0</v>
      </c>
      <c r="M7" s="36" t="s">
        <v>105</v>
      </c>
    </row>
    <row r="8" spans="1:13">
      <c r="A8" s="36">
        <f ca="1" t="shared" si="0"/>
        <v>33</v>
      </c>
      <c r="B8" s="36">
        <f ca="1" t="array" ref="B8">INDEX(Data_DBD!$B:$B,$A8)</f>
        <v>19</v>
      </c>
      <c r="C8" s="36" t="str">
        <f ca="1" t="array" ref="C8">INDEX(Data_DBD!$C:$C,$A8)</f>
        <v>4 Hari</v>
      </c>
      <c r="D8" s="36">
        <f ca="1" t="array" ref="D8">INDEX(Data_DBD!$D:$D,$A8)</f>
        <v>14</v>
      </c>
      <c r="E8" s="36">
        <f ca="1" t="array" ref="E8">INDEX(Data_DBD!$E:$E,$A8)</f>
        <v>1</v>
      </c>
      <c r="F8" s="36" t="str">
        <f ca="1" t="array" ref="F8">INDEX(Data_DBD!$F:$F,$A8)</f>
        <v>Sedang</v>
      </c>
      <c r="H8" s="36">
        <v>138</v>
      </c>
      <c r="I8" s="36">
        <v>13</v>
      </c>
      <c r="J8" s="36">
        <v>3</v>
      </c>
      <c r="K8" s="36">
        <v>33</v>
      </c>
      <c r="L8" s="36">
        <v>1</v>
      </c>
      <c r="M8" s="36" t="s">
        <v>105</v>
      </c>
    </row>
    <row r="9" spans="1:13">
      <c r="A9" s="36">
        <f ca="1" t="shared" si="0"/>
        <v>48</v>
      </c>
      <c r="B9" s="36">
        <f ca="1" t="array" ref="B9">INDEX(Data_DBD!$B:$B,$A9)</f>
        <v>50</v>
      </c>
      <c r="C9" s="36" t="str">
        <f ca="1" t="array" ref="C9">INDEX(Data_DBD!$C:$C,$A9)</f>
        <v>5 Hari</v>
      </c>
      <c r="D9" s="36">
        <f ca="1" t="array" ref="D9">INDEX(Data_DBD!$D:$D,$A9)</f>
        <v>13</v>
      </c>
      <c r="E9" s="36">
        <f ca="1" t="array" ref="E9">INDEX(Data_DBD!$E:$E,$A9)</f>
        <v>1</v>
      </c>
      <c r="F9" s="36" t="str">
        <f ca="1" t="array" ref="F9">INDEX(Data_DBD!$F:$F,$A9)</f>
        <v>Sedang</v>
      </c>
      <c r="H9" s="36">
        <v>69</v>
      </c>
      <c r="I9" s="36">
        <v>24</v>
      </c>
      <c r="J9" s="36">
        <v>4</v>
      </c>
      <c r="K9" s="36">
        <v>10</v>
      </c>
      <c r="L9" s="36">
        <v>1</v>
      </c>
      <c r="M9" s="36" t="s">
        <v>8</v>
      </c>
    </row>
    <row r="10" spans="1:13">
      <c r="A10" s="36">
        <f ca="1" t="shared" si="0"/>
        <v>133</v>
      </c>
      <c r="B10" s="36">
        <f ca="1" t="array" ref="B10">INDEX(Data_DBD!$B:$B,$A10)</f>
        <v>6</v>
      </c>
      <c r="C10" s="36" t="str">
        <f ca="1" t="array" ref="C10">INDEX(Data_DBD!$C:$C,$A10)</f>
        <v>4 Hari</v>
      </c>
      <c r="D10" s="36">
        <f ca="1" t="array" ref="D10">INDEX(Data_DBD!$D:$D,$A10)</f>
        <v>33</v>
      </c>
      <c r="E10" s="36">
        <f ca="1" t="array" ref="E10">INDEX(Data_DBD!$E:$E,$A10)</f>
        <v>0</v>
      </c>
      <c r="F10" s="36" t="str">
        <f ca="1" t="array" ref="F10">INDEX(Data_DBD!$F:$F,$A10)</f>
        <v>Tinggi</v>
      </c>
      <c r="H10" s="36">
        <v>23</v>
      </c>
      <c r="I10" s="36">
        <v>28</v>
      </c>
      <c r="J10" s="36">
        <v>4</v>
      </c>
      <c r="K10" s="36">
        <v>14</v>
      </c>
      <c r="L10" s="36">
        <v>1</v>
      </c>
      <c r="M10" s="36" t="s">
        <v>8</v>
      </c>
    </row>
    <row r="11" spans="1:13">
      <c r="A11" s="36">
        <f ca="1" t="shared" si="0"/>
        <v>122</v>
      </c>
      <c r="B11" s="36">
        <f ca="1" t="array" ref="B11">INDEX(Data_DBD!$B:$B,$A11)</f>
        <v>28</v>
      </c>
      <c r="C11" s="36" t="str">
        <f ca="1" t="array" ref="C11">INDEX(Data_DBD!$C:$C,$A11)</f>
        <v>3 Hari</v>
      </c>
      <c r="D11" s="36">
        <f ca="1" t="array" ref="D11">INDEX(Data_DBD!$D:$D,$A11)</f>
        <v>33</v>
      </c>
      <c r="E11" s="36">
        <f ca="1" t="array" ref="E11">INDEX(Data_DBD!$E:$E,$A11)</f>
        <v>1</v>
      </c>
      <c r="F11" s="36" t="str">
        <f ca="1" t="array" ref="F11">INDEX(Data_DBD!$F:$F,$A11)</f>
        <v>Tinggi</v>
      </c>
      <c r="H11" s="36">
        <v>87</v>
      </c>
      <c r="I11" s="36">
        <v>21</v>
      </c>
      <c r="J11" s="36">
        <v>3</v>
      </c>
      <c r="K11" s="36">
        <v>13</v>
      </c>
      <c r="L11" s="36">
        <v>0</v>
      </c>
      <c r="M11" s="36" t="s">
        <v>8</v>
      </c>
    </row>
    <row r="12" spans="1:13">
      <c r="A12" s="36">
        <f ca="1" t="shared" si="0"/>
        <v>119</v>
      </c>
      <c r="B12" s="36">
        <f ca="1" t="array" ref="B12">INDEX(Data_DBD!$B:$B,$A12)</f>
        <v>30</v>
      </c>
      <c r="C12" s="36" t="str">
        <f ca="1" t="array" ref="C12">INDEX(Data_DBD!$C:$C,$A12)</f>
        <v>7 Hari</v>
      </c>
      <c r="D12" s="36">
        <f ca="1" t="array" ref="D12">INDEX(Data_DBD!$D:$D,$A12)</f>
        <v>33</v>
      </c>
      <c r="E12" s="36">
        <f ca="1" t="array" ref="E12">INDEX(Data_DBD!$E:$E,$A12)</f>
        <v>0</v>
      </c>
      <c r="F12" s="36" t="str">
        <f ca="1" t="array" ref="F12">INDEX(Data_DBD!$F:$F,$A12)</f>
        <v>Tinggi</v>
      </c>
      <c r="H12" s="36">
        <v>34</v>
      </c>
      <c r="I12" s="36">
        <v>55</v>
      </c>
      <c r="J12" s="36">
        <v>3</v>
      </c>
      <c r="K12" s="36">
        <v>14</v>
      </c>
      <c r="L12" s="36">
        <v>0</v>
      </c>
      <c r="M12" s="36" t="s">
        <v>8</v>
      </c>
    </row>
    <row r="13" ht="15.75" spans="1:21">
      <c r="A13" s="36">
        <f ca="1" t="shared" si="0"/>
        <v>20</v>
      </c>
      <c r="B13" s="36">
        <f ca="1" t="array" ref="B13">INDEX(Data_DBD!$B:$B,$A13)</f>
        <v>15</v>
      </c>
      <c r="C13" s="36" t="str">
        <f ca="1" t="array" ref="C13">INDEX(Data_DBD!$C:$C,$A13)</f>
        <v>5 Hari</v>
      </c>
      <c r="D13" s="36">
        <f ca="1" t="array" ref="D13">INDEX(Data_DBD!$D:$D,$A13)</f>
        <v>7</v>
      </c>
      <c r="E13" s="36">
        <f ca="1" t="array" ref="E13">INDEX(Data_DBD!$E:$E,$A13)</f>
        <v>0</v>
      </c>
      <c r="F13" s="36" t="str">
        <f ca="1" t="array" ref="F13">INDEX(Data_DBD!$F:$F,$A13)</f>
        <v>Rendah</v>
      </c>
      <c r="H13" s="36">
        <v>29</v>
      </c>
      <c r="I13" s="36">
        <v>19</v>
      </c>
      <c r="J13" s="36">
        <v>2</v>
      </c>
      <c r="K13" s="36">
        <v>14</v>
      </c>
      <c r="L13" s="36">
        <v>1</v>
      </c>
      <c r="M13" s="36" t="s">
        <v>8</v>
      </c>
      <c r="U13" s="42" t="s">
        <v>248</v>
      </c>
    </row>
    <row r="14" ht="15.75" spans="1:21">
      <c r="A14" s="36">
        <f ca="1" t="shared" si="0"/>
        <v>75</v>
      </c>
      <c r="B14" s="36">
        <f ca="1" t="array" ref="B14">INDEX(Data_DBD!$B:$B,$A14)</f>
        <v>2</v>
      </c>
      <c r="C14" s="36" t="str">
        <f ca="1" t="array" ref="C14">INDEX(Data_DBD!$C:$C,$A14)</f>
        <v>2 Hari</v>
      </c>
      <c r="D14" s="36">
        <f ca="1" t="array" ref="D14">INDEX(Data_DBD!$D:$D,$A14)</f>
        <v>10</v>
      </c>
      <c r="E14" s="36">
        <f ca="1" t="array" ref="E14">INDEX(Data_DBD!$E:$E,$A14)</f>
        <v>1</v>
      </c>
      <c r="F14" s="36" t="str">
        <f ca="1" t="array" ref="F14">INDEX(Data_DBD!$F:$F,$A14)</f>
        <v>Sedang</v>
      </c>
      <c r="H14" s="36">
        <v>154</v>
      </c>
      <c r="I14" s="36">
        <v>18</v>
      </c>
      <c r="J14" s="36">
        <v>5</v>
      </c>
      <c r="K14" s="36">
        <v>21</v>
      </c>
      <c r="L14" s="36">
        <v>1</v>
      </c>
      <c r="M14" s="36" t="s">
        <v>105</v>
      </c>
      <c r="U14" s="43" t="s">
        <v>187</v>
      </c>
    </row>
    <row r="15" ht="15.75" spans="1:21">
      <c r="A15" s="36">
        <f ca="1" t="shared" si="0"/>
        <v>27</v>
      </c>
      <c r="B15" s="36">
        <f ca="1" t="array" ref="B15">INDEX(Data_DBD!$B:$B,$A15)</f>
        <v>37</v>
      </c>
      <c r="C15" s="36" t="str">
        <f ca="1" t="array" ref="C15">INDEX(Data_DBD!$C:$C,$A15)</f>
        <v>4 Hari</v>
      </c>
      <c r="D15" s="36">
        <f ca="1" t="array" ref="D15">INDEX(Data_DBD!$D:$D,$A15)</f>
        <v>14</v>
      </c>
      <c r="E15" s="36">
        <f ca="1" t="array" ref="E15">INDEX(Data_DBD!$E:$E,$A15)</f>
        <v>1</v>
      </c>
      <c r="F15" s="36" t="str">
        <f ca="1" t="array" ref="F15">INDEX(Data_DBD!$F:$F,$A15)</f>
        <v>Sedang</v>
      </c>
      <c r="H15" s="36">
        <v>136</v>
      </c>
      <c r="I15" s="36">
        <v>6</v>
      </c>
      <c r="J15" s="36">
        <v>2</v>
      </c>
      <c r="K15" s="36">
        <v>33</v>
      </c>
      <c r="L15" s="36">
        <v>0</v>
      </c>
      <c r="M15" s="36" t="s">
        <v>105</v>
      </c>
      <c r="U15" s="44" t="s">
        <v>249</v>
      </c>
    </row>
    <row r="16" ht="15.75" spans="1:21">
      <c r="A16" s="36">
        <f ca="1" t="shared" si="0"/>
        <v>81</v>
      </c>
      <c r="B16" s="36">
        <f ca="1" t="array" ref="B16">INDEX(Data_DBD!$B:$B,$A16)</f>
        <v>23</v>
      </c>
      <c r="C16" s="36" t="str">
        <f ca="1" t="array" ref="C16">INDEX(Data_DBD!$C:$C,$A16)</f>
        <v>5 Hari</v>
      </c>
      <c r="D16" s="36">
        <f ca="1" t="array" ref="D16">INDEX(Data_DBD!$D:$D,$A16)</f>
        <v>13</v>
      </c>
      <c r="E16" s="36">
        <f ca="1" t="array" ref="E16">INDEX(Data_DBD!$E:$E,$A16)</f>
        <v>1</v>
      </c>
      <c r="F16" s="36" t="str">
        <f ca="1" t="array" ref="F16">INDEX(Data_DBD!$F:$F,$A16)</f>
        <v>Sedang</v>
      </c>
      <c r="H16" s="36">
        <v>111</v>
      </c>
      <c r="I16" s="36">
        <v>25</v>
      </c>
      <c r="J16" s="36">
        <v>4</v>
      </c>
      <c r="K16" s="36">
        <v>33</v>
      </c>
      <c r="L16" s="36">
        <v>0</v>
      </c>
      <c r="M16" s="36" t="s">
        <v>105</v>
      </c>
      <c r="U16" s="44" t="s">
        <v>250</v>
      </c>
    </row>
    <row r="17" ht="15.75" spans="1:21">
      <c r="A17" s="36">
        <f ca="1" t="shared" si="0"/>
        <v>42</v>
      </c>
      <c r="B17" s="36">
        <f ca="1" t="array" ref="B17">INDEX(Data_DBD!$B:$B,$A17)</f>
        <v>21</v>
      </c>
      <c r="C17" s="36" t="str">
        <f ca="1" t="array" ref="C17">INDEX(Data_DBD!$C:$C,$A17)</f>
        <v>5 Hari</v>
      </c>
      <c r="D17" s="36">
        <f ca="1" t="array" ref="D17">INDEX(Data_DBD!$D:$D,$A17)</f>
        <v>13</v>
      </c>
      <c r="E17" s="36">
        <f ca="1" t="array" ref="E17">INDEX(Data_DBD!$E:$E,$A17)</f>
        <v>1</v>
      </c>
      <c r="F17" s="36" t="str">
        <f ca="1" t="array" ref="F17">INDEX(Data_DBD!$F:$F,$A17)</f>
        <v>Sedang</v>
      </c>
      <c r="H17" s="36">
        <v>163</v>
      </c>
      <c r="I17" s="36">
        <v>34</v>
      </c>
      <c r="J17" s="36">
        <v>4</v>
      </c>
      <c r="K17" s="36">
        <v>3</v>
      </c>
      <c r="L17" s="36">
        <v>1</v>
      </c>
      <c r="M17" s="36" t="s">
        <v>26</v>
      </c>
      <c r="U17" s="43" t="s">
        <v>190</v>
      </c>
    </row>
    <row r="18" ht="15.75" spans="1:21">
      <c r="A18" s="36">
        <f ca="1" t="shared" si="0"/>
        <v>108</v>
      </c>
      <c r="B18" s="36">
        <f ca="1" t="array" ref="B18">INDEX(Data_DBD!$B:$B,$A18)</f>
        <v>69</v>
      </c>
      <c r="C18" s="36" t="str">
        <f ca="1" t="array" ref="C18">INDEX(Data_DBD!$C:$C,$A18)</f>
        <v>7 Hari</v>
      </c>
      <c r="D18" s="36">
        <f ca="1" t="array" ref="D18">INDEX(Data_DBD!$D:$D,$A18)</f>
        <v>33</v>
      </c>
      <c r="E18" s="36">
        <f ca="1" t="array" ref="E18">INDEX(Data_DBD!$E:$E,$A18)</f>
        <v>1</v>
      </c>
      <c r="F18" s="36" t="str">
        <f ca="1" t="array" ref="F18">INDEX(Data_DBD!$F:$F,$A18)</f>
        <v>Tinggi</v>
      </c>
      <c r="H18" s="36">
        <v>17</v>
      </c>
      <c r="I18" s="36">
        <v>2</v>
      </c>
      <c r="J18" s="36">
        <v>3</v>
      </c>
      <c r="K18" s="36">
        <v>7</v>
      </c>
      <c r="L18" s="36">
        <v>0</v>
      </c>
      <c r="M18" s="36" t="s">
        <v>26</v>
      </c>
      <c r="U18" s="44" t="s">
        <v>251</v>
      </c>
    </row>
    <row r="19" ht="15.75" spans="1:21">
      <c r="A19" s="36">
        <f ca="1" t="shared" si="0"/>
        <v>39</v>
      </c>
      <c r="B19" s="36">
        <f ca="1" t="array" ref="B19">INDEX(Data_DBD!$B:$B,$A19)</f>
        <v>12</v>
      </c>
      <c r="C19" s="36" t="str">
        <f ca="1" t="array" ref="C19">INDEX(Data_DBD!$C:$C,$A19)</f>
        <v>5 Hari</v>
      </c>
      <c r="D19" s="36">
        <f ca="1" t="array" ref="D19">INDEX(Data_DBD!$D:$D,$A19)</f>
        <v>13</v>
      </c>
      <c r="E19" s="36">
        <f ca="1" t="array" ref="E19">INDEX(Data_DBD!$E:$E,$A19)</f>
        <v>1</v>
      </c>
      <c r="F19" s="36" t="str">
        <f ca="1" t="array" ref="F19">INDEX(Data_DBD!$F:$F,$A19)</f>
        <v>Sedang</v>
      </c>
      <c r="H19" s="36">
        <v>138</v>
      </c>
      <c r="I19" s="36">
        <v>13</v>
      </c>
      <c r="J19" s="36">
        <v>3</v>
      </c>
      <c r="K19" s="36">
        <v>33</v>
      </c>
      <c r="L19" s="36">
        <v>1</v>
      </c>
      <c r="M19" s="36" t="s">
        <v>105</v>
      </c>
      <c r="U19" s="44" t="s">
        <v>252</v>
      </c>
    </row>
    <row r="20" ht="15.75" spans="1:21">
      <c r="A20" s="36">
        <f ca="1" t="shared" si="0"/>
        <v>4</v>
      </c>
      <c r="B20" s="36">
        <f ca="1" t="array" ref="B20">INDEX(Data_DBD!$B:$B,$A20)</f>
        <v>23</v>
      </c>
      <c r="C20" s="36" t="str">
        <f ca="1" t="array" ref="C20">INDEX(Data_DBD!$C:$C,$A20)</f>
        <v>5 Hari</v>
      </c>
      <c r="D20" s="36">
        <f ca="1" t="array" ref="D20">INDEX(Data_DBD!$D:$D,$A20)</f>
        <v>12</v>
      </c>
      <c r="E20" s="36">
        <f ca="1" t="array" ref="E20">INDEX(Data_DBD!$E:$E,$A20)</f>
        <v>0</v>
      </c>
      <c r="F20" s="36" t="str">
        <f ca="1" t="array" ref="F20">INDEX(Data_DBD!$F:$F,$A20)</f>
        <v>Sedang</v>
      </c>
      <c r="H20" s="36">
        <v>143</v>
      </c>
      <c r="I20" s="36">
        <v>20</v>
      </c>
      <c r="J20" s="36">
        <v>4</v>
      </c>
      <c r="K20" s="36">
        <v>21</v>
      </c>
      <c r="L20" s="36">
        <v>1</v>
      </c>
      <c r="M20" s="36" t="s">
        <v>105</v>
      </c>
      <c r="U20" s="43" t="s">
        <v>193</v>
      </c>
    </row>
    <row r="21" ht="15.75" spans="1:21">
      <c r="A21" s="36">
        <f ca="1" t="shared" si="0"/>
        <v>57</v>
      </c>
      <c r="B21" s="36">
        <f ca="1" t="array" ref="B21">INDEX(Data_DBD!$B:$B,$A21)</f>
        <v>2</v>
      </c>
      <c r="C21" s="36" t="str">
        <f ca="1" t="array" ref="C21">INDEX(Data_DBD!$C:$C,$A21)</f>
        <v>2 Hari</v>
      </c>
      <c r="D21" s="36">
        <f ca="1" t="array" ref="D21">INDEX(Data_DBD!$D:$D,$A21)</f>
        <v>15</v>
      </c>
      <c r="E21" s="36">
        <f ca="1" t="array" ref="E21">INDEX(Data_DBD!$E:$E,$A21)</f>
        <v>1</v>
      </c>
      <c r="F21" s="36" t="str">
        <f ca="1" t="array" ref="F21">INDEX(Data_DBD!$F:$F,$A21)</f>
        <v>Sedang</v>
      </c>
      <c r="H21" s="36">
        <v>15</v>
      </c>
      <c r="I21" s="36">
        <v>21</v>
      </c>
      <c r="J21" s="36">
        <v>2</v>
      </c>
      <c r="K21" s="36">
        <v>7</v>
      </c>
      <c r="L21" s="36">
        <v>0</v>
      </c>
      <c r="M21" s="36" t="s">
        <v>26</v>
      </c>
      <c r="U21" s="44" t="s">
        <v>253</v>
      </c>
    </row>
    <row r="22" spans="1:13">
      <c r="A22" s="36">
        <f ca="1" t="shared" si="0"/>
        <v>130</v>
      </c>
      <c r="B22" s="36">
        <f ca="1" t="array" ref="B22">INDEX(Data_DBD!$B:$B,$A22)</f>
        <v>12</v>
      </c>
      <c r="C22" s="36" t="str">
        <f ca="1" t="array" ref="C22">INDEX(Data_DBD!$C:$C,$A22)</f>
        <v>4 Hari</v>
      </c>
      <c r="D22" s="36">
        <f ca="1" t="array" ref="D22">INDEX(Data_DBD!$D:$D,$A22)</f>
        <v>33</v>
      </c>
      <c r="E22" s="36">
        <f ca="1" t="array" ref="E22">INDEX(Data_DBD!$E:$E,$A22)</f>
        <v>0</v>
      </c>
      <c r="F22" s="36" t="str">
        <f ca="1" t="array" ref="F22">INDEX(Data_DBD!$F:$F,$A22)</f>
        <v>Tinggi</v>
      </c>
      <c r="H22" s="36">
        <v>101</v>
      </c>
      <c r="I22" s="36">
        <v>42</v>
      </c>
      <c r="J22" s="36">
        <v>5</v>
      </c>
      <c r="K22" s="36">
        <v>18</v>
      </c>
      <c r="L22" s="36">
        <v>0</v>
      </c>
      <c r="M22" s="36" t="s">
        <v>105</v>
      </c>
    </row>
    <row r="23" spans="1:13">
      <c r="A23" s="36">
        <f ca="1" t="shared" si="0"/>
        <v>98</v>
      </c>
      <c r="B23" s="36">
        <f ca="1" t="array" ref="B23">INDEX(Data_DBD!$B:$B,$A23)</f>
        <v>16</v>
      </c>
      <c r="C23" s="36" t="str">
        <f ca="1" t="array" ref="C23">INDEX(Data_DBD!$C:$C,$A23)</f>
        <v>2 Hari</v>
      </c>
      <c r="D23" s="36">
        <f ca="1" t="array" ref="D23">INDEX(Data_DBD!$D:$D,$A23)</f>
        <v>18</v>
      </c>
      <c r="E23" s="36">
        <f ca="1" t="array" ref="E23">INDEX(Data_DBD!$E:$E,$A23)</f>
        <v>1</v>
      </c>
      <c r="F23" s="36" t="str">
        <f ca="1" t="array" ref="F23">INDEX(Data_DBD!$F:$F,$A23)</f>
        <v>Tinggi</v>
      </c>
      <c r="H23" s="36">
        <v>13</v>
      </c>
      <c r="I23" s="36">
        <v>47</v>
      </c>
      <c r="J23" s="36">
        <v>2</v>
      </c>
      <c r="K23" s="36">
        <v>12</v>
      </c>
      <c r="L23" s="36">
        <v>0</v>
      </c>
      <c r="M23" s="36" t="s">
        <v>8</v>
      </c>
    </row>
    <row r="24" spans="1:13">
      <c r="A24" s="36">
        <f ca="1" t="shared" si="0"/>
        <v>23</v>
      </c>
      <c r="B24" s="36">
        <f ca="1" t="array" ref="B24">INDEX(Data_DBD!$B:$B,$A24)</f>
        <v>28</v>
      </c>
      <c r="C24" s="36" t="str">
        <f ca="1" t="array" ref="C24">INDEX(Data_DBD!$C:$C,$A24)</f>
        <v>4 Hari</v>
      </c>
      <c r="D24" s="36">
        <f ca="1" t="array" ref="D24">INDEX(Data_DBD!$D:$D,$A24)</f>
        <v>14</v>
      </c>
      <c r="E24" s="36">
        <f ca="1" t="array" ref="E24">INDEX(Data_DBD!$E:$E,$A24)</f>
        <v>1</v>
      </c>
      <c r="F24" s="36" t="str">
        <f ca="1" t="array" ref="F24">INDEX(Data_DBD!$F:$F,$A24)</f>
        <v>Sedang</v>
      </c>
      <c r="H24" s="36">
        <v>99</v>
      </c>
      <c r="I24" s="36">
        <v>4</v>
      </c>
      <c r="J24" s="36">
        <v>2</v>
      </c>
      <c r="K24" s="36">
        <v>18</v>
      </c>
      <c r="L24" s="36">
        <v>1</v>
      </c>
      <c r="M24" s="36" t="s">
        <v>105</v>
      </c>
    </row>
    <row r="25" spans="1:13">
      <c r="A25" s="36">
        <f ca="1" t="shared" si="0"/>
        <v>13</v>
      </c>
      <c r="B25" s="36">
        <f ca="1" t="array" ref="B25">INDEX(Data_DBD!$B:$B,$A25)</f>
        <v>47</v>
      </c>
      <c r="C25" s="36" t="str">
        <f ca="1" t="array" ref="C25">INDEX(Data_DBD!$C:$C,$A25)</f>
        <v>2 Hari</v>
      </c>
      <c r="D25" s="36">
        <f ca="1" t="array" ref="D25">INDEX(Data_DBD!$D:$D,$A25)</f>
        <v>12</v>
      </c>
      <c r="E25" s="36">
        <f ca="1" t="array" ref="E25">INDEX(Data_DBD!$E:$E,$A25)</f>
        <v>0</v>
      </c>
      <c r="F25" s="36" t="str">
        <f ca="1" t="array" ref="F25">INDEX(Data_DBD!$F:$F,$A25)</f>
        <v>Sedang</v>
      </c>
      <c r="H25" s="36">
        <v>56</v>
      </c>
      <c r="I25" s="36">
        <v>4</v>
      </c>
      <c r="J25" s="36">
        <v>3</v>
      </c>
      <c r="K25" s="36">
        <v>15</v>
      </c>
      <c r="L25" s="36">
        <v>0</v>
      </c>
      <c r="M25" s="36" t="s">
        <v>8</v>
      </c>
    </row>
    <row r="26" spans="1:13">
      <c r="A26" s="36">
        <f ca="1" t="shared" si="0"/>
        <v>142</v>
      </c>
      <c r="B26" s="36">
        <f ca="1" t="array" ref="B26">INDEX(Data_DBD!$B:$B,$A26)</f>
        <v>39</v>
      </c>
      <c r="C26" s="36" t="str">
        <f ca="1" t="array" ref="C26">INDEX(Data_DBD!$C:$C,$A26)</f>
        <v>2 Hari</v>
      </c>
      <c r="D26" s="36">
        <f ca="1" t="array" ref="D26">INDEX(Data_DBD!$D:$D,$A26)</f>
        <v>21</v>
      </c>
      <c r="E26" s="36">
        <f ca="1" t="array" ref="E26">INDEX(Data_DBD!$E:$E,$A26)</f>
        <v>1</v>
      </c>
      <c r="F26" s="36" t="str">
        <f ca="1" t="array" ref="F26">INDEX(Data_DBD!$F:$F,$A26)</f>
        <v>Tinggi</v>
      </c>
      <c r="H26" s="36">
        <v>151</v>
      </c>
      <c r="I26" s="36">
        <v>24</v>
      </c>
      <c r="J26" s="36">
        <v>3</v>
      </c>
      <c r="K26" s="36">
        <v>21</v>
      </c>
      <c r="L26" s="36">
        <v>0</v>
      </c>
      <c r="M26" s="36" t="s">
        <v>105</v>
      </c>
    </row>
    <row r="27" spans="1:13">
      <c r="A27" s="36">
        <f ca="1" t="shared" si="0"/>
        <v>107</v>
      </c>
      <c r="B27" s="36">
        <f ca="1" t="array" ref="B27">INDEX(Data_DBD!$B:$B,$A27)</f>
        <v>48</v>
      </c>
      <c r="C27" s="36" t="str">
        <f ca="1" t="array" ref="C27">INDEX(Data_DBD!$C:$C,$A27)</f>
        <v>5 Hari</v>
      </c>
      <c r="D27" s="36">
        <f ca="1" t="array" ref="D27">INDEX(Data_DBD!$D:$D,$A27)</f>
        <v>18</v>
      </c>
      <c r="E27" s="36">
        <f ca="1" t="array" ref="E27">INDEX(Data_DBD!$E:$E,$A27)</f>
        <v>0</v>
      </c>
      <c r="F27" s="36" t="str">
        <f ca="1" t="array" ref="F27">INDEX(Data_DBD!$F:$F,$A27)</f>
        <v>Tinggi</v>
      </c>
      <c r="H27" s="36">
        <v>35</v>
      </c>
      <c r="I27" s="36">
        <v>40</v>
      </c>
      <c r="J27" s="36">
        <v>3</v>
      </c>
      <c r="K27" s="36">
        <v>4</v>
      </c>
      <c r="L27" s="36">
        <v>1</v>
      </c>
      <c r="M27" s="36" t="s">
        <v>26</v>
      </c>
    </row>
    <row r="28" spans="1:13">
      <c r="A28" s="36">
        <f ca="1" t="shared" si="0"/>
        <v>149</v>
      </c>
      <c r="B28" s="36">
        <f ca="1" t="array" ref="B28">INDEX(Data_DBD!$B:$B,$A28)</f>
        <v>19</v>
      </c>
      <c r="C28" s="36" t="str">
        <f ca="1" t="array" ref="C28">INDEX(Data_DBD!$C:$C,$A28)</f>
        <v>5 Hari</v>
      </c>
      <c r="D28" s="36">
        <f ca="1" t="array" ref="D28">INDEX(Data_DBD!$D:$D,$A28)</f>
        <v>21</v>
      </c>
      <c r="E28" s="36">
        <f ca="1" t="array" ref="E28">INDEX(Data_DBD!$E:$E,$A28)</f>
        <v>0</v>
      </c>
      <c r="F28" s="36" t="str">
        <f ca="1" t="array" ref="F28">INDEX(Data_DBD!$F:$F,$A28)</f>
        <v>Tinggi</v>
      </c>
      <c r="H28" s="36">
        <v>100</v>
      </c>
      <c r="I28" s="36">
        <v>19</v>
      </c>
      <c r="J28" s="36">
        <v>6</v>
      </c>
      <c r="K28" s="36">
        <v>18</v>
      </c>
      <c r="L28" s="36">
        <v>0</v>
      </c>
      <c r="M28" s="36" t="s">
        <v>105</v>
      </c>
    </row>
    <row r="29" spans="1:13">
      <c r="A29" s="36">
        <f ca="1" t="shared" si="0"/>
        <v>123</v>
      </c>
      <c r="B29" s="36">
        <f ca="1" t="array" ref="B29">INDEX(Data_DBD!$B:$B,$A29)</f>
        <v>22</v>
      </c>
      <c r="C29" s="36" t="str">
        <f ca="1" t="array" ref="C29">INDEX(Data_DBD!$C:$C,$A29)</f>
        <v>4 Hari</v>
      </c>
      <c r="D29" s="36">
        <f ca="1" t="array" ref="D29">INDEX(Data_DBD!$D:$D,$A29)</f>
        <v>33</v>
      </c>
      <c r="E29" s="36">
        <f ca="1" t="array" ref="E29">INDEX(Data_DBD!$E:$E,$A29)</f>
        <v>0</v>
      </c>
      <c r="F29" s="36" t="str">
        <f ca="1" t="array" ref="F29">INDEX(Data_DBD!$F:$F,$A29)</f>
        <v>Tinggi</v>
      </c>
      <c r="H29" s="36">
        <v>23</v>
      </c>
      <c r="I29" s="36">
        <v>28</v>
      </c>
      <c r="J29" s="36">
        <v>4</v>
      </c>
      <c r="K29" s="36">
        <v>14</v>
      </c>
      <c r="L29" s="36">
        <v>1</v>
      </c>
      <c r="M29" s="36" t="s">
        <v>8</v>
      </c>
    </row>
    <row r="30" spans="1:13">
      <c r="A30" s="36">
        <f ca="1" t="shared" si="0"/>
        <v>149</v>
      </c>
      <c r="B30" s="36">
        <f ca="1" t="array" ref="B30">INDEX(Data_DBD!$B:$B,$A30)</f>
        <v>19</v>
      </c>
      <c r="C30" s="36" t="str">
        <f ca="1" t="array" ref="C30">INDEX(Data_DBD!$C:$C,$A30)</f>
        <v>5 Hari</v>
      </c>
      <c r="D30" s="36">
        <f ca="1" t="array" ref="D30">INDEX(Data_DBD!$D:$D,$A30)</f>
        <v>21</v>
      </c>
      <c r="E30" s="36">
        <f ca="1" t="array" ref="E30">INDEX(Data_DBD!$E:$E,$A30)</f>
        <v>0</v>
      </c>
      <c r="F30" s="36" t="str">
        <f ca="1" t="array" ref="F30">INDEX(Data_DBD!$F:$F,$A30)</f>
        <v>Tinggi</v>
      </c>
      <c r="H30" s="36">
        <v>59</v>
      </c>
      <c r="I30" s="36">
        <v>28</v>
      </c>
      <c r="J30" s="36">
        <v>4</v>
      </c>
      <c r="K30" s="36">
        <v>15</v>
      </c>
      <c r="L30" s="36">
        <v>0</v>
      </c>
      <c r="M30" s="36" t="s">
        <v>8</v>
      </c>
    </row>
    <row r="31" spans="1:13">
      <c r="A31" s="36">
        <f ca="1" t="shared" si="0"/>
        <v>161</v>
      </c>
      <c r="B31" s="36">
        <f ca="1" t="array" ref="B31">INDEX(Data_DBD!$B:$B,$A31)</f>
        <v>12</v>
      </c>
      <c r="C31" s="36" t="str">
        <f ca="1" t="array" ref="C31">INDEX(Data_DBD!$C:$C,$A31)</f>
        <v>3 Hari</v>
      </c>
      <c r="D31" s="36">
        <f ca="1" t="array" ref="D31">INDEX(Data_DBD!$D:$D,$A31)</f>
        <v>21</v>
      </c>
      <c r="E31" s="36">
        <f ca="1" t="array" ref="E31">INDEX(Data_DBD!$E:$E,$A31)</f>
        <v>1</v>
      </c>
      <c r="F31" s="36" t="str">
        <f ca="1" t="array" ref="F31">INDEX(Data_DBD!$F:$F,$A31)</f>
        <v>Tinggi</v>
      </c>
      <c r="H31" s="36">
        <v>63</v>
      </c>
      <c r="I31" s="36">
        <v>25</v>
      </c>
      <c r="J31" s="36">
        <v>3</v>
      </c>
      <c r="K31" s="36">
        <v>15</v>
      </c>
      <c r="L31" s="36">
        <v>0</v>
      </c>
      <c r="M31" s="36" t="s">
        <v>8</v>
      </c>
    </row>
    <row r="32" spans="1:13">
      <c r="A32" s="36">
        <f ca="1" t="shared" si="0"/>
        <v>39</v>
      </c>
      <c r="B32" s="36">
        <f ca="1" t="array" ref="B32">INDEX(Data_DBD!$B:$B,$A32)</f>
        <v>12</v>
      </c>
      <c r="C32" s="36" t="str">
        <f ca="1" t="array" ref="C32">INDEX(Data_DBD!$C:$C,$A32)</f>
        <v>5 Hari</v>
      </c>
      <c r="D32" s="36">
        <f ca="1" t="array" ref="D32">INDEX(Data_DBD!$D:$D,$A32)</f>
        <v>13</v>
      </c>
      <c r="E32" s="36">
        <f ca="1" t="array" ref="E32">INDEX(Data_DBD!$E:$E,$A32)</f>
        <v>1</v>
      </c>
      <c r="F32" s="36" t="str">
        <f ca="1" t="array" ref="F32">INDEX(Data_DBD!$F:$F,$A32)</f>
        <v>Sedang</v>
      </c>
      <c r="H32" s="36">
        <v>113</v>
      </c>
      <c r="I32" s="36">
        <v>69</v>
      </c>
      <c r="J32" s="36">
        <v>1</v>
      </c>
      <c r="K32" s="36">
        <v>33</v>
      </c>
      <c r="L32" s="36">
        <v>1</v>
      </c>
      <c r="M32" s="36" t="s">
        <v>105</v>
      </c>
    </row>
    <row r="33" spans="1:13">
      <c r="A33" s="36">
        <f ca="1" t="shared" si="0"/>
        <v>39</v>
      </c>
      <c r="B33" s="36">
        <f ca="1" t="array" ref="B33">INDEX(Data_DBD!$B:$B,$A33)</f>
        <v>12</v>
      </c>
      <c r="C33" s="36" t="str">
        <f ca="1" t="array" ref="C33">INDEX(Data_DBD!$C:$C,$A33)</f>
        <v>5 Hari</v>
      </c>
      <c r="D33" s="36">
        <f ca="1" t="array" ref="D33">INDEX(Data_DBD!$D:$D,$A33)</f>
        <v>13</v>
      </c>
      <c r="E33" s="36">
        <f ca="1" t="array" ref="E33">INDEX(Data_DBD!$E:$E,$A33)</f>
        <v>1</v>
      </c>
      <c r="F33" s="36" t="str">
        <f ca="1" t="array" ref="F33">INDEX(Data_DBD!$F:$F,$A33)</f>
        <v>Sedang</v>
      </c>
      <c r="H33" s="36">
        <v>106</v>
      </c>
      <c r="I33" s="36">
        <v>23</v>
      </c>
      <c r="J33" s="36">
        <v>3</v>
      </c>
      <c r="K33" s="36">
        <v>18</v>
      </c>
      <c r="L33" s="36">
        <v>1</v>
      </c>
      <c r="M33" s="36" t="s">
        <v>105</v>
      </c>
    </row>
    <row r="34" spans="1:13">
      <c r="A34" s="36">
        <f ca="1" t="shared" si="0"/>
        <v>51</v>
      </c>
      <c r="B34" s="36">
        <f ca="1" t="array" ref="B34">INDEX(Data_DBD!$B:$B,$A34)</f>
        <v>48</v>
      </c>
      <c r="C34" s="36" t="str">
        <f ca="1" t="array" ref="C34">INDEX(Data_DBD!$C:$C,$A34)</f>
        <v>4 Hari</v>
      </c>
      <c r="D34" s="36">
        <f ca="1" t="array" ref="D34">INDEX(Data_DBD!$D:$D,$A34)</f>
        <v>13</v>
      </c>
      <c r="E34" s="36">
        <f ca="1" t="array" ref="E34">INDEX(Data_DBD!$E:$E,$A34)</f>
        <v>0</v>
      </c>
      <c r="F34" s="36" t="str">
        <f ca="1" t="array" ref="F34">INDEX(Data_DBD!$F:$F,$A34)</f>
        <v>Sedang</v>
      </c>
      <c r="H34" s="36">
        <v>77</v>
      </c>
      <c r="I34" s="36">
        <v>16</v>
      </c>
      <c r="J34" s="36">
        <v>4</v>
      </c>
      <c r="K34" s="36">
        <v>13</v>
      </c>
      <c r="L34" s="36">
        <v>1</v>
      </c>
      <c r="M34" s="36" t="s">
        <v>8</v>
      </c>
    </row>
    <row r="35" spans="1:13">
      <c r="A35" s="36">
        <f ca="1" t="shared" si="0"/>
        <v>118</v>
      </c>
      <c r="B35" s="36">
        <f ca="1" t="array" ref="B35">INDEX(Data_DBD!$B:$B,$A35)</f>
        <v>67</v>
      </c>
      <c r="C35" s="36" t="str">
        <f ca="1" t="array" ref="C35">INDEX(Data_DBD!$C:$C,$A35)</f>
        <v>4 Hari</v>
      </c>
      <c r="D35" s="36">
        <f ca="1" t="array" ref="D35">INDEX(Data_DBD!$D:$D,$A35)</f>
        <v>33</v>
      </c>
      <c r="E35" s="36">
        <f ca="1" t="array" ref="E35">INDEX(Data_DBD!$E:$E,$A35)</f>
        <v>1</v>
      </c>
      <c r="F35" s="36" t="str">
        <f ca="1" t="array" ref="F35">INDEX(Data_DBD!$F:$F,$A35)</f>
        <v>Tinggi</v>
      </c>
      <c r="H35" s="36">
        <v>135</v>
      </c>
      <c r="I35" s="36">
        <v>10</v>
      </c>
      <c r="J35" s="36">
        <v>2</v>
      </c>
      <c r="K35" s="36">
        <v>33</v>
      </c>
      <c r="L35" s="36">
        <v>0</v>
      </c>
      <c r="M35" s="36" t="s">
        <v>105</v>
      </c>
    </row>
    <row r="36" spans="1:13">
      <c r="A36" s="36">
        <f ca="1" t="shared" si="0"/>
        <v>116</v>
      </c>
      <c r="B36" s="36">
        <f ca="1" t="array" ref="B36">INDEX(Data_DBD!$B:$B,$A36)</f>
        <v>32</v>
      </c>
      <c r="C36" s="36" t="str">
        <f ca="1" t="array" ref="C36">INDEX(Data_DBD!$C:$C,$A36)</f>
        <v>4 Hari</v>
      </c>
      <c r="D36" s="36">
        <f ca="1" t="array" ref="D36">INDEX(Data_DBD!$D:$D,$A36)</f>
        <v>33</v>
      </c>
      <c r="E36" s="36">
        <f ca="1" t="array" ref="E36">INDEX(Data_DBD!$E:$E,$A36)</f>
        <v>1</v>
      </c>
      <c r="F36" s="36" t="str">
        <f ca="1" t="array" ref="F36">INDEX(Data_DBD!$F:$F,$A36)</f>
        <v>Tinggi</v>
      </c>
      <c r="H36" s="36">
        <v>29</v>
      </c>
      <c r="I36" s="36">
        <v>19</v>
      </c>
      <c r="J36" s="36">
        <v>2</v>
      </c>
      <c r="K36" s="36">
        <v>14</v>
      </c>
      <c r="L36" s="36">
        <v>1</v>
      </c>
      <c r="M36" s="36" t="s">
        <v>8</v>
      </c>
    </row>
    <row r="37" spans="1:13">
      <c r="A37" s="36">
        <f ca="1" t="shared" si="0"/>
        <v>30</v>
      </c>
      <c r="B37" s="36" t="str">
        <f ca="1" t="array" ref="B37">INDEX(Data_DBD!$B:$B,$A37)</f>
        <v>2,8</v>
      </c>
      <c r="C37" s="36" t="str">
        <f ca="1" t="array" ref="C37">INDEX(Data_DBD!$C:$C,$A37)</f>
        <v>2 Hari</v>
      </c>
      <c r="D37" s="36">
        <f ca="1" t="array" ref="D37">INDEX(Data_DBD!$D:$D,$A37)</f>
        <v>14</v>
      </c>
      <c r="E37" s="36">
        <f ca="1" t="array" ref="E37">INDEX(Data_DBD!$E:$E,$A37)</f>
        <v>1</v>
      </c>
      <c r="F37" s="36" t="str">
        <f ca="1" t="array" ref="F37">INDEX(Data_DBD!$F:$F,$A37)</f>
        <v>Sedang</v>
      </c>
      <c r="H37" s="36">
        <v>46</v>
      </c>
      <c r="I37" s="36">
        <v>62</v>
      </c>
      <c r="J37" s="36">
        <v>2</v>
      </c>
      <c r="K37" s="36">
        <v>13</v>
      </c>
      <c r="L37" s="36">
        <v>0</v>
      </c>
      <c r="M37" s="36" t="s">
        <v>8</v>
      </c>
    </row>
    <row r="38" spans="1:13">
      <c r="A38" s="36">
        <f ca="1" t="shared" si="0"/>
        <v>146</v>
      </c>
      <c r="B38" s="36">
        <f ca="1" t="array" ref="B38">INDEX(Data_DBD!$B:$B,$A38)</f>
        <v>34</v>
      </c>
      <c r="C38" s="36" t="str">
        <f ca="1" t="array" ref="C38">INDEX(Data_DBD!$C:$C,$A38)</f>
        <v>2 Hari</v>
      </c>
      <c r="D38" s="36">
        <f ca="1" t="array" ref="D38">INDEX(Data_DBD!$D:$D,$A38)</f>
        <v>21</v>
      </c>
      <c r="E38" s="36">
        <f ca="1" t="array" ref="E38">INDEX(Data_DBD!$E:$E,$A38)</f>
        <v>1</v>
      </c>
      <c r="F38" s="36" t="str">
        <f ca="1" t="array" ref="F38">INDEX(Data_DBD!$F:$F,$A38)</f>
        <v>Tinggi</v>
      </c>
      <c r="H38" s="36">
        <v>46</v>
      </c>
      <c r="I38" s="36">
        <v>62</v>
      </c>
      <c r="J38" s="36">
        <v>2</v>
      </c>
      <c r="K38" s="36">
        <v>13</v>
      </c>
      <c r="L38" s="36">
        <v>0</v>
      </c>
      <c r="M38" s="36" t="s">
        <v>8</v>
      </c>
    </row>
    <row r="39" spans="1:13">
      <c r="A39" s="36">
        <f ca="1" t="shared" si="0"/>
        <v>38</v>
      </c>
      <c r="B39" s="36">
        <f ca="1" t="array" ref="B39">INDEX(Data_DBD!$B:$B,$A39)</f>
        <v>52</v>
      </c>
      <c r="C39" s="36" t="str">
        <f ca="1" t="array" ref="C39">INDEX(Data_DBD!$C:$C,$A39)</f>
        <v>3 Hari</v>
      </c>
      <c r="D39" s="36">
        <f ca="1" t="array" ref="D39">INDEX(Data_DBD!$D:$D,$A39)</f>
        <v>4</v>
      </c>
      <c r="E39" s="36">
        <f ca="1" t="array" ref="E39">INDEX(Data_DBD!$E:$E,$A39)</f>
        <v>1</v>
      </c>
      <c r="F39" s="36" t="str">
        <f ca="1" t="array" ref="F39">INDEX(Data_DBD!$F:$F,$A39)</f>
        <v>Rendah</v>
      </c>
      <c r="H39" s="36">
        <v>21</v>
      </c>
      <c r="I39" s="36">
        <v>10</v>
      </c>
      <c r="J39" s="36">
        <v>5</v>
      </c>
      <c r="K39" s="36">
        <v>14</v>
      </c>
      <c r="L39" s="36">
        <v>1</v>
      </c>
      <c r="M39" s="36" t="s">
        <v>8</v>
      </c>
    </row>
    <row r="40" spans="1:13">
      <c r="A40" s="36">
        <f ca="1" t="shared" si="0"/>
        <v>13</v>
      </c>
      <c r="B40" s="36">
        <f ca="1" t="array" ref="B40">INDEX(Data_DBD!$B:$B,$A40)</f>
        <v>47</v>
      </c>
      <c r="C40" s="36" t="str">
        <f ca="1" t="array" ref="C40">INDEX(Data_DBD!$C:$C,$A40)</f>
        <v>2 Hari</v>
      </c>
      <c r="D40" s="36">
        <f ca="1" t="array" ref="D40">INDEX(Data_DBD!$D:$D,$A40)</f>
        <v>12</v>
      </c>
      <c r="E40" s="36">
        <f ca="1" t="array" ref="E40">INDEX(Data_DBD!$E:$E,$A40)</f>
        <v>0</v>
      </c>
      <c r="F40" s="36" t="str">
        <f ca="1" t="array" ref="F40">INDEX(Data_DBD!$F:$F,$A40)</f>
        <v>Sedang</v>
      </c>
      <c r="H40" s="36">
        <v>127</v>
      </c>
      <c r="I40" s="36">
        <v>21</v>
      </c>
      <c r="J40" s="36">
        <v>2</v>
      </c>
      <c r="K40" s="36">
        <v>33</v>
      </c>
      <c r="L40" s="36">
        <v>0</v>
      </c>
      <c r="M40" s="36" t="s">
        <v>105</v>
      </c>
    </row>
    <row r="41" spans="1:13">
      <c r="A41" s="36">
        <f ca="1" t="shared" si="0"/>
        <v>3</v>
      </c>
      <c r="B41" s="36">
        <f ca="1" t="array" ref="B41">INDEX(Data_DBD!$B:$B,$A41)</f>
        <v>43</v>
      </c>
      <c r="C41" s="36" t="str">
        <f ca="1" t="array" ref="C41">INDEX(Data_DBD!$C:$C,$A41)</f>
        <v>3 Hari</v>
      </c>
      <c r="D41" s="36">
        <f ca="1" t="array" ref="D41">INDEX(Data_DBD!$D:$D,$A41)</f>
        <v>12</v>
      </c>
      <c r="E41" s="36">
        <f ca="1" t="array" ref="E41">INDEX(Data_DBD!$E:$E,$A41)</f>
        <v>1</v>
      </c>
      <c r="F41" s="36" t="str">
        <f ca="1" t="array" ref="F41">INDEX(Data_DBD!$F:$F,$A41)</f>
        <v>Sedang</v>
      </c>
      <c r="H41" s="36">
        <v>156</v>
      </c>
      <c r="I41" s="36">
        <v>5</v>
      </c>
      <c r="J41" s="36">
        <v>2</v>
      </c>
      <c r="K41" s="36">
        <v>21</v>
      </c>
      <c r="L41" s="36">
        <v>0</v>
      </c>
      <c r="M41" s="36" t="s">
        <v>105</v>
      </c>
    </row>
    <row r="42" spans="1:13">
      <c r="A42" s="36">
        <f ca="1" t="shared" si="0"/>
        <v>133</v>
      </c>
      <c r="B42" s="36">
        <f ca="1" t="array" ref="B42">INDEX(Data_DBD!$B:$B,$A42)</f>
        <v>6</v>
      </c>
      <c r="C42" s="36" t="str">
        <f ca="1" t="array" ref="C42">INDEX(Data_DBD!$C:$C,$A42)</f>
        <v>4 Hari</v>
      </c>
      <c r="D42" s="36">
        <f ca="1" t="array" ref="D42">INDEX(Data_DBD!$D:$D,$A42)</f>
        <v>33</v>
      </c>
      <c r="E42" s="36">
        <f ca="1" t="array" ref="E42">INDEX(Data_DBD!$E:$E,$A42)</f>
        <v>0</v>
      </c>
      <c r="F42" s="36" t="str">
        <f ca="1" t="array" ref="F42">INDEX(Data_DBD!$F:$F,$A42)</f>
        <v>Tinggi</v>
      </c>
      <c r="H42" s="36">
        <v>10</v>
      </c>
      <c r="I42" s="36">
        <v>18</v>
      </c>
      <c r="J42" s="36">
        <v>5</v>
      </c>
      <c r="K42" s="36">
        <v>12</v>
      </c>
      <c r="L42" s="36">
        <v>0</v>
      </c>
      <c r="M42" s="36" t="s">
        <v>8</v>
      </c>
    </row>
    <row r="43" spans="1:13">
      <c r="A43" s="36">
        <f ca="1" t="shared" si="0"/>
        <v>80</v>
      </c>
      <c r="B43" s="36">
        <f ca="1" t="array" ref="B43">INDEX(Data_DBD!$B:$B,$A43)</f>
        <v>27</v>
      </c>
      <c r="C43" s="36" t="str">
        <f ca="1" t="array" ref="C43">INDEX(Data_DBD!$C:$C,$A43)</f>
        <v>3 Hari</v>
      </c>
      <c r="D43" s="36">
        <f ca="1" t="array" ref="D43">INDEX(Data_DBD!$D:$D,$A43)</f>
        <v>13</v>
      </c>
      <c r="E43" s="36">
        <f ca="1" t="array" ref="E43">INDEX(Data_DBD!$E:$E,$A43)</f>
        <v>1</v>
      </c>
      <c r="F43" s="36" t="str">
        <f ca="1" t="array" ref="F43">INDEX(Data_DBD!$F:$F,$A43)</f>
        <v>Sedang</v>
      </c>
      <c r="H43" s="36">
        <v>60</v>
      </c>
      <c r="I43" s="36">
        <v>68</v>
      </c>
      <c r="J43" s="36">
        <v>4</v>
      </c>
      <c r="K43" s="36">
        <v>15</v>
      </c>
      <c r="L43" s="36">
        <v>0</v>
      </c>
      <c r="M43" s="36" t="s">
        <v>8</v>
      </c>
    </row>
    <row r="44" spans="1:13">
      <c r="A44" s="36">
        <f ca="1" t="shared" si="0"/>
        <v>159</v>
      </c>
      <c r="B44" s="36">
        <f ca="1" t="array" ref="B44">INDEX(Data_DBD!$B:$B,$A44)</f>
        <v>17</v>
      </c>
      <c r="C44" s="36" t="str">
        <f ca="1" t="array" ref="C44">INDEX(Data_DBD!$C:$C,$A44)</f>
        <v>2 Hari</v>
      </c>
      <c r="D44" s="36">
        <f ca="1" t="array" ref="D44">INDEX(Data_DBD!$D:$D,$A44)</f>
        <v>21</v>
      </c>
      <c r="E44" s="36">
        <f ca="1" t="array" ref="E44">INDEX(Data_DBD!$E:$E,$A44)</f>
        <v>0</v>
      </c>
      <c r="F44" s="36" t="str">
        <f ca="1" t="array" ref="F44">INDEX(Data_DBD!$F:$F,$A44)</f>
        <v>Tinggi</v>
      </c>
      <c r="H44" s="36">
        <v>147</v>
      </c>
      <c r="I44" s="36">
        <v>66</v>
      </c>
      <c r="J44" s="36">
        <v>10</v>
      </c>
      <c r="K44" s="36">
        <v>21</v>
      </c>
      <c r="L44" s="36">
        <v>1</v>
      </c>
      <c r="M44" s="36" t="s">
        <v>105</v>
      </c>
    </row>
    <row r="45" spans="1:13">
      <c r="A45" s="36">
        <f ca="1" t="shared" si="0"/>
        <v>33</v>
      </c>
      <c r="B45" s="36">
        <f ca="1" t="array" ref="B45">INDEX(Data_DBD!$B:$B,$A45)</f>
        <v>19</v>
      </c>
      <c r="C45" s="36" t="str">
        <f ca="1" t="array" ref="C45">INDEX(Data_DBD!$C:$C,$A45)</f>
        <v>4 Hari</v>
      </c>
      <c r="D45" s="36">
        <f ca="1" t="array" ref="D45">INDEX(Data_DBD!$D:$D,$A45)</f>
        <v>14</v>
      </c>
      <c r="E45" s="36">
        <f ca="1" t="array" ref="E45">INDEX(Data_DBD!$E:$E,$A45)</f>
        <v>1</v>
      </c>
      <c r="F45" s="36" t="str">
        <f ca="1" t="array" ref="F45">INDEX(Data_DBD!$F:$F,$A45)</f>
        <v>Sedang</v>
      </c>
      <c r="H45" s="36">
        <v>107</v>
      </c>
      <c r="I45" s="36">
        <v>48</v>
      </c>
      <c r="J45" s="36">
        <v>5</v>
      </c>
      <c r="K45" s="36">
        <v>18</v>
      </c>
      <c r="L45" s="36">
        <v>0</v>
      </c>
      <c r="M45" s="36" t="s">
        <v>105</v>
      </c>
    </row>
    <row r="46" spans="1:13">
      <c r="A46" s="36">
        <f ca="1" t="shared" si="0"/>
        <v>65</v>
      </c>
      <c r="B46" s="36">
        <f ca="1" t="array" ref="B46">INDEX(Data_DBD!$B:$B,$A46)</f>
        <v>49</v>
      </c>
      <c r="C46" s="36" t="str">
        <f ca="1" t="array" ref="C46">INDEX(Data_DBD!$C:$C,$A46)</f>
        <v>3 Hari</v>
      </c>
      <c r="D46" s="36">
        <f ca="1" t="array" ref="D46">INDEX(Data_DBD!$D:$D,$A46)</f>
        <v>15</v>
      </c>
      <c r="E46" s="36">
        <f ca="1" t="array" ref="E46">INDEX(Data_DBD!$E:$E,$A46)</f>
        <v>0</v>
      </c>
      <c r="F46" s="36" t="str">
        <f ca="1" t="array" ref="F46">INDEX(Data_DBD!$F:$F,$A46)</f>
        <v>Sedang</v>
      </c>
      <c r="H46" s="36">
        <v>72</v>
      </c>
      <c r="I46" s="36">
        <v>3</v>
      </c>
      <c r="J46" s="36">
        <v>5</v>
      </c>
      <c r="K46" s="36">
        <v>10</v>
      </c>
      <c r="L46" s="36">
        <v>1</v>
      </c>
      <c r="M46" s="36" t="s">
        <v>8</v>
      </c>
    </row>
    <row r="47" spans="1:13">
      <c r="A47" s="36">
        <f ca="1" t="shared" si="0"/>
        <v>38</v>
      </c>
      <c r="B47" s="36">
        <f ca="1" t="array" ref="B47">INDEX(Data_DBD!$B:$B,$A47)</f>
        <v>52</v>
      </c>
      <c r="C47" s="36" t="str">
        <f ca="1" t="array" ref="C47">INDEX(Data_DBD!$C:$C,$A47)</f>
        <v>3 Hari</v>
      </c>
      <c r="D47" s="36">
        <f ca="1" t="array" ref="D47">INDEX(Data_DBD!$D:$D,$A47)</f>
        <v>4</v>
      </c>
      <c r="E47" s="36">
        <f ca="1" t="array" ref="E47">INDEX(Data_DBD!$E:$E,$A47)</f>
        <v>1</v>
      </c>
      <c r="F47" s="36" t="str">
        <f ca="1" t="array" ref="F47">INDEX(Data_DBD!$F:$F,$A47)</f>
        <v>Rendah</v>
      </c>
      <c r="H47" s="36">
        <v>57</v>
      </c>
      <c r="I47" s="36">
        <v>2</v>
      </c>
      <c r="J47" s="36">
        <v>2</v>
      </c>
      <c r="K47" s="36">
        <v>15</v>
      </c>
      <c r="L47" s="36">
        <v>1</v>
      </c>
      <c r="M47" s="36" t="s">
        <v>8</v>
      </c>
    </row>
    <row r="48" spans="1:13">
      <c r="A48" s="36">
        <f ca="1" t="shared" si="0"/>
        <v>126</v>
      </c>
      <c r="B48" s="36">
        <f ca="1" t="array" ref="B48">INDEX(Data_DBD!$B:$B,$A48)</f>
        <v>51</v>
      </c>
      <c r="C48" s="36" t="str">
        <f ca="1" t="array" ref="C48">INDEX(Data_DBD!$C:$C,$A48)</f>
        <v>3 Hari</v>
      </c>
      <c r="D48" s="36">
        <f ca="1" t="array" ref="D48">INDEX(Data_DBD!$D:$D,$A48)</f>
        <v>33</v>
      </c>
      <c r="E48" s="36">
        <f ca="1" t="array" ref="E48">INDEX(Data_DBD!$E:$E,$A48)</f>
        <v>1</v>
      </c>
      <c r="F48" s="36" t="str">
        <f ca="1" t="array" ref="F48">INDEX(Data_DBD!$F:$F,$A48)</f>
        <v>Tinggi</v>
      </c>
      <c r="H48" s="36">
        <v>37</v>
      </c>
      <c r="I48" s="36">
        <v>28</v>
      </c>
      <c r="J48" s="36">
        <v>4</v>
      </c>
      <c r="K48" s="36">
        <v>4</v>
      </c>
      <c r="L48" s="36">
        <v>1</v>
      </c>
      <c r="M48" s="36" t="s">
        <v>26</v>
      </c>
    </row>
    <row r="49" spans="1:13">
      <c r="A49" s="36">
        <f ca="1" t="shared" si="0"/>
        <v>128</v>
      </c>
      <c r="B49" s="36">
        <f ca="1" t="array" ref="B49">INDEX(Data_DBD!$B:$B,$A49)</f>
        <v>38</v>
      </c>
      <c r="C49" s="36" t="str">
        <f ca="1" t="array" ref="C49">INDEX(Data_DBD!$C:$C,$A49)</f>
        <v>2 Hari</v>
      </c>
      <c r="D49" s="36">
        <f ca="1" t="array" ref="D49">INDEX(Data_DBD!$D:$D,$A49)</f>
        <v>33</v>
      </c>
      <c r="E49" s="36">
        <f ca="1" t="array" ref="E49">INDEX(Data_DBD!$E:$E,$A49)</f>
        <v>0</v>
      </c>
      <c r="F49" s="36" t="str">
        <f ca="1" t="array" ref="F49">INDEX(Data_DBD!$F:$F,$A49)</f>
        <v>Tinggi</v>
      </c>
      <c r="H49" s="36">
        <v>96</v>
      </c>
      <c r="I49" s="36">
        <v>56</v>
      </c>
      <c r="J49" s="36">
        <v>4</v>
      </c>
      <c r="K49" s="36">
        <v>18</v>
      </c>
      <c r="L49" s="36">
        <v>0</v>
      </c>
      <c r="M49" s="36" t="s">
        <v>105</v>
      </c>
    </row>
    <row r="50" spans="1:13">
      <c r="A50" s="36">
        <f ca="1" t="shared" si="0"/>
        <v>48</v>
      </c>
      <c r="B50" s="36">
        <f ca="1" t="array" ref="B50">INDEX(Data_DBD!$B:$B,$A50)</f>
        <v>50</v>
      </c>
      <c r="C50" s="36" t="str">
        <f ca="1" t="array" ref="C50">INDEX(Data_DBD!$C:$C,$A50)</f>
        <v>5 Hari</v>
      </c>
      <c r="D50" s="36">
        <f ca="1" t="array" ref="D50">INDEX(Data_DBD!$D:$D,$A50)</f>
        <v>13</v>
      </c>
      <c r="E50" s="36">
        <f ca="1" t="array" ref="E50">INDEX(Data_DBD!$E:$E,$A50)</f>
        <v>1</v>
      </c>
      <c r="F50" s="36" t="str">
        <f ca="1" t="array" ref="F50">INDEX(Data_DBD!$F:$F,$A50)</f>
        <v>Sedang</v>
      </c>
      <c r="H50" s="36">
        <v>72</v>
      </c>
      <c r="I50" s="36">
        <v>3</v>
      </c>
      <c r="J50" s="36">
        <v>5</v>
      </c>
      <c r="K50" s="36">
        <v>10</v>
      </c>
      <c r="L50" s="36">
        <v>1</v>
      </c>
      <c r="M50" s="36" t="s">
        <v>8</v>
      </c>
    </row>
    <row r="51" spans="1:13">
      <c r="A51" s="36">
        <f ca="1" t="shared" si="0"/>
        <v>14</v>
      </c>
      <c r="B51" s="36">
        <f ca="1" t="array" ref="B51">INDEX(Data_DBD!$B:$B,$A51)</f>
        <v>49</v>
      </c>
      <c r="C51" s="36" t="str">
        <f ca="1" t="array" ref="C51">INDEX(Data_DBD!$C:$C,$A51)</f>
        <v>4 Hari</v>
      </c>
      <c r="D51" s="36">
        <f ca="1" t="array" ref="D51">INDEX(Data_DBD!$D:$D,$A51)</f>
        <v>7</v>
      </c>
      <c r="E51" s="36">
        <f ca="1" t="array" ref="E51">INDEX(Data_DBD!$E:$E,$A51)</f>
        <v>1</v>
      </c>
      <c r="F51" s="36" t="str">
        <f ca="1" t="array" ref="F51">INDEX(Data_DBD!$F:$F,$A51)</f>
        <v>Rendah</v>
      </c>
      <c r="H51" s="36">
        <v>120</v>
      </c>
      <c r="I51" s="36">
        <v>26</v>
      </c>
      <c r="J51" s="36">
        <v>4</v>
      </c>
      <c r="K51" s="36">
        <v>33</v>
      </c>
      <c r="L51" s="36">
        <v>1</v>
      </c>
      <c r="M51" s="36" t="s">
        <v>105</v>
      </c>
    </row>
    <row r="52" spans="1:13">
      <c r="A52" s="36">
        <f ca="1" t="shared" si="0"/>
        <v>83</v>
      </c>
      <c r="B52" s="36">
        <f ca="1" t="array" ref="B52">INDEX(Data_DBD!$B:$B,$A52)</f>
        <v>50</v>
      </c>
      <c r="C52" s="36" t="str">
        <f ca="1" t="array" ref="C52">INDEX(Data_DBD!$C:$C,$A52)</f>
        <v>3 Hari</v>
      </c>
      <c r="D52" s="36">
        <f ca="1" t="array" ref="D52">INDEX(Data_DBD!$D:$D,$A52)</f>
        <v>13</v>
      </c>
      <c r="E52" s="36">
        <f ca="1" t="array" ref="E52">INDEX(Data_DBD!$E:$E,$A52)</f>
        <v>0</v>
      </c>
      <c r="F52" s="36" t="str">
        <f ca="1" t="array" ref="F52">INDEX(Data_DBD!$F:$F,$A52)</f>
        <v>Sedang</v>
      </c>
      <c r="H52" s="36">
        <v>35</v>
      </c>
      <c r="I52" s="36">
        <v>40</v>
      </c>
      <c r="J52" s="36">
        <v>3</v>
      </c>
      <c r="K52" s="36">
        <v>4</v>
      </c>
      <c r="L52" s="36">
        <v>1</v>
      </c>
      <c r="M52" s="36" t="s">
        <v>26</v>
      </c>
    </row>
    <row r="53" spans="1:13">
      <c r="A53" s="36">
        <f ca="1" t="shared" si="0"/>
        <v>14</v>
      </c>
      <c r="B53" s="36">
        <f ca="1" t="array" ref="B53">INDEX(Data_DBD!$B:$B,$A53)</f>
        <v>49</v>
      </c>
      <c r="C53" s="36" t="str">
        <f ca="1" t="array" ref="C53">INDEX(Data_DBD!$C:$C,$A53)</f>
        <v>4 Hari</v>
      </c>
      <c r="D53" s="36">
        <f ca="1" t="array" ref="D53">INDEX(Data_DBD!$D:$D,$A53)</f>
        <v>7</v>
      </c>
      <c r="E53" s="36">
        <f ca="1" t="array" ref="E53">INDEX(Data_DBD!$E:$E,$A53)</f>
        <v>1</v>
      </c>
      <c r="F53" s="36" t="str">
        <f ca="1" t="array" ref="F53">INDEX(Data_DBD!$F:$F,$A53)</f>
        <v>Rendah</v>
      </c>
      <c r="H53" s="36">
        <v>2</v>
      </c>
      <c r="I53" s="36">
        <v>34</v>
      </c>
      <c r="J53" s="36">
        <v>3</v>
      </c>
      <c r="K53" s="36">
        <v>12</v>
      </c>
      <c r="L53" s="36">
        <v>0</v>
      </c>
      <c r="M53" s="36" t="s">
        <v>8</v>
      </c>
    </row>
    <row r="54" spans="1:13">
      <c r="A54" s="36">
        <f ca="1" t="shared" si="0"/>
        <v>83</v>
      </c>
      <c r="B54" s="36">
        <f ca="1" t="array" ref="B54">INDEX(Data_DBD!$B:$B,$A54)</f>
        <v>50</v>
      </c>
      <c r="C54" s="36" t="str">
        <f ca="1" t="array" ref="C54">INDEX(Data_DBD!$C:$C,$A54)</f>
        <v>3 Hari</v>
      </c>
      <c r="D54" s="36">
        <f ca="1" t="array" ref="D54">INDEX(Data_DBD!$D:$D,$A54)</f>
        <v>13</v>
      </c>
      <c r="E54" s="36">
        <f ca="1" t="array" ref="E54">INDEX(Data_DBD!$E:$E,$A54)</f>
        <v>0</v>
      </c>
      <c r="F54" s="36" t="str">
        <f ca="1" t="array" ref="F54">INDEX(Data_DBD!$F:$F,$A54)</f>
        <v>Sedang</v>
      </c>
      <c r="H54" s="36">
        <v>77</v>
      </c>
      <c r="I54" s="36">
        <v>16</v>
      </c>
      <c r="J54" s="36">
        <v>4</v>
      </c>
      <c r="K54" s="36">
        <v>13</v>
      </c>
      <c r="L54" s="36">
        <v>1</v>
      </c>
      <c r="M54" s="36" t="s">
        <v>8</v>
      </c>
    </row>
    <row r="55" spans="1:13">
      <c r="A55" s="36">
        <f ca="1" t="shared" si="0"/>
        <v>128</v>
      </c>
      <c r="B55" s="36">
        <f ca="1" t="array" ref="B55">INDEX(Data_DBD!$B:$B,$A55)</f>
        <v>38</v>
      </c>
      <c r="C55" s="36" t="str">
        <f ca="1" t="array" ref="C55">INDEX(Data_DBD!$C:$C,$A55)</f>
        <v>2 Hari</v>
      </c>
      <c r="D55" s="36">
        <f ca="1" t="array" ref="D55">INDEX(Data_DBD!$D:$D,$A55)</f>
        <v>33</v>
      </c>
      <c r="E55" s="36">
        <f ca="1" t="array" ref="E55">INDEX(Data_DBD!$E:$E,$A55)</f>
        <v>0</v>
      </c>
      <c r="F55" s="36" t="str">
        <f ca="1" t="array" ref="F55">INDEX(Data_DBD!$F:$F,$A55)</f>
        <v>Tinggi</v>
      </c>
      <c r="H55" s="36">
        <v>164</v>
      </c>
      <c r="I55" s="36">
        <v>10</v>
      </c>
      <c r="J55" s="36">
        <v>6</v>
      </c>
      <c r="K55" s="36">
        <v>3</v>
      </c>
      <c r="L55" s="36">
        <v>0</v>
      </c>
      <c r="M55" s="36" t="s">
        <v>26</v>
      </c>
    </row>
    <row r="56" spans="1:13">
      <c r="A56" s="36">
        <f ca="1" t="shared" si="0"/>
        <v>3</v>
      </c>
      <c r="B56" s="36">
        <f ca="1" t="array" ref="B56">INDEX(Data_DBD!$B:$B,$A56)</f>
        <v>43</v>
      </c>
      <c r="C56" s="36" t="str">
        <f ca="1" t="array" ref="C56">INDEX(Data_DBD!$C:$C,$A56)</f>
        <v>3 Hari</v>
      </c>
      <c r="D56" s="36">
        <f ca="1" t="array" ref="D56">INDEX(Data_DBD!$D:$D,$A56)</f>
        <v>12</v>
      </c>
      <c r="E56" s="36">
        <f ca="1" t="array" ref="E56">INDEX(Data_DBD!$E:$E,$A56)</f>
        <v>1</v>
      </c>
      <c r="F56" s="36" t="str">
        <f ca="1" t="array" ref="F56">INDEX(Data_DBD!$F:$F,$A56)</f>
        <v>Sedang</v>
      </c>
      <c r="H56" s="36">
        <v>21</v>
      </c>
      <c r="I56" s="36">
        <v>10</v>
      </c>
      <c r="J56" s="36">
        <v>5</v>
      </c>
      <c r="K56" s="36">
        <v>14</v>
      </c>
      <c r="L56" s="36">
        <v>1</v>
      </c>
      <c r="M56" s="36" t="s">
        <v>8</v>
      </c>
    </row>
    <row r="57" spans="1:13">
      <c r="A57" s="36">
        <f ca="1" t="shared" si="0"/>
        <v>44</v>
      </c>
      <c r="B57" s="36">
        <f ca="1" t="array" ref="B57">INDEX(Data_DBD!$B:$B,$A57)</f>
        <v>28</v>
      </c>
      <c r="C57" s="36" t="str">
        <f ca="1" t="array" ref="C57">INDEX(Data_DBD!$C:$C,$A57)</f>
        <v>5 Hari</v>
      </c>
      <c r="D57" s="36">
        <f ca="1" t="array" ref="D57">INDEX(Data_DBD!$D:$D,$A57)</f>
        <v>13</v>
      </c>
      <c r="E57" s="36">
        <f ca="1" t="array" ref="E57">INDEX(Data_DBD!$E:$E,$A57)</f>
        <v>1</v>
      </c>
      <c r="F57" s="36" t="str">
        <f ca="1" t="array" ref="F57">INDEX(Data_DBD!$F:$F,$A57)</f>
        <v>Sedang</v>
      </c>
      <c r="H57" s="36">
        <v>77</v>
      </c>
      <c r="I57" s="36">
        <v>16</v>
      </c>
      <c r="J57" s="36">
        <v>4</v>
      </c>
      <c r="K57" s="36">
        <v>13</v>
      </c>
      <c r="L57" s="36">
        <v>1</v>
      </c>
      <c r="M57" s="36" t="s">
        <v>8</v>
      </c>
    </row>
    <row r="58" spans="1:13">
      <c r="A58" s="36">
        <f ca="1" t="shared" si="0"/>
        <v>119</v>
      </c>
      <c r="B58" s="36">
        <f ca="1" t="array" ref="B58">INDEX(Data_DBD!$B:$B,$A58)</f>
        <v>30</v>
      </c>
      <c r="C58" s="36" t="str">
        <f ca="1" t="array" ref="C58">INDEX(Data_DBD!$C:$C,$A58)</f>
        <v>7 Hari</v>
      </c>
      <c r="D58" s="36">
        <f ca="1" t="array" ref="D58">INDEX(Data_DBD!$D:$D,$A58)</f>
        <v>33</v>
      </c>
      <c r="E58" s="36">
        <f ca="1" t="array" ref="E58">INDEX(Data_DBD!$E:$E,$A58)</f>
        <v>0</v>
      </c>
      <c r="F58" s="36" t="str">
        <f ca="1" t="array" ref="F58">INDEX(Data_DBD!$F:$F,$A58)</f>
        <v>Tinggi</v>
      </c>
      <c r="H58" s="36">
        <v>105</v>
      </c>
      <c r="I58" s="36">
        <v>61</v>
      </c>
      <c r="J58" s="36">
        <v>3</v>
      </c>
      <c r="K58" s="36">
        <v>18</v>
      </c>
      <c r="L58" s="36">
        <v>1</v>
      </c>
      <c r="M58" s="36" t="s">
        <v>105</v>
      </c>
    </row>
    <row r="59" spans="1:13">
      <c r="A59" s="36">
        <f ca="1" t="shared" si="0"/>
        <v>147</v>
      </c>
      <c r="B59" s="36">
        <f ca="1" t="array" ref="B59">INDEX(Data_DBD!$B:$B,$A59)</f>
        <v>66</v>
      </c>
      <c r="C59" s="36" t="str">
        <f ca="1" t="array" ref="C59">INDEX(Data_DBD!$C:$C,$A59)</f>
        <v>10 Hari</v>
      </c>
      <c r="D59" s="36">
        <f ca="1" t="array" ref="D59">INDEX(Data_DBD!$D:$D,$A59)</f>
        <v>21</v>
      </c>
      <c r="E59" s="36">
        <f ca="1" t="array" ref="E59">INDEX(Data_DBD!$E:$E,$A59)</f>
        <v>1</v>
      </c>
      <c r="F59" s="36" t="str">
        <f ca="1" t="array" ref="F59">INDEX(Data_DBD!$F:$F,$A59)</f>
        <v>Tinggi</v>
      </c>
      <c r="H59" s="36">
        <v>119</v>
      </c>
      <c r="I59" s="36">
        <v>30</v>
      </c>
      <c r="J59" s="36">
        <v>7</v>
      </c>
      <c r="K59" s="36">
        <v>33</v>
      </c>
      <c r="L59" s="36">
        <v>0</v>
      </c>
      <c r="M59" s="36" t="s">
        <v>105</v>
      </c>
    </row>
    <row r="60" spans="1:13">
      <c r="A60" s="36">
        <f ca="1" t="shared" si="0"/>
        <v>159</v>
      </c>
      <c r="B60" s="36">
        <f ca="1" t="array" ref="B60">INDEX(Data_DBD!$B:$B,$A60)</f>
        <v>17</v>
      </c>
      <c r="C60" s="36" t="str">
        <f ca="1" t="array" ref="C60">INDEX(Data_DBD!$C:$C,$A60)</f>
        <v>2 Hari</v>
      </c>
      <c r="D60" s="36">
        <f ca="1" t="array" ref="D60">INDEX(Data_DBD!$D:$D,$A60)</f>
        <v>21</v>
      </c>
      <c r="E60" s="36">
        <f ca="1" t="array" ref="E60">INDEX(Data_DBD!$E:$E,$A60)</f>
        <v>0</v>
      </c>
      <c r="F60" s="36" t="str">
        <f ca="1" t="array" ref="F60">INDEX(Data_DBD!$F:$F,$A60)</f>
        <v>Tinggi</v>
      </c>
      <c r="H60" s="36">
        <v>104</v>
      </c>
      <c r="I60" s="36">
        <v>37</v>
      </c>
      <c r="J60" s="36">
        <v>4</v>
      </c>
      <c r="K60" s="36">
        <v>18</v>
      </c>
      <c r="L60" s="36">
        <v>1</v>
      </c>
      <c r="M60" s="36" t="s">
        <v>105</v>
      </c>
    </row>
    <row r="61" spans="1:13">
      <c r="A61" s="36">
        <f ca="1" t="shared" si="0"/>
        <v>131</v>
      </c>
      <c r="B61" s="36">
        <f ca="1" t="array" ref="B61">INDEX(Data_DBD!$B:$B,$A61)</f>
        <v>10</v>
      </c>
      <c r="C61" s="36" t="str">
        <f ca="1" t="array" ref="C61">INDEX(Data_DBD!$C:$C,$A61)</f>
        <v>2 Hari</v>
      </c>
      <c r="D61" s="36">
        <f ca="1" t="array" ref="D61">INDEX(Data_DBD!$D:$D,$A61)</f>
        <v>33</v>
      </c>
      <c r="E61" s="36">
        <f ca="1" t="array" ref="E61">INDEX(Data_DBD!$E:$E,$A61)</f>
        <v>0</v>
      </c>
      <c r="F61" s="36" t="str">
        <f ca="1" t="array" ref="F61">INDEX(Data_DBD!$F:$F,$A61)</f>
        <v>Tinggi</v>
      </c>
      <c r="H61" s="36">
        <v>45</v>
      </c>
      <c r="I61" s="36">
        <v>75</v>
      </c>
      <c r="J61" s="36">
        <v>3</v>
      </c>
      <c r="K61" s="36">
        <v>13</v>
      </c>
      <c r="L61" s="36">
        <v>1</v>
      </c>
      <c r="M61" s="36" t="s">
        <v>8</v>
      </c>
    </row>
    <row r="62" spans="1:13">
      <c r="A62" s="36">
        <f ca="1" t="shared" si="0"/>
        <v>48</v>
      </c>
      <c r="B62" s="36">
        <f ca="1" t="array" ref="B62">INDEX(Data_DBD!$B:$B,$A62)</f>
        <v>50</v>
      </c>
      <c r="C62" s="36" t="str">
        <f ca="1" t="array" ref="C62">INDEX(Data_DBD!$C:$C,$A62)</f>
        <v>5 Hari</v>
      </c>
      <c r="D62" s="36">
        <f ca="1" t="array" ref="D62">INDEX(Data_DBD!$D:$D,$A62)</f>
        <v>13</v>
      </c>
      <c r="E62" s="36">
        <f ca="1" t="array" ref="E62">INDEX(Data_DBD!$E:$E,$A62)</f>
        <v>1</v>
      </c>
      <c r="F62" s="36" t="str">
        <f ca="1" t="array" ref="F62">INDEX(Data_DBD!$F:$F,$A62)</f>
        <v>Sedang</v>
      </c>
      <c r="H62" s="36">
        <v>68</v>
      </c>
      <c r="I62" s="36">
        <v>44</v>
      </c>
      <c r="J62" s="36">
        <v>5</v>
      </c>
      <c r="K62" s="36">
        <v>10</v>
      </c>
      <c r="L62" s="36">
        <v>0</v>
      </c>
      <c r="M62" s="36" t="s">
        <v>8</v>
      </c>
    </row>
    <row r="63" spans="1:13">
      <c r="A63" s="36">
        <f ca="1" t="shared" si="0"/>
        <v>99</v>
      </c>
      <c r="B63" s="36">
        <f ca="1" t="array" ref="B63">INDEX(Data_DBD!$B:$B,$A63)</f>
        <v>4</v>
      </c>
      <c r="C63" s="36" t="str">
        <f ca="1" t="array" ref="C63">INDEX(Data_DBD!$C:$C,$A63)</f>
        <v>2 Hari</v>
      </c>
      <c r="D63" s="36">
        <f ca="1" t="array" ref="D63">INDEX(Data_DBD!$D:$D,$A63)</f>
        <v>18</v>
      </c>
      <c r="E63" s="36">
        <f ca="1" t="array" ref="E63">INDEX(Data_DBD!$E:$E,$A63)</f>
        <v>1</v>
      </c>
      <c r="F63" s="36" t="str">
        <f ca="1" t="array" ref="F63">INDEX(Data_DBD!$F:$F,$A63)</f>
        <v>Tinggi</v>
      </c>
      <c r="H63" s="36">
        <v>6</v>
      </c>
      <c r="I63" s="36">
        <v>14</v>
      </c>
      <c r="J63" s="36">
        <v>4</v>
      </c>
      <c r="K63" s="36">
        <v>12</v>
      </c>
      <c r="L63" s="36">
        <v>0</v>
      </c>
      <c r="M63" s="36" t="s">
        <v>8</v>
      </c>
    </row>
    <row r="64" spans="1:13">
      <c r="A64" s="36">
        <f ca="1" t="shared" si="0"/>
        <v>23</v>
      </c>
      <c r="B64" s="36">
        <f ca="1" t="array" ref="B64">INDEX(Data_DBD!$B:$B,$A64)</f>
        <v>28</v>
      </c>
      <c r="C64" s="36" t="str">
        <f ca="1" t="array" ref="C64">INDEX(Data_DBD!$C:$C,$A64)</f>
        <v>4 Hari</v>
      </c>
      <c r="D64" s="36">
        <f ca="1" t="array" ref="D64">INDEX(Data_DBD!$D:$D,$A64)</f>
        <v>14</v>
      </c>
      <c r="E64" s="36">
        <f ca="1" t="array" ref="E64">INDEX(Data_DBD!$E:$E,$A64)</f>
        <v>1</v>
      </c>
      <c r="F64" s="36" t="str">
        <f ca="1" t="array" ref="F64">INDEX(Data_DBD!$F:$F,$A64)</f>
        <v>Sedang</v>
      </c>
      <c r="H64" s="36">
        <v>113</v>
      </c>
      <c r="I64" s="36">
        <v>69</v>
      </c>
      <c r="J64" s="36">
        <v>1</v>
      </c>
      <c r="K64" s="36">
        <v>33</v>
      </c>
      <c r="L64" s="36">
        <v>1</v>
      </c>
      <c r="M64" s="36" t="s">
        <v>105</v>
      </c>
    </row>
    <row r="65" spans="1:13">
      <c r="A65" s="36">
        <f ca="1" t="shared" si="0"/>
        <v>44</v>
      </c>
      <c r="B65" s="36">
        <f ca="1" t="array" ref="B65">INDEX(Data_DBD!$B:$B,$A65)</f>
        <v>28</v>
      </c>
      <c r="C65" s="36" t="str">
        <f ca="1" t="array" ref="C65">INDEX(Data_DBD!$C:$C,$A65)</f>
        <v>5 Hari</v>
      </c>
      <c r="D65" s="36">
        <f ca="1" t="array" ref="D65">INDEX(Data_DBD!$D:$D,$A65)</f>
        <v>13</v>
      </c>
      <c r="E65" s="36">
        <f ca="1" t="array" ref="E65">INDEX(Data_DBD!$E:$E,$A65)</f>
        <v>1</v>
      </c>
      <c r="F65" s="36" t="str">
        <f ca="1" t="array" ref="F65">INDEX(Data_DBD!$F:$F,$A65)</f>
        <v>Sedang</v>
      </c>
      <c r="H65" s="36">
        <v>34</v>
      </c>
      <c r="I65" s="36">
        <v>55</v>
      </c>
      <c r="J65" s="36">
        <v>3</v>
      </c>
      <c r="K65" s="36">
        <v>14</v>
      </c>
      <c r="L65" s="36">
        <v>0</v>
      </c>
      <c r="M65" s="36" t="s">
        <v>8</v>
      </c>
    </row>
    <row r="66" spans="1:13">
      <c r="A66" s="36">
        <f ca="1" t="shared" si="0"/>
        <v>77</v>
      </c>
      <c r="B66" s="36">
        <f ca="1" t="array" ref="B66">INDEX(Data_DBD!$B:$B,$A66)</f>
        <v>16</v>
      </c>
      <c r="C66" s="36" t="str">
        <f ca="1" t="array" ref="C66">INDEX(Data_DBD!$C:$C,$A66)</f>
        <v>4 Hari</v>
      </c>
      <c r="D66" s="36">
        <f ca="1" t="array" ref="D66">INDEX(Data_DBD!$D:$D,$A66)</f>
        <v>13</v>
      </c>
      <c r="E66" s="36">
        <f ca="1" t="array" ref="E66">INDEX(Data_DBD!$E:$E,$A66)</f>
        <v>1</v>
      </c>
      <c r="F66" s="36" t="str">
        <f ca="1" t="array" ref="F66">INDEX(Data_DBD!$F:$F,$A66)</f>
        <v>Sedang</v>
      </c>
      <c r="H66" s="36">
        <v>42</v>
      </c>
      <c r="I66" s="36">
        <v>21</v>
      </c>
      <c r="J66" s="36">
        <v>5</v>
      </c>
      <c r="K66" s="36">
        <v>13</v>
      </c>
      <c r="L66" s="36">
        <v>1</v>
      </c>
      <c r="M66" s="36" t="s">
        <v>8</v>
      </c>
    </row>
    <row r="67" spans="1:13">
      <c r="A67" s="36">
        <f ca="1" t="shared" ref="A67:A130" si="1">RANDBETWEEN(2,164)</f>
        <v>100</v>
      </c>
      <c r="B67" s="36">
        <f ca="1" t="array" ref="B67">INDEX(Data_DBD!$B:$B,$A67)</f>
        <v>19</v>
      </c>
      <c r="C67" s="36" t="str">
        <f ca="1" t="array" ref="C67">INDEX(Data_DBD!$C:$C,$A67)</f>
        <v>6 Hari</v>
      </c>
      <c r="D67" s="36">
        <f ca="1" t="array" ref="D67">INDEX(Data_DBD!$D:$D,$A67)</f>
        <v>18</v>
      </c>
      <c r="E67" s="36">
        <f ca="1" t="array" ref="E67">INDEX(Data_DBD!$E:$E,$A67)</f>
        <v>0</v>
      </c>
      <c r="F67" s="36" t="str">
        <f ca="1" t="array" ref="F67">INDEX(Data_DBD!$F:$F,$A67)</f>
        <v>Tinggi</v>
      </c>
      <c r="H67" s="36">
        <v>130</v>
      </c>
      <c r="I67" s="36">
        <v>12</v>
      </c>
      <c r="J67" s="36">
        <v>4</v>
      </c>
      <c r="K67" s="36">
        <v>33</v>
      </c>
      <c r="L67" s="36">
        <v>0</v>
      </c>
      <c r="M67" s="36" t="s">
        <v>105</v>
      </c>
    </row>
    <row r="68" spans="1:13">
      <c r="A68" s="36">
        <f ca="1" t="shared" si="1"/>
        <v>160</v>
      </c>
      <c r="B68" s="36">
        <f ca="1" t="array" ref="B68">INDEX(Data_DBD!$B:$B,$A68)</f>
        <v>16</v>
      </c>
      <c r="C68" s="36" t="str">
        <f ca="1" t="array" ref="C68">INDEX(Data_DBD!$C:$C,$A68)</f>
        <v>3 Hari</v>
      </c>
      <c r="D68" s="36">
        <f ca="1" t="array" ref="D68">INDEX(Data_DBD!$D:$D,$A68)</f>
        <v>21</v>
      </c>
      <c r="E68" s="36">
        <f ca="1" t="array" ref="E68">INDEX(Data_DBD!$E:$E,$A68)</f>
        <v>0</v>
      </c>
      <c r="F68" s="36" t="str">
        <f ca="1" t="array" ref="F68">INDEX(Data_DBD!$F:$F,$A68)</f>
        <v>Tinggi</v>
      </c>
      <c r="H68" s="36">
        <v>113</v>
      </c>
      <c r="I68" s="36">
        <v>69</v>
      </c>
      <c r="J68" s="36">
        <v>1</v>
      </c>
      <c r="K68" s="36">
        <v>33</v>
      </c>
      <c r="L68" s="36">
        <v>1</v>
      </c>
      <c r="M68" s="36" t="s">
        <v>105</v>
      </c>
    </row>
    <row r="69" spans="1:13">
      <c r="A69" s="36">
        <f ca="1" t="shared" si="1"/>
        <v>100</v>
      </c>
      <c r="B69" s="36">
        <f ca="1" t="array" ref="B69">INDEX(Data_DBD!$B:$B,$A69)</f>
        <v>19</v>
      </c>
      <c r="C69" s="36" t="str">
        <f ca="1" t="array" ref="C69">INDEX(Data_DBD!$C:$C,$A69)</f>
        <v>6 Hari</v>
      </c>
      <c r="D69" s="36">
        <f ca="1" t="array" ref="D69">INDEX(Data_DBD!$D:$D,$A69)</f>
        <v>18</v>
      </c>
      <c r="E69" s="36">
        <f ca="1" t="array" ref="E69">INDEX(Data_DBD!$E:$E,$A69)</f>
        <v>0</v>
      </c>
      <c r="F69" s="36" t="str">
        <f ca="1" t="array" ref="F69">INDEX(Data_DBD!$F:$F,$A69)</f>
        <v>Tinggi</v>
      </c>
      <c r="H69" s="36">
        <v>40</v>
      </c>
      <c r="I69" s="36">
        <v>65</v>
      </c>
      <c r="J69" s="36">
        <v>3</v>
      </c>
      <c r="K69" s="36">
        <v>13</v>
      </c>
      <c r="L69" s="36">
        <v>1</v>
      </c>
      <c r="M69" s="36" t="s">
        <v>8</v>
      </c>
    </row>
    <row r="70" spans="1:13">
      <c r="A70" s="36">
        <f ca="1" t="shared" si="1"/>
        <v>65</v>
      </c>
      <c r="B70" s="36">
        <f ca="1" t="array" ref="B70">INDEX(Data_DBD!$B:$B,$A70)</f>
        <v>49</v>
      </c>
      <c r="C70" s="36" t="str">
        <f ca="1" t="array" ref="C70">INDEX(Data_DBD!$C:$C,$A70)</f>
        <v>3 Hari</v>
      </c>
      <c r="D70" s="36">
        <f ca="1" t="array" ref="D70">INDEX(Data_DBD!$D:$D,$A70)</f>
        <v>15</v>
      </c>
      <c r="E70" s="36">
        <f ca="1" t="array" ref="E70">INDEX(Data_DBD!$E:$E,$A70)</f>
        <v>0</v>
      </c>
      <c r="F70" s="36" t="str">
        <f ca="1" t="array" ref="F70">INDEX(Data_DBD!$F:$F,$A70)</f>
        <v>Sedang</v>
      </c>
      <c r="H70" s="36">
        <v>151</v>
      </c>
      <c r="I70" s="36">
        <v>24</v>
      </c>
      <c r="J70" s="36">
        <v>3</v>
      </c>
      <c r="K70" s="36">
        <v>21</v>
      </c>
      <c r="L70" s="36">
        <v>0</v>
      </c>
      <c r="M70" s="36" t="s">
        <v>105</v>
      </c>
    </row>
    <row r="71" spans="1:13">
      <c r="A71" s="36">
        <f ca="1" t="shared" si="1"/>
        <v>28</v>
      </c>
      <c r="B71" s="36">
        <f ca="1" t="array" ref="B71">INDEX(Data_DBD!$B:$B,$A71)</f>
        <v>22</v>
      </c>
      <c r="C71" s="36" t="str">
        <f ca="1" t="array" ref="C71">INDEX(Data_DBD!$C:$C,$A71)</f>
        <v>2 Hari</v>
      </c>
      <c r="D71" s="36">
        <f ca="1" t="array" ref="D71">INDEX(Data_DBD!$D:$D,$A71)</f>
        <v>14</v>
      </c>
      <c r="E71" s="36">
        <f ca="1" t="array" ref="E71">INDEX(Data_DBD!$E:$E,$A71)</f>
        <v>1</v>
      </c>
      <c r="F71" s="36" t="str">
        <f ca="1" t="array" ref="F71">INDEX(Data_DBD!$F:$F,$A71)</f>
        <v>Sedang</v>
      </c>
      <c r="H71" s="36">
        <v>29</v>
      </c>
      <c r="I71" s="36">
        <v>19</v>
      </c>
      <c r="J71" s="36">
        <v>2</v>
      </c>
      <c r="K71" s="36">
        <v>14</v>
      </c>
      <c r="L71" s="36">
        <v>1</v>
      </c>
      <c r="M71" s="36" t="s">
        <v>8</v>
      </c>
    </row>
    <row r="72" spans="1:13">
      <c r="A72" s="36">
        <f ca="1" t="shared" si="1"/>
        <v>24</v>
      </c>
      <c r="B72" s="36">
        <f ca="1" t="array" ref="B72">INDEX(Data_DBD!$B:$B,$A72)</f>
        <v>60</v>
      </c>
      <c r="C72" s="36" t="str">
        <f ca="1" t="array" ref="C72">INDEX(Data_DBD!$C:$C,$A72)</f>
        <v>4 Hari</v>
      </c>
      <c r="D72" s="36">
        <f ca="1" t="array" ref="D72">INDEX(Data_DBD!$D:$D,$A72)</f>
        <v>14</v>
      </c>
      <c r="E72" s="36">
        <f ca="1" t="array" ref="E72">INDEX(Data_DBD!$E:$E,$A72)</f>
        <v>0</v>
      </c>
      <c r="F72" s="36" t="str">
        <f ca="1" t="array" ref="F72">INDEX(Data_DBD!$F:$F,$A72)</f>
        <v>Sedang</v>
      </c>
      <c r="H72" s="36">
        <v>152</v>
      </c>
      <c r="I72" s="36">
        <v>47</v>
      </c>
      <c r="J72" s="36">
        <v>3</v>
      </c>
      <c r="K72" s="36">
        <v>21</v>
      </c>
      <c r="L72" s="36">
        <v>1</v>
      </c>
      <c r="M72" s="36" t="s">
        <v>105</v>
      </c>
    </row>
    <row r="73" spans="1:13">
      <c r="A73" s="36">
        <f ca="1" t="shared" si="1"/>
        <v>78</v>
      </c>
      <c r="B73" s="36">
        <f ca="1" t="array" ref="B73">INDEX(Data_DBD!$B:$B,$A73)</f>
        <v>6</v>
      </c>
      <c r="C73" s="36" t="str">
        <f ca="1" t="array" ref="C73">INDEX(Data_DBD!$C:$C,$A73)</f>
        <v>3 Hari</v>
      </c>
      <c r="D73" s="36">
        <f ca="1" t="array" ref="D73">INDEX(Data_DBD!$D:$D,$A73)</f>
        <v>13</v>
      </c>
      <c r="E73" s="36">
        <f ca="1" t="array" ref="E73">INDEX(Data_DBD!$E:$E,$A73)</f>
        <v>0</v>
      </c>
      <c r="F73" s="36" t="str">
        <f ca="1" t="array" ref="F73">INDEX(Data_DBD!$F:$F,$A73)</f>
        <v>Sedang</v>
      </c>
      <c r="H73" s="36">
        <v>129</v>
      </c>
      <c r="I73" s="36">
        <v>4</v>
      </c>
      <c r="J73" s="36">
        <v>3</v>
      </c>
      <c r="K73" s="36">
        <v>33</v>
      </c>
      <c r="L73" s="36">
        <v>0</v>
      </c>
      <c r="M73" s="36" t="s">
        <v>105</v>
      </c>
    </row>
    <row r="74" spans="1:13">
      <c r="A74" s="36">
        <f ca="1" t="shared" si="1"/>
        <v>137</v>
      </c>
      <c r="B74" s="36">
        <f ca="1" t="array" ref="B74">INDEX(Data_DBD!$B:$B,$A74)</f>
        <v>3.5</v>
      </c>
      <c r="C74" s="36" t="str">
        <f ca="1" t="array" ref="C74">INDEX(Data_DBD!$C:$C,$A74)</f>
        <v>1 Hari</v>
      </c>
      <c r="D74" s="36">
        <f ca="1" t="array" ref="D74">INDEX(Data_DBD!$D:$D,$A74)</f>
        <v>33</v>
      </c>
      <c r="E74" s="36">
        <f ca="1" t="array" ref="E74">INDEX(Data_DBD!$E:$E,$A74)</f>
        <v>1</v>
      </c>
      <c r="F74" s="36" t="str">
        <f ca="1" t="array" ref="F74">INDEX(Data_DBD!$F:$F,$A74)</f>
        <v>Tinggi</v>
      </c>
      <c r="H74" s="36">
        <v>100</v>
      </c>
      <c r="I74" s="36">
        <v>19</v>
      </c>
      <c r="J74" s="36">
        <v>6</v>
      </c>
      <c r="K74" s="36">
        <v>18</v>
      </c>
      <c r="L74" s="36">
        <v>0</v>
      </c>
      <c r="M74" s="36" t="s">
        <v>105</v>
      </c>
    </row>
    <row r="75" spans="1:13">
      <c r="A75" s="36">
        <f ca="1" t="shared" si="1"/>
        <v>25</v>
      </c>
      <c r="B75" s="36">
        <f ca="1" t="array" ref="B75">INDEX(Data_DBD!$B:$B,$A75)</f>
        <v>81</v>
      </c>
      <c r="C75" s="36" t="str">
        <f ca="1" t="array" ref="C75">INDEX(Data_DBD!$C:$C,$A75)</f>
        <v>5 Hari</v>
      </c>
      <c r="D75" s="36">
        <f ca="1" t="array" ref="D75">INDEX(Data_DBD!$D:$D,$A75)</f>
        <v>14</v>
      </c>
      <c r="E75" s="36">
        <f ca="1" t="array" ref="E75">INDEX(Data_DBD!$E:$E,$A75)</f>
        <v>0</v>
      </c>
      <c r="F75" s="36" t="str">
        <f ca="1" t="array" ref="F75">INDEX(Data_DBD!$F:$F,$A75)</f>
        <v>Sedang</v>
      </c>
      <c r="H75" s="36">
        <v>32</v>
      </c>
      <c r="I75" s="36">
        <v>54</v>
      </c>
      <c r="J75" s="36">
        <v>4</v>
      </c>
      <c r="K75" s="36">
        <v>14</v>
      </c>
      <c r="L75" s="36">
        <v>0</v>
      </c>
      <c r="M75" s="36" t="s">
        <v>8</v>
      </c>
    </row>
    <row r="76" spans="1:13">
      <c r="A76" s="36">
        <f ca="1" t="shared" si="1"/>
        <v>100</v>
      </c>
      <c r="B76" s="36">
        <f ca="1" t="array" ref="B76">INDEX(Data_DBD!$B:$B,$A76)</f>
        <v>19</v>
      </c>
      <c r="C76" s="36" t="str">
        <f ca="1" t="array" ref="C76">INDEX(Data_DBD!$C:$C,$A76)</f>
        <v>6 Hari</v>
      </c>
      <c r="D76" s="36">
        <f ca="1" t="array" ref="D76">INDEX(Data_DBD!$D:$D,$A76)</f>
        <v>18</v>
      </c>
      <c r="E76" s="36">
        <f ca="1" t="array" ref="E76">INDEX(Data_DBD!$E:$E,$A76)</f>
        <v>0</v>
      </c>
      <c r="F76" s="36" t="str">
        <f ca="1" t="array" ref="F76">INDEX(Data_DBD!$F:$F,$A76)</f>
        <v>Tinggi</v>
      </c>
      <c r="H76" s="36">
        <v>24</v>
      </c>
      <c r="I76" s="36">
        <v>60</v>
      </c>
      <c r="J76" s="36">
        <v>4</v>
      </c>
      <c r="K76" s="36">
        <v>14</v>
      </c>
      <c r="L76" s="36">
        <v>0</v>
      </c>
      <c r="M76" s="36" t="s">
        <v>8</v>
      </c>
    </row>
    <row r="77" spans="1:13">
      <c r="A77" s="36">
        <f ca="1" t="shared" si="1"/>
        <v>162</v>
      </c>
      <c r="B77" s="36">
        <f ca="1" t="array" ref="B77">INDEX(Data_DBD!$B:$B,$A77)</f>
        <v>22</v>
      </c>
      <c r="C77" s="36" t="str">
        <f ca="1" t="array" ref="C77">INDEX(Data_DBD!$C:$C,$A77)</f>
        <v>3 Hari</v>
      </c>
      <c r="D77" s="36">
        <f ca="1" t="array" ref="D77">INDEX(Data_DBD!$D:$D,$A77)</f>
        <v>3</v>
      </c>
      <c r="E77" s="36">
        <f ca="1" t="array" ref="E77">INDEX(Data_DBD!$E:$E,$A77)</f>
        <v>1</v>
      </c>
      <c r="F77" s="36" t="str">
        <f ca="1" t="array" ref="F77">INDEX(Data_DBD!$F:$F,$A77)</f>
        <v>Rendah</v>
      </c>
      <c r="H77" s="36">
        <v>89</v>
      </c>
      <c r="I77" s="36">
        <v>32</v>
      </c>
      <c r="J77" s="36">
        <v>4</v>
      </c>
      <c r="K77" s="36">
        <v>13</v>
      </c>
      <c r="L77" s="36">
        <v>0</v>
      </c>
      <c r="M77" s="36" t="s">
        <v>8</v>
      </c>
    </row>
    <row r="78" spans="1:13">
      <c r="A78" s="36">
        <f ca="1" t="shared" si="1"/>
        <v>137</v>
      </c>
      <c r="B78" s="36">
        <f ca="1" t="array" ref="B78">INDEX(Data_DBD!$B:$B,$A78)</f>
        <v>3.5</v>
      </c>
      <c r="C78" s="36" t="str">
        <f ca="1" t="array" ref="C78">INDEX(Data_DBD!$C:$C,$A78)</f>
        <v>1 Hari</v>
      </c>
      <c r="D78" s="36">
        <f ca="1" t="array" ref="D78">INDEX(Data_DBD!$D:$D,$A78)</f>
        <v>33</v>
      </c>
      <c r="E78" s="36">
        <f ca="1" t="array" ref="E78">INDEX(Data_DBD!$E:$E,$A78)</f>
        <v>1</v>
      </c>
      <c r="F78" s="36" t="str">
        <f ca="1" t="array" ref="F78">INDEX(Data_DBD!$F:$F,$A78)</f>
        <v>Tinggi</v>
      </c>
      <c r="H78" s="36">
        <v>132</v>
      </c>
      <c r="I78" s="36">
        <v>10</v>
      </c>
      <c r="J78" s="36">
        <v>3</v>
      </c>
      <c r="K78" s="36">
        <v>33</v>
      </c>
      <c r="L78" s="36">
        <v>1</v>
      </c>
      <c r="M78" s="36" t="s">
        <v>105</v>
      </c>
    </row>
    <row r="79" spans="1:13">
      <c r="A79" s="36">
        <f ca="1" t="shared" si="1"/>
        <v>17</v>
      </c>
      <c r="B79" s="36">
        <f ca="1" t="array" ref="B79">INDEX(Data_DBD!$B:$B,$A79)</f>
        <v>2</v>
      </c>
      <c r="C79" s="36" t="str">
        <f ca="1" t="array" ref="C79">INDEX(Data_DBD!$C:$C,$A79)</f>
        <v>3 Hari</v>
      </c>
      <c r="D79" s="36">
        <f ca="1" t="array" ref="D79">INDEX(Data_DBD!$D:$D,$A79)</f>
        <v>7</v>
      </c>
      <c r="E79" s="36">
        <f ca="1" t="array" ref="E79">INDEX(Data_DBD!$E:$E,$A79)</f>
        <v>0</v>
      </c>
      <c r="F79" s="36" t="str">
        <f ca="1" t="array" ref="F79">INDEX(Data_DBD!$F:$F,$A79)</f>
        <v>Rendah</v>
      </c>
      <c r="H79" s="36">
        <v>142</v>
      </c>
      <c r="I79" s="36">
        <v>39</v>
      </c>
      <c r="J79" s="36">
        <v>2</v>
      </c>
      <c r="K79" s="36">
        <v>21</v>
      </c>
      <c r="L79" s="36">
        <v>1</v>
      </c>
      <c r="M79" s="36" t="s">
        <v>105</v>
      </c>
    </row>
    <row r="80" spans="1:13">
      <c r="A80" s="36">
        <f ca="1" t="shared" si="1"/>
        <v>56</v>
      </c>
      <c r="B80" s="36">
        <f ca="1" t="array" ref="B80">INDEX(Data_DBD!$B:$B,$A80)</f>
        <v>4</v>
      </c>
      <c r="C80" s="36" t="str">
        <f ca="1" t="array" ref="C80">INDEX(Data_DBD!$C:$C,$A80)</f>
        <v>3 Hari</v>
      </c>
      <c r="D80" s="36">
        <f ca="1" t="array" ref="D80">INDEX(Data_DBD!$D:$D,$A80)</f>
        <v>15</v>
      </c>
      <c r="E80" s="36">
        <f ca="1" t="array" ref="E80">INDEX(Data_DBD!$E:$E,$A80)</f>
        <v>0</v>
      </c>
      <c r="F80" s="36" t="str">
        <f ca="1" t="array" ref="F80">INDEX(Data_DBD!$F:$F,$A80)</f>
        <v>Sedang</v>
      </c>
      <c r="H80" s="36">
        <v>151</v>
      </c>
      <c r="I80" s="36">
        <v>24</v>
      </c>
      <c r="J80" s="36">
        <v>3</v>
      </c>
      <c r="K80" s="36">
        <v>21</v>
      </c>
      <c r="L80" s="36">
        <v>0</v>
      </c>
      <c r="M80" s="36" t="s">
        <v>105</v>
      </c>
    </row>
    <row r="81" spans="1:13">
      <c r="A81" s="36">
        <f ca="1" t="shared" si="1"/>
        <v>6</v>
      </c>
      <c r="B81" s="36">
        <f ca="1" t="array" ref="B81">INDEX(Data_DBD!$B:$B,$A81)</f>
        <v>14</v>
      </c>
      <c r="C81" s="36" t="str">
        <f ca="1" t="array" ref="C81">INDEX(Data_DBD!$C:$C,$A81)</f>
        <v>4 Hari</v>
      </c>
      <c r="D81" s="36">
        <f ca="1" t="array" ref="D81">INDEX(Data_DBD!$D:$D,$A81)</f>
        <v>12</v>
      </c>
      <c r="E81" s="36">
        <f ca="1" t="array" ref="E81">INDEX(Data_DBD!$E:$E,$A81)</f>
        <v>0</v>
      </c>
      <c r="F81" s="36" t="str">
        <f ca="1" t="array" ref="F81">INDEX(Data_DBD!$F:$F,$A81)</f>
        <v>Sedang</v>
      </c>
      <c r="H81" s="36">
        <v>119</v>
      </c>
      <c r="I81" s="36">
        <v>30</v>
      </c>
      <c r="J81" s="36">
        <v>7</v>
      </c>
      <c r="K81" s="36">
        <v>33</v>
      </c>
      <c r="L81" s="36">
        <v>0</v>
      </c>
      <c r="M81" s="36" t="s">
        <v>105</v>
      </c>
    </row>
    <row r="82" spans="1:13">
      <c r="A82" s="36">
        <f ca="1" t="shared" si="1"/>
        <v>93</v>
      </c>
      <c r="B82" s="36">
        <f ca="1" t="array" ref="B82">INDEX(Data_DBD!$B:$B,$A82)</f>
        <v>65</v>
      </c>
      <c r="C82" s="36" t="str">
        <f ca="1" t="array" ref="C82">INDEX(Data_DBD!$C:$C,$A82)</f>
        <v>4 Hari</v>
      </c>
      <c r="D82" s="36">
        <f ca="1" t="array" ref="D82">INDEX(Data_DBD!$D:$D,$A82)</f>
        <v>18</v>
      </c>
      <c r="E82" s="36">
        <f ca="1" t="array" ref="E82">INDEX(Data_DBD!$E:$E,$A82)</f>
        <v>0</v>
      </c>
      <c r="F82" s="36" t="str">
        <f ca="1" t="array" ref="F82">INDEX(Data_DBD!$F:$F,$A82)</f>
        <v>Tinggi</v>
      </c>
      <c r="H82" s="36">
        <v>105</v>
      </c>
      <c r="I82" s="36">
        <v>61</v>
      </c>
      <c r="J82" s="36">
        <v>3</v>
      </c>
      <c r="K82" s="36">
        <v>18</v>
      </c>
      <c r="L82" s="36">
        <v>1</v>
      </c>
      <c r="M82" s="36" t="s">
        <v>105</v>
      </c>
    </row>
    <row r="83" spans="1:13">
      <c r="A83" s="36">
        <f ca="1" t="shared" si="1"/>
        <v>3</v>
      </c>
      <c r="B83" s="36">
        <f ca="1" t="array" ref="B83">INDEX(Data_DBD!$B:$B,$A83)</f>
        <v>43</v>
      </c>
      <c r="C83" s="36" t="str">
        <f ca="1" t="array" ref="C83">INDEX(Data_DBD!$C:$C,$A83)</f>
        <v>3 Hari</v>
      </c>
      <c r="D83" s="36">
        <f ca="1" t="array" ref="D83">INDEX(Data_DBD!$D:$D,$A83)</f>
        <v>12</v>
      </c>
      <c r="E83" s="36">
        <f ca="1" t="array" ref="E83">INDEX(Data_DBD!$E:$E,$A83)</f>
        <v>1</v>
      </c>
      <c r="F83" s="36" t="str">
        <f ca="1" t="array" ref="F83">INDEX(Data_DBD!$F:$F,$A83)</f>
        <v>Sedang</v>
      </c>
      <c r="H83" s="36">
        <v>153</v>
      </c>
      <c r="I83" s="36">
        <v>73</v>
      </c>
      <c r="J83" s="36">
        <v>7</v>
      </c>
      <c r="K83" s="36">
        <v>21</v>
      </c>
      <c r="L83" s="36">
        <v>1</v>
      </c>
      <c r="M83" s="36" t="s">
        <v>105</v>
      </c>
    </row>
    <row r="84" spans="1:13">
      <c r="A84" s="36">
        <f ca="1" t="shared" si="1"/>
        <v>144</v>
      </c>
      <c r="B84" s="36">
        <f ca="1" t="array" ref="B84">INDEX(Data_DBD!$B:$B,$A84)</f>
        <v>61</v>
      </c>
      <c r="C84" s="36" t="str">
        <f ca="1" t="array" ref="C84">INDEX(Data_DBD!$C:$C,$A84)</f>
        <v>4 Hari</v>
      </c>
      <c r="D84" s="36">
        <f ca="1" t="array" ref="D84">INDEX(Data_DBD!$D:$D,$A84)</f>
        <v>21</v>
      </c>
      <c r="E84" s="36">
        <f ca="1" t="array" ref="E84">INDEX(Data_DBD!$E:$E,$A84)</f>
        <v>1</v>
      </c>
      <c r="F84" s="36" t="str">
        <f ca="1" t="array" ref="F84">INDEX(Data_DBD!$F:$F,$A84)</f>
        <v>Tinggi</v>
      </c>
      <c r="H84" s="36">
        <v>106</v>
      </c>
      <c r="I84" s="36">
        <v>23</v>
      </c>
      <c r="J84" s="36">
        <v>3</v>
      </c>
      <c r="K84" s="36">
        <v>18</v>
      </c>
      <c r="L84" s="36">
        <v>1</v>
      </c>
      <c r="M84" s="36" t="s">
        <v>105</v>
      </c>
    </row>
    <row r="85" spans="1:13">
      <c r="A85" s="36">
        <f ca="1" t="shared" si="1"/>
        <v>130</v>
      </c>
      <c r="B85" s="36">
        <f ca="1" t="array" ref="B85">INDEX(Data_DBD!$B:$B,$A85)</f>
        <v>12</v>
      </c>
      <c r="C85" s="36" t="str">
        <f ca="1" t="array" ref="C85">INDEX(Data_DBD!$C:$C,$A85)</f>
        <v>4 Hari</v>
      </c>
      <c r="D85" s="36">
        <f ca="1" t="array" ref="D85">INDEX(Data_DBD!$D:$D,$A85)</f>
        <v>33</v>
      </c>
      <c r="E85" s="36">
        <f ca="1" t="array" ref="E85">INDEX(Data_DBD!$E:$E,$A85)</f>
        <v>0</v>
      </c>
      <c r="F85" s="36" t="str">
        <f ca="1" t="array" ref="F85">INDEX(Data_DBD!$F:$F,$A85)</f>
        <v>Tinggi</v>
      </c>
      <c r="H85" s="36">
        <v>108</v>
      </c>
      <c r="I85" s="36">
        <v>69</v>
      </c>
      <c r="J85" s="36">
        <v>7</v>
      </c>
      <c r="K85" s="36">
        <v>33</v>
      </c>
      <c r="L85" s="36">
        <v>1</v>
      </c>
      <c r="M85" s="36" t="s">
        <v>105</v>
      </c>
    </row>
    <row r="86" spans="1:13">
      <c r="A86" s="36">
        <f ca="1" t="shared" si="1"/>
        <v>117</v>
      </c>
      <c r="B86" s="36">
        <f ca="1" t="array" ref="B86">INDEX(Data_DBD!$B:$B,$A86)</f>
        <v>49</v>
      </c>
      <c r="C86" s="36" t="str">
        <f ca="1" t="array" ref="C86">INDEX(Data_DBD!$C:$C,$A86)</f>
        <v>4 Hari</v>
      </c>
      <c r="D86" s="36">
        <f ca="1" t="array" ref="D86">INDEX(Data_DBD!$D:$D,$A86)</f>
        <v>33</v>
      </c>
      <c r="E86" s="36">
        <f ca="1" t="array" ref="E86">INDEX(Data_DBD!$E:$E,$A86)</f>
        <v>1</v>
      </c>
      <c r="F86" s="36" t="str">
        <f ca="1" t="array" ref="F86">INDEX(Data_DBD!$F:$F,$A86)</f>
        <v>Tinggi</v>
      </c>
      <c r="H86" s="36">
        <v>39</v>
      </c>
      <c r="I86" s="36">
        <v>12</v>
      </c>
      <c r="J86" s="36">
        <v>5</v>
      </c>
      <c r="K86" s="36">
        <v>13</v>
      </c>
      <c r="L86" s="36">
        <v>1</v>
      </c>
      <c r="M86" s="36" t="s">
        <v>8</v>
      </c>
    </row>
    <row r="87" spans="1:13">
      <c r="A87" s="36">
        <f ca="1" t="shared" si="1"/>
        <v>22</v>
      </c>
      <c r="B87" s="36">
        <f ca="1" t="array" ref="B87">INDEX(Data_DBD!$B:$B,$A87)</f>
        <v>6</v>
      </c>
      <c r="C87" s="36" t="str">
        <f ca="1" t="array" ref="C87">INDEX(Data_DBD!$C:$C,$A87)</f>
        <v>3 Hari</v>
      </c>
      <c r="D87" s="36">
        <f ca="1" t="array" ref="D87">INDEX(Data_DBD!$D:$D,$A87)</f>
        <v>14</v>
      </c>
      <c r="E87" s="36">
        <f ca="1" t="array" ref="E87">INDEX(Data_DBD!$E:$E,$A87)</f>
        <v>0</v>
      </c>
      <c r="F87" s="36" t="str">
        <f ca="1" t="array" ref="F87">INDEX(Data_DBD!$F:$F,$A87)</f>
        <v>Sedang</v>
      </c>
      <c r="H87" s="36">
        <v>164</v>
      </c>
      <c r="I87" s="36">
        <v>10</v>
      </c>
      <c r="J87" s="36">
        <v>6</v>
      </c>
      <c r="K87" s="36">
        <v>3</v>
      </c>
      <c r="L87" s="36">
        <v>0</v>
      </c>
      <c r="M87" s="36" t="s">
        <v>26</v>
      </c>
    </row>
    <row r="88" spans="1:13">
      <c r="A88" s="36">
        <f ca="1" t="shared" si="1"/>
        <v>51</v>
      </c>
      <c r="B88" s="36">
        <f ca="1" t="array" ref="B88">INDEX(Data_DBD!$B:$B,$A88)</f>
        <v>48</v>
      </c>
      <c r="C88" s="36" t="str">
        <f ca="1" t="array" ref="C88">INDEX(Data_DBD!$C:$C,$A88)</f>
        <v>4 Hari</v>
      </c>
      <c r="D88" s="36">
        <f ca="1" t="array" ref="D88">INDEX(Data_DBD!$D:$D,$A88)</f>
        <v>13</v>
      </c>
      <c r="E88" s="36">
        <f ca="1" t="array" ref="E88">INDEX(Data_DBD!$E:$E,$A88)</f>
        <v>0</v>
      </c>
      <c r="F88" s="36" t="str">
        <f ca="1" t="array" ref="F88">INDEX(Data_DBD!$F:$F,$A88)</f>
        <v>Sedang</v>
      </c>
      <c r="H88" s="36">
        <v>77</v>
      </c>
      <c r="I88" s="36">
        <v>16</v>
      </c>
      <c r="J88" s="36">
        <v>4</v>
      </c>
      <c r="K88" s="36">
        <v>13</v>
      </c>
      <c r="L88" s="36">
        <v>1</v>
      </c>
      <c r="M88" s="36" t="s">
        <v>8</v>
      </c>
    </row>
    <row r="89" spans="1:13">
      <c r="A89" s="36">
        <f ca="1" t="shared" si="1"/>
        <v>102</v>
      </c>
      <c r="B89" s="36">
        <f ca="1" t="array" ref="B89">INDEX(Data_DBD!$B:$B,$A89)</f>
        <v>41</v>
      </c>
      <c r="C89" s="36" t="str">
        <f ca="1" t="array" ref="C89">INDEX(Data_DBD!$C:$C,$A89)</f>
        <v>4 Hari</v>
      </c>
      <c r="D89" s="36">
        <f ca="1" t="array" ref="D89">INDEX(Data_DBD!$D:$D,$A89)</f>
        <v>18</v>
      </c>
      <c r="E89" s="36">
        <f ca="1" t="array" ref="E89">INDEX(Data_DBD!$E:$E,$A89)</f>
        <v>0</v>
      </c>
      <c r="F89" s="36" t="str">
        <f ca="1" t="array" ref="F89">INDEX(Data_DBD!$F:$F,$A89)</f>
        <v>Tinggi</v>
      </c>
      <c r="H89" s="36">
        <v>138</v>
      </c>
      <c r="I89" s="36">
        <v>13</v>
      </c>
      <c r="J89" s="36">
        <v>3</v>
      </c>
      <c r="K89" s="36">
        <v>33</v>
      </c>
      <c r="L89" s="36">
        <v>1</v>
      </c>
      <c r="M89" s="36" t="s">
        <v>105</v>
      </c>
    </row>
    <row r="90" spans="1:13">
      <c r="A90" s="36">
        <f ca="1" t="shared" si="1"/>
        <v>56</v>
      </c>
      <c r="B90" s="36">
        <f ca="1" t="array" ref="B90">INDEX(Data_DBD!$B:$B,$A90)</f>
        <v>4</v>
      </c>
      <c r="C90" s="36" t="str">
        <f ca="1" t="array" ref="C90">INDEX(Data_DBD!$C:$C,$A90)</f>
        <v>3 Hari</v>
      </c>
      <c r="D90" s="36">
        <f ca="1" t="array" ref="D90">INDEX(Data_DBD!$D:$D,$A90)</f>
        <v>15</v>
      </c>
      <c r="E90" s="36">
        <f ca="1" t="array" ref="E90">INDEX(Data_DBD!$E:$E,$A90)</f>
        <v>0</v>
      </c>
      <c r="F90" s="36" t="str">
        <f ca="1" t="array" ref="F90">INDEX(Data_DBD!$F:$F,$A90)</f>
        <v>Sedang</v>
      </c>
      <c r="H90" s="36">
        <v>41</v>
      </c>
      <c r="I90" s="36">
        <v>8</v>
      </c>
      <c r="J90" s="36">
        <v>4</v>
      </c>
      <c r="K90" s="36">
        <v>13</v>
      </c>
      <c r="L90" s="36">
        <v>0</v>
      </c>
      <c r="M90" s="36" t="s">
        <v>8</v>
      </c>
    </row>
    <row r="91" spans="1:13">
      <c r="A91" s="36">
        <f ca="1" t="shared" si="1"/>
        <v>139</v>
      </c>
      <c r="B91" s="36">
        <f ca="1" t="array" ref="B91">INDEX(Data_DBD!$B:$B,$A91)</f>
        <v>52</v>
      </c>
      <c r="C91" s="36" t="str">
        <f ca="1" t="array" ref="C91">INDEX(Data_DBD!$C:$C,$A91)</f>
        <v>7 Hari</v>
      </c>
      <c r="D91" s="36">
        <f ca="1" t="array" ref="D91">INDEX(Data_DBD!$D:$D,$A91)</f>
        <v>21</v>
      </c>
      <c r="E91" s="36">
        <f ca="1" t="array" ref="E91">INDEX(Data_DBD!$E:$E,$A91)</f>
        <v>0</v>
      </c>
      <c r="F91" s="36" t="str">
        <f ca="1" t="array" ref="F91">INDEX(Data_DBD!$F:$F,$A91)</f>
        <v>Tinggi</v>
      </c>
      <c r="H91" s="36">
        <v>17</v>
      </c>
      <c r="I91" s="36">
        <v>2</v>
      </c>
      <c r="J91" s="36">
        <v>3</v>
      </c>
      <c r="K91" s="36">
        <v>7</v>
      </c>
      <c r="L91" s="36">
        <v>0</v>
      </c>
      <c r="M91" s="36" t="s">
        <v>26</v>
      </c>
    </row>
    <row r="92" spans="1:13">
      <c r="A92" s="36">
        <f ca="1" t="shared" si="1"/>
        <v>116</v>
      </c>
      <c r="B92" s="36">
        <f ca="1" t="array" ref="B92">INDEX(Data_DBD!$B:$B,$A92)</f>
        <v>32</v>
      </c>
      <c r="C92" s="36" t="str">
        <f ca="1" t="array" ref="C92">INDEX(Data_DBD!$C:$C,$A92)</f>
        <v>4 Hari</v>
      </c>
      <c r="D92" s="36">
        <f ca="1" t="array" ref="D92">INDEX(Data_DBD!$D:$D,$A92)</f>
        <v>33</v>
      </c>
      <c r="E92" s="36">
        <f ca="1" t="array" ref="E92">INDEX(Data_DBD!$E:$E,$A92)</f>
        <v>1</v>
      </c>
      <c r="F92" s="36" t="str">
        <f ca="1" t="array" ref="F92">INDEX(Data_DBD!$F:$F,$A92)</f>
        <v>Tinggi</v>
      </c>
      <c r="H92" s="36">
        <v>95</v>
      </c>
      <c r="I92" s="36">
        <v>11</v>
      </c>
      <c r="J92" s="36">
        <v>3</v>
      </c>
      <c r="K92" s="36">
        <v>18</v>
      </c>
      <c r="L92" s="36">
        <v>1</v>
      </c>
      <c r="M92" s="36" t="s">
        <v>105</v>
      </c>
    </row>
    <row r="93" spans="1:13">
      <c r="A93" s="36">
        <f ca="1" t="shared" si="1"/>
        <v>144</v>
      </c>
      <c r="B93" s="36">
        <f ca="1" t="array" ref="B93">INDEX(Data_DBD!$B:$B,$A93)</f>
        <v>61</v>
      </c>
      <c r="C93" s="36" t="str">
        <f ca="1" t="array" ref="C93">INDEX(Data_DBD!$C:$C,$A93)</f>
        <v>4 Hari</v>
      </c>
      <c r="D93" s="36">
        <f ca="1" t="array" ref="D93">INDEX(Data_DBD!$D:$D,$A93)</f>
        <v>21</v>
      </c>
      <c r="E93" s="36">
        <f ca="1" t="array" ref="E93">INDEX(Data_DBD!$E:$E,$A93)</f>
        <v>1</v>
      </c>
      <c r="F93" s="36" t="str">
        <f ca="1" t="array" ref="F93">INDEX(Data_DBD!$F:$F,$A93)</f>
        <v>Tinggi</v>
      </c>
      <c r="H93" s="36">
        <v>162</v>
      </c>
      <c r="I93" s="36">
        <v>22</v>
      </c>
      <c r="J93" s="36">
        <v>3</v>
      </c>
      <c r="K93" s="36">
        <v>3</v>
      </c>
      <c r="L93" s="36">
        <v>1</v>
      </c>
      <c r="M93" s="36" t="s">
        <v>26</v>
      </c>
    </row>
    <row r="94" spans="1:13">
      <c r="A94" s="36">
        <f ca="1" t="shared" si="1"/>
        <v>139</v>
      </c>
      <c r="B94" s="36">
        <f ca="1" t="array" ref="B94">INDEX(Data_DBD!$B:$B,$A94)</f>
        <v>52</v>
      </c>
      <c r="C94" s="36" t="str">
        <f ca="1" t="array" ref="C94">INDEX(Data_DBD!$C:$C,$A94)</f>
        <v>7 Hari</v>
      </c>
      <c r="D94" s="36">
        <f ca="1" t="array" ref="D94">INDEX(Data_DBD!$D:$D,$A94)</f>
        <v>21</v>
      </c>
      <c r="E94" s="36">
        <f ca="1" t="array" ref="E94">INDEX(Data_DBD!$E:$E,$A94)</f>
        <v>0</v>
      </c>
      <c r="F94" s="36" t="str">
        <f ca="1" t="array" ref="F94">INDEX(Data_DBD!$F:$F,$A94)</f>
        <v>Tinggi</v>
      </c>
      <c r="H94" s="36">
        <v>68</v>
      </c>
      <c r="I94" s="36">
        <v>44</v>
      </c>
      <c r="J94" s="36">
        <v>5</v>
      </c>
      <c r="K94" s="36">
        <v>10</v>
      </c>
      <c r="L94" s="36">
        <v>0</v>
      </c>
      <c r="M94" s="36" t="s">
        <v>8</v>
      </c>
    </row>
    <row r="95" spans="1:13">
      <c r="A95" s="36">
        <f ca="1" t="shared" si="1"/>
        <v>122</v>
      </c>
      <c r="B95" s="36">
        <f ca="1" t="array" ref="B95">INDEX(Data_DBD!$B:$B,$A95)</f>
        <v>28</v>
      </c>
      <c r="C95" s="36" t="str">
        <f ca="1" t="array" ref="C95">INDEX(Data_DBD!$C:$C,$A95)</f>
        <v>3 Hari</v>
      </c>
      <c r="D95" s="36">
        <f ca="1" t="array" ref="D95">INDEX(Data_DBD!$D:$D,$A95)</f>
        <v>33</v>
      </c>
      <c r="E95" s="36">
        <f ca="1" t="array" ref="E95">INDEX(Data_DBD!$E:$E,$A95)</f>
        <v>1</v>
      </c>
      <c r="F95" s="36" t="str">
        <f ca="1" t="array" ref="F95">INDEX(Data_DBD!$F:$F,$A95)</f>
        <v>Tinggi</v>
      </c>
      <c r="H95" s="36">
        <v>23</v>
      </c>
      <c r="I95" s="36">
        <v>28</v>
      </c>
      <c r="J95" s="36">
        <v>4</v>
      </c>
      <c r="K95" s="36">
        <v>14</v>
      </c>
      <c r="L95" s="36">
        <v>1</v>
      </c>
      <c r="M95" s="36" t="s">
        <v>8</v>
      </c>
    </row>
    <row r="96" spans="1:13">
      <c r="A96" s="36">
        <f ca="1" t="shared" si="1"/>
        <v>30</v>
      </c>
      <c r="B96" s="36" t="str">
        <f ca="1" t="array" ref="B96">INDEX(Data_DBD!$B:$B,$A96)</f>
        <v>2,8</v>
      </c>
      <c r="C96" s="36" t="str">
        <f ca="1" t="array" ref="C96">INDEX(Data_DBD!$C:$C,$A96)</f>
        <v>2 Hari</v>
      </c>
      <c r="D96" s="36">
        <f ca="1" t="array" ref="D96">INDEX(Data_DBD!$D:$D,$A96)</f>
        <v>14</v>
      </c>
      <c r="E96" s="36">
        <f ca="1" t="array" ref="E96">INDEX(Data_DBD!$E:$E,$A96)</f>
        <v>1</v>
      </c>
      <c r="F96" s="36" t="str">
        <f ca="1" t="array" ref="F96">INDEX(Data_DBD!$F:$F,$A96)</f>
        <v>Sedang</v>
      </c>
      <c r="H96" s="36">
        <v>79</v>
      </c>
      <c r="I96" s="36">
        <v>29</v>
      </c>
      <c r="J96" s="36">
        <v>3</v>
      </c>
      <c r="K96" s="36">
        <v>13</v>
      </c>
      <c r="L96" s="36">
        <v>0</v>
      </c>
      <c r="M96" s="36" t="s">
        <v>8</v>
      </c>
    </row>
    <row r="97" spans="1:13">
      <c r="A97" s="36">
        <f ca="1" t="shared" si="1"/>
        <v>4</v>
      </c>
      <c r="B97" s="36">
        <f ca="1" t="array" ref="B97">INDEX(Data_DBD!$B:$B,$A97)</f>
        <v>23</v>
      </c>
      <c r="C97" s="36" t="str">
        <f ca="1" t="array" ref="C97">INDEX(Data_DBD!$C:$C,$A97)</f>
        <v>5 Hari</v>
      </c>
      <c r="D97" s="36">
        <f ca="1" t="array" ref="D97">INDEX(Data_DBD!$D:$D,$A97)</f>
        <v>12</v>
      </c>
      <c r="E97" s="36">
        <f ca="1" t="array" ref="E97">INDEX(Data_DBD!$E:$E,$A97)</f>
        <v>0</v>
      </c>
      <c r="F97" s="36" t="str">
        <f ca="1" t="array" ref="F97">INDEX(Data_DBD!$F:$F,$A97)</f>
        <v>Sedang</v>
      </c>
      <c r="H97" s="36">
        <v>55</v>
      </c>
      <c r="I97" s="36">
        <v>7</v>
      </c>
      <c r="J97" s="36">
        <v>4</v>
      </c>
      <c r="K97" s="36">
        <v>15</v>
      </c>
      <c r="L97" s="36">
        <v>1</v>
      </c>
      <c r="M97" s="36" t="s">
        <v>8</v>
      </c>
    </row>
    <row r="98" spans="1:13">
      <c r="A98" s="36">
        <f ca="1" t="shared" si="1"/>
        <v>152</v>
      </c>
      <c r="B98" s="36">
        <f ca="1" t="array" ref="B98">INDEX(Data_DBD!$B:$B,$A98)</f>
        <v>47</v>
      </c>
      <c r="C98" s="36" t="str">
        <f ca="1" t="array" ref="C98">INDEX(Data_DBD!$C:$C,$A98)</f>
        <v>3 Hari</v>
      </c>
      <c r="D98" s="36">
        <f ca="1" t="array" ref="D98">INDEX(Data_DBD!$D:$D,$A98)</f>
        <v>21</v>
      </c>
      <c r="E98" s="36">
        <f ca="1" t="array" ref="E98">INDEX(Data_DBD!$E:$E,$A98)</f>
        <v>1</v>
      </c>
      <c r="F98" s="36" t="str">
        <f ca="1" t="array" ref="F98">INDEX(Data_DBD!$F:$F,$A98)</f>
        <v>Tinggi</v>
      </c>
      <c r="H98" s="36">
        <v>96</v>
      </c>
      <c r="I98" s="36">
        <v>56</v>
      </c>
      <c r="J98" s="36">
        <v>4</v>
      </c>
      <c r="K98" s="36">
        <v>18</v>
      </c>
      <c r="L98" s="36">
        <v>0</v>
      </c>
      <c r="M98" s="36" t="s">
        <v>105</v>
      </c>
    </row>
    <row r="99" spans="1:13">
      <c r="A99" s="36">
        <f ca="1" t="shared" si="1"/>
        <v>33</v>
      </c>
      <c r="B99" s="36">
        <f ca="1" t="array" ref="B99">INDEX(Data_DBD!$B:$B,$A99)</f>
        <v>19</v>
      </c>
      <c r="C99" s="36" t="str">
        <f ca="1" t="array" ref="C99">INDEX(Data_DBD!$C:$C,$A99)</f>
        <v>4 Hari</v>
      </c>
      <c r="D99" s="36">
        <f ca="1" t="array" ref="D99">INDEX(Data_DBD!$D:$D,$A99)</f>
        <v>14</v>
      </c>
      <c r="E99" s="36">
        <f ca="1" t="array" ref="E99">INDEX(Data_DBD!$E:$E,$A99)</f>
        <v>1</v>
      </c>
      <c r="F99" s="36" t="str">
        <f ca="1" t="array" ref="F99">INDEX(Data_DBD!$F:$F,$A99)</f>
        <v>Sedang</v>
      </c>
      <c r="H99" s="36">
        <v>139</v>
      </c>
      <c r="I99" s="36">
        <v>52</v>
      </c>
      <c r="J99" s="36">
        <v>7</v>
      </c>
      <c r="K99" s="36">
        <v>21</v>
      </c>
      <c r="L99" s="36">
        <v>0</v>
      </c>
      <c r="M99" s="36" t="s">
        <v>105</v>
      </c>
    </row>
    <row r="100" spans="1:13">
      <c r="A100" s="36">
        <f ca="1" t="shared" si="1"/>
        <v>89</v>
      </c>
      <c r="B100" s="36">
        <f ca="1" t="array" ref="B100">INDEX(Data_DBD!$B:$B,$A100)</f>
        <v>32</v>
      </c>
      <c r="C100" s="36" t="str">
        <f ca="1" t="array" ref="C100">INDEX(Data_DBD!$C:$C,$A100)</f>
        <v>4 Hari</v>
      </c>
      <c r="D100" s="36">
        <f ca="1" t="array" ref="D100">INDEX(Data_DBD!$D:$D,$A100)</f>
        <v>13</v>
      </c>
      <c r="E100" s="36">
        <f ca="1" t="array" ref="E100">INDEX(Data_DBD!$E:$E,$A100)</f>
        <v>0</v>
      </c>
      <c r="F100" s="36" t="str">
        <f ca="1" t="array" ref="F100">INDEX(Data_DBD!$F:$F,$A100)</f>
        <v>Sedang</v>
      </c>
      <c r="H100" s="36">
        <v>14</v>
      </c>
      <c r="I100" s="36">
        <v>49</v>
      </c>
      <c r="J100" s="36">
        <v>4</v>
      </c>
      <c r="K100" s="36">
        <v>7</v>
      </c>
      <c r="L100" s="36">
        <v>1</v>
      </c>
      <c r="M100" s="36" t="s">
        <v>26</v>
      </c>
    </row>
    <row r="101" spans="1:13">
      <c r="A101" s="36">
        <f ca="1" t="shared" si="1"/>
        <v>117</v>
      </c>
      <c r="B101" s="36">
        <f ca="1" t="array" ref="B101">INDEX(Data_DBD!$B:$B,$A101)</f>
        <v>49</v>
      </c>
      <c r="C101" s="36" t="str">
        <f ca="1" t="array" ref="C101">INDEX(Data_DBD!$C:$C,$A101)</f>
        <v>4 Hari</v>
      </c>
      <c r="D101" s="36">
        <f ca="1" t="array" ref="D101">INDEX(Data_DBD!$D:$D,$A101)</f>
        <v>33</v>
      </c>
      <c r="E101" s="36">
        <f ca="1" t="array" ref="E101">INDEX(Data_DBD!$E:$E,$A101)</f>
        <v>1</v>
      </c>
      <c r="F101" s="36" t="str">
        <f ca="1" t="array" ref="F101">INDEX(Data_DBD!$F:$F,$A101)</f>
        <v>Tinggi</v>
      </c>
      <c r="H101" s="36">
        <v>30</v>
      </c>
      <c r="I101" s="36">
        <v>3</v>
      </c>
      <c r="J101" s="36">
        <v>2</v>
      </c>
      <c r="K101" s="36">
        <v>14</v>
      </c>
      <c r="L101" s="36">
        <v>1</v>
      </c>
      <c r="M101" s="36" t="s">
        <v>8</v>
      </c>
    </row>
    <row r="102" spans="1:13">
      <c r="A102" s="36">
        <f ca="1" t="shared" si="1"/>
        <v>102</v>
      </c>
      <c r="B102" s="36">
        <f ca="1" t="array" ref="B102">INDEX(Data_DBD!$B:$B,$A102)</f>
        <v>41</v>
      </c>
      <c r="C102" s="36" t="str">
        <f ca="1" t="array" ref="C102">INDEX(Data_DBD!$C:$C,$A102)</f>
        <v>4 Hari</v>
      </c>
      <c r="D102" s="36">
        <f ca="1" t="array" ref="D102">INDEX(Data_DBD!$D:$D,$A102)</f>
        <v>18</v>
      </c>
      <c r="E102" s="36">
        <f ca="1" t="array" ref="E102">INDEX(Data_DBD!$E:$E,$A102)</f>
        <v>0</v>
      </c>
      <c r="F102" s="36" t="str">
        <f ca="1" t="array" ref="F102">INDEX(Data_DBD!$F:$F,$A102)</f>
        <v>Tinggi</v>
      </c>
      <c r="H102" s="36">
        <v>148</v>
      </c>
      <c r="I102" s="36">
        <v>55</v>
      </c>
      <c r="J102" s="36">
        <v>3</v>
      </c>
      <c r="K102" s="36">
        <v>21</v>
      </c>
      <c r="L102" s="36">
        <v>1</v>
      </c>
      <c r="M102" s="36" t="s">
        <v>105</v>
      </c>
    </row>
    <row r="103" spans="1:13">
      <c r="A103" s="36">
        <f ca="1" t="shared" si="1"/>
        <v>147</v>
      </c>
      <c r="B103" s="36">
        <f ca="1" t="array" ref="B103">INDEX(Data_DBD!$B:$B,$A103)</f>
        <v>66</v>
      </c>
      <c r="C103" s="36" t="str">
        <f ca="1" t="array" ref="C103">INDEX(Data_DBD!$C:$C,$A103)</f>
        <v>10 Hari</v>
      </c>
      <c r="D103" s="36">
        <f ca="1" t="array" ref="D103">INDEX(Data_DBD!$D:$D,$A103)</f>
        <v>21</v>
      </c>
      <c r="E103" s="36">
        <f ca="1" t="array" ref="E103">INDEX(Data_DBD!$E:$E,$A103)</f>
        <v>1</v>
      </c>
      <c r="F103" s="36" t="str">
        <f ca="1" t="array" ref="F103">INDEX(Data_DBD!$F:$F,$A103)</f>
        <v>Tinggi</v>
      </c>
      <c r="H103" s="36">
        <v>60</v>
      </c>
      <c r="I103" s="36">
        <v>68</v>
      </c>
      <c r="J103" s="36">
        <v>4</v>
      </c>
      <c r="K103" s="36">
        <v>15</v>
      </c>
      <c r="L103" s="36">
        <v>0</v>
      </c>
      <c r="M103" s="36" t="s">
        <v>8</v>
      </c>
    </row>
    <row r="104" spans="1:13">
      <c r="A104" s="36">
        <f ca="1" t="shared" si="1"/>
        <v>78</v>
      </c>
      <c r="B104" s="36">
        <f ca="1" t="array" ref="B104">INDEX(Data_DBD!$B:$B,$A104)</f>
        <v>6</v>
      </c>
      <c r="C104" s="36" t="str">
        <f ca="1" t="array" ref="C104">INDEX(Data_DBD!$C:$C,$A104)</f>
        <v>3 Hari</v>
      </c>
      <c r="D104" s="36">
        <f ca="1" t="array" ref="D104">INDEX(Data_DBD!$D:$D,$A104)</f>
        <v>13</v>
      </c>
      <c r="E104" s="36">
        <f ca="1" t="array" ref="E104">INDEX(Data_DBD!$E:$E,$A104)</f>
        <v>0</v>
      </c>
      <c r="F104" s="36" t="str">
        <f ca="1" t="array" ref="F104">INDEX(Data_DBD!$F:$F,$A104)</f>
        <v>Sedang</v>
      </c>
      <c r="H104" s="36">
        <v>137</v>
      </c>
      <c r="I104" s="36">
        <v>3</v>
      </c>
      <c r="J104" s="36">
        <v>1</v>
      </c>
      <c r="K104" s="36">
        <v>33</v>
      </c>
      <c r="L104" s="36">
        <v>1</v>
      </c>
      <c r="M104" s="36" t="s">
        <v>105</v>
      </c>
    </row>
    <row r="105" spans="1:13">
      <c r="A105" s="36">
        <f ca="1" t="shared" si="1"/>
        <v>31</v>
      </c>
      <c r="B105" s="36">
        <f ca="1" t="array" ref="B105">INDEX(Data_DBD!$B:$B,$A105)</f>
        <v>64</v>
      </c>
      <c r="C105" s="36" t="str">
        <f ca="1" t="array" ref="C105">INDEX(Data_DBD!$C:$C,$A105)</f>
        <v>4 Hari</v>
      </c>
      <c r="D105" s="36">
        <f ca="1" t="array" ref="D105">INDEX(Data_DBD!$D:$D,$A105)</f>
        <v>14</v>
      </c>
      <c r="E105" s="36">
        <f ca="1" t="array" ref="E105">INDEX(Data_DBD!$E:$E,$A105)</f>
        <v>1</v>
      </c>
      <c r="F105" s="36" t="str">
        <f ca="1" t="array" ref="F105">INDEX(Data_DBD!$F:$F,$A105)</f>
        <v>Sedang</v>
      </c>
      <c r="H105" s="36">
        <v>88</v>
      </c>
      <c r="I105" s="36">
        <v>20</v>
      </c>
      <c r="J105" s="36">
        <v>4</v>
      </c>
      <c r="K105" s="36">
        <v>13</v>
      </c>
      <c r="L105" s="36">
        <v>1</v>
      </c>
      <c r="M105" s="36" t="s">
        <v>8</v>
      </c>
    </row>
    <row r="106" spans="1:13">
      <c r="A106" s="36">
        <f ca="1" t="shared" si="1"/>
        <v>25</v>
      </c>
      <c r="B106" s="36">
        <f ca="1" t="array" ref="B106">INDEX(Data_DBD!$B:$B,$A106)</f>
        <v>81</v>
      </c>
      <c r="C106" s="36" t="str">
        <f ca="1" t="array" ref="C106">INDEX(Data_DBD!$C:$C,$A106)</f>
        <v>5 Hari</v>
      </c>
      <c r="D106" s="36">
        <f ca="1" t="array" ref="D106">INDEX(Data_DBD!$D:$D,$A106)</f>
        <v>14</v>
      </c>
      <c r="E106" s="36">
        <f ca="1" t="array" ref="E106">INDEX(Data_DBD!$E:$E,$A106)</f>
        <v>0</v>
      </c>
      <c r="F106" s="36" t="str">
        <f ca="1" t="array" ref="F106">INDEX(Data_DBD!$F:$F,$A106)</f>
        <v>Sedang</v>
      </c>
      <c r="H106" s="36">
        <v>7</v>
      </c>
      <c r="I106" s="36">
        <v>12</v>
      </c>
      <c r="J106" s="36">
        <v>1</v>
      </c>
      <c r="K106" s="36">
        <v>12</v>
      </c>
      <c r="L106" s="36">
        <v>1</v>
      </c>
      <c r="M106" s="36" t="s">
        <v>8</v>
      </c>
    </row>
    <row r="107" spans="1:13">
      <c r="A107" s="36">
        <f ca="1" t="shared" si="1"/>
        <v>50</v>
      </c>
      <c r="B107" s="36">
        <f ca="1" t="array" ref="B107">INDEX(Data_DBD!$B:$B,$A107)</f>
        <v>19</v>
      </c>
      <c r="C107" s="36" t="str">
        <f ca="1" t="array" ref="C107">INDEX(Data_DBD!$C:$C,$A107)</f>
        <v>5 Hari</v>
      </c>
      <c r="D107" s="36">
        <f ca="1" t="array" ref="D107">INDEX(Data_DBD!$D:$D,$A107)</f>
        <v>13</v>
      </c>
      <c r="E107" s="36">
        <f ca="1" t="array" ref="E107">INDEX(Data_DBD!$E:$E,$A107)</f>
        <v>0</v>
      </c>
      <c r="F107" s="36" t="str">
        <f ca="1" t="array" ref="F107">INDEX(Data_DBD!$F:$F,$A107)</f>
        <v>Sedang</v>
      </c>
      <c r="H107" s="36">
        <v>157</v>
      </c>
      <c r="I107" s="36">
        <v>15</v>
      </c>
      <c r="J107" s="36">
        <v>4</v>
      </c>
      <c r="K107" s="36">
        <v>21</v>
      </c>
      <c r="L107" s="36">
        <v>1</v>
      </c>
      <c r="M107" s="36" t="s">
        <v>105</v>
      </c>
    </row>
    <row r="108" spans="1:13">
      <c r="A108" s="36">
        <f ca="1" t="shared" si="1"/>
        <v>124</v>
      </c>
      <c r="B108" s="36">
        <f ca="1" t="array" ref="B108">INDEX(Data_DBD!$B:$B,$A108)</f>
        <v>24</v>
      </c>
      <c r="C108" s="36" t="str">
        <f ca="1" t="array" ref="C108">INDEX(Data_DBD!$C:$C,$A108)</f>
        <v>3 Hari</v>
      </c>
      <c r="D108" s="36">
        <f ca="1" t="array" ref="D108">INDEX(Data_DBD!$D:$D,$A108)</f>
        <v>33</v>
      </c>
      <c r="E108" s="36">
        <f ca="1" t="array" ref="E108">INDEX(Data_DBD!$E:$E,$A108)</f>
        <v>1</v>
      </c>
      <c r="F108" s="36" t="str">
        <f ca="1" t="array" ref="F108">INDEX(Data_DBD!$F:$F,$A108)</f>
        <v>Tinggi</v>
      </c>
      <c r="H108" s="36">
        <v>19</v>
      </c>
      <c r="I108" s="36">
        <v>8</v>
      </c>
      <c r="J108" s="36">
        <v>4</v>
      </c>
      <c r="K108" s="36">
        <v>7</v>
      </c>
      <c r="L108" s="36">
        <v>0</v>
      </c>
      <c r="M108" s="36" t="s">
        <v>26</v>
      </c>
    </row>
    <row r="109" spans="1:13">
      <c r="A109" s="36">
        <f ca="1" t="shared" si="1"/>
        <v>42</v>
      </c>
      <c r="B109" s="36">
        <f ca="1" t="array" ref="B109">INDEX(Data_DBD!$B:$B,$A109)</f>
        <v>21</v>
      </c>
      <c r="C109" s="36" t="str">
        <f ca="1" t="array" ref="C109">INDEX(Data_DBD!$C:$C,$A109)</f>
        <v>5 Hari</v>
      </c>
      <c r="D109" s="36">
        <f ca="1" t="array" ref="D109">INDEX(Data_DBD!$D:$D,$A109)</f>
        <v>13</v>
      </c>
      <c r="E109" s="36">
        <f ca="1" t="array" ref="E109">INDEX(Data_DBD!$E:$E,$A109)</f>
        <v>1</v>
      </c>
      <c r="F109" s="36" t="str">
        <f ca="1" t="array" ref="F109">INDEX(Data_DBD!$F:$F,$A109)</f>
        <v>Sedang</v>
      </c>
      <c r="H109" s="36">
        <v>91</v>
      </c>
      <c r="I109" s="36">
        <v>35</v>
      </c>
      <c r="J109" s="36">
        <v>1</v>
      </c>
      <c r="K109" s="36">
        <v>18</v>
      </c>
      <c r="L109" s="36">
        <v>1</v>
      </c>
      <c r="M109" s="36" t="s">
        <v>105</v>
      </c>
    </row>
    <row r="110" spans="1:13">
      <c r="A110" s="36">
        <f ca="1" t="shared" si="1"/>
        <v>5</v>
      </c>
      <c r="B110" s="36">
        <f ca="1" t="array" ref="B110">INDEX(Data_DBD!$B:$B,$A110)</f>
        <v>18</v>
      </c>
      <c r="C110" s="36" t="str">
        <f ca="1" t="array" ref="C110">INDEX(Data_DBD!$C:$C,$A110)</f>
        <v>2 Hari</v>
      </c>
      <c r="D110" s="36">
        <f ca="1" t="array" ref="D110">INDEX(Data_DBD!$D:$D,$A110)</f>
        <v>12</v>
      </c>
      <c r="E110" s="36">
        <f ca="1" t="array" ref="E110">INDEX(Data_DBD!$E:$E,$A110)</f>
        <v>1</v>
      </c>
      <c r="F110" s="36" t="str">
        <f ca="1" t="array" ref="F110">INDEX(Data_DBD!$F:$F,$A110)</f>
        <v>Sedang</v>
      </c>
      <c r="H110" s="36">
        <v>103</v>
      </c>
      <c r="I110" s="36">
        <v>22</v>
      </c>
      <c r="J110" s="36">
        <v>5</v>
      </c>
      <c r="K110" s="36">
        <v>18</v>
      </c>
      <c r="L110" s="36">
        <v>0</v>
      </c>
      <c r="M110" s="36" t="s">
        <v>105</v>
      </c>
    </row>
    <row r="111" spans="1:13">
      <c r="A111" s="36">
        <f ca="1" t="shared" si="1"/>
        <v>61</v>
      </c>
      <c r="B111" s="36">
        <f ca="1" t="array" ref="B111">INDEX(Data_DBD!$B:$B,$A111)</f>
        <v>29</v>
      </c>
      <c r="C111" s="36" t="str">
        <f ca="1" t="array" ref="C111">INDEX(Data_DBD!$C:$C,$A111)</f>
        <v>3 Hari</v>
      </c>
      <c r="D111" s="36">
        <f ca="1" t="array" ref="D111">INDEX(Data_DBD!$D:$D,$A111)</f>
        <v>15</v>
      </c>
      <c r="E111" s="36">
        <f ca="1" t="array" ref="E111">INDEX(Data_DBD!$E:$E,$A111)</f>
        <v>1</v>
      </c>
      <c r="F111" s="36" t="str">
        <f ca="1" t="array" ref="F111">INDEX(Data_DBD!$F:$F,$A111)</f>
        <v>Sedang</v>
      </c>
      <c r="H111" s="36">
        <v>136</v>
      </c>
      <c r="I111" s="36">
        <v>6</v>
      </c>
      <c r="J111" s="36">
        <v>2</v>
      </c>
      <c r="K111" s="36">
        <v>33</v>
      </c>
      <c r="L111" s="36">
        <v>0</v>
      </c>
      <c r="M111" s="36" t="s">
        <v>105</v>
      </c>
    </row>
    <row r="112" spans="1:13">
      <c r="A112" s="36">
        <f ca="1" t="shared" si="1"/>
        <v>44</v>
      </c>
      <c r="B112" s="36">
        <f ca="1" t="array" ref="B112">INDEX(Data_DBD!$B:$B,$A112)</f>
        <v>28</v>
      </c>
      <c r="C112" s="36" t="str">
        <f ca="1" t="array" ref="C112">INDEX(Data_DBD!$C:$C,$A112)</f>
        <v>5 Hari</v>
      </c>
      <c r="D112" s="36">
        <f ca="1" t="array" ref="D112">INDEX(Data_DBD!$D:$D,$A112)</f>
        <v>13</v>
      </c>
      <c r="E112" s="36">
        <f ca="1" t="array" ref="E112">INDEX(Data_DBD!$E:$E,$A112)</f>
        <v>1</v>
      </c>
      <c r="F112" s="36" t="str">
        <f ca="1" t="array" ref="F112">INDEX(Data_DBD!$F:$F,$A112)</f>
        <v>Sedang</v>
      </c>
      <c r="H112" s="36">
        <v>158</v>
      </c>
      <c r="I112" s="36">
        <v>5</v>
      </c>
      <c r="J112" s="36">
        <v>2</v>
      </c>
      <c r="K112" s="36">
        <v>21</v>
      </c>
      <c r="L112" s="36">
        <v>0</v>
      </c>
      <c r="M112" s="36" t="s">
        <v>105</v>
      </c>
    </row>
    <row r="113" spans="1:13">
      <c r="A113" s="36">
        <f ca="1" t="shared" si="1"/>
        <v>78</v>
      </c>
      <c r="B113" s="36">
        <f ca="1" t="array" ref="B113">INDEX(Data_DBD!$B:$B,$A113)</f>
        <v>6</v>
      </c>
      <c r="C113" s="36" t="str">
        <f ca="1" t="array" ref="C113">INDEX(Data_DBD!$C:$C,$A113)</f>
        <v>3 Hari</v>
      </c>
      <c r="D113" s="36">
        <f ca="1" t="array" ref="D113">INDEX(Data_DBD!$D:$D,$A113)</f>
        <v>13</v>
      </c>
      <c r="E113" s="36">
        <f ca="1" t="array" ref="E113">INDEX(Data_DBD!$E:$E,$A113)</f>
        <v>0</v>
      </c>
      <c r="F113" s="36" t="str">
        <f ca="1" t="array" ref="F113">INDEX(Data_DBD!$F:$F,$A113)</f>
        <v>Sedang</v>
      </c>
      <c r="H113" s="36">
        <v>163</v>
      </c>
      <c r="I113" s="36">
        <v>34</v>
      </c>
      <c r="J113" s="36">
        <v>4</v>
      </c>
      <c r="K113" s="36">
        <v>3</v>
      </c>
      <c r="L113" s="36">
        <v>1</v>
      </c>
      <c r="M113" s="36" t="s">
        <v>26</v>
      </c>
    </row>
    <row r="114" spans="1:13">
      <c r="A114" s="36">
        <f ca="1" t="shared" si="1"/>
        <v>131</v>
      </c>
      <c r="B114" s="36">
        <f ca="1" t="array" ref="B114">INDEX(Data_DBD!$B:$B,$A114)</f>
        <v>10</v>
      </c>
      <c r="C114" s="36" t="str">
        <f ca="1" t="array" ref="C114">INDEX(Data_DBD!$C:$C,$A114)</f>
        <v>2 Hari</v>
      </c>
      <c r="D114" s="36">
        <f ca="1" t="array" ref="D114">INDEX(Data_DBD!$D:$D,$A114)</f>
        <v>33</v>
      </c>
      <c r="E114" s="36">
        <f ca="1" t="array" ref="E114">INDEX(Data_DBD!$E:$E,$A114)</f>
        <v>0</v>
      </c>
      <c r="F114" s="36" t="str">
        <f ca="1" t="array" ref="F114">INDEX(Data_DBD!$F:$F,$A114)</f>
        <v>Tinggi</v>
      </c>
      <c r="H114" s="36">
        <v>104</v>
      </c>
      <c r="I114" s="36">
        <v>37</v>
      </c>
      <c r="J114" s="36">
        <v>4</v>
      </c>
      <c r="K114" s="36">
        <v>18</v>
      </c>
      <c r="L114" s="36">
        <v>1</v>
      </c>
      <c r="M114" s="36" t="s">
        <v>105</v>
      </c>
    </row>
    <row r="115" spans="1:13">
      <c r="A115" s="36">
        <f ca="1" t="shared" si="1"/>
        <v>63</v>
      </c>
      <c r="B115" s="36">
        <f ca="1" t="array" ref="B115">INDEX(Data_DBD!$B:$B,$A115)</f>
        <v>25</v>
      </c>
      <c r="C115" s="36" t="str">
        <f ca="1" t="array" ref="C115">INDEX(Data_DBD!$C:$C,$A115)</f>
        <v>3 Hari</v>
      </c>
      <c r="D115" s="36">
        <f ca="1" t="array" ref="D115">INDEX(Data_DBD!$D:$D,$A115)</f>
        <v>15</v>
      </c>
      <c r="E115" s="36">
        <f ca="1" t="array" ref="E115">INDEX(Data_DBD!$E:$E,$A115)</f>
        <v>0</v>
      </c>
      <c r="F115" s="36" t="str">
        <f ca="1" t="array" ref="F115">INDEX(Data_DBD!$F:$F,$A115)</f>
        <v>Sedang</v>
      </c>
      <c r="H115" s="36">
        <v>109</v>
      </c>
      <c r="I115" s="36">
        <v>40</v>
      </c>
      <c r="J115" s="36">
        <v>3</v>
      </c>
      <c r="K115" s="36">
        <v>33</v>
      </c>
      <c r="L115" s="36">
        <v>1</v>
      </c>
      <c r="M115" s="36" t="s">
        <v>105</v>
      </c>
    </row>
    <row r="116" spans="1:13">
      <c r="A116" s="36">
        <f ca="1" t="shared" si="1"/>
        <v>31</v>
      </c>
      <c r="B116" s="36">
        <f ca="1" t="array" ref="B116">INDEX(Data_DBD!$B:$B,$A116)</f>
        <v>64</v>
      </c>
      <c r="C116" s="36" t="str">
        <f ca="1" t="array" ref="C116">INDEX(Data_DBD!$C:$C,$A116)</f>
        <v>4 Hari</v>
      </c>
      <c r="D116" s="36">
        <f ca="1" t="array" ref="D116">INDEX(Data_DBD!$D:$D,$A116)</f>
        <v>14</v>
      </c>
      <c r="E116" s="36">
        <f ca="1" t="array" ref="E116">INDEX(Data_DBD!$E:$E,$A116)</f>
        <v>1</v>
      </c>
      <c r="F116" s="36" t="str">
        <f ca="1" t="array" ref="F116">INDEX(Data_DBD!$F:$F,$A116)</f>
        <v>Sedang</v>
      </c>
      <c r="H116" s="36">
        <v>49</v>
      </c>
      <c r="I116" s="36">
        <v>64</v>
      </c>
      <c r="J116" s="36">
        <v>5</v>
      </c>
      <c r="K116" s="36">
        <v>13</v>
      </c>
      <c r="L116" s="36">
        <v>0</v>
      </c>
      <c r="M116" s="36" t="s">
        <v>8</v>
      </c>
    </row>
    <row r="117" spans="1:13">
      <c r="A117" s="36">
        <f ca="1" t="shared" si="1"/>
        <v>6</v>
      </c>
      <c r="B117" s="36">
        <f ca="1" t="array" ref="B117">INDEX(Data_DBD!$B:$B,$A117)</f>
        <v>14</v>
      </c>
      <c r="C117" s="36" t="str">
        <f ca="1" t="array" ref="C117">INDEX(Data_DBD!$C:$C,$A117)</f>
        <v>4 Hari</v>
      </c>
      <c r="D117" s="36">
        <f ca="1" t="array" ref="D117">INDEX(Data_DBD!$D:$D,$A117)</f>
        <v>12</v>
      </c>
      <c r="E117" s="36">
        <f ca="1" t="array" ref="E117">INDEX(Data_DBD!$E:$E,$A117)</f>
        <v>0</v>
      </c>
      <c r="F117" s="36" t="str">
        <f ca="1" t="array" ref="F117">INDEX(Data_DBD!$F:$F,$A117)</f>
        <v>Sedang</v>
      </c>
      <c r="H117" s="36">
        <v>108</v>
      </c>
      <c r="I117" s="36">
        <v>69</v>
      </c>
      <c r="J117" s="36">
        <v>7</v>
      </c>
      <c r="K117" s="36">
        <v>33</v>
      </c>
      <c r="L117" s="36">
        <v>1</v>
      </c>
      <c r="M117" s="36" t="s">
        <v>105</v>
      </c>
    </row>
    <row r="118" spans="1:13">
      <c r="A118" s="36">
        <f ca="1" t="shared" si="1"/>
        <v>41</v>
      </c>
      <c r="B118" s="36">
        <f ca="1" t="array" ref="B118">INDEX(Data_DBD!$B:$B,$A118)</f>
        <v>8</v>
      </c>
      <c r="C118" s="36" t="str">
        <f ca="1" t="array" ref="C118">INDEX(Data_DBD!$C:$C,$A118)</f>
        <v>4 Hari</v>
      </c>
      <c r="D118" s="36">
        <f ca="1" t="array" ref="D118">INDEX(Data_DBD!$D:$D,$A118)</f>
        <v>13</v>
      </c>
      <c r="E118" s="36">
        <f ca="1" t="array" ref="E118">INDEX(Data_DBD!$E:$E,$A118)</f>
        <v>0</v>
      </c>
      <c r="F118" s="36" t="str">
        <f ca="1" t="array" ref="F118">INDEX(Data_DBD!$F:$F,$A118)</f>
        <v>Sedang</v>
      </c>
      <c r="H118" s="36">
        <v>84</v>
      </c>
      <c r="I118" s="36">
        <v>42</v>
      </c>
      <c r="J118" s="36">
        <v>4</v>
      </c>
      <c r="K118" s="36">
        <v>13</v>
      </c>
      <c r="L118" s="36">
        <v>1</v>
      </c>
      <c r="M118" s="36" t="s">
        <v>8</v>
      </c>
    </row>
    <row r="119" spans="1:13">
      <c r="A119" s="36">
        <f ca="1" t="shared" si="1"/>
        <v>162</v>
      </c>
      <c r="B119" s="36">
        <f ca="1" t="array" ref="B119">INDEX(Data_DBD!$B:$B,$A119)</f>
        <v>22</v>
      </c>
      <c r="C119" s="36" t="str">
        <f ca="1" t="array" ref="C119">INDEX(Data_DBD!$C:$C,$A119)</f>
        <v>3 Hari</v>
      </c>
      <c r="D119" s="36">
        <f ca="1" t="array" ref="D119">INDEX(Data_DBD!$D:$D,$A119)</f>
        <v>3</v>
      </c>
      <c r="E119" s="36">
        <f ca="1" t="array" ref="E119">INDEX(Data_DBD!$E:$E,$A119)</f>
        <v>1</v>
      </c>
      <c r="F119" s="36" t="str">
        <f ca="1" t="array" ref="F119">INDEX(Data_DBD!$F:$F,$A119)</f>
        <v>Rendah</v>
      </c>
      <c r="H119" s="36">
        <v>117</v>
      </c>
      <c r="I119" s="36">
        <v>49</v>
      </c>
      <c r="J119" s="36">
        <v>4</v>
      </c>
      <c r="K119" s="36">
        <v>33</v>
      </c>
      <c r="L119" s="36">
        <v>1</v>
      </c>
      <c r="M119" s="36" t="s">
        <v>105</v>
      </c>
    </row>
    <row r="120" spans="1:13">
      <c r="A120" s="36">
        <f ca="1" t="shared" si="1"/>
        <v>139</v>
      </c>
      <c r="B120" s="36">
        <f ca="1" t="array" ref="B120">INDEX(Data_DBD!$B:$B,$A120)</f>
        <v>52</v>
      </c>
      <c r="C120" s="36" t="str">
        <f ca="1" t="array" ref="C120">INDEX(Data_DBD!$C:$C,$A120)</f>
        <v>7 Hari</v>
      </c>
      <c r="D120" s="36">
        <f ca="1" t="array" ref="D120">INDEX(Data_DBD!$D:$D,$A120)</f>
        <v>21</v>
      </c>
      <c r="E120" s="36">
        <f ca="1" t="array" ref="E120">INDEX(Data_DBD!$E:$E,$A120)</f>
        <v>0</v>
      </c>
      <c r="F120" s="36" t="str">
        <f ca="1" t="array" ref="F120">INDEX(Data_DBD!$F:$F,$A120)</f>
        <v>Tinggi</v>
      </c>
      <c r="H120" s="36">
        <v>21</v>
      </c>
      <c r="I120" s="36">
        <v>10</v>
      </c>
      <c r="J120" s="36">
        <v>5</v>
      </c>
      <c r="K120" s="36">
        <v>14</v>
      </c>
      <c r="L120" s="36">
        <v>1</v>
      </c>
      <c r="M120" s="36" t="s">
        <v>8</v>
      </c>
    </row>
    <row r="121" spans="1:13">
      <c r="A121" s="36">
        <f ca="1" t="shared" si="1"/>
        <v>99</v>
      </c>
      <c r="B121" s="36">
        <f ca="1" t="array" ref="B121">INDEX(Data_DBD!$B:$B,$A121)</f>
        <v>4</v>
      </c>
      <c r="C121" s="36" t="str">
        <f ca="1" t="array" ref="C121">INDEX(Data_DBD!$C:$C,$A121)</f>
        <v>2 Hari</v>
      </c>
      <c r="D121" s="36">
        <f ca="1" t="array" ref="D121">INDEX(Data_DBD!$D:$D,$A121)</f>
        <v>18</v>
      </c>
      <c r="E121" s="36">
        <f ca="1" t="array" ref="E121">INDEX(Data_DBD!$E:$E,$A121)</f>
        <v>1</v>
      </c>
      <c r="F121" s="36" t="str">
        <f ca="1" t="array" ref="F121">INDEX(Data_DBD!$F:$F,$A121)</f>
        <v>Tinggi</v>
      </c>
      <c r="H121" s="36">
        <v>119</v>
      </c>
      <c r="I121" s="36">
        <v>30</v>
      </c>
      <c r="J121" s="36">
        <v>7</v>
      </c>
      <c r="K121" s="36">
        <v>33</v>
      </c>
      <c r="L121" s="36">
        <v>0</v>
      </c>
      <c r="M121" s="36" t="s">
        <v>105</v>
      </c>
    </row>
    <row r="122" spans="1:13">
      <c r="A122" s="36">
        <f ca="1" t="shared" si="1"/>
        <v>102</v>
      </c>
      <c r="B122" s="36">
        <f ca="1" t="array" ref="B122">INDEX(Data_DBD!$B:$B,$A122)</f>
        <v>41</v>
      </c>
      <c r="C122" s="36" t="str">
        <f ca="1" t="array" ref="C122">INDEX(Data_DBD!$C:$C,$A122)</f>
        <v>4 Hari</v>
      </c>
      <c r="D122" s="36">
        <f ca="1" t="array" ref="D122">INDEX(Data_DBD!$D:$D,$A122)</f>
        <v>18</v>
      </c>
      <c r="E122" s="36">
        <f ca="1" t="array" ref="E122">INDEX(Data_DBD!$E:$E,$A122)</f>
        <v>0</v>
      </c>
      <c r="F122" s="36" t="str">
        <f ca="1" t="array" ref="F122">INDEX(Data_DBD!$F:$F,$A122)</f>
        <v>Tinggi</v>
      </c>
      <c r="H122" s="36">
        <v>126</v>
      </c>
      <c r="I122" s="36">
        <v>51</v>
      </c>
      <c r="J122" s="36">
        <v>3</v>
      </c>
      <c r="K122" s="36">
        <v>33</v>
      </c>
      <c r="L122" s="36">
        <v>1</v>
      </c>
      <c r="M122" s="36" t="s">
        <v>105</v>
      </c>
    </row>
    <row r="123" spans="1:13">
      <c r="A123" s="36">
        <f ca="1" t="shared" si="1"/>
        <v>134</v>
      </c>
      <c r="B123" s="36">
        <f ca="1" t="array" ref="B123">INDEX(Data_DBD!$B:$B,$A123)</f>
        <v>4</v>
      </c>
      <c r="C123" s="36" t="str">
        <f ca="1" t="array" ref="C123">INDEX(Data_DBD!$C:$C,$A123)</f>
        <v>2 Hari</v>
      </c>
      <c r="D123" s="36">
        <f ca="1" t="array" ref="D123">INDEX(Data_DBD!$D:$D,$A123)</f>
        <v>33</v>
      </c>
      <c r="E123" s="36">
        <f ca="1" t="array" ref="E123">INDEX(Data_DBD!$E:$E,$A123)</f>
        <v>1</v>
      </c>
      <c r="F123" s="36" t="str">
        <f ca="1" t="array" ref="F123">INDEX(Data_DBD!$F:$F,$A123)</f>
        <v>Tinggi</v>
      </c>
      <c r="H123" s="36">
        <v>36</v>
      </c>
      <c r="I123" s="36">
        <v>27</v>
      </c>
      <c r="J123" s="36">
        <v>1</v>
      </c>
      <c r="K123" s="36">
        <v>4</v>
      </c>
      <c r="L123" s="36">
        <v>1</v>
      </c>
      <c r="M123" s="36" t="s">
        <v>26</v>
      </c>
    </row>
    <row r="124" spans="1:13">
      <c r="A124" s="36">
        <f ca="1" t="shared" si="1"/>
        <v>13</v>
      </c>
      <c r="B124" s="36">
        <f ca="1" t="array" ref="B124">INDEX(Data_DBD!$B:$B,$A124)</f>
        <v>47</v>
      </c>
      <c r="C124" s="36" t="str">
        <f ca="1" t="array" ref="C124">INDEX(Data_DBD!$C:$C,$A124)</f>
        <v>2 Hari</v>
      </c>
      <c r="D124" s="36">
        <f ca="1" t="array" ref="D124">INDEX(Data_DBD!$D:$D,$A124)</f>
        <v>12</v>
      </c>
      <c r="E124" s="36">
        <f ca="1" t="array" ref="E124">INDEX(Data_DBD!$E:$E,$A124)</f>
        <v>0</v>
      </c>
      <c r="F124" s="36" t="str">
        <f ca="1" t="array" ref="F124">INDEX(Data_DBD!$F:$F,$A124)</f>
        <v>Sedang</v>
      </c>
      <c r="H124" s="36">
        <v>93</v>
      </c>
      <c r="I124" s="36">
        <v>65</v>
      </c>
      <c r="J124" s="36">
        <v>4</v>
      </c>
      <c r="K124" s="36">
        <v>18</v>
      </c>
      <c r="L124" s="36">
        <v>0</v>
      </c>
      <c r="M124" s="36" t="s">
        <v>105</v>
      </c>
    </row>
    <row r="125" spans="1:13">
      <c r="A125" s="36">
        <f ca="1" t="shared" si="1"/>
        <v>23</v>
      </c>
      <c r="B125" s="36">
        <f ca="1" t="array" ref="B125">INDEX(Data_DBD!$B:$B,$A125)</f>
        <v>28</v>
      </c>
      <c r="C125" s="36" t="str">
        <f ca="1" t="array" ref="C125">INDEX(Data_DBD!$C:$C,$A125)</f>
        <v>4 Hari</v>
      </c>
      <c r="D125" s="36">
        <f ca="1" t="array" ref="D125">INDEX(Data_DBD!$D:$D,$A125)</f>
        <v>14</v>
      </c>
      <c r="E125" s="36">
        <f ca="1" t="array" ref="E125">INDEX(Data_DBD!$E:$E,$A125)</f>
        <v>1</v>
      </c>
      <c r="F125" s="36" t="str">
        <f ca="1" t="array" ref="F125">INDEX(Data_DBD!$F:$F,$A125)</f>
        <v>Sedang</v>
      </c>
      <c r="H125" s="36">
        <v>162</v>
      </c>
      <c r="I125" s="36">
        <v>22</v>
      </c>
      <c r="J125" s="36">
        <v>3</v>
      </c>
      <c r="K125" s="36">
        <v>3</v>
      </c>
      <c r="L125" s="36">
        <v>1</v>
      </c>
      <c r="M125" s="36" t="s">
        <v>26</v>
      </c>
    </row>
    <row r="126" spans="1:13">
      <c r="A126" s="36">
        <f ca="1" t="shared" si="1"/>
        <v>108</v>
      </c>
      <c r="B126" s="36">
        <f ca="1" t="array" ref="B126">INDEX(Data_DBD!$B:$B,$A126)</f>
        <v>69</v>
      </c>
      <c r="C126" s="36" t="str">
        <f ca="1" t="array" ref="C126">INDEX(Data_DBD!$C:$C,$A126)</f>
        <v>7 Hari</v>
      </c>
      <c r="D126" s="36">
        <f ca="1" t="array" ref="D126">INDEX(Data_DBD!$D:$D,$A126)</f>
        <v>33</v>
      </c>
      <c r="E126" s="36">
        <f ca="1" t="array" ref="E126">INDEX(Data_DBD!$E:$E,$A126)</f>
        <v>1</v>
      </c>
      <c r="F126" s="36" t="str">
        <f ca="1" t="array" ref="F126">INDEX(Data_DBD!$F:$F,$A126)</f>
        <v>Tinggi</v>
      </c>
      <c r="H126" s="36">
        <v>132</v>
      </c>
      <c r="I126" s="36">
        <v>10</v>
      </c>
      <c r="J126" s="36">
        <v>3</v>
      </c>
      <c r="K126" s="36">
        <v>33</v>
      </c>
      <c r="L126" s="36">
        <v>1</v>
      </c>
      <c r="M126" s="36" t="s">
        <v>105</v>
      </c>
    </row>
    <row r="127" spans="1:13">
      <c r="A127" s="36">
        <f ca="1" t="shared" si="1"/>
        <v>107</v>
      </c>
      <c r="B127" s="36">
        <f ca="1" t="array" ref="B127">INDEX(Data_DBD!$B:$B,$A127)</f>
        <v>48</v>
      </c>
      <c r="C127" s="36" t="str">
        <f ca="1" t="array" ref="C127">INDEX(Data_DBD!$C:$C,$A127)</f>
        <v>5 Hari</v>
      </c>
      <c r="D127" s="36">
        <f ca="1" t="array" ref="D127">INDEX(Data_DBD!$D:$D,$A127)</f>
        <v>18</v>
      </c>
      <c r="E127" s="36">
        <f ca="1" t="array" ref="E127">INDEX(Data_DBD!$E:$E,$A127)</f>
        <v>0</v>
      </c>
      <c r="F127" s="36" t="str">
        <f ca="1" t="array" ref="F127">INDEX(Data_DBD!$F:$F,$A127)</f>
        <v>Tinggi</v>
      </c>
      <c r="H127" s="36">
        <v>105</v>
      </c>
      <c r="I127" s="36">
        <v>61</v>
      </c>
      <c r="J127" s="36">
        <v>3</v>
      </c>
      <c r="K127" s="36">
        <v>18</v>
      </c>
      <c r="L127" s="36">
        <v>1</v>
      </c>
      <c r="M127" s="36" t="s">
        <v>105</v>
      </c>
    </row>
    <row r="128" spans="1:13">
      <c r="A128" s="36">
        <f ca="1" t="shared" si="1"/>
        <v>11</v>
      </c>
      <c r="B128" s="36">
        <f ca="1" t="array" ref="B128">INDEX(Data_DBD!$B:$B,$A128)</f>
        <v>24</v>
      </c>
      <c r="C128" s="36" t="str">
        <f ca="1" t="array" ref="C128">INDEX(Data_DBD!$C:$C,$A128)</f>
        <v>5 Hari</v>
      </c>
      <c r="D128" s="36">
        <f ca="1" t="array" ref="D128">INDEX(Data_DBD!$D:$D,$A128)</f>
        <v>12</v>
      </c>
      <c r="E128" s="36">
        <f ca="1" t="array" ref="E128">INDEX(Data_DBD!$E:$E,$A128)</f>
        <v>1</v>
      </c>
      <c r="F128" s="36" t="str">
        <f ca="1" t="array" ref="F128">INDEX(Data_DBD!$F:$F,$A128)</f>
        <v>Sedang</v>
      </c>
      <c r="H128" s="36">
        <v>59</v>
      </c>
      <c r="I128" s="36">
        <v>28</v>
      </c>
      <c r="J128" s="36">
        <v>4</v>
      </c>
      <c r="K128" s="36">
        <v>15</v>
      </c>
      <c r="L128" s="36">
        <v>0</v>
      </c>
      <c r="M128" s="36" t="s">
        <v>8</v>
      </c>
    </row>
    <row r="129" spans="1:13">
      <c r="A129" s="36">
        <f ca="1" t="shared" si="1"/>
        <v>144</v>
      </c>
      <c r="B129" s="36">
        <f ca="1" t="array" ref="B129">INDEX(Data_DBD!$B:$B,$A129)</f>
        <v>61</v>
      </c>
      <c r="C129" s="36" t="str">
        <f ca="1" t="array" ref="C129">INDEX(Data_DBD!$C:$C,$A129)</f>
        <v>4 Hari</v>
      </c>
      <c r="D129" s="36">
        <f ca="1" t="array" ref="D129">INDEX(Data_DBD!$D:$D,$A129)</f>
        <v>21</v>
      </c>
      <c r="E129" s="36">
        <f ca="1" t="array" ref="E129">INDEX(Data_DBD!$E:$E,$A129)</f>
        <v>1</v>
      </c>
      <c r="F129" s="36" t="str">
        <f ca="1" t="array" ref="F129">INDEX(Data_DBD!$F:$F,$A129)</f>
        <v>Tinggi</v>
      </c>
      <c r="H129" s="36">
        <v>32</v>
      </c>
      <c r="I129" s="36">
        <v>54</v>
      </c>
      <c r="J129" s="36">
        <v>4</v>
      </c>
      <c r="K129" s="36">
        <v>14</v>
      </c>
      <c r="L129" s="36">
        <v>0</v>
      </c>
      <c r="M129" s="36" t="s">
        <v>8</v>
      </c>
    </row>
    <row r="130" spans="1:13">
      <c r="A130" s="36">
        <f ca="1" t="shared" si="1"/>
        <v>101</v>
      </c>
      <c r="B130" s="36">
        <f ca="1" t="array" ref="B130">INDEX(Data_DBD!$B:$B,$A130)</f>
        <v>42</v>
      </c>
      <c r="C130" s="36" t="str">
        <f ca="1" t="array" ref="C130">INDEX(Data_DBD!$C:$C,$A130)</f>
        <v>5 Hari</v>
      </c>
      <c r="D130" s="36">
        <f ca="1" t="array" ref="D130">INDEX(Data_DBD!$D:$D,$A130)</f>
        <v>18</v>
      </c>
      <c r="E130" s="36">
        <f ca="1" t="array" ref="E130">INDEX(Data_DBD!$E:$E,$A130)</f>
        <v>0</v>
      </c>
      <c r="F130" s="36" t="str">
        <f ca="1" t="array" ref="F130">INDEX(Data_DBD!$F:$F,$A130)</f>
        <v>Tinggi</v>
      </c>
      <c r="H130" s="36">
        <v>37</v>
      </c>
      <c r="I130" s="36">
        <v>28</v>
      </c>
      <c r="J130" s="36">
        <v>4</v>
      </c>
      <c r="K130" s="36">
        <v>4</v>
      </c>
      <c r="L130" s="36">
        <v>1</v>
      </c>
      <c r="M130" s="36" t="s">
        <v>26</v>
      </c>
    </row>
    <row r="131" spans="1:13">
      <c r="A131" s="36">
        <f ca="1" t="shared" ref="A131:A164" si="2">RANDBETWEEN(2,164)</f>
        <v>152</v>
      </c>
      <c r="B131" s="36">
        <f ca="1" t="array" ref="B131">INDEX(Data_DBD!$B:$B,$A131)</f>
        <v>47</v>
      </c>
      <c r="C131" s="36" t="str">
        <f ca="1" t="array" ref="C131">INDEX(Data_DBD!$C:$C,$A131)</f>
        <v>3 Hari</v>
      </c>
      <c r="D131" s="36">
        <f ca="1" t="array" ref="D131">INDEX(Data_DBD!$D:$D,$A131)</f>
        <v>21</v>
      </c>
      <c r="E131" s="36">
        <f ca="1" t="array" ref="E131">INDEX(Data_DBD!$E:$E,$A131)</f>
        <v>1</v>
      </c>
      <c r="F131" s="36" t="str">
        <f ca="1" t="array" ref="F131">INDEX(Data_DBD!$F:$F,$A131)</f>
        <v>Tinggi</v>
      </c>
      <c r="H131" s="36">
        <v>112</v>
      </c>
      <c r="I131" s="36">
        <v>61</v>
      </c>
      <c r="J131" s="36">
        <v>3</v>
      </c>
      <c r="K131" s="36">
        <v>33</v>
      </c>
      <c r="L131" s="36">
        <v>1</v>
      </c>
      <c r="M131" s="36" t="s">
        <v>105</v>
      </c>
    </row>
    <row r="132" spans="1:13">
      <c r="A132" s="36">
        <f ca="1" t="shared" si="2"/>
        <v>85</v>
      </c>
      <c r="B132" s="36">
        <f ca="1" t="array" ref="B132">INDEX(Data_DBD!$B:$B,$A132)</f>
        <v>27</v>
      </c>
      <c r="C132" s="36" t="str">
        <f ca="1" t="array" ref="C132">INDEX(Data_DBD!$C:$C,$A132)</f>
        <v>9 Hari</v>
      </c>
      <c r="D132" s="36">
        <f ca="1" t="array" ref="D132">INDEX(Data_DBD!$D:$D,$A132)</f>
        <v>13</v>
      </c>
      <c r="E132" s="36">
        <f ca="1" t="array" ref="E132">INDEX(Data_DBD!$E:$E,$A132)</f>
        <v>0</v>
      </c>
      <c r="F132" s="36" t="str">
        <f ca="1" t="array" ref="F132">INDEX(Data_DBD!$F:$F,$A132)</f>
        <v>Sedang</v>
      </c>
      <c r="H132" s="36">
        <v>122</v>
      </c>
      <c r="I132" s="36">
        <v>28</v>
      </c>
      <c r="J132" s="36">
        <v>3</v>
      </c>
      <c r="K132" s="36">
        <v>33</v>
      </c>
      <c r="L132" s="36">
        <v>1</v>
      </c>
      <c r="M132" s="36" t="s">
        <v>105</v>
      </c>
    </row>
    <row r="133" spans="1:13">
      <c r="A133" s="36">
        <f ca="1" t="shared" si="2"/>
        <v>35</v>
      </c>
      <c r="B133" s="36">
        <f ca="1" t="array" ref="B133">INDEX(Data_DBD!$B:$B,$A133)</f>
        <v>40</v>
      </c>
      <c r="C133" s="36" t="str">
        <f ca="1" t="array" ref="C133">INDEX(Data_DBD!$C:$C,$A133)</f>
        <v>3 Hari</v>
      </c>
      <c r="D133" s="36">
        <f ca="1" t="array" ref="D133">INDEX(Data_DBD!$D:$D,$A133)</f>
        <v>4</v>
      </c>
      <c r="E133" s="36">
        <f ca="1" t="array" ref="E133">INDEX(Data_DBD!$E:$E,$A133)</f>
        <v>1</v>
      </c>
      <c r="F133" s="36" t="str">
        <f ca="1" t="array" ref="F133">INDEX(Data_DBD!$F:$F,$A133)</f>
        <v>Rendah</v>
      </c>
      <c r="H133" s="36">
        <v>120</v>
      </c>
      <c r="I133" s="36">
        <v>26</v>
      </c>
      <c r="J133" s="36">
        <v>4</v>
      </c>
      <c r="K133" s="36">
        <v>33</v>
      </c>
      <c r="L133" s="36">
        <v>1</v>
      </c>
      <c r="M133" s="36" t="s">
        <v>105</v>
      </c>
    </row>
    <row r="134" spans="1:13">
      <c r="A134" s="36">
        <f ca="1" t="shared" si="2"/>
        <v>46</v>
      </c>
      <c r="B134" s="36">
        <f ca="1" t="array" ref="B134">INDEX(Data_DBD!$B:$B,$A134)</f>
        <v>62</v>
      </c>
      <c r="C134" s="36" t="str">
        <f ca="1" t="array" ref="C134">INDEX(Data_DBD!$C:$C,$A134)</f>
        <v>2 Hari</v>
      </c>
      <c r="D134" s="36">
        <f ca="1" t="array" ref="D134">INDEX(Data_DBD!$D:$D,$A134)</f>
        <v>13</v>
      </c>
      <c r="E134" s="36">
        <f ca="1" t="array" ref="E134">INDEX(Data_DBD!$E:$E,$A134)</f>
        <v>0</v>
      </c>
      <c r="F134" s="36" t="str">
        <f ca="1" t="array" ref="F134">INDEX(Data_DBD!$F:$F,$A134)</f>
        <v>Sedang</v>
      </c>
      <c r="H134" s="36">
        <v>24</v>
      </c>
      <c r="I134" s="36">
        <v>60</v>
      </c>
      <c r="J134" s="36">
        <v>4</v>
      </c>
      <c r="K134" s="36">
        <v>14</v>
      </c>
      <c r="L134" s="36">
        <v>0</v>
      </c>
      <c r="M134" s="36" t="s">
        <v>8</v>
      </c>
    </row>
    <row r="135" spans="1:13">
      <c r="A135" s="36">
        <f ca="1" t="shared" si="2"/>
        <v>86</v>
      </c>
      <c r="B135" s="36">
        <f ca="1" t="array" ref="B135">INDEX(Data_DBD!$B:$B,$A135)</f>
        <v>23</v>
      </c>
      <c r="C135" s="36" t="str">
        <f ca="1" t="array" ref="C135">INDEX(Data_DBD!$C:$C,$A135)</f>
        <v>3 Hari</v>
      </c>
      <c r="D135" s="36">
        <f ca="1" t="array" ref="D135">INDEX(Data_DBD!$D:$D,$A135)</f>
        <v>13</v>
      </c>
      <c r="E135" s="36">
        <f ca="1" t="array" ref="E135">INDEX(Data_DBD!$E:$E,$A135)</f>
        <v>0</v>
      </c>
      <c r="F135" s="36" t="str">
        <f ca="1" t="array" ref="F135">INDEX(Data_DBD!$F:$F,$A135)</f>
        <v>Sedang</v>
      </c>
      <c r="H135" s="36">
        <v>162</v>
      </c>
      <c r="I135" s="36">
        <v>22</v>
      </c>
      <c r="J135" s="36">
        <v>3</v>
      </c>
      <c r="K135" s="36">
        <v>3</v>
      </c>
      <c r="L135" s="36">
        <v>1</v>
      </c>
      <c r="M135" s="36" t="s">
        <v>26</v>
      </c>
    </row>
    <row r="136" spans="1:13">
      <c r="A136" s="36">
        <f ca="1" t="shared" si="2"/>
        <v>32</v>
      </c>
      <c r="B136" s="36">
        <f ca="1" t="array" ref="B136">INDEX(Data_DBD!$B:$B,$A136)</f>
        <v>54</v>
      </c>
      <c r="C136" s="36" t="str">
        <f ca="1" t="array" ref="C136">INDEX(Data_DBD!$C:$C,$A136)</f>
        <v>4 Hari</v>
      </c>
      <c r="D136" s="36">
        <f ca="1" t="array" ref="D136">INDEX(Data_DBD!$D:$D,$A136)</f>
        <v>14</v>
      </c>
      <c r="E136" s="36">
        <f ca="1" t="array" ref="E136">INDEX(Data_DBD!$E:$E,$A136)</f>
        <v>0</v>
      </c>
      <c r="F136" s="36" t="str">
        <f ca="1" t="array" ref="F136">INDEX(Data_DBD!$F:$F,$A136)</f>
        <v>Sedang</v>
      </c>
      <c r="H136" s="36">
        <v>144</v>
      </c>
      <c r="I136" s="36">
        <v>61</v>
      </c>
      <c r="J136" s="36">
        <v>4</v>
      </c>
      <c r="K136" s="36">
        <v>21</v>
      </c>
      <c r="L136" s="36">
        <v>1</v>
      </c>
      <c r="M136" s="36" t="s">
        <v>105</v>
      </c>
    </row>
    <row r="137" spans="1:13">
      <c r="A137" s="36">
        <f ca="1" t="shared" si="2"/>
        <v>100</v>
      </c>
      <c r="B137" s="36">
        <f ca="1" t="array" ref="B137">INDEX(Data_DBD!$B:$B,$A137)</f>
        <v>19</v>
      </c>
      <c r="C137" s="36" t="str">
        <f ca="1" t="array" ref="C137">INDEX(Data_DBD!$C:$C,$A137)</f>
        <v>6 Hari</v>
      </c>
      <c r="D137" s="36">
        <f ca="1" t="array" ref="D137">INDEX(Data_DBD!$D:$D,$A137)</f>
        <v>18</v>
      </c>
      <c r="E137" s="36">
        <f ca="1" t="array" ref="E137">INDEX(Data_DBD!$E:$E,$A137)</f>
        <v>0</v>
      </c>
      <c r="F137" s="36" t="str">
        <f ca="1" t="array" ref="F137">INDEX(Data_DBD!$F:$F,$A137)</f>
        <v>Tinggi</v>
      </c>
      <c r="H137" s="36">
        <v>157</v>
      </c>
      <c r="I137" s="36">
        <v>15</v>
      </c>
      <c r="J137" s="36">
        <v>4</v>
      </c>
      <c r="K137" s="36">
        <v>21</v>
      </c>
      <c r="L137" s="36">
        <v>1</v>
      </c>
      <c r="M137" s="36" t="s">
        <v>105</v>
      </c>
    </row>
    <row r="138" spans="1:13">
      <c r="A138" s="36">
        <f ca="1" t="shared" si="2"/>
        <v>41</v>
      </c>
      <c r="B138" s="36">
        <f ca="1" t="array" ref="B138">INDEX(Data_DBD!$B:$B,$A138)</f>
        <v>8</v>
      </c>
      <c r="C138" s="36" t="str">
        <f ca="1" t="array" ref="C138">INDEX(Data_DBD!$C:$C,$A138)</f>
        <v>4 Hari</v>
      </c>
      <c r="D138" s="36">
        <f ca="1" t="array" ref="D138">INDEX(Data_DBD!$D:$D,$A138)</f>
        <v>13</v>
      </c>
      <c r="E138" s="36">
        <f ca="1" t="array" ref="E138">INDEX(Data_DBD!$E:$E,$A138)</f>
        <v>0</v>
      </c>
      <c r="F138" s="36" t="str">
        <f ca="1" t="array" ref="F138">INDEX(Data_DBD!$F:$F,$A138)</f>
        <v>Sedang</v>
      </c>
      <c r="H138" s="36">
        <v>61</v>
      </c>
      <c r="I138" s="36">
        <v>29</v>
      </c>
      <c r="J138" s="36">
        <v>3</v>
      </c>
      <c r="K138" s="36">
        <v>15</v>
      </c>
      <c r="L138" s="36">
        <v>1</v>
      </c>
      <c r="M138" s="36" t="s">
        <v>8</v>
      </c>
    </row>
    <row r="139" spans="1:13">
      <c r="A139" s="36">
        <f ca="1" t="shared" si="2"/>
        <v>75</v>
      </c>
      <c r="B139" s="36">
        <f ca="1" t="array" ref="B139">INDEX(Data_DBD!$B:$B,$A139)</f>
        <v>2</v>
      </c>
      <c r="C139" s="36" t="str">
        <f ca="1" t="array" ref="C139">INDEX(Data_DBD!$C:$C,$A139)</f>
        <v>2 Hari</v>
      </c>
      <c r="D139" s="36">
        <f ca="1" t="array" ref="D139">INDEX(Data_DBD!$D:$D,$A139)</f>
        <v>10</v>
      </c>
      <c r="E139" s="36">
        <f ca="1" t="array" ref="E139">INDEX(Data_DBD!$E:$E,$A139)</f>
        <v>1</v>
      </c>
      <c r="F139" s="36" t="str">
        <f ca="1" t="array" ref="F139">INDEX(Data_DBD!$F:$F,$A139)</f>
        <v>Sedang</v>
      </c>
      <c r="H139" s="36">
        <v>113</v>
      </c>
      <c r="I139" s="36">
        <v>69</v>
      </c>
      <c r="J139" s="36">
        <v>1</v>
      </c>
      <c r="K139" s="36">
        <v>33</v>
      </c>
      <c r="L139" s="36">
        <v>1</v>
      </c>
      <c r="M139" s="36" t="s">
        <v>105</v>
      </c>
    </row>
    <row r="140" spans="1:13">
      <c r="A140" s="36">
        <f ca="1" t="shared" si="2"/>
        <v>32</v>
      </c>
      <c r="B140" s="36">
        <f ca="1" t="array" ref="B140">INDEX(Data_DBD!$B:$B,$A140)</f>
        <v>54</v>
      </c>
      <c r="C140" s="36" t="str">
        <f ca="1" t="array" ref="C140">INDEX(Data_DBD!$C:$C,$A140)</f>
        <v>4 Hari</v>
      </c>
      <c r="D140" s="36">
        <f ca="1" t="array" ref="D140">INDEX(Data_DBD!$D:$D,$A140)</f>
        <v>14</v>
      </c>
      <c r="E140" s="36">
        <f ca="1" t="array" ref="E140">INDEX(Data_DBD!$E:$E,$A140)</f>
        <v>0</v>
      </c>
      <c r="F140" s="36" t="str">
        <f ca="1" t="array" ref="F140">INDEX(Data_DBD!$F:$F,$A140)</f>
        <v>Sedang</v>
      </c>
      <c r="H140" s="36">
        <v>116</v>
      </c>
      <c r="I140" s="36">
        <v>32</v>
      </c>
      <c r="J140" s="36">
        <v>4</v>
      </c>
      <c r="K140" s="36">
        <v>33</v>
      </c>
      <c r="L140" s="36">
        <v>1</v>
      </c>
      <c r="M140" s="36" t="s">
        <v>105</v>
      </c>
    </row>
    <row r="141" spans="1:13">
      <c r="A141" s="36">
        <f ca="1" t="shared" si="2"/>
        <v>162</v>
      </c>
      <c r="B141" s="36">
        <f ca="1" t="array" ref="B141">INDEX(Data_DBD!$B:$B,$A141)</f>
        <v>22</v>
      </c>
      <c r="C141" s="36" t="str">
        <f ca="1" t="array" ref="C141">INDEX(Data_DBD!$C:$C,$A141)</f>
        <v>3 Hari</v>
      </c>
      <c r="D141" s="36">
        <f ca="1" t="array" ref="D141">INDEX(Data_DBD!$D:$D,$A141)</f>
        <v>3</v>
      </c>
      <c r="E141" s="36">
        <f ca="1" t="array" ref="E141">INDEX(Data_DBD!$E:$E,$A141)</f>
        <v>1</v>
      </c>
      <c r="F141" s="36" t="str">
        <f ca="1" t="array" ref="F141">INDEX(Data_DBD!$F:$F,$A141)</f>
        <v>Rendah</v>
      </c>
      <c r="H141" s="36">
        <v>115</v>
      </c>
      <c r="I141" s="36">
        <v>52</v>
      </c>
      <c r="J141" s="36">
        <v>3</v>
      </c>
      <c r="K141" s="36">
        <v>33</v>
      </c>
      <c r="L141" s="36">
        <v>1</v>
      </c>
      <c r="M141" s="36" t="s">
        <v>105</v>
      </c>
    </row>
    <row r="142" spans="1:13">
      <c r="A142" s="36">
        <f ca="1" t="shared" si="2"/>
        <v>3</v>
      </c>
      <c r="B142" s="36">
        <f ca="1" t="array" ref="B142">INDEX(Data_DBD!$B:$B,$A142)</f>
        <v>43</v>
      </c>
      <c r="C142" s="36" t="str">
        <f ca="1" t="array" ref="C142">INDEX(Data_DBD!$C:$C,$A142)</f>
        <v>3 Hari</v>
      </c>
      <c r="D142" s="36">
        <f ca="1" t="array" ref="D142">INDEX(Data_DBD!$D:$D,$A142)</f>
        <v>12</v>
      </c>
      <c r="E142" s="36">
        <f ca="1" t="array" ref="E142">INDEX(Data_DBD!$E:$E,$A142)</f>
        <v>1</v>
      </c>
      <c r="F142" s="36" t="str">
        <f ca="1" t="array" ref="F142">INDEX(Data_DBD!$F:$F,$A142)</f>
        <v>Sedang</v>
      </c>
      <c r="H142" s="36">
        <v>4</v>
      </c>
      <c r="I142" s="36">
        <v>23</v>
      </c>
      <c r="J142" s="36">
        <v>5</v>
      </c>
      <c r="K142" s="36">
        <v>12</v>
      </c>
      <c r="L142" s="36">
        <v>0</v>
      </c>
      <c r="M142" s="36" t="s">
        <v>8</v>
      </c>
    </row>
    <row r="143" spans="1:13">
      <c r="A143" s="36">
        <f ca="1" t="shared" si="2"/>
        <v>102</v>
      </c>
      <c r="B143" s="36">
        <f ca="1" t="array" ref="B143">INDEX(Data_DBD!$B:$B,$A143)</f>
        <v>41</v>
      </c>
      <c r="C143" s="36" t="str">
        <f ca="1" t="array" ref="C143">INDEX(Data_DBD!$C:$C,$A143)</f>
        <v>4 Hari</v>
      </c>
      <c r="D143" s="36">
        <f ca="1" t="array" ref="D143">INDEX(Data_DBD!$D:$D,$A143)</f>
        <v>18</v>
      </c>
      <c r="E143" s="36">
        <f ca="1" t="array" ref="E143">INDEX(Data_DBD!$E:$E,$A143)</f>
        <v>0</v>
      </c>
      <c r="F143" s="36" t="str">
        <f ca="1" t="array" ref="F143">INDEX(Data_DBD!$F:$F,$A143)</f>
        <v>Tinggi</v>
      </c>
      <c r="H143" s="36">
        <v>78</v>
      </c>
      <c r="I143" s="36">
        <v>6</v>
      </c>
      <c r="J143" s="36">
        <v>3</v>
      </c>
      <c r="K143" s="36">
        <v>13</v>
      </c>
      <c r="L143" s="36">
        <v>0</v>
      </c>
      <c r="M143" s="36" t="s">
        <v>8</v>
      </c>
    </row>
    <row r="144" spans="1:13">
      <c r="A144" s="36">
        <f ca="1" t="shared" si="2"/>
        <v>27</v>
      </c>
      <c r="B144" s="36">
        <f ca="1" t="array" ref="B144">INDEX(Data_DBD!$B:$B,$A144)</f>
        <v>37</v>
      </c>
      <c r="C144" s="36" t="str">
        <f ca="1" t="array" ref="C144">INDEX(Data_DBD!$C:$C,$A144)</f>
        <v>4 Hari</v>
      </c>
      <c r="D144" s="36">
        <f ca="1" t="array" ref="D144">INDEX(Data_DBD!$D:$D,$A144)</f>
        <v>14</v>
      </c>
      <c r="E144" s="36">
        <f ca="1" t="array" ref="E144">INDEX(Data_DBD!$E:$E,$A144)</f>
        <v>1</v>
      </c>
      <c r="F144" s="36" t="str">
        <f ca="1" t="array" ref="F144">INDEX(Data_DBD!$F:$F,$A144)</f>
        <v>Sedang</v>
      </c>
      <c r="H144" s="36">
        <v>112</v>
      </c>
      <c r="I144" s="36">
        <v>61</v>
      </c>
      <c r="J144" s="36">
        <v>3</v>
      </c>
      <c r="K144" s="36">
        <v>33</v>
      </c>
      <c r="L144" s="36">
        <v>1</v>
      </c>
      <c r="M144" s="36" t="s">
        <v>105</v>
      </c>
    </row>
    <row r="145" spans="1:13">
      <c r="A145" s="36">
        <f ca="1" t="shared" si="2"/>
        <v>65</v>
      </c>
      <c r="B145" s="36">
        <f ca="1" t="array" ref="B145">INDEX(Data_DBD!$B:$B,$A145)</f>
        <v>49</v>
      </c>
      <c r="C145" s="36" t="str">
        <f ca="1" t="array" ref="C145">INDEX(Data_DBD!$C:$C,$A145)</f>
        <v>3 Hari</v>
      </c>
      <c r="D145" s="36">
        <f ca="1" t="array" ref="D145">INDEX(Data_DBD!$D:$D,$A145)</f>
        <v>15</v>
      </c>
      <c r="E145" s="36">
        <f ca="1" t="array" ref="E145">INDEX(Data_DBD!$E:$E,$A145)</f>
        <v>0</v>
      </c>
      <c r="F145" s="36" t="str">
        <f ca="1" t="array" ref="F145">INDEX(Data_DBD!$F:$F,$A145)</f>
        <v>Sedang</v>
      </c>
      <c r="H145" s="36">
        <v>136</v>
      </c>
      <c r="I145" s="36">
        <v>6</v>
      </c>
      <c r="J145" s="36">
        <v>2</v>
      </c>
      <c r="K145" s="36">
        <v>33</v>
      </c>
      <c r="L145" s="36">
        <v>0</v>
      </c>
      <c r="M145" s="36" t="s">
        <v>105</v>
      </c>
    </row>
    <row r="146" spans="1:13">
      <c r="A146" s="36">
        <f ca="1" t="shared" si="2"/>
        <v>159</v>
      </c>
      <c r="B146" s="36">
        <f ca="1" t="array" ref="B146">INDEX(Data_DBD!$B:$B,$A146)</f>
        <v>17</v>
      </c>
      <c r="C146" s="36" t="str">
        <f ca="1" t="array" ref="C146">INDEX(Data_DBD!$C:$C,$A146)</f>
        <v>2 Hari</v>
      </c>
      <c r="D146" s="36">
        <f ca="1" t="array" ref="D146">INDEX(Data_DBD!$D:$D,$A146)</f>
        <v>21</v>
      </c>
      <c r="E146" s="36">
        <f ca="1" t="array" ref="E146">INDEX(Data_DBD!$E:$E,$A146)</f>
        <v>0</v>
      </c>
      <c r="F146" s="36" t="str">
        <f ca="1" t="array" ref="F146">INDEX(Data_DBD!$F:$F,$A146)</f>
        <v>Tinggi</v>
      </c>
      <c r="H146" s="36">
        <v>84</v>
      </c>
      <c r="I146" s="36">
        <v>42</v>
      </c>
      <c r="J146" s="36">
        <v>4</v>
      </c>
      <c r="K146" s="36">
        <v>13</v>
      </c>
      <c r="L146" s="36">
        <v>1</v>
      </c>
      <c r="M146" s="36" t="s">
        <v>8</v>
      </c>
    </row>
    <row r="147" spans="1:13">
      <c r="A147" s="36">
        <f ca="1" t="shared" si="2"/>
        <v>27</v>
      </c>
      <c r="B147" s="36">
        <f ca="1" t="array" ref="B147">INDEX(Data_DBD!$B:$B,$A147)</f>
        <v>37</v>
      </c>
      <c r="C147" s="36" t="str">
        <f ca="1" t="array" ref="C147">INDEX(Data_DBD!$C:$C,$A147)</f>
        <v>4 Hari</v>
      </c>
      <c r="D147" s="36">
        <f ca="1" t="array" ref="D147">INDEX(Data_DBD!$D:$D,$A147)</f>
        <v>14</v>
      </c>
      <c r="E147" s="36">
        <f ca="1" t="array" ref="E147">INDEX(Data_DBD!$E:$E,$A147)</f>
        <v>1</v>
      </c>
      <c r="F147" s="36" t="str">
        <f ca="1" t="array" ref="F147">INDEX(Data_DBD!$F:$F,$A147)</f>
        <v>Sedang</v>
      </c>
      <c r="H147" s="36">
        <v>72</v>
      </c>
      <c r="I147" s="36">
        <v>3</v>
      </c>
      <c r="J147" s="36">
        <v>5</v>
      </c>
      <c r="K147" s="36">
        <v>10</v>
      </c>
      <c r="L147" s="36">
        <v>1</v>
      </c>
      <c r="M147" s="36" t="s">
        <v>8</v>
      </c>
    </row>
    <row r="148" spans="1:13">
      <c r="A148" s="36">
        <f ca="1" t="shared" si="2"/>
        <v>13</v>
      </c>
      <c r="B148" s="36">
        <f ca="1" t="array" ref="B148">INDEX(Data_DBD!$B:$B,$A148)</f>
        <v>47</v>
      </c>
      <c r="C148" s="36" t="str">
        <f ca="1" t="array" ref="C148">INDEX(Data_DBD!$C:$C,$A148)</f>
        <v>2 Hari</v>
      </c>
      <c r="D148" s="36">
        <f ca="1" t="array" ref="D148">INDEX(Data_DBD!$D:$D,$A148)</f>
        <v>12</v>
      </c>
      <c r="E148" s="36">
        <f ca="1" t="array" ref="E148">INDEX(Data_DBD!$E:$E,$A148)</f>
        <v>0</v>
      </c>
      <c r="F148" s="36" t="str">
        <f ca="1" t="array" ref="F148">INDEX(Data_DBD!$F:$F,$A148)</f>
        <v>Sedang</v>
      </c>
      <c r="H148" s="36">
        <v>85</v>
      </c>
      <c r="I148" s="36">
        <v>27</v>
      </c>
      <c r="J148" s="36">
        <v>9</v>
      </c>
      <c r="K148" s="36">
        <v>13</v>
      </c>
      <c r="L148" s="36">
        <v>0</v>
      </c>
      <c r="M148" s="36" t="s">
        <v>8</v>
      </c>
    </row>
    <row r="149" spans="1:13">
      <c r="A149" s="36">
        <f ca="1" t="shared" si="2"/>
        <v>97</v>
      </c>
      <c r="B149" s="36">
        <f ca="1" t="array" ref="B149">INDEX(Data_DBD!$B:$B,$A149)</f>
        <v>16</v>
      </c>
      <c r="C149" s="36" t="str">
        <f ca="1" t="array" ref="C149">INDEX(Data_DBD!$C:$C,$A149)</f>
        <v>2 Hari</v>
      </c>
      <c r="D149" s="36">
        <f ca="1" t="array" ref="D149">INDEX(Data_DBD!$D:$D,$A149)</f>
        <v>18</v>
      </c>
      <c r="E149" s="36">
        <f ca="1" t="array" ref="E149">INDEX(Data_DBD!$E:$E,$A149)</f>
        <v>1</v>
      </c>
      <c r="F149" s="36" t="str">
        <f ca="1" t="array" ref="F149">INDEX(Data_DBD!$F:$F,$A149)</f>
        <v>Tinggi</v>
      </c>
      <c r="H149" s="36">
        <v>5</v>
      </c>
      <c r="I149" s="36">
        <v>18</v>
      </c>
      <c r="J149" s="36">
        <v>2</v>
      </c>
      <c r="K149" s="36">
        <v>12</v>
      </c>
      <c r="L149" s="36">
        <v>1</v>
      </c>
      <c r="M149" s="36" t="s">
        <v>8</v>
      </c>
    </row>
    <row r="150" spans="1:13">
      <c r="A150" s="36">
        <f ca="1" t="shared" si="2"/>
        <v>41</v>
      </c>
      <c r="B150" s="36">
        <f ca="1" t="array" ref="B150">INDEX(Data_DBD!$B:$B,$A150)</f>
        <v>8</v>
      </c>
      <c r="C150" s="36" t="str">
        <f ca="1" t="array" ref="C150">INDEX(Data_DBD!$C:$C,$A150)</f>
        <v>4 Hari</v>
      </c>
      <c r="D150" s="36">
        <f ca="1" t="array" ref="D150">INDEX(Data_DBD!$D:$D,$A150)</f>
        <v>13</v>
      </c>
      <c r="E150" s="36">
        <f ca="1" t="array" ref="E150">INDEX(Data_DBD!$E:$E,$A150)</f>
        <v>0</v>
      </c>
      <c r="F150" s="36" t="str">
        <f ca="1" t="array" ref="F150">INDEX(Data_DBD!$F:$F,$A150)</f>
        <v>Sedang</v>
      </c>
      <c r="H150" s="36">
        <v>88</v>
      </c>
      <c r="I150" s="36">
        <v>20</v>
      </c>
      <c r="J150" s="36">
        <v>4</v>
      </c>
      <c r="K150" s="36">
        <v>13</v>
      </c>
      <c r="L150" s="36">
        <v>1</v>
      </c>
      <c r="M150" s="36" t="s">
        <v>8</v>
      </c>
    </row>
    <row r="151" spans="1:13">
      <c r="A151" s="36">
        <f ca="1" t="shared" si="2"/>
        <v>139</v>
      </c>
      <c r="B151" s="36">
        <f ca="1" t="array" ref="B151">INDEX(Data_DBD!$B:$B,$A151)</f>
        <v>52</v>
      </c>
      <c r="C151" s="36" t="str">
        <f ca="1" t="array" ref="C151">INDEX(Data_DBD!$C:$C,$A151)</f>
        <v>7 Hari</v>
      </c>
      <c r="D151" s="36">
        <f ca="1" t="array" ref="D151">INDEX(Data_DBD!$D:$D,$A151)</f>
        <v>21</v>
      </c>
      <c r="E151" s="36">
        <f ca="1" t="array" ref="E151">INDEX(Data_DBD!$E:$E,$A151)</f>
        <v>0</v>
      </c>
      <c r="F151" s="36" t="str">
        <f ca="1" t="array" ref="F151">INDEX(Data_DBD!$F:$F,$A151)</f>
        <v>Tinggi</v>
      </c>
      <c r="H151" s="36">
        <v>88</v>
      </c>
      <c r="I151" s="36">
        <v>20</v>
      </c>
      <c r="J151" s="36">
        <v>4</v>
      </c>
      <c r="K151" s="36">
        <v>13</v>
      </c>
      <c r="L151" s="36">
        <v>1</v>
      </c>
      <c r="M151" s="36" t="s">
        <v>8</v>
      </c>
    </row>
    <row r="152" spans="1:13">
      <c r="A152" s="36">
        <f ca="1" t="shared" si="2"/>
        <v>20</v>
      </c>
      <c r="B152" s="36">
        <f ca="1" t="array" ref="B152">INDEX(Data_DBD!$B:$B,$A152)</f>
        <v>15</v>
      </c>
      <c r="C152" s="36" t="str">
        <f ca="1" t="array" ref="C152">INDEX(Data_DBD!$C:$C,$A152)</f>
        <v>5 Hari</v>
      </c>
      <c r="D152" s="36">
        <f ca="1" t="array" ref="D152">INDEX(Data_DBD!$D:$D,$A152)</f>
        <v>7</v>
      </c>
      <c r="E152" s="36">
        <f ca="1" t="array" ref="E152">INDEX(Data_DBD!$E:$E,$A152)</f>
        <v>0</v>
      </c>
      <c r="F152" s="36" t="str">
        <f ca="1" t="array" ref="F152">INDEX(Data_DBD!$F:$F,$A152)</f>
        <v>Rendah</v>
      </c>
      <c r="H152" s="36">
        <v>126</v>
      </c>
      <c r="I152" s="36">
        <v>51</v>
      </c>
      <c r="J152" s="36">
        <v>3</v>
      </c>
      <c r="K152" s="36">
        <v>33</v>
      </c>
      <c r="L152" s="36">
        <v>1</v>
      </c>
      <c r="M152" s="36" t="s">
        <v>105</v>
      </c>
    </row>
    <row r="153" spans="1:13">
      <c r="A153" s="36">
        <f ca="1" t="shared" si="2"/>
        <v>44</v>
      </c>
      <c r="B153" s="36">
        <f ca="1" t="array" ref="B153">INDEX(Data_DBD!$B:$B,$A153)</f>
        <v>28</v>
      </c>
      <c r="C153" s="36" t="str">
        <f ca="1" t="array" ref="C153">INDEX(Data_DBD!$C:$C,$A153)</f>
        <v>5 Hari</v>
      </c>
      <c r="D153" s="36">
        <f ca="1" t="array" ref="D153">INDEX(Data_DBD!$D:$D,$A153)</f>
        <v>13</v>
      </c>
      <c r="E153" s="36">
        <f ca="1" t="array" ref="E153">INDEX(Data_DBD!$E:$E,$A153)</f>
        <v>1</v>
      </c>
      <c r="F153" s="36" t="str">
        <f ca="1" t="array" ref="F153">INDEX(Data_DBD!$F:$F,$A153)</f>
        <v>Sedang</v>
      </c>
      <c r="H153" s="36">
        <v>44</v>
      </c>
      <c r="I153" s="36">
        <v>28</v>
      </c>
      <c r="J153" s="36">
        <v>5</v>
      </c>
      <c r="K153" s="36">
        <v>13</v>
      </c>
      <c r="L153" s="36">
        <v>1</v>
      </c>
      <c r="M153" s="36" t="s">
        <v>8</v>
      </c>
    </row>
    <row r="154" spans="1:13">
      <c r="A154" s="36">
        <f ca="1" t="shared" si="2"/>
        <v>147</v>
      </c>
      <c r="B154" s="36">
        <f ca="1" t="array" ref="B154">INDEX(Data_DBD!$B:$B,$A154)</f>
        <v>66</v>
      </c>
      <c r="C154" s="36" t="str">
        <f ca="1" t="array" ref="C154">INDEX(Data_DBD!$C:$C,$A154)</f>
        <v>10 Hari</v>
      </c>
      <c r="D154" s="36">
        <f ca="1" t="array" ref="D154">INDEX(Data_DBD!$D:$D,$A154)</f>
        <v>21</v>
      </c>
      <c r="E154" s="36">
        <f ca="1" t="array" ref="E154">INDEX(Data_DBD!$E:$E,$A154)</f>
        <v>1</v>
      </c>
      <c r="F154" s="36" t="str">
        <f ca="1" t="array" ref="F154">INDEX(Data_DBD!$F:$F,$A154)</f>
        <v>Tinggi</v>
      </c>
      <c r="H154" s="36">
        <v>126</v>
      </c>
      <c r="I154" s="36">
        <v>51</v>
      </c>
      <c r="J154" s="36">
        <v>3</v>
      </c>
      <c r="K154" s="36">
        <v>33</v>
      </c>
      <c r="L154" s="36">
        <v>1</v>
      </c>
      <c r="M154" s="36" t="s">
        <v>105</v>
      </c>
    </row>
    <row r="155" spans="1:13">
      <c r="A155" s="36">
        <f ca="1" t="shared" si="2"/>
        <v>31</v>
      </c>
      <c r="B155" s="36">
        <f ca="1" t="array" ref="B155">INDEX(Data_DBD!$B:$B,$A155)</f>
        <v>64</v>
      </c>
      <c r="C155" s="36" t="str">
        <f ca="1" t="array" ref="C155">INDEX(Data_DBD!$C:$C,$A155)</f>
        <v>4 Hari</v>
      </c>
      <c r="D155" s="36">
        <f ca="1" t="array" ref="D155">INDEX(Data_DBD!$D:$D,$A155)</f>
        <v>14</v>
      </c>
      <c r="E155" s="36">
        <f ca="1" t="array" ref="E155">INDEX(Data_DBD!$E:$E,$A155)</f>
        <v>1</v>
      </c>
      <c r="F155" s="36" t="str">
        <f ca="1" t="array" ref="F155">INDEX(Data_DBD!$F:$F,$A155)</f>
        <v>Sedang</v>
      </c>
      <c r="H155" s="36">
        <v>84</v>
      </c>
      <c r="I155" s="36">
        <v>42</v>
      </c>
      <c r="J155" s="36">
        <v>4</v>
      </c>
      <c r="K155" s="36">
        <v>13</v>
      </c>
      <c r="L155" s="36">
        <v>1</v>
      </c>
      <c r="M155" s="36" t="s">
        <v>8</v>
      </c>
    </row>
    <row r="156" spans="1:13">
      <c r="A156" s="36">
        <f ca="1" t="shared" si="2"/>
        <v>124</v>
      </c>
      <c r="B156" s="36">
        <f ca="1" t="array" ref="B156">INDEX(Data_DBD!$B:$B,$A156)</f>
        <v>24</v>
      </c>
      <c r="C156" s="36" t="str">
        <f ca="1" t="array" ref="C156">INDEX(Data_DBD!$C:$C,$A156)</f>
        <v>3 Hari</v>
      </c>
      <c r="D156" s="36">
        <f ca="1" t="array" ref="D156">INDEX(Data_DBD!$D:$D,$A156)</f>
        <v>33</v>
      </c>
      <c r="E156" s="36">
        <f ca="1" t="array" ref="E156">INDEX(Data_DBD!$E:$E,$A156)</f>
        <v>1</v>
      </c>
      <c r="F156" s="36" t="str">
        <f ca="1" t="array" ref="F156">INDEX(Data_DBD!$F:$F,$A156)</f>
        <v>Tinggi</v>
      </c>
      <c r="H156" s="36">
        <v>60</v>
      </c>
      <c r="I156" s="36">
        <v>68</v>
      </c>
      <c r="J156" s="36">
        <v>4</v>
      </c>
      <c r="K156" s="36">
        <v>15</v>
      </c>
      <c r="L156" s="36">
        <v>0</v>
      </c>
      <c r="M156" s="36" t="s">
        <v>8</v>
      </c>
    </row>
    <row r="157" spans="1:13">
      <c r="A157" s="36">
        <f ca="1" t="shared" si="2"/>
        <v>86</v>
      </c>
      <c r="B157" s="36">
        <f ca="1" t="array" ref="B157">INDEX(Data_DBD!$B:$B,$A157)</f>
        <v>23</v>
      </c>
      <c r="C157" s="36" t="str">
        <f ca="1" t="array" ref="C157">INDEX(Data_DBD!$C:$C,$A157)</f>
        <v>3 Hari</v>
      </c>
      <c r="D157" s="36">
        <f ca="1" t="array" ref="D157">INDEX(Data_DBD!$D:$D,$A157)</f>
        <v>13</v>
      </c>
      <c r="E157" s="36">
        <f ca="1" t="array" ref="E157">INDEX(Data_DBD!$E:$E,$A157)</f>
        <v>0</v>
      </c>
      <c r="F157" s="36" t="str">
        <f ca="1" t="array" ref="F157">INDEX(Data_DBD!$F:$F,$A157)</f>
        <v>Sedang</v>
      </c>
      <c r="H157" s="36">
        <v>89</v>
      </c>
      <c r="I157" s="36">
        <v>32</v>
      </c>
      <c r="J157" s="36">
        <v>4</v>
      </c>
      <c r="K157" s="36">
        <v>13</v>
      </c>
      <c r="L157" s="36">
        <v>0</v>
      </c>
      <c r="M157" s="36" t="s">
        <v>8</v>
      </c>
    </row>
    <row r="158" spans="1:13">
      <c r="A158" s="36">
        <f ca="1" t="shared" si="2"/>
        <v>79</v>
      </c>
      <c r="B158" s="36">
        <f ca="1" t="array" ref="B158">INDEX(Data_DBD!$B:$B,$A158)</f>
        <v>29</v>
      </c>
      <c r="C158" s="36" t="str">
        <f ca="1" t="array" ref="C158">INDEX(Data_DBD!$C:$C,$A158)</f>
        <v>3 Hari</v>
      </c>
      <c r="D158" s="36">
        <f ca="1" t="array" ref="D158">INDEX(Data_DBD!$D:$D,$A158)</f>
        <v>13</v>
      </c>
      <c r="E158" s="36">
        <f ca="1" t="array" ref="E158">INDEX(Data_DBD!$E:$E,$A158)</f>
        <v>0</v>
      </c>
      <c r="F158" s="36" t="str">
        <f ca="1" t="array" ref="F158">INDEX(Data_DBD!$F:$F,$A158)</f>
        <v>Sedang</v>
      </c>
      <c r="H158" s="36">
        <v>60</v>
      </c>
      <c r="I158" s="36">
        <v>68</v>
      </c>
      <c r="J158" s="36">
        <v>4</v>
      </c>
      <c r="K158" s="36">
        <v>15</v>
      </c>
      <c r="L158" s="36">
        <v>0</v>
      </c>
      <c r="M158" s="36" t="s">
        <v>8</v>
      </c>
    </row>
    <row r="159" spans="1:13">
      <c r="A159" s="36">
        <f ca="1" t="shared" si="2"/>
        <v>76</v>
      </c>
      <c r="B159" s="36">
        <f ca="1" t="array" ref="B159">INDEX(Data_DBD!$B:$B,$A159)</f>
        <v>70</v>
      </c>
      <c r="C159" s="36" t="str">
        <f ca="1" t="array" ref="C159">INDEX(Data_DBD!$C:$C,$A159)</f>
        <v>2 Hari</v>
      </c>
      <c r="D159" s="36">
        <f ca="1" t="array" ref="D159">INDEX(Data_DBD!$D:$D,$A159)</f>
        <v>10</v>
      </c>
      <c r="E159" s="36">
        <f ca="1" t="array" ref="E159">INDEX(Data_DBD!$E:$E,$A159)</f>
        <v>0</v>
      </c>
      <c r="F159" s="36" t="str">
        <f ca="1" t="array" ref="F159">INDEX(Data_DBD!$F:$F,$A159)</f>
        <v>Sedang</v>
      </c>
      <c r="H159" s="36">
        <v>153</v>
      </c>
      <c r="I159" s="36">
        <v>73</v>
      </c>
      <c r="J159" s="36">
        <v>7</v>
      </c>
      <c r="K159" s="36">
        <v>21</v>
      </c>
      <c r="L159" s="36">
        <v>1</v>
      </c>
      <c r="M159" s="36" t="s">
        <v>105</v>
      </c>
    </row>
    <row r="160" spans="1:13">
      <c r="A160" s="36">
        <f ca="1" t="shared" si="2"/>
        <v>89</v>
      </c>
      <c r="B160" s="36">
        <f ca="1" t="array" ref="B160">INDEX(Data_DBD!$B:$B,$A160)</f>
        <v>32</v>
      </c>
      <c r="C160" s="36" t="str">
        <f ca="1" t="array" ref="C160">INDEX(Data_DBD!$C:$C,$A160)</f>
        <v>4 Hari</v>
      </c>
      <c r="D160" s="36">
        <f ca="1" t="array" ref="D160">INDEX(Data_DBD!$D:$D,$A160)</f>
        <v>13</v>
      </c>
      <c r="E160" s="36">
        <f ca="1" t="array" ref="E160">INDEX(Data_DBD!$E:$E,$A160)</f>
        <v>0</v>
      </c>
      <c r="F160" s="36" t="str">
        <f ca="1" t="array" ref="F160">INDEX(Data_DBD!$F:$F,$A160)</f>
        <v>Sedang</v>
      </c>
      <c r="H160" s="36">
        <v>122</v>
      </c>
      <c r="I160" s="36">
        <v>28</v>
      </c>
      <c r="J160" s="36">
        <v>3</v>
      </c>
      <c r="K160" s="36">
        <v>33</v>
      </c>
      <c r="L160" s="36">
        <v>1</v>
      </c>
      <c r="M160" s="36" t="s">
        <v>105</v>
      </c>
    </row>
    <row r="161" spans="1:13">
      <c r="A161" s="36">
        <f ca="1" t="shared" si="2"/>
        <v>48</v>
      </c>
      <c r="B161" s="36">
        <f ca="1" t="array" ref="B161">INDEX(Data_DBD!$B:$B,$A161)</f>
        <v>50</v>
      </c>
      <c r="C161" s="36" t="str">
        <f ca="1" t="array" ref="C161">INDEX(Data_DBD!$C:$C,$A161)</f>
        <v>5 Hari</v>
      </c>
      <c r="D161" s="36">
        <f ca="1" t="array" ref="D161">INDEX(Data_DBD!$D:$D,$A161)</f>
        <v>13</v>
      </c>
      <c r="E161" s="36">
        <f ca="1" t="array" ref="E161">INDEX(Data_DBD!$E:$E,$A161)</f>
        <v>1</v>
      </c>
      <c r="F161" s="36" t="str">
        <f ca="1" t="array" ref="F161">INDEX(Data_DBD!$F:$F,$A161)</f>
        <v>Sedang</v>
      </c>
      <c r="H161" s="36">
        <v>34</v>
      </c>
      <c r="I161" s="36">
        <v>55</v>
      </c>
      <c r="J161" s="36">
        <v>3</v>
      </c>
      <c r="K161" s="36">
        <v>14</v>
      </c>
      <c r="L161" s="36">
        <v>0</v>
      </c>
      <c r="M161" s="36" t="s">
        <v>8</v>
      </c>
    </row>
    <row r="162" spans="1:13">
      <c r="A162" s="36">
        <f ca="1" t="shared" si="2"/>
        <v>31</v>
      </c>
      <c r="B162" s="36">
        <f ca="1" t="array" ref="B162">INDEX(Data_DBD!$B:$B,$A162)</f>
        <v>64</v>
      </c>
      <c r="C162" s="36" t="str">
        <f ca="1" t="array" ref="C162">INDEX(Data_DBD!$C:$C,$A162)</f>
        <v>4 Hari</v>
      </c>
      <c r="D162" s="36">
        <f ca="1" t="array" ref="D162">INDEX(Data_DBD!$D:$D,$A162)</f>
        <v>14</v>
      </c>
      <c r="E162" s="36">
        <f ca="1" t="array" ref="E162">INDEX(Data_DBD!$E:$E,$A162)</f>
        <v>1</v>
      </c>
      <c r="F162" s="36" t="str">
        <f ca="1" t="array" ref="F162">INDEX(Data_DBD!$F:$F,$A162)</f>
        <v>Sedang</v>
      </c>
      <c r="H162" s="36">
        <v>127</v>
      </c>
      <c r="I162" s="36">
        <v>21</v>
      </c>
      <c r="J162" s="36">
        <v>2</v>
      </c>
      <c r="K162" s="36">
        <v>33</v>
      </c>
      <c r="L162" s="36">
        <v>0</v>
      </c>
      <c r="M162" s="36" t="s">
        <v>105</v>
      </c>
    </row>
    <row r="163" spans="1:13">
      <c r="A163" s="36">
        <f ca="1" t="shared" si="2"/>
        <v>148</v>
      </c>
      <c r="B163" s="36">
        <f ca="1" t="array" ref="B163">INDEX(Data_DBD!$B:$B,$A163)</f>
        <v>55</v>
      </c>
      <c r="C163" s="36" t="str">
        <f ca="1" t="array" ref="C163">INDEX(Data_DBD!$C:$C,$A163)</f>
        <v>3 Hari</v>
      </c>
      <c r="D163" s="36">
        <f ca="1" t="array" ref="D163">INDEX(Data_DBD!$D:$D,$A163)</f>
        <v>21</v>
      </c>
      <c r="E163" s="36">
        <f ca="1" t="array" ref="E163">INDEX(Data_DBD!$E:$E,$A163)</f>
        <v>1</v>
      </c>
      <c r="F163" s="36" t="str">
        <f ca="1" t="array" ref="F163">INDEX(Data_DBD!$F:$F,$A163)</f>
        <v>Tinggi</v>
      </c>
      <c r="H163" s="36">
        <v>51</v>
      </c>
      <c r="I163" s="36">
        <v>48</v>
      </c>
      <c r="J163" s="36">
        <v>4</v>
      </c>
      <c r="K163" s="36">
        <v>13</v>
      </c>
      <c r="L163" s="36">
        <v>0</v>
      </c>
      <c r="M163" s="36" t="s">
        <v>8</v>
      </c>
    </row>
    <row r="164" spans="1:13">
      <c r="A164" s="36">
        <f ca="1" t="shared" si="2"/>
        <v>27</v>
      </c>
      <c r="B164" s="36">
        <f ca="1" t="array" ref="B164">INDEX(Data_DBD!$B:$B,$A164)</f>
        <v>37</v>
      </c>
      <c r="C164" s="36" t="str">
        <f ca="1" t="array" ref="C164">INDEX(Data_DBD!$C:$C,$A164)</f>
        <v>4 Hari</v>
      </c>
      <c r="D164" s="36">
        <f ca="1" t="array" ref="D164">INDEX(Data_DBD!$D:$D,$A164)</f>
        <v>14</v>
      </c>
      <c r="E164" s="36">
        <f ca="1" t="array" ref="E164">INDEX(Data_DBD!$E:$E,$A164)</f>
        <v>1</v>
      </c>
      <c r="F164" s="36" t="str">
        <f ca="1" t="array" ref="F164">INDEX(Data_DBD!$F:$F,$A164)</f>
        <v>Sedang</v>
      </c>
      <c r="H164" s="36">
        <v>57</v>
      </c>
      <c r="I164" s="36">
        <v>2</v>
      </c>
      <c r="J164" s="36">
        <v>2</v>
      </c>
      <c r="K164" s="36">
        <v>15</v>
      </c>
      <c r="L164" s="36">
        <v>1</v>
      </c>
      <c r="M164" s="36" t="s">
        <v>8</v>
      </c>
    </row>
    <row r="165" spans="9:12">
      <c r="I165">
        <f>AVERAGE(I2:I164)</f>
        <v>32.159509202454</v>
      </c>
      <c r="J165">
        <f>AVERAGE(J2:J164)</f>
        <v>3.66257668711656</v>
      </c>
      <c r="K165">
        <f>AVERAGE(K2:K164)</f>
        <v>18.4110429447853</v>
      </c>
      <c r="L165">
        <f>AVERAGE(L2:L164)</f>
        <v>0.582822085889571</v>
      </c>
    </row>
    <row r="167" spans="2:2">
      <c r="B167">
        <v>18</v>
      </c>
    </row>
    <row r="168" spans="5:20">
      <c r="E168" s="40" t="s">
        <v>207</v>
      </c>
      <c r="J168" s="40" t="s">
        <v>208</v>
      </c>
      <c r="O168" s="40" t="s">
        <v>209</v>
      </c>
      <c r="T168" s="40" t="s">
        <v>210</v>
      </c>
    </row>
    <row r="169" spans="5:22">
      <c r="E169" s="36" t="s">
        <v>1</v>
      </c>
      <c r="F169" s="36">
        <f>AVERAGEIF($I$2:$I$164,"&lt;="&amp;$I$165)</f>
        <v>17.1530612244898</v>
      </c>
      <c r="G169" s="36">
        <f>AVERAGEIF($I$2:$I$164,"&gt;"&amp;$I$165)</f>
        <v>54.7846153846154</v>
      </c>
      <c r="J169" s="36" t="s">
        <v>211</v>
      </c>
      <c r="K169" s="36">
        <f>AVERAGEIF($J$2:$J$164,"&lt;="&amp;$J$165)</f>
        <v>2.48051948051948</v>
      </c>
      <c r="L169" s="36">
        <f>AVERAGEIF($J$2:$J$164,"&gt;"&amp;$J$165)</f>
        <v>4.72093023255814</v>
      </c>
      <c r="O169" s="36" t="s">
        <v>212</v>
      </c>
      <c r="P169" s="36">
        <f>AVERAGEIF($K$2:$K$164,"&lt;="&amp;$K$165)</f>
        <v>12.6037735849057</v>
      </c>
      <c r="Q169" s="36">
        <f>AVERAGEIF($K$2:$K$164,"&gt;"&amp;$K$165)</f>
        <v>29.2105263157895</v>
      </c>
      <c r="T169" s="36" t="s">
        <v>213</v>
      </c>
      <c r="U169" s="36">
        <f>AVERAGEIF($L$2:$L$164,"&lt;="&amp;$L$165)</f>
        <v>0</v>
      </c>
      <c r="V169" s="36">
        <f>AVERAGEIF($L$2:$L$164,"&gt;"&amp;$L$165)</f>
        <v>1</v>
      </c>
    </row>
    <row r="170" spans="5:22">
      <c r="E170" s="36" t="str">
        <f t="array" ref="E170:E332">IF($I$2:$I$164&lt;$F$169,"kiri",IF($I$2:$I$164&lt;$G$169,"tengah","kanan"))</f>
        <v>tengah</v>
      </c>
      <c r="F170" s="36" t="s">
        <v>254</v>
      </c>
      <c r="G170" s="36"/>
      <c r="J170" s="36" t="str">
        <f t="array" ref="J170:J332">IF($J$2:$J$164&lt;$K$169,"kiri",IF($J$2:$J$164&lt;$L$169,"tengah","kanan"))</f>
        <v>tengah</v>
      </c>
      <c r="K170" s="36" t="s">
        <v>255</v>
      </c>
      <c r="L170" s="36"/>
      <c r="O170" s="36" t="str">
        <f t="array" ref="O170:O332">IF($K$2:$K$164&lt;$P$169,"kiri",IF($K$2:$K$164&lt;$Q$169,"tengah","kanan"))</f>
        <v>kiri</v>
      </c>
      <c r="P170" s="36" t="s">
        <v>256</v>
      </c>
      <c r="Q170" s="36"/>
      <c r="T170" s="36" t="str">
        <f t="array" ref="T170:T332">IF($L$2:$L$164&lt;$U$169,"kiri",IF($L$2:$L$164&lt;$V$169,"tengah","kanan"))</f>
        <v>kanan</v>
      </c>
      <c r="U170" s="36" t="s">
        <v>217</v>
      </c>
      <c r="V170" s="36"/>
    </row>
    <row r="171" spans="5:22">
      <c r="E171" s="36" t="str">
        <v>tengah</v>
      </c>
      <c r="F171" s="36">
        <f>COUNTIFS($E$170:$E$332,"Kanan",$M$2:$M$164,"Tinggi")</f>
        <v>19</v>
      </c>
      <c r="G171" s="36">
        <f>F171/34</f>
        <v>0.558823529411765</v>
      </c>
      <c r="J171" s="36" t="str">
        <v>kiri</v>
      </c>
      <c r="K171" s="36">
        <f>COUNTIFS($J$170:$J$332,"Kanan",$M$2:$M$164,"Tinggi")</f>
        <v>15</v>
      </c>
      <c r="L171" s="36">
        <f>K171/33</f>
        <v>0.454545454545455</v>
      </c>
      <c r="O171" s="36" t="str">
        <v>kanan</v>
      </c>
      <c r="P171" s="36">
        <f>COUNTIFS($O$170:$O$332,"Kanan",$M$2:$M$164,"Tinggi")</f>
        <v>39</v>
      </c>
      <c r="Q171" s="36">
        <f>P171/39</f>
        <v>1</v>
      </c>
      <c r="T171" s="36" t="str">
        <v>tengah</v>
      </c>
      <c r="U171" s="36">
        <f>COUNTIFS($T$170:$T$332,"Kanan",$M$2:$M$164,"Tinggi")</f>
        <v>47</v>
      </c>
      <c r="V171" s="36">
        <f>U171/95</f>
        <v>0.494736842105263</v>
      </c>
    </row>
    <row r="172" spans="5:22">
      <c r="E172" s="36" t="str">
        <v>tengah</v>
      </c>
      <c r="F172" s="36">
        <f>COUNTIFS($E$170:$E$332,"Kanan",$M$2:$M$164,"Sedang")</f>
        <v>15</v>
      </c>
      <c r="G172" s="36">
        <f>F172/34</f>
        <v>0.441176470588235</v>
      </c>
      <c r="J172" s="36" t="str">
        <v>tengah</v>
      </c>
      <c r="K172" s="36">
        <f>COUNTIFS($J$170:$J$332,"Kanan",$M$2:$M$164,"Sedang")</f>
        <v>16</v>
      </c>
      <c r="L172" s="36">
        <f>K172/33</f>
        <v>0.484848484848485</v>
      </c>
      <c r="O172" s="36" t="str">
        <v>tengah</v>
      </c>
      <c r="P172" s="36">
        <f>COUNTIFS($O$170:$O$332,"Kanan",$M$2:$M$164,"Sedang")</f>
        <v>0</v>
      </c>
      <c r="Q172" s="36">
        <f>P172/39</f>
        <v>0</v>
      </c>
      <c r="T172" s="36" t="str">
        <v>kanan</v>
      </c>
      <c r="U172" s="36">
        <f>COUNTIFS($T$170:$T$332,"Kanan",$M$2:$M$164,"Sedang")</f>
        <v>36</v>
      </c>
      <c r="V172" s="36">
        <f>U172/95</f>
        <v>0.378947368421053</v>
      </c>
    </row>
    <row r="173" spans="5:22">
      <c r="E173" s="36" t="str">
        <v>kiri</v>
      </c>
      <c r="F173" s="36">
        <f>COUNTIFS($E$170:$E$332,"Kanan",$M$2:$M$164,"Rendah")</f>
        <v>0</v>
      </c>
      <c r="G173" s="36">
        <f>F173/34</f>
        <v>0</v>
      </c>
      <c r="J173" s="36" t="str">
        <v>kiri</v>
      </c>
      <c r="K173" s="36">
        <f>COUNTIFS($J$170:$J$332,"Kanan",$M$2:$M$164,"Rendah")</f>
        <v>2</v>
      </c>
      <c r="L173" s="36">
        <f>K173/33</f>
        <v>0.0606060606060606</v>
      </c>
      <c r="O173" s="36" t="str">
        <v>kanan</v>
      </c>
      <c r="P173" s="36">
        <f>COUNTIFS($O$170:$O$332,"Kanan",$M$2:$M$164,"Rendah")</f>
        <v>0</v>
      </c>
      <c r="Q173" s="36">
        <f>P173/29</f>
        <v>0</v>
      </c>
      <c r="T173" s="36" t="str">
        <v>kanan</v>
      </c>
      <c r="U173" s="36">
        <f>COUNTIFS($T$170:$T$332,"Kanan",$M$2:$M$164,"Rendah")</f>
        <v>12</v>
      </c>
      <c r="V173" s="36">
        <f>U173/95</f>
        <v>0.126315789473684</v>
      </c>
    </row>
    <row r="174" spans="5:22">
      <c r="E174" s="36" t="str">
        <v>kanan</v>
      </c>
      <c r="F174" s="36" t="s">
        <v>218</v>
      </c>
      <c r="G174" s="36">
        <f>-(IFERROR(G171*LOG(G171,2),0)+IFERROR(G172*LOG(G172,2),0)+IFERROR(G173*LOG(G173,2),0))</f>
        <v>0.989992791557519</v>
      </c>
      <c r="J174" s="36" t="str">
        <v>kanan</v>
      </c>
      <c r="K174" s="36" t="s">
        <v>218</v>
      </c>
      <c r="L174" s="36">
        <f>-(IFERROR(L171*LOG(L171,2),0)+IFERROR(L172*LOG(L172,2),0)+IFERROR(L173*LOG(L173,2),0))</f>
        <v>1.26853475771822</v>
      </c>
      <c r="O174" s="36" t="str">
        <v>tengah</v>
      </c>
      <c r="P174" s="36" t="s">
        <v>218</v>
      </c>
      <c r="Q174" s="36">
        <f>-(IFERROR(Q171*LOG(Q171,2),0)+IFERROR(Q172*LOG(Q172,2),0)+IFERROR(Q173*LOG(Q173,2),0))</f>
        <v>0</v>
      </c>
      <c r="T174" s="36" t="str">
        <v>tengah</v>
      </c>
      <c r="U174" s="36" t="s">
        <v>218</v>
      </c>
      <c r="V174" s="36">
        <f>-(IFERROR(V171*LOG(V171,2),0)+IFERROR(V172*LOG(V172,2),0)+IFERROR(V173*LOG(V173,2),0))</f>
        <v>1.40982901791594</v>
      </c>
    </row>
    <row r="175" spans="5:22">
      <c r="E175" s="36" t="str">
        <v>tengah</v>
      </c>
      <c r="F175" s="36"/>
      <c r="G175" s="36">
        <f>SUM(F171:F173)/163</f>
        <v>0.208588957055215</v>
      </c>
      <c r="J175" s="36" t="str">
        <v>tengah</v>
      </c>
      <c r="K175" s="36"/>
      <c r="L175" s="36">
        <f>SUM(K171:K173)/163</f>
        <v>0.202453987730061</v>
      </c>
      <c r="O175" s="36" t="str">
        <v>tengah</v>
      </c>
      <c r="P175" s="36"/>
      <c r="Q175" s="36">
        <f>SUM(P171:P173)/163</f>
        <v>0.239263803680982</v>
      </c>
      <c r="T175" s="36" t="str">
        <v>tengah</v>
      </c>
      <c r="U175" s="36"/>
      <c r="V175" s="36">
        <f>SUM(U171:U173)/163</f>
        <v>0.582822085889571</v>
      </c>
    </row>
    <row r="176" spans="5:22">
      <c r="E176" s="36" t="str">
        <v>kiri</v>
      </c>
      <c r="F176" s="36"/>
      <c r="G176" s="41">
        <f>G174*G175</f>
        <v>0.206501563883163</v>
      </c>
      <c r="J176" s="36" t="str">
        <v>tengah</v>
      </c>
      <c r="K176" s="36"/>
      <c r="L176" s="41">
        <f>L174*L175</f>
        <v>0.25681992027424</v>
      </c>
      <c r="O176" s="36" t="str">
        <v>kanan</v>
      </c>
      <c r="P176" s="36"/>
      <c r="Q176" s="41">
        <f>Q174*Q175</f>
        <v>0</v>
      </c>
      <c r="T176" s="36" t="str">
        <v>kanan</v>
      </c>
      <c r="U176" s="36"/>
      <c r="V176" s="41">
        <f>V174*V175</f>
        <v>0.821679488969411</v>
      </c>
    </row>
    <row r="177" spans="5:22">
      <c r="E177" s="36" t="str">
        <v>tengah</v>
      </c>
      <c r="F177" s="36"/>
      <c r="G177" s="36"/>
      <c r="J177" s="36" t="str">
        <v>tengah</v>
      </c>
      <c r="K177" s="36"/>
      <c r="L177" s="36"/>
      <c r="O177" s="36" t="str">
        <v>kiri</v>
      </c>
      <c r="P177" s="36"/>
      <c r="Q177" s="36"/>
      <c r="T177" s="36" t="str">
        <v>kanan</v>
      </c>
      <c r="U177" s="36"/>
      <c r="V177" s="36"/>
    </row>
    <row r="178" spans="5:22">
      <c r="E178" s="36" t="str">
        <v>tengah</v>
      </c>
      <c r="F178" s="36"/>
      <c r="G178" s="36"/>
      <c r="J178" s="36" t="str">
        <v>tengah</v>
      </c>
      <c r="K178" s="36"/>
      <c r="L178" s="36"/>
      <c r="O178" s="36" t="str">
        <v>tengah</v>
      </c>
      <c r="P178" s="36"/>
      <c r="Q178" s="36"/>
      <c r="T178" s="36" t="str">
        <v>kanan</v>
      </c>
      <c r="U178" s="36"/>
      <c r="V178" s="36"/>
    </row>
    <row r="179" spans="5:22">
      <c r="E179" s="36" t="str">
        <v>tengah</v>
      </c>
      <c r="F179" s="36" t="s">
        <v>257</v>
      </c>
      <c r="G179" s="36"/>
      <c r="J179" s="36" t="str">
        <v>tengah</v>
      </c>
      <c r="K179" s="36" t="s">
        <v>258</v>
      </c>
      <c r="L179" s="36"/>
      <c r="O179" s="36" t="str">
        <v>tengah</v>
      </c>
      <c r="P179" s="36" t="s">
        <v>259</v>
      </c>
      <c r="Q179" s="36"/>
      <c r="T179" s="36" t="str">
        <v>tengah</v>
      </c>
      <c r="U179" s="36" t="s">
        <v>222</v>
      </c>
      <c r="V179" s="36"/>
    </row>
    <row r="180" spans="5:22">
      <c r="E180" s="36" t="str">
        <v>kanan</v>
      </c>
      <c r="F180" s="36">
        <f>COUNTIFS($E$170:$E$332,"Kiri",$M$2:$M$164,"Tinggi")</f>
        <v>19</v>
      </c>
      <c r="G180" s="36">
        <f>F180/44</f>
        <v>0.431818181818182</v>
      </c>
      <c r="J180" s="36" t="str">
        <v>tengah</v>
      </c>
      <c r="K180" s="36">
        <f>COUNTIFS($J$170:$J$332,"Kiri",$M$2:$M$164,"Tinggi")</f>
        <v>18</v>
      </c>
      <c r="L180" s="36">
        <f>K180/31</f>
        <v>0.580645161290323</v>
      </c>
      <c r="O180" s="36" t="str">
        <v>tengah</v>
      </c>
      <c r="P180" s="36">
        <f>COUNTIFS($O$170:$O$332,"Kiri",$M$2:$M$164,"Tinggi")</f>
        <v>0</v>
      </c>
      <c r="Q180" s="36">
        <f>P180/57</f>
        <v>0</v>
      </c>
      <c r="T180" s="36" t="str">
        <v>tengah</v>
      </c>
      <c r="U180" s="36">
        <f>COUNTIFS($T$170:$T$332,"Kiri",$M$2:$M$164,"Tinggi")</f>
        <v>0</v>
      </c>
      <c r="V180" s="36">
        <f>U180/95</f>
        <v>0</v>
      </c>
    </row>
    <row r="181" spans="5:22">
      <c r="E181" s="36" t="str">
        <v>tengah</v>
      </c>
      <c r="F181" s="36">
        <f>COUNTIFS($E$170:$E$332,"Kiri",$M$2:$M$164,"Sedang")</f>
        <v>20</v>
      </c>
      <c r="G181" s="36">
        <f>F181/44</f>
        <v>0.454545454545455</v>
      </c>
      <c r="J181" s="36" t="str">
        <v>kiri</v>
      </c>
      <c r="K181" s="36">
        <f>COUNTIFS($J$170:$J$332,"Kiri",$M$2:$M$164,"Sedang")</f>
        <v>11</v>
      </c>
      <c r="L181" s="36">
        <f>K181/31</f>
        <v>0.354838709677419</v>
      </c>
      <c r="O181" s="36" t="str">
        <v>tengah</v>
      </c>
      <c r="P181" s="36">
        <f>COUNTIFS($O$170:$O$332,"Kiri",$M$2:$M$164,"Sedang")</f>
        <v>13</v>
      </c>
      <c r="Q181" s="36">
        <f>P181/31</f>
        <v>0.419354838709677</v>
      </c>
      <c r="T181" s="36" t="str">
        <v>kanan</v>
      </c>
      <c r="U181" s="36">
        <f>COUNTIFS($T$170:$T$332,"Kiri",$M$2:$M$164,"Sedang")</f>
        <v>0</v>
      </c>
      <c r="V181" s="36">
        <f>U181/95</f>
        <v>0</v>
      </c>
    </row>
    <row r="182" spans="5:22">
      <c r="E182" s="36" t="str">
        <v>tengah</v>
      </c>
      <c r="F182" s="36">
        <f>COUNTIFS($E$170:$E$332,"Kiri",$M$2:$M$164,"Rendah")</f>
        <v>5</v>
      </c>
      <c r="G182" s="36">
        <f>F182/44</f>
        <v>0.113636363636364</v>
      </c>
      <c r="J182" s="36" t="str">
        <v>kanan</v>
      </c>
      <c r="K182" s="36">
        <f>COUNTIFS($J$170:$J$332,"Kiri",$M$2:$M$164,"Rendah")</f>
        <v>2</v>
      </c>
      <c r="L182" s="36">
        <f>K182/31</f>
        <v>0.0645161290322581</v>
      </c>
      <c r="O182" s="36" t="str">
        <v>tengah</v>
      </c>
      <c r="P182" s="36">
        <f>COUNTIFS($O$170:$O$332,"Kiri",$M$2:$M$164,"Rendah")</f>
        <v>18</v>
      </c>
      <c r="Q182" s="36">
        <f>P182/31</f>
        <v>0.580645161290323</v>
      </c>
      <c r="T182" s="36" t="str">
        <v>kanan</v>
      </c>
      <c r="U182" s="36">
        <f>COUNTIFS($T$170:$T$332,"Kiri",$M$2:$M$164,"Rendah")</f>
        <v>0</v>
      </c>
      <c r="V182" s="36">
        <f>U182/95</f>
        <v>0</v>
      </c>
    </row>
    <row r="183" spans="5:22">
      <c r="E183" s="36" t="str">
        <v>kiri</v>
      </c>
      <c r="F183" s="36" t="s">
        <v>218</v>
      </c>
      <c r="G183" s="36">
        <f>-(IFERROR(G180*LOG(G180,2),0)+IFERROR(G181*LOG(G181,2),0)+IFERROR(G182*LOG(G182,2),0))</f>
        <v>1.3967310475552</v>
      </c>
      <c r="J183" s="36" t="str">
        <v>kiri</v>
      </c>
      <c r="K183" s="36" t="s">
        <v>218</v>
      </c>
      <c r="L183" s="36">
        <f>-(IFERROR(L180*LOG(L180,2),0)+IFERROR(L181*LOG(L181,2),0)+IFERROR(L182*LOG(L182,2),0))</f>
        <v>1.24089315454907</v>
      </c>
      <c r="O183" s="36" t="str">
        <v>kanan</v>
      </c>
      <c r="P183" s="36" t="s">
        <v>218</v>
      </c>
      <c r="Q183" s="36">
        <f>-(IFERROR(Q180*LOG(Q180,2),0)+IFERROR(Q181*LOG(Q181,2),0)+IFERROR(Q182*LOG(Q182,2),0))</f>
        <v>0.981152234199913</v>
      </c>
      <c r="T183" s="36" t="str">
        <v>tengah</v>
      </c>
      <c r="U183" s="36" t="s">
        <v>218</v>
      </c>
      <c r="V183" s="36">
        <f>-(IFERROR(V180*LOG(V180,2),0)+IFERROR(V181*LOG(V181,2),0)+IFERROR(V182*LOG(V182,2),0))</f>
        <v>0</v>
      </c>
    </row>
    <row r="184" spans="5:22">
      <c r="E184" s="36" t="str">
        <v>tengah</v>
      </c>
      <c r="F184" s="36"/>
      <c r="G184" s="36">
        <f>SUM(F180:F182)/163</f>
        <v>0.269938650306748</v>
      </c>
      <c r="J184" s="36" t="str">
        <v>tengah</v>
      </c>
      <c r="K184" s="36"/>
      <c r="L184" s="36">
        <f>SUM(K180:K182)/163</f>
        <v>0.190184049079755</v>
      </c>
      <c r="O184" s="36" t="str">
        <v>kanan</v>
      </c>
      <c r="P184" s="36"/>
      <c r="Q184" s="36">
        <f>SUM(P180:P182)/163</f>
        <v>0.190184049079755</v>
      </c>
      <c r="T184" s="36" t="str">
        <v>tengah</v>
      </c>
      <c r="U184" s="36"/>
      <c r="V184" s="36">
        <f>SUM(U180:U182)/163</f>
        <v>0</v>
      </c>
    </row>
    <row r="185" spans="5:22">
      <c r="E185" s="36" t="str">
        <v>tengah</v>
      </c>
      <c r="F185" s="36"/>
      <c r="G185" s="41">
        <f>G183*G184</f>
        <v>0.377031693818582</v>
      </c>
      <c r="J185" s="36" t="str">
        <v>tengah</v>
      </c>
      <c r="K185" s="36"/>
      <c r="L185" s="41">
        <f>L183*L184</f>
        <v>0.235998084607492</v>
      </c>
      <c r="O185" s="36" t="str">
        <v>kiri</v>
      </c>
      <c r="P185" s="36"/>
      <c r="Q185" s="41">
        <f>Q183*Q184</f>
        <v>0.186599504663787</v>
      </c>
      <c r="T185" s="36" t="str">
        <v>kanan</v>
      </c>
      <c r="U185" s="36"/>
      <c r="V185" s="41">
        <f>V183*V184</f>
        <v>0</v>
      </c>
    </row>
    <row r="186" spans="5:22">
      <c r="E186" s="36" t="str">
        <v>kiri</v>
      </c>
      <c r="F186" s="36"/>
      <c r="G186" s="36"/>
      <c r="J186" s="36" t="str">
        <v>tengah</v>
      </c>
      <c r="K186" s="36"/>
      <c r="L186" s="36"/>
      <c r="O186" s="36" t="str">
        <v>kiri</v>
      </c>
      <c r="P186" s="36"/>
      <c r="Q186" s="36"/>
      <c r="T186" s="36" t="str">
        <v>tengah</v>
      </c>
      <c r="U186" s="36"/>
      <c r="V186" s="36"/>
    </row>
    <row r="187" spans="5:22">
      <c r="E187" s="36" t="str">
        <v>kiri</v>
      </c>
      <c r="F187" s="36"/>
      <c r="G187" s="36"/>
      <c r="J187" s="36" t="str">
        <v>tengah</v>
      </c>
      <c r="K187" s="36"/>
      <c r="L187" s="36"/>
      <c r="O187" s="36" t="str">
        <v>kanan</v>
      </c>
      <c r="P187" s="36"/>
      <c r="Q187" s="36"/>
      <c r="T187" s="36" t="str">
        <v>kanan</v>
      </c>
      <c r="U187" s="36"/>
      <c r="V187" s="36"/>
    </row>
    <row r="188" spans="5:22">
      <c r="E188" s="36" t="str">
        <v>tengah</v>
      </c>
      <c r="F188" s="36" t="s">
        <v>223</v>
      </c>
      <c r="G188" s="36"/>
      <c r="J188" s="36" t="str">
        <v>tengah</v>
      </c>
      <c r="K188" s="36" t="s">
        <v>223</v>
      </c>
      <c r="L188" s="36"/>
      <c r="O188" s="36" t="str">
        <v>tengah</v>
      </c>
      <c r="P188" s="36" t="s">
        <v>223</v>
      </c>
      <c r="Q188" s="36"/>
      <c r="T188" s="36" t="str">
        <v>kanan</v>
      </c>
      <c r="U188" s="36" t="s">
        <v>223</v>
      </c>
      <c r="V188" s="36"/>
    </row>
    <row r="189" spans="5:22">
      <c r="E189" s="36" t="str">
        <v>tengah</v>
      </c>
      <c r="F189" s="36">
        <f>COUNTIFS($E$170:$E$332,"Tengah",$M$2:$M$164,"Tinggi")</f>
        <v>37</v>
      </c>
      <c r="G189" s="36">
        <f>F189/85</f>
        <v>0.435294117647059</v>
      </c>
      <c r="J189" s="36" t="str">
        <v>kiri</v>
      </c>
      <c r="K189" s="36">
        <f>COUNTIFS($J$170:$J$332,"Tengah",$M$2:$M$164,"Tinggi")</f>
        <v>42</v>
      </c>
      <c r="L189" s="36">
        <f>K189/99</f>
        <v>0.424242424242424</v>
      </c>
      <c r="O189" s="36" t="str">
        <v>kiri</v>
      </c>
      <c r="P189" s="36">
        <f>COUNTIFS($O$170:$O$332,"Tengah",$M$2:$M$164,"Tinggi")</f>
        <v>36</v>
      </c>
      <c r="Q189" s="36">
        <f>P189/93</f>
        <v>0.387096774193548</v>
      </c>
      <c r="T189" s="36" t="str">
        <v>tengah</v>
      </c>
      <c r="U189" s="36">
        <f>COUNTIFS($T$170:$T$332,"Tengah",$M$2:$M$164,"Tinggi")</f>
        <v>28</v>
      </c>
      <c r="V189" s="36">
        <f>U189/68</f>
        <v>0.411764705882353</v>
      </c>
    </row>
    <row r="190" spans="5:22">
      <c r="E190" s="36" t="str">
        <v>tengah</v>
      </c>
      <c r="F190" s="36">
        <f>COUNTIFS($E$170:$E$332,"Tengah",$M$2:$M$164,"Sedang")</f>
        <v>35</v>
      </c>
      <c r="G190" s="36">
        <f>F190/85</f>
        <v>0.411764705882353</v>
      </c>
      <c r="J190" s="36" t="str">
        <v>kanan</v>
      </c>
      <c r="K190" s="36">
        <f>COUNTIFS($J$170:$J$332,"Tengah",$M$2:$M$164,"Sedang")</f>
        <v>43</v>
      </c>
      <c r="L190" s="36">
        <f>K190/99</f>
        <v>0.434343434343434</v>
      </c>
      <c r="O190" s="36" t="str">
        <v>tengah</v>
      </c>
      <c r="P190" s="36">
        <f>COUNTIFS($O$170:$O$332,"Tengah",$M$2:$M$164,"Sedang")</f>
        <v>57</v>
      </c>
      <c r="Q190" s="36">
        <f>P190/93</f>
        <v>0.612903225806452</v>
      </c>
      <c r="T190" s="36" t="str">
        <v>tengah</v>
      </c>
      <c r="U190" s="36">
        <f>COUNTIFS($T$170:$T$332,"Tengah",$M$2:$M$164,"Sedang")</f>
        <v>34</v>
      </c>
      <c r="V190" s="36">
        <f>U190/68</f>
        <v>0.5</v>
      </c>
    </row>
    <row r="191" spans="5:22">
      <c r="E191" s="36" t="str">
        <v>tengah</v>
      </c>
      <c r="F191" s="36">
        <f>COUNTIFS($E$170:$E$332,"Tengah",$M$2:$M$164,"Rendah")</f>
        <v>13</v>
      </c>
      <c r="G191" s="36">
        <f>F191/85</f>
        <v>0.152941176470588</v>
      </c>
      <c r="J191" s="36" t="str">
        <v>kiri</v>
      </c>
      <c r="K191" s="36">
        <f>COUNTIFS($J$170:$J$332,"Tengah",$M$2:$M$164,"Rendah")</f>
        <v>14</v>
      </c>
      <c r="L191" s="36">
        <f>K191/99</f>
        <v>0.141414141414141</v>
      </c>
      <c r="O191" s="36" t="str">
        <v>kiri</v>
      </c>
      <c r="P191" s="36">
        <f>COUNTIFS($O$170:$O$332,"Tengah",$M$2:$M$164,"Rendah")</f>
        <v>0</v>
      </c>
      <c r="Q191" s="36">
        <f>P191/93</f>
        <v>0</v>
      </c>
      <c r="T191" s="36" t="str">
        <v>tengah</v>
      </c>
      <c r="U191" s="36">
        <f>COUNTIFS($T$170:$T$332,"Tengah",$M$2:$M$164,"Rendah")</f>
        <v>6</v>
      </c>
      <c r="V191" s="36">
        <f>U191/68</f>
        <v>0.0882352941176471</v>
      </c>
    </row>
    <row r="192" spans="5:22">
      <c r="E192" s="36" t="str">
        <v>kiri</v>
      </c>
      <c r="F192" s="36" t="s">
        <v>218</v>
      </c>
      <c r="G192" s="36">
        <f>-(IFERROR(G189*LOG(G189,2),0)+IFERROR(G190*LOG(G190,2),0)+IFERROR(G191*LOG(G191,2),0))</f>
        <v>1.46373921311206</v>
      </c>
      <c r="J192" s="36" t="str">
        <v>kiri</v>
      </c>
      <c r="K192" s="36" t="s">
        <v>218</v>
      </c>
      <c r="L192" s="36">
        <f>-(IFERROR(L189*LOG(L189,2),0)+IFERROR(L190*LOG(L190,2),0)+IFERROR(L191*LOG(L191,2),0))</f>
        <v>1.44643050777956</v>
      </c>
      <c r="O192" s="36" t="str">
        <v>tengah</v>
      </c>
      <c r="P192" s="36" t="s">
        <v>218</v>
      </c>
      <c r="Q192" s="36">
        <f>-(IFERROR(Q189*LOG(Q189,2),0)+IFERROR(Q190*LOG(Q190,2),0)+IFERROR(Q191*LOG(Q191,2),0))</f>
        <v>0.962900414771327</v>
      </c>
      <c r="T192" s="36" t="str">
        <v>kanan</v>
      </c>
      <c r="U192" s="36" t="s">
        <v>218</v>
      </c>
      <c r="V192" s="36">
        <f>-(IFERROR(V189*LOG(V189,2),0)+IFERROR(V190*LOG(V190,2),0)+IFERROR(V191*LOG(V191,2),0))</f>
        <v>1.33614740853782</v>
      </c>
    </row>
    <row r="193" spans="5:22">
      <c r="E193" s="36" t="str">
        <v>kiri</v>
      </c>
      <c r="F193" s="36"/>
      <c r="G193" s="36">
        <f>SUM(F189:F191)/163</f>
        <v>0.521472392638037</v>
      </c>
      <c r="J193" s="36" t="str">
        <v>tengah</v>
      </c>
      <c r="K193" s="36"/>
      <c r="L193" s="36">
        <f>SUM(K189:K191)/163</f>
        <v>0.607361963190184</v>
      </c>
      <c r="O193" s="36" t="str">
        <v>tengah</v>
      </c>
      <c r="P193" s="36"/>
      <c r="Q193" s="36">
        <f>SUM(P189:P191)/163</f>
        <v>0.570552147239264</v>
      </c>
      <c r="T193" s="36" t="str">
        <v>tengah</v>
      </c>
      <c r="U193" s="36"/>
      <c r="V193" s="36">
        <f>SUM(U189:U191)/163</f>
        <v>0.417177914110429</v>
      </c>
    </row>
    <row r="194" spans="5:22">
      <c r="E194" s="36" t="str">
        <v>tengah</v>
      </c>
      <c r="F194" s="36"/>
      <c r="G194" s="41">
        <f>G192*G193</f>
        <v>0.763299589659665</v>
      </c>
      <c r="J194" s="36" t="str">
        <v>tengah</v>
      </c>
      <c r="K194" s="36"/>
      <c r="L194" s="41">
        <f>L192*L193</f>
        <v>0.87850687282317</v>
      </c>
      <c r="O194" s="36" t="str">
        <v>tengah</v>
      </c>
      <c r="P194" s="36"/>
      <c r="Q194" s="41">
        <f>Q192*Q193</f>
        <v>0.549384899225358</v>
      </c>
      <c r="T194" s="36" t="str">
        <v>tengah</v>
      </c>
      <c r="U194" s="36"/>
      <c r="V194" s="41">
        <f>V192*V193</f>
        <v>0.557411188837863</v>
      </c>
    </row>
    <row r="195" spans="5:22">
      <c r="E195" s="36" t="str">
        <v>tengah</v>
      </c>
      <c r="F195" s="36"/>
      <c r="G195" s="36"/>
      <c r="J195" s="36" t="str">
        <v>tengah</v>
      </c>
      <c r="K195" s="36"/>
      <c r="L195" s="36"/>
      <c r="O195" s="36" t="str">
        <v>kiri</v>
      </c>
      <c r="P195" s="36"/>
      <c r="Q195" s="36"/>
      <c r="T195" s="36" t="str">
        <v>kanan</v>
      </c>
      <c r="U195" s="36"/>
      <c r="V195" s="36"/>
    </row>
    <row r="196" spans="5:22">
      <c r="E196" s="36" t="str">
        <v>tengah</v>
      </c>
      <c r="F196" s="36" t="s">
        <v>224</v>
      </c>
      <c r="G196" s="45" t="s">
        <v>218</v>
      </c>
      <c r="J196" s="36" t="str">
        <v>kanan</v>
      </c>
      <c r="K196" s="36" t="s">
        <v>224</v>
      </c>
      <c r="L196" s="45" t="s">
        <v>218</v>
      </c>
      <c r="O196" s="36" t="str">
        <v>tengah</v>
      </c>
      <c r="P196" s="36" t="s">
        <v>224</v>
      </c>
      <c r="Q196" s="45" t="s">
        <v>218</v>
      </c>
      <c r="T196" s="36" t="str">
        <v>tengah</v>
      </c>
      <c r="U196" s="36" t="s">
        <v>224</v>
      </c>
      <c r="V196" s="36" t="s">
        <v>218</v>
      </c>
    </row>
    <row r="197" spans="5:22">
      <c r="E197" s="36" t="str">
        <v>tengah</v>
      </c>
      <c r="F197" s="46">
        <f>P5-(G176+G185+G194)</f>
        <v>0.0431844909230388</v>
      </c>
      <c r="G197" s="41">
        <f>(G176+G185+G194)</f>
        <v>1.34683284736141</v>
      </c>
      <c r="J197" s="36" t="str">
        <v>tengah</v>
      </c>
      <c r="K197" s="46">
        <f>P5-(L176+L185+L194)</f>
        <v>0.0186924605795469</v>
      </c>
      <c r="L197" s="41">
        <f>(L176+L185+L194)</f>
        <v>1.3713248777049</v>
      </c>
      <c r="O197" s="36" t="str">
        <v>tengah</v>
      </c>
      <c r="P197" s="46">
        <f>P5-(Q176+Q185+Q194)</f>
        <v>0.654032934395304</v>
      </c>
      <c r="Q197" s="41">
        <f>(Q176+Q185+Q194)</f>
        <v>0.735984403889145</v>
      </c>
      <c r="T197" s="36" t="str">
        <v>kanan</v>
      </c>
      <c r="U197" s="46">
        <f>P5-(V176+V185+V194)</f>
        <v>0.0109266604771758</v>
      </c>
      <c r="V197" s="41">
        <f>(V176+V185+V194)</f>
        <v>1.37909067780727</v>
      </c>
    </row>
    <row r="198" spans="5:22">
      <c r="E198" s="36" t="str">
        <v>tengah</v>
      </c>
      <c r="F198" s="36"/>
      <c r="G198" s="36"/>
      <c r="J198" s="36" t="str">
        <v>tengah</v>
      </c>
      <c r="K198" s="36"/>
      <c r="L198" s="36"/>
      <c r="O198" s="36" t="str">
        <v>tengah</v>
      </c>
      <c r="P198" s="36"/>
      <c r="Q198" s="36"/>
      <c r="T198" s="36" t="str">
        <v>tengah</v>
      </c>
      <c r="U198" s="36"/>
      <c r="V198" s="36"/>
    </row>
    <row r="199" spans="5:22">
      <c r="E199" s="36" t="str">
        <v>tengah</v>
      </c>
      <c r="F199" s="36"/>
      <c r="G199" s="36"/>
      <c r="J199" s="36" t="str">
        <v>tengah</v>
      </c>
      <c r="K199" s="36"/>
      <c r="L199" s="36"/>
      <c r="O199" s="36" t="str">
        <v>tengah</v>
      </c>
      <c r="P199" s="36"/>
      <c r="Q199" s="36"/>
      <c r="T199" s="36" t="str">
        <v>tengah</v>
      </c>
      <c r="U199" s="36"/>
      <c r="V199" s="36"/>
    </row>
    <row r="200" spans="5:22">
      <c r="E200" s="36" t="str">
        <v>kanan</v>
      </c>
      <c r="F200" s="36"/>
      <c r="G200" s="36"/>
      <c r="J200" s="36" t="str">
        <v>kiri</v>
      </c>
      <c r="K200" s="36"/>
      <c r="L200" s="36"/>
      <c r="O200" s="36" t="str">
        <v>kanan</v>
      </c>
      <c r="P200" s="36"/>
      <c r="Q200" s="36"/>
      <c r="T200" s="36" t="str">
        <v>kanan</v>
      </c>
      <c r="U200" s="36"/>
      <c r="V200" s="36"/>
    </row>
    <row r="201" spans="5:22">
      <c r="E201" s="36" t="str">
        <v>tengah</v>
      </c>
      <c r="F201" s="36"/>
      <c r="G201" s="36"/>
      <c r="J201" s="36" t="str">
        <v>tengah</v>
      </c>
      <c r="K201" s="36"/>
      <c r="L201" s="36"/>
      <c r="O201" s="36" t="str">
        <v>tengah</v>
      </c>
      <c r="P201" s="36"/>
      <c r="Q201" s="36"/>
      <c r="T201" s="36" t="str">
        <v>kanan</v>
      </c>
      <c r="U201" s="36"/>
      <c r="V201" s="36"/>
    </row>
    <row r="202" spans="5:22">
      <c r="E202" s="36" t="str">
        <v>kiri</v>
      </c>
      <c r="F202" s="36"/>
      <c r="G202" s="36"/>
      <c r="J202" s="36" t="str">
        <v>tengah</v>
      </c>
      <c r="K202" s="36"/>
      <c r="L202" s="36"/>
      <c r="O202" s="36" t="str">
        <v>tengah</v>
      </c>
      <c r="P202" s="36"/>
      <c r="Q202" s="36"/>
      <c r="T202" s="36" t="str">
        <v>kanan</v>
      </c>
      <c r="U202" s="36"/>
      <c r="V202" s="36"/>
    </row>
    <row r="203" spans="5:22">
      <c r="E203" s="36" t="str">
        <v>kiri</v>
      </c>
      <c r="F203" s="36"/>
      <c r="G203" s="36"/>
      <c r="J203" s="36" t="str">
        <v>kiri</v>
      </c>
      <c r="K203" s="36"/>
      <c r="L203" s="36"/>
      <c r="O203" s="36" t="str">
        <v>kanan</v>
      </c>
      <c r="P203" s="36"/>
      <c r="Q203" s="36"/>
      <c r="T203" s="36" t="str">
        <v>tengah</v>
      </c>
      <c r="U203" s="36"/>
      <c r="V203" s="36"/>
    </row>
    <row r="204" spans="5:22">
      <c r="E204" s="36" t="str">
        <v>tengah</v>
      </c>
      <c r="F204" s="36"/>
      <c r="G204" s="36"/>
      <c r="J204" s="36" t="str">
        <v>kiri</v>
      </c>
      <c r="K204" s="36"/>
      <c r="L204" s="36"/>
      <c r="O204" s="36" t="str">
        <v>tengah</v>
      </c>
      <c r="P204" s="36"/>
      <c r="Q204" s="36"/>
      <c r="T204" s="36" t="str">
        <v>kanan</v>
      </c>
      <c r="U204" s="36"/>
      <c r="V204" s="36"/>
    </row>
    <row r="205" spans="5:22">
      <c r="E205" s="36" t="str">
        <v>kanan</v>
      </c>
      <c r="F205" s="36"/>
      <c r="G205" s="36"/>
      <c r="J205" s="36" t="str">
        <v>kiri</v>
      </c>
      <c r="K205" s="36"/>
      <c r="L205" s="36"/>
      <c r="O205" s="36" t="str">
        <v>tengah</v>
      </c>
      <c r="P205" s="36"/>
      <c r="Q205" s="36"/>
      <c r="T205" s="36" t="str">
        <v>tengah</v>
      </c>
      <c r="U205" s="36"/>
      <c r="V205" s="36"/>
    </row>
    <row r="206" spans="5:22">
      <c r="E206" s="36" t="str">
        <v>kanan</v>
      </c>
      <c r="F206" s="36"/>
      <c r="G206" s="36"/>
      <c r="J206" s="36" t="str">
        <v>kiri</v>
      </c>
      <c r="K206" s="36"/>
      <c r="L206" s="36"/>
      <c r="O206" s="36" t="str">
        <v>tengah</v>
      </c>
      <c r="P206" s="36"/>
      <c r="Q206" s="36"/>
      <c r="T206" s="36" t="str">
        <v>tengah</v>
      </c>
      <c r="U206" s="36"/>
      <c r="V206" s="36"/>
    </row>
    <row r="207" spans="5:22">
      <c r="E207" s="36" t="str">
        <v>kiri</v>
      </c>
      <c r="F207" s="36"/>
      <c r="G207" s="36"/>
      <c r="J207" s="36" t="str">
        <v>kanan</v>
      </c>
      <c r="K207" s="36"/>
      <c r="L207" s="36"/>
      <c r="O207" s="36" t="str">
        <v>tengah</v>
      </c>
      <c r="P207" s="36"/>
      <c r="Q207" s="36"/>
      <c r="T207" s="36" t="str">
        <v>kanan</v>
      </c>
      <c r="U207" s="36"/>
      <c r="V207" s="36"/>
    </row>
    <row r="208" spans="5:22">
      <c r="E208" s="36" t="str">
        <v>tengah</v>
      </c>
      <c r="F208" s="36"/>
      <c r="G208" s="36"/>
      <c r="J208" s="36" t="str">
        <v>kiri</v>
      </c>
      <c r="K208" s="36"/>
      <c r="L208" s="36"/>
      <c r="O208" s="36" t="str">
        <v>kanan</v>
      </c>
      <c r="P208" s="36"/>
      <c r="Q208" s="36"/>
      <c r="T208" s="36" t="str">
        <v>tengah</v>
      </c>
      <c r="U208" s="36"/>
      <c r="V208" s="36"/>
    </row>
    <row r="209" spans="5:22">
      <c r="E209" s="36" t="str">
        <v>kiri</v>
      </c>
      <c r="F209" s="36"/>
      <c r="G209" s="36"/>
      <c r="J209" s="36" t="str">
        <v>kiri</v>
      </c>
      <c r="K209" s="36"/>
      <c r="L209" s="36"/>
      <c r="O209" s="36" t="str">
        <v>tengah</v>
      </c>
      <c r="P209" s="36"/>
      <c r="Q209" s="36"/>
      <c r="T209" s="36" t="str">
        <v>tengah</v>
      </c>
      <c r="U209" s="36"/>
      <c r="V209" s="36"/>
    </row>
    <row r="210" spans="5:22">
      <c r="E210" s="36" t="str">
        <v>tengah</v>
      </c>
      <c r="F210" s="36"/>
      <c r="G210" s="36"/>
      <c r="J210" s="36" t="str">
        <v>kanan</v>
      </c>
      <c r="K210" s="36"/>
      <c r="L210" s="36"/>
      <c r="O210" s="36" t="str">
        <v>kiri</v>
      </c>
      <c r="P210" s="36"/>
      <c r="Q210" s="36"/>
      <c r="T210" s="36" t="str">
        <v>tengah</v>
      </c>
      <c r="U210" s="36"/>
      <c r="V210" s="36"/>
    </row>
    <row r="211" spans="5:22">
      <c r="E211" s="36" t="str">
        <v>kanan</v>
      </c>
      <c r="F211" s="36"/>
      <c r="G211" s="36"/>
      <c r="J211" s="36" t="str">
        <v>tengah</v>
      </c>
      <c r="K211" s="36"/>
      <c r="L211" s="36"/>
      <c r="O211" s="36" t="str">
        <v>tengah</v>
      </c>
      <c r="P211" s="36"/>
      <c r="Q211" s="36"/>
      <c r="T211" s="36" t="str">
        <v>tengah</v>
      </c>
      <c r="U211" s="36"/>
      <c r="V211" s="36"/>
    </row>
    <row r="212" spans="5:22">
      <c r="E212" s="36" t="str">
        <v>kanan</v>
      </c>
      <c r="F212" s="36"/>
      <c r="G212" s="36"/>
      <c r="J212" s="36" t="str">
        <v>kanan</v>
      </c>
      <c r="K212" s="36"/>
      <c r="L212" s="36"/>
      <c r="O212" s="36" t="str">
        <v>tengah</v>
      </c>
      <c r="P212" s="36"/>
      <c r="Q212" s="36"/>
      <c r="T212" s="36" t="str">
        <v>kanan</v>
      </c>
      <c r="U212" s="36"/>
      <c r="V212" s="36"/>
    </row>
    <row r="213" spans="5:22">
      <c r="E213" s="36" t="str">
        <v>tengah</v>
      </c>
      <c r="F213" s="36"/>
      <c r="G213" s="36"/>
      <c r="J213" s="36" t="str">
        <v>kanan</v>
      </c>
      <c r="K213" s="36"/>
      <c r="L213" s="36"/>
      <c r="O213" s="36" t="str">
        <v>tengah</v>
      </c>
      <c r="P213" s="36"/>
      <c r="Q213" s="36"/>
      <c r="T213" s="36" t="str">
        <v>tengah</v>
      </c>
      <c r="U213" s="36"/>
      <c r="V213" s="36"/>
    </row>
    <row r="214" spans="5:22">
      <c r="E214" s="36" t="str">
        <v>kiri</v>
      </c>
      <c r="F214" s="36"/>
      <c r="G214" s="36"/>
      <c r="J214" s="36" t="str">
        <v>kanan</v>
      </c>
      <c r="K214" s="36"/>
      <c r="L214" s="36"/>
      <c r="O214" s="36" t="str">
        <v>kiri</v>
      </c>
      <c r="P214" s="36"/>
      <c r="Q214" s="36"/>
      <c r="T214" s="36" t="str">
        <v>kanan</v>
      </c>
      <c r="U214" s="36"/>
      <c r="V214" s="36"/>
    </row>
    <row r="215" spans="5:22">
      <c r="E215" s="36" t="str">
        <v>kiri</v>
      </c>
      <c r="F215" s="36"/>
      <c r="G215" s="36"/>
      <c r="J215" s="36" t="str">
        <v>kiri</v>
      </c>
      <c r="K215" s="36"/>
      <c r="L215" s="36"/>
      <c r="O215" s="36" t="str">
        <v>tengah</v>
      </c>
      <c r="P215" s="36"/>
      <c r="Q215" s="36"/>
      <c r="T215" s="36" t="str">
        <v>kanan</v>
      </c>
      <c r="U215" s="36"/>
      <c r="V215" s="36"/>
    </row>
    <row r="216" spans="5:22">
      <c r="E216" s="36" t="str">
        <v>tengah</v>
      </c>
      <c r="F216" s="36"/>
      <c r="G216" s="36"/>
      <c r="J216" s="36" t="str">
        <v>tengah</v>
      </c>
      <c r="K216" s="36"/>
      <c r="L216" s="36"/>
      <c r="O216" s="36" t="str">
        <v>kiri</v>
      </c>
      <c r="P216" s="36"/>
      <c r="Q216" s="36"/>
      <c r="T216" s="36" t="str">
        <v>kanan</v>
      </c>
      <c r="U216" s="36"/>
      <c r="V216" s="36"/>
    </row>
    <row r="217" spans="5:22">
      <c r="E217" s="36" t="str">
        <v>kanan</v>
      </c>
      <c r="F217" s="36"/>
      <c r="G217" s="36"/>
      <c r="J217" s="36" t="str">
        <v>tengah</v>
      </c>
      <c r="K217" s="36"/>
      <c r="L217" s="36"/>
      <c r="O217" s="36" t="str">
        <v>tengah</v>
      </c>
      <c r="P217" s="36"/>
      <c r="Q217" s="36"/>
      <c r="T217" s="36" t="str">
        <v>tengah</v>
      </c>
      <c r="U217" s="36"/>
      <c r="V217" s="36"/>
    </row>
    <row r="218" spans="5:22">
      <c r="E218" s="36" t="str">
        <v>kiri</v>
      </c>
      <c r="F218" s="36"/>
      <c r="G218" s="36"/>
      <c r="J218" s="36" t="str">
        <v>kanan</v>
      </c>
      <c r="K218" s="36"/>
      <c r="L218" s="36"/>
      <c r="O218" s="36" t="str">
        <v>kiri</v>
      </c>
      <c r="P218" s="36"/>
      <c r="Q218" s="36"/>
      <c r="T218" s="36" t="str">
        <v>kanan</v>
      </c>
      <c r="U218" s="36"/>
      <c r="V218" s="36"/>
    </row>
    <row r="219" spans="5:22">
      <c r="E219" s="36" t="str">
        <v>tengah</v>
      </c>
      <c r="F219" s="36"/>
      <c r="G219" s="36"/>
      <c r="J219" s="36" t="str">
        <v>tengah</v>
      </c>
      <c r="K219" s="36"/>
      <c r="L219" s="36"/>
      <c r="O219" s="36" t="str">
        <v>kanan</v>
      </c>
      <c r="P219" s="36"/>
      <c r="Q219" s="36"/>
      <c r="T219" s="36" t="str">
        <v>kanan</v>
      </c>
      <c r="U219" s="36"/>
      <c r="V219" s="36"/>
    </row>
    <row r="220" spans="5:22">
      <c r="E220" s="36" t="str">
        <v>tengah</v>
      </c>
      <c r="F220" s="36"/>
      <c r="G220" s="36"/>
      <c r="J220" s="36" t="str">
        <v>tengah</v>
      </c>
      <c r="K220" s="36"/>
      <c r="L220" s="36"/>
      <c r="O220" s="36" t="str">
        <v>kiri</v>
      </c>
      <c r="P220" s="36"/>
      <c r="Q220" s="36"/>
      <c r="T220" s="36" t="str">
        <v>kanan</v>
      </c>
      <c r="U220" s="36"/>
      <c r="V220" s="36"/>
    </row>
    <row r="221" spans="5:22">
      <c r="E221" s="36" t="str">
        <v>tengah</v>
      </c>
      <c r="F221" s="36"/>
      <c r="G221" s="36"/>
      <c r="J221" s="36" t="str">
        <v>tengah</v>
      </c>
      <c r="K221" s="36"/>
      <c r="L221" s="36"/>
      <c r="O221" s="36" t="str">
        <v>kiri</v>
      </c>
      <c r="P221" s="36"/>
      <c r="Q221" s="36"/>
      <c r="T221" s="36" t="str">
        <v>tengah</v>
      </c>
      <c r="U221" s="36"/>
      <c r="V221" s="36"/>
    </row>
    <row r="222" spans="5:22">
      <c r="E222" s="36" t="str">
        <v>kiri</v>
      </c>
      <c r="F222" s="36"/>
      <c r="G222" s="36"/>
      <c r="J222" s="36" t="str">
        <v>tengah</v>
      </c>
      <c r="K222" s="36"/>
      <c r="L222" s="36"/>
      <c r="O222" s="36" t="str">
        <v>tengah</v>
      </c>
      <c r="P222" s="36"/>
      <c r="Q222" s="36"/>
      <c r="T222" s="36" t="str">
        <v>kanan</v>
      </c>
      <c r="U222" s="36"/>
      <c r="V222" s="36"/>
    </row>
    <row r="223" spans="5:22">
      <c r="E223" s="36" t="str">
        <v>kiri</v>
      </c>
      <c r="F223" s="36"/>
      <c r="G223" s="36"/>
      <c r="J223" s="36" t="str">
        <v>kanan</v>
      </c>
      <c r="K223" s="36"/>
      <c r="L223" s="36"/>
      <c r="O223" s="36" t="str">
        <v>kiri</v>
      </c>
      <c r="P223" s="36"/>
      <c r="Q223" s="36"/>
      <c r="T223" s="36" t="str">
        <v>tengah</v>
      </c>
      <c r="U223" s="36"/>
      <c r="V223" s="36"/>
    </row>
    <row r="224" spans="5:22">
      <c r="E224" s="36" t="str">
        <v>kiri</v>
      </c>
      <c r="F224" s="36"/>
      <c r="G224" s="36"/>
      <c r="J224" s="36" t="str">
        <v>kanan</v>
      </c>
      <c r="K224" s="36"/>
      <c r="L224" s="36"/>
      <c r="O224" s="36" t="str">
        <v>tengah</v>
      </c>
      <c r="P224" s="36"/>
      <c r="Q224" s="36"/>
      <c r="T224" s="36" t="str">
        <v>kanan</v>
      </c>
      <c r="U224" s="36"/>
      <c r="V224" s="36"/>
    </row>
    <row r="225" spans="5:22">
      <c r="E225" s="36" t="str">
        <v>kiri</v>
      </c>
      <c r="F225" s="36"/>
      <c r="G225" s="36"/>
      <c r="J225" s="36" t="str">
        <v>tengah</v>
      </c>
      <c r="K225" s="36"/>
      <c r="L225" s="36"/>
      <c r="O225" s="36" t="str">
        <v>tengah</v>
      </c>
      <c r="P225" s="36"/>
      <c r="Q225" s="36"/>
      <c r="T225" s="36" t="str">
        <v>kanan</v>
      </c>
      <c r="U225" s="36"/>
      <c r="V225" s="36"/>
    </row>
    <row r="226" spans="5:22">
      <c r="E226" s="36" t="str">
        <v>kanan</v>
      </c>
      <c r="F226" s="36"/>
      <c r="G226" s="36"/>
      <c r="J226" s="36" t="str">
        <v>tengah</v>
      </c>
      <c r="K226" s="36"/>
      <c r="L226" s="36"/>
      <c r="O226" s="36" t="str">
        <v>tengah</v>
      </c>
      <c r="P226" s="36"/>
      <c r="Q226" s="36"/>
      <c r="T226" s="36" t="str">
        <v>kanan</v>
      </c>
      <c r="U226" s="36"/>
      <c r="V226" s="36"/>
    </row>
    <row r="227" spans="5:22">
      <c r="E227" s="36" t="str">
        <v>tengah</v>
      </c>
      <c r="F227" s="36"/>
      <c r="G227" s="36"/>
      <c r="J227" s="36" t="str">
        <v>kanan</v>
      </c>
      <c r="K227" s="36"/>
      <c r="L227" s="36"/>
      <c r="O227" s="36" t="str">
        <v>kanan</v>
      </c>
      <c r="P227" s="36"/>
      <c r="Q227" s="36"/>
      <c r="T227" s="36" t="str">
        <v>tengah</v>
      </c>
      <c r="U227" s="36"/>
      <c r="V227" s="36"/>
    </row>
    <row r="228" spans="5:22">
      <c r="E228" s="36" t="str">
        <v>tengah</v>
      </c>
      <c r="F228" s="36"/>
      <c r="G228" s="36"/>
      <c r="J228" s="36" t="str">
        <v>tengah</v>
      </c>
      <c r="K228" s="36"/>
      <c r="L228" s="36"/>
      <c r="O228" s="36" t="str">
        <v>tengah</v>
      </c>
      <c r="P228" s="36"/>
      <c r="Q228" s="36"/>
      <c r="T228" s="36" t="str">
        <v>kanan</v>
      </c>
      <c r="U228" s="36"/>
      <c r="V228" s="36"/>
    </row>
    <row r="229" spans="5:22">
      <c r="E229" s="36" t="str">
        <v>kanan</v>
      </c>
      <c r="F229" s="36"/>
      <c r="G229" s="36"/>
      <c r="J229" s="36" t="str">
        <v>tengah</v>
      </c>
      <c r="K229" s="36"/>
      <c r="L229" s="36"/>
      <c r="O229" s="36" t="str">
        <v>tengah</v>
      </c>
      <c r="P229" s="36"/>
      <c r="Q229" s="36"/>
      <c r="T229" s="36" t="str">
        <v>kanan</v>
      </c>
      <c r="U229" s="36"/>
      <c r="V229" s="36"/>
    </row>
    <row r="230" spans="5:22">
      <c r="E230" s="36" t="str">
        <v>tengah</v>
      </c>
      <c r="F230" s="36"/>
      <c r="G230" s="36"/>
      <c r="J230" s="36" t="str">
        <v>kanan</v>
      </c>
      <c r="K230" s="36"/>
      <c r="L230" s="36"/>
      <c r="O230" s="36" t="str">
        <v>kiri</v>
      </c>
      <c r="P230" s="36"/>
      <c r="Q230" s="36"/>
      <c r="T230" s="36" t="str">
        <v>tengah</v>
      </c>
      <c r="U230" s="36"/>
      <c r="V230" s="36"/>
    </row>
    <row r="231" spans="5:22">
      <c r="E231" s="36" t="str">
        <v>kiri</v>
      </c>
      <c r="F231" s="36"/>
      <c r="G231" s="36"/>
      <c r="J231" s="36" t="str">
        <v>tengah</v>
      </c>
      <c r="K231" s="36"/>
      <c r="L231" s="36"/>
      <c r="O231" s="36" t="str">
        <v>kiri</v>
      </c>
      <c r="P231" s="36"/>
      <c r="Q231" s="36"/>
      <c r="T231" s="36" t="str">
        <v>tengah</v>
      </c>
      <c r="U231" s="36"/>
      <c r="V231" s="36"/>
    </row>
    <row r="232" spans="5:22">
      <c r="E232" s="36" t="str">
        <v>kanan</v>
      </c>
      <c r="F232" s="36"/>
      <c r="G232" s="36"/>
      <c r="J232" s="36" t="str">
        <v>kiri</v>
      </c>
      <c r="K232" s="36"/>
      <c r="L232" s="36"/>
      <c r="O232" s="36" t="str">
        <v>kanan</v>
      </c>
      <c r="P232" s="36"/>
      <c r="Q232" s="36"/>
      <c r="T232" s="36" t="str">
        <v>kanan</v>
      </c>
      <c r="U232" s="36"/>
      <c r="V232" s="36"/>
    </row>
    <row r="233" spans="5:22">
      <c r="E233" s="36" t="str">
        <v>kanan</v>
      </c>
      <c r="F233" s="36"/>
      <c r="G233" s="36"/>
      <c r="J233" s="36" t="str">
        <v>tengah</v>
      </c>
      <c r="K233" s="36"/>
      <c r="L233" s="36"/>
      <c r="O233" s="36" t="str">
        <v>tengah</v>
      </c>
      <c r="P233" s="36"/>
      <c r="Q233" s="36"/>
      <c r="T233" s="36" t="str">
        <v>tengah</v>
      </c>
      <c r="U233" s="36"/>
      <c r="V233" s="36"/>
    </row>
    <row r="234" spans="5:22">
      <c r="E234" s="36" t="str">
        <v>tengah</v>
      </c>
      <c r="F234" s="36"/>
      <c r="G234" s="36"/>
      <c r="J234" s="36" t="str">
        <v>kanan</v>
      </c>
      <c r="K234" s="36"/>
      <c r="L234" s="36"/>
      <c r="O234" s="36" t="str">
        <v>tengah</v>
      </c>
      <c r="P234" s="36"/>
      <c r="Q234" s="36"/>
      <c r="T234" s="36" t="str">
        <v>kanan</v>
      </c>
      <c r="U234" s="36"/>
      <c r="V234" s="36"/>
    </row>
    <row r="235" spans="5:22">
      <c r="E235" s="36" t="str">
        <v>kiri</v>
      </c>
      <c r="F235" s="36"/>
      <c r="G235" s="36"/>
      <c r="J235" s="36" t="str">
        <v>tengah</v>
      </c>
      <c r="K235" s="36"/>
      <c r="L235" s="36"/>
      <c r="O235" s="36" t="str">
        <v>kanan</v>
      </c>
      <c r="P235" s="36"/>
      <c r="Q235" s="36"/>
      <c r="T235" s="36" t="str">
        <v>tengah</v>
      </c>
      <c r="U235" s="36"/>
      <c r="V235" s="36"/>
    </row>
    <row r="236" spans="5:22">
      <c r="E236" s="36" t="str">
        <v>kanan</v>
      </c>
      <c r="F236" s="36"/>
      <c r="G236" s="36"/>
      <c r="J236" s="36" t="str">
        <v>kiri</v>
      </c>
      <c r="K236" s="36"/>
      <c r="L236" s="36"/>
      <c r="O236" s="36" t="str">
        <v>kanan</v>
      </c>
      <c r="P236" s="36"/>
      <c r="Q236" s="36"/>
      <c r="T236" s="36" t="str">
        <v>kanan</v>
      </c>
      <c r="U236" s="36"/>
      <c r="V236" s="36"/>
    </row>
    <row r="237" spans="5:22">
      <c r="E237" s="36" t="str">
        <v>kanan</v>
      </c>
      <c r="F237" s="36"/>
      <c r="G237" s="36"/>
      <c r="J237" s="36" t="str">
        <v>tengah</v>
      </c>
      <c r="K237" s="36"/>
      <c r="L237" s="36"/>
      <c r="O237" s="36" t="str">
        <v>tengah</v>
      </c>
      <c r="P237" s="36"/>
      <c r="Q237" s="36"/>
      <c r="T237" s="36" t="str">
        <v>kanan</v>
      </c>
      <c r="U237" s="36"/>
      <c r="V237" s="36"/>
    </row>
    <row r="238" spans="5:22">
      <c r="E238" s="36" t="str">
        <v>tengah</v>
      </c>
      <c r="F238" s="36"/>
      <c r="G238" s="36"/>
      <c r="J238" s="36" t="str">
        <v>tengah</v>
      </c>
      <c r="K238" s="36"/>
      <c r="L238" s="36"/>
      <c r="O238" s="36" t="str">
        <v>tengah</v>
      </c>
      <c r="P238" s="36"/>
      <c r="Q238" s="36"/>
      <c r="T238" s="36" t="str">
        <v>tengah</v>
      </c>
      <c r="U238" s="36"/>
      <c r="V238" s="36"/>
    </row>
    <row r="239" spans="5:22">
      <c r="E239" s="36" t="str">
        <v>tengah</v>
      </c>
      <c r="F239" s="36"/>
      <c r="G239" s="36"/>
      <c r="J239" s="36" t="str">
        <v>kiri</v>
      </c>
      <c r="K239" s="36"/>
      <c r="L239" s="36"/>
      <c r="O239" s="36" t="str">
        <v>tengah</v>
      </c>
      <c r="P239" s="36"/>
      <c r="Q239" s="36"/>
      <c r="T239" s="36" t="str">
        <v>kanan</v>
      </c>
      <c r="U239" s="36"/>
      <c r="V239" s="36"/>
    </row>
    <row r="240" spans="5:22">
      <c r="E240" s="36" t="str">
        <v>tengah</v>
      </c>
      <c r="F240" s="36"/>
      <c r="G240" s="36"/>
      <c r="J240" s="36" t="str">
        <v>tengah</v>
      </c>
      <c r="K240" s="36"/>
      <c r="L240" s="36"/>
      <c r="O240" s="36" t="str">
        <v>tengah</v>
      </c>
      <c r="P240" s="36"/>
      <c r="Q240" s="36"/>
      <c r="T240" s="36" t="str">
        <v>kanan</v>
      </c>
      <c r="U240" s="36"/>
      <c r="V240" s="36"/>
    </row>
    <row r="241" spans="5:22">
      <c r="E241" s="36" t="str">
        <v>kiri</v>
      </c>
      <c r="F241" s="36"/>
      <c r="G241" s="36"/>
      <c r="J241" s="36" t="str">
        <v>tengah</v>
      </c>
      <c r="K241" s="36"/>
      <c r="L241" s="36"/>
      <c r="O241" s="36" t="str">
        <v>kanan</v>
      </c>
      <c r="P241" s="36"/>
      <c r="Q241" s="36"/>
      <c r="T241" s="36" t="str">
        <v>tengah</v>
      </c>
      <c r="U241" s="36"/>
      <c r="V241" s="36"/>
    </row>
    <row r="242" spans="5:22">
      <c r="E242" s="36" t="str">
        <v>tengah</v>
      </c>
      <c r="F242" s="36"/>
      <c r="G242" s="36"/>
      <c r="J242" s="36" t="str">
        <v>kanan</v>
      </c>
      <c r="K242" s="36"/>
      <c r="L242" s="36"/>
      <c r="O242" s="36" t="str">
        <v>tengah</v>
      </c>
      <c r="P242" s="36"/>
      <c r="Q242" s="36"/>
      <c r="T242" s="36" t="str">
        <v>tengah</v>
      </c>
      <c r="U242" s="36"/>
      <c r="V242" s="36"/>
    </row>
    <row r="243" spans="5:22">
      <c r="E243" s="36" t="str">
        <v>tengah</v>
      </c>
      <c r="F243" s="36"/>
      <c r="G243" s="36"/>
      <c r="J243" s="36" t="str">
        <v>tengah</v>
      </c>
      <c r="K243" s="36"/>
      <c r="L243" s="36"/>
      <c r="O243" s="36" t="str">
        <v>tengah</v>
      </c>
      <c r="P243" s="36"/>
      <c r="Q243" s="36"/>
      <c r="T243" s="36" t="str">
        <v>tengah</v>
      </c>
      <c r="U243" s="36"/>
      <c r="V243" s="36"/>
    </row>
    <row r="244" spans="5:22">
      <c r="E244" s="36" t="str">
        <v>kanan</v>
      </c>
      <c r="F244" s="36"/>
      <c r="G244" s="36"/>
      <c r="J244" s="36" t="str">
        <v>tengah</v>
      </c>
      <c r="K244" s="36"/>
      <c r="L244" s="36"/>
      <c r="O244" s="36" t="str">
        <v>tengah</v>
      </c>
      <c r="P244" s="36"/>
      <c r="Q244" s="36"/>
      <c r="T244" s="36" t="str">
        <v>tengah</v>
      </c>
      <c r="U244" s="36"/>
      <c r="V244" s="36"/>
    </row>
    <row r="245" spans="5:22">
      <c r="E245" s="36" t="str">
        <v>tengah</v>
      </c>
      <c r="F245" s="36"/>
      <c r="G245" s="36"/>
      <c r="J245" s="36" t="str">
        <v>tengah</v>
      </c>
      <c r="K245" s="36"/>
      <c r="L245" s="36"/>
      <c r="O245" s="36" t="str">
        <v>tengah</v>
      </c>
      <c r="P245" s="36"/>
      <c r="Q245" s="36"/>
      <c r="T245" s="36" t="str">
        <v>tengah</v>
      </c>
      <c r="U245" s="36"/>
      <c r="V245" s="36"/>
    </row>
    <row r="246" spans="5:22">
      <c r="E246" s="36" t="str">
        <v>kiri</v>
      </c>
      <c r="F246" s="36"/>
      <c r="G246" s="36"/>
      <c r="J246" s="36" t="str">
        <v>tengah</v>
      </c>
      <c r="K246" s="36"/>
      <c r="L246" s="36"/>
      <c r="O246" s="36" t="str">
        <v>kanan</v>
      </c>
      <c r="P246" s="36"/>
      <c r="Q246" s="36"/>
      <c r="T246" s="36" t="str">
        <v>kanan</v>
      </c>
      <c r="U246" s="36"/>
      <c r="V246" s="36"/>
    </row>
    <row r="247" spans="5:22">
      <c r="E247" s="36" t="str">
        <v>tengah</v>
      </c>
      <c r="F247" s="36"/>
      <c r="G247" s="36"/>
      <c r="J247" s="36" t="str">
        <v>kiri</v>
      </c>
      <c r="K247" s="36"/>
      <c r="L247" s="36"/>
      <c r="O247" s="36" t="str">
        <v>tengah</v>
      </c>
      <c r="P247" s="36"/>
      <c r="Q247" s="36"/>
      <c r="T247" s="36" t="str">
        <v>kanan</v>
      </c>
      <c r="U247" s="36"/>
      <c r="V247" s="36"/>
    </row>
    <row r="248" spans="5:22">
      <c r="E248" s="36" t="str">
        <v>tengah</v>
      </c>
      <c r="F248" s="36"/>
      <c r="G248" s="36"/>
      <c r="J248" s="36" t="str">
        <v>tengah</v>
      </c>
      <c r="K248" s="36"/>
      <c r="L248" s="36"/>
      <c r="O248" s="36" t="str">
        <v>tengah</v>
      </c>
      <c r="P248" s="36"/>
      <c r="Q248" s="36"/>
      <c r="T248" s="36" t="str">
        <v>tengah</v>
      </c>
      <c r="U248" s="36"/>
      <c r="V248" s="36"/>
    </row>
    <row r="249" spans="5:22">
      <c r="E249" s="36" t="str">
        <v>tengah</v>
      </c>
      <c r="F249" s="36"/>
      <c r="G249" s="36"/>
      <c r="J249" s="36" t="str">
        <v>kanan</v>
      </c>
      <c r="K249" s="36"/>
      <c r="L249" s="36"/>
      <c r="O249" s="36" t="str">
        <v>kanan</v>
      </c>
      <c r="P249" s="36"/>
      <c r="Q249" s="36"/>
      <c r="T249" s="36" t="str">
        <v>tengah</v>
      </c>
      <c r="U249" s="36"/>
      <c r="V249" s="36"/>
    </row>
    <row r="250" spans="5:22">
      <c r="E250" s="36" t="str">
        <v>kanan</v>
      </c>
      <c r="F250" s="36"/>
      <c r="G250" s="36"/>
      <c r="J250" s="36" t="str">
        <v>tengah</v>
      </c>
      <c r="K250" s="36"/>
      <c r="L250" s="36"/>
      <c r="O250" s="36" t="str">
        <v>tengah</v>
      </c>
      <c r="P250" s="36"/>
      <c r="Q250" s="36"/>
      <c r="T250" s="36" t="str">
        <v>kanan</v>
      </c>
      <c r="U250" s="36"/>
      <c r="V250" s="36"/>
    </row>
    <row r="251" spans="5:22">
      <c r="E251" s="36" t="str">
        <v>kanan</v>
      </c>
      <c r="F251" s="36"/>
      <c r="G251" s="36"/>
      <c r="J251" s="36" t="str">
        <v>kanan</v>
      </c>
      <c r="K251" s="36"/>
      <c r="L251" s="36"/>
      <c r="O251" s="36" t="str">
        <v>tengah</v>
      </c>
      <c r="P251" s="36"/>
      <c r="Q251" s="36"/>
      <c r="T251" s="36" t="str">
        <v>kanan</v>
      </c>
      <c r="U251" s="36"/>
      <c r="V251" s="36"/>
    </row>
    <row r="252" spans="5:22">
      <c r="E252" s="36" t="str">
        <v>tengah</v>
      </c>
      <c r="F252" s="36"/>
      <c r="G252" s="36"/>
      <c r="J252" s="36" t="str">
        <v>tengah</v>
      </c>
      <c r="K252" s="36"/>
      <c r="L252" s="36"/>
      <c r="O252" s="36" t="str">
        <v>tengah</v>
      </c>
      <c r="P252" s="36"/>
      <c r="Q252" s="36"/>
      <c r="T252" s="36" t="str">
        <v>kanan</v>
      </c>
      <c r="U252" s="36"/>
      <c r="V252" s="36"/>
    </row>
    <row r="253" spans="5:22">
      <c r="E253" s="36" t="str">
        <v>kanan</v>
      </c>
      <c r="F253" s="36"/>
      <c r="G253" s="36"/>
      <c r="J253" s="36" t="str">
        <v>kanan</v>
      </c>
      <c r="K253" s="36"/>
      <c r="L253" s="36"/>
      <c r="O253" s="36" t="str">
        <v>kanan</v>
      </c>
      <c r="P253" s="36"/>
      <c r="Q253" s="36"/>
      <c r="T253" s="36" t="str">
        <v>kanan</v>
      </c>
      <c r="U253" s="36"/>
      <c r="V253" s="36"/>
    </row>
    <row r="254" spans="5:22">
      <c r="E254" s="36" t="str">
        <v>kiri</v>
      </c>
      <c r="F254" s="36"/>
      <c r="G254" s="36"/>
      <c r="J254" s="36" t="str">
        <v>kanan</v>
      </c>
      <c r="K254" s="36"/>
      <c r="L254" s="36"/>
      <c r="O254" s="36" t="str">
        <v>tengah</v>
      </c>
      <c r="P254" s="36"/>
      <c r="Q254" s="36"/>
      <c r="T254" s="36" t="str">
        <v>kanan</v>
      </c>
      <c r="U254" s="36"/>
      <c r="V254" s="36"/>
    </row>
    <row r="255" spans="5:22">
      <c r="E255" s="36" t="str">
        <v>kiri</v>
      </c>
      <c r="F255" s="36"/>
      <c r="G255" s="36"/>
      <c r="J255" s="36" t="str">
        <v>kanan</v>
      </c>
      <c r="K255" s="36"/>
      <c r="L255" s="36"/>
      <c r="O255" s="36" t="str">
        <v>kiri</v>
      </c>
      <c r="P255" s="36"/>
      <c r="Q255" s="36"/>
      <c r="T255" s="36" t="str">
        <v>tengah</v>
      </c>
      <c r="U255" s="36"/>
      <c r="V255" s="36"/>
    </row>
    <row r="256" spans="5:22">
      <c r="E256" s="36" t="str">
        <v>kiri</v>
      </c>
      <c r="F256" s="36"/>
      <c r="G256" s="36"/>
      <c r="J256" s="36" t="str">
        <v>tengah</v>
      </c>
      <c r="K256" s="36"/>
      <c r="L256" s="36"/>
      <c r="O256" s="36" t="str">
        <v>tengah</v>
      </c>
      <c r="P256" s="36"/>
      <c r="Q256" s="36"/>
      <c r="T256" s="36" t="str">
        <v>kanan</v>
      </c>
      <c r="U256" s="36"/>
      <c r="V256" s="36"/>
    </row>
    <row r="257" spans="5:22">
      <c r="E257" s="36" t="str">
        <v>kiri</v>
      </c>
      <c r="F257" s="36"/>
      <c r="G257" s="36"/>
      <c r="J257" s="36" t="str">
        <v>tengah</v>
      </c>
      <c r="K257" s="36"/>
      <c r="L257" s="36"/>
      <c r="O257" s="36" t="str">
        <v>kanan</v>
      </c>
      <c r="P257" s="36"/>
      <c r="Q257" s="36"/>
      <c r="T257" s="36" t="str">
        <v>kanan</v>
      </c>
      <c r="U257" s="36"/>
      <c r="V257" s="36"/>
    </row>
    <row r="258" spans="5:22">
      <c r="E258" s="36" t="str">
        <v>kiri</v>
      </c>
      <c r="F258" s="36"/>
      <c r="G258" s="36"/>
      <c r="J258" s="36" t="str">
        <v>tengah</v>
      </c>
      <c r="K258" s="36"/>
      <c r="L258" s="36"/>
      <c r="O258" s="36" t="str">
        <v>tengah</v>
      </c>
      <c r="P258" s="36"/>
      <c r="Q258" s="36"/>
      <c r="T258" s="36" t="str">
        <v>tengah</v>
      </c>
      <c r="U258" s="36"/>
      <c r="V258" s="36"/>
    </row>
    <row r="259" spans="5:22">
      <c r="E259" s="36" t="str">
        <v>kiri</v>
      </c>
      <c r="F259" s="36"/>
      <c r="G259" s="36"/>
      <c r="J259" s="36" t="str">
        <v>tengah</v>
      </c>
      <c r="K259" s="36"/>
      <c r="L259" s="36"/>
      <c r="O259" s="36" t="str">
        <v>kiri</v>
      </c>
      <c r="P259" s="36"/>
      <c r="Q259" s="36"/>
      <c r="T259" s="36" t="str">
        <v>tengah</v>
      </c>
      <c r="U259" s="36"/>
      <c r="V259" s="36"/>
    </row>
    <row r="260" spans="5:22">
      <c r="E260" s="36" t="str">
        <v>kiri</v>
      </c>
      <c r="F260" s="36"/>
      <c r="G260" s="36"/>
      <c r="J260" s="36" t="str">
        <v>tengah</v>
      </c>
      <c r="K260" s="36"/>
      <c r="L260" s="36"/>
      <c r="O260" s="36" t="str">
        <v>tengah</v>
      </c>
      <c r="P260" s="36"/>
      <c r="Q260" s="36"/>
      <c r="T260" s="36" t="str">
        <v>kanan</v>
      </c>
      <c r="U260" s="36"/>
      <c r="V260" s="36"/>
    </row>
    <row r="261" spans="5:22">
      <c r="E261" s="36" t="str">
        <v>tengah</v>
      </c>
      <c r="F261" s="36"/>
      <c r="G261" s="36"/>
      <c r="J261" s="36" t="str">
        <v>tengah</v>
      </c>
      <c r="K261" s="36"/>
      <c r="L261" s="36"/>
      <c r="O261" s="36" t="str">
        <v>kiri</v>
      </c>
      <c r="P261" s="36"/>
      <c r="Q261" s="36"/>
      <c r="T261" s="36" t="str">
        <v>kanan</v>
      </c>
      <c r="U261" s="36"/>
      <c r="V261" s="36"/>
    </row>
    <row r="262" spans="5:22">
      <c r="E262" s="36" t="str">
        <v>tengah</v>
      </c>
      <c r="F262" s="36"/>
      <c r="G262" s="36"/>
      <c r="J262" s="36" t="str">
        <v>kanan</v>
      </c>
      <c r="K262" s="36"/>
      <c r="L262" s="36"/>
      <c r="O262" s="36" t="str">
        <v>kiri</v>
      </c>
      <c r="P262" s="36"/>
      <c r="Q262" s="36"/>
      <c r="T262" s="36" t="str">
        <v>tengah</v>
      </c>
      <c r="U262" s="36"/>
      <c r="V262" s="36"/>
    </row>
    <row r="263" spans="5:22">
      <c r="E263" s="36" t="str">
        <v>tengah</v>
      </c>
      <c r="F263" s="36"/>
      <c r="G263" s="36"/>
      <c r="J263" s="36" t="str">
        <v>tengah</v>
      </c>
      <c r="K263" s="36"/>
      <c r="L263" s="36"/>
      <c r="O263" s="36" t="str">
        <v>tengah</v>
      </c>
      <c r="P263" s="36"/>
      <c r="Q263" s="36"/>
      <c r="T263" s="36" t="str">
        <v>kanan</v>
      </c>
      <c r="U263" s="36"/>
      <c r="V263" s="36"/>
    </row>
    <row r="264" spans="5:22">
      <c r="E264" s="36" t="str">
        <v>tengah</v>
      </c>
      <c r="F264" s="36"/>
      <c r="G264" s="36"/>
      <c r="J264" s="36" t="str">
        <v>tengah</v>
      </c>
      <c r="K264" s="36"/>
      <c r="L264" s="36"/>
      <c r="O264" s="36" t="str">
        <v>tengah</v>
      </c>
      <c r="P264" s="36"/>
      <c r="Q264" s="36"/>
      <c r="T264" s="36" t="str">
        <v>tengah</v>
      </c>
      <c r="U264" s="36"/>
      <c r="V264" s="36"/>
    </row>
    <row r="265" spans="5:22">
      <c r="E265" s="36" t="str">
        <v>kiri</v>
      </c>
      <c r="F265" s="36"/>
      <c r="G265" s="36"/>
      <c r="J265" s="36" t="str">
        <v>tengah</v>
      </c>
      <c r="K265" s="36"/>
      <c r="L265" s="36"/>
      <c r="O265" s="36" t="str">
        <v>tengah</v>
      </c>
      <c r="P265" s="36"/>
      <c r="Q265" s="36"/>
      <c r="T265" s="36" t="str">
        <v>kanan</v>
      </c>
      <c r="U265" s="36"/>
      <c r="V265" s="36"/>
    </row>
    <row r="266" spans="5:22">
      <c r="E266" s="36" t="str">
        <v>kanan</v>
      </c>
      <c r="F266" s="36"/>
      <c r="G266" s="36"/>
      <c r="J266" s="36" t="str">
        <v>tengah</v>
      </c>
      <c r="K266" s="36"/>
      <c r="L266" s="36"/>
      <c r="O266" s="36" t="str">
        <v>tengah</v>
      </c>
      <c r="P266" s="36"/>
      <c r="Q266" s="36"/>
      <c r="T266" s="36" t="str">
        <v>tengah</v>
      </c>
      <c r="U266" s="36"/>
      <c r="V266" s="36"/>
    </row>
    <row r="267" spans="5:22">
      <c r="E267" s="36" t="str">
        <v>tengah</v>
      </c>
      <c r="F267" s="36"/>
      <c r="G267" s="36"/>
      <c r="J267" s="36" t="str">
        <v>kanan</v>
      </c>
      <c r="K267" s="36"/>
      <c r="L267" s="36"/>
      <c r="O267" s="36" t="str">
        <v>tengah</v>
      </c>
      <c r="P267" s="36"/>
      <c r="Q267" s="36"/>
      <c r="T267" s="36" t="str">
        <v>tengah</v>
      </c>
      <c r="U267" s="36"/>
      <c r="V267" s="36"/>
    </row>
    <row r="268" spans="5:22">
      <c r="E268" s="36" t="str">
        <v>tengah</v>
      </c>
      <c r="F268" s="36"/>
      <c r="G268" s="36"/>
      <c r="J268" s="36" t="str">
        <v>tengah</v>
      </c>
      <c r="K268" s="36"/>
      <c r="L268" s="36"/>
      <c r="O268" s="36" t="str">
        <v>kiri</v>
      </c>
      <c r="P268" s="36"/>
      <c r="Q268" s="36"/>
      <c r="T268" s="36" t="str">
        <v>kanan</v>
      </c>
      <c r="U268" s="36"/>
      <c r="V268" s="36"/>
    </row>
    <row r="269" spans="5:22">
      <c r="E269" s="36" t="str">
        <v>kiri</v>
      </c>
      <c r="F269" s="36"/>
      <c r="G269" s="36"/>
      <c r="J269" s="36" t="str">
        <v>kiri</v>
      </c>
      <c r="K269" s="36"/>
      <c r="L269" s="36"/>
      <c r="O269" s="36" t="str">
        <v>tengah</v>
      </c>
      <c r="P269" s="36"/>
      <c r="Q269" s="36"/>
      <c r="T269" s="36" t="str">
        <v>kanan</v>
      </c>
      <c r="U269" s="36"/>
      <c r="V269" s="36"/>
    </row>
    <row r="270" spans="5:22">
      <c r="E270" s="36" t="str">
        <v>kanan</v>
      </c>
      <c r="F270" s="36"/>
      <c r="G270" s="36"/>
      <c r="J270" s="36" t="str">
        <v>tengah</v>
      </c>
      <c r="K270" s="36"/>
      <c r="L270" s="36"/>
      <c r="O270" s="36" t="str">
        <v>tengah</v>
      </c>
      <c r="P270" s="36"/>
      <c r="Q270" s="36"/>
      <c r="T270" s="36" t="str">
        <v>kanan</v>
      </c>
      <c r="U270" s="36"/>
      <c r="V270" s="36"/>
    </row>
    <row r="271" spans="5:22">
      <c r="E271" s="36" t="str">
        <v>kanan</v>
      </c>
      <c r="F271" s="36"/>
      <c r="G271" s="36"/>
      <c r="J271" s="36" t="str">
        <v>tengah</v>
      </c>
      <c r="K271" s="36"/>
      <c r="L271" s="36"/>
      <c r="O271" s="36" t="str">
        <v>tengah</v>
      </c>
      <c r="P271" s="36"/>
      <c r="Q271" s="36"/>
      <c r="T271" s="36" t="str">
        <v>tengah</v>
      </c>
      <c r="U271" s="36"/>
      <c r="V271" s="36"/>
    </row>
    <row r="272" spans="5:22">
      <c r="E272" s="36" t="str">
        <v>kiri</v>
      </c>
      <c r="F272" s="36"/>
      <c r="G272" s="36"/>
      <c r="J272" s="36" t="str">
        <v>kiri</v>
      </c>
      <c r="K272" s="36"/>
      <c r="L272" s="36"/>
      <c r="O272" s="36" t="str">
        <v>kanan</v>
      </c>
      <c r="P272" s="36"/>
      <c r="Q272" s="36"/>
      <c r="T272" s="36" t="str">
        <v>kanan</v>
      </c>
      <c r="U272" s="36"/>
      <c r="V272" s="36"/>
    </row>
    <row r="273" spans="5:22">
      <c r="E273" s="36" t="str">
        <v>tengah</v>
      </c>
      <c r="F273" s="36"/>
      <c r="G273" s="36"/>
      <c r="J273" s="36" t="str">
        <v>tengah</v>
      </c>
      <c r="K273" s="36"/>
      <c r="L273" s="36"/>
      <c r="O273" s="36" t="str">
        <v>tengah</v>
      </c>
      <c r="P273" s="36"/>
      <c r="Q273" s="36"/>
      <c r="T273" s="36" t="str">
        <v>kanan</v>
      </c>
      <c r="U273" s="36"/>
      <c r="V273" s="36"/>
    </row>
    <row r="274" spans="5:22">
      <c r="E274" s="36" t="str">
        <v>kiri</v>
      </c>
      <c r="F274" s="36"/>
      <c r="G274" s="36"/>
      <c r="J274" s="36" t="str">
        <v>kiri</v>
      </c>
      <c r="K274" s="36"/>
      <c r="L274" s="36"/>
      <c r="O274" s="36" t="str">
        <v>kiri</v>
      </c>
      <c r="P274" s="36"/>
      <c r="Q274" s="36"/>
      <c r="T274" s="36" t="str">
        <v>kanan</v>
      </c>
      <c r="U274" s="36"/>
      <c r="V274" s="36"/>
    </row>
    <row r="275" spans="5:22">
      <c r="E275" s="36" t="str">
        <v>kiri</v>
      </c>
      <c r="F275" s="36"/>
      <c r="G275" s="36"/>
      <c r="J275" s="36" t="str">
        <v>tengah</v>
      </c>
      <c r="K275" s="36"/>
      <c r="L275" s="36"/>
      <c r="O275" s="36" t="str">
        <v>tengah</v>
      </c>
      <c r="P275" s="36"/>
      <c r="Q275" s="36"/>
      <c r="T275" s="36" t="str">
        <v>kanan</v>
      </c>
      <c r="U275" s="36"/>
      <c r="V275" s="36"/>
    </row>
    <row r="276" spans="5:22">
      <c r="E276" s="36" t="str">
        <v>kiri</v>
      </c>
      <c r="F276" s="36"/>
      <c r="G276" s="36"/>
      <c r="J276" s="36" t="str">
        <v>tengah</v>
      </c>
      <c r="K276" s="36"/>
      <c r="L276" s="36"/>
      <c r="O276" s="36" t="str">
        <v>kiri</v>
      </c>
      <c r="P276" s="36"/>
      <c r="Q276" s="36"/>
      <c r="T276" s="36" t="str">
        <v>tengah</v>
      </c>
      <c r="U276" s="36"/>
      <c r="V276" s="36"/>
    </row>
    <row r="277" spans="5:22">
      <c r="E277" s="36" t="str">
        <v>tengah</v>
      </c>
      <c r="F277" s="36"/>
      <c r="G277" s="36"/>
      <c r="J277" s="36" t="str">
        <v>kiri</v>
      </c>
      <c r="K277" s="36"/>
      <c r="L277" s="36"/>
      <c r="O277" s="36" t="str">
        <v>tengah</v>
      </c>
      <c r="P277" s="36"/>
      <c r="Q277" s="36"/>
      <c r="T277" s="36" t="str">
        <v>kanan</v>
      </c>
      <c r="U277" s="36"/>
      <c r="V277" s="36"/>
    </row>
    <row r="278" spans="5:22">
      <c r="E278" s="36" t="str">
        <v>tengah</v>
      </c>
      <c r="F278" s="36"/>
      <c r="G278" s="36"/>
      <c r="J278" s="36" t="str">
        <v>kanan</v>
      </c>
      <c r="K278" s="36"/>
      <c r="L278" s="36"/>
      <c r="O278" s="36" t="str">
        <v>tengah</v>
      </c>
      <c r="P278" s="36"/>
      <c r="Q278" s="36"/>
      <c r="T278" s="36" t="str">
        <v>tengah</v>
      </c>
      <c r="U278" s="36"/>
      <c r="V278" s="36"/>
    </row>
    <row r="279" spans="5:22">
      <c r="E279" s="36" t="str">
        <v>kiri</v>
      </c>
      <c r="F279" s="36"/>
      <c r="G279" s="36"/>
      <c r="J279" s="36" t="str">
        <v>kiri</v>
      </c>
      <c r="K279" s="36"/>
      <c r="L279" s="36"/>
      <c r="O279" s="36" t="str">
        <v>kanan</v>
      </c>
      <c r="P279" s="36"/>
      <c r="Q279" s="36"/>
      <c r="T279" s="36" t="str">
        <v>tengah</v>
      </c>
      <c r="U279" s="36"/>
      <c r="V279" s="36"/>
    </row>
    <row r="280" spans="5:22">
      <c r="E280" s="36" t="str">
        <v>kiri</v>
      </c>
      <c r="F280" s="36"/>
      <c r="G280" s="36"/>
      <c r="J280" s="36" t="str">
        <v>kiri</v>
      </c>
      <c r="K280" s="36"/>
      <c r="L280" s="36"/>
      <c r="O280" s="36" t="str">
        <v>tengah</v>
      </c>
      <c r="P280" s="36"/>
      <c r="Q280" s="36"/>
      <c r="T280" s="36" t="str">
        <v>tengah</v>
      </c>
      <c r="U280" s="36"/>
      <c r="V280" s="36"/>
    </row>
    <row r="281" spans="5:22">
      <c r="E281" s="36" t="str">
        <v>tengah</v>
      </c>
      <c r="F281" s="36"/>
      <c r="G281" s="36"/>
      <c r="J281" s="36" t="str">
        <v>tengah</v>
      </c>
      <c r="K281" s="36"/>
      <c r="L281" s="36"/>
      <c r="O281" s="36" t="str">
        <v>kiri</v>
      </c>
      <c r="P281" s="36"/>
      <c r="Q281" s="36"/>
      <c r="T281" s="36" t="str">
        <v>kanan</v>
      </c>
      <c r="U281" s="36"/>
      <c r="V281" s="36"/>
    </row>
    <row r="282" spans="5:22">
      <c r="E282" s="36" t="str">
        <v>tengah</v>
      </c>
      <c r="F282" s="36"/>
      <c r="G282" s="36"/>
      <c r="J282" s="36" t="str">
        <v>tengah</v>
      </c>
      <c r="K282" s="36"/>
      <c r="L282" s="36"/>
      <c r="O282" s="36" t="str">
        <v>tengah</v>
      </c>
      <c r="P282" s="36"/>
      <c r="Q282" s="36"/>
      <c r="T282" s="36" t="str">
        <v>kanan</v>
      </c>
      <c r="U282" s="36"/>
      <c r="V282" s="36"/>
    </row>
    <row r="283" spans="5:22">
      <c r="E283" s="36" t="str">
        <v>tengah</v>
      </c>
      <c r="F283" s="36"/>
      <c r="G283" s="36"/>
      <c r="J283" s="36" t="str">
        <v>tengah</v>
      </c>
      <c r="K283" s="36"/>
      <c r="L283" s="36"/>
      <c r="O283" s="36" t="str">
        <v>kanan</v>
      </c>
      <c r="P283" s="36"/>
      <c r="Q283" s="36"/>
      <c r="T283" s="36" t="str">
        <v>kanan</v>
      </c>
      <c r="U283" s="36"/>
      <c r="V283" s="36"/>
    </row>
    <row r="284" spans="5:22">
      <c r="E284" s="36" t="str">
        <v>kanan</v>
      </c>
      <c r="F284" s="36"/>
      <c r="G284" s="36"/>
      <c r="J284" s="36" t="str">
        <v>kanan</v>
      </c>
      <c r="K284" s="36"/>
      <c r="L284" s="36"/>
      <c r="O284" s="36" t="str">
        <v>tengah</v>
      </c>
      <c r="P284" s="36"/>
      <c r="Q284" s="36"/>
      <c r="T284" s="36" t="str">
        <v>tengah</v>
      </c>
      <c r="U284" s="36"/>
      <c r="V284" s="36"/>
    </row>
    <row r="285" spans="5:22">
      <c r="E285" s="36" t="str">
        <v>kanan</v>
      </c>
      <c r="F285" s="36"/>
      <c r="G285" s="36"/>
      <c r="J285" s="36" t="str">
        <v>kanan</v>
      </c>
      <c r="K285" s="36"/>
      <c r="L285" s="36"/>
      <c r="O285" s="36" t="str">
        <v>kanan</v>
      </c>
      <c r="P285" s="36"/>
      <c r="Q285" s="36"/>
      <c r="T285" s="36" t="str">
        <v>kanan</v>
      </c>
      <c r="U285" s="36"/>
      <c r="V285" s="36"/>
    </row>
    <row r="286" spans="5:22">
      <c r="E286" s="36" t="str">
        <v>tengah</v>
      </c>
      <c r="F286" s="36"/>
      <c r="G286" s="36"/>
      <c r="J286" s="36" t="str">
        <v>tengah</v>
      </c>
      <c r="K286" s="36"/>
      <c r="L286" s="36"/>
      <c r="O286" s="36" t="str">
        <v>tengah</v>
      </c>
      <c r="P286" s="36"/>
      <c r="Q286" s="36"/>
      <c r="T286" s="36" t="str">
        <v>kanan</v>
      </c>
      <c r="U286" s="36"/>
      <c r="V286" s="36"/>
    </row>
    <row r="287" spans="5:22">
      <c r="E287" s="36" t="str">
        <v>tengah</v>
      </c>
      <c r="F287" s="36"/>
      <c r="G287" s="36"/>
      <c r="J287" s="36" t="str">
        <v>tengah</v>
      </c>
      <c r="K287" s="36"/>
      <c r="L287" s="36"/>
      <c r="O287" s="36" t="str">
        <v>kanan</v>
      </c>
      <c r="P287" s="36"/>
      <c r="Q287" s="36"/>
      <c r="T287" s="36" t="str">
        <v>kanan</v>
      </c>
      <c r="U287" s="36"/>
      <c r="V287" s="36"/>
    </row>
    <row r="288" spans="5:22">
      <c r="E288" s="36" t="str">
        <v>kiri</v>
      </c>
      <c r="F288" s="36"/>
      <c r="G288" s="36"/>
      <c r="J288" s="36" t="str">
        <v>kanan</v>
      </c>
      <c r="K288" s="36"/>
      <c r="L288" s="36"/>
      <c r="O288" s="36" t="str">
        <v>tengah</v>
      </c>
      <c r="P288" s="36"/>
      <c r="Q288" s="36"/>
      <c r="T288" s="36" t="str">
        <v>kanan</v>
      </c>
      <c r="U288" s="36"/>
      <c r="V288" s="36"/>
    </row>
    <row r="289" spans="5:22">
      <c r="E289" s="36" t="str">
        <v>tengah</v>
      </c>
      <c r="F289" s="36"/>
      <c r="G289" s="36"/>
      <c r="J289" s="36" t="str">
        <v>kanan</v>
      </c>
      <c r="K289" s="36"/>
      <c r="L289" s="36"/>
      <c r="O289" s="36" t="str">
        <v>kanan</v>
      </c>
      <c r="P289" s="36"/>
      <c r="Q289" s="36"/>
      <c r="T289" s="36" t="str">
        <v>tengah</v>
      </c>
      <c r="U289" s="36"/>
      <c r="V289" s="36"/>
    </row>
    <row r="290" spans="5:22">
      <c r="E290" s="36" t="str">
        <v>tengah</v>
      </c>
      <c r="F290" s="36"/>
      <c r="G290" s="36"/>
      <c r="J290" s="36" t="str">
        <v>tengah</v>
      </c>
      <c r="K290" s="36"/>
      <c r="L290" s="36"/>
      <c r="O290" s="36" t="str">
        <v>kanan</v>
      </c>
      <c r="P290" s="36"/>
      <c r="Q290" s="36"/>
      <c r="T290" s="36" t="str">
        <v>kanan</v>
      </c>
      <c r="U290" s="36"/>
      <c r="V290" s="36"/>
    </row>
    <row r="291" spans="5:22">
      <c r="E291" s="36" t="str">
        <v>tengah</v>
      </c>
      <c r="F291" s="36"/>
      <c r="G291" s="36"/>
      <c r="J291" s="36" t="str">
        <v>kiri</v>
      </c>
      <c r="K291" s="36"/>
      <c r="L291" s="36"/>
      <c r="O291" s="36" t="str">
        <v>kiri</v>
      </c>
      <c r="P291" s="36"/>
      <c r="Q291" s="36"/>
      <c r="T291" s="36" t="str">
        <v>kanan</v>
      </c>
      <c r="U291" s="36"/>
      <c r="V291" s="36"/>
    </row>
    <row r="292" spans="5:22">
      <c r="E292" s="36" t="str">
        <v>kanan</v>
      </c>
      <c r="F292" s="36"/>
      <c r="G292" s="36"/>
      <c r="J292" s="36" t="str">
        <v>tengah</v>
      </c>
      <c r="K292" s="36"/>
      <c r="L292" s="36"/>
      <c r="O292" s="36" t="str">
        <v>tengah</v>
      </c>
      <c r="P292" s="36"/>
      <c r="Q292" s="36"/>
      <c r="T292" s="36" t="str">
        <v>tengah</v>
      </c>
      <c r="U292" s="36"/>
      <c r="V292" s="36"/>
    </row>
    <row r="293" spans="5:22">
      <c r="E293" s="36" t="str">
        <v>tengah</v>
      </c>
      <c r="F293" s="36"/>
      <c r="G293" s="36"/>
      <c r="J293" s="36" t="str">
        <v>tengah</v>
      </c>
      <c r="K293" s="36"/>
      <c r="L293" s="36"/>
      <c r="O293" s="36" t="str">
        <v>kiri</v>
      </c>
      <c r="P293" s="36"/>
      <c r="Q293" s="36"/>
      <c r="T293" s="36" t="str">
        <v>kanan</v>
      </c>
      <c r="U293" s="36"/>
      <c r="V293" s="36"/>
    </row>
    <row r="294" spans="5:22">
      <c r="E294" s="36" t="str">
        <v>kiri</v>
      </c>
      <c r="F294" s="36"/>
      <c r="G294" s="36"/>
      <c r="J294" s="36" t="str">
        <v>tengah</v>
      </c>
      <c r="K294" s="36"/>
      <c r="L294" s="36"/>
      <c r="O294" s="36" t="str">
        <v>kanan</v>
      </c>
      <c r="P294" s="36"/>
      <c r="Q294" s="36"/>
      <c r="T294" s="36" t="str">
        <v>kanan</v>
      </c>
      <c r="U294" s="36"/>
      <c r="V294" s="36"/>
    </row>
    <row r="295" spans="5:22">
      <c r="E295" s="36" t="str">
        <v>kanan</v>
      </c>
      <c r="F295" s="36"/>
      <c r="G295" s="36"/>
      <c r="J295" s="36" t="str">
        <v>tengah</v>
      </c>
      <c r="K295" s="36"/>
      <c r="L295" s="36"/>
      <c r="O295" s="36" t="str">
        <v>tengah</v>
      </c>
      <c r="P295" s="36"/>
      <c r="Q295" s="36"/>
      <c r="T295" s="36" t="str">
        <v>kanan</v>
      </c>
      <c r="U295" s="36"/>
      <c r="V295" s="36"/>
    </row>
    <row r="296" spans="5:22">
      <c r="E296" s="36" t="str">
        <v>tengah</v>
      </c>
      <c r="F296" s="36"/>
      <c r="G296" s="36"/>
      <c r="J296" s="36" t="str">
        <v>tengah</v>
      </c>
      <c r="K296" s="36"/>
      <c r="L296" s="36"/>
      <c r="O296" s="36" t="str">
        <v>tengah</v>
      </c>
      <c r="P296" s="36"/>
      <c r="Q296" s="36"/>
      <c r="T296" s="36" t="str">
        <v>tengah</v>
      </c>
      <c r="U296" s="36"/>
      <c r="V296" s="36"/>
    </row>
    <row r="297" spans="5:22">
      <c r="E297" s="36" t="str">
        <v>tengah</v>
      </c>
      <c r="F297" s="36"/>
      <c r="G297" s="36"/>
      <c r="J297" s="36" t="str">
        <v>tengah</v>
      </c>
      <c r="K297" s="36"/>
      <c r="L297" s="36"/>
      <c r="O297" s="36" t="str">
        <v>tengah</v>
      </c>
      <c r="P297" s="36"/>
      <c r="Q297" s="36"/>
      <c r="T297" s="36" t="str">
        <v>tengah</v>
      </c>
      <c r="U297" s="36"/>
      <c r="V297" s="36"/>
    </row>
    <row r="298" spans="5:22">
      <c r="E298" s="36" t="str">
        <v>tengah</v>
      </c>
      <c r="F298" s="36"/>
      <c r="G298" s="36"/>
      <c r="J298" s="36" t="str">
        <v>tengah</v>
      </c>
      <c r="K298" s="36"/>
      <c r="L298" s="36"/>
      <c r="O298" s="36" t="str">
        <v>kiri</v>
      </c>
      <c r="P298" s="36"/>
      <c r="Q298" s="36"/>
      <c r="T298" s="36" t="str">
        <v>kanan</v>
      </c>
      <c r="U298" s="36"/>
      <c r="V298" s="36"/>
    </row>
    <row r="299" spans="5:22">
      <c r="E299" s="36" t="str">
        <v>kanan</v>
      </c>
      <c r="F299" s="36"/>
      <c r="G299" s="36"/>
      <c r="J299" s="36" t="str">
        <v>tengah</v>
      </c>
      <c r="K299" s="36"/>
      <c r="L299" s="36"/>
      <c r="O299" s="36" t="str">
        <v>kanan</v>
      </c>
      <c r="P299" s="36"/>
      <c r="Q299" s="36"/>
      <c r="T299" s="36" t="str">
        <v>kanan</v>
      </c>
      <c r="U299" s="36"/>
      <c r="V299" s="36"/>
    </row>
    <row r="300" spans="5:22">
      <c r="E300" s="36" t="str">
        <v>tengah</v>
      </c>
      <c r="F300" s="36"/>
      <c r="G300" s="36"/>
      <c r="J300" s="36" t="str">
        <v>tengah</v>
      </c>
      <c r="K300" s="36"/>
      <c r="L300" s="36"/>
      <c r="O300" s="36" t="str">
        <v>kanan</v>
      </c>
      <c r="P300" s="36"/>
      <c r="Q300" s="36"/>
      <c r="T300" s="36" t="str">
        <v>kanan</v>
      </c>
      <c r="U300" s="36"/>
      <c r="V300" s="36"/>
    </row>
    <row r="301" spans="5:22">
      <c r="E301" s="36" t="str">
        <v>tengah</v>
      </c>
      <c r="F301" s="36"/>
      <c r="G301" s="36"/>
      <c r="J301" s="36" t="str">
        <v>tengah</v>
      </c>
      <c r="K301" s="36"/>
      <c r="L301" s="36"/>
      <c r="O301" s="36" t="str">
        <v>kanan</v>
      </c>
      <c r="P301" s="36"/>
      <c r="Q301" s="36"/>
      <c r="T301" s="36" t="str">
        <v>kanan</v>
      </c>
      <c r="U301" s="36"/>
      <c r="V301" s="36"/>
    </row>
    <row r="302" spans="5:22">
      <c r="E302" s="36" t="str">
        <v>kanan</v>
      </c>
      <c r="F302" s="36"/>
      <c r="G302" s="36"/>
      <c r="J302" s="36" t="str">
        <v>tengah</v>
      </c>
      <c r="K302" s="36"/>
      <c r="L302" s="36"/>
      <c r="O302" s="36" t="str">
        <v>tengah</v>
      </c>
      <c r="P302" s="36"/>
      <c r="Q302" s="36"/>
      <c r="T302" s="36" t="str">
        <v>tengah</v>
      </c>
      <c r="U302" s="36"/>
      <c r="V302" s="36"/>
    </row>
    <row r="303" spans="5:22">
      <c r="E303" s="36" t="str">
        <v>tengah</v>
      </c>
      <c r="F303" s="36"/>
      <c r="G303" s="36"/>
      <c r="J303" s="36" t="str">
        <v>tengah</v>
      </c>
      <c r="K303" s="36"/>
      <c r="L303" s="36"/>
      <c r="O303" s="36" t="str">
        <v>kiri</v>
      </c>
      <c r="P303" s="36"/>
      <c r="Q303" s="36"/>
      <c r="T303" s="36" t="str">
        <v>kanan</v>
      </c>
      <c r="U303" s="36"/>
      <c r="V303" s="36"/>
    </row>
    <row r="304" spans="5:22">
      <c r="E304" s="36" t="str">
        <v>kanan</v>
      </c>
      <c r="F304" s="36"/>
      <c r="G304" s="36"/>
      <c r="J304" s="36" t="str">
        <v>tengah</v>
      </c>
      <c r="K304" s="36"/>
      <c r="L304" s="36"/>
      <c r="O304" s="36" t="str">
        <v>tengah</v>
      </c>
      <c r="P304" s="36"/>
      <c r="Q304" s="36"/>
      <c r="T304" s="36" t="str">
        <v>kanan</v>
      </c>
      <c r="U304" s="36"/>
      <c r="V304" s="36"/>
    </row>
    <row r="305" spans="5:22">
      <c r="E305" s="36" t="str">
        <v>kiri</v>
      </c>
      <c r="F305" s="36"/>
      <c r="G305" s="36"/>
      <c r="J305" s="36" t="str">
        <v>tengah</v>
      </c>
      <c r="K305" s="36"/>
      <c r="L305" s="36"/>
      <c r="O305" s="36" t="str">
        <v>tengah</v>
      </c>
      <c r="P305" s="36"/>
      <c r="Q305" s="36"/>
      <c r="T305" s="36" t="str">
        <v>kanan</v>
      </c>
      <c r="U305" s="36"/>
      <c r="V305" s="36"/>
    </row>
    <row r="306" spans="5:22">
      <c r="E306" s="36" t="str">
        <v>tengah</v>
      </c>
      <c r="F306" s="36"/>
      <c r="G306" s="36"/>
      <c r="J306" s="36" t="str">
        <v>tengah</v>
      </c>
      <c r="K306" s="36"/>
      <c r="L306" s="36"/>
      <c r="O306" s="36" t="str">
        <v>tengah</v>
      </c>
      <c r="P306" s="36"/>
      <c r="Q306" s="36"/>
      <c r="T306" s="36" t="str">
        <v>kanan</v>
      </c>
      <c r="U306" s="36"/>
      <c r="V306" s="36"/>
    </row>
    <row r="307" spans="5:22">
      <c r="E307" s="36" t="str">
        <v>kanan</v>
      </c>
      <c r="F307" s="36"/>
      <c r="G307" s="36"/>
      <c r="J307" s="36" t="str">
        <v>kiri</v>
      </c>
      <c r="K307" s="36"/>
      <c r="L307" s="36"/>
      <c r="O307" s="36" t="str">
        <v>kanan</v>
      </c>
      <c r="P307" s="36"/>
      <c r="Q307" s="36"/>
      <c r="T307" s="36" t="str">
        <v>kanan</v>
      </c>
      <c r="U307" s="36"/>
      <c r="V307" s="36"/>
    </row>
    <row r="308" spans="5:22">
      <c r="E308" s="36" t="str">
        <v>tengah</v>
      </c>
      <c r="F308" s="36"/>
      <c r="G308" s="36"/>
      <c r="J308" s="36" t="str">
        <v>tengah</v>
      </c>
      <c r="K308" s="36"/>
      <c r="L308" s="36"/>
      <c r="O308" s="36" t="str">
        <v>kanan</v>
      </c>
      <c r="P308" s="36"/>
      <c r="Q308" s="36"/>
      <c r="T308" s="36" t="str">
        <v>kanan</v>
      </c>
      <c r="U308" s="36"/>
      <c r="V308" s="36"/>
    </row>
    <row r="309" spans="5:22">
      <c r="E309" s="36" t="str">
        <v>tengah</v>
      </c>
      <c r="F309" s="36"/>
      <c r="G309" s="36"/>
      <c r="J309" s="36" t="str">
        <v>tengah</v>
      </c>
      <c r="K309" s="36"/>
      <c r="L309" s="36"/>
      <c r="O309" s="36" t="str">
        <v>kanan</v>
      </c>
      <c r="P309" s="36"/>
      <c r="Q309" s="36"/>
      <c r="T309" s="36" t="str">
        <v>kanan</v>
      </c>
      <c r="U309" s="36"/>
      <c r="V309" s="36"/>
    </row>
    <row r="310" spans="5:22">
      <c r="E310" s="36" t="str">
        <v>tengah</v>
      </c>
      <c r="F310" s="36"/>
      <c r="G310" s="36"/>
      <c r="J310" s="36" t="str">
        <v>kanan</v>
      </c>
      <c r="K310" s="36"/>
      <c r="L310" s="36"/>
      <c r="O310" s="36" t="str">
        <v>kiri</v>
      </c>
      <c r="P310" s="36"/>
      <c r="Q310" s="36"/>
      <c r="T310" s="36" t="str">
        <v>tengah</v>
      </c>
      <c r="U310" s="36"/>
      <c r="V310" s="36"/>
    </row>
    <row r="311" spans="5:22">
      <c r="E311" s="36" t="str">
        <v>kiri</v>
      </c>
      <c r="F311" s="36"/>
      <c r="G311" s="36"/>
      <c r="J311" s="36" t="str">
        <v>tengah</v>
      </c>
      <c r="K311" s="36"/>
      <c r="L311" s="36"/>
      <c r="O311" s="36" t="str">
        <v>tengah</v>
      </c>
      <c r="P311" s="36"/>
      <c r="Q311" s="36"/>
      <c r="T311" s="36" t="str">
        <v>tengah</v>
      </c>
      <c r="U311" s="36"/>
      <c r="V311" s="36"/>
    </row>
    <row r="312" spans="5:22">
      <c r="E312" s="36" t="str">
        <v>kanan</v>
      </c>
      <c r="F312" s="36"/>
      <c r="G312" s="36"/>
      <c r="J312" s="36" t="str">
        <v>tengah</v>
      </c>
      <c r="K312" s="36"/>
      <c r="L312" s="36"/>
      <c r="O312" s="36" t="str">
        <v>kanan</v>
      </c>
      <c r="P312" s="36"/>
      <c r="Q312" s="36"/>
      <c r="T312" s="36" t="str">
        <v>kanan</v>
      </c>
      <c r="U312" s="36"/>
      <c r="V312" s="36"/>
    </row>
    <row r="313" spans="5:22">
      <c r="E313" s="36" t="str">
        <v>kiri</v>
      </c>
      <c r="F313" s="36"/>
      <c r="G313" s="36"/>
      <c r="J313" s="36" t="str">
        <v>kiri</v>
      </c>
      <c r="K313" s="36"/>
      <c r="L313" s="36"/>
      <c r="O313" s="36" t="str">
        <v>kanan</v>
      </c>
      <c r="P313" s="36"/>
      <c r="Q313" s="36"/>
      <c r="T313" s="36" t="str">
        <v>tengah</v>
      </c>
      <c r="U313" s="36"/>
      <c r="V313" s="36"/>
    </row>
    <row r="314" spans="5:22">
      <c r="E314" s="36" t="str">
        <v>tengah</v>
      </c>
      <c r="F314" s="36"/>
      <c r="G314" s="36"/>
      <c r="J314" s="36" t="str">
        <v>tengah</v>
      </c>
      <c r="K314" s="36"/>
      <c r="L314" s="36"/>
      <c r="O314" s="36" t="str">
        <v>tengah</v>
      </c>
      <c r="P314" s="36"/>
      <c r="Q314" s="36"/>
      <c r="T314" s="36" t="str">
        <v>kanan</v>
      </c>
      <c r="U314" s="36"/>
      <c r="V314" s="36"/>
    </row>
    <row r="315" spans="5:22">
      <c r="E315" s="36" t="str">
        <v>kiri</v>
      </c>
      <c r="F315" s="36"/>
      <c r="G315" s="36"/>
      <c r="J315" s="36" t="str">
        <v>kanan</v>
      </c>
      <c r="K315" s="36"/>
      <c r="L315" s="36"/>
      <c r="O315" s="36" t="str">
        <v>kiri</v>
      </c>
      <c r="P315" s="36"/>
      <c r="Q315" s="36"/>
      <c r="T315" s="36" t="str">
        <v>kanan</v>
      </c>
      <c r="U315" s="36"/>
      <c r="V315" s="36"/>
    </row>
    <row r="316" spans="5:22">
      <c r="E316" s="36" t="str">
        <v>tengah</v>
      </c>
      <c r="F316" s="36"/>
      <c r="G316" s="36"/>
      <c r="J316" s="36" t="str">
        <v>kanan</v>
      </c>
      <c r="K316" s="36"/>
      <c r="L316" s="36"/>
      <c r="O316" s="36" t="str">
        <v>tengah</v>
      </c>
      <c r="P316" s="36"/>
      <c r="Q316" s="36"/>
      <c r="T316" s="36" t="str">
        <v>tengah</v>
      </c>
      <c r="U316" s="36"/>
      <c r="V316" s="36"/>
    </row>
    <row r="317" spans="5:22">
      <c r="E317" s="36" t="str">
        <v>tengah</v>
      </c>
      <c r="F317" s="36"/>
      <c r="G317" s="36"/>
      <c r="J317" s="36" t="str">
        <v>kiri</v>
      </c>
      <c r="K317" s="36"/>
      <c r="L317" s="36"/>
      <c r="O317" s="36" t="str">
        <v>kiri</v>
      </c>
      <c r="P317" s="36"/>
      <c r="Q317" s="36"/>
      <c r="T317" s="36" t="str">
        <v>kanan</v>
      </c>
      <c r="U317" s="36"/>
      <c r="V317" s="36"/>
    </row>
    <row r="318" spans="5:22">
      <c r="E318" s="36" t="str">
        <v>tengah</v>
      </c>
      <c r="F318" s="36"/>
      <c r="G318" s="36"/>
      <c r="J318" s="36" t="str">
        <v>tengah</v>
      </c>
      <c r="K318" s="36"/>
      <c r="L318" s="36"/>
      <c r="O318" s="36" t="str">
        <v>tengah</v>
      </c>
      <c r="P318" s="36"/>
      <c r="Q318" s="36"/>
      <c r="T318" s="36" t="str">
        <v>kanan</v>
      </c>
      <c r="U318" s="36"/>
      <c r="V318" s="36"/>
    </row>
    <row r="319" spans="5:22">
      <c r="E319" s="36" t="str">
        <v>tengah</v>
      </c>
      <c r="F319" s="36"/>
      <c r="G319" s="36"/>
      <c r="J319" s="36" t="str">
        <v>tengah</v>
      </c>
      <c r="K319" s="36"/>
      <c r="L319" s="36"/>
      <c r="O319" s="36" t="str">
        <v>tengah</v>
      </c>
      <c r="P319" s="36"/>
      <c r="Q319" s="36"/>
      <c r="T319" s="36" t="str">
        <v>kanan</v>
      </c>
      <c r="U319" s="36"/>
      <c r="V319" s="36"/>
    </row>
    <row r="320" spans="5:22">
      <c r="E320" s="36" t="str">
        <v>tengah</v>
      </c>
      <c r="F320" s="36"/>
      <c r="G320" s="36"/>
      <c r="J320" s="36" t="str">
        <v>tengah</v>
      </c>
      <c r="K320" s="36"/>
      <c r="L320" s="36"/>
      <c r="O320" s="36" t="str">
        <v>kanan</v>
      </c>
      <c r="P320" s="36"/>
      <c r="Q320" s="36"/>
      <c r="T320" s="36" t="str">
        <v>kanan</v>
      </c>
      <c r="U320" s="36"/>
      <c r="V320" s="36"/>
    </row>
    <row r="321" spans="5:22">
      <c r="E321" s="36" t="str">
        <v>tengah</v>
      </c>
      <c r="F321" s="36"/>
      <c r="G321" s="36"/>
      <c r="J321" s="36" t="str">
        <v>kanan</v>
      </c>
      <c r="K321" s="36"/>
      <c r="L321" s="36"/>
      <c r="O321" s="36" t="str">
        <v>tengah</v>
      </c>
      <c r="P321" s="36"/>
      <c r="Q321" s="36"/>
      <c r="T321" s="36" t="str">
        <v>kanan</v>
      </c>
      <c r="U321" s="36"/>
      <c r="V321" s="36"/>
    </row>
    <row r="322" spans="5:22">
      <c r="E322" s="36" t="str">
        <v>tengah</v>
      </c>
      <c r="F322" s="36"/>
      <c r="G322" s="36"/>
      <c r="J322" s="36" t="str">
        <v>tengah</v>
      </c>
      <c r="K322" s="36"/>
      <c r="L322" s="36"/>
      <c r="O322" s="36" t="str">
        <v>kanan</v>
      </c>
      <c r="P322" s="36"/>
      <c r="Q322" s="36"/>
      <c r="T322" s="36" t="str">
        <v>kanan</v>
      </c>
      <c r="U322" s="36"/>
      <c r="V322" s="36"/>
    </row>
    <row r="323" spans="5:22">
      <c r="E323" s="36" t="str">
        <v>tengah</v>
      </c>
      <c r="F323" s="36"/>
      <c r="G323" s="36"/>
      <c r="J323" s="36" t="str">
        <v>tengah</v>
      </c>
      <c r="K323" s="36"/>
      <c r="L323" s="36"/>
      <c r="O323" s="36" t="str">
        <v>tengah</v>
      </c>
      <c r="P323" s="36"/>
      <c r="Q323" s="36"/>
      <c r="T323" s="36" t="str">
        <v>kanan</v>
      </c>
      <c r="U323" s="36"/>
      <c r="V323" s="36"/>
    </row>
    <row r="324" spans="5:22">
      <c r="E324" s="36" t="str">
        <v>kanan</v>
      </c>
      <c r="F324" s="36"/>
      <c r="G324" s="36"/>
      <c r="J324" s="36" t="str">
        <v>tengah</v>
      </c>
      <c r="K324" s="36"/>
      <c r="L324" s="36"/>
      <c r="O324" s="36" t="str">
        <v>tengah</v>
      </c>
      <c r="P324" s="36"/>
      <c r="Q324" s="36"/>
      <c r="T324" s="36" t="str">
        <v>tengah</v>
      </c>
      <c r="U324" s="36"/>
      <c r="V324" s="36"/>
    </row>
    <row r="325" spans="5:22">
      <c r="E325" s="36" t="str">
        <v>tengah</v>
      </c>
      <c r="F325" s="36"/>
      <c r="G325" s="36"/>
      <c r="J325" s="36" t="str">
        <v>tengah</v>
      </c>
      <c r="K325" s="36"/>
      <c r="L325" s="36"/>
      <c r="O325" s="36" t="str">
        <v>tengah</v>
      </c>
      <c r="P325" s="36"/>
      <c r="Q325" s="36"/>
      <c r="T325" s="36" t="str">
        <v>tengah</v>
      </c>
      <c r="U325" s="36"/>
      <c r="V325" s="36"/>
    </row>
    <row r="326" spans="5:22">
      <c r="E326" s="36" t="str">
        <v>kanan</v>
      </c>
      <c r="F326" s="36"/>
      <c r="G326" s="36"/>
      <c r="J326" s="36" t="str">
        <v>tengah</v>
      </c>
      <c r="K326" s="36"/>
      <c r="L326" s="36"/>
      <c r="O326" s="36" t="str">
        <v>tengah</v>
      </c>
      <c r="P326" s="36"/>
      <c r="Q326" s="36"/>
      <c r="T326" s="36" t="str">
        <v>tengah</v>
      </c>
      <c r="U326" s="36"/>
      <c r="V326" s="36"/>
    </row>
    <row r="327" spans="5:22">
      <c r="E327" s="36" t="str">
        <v>kanan</v>
      </c>
      <c r="F327" s="36"/>
      <c r="G327" s="36"/>
      <c r="J327" s="36" t="str">
        <v>kanan</v>
      </c>
      <c r="K327" s="36"/>
      <c r="L327" s="36"/>
      <c r="O327" s="36" t="str">
        <v>tengah</v>
      </c>
      <c r="P327" s="36"/>
      <c r="Q327" s="36"/>
      <c r="T327" s="36" t="str">
        <v>kanan</v>
      </c>
      <c r="U327" s="36"/>
      <c r="V327" s="36"/>
    </row>
    <row r="328" spans="5:22">
      <c r="E328" s="36" t="str">
        <v>tengah</v>
      </c>
      <c r="F328" s="36"/>
      <c r="G328" s="36"/>
      <c r="J328" s="36" t="str">
        <v>tengah</v>
      </c>
      <c r="K328" s="36"/>
      <c r="L328" s="36"/>
      <c r="O328" s="36" t="str">
        <v>kanan</v>
      </c>
      <c r="P328" s="36"/>
      <c r="Q328" s="36"/>
      <c r="T328" s="36" t="str">
        <v>kanan</v>
      </c>
      <c r="U328" s="36"/>
      <c r="V328" s="36"/>
    </row>
    <row r="329" spans="5:22">
      <c r="E329" s="36" t="str">
        <v>kanan</v>
      </c>
      <c r="F329" s="36"/>
      <c r="G329" s="36"/>
      <c r="J329" s="36" t="str">
        <v>tengah</v>
      </c>
      <c r="K329" s="36"/>
      <c r="L329" s="36"/>
      <c r="O329" s="36" t="str">
        <v>tengah</v>
      </c>
      <c r="P329" s="36"/>
      <c r="Q329" s="36"/>
      <c r="T329" s="36" t="str">
        <v>tengah</v>
      </c>
      <c r="U329" s="36"/>
      <c r="V329" s="36"/>
    </row>
    <row r="330" spans="5:22">
      <c r="E330" s="36" t="str">
        <v>tengah</v>
      </c>
      <c r="F330" s="36"/>
      <c r="G330" s="36"/>
      <c r="J330" s="36" t="str">
        <v>kiri</v>
      </c>
      <c r="K330" s="36"/>
      <c r="L330" s="36"/>
      <c r="O330" s="36" t="str">
        <v>kanan</v>
      </c>
      <c r="P330" s="36"/>
      <c r="Q330" s="36"/>
      <c r="T330" s="36" t="str">
        <v>tengah</v>
      </c>
      <c r="U330" s="36"/>
      <c r="V330" s="36"/>
    </row>
    <row r="331" spans="5:22">
      <c r="E331" s="36" t="str">
        <v>tengah</v>
      </c>
      <c r="F331" s="36"/>
      <c r="G331" s="36"/>
      <c r="J331" s="36" t="str">
        <v>tengah</v>
      </c>
      <c r="K331" s="36"/>
      <c r="L331" s="36"/>
      <c r="O331" s="36" t="str">
        <v>tengah</v>
      </c>
      <c r="P331" s="36"/>
      <c r="Q331" s="36"/>
      <c r="T331" s="36" t="str">
        <v>tengah</v>
      </c>
      <c r="U331" s="36"/>
      <c r="V331" s="36"/>
    </row>
    <row r="332" spans="5:22">
      <c r="E332" s="36" t="str">
        <v>kiri</v>
      </c>
      <c r="F332" s="36"/>
      <c r="G332" s="36"/>
      <c r="J332" s="36" t="str">
        <v>kiri</v>
      </c>
      <c r="K332" s="36"/>
      <c r="L332" s="36"/>
      <c r="O332" s="36" t="str">
        <v>tengah</v>
      </c>
      <c r="P332" s="36"/>
      <c r="Q332" s="36"/>
      <c r="T332" s="36" t="str">
        <v>kanan</v>
      </c>
      <c r="U332" s="36"/>
      <c r="V332" s="36"/>
    </row>
  </sheetData>
  <pageMargins left="0.7" right="0.7" top="0.75" bottom="0.75" header="0.3" footer="0.3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32"/>
  <sheetViews>
    <sheetView zoomScale="112" zoomScaleNormal="112" topLeftCell="I188" workbookViewId="0">
      <selection activeCell="V197" sqref="V197"/>
    </sheetView>
  </sheetViews>
  <sheetFormatPr defaultColWidth="9.14074074074074" defaultRowHeight="15"/>
  <cols>
    <col min="1" max="2" width="9.14074074074074" style="49"/>
    <col min="3" max="3" width="15.8518518518519" style="49" customWidth="1"/>
    <col min="4" max="4" width="13.2814814814815" style="49" customWidth="1"/>
    <col min="5" max="5" width="15.5703703703704" style="49" customWidth="1"/>
    <col min="6" max="6" width="13.1407407407407" style="49" customWidth="1"/>
    <col min="7" max="9" width="9.14074074074074" style="49"/>
    <col min="10" max="10" width="17" style="49" customWidth="1"/>
    <col min="11" max="11" width="13.2814814814815" style="49" customWidth="1"/>
    <col min="12" max="12" width="13.8518518518519" style="49" customWidth="1"/>
    <col min="13" max="14" width="9.14074074074074" style="49"/>
    <col min="15" max="15" width="16.1407407407407" style="49" customWidth="1"/>
    <col min="16" max="18" width="9.14074074074074" style="49"/>
    <col min="19" max="19" width="6.42222222222222" style="49" customWidth="1"/>
    <col min="20" max="20" width="14.2814814814815" style="49" customWidth="1"/>
    <col min="21" max="16384" width="9.14074074074074" style="49"/>
  </cols>
  <sheetData>
    <row r="1" spans="1:17">
      <c r="A1" s="50" t="s">
        <v>183</v>
      </c>
      <c r="B1" s="50" t="s">
        <v>1</v>
      </c>
      <c r="C1" s="50" t="s">
        <v>2</v>
      </c>
      <c r="D1" s="50" t="s">
        <v>4</v>
      </c>
      <c r="E1" s="50" t="s">
        <v>5</v>
      </c>
      <c r="H1" s="62" t="s">
        <v>183</v>
      </c>
      <c r="I1" s="62" t="s">
        <v>1</v>
      </c>
      <c r="J1" s="62" t="s">
        <v>2</v>
      </c>
      <c r="K1" s="62" t="s">
        <v>4</v>
      </c>
      <c r="L1" s="62" t="s">
        <v>5</v>
      </c>
      <c r="O1" s="50" t="s">
        <v>184</v>
      </c>
      <c r="P1" s="53"/>
      <c r="Q1" s="53"/>
    </row>
    <row r="2" spans="1:17">
      <c r="A2" s="51">
        <f ca="1" t="shared" ref="A2:A33" si="0">RANDBETWEEN(2,164)</f>
        <v>100</v>
      </c>
      <c r="B2" s="51">
        <f ca="1" t="array" ref="B2">INDEX([1]Data_DBD!$B:$B,$A2)</f>
        <v>19</v>
      </c>
      <c r="C2" s="51">
        <f ca="1" t="array" ref="C2">INDEX([1]Data_DBD!$C:$C,$A2)</f>
        <v>6</v>
      </c>
      <c r="D2" s="51">
        <f ca="1" t="array" ref="D2">INDEX([1]Data_DBD!$E:$E,$A2)</f>
        <v>0</v>
      </c>
      <c r="E2" s="51" t="str">
        <f ca="1" t="array" ref="E2">INDEX([1]Data_DBD!$F:$F,$A2)</f>
        <v>Tinggi</v>
      </c>
      <c r="H2" s="63">
        <v>42</v>
      </c>
      <c r="I2" s="63">
        <v>21</v>
      </c>
      <c r="J2" s="63">
        <v>5</v>
      </c>
      <c r="K2" s="63">
        <v>1</v>
      </c>
      <c r="L2" s="63" t="s">
        <v>8</v>
      </c>
      <c r="O2" s="53" t="s">
        <v>105</v>
      </c>
      <c r="P2" s="53">
        <f>COUNTIF(L2:L164,"Tinggi")</f>
        <v>74</v>
      </c>
      <c r="Q2" s="53">
        <f>P2/163</f>
        <v>0.45398773006135</v>
      </c>
    </row>
    <row r="3" spans="1:17">
      <c r="A3" s="51">
        <f ca="1" t="shared" si="0"/>
        <v>32</v>
      </c>
      <c r="B3" s="51">
        <f ca="1" t="array" ref="B3">INDEX([1]Data_DBD!$B:$B,$A3)</f>
        <v>54</v>
      </c>
      <c r="C3" s="51">
        <f ca="1" t="array" ref="C3">INDEX([1]Data_DBD!$C:$C,$A3)</f>
        <v>4</v>
      </c>
      <c r="D3" s="51">
        <f ca="1" t="array" ref="D3">INDEX([1]Data_DBD!$E:$E,$A3)</f>
        <v>0</v>
      </c>
      <c r="E3" s="51" t="str">
        <f ca="1" t="array" ref="E3">INDEX([1]Data_DBD!$F:$F,$A3)</f>
        <v>Sedang</v>
      </c>
      <c r="H3" s="63">
        <v>30</v>
      </c>
      <c r="I3" s="63">
        <v>3</v>
      </c>
      <c r="J3" s="63">
        <v>2</v>
      </c>
      <c r="K3" s="63">
        <v>1</v>
      </c>
      <c r="L3" s="63" t="s">
        <v>8</v>
      </c>
      <c r="O3" s="53" t="s">
        <v>8</v>
      </c>
      <c r="P3" s="53">
        <f>COUNTIF(L2:L164,"Sedang")</f>
        <v>74</v>
      </c>
      <c r="Q3" s="53">
        <f>P3/163</f>
        <v>0.45398773006135</v>
      </c>
    </row>
    <row r="4" spans="1:17">
      <c r="A4" s="51">
        <f ca="1" t="shared" si="0"/>
        <v>101</v>
      </c>
      <c r="B4" s="51">
        <f ca="1" t="array" ref="B4">INDEX([1]Data_DBD!$B:$B,$A4)</f>
        <v>42</v>
      </c>
      <c r="C4" s="51">
        <f ca="1" t="array" ref="C4">INDEX([1]Data_DBD!$C:$C,$A4)</f>
        <v>5</v>
      </c>
      <c r="D4" s="51">
        <f ca="1" t="array" ref="D4">INDEX([1]Data_DBD!$E:$E,$A4)</f>
        <v>0</v>
      </c>
      <c r="E4" s="51" t="str">
        <f ca="1" t="array" ref="E4">INDEX([1]Data_DBD!$F:$F,$A4)</f>
        <v>Tinggi</v>
      </c>
      <c r="H4" s="63">
        <v>139</v>
      </c>
      <c r="I4" s="63">
        <v>52</v>
      </c>
      <c r="J4" s="63">
        <v>7</v>
      </c>
      <c r="K4" s="63">
        <v>0</v>
      </c>
      <c r="L4" s="63" t="s">
        <v>105</v>
      </c>
      <c r="O4" s="53" t="s">
        <v>26</v>
      </c>
      <c r="P4" s="53">
        <f>COUNTIF(L2:L164,"Rendah")</f>
        <v>15</v>
      </c>
      <c r="Q4" s="53">
        <f>P4/163</f>
        <v>0.0920245398773006</v>
      </c>
    </row>
    <row r="5" spans="1:16">
      <c r="A5" s="51">
        <f ca="1" t="shared" si="0"/>
        <v>122</v>
      </c>
      <c r="B5" s="51">
        <f ca="1" t="array" ref="B5">INDEX([1]Data_DBD!$B:$B,$A5)</f>
        <v>28</v>
      </c>
      <c r="C5" s="51">
        <f ca="1" t="array" ref="C5">INDEX([1]Data_DBD!$C:$C,$A5)</f>
        <v>3</v>
      </c>
      <c r="D5" s="51">
        <f ca="1" t="array" ref="D5">INDEX([1]Data_DBD!$E:$E,$A5)</f>
        <v>1</v>
      </c>
      <c r="E5" s="51" t="str">
        <f ca="1" t="array" ref="E5">INDEX([1]Data_DBD!$F:$F,$A5)</f>
        <v>Tinggi</v>
      </c>
      <c r="H5" s="63">
        <v>60</v>
      </c>
      <c r="I5" s="63">
        <v>68</v>
      </c>
      <c r="J5" s="63">
        <v>4</v>
      </c>
      <c r="K5" s="63">
        <v>0</v>
      </c>
      <c r="L5" s="63" t="s">
        <v>8</v>
      </c>
      <c r="O5" s="54" t="s">
        <v>185</v>
      </c>
      <c r="P5" s="49">
        <f>-(IFERROR(Q2*LOG(Q2,2),0)+IFERROR(Q3*LOG(Q3,2),0)+IFERROR(Q4*LOG(Q4,2),0))</f>
        <v>1.35116706805186</v>
      </c>
    </row>
    <row r="6" spans="1:12">
      <c r="A6" s="51">
        <f ca="1" t="shared" si="0"/>
        <v>66</v>
      </c>
      <c r="B6" s="51">
        <f ca="1" t="array" ref="B6">INDEX([1]Data_DBD!$B:$B,$A6)</f>
        <v>21</v>
      </c>
      <c r="C6" s="51">
        <f ca="1" t="array" ref="C6">INDEX([1]Data_DBD!$C:$C,$A6)</f>
        <v>5</v>
      </c>
      <c r="D6" s="51">
        <f ca="1" t="array" ref="D6">INDEX([1]Data_DBD!$E:$E,$A6)</f>
        <v>1</v>
      </c>
      <c r="E6" s="51" t="str">
        <f ca="1" t="array" ref="E6">INDEX([1]Data_DBD!$F:$F,$A6)</f>
        <v>Sedang</v>
      </c>
      <c r="H6" s="63">
        <v>76</v>
      </c>
      <c r="I6" s="63">
        <v>70</v>
      </c>
      <c r="J6" s="63">
        <v>2</v>
      </c>
      <c r="K6" s="63">
        <v>0</v>
      </c>
      <c r="L6" s="63" t="s">
        <v>8</v>
      </c>
    </row>
    <row r="7" spans="1:12">
      <c r="A7" s="51">
        <f ca="1" t="shared" si="0"/>
        <v>32</v>
      </c>
      <c r="B7" s="51">
        <f ca="1" t="array" ref="B7">INDEX([1]Data_DBD!$B:$B,$A7)</f>
        <v>54</v>
      </c>
      <c r="C7" s="51">
        <f ca="1" t="array" ref="C7">INDEX([1]Data_DBD!$C:$C,$A7)</f>
        <v>4</v>
      </c>
      <c r="D7" s="51">
        <f ca="1" t="array" ref="D7">INDEX([1]Data_DBD!$E:$E,$A7)</f>
        <v>0</v>
      </c>
      <c r="E7" s="51" t="str">
        <f ca="1" t="array" ref="E7">INDEX([1]Data_DBD!$F:$F,$A7)</f>
        <v>Sedang</v>
      </c>
      <c r="H7" s="63">
        <v>157</v>
      </c>
      <c r="I7" s="63">
        <v>15</v>
      </c>
      <c r="J7" s="63">
        <v>4</v>
      </c>
      <c r="K7" s="63">
        <v>1</v>
      </c>
      <c r="L7" s="63" t="s">
        <v>105</v>
      </c>
    </row>
    <row r="8" spans="1:12">
      <c r="A8" s="51">
        <f ca="1" t="shared" si="0"/>
        <v>77</v>
      </c>
      <c r="B8" s="51">
        <f ca="1" t="array" ref="B8">INDEX([1]Data_DBD!$B:$B,$A8)</f>
        <v>16</v>
      </c>
      <c r="C8" s="51">
        <f ca="1" t="array" ref="C8">INDEX([1]Data_DBD!$C:$C,$A8)</f>
        <v>4</v>
      </c>
      <c r="D8" s="51">
        <f ca="1" t="array" ref="D8">INDEX([1]Data_DBD!$E:$E,$A8)</f>
        <v>1</v>
      </c>
      <c r="E8" s="51" t="str">
        <f ca="1" t="array" ref="E8">INDEX([1]Data_DBD!$F:$F,$A8)</f>
        <v>Sedang</v>
      </c>
      <c r="H8" s="63">
        <v>48</v>
      </c>
      <c r="I8" s="63">
        <v>50</v>
      </c>
      <c r="J8" s="63">
        <v>5</v>
      </c>
      <c r="K8" s="63">
        <v>1</v>
      </c>
      <c r="L8" s="63" t="s">
        <v>8</v>
      </c>
    </row>
    <row r="9" spans="1:12">
      <c r="A9" s="51">
        <f ca="1" t="shared" si="0"/>
        <v>102</v>
      </c>
      <c r="B9" s="51">
        <f ca="1" t="array" ref="B9">INDEX([1]Data_DBD!$B:$B,$A9)</f>
        <v>41</v>
      </c>
      <c r="C9" s="51">
        <f ca="1" t="array" ref="C9">INDEX([1]Data_DBD!$C:$C,$A9)</f>
        <v>4</v>
      </c>
      <c r="D9" s="51">
        <f ca="1" t="array" ref="D9">INDEX([1]Data_DBD!$E:$E,$A9)</f>
        <v>0</v>
      </c>
      <c r="E9" s="51" t="str">
        <f ca="1" t="array" ref="E9">INDEX([1]Data_DBD!$F:$F,$A9)</f>
        <v>Tinggi</v>
      </c>
      <c r="H9" s="63">
        <v>60</v>
      </c>
      <c r="I9" s="63">
        <v>68</v>
      </c>
      <c r="J9" s="63">
        <v>4</v>
      </c>
      <c r="K9" s="63">
        <v>0</v>
      </c>
      <c r="L9" s="63" t="s">
        <v>8</v>
      </c>
    </row>
    <row r="10" spans="1:12">
      <c r="A10" s="51">
        <f ca="1" t="shared" si="0"/>
        <v>131</v>
      </c>
      <c r="B10" s="51">
        <f ca="1" t="array" ref="B10">INDEX([1]Data_DBD!$B:$B,$A10)</f>
        <v>10</v>
      </c>
      <c r="C10" s="51">
        <f ca="1" t="array" ref="C10">INDEX([1]Data_DBD!$C:$C,$A10)</f>
        <v>2</v>
      </c>
      <c r="D10" s="51">
        <f ca="1" t="array" ref="D10">INDEX([1]Data_DBD!$E:$E,$A10)</f>
        <v>0</v>
      </c>
      <c r="E10" s="51" t="str">
        <f ca="1" t="array" ref="E10">INDEX([1]Data_DBD!$F:$F,$A10)</f>
        <v>Tinggi</v>
      </c>
      <c r="H10" s="63">
        <v>8</v>
      </c>
      <c r="I10" s="63">
        <v>4</v>
      </c>
      <c r="J10" s="63">
        <v>2</v>
      </c>
      <c r="K10" s="63">
        <v>0</v>
      </c>
      <c r="L10" s="63" t="s">
        <v>8</v>
      </c>
    </row>
    <row r="11" spans="1:12">
      <c r="A11" s="51">
        <f ca="1" t="shared" si="0"/>
        <v>48</v>
      </c>
      <c r="B11" s="51">
        <f ca="1" t="array" ref="B11">INDEX([1]Data_DBD!$B:$B,$A11)</f>
        <v>50</v>
      </c>
      <c r="C11" s="51">
        <f ca="1" t="array" ref="C11">INDEX([1]Data_DBD!$C:$C,$A11)</f>
        <v>5</v>
      </c>
      <c r="D11" s="51">
        <f ca="1" t="array" ref="D11">INDEX([1]Data_DBD!$E:$E,$A11)</f>
        <v>1</v>
      </c>
      <c r="E11" s="51" t="str">
        <f ca="1" t="array" ref="E11">INDEX([1]Data_DBD!$F:$F,$A11)</f>
        <v>Sedang</v>
      </c>
      <c r="H11" s="63">
        <v>149</v>
      </c>
      <c r="I11" s="63">
        <v>19</v>
      </c>
      <c r="J11" s="63">
        <v>5</v>
      </c>
      <c r="K11" s="63">
        <v>0</v>
      </c>
      <c r="L11" s="63" t="s">
        <v>105</v>
      </c>
    </row>
    <row r="12" spans="1:12">
      <c r="A12" s="51">
        <f ca="1" t="shared" si="0"/>
        <v>63</v>
      </c>
      <c r="B12" s="51">
        <f ca="1" t="array" ref="B12">INDEX([1]Data_DBD!$B:$B,$A12)</f>
        <v>25</v>
      </c>
      <c r="C12" s="51">
        <f ca="1" t="array" ref="C12">INDEX([1]Data_DBD!$C:$C,$A12)</f>
        <v>3</v>
      </c>
      <c r="D12" s="51">
        <f ca="1" t="array" ref="D12">INDEX([1]Data_DBD!$E:$E,$A12)</f>
        <v>0</v>
      </c>
      <c r="E12" s="51" t="str">
        <f ca="1" t="array" ref="E12">INDEX([1]Data_DBD!$F:$F,$A12)</f>
        <v>Sedang</v>
      </c>
      <c r="H12" s="63">
        <v>141</v>
      </c>
      <c r="I12" s="63">
        <v>36</v>
      </c>
      <c r="J12" s="63">
        <v>2</v>
      </c>
      <c r="K12" s="63">
        <v>0</v>
      </c>
      <c r="L12" s="63" t="s">
        <v>105</v>
      </c>
    </row>
    <row r="13" spans="1:12">
      <c r="A13" s="51">
        <f ca="1" t="shared" si="0"/>
        <v>61</v>
      </c>
      <c r="B13" s="51">
        <f ca="1" t="array" ref="B13">INDEX([1]Data_DBD!$B:$B,$A13)</f>
        <v>29</v>
      </c>
      <c r="C13" s="51">
        <f ca="1" t="array" ref="C13">INDEX([1]Data_DBD!$C:$C,$A13)</f>
        <v>3</v>
      </c>
      <c r="D13" s="51">
        <f ca="1" t="array" ref="D13">INDEX([1]Data_DBD!$E:$E,$A13)</f>
        <v>1</v>
      </c>
      <c r="E13" s="51" t="str">
        <f ca="1" t="array" ref="E13">INDEX([1]Data_DBD!$F:$F,$A13)</f>
        <v>Sedang</v>
      </c>
      <c r="H13" s="63">
        <v>6</v>
      </c>
      <c r="I13" s="63">
        <v>14</v>
      </c>
      <c r="J13" s="63">
        <v>4</v>
      </c>
      <c r="K13" s="63">
        <v>0</v>
      </c>
      <c r="L13" s="63" t="s">
        <v>8</v>
      </c>
    </row>
    <row r="14" spans="1:12">
      <c r="A14" s="51">
        <f ca="1" t="shared" si="0"/>
        <v>46</v>
      </c>
      <c r="B14" s="51">
        <f ca="1" t="array" ref="B14">INDEX([1]Data_DBD!$B:$B,$A14)</f>
        <v>62</v>
      </c>
      <c r="C14" s="51">
        <f ca="1" t="array" ref="C14">INDEX([1]Data_DBD!$C:$C,$A14)</f>
        <v>2</v>
      </c>
      <c r="D14" s="51">
        <f ca="1" t="array" ref="D14">INDEX([1]Data_DBD!$E:$E,$A14)</f>
        <v>0</v>
      </c>
      <c r="E14" s="51" t="str">
        <f ca="1" t="array" ref="E14">INDEX([1]Data_DBD!$F:$F,$A14)</f>
        <v>Sedang</v>
      </c>
      <c r="H14" s="63">
        <v>39</v>
      </c>
      <c r="I14" s="63">
        <v>12</v>
      </c>
      <c r="J14" s="63">
        <v>5</v>
      </c>
      <c r="K14" s="63">
        <v>1</v>
      </c>
      <c r="L14" s="63" t="s">
        <v>8</v>
      </c>
    </row>
    <row r="15" spans="1:12">
      <c r="A15" s="51">
        <f ca="1" t="shared" si="0"/>
        <v>44</v>
      </c>
      <c r="B15" s="51">
        <f ca="1" t="array" ref="B15">INDEX([1]Data_DBD!$B:$B,$A15)</f>
        <v>28</v>
      </c>
      <c r="C15" s="51">
        <f ca="1" t="array" ref="C15">INDEX([1]Data_DBD!$C:$C,$A15)</f>
        <v>5</v>
      </c>
      <c r="D15" s="51">
        <f ca="1" t="array" ref="D15">INDEX([1]Data_DBD!$E:$E,$A15)</f>
        <v>1</v>
      </c>
      <c r="E15" s="51" t="str">
        <f ca="1" t="array" ref="E15">INDEX([1]Data_DBD!$F:$F,$A15)</f>
        <v>Sedang</v>
      </c>
      <c r="H15" s="63">
        <v>54</v>
      </c>
      <c r="I15" s="63">
        <v>7</v>
      </c>
      <c r="J15" s="63">
        <v>3</v>
      </c>
      <c r="K15" s="63">
        <v>0</v>
      </c>
      <c r="L15" s="63" t="s">
        <v>8</v>
      </c>
    </row>
    <row r="16" spans="1:12">
      <c r="A16" s="51">
        <f ca="1" t="shared" si="0"/>
        <v>119</v>
      </c>
      <c r="B16" s="51">
        <f ca="1" t="array" ref="B16">INDEX([1]Data_DBD!$B:$B,$A16)</f>
        <v>30</v>
      </c>
      <c r="C16" s="51">
        <f ca="1" t="array" ref="C16">INDEX([1]Data_DBD!$C:$C,$A16)</f>
        <v>7</v>
      </c>
      <c r="D16" s="51">
        <f ca="1" t="array" ref="D16">INDEX([1]Data_DBD!$E:$E,$A16)</f>
        <v>0</v>
      </c>
      <c r="E16" s="51" t="str">
        <f ca="1" t="array" ref="E16">INDEX([1]Data_DBD!$F:$F,$A16)</f>
        <v>Tinggi</v>
      </c>
      <c r="H16" s="63">
        <v>8</v>
      </c>
      <c r="I16" s="63">
        <v>4</v>
      </c>
      <c r="J16" s="63">
        <v>2</v>
      </c>
      <c r="K16" s="63">
        <v>0</v>
      </c>
      <c r="L16" s="63" t="s">
        <v>8</v>
      </c>
    </row>
    <row r="17" spans="1:12">
      <c r="A17" s="51">
        <f ca="1" t="shared" si="0"/>
        <v>157</v>
      </c>
      <c r="B17" s="51">
        <f ca="1" t="array" ref="B17">INDEX([1]Data_DBD!$B:$B,$A17)</f>
        <v>15</v>
      </c>
      <c r="C17" s="51">
        <f ca="1" t="array" ref="C17">INDEX([1]Data_DBD!$C:$C,$A17)</f>
        <v>4</v>
      </c>
      <c r="D17" s="51">
        <f ca="1" t="array" ref="D17">INDEX([1]Data_DBD!$E:$E,$A17)</f>
        <v>1</v>
      </c>
      <c r="E17" s="51" t="str">
        <f ca="1" t="array" ref="E17">INDEX([1]Data_DBD!$F:$F,$A17)</f>
        <v>Tinggi</v>
      </c>
      <c r="H17" s="63">
        <v>44</v>
      </c>
      <c r="I17" s="63">
        <v>28</v>
      </c>
      <c r="J17" s="63">
        <v>5</v>
      </c>
      <c r="K17" s="63">
        <v>1</v>
      </c>
      <c r="L17" s="63" t="s">
        <v>8</v>
      </c>
    </row>
    <row r="18" spans="1:12">
      <c r="A18" s="51">
        <f ca="1" t="shared" si="0"/>
        <v>15</v>
      </c>
      <c r="B18" s="51">
        <f ca="1" t="array" ref="B18">INDEX([1]Data_DBD!$B:$B,$A18)</f>
        <v>21</v>
      </c>
      <c r="C18" s="51">
        <f ca="1" t="array" ref="C18">INDEX([1]Data_DBD!$C:$C,$A18)</f>
        <v>2</v>
      </c>
      <c r="D18" s="51">
        <f ca="1" t="array" ref="D18">INDEX([1]Data_DBD!$E:$E,$A18)</f>
        <v>0</v>
      </c>
      <c r="E18" s="51" t="str">
        <f ca="1" t="array" ref="E18">INDEX([1]Data_DBD!$F:$F,$A18)</f>
        <v>Rendah</v>
      </c>
      <c r="H18" s="63">
        <v>40</v>
      </c>
      <c r="I18" s="63">
        <v>65</v>
      </c>
      <c r="J18" s="63">
        <v>3</v>
      </c>
      <c r="K18" s="63">
        <v>1</v>
      </c>
      <c r="L18" s="63" t="s">
        <v>8</v>
      </c>
    </row>
    <row r="19" spans="1:12">
      <c r="A19" s="51">
        <f ca="1" t="shared" si="0"/>
        <v>134</v>
      </c>
      <c r="B19" s="51">
        <f ca="1" t="array" ref="B19">INDEX([1]Data_DBD!$B:$B,$A19)</f>
        <v>4</v>
      </c>
      <c r="C19" s="51">
        <f ca="1" t="array" ref="C19">INDEX([1]Data_DBD!$C:$C,$A19)</f>
        <v>2</v>
      </c>
      <c r="D19" s="51">
        <f ca="1" t="array" ref="D19">INDEX([1]Data_DBD!$E:$E,$A19)</f>
        <v>1</v>
      </c>
      <c r="E19" s="51" t="str">
        <f ca="1" t="array" ref="E19">INDEX([1]Data_DBD!$F:$F,$A19)</f>
        <v>Tinggi</v>
      </c>
      <c r="H19" s="63">
        <v>93</v>
      </c>
      <c r="I19" s="63">
        <v>65</v>
      </c>
      <c r="J19" s="63">
        <v>4</v>
      </c>
      <c r="K19" s="63">
        <v>0</v>
      </c>
      <c r="L19" s="63" t="s">
        <v>105</v>
      </c>
    </row>
    <row r="20" spans="1:12">
      <c r="A20" s="51">
        <f ca="1" t="shared" si="0"/>
        <v>149</v>
      </c>
      <c r="B20" s="51">
        <f ca="1" t="array" ref="B20">INDEX([1]Data_DBD!$B:$B,$A20)</f>
        <v>19</v>
      </c>
      <c r="C20" s="51">
        <f ca="1" t="array" ref="C20">INDEX([1]Data_DBD!$C:$C,$A20)</f>
        <v>5</v>
      </c>
      <c r="D20" s="51">
        <f ca="1" t="array" ref="D20">INDEX([1]Data_DBD!$E:$E,$A20)</f>
        <v>0</v>
      </c>
      <c r="E20" s="51" t="str">
        <f ca="1" t="array" ref="E20">INDEX([1]Data_DBD!$F:$F,$A20)</f>
        <v>Tinggi</v>
      </c>
      <c r="H20" s="63">
        <v>129</v>
      </c>
      <c r="I20" s="63">
        <v>4</v>
      </c>
      <c r="J20" s="63">
        <v>3</v>
      </c>
      <c r="K20" s="63">
        <v>0</v>
      </c>
      <c r="L20" s="63" t="s">
        <v>105</v>
      </c>
    </row>
    <row r="21" spans="1:12">
      <c r="A21" s="51">
        <f ca="1" t="shared" si="0"/>
        <v>115</v>
      </c>
      <c r="B21" s="51">
        <f ca="1" t="array" ref="B21">INDEX([1]Data_DBD!$B:$B,$A21)</f>
        <v>52</v>
      </c>
      <c r="C21" s="51">
        <f ca="1" t="array" ref="C21">INDEX([1]Data_DBD!$C:$C,$A21)</f>
        <v>3</v>
      </c>
      <c r="D21" s="51">
        <f ca="1" t="array" ref="D21">INDEX([1]Data_DBD!$E:$E,$A21)</f>
        <v>1</v>
      </c>
      <c r="E21" s="51" t="str">
        <f ca="1" t="array" ref="E21">INDEX([1]Data_DBD!$F:$F,$A21)</f>
        <v>Tinggi</v>
      </c>
      <c r="H21" s="63">
        <v>162</v>
      </c>
      <c r="I21" s="63">
        <v>22</v>
      </c>
      <c r="J21" s="63">
        <v>3</v>
      </c>
      <c r="K21" s="63">
        <v>1</v>
      </c>
      <c r="L21" s="63" t="s">
        <v>26</v>
      </c>
    </row>
    <row r="22" spans="1:12">
      <c r="A22" s="51">
        <f ca="1" t="shared" si="0"/>
        <v>27</v>
      </c>
      <c r="B22" s="51">
        <f ca="1" t="array" ref="B22">INDEX([1]Data_DBD!$B:$B,$A22)</f>
        <v>37</v>
      </c>
      <c r="C22" s="51">
        <f ca="1" t="array" ref="C22">INDEX([1]Data_DBD!$C:$C,$A22)</f>
        <v>4</v>
      </c>
      <c r="D22" s="51">
        <f ca="1" t="array" ref="D22">INDEX([1]Data_DBD!$E:$E,$A22)</f>
        <v>1</v>
      </c>
      <c r="E22" s="51" t="str">
        <f ca="1" t="array" ref="E22">INDEX([1]Data_DBD!$F:$F,$A22)</f>
        <v>Sedang</v>
      </c>
      <c r="H22" s="63">
        <v>58</v>
      </c>
      <c r="I22" s="63">
        <v>17</v>
      </c>
      <c r="J22" s="63">
        <v>3</v>
      </c>
      <c r="K22" s="63">
        <v>0</v>
      </c>
      <c r="L22" s="63" t="s">
        <v>8</v>
      </c>
    </row>
    <row r="23" spans="1:12">
      <c r="A23" s="51">
        <f ca="1" t="shared" si="0"/>
        <v>143</v>
      </c>
      <c r="B23" s="51">
        <f ca="1" t="array" ref="B23">INDEX([1]Data_DBD!$B:$B,$A23)</f>
        <v>20</v>
      </c>
      <c r="C23" s="51">
        <f ca="1" t="array" ref="C23">INDEX([1]Data_DBD!$C:$C,$A23)</f>
        <v>4</v>
      </c>
      <c r="D23" s="51">
        <f ca="1" t="array" ref="D23">INDEX([1]Data_DBD!$E:$E,$A23)</f>
        <v>1</v>
      </c>
      <c r="E23" s="51" t="str">
        <f ca="1" t="array" ref="E23">INDEX([1]Data_DBD!$F:$F,$A23)</f>
        <v>Tinggi</v>
      </c>
      <c r="H23" s="63">
        <v>39</v>
      </c>
      <c r="I23" s="63">
        <v>12</v>
      </c>
      <c r="J23" s="63">
        <v>5</v>
      </c>
      <c r="K23" s="63">
        <v>1</v>
      </c>
      <c r="L23" s="63" t="s">
        <v>8</v>
      </c>
    </row>
    <row r="24" spans="1:12">
      <c r="A24" s="51">
        <f ca="1" t="shared" si="0"/>
        <v>65</v>
      </c>
      <c r="B24" s="51">
        <f ca="1" t="array" ref="B24">INDEX([1]Data_DBD!$B:$B,$A24)</f>
        <v>49</v>
      </c>
      <c r="C24" s="51">
        <f ca="1" t="array" ref="C24">INDEX([1]Data_DBD!$C:$C,$A24)</f>
        <v>3</v>
      </c>
      <c r="D24" s="51">
        <f ca="1" t="array" ref="D24">INDEX([1]Data_DBD!$E:$E,$A24)</f>
        <v>0</v>
      </c>
      <c r="E24" s="51" t="str">
        <f ca="1" t="array" ref="E24">INDEX([1]Data_DBD!$F:$F,$A24)</f>
        <v>Sedang</v>
      </c>
      <c r="H24" s="63">
        <v>6</v>
      </c>
      <c r="I24" s="63">
        <v>14</v>
      </c>
      <c r="J24" s="63">
        <v>4</v>
      </c>
      <c r="K24" s="63">
        <v>0</v>
      </c>
      <c r="L24" s="63" t="s">
        <v>8</v>
      </c>
    </row>
    <row r="25" spans="1:12">
      <c r="A25" s="51">
        <f ca="1" t="shared" si="0"/>
        <v>159</v>
      </c>
      <c r="B25" s="51">
        <f ca="1" t="array" ref="B25">INDEX([1]Data_DBD!$B:$B,$A25)</f>
        <v>17</v>
      </c>
      <c r="C25" s="51">
        <f ca="1" t="array" ref="C25">INDEX([1]Data_DBD!$C:$C,$A25)</f>
        <v>2</v>
      </c>
      <c r="D25" s="51">
        <f ca="1" t="array" ref="D25">INDEX([1]Data_DBD!$E:$E,$A25)</f>
        <v>0</v>
      </c>
      <c r="E25" s="51" t="str">
        <f ca="1" t="array" ref="E25">INDEX([1]Data_DBD!$F:$F,$A25)</f>
        <v>Tinggi</v>
      </c>
      <c r="H25" s="63">
        <v>153</v>
      </c>
      <c r="I25" s="63">
        <v>73</v>
      </c>
      <c r="J25" s="63">
        <v>7</v>
      </c>
      <c r="K25" s="63">
        <v>1</v>
      </c>
      <c r="L25" s="63" t="s">
        <v>105</v>
      </c>
    </row>
    <row r="26" spans="1:12">
      <c r="A26" s="51">
        <f ca="1" t="shared" si="0"/>
        <v>141</v>
      </c>
      <c r="B26" s="51">
        <f ca="1" t="array" ref="B26">INDEX([1]Data_DBD!$B:$B,$A26)</f>
        <v>36</v>
      </c>
      <c r="C26" s="51">
        <f ca="1" t="array" ref="C26">INDEX([1]Data_DBD!$C:$C,$A26)</f>
        <v>2</v>
      </c>
      <c r="D26" s="51">
        <f ca="1" t="array" ref="D26">INDEX([1]Data_DBD!$E:$E,$A26)</f>
        <v>0</v>
      </c>
      <c r="E26" s="51" t="str">
        <f ca="1" t="array" ref="E26">INDEX([1]Data_DBD!$F:$F,$A26)</f>
        <v>Tinggi</v>
      </c>
      <c r="H26" s="63">
        <v>37</v>
      </c>
      <c r="I26" s="63">
        <v>28</v>
      </c>
      <c r="J26" s="63">
        <v>4</v>
      </c>
      <c r="K26" s="63">
        <v>1</v>
      </c>
      <c r="L26" s="63" t="s">
        <v>26</v>
      </c>
    </row>
    <row r="27" spans="1:12">
      <c r="A27" s="51">
        <f ca="1" t="shared" si="0"/>
        <v>102</v>
      </c>
      <c r="B27" s="51">
        <f ca="1" t="array" ref="B27">INDEX([1]Data_DBD!$B:$B,$A27)</f>
        <v>41</v>
      </c>
      <c r="C27" s="51">
        <f ca="1" t="array" ref="C27">INDEX([1]Data_DBD!$C:$C,$A27)</f>
        <v>4</v>
      </c>
      <c r="D27" s="51">
        <f ca="1" t="array" ref="D27">INDEX([1]Data_DBD!$E:$E,$A27)</f>
        <v>0</v>
      </c>
      <c r="E27" s="51" t="str">
        <f ca="1" t="array" ref="E27">INDEX([1]Data_DBD!$F:$F,$A27)</f>
        <v>Tinggi</v>
      </c>
      <c r="H27" s="63">
        <v>118</v>
      </c>
      <c r="I27" s="63">
        <v>67</v>
      </c>
      <c r="J27" s="63">
        <v>4</v>
      </c>
      <c r="K27" s="63">
        <v>1</v>
      </c>
      <c r="L27" s="63" t="s">
        <v>105</v>
      </c>
    </row>
    <row r="28" spans="1:12">
      <c r="A28" s="51">
        <f ca="1" t="shared" si="0"/>
        <v>77</v>
      </c>
      <c r="B28" s="51">
        <f ca="1" t="array" ref="B28">INDEX([1]Data_DBD!$B:$B,$A28)</f>
        <v>16</v>
      </c>
      <c r="C28" s="51">
        <f ca="1" t="array" ref="C28">INDEX([1]Data_DBD!$C:$C,$A28)</f>
        <v>4</v>
      </c>
      <c r="D28" s="51">
        <f ca="1" t="array" ref="D28">INDEX([1]Data_DBD!$E:$E,$A28)</f>
        <v>1</v>
      </c>
      <c r="E28" s="51" t="str">
        <f ca="1" t="array" ref="E28">INDEX([1]Data_DBD!$F:$F,$A28)</f>
        <v>Sedang</v>
      </c>
      <c r="H28" s="63">
        <v>16</v>
      </c>
      <c r="I28" s="63">
        <v>66</v>
      </c>
      <c r="J28" s="63">
        <v>5</v>
      </c>
      <c r="K28" s="63">
        <v>1</v>
      </c>
      <c r="L28" s="63" t="s">
        <v>26</v>
      </c>
    </row>
    <row r="29" spans="1:12">
      <c r="A29" s="51">
        <f ca="1" t="shared" si="0"/>
        <v>162</v>
      </c>
      <c r="B29" s="51">
        <f ca="1" t="array" ref="B29">INDEX([1]Data_DBD!$B:$B,$A29)</f>
        <v>22</v>
      </c>
      <c r="C29" s="51">
        <f ca="1" t="array" ref="C29">INDEX([1]Data_DBD!$C:$C,$A29)</f>
        <v>3</v>
      </c>
      <c r="D29" s="51">
        <f ca="1" t="array" ref="D29">INDEX([1]Data_DBD!$E:$E,$A29)</f>
        <v>1</v>
      </c>
      <c r="E29" s="51" t="str">
        <f ca="1" t="array" ref="E29">INDEX([1]Data_DBD!$F:$F,$A29)</f>
        <v>Rendah</v>
      </c>
      <c r="H29" s="63">
        <v>103</v>
      </c>
      <c r="I29" s="63">
        <v>22</v>
      </c>
      <c r="J29" s="63">
        <v>5</v>
      </c>
      <c r="K29" s="63">
        <v>0</v>
      </c>
      <c r="L29" s="63" t="s">
        <v>105</v>
      </c>
    </row>
    <row r="30" spans="1:12">
      <c r="A30" s="51">
        <f ca="1" t="shared" si="0"/>
        <v>5</v>
      </c>
      <c r="B30" s="51">
        <f ca="1" t="array" ref="B30">INDEX([1]Data_DBD!$B:$B,$A30)</f>
        <v>18</v>
      </c>
      <c r="C30" s="51">
        <f ca="1" t="array" ref="C30">INDEX([1]Data_DBD!$C:$C,$A30)</f>
        <v>2</v>
      </c>
      <c r="D30" s="51">
        <f ca="1" t="array" ref="D30">INDEX([1]Data_DBD!$E:$E,$A30)</f>
        <v>1</v>
      </c>
      <c r="E30" s="51" t="str">
        <f ca="1" t="array" ref="E30">INDEX([1]Data_DBD!$F:$F,$A30)</f>
        <v>Sedang</v>
      </c>
      <c r="H30" s="63">
        <v>101</v>
      </c>
      <c r="I30" s="63">
        <v>42</v>
      </c>
      <c r="J30" s="63">
        <v>5</v>
      </c>
      <c r="K30" s="63">
        <v>0</v>
      </c>
      <c r="L30" s="63" t="s">
        <v>105</v>
      </c>
    </row>
    <row r="31" spans="1:12">
      <c r="A31" s="51">
        <f ca="1" t="shared" si="0"/>
        <v>131</v>
      </c>
      <c r="B31" s="51">
        <f ca="1" t="array" ref="B31">INDEX([1]Data_DBD!$B:$B,$A31)</f>
        <v>10</v>
      </c>
      <c r="C31" s="51">
        <f ca="1" t="array" ref="C31">INDEX([1]Data_DBD!$C:$C,$A31)</f>
        <v>2</v>
      </c>
      <c r="D31" s="51">
        <f ca="1" t="array" ref="D31">INDEX([1]Data_DBD!$E:$E,$A31)</f>
        <v>0</v>
      </c>
      <c r="E31" s="51" t="str">
        <f ca="1" t="array" ref="E31">INDEX([1]Data_DBD!$F:$F,$A31)</f>
        <v>Tinggi</v>
      </c>
      <c r="H31" s="63">
        <v>132</v>
      </c>
      <c r="I31" s="63">
        <v>10</v>
      </c>
      <c r="J31" s="63">
        <v>3</v>
      </c>
      <c r="K31" s="63">
        <v>1</v>
      </c>
      <c r="L31" s="63" t="s">
        <v>105</v>
      </c>
    </row>
    <row r="32" spans="1:12">
      <c r="A32" s="51">
        <f ca="1" t="shared" si="0"/>
        <v>32</v>
      </c>
      <c r="B32" s="51">
        <f ca="1" t="array" ref="B32">INDEX([1]Data_DBD!$B:$B,$A32)</f>
        <v>54</v>
      </c>
      <c r="C32" s="51">
        <f ca="1" t="array" ref="C32">INDEX([1]Data_DBD!$C:$C,$A32)</f>
        <v>4</v>
      </c>
      <c r="D32" s="51">
        <f ca="1" t="array" ref="D32">INDEX([1]Data_DBD!$E:$E,$A32)</f>
        <v>0</v>
      </c>
      <c r="E32" s="51" t="str">
        <f ca="1" t="array" ref="E32">INDEX([1]Data_DBD!$F:$F,$A32)</f>
        <v>Sedang</v>
      </c>
      <c r="H32" s="63">
        <v>58</v>
      </c>
      <c r="I32" s="63">
        <v>17</v>
      </c>
      <c r="J32" s="63">
        <v>3</v>
      </c>
      <c r="K32" s="63">
        <v>0</v>
      </c>
      <c r="L32" s="63" t="s">
        <v>8</v>
      </c>
    </row>
    <row r="33" spans="1:12">
      <c r="A33" s="51">
        <f ca="1" t="shared" si="0"/>
        <v>64</v>
      </c>
      <c r="B33" s="51">
        <f ca="1" t="array" ref="B33">INDEX([1]Data_DBD!$B:$B,$A33)</f>
        <v>35</v>
      </c>
      <c r="C33" s="51">
        <f ca="1" t="array" ref="C33">INDEX([1]Data_DBD!$C:$C,$A33)</f>
        <v>1</v>
      </c>
      <c r="D33" s="51">
        <f ca="1" t="array" ref="D33">INDEX([1]Data_DBD!$E:$E,$A33)</f>
        <v>0</v>
      </c>
      <c r="E33" s="51" t="str">
        <f ca="1" t="array" ref="E33">INDEX([1]Data_DBD!$F:$F,$A33)</f>
        <v>Sedang</v>
      </c>
      <c r="H33" s="63">
        <v>99</v>
      </c>
      <c r="I33" s="63">
        <v>4</v>
      </c>
      <c r="J33" s="63">
        <v>2</v>
      </c>
      <c r="K33" s="63">
        <v>1</v>
      </c>
      <c r="L33" s="63" t="s">
        <v>105</v>
      </c>
    </row>
    <row r="34" spans="1:12">
      <c r="A34" s="51">
        <f ca="1" t="shared" ref="A34:A65" si="1">RANDBETWEEN(2,164)</f>
        <v>160</v>
      </c>
      <c r="B34" s="51">
        <f ca="1" t="array" ref="B34">INDEX([1]Data_DBD!$B:$B,$A34)</f>
        <v>16</v>
      </c>
      <c r="C34" s="51">
        <f ca="1" t="array" ref="C34">INDEX([1]Data_DBD!$C:$C,$A34)</f>
        <v>3</v>
      </c>
      <c r="D34" s="51">
        <f ca="1" t="array" ref="D34">INDEX([1]Data_DBD!$E:$E,$A34)</f>
        <v>0</v>
      </c>
      <c r="E34" s="51" t="str">
        <f ca="1" t="array" ref="E34">INDEX([1]Data_DBD!$F:$F,$A34)</f>
        <v>Tinggi</v>
      </c>
      <c r="H34" s="63">
        <v>69</v>
      </c>
      <c r="I34" s="63">
        <v>24</v>
      </c>
      <c r="J34" s="63">
        <v>4</v>
      </c>
      <c r="K34" s="63">
        <v>1</v>
      </c>
      <c r="L34" s="63" t="s">
        <v>8</v>
      </c>
    </row>
    <row r="35" spans="1:12">
      <c r="A35" s="51">
        <f ca="1" t="shared" si="1"/>
        <v>17</v>
      </c>
      <c r="B35" s="51">
        <f ca="1" t="array" ref="B35">INDEX([1]Data_DBD!$B:$B,$A35)</f>
        <v>2</v>
      </c>
      <c r="C35" s="51">
        <f ca="1" t="array" ref="C35">INDEX([1]Data_DBD!$C:$C,$A35)</f>
        <v>3</v>
      </c>
      <c r="D35" s="51">
        <f ca="1" t="array" ref="D35">INDEX([1]Data_DBD!$E:$E,$A35)</f>
        <v>0</v>
      </c>
      <c r="E35" s="51" t="str">
        <f ca="1" t="array" ref="E35">INDEX([1]Data_DBD!$F:$F,$A35)</f>
        <v>Rendah</v>
      </c>
      <c r="H35" s="63">
        <v>18</v>
      </c>
      <c r="I35" s="63">
        <v>49</v>
      </c>
      <c r="J35" s="63">
        <v>4</v>
      </c>
      <c r="K35" s="63">
        <v>1</v>
      </c>
      <c r="L35" s="63" t="s">
        <v>26</v>
      </c>
    </row>
    <row r="36" spans="1:12">
      <c r="A36" s="51">
        <f ca="1" t="shared" si="1"/>
        <v>22</v>
      </c>
      <c r="B36" s="51">
        <f ca="1" t="array" ref="B36">INDEX([1]Data_DBD!$B:$B,$A36)</f>
        <v>6</v>
      </c>
      <c r="C36" s="51">
        <f ca="1" t="array" ref="C36">INDEX([1]Data_DBD!$C:$C,$A36)</f>
        <v>3</v>
      </c>
      <c r="D36" s="51">
        <f ca="1" t="array" ref="D36">INDEX([1]Data_DBD!$E:$E,$A36)</f>
        <v>0</v>
      </c>
      <c r="E36" s="51" t="str">
        <f ca="1" t="array" ref="E36">INDEX([1]Data_DBD!$F:$F,$A36)</f>
        <v>Sedang</v>
      </c>
      <c r="H36" s="63">
        <v>160</v>
      </c>
      <c r="I36" s="63">
        <v>16</v>
      </c>
      <c r="J36" s="63">
        <v>3</v>
      </c>
      <c r="K36" s="63">
        <v>0</v>
      </c>
      <c r="L36" s="63" t="s">
        <v>105</v>
      </c>
    </row>
    <row r="37" spans="1:12">
      <c r="A37" s="51">
        <f ca="1" t="shared" si="1"/>
        <v>153</v>
      </c>
      <c r="B37" s="51">
        <f ca="1" t="array" ref="B37">INDEX([1]Data_DBD!$B:$B,$A37)</f>
        <v>73</v>
      </c>
      <c r="C37" s="51">
        <f ca="1" t="array" ref="C37">INDEX([1]Data_DBD!$C:$C,$A37)</f>
        <v>7</v>
      </c>
      <c r="D37" s="51">
        <f ca="1" t="array" ref="D37">INDEX([1]Data_DBD!$E:$E,$A37)</f>
        <v>1</v>
      </c>
      <c r="E37" s="51" t="str">
        <f ca="1" t="array" ref="E37">INDEX([1]Data_DBD!$F:$F,$A37)</f>
        <v>Tinggi</v>
      </c>
      <c r="H37" s="63">
        <v>114</v>
      </c>
      <c r="I37" s="63">
        <v>14</v>
      </c>
      <c r="J37" s="63">
        <v>2</v>
      </c>
      <c r="K37" s="63">
        <v>1</v>
      </c>
      <c r="L37" s="63" t="s">
        <v>105</v>
      </c>
    </row>
    <row r="38" spans="1:12">
      <c r="A38" s="51">
        <f ca="1" t="shared" si="1"/>
        <v>50</v>
      </c>
      <c r="B38" s="51">
        <f ca="1" t="array" ref="B38">INDEX([1]Data_DBD!$B:$B,$A38)</f>
        <v>19</v>
      </c>
      <c r="C38" s="51">
        <f ca="1" t="array" ref="C38">INDEX([1]Data_DBD!$C:$C,$A38)</f>
        <v>5</v>
      </c>
      <c r="D38" s="51">
        <f ca="1" t="array" ref="D38">INDEX([1]Data_DBD!$E:$E,$A38)</f>
        <v>0</v>
      </c>
      <c r="E38" s="51" t="str">
        <f ca="1" t="array" ref="E38">INDEX([1]Data_DBD!$F:$F,$A38)</f>
        <v>Sedang</v>
      </c>
      <c r="H38" s="63">
        <v>94</v>
      </c>
      <c r="I38" s="63">
        <v>12</v>
      </c>
      <c r="J38" s="63">
        <v>4</v>
      </c>
      <c r="K38" s="63">
        <v>0</v>
      </c>
      <c r="L38" s="63" t="s">
        <v>105</v>
      </c>
    </row>
    <row r="39" spans="1:12">
      <c r="A39" s="51">
        <f ca="1" t="shared" si="1"/>
        <v>20</v>
      </c>
      <c r="B39" s="51">
        <f ca="1" t="array" ref="B39">INDEX([1]Data_DBD!$B:$B,$A39)</f>
        <v>15</v>
      </c>
      <c r="C39" s="51">
        <f ca="1" t="array" ref="C39">INDEX([1]Data_DBD!$C:$C,$A39)</f>
        <v>5</v>
      </c>
      <c r="D39" s="51">
        <f ca="1" t="array" ref="D39">INDEX([1]Data_DBD!$E:$E,$A39)</f>
        <v>0</v>
      </c>
      <c r="E39" s="51" t="str">
        <f ca="1" t="array" ref="E39">INDEX([1]Data_DBD!$F:$F,$A39)</f>
        <v>Rendah</v>
      </c>
      <c r="H39" s="63">
        <v>113</v>
      </c>
      <c r="I39" s="63">
        <v>69</v>
      </c>
      <c r="J39" s="63">
        <v>1</v>
      </c>
      <c r="K39" s="63">
        <v>1</v>
      </c>
      <c r="L39" s="63" t="s">
        <v>105</v>
      </c>
    </row>
    <row r="40" spans="1:12">
      <c r="A40" s="51">
        <f ca="1" t="shared" si="1"/>
        <v>152</v>
      </c>
      <c r="B40" s="51">
        <f ca="1" t="array" ref="B40">INDEX([1]Data_DBD!$B:$B,$A40)</f>
        <v>47</v>
      </c>
      <c r="C40" s="51">
        <f ca="1" t="array" ref="C40">INDEX([1]Data_DBD!$C:$C,$A40)</f>
        <v>3</v>
      </c>
      <c r="D40" s="51">
        <f ca="1" t="array" ref="D40">INDEX([1]Data_DBD!$E:$E,$A40)</f>
        <v>1</v>
      </c>
      <c r="E40" s="51" t="str">
        <f ca="1" t="array" ref="E40">INDEX([1]Data_DBD!$F:$F,$A40)</f>
        <v>Tinggi</v>
      </c>
      <c r="H40" s="63">
        <v>116</v>
      </c>
      <c r="I40" s="63">
        <v>32</v>
      </c>
      <c r="J40" s="63">
        <v>4</v>
      </c>
      <c r="K40" s="63">
        <v>1</v>
      </c>
      <c r="L40" s="63" t="s">
        <v>105</v>
      </c>
    </row>
    <row r="41" spans="1:12">
      <c r="A41" s="51">
        <f ca="1" t="shared" si="1"/>
        <v>63</v>
      </c>
      <c r="B41" s="51">
        <f ca="1" t="array" ref="B41">INDEX([1]Data_DBD!$B:$B,$A41)</f>
        <v>25</v>
      </c>
      <c r="C41" s="51">
        <f ca="1" t="array" ref="C41">INDEX([1]Data_DBD!$C:$C,$A41)</f>
        <v>3</v>
      </c>
      <c r="D41" s="51">
        <f ca="1" t="array" ref="D41">INDEX([1]Data_DBD!$E:$E,$A41)</f>
        <v>0</v>
      </c>
      <c r="E41" s="51" t="str">
        <f ca="1" t="array" ref="E41">INDEX([1]Data_DBD!$F:$F,$A41)</f>
        <v>Sedang</v>
      </c>
      <c r="H41" s="63">
        <v>123</v>
      </c>
      <c r="I41" s="63">
        <v>22</v>
      </c>
      <c r="J41" s="63">
        <v>4</v>
      </c>
      <c r="K41" s="63">
        <v>0</v>
      </c>
      <c r="L41" s="63" t="s">
        <v>105</v>
      </c>
    </row>
    <row r="42" spans="1:12">
      <c r="A42" s="51">
        <f ca="1" t="shared" si="1"/>
        <v>147</v>
      </c>
      <c r="B42" s="51">
        <f ca="1" t="array" ref="B42">INDEX([1]Data_DBD!$B:$B,$A42)</f>
        <v>66</v>
      </c>
      <c r="C42" s="51">
        <f ca="1" t="array" ref="C42">INDEX([1]Data_DBD!$C:$C,$A42)</f>
        <v>10</v>
      </c>
      <c r="D42" s="51">
        <f ca="1" t="array" ref="D42">INDEX([1]Data_DBD!$E:$E,$A42)</f>
        <v>1</v>
      </c>
      <c r="E42" s="51" t="str">
        <f ca="1" t="array" ref="E42">INDEX([1]Data_DBD!$F:$F,$A42)</f>
        <v>Tinggi</v>
      </c>
      <c r="H42" s="63">
        <v>122</v>
      </c>
      <c r="I42" s="63">
        <v>28</v>
      </c>
      <c r="J42" s="63">
        <v>3</v>
      </c>
      <c r="K42" s="63">
        <v>1</v>
      </c>
      <c r="L42" s="63" t="s">
        <v>105</v>
      </c>
    </row>
    <row r="43" spans="1:12">
      <c r="A43" s="51">
        <f ca="1" t="shared" si="1"/>
        <v>11</v>
      </c>
      <c r="B43" s="51">
        <f ca="1" t="array" ref="B43">INDEX([1]Data_DBD!$B:$B,$A43)</f>
        <v>24</v>
      </c>
      <c r="C43" s="51">
        <f ca="1" t="array" ref="C43">INDEX([1]Data_DBD!$C:$C,$A43)</f>
        <v>5</v>
      </c>
      <c r="D43" s="51">
        <f ca="1" t="array" ref="D43">INDEX([1]Data_DBD!$E:$E,$A43)</f>
        <v>1</v>
      </c>
      <c r="E43" s="51" t="str">
        <f ca="1" t="array" ref="E43">INDEX([1]Data_DBD!$F:$F,$A43)</f>
        <v>Sedang</v>
      </c>
      <c r="H43" s="63">
        <v>137</v>
      </c>
      <c r="I43" s="63">
        <v>3</v>
      </c>
      <c r="J43" s="63">
        <v>1</v>
      </c>
      <c r="K43" s="63">
        <v>1</v>
      </c>
      <c r="L43" s="63" t="s">
        <v>105</v>
      </c>
    </row>
    <row r="44" spans="1:12">
      <c r="A44" s="51">
        <f ca="1" t="shared" si="1"/>
        <v>131</v>
      </c>
      <c r="B44" s="51">
        <f ca="1" t="array" ref="B44">INDEX([1]Data_DBD!$B:$B,$A44)</f>
        <v>10</v>
      </c>
      <c r="C44" s="51">
        <f ca="1" t="array" ref="C44">INDEX([1]Data_DBD!$C:$C,$A44)</f>
        <v>2</v>
      </c>
      <c r="D44" s="51">
        <f ca="1" t="array" ref="D44">INDEX([1]Data_DBD!$E:$E,$A44)</f>
        <v>0</v>
      </c>
      <c r="E44" s="51" t="str">
        <f ca="1" t="array" ref="E44">INDEX([1]Data_DBD!$F:$F,$A44)</f>
        <v>Tinggi</v>
      </c>
      <c r="H44" s="63">
        <v>136</v>
      </c>
      <c r="I44" s="63">
        <v>6</v>
      </c>
      <c r="J44" s="63">
        <v>2</v>
      </c>
      <c r="K44" s="63">
        <v>0</v>
      </c>
      <c r="L44" s="63" t="s">
        <v>105</v>
      </c>
    </row>
    <row r="45" spans="1:12">
      <c r="A45" s="51">
        <f ca="1" t="shared" si="1"/>
        <v>78</v>
      </c>
      <c r="B45" s="51">
        <f ca="1" t="array" ref="B45">INDEX([1]Data_DBD!$B:$B,$A45)</f>
        <v>6</v>
      </c>
      <c r="C45" s="51">
        <f ca="1" t="array" ref="C45">INDEX([1]Data_DBD!$C:$C,$A45)</f>
        <v>3</v>
      </c>
      <c r="D45" s="51">
        <f ca="1" t="array" ref="D45">INDEX([1]Data_DBD!$E:$E,$A45)</f>
        <v>0</v>
      </c>
      <c r="E45" s="51" t="str">
        <f ca="1" t="array" ref="E45">INDEX([1]Data_DBD!$F:$F,$A45)</f>
        <v>Sedang</v>
      </c>
      <c r="H45" s="63">
        <v>37</v>
      </c>
      <c r="I45" s="63">
        <v>28</v>
      </c>
      <c r="J45" s="63">
        <v>4</v>
      </c>
      <c r="K45" s="63">
        <v>1</v>
      </c>
      <c r="L45" s="63" t="s">
        <v>26</v>
      </c>
    </row>
    <row r="46" spans="1:12">
      <c r="A46" s="51">
        <f ca="1" t="shared" si="1"/>
        <v>32</v>
      </c>
      <c r="B46" s="51">
        <f ca="1" t="array" ref="B46">INDEX([1]Data_DBD!$B:$B,$A46)</f>
        <v>54</v>
      </c>
      <c r="C46" s="51">
        <f ca="1" t="array" ref="C46">INDEX([1]Data_DBD!$C:$C,$A46)</f>
        <v>4</v>
      </c>
      <c r="D46" s="51">
        <f ca="1" t="array" ref="D46">INDEX([1]Data_DBD!$E:$E,$A46)</f>
        <v>0</v>
      </c>
      <c r="E46" s="51" t="str">
        <f ca="1" t="array" ref="E46">INDEX([1]Data_DBD!$F:$F,$A46)</f>
        <v>Sedang</v>
      </c>
      <c r="H46" s="63">
        <v>16</v>
      </c>
      <c r="I46" s="63">
        <v>66</v>
      </c>
      <c r="J46" s="63">
        <v>5</v>
      </c>
      <c r="K46" s="63">
        <v>1</v>
      </c>
      <c r="L46" s="63" t="s">
        <v>26</v>
      </c>
    </row>
    <row r="47" spans="1:12">
      <c r="A47" s="51">
        <f ca="1" t="shared" si="1"/>
        <v>79</v>
      </c>
      <c r="B47" s="51">
        <f ca="1" t="array" ref="B47">INDEX([1]Data_DBD!$B:$B,$A47)</f>
        <v>29</v>
      </c>
      <c r="C47" s="51">
        <f ca="1" t="array" ref="C47">INDEX([1]Data_DBD!$C:$C,$A47)</f>
        <v>3</v>
      </c>
      <c r="D47" s="51">
        <f ca="1" t="array" ref="D47">INDEX([1]Data_DBD!$E:$E,$A47)</f>
        <v>0</v>
      </c>
      <c r="E47" s="51" t="str">
        <f ca="1" t="array" ref="E47">INDEX([1]Data_DBD!$F:$F,$A47)</f>
        <v>Sedang</v>
      </c>
      <c r="H47" s="63">
        <v>13</v>
      </c>
      <c r="I47" s="63">
        <v>47</v>
      </c>
      <c r="J47" s="63">
        <v>2</v>
      </c>
      <c r="K47" s="63">
        <v>0</v>
      </c>
      <c r="L47" s="63" t="s">
        <v>8</v>
      </c>
    </row>
    <row r="48" spans="1:12">
      <c r="A48" s="51">
        <f ca="1" t="shared" si="1"/>
        <v>119</v>
      </c>
      <c r="B48" s="51">
        <f ca="1" t="array" ref="B48">INDEX([1]Data_DBD!$B:$B,$A48)</f>
        <v>30</v>
      </c>
      <c r="C48" s="51">
        <f ca="1" t="array" ref="C48">INDEX([1]Data_DBD!$C:$C,$A48)</f>
        <v>7</v>
      </c>
      <c r="D48" s="51">
        <f ca="1" t="array" ref="D48">INDEX([1]Data_DBD!$E:$E,$A48)</f>
        <v>0</v>
      </c>
      <c r="E48" s="51" t="str">
        <f ca="1" t="array" ref="E48">INDEX([1]Data_DBD!$F:$F,$A48)</f>
        <v>Tinggi</v>
      </c>
      <c r="H48" s="63">
        <v>157</v>
      </c>
      <c r="I48" s="63">
        <v>15</v>
      </c>
      <c r="J48" s="63">
        <v>4</v>
      </c>
      <c r="K48" s="63">
        <v>1</v>
      </c>
      <c r="L48" s="63" t="s">
        <v>105</v>
      </c>
    </row>
    <row r="49" spans="1:12">
      <c r="A49" s="51">
        <f ca="1" t="shared" si="1"/>
        <v>77</v>
      </c>
      <c r="B49" s="51">
        <f ca="1" t="array" ref="B49">INDEX([1]Data_DBD!$B:$B,$A49)</f>
        <v>16</v>
      </c>
      <c r="C49" s="51">
        <f ca="1" t="array" ref="C49">INDEX([1]Data_DBD!$C:$C,$A49)</f>
        <v>4</v>
      </c>
      <c r="D49" s="51">
        <f ca="1" t="array" ref="D49">INDEX([1]Data_DBD!$E:$E,$A49)</f>
        <v>1</v>
      </c>
      <c r="E49" s="51" t="str">
        <f ca="1" t="array" ref="E49">INDEX([1]Data_DBD!$F:$F,$A49)</f>
        <v>Sedang</v>
      </c>
      <c r="H49" s="63">
        <v>43</v>
      </c>
      <c r="I49" s="63">
        <v>15</v>
      </c>
      <c r="J49" s="63">
        <v>4</v>
      </c>
      <c r="K49" s="63">
        <v>0</v>
      </c>
      <c r="L49" s="63" t="s">
        <v>8</v>
      </c>
    </row>
    <row r="50" spans="1:12">
      <c r="A50" s="51">
        <f ca="1" t="shared" si="1"/>
        <v>101</v>
      </c>
      <c r="B50" s="51">
        <f ca="1" t="array" ref="B50">INDEX([1]Data_DBD!$B:$B,$A50)</f>
        <v>42</v>
      </c>
      <c r="C50" s="51">
        <f ca="1" t="array" ref="C50">INDEX([1]Data_DBD!$C:$C,$A50)</f>
        <v>5</v>
      </c>
      <c r="D50" s="51">
        <f ca="1" t="array" ref="D50">INDEX([1]Data_DBD!$E:$E,$A50)</f>
        <v>0</v>
      </c>
      <c r="E50" s="51" t="str">
        <f ca="1" t="array" ref="E50">INDEX([1]Data_DBD!$F:$F,$A50)</f>
        <v>Tinggi</v>
      </c>
      <c r="H50" s="63">
        <v>126</v>
      </c>
      <c r="I50" s="63">
        <v>51</v>
      </c>
      <c r="J50" s="63">
        <v>3</v>
      </c>
      <c r="K50" s="63">
        <v>1</v>
      </c>
      <c r="L50" s="63" t="s">
        <v>105</v>
      </c>
    </row>
    <row r="51" spans="1:12">
      <c r="A51" s="51">
        <f ca="1" t="shared" si="1"/>
        <v>41</v>
      </c>
      <c r="B51" s="51">
        <f ca="1" t="array" ref="B51">INDEX([1]Data_DBD!$B:$B,$A51)</f>
        <v>8</v>
      </c>
      <c r="C51" s="51">
        <f ca="1" t="array" ref="C51">INDEX([1]Data_DBD!$C:$C,$A51)</f>
        <v>4</v>
      </c>
      <c r="D51" s="51">
        <f ca="1" t="array" ref="D51">INDEX([1]Data_DBD!$E:$E,$A51)</f>
        <v>0</v>
      </c>
      <c r="E51" s="51" t="str">
        <f ca="1" t="array" ref="E51">INDEX([1]Data_DBD!$F:$F,$A51)</f>
        <v>Sedang</v>
      </c>
      <c r="H51" s="63">
        <v>70</v>
      </c>
      <c r="I51" s="63">
        <v>26</v>
      </c>
      <c r="J51" s="63">
        <v>3</v>
      </c>
      <c r="K51" s="63">
        <v>1</v>
      </c>
      <c r="L51" s="63" t="s">
        <v>8</v>
      </c>
    </row>
    <row r="52" spans="1:12">
      <c r="A52" s="51">
        <f ca="1" t="shared" si="1"/>
        <v>127</v>
      </c>
      <c r="B52" s="51">
        <f ca="1" t="array" ref="B52">INDEX([1]Data_DBD!$B:$B,$A52)</f>
        <v>21</v>
      </c>
      <c r="C52" s="51">
        <f ca="1" t="array" ref="C52">INDEX([1]Data_DBD!$C:$C,$A52)</f>
        <v>2</v>
      </c>
      <c r="D52" s="51">
        <f ca="1" t="array" ref="D52">INDEX([1]Data_DBD!$E:$E,$A52)</f>
        <v>0</v>
      </c>
      <c r="E52" s="51" t="str">
        <f ca="1" t="array" ref="E52">INDEX([1]Data_DBD!$F:$F,$A52)</f>
        <v>Tinggi</v>
      </c>
      <c r="H52" s="63">
        <v>26</v>
      </c>
      <c r="I52" s="63">
        <v>75</v>
      </c>
      <c r="J52" s="63">
        <v>4</v>
      </c>
      <c r="K52" s="63">
        <v>1</v>
      </c>
      <c r="L52" s="63" t="s">
        <v>8</v>
      </c>
    </row>
    <row r="53" spans="1:12">
      <c r="A53" s="51">
        <f ca="1" t="shared" si="1"/>
        <v>122</v>
      </c>
      <c r="B53" s="51">
        <f ca="1" t="array" ref="B53">INDEX([1]Data_DBD!$B:$B,$A53)</f>
        <v>28</v>
      </c>
      <c r="C53" s="51">
        <f ca="1" t="array" ref="C53">INDEX([1]Data_DBD!$C:$C,$A53)</f>
        <v>3</v>
      </c>
      <c r="D53" s="51">
        <f ca="1" t="array" ref="D53">INDEX([1]Data_DBD!$E:$E,$A53)</f>
        <v>1</v>
      </c>
      <c r="E53" s="51" t="str">
        <f ca="1" t="array" ref="E53">INDEX([1]Data_DBD!$F:$F,$A53)</f>
        <v>Tinggi</v>
      </c>
      <c r="H53" s="63">
        <v>46</v>
      </c>
      <c r="I53" s="63">
        <v>62</v>
      </c>
      <c r="J53" s="63">
        <v>2</v>
      </c>
      <c r="K53" s="63">
        <v>0</v>
      </c>
      <c r="L53" s="63" t="s">
        <v>8</v>
      </c>
    </row>
    <row r="54" spans="1:12">
      <c r="A54" s="51">
        <f ca="1" t="shared" si="1"/>
        <v>33</v>
      </c>
      <c r="B54" s="51">
        <f ca="1" t="array" ref="B54">INDEX([1]Data_DBD!$B:$B,$A54)</f>
        <v>19</v>
      </c>
      <c r="C54" s="51">
        <f ca="1" t="array" ref="C54">INDEX([1]Data_DBD!$C:$C,$A54)</f>
        <v>4</v>
      </c>
      <c r="D54" s="51">
        <f ca="1" t="array" ref="D54">INDEX([1]Data_DBD!$E:$E,$A54)</f>
        <v>1</v>
      </c>
      <c r="E54" s="51" t="str">
        <f ca="1" t="array" ref="E54">INDEX([1]Data_DBD!$F:$F,$A54)</f>
        <v>Sedang</v>
      </c>
      <c r="H54" s="63">
        <v>82</v>
      </c>
      <c r="I54" s="63">
        <v>28</v>
      </c>
      <c r="J54" s="63">
        <v>3</v>
      </c>
      <c r="K54" s="63">
        <v>1</v>
      </c>
      <c r="L54" s="63" t="s">
        <v>8</v>
      </c>
    </row>
    <row r="55" spans="1:12">
      <c r="A55" s="51">
        <f ca="1" t="shared" si="1"/>
        <v>3</v>
      </c>
      <c r="B55" s="51">
        <f ca="1" t="array" ref="B55">INDEX([1]Data_DBD!$B:$B,$A55)</f>
        <v>43</v>
      </c>
      <c r="C55" s="51">
        <f ca="1" t="array" ref="C55">INDEX([1]Data_DBD!$C:$C,$A55)</f>
        <v>3</v>
      </c>
      <c r="D55" s="51">
        <f ca="1" t="array" ref="D55">INDEX([1]Data_DBD!$E:$E,$A55)</f>
        <v>1</v>
      </c>
      <c r="E55" s="51" t="str">
        <f ca="1" t="array" ref="E55">INDEX([1]Data_DBD!$F:$F,$A55)</f>
        <v>Sedang</v>
      </c>
      <c r="H55" s="63">
        <v>96</v>
      </c>
      <c r="I55" s="63">
        <v>56</v>
      </c>
      <c r="J55" s="63">
        <v>4</v>
      </c>
      <c r="K55" s="63">
        <v>0</v>
      </c>
      <c r="L55" s="63" t="s">
        <v>105</v>
      </c>
    </row>
    <row r="56" spans="1:12">
      <c r="A56" s="51">
        <f ca="1" t="shared" si="1"/>
        <v>108</v>
      </c>
      <c r="B56" s="51">
        <f ca="1" t="array" ref="B56">INDEX([1]Data_DBD!$B:$B,$A56)</f>
        <v>69</v>
      </c>
      <c r="C56" s="51">
        <f ca="1" t="array" ref="C56">INDEX([1]Data_DBD!$C:$C,$A56)</f>
        <v>7</v>
      </c>
      <c r="D56" s="51">
        <f ca="1" t="array" ref="D56">INDEX([1]Data_DBD!$E:$E,$A56)</f>
        <v>1</v>
      </c>
      <c r="E56" s="51" t="str">
        <f ca="1" t="array" ref="E56">INDEX([1]Data_DBD!$F:$F,$A56)</f>
        <v>Tinggi</v>
      </c>
      <c r="H56" s="63">
        <v>72</v>
      </c>
      <c r="I56" s="63">
        <v>3</v>
      </c>
      <c r="J56" s="63">
        <v>5</v>
      </c>
      <c r="K56" s="63">
        <v>1</v>
      </c>
      <c r="L56" s="63" t="s">
        <v>8</v>
      </c>
    </row>
    <row r="57" spans="1:12">
      <c r="A57" s="51">
        <f ca="1" t="shared" si="1"/>
        <v>44</v>
      </c>
      <c r="B57" s="51">
        <f ca="1" t="array" ref="B57">INDEX([1]Data_DBD!$B:$B,$A57)</f>
        <v>28</v>
      </c>
      <c r="C57" s="51">
        <f ca="1" t="array" ref="C57">INDEX([1]Data_DBD!$C:$C,$A57)</f>
        <v>5</v>
      </c>
      <c r="D57" s="51">
        <f ca="1" t="array" ref="D57">INDEX([1]Data_DBD!$E:$E,$A57)</f>
        <v>1</v>
      </c>
      <c r="E57" s="51" t="str">
        <f ca="1" t="array" ref="E57">INDEX([1]Data_DBD!$F:$F,$A57)</f>
        <v>Sedang</v>
      </c>
      <c r="H57" s="63">
        <v>8</v>
      </c>
      <c r="I57" s="63">
        <v>4</v>
      </c>
      <c r="J57" s="63">
        <v>2</v>
      </c>
      <c r="K57" s="63">
        <v>0</v>
      </c>
      <c r="L57" s="63" t="s">
        <v>8</v>
      </c>
    </row>
    <row r="58" spans="1:12">
      <c r="A58" s="51">
        <f ca="1" t="shared" si="1"/>
        <v>13</v>
      </c>
      <c r="B58" s="51">
        <f ca="1" t="array" ref="B58">INDEX([1]Data_DBD!$B:$B,$A58)</f>
        <v>47</v>
      </c>
      <c r="C58" s="51">
        <f ca="1" t="array" ref="C58">INDEX([1]Data_DBD!$C:$C,$A58)</f>
        <v>2</v>
      </c>
      <c r="D58" s="51">
        <f ca="1" t="array" ref="D58">INDEX([1]Data_DBD!$E:$E,$A58)</f>
        <v>0</v>
      </c>
      <c r="E58" s="51" t="str">
        <f ca="1" t="array" ref="E58">INDEX([1]Data_DBD!$F:$F,$A58)</f>
        <v>Sedang</v>
      </c>
      <c r="H58" s="63">
        <v>83</v>
      </c>
      <c r="I58" s="63">
        <v>50</v>
      </c>
      <c r="J58" s="63">
        <v>3</v>
      </c>
      <c r="K58" s="63">
        <v>0</v>
      </c>
      <c r="L58" s="63" t="s">
        <v>8</v>
      </c>
    </row>
    <row r="59" spans="1:12">
      <c r="A59" s="51">
        <f ca="1" t="shared" si="1"/>
        <v>121</v>
      </c>
      <c r="B59" s="51">
        <f ca="1" t="array" ref="B59">INDEX([1]Data_DBD!$B:$B,$A59)</f>
        <v>82</v>
      </c>
      <c r="C59" s="51">
        <f ca="1" t="array" ref="C59">INDEX([1]Data_DBD!$C:$C,$A59)</f>
        <v>5</v>
      </c>
      <c r="D59" s="51">
        <f ca="1" t="array" ref="D59">INDEX([1]Data_DBD!$E:$E,$A59)</f>
        <v>1</v>
      </c>
      <c r="E59" s="51" t="str">
        <f ca="1" t="array" ref="E59">INDEX([1]Data_DBD!$F:$F,$A59)</f>
        <v>Tinggi</v>
      </c>
      <c r="H59" s="63">
        <v>147</v>
      </c>
      <c r="I59" s="63">
        <v>66</v>
      </c>
      <c r="J59" s="63">
        <v>10</v>
      </c>
      <c r="K59" s="63">
        <v>1</v>
      </c>
      <c r="L59" s="63" t="s">
        <v>105</v>
      </c>
    </row>
    <row r="60" spans="1:12">
      <c r="A60" s="51">
        <f ca="1" t="shared" si="1"/>
        <v>149</v>
      </c>
      <c r="B60" s="51">
        <f ca="1" t="array" ref="B60">INDEX([1]Data_DBD!$B:$B,$A60)</f>
        <v>19</v>
      </c>
      <c r="C60" s="51">
        <f ca="1" t="array" ref="C60">INDEX([1]Data_DBD!$C:$C,$A60)</f>
        <v>5</v>
      </c>
      <c r="D60" s="51">
        <f ca="1" t="array" ref="D60">INDEX([1]Data_DBD!$E:$E,$A60)</f>
        <v>0</v>
      </c>
      <c r="E60" s="51" t="str">
        <f ca="1" t="array" ref="E60">INDEX([1]Data_DBD!$F:$F,$A60)</f>
        <v>Tinggi</v>
      </c>
      <c r="H60" s="63">
        <v>125</v>
      </c>
      <c r="I60" s="63">
        <v>39</v>
      </c>
      <c r="J60" s="63">
        <v>4</v>
      </c>
      <c r="K60" s="63">
        <v>0</v>
      </c>
      <c r="L60" s="63" t="s">
        <v>105</v>
      </c>
    </row>
    <row r="61" spans="1:12">
      <c r="A61" s="51">
        <f ca="1" t="shared" si="1"/>
        <v>61</v>
      </c>
      <c r="B61" s="51">
        <f ca="1" t="array" ref="B61">INDEX([1]Data_DBD!$B:$B,$A61)</f>
        <v>29</v>
      </c>
      <c r="C61" s="51">
        <f ca="1" t="array" ref="C61">INDEX([1]Data_DBD!$C:$C,$A61)</f>
        <v>3</v>
      </c>
      <c r="D61" s="51">
        <f ca="1" t="array" ref="D61">INDEX([1]Data_DBD!$E:$E,$A61)</f>
        <v>1</v>
      </c>
      <c r="E61" s="51" t="str">
        <f ca="1" t="array" ref="E61">INDEX([1]Data_DBD!$F:$F,$A61)</f>
        <v>Sedang</v>
      </c>
      <c r="H61" s="63">
        <v>108</v>
      </c>
      <c r="I61" s="63">
        <v>69</v>
      </c>
      <c r="J61" s="63">
        <v>7</v>
      </c>
      <c r="K61" s="63">
        <v>1</v>
      </c>
      <c r="L61" s="63" t="s">
        <v>105</v>
      </c>
    </row>
    <row r="62" spans="1:12">
      <c r="A62" s="51">
        <f ca="1" t="shared" si="1"/>
        <v>73</v>
      </c>
      <c r="B62" s="51">
        <f ca="1" t="array" ref="B62">INDEX([1]Data_DBD!$B:$B,$A62)</f>
        <v>15</v>
      </c>
      <c r="C62" s="51">
        <f ca="1" t="array" ref="C62">INDEX([1]Data_DBD!$C:$C,$A62)</f>
        <v>3</v>
      </c>
      <c r="D62" s="51">
        <f ca="1" t="array" ref="D62">INDEX([1]Data_DBD!$E:$E,$A62)</f>
        <v>1</v>
      </c>
      <c r="E62" s="51" t="str">
        <f ca="1" t="array" ref="E62">INDEX([1]Data_DBD!$F:$F,$A62)</f>
        <v>Sedang</v>
      </c>
      <c r="H62" s="63">
        <v>115</v>
      </c>
      <c r="I62" s="63">
        <v>52</v>
      </c>
      <c r="J62" s="63">
        <v>3</v>
      </c>
      <c r="K62" s="63">
        <v>1</v>
      </c>
      <c r="L62" s="63" t="s">
        <v>105</v>
      </c>
    </row>
    <row r="63" spans="1:12">
      <c r="A63" s="51">
        <f ca="1" t="shared" si="1"/>
        <v>101</v>
      </c>
      <c r="B63" s="51">
        <f ca="1" t="array" ref="B63">INDEX([1]Data_DBD!$B:$B,$A63)</f>
        <v>42</v>
      </c>
      <c r="C63" s="51">
        <f ca="1" t="array" ref="C63">INDEX([1]Data_DBD!$C:$C,$A63)</f>
        <v>5</v>
      </c>
      <c r="D63" s="51">
        <f ca="1" t="array" ref="D63">INDEX([1]Data_DBD!$E:$E,$A63)</f>
        <v>0</v>
      </c>
      <c r="E63" s="51" t="str">
        <f ca="1" t="array" ref="E63">INDEX([1]Data_DBD!$F:$F,$A63)</f>
        <v>Tinggi</v>
      </c>
      <c r="H63" s="63">
        <v>7</v>
      </c>
      <c r="I63" s="63">
        <v>12</v>
      </c>
      <c r="J63" s="63">
        <v>1</v>
      </c>
      <c r="K63" s="63">
        <v>1</v>
      </c>
      <c r="L63" s="63" t="s">
        <v>8</v>
      </c>
    </row>
    <row r="64" spans="1:12">
      <c r="A64" s="51">
        <f ca="1" t="shared" si="1"/>
        <v>102</v>
      </c>
      <c r="B64" s="51">
        <f ca="1" t="array" ref="B64">INDEX([1]Data_DBD!$B:$B,$A64)</f>
        <v>41</v>
      </c>
      <c r="C64" s="51">
        <f ca="1" t="array" ref="C64">INDEX([1]Data_DBD!$C:$C,$A64)</f>
        <v>4</v>
      </c>
      <c r="D64" s="51">
        <f ca="1" t="array" ref="D64">INDEX([1]Data_DBD!$E:$E,$A64)</f>
        <v>0</v>
      </c>
      <c r="E64" s="51" t="str">
        <f ca="1" t="array" ref="E64">INDEX([1]Data_DBD!$F:$F,$A64)</f>
        <v>Tinggi</v>
      </c>
      <c r="H64" s="63">
        <v>115</v>
      </c>
      <c r="I64" s="63">
        <v>52</v>
      </c>
      <c r="J64" s="63">
        <v>3</v>
      </c>
      <c r="K64" s="63">
        <v>1</v>
      </c>
      <c r="L64" s="63" t="s">
        <v>105</v>
      </c>
    </row>
    <row r="65" spans="1:12">
      <c r="A65" s="51">
        <f ca="1" t="shared" si="1"/>
        <v>115</v>
      </c>
      <c r="B65" s="51">
        <f ca="1" t="array" ref="B65">INDEX([1]Data_DBD!$B:$B,$A65)</f>
        <v>52</v>
      </c>
      <c r="C65" s="51">
        <f ca="1" t="array" ref="C65">INDEX([1]Data_DBD!$C:$C,$A65)</f>
        <v>3</v>
      </c>
      <c r="D65" s="51">
        <f ca="1" t="array" ref="D65">INDEX([1]Data_DBD!$E:$E,$A65)</f>
        <v>1</v>
      </c>
      <c r="E65" s="51" t="str">
        <f ca="1" t="array" ref="E65">INDEX([1]Data_DBD!$F:$F,$A65)</f>
        <v>Tinggi</v>
      </c>
      <c r="H65" s="63">
        <v>141</v>
      </c>
      <c r="I65" s="63">
        <v>36</v>
      </c>
      <c r="J65" s="63">
        <v>2</v>
      </c>
      <c r="K65" s="63">
        <v>0</v>
      </c>
      <c r="L65" s="63" t="s">
        <v>105</v>
      </c>
    </row>
    <row r="66" spans="1:12">
      <c r="A66" s="51">
        <f ca="1" t="shared" ref="A66:A97" si="2">RANDBETWEEN(2,164)</f>
        <v>107</v>
      </c>
      <c r="B66" s="51">
        <f ca="1" t="array" ref="B66">INDEX([1]Data_DBD!$B:$B,$A66)</f>
        <v>48</v>
      </c>
      <c r="C66" s="51">
        <f ca="1" t="array" ref="C66">INDEX([1]Data_DBD!$C:$C,$A66)</f>
        <v>5</v>
      </c>
      <c r="D66" s="51">
        <f ca="1" t="array" ref="D66">INDEX([1]Data_DBD!$E:$E,$A66)</f>
        <v>0</v>
      </c>
      <c r="E66" s="51" t="str">
        <f ca="1" t="array" ref="E66">INDEX([1]Data_DBD!$F:$F,$A66)</f>
        <v>Tinggi</v>
      </c>
      <c r="H66" s="63">
        <v>90</v>
      </c>
      <c r="I66" s="63">
        <v>47</v>
      </c>
      <c r="J66" s="63">
        <v>3</v>
      </c>
      <c r="K66" s="63">
        <v>0</v>
      </c>
      <c r="L66" s="63" t="s">
        <v>105</v>
      </c>
    </row>
    <row r="67" spans="1:12">
      <c r="A67" s="51">
        <f ca="1" t="shared" si="2"/>
        <v>119</v>
      </c>
      <c r="B67" s="51">
        <f ca="1" t="array" ref="B67">INDEX([1]Data_DBD!$B:$B,$A67)</f>
        <v>30</v>
      </c>
      <c r="C67" s="51">
        <f ca="1" t="array" ref="C67">INDEX([1]Data_DBD!$C:$C,$A67)</f>
        <v>7</v>
      </c>
      <c r="D67" s="51">
        <f ca="1" t="array" ref="D67">INDEX([1]Data_DBD!$E:$E,$A67)</f>
        <v>0</v>
      </c>
      <c r="E67" s="51" t="str">
        <f ca="1" t="array" ref="E67">INDEX([1]Data_DBD!$F:$F,$A67)</f>
        <v>Tinggi</v>
      </c>
      <c r="H67" s="63">
        <v>130</v>
      </c>
      <c r="I67" s="63">
        <v>12</v>
      </c>
      <c r="J67" s="63">
        <v>4</v>
      </c>
      <c r="K67" s="63">
        <v>0</v>
      </c>
      <c r="L67" s="63" t="s">
        <v>105</v>
      </c>
    </row>
    <row r="68" spans="1:12">
      <c r="A68" s="51">
        <f ca="1" t="shared" si="2"/>
        <v>121</v>
      </c>
      <c r="B68" s="51">
        <f ca="1" t="array" ref="B68">INDEX([1]Data_DBD!$B:$B,$A68)</f>
        <v>82</v>
      </c>
      <c r="C68" s="51">
        <f ca="1" t="array" ref="C68">INDEX([1]Data_DBD!$C:$C,$A68)</f>
        <v>5</v>
      </c>
      <c r="D68" s="51">
        <f ca="1" t="array" ref="D68">INDEX([1]Data_DBD!$E:$E,$A68)</f>
        <v>1</v>
      </c>
      <c r="E68" s="51" t="str">
        <f ca="1" t="array" ref="E68">INDEX([1]Data_DBD!$F:$F,$A68)</f>
        <v>Tinggi</v>
      </c>
      <c r="H68" s="63">
        <v>23</v>
      </c>
      <c r="I68" s="63">
        <v>28</v>
      </c>
      <c r="J68" s="63">
        <v>4</v>
      </c>
      <c r="K68" s="63">
        <v>1</v>
      </c>
      <c r="L68" s="63" t="s">
        <v>8</v>
      </c>
    </row>
    <row r="69" spans="1:12">
      <c r="A69" s="51">
        <f ca="1" t="shared" si="2"/>
        <v>65</v>
      </c>
      <c r="B69" s="51">
        <f ca="1" t="array" ref="B69">INDEX([1]Data_DBD!$B:$B,$A69)</f>
        <v>49</v>
      </c>
      <c r="C69" s="51">
        <f ca="1" t="array" ref="C69">INDEX([1]Data_DBD!$C:$C,$A69)</f>
        <v>3</v>
      </c>
      <c r="D69" s="51">
        <f ca="1" t="array" ref="D69">INDEX([1]Data_DBD!$E:$E,$A69)</f>
        <v>0</v>
      </c>
      <c r="E69" s="51" t="str">
        <f ca="1" t="array" ref="E69">INDEX([1]Data_DBD!$F:$F,$A69)</f>
        <v>Sedang</v>
      </c>
      <c r="H69" s="63">
        <v>66</v>
      </c>
      <c r="I69" s="63">
        <v>21</v>
      </c>
      <c r="J69" s="63">
        <v>5</v>
      </c>
      <c r="K69" s="63">
        <v>1</v>
      </c>
      <c r="L69" s="63" t="s">
        <v>8</v>
      </c>
    </row>
    <row r="70" spans="1:12">
      <c r="A70" s="51">
        <f ca="1" t="shared" si="2"/>
        <v>146</v>
      </c>
      <c r="B70" s="51">
        <f ca="1" t="array" ref="B70">INDEX([1]Data_DBD!$B:$B,$A70)</f>
        <v>34</v>
      </c>
      <c r="C70" s="51">
        <f ca="1" t="array" ref="C70">INDEX([1]Data_DBD!$C:$C,$A70)</f>
        <v>2</v>
      </c>
      <c r="D70" s="51">
        <f ca="1" t="array" ref="D70">INDEX([1]Data_DBD!$E:$E,$A70)</f>
        <v>1</v>
      </c>
      <c r="E70" s="51" t="str">
        <f ca="1" t="array" ref="E70">INDEX([1]Data_DBD!$F:$F,$A70)</f>
        <v>Tinggi</v>
      </c>
      <c r="H70" s="63">
        <v>140</v>
      </c>
      <c r="I70" s="63">
        <v>74</v>
      </c>
      <c r="J70" s="63">
        <v>5</v>
      </c>
      <c r="K70" s="63">
        <v>1</v>
      </c>
      <c r="L70" s="63" t="s">
        <v>105</v>
      </c>
    </row>
    <row r="71" spans="1:12">
      <c r="A71" s="51">
        <f ca="1" t="shared" si="2"/>
        <v>48</v>
      </c>
      <c r="B71" s="51">
        <f ca="1" t="array" ref="B71">INDEX([1]Data_DBD!$B:$B,$A71)</f>
        <v>50</v>
      </c>
      <c r="C71" s="51">
        <f ca="1" t="array" ref="C71">INDEX([1]Data_DBD!$C:$C,$A71)</f>
        <v>5</v>
      </c>
      <c r="D71" s="51">
        <f ca="1" t="array" ref="D71">INDEX([1]Data_DBD!$E:$E,$A71)</f>
        <v>1</v>
      </c>
      <c r="E71" s="51" t="str">
        <f ca="1" t="array" ref="E71">INDEX([1]Data_DBD!$F:$F,$A71)</f>
        <v>Sedang</v>
      </c>
      <c r="H71" s="63">
        <v>94</v>
      </c>
      <c r="I71" s="63">
        <v>12</v>
      </c>
      <c r="J71" s="63">
        <v>4</v>
      </c>
      <c r="K71" s="63">
        <v>0</v>
      </c>
      <c r="L71" s="63" t="s">
        <v>105</v>
      </c>
    </row>
    <row r="72" spans="1:12">
      <c r="A72" s="51">
        <f ca="1" t="shared" si="2"/>
        <v>93</v>
      </c>
      <c r="B72" s="51">
        <f ca="1" t="array" ref="B72">INDEX([1]Data_DBD!$B:$B,$A72)</f>
        <v>65</v>
      </c>
      <c r="C72" s="51">
        <f ca="1" t="array" ref="C72">INDEX([1]Data_DBD!$C:$C,$A72)</f>
        <v>4</v>
      </c>
      <c r="D72" s="51">
        <f ca="1" t="array" ref="D72">INDEX([1]Data_DBD!$E:$E,$A72)</f>
        <v>0</v>
      </c>
      <c r="E72" s="51" t="str">
        <f ca="1" t="array" ref="E72">INDEX([1]Data_DBD!$F:$F,$A72)</f>
        <v>Tinggi</v>
      </c>
      <c r="H72" s="63">
        <v>164</v>
      </c>
      <c r="I72" s="63">
        <v>10</v>
      </c>
      <c r="J72" s="63">
        <v>6</v>
      </c>
      <c r="K72" s="63">
        <v>0</v>
      </c>
      <c r="L72" s="63" t="s">
        <v>26</v>
      </c>
    </row>
    <row r="73" spans="1:12">
      <c r="A73" s="51">
        <f ca="1" t="shared" si="2"/>
        <v>4</v>
      </c>
      <c r="B73" s="51">
        <f ca="1" t="array" ref="B73">INDEX([1]Data_DBD!$B:$B,$A73)</f>
        <v>23</v>
      </c>
      <c r="C73" s="51">
        <f ca="1" t="array" ref="C73">INDEX([1]Data_DBD!$C:$C,$A73)</f>
        <v>5</v>
      </c>
      <c r="D73" s="51">
        <f ca="1" t="array" ref="D73">INDEX([1]Data_DBD!$E:$E,$A73)</f>
        <v>0</v>
      </c>
      <c r="E73" s="51" t="str">
        <f ca="1" t="array" ref="E73">INDEX([1]Data_DBD!$F:$F,$A73)</f>
        <v>Sedang</v>
      </c>
      <c r="H73" s="63">
        <v>27</v>
      </c>
      <c r="I73" s="63">
        <v>37</v>
      </c>
      <c r="J73" s="63">
        <v>4</v>
      </c>
      <c r="K73" s="63">
        <v>1</v>
      </c>
      <c r="L73" s="63" t="s">
        <v>8</v>
      </c>
    </row>
    <row r="74" spans="1:12">
      <c r="A74" s="51">
        <f ca="1" t="shared" si="2"/>
        <v>162</v>
      </c>
      <c r="B74" s="51">
        <f ca="1" t="array" ref="B74">INDEX([1]Data_DBD!$B:$B,$A74)</f>
        <v>22</v>
      </c>
      <c r="C74" s="51">
        <f ca="1" t="array" ref="C74">INDEX([1]Data_DBD!$C:$C,$A74)</f>
        <v>3</v>
      </c>
      <c r="D74" s="51">
        <f ca="1" t="array" ref="D74">INDEX([1]Data_DBD!$E:$E,$A74)</f>
        <v>1</v>
      </c>
      <c r="E74" s="51" t="str">
        <f ca="1" t="array" ref="E74">INDEX([1]Data_DBD!$F:$F,$A74)</f>
        <v>Rendah</v>
      </c>
      <c r="H74" s="63">
        <v>130</v>
      </c>
      <c r="I74" s="63">
        <v>12</v>
      </c>
      <c r="J74" s="63">
        <v>4</v>
      </c>
      <c r="K74" s="63">
        <v>0</v>
      </c>
      <c r="L74" s="63" t="s">
        <v>105</v>
      </c>
    </row>
    <row r="75" spans="1:12">
      <c r="A75" s="51">
        <f ca="1" t="shared" si="2"/>
        <v>13</v>
      </c>
      <c r="B75" s="51">
        <f ca="1" t="array" ref="B75">INDEX([1]Data_DBD!$B:$B,$A75)</f>
        <v>47</v>
      </c>
      <c r="C75" s="51">
        <f ca="1" t="array" ref="C75">INDEX([1]Data_DBD!$C:$C,$A75)</f>
        <v>2</v>
      </c>
      <c r="D75" s="51">
        <f ca="1" t="array" ref="D75">INDEX([1]Data_DBD!$E:$E,$A75)</f>
        <v>0</v>
      </c>
      <c r="E75" s="51" t="str">
        <f ca="1" t="array" ref="E75">INDEX([1]Data_DBD!$F:$F,$A75)</f>
        <v>Sedang</v>
      </c>
      <c r="H75" s="63">
        <v>72</v>
      </c>
      <c r="I75" s="63">
        <v>3</v>
      </c>
      <c r="J75" s="63">
        <v>5</v>
      </c>
      <c r="K75" s="63">
        <v>1</v>
      </c>
      <c r="L75" s="63" t="s">
        <v>8</v>
      </c>
    </row>
    <row r="76" spans="1:12">
      <c r="A76" s="51">
        <f ca="1" t="shared" si="2"/>
        <v>75</v>
      </c>
      <c r="B76" s="51">
        <f ca="1" t="array" ref="B76">INDEX([1]Data_DBD!$B:$B,$A76)</f>
        <v>2</v>
      </c>
      <c r="C76" s="51">
        <f ca="1" t="array" ref="C76">INDEX([1]Data_DBD!$C:$C,$A76)</f>
        <v>2</v>
      </c>
      <c r="D76" s="51">
        <f ca="1" t="array" ref="D76">INDEX([1]Data_DBD!$E:$E,$A76)</f>
        <v>1</v>
      </c>
      <c r="E76" s="51" t="str">
        <f ca="1" t="array" ref="E76">INDEX([1]Data_DBD!$F:$F,$A76)</f>
        <v>Sedang</v>
      </c>
      <c r="H76" s="63">
        <v>103</v>
      </c>
      <c r="I76" s="63">
        <v>22</v>
      </c>
      <c r="J76" s="63">
        <v>5</v>
      </c>
      <c r="K76" s="63">
        <v>0</v>
      </c>
      <c r="L76" s="63" t="s">
        <v>105</v>
      </c>
    </row>
    <row r="77" spans="1:12">
      <c r="A77" s="51">
        <f ca="1" t="shared" si="2"/>
        <v>145</v>
      </c>
      <c r="B77" s="51">
        <f ca="1" t="array" ref="B77">INDEX([1]Data_DBD!$B:$B,$A77)</f>
        <v>28</v>
      </c>
      <c r="C77" s="51">
        <f ca="1" t="array" ref="C77">INDEX([1]Data_DBD!$C:$C,$A77)</f>
        <v>4</v>
      </c>
      <c r="D77" s="51">
        <f ca="1" t="array" ref="D77">INDEX([1]Data_DBD!$E:$E,$A77)</f>
        <v>1</v>
      </c>
      <c r="E77" s="51" t="str">
        <f ca="1" t="array" ref="E77">INDEX([1]Data_DBD!$F:$F,$A77)</f>
        <v>Tinggi</v>
      </c>
      <c r="H77" s="63">
        <v>84</v>
      </c>
      <c r="I77" s="63">
        <v>42</v>
      </c>
      <c r="J77" s="63">
        <v>4</v>
      </c>
      <c r="K77" s="63">
        <v>1</v>
      </c>
      <c r="L77" s="63" t="s">
        <v>8</v>
      </c>
    </row>
    <row r="78" spans="1:12">
      <c r="A78" s="51">
        <f ca="1" t="shared" si="2"/>
        <v>130</v>
      </c>
      <c r="B78" s="51">
        <f ca="1" t="array" ref="B78">INDEX([1]Data_DBD!$B:$B,$A78)</f>
        <v>12</v>
      </c>
      <c r="C78" s="51">
        <f ca="1" t="array" ref="C78">INDEX([1]Data_DBD!$C:$C,$A78)</f>
        <v>4</v>
      </c>
      <c r="D78" s="51">
        <f ca="1" t="array" ref="D78">INDEX([1]Data_DBD!$E:$E,$A78)</f>
        <v>0</v>
      </c>
      <c r="E78" s="51" t="str">
        <f ca="1" t="array" ref="E78">INDEX([1]Data_DBD!$F:$F,$A78)</f>
        <v>Tinggi</v>
      </c>
      <c r="H78" s="63">
        <v>17</v>
      </c>
      <c r="I78" s="63">
        <v>2</v>
      </c>
      <c r="J78" s="63">
        <v>3</v>
      </c>
      <c r="K78" s="63">
        <v>0</v>
      </c>
      <c r="L78" s="63" t="s">
        <v>26</v>
      </c>
    </row>
    <row r="79" spans="1:12">
      <c r="A79" s="51">
        <f ca="1" t="shared" si="2"/>
        <v>101</v>
      </c>
      <c r="B79" s="51">
        <f ca="1" t="array" ref="B79">INDEX([1]Data_DBD!$B:$B,$A79)</f>
        <v>42</v>
      </c>
      <c r="C79" s="51">
        <f ca="1" t="array" ref="C79">INDEX([1]Data_DBD!$C:$C,$A79)</f>
        <v>5</v>
      </c>
      <c r="D79" s="51">
        <f ca="1" t="array" ref="D79">INDEX([1]Data_DBD!$E:$E,$A79)</f>
        <v>0</v>
      </c>
      <c r="E79" s="51" t="str">
        <f ca="1" t="array" ref="E79">INDEX([1]Data_DBD!$F:$F,$A79)</f>
        <v>Tinggi</v>
      </c>
      <c r="H79" s="63">
        <v>12</v>
      </c>
      <c r="I79" s="63">
        <v>23</v>
      </c>
      <c r="J79" s="63">
        <v>3</v>
      </c>
      <c r="K79" s="63">
        <v>0</v>
      </c>
      <c r="L79" s="63" t="s">
        <v>8</v>
      </c>
    </row>
    <row r="80" spans="1:12">
      <c r="A80" s="51">
        <f ca="1" t="shared" si="2"/>
        <v>143</v>
      </c>
      <c r="B80" s="51">
        <f ca="1" t="array" ref="B80">INDEX([1]Data_DBD!$B:$B,$A80)</f>
        <v>20</v>
      </c>
      <c r="C80" s="51">
        <f ca="1" t="array" ref="C80">INDEX([1]Data_DBD!$C:$C,$A80)</f>
        <v>4</v>
      </c>
      <c r="D80" s="51">
        <f ca="1" t="array" ref="D80">INDEX([1]Data_DBD!$E:$E,$A80)</f>
        <v>1</v>
      </c>
      <c r="E80" s="51" t="str">
        <f ca="1" t="array" ref="E80">INDEX([1]Data_DBD!$F:$F,$A80)</f>
        <v>Tinggi</v>
      </c>
      <c r="H80" s="63">
        <v>85</v>
      </c>
      <c r="I80" s="63">
        <v>27</v>
      </c>
      <c r="J80" s="63">
        <v>9</v>
      </c>
      <c r="K80" s="63">
        <v>0</v>
      </c>
      <c r="L80" s="63" t="s">
        <v>8</v>
      </c>
    </row>
    <row r="81" spans="1:12">
      <c r="A81" s="51">
        <f ca="1" t="shared" si="2"/>
        <v>29</v>
      </c>
      <c r="B81" s="51">
        <f ca="1" t="array" ref="B81">INDEX([1]Data_DBD!$B:$B,$A81)</f>
        <v>19</v>
      </c>
      <c r="C81" s="51">
        <f ca="1" t="array" ref="C81">INDEX([1]Data_DBD!$C:$C,$A81)</f>
        <v>2</v>
      </c>
      <c r="D81" s="51">
        <f ca="1" t="array" ref="D81">INDEX([1]Data_DBD!$E:$E,$A81)</f>
        <v>1</v>
      </c>
      <c r="E81" s="51" t="str">
        <f ca="1" t="array" ref="E81">INDEX([1]Data_DBD!$F:$F,$A81)</f>
        <v>Sedang</v>
      </c>
      <c r="H81" s="63">
        <v>70</v>
      </c>
      <c r="I81" s="63">
        <v>26</v>
      </c>
      <c r="J81" s="63">
        <v>3</v>
      </c>
      <c r="K81" s="63">
        <v>1</v>
      </c>
      <c r="L81" s="63" t="s">
        <v>8</v>
      </c>
    </row>
    <row r="82" spans="1:12">
      <c r="A82" s="51">
        <f ca="1" t="shared" si="2"/>
        <v>51</v>
      </c>
      <c r="B82" s="51">
        <f ca="1" t="array" ref="B82">INDEX([1]Data_DBD!$B:$B,$A82)</f>
        <v>48</v>
      </c>
      <c r="C82" s="51">
        <f ca="1" t="array" ref="C82">INDEX([1]Data_DBD!$C:$C,$A82)</f>
        <v>4</v>
      </c>
      <c r="D82" s="51">
        <f ca="1" t="array" ref="D82">INDEX([1]Data_DBD!$E:$E,$A82)</f>
        <v>0</v>
      </c>
      <c r="E82" s="51" t="str">
        <f ca="1" t="array" ref="E82">INDEX([1]Data_DBD!$F:$F,$A82)</f>
        <v>Sedang</v>
      </c>
      <c r="H82" s="63">
        <v>163</v>
      </c>
      <c r="I82" s="63">
        <v>34</v>
      </c>
      <c r="J82" s="63">
        <v>4</v>
      </c>
      <c r="K82" s="63">
        <v>1</v>
      </c>
      <c r="L82" s="63" t="s">
        <v>26</v>
      </c>
    </row>
    <row r="83" spans="1:12">
      <c r="A83" s="51">
        <f ca="1" t="shared" si="2"/>
        <v>11</v>
      </c>
      <c r="B83" s="51">
        <f ca="1" t="array" ref="B83">INDEX([1]Data_DBD!$B:$B,$A83)</f>
        <v>24</v>
      </c>
      <c r="C83" s="51">
        <f ca="1" t="array" ref="C83">INDEX([1]Data_DBD!$C:$C,$A83)</f>
        <v>5</v>
      </c>
      <c r="D83" s="51">
        <f ca="1" t="array" ref="D83">INDEX([1]Data_DBD!$E:$E,$A83)</f>
        <v>1</v>
      </c>
      <c r="E83" s="51" t="str">
        <f ca="1" t="array" ref="E83">INDEX([1]Data_DBD!$F:$F,$A83)</f>
        <v>Sedang</v>
      </c>
      <c r="H83" s="63">
        <v>114</v>
      </c>
      <c r="I83" s="63">
        <v>14</v>
      </c>
      <c r="J83" s="63">
        <v>2</v>
      </c>
      <c r="K83" s="63">
        <v>1</v>
      </c>
      <c r="L83" s="63" t="s">
        <v>105</v>
      </c>
    </row>
    <row r="84" spans="1:12">
      <c r="A84" s="51">
        <f ca="1" t="shared" si="2"/>
        <v>57</v>
      </c>
      <c r="B84" s="51">
        <f ca="1" t="array" ref="B84">INDEX([1]Data_DBD!$B:$B,$A84)</f>
        <v>2</v>
      </c>
      <c r="C84" s="51">
        <f ca="1" t="array" ref="C84">INDEX([1]Data_DBD!$C:$C,$A84)</f>
        <v>2</v>
      </c>
      <c r="D84" s="51">
        <f ca="1" t="array" ref="D84">INDEX([1]Data_DBD!$E:$E,$A84)</f>
        <v>1</v>
      </c>
      <c r="E84" s="51" t="str">
        <f ca="1" t="array" ref="E84">INDEX([1]Data_DBD!$F:$F,$A84)</f>
        <v>Sedang</v>
      </c>
      <c r="H84" s="63">
        <v>133</v>
      </c>
      <c r="I84" s="63">
        <v>6</v>
      </c>
      <c r="J84" s="63">
        <v>4</v>
      </c>
      <c r="K84" s="63">
        <v>0</v>
      </c>
      <c r="L84" s="63" t="s">
        <v>105</v>
      </c>
    </row>
    <row r="85" spans="1:12">
      <c r="A85" s="51">
        <f ca="1" t="shared" si="2"/>
        <v>141</v>
      </c>
      <c r="B85" s="51">
        <f ca="1" t="array" ref="B85">INDEX([1]Data_DBD!$B:$B,$A85)</f>
        <v>36</v>
      </c>
      <c r="C85" s="51">
        <f ca="1" t="array" ref="C85">INDEX([1]Data_DBD!$C:$C,$A85)</f>
        <v>2</v>
      </c>
      <c r="D85" s="51">
        <f ca="1" t="array" ref="D85">INDEX([1]Data_DBD!$E:$E,$A85)</f>
        <v>0</v>
      </c>
      <c r="E85" s="51" t="str">
        <f ca="1" t="array" ref="E85">INDEX([1]Data_DBD!$F:$F,$A85)</f>
        <v>Tinggi</v>
      </c>
      <c r="H85" s="63">
        <v>40</v>
      </c>
      <c r="I85" s="63">
        <v>65</v>
      </c>
      <c r="J85" s="63">
        <v>3</v>
      </c>
      <c r="K85" s="63">
        <v>1</v>
      </c>
      <c r="L85" s="63" t="s">
        <v>8</v>
      </c>
    </row>
    <row r="86" spans="1:12">
      <c r="A86" s="51">
        <f ca="1" t="shared" si="2"/>
        <v>85</v>
      </c>
      <c r="B86" s="51">
        <f ca="1" t="array" ref="B86">INDEX([1]Data_DBD!$B:$B,$A86)</f>
        <v>27</v>
      </c>
      <c r="C86" s="51">
        <f ca="1" t="array" ref="C86">INDEX([1]Data_DBD!$C:$C,$A86)</f>
        <v>9</v>
      </c>
      <c r="D86" s="51">
        <f ca="1" t="array" ref="D86">INDEX([1]Data_DBD!$E:$E,$A86)</f>
        <v>0</v>
      </c>
      <c r="E86" s="51" t="str">
        <f ca="1" t="array" ref="E86">INDEX([1]Data_DBD!$F:$F,$A86)</f>
        <v>Sedang</v>
      </c>
      <c r="H86" s="63">
        <v>123</v>
      </c>
      <c r="I86" s="63">
        <v>22</v>
      </c>
      <c r="J86" s="63">
        <v>4</v>
      </c>
      <c r="K86" s="63">
        <v>0</v>
      </c>
      <c r="L86" s="63" t="s">
        <v>105</v>
      </c>
    </row>
    <row r="87" spans="1:12">
      <c r="A87" s="51">
        <f ca="1" t="shared" si="2"/>
        <v>92</v>
      </c>
      <c r="B87" s="51">
        <f ca="1" t="array" ref="B87">INDEX([1]Data_DBD!$B:$B,$A87)</f>
        <v>55</v>
      </c>
      <c r="C87" s="51">
        <f ca="1" t="array" ref="C87">INDEX([1]Data_DBD!$C:$C,$A87)</f>
        <v>7</v>
      </c>
      <c r="D87" s="51">
        <f ca="1" t="array" ref="D87">INDEX([1]Data_DBD!$E:$E,$A87)</f>
        <v>0</v>
      </c>
      <c r="E87" s="51" t="str">
        <f ca="1" t="array" ref="E87">INDEX([1]Data_DBD!$F:$F,$A87)</f>
        <v>Tinggi</v>
      </c>
      <c r="H87" s="63">
        <v>156</v>
      </c>
      <c r="I87" s="63">
        <v>5</v>
      </c>
      <c r="J87" s="63">
        <v>2</v>
      </c>
      <c r="K87" s="63">
        <v>0</v>
      </c>
      <c r="L87" s="63" t="s">
        <v>105</v>
      </c>
    </row>
    <row r="88" spans="1:12">
      <c r="A88" s="51">
        <f ca="1" t="shared" si="2"/>
        <v>51</v>
      </c>
      <c r="B88" s="51">
        <f ca="1" t="array" ref="B88">INDEX([1]Data_DBD!$B:$B,$A88)</f>
        <v>48</v>
      </c>
      <c r="C88" s="51">
        <f ca="1" t="array" ref="C88">INDEX([1]Data_DBD!$C:$C,$A88)</f>
        <v>4</v>
      </c>
      <c r="D88" s="51">
        <f ca="1" t="array" ref="D88">INDEX([1]Data_DBD!$E:$E,$A88)</f>
        <v>0</v>
      </c>
      <c r="E88" s="51" t="str">
        <f ca="1" t="array" ref="E88">INDEX([1]Data_DBD!$F:$F,$A88)</f>
        <v>Sedang</v>
      </c>
      <c r="H88" s="63">
        <v>112</v>
      </c>
      <c r="I88" s="63">
        <v>61</v>
      </c>
      <c r="J88" s="63">
        <v>3</v>
      </c>
      <c r="K88" s="63">
        <v>1</v>
      </c>
      <c r="L88" s="63" t="s">
        <v>105</v>
      </c>
    </row>
    <row r="89" spans="1:12">
      <c r="A89" s="51">
        <f ca="1" t="shared" si="2"/>
        <v>161</v>
      </c>
      <c r="B89" s="51">
        <f ca="1" t="array" ref="B89">INDEX([1]Data_DBD!$B:$B,$A89)</f>
        <v>12</v>
      </c>
      <c r="C89" s="51">
        <f ca="1" t="array" ref="C89">INDEX([1]Data_DBD!$C:$C,$A89)</f>
        <v>3</v>
      </c>
      <c r="D89" s="51">
        <f ca="1" t="array" ref="D89">INDEX([1]Data_DBD!$E:$E,$A89)</f>
        <v>1</v>
      </c>
      <c r="E89" s="51" t="str">
        <f ca="1" t="array" ref="E89">INDEX([1]Data_DBD!$F:$F,$A89)</f>
        <v>Tinggi</v>
      </c>
      <c r="H89" s="63">
        <v>98</v>
      </c>
      <c r="I89" s="63">
        <v>16</v>
      </c>
      <c r="J89" s="63">
        <v>2</v>
      </c>
      <c r="K89" s="63">
        <v>1</v>
      </c>
      <c r="L89" s="63" t="s">
        <v>105</v>
      </c>
    </row>
    <row r="90" spans="1:12">
      <c r="A90" s="51">
        <f ca="1" t="shared" si="2"/>
        <v>70</v>
      </c>
      <c r="B90" s="51">
        <f ca="1" t="array" ref="B90">INDEX([1]Data_DBD!$B:$B,$A90)</f>
        <v>26</v>
      </c>
      <c r="C90" s="51">
        <f ca="1" t="array" ref="C90">INDEX([1]Data_DBD!$C:$C,$A90)</f>
        <v>3</v>
      </c>
      <c r="D90" s="51">
        <f ca="1" t="array" ref="D90">INDEX([1]Data_DBD!$E:$E,$A90)</f>
        <v>1</v>
      </c>
      <c r="E90" s="51" t="str">
        <f ca="1" t="array" ref="E90">INDEX([1]Data_DBD!$F:$F,$A90)</f>
        <v>Sedang</v>
      </c>
      <c r="H90" s="63">
        <v>13</v>
      </c>
      <c r="I90" s="63">
        <v>47</v>
      </c>
      <c r="J90" s="63">
        <v>2</v>
      </c>
      <c r="K90" s="63">
        <v>0</v>
      </c>
      <c r="L90" s="63" t="s">
        <v>8</v>
      </c>
    </row>
    <row r="91" spans="1:12">
      <c r="A91" s="51">
        <f ca="1" t="shared" si="2"/>
        <v>68</v>
      </c>
      <c r="B91" s="51">
        <f ca="1" t="array" ref="B91">INDEX([1]Data_DBD!$B:$B,$A91)</f>
        <v>44</v>
      </c>
      <c r="C91" s="51">
        <f ca="1" t="array" ref="C91">INDEX([1]Data_DBD!$C:$C,$A91)</f>
        <v>5</v>
      </c>
      <c r="D91" s="51">
        <f ca="1" t="array" ref="D91">INDEX([1]Data_DBD!$E:$E,$A91)</f>
        <v>0</v>
      </c>
      <c r="E91" s="51" t="str">
        <f ca="1" t="array" ref="E91">INDEX([1]Data_DBD!$F:$F,$A91)</f>
        <v>Sedang</v>
      </c>
      <c r="H91" s="63">
        <v>106</v>
      </c>
      <c r="I91" s="63">
        <v>23</v>
      </c>
      <c r="J91" s="63">
        <v>3</v>
      </c>
      <c r="K91" s="63">
        <v>1</v>
      </c>
      <c r="L91" s="63" t="s">
        <v>105</v>
      </c>
    </row>
    <row r="92" spans="1:12">
      <c r="A92" s="51">
        <f ca="1" t="shared" si="2"/>
        <v>40</v>
      </c>
      <c r="B92" s="51">
        <f ca="1" t="array" ref="B92">INDEX([1]Data_DBD!$B:$B,$A92)</f>
        <v>65</v>
      </c>
      <c r="C92" s="51">
        <f ca="1" t="array" ref="C92">INDEX([1]Data_DBD!$C:$C,$A92)</f>
        <v>3</v>
      </c>
      <c r="D92" s="51">
        <f ca="1" t="array" ref="D92">INDEX([1]Data_DBD!$E:$E,$A92)</f>
        <v>1</v>
      </c>
      <c r="E92" s="51" t="str">
        <f ca="1" t="array" ref="E92">INDEX([1]Data_DBD!$F:$F,$A92)</f>
        <v>Sedang</v>
      </c>
      <c r="H92" s="63">
        <v>90</v>
      </c>
      <c r="I92" s="63">
        <v>47</v>
      </c>
      <c r="J92" s="63">
        <v>3</v>
      </c>
      <c r="K92" s="63">
        <v>0</v>
      </c>
      <c r="L92" s="63" t="s">
        <v>105</v>
      </c>
    </row>
    <row r="93" spans="1:12">
      <c r="A93" s="51">
        <f ca="1" t="shared" si="2"/>
        <v>48</v>
      </c>
      <c r="B93" s="51">
        <f ca="1" t="array" ref="B93">INDEX([1]Data_DBD!$B:$B,$A93)</f>
        <v>50</v>
      </c>
      <c r="C93" s="51">
        <f ca="1" t="array" ref="C93">INDEX([1]Data_DBD!$C:$C,$A93)</f>
        <v>5</v>
      </c>
      <c r="D93" s="51">
        <f ca="1" t="array" ref="D93">INDEX([1]Data_DBD!$E:$E,$A93)</f>
        <v>1</v>
      </c>
      <c r="E93" s="51" t="str">
        <f ca="1" t="array" ref="E93">INDEX([1]Data_DBD!$F:$F,$A93)</f>
        <v>Sedang</v>
      </c>
      <c r="H93" s="63">
        <v>108</v>
      </c>
      <c r="I93" s="63">
        <v>69</v>
      </c>
      <c r="J93" s="63">
        <v>7</v>
      </c>
      <c r="K93" s="63">
        <v>1</v>
      </c>
      <c r="L93" s="63" t="s">
        <v>105</v>
      </c>
    </row>
    <row r="94" spans="1:12">
      <c r="A94" s="51">
        <f ca="1" t="shared" si="2"/>
        <v>76</v>
      </c>
      <c r="B94" s="51">
        <f ca="1" t="array" ref="B94">INDEX([1]Data_DBD!$B:$B,$A94)</f>
        <v>70</v>
      </c>
      <c r="C94" s="51">
        <f ca="1" t="array" ref="C94">INDEX([1]Data_DBD!$C:$C,$A94)</f>
        <v>2</v>
      </c>
      <c r="D94" s="51">
        <f ca="1" t="array" ref="D94">INDEX([1]Data_DBD!$E:$E,$A94)</f>
        <v>0</v>
      </c>
      <c r="E94" s="51" t="str">
        <f ca="1" t="array" ref="E94">INDEX([1]Data_DBD!$F:$F,$A94)</f>
        <v>Sedang</v>
      </c>
      <c r="H94" s="63">
        <v>90</v>
      </c>
      <c r="I94" s="63">
        <v>47</v>
      </c>
      <c r="J94" s="63">
        <v>3</v>
      </c>
      <c r="K94" s="63">
        <v>0</v>
      </c>
      <c r="L94" s="63" t="s">
        <v>105</v>
      </c>
    </row>
    <row r="95" spans="1:12">
      <c r="A95" s="51">
        <f ca="1" t="shared" si="2"/>
        <v>44</v>
      </c>
      <c r="B95" s="51">
        <f ca="1" t="array" ref="B95">INDEX([1]Data_DBD!$B:$B,$A95)</f>
        <v>28</v>
      </c>
      <c r="C95" s="51">
        <f ca="1" t="array" ref="C95">INDEX([1]Data_DBD!$C:$C,$A95)</f>
        <v>5</v>
      </c>
      <c r="D95" s="51">
        <f ca="1" t="array" ref="D95">INDEX([1]Data_DBD!$E:$E,$A95)</f>
        <v>1</v>
      </c>
      <c r="E95" s="51" t="str">
        <f ca="1" t="array" ref="E95">INDEX([1]Data_DBD!$F:$F,$A95)</f>
        <v>Sedang</v>
      </c>
      <c r="H95" s="63">
        <v>37</v>
      </c>
      <c r="I95" s="63">
        <v>28</v>
      </c>
      <c r="J95" s="63">
        <v>4</v>
      </c>
      <c r="K95" s="63">
        <v>1</v>
      </c>
      <c r="L95" s="63" t="s">
        <v>26</v>
      </c>
    </row>
    <row r="96" spans="1:12">
      <c r="A96" s="51">
        <f ca="1" t="shared" si="2"/>
        <v>160</v>
      </c>
      <c r="B96" s="51">
        <f ca="1" t="array" ref="B96">INDEX([1]Data_DBD!$B:$B,$A96)</f>
        <v>16</v>
      </c>
      <c r="C96" s="51">
        <f ca="1" t="array" ref="C96">INDEX([1]Data_DBD!$C:$C,$A96)</f>
        <v>3</v>
      </c>
      <c r="D96" s="51">
        <f ca="1" t="array" ref="D96">INDEX([1]Data_DBD!$E:$E,$A96)</f>
        <v>0</v>
      </c>
      <c r="E96" s="51" t="str">
        <f ca="1" t="array" ref="E96">INDEX([1]Data_DBD!$F:$F,$A96)</f>
        <v>Tinggi</v>
      </c>
      <c r="H96" s="63">
        <v>64</v>
      </c>
      <c r="I96" s="63">
        <v>35</v>
      </c>
      <c r="J96" s="63">
        <v>1</v>
      </c>
      <c r="K96" s="63">
        <v>0</v>
      </c>
      <c r="L96" s="63" t="s">
        <v>8</v>
      </c>
    </row>
    <row r="97" spans="1:12">
      <c r="A97" s="51">
        <f ca="1" t="shared" si="2"/>
        <v>138</v>
      </c>
      <c r="B97" s="51">
        <f ca="1" t="array" ref="B97">INDEX([1]Data_DBD!$B:$B,$A97)</f>
        <v>13</v>
      </c>
      <c r="C97" s="51">
        <f ca="1" t="array" ref="C97">INDEX([1]Data_DBD!$C:$C,$A97)</f>
        <v>3</v>
      </c>
      <c r="D97" s="51">
        <f ca="1" t="array" ref="D97">INDEX([1]Data_DBD!$E:$E,$A97)</f>
        <v>1</v>
      </c>
      <c r="E97" s="51" t="str">
        <f ca="1" t="array" ref="E97">INDEX([1]Data_DBD!$F:$F,$A97)</f>
        <v>Tinggi</v>
      </c>
      <c r="H97" s="63">
        <v>9</v>
      </c>
      <c r="I97" s="63">
        <v>16</v>
      </c>
      <c r="J97" s="63">
        <v>6</v>
      </c>
      <c r="K97" s="63">
        <v>1</v>
      </c>
      <c r="L97" s="63" t="s">
        <v>8</v>
      </c>
    </row>
    <row r="98" spans="1:12">
      <c r="A98" s="51">
        <f ca="1" t="shared" ref="A98:A129" si="3">RANDBETWEEN(2,164)</f>
        <v>19</v>
      </c>
      <c r="B98" s="51">
        <f ca="1" t="array" ref="B98">INDEX([1]Data_DBD!$B:$B,$A98)</f>
        <v>8</v>
      </c>
      <c r="C98" s="51">
        <f ca="1" t="array" ref="C98">INDEX([1]Data_DBD!$C:$C,$A98)</f>
        <v>4</v>
      </c>
      <c r="D98" s="51">
        <f ca="1" t="array" ref="D98">INDEX([1]Data_DBD!$E:$E,$A98)</f>
        <v>0</v>
      </c>
      <c r="E98" s="51" t="str">
        <f ca="1" t="array" ref="E98">INDEX([1]Data_DBD!$F:$F,$A98)</f>
        <v>Rendah</v>
      </c>
      <c r="H98" s="63">
        <v>80</v>
      </c>
      <c r="I98" s="63">
        <v>27</v>
      </c>
      <c r="J98" s="63">
        <v>3</v>
      </c>
      <c r="K98" s="63">
        <v>1</v>
      </c>
      <c r="L98" s="63" t="s">
        <v>8</v>
      </c>
    </row>
    <row r="99" spans="1:12">
      <c r="A99" s="51">
        <f ca="1" t="shared" si="3"/>
        <v>162</v>
      </c>
      <c r="B99" s="51">
        <f ca="1" t="array" ref="B99">INDEX([1]Data_DBD!$B:$B,$A99)</f>
        <v>22</v>
      </c>
      <c r="C99" s="51">
        <f ca="1" t="array" ref="C99">INDEX([1]Data_DBD!$C:$C,$A99)</f>
        <v>3</v>
      </c>
      <c r="D99" s="51">
        <f ca="1" t="array" ref="D99">INDEX([1]Data_DBD!$E:$E,$A99)</f>
        <v>1</v>
      </c>
      <c r="E99" s="51" t="str">
        <f ca="1" t="array" ref="E99">INDEX([1]Data_DBD!$F:$F,$A99)</f>
        <v>Rendah</v>
      </c>
      <c r="H99" s="63">
        <v>101</v>
      </c>
      <c r="I99" s="63">
        <v>42</v>
      </c>
      <c r="J99" s="63">
        <v>5</v>
      </c>
      <c r="K99" s="63">
        <v>0</v>
      </c>
      <c r="L99" s="63" t="s">
        <v>105</v>
      </c>
    </row>
    <row r="100" spans="1:12">
      <c r="A100" s="51">
        <f ca="1" t="shared" si="3"/>
        <v>56</v>
      </c>
      <c r="B100" s="51">
        <f ca="1" t="array" ref="B100">INDEX([1]Data_DBD!$B:$B,$A100)</f>
        <v>4</v>
      </c>
      <c r="C100" s="51">
        <f ca="1" t="array" ref="C100">INDEX([1]Data_DBD!$C:$C,$A100)</f>
        <v>3</v>
      </c>
      <c r="D100" s="51">
        <f ca="1" t="array" ref="D100">INDEX([1]Data_DBD!$E:$E,$A100)</f>
        <v>0</v>
      </c>
      <c r="E100" s="51" t="str">
        <f ca="1" t="array" ref="E100">INDEX([1]Data_DBD!$F:$F,$A100)</f>
        <v>Sedang</v>
      </c>
      <c r="H100" s="63">
        <v>33</v>
      </c>
      <c r="I100" s="63">
        <v>19</v>
      </c>
      <c r="J100" s="63">
        <v>4</v>
      </c>
      <c r="K100" s="63">
        <v>1</v>
      </c>
      <c r="L100" s="63" t="s">
        <v>8</v>
      </c>
    </row>
    <row r="101" spans="1:12">
      <c r="A101" s="51">
        <f ca="1" t="shared" si="3"/>
        <v>131</v>
      </c>
      <c r="B101" s="51">
        <f ca="1" t="array" ref="B101">INDEX([1]Data_DBD!$B:$B,$A101)</f>
        <v>10</v>
      </c>
      <c r="C101" s="51">
        <f ca="1" t="array" ref="C101">INDEX([1]Data_DBD!$C:$C,$A101)</f>
        <v>2</v>
      </c>
      <c r="D101" s="51">
        <f ca="1" t="array" ref="D101">INDEX([1]Data_DBD!$E:$E,$A101)</f>
        <v>0</v>
      </c>
      <c r="E101" s="51" t="str">
        <f ca="1" t="array" ref="E101">INDEX([1]Data_DBD!$F:$F,$A101)</f>
        <v>Tinggi</v>
      </c>
      <c r="H101" s="63">
        <v>88</v>
      </c>
      <c r="I101" s="63">
        <v>20</v>
      </c>
      <c r="J101" s="63">
        <v>4</v>
      </c>
      <c r="K101" s="63">
        <v>1</v>
      </c>
      <c r="L101" s="63" t="s">
        <v>8</v>
      </c>
    </row>
    <row r="102" spans="1:12">
      <c r="A102" s="51">
        <f ca="1" t="shared" si="3"/>
        <v>24</v>
      </c>
      <c r="B102" s="51">
        <f ca="1" t="array" ref="B102">INDEX([1]Data_DBD!$B:$B,$A102)</f>
        <v>60</v>
      </c>
      <c r="C102" s="51">
        <f ca="1" t="array" ref="C102">INDEX([1]Data_DBD!$C:$C,$A102)</f>
        <v>4</v>
      </c>
      <c r="D102" s="51">
        <f ca="1" t="array" ref="D102">INDEX([1]Data_DBD!$E:$E,$A102)</f>
        <v>0</v>
      </c>
      <c r="E102" s="51" t="str">
        <f ca="1" t="array" ref="E102">INDEX([1]Data_DBD!$F:$F,$A102)</f>
        <v>Sedang</v>
      </c>
      <c r="H102" s="63">
        <v>25</v>
      </c>
      <c r="I102" s="63">
        <v>81</v>
      </c>
      <c r="J102" s="63">
        <v>5</v>
      </c>
      <c r="K102" s="63">
        <v>0</v>
      </c>
      <c r="L102" s="63" t="s">
        <v>8</v>
      </c>
    </row>
    <row r="103" spans="1:12">
      <c r="A103" s="51">
        <f ca="1" t="shared" si="3"/>
        <v>15</v>
      </c>
      <c r="B103" s="51">
        <f ca="1" t="array" ref="B103">INDEX([1]Data_DBD!$B:$B,$A103)</f>
        <v>21</v>
      </c>
      <c r="C103" s="51">
        <f ca="1" t="array" ref="C103">INDEX([1]Data_DBD!$C:$C,$A103)</f>
        <v>2</v>
      </c>
      <c r="D103" s="51">
        <f ca="1" t="array" ref="D103">INDEX([1]Data_DBD!$E:$E,$A103)</f>
        <v>0</v>
      </c>
      <c r="E103" s="51" t="str">
        <f ca="1" t="array" ref="E103">INDEX([1]Data_DBD!$F:$F,$A103)</f>
        <v>Rendah</v>
      </c>
      <c r="H103" s="63">
        <v>107</v>
      </c>
      <c r="I103" s="63">
        <v>48</v>
      </c>
      <c r="J103" s="63">
        <v>5</v>
      </c>
      <c r="K103" s="63">
        <v>0</v>
      </c>
      <c r="L103" s="63" t="s">
        <v>105</v>
      </c>
    </row>
    <row r="104" spans="1:12">
      <c r="A104" s="51">
        <f ca="1" t="shared" si="3"/>
        <v>116</v>
      </c>
      <c r="B104" s="51">
        <f ca="1" t="array" ref="B104">INDEX([1]Data_DBD!$B:$B,$A104)</f>
        <v>32</v>
      </c>
      <c r="C104" s="51">
        <f ca="1" t="array" ref="C104">INDEX([1]Data_DBD!$C:$C,$A104)</f>
        <v>4</v>
      </c>
      <c r="D104" s="51">
        <f ca="1" t="array" ref="D104">INDEX([1]Data_DBD!$E:$E,$A104)</f>
        <v>1</v>
      </c>
      <c r="E104" s="51" t="str">
        <f ca="1" t="array" ref="E104">INDEX([1]Data_DBD!$F:$F,$A104)</f>
        <v>Tinggi</v>
      </c>
      <c r="H104" s="63">
        <v>71</v>
      </c>
      <c r="I104" s="63">
        <v>84</v>
      </c>
      <c r="J104" s="63">
        <v>3</v>
      </c>
      <c r="K104" s="63">
        <v>0</v>
      </c>
      <c r="L104" s="63" t="s">
        <v>8</v>
      </c>
    </row>
    <row r="105" spans="1:12">
      <c r="A105" s="51">
        <f ca="1" t="shared" si="3"/>
        <v>141</v>
      </c>
      <c r="B105" s="51">
        <f ca="1" t="array" ref="B105">INDEX([1]Data_DBD!$B:$B,$A105)</f>
        <v>36</v>
      </c>
      <c r="C105" s="51">
        <f ca="1" t="array" ref="C105">INDEX([1]Data_DBD!$C:$C,$A105)</f>
        <v>2</v>
      </c>
      <c r="D105" s="51">
        <f ca="1" t="array" ref="D105">INDEX([1]Data_DBD!$E:$E,$A105)</f>
        <v>0</v>
      </c>
      <c r="E105" s="51" t="str">
        <f ca="1" t="array" ref="E105">INDEX([1]Data_DBD!$F:$F,$A105)</f>
        <v>Tinggi</v>
      </c>
      <c r="H105" s="63">
        <v>90</v>
      </c>
      <c r="I105" s="63">
        <v>47</v>
      </c>
      <c r="J105" s="63">
        <v>3</v>
      </c>
      <c r="K105" s="63">
        <v>0</v>
      </c>
      <c r="L105" s="63" t="s">
        <v>105</v>
      </c>
    </row>
    <row r="106" spans="1:12">
      <c r="A106" s="51">
        <f ca="1" t="shared" si="3"/>
        <v>119</v>
      </c>
      <c r="B106" s="51">
        <f ca="1" t="array" ref="B106">INDEX([1]Data_DBD!$B:$B,$A106)</f>
        <v>30</v>
      </c>
      <c r="C106" s="51">
        <f ca="1" t="array" ref="C106">INDEX([1]Data_DBD!$C:$C,$A106)</f>
        <v>7</v>
      </c>
      <c r="D106" s="51">
        <f ca="1" t="array" ref="D106">INDEX([1]Data_DBD!$E:$E,$A106)</f>
        <v>0</v>
      </c>
      <c r="E106" s="51" t="str">
        <f ca="1" t="array" ref="E106">INDEX([1]Data_DBD!$F:$F,$A106)</f>
        <v>Tinggi</v>
      </c>
      <c r="H106" s="63">
        <v>11</v>
      </c>
      <c r="I106" s="63">
        <v>24</v>
      </c>
      <c r="J106" s="63">
        <v>5</v>
      </c>
      <c r="K106" s="63">
        <v>1</v>
      </c>
      <c r="L106" s="63" t="s">
        <v>8</v>
      </c>
    </row>
    <row r="107" spans="1:12">
      <c r="A107" s="51">
        <f ca="1" t="shared" si="3"/>
        <v>153</v>
      </c>
      <c r="B107" s="51">
        <f ca="1" t="array" ref="B107">INDEX([1]Data_DBD!$B:$B,$A107)</f>
        <v>73</v>
      </c>
      <c r="C107" s="51">
        <f ca="1" t="array" ref="C107">INDEX([1]Data_DBD!$C:$C,$A107)</f>
        <v>7</v>
      </c>
      <c r="D107" s="51">
        <f ca="1" t="array" ref="D107">INDEX([1]Data_DBD!$E:$E,$A107)</f>
        <v>1</v>
      </c>
      <c r="E107" s="51" t="str">
        <f ca="1" t="array" ref="E107">INDEX([1]Data_DBD!$F:$F,$A107)</f>
        <v>Tinggi</v>
      </c>
      <c r="H107" s="63">
        <v>26</v>
      </c>
      <c r="I107" s="63">
        <v>75</v>
      </c>
      <c r="J107" s="63">
        <v>4</v>
      </c>
      <c r="K107" s="63">
        <v>1</v>
      </c>
      <c r="L107" s="63" t="s">
        <v>8</v>
      </c>
    </row>
    <row r="108" spans="1:12">
      <c r="A108" s="51">
        <f ca="1" t="shared" si="3"/>
        <v>106</v>
      </c>
      <c r="B108" s="51">
        <f ca="1" t="array" ref="B108">INDEX([1]Data_DBD!$B:$B,$A108)</f>
        <v>23</v>
      </c>
      <c r="C108" s="51">
        <f ca="1" t="array" ref="C108">INDEX([1]Data_DBD!$C:$C,$A108)</f>
        <v>3</v>
      </c>
      <c r="D108" s="51">
        <f ca="1" t="array" ref="D108">INDEX([1]Data_DBD!$E:$E,$A108)</f>
        <v>1</v>
      </c>
      <c r="E108" s="51" t="str">
        <f ca="1" t="array" ref="E108">INDEX([1]Data_DBD!$F:$F,$A108)</f>
        <v>Tinggi</v>
      </c>
      <c r="H108" s="63">
        <v>133</v>
      </c>
      <c r="I108" s="63">
        <v>6</v>
      </c>
      <c r="J108" s="63">
        <v>4</v>
      </c>
      <c r="K108" s="63">
        <v>0</v>
      </c>
      <c r="L108" s="63" t="s">
        <v>105</v>
      </c>
    </row>
    <row r="109" spans="1:12">
      <c r="A109" s="51">
        <f ca="1" t="shared" si="3"/>
        <v>30</v>
      </c>
      <c r="B109" s="51">
        <f ca="1" t="array" ref="B109">INDEX([1]Data_DBD!$B:$B,$A109)</f>
        <v>3</v>
      </c>
      <c r="C109" s="51">
        <f ca="1" t="array" ref="C109">INDEX([1]Data_DBD!$C:$C,$A109)</f>
        <v>2</v>
      </c>
      <c r="D109" s="51">
        <f ca="1" t="array" ref="D109">INDEX([1]Data_DBD!$E:$E,$A109)</f>
        <v>1</v>
      </c>
      <c r="E109" s="51" t="str">
        <f ca="1" t="array" ref="E109">INDEX([1]Data_DBD!$F:$F,$A109)</f>
        <v>Sedang</v>
      </c>
      <c r="H109" s="63">
        <v>26</v>
      </c>
      <c r="I109" s="63">
        <v>75</v>
      </c>
      <c r="J109" s="63">
        <v>4</v>
      </c>
      <c r="K109" s="63">
        <v>1</v>
      </c>
      <c r="L109" s="63" t="s">
        <v>8</v>
      </c>
    </row>
    <row r="110" spans="1:12">
      <c r="A110" s="51">
        <f ca="1" t="shared" si="3"/>
        <v>101</v>
      </c>
      <c r="B110" s="51">
        <f ca="1" t="array" ref="B110">INDEX([1]Data_DBD!$B:$B,$A110)</f>
        <v>42</v>
      </c>
      <c r="C110" s="51">
        <f ca="1" t="array" ref="C110">INDEX([1]Data_DBD!$C:$C,$A110)</f>
        <v>5</v>
      </c>
      <c r="D110" s="51">
        <f ca="1" t="array" ref="D110">INDEX([1]Data_DBD!$E:$E,$A110)</f>
        <v>0</v>
      </c>
      <c r="E110" s="51" t="str">
        <f ca="1" t="array" ref="E110">INDEX([1]Data_DBD!$F:$F,$A110)</f>
        <v>Tinggi</v>
      </c>
      <c r="H110" s="63">
        <v>116</v>
      </c>
      <c r="I110" s="63">
        <v>32</v>
      </c>
      <c r="J110" s="63">
        <v>4</v>
      </c>
      <c r="K110" s="63">
        <v>1</v>
      </c>
      <c r="L110" s="63" t="s">
        <v>105</v>
      </c>
    </row>
    <row r="111" spans="1:12">
      <c r="A111" s="51">
        <f ca="1" t="shared" si="3"/>
        <v>127</v>
      </c>
      <c r="B111" s="51">
        <f ca="1" t="array" ref="B111">INDEX([1]Data_DBD!$B:$B,$A111)</f>
        <v>21</v>
      </c>
      <c r="C111" s="51">
        <f ca="1" t="array" ref="C111">INDEX([1]Data_DBD!$C:$C,$A111)</f>
        <v>2</v>
      </c>
      <c r="D111" s="51">
        <f ca="1" t="array" ref="D111">INDEX([1]Data_DBD!$E:$E,$A111)</f>
        <v>0</v>
      </c>
      <c r="E111" s="51" t="str">
        <f ca="1" t="array" ref="E111">INDEX([1]Data_DBD!$F:$F,$A111)</f>
        <v>Tinggi</v>
      </c>
      <c r="H111" s="63">
        <v>162</v>
      </c>
      <c r="I111" s="63">
        <v>22</v>
      </c>
      <c r="J111" s="63">
        <v>3</v>
      </c>
      <c r="K111" s="63">
        <v>1</v>
      </c>
      <c r="L111" s="63" t="s">
        <v>26</v>
      </c>
    </row>
    <row r="112" spans="1:12">
      <c r="A112" s="51">
        <f ca="1" t="shared" si="3"/>
        <v>23</v>
      </c>
      <c r="B112" s="51">
        <f ca="1" t="array" ref="B112">INDEX([1]Data_DBD!$B:$B,$A112)</f>
        <v>28</v>
      </c>
      <c r="C112" s="51">
        <f ca="1" t="array" ref="C112">INDEX([1]Data_DBD!$C:$C,$A112)</f>
        <v>4</v>
      </c>
      <c r="D112" s="51">
        <f ca="1" t="array" ref="D112">INDEX([1]Data_DBD!$E:$E,$A112)</f>
        <v>1</v>
      </c>
      <c r="E112" s="51" t="str">
        <f ca="1" t="array" ref="E112">INDEX([1]Data_DBD!$F:$F,$A112)</f>
        <v>Sedang</v>
      </c>
      <c r="H112" s="63">
        <v>154</v>
      </c>
      <c r="I112" s="63">
        <v>18</v>
      </c>
      <c r="J112" s="63">
        <v>5</v>
      </c>
      <c r="K112" s="63">
        <v>1</v>
      </c>
      <c r="L112" s="63" t="s">
        <v>105</v>
      </c>
    </row>
    <row r="113" spans="1:12">
      <c r="A113" s="51">
        <f ca="1" t="shared" si="3"/>
        <v>100</v>
      </c>
      <c r="B113" s="51">
        <f ca="1" t="array" ref="B113">INDEX([1]Data_DBD!$B:$B,$A113)</f>
        <v>19</v>
      </c>
      <c r="C113" s="51">
        <f ca="1" t="array" ref="C113">INDEX([1]Data_DBD!$C:$C,$A113)</f>
        <v>6</v>
      </c>
      <c r="D113" s="51">
        <f ca="1" t="array" ref="D113">INDEX([1]Data_DBD!$E:$E,$A113)</f>
        <v>0</v>
      </c>
      <c r="E113" s="51" t="str">
        <f ca="1" t="array" ref="E113">INDEX([1]Data_DBD!$F:$F,$A113)</f>
        <v>Tinggi</v>
      </c>
      <c r="H113" s="63">
        <v>114</v>
      </c>
      <c r="I113" s="63">
        <v>14</v>
      </c>
      <c r="J113" s="63">
        <v>2</v>
      </c>
      <c r="K113" s="63">
        <v>1</v>
      </c>
      <c r="L113" s="63" t="s">
        <v>105</v>
      </c>
    </row>
    <row r="114" spans="1:12">
      <c r="A114" s="51">
        <f ca="1" t="shared" si="3"/>
        <v>104</v>
      </c>
      <c r="B114" s="51">
        <f ca="1" t="array" ref="B114">INDEX([1]Data_DBD!$B:$B,$A114)</f>
        <v>37</v>
      </c>
      <c r="C114" s="51">
        <f ca="1" t="array" ref="C114">INDEX([1]Data_DBD!$C:$C,$A114)</f>
        <v>4</v>
      </c>
      <c r="D114" s="51">
        <f ca="1" t="array" ref="D114">INDEX([1]Data_DBD!$E:$E,$A114)</f>
        <v>1</v>
      </c>
      <c r="E114" s="51" t="str">
        <f ca="1" t="array" ref="E114">INDEX([1]Data_DBD!$F:$F,$A114)</f>
        <v>Tinggi</v>
      </c>
      <c r="H114" s="63">
        <v>104</v>
      </c>
      <c r="I114" s="63">
        <v>37</v>
      </c>
      <c r="J114" s="63">
        <v>4</v>
      </c>
      <c r="K114" s="63">
        <v>1</v>
      </c>
      <c r="L114" s="63" t="s">
        <v>105</v>
      </c>
    </row>
    <row r="115" spans="1:12">
      <c r="A115" s="51">
        <f ca="1" t="shared" si="3"/>
        <v>56</v>
      </c>
      <c r="B115" s="51">
        <f ca="1" t="array" ref="B115">INDEX([1]Data_DBD!$B:$B,$A115)</f>
        <v>4</v>
      </c>
      <c r="C115" s="51">
        <f ca="1" t="array" ref="C115">INDEX([1]Data_DBD!$C:$C,$A115)</f>
        <v>3</v>
      </c>
      <c r="D115" s="51">
        <f ca="1" t="array" ref="D115">INDEX([1]Data_DBD!$E:$E,$A115)</f>
        <v>0</v>
      </c>
      <c r="E115" s="51" t="str">
        <f ca="1" t="array" ref="E115">INDEX([1]Data_DBD!$F:$F,$A115)</f>
        <v>Sedang</v>
      </c>
      <c r="H115" s="63">
        <v>24</v>
      </c>
      <c r="I115" s="63">
        <v>60</v>
      </c>
      <c r="J115" s="63">
        <v>4</v>
      </c>
      <c r="K115" s="63">
        <v>0</v>
      </c>
      <c r="L115" s="63" t="s">
        <v>8</v>
      </c>
    </row>
    <row r="116" spans="1:12">
      <c r="A116" s="51">
        <f ca="1" t="shared" si="3"/>
        <v>63</v>
      </c>
      <c r="B116" s="51">
        <f ca="1" t="array" ref="B116">INDEX([1]Data_DBD!$B:$B,$A116)</f>
        <v>25</v>
      </c>
      <c r="C116" s="51">
        <f ca="1" t="array" ref="C116">INDEX([1]Data_DBD!$C:$C,$A116)</f>
        <v>3</v>
      </c>
      <c r="D116" s="51">
        <f ca="1" t="array" ref="D116">INDEX([1]Data_DBD!$E:$E,$A116)</f>
        <v>0</v>
      </c>
      <c r="E116" s="51" t="str">
        <f ca="1" t="array" ref="E116">INDEX([1]Data_DBD!$F:$F,$A116)</f>
        <v>Sedang</v>
      </c>
      <c r="H116" s="63">
        <v>116</v>
      </c>
      <c r="I116" s="63">
        <v>32</v>
      </c>
      <c r="J116" s="63">
        <v>4</v>
      </c>
      <c r="K116" s="63">
        <v>1</v>
      </c>
      <c r="L116" s="63" t="s">
        <v>105</v>
      </c>
    </row>
    <row r="117" spans="1:12">
      <c r="A117" s="51">
        <f ca="1" t="shared" si="3"/>
        <v>46</v>
      </c>
      <c r="B117" s="51">
        <f ca="1" t="array" ref="B117">INDEX([1]Data_DBD!$B:$B,$A117)</f>
        <v>62</v>
      </c>
      <c r="C117" s="51">
        <f ca="1" t="array" ref="C117">INDEX([1]Data_DBD!$C:$C,$A117)</f>
        <v>2</v>
      </c>
      <c r="D117" s="51">
        <f ca="1" t="array" ref="D117">INDEX([1]Data_DBD!$E:$E,$A117)</f>
        <v>0</v>
      </c>
      <c r="E117" s="51" t="str">
        <f ca="1" t="array" ref="E117">INDEX([1]Data_DBD!$F:$F,$A117)</f>
        <v>Sedang</v>
      </c>
      <c r="H117" s="63">
        <v>99</v>
      </c>
      <c r="I117" s="63">
        <v>4</v>
      </c>
      <c r="J117" s="63">
        <v>2</v>
      </c>
      <c r="K117" s="63">
        <v>1</v>
      </c>
      <c r="L117" s="63" t="s">
        <v>105</v>
      </c>
    </row>
    <row r="118" spans="1:12">
      <c r="A118" s="51">
        <f ca="1" t="shared" si="3"/>
        <v>119</v>
      </c>
      <c r="B118" s="51">
        <f ca="1" t="array" ref="B118">INDEX([1]Data_DBD!$B:$B,$A118)</f>
        <v>30</v>
      </c>
      <c r="C118" s="51">
        <f ca="1" t="array" ref="C118">INDEX([1]Data_DBD!$C:$C,$A118)</f>
        <v>7</v>
      </c>
      <c r="D118" s="51">
        <f ca="1" t="array" ref="D118">INDEX([1]Data_DBD!$E:$E,$A118)</f>
        <v>0</v>
      </c>
      <c r="E118" s="51" t="str">
        <f ca="1" t="array" ref="E118">INDEX([1]Data_DBD!$F:$F,$A118)</f>
        <v>Tinggi</v>
      </c>
      <c r="H118" s="63">
        <v>128</v>
      </c>
      <c r="I118" s="63">
        <v>38</v>
      </c>
      <c r="J118" s="63">
        <v>2</v>
      </c>
      <c r="K118" s="63">
        <v>0</v>
      </c>
      <c r="L118" s="63" t="s">
        <v>105</v>
      </c>
    </row>
    <row r="119" spans="1:12">
      <c r="A119" s="51">
        <f ca="1" t="shared" si="3"/>
        <v>119</v>
      </c>
      <c r="B119" s="51">
        <f ca="1" t="array" ref="B119">INDEX([1]Data_DBD!$B:$B,$A119)</f>
        <v>30</v>
      </c>
      <c r="C119" s="51">
        <f ca="1" t="array" ref="C119">INDEX([1]Data_DBD!$C:$C,$A119)</f>
        <v>7</v>
      </c>
      <c r="D119" s="51">
        <f ca="1" t="array" ref="D119">INDEX([1]Data_DBD!$E:$E,$A119)</f>
        <v>0</v>
      </c>
      <c r="E119" s="51" t="str">
        <f ca="1" t="array" ref="E119">INDEX([1]Data_DBD!$F:$F,$A119)</f>
        <v>Tinggi</v>
      </c>
      <c r="H119" s="63">
        <v>8</v>
      </c>
      <c r="I119" s="63">
        <v>4</v>
      </c>
      <c r="J119" s="63">
        <v>2</v>
      </c>
      <c r="K119" s="63">
        <v>0</v>
      </c>
      <c r="L119" s="63" t="s">
        <v>8</v>
      </c>
    </row>
    <row r="120" spans="1:12">
      <c r="A120" s="51">
        <f ca="1" t="shared" si="3"/>
        <v>3</v>
      </c>
      <c r="B120" s="51">
        <f ca="1" t="array" ref="B120">INDEX([1]Data_DBD!$B:$B,$A120)</f>
        <v>43</v>
      </c>
      <c r="C120" s="51">
        <f ca="1" t="array" ref="C120">INDEX([1]Data_DBD!$C:$C,$A120)</f>
        <v>3</v>
      </c>
      <c r="D120" s="51">
        <f ca="1" t="array" ref="D120">INDEX([1]Data_DBD!$E:$E,$A120)</f>
        <v>1</v>
      </c>
      <c r="E120" s="51" t="str">
        <f ca="1" t="array" ref="E120">INDEX([1]Data_DBD!$F:$F,$A120)</f>
        <v>Sedang</v>
      </c>
      <c r="H120" s="63">
        <v>103</v>
      </c>
      <c r="I120" s="63">
        <v>22</v>
      </c>
      <c r="J120" s="63">
        <v>5</v>
      </c>
      <c r="K120" s="63">
        <v>0</v>
      </c>
      <c r="L120" s="63" t="s">
        <v>105</v>
      </c>
    </row>
    <row r="121" spans="1:12">
      <c r="A121" s="51">
        <f ca="1" t="shared" si="3"/>
        <v>57</v>
      </c>
      <c r="B121" s="51">
        <f ca="1" t="array" ref="B121">INDEX([1]Data_DBD!$B:$B,$A121)</f>
        <v>2</v>
      </c>
      <c r="C121" s="51">
        <f ca="1" t="array" ref="C121">INDEX([1]Data_DBD!$C:$C,$A121)</f>
        <v>2</v>
      </c>
      <c r="D121" s="51">
        <f ca="1" t="array" ref="D121">INDEX([1]Data_DBD!$E:$E,$A121)</f>
        <v>1</v>
      </c>
      <c r="E121" s="51" t="str">
        <f ca="1" t="array" ref="E121">INDEX([1]Data_DBD!$F:$F,$A121)</f>
        <v>Sedang</v>
      </c>
      <c r="H121" s="63">
        <v>126</v>
      </c>
      <c r="I121" s="63">
        <v>51</v>
      </c>
      <c r="J121" s="63">
        <v>3</v>
      </c>
      <c r="K121" s="63">
        <v>1</v>
      </c>
      <c r="L121" s="63" t="s">
        <v>105</v>
      </c>
    </row>
    <row r="122" spans="1:12">
      <c r="A122" s="51">
        <f ca="1" t="shared" si="3"/>
        <v>11</v>
      </c>
      <c r="B122" s="51">
        <f ca="1" t="array" ref="B122">INDEX([1]Data_DBD!$B:$B,$A122)</f>
        <v>24</v>
      </c>
      <c r="C122" s="51">
        <f ca="1" t="array" ref="C122">INDEX([1]Data_DBD!$C:$C,$A122)</f>
        <v>5</v>
      </c>
      <c r="D122" s="51">
        <f ca="1" t="array" ref="D122">INDEX([1]Data_DBD!$E:$E,$A122)</f>
        <v>1</v>
      </c>
      <c r="E122" s="51" t="str">
        <f ca="1" t="array" ref="E122">INDEX([1]Data_DBD!$F:$F,$A122)</f>
        <v>Sedang</v>
      </c>
      <c r="H122" s="63">
        <v>48</v>
      </c>
      <c r="I122" s="63">
        <v>50</v>
      </c>
      <c r="J122" s="63">
        <v>5</v>
      </c>
      <c r="K122" s="63">
        <v>1</v>
      </c>
      <c r="L122" s="63" t="s">
        <v>8</v>
      </c>
    </row>
    <row r="123" spans="1:12">
      <c r="A123" s="51">
        <f ca="1" t="shared" si="3"/>
        <v>150</v>
      </c>
      <c r="B123" s="51">
        <f ca="1" t="array" ref="B123">INDEX([1]Data_DBD!$B:$B,$A123)</f>
        <v>61</v>
      </c>
      <c r="C123" s="51">
        <f ca="1" t="array" ref="C123">INDEX([1]Data_DBD!$C:$C,$A123)</f>
        <v>5</v>
      </c>
      <c r="D123" s="51">
        <f ca="1" t="array" ref="D123">INDEX([1]Data_DBD!$E:$E,$A123)</f>
        <v>1</v>
      </c>
      <c r="E123" s="51" t="str">
        <f ca="1" t="array" ref="E123">INDEX([1]Data_DBD!$F:$F,$A123)</f>
        <v>Tinggi</v>
      </c>
      <c r="H123" s="63">
        <v>35</v>
      </c>
      <c r="I123" s="63">
        <v>40</v>
      </c>
      <c r="J123" s="63">
        <v>3</v>
      </c>
      <c r="K123" s="63">
        <v>1</v>
      </c>
      <c r="L123" s="63" t="s">
        <v>26</v>
      </c>
    </row>
    <row r="124" spans="1:12">
      <c r="A124" s="51">
        <f ca="1" t="shared" si="3"/>
        <v>32</v>
      </c>
      <c r="B124" s="51">
        <f ca="1" t="array" ref="B124">INDEX([1]Data_DBD!$B:$B,$A124)</f>
        <v>54</v>
      </c>
      <c r="C124" s="51">
        <f ca="1" t="array" ref="C124">INDEX([1]Data_DBD!$C:$C,$A124)</f>
        <v>4</v>
      </c>
      <c r="D124" s="51">
        <f ca="1" t="array" ref="D124">INDEX([1]Data_DBD!$E:$E,$A124)</f>
        <v>0</v>
      </c>
      <c r="E124" s="51" t="str">
        <f ca="1" t="array" ref="E124">INDEX([1]Data_DBD!$F:$F,$A124)</f>
        <v>Sedang</v>
      </c>
      <c r="H124" s="63">
        <v>20</v>
      </c>
      <c r="I124" s="63">
        <v>15</v>
      </c>
      <c r="J124" s="63">
        <v>5</v>
      </c>
      <c r="K124" s="63">
        <v>0</v>
      </c>
      <c r="L124" s="63" t="s">
        <v>26</v>
      </c>
    </row>
    <row r="125" spans="1:12">
      <c r="A125" s="51">
        <f ca="1" t="shared" si="3"/>
        <v>75</v>
      </c>
      <c r="B125" s="51">
        <f ca="1" t="array" ref="B125">INDEX([1]Data_DBD!$B:$B,$A125)</f>
        <v>2</v>
      </c>
      <c r="C125" s="51">
        <f ca="1" t="array" ref="C125">INDEX([1]Data_DBD!$C:$C,$A125)</f>
        <v>2</v>
      </c>
      <c r="D125" s="51">
        <f ca="1" t="array" ref="D125">INDEX([1]Data_DBD!$E:$E,$A125)</f>
        <v>1</v>
      </c>
      <c r="E125" s="51" t="str">
        <f ca="1" t="array" ref="E125">INDEX([1]Data_DBD!$F:$F,$A125)</f>
        <v>Sedang</v>
      </c>
      <c r="H125" s="63">
        <v>25</v>
      </c>
      <c r="I125" s="63">
        <v>81</v>
      </c>
      <c r="J125" s="63">
        <v>5</v>
      </c>
      <c r="K125" s="63">
        <v>0</v>
      </c>
      <c r="L125" s="63" t="s">
        <v>8</v>
      </c>
    </row>
    <row r="126" spans="1:12">
      <c r="A126" s="51">
        <f ca="1" t="shared" si="3"/>
        <v>48</v>
      </c>
      <c r="B126" s="51">
        <f ca="1" t="array" ref="B126">INDEX([1]Data_DBD!$B:$B,$A126)</f>
        <v>50</v>
      </c>
      <c r="C126" s="51">
        <f ca="1" t="array" ref="C126">INDEX([1]Data_DBD!$C:$C,$A126)</f>
        <v>5</v>
      </c>
      <c r="D126" s="51">
        <f ca="1" t="array" ref="D126">INDEX([1]Data_DBD!$E:$E,$A126)</f>
        <v>1</v>
      </c>
      <c r="E126" s="51" t="str">
        <f ca="1" t="array" ref="E126">INDEX([1]Data_DBD!$F:$F,$A126)</f>
        <v>Sedang</v>
      </c>
      <c r="H126" s="63">
        <v>109</v>
      </c>
      <c r="I126" s="63">
        <v>40</v>
      </c>
      <c r="J126" s="63">
        <v>3</v>
      </c>
      <c r="K126" s="63">
        <v>1</v>
      </c>
      <c r="L126" s="63" t="s">
        <v>105</v>
      </c>
    </row>
    <row r="127" spans="1:12">
      <c r="A127" s="51">
        <f ca="1" t="shared" si="3"/>
        <v>44</v>
      </c>
      <c r="B127" s="51">
        <f ca="1" t="array" ref="B127">INDEX([1]Data_DBD!$B:$B,$A127)</f>
        <v>28</v>
      </c>
      <c r="C127" s="51">
        <f ca="1" t="array" ref="C127">INDEX([1]Data_DBD!$C:$C,$A127)</f>
        <v>5</v>
      </c>
      <c r="D127" s="51">
        <f ca="1" t="array" ref="D127">INDEX([1]Data_DBD!$E:$E,$A127)</f>
        <v>1</v>
      </c>
      <c r="E127" s="51" t="str">
        <f ca="1" t="array" ref="E127">INDEX([1]Data_DBD!$F:$F,$A127)</f>
        <v>Sedang</v>
      </c>
      <c r="H127" s="63">
        <v>63</v>
      </c>
      <c r="I127" s="63">
        <v>25</v>
      </c>
      <c r="J127" s="63">
        <v>3</v>
      </c>
      <c r="K127" s="63">
        <v>0</v>
      </c>
      <c r="L127" s="63" t="s">
        <v>8</v>
      </c>
    </row>
    <row r="128" spans="1:12">
      <c r="A128" s="51">
        <f ca="1" t="shared" si="3"/>
        <v>17</v>
      </c>
      <c r="B128" s="51">
        <f ca="1" t="array" ref="B128">INDEX([1]Data_DBD!$B:$B,$A128)</f>
        <v>2</v>
      </c>
      <c r="C128" s="51">
        <f ca="1" t="array" ref="C128">INDEX([1]Data_DBD!$C:$C,$A128)</f>
        <v>3</v>
      </c>
      <c r="D128" s="51">
        <f ca="1" t="array" ref="D128">INDEX([1]Data_DBD!$E:$E,$A128)</f>
        <v>0</v>
      </c>
      <c r="E128" s="51" t="str">
        <f ca="1" t="array" ref="E128">INDEX([1]Data_DBD!$F:$F,$A128)</f>
        <v>Rendah</v>
      </c>
      <c r="H128" s="63">
        <v>74</v>
      </c>
      <c r="I128" s="63">
        <v>9</v>
      </c>
      <c r="J128" s="63">
        <v>4</v>
      </c>
      <c r="K128" s="63">
        <v>0</v>
      </c>
      <c r="L128" s="63" t="s">
        <v>8</v>
      </c>
    </row>
    <row r="129" spans="1:12">
      <c r="A129" s="51">
        <f ca="1" t="shared" si="3"/>
        <v>119</v>
      </c>
      <c r="B129" s="51">
        <f ca="1" t="array" ref="B129">INDEX([1]Data_DBD!$B:$B,$A129)</f>
        <v>30</v>
      </c>
      <c r="C129" s="51">
        <f ca="1" t="array" ref="C129">INDEX([1]Data_DBD!$C:$C,$A129)</f>
        <v>7</v>
      </c>
      <c r="D129" s="51">
        <f ca="1" t="array" ref="D129">INDEX([1]Data_DBD!$E:$E,$A129)</f>
        <v>0</v>
      </c>
      <c r="E129" s="51" t="str">
        <f ca="1" t="array" ref="E129">INDEX([1]Data_DBD!$F:$F,$A129)</f>
        <v>Tinggi</v>
      </c>
      <c r="H129" s="63">
        <v>132</v>
      </c>
      <c r="I129" s="63">
        <v>10</v>
      </c>
      <c r="J129" s="63">
        <v>3</v>
      </c>
      <c r="K129" s="63">
        <v>1</v>
      </c>
      <c r="L129" s="63" t="s">
        <v>105</v>
      </c>
    </row>
    <row r="130" spans="1:12">
      <c r="A130" s="51">
        <f ca="1" t="shared" ref="A130:A164" si="4">RANDBETWEEN(2,164)</f>
        <v>147</v>
      </c>
      <c r="B130" s="51">
        <f ca="1" t="array" ref="B130">INDEX([1]Data_DBD!$B:$B,$A130)</f>
        <v>66</v>
      </c>
      <c r="C130" s="51">
        <f ca="1" t="array" ref="C130">INDEX([1]Data_DBD!$C:$C,$A130)</f>
        <v>10</v>
      </c>
      <c r="D130" s="51">
        <f ca="1" t="array" ref="D130">INDEX([1]Data_DBD!$E:$E,$A130)</f>
        <v>1</v>
      </c>
      <c r="E130" s="51" t="str">
        <f ca="1" t="array" ref="E130">INDEX([1]Data_DBD!$F:$F,$A130)</f>
        <v>Tinggi</v>
      </c>
      <c r="H130" s="63">
        <v>14</v>
      </c>
      <c r="I130" s="63">
        <v>49</v>
      </c>
      <c r="J130" s="63">
        <v>4</v>
      </c>
      <c r="K130" s="63">
        <v>1</v>
      </c>
      <c r="L130" s="63" t="s">
        <v>26</v>
      </c>
    </row>
    <row r="131" spans="1:12">
      <c r="A131" s="51">
        <f ca="1" t="shared" si="4"/>
        <v>23</v>
      </c>
      <c r="B131" s="51">
        <f ca="1" t="array" ref="B131">INDEX([1]Data_DBD!$B:$B,$A131)</f>
        <v>28</v>
      </c>
      <c r="C131" s="51">
        <f ca="1" t="array" ref="C131">INDEX([1]Data_DBD!$C:$C,$A131)</f>
        <v>4</v>
      </c>
      <c r="D131" s="51">
        <f ca="1" t="array" ref="D131">INDEX([1]Data_DBD!$E:$E,$A131)</f>
        <v>1</v>
      </c>
      <c r="E131" s="51" t="str">
        <f ca="1" t="array" ref="E131">INDEX([1]Data_DBD!$F:$F,$A131)</f>
        <v>Sedang</v>
      </c>
      <c r="H131" s="63">
        <v>60</v>
      </c>
      <c r="I131" s="63">
        <v>68</v>
      </c>
      <c r="J131" s="63">
        <v>4</v>
      </c>
      <c r="K131" s="63">
        <v>0</v>
      </c>
      <c r="L131" s="63" t="s">
        <v>8</v>
      </c>
    </row>
    <row r="132" spans="1:12">
      <c r="A132" s="51">
        <f ca="1" t="shared" si="4"/>
        <v>131</v>
      </c>
      <c r="B132" s="51">
        <f ca="1" t="array" ref="B132">INDEX([1]Data_DBD!$B:$B,$A132)</f>
        <v>10</v>
      </c>
      <c r="C132" s="51">
        <f ca="1" t="array" ref="C132">INDEX([1]Data_DBD!$C:$C,$A132)</f>
        <v>2</v>
      </c>
      <c r="D132" s="51">
        <f ca="1" t="array" ref="D132">INDEX([1]Data_DBD!$E:$E,$A132)</f>
        <v>0</v>
      </c>
      <c r="E132" s="51" t="str">
        <f ca="1" t="array" ref="E132">INDEX([1]Data_DBD!$F:$F,$A132)</f>
        <v>Tinggi</v>
      </c>
      <c r="H132" s="63">
        <v>82</v>
      </c>
      <c r="I132" s="63">
        <v>28</v>
      </c>
      <c r="J132" s="63">
        <v>3</v>
      </c>
      <c r="K132" s="63">
        <v>1</v>
      </c>
      <c r="L132" s="63" t="s">
        <v>8</v>
      </c>
    </row>
    <row r="133" spans="1:12">
      <c r="A133" s="51">
        <f ca="1" t="shared" si="4"/>
        <v>131</v>
      </c>
      <c r="B133" s="51">
        <f ca="1" t="array" ref="B133">INDEX([1]Data_DBD!$B:$B,$A133)</f>
        <v>10</v>
      </c>
      <c r="C133" s="51">
        <f ca="1" t="array" ref="C133">INDEX([1]Data_DBD!$C:$C,$A133)</f>
        <v>2</v>
      </c>
      <c r="D133" s="51">
        <f ca="1" t="array" ref="D133">INDEX([1]Data_DBD!$E:$E,$A133)</f>
        <v>0</v>
      </c>
      <c r="E133" s="51" t="str">
        <f ca="1" t="array" ref="E133">INDEX([1]Data_DBD!$F:$F,$A133)</f>
        <v>Tinggi</v>
      </c>
      <c r="H133" s="63">
        <v>107</v>
      </c>
      <c r="I133" s="63">
        <v>48</v>
      </c>
      <c r="J133" s="63">
        <v>5</v>
      </c>
      <c r="K133" s="63">
        <v>0</v>
      </c>
      <c r="L133" s="63" t="s">
        <v>105</v>
      </c>
    </row>
    <row r="134" spans="1:12">
      <c r="A134" s="51">
        <f ca="1" t="shared" si="4"/>
        <v>33</v>
      </c>
      <c r="B134" s="51">
        <f ca="1" t="array" ref="B134">INDEX([1]Data_DBD!$B:$B,$A134)</f>
        <v>19</v>
      </c>
      <c r="C134" s="51">
        <f ca="1" t="array" ref="C134">INDEX([1]Data_DBD!$C:$C,$A134)</f>
        <v>4</v>
      </c>
      <c r="D134" s="51">
        <f ca="1" t="array" ref="D134">INDEX([1]Data_DBD!$E:$E,$A134)</f>
        <v>1</v>
      </c>
      <c r="E134" s="51" t="str">
        <f ca="1" t="array" ref="E134">INDEX([1]Data_DBD!$F:$F,$A134)</f>
        <v>Sedang</v>
      </c>
      <c r="H134" s="63">
        <v>154</v>
      </c>
      <c r="I134" s="63">
        <v>18</v>
      </c>
      <c r="J134" s="63">
        <v>5</v>
      </c>
      <c r="K134" s="63">
        <v>1</v>
      </c>
      <c r="L134" s="63" t="s">
        <v>105</v>
      </c>
    </row>
    <row r="135" spans="1:12">
      <c r="A135" s="51">
        <f ca="1" t="shared" si="4"/>
        <v>63</v>
      </c>
      <c r="B135" s="51">
        <f ca="1" t="array" ref="B135">INDEX([1]Data_DBD!$B:$B,$A135)</f>
        <v>25</v>
      </c>
      <c r="C135" s="51">
        <f ca="1" t="array" ref="C135">INDEX([1]Data_DBD!$C:$C,$A135)</f>
        <v>3</v>
      </c>
      <c r="D135" s="51">
        <f ca="1" t="array" ref="D135">INDEX([1]Data_DBD!$E:$E,$A135)</f>
        <v>0</v>
      </c>
      <c r="E135" s="51" t="str">
        <f ca="1" t="array" ref="E135">INDEX([1]Data_DBD!$F:$F,$A135)</f>
        <v>Sedang</v>
      </c>
      <c r="H135" s="63">
        <v>103</v>
      </c>
      <c r="I135" s="63">
        <v>22</v>
      </c>
      <c r="J135" s="63">
        <v>5</v>
      </c>
      <c r="K135" s="63">
        <v>0</v>
      </c>
      <c r="L135" s="63" t="s">
        <v>105</v>
      </c>
    </row>
    <row r="136" spans="1:12">
      <c r="A136" s="51">
        <f ca="1" t="shared" si="4"/>
        <v>99</v>
      </c>
      <c r="B136" s="51">
        <f ca="1" t="array" ref="B136">INDEX([1]Data_DBD!$B:$B,$A136)</f>
        <v>4</v>
      </c>
      <c r="C136" s="51">
        <f ca="1" t="array" ref="C136">INDEX([1]Data_DBD!$C:$C,$A136)</f>
        <v>2</v>
      </c>
      <c r="D136" s="51">
        <f ca="1" t="array" ref="D136">INDEX([1]Data_DBD!$E:$E,$A136)</f>
        <v>1</v>
      </c>
      <c r="E136" s="51" t="str">
        <f ca="1" t="array" ref="E136">INDEX([1]Data_DBD!$F:$F,$A136)</f>
        <v>Tinggi</v>
      </c>
      <c r="H136" s="63">
        <v>143</v>
      </c>
      <c r="I136" s="63">
        <v>20</v>
      </c>
      <c r="J136" s="63">
        <v>4</v>
      </c>
      <c r="K136" s="63">
        <v>1</v>
      </c>
      <c r="L136" s="63" t="s">
        <v>105</v>
      </c>
    </row>
    <row r="137" spans="1:12">
      <c r="A137" s="51">
        <f ca="1" t="shared" si="4"/>
        <v>3</v>
      </c>
      <c r="B137" s="51">
        <f ca="1" t="array" ref="B137">INDEX([1]Data_DBD!$B:$B,$A137)</f>
        <v>43</v>
      </c>
      <c r="C137" s="51">
        <f ca="1" t="array" ref="C137">INDEX([1]Data_DBD!$C:$C,$A137)</f>
        <v>3</v>
      </c>
      <c r="D137" s="51">
        <f ca="1" t="array" ref="D137">INDEX([1]Data_DBD!$E:$E,$A137)</f>
        <v>1</v>
      </c>
      <c r="E137" s="51" t="str">
        <f ca="1" t="array" ref="E137">INDEX([1]Data_DBD!$F:$F,$A137)</f>
        <v>Sedang</v>
      </c>
      <c r="H137" s="63">
        <v>40</v>
      </c>
      <c r="I137" s="63">
        <v>65</v>
      </c>
      <c r="J137" s="63">
        <v>3</v>
      </c>
      <c r="K137" s="63">
        <v>1</v>
      </c>
      <c r="L137" s="63" t="s">
        <v>8</v>
      </c>
    </row>
    <row r="138" spans="1:12">
      <c r="A138" s="51">
        <f ca="1" t="shared" si="4"/>
        <v>33</v>
      </c>
      <c r="B138" s="51">
        <f ca="1" t="array" ref="B138">INDEX([1]Data_DBD!$B:$B,$A138)</f>
        <v>19</v>
      </c>
      <c r="C138" s="51">
        <f ca="1" t="array" ref="C138">INDEX([1]Data_DBD!$C:$C,$A138)</f>
        <v>4</v>
      </c>
      <c r="D138" s="51">
        <f ca="1" t="array" ref="D138">INDEX([1]Data_DBD!$E:$E,$A138)</f>
        <v>1</v>
      </c>
      <c r="E138" s="51" t="str">
        <f ca="1" t="array" ref="E138">INDEX([1]Data_DBD!$F:$F,$A138)</f>
        <v>Sedang</v>
      </c>
      <c r="H138" s="63">
        <v>21</v>
      </c>
      <c r="I138" s="63">
        <v>10</v>
      </c>
      <c r="J138" s="63">
        <v>5</v>
      </c>
      <c r="K138" s="63">
        <v>1</v>
      </c>
      <c r="L138" s="63" t="s">
        <v>8</v>
      </c>
    </row>
    <row r="139" ht="15.75" spans="1:23">
      <c r="A139" s="51">
        <f ca="1" t="shared" si="4"/>
        <v>98</v>
      </c>
      <c r="B139" s="51">
        <f ca="1" t="array" ref="B139">INDEX([1]Data_DBD!$B:$B,$A139)</f>
        <v>16</v>
      </c>
      <c r="C139" s="51">
        <f ca="1" t="array" ref="C139">INDEX([1]Data_DBD!$C:$C,$A139)</f>
        <v>2</v>
      </c>
      <c r="D139" s="51">
        <f ca="1" t="array" ref="D139">INDEX([1]Data_DBD!$E:$E,$A139)</f>
        <v>1</v>
      </c>
      <c r="E139" s="51" t="str">
        <f ca="1" t="array" ref="E139">INDEX([1]Data_DBD!$F:$F,$A139)</f>
        <v>Tinggi</v>
      </c>
      <c r="H139" s="63">
        <v>95</v>
      </c>
      <c r="I139" s="63">
        <v>11</v>
      </c>
      <c r="J139" s="63">
        <v>3</v>
      </c>
      <c r="K139" s="63">
        <v>1</v>
      </c>
      <c r="L139" s="63" t="s">
        <v>105</v>
      </c>
      <c r="W139" s="42" t="s">
        <v>260</v>
      </c>
    </row>
    <row r="140" ht="15.75" spans="1:23">
      <c r="A140" s="51">
        <f ca="1" t="shared" si="4"/>
        <v>107</v>
      </c>
      <c r="B140" s="51">
        <f ca="1" t="array" ref="B140">INDEX([1]Data_DBD!$B:$B,$A140)</f>
        <v>48</v>
      </c>
      <c r="C140" s="51">
        <f ca="1" t="array" ref="C140">INDEX([1]Data_DBD!$C:$C,$A140)</f>
        <v>5</v>
      </c>
      <c r="D140" s="51">
        <f ca="1" t="array" ref="D140">INDEX([1]Data_DBD!$E:$E,$A140)</f>
        <v>0</v>
      </c>
      <c r="E140" s="51" t="str">
        <f ca="1" t="array" ref="E140">INDEX([1]Data_DBD!$F:$F,$A140)</f>
        <v>Tinggi</v>
      </c>
      <c r="H140" s="63">
        <v>68</v>
      </c>
      <c r="I140" s="63">
        <v>44</v>
      </c>
      <c r="J140" s="63">
        <v>5</v>
      </c>
      <c r="K140" s="63">
        <v>0</v>
      </c>
      <c r="L140" s="63" t="s">
        <v>8</v>
      </c>
      <c r="W140" s="43" t="s">
        <v>187</v>
      </c>
    </row>
    <row r="141" ht="15.75" spans="1:23">
      <c r="A141" s="51">
        <f ca="1" t="shared" si="4"/>
        <v>123</v>
      </c>
      <c r="B141" s="51">
        <f ca="1" t="array" ref="B141">INDEX([1]Data_DBD!$B:$B,$A141)</f>
        <v>22</v>
      </c>
      <c r="C141" s="51">
        <f ca="1" t="array" ref="C141">INDEX([1]Data_DBD!$C:$C,$A141)</f>
        <v>4</v>
      </c>
      <c r="D141" s="51">
        <f ca="1" t="array" ref="D141">INDEX([1]Data_DBD!$E:$E,$A141)</f>
        <v>0</v>
      </c>
      <c r="E141" s="51" t="str">
        <f ca="1" t="array" ref="E141">INDEX([1]Data_DBD!$F:$F,$A141)</f>
        <v>Tinggi</v>
      </c>
      <c r="H141" s="63">
        <v>14</v>
      </c>
      <c r="I141" s="63">
        <v>49</v>
      </c>
      <c r="J141" s="63">
        <v>4</v>
      </c>
      <c r="K141" s="63">
        <v>1</v>
      </c>
      <c r="L141" s="63" t="s">
        <v>26</v>
      </c>
      <c r="W141" s="44" t="s">
        <v>261</v>
      </c>
    </row>
    <row r="142" ht="15.75" spans="1:23">
      <c r="A142" s="51">
        <f ca="1" t="shared" si="4"/>
        <v>146</v>
      </c>
      <c r="B142" s="51">
        <f ca="1" t="array" ref="B142">INDEX([1]Data_DBD!$B:$B,$A142)</f>
        <v>34</v>
      </c>
      <c r="C142" s="51">
        <f ca="1" t="array" ref="C142">INDEX([1]Data_DBD!$C:$C,$A142)</f>
        <v>2</v>
      </c>
      <c r="D142" s="51">
        <f ca="1" t="array" ref="D142">INDEX([1]Data_DBD!$E:$E,$A142)</f>
        <v>1</v>
      </c>
      <c r="E142" s="51" t="str">
        <f ca="1" t="array" ref="E142">INDEX([1]Data_DBD!$F:$F,$A142)</f>
        <v>Tinggi</v>
      </c>
      <c r="H142" s="63">
        <v>102</v>
      </c>
      <c r="I142" s="63">
        <v>41</v>
      </c>
      <c r="J142" s="63">
        <v>4</v>
      </c>
      <c r="K142" s="63">
        <v>0</v>
      </c>
      <c r="L142" s="63" t="s">
        <v>105</v>
      </c>
      <c r="W142" s="44" t="s">
        <v>237</v>
      </c>
    </row>
    <row r="143" ht="15.75" spans="1:23">
      <c r="A143" s="51">
        <f ca="1" t="shared" si="4"/>
        <v>84</v>
      </c>
      <c r="B143" s="51">
        <f ca="1" t="array" ref="B143">INDEX([1]Data_DBD!$B:$B,$A143)</f>
        <v>42</v>
      </c>
      <c r="C143" s="51">
        <f ca="1" t="array" ref="C143">INDEX([1]Data_DBD!$C:$C,$A143)</f>
        <v>4</v>
      </c>
      <c r="D143" s="51">
        <f ca="1" t="array" ref="D143">INDEX([1]Data_DBD!$E:$E,$A143)</f>
        <v>1</v>
      </c>
      <c r="E143" s="51" t="str">
        <f ca="1" t="array" ref="E143">INDEX([1]Data_DBD!$F:$F,$A143)</f>
        <v>Sedang</v>
      </c>
      <c r="H143" s="63">
        <v>30</v>
      </c>
      <c r="I143" s="63">
        <v>3</v>
      </c>
      <c r="J143" s="63">
        <v>2</v>
      </c>
      <c r="K143" s="63">
        <v>1</v>
      </c>
      <c r="L143" s="63" t="s">
        <v>8</v>
      </c>
      <c r="W143" s="43" t="s">
        <v>190</v>
      </c>
    </row>
    <row r="144" ht="15.75" spans="1:23">
      <c r="A144" s="51">
        <f ca="1" t="shared" si="4"/>
        <v>161</v>
      </c>
      <c r="B144" s="51">
        <f ca="1" t="array" ref="B144">INDEX([1]Data_DBD!$B:$B,$A144)</f>
        <v>12</v>
      </c>
      <c r="C144" s="51">
        <f ca="1" t="array" ref="C144">INDEX([1]Data_DBD!$C:$C,$A144)</f>
        <v>3</v>
      </c>
      <c r="D144" s="51">
        <f ca="1" t="array" ref="D144">INDEX([1]Data_DBD!$E:$E,$A144)</f>
        <v>1</v>
      </c>
      <c r="E144" s="51" t="str">
        <f ca="1" t="array" ref="E144">INDEX([1]Data_DBD!$F:$F,$A144)</f>
        <v>Tinggi</v>
      </c>
      <c r="H144" s="63">
        <v>51</v>
      </c>
      <c r="I144" s="63">
        <v>48</v>
      </c>
      <c r="J144" s="63">
        <v>4</v>
      </c>
      <c r="K144" s="63">
        <v>0</v>
      </c>
      <c r="L144" s="63" t="s">
        <v>8</v>
      </c>
      <c r="W144" s="44" t="s">
        <v>262</v>
      </c>
    </row>
    <row r="145" ht="15.75" spans="1:23">
      <c r="A145" s="51">
        <f ca="1" t="shared" si="4"/>
        <v>77</v>
      </c>
      <c r="B145" s="51">
        <f ca="1" t="array" ref="B145">INDEX([1]Data_DBD!$B:$B,$A145)</f>
        <v>16</v>
      </c>
      <c r="C145" s="51">
        <f ca="1" t="array" ref="C145">INDEX([1]Data_DBD!$C:$C,$A145)</f>
        <v>4</v>
      </c>
      <c r="D145" s="51">
        <f ca="1" t="array" ref="D145">INDEX([1]Data_DBD!$E:$E,$A145)</f>
        <v>1</v>
      </c>
      <c r="E145" s="51" t="str">
        <f ca="1" t="array" ref="E145">INDEX([1]Data_DBD!$F:$F,$A145)</f>
        <v>Sedang</v>
      </c>
      <c r="H145" s="63">
        <v>74</v>
      </c>
      <c r="I145" s="63">
        <v>9</v>
      </c>
      <c r="J145" s="63">
        <v>4</v>
      </c>
      <c r="K145" s="63">
        <v>0</v>
      </c>
      <c r="L145" s="63" t="s">
        <v>8</v>
      </c>
      <c r="W145" s="44" t="s">
        <v>239</v>
      </c>
    </row>
    <row r="146" ht="15.75" spans="1:23">
      <c r="A146" s="51">
        <f ca="1" t="shared" si="4"/>
        <v>162</v>
      </c>
      <c r="B146" s="51">
        <f ca="1" t="array" ref="B146">INDEX([1]Data_DBD!$B:$B,$A146)</f>
        <v>22</v>
      </c>
      <c r="C146" s="51">
        <f ca="1" t="array" ref="C146">INDEX([1]Data_DBD!$C:$C,$A146)</f>
        <v>3</v>
      </c>
      <c r="D146" s="51">
        <f ca="1" t="array" ref="D146">INDEX([1]Data_DBD!$E:$E,$A146)</f>
        <v>1</v>
      </c>
      <c r="E146" s="51" t="str">
        <f ca="1" t="array" ref="E146">INDEX([1]Data_DBD!$F:$F,$A146)</f>
        <v>Rendah</v>
      </c>
      <c r="H146" s="63">
        <v>26</v>
      </c>
      <c r="I146" s="63">
        <v>75</v>
      </c>
      <c r="J146" s="63">
        <v>4</v>
      </c>
      <c r="K146" s="63">
        <v>1</v>
      </c>
      <c r="L146" s="63" t="s">
        <v>8</v>
      </c>
      <c r="W146" s="43" t="s">
        <v>193</v>
      </c>
    </row>
    <row r="147" ht="15.75" spans="1:23">
      <c r="A147" s="51">
        <f ca="1" t="shared" si="4"/>
        <v>149</v>
      </c>
      <c r="B147" s="51">
        <f ca="1" t="array" ref="B147">INDEX([1]Data_DBD!$B:$B,$A147)</f>
        <v>19</v>
      </c>
      <c r="C147" s="51">
        <f ca="1" t="array" ref="C147">INDEX([1]Data_DBD!$C:$C,$A147)</f>
        <v>5</v>
      </c>
      <c r="D147" s="51">
        <f ca="1" t="array" ref="D147">INDEX([1]Data_DBD!$E:$E,$A147)</f>
        <v>0</v>
      </c>
      <c r="E147" s="51" t="str">
        <f ca="1" t="array" ref="E147">INDEX([1]Data_DBD!$F:$F,$A147)</f>
        <v>Tinggi</v>
      </c>
      <c r="H147" s="63">
        <v>23</v>
      </c>
      <c r="I147" s="63">
        <v>28</v>
      </c>
      <c r="J147" s="63">
        <v>4</v>
      </c>
      <c r="K147" s="63">
        <v>1</v>
      </c>
      <c r="L147" s="63" t="s">
        <v>8</v>
      </c>
      <c r="W147" s="44" t="s">
        <v>263</v>
      </c>
    </row>
    <row r="148" spans="1:12">
      <c r="A148" s="51">
        <f ca="1" t="shared" si="4"/>
        <v>68</v>
      </c>
      <c r="B148" s="51">
        <f ca="1" t="array" ref="B148">INDEX([1]Data_DBD!$B:$B,$A148)</f>
        <v>44</v>
      </c>
      <c r="C148" s="51">
        <f ca="1" t="array" ref="C148">INDEX([1]Data_DBD!$C:$C,$A148)</f>
        <v>5</v>
      </c>
      <c r="D148" s="51">
        <f ca="1" t="array" ref="D148">INDEX([1]Data_DBD!$E:$E,$A148)</f>
        <v>0</v>
      </c>
      <c r="E148" s="51" t="str">
        <f ca="1" t="array" ref="E148">INDEX([1]Data_DBD!$F:$F,$A148)</f>
        <v>Sedang</v>
      </c>
      <c r="H148" s="63">
        <v>125</v>
      </c>
      <c r="I148" s="63">
        <v>39</v>
      </c>
      <c r="J148" s="63">
        <v>4</v>
      </c>
      <c r="K148" s="63">
        <v>0</v>
      </c>
      <c r="L148" s="63" t="s">
        <v>105</v>
      </c>
    </row>
    <row r="149" spans="1:12">
      <c r="A149" s="51">
        <f ca="1" t="shared" si="4"/>
        <v>38</v>
      </c>
      <c r="B149" s="51">
        <f ca="1" t="array" ref="B149">INDEX([1]Data_DBD!$B:$B,$A149)</f>
        <v>52</v>
      </c>
      <c r="C149" s="51">
        <f ca="1" t="array" ref="C149">INDEX([1]Data_DBD!$C:$C,$A149)</f>
        <v>3</v>
      </c>
      <c r="D149" s="51">
        <f ca="1" t="array" ref="D149">INDEX([1]Data_DBD!$E:$E,$A149)</f>
        <v>1</v>
      </c>
      <c r="E149" s="51" t="str">
        <f ca="1" t="array" ref="E149">INDEX([1]Data_DBD!$F:$F,$A149)</f>
        <v>Rendah</v>
      </c>
      <c r="H149" s="63">
        <v>74</v>
      </c>
      <c r="I149" s="63">
        <v>9</v>
      </c>
      <c r="J149" s="63">
        <v>4</v>
      </c>
      <c r="K149" s="63">
        <v>0</v>
      </c>
      <c r="L149" s="63" t="s">
        <v>8</v>
      </c>
    </row>
    <row r="150" spans="1:12">
      <c r="A150" s="51">
        <f ca="1" t="shared" si="4"/>
        <v>78</v>
      </c>
      <c r="B150" s="51">
        <f ca="1" t="array" ref="B150">INDEX([1]Data_DBD!$B:$B,$A150)</f>
        <v>6</v>
      </c>
      <c r="C150" s="51">
        <f ca="1" t="array" ref="C150">INDEX([1]Data_DBD!$C:$C,$A150)</f>
        <v>3</v>
      </c>
      <c r="D150" s="51">
        <f ca="1" t="array" ref="D150">INDEX([1]Data_DBD!$E:$E,$A150)</f>
        <v>0</v>
      </c>
      <c r="E150" s="51" t="str">
        <f ca="1" t="array" ref="E150">INDEX([1]Data_DBD!$F:$F,$A150)</f>
        <v>Sedang</v>
      </c>
      <c r="H150" s="63">
        <v>22</v>
      </c>
      <c r="I150" s="63">
        <v>6</v>
      </c>
      <c r="J150" s="63">
        <v>3</v>
      </c>
      <c r="K150" s="63">
        <v>0</v>
      </c>
      <c r="L150" s="63" t="s">
        <v>8</v>
      </c>
    </row>
    <row r="151" spans="1:12">
      <c r="A151" s="51">
        <f ca="1" t="shared" si="4"/>
        <v>93</v>
      </c>
      <c r="B151" s="51">
        <f ca="1" t="array" ref="B151">INDEX([1]Data_DBD!$B:$B,$A151)</f>
        <v>65</v>
      </c>
      <c r="C151" s="51">
        <f ca="1" t="array" ref="C151">INDEX([1]Data_DBD!$C:$C,$A151)</f>
        <v>4</v>
      </c>
      <c r="D151" s="51">
        <f ca="1" t="array" ref="D151">INDEX([1]Data_DBD!$E:$E,$A151)</f>
        <v>0</v>
      </c>
      <c r="E151" s="51" t="str">
        <f ca="1" t="array" ref="E151">INDEX([1]Data_DBD!$F:$F,$A151)</f>
        <v>Tinggi</v>
      </c>
      <c r="H151" s="63">
        <v>69</v>
      </c>
      <c r="I151" s="63">
        <v>24</v>
      </c>
      <c r="J151" s="63">
        <v>4</v>
      </c>
      <c r="K151" s="63">
        <v>1</v>
      </c>
      <c r="L151" s="63" t="s">
        <v>8</v>
      </c>
    </row>
    <row r="152" spans="1:12">
      <c r="A152" s="51">
        <f ca="1" t="shared" si="4"/>
        <v>22</v>
      </c>
      <c r="B152" s="51">
        <f ca="1" t="array" ref="B152">INDEX([1]Data_DBD!$B:$B,$A152)</f>
        <v>6</v>
      </c>
      <c r="C152" s="51">
        <f ca="1" t="array" ref="C152">INDEX([1]Data_DBD!$C:$C,$A152)</f>
        <v>3</v>
      </c>
      <c r="D152" s="51">
        <f ca="1" t="array" ref="D152">INDEX([1]Data_DBD!$E:$E,$A152)</f>
        <v>0</v>
      </c>
      <c r="E152" s="51" t="str">
        <f ca="1" t="array" ref="E152">INDEX([1]Data_DBD!$F:$F,$A152)</f>
        <v>Sedang</v>
      </c>
      <c r="H152" s="63">
        <v>11</v>
      </c>
      <c r="I152" s="63">
        <v>24</v>
      </c>
      <c r="J152" s="63">
        <v>5</v>
      </c>
      <c r="K152" s="63">
        <v>1</v>
      </c>
      <c r="L152" s="63" t="s">
        <v>8</v>
      </c>
    </row>
    <row r="153" spans="1:12">
      <c r="A153" s="51">
        <f ca="1" t="shared" si="4"/>
        <v>145</v>
      </c>
      <c r="B153" s="51">
        <f ca="1" t="array" ref="B153">INDEX([1]Data_DBD!$B:$B,$A153)</f>
        <v>28</v>
      </c>
      <c r="C153" s="51">
        <f ca="1" t="array" ref="C153">INDEX([1]Data_DBD!$C:$C,$A153)</f>
        <v>4</v>
      </c>
      <c r="D153" s="51">
        <f ca="1" t="array" ref="D153">INDEX([1]Data_DBD!$E:$E,$A153)</f>
        <v>1</v>
      </c>
      <c r="E153" s="51" t="str">
        <f ca="1" t="array" ref="E153">INDEX([1]Data_DBD!$F:$F,$A153)</f>
        <v>Tinggi</v>
      </c>
      <c r="H153" s="63">
        <v>94</v>
      </c>
      <c r="I153" s="63">
        <v>12</v>
      </c>
      <c r="J153" s="63">
        <v>4</v>
      </c>
      <c r="K153" s="63">
        <v>0</v>
      </c>
      <c r="L153" s="63" t="s">
        <v>105</v>
      </c>
    </row>
    <row r="154" spans="1:12">
      <c r="A154" s="51">
        <f ca="1" t="shared" si="4"/>
        <v>50</v>
      </c>
      <c r="B154" s="51">
        <f ca="1" t="array" ref="B154">INDEX([1]Data_DBD!$B:$B,$A154)</f>
        <v>19</v>
      </c>
      <c r="C154" s="51">
        <f ca="1" t="array" ref="C154">INDEX([1]Data_DBD!$C:$C,$A154)</f>
        <v>5</v>
      </c>
      <c r="D154" s="51">
        <f ca="1" t="array" ref="D154">INDEX([1]Data_DBD!$E:$E,$A154)</f>
        <v>0</v>
      </c>
      <c r="E154" s="51" t="str">
        <f ca="1" t="array" ref="E154">INDEX([1]Data_DBD!$F:$F,$A154)</f>
        <v>Sedang</v>
      </c>
      <c r="H154" s="63">
        <v>100</v>
      </c>
      <c r="I154" s="63">
        <v>19</v>
      </c>
      <c r="J154" s="63">
        <v>6</v>
      </c>
      <c r="K154" s="63">
        <v>0</v>
      </c>
      <c r="L154" s="63" t="s">
        <v>105</v>
      </c>
    </row>
    <row r="155" spans="1:12">
      <c r="A155" s="51">
        <f ca="1" t="shared" si="4"/>
        <v>53</v>
      </c>
      <c r="B155" s="51">
        <f ca="1" t="array" ref="B155">INDEX([1]Data_DBD!$B:$B,$A155)</f>
        <v>35</v>
      </c>
      <c r="C155" s="51">
        <f ca="1" t="array" ref="C155">INDEX([1]Data_DBD!$C:$C,$A155)</f>
        <v>4</v>
      </c>
      <c r="D155" s="51">
        <f ca="1" t="array" ref="D155">INDEX([1]Data_DBD!$E:$E,$A155)</f>
        <v>1</v>
      </c>
      <c r="E155" s="51" t="str">
        <f ca="1" t="array" ref="E155">INDEX([1]Data_DBD!$F:$F,$A155)</f>
        <v>Sedang</v>
      </c>
      <c r="H155" s="63">
        <v>144</v>
      </c>
      <c r="I155" s="63">
        <v>61</v>
      </c>
      <c r="J155" s="63">
        <v>4</v>
      </c>
      <c r="K155" s="63">
        <v>1</v>
      </c>
      <c r="L155" s="63" t="s">
        <v>105</v>
      </c>
    </row>
    <row r="156" spans="1:12">
      <c r="A156" s="51">
        <f ca="1" t="shared" si="4"/>
        <v>119</v>
      </c>
      <c r="B156" s="51">
        <f ca="1" t="array" ref="B156">INDEX([1]Data_DBD!$B:$B,$A156)</f>
        <v>30</v>
      </c>
      <c r="C156" s="51">
        <f ca="1" t="array" ref="C156">INDEX([1]Data_DBD!$C:$C,$A156)</f>
        <v>7</v>
      </c>
      <c r="D156" s="51">
        <f ca="1" t="array" ref="D156">INDEX([1]Data_DBD!$E:$E,$A156)</f>
        <v>0</v>
      </c>
      <c r="E156" s="51" t="str">
        <f ca="1" t="array" ref="E156">INDEX([1]Data_DBD!$F:$F,$A156)</f>
        <v>Tinggi</v>
      </c>
      <c r="H156" s="63">
        <v>6</v>
      </c>
      <c r="I156" s="63">
        <v>14</v>
      </c>
      <c r="J156" s="63">
        <v>4</v>
      </c>
      <c r="K156" s="63">
        <v>0</v>
      </c>
      <c r="L156" s="63" t="s">
        <v>8</v>
      </c>
    </row>
    <row r="157" spans="1:12">
      <c r="A157" s="51">
        <f ca="1" t="shared" si="4"/>
        <v>34</v>
      </c>
      <c r="B157" s="51">
        <f ca="1" t="array" ref="B157">INDEX([1]Data_DBD!$B:$B,$A157)</f>
        <v>55</v>
      </c>
      <c r="C157" s="51">
        <f ca="1" t="array" ref="C157">INDEX([1]Data_DBD!$C:$C,$A157)</f>
        <v>3</v>
      </c>
      <c r="D157" s="51">
        <f ca="1" t="array" ref="D157">INDEX([1]Data_DBD!$E:$E,$A157)</f>
        <v>0</v>
      </c>
      <c r="E157" s="51" t="str">
        <f ca="1" t="array" ref="E157">INDEX([1]Data_DBD!$F:$F,$A157)</f>
        <v>Sedang</v>
      </c>
      <c r="H157" s="63">
        <v>57</v>
      </c>
      <c r="I157" s="63">
        <v>2</v>
      </c>
      <c r="J157" s="63">
        <v>2</v>
      </c>
      <c r="K157" s="63">
        <v>1</v>
      </c>
      <c r="L157" s="63" t="s">
        <v>8</v>
      </c>
    </row>
    <row r="158" spans="1:12">
      <c r="A158" s="51">
        <f ca="1" t="shared" si="4"/>
        <v>147</v>
      </c>
      <c r="B158" s="51">
        <f ca="1" t="array" ref="B158">INDEX([1]Data_DBD!$B:$B,$A158)</f>
        <v>66</v>
      </c>
      <c r="C158" s="51">
        <f ca="1" t="array" ref="C158">INDEX([1]Data_DBD!$C:$C,$A158)</f>
        <v>10</v>
      </c>
      <c r="D158" s="51">
        <f ca="1" t="array" ref="D158">INDEX([1]Data_DBD!$E:$E,$A158)</f>
        <v>1</v>
      </c>
      <c r="E158" s="51" t="str">
        <f ca="1" t="array" ref="E158">INDEX([1]Data_DBD!$F:$F,$A158)</f>
        <v>Tinggi</v>
      </c>
      <c r="H158" s="63">
        <v>7</v>
      </c>
      <c r="I158" s="63">
        <v>12</v>
      </c>
      <c r="J158" s="63">
        <v>1</v>
      </c>
      <c r="K158" s="63">
        <v>1</v>
      </c>
      <c r="L158" s="63" t="s">
        <v>8</v>
      </c>
    </row>
    <row r="159" spans="1:12">
      <c r="A159" s="51">
        <f ca="1" t="shared" si="4"/>
        <v>4</v>
      </c>
      <c r="B159" s="51">
        <f ca="1" t="array" ref="B159">INDEX([1]Data_DBD!$B:$B,$A159)</f>
        <v>23</v>
      </c>
      <c r="C159" s="51">
        <f ca="1" t="array" ref="C159">INDEX([1]Data_DBD!$C:$C,$A159)</f>
        <v>5</v>
      </c>
      <c r="D159" s="51">
        <f ca="1" t="array" ref="D159">INDEX([1]Data_DBD!$E:$E,$A159)</f>
        <v>0</v>
      </c>
      <c r="E159" s="51" t="str">
        <f ca="1" t="array" ref="E159">INDEX([1]Data_DBD!$F:$F,$A159)</f>
        <v>Sedang</v>
      </c>
      <c r="H159" s="63">
        <v>125</v>
      </c>
      <c r="I159" s="63">
        <v>39</v>
      </c>
      <c r="J159" s="63">
        <v>4</v>
      </c>
      <c r="K159" s="63">
        <v>0</v>
      </c>
      <c r="L159" s="63" t="s">
        <v>105</v>
      </c>
    </row>
    <row r="160" spans="1:12">
      <c r="A160" s="51">
        <f ca="1" t="shared" si="4"/>
        <v>131</v>
      </c>
      <c r="B160" s="51">
        <f ca="1" t="array" ref="B160">INDEX([1]Data_DBD!$B:$B,$A160)</f>
        <v>10</v>
      </c>
      <c r="C160" s="51">
        <f ca="1" t="array" ref="C160">INDEX([1]Data_DBD!$C:$C,$A160)</f>
        <v>2</v>
      </c>
      <c r="D160" s="51">
        <f ca="1" t="array" ref="D160">INDEX([1]Data_DBD!$E:$E,$A160)</f>
        <v>0</v>
      </c>
      <c r="E160" s="51" t="str">
        <f ca="1" t="array" ref="E160">INDEX([1]Data_DBD!$F:$F,$A160)</f>
        <v>Tinggi</v>
      </c>
      <c r="H160" s="63">
        <v>46</v>
      </c>
      <c r="I160" s="63">
        <v>62</v>
      </c>
      <c r="J160" s="63">
        <v>2</v>
      </c>
      <c r="K160" s="63">
        <v>0</v>
      </c>
      <c r="L160" s="63" t="s">
        <v>8</v>
      </c>
    </row>
    <row r="161" spans="1:12">
      <c r="A161" s="51">
        <f ca="1" t="shared" si="4"/>
        <v>11</v>
      </c>
      <c r="B161" s="51">
        <f ca="1" t="array" ref="B161">INDEX([1]Data_DBD!$B:$B,$A161)</f>
        <v>24</v>
      </c>
      <c r="C161" s="51">
        <f ca="1" t="array" ref="C161">INDEX([1]Data_DBD!$C:$C,$A161)</f>
        <v>5</v>
      </c>
      <c r="D161" s="51">
        <f ca="1" t="array" ref="D161">INDEX([1]Data_DBD!$E:$E,$A161)</f>
        <v>1</v>
      </c>
      <c r="E161" s="51" t="str">
        <f ca="1" t="array" ref="E161">INDEX([1]Data_DBD!$F:$F,$A161)</f>
        <v>Sedang</v>
      </c>
      <c r="H161" s="63">
        <v>153</v>
      </c>
      <c r="I161" s="63">
        <v>73</v>
      </c>
      <c r="J161" s="63">
        <v>7</v>
      </c>
      <c r="K161" s="63">
        <v>1</v>
      </c>
      <c r="L161" s="63" t="s">
        <v>105</v>
      </c>
    </row>
    <row r="162" spans="1:12">
      <c r="A162" s="51">
        <f ca="1" t="shared" si="4"/>
        <v>78</v>
      </c>
      <c r="B162" s="51">
        <f ca="1" t="array" ref="B162">INDEX([1]Data_DBD!$B:$B,$A162)</f>
        <v>6</v>
      </c>
      <c r="C162" s="51">
        <f ca="1" t="array" ref="C162">INDEX([1]Data_DBD!$C:$C,$A162)</f>
        <v>3</v>
      </c>
      <c r="D162" s="51">
        <f ca="1" t="array" ref="D162">INDEX([1]Data_DBD!$E:$E,$A162)</f>
        <v>0</v>
      </c>
      <c r="E162" s="51" t="str">
        <f ca="1" t="array" ref="E162">INDEX([1]Data_DBD!$F:$F,$A162)</f>
        <v>Sedang</v>
      </c>
      <c r="H162" s="63">
        <v>58</v>
      </c>
      <c r="I162" s="63">
        <v>17</v>
      </c>
      <c r="J162" s="63">
        <v>3</v>
      </c>
      <c r="K162" s="63">
        <v>0</v>
      </c>
      <c r="L162" s="63" t="s">
        <v>8</v>
      </c>
    </row>
    <row r="163" spans="1:12">
      <c r="A163" s="51">
        <f ca="1" t="shared" si="4"/>
        <v>89</v>
      </c>
      <c r="B163" s="51">
        <f ca="1" t="array" ref="B163">INDEX([1]Data_DBD!$B:$B,$A163)</f>
        <v>32</v>
      </c>
      <c r="C163" s="51">
        <f ca="1" t="array" ref="C163">INDEX([1]Data_DBD!$C:$C,$A163)</f>
        <v>4</v>
      </c>
      <c r="D163" s="51">
        <f ca="1" t="array" ref="D163">INDEX([1]Data_DBD!$E:$E,$A163)</f>
        <v>0</v>
      </c>
      <c r="E163" s="51" t="str">
        <f ca="1" t="array" ref="E163">INDEX([1]Data_DBD!$F:$F,$A163)</f>
        <v>Sedang</v>
      </c>
      <c r="H163" s="63">
        <v>23</v>
      </c>
      <c r="I163" s="63">
        <v>28</v>
      </c>
      <c r="J163" s="63">
        <v>4</v>
      </c>
      <c r="K163" s="63">
        <v>1</v>
      </c>
      <c r="L163" s="63" t="s">
        <v>8</v>
      </c>
    </row>
    <row r="164" spans="1:12">
      <c r="A164" s="51">
        <f ca="1" t="shared" si="4"/>
        <v>31</v>
      </c>
      <c r="B164" s="51">
        <f ca="1" t="array" ref="B164">INDEX([1]Data_DBD!$B:$B,$A164)</f>
        <v>64</v>
      </c>
      <c r="C164" s="51">
        <f ca="1" t="array" ref="C164">INDEX([1]Data_DBD!$C:$C,$A164)</f>
        <v>4</v>
      </c>
      <c r="D164" s="51">
        <f ca="1" t="array" ref="D164">INDEX([1]Data_DBD!$E:$E,$A164)</f>
        <v>1</v>
      </c>
      <c r="E164" s="51" t="str">
        <f ca="1" t="array" ref="E164">INDEX([1]Data_DBD!$F:$F,$A164)</f>
        <v>Sedang</v>
      </c>
      <c r="H164" s="63">
        <v>139</v>
      </c>
      <c r="I164" s="63">
        <v>52</v>
      </c>
      <c r="J164" s="63">
        <v>7</v>
      </c>
      <c r="K164" s="63">
        <v>0</v>
      </c>
      <c r="L164" s="63" t="s">
        <v>105</v>
      </c>
    </row>
    <row r="165" spans="9:11">
      <c r="I165" s="49">
        <f>AVERAGE(I2:I164)</f>
        <v>32.760736196319</v>
      </c>
      <c r="J165" s="49">
        <f>AVERAGE(J2:J164)</f>
        <v>3.79141104294478</v>
      </c>
      <c r="K165" s="49">
        <f>AVERAGE(K2:K164)</f>
        <v>0.533742331288344</v>
      </c>
    </row>
    <row r="166" spans="2:2">
      <c r="B166" s="49">
        <v>60</v>
      </c>
    </row>
    <row r="168" spans="5:20">
      <c r="E168" s="55" t="s">
        <v>207</v>
      </c>
      <c r="J168" s="55" t="s">
        <v>208</v>
      </c>
      <c r="T168" s="55" t="s">
        <v>210</v>
      </c>
    </row>
    <row r="169" spans="5:22">
      <c r="E169" s="51" t="s">
        <v>1</v>
      </c>
      <c r="F169" s="51">
        <f>AVERAGEIF($I$2:$I$164,"&lt;="&amp;$I$165)</f>
        <v>16.0851063829787</v>
      </c>
      <c r="G169" s="51">
        <f>AVERAGEIF($I$2:$I$164,"&gt;"&amp;$I$165)</f>
        <v>55.4782608695652</v>
      </c>
      <c r="J169" s="51" t="s">
        <v>211</v>
      </c>
      <c r="K169" s="51">
        <f>AVERAGEIF($J$2:$J$164,"&lt;="&amp;$J$165)</f>
        <v>2.5</v>
      </c>
      <c r="L169" s="51">
        <f>AVERAGEIF($J$2:$J$164,"&gt;"&amp;$J$165)</f>
        <v>4.67010309278351</v>
      </c>
      <c r="T169" s="51" t="s">
        <v>213</v>
      </c>
      <c r="U169" s="51">
        <f>AVERAGEIF($K$2:$K$164,"&lt;="&amp;$K$165)</f>
        <v>0</v>
      </c>
      <c r="V169" s="51">
        <f>AVERAGEIF($K$2:$K$164,"&gt;"&amp;$K$165)</f>
        <v>1</v>
      </c>
    </row>
    <row r="170" spans="5:22">
      <c r="E170" s="51" t="str">
        <f t="array" ref="E170:E332">IF($I$2:$I$164&lt;$F$169,"kiri",IF($I$2:$I$164&lt;$G$169,"tengah","kanan"))</f>
        <v>tengah</v>
      </c>
      <c r="F170" s="51" t="s">
        <v>264</v>
      </c>
      <c r="G170" s="51"/>
      <c r="J170" s="51" t="str">
        <f t="array" ref="J170:J332">IF($J$2:$J$164&lt;$K$169,"kiri",IF($J$2:$J$164&lt;$L$169,"tengah","kanan"))</f>
        <v>kanan</v>
      </c>
      <c r="K170" s="51" t="s">
        <v>265</v>
      </c>
      <c r="L170" s="51"/>
      <c r="T170" s="51" t="str">
        <f t="array" ref="T170:T332">IF($K$2:$K$164&lt;$U$169,"kiri",IF($K$2:$K$164&lt;$V$169,"tengah","kanan"))</f>
        <v>kanan</v>
      </c>
      <c r="U170" s="51" t="s">
        <v>217</v>
      </c>
      <c r="V170" s="51"/>
    </row>
    <row r="171" spans="5:22">
      <c r="E171" s="51" t="str">
        <v>kiri</v>
      </c>
      <c r="F171" s="51">
        <f>COUNTIFS($E$170:$E$332,"Kanan",$L$2:$L$164,"Tinggi")</f>
        <v>12</v>
      </c>
      <c r="G171" s="51">
        <f>F171/31</f>
        <v>0.387096774193548</v>
      </c>
      <c r="J171" s="51" t="str">
        <v>kiri</v>
      </c>
      <c r="K171" s="51">
        <f>COUNTIFS($J$170:$J$332,"Kanan",$L$2:$L$164,"Tinggi")</f>
        <v>20</v>
      </c>
      <c r="L171" s="51">
        <f>K171/41</f>
        <v>0.48780487804878</v>
      </c>
      <c r="T171" s="51" t="str">
        <v>kanan</v>
      </c>
      <c r="U171" s="51">
        <f>COUNTIFS($T$170:$T$332,"Kanan",$L$2:$L$164,"Tinggi")</f>
        <v>36</v>
      </c>
      <c r="V171" s="51">
        <f>U171/87</f>
        <v>0.413793103448276</v>
      </c>
    </row>
    <row r="172" spans="5:22">
      <c r="E172" s="51" t="str">
        <v>tengah</v>
      </c>
      <c r="F172" s="51">
        <f>COUNTIFS($E$170:$E$332,"Kanan",$L$2:$L$164,"Sedang")</f>
        <v>17</v>
      </c>
      <c r="G172" s="51">
        <f>F172/31</f>
        <v>0.548387096774194</v>
      </c>
      <c r="J172" s="51" t="str">
        <v>kanan</v>
      </c>
      <c r="K172" s="51">
        <f>COUNTIFS($J$170:$J$332,"Kanan",$L$2:$L$164,"Sedang")</f>
        <v>17</v>
      </c>
      <c r="L172" s="51">
        <f>K172/41</f>
        <v>0.414634146341463</v>
      </c>
      <c r="T172" s="51" t="str">
        <v>tengah</v>
      </c>
      <c r="U172" s="51">
        <f>COUNTIFS($T$170:$T$332,"Kanan",$L$2:$L$164,"Sedang")</f>
        <v>39</v>
      </c>
      <c r="V172" s="51">
        <f>U172/87</f>
        <v>0.448275862068966</v>
      </c>
    </row>
    <row r="173" spans="5:22">
      <c r="E173" s="51" t="str">
        <v>kanan</v>
      </c>
      <c r="F173" s="51">
        <f>COUNTIFS($E$170:$E$332,"Kanan",$L$2:$L$164,"Rendah")</f>
        <v>2</v>
      </c>
      <c r="G173" s="51">
        <f>F173/31</f>
        <v>0.0645161290322581</v>
      </c>
      <c r="J173" s="51" t="str">
        <v>tengah</v>
      </c>
      <c r="K173" s="51">
        <f>COUNTIFS($J$170:$J$332,"Kanan",$L$2:$L$164,"Rendah")</f>
        <v>4</v>
      </c>
      <c r="L173" s="51">
        <f>K173/41</f>
        <v>0.0975609756097561</v>
      </c>
      <c r="T173" s="51" t="str">
        <v>tengah</v>
      </c>
      <c r="U173" s="51">
        <f>COUNTIFS($T$170:$T$332,"Kanan",$L$2:$L$164,"Rendah")</f>
        <v>12</v>
      </c>
      <c r="V173" s="51">
        <f>U173/87</f>
        <v>0.137931034482759</v>
      </c>
    </row>
    <row r="174" spans="5:22">
      <c r="E174" s="51" t="str">
        <v>kanan</v>
      </c>
      <c r="F174" s="51" t="s">
        <v>218</v>
      </c>
      <c r="G174" s="51">
        <f>-(IFERROR(G171*LOG(G171,2),0)+IFERROR(G172*LOG(G172,2),0)+IFERROR(G173*LOG(G173,2),0))</f>
        <v>1.26044088103495</v>
      </c>
      <c r="J174" s="51" t="str">
        <v>kiri</v>
      </c>
      <c r="K174" s="51" t="s">
        <v>218</v>
      </c>
      <c r="L174" s="51">
        <f>-(IFERROR(L171*LOG(L171,2),0)+IFERROR(L172*LOG(L172,2),0)+IFERROR(L173*LOG(L173,2),0))</f>
        <v>1.35937078025216</v>
      </c>
      <c r="T174" s="51" t="str">
        <v>tengah</v>
      </c>
      <c r="U174" s="51" t="s">
        <v>218</v>
      </c>
      <c r="V174" s="51">
        <f>-(IFERROR(V171*LOG(V171,2),0)+IFERROR(V172*LOG(V172,2),0)+IFERROR(V173*LOG(V173,2),0))</f>
        <v>1.43986836255902</v>
      </c>
    </row>
    <row r="175" spans="5:22">
      <c r="E175" s="51" t="str">
        <v>kiri</v>
      </c>
      <c r="F175" s="51"/>
      <c r="G175" s="51">
        <f>SUM(F171:F173)/163</f>
        <v>0.190184049079755</v>
      </c>
      <c r="J175" s="51" t="str">
        <v>tengah</v>
      </c>
      <c r="K175" s="51"/>
      <c r="L175" s="51">
        <f>SUM(K171:K173)/163</f>
        <v>0.251533742331288</v>
      </c>
      <c r="T175" s="51" t="str">
        <v>kanan</v>
      </c>
      <c r="U175" s="51"/>
      <c r="V175" s="51">
        <f>SUM(U171:U173)/163</f>
        <v>0.533742331288344</v>
      </c>
    </row>
    <row r="176" spans="5:22">
      <c r="E176" s="51" t="str">
        <v>tengah</v>
      </c>
      <c r="F176" s="51"/>
      <c r="G176" s="56">
        <f>G174*G175</f>
        <v>0.23971575038088</v>
      </c>
      <c r="J176" s="51" t="str">
        <v>kanan</v>
      </c>
      <c r="K176" s="51"/>
      <c r="L176" s="56">
        <f>L174*L175</f>
        <v>0.341927619572628</v>
      </c>
      <c r="T176" s="51" t="str">
        <v>kanan</v>
      </c>
      <c r="U176" s="51"/>
      <c r="V176" s="56">
        <f>V174*V175</f>
        <v>0.76851869658058</v>
      </c>
    </row>
    <row r="177" spans="5:22">
      <c r="E177" s="51" t="str">
        <v>kanan</v>
      </c>
      <c r="F177" s="51"/>
      <c r="G177" s="51"/>
      <c r="J177" s="51" t="str">
        <v>tengah</v>
      </c>
      <c r="K177" s="51"/>
      <c r="L177" s="51"/>
      <c r="T177" s="51" t="str">
        <v>tengah</v>
      </c>
      <c r="U177" s="51"/>
      <c r="V177" s="51"/>
    </row>
    <row r="178" spans="5:22">
      <c r="E178" s="51" t="str">
        <v>kiri</v>
      </c>
      <c r="F178" s="51"/>
      <c r="G178" s="51"/>
      <c r="J178" s="51" t="str">
        <v>kiri</v>
      </c>
      <c r="K178" s="51"/>
      <c r="L178" s="51"/>
      <c r="T178" s="51" t="str">
        <v>tengah</v>
      </c>
      <c r="U178" s="51"/>
      <c r="V178" s="51"/>
    </row>
    <row r="179" spans="5:22">
      <c r="E179" s="51" t="str">
        <v>tengah</v>
      </c>
      <c r="F179" s="51" t="s">
        <v>266</v>
      </c>
      <c r="G179" s="51"/>
      <c r="J179" s="51" t="str">
        <v>kanan</v>
      </c>
      <c r="K179" s="51" t="s">
        <v>267</v>
      </c>
      <c r="L179" s="51"/>
      <c r="T179" s="51" t="str">
        <v>tengah</v>
      </c>
      <c r="U179" s="51" t="s">
        <v>222</v>
      </c>
      <c r="V179" s="51"/>
    </row>
    <row r="180" spans="5:22">
      <c r="E180" s="51" t="str">
        <v>tengah</v>
      </c>
      <c r="F180" s="51">
        <f>COUNTIFS($E$170:$E$332,"Kiri",$L$2:$L$164,"Tinggi")</f>
        <v>23</v>
      </c>
      <c r="G180" s="51">
        <f>F180/50</f>
        <v>0.46</v>
      </c>
      <c r="J180" s="51" t="str">
        <v>kiri</v>
      </c>
      <c r="K180" s="51">
        <f>COUNTIFS($J$170:$J$332,"Kiri",$L$2:$L$164,"Tinggi")</f>
        <v>13</v>
      </c>
      <c r="L180" s="51">
        <f>K180/28</f>
        <v>0.464285714285714</v>
      </c>
      <c r="T180" s="51" t="str">
        <v>tengah</v>
      </c>
      <c r="U180" s="51">
        <f>COUNTIFS($T$170:$T$332,"Kiri",$L$2:$L$164,"Tinggi")</f>
        <v>0</v>
      </c>
      <c r="V180" s="51">
        <f>U180/87</f>
        <v>0</v>
      </c>
    </row>
    <row r="181" spans="5:22">
      <c r="E181" s="51" t="str">
        <v>kiri</v>
      </c>
      <c r="F181" s="51">
        <f>COUNTIFS($E$170:$E$332,"Kiri",$L$2:$L$164,"Sedang")</f>
        <v>24</v>
      </c>
      <c r="G181" s="51">
        <f>F181/50</f>
        <v>0.48</v>
      </c>
      <c r="J181" s="51" t="str">
        <v>tengah</v>
      </c>
      <c r="K181" s="51">
        <f>COUNTIFS($J$170:$J$332,"Kiri",$L$2:$L$164,"Sedang")</f>
        <v>15</v>
      </c>
      <c r="L181" s="51">
        <f>K181/28</f>
        <v>0.535714285714286</v>
      </c>
      <c r="T181" s="51" t="str">
        <v>tengah</v>
      </c>
      <c r="U181" s="51">
        <f>COUNTIFS($T$170:$T$332,"Kiri",$L$2:$L$164,"Sedang")</f>
        <v>0</v>
      </c>
      <c r="V181" s="51">
        <f>U181/87</f>
        <v>0</v>
      </c>
    </row>
    <row r="182" spans="5:22">
      <c r="E182" s="51" t="str">
        <v>kiri</v>
      </c>
      <c r="F182" s="51">
        <f>COUNTIFS($E$170:$E$332,"Kiri",$L$2:$L$164,"Rendah")</f>
        <v>3</v>
      </c>
      <c r="G182" s="51">
        <f>F182/50</f>
        <v>0.06</v>
      </c>
      <c r="J182" s="51" t="str">
        <v>kanan</v>
      </c>
      <c r="K182" s="51">
        <f>COUNTIFS($J$170:$J$332,"Kiri",$L$2:$L$164,"Rendah")</f>
        <v>0</v>
      </c>
      <c r="L182" s="51">
        <f>K182/28</f>
        <v>0</v>
      </c>
      <c r="T182" s="51" t="str">
        <v>kanan</v>
      </c>
      <c r="U182" s="51">
        <f>COUNTIFS($T$170:$T$332,"Kiri",$L$2:$L$164,"Rendah")</f>
        <v>0</v>
      </c>
      <c r="V182" s="51">
        <f>U182/87</f>
        <v>0</v>
      </c>
    </row>
    <row r="183" spans="5:22">
      <c r="E183" s="51" t="str">
        <v>kiri</v>
      </c>
      <c r="F183" s="51" t="s">
        <v>218</v>
      </c>
      <c r="G183" s="51">
        <f>-(IFERROR(G180*LOG(G180,2),0)+IFERROR(G181*LOG(G181,2),0)+IFERROR(G182*LOG(G182,2),0))</f>
        <v>1.26713793959907</v>
      </c>
      <c r="J183" s="51" t="str">
        <v>tengah</v>
      </c>
      <c r="K183" s="51" t="s">
        <v>218</v>
      </c>
      <c r="L183" s="51">
        <f>-(IFERROR(L180*LOG(L180,2),0)+IFERROR(L181*LOG(L181,2),0)+IFERROR(L182*LOG(L182,2),0))</f>
        <v>0.996316519558962</v>
      </c>
      <c r="T183" s="51" t="str">
        <v>tengah</v>
      </c>
      <c r="U183" s="51" t="s">
        <v>218</v>
      </c>
      <c r="V183" s="51">
        <f>-(IFERROR(V180*LOG(V180,2),0)+IFERROR(V181*LOG(V181,2),0)+IFERROR(V182*LOG(V182,2),0))</f>
        <v>0</v>
      </c>
    </row>
    <row r="184" spans="5:22">
      <c r="E184" s="51" t="str">
        <v>kiri</v>
      </c>
      <c r="F184" s="51"/>
      <c r="G184" s="51">
        <f>SUM(F180:F182)/163</f>
        <v>0.306748466257669</v>
      </c>
      <c r="J184" s="51" t="str">
        <v>kiri</v>
      </c>
      <c r="K184" s="51"/>
      <c r="L184" s="51">
        <f>SUM(K180:K182)/163</f>
        <v>0.171779141104294</v>
      </c>
      <c r="T184" s="51" t="str">
        <v>tengah</v>
      </c>
      <c r="U184" s="51"/>
      <c r="V184" s="51">
        <f>SUM(U180:U182)/163</f>
        <v>0</v>
      </c>
    </row>
    <row r="185" spans="5:22">
      <c r="E185" s="51" t="str">
        <v>tengah</v>
      </c>
      <c r="F185" s="51"/>
      <c r="G185" s="56">
        <f>G183*G184</f>
        <v>0.388692619508919</v>
      </c>
      <c r="J185" s="51" t="str">
        <v>kanan</v>
      </c>
      <c r="K185" s="51"/>
      <c r="L185" s="56">
        <f>L183*L184</f>
        <v>0.171146395997859</v>
      </c>
      <c r="T185" s="51" t="str">
        <v>kanan</v>
      </c>
      <c r="U185" s="51"/>
      <c r="V185" s="56">
        <f>V183*V184</f>
        <v>0</v>
      </c>
    </row>
    <row r="186" spans="5:22">
      <c r="E186" s="51" t="str">
        <v>kanan</v>
      </c>
      <c r="F186" s="51"/>
      <c r="G186" s="51"/>
      <c r="J186" s="51" t="str">
        <v>tengah</v>
      </c>
      <c r="K186" s="51"/>
      <c r="L186" s="51"/>
      <c r="T186" s="51" t="str">
        <v>kanan</v>
      </c>
      <c r="U186" s="51"/>
      <c r="V186" s="51"/>
    </row>
    <row r="187" spans="5:22">
      <c r="E187" s="51" t="str">
        <v>kanan</v>
      </c>
      <c r="F187" s="51"/>
      <c r="G187" s="51"/>
      <c r="J187" s="51" t="str">
        <v>tengah</v>
      </c>
      <c r="K187" s="51"/>
      <c r="L187" s="51"/>
      <c r="T187" s="51" t="str">
        <v>tengah</v>
      </c>
      <c r="U187" s="51"/>
      <c r="V187" s="51"/>
    </row>
    <row r="188" spans="5:22">
      <c r="E188" s="51" t="str">
        <v>kiri</v>
      </c>
      <c r="F188" s="51" t="s">
        <v>223</v>
      </c>
      <c r="G188" s="51"/>
      <c r="J188" s="51" t="str">
        <v>tengah</v>
      </c>
      <c r="K188" s="51" t="s">
        <v>223</v>
      </c>
      <c r="L188" s="51"/>
      <c r="T188" s="51" t="str">
        <v>tengah</v>
      </c>
      <c r="U188" s="51" t="s">
        <v>223</v>
      </c>
      <c r="V188" s="51"/>
    </row>
    <row r="189" spans="5:22">
      <c r="E189" s="51" t="str">
        <v>tengah</v>
      </c>
      <c r="F189" s="51">
        <f>COUNTIFS($E$170:$E$332,"Tengah",$L$2:$L$164,"Tinggi")</f>
        <v>39</v>
      </c>
      <c r="G189" s="51">
        <f>F189/82</f>
        <v>0.475609756097561</v>
      </c>
      <c r="J189" s="51" t="str">
        <v>tengah</v>
      </c>
      <c r="K189" s="51">
        <f>COUNTIFS($J$170:$J$332,"Tengah",$L$2:$L$164,"Tinggi")</f>
        <v>41</v>
      </c>
      <c r="L189" s="51">
        <f>K189/109</f>
        <v>0.376146788990826</v>
      </c>
      <c r="T189" s="51" t="str">
        <v>kanan</v>
      </c>
      <c r="U189" s="51">
        <f>COUNTIFS($T$170:$T$332,"Tengah",$L$2:$L$164,"Tinggi")</f>
        <v>38</v>
      </c>
      <c r="V189" s="51">
        <f>U189/76</f>
        <v>0.5</v>
      </c>
    </row>
    <row r="190" spans="5:22">
      <c r="E190" s="51" t="str">
        <v>tengah</v>
      </c>
      <c r="F190" s="51">
        <f>COUNTIFS($E$170:$E$332,"Tengah",$L$2:$L$164,"Sedang")</f>
        <v>33</v>
      </c>
      <c r="G190" s="51">
        <f>F190/82</f>
        <v>0.402439024390244</v>
      </c>
      <c r="J190" s="51" t="str">
        <v>tengah</v>
      </c>
      <c r="K190" s="51">
        <f>COUNTIFS($J$170:$J$332,"Tengah",$L$2:$L$164,"Sedang")</f>
        <v>42</v>
      </c>
      <c r="L190" s="51">
        <f>K190/109</f>
        <v>0.385321100917431</v>
      </c>
      <c r="T190" s="51" t="str">
        <v>tengah</v>
      </c>
      <c r="U190" s="51">
        <f>COUNTIFS($T$170:$T$332,"Tengah",$L$2:$L$164,"Sedang")</f>
        <v>35</v>
      </c>
      <c r="V190" s="51">
        <f>U190/76</f>
        <v>0.460526315789474</v>
      </c>
    </row>
    <row r="191" spans="5:22">
      <c r="E191" s="51" t="str">
        <v>kiri</v>
      </c>
      <c r="F191" s="51">
        <f>COUNTIFS($E$170:$E$332,"Tengah",$L$2:$L$164,"Rendah")</f>
        <v>10</v>
      </c>
      <c r="G191" s="51">
        <f>F191/82</f>
        <v>0.121951219512195</v>
      </c>
      <c r="J191" s="51" t="str">
        <v>kanan</v>
      </c>
      <c r="K191" s="51">
        <f>COUNTIFS($J$170:$J$332,"Tengah",$L$2:$L$164,"Rendah")</f>
        <v>11</v>
      </c>
      <c r="L191" s="51">
        <f>K191/109</f>
        <v>0.100917431192661</v>
      </c>
      <c r="T191" s="51" t="str">
        <v>kanan</v>
      </c>
      <c r="U191" s="51">
        <f>COUNTIFS($T$170:$T$332,"Tengah",$L$2:$L$164,"Rendah")</f>
        <v>3</v>
      </c>
      <c r="V191" s="51">
        <f>U191/76</f>
        <v>0.0394736842105263</v>
      </c>
    </row>
    <row r="192" spans="5:22">
      <c r="E192" s="51" t="str">
        <v>kiri</v>
      </c>
      <c r="F192" s="51" t="s">
        <v>218</v>
      </c>
      <c r="G192" s="51">
        <f>-(IFERROR(G189*LOG(G189,2),0)+IFERROR(G190*LOG(G190,2),0)+IFERROR(G191*LOG(G191,2),0))</f>
        <v>1.40858891408967</v>
      </c>
      <c r="J192" s="51" t="str">
        <v>tengah</v>
      </c>
      <c r="K192" s="51" t="s">
        <v>218</v>
      </c>
      <c r="L192" s="51">
        <f>-(IFERROR(L189*LOG(L189,2),0)+IFERROR(L190*LOG(L190,2),0)+IFERROR(L191*LOG(L191,2),0))</f>
        <v>1.39466619062359</v>
      </c>
      <c r="T192" s="51" t="str">
        <v>tengah</v>
      </c>
      <c r="U192" s="51" t="s">
        <v>218</v>
      </c>
      <c r="V192" s="51">
        <f>-(IFERROR(V189*LOG(V189,2),0)+IFERROR(V190*LOG(V190,2),0)+IFERROR(V191*LOG(V191,2),0))</f>
        <v>1.19922963704762</v>
      </c>
    </row>
    <row r="193" spans="5:22">
      <c r="E193" s="51" t="str">
        <v>kanan</v>
      </c>
      <c r="F193" s="51"/>
      <c r="G193" s="51">
        <f>SUM(F189:F191)/163</f>
        <v>0.503067484662577</v>
      </c>
      <c r="J193" s="51" t="str">
        <v>kanan</v>
      </c>
      <c r="K193" s="51"/>
      <c r="L193" s="51">
        <f>SUM(K189:K191)/163</f>
        <v>0.576687116564417</v>
      </c>
      <c r="T193" s="51" t="str">
        <v>kanan</v>
      </c>
      <c r="U193" s="51"/>
      <c r="V193" s="51">
        <f>SUM(U189:U191)/163</f>
        <v>0.466257668711656</v>
      </c>
    </row>
    <row r="194" spans="5:22">
      <c r="E194" s="51" t="str">
        <v>tengah</v>
      </c>
      <c r="F194" s="51"/>
      <c r="G194" s="56">
        <f>G192*G193</f>
        <v>0.708615281934678</v>
      </c>
      <c r="J194" s="51" t="str">
        <v>tengah</v>
      </c>
      <c r="K194" s="51"/>
      <c r="L194" s="56">
        <f>L192*L193</f>
        <v>0.804286024040599</v>
      </c>
      <c r="T194" s="51" t="str">
        <v>kanan</v>
      </c>
      <c r="U194" s="51"/>
      <c r="V194" s="56">
        <f>V192*V193</f>
        <v>0.559150014819748</v>
      </c>
    </row>
    <row r="195" spans="5:22">
      <c r="E195" s="51" t="str">
        <v>kanan</v>
      </c>
      <c r="F195" s="51"/>
      <c r="G195" s="51"/>
      <c r="J195" s="51" t="str">
        <v>tengah</v>
      </c>
      <c r="K195" s="51"/>
      <c r="L195" s="51"/>
      <c r="T195" s="51" t="str">
        <v>kanan</v>
      </c>
      <c r="U195" s="51"/>
      <c r="V195" s="51"/>
    </row>
    <row r="196" spans="5:22">
      <c r="E196" s="51" t="str">
        <v>kanan</v>
      </c>
      <c r="F196" s="51" t="s">
        <v>224</v>
      </c>
      <c r="G196" s="61" t="s">
        <v>218</v>
      </c>
      <c r="J196" s="51" t="str">
        <v>kanan</v>
      </c>
      <c r="K196" s="51" t="s">
        <v>224</v>
      </c>
      <c r="L196" s="51" t="s">
        <v>218</v>
      </c>
      <c r="T196" s="51" t="str">
        <v>kanan</v>
      </c>
      <c r="U196" s="51" t="s">
        <v>224</v>
      </c>
      <c r="V196" s="51" t="s">
        <v>218</v>
      </c>
    </row>
    <row r="197" spans="5:22">
      <c r="E197" s="51" t="str">
        <v>tengah</v>
      </c>
      <c r="F197" s="57">
        <f>P5-(G176+G185+G194)</f>
        <v>0.0141434162273832</v>
      </c>
      <c r="G197" s="56">
        <f>(G176+G185+G194)</f>
        <v>1.33702365182448</v>
      </c>
      <c r="J197" s="51" t="str">
        <v>kanan</v>
      </c>
      <c r="K197" s="57">
        <f>P5-(L176+L185+L194)</f>
        <v>0.0338070284407745</v>
      </c>
      <c r="L197" s="56">
        <f>(L176+L185+L194)</f>
        <v>1.31736003961109</v>
      </c>
      <c r="T197" s="51" t="str">
        <v>tengah</v>
      </c>
      <c r="U197" s="57">
        <f>P5-(V176+V185+V194)</f>
        <v>0.0234983566515325</v>
      </c>
      <c r="V197" s="56">
        <f>(V176+V185+V194)</f>
        <v>1.32766871140033</v>
      </c>
    </row>
    <row r="198" spans="5:22">
      <c r="E198" s="51" t="str">
        <v>tengah</v>
      </c>
      <c r="F198" s="51"/>
      <c r="G198" s="51"/>
      <c r="J198" s="51" t="str">
        <v>kanan</v>
      </c>
      <c r="K198" s="51"/>
      <c r="L198" s="51"/>
      <c r="T198" s="51" t="str">
        <v>tengah</v>
      </c>
      <c r="U198" s="51"/>
      <c r="V198" s="51"/>
    </row>
    <row r="199" spans="5:22">
      <c r="E199" s="51" t="str">
        <v>kiri</v>
      </c>
      <c r="F199" s="51"/>
      <c r="G199" s="51"/>
      <c r="J199" s="51" t="str">
        <v>tengah</v>
      </c>
      <c r="K199" s="51"/>
      <c r="L199" s="51"/>
      <c r="T199" s="51" t="str">
        <v>kanan</v>
      </c>
      <c r="U199" s="51"/>
      <c r="V199" s="51"/>
    </row>
    <row r="200" spans="5:22">
      <c r="E200" s="51" t="str">
        <v>tengah</v>
      </c>
      <c r="F200" s="51"/>
      <c r="G200" s="51"/>
      <c r="J200" s="51" t="str">
        <v>tengah</v>
      </c>
      <c r="K200" s="51"/>
      <c r="L200" s="51"/>
      <c r="T200" s="51" t="str">
        <v>tengah</v>
      </c>
      <c r="U200" s="51"/>
      <c r="V200" s="51"/>
    </row>
    <row r="201" spans="5:22">
      <c r="E201" s="51" t="str">
        <v>kiri</v>
      </c>
      <c r="F201" s="51"/>
      <c r="G201" s="51"/>
      <c r="J201" s="51" t="str">
        <v>kiri</v>
      </c>
      <c r="K201" s="51"/>
      <c r="L201" s="51"/>
      <c r="T201" s="51" t="str">
        <v>kanan</v>
      </c>
      <c r="U201" s="51"/>
      <c r="V201" s="51"/>
    </row>
    <row r="202" spans="5:22">
      <c r="E202" s="51" t="str">
        <v>tengah</v>
      </c>
      <c r="F202" s="51"/>
      <c r="G202" s="51"/>
      <c r="J202" s="51" t="str">
        <v>tengah</v>
      </c>
      <c r="K202" s="51"/>
      <c r="L202" s="51"/>
      <c r="T202" s="51" t="str">
        <v>kanan</v>
      </c>
      <c r="U202" s="51"/>
      <c r="V202" s="51"/>
    </row>
    <row r="203" spans="5:22">
      <c r="E203" s="51" t="str">
        <v>tengah</v>
      </c>
      <c r="F203" s="51"/>
      <c r="G203" s="51"/>
      <c r="J203" s="51" t="str">
        <v>tengah</v>
      </c>
      <c r="K203" s="51"/>
      <c r="L203" s="51"/>
      <c r="T203" s="51" t="str">
        <v>kanan</v>
      </c>
      <c r="U203" s="51"/>
      <c r="V203" s="51"/>
    </row>
    <row r="204" spans="5:22">
      <c r="E204" s="51" t="str">
        <v>kiri</v>
      </c>
      <c r="F204" s="51"/>
      <c r="G204" s="51"/>
      <c r="J204" s="51" t="str">
        <v>tengah</v>
      </c>
      <c r="K204" s="51"/>
      <c r="L204" s="51"/>
      <c r="T204" s="51" t="str">
        <v>tengah</v>
      </c>
      <c r="U204" s="51"/>
      <c r="V204" s="51"/>
    </row>
    <row r="205" spans="5:22">
      <c r="E205" s="51" t="str">
        <v>kiri</v>
      </c>
      <c r="F205" s="51"/>
      <c r="G205" s="51"/>
      <c r="J205" s="51" t="str">
        <v>kiri</v>
      </c>
      <c r="K205" s="51"/>
      <c r="L205" s="51"/>
      <c r="T205" s="51" t="str">
        <v>kanan</v>
      </c>
      <c r="U205" s="51"/>
      <c r="V205" s="51"/>
    </row>
    <row r="206" spans="5:22">
      <c r="E206" s="51" t="str">
        <v>kiri</v>
      </c>
      <c r="F206" s="51"/>
      <c r="G206" s="51"/>
      <c r="J206" s="51" t="str">
        <v>tengah</v>
      </c>
      <c r="K206" s="51"/>
      <c r="L206" s="51"/>
      <c r="T206" s="51" t="str">
        <v>tengah</v>
      </c>
      <c r="U206" s="51"/>
      <c r="V206" s="51"/>
    </row>
    <row r="207" spans="5:22">
      <c r="E207" s="51" t="str">
        <v>kanan</v>
      </c>
      <c r="F207" s="51"/>
      <c r="G207" s="51"/>
      <c r="J207" s="51" t="str">
        <v>kiri</v>
      </c>
      <c r="K207" s="51"/>
      <c r="L207" s="51"/>
      <c r="T207" s="51" t="str">
        <v>kanan</v>
      </c>
      <c r="U207" s="51"/>
      <c r="V207" s="51"/>
    </row>
    <row r="208" spans="5:22">
      <c r="E208" s="51" t="str">
        <v>tengah</v>
      </c>
      <c r="F208" s="51"/>
      <c r="G208" s="51"/>
      <c r="J208" s="51" t="str">
        <v>tengah</v>
      </c>
      <c r="K208" s="51"/>
      <c r="L208" s="51"/>
      <c r="T208" s="51" t="str">
        <v>kanan</v>
      </c>
      <c r="U208" s="51"/>
      <c r="V208" s="51"/>
    </row>
    <row r="209" spans="5:22">
      <c r="E209" s="51" t="str">
        <v>tengah</v>
      </c>
      <c r="F209" s="51"/>
      <c r="G209" s="51"/>
      <c r="J209" s="51" t="str">
        <v>tengah</v>
      </c>
      <c r="K209" s="51"/>
      <c r="L209" s="51"/>
      <c r="T209" s="51" t="str">
        <v>tengah</v>
      </c>
      <c r="U209" s="51"/>
      <c r="V209" s="51"/>
    </row>
    <row r="210" spans="5:22">
      <c r="E210" s="51" t="str">
        <v>tengah</v>
      </c>
      <c r="F210" s="51"/>
      <c r="G210" s="51"/>
      <c r="J210" s="51" t="str">
        <v>tengah</v>
      </c>
      <c r="K210" s="51"/>
      <c r="L210" s="51"/>
      <c r="T210" s="51" t="str">
        <v>kanan</v>
      </c>
      <c r="U210" s="51"/>
      <c r="V210" s="51"/>
    </row>
    <row r="211" spans="5:22">
      <c r="E211" s="51" t="str">
        <v>kiri</v>
      </c>
      <c r="F211" s="51"/>
      <c r="G211" s="51"/>
      <c r="J211" s="51" t="str">
        <v>kiri</v>
      </c>
      <c r="K211" s="51"/>
      <c r="L211" s="51"/>
      <c r="T211" s="51" t="str">
        <v>kanan</v>
      </c>
      <c r="U211" s="51"/>
      <c r="V211" s="51"/>
    </row>
    <row r="212" spans="5:22">
      <c r="E212" s="51" t="str">
        <v>kiri</v>
      </c>
      <c r="F212" s="51"/>
      <c r="G212" s="51"/>
      <c r="J212" s="51" t="str">
        <v>kiri</v>
      </c>
      <c r="K212" s="51"/>
      <c r="L212" s="51"/>
      <c r="T212" s="51" t="str">
        <v>tengah</v>
      </c>
      <c r="U212" s="51"/>
      <c r="V212" s="51"/>
    </row>
    <row r="213" spans="5:22">
      <c r="E213" s="51" t="str">
        <v>tengah</v>
      </c>
      <c r="F213" s="51"/>
      <c r="G213" s="51"/>
      <c r="J213" s="51" t="str">
        <v>tengah</v>
      </c>
      <c r="K213" s="51"/>
      <c r="L213" s="51"/>
      <c r="T213" s="51" t="str">
        <v>kanan</v>
      </c>
      <c r="U213" s="51"/>
      <c r="V213" s="51"/>
    </row>
    <row r="214" spans="5:22">
      <c r="E214" s="51" t="str">
        <v>kanan</v>
      </c>
      <c r="F214" s="51"/>
      <c r="G214" s="51"/>
      <c r="J214" s="51" t="str">
        <v>kanan</v>
      </c>
      <c r="K214" s="51"/>
      <c r="L214" s="51"/>
      <c r="T214" s="51" t="str">
        <v>kanan</v>
      </c>
      <c r="U214" s="51"/>
      <c r="V214" s="51"/>
    </row>
    <row r="215" spans="5:22">
      <c r="E215" s="51" t="str">
        <v>tengah</v>
      </c>
      <c r="F215" s="51"/>
      <c r="G215" s="51"/>
      <c r="J215" s="51" t="str">
        <v>kiri</v>
      </c>
      <c r="K215" s="51"/>
      <c r="L215" s="51"/>
      <c r="T215" s="51" t="str">
        <v>tengah</v>
      </c>
      <c r="U215" s="51"/>
      <c r="V215" s="51"/>
    </row>
    <row r="216" spans="5:22">
      <c r="E216" s="51" t="str">
        <v>kiri</v>
      </c>
      <c r="F216" s="51"/>
      <c r="G216" s="51"/>
      <c r="J216" s="51" t="str">
        <v>tengah</v>
      </c>
      <c r="K216" s="51"/>
      <c r="L216" s="51"/>
      <c r="T216" s="51" t="str">
        <v>kanan</v>
      </c>
      <c r="U216" s="51"/>
      <c r="V216" s="51"/>
    </row>
    <row r="217" spans="5:22">
      <c r="E217" s="51" t="str">
        <v>kiri</v>
      </c>
      <c r="F217" s="51"/>
      <c r="G217" s="51"/>
      <c r="J217" s="51" t="str">
        <v>tengah</v>
      </c>
      <c r="K217" s="51"/>
      <c r="L217" s="51"/>
      <c r="T217" s="51" t="str">
        <v>tengah</v>
      </c>
      <c r="U217" s="51"/>
      <c r="V217" s="51"/>
    </row>
    <row r="218" spans="5:22">
      <c r="E218" s="51" t="str">
        <v>tengah</v>
      </c>
      <c r="F218" s="51"/>
      <c r="G218" s="51"/>
      <c r="J218" s="51" t="str">
        <v>tengah</v>
      </c>
      <c r="K218" s="51"/>
      <c r="L218" s="51"/>
      <c r="T218" s="51" t="str">
        <v>kanan</v>
      </c>
      <c r="U218" s="51"/>
      <c r="V218" s="51"/>
    </row>
    <row r="219" spans="5:22">
      <c r="E219" s="51" t="str">
        <v>tengah</v>
      </c>
      <c r="F219" s="51"/>
      <c r="G219" s="51"/>
      <c r="J219" s="51" t="str">
        <v>tengah</v>
      </c>
      <c r="K219" s="51"/>
      <c r="L219" s="51"/>
      <c r="T219" s="51" t="str">
        <v>kanan</v>
      </c>
      <c r="U219" s="51"/>
      <c r="V219" s="51"/>
    </row>
    <row r="220" spans="5:22">
      <c r="E220" s="51" t="str">
        <v>kanan</v>
      </c>
      <c r="F220" s="51"/>
      <c r="G220" s="51"/>
      <c r="J220" s="51" t="str">
        <v>tengah</v>
      </c>
      <c r="K220" s="51"/>
      <c r="L220" s="51"/>
      <c r="T220" s="51" t="str">
        <v>kanan</v>
      </c>
      <c r="U220" s="51"/>
      <c r="V220" s="51"/>
    </row>
    <row r="221" spans="5:22">
      <c r="E221" s="51" t="str">
        <v>kanan</v>
      </c>
      <c r="F221" s="51"/>
      <c r="G221" s="51"/>
      <c r="J221" s="51" t="str">
        <v>kiri</v>
      </c>
      <c r="K221" s="51"/>
      <c r="L221" s="51"/>
      <c r="T221" s="51" t="str">
        <v>tengah</v>
      </c>
      <c r="U221" s="51"/>
      <c r="V221" s="51"/>
    </row>
    <row r="222" spans="5:22">
      <c r="E222" s="51" t="str">
        <v>tengah</v>
      </c>
      <c r="F222" s="51"/>
      <c r="G222" s="51"/>
      <c r="J222" s="51" t="str">
        <v>tengah</v>
      </c>
      <c r="K222" s="51"/>
      <c r="L222" s="51"/>
      <c r="T222" s="51" t="str">
        <v>kanan</v>
      </c>
      <c r="U222" s="51"/>
      <c r="V222" s="51"/>
    </row>
    <row r="223" spans="5:22">
      <c r="E223" s="51" t="str">
        <v>kanan</v>
      </c>
      <c r="F223" s="51"/>
      <c r="G223" s="51"/>
      <c r="J223" s="51" t="str">
        <v>tengah</v>
      </c>
      <c r="K223" s="51"/>
      <c r="L223" s="51"/>
      <c r="T223" s="51" t="str">
        <v>tengah</v>
      </c>
      <c r="U223" s="51"/>
      <c r="V223" s="51"/>
    </row>
    <row r="224" spans="5:22">
      <c r="E224" s="51" t="str">
        <v>kiri</v>
      </c>
      <c r="F224" s="51"/>
      <c r="G224" s="51"/>
      <c r="J224" s="51" t="str">
        <v>kanan</v>
      </c>
      <c r="K224" s="51"/>
      <c r="L224" s="51"/>
      <c r="T224" s="51" t="str">
        <v>kanan</v>
      </c>
      <c r="U224" s="51"/>
      <c r="V224" s="51"/>
    </row>
    <row r="225" spans="5:22">
      <c r="E225" s="51" t="str">
        <v>kiri</v>
      </c>
      <c r="F225" s="51"/>
      <c r="G225" s="51"/>
      <c r="J225" s="51" t="str">
        <v>kiri</v>
      </c>
      <c r="K225" s="51"/>
      <c r="L225" s="51"/>
      <c r="T225" s="51" t="str">
        <v>tengah</v>
      </c>
      <c r="U225" s="51"/>
      <c r="V225" s="51"/>
    </row>
    <row r="226" spans="5:22">
      <c r="E226" s="51" t="str">
        <v>tengah</v>
      </c>
      <c r="F226" s="51"/>
      <c r="G226" s="51"/>
      <c r="J226" s="51" t="str">
        <v>tengah</v>
      </c>
      <c r="K226" s="51"/>
      <c r="L226" s="51"/>
      <c r="T226" s="51" t="str">
        <v>tengah</v>
      </c>
      <c r="U226" s="51"/>
      <c r="V226" s="51"/>
    </row>
    <row r="227" spans="5:22">
      <c r="E227" s="51" t="str">
        <v>kanan</v>
      </c>
      <c r="F227" s="51"/>
      <c r="G227" s="51"/>
      <c r="J227" s="51" t="str">
        <v>kanan</v>
      </c>
      <c r="K227" s="51"/>
      <c r="L227" s="51"/>
      <c r="T227" s="51" t="str">
        <v>kanan</v>
      </c>
      <c r="U227" s="51"/>
      <c r="V227" s="51"/>
    </row>
    <row r="228" spans="5:22">
      <c r="E228" s="51" t="str">
        <v>tengah</v>
      </c>
      <c r="F228" s="51"/>
      <c r="G228" s="51"/>
      <c r="J228" s="51" t="str">
        <v>tengah</v>
      </c>
      <c r="K228" s="51"/>
      <c r="L228" s="51"/>
      <c r="T228" s="51" t="str">
        <v>tengah</v>
      </c>
      <c r="U228" s="51"/>
      <c r="V228" s="51"/>
    </row>
    <row r="229" spans="5:22">
      <c r="E229" s="51" t="str">
        <v>kanan</v>
      </c>
      <c r="F229" s="51"/>
      <c r="G229" s="51"/>
      <c r="J229" s="51" t="str">
        <v>kanan</v>
      </c>
      <c r="K229" s="51"/>
      <c r="L229" s="51"/>
      <c r="T229" s="51" t="str">
        <v>kanan</v>
      </c>
      <c r="U229" s="51"/>
      <c r="V229" s="51"/>
    </row>
    <row r="230" spans="5:22">
      <c r="E230" s="51" t="str">
        <v>tengah</v>
      </c>
      <c r="F230" s="51"/>
      <c r="G230" s="51"/>
      <c r="J230" s="51" t="str">
        <v>tengah</v>
      </c>
      <c r="K230" s="51"/>
      <c r="L230" s="51"/>
      <c r="T230" s="51" t="str">
        <v>kanan</v>
      </c>
      <c r="U230" s="51"/>
      <c r="V230" s="51"/>
    </row>
    <row r="231" spans="5:22">
      <c r="E231" s="51" t="str">
        <v>kiri</v>
      </c>
      <c r="F231" s="51"/>
      <c r="G231" s="51"/>
      <c r="J231" s="51" t="str">
        <v>kiri</v>
      </c>
      <c r="K231" s="51"/>
      <c r="L231" s="51"/>
      <c r="T231" s="51" t="str">
        <v>kanan</v>
      </c>
      <c r="U231" s="51"/>
      <c r="V231" s="51"/>
    </row>
    <row r="232" spans="5:22">
      <c r="E232" s="51" t="str">
        <v>tengah</v>
      </c>
      <c r="F232" s="51"/>
      <c r="G232" s="51"/>
      <c r="J232" s="51" t="str">
        <v>tengah</v>
      </c>
      <c r="K232" s="51"/>
      <c r="L232" s="51"/>
      <c r="T232" s="51" t="str">
        <v>kanan</v>
      </c>
      <c r="U232" s="51"/>
      <c r="V232" s="51"/>
    </row>
    <row r="233" spans="5:22">
      <c r="E233" s="51" t="str">
        <v>tengah</v>
      </c>
      <c r="F233" s="51"/>
      <c r="G233" s="51"/>
      <c r="J233" s="51" t="str">
        <v>kiri</v>
      </c>
      <c r="K233" s="51"/>
      <c r="L233" s="51"/>
      <c r="T233" s="51" t="str">
        <v>tengah</v>
      </c>
      <c r="U233" s="51"/>
      <c r="V233" s="51"/>
    </row>
    <row r="234" spans="5:22">
      <c r="E234" s="51" t="str">
        <v>tengah</v>
      </c>
      <c r="F234" s="51"/>
      <c r="G234" s="51"/>
      <c r="J234" s="51" t="str">
        <v>tengah</v>
      </c>
      <c r="K234" s="51"/>
      <c r="L234" s="51"/>
      <c r="T234" s="51" t="str">
        <v>tengah</v>
      </c>
      <c r="U234" s="51"/>
      <c r="V234" s="51"/>
    </row>
    <row r="235" spans="5:22">
      <c r="E235" s="51" t="str">
        <v>kiri</v>
      </c>
      <c r="F235" s="51"/>
      <c r="G235" s="51"/>
      <c r="J235" s="51" t="str">
        <v>tengah</v>
      </c>
      <c r="K235" s="51"/>
      <c r="L235" s="51"/>
      <c r="T235" s="51" t="str">
        <v>tengah</v>
      </c>
      <c r="U235" s="51"/>
      <c r="V235" s="51"/>
    </row>
    <row r="236" spans="5:22">
      <c r="E236" s="51" t="str">
        <v>tengah</v>
      </c>
      <c r="F236" s="51"/>
      <c r="G236" s="51"/>
      <c r="J236" s="51" t="str">
        <v>tengah</v>
      </c>
      <c r="K236" s="51"/>
      <c r="L236" s="51"/>
      <c r="T236" s="51" t="str">
        <v>kanan</v>
      </c>
      <c r="U236" s="51"/>
      <c r="V236" s="51"/>
    </row>
    <row r="237" spans="5:22">
      <c r="E237" s="51" t="str">
        <v>tengah</v>
      </c>
      <c r="F237" s="51"/>
      <c r="G237" s="51"/>
      <c r="J237" s="51" t="str">
        <v>kanan</v>
      </c>
      <c r="K237" s="51"/>
      <c r="L237" s="51"/>
      <c r="T237" s="51" t="str">
        <v>kanan</v>
      </c>
      <c r="U237" s="51"/>
      <c r="V237" s="51"/>
    </row>
    <row r="238" spans="5:22">
      <c r="E238" s="51" t="str">
        <v>kanan</v>
      </c>
      <c r="F238" s="51"/>
      <c r="G238" s="51"/>
      <c r="J238" s="51" t="str">
        <v>kanan</v>
      </c>
      <c r="K238" s="51"/>
      <c r="L238" s="51"/>
      <c r="T238" s="51" t="str">
        <v>kanan</v>
      </c>
      <c r="U238" s="51"/>
      <c r="V238" s="51"/>
    </row>
    <row r="239" spans="5:22">
      <c r="E239" s="51" t="str">
        <v>kiri</v>
      </c>
      <c r="F239" s="51"/>
      <c r="G239" s="51"/>
      <c r="J239" s="51" t="str">
        <v>tengah</v>
      </c>
      <c r="K239" s="51"/>
      <c r="L239" s="51"/>
      <c r="T239" s="51" t="str">
        <v>tengah</v>
      </c>
      <c r="U239" s="51"/>
      <c r="V239" s="51"/>
    </row>
    <row r="240" spans="5:22">
      <c r="E240" s="51" t="str">
        <v>kiri</v>
      </c>
      <c r="F240" s="51"/>
      <c r="G240" s="51"/>
      <c r="J240" s="51" t="str">
        <v>kanan</v>
      </c>
      <c r="K240" s="51"/>
      <c r="L240" s="51"/>
      <c r="T240" s="51" t="str">
        <v>tengah</v>
      </c>
      <c r="U240" s="51"/>
      <c r="V240" s="51"/>
    </row>
    <row r="241" spans="5:22">
      <c r="E241" s="51" t="str">
        <v>tengah</v>
      </c>
      <c r="F241" s="51"/>
      <c r="G241" s="51"/>
      <c r="J241" s="51" t="str">
        <v>tengah</v>
      </c>
      <c r="K241" s="51"/>
      <c r="L241" s="51"/>
      <c r="T241" s="51" t="str">
        <v>kanan</v>
      </c>
      <c r="U241" s="51"/>
      <c r="V241" s="51"/>
    </row>
    <row r="242" spans="5:22">
      <c r="E242" s="51" t="str">
        <v>kiri</v>
      </c>
      <c r="F242" s="51"/>
      <c r="G242" s="51"/>
      <c r="J242" s="51" t="str">
        <v>tengah</v>
      </c>
      <c r="K242" s="51"/>
      <c r="L242" s="51"/>
      <c r="T242" s="51" t="str">
        <v>tengah</v>
      </c>
      <c r="U242" s="51"/>
      <c r="V242" s="51"/>
    </row>
    <row r="243" spans="5:22">
      <c r="E243" s="51" t="str">
        <v>kiri</v>
      </c>
      <c r="F243" s="51"/>
      <c r="G243" s="51"/>
      <c r="J243" s="51" t="str">
        <v>kanan</v>
      </c>
      <c r="K243" s="51"/>
      <c r="L243" s="51"/>
      <c r="T243" s="51" t="str">
        <v>kanan</v>
      </c>
      <c r="U243" s="51"/>
      <c r="V243" s="51"/>
    </row>
    <row r="244" spans="5:22">
      <c r="E244" s="51" t="str">
        <v>tengah</v>
      </c>
      <c r="F244" s="51"/>
      <c r="G244" s="51"/>
      <c r="J244" s="51" t="str">
        <v>kanan</v>
      </c>
      <c r="K244" s="51"/>
      <c r="L244" s="51"/>
      <c r="T244" s="51" t="str">
        <v>tengah</v>
      </c>
      <c r="U244" s="51"/>
      <c r="V244" s="51"/>
    </row>
    <row r="245" spans="5:22">
      <c r="E245" s="51" t="str">
        <v>tengah</v>
      </c>
      <c r="F245" s="51"/>
      <c r="G245" s="51"/>
      <c r="J245" s="51" t="str">
        <v>tengah</v>
      </c>
      <c r="K245" s="51"/>
      <c r="L245" s="51"/>
      <c r="T245" s="51" t="str">
        <v>kanan</v>
      </c>
      <c r="U245" s="51"/>
      <c r="V245" s="51"/>
    </row>
    <row r="246" spans="5:22">
      <c r="E246" s="51" t="str">
        <v>kiri</v>
      </c>
      <c r="F246" s="51"/>
      <c r="G246" s="51"/>
      <c r="J246" s="51" t="str">
        <v>tengah</v>
      </c>
      <c r="K246" s="51"/>
      <c r="L246" s="51"/>
      <c r="T246" s="51" t="str">
        <v>tengah</v>
      </c>
      <c r="U246" s="51"/>
      <c r="V246" s="51"/>
    </row>
    <row r="247" spans="5:22">
      <c r="E247" s="51" t="str">
        <v>tengah</v>
      </c>
      <c r="F247" s="51"/>
      <c r="G247" s="51"/>
      <c r="J247" s="51" t="str">
        <v>tengah</v>
      </c>
      <c r="K247" s="51"/>
      <c r="L247" s="51"/>
      <c r="T247" s="51" t="str">
        <v>tengah</v>
      </c>
      <c r="U247" s="51"/>
      <c r="V247" s="51"/>
    </row>
    <row r="248" spans="5:22">
      <c r="E248" s="51" t="str">
        <v>tengah</v>
      </c>
      <c r="F248" s="51"/>
      <c r="G248" s="51"/>
      <c r="J248" s="51" t="str">
        <v>kanan</v>
      </c>
      <c r="K248" s="51"/>
      <c r="L248" s="51"/>
      <c r="T248" s="51" t="str">
        <v>tengah</v>
      </c>
      <c r="U248" s="51"/>
      <c r="V248" s="51"/>
    </row>
    <row r="249" spans="5:22">
      <c r="E249" s="51" t="str">
        <v>tengah</v>
      </c>
      <c r="F249" s="51"/>
      <c r="G249" s="51"/>
      <c r="J249" s="51" t="str">
        <v>tengah</v>
      </c>
      <c r="K249" s="51"/>
      <c r="L249" s="51"/>
      <c r="T249" s="51" t="str">
        <v>kanan</v>
      </c>
      <c r="U249" s="51"/>
      <c r="V249" s="51"/>
    </row>
    <row r="250" spans="5:22">
      <c r="E250" s="51" t="str">
        <v>tengah</v>
      </c>
      <c r="F250" s="51"/>
      <c r="G250" s="51"/>
      <c r="J250" s="51" t="str">
        <v>tengah</v>
      </c>
      <c r="K250" s="51"/>
      <c r="L250" s="51"/>
      <c r="T250" s="51" t="str">
        <v>kanan</v>
      </c>
      <c r="U250" s="51"/>
      <c r="V250" s="51"/>
    </row>
    <row r="251" spans="5:22">
      <c r="E251" s="51" t="str">
        <v>kiri</v>
      </c>
      <c r="F251" s="51"/>
      <c r="G251" s="51"/>
      <c r="J251" s="51" t="str">
        <v>kiri</v>
      </c>
      <c r="K251" s="51"/>
      <c r="L251" s="51"/>
      <c r="T251" s="51" t="str">
        <v>kanan</v>
      </c>
      <c r="U251" s="51"/>
      <c r="V251" s="51"/>
    </row>
    <row r="252" spans="5:22">
      <c r="E252" s="51" t="str">
        <v>kiri</v>
      </c>
      <c r="F252" s="51"/>
      <c r="G252" s="51"/>
      <c r="J252" s="51" t="str">
        <v>tengah</v>
      </c>
      <c r="K252" s="51"/>
      <c r="L252" s="51"/>
      <c r="T252" s="51" t="str">
        <v>tengah</v>
      </c>
      <c r="U252" s="51"/>
      <c r="V252" s="51"/>
    </row>
    <row r="253" spans="5:22">
      <c r="E253" s="51" t="str">
        <v>kanan</v>
      </c>
      <c r="F253" s="51"/>
      <c r="G253" s="51"/>
      <c r="J253" s="51" t="str">
        <v>tengah</v>
      </c>
      <c r="K253" s="51"/>
      <c r="L253" s="51"/>
      <c r="T253" s="51" t="str">
        <v>kanan</v>
      </c>
      <c r="U253" s="51"/>
      <c r="V253" s="51"/>
    </row>
    <row r="254" spans="5:22">
      <c r="E254" s="51" t="str">
        <v>tengah</v>
      </c>
      <c r="F254" s="51"/>
      <c r="G254" s="51"/>
      <c r="J254" s="51" t="str">
        <v>tengah</v>
      </c>
      <c r="K254" s="51"/>
      <c r="L254" s="51"/>
      <c r="T254" s="51" t="str">
        <v>tengah</v>
      </c>
      <c r="U254" s="51"/>
      <c r="V254" s="51"/>
    </row>
    <row r="255" spans="5:22">
      <c r="E255" s="51" t="str">
        <v>kiri</v>
      </c>
      <c r="F255" s="51"/>
      <c r="G255" s="51"/>
      <c r="J255" s="51" t="str">
        <v>kiri</v>
      </c>
      <c r="K255" s="51"/>
      <c r="L255" s="51"/>
      <c r="T255" s="51" t="str">
        <v>tengah</v>
      </c>
      <c r="U255" s="51"/>
      <c r="V255" s="51"/>
    </row>
    <row r="256" spans="5:22">
      <c r="E256" s="51" t="str">
        <v>kanan</v>
      </c>
      <c r="F256" s="51"/>
      <c r="G256" s="51"/>
      <c r="J256" s="51" t="str">
        <v>tengah</v>
      </c>
      <c r="K256" s="51"/>
      <c r="L256" s="51"/>
      <c r="T256" s="51" t="str">
        <v>kanan</v>
      </c>
      <c r="U256" s="51"/>
      <c r="V256" s="51"/>
    </row>
    <row r="257" spans="5:22">
      <c r="E257" s="51" t="str">
        <v>kiri</v>
      </c>
      <c r="F257" s="51"/>
      <c r="G257" s="51"/>
      <c r="J257" s="51" t="str">
        <v>kiri</v>
      </c>
      <c r="K257" s="51"/>
      <c r="L257" s="51"/>
      <c r="T257" s="51" t="str">
        <v>kanan</v>
      </c>
      <c r="U257" s="51"/>
      <c r="V257" s="51"/>
    </row>
    <row r="258" spans="5:22">
      <c r="E258" s="51" t="str">
        <v>tengah</v>
      </c>
      <c r="F258" s="51"/>
      <c r="G258" s="51"/>
      <c r="J258" s="51" t="str">
        <v>kiri</v>
      </c>
      <c r="K258" s="51"/>
      <c r="L258" s="51"/>
      <c r="T258" s="51" t="str">
        <v>tengah</v>
      </c>
      <c r="U258" s="51"/>
      <c r="V258" s="51"/>
    </row>
    <row r="259" spans="5:22">
      <c r="E259" s="51" t="str">
        <v>tengah</v>
      </c>
      <c r="F259" s="51"/>
      <c r="G259" s="51"/>
      <c r="J259" s="51" t="str">
        <v>tengah</v>
      </c>
      <c r="K259" s="51"/>
      <c r="L259" s="51"/>
      <c r="T259" s="51" t="str">
        <v>kanan</v>
      </c>
      <c r="U259" s="51"/>
      <c r="V259" s="51"/>
    </row>
    <row r="260" spans="5:22">
      <c r="E260" s="51" t="str">
        <v>tengah</v>
      </c>
      <c r="F260" s="51"/>
      <c r="G260" s="51"/>
      <c r="J260" s="51" t="str">
        <v>tengah</v>
      </c>
      <c r="K260" s="51"/>
      <c r="L260" s="51"/>
      <c r="T260" s="51" t="str">
        <v>tengah</v>
      </c>
      <c r="U260" s="51"/>
      <c r="V260" s="51"/>
    </row>
    <row r="261" spans="5:22">
      <c r="E261" s="51" t="str">
        <v>kanan</v>
      </c>
      <c r="F261" s="51"/>
      <c r="G261" s="51"/>
      <c r="J261" s="51" t="str">
        <v>kanan</v>
      </c>
      <c r="K261" s="51"/>
      <c r="L261" s="51"/>
      <c r="T261" s="51" t="str">
        <v>kanan</v>
      </c>
      <c r="U261" s="51"/>
      <c r="V261" s="51"/>
    </row>
    <row r="262" spans="5:22">
      <c r="E262" s="51" t="str">
        <v>tengah</v>
      </c>
      <c r="F262" s="51"/>
      <c r="G262" s="51"/>
      <c r="J262" s="51" t="str">
        <v>tengah</v>
      </c>
      <c r="K262" s="51"/>
      <c r="L262" s="51"/>
      <c r="T262" s="51" t="str">
        <v>tengah</v>
      </c>
      <c r="U262" s="51"/>
      <c r="V262" s="51"/>
    </row>
    <row r="263" spans="5:22">
      <c r="E263" s="51" t="str">
        <v>tengah</v>
      </c>
      <c r="F263" s="51"/>
      <c r="G263" s="51"/>
      <c r="J263" s="51" t="str">
        <v>tengah</v>
      </c>
      <c r="K263" s="51"/>
      <c r="L263" s="51"/>
      <c r="T263" s="51" t="str">
        <v>kanan</v>
      </c>
      <c r="U263" s="51"/>
      <c r="V263" s="51"/>
    </row>
    <row r="264" spans="5:22">
      <c r="E264" s="51" t="str">
        <v>tengah</v>
      </c>
      <c r="F264" s="51"/>
      <c r="G264" s="51"/>
      <c r="J264" s="51" t="str">
        <v>kiri</v>
      </c>
      <c r="K264" s="51"/>
      <c r="L264" s="51"/>
      <c r="T264" s="51" t="str">
        <v>tengah</v>
      </c>
      <c r="U264" s="51"/>
      <c r="V264" s="51"/>
    </row>
    <row r="265" spans="5:22">
      <c r="E265" s="51" t="str">
        <v>kiri</v>
      </c>
      <c r="F265" s="51"/>
      <c r="G265" s="51"/>
      <c r="J265" s="51" t="str">
        <v>kanan</v>
      </c>
      <c r="K265" s="51"/>
      <c r="L265" s="51"/>
      <c r="T265" s="51" t="str">
        <v>kanan</v>
      </c>
      <c r="U265" s="51"/>
      <c r="V265" s="51"/>
    </row>
    <row r="266" spans="5:22">
      <c r="E266" s="51" t="str">
        <v>tengah</v>
      </c>
      <c r="F266" s="51"/>
      <c r="G266" s="51"/>
      <c r="J266" s="51" t="str">
        <v>tengah</v>
      </c>
      <c r="K266" s="51"/>
      <c r="L266" s="51"/>
      <c r="T266" s="51" t="str">
        <v>kanan</v>
      </c>
      <c r="U266" s="51"/>
      <c r="V266" s="51"/>
    </row>
    <row r="267" spans="5:22">
      <c r="E267" s="51" t="str">
        <v>tengah</v>
      </c>
      <c r="F267" s="51"/>
      <c r="G267" s="51"/>
      <c r="J267" s="51" t="str">
        <v>kanan</v>
      </c>
      <c r="K267" s="51"/>
      <c r="L267" s="51"/>
      <c r="T267" s="51" t="str">
        <v>tengah</v>
      </c>
      <c r="U267" s="51"/>
      <c r="V267" s="51"/>
    </row>
    <row r="268" spans="5:22">
      <c r="E268" s="51" t="str">
        <v>tengah</v>
      </c>
      <c r="F268" s="51"/>
      <c r="G268" s="51"/>
      <c r="J268" s="51" t="str">
        <v>tengah</v>
      </c>
      <c r="K268" s="51"/>
      <c r="L268" s="51"/>
      <c r="T268" s="51" t="str">
        <v>kanan</v>
      </c>
      <c r="U268" s="51"/>
      <c r="V268" s="51"/>
    </row>
    <row r="269" spans="5:22">
      <c r="E269" s="51" t="str">
        <v>tengah</v>
      </c>
      <c r="F269" s="51"/>
      <c r="G269" s="51"/>
      <c r="J269" s="51" t="str">
        <v>tengah</v>
      </c>
      <c r="K269" s="51"/>
      <c r="L269" s="51"/>
      <c r="T269" s="51" t="str">
        <v>kanan</v>
      </c>
      <c r="U269" s="51"/>
      <c r="V269" s="51"/>
    </row>
    <row r="270" spans="5:22">
      <c r="E270" s="51" t="str">
        <v>kanan</v>
      </c>
      <c r="F270" s="51"/>
      <c r="G270" s="51"/>
      <c r="J270" s="51" t="str">
        <v>kanan</v>
      </c>
      <c r="K270" s="51"/>
      <c r="L270" s="51"/>
      <c r="T270" s="51" t="str">
        <v>tengah</v>
      </c>
      <c r="U270" s="51"/>
      <c r="V270" s="51"/>
    </row>
    <row r="271" spans="5:22">
      <c r="E271" s="51" t="str">
        <v>tengah</v>
      </c>
      <c r="F271" s="51"/>
      <c r="G271" s="51"/>
      <c r="J271" s="51" t="str">
        <v>kanan</v>
      </c>
      <c r="K271" s="51"/>
      <c r="L271" s="51"/>
      <c r="T271" s="51" t="str">
        <v>tengah</v>
      </c>
      <c r="U271" s="51"/>
      <c r="V271" s="51"/>
    </row>
    <row r="272" spans="5:22">
      <c r="E272" s="51" t="str">
        <v>kanan</v>
      </c>
      <c r="F272" s="51"/>
      <c r="G272" s="51"/>
      <c r="J272" s="51" t="str">
        <v>tengah</v>
      </c>
      <c r="K272" s="51"/>
      <c r="L272" s="51"/>
      <c r="T272" s="51" t="str">
        <v>tengah</v>
      </c>
      <c r="U272" s="51"/>
      <c r="V272" s="51"/>
    </row>
    <row r="273" spans="5:22">
      <c r="E273" s="51" t="str">
        <v>tengah</v>
      </c>
      <c r="F273" s="51"/>
      <c r="G273" s="51"/>
      <c r="J273" s="51" t="str">
        <v>tengah</v>
      </c>
      <c r="K273" s="51"/>
      <c r="L273" s="51"/>
      <c r="T273" s="51" t="str">
        <v>tengah</v>
      </c>
      <c r="U273" s="51"/>
      <c r="V273" s="51"/>
    </row>
    <row r="274" spans="5:22">
      <c r="E274" s="51" t="str">
        <v>tengah</v>
      </c>
      <c r="F274" s="51"/>
      <c r="G274" s="51"/>
      <c r="J274" s="51" t="str">
        <v>kanan</v>
      </c>
      <c r="K274" s="51"/>
      <c r="L274" s="51"/>
      <c r="T274" s="51" t="str">
        <v>kanan</v>
      </c>
      <c r="U274" s="51"/>
      <c r="V274" s="51"/>
    </row>
    <row r="275" spans="5:22">
      <c r="E275" s="51" t="str">
        <v>kanan</v>
      </c>
      <c r="F275" s="51"/>
      <c r="G275" s="51"/>
      <c r="J275" s="51" t="str">
        <v>tengah</v>
      </c>
      <c r="K275" s="51"/>
      <c r="L275" s="51"/>
      <c r="T275" s="51" t="str">
        <v>kanan</v>
      </c>
      <c r="U275" s="51"/>
      <c r="V275" s="51"/>
    </row>
    <row r="276" spans="5:22">
      <c r="E276" s="51" t="str">
        <v>kiri</v>
      </c>
      <c r="F276" s="51"/>
      <c r="G276" s="51"/>
      <c r="J276" s="51" t="str">
        <v>tengah</v>
      </c>
      <c r="K276" s="51"/>
      <c r="L276" s="51"/>
      <c r="T276" s="51" t="str">
        <v>tengah</v>
      </c>
      <c r="U276" s="51"/>
      <c r="V276" s="51"/>
    </row>
    <row r="277" spans="5:22">
      <c r="E277" s="51" t="str">
        <v>kanan</v>
      </c>
      <c r="F277" s="51"/>
      <c r="G277" s="51"/>
      <c r="J277" s="51" t="str">
        <v>tengah</v>
      </c>
      <c r="K277" s="51"/>
      <c r="L277" s="51"/>
      <c r="T277" s="51" t="str">
        <v>kanan</v>
      </c>
      <c r="U277" s="51"/>
      <c r="V277" s="51"/>
    </row>
    <row r="278" spans="5:22">
      <c r="E278" s="51" t="str">
        <v>tengah</v>
      </c>
      <c r="F278" s="51"/>
      <c r="G278" s="51"/>
      <c r="J278" s="51" t="str">
        <v>tengah</v>
      </c>
      <c r="K278" s="51"/>
      <c r="L278" s="51"/>
      <c r="T278" s="51" t="str">
        <v>kanan</v>
      </c>
      <c r="U278" s="51"/>
      <c r="V278" s="51"/>
    </row>
    <row r="279" spans="5:22">
      <c r="E279" s="51" t="str">
        <v>tengah</v>
      </c>
      <c r="F279" s="51"/>
      <c r="G279" s="51"/>
      <c r="J279" s="51" t="str">
        <v>tengah</v>
      </c>
      <c r="K279" s="51"/>
      <c r="L279" s="51"/>
      <c r="T279" s="51" t="str">
        <v>kanan</v>
      </c>
      <c r="U279" s="51"/>
      <c r="V279" s="51"/>
    </row>
    <row r="280" spans="5:22">
      <c r="E280" s="51" t="str">
        <v>tengah</v>
      </c>
      <c r="F280" s="51"/>
      <c r="G280" s="51"/>
      <c r="J280" s="51" t="str">
        <v>kanan</v>
      </c>
      <c r="K280" s="51"/>
      <c r="L280" s="51"/>
      <c r="T280" s="51" t="str">
        <v>kanan</v>
      </c>
      <c r="U280" s="51"/>
      <c r="V280" s="51"/>
    </row>
    <row r="281" spans="5:22">
      <c r="E281" s="51" t="str">
        <v>kiri</v>
      </c>
      <c r="F281" s="51"/>
      <c r="G281" s="51"/>
      <c r="J281" s="51" t="str">
        <v>kiri</v>
      </c>
      <c r="K281" s="51"/>
      <c r="L281" s="51"/>
      <c r="T281" s="51" t="str">
        <v>kanan</v>
      </c>
      <c r="U281" s="51"/>
      <c r="V281" s="51"/>
    </row>
    <row r="282" spans="5:22">
      <c r="E282" s="51" t="str">
        <v>tengah</v>
      </c>
      <c r="F282" s="51"/>
      <c r="G282" s="51"/>
      <c r="J282" s="51" t="str">
        <v>tengah</v>
      </c>
      <c r="K282" s="51"/>
      <c r="L282" s="51"/>
      <c r="T282" s="51" t="str">
        <v>kanan</v>
      </c>
      <c r="U282" s="51"/>
      <c r="V282" s="51"/>
    </row>
    <row r="283" spans="5:22">
      <c r="E283" s="51" t="str">
        <v>kanan</v>
      </c>
      <c r="F283" s="51"/>
      <c r="G283" s="51"/>
      <c r="J283" s="51" t="str">
        <v>tengah</v>
      </c>
      <c r="K283" s="51"/>
      <c r="L283" s="51"/>
      <c r="T283" s="51" t="str">
        <v>tengah</v>
      </c>
      <c r="U283" s="51"/>
      <c r="V283" s="51"/>
    </row>
    <row r="284" spans="5:22">
      <c r="E284" s="51" t="str">
        <v>tengah</v>
      </c>
      <c r="F284" s="51"/>
      <c r="G284" s="51"/>
      <c r="J284" s="51" t="str">
        <v>tengah</v>
      </c>
      <c r="K284" s="51"/>
      <c r="L284" s="51"/>
      <c r="T284" s="51" t="str">
        <v>kanan</v>
      </c>
      <c r="U284" s="51"/>
      <c r="V284" s="51"/>
    </row>
    <row r="285" spans="5:22">
      <c r="E285" s="51" t="str">
        <v>kiri</v>
      </c>
      <c r="F285" s="51"/>
      <c r="G285" s="51"/>
      <c r="J285" s="51" t="str">
        <v>kiri</v>
      </c>
      <c r="K285" s="51"/>
      <c r="L285" s="51"/>
      <c r="T285" s="51" t="str">
        <v>kanan</v>
      </c>
      <c r="U285" s="51"/>
      <c r="V285" s="51"/>
    </row>
    <row r="286" spans="5:22">
      <c r="E286" s="51" t="str">
        <v>tengah</v>
      </c>
      <c r="F286" s="51"/>
      <c r="G286" s="51"/>
      <c r="J286" s="51" t="str">
        <v>kiri</v>
      </c>
      <c r="K286" s="51"/>
      <c r="L286" s="51"/>
      <c r="T286" s="51" t="str">
        <v>tengah</v>
      </c>
      <c r="U286" s="51"/>
      <c r="V286" s="51"/>
    </row>
    <row r="287" spans="5:22">
      <c r="E287" s="51" t="str">
        <v>kiri</v>
      </c>
      <c r="F287" s="51"/>
      <c r="G287" s="51"/>
      <c r="J287" s="51" t="str">
        <v>kiri</v>
      </c>
      <c r="K287" s="51"/>
      <c r="L287" s="51"/>
      <c r="T287" s="51" t="str">
        <v>tengah</v>
      </c>
      <c r="U287" s="51"/>
      <c r="V287" s="51"/>
    </row>
    <row r="288" spans="5:22">
      <c r="E288" s="51" t="str">
        <v>tengah</v>
      </c>
      <c r="F288" s="51"/>
      <c r="G288" s="51"/>
      <c r="J288" s="51" t="str">
        <v>kanan</v>
      </c>
      <c r="K288" s="51"/>
      <c r="L288" s="51"/>
      <c r="T288" s="51" t="str">
        <v>tengah</v>
      </c>
      <c r="U288" s="51"/>
      <c r="V288" s="51"/>
    </row>
    <row r="289" spans="5:22">
      <c r="E289" s="51" t="str">
        <v>tengah</v>
      </c>
      <c r="F289" s="51"/>
      <c r="G289" s="51"/>
      <c r="J289" s="51" t="str">
        <v>tengah</v>
      </c>
      <c r="K289" s="51"/>
      <c r="L289" s="51"/>
      <c r="T289" s="51" t="str">
        <v>kanan</v>
      </c>
      <c r="U289" s="51"/>
      <c r="V289" s="51"/>
    </row>
    <row r="290" spans="5:22">
      <c r="E290" s="51" t="str">
        <v>tengah</v>
      </c>
      <c r="F290" s="51"/>
      <c r="G290" s="51"/>
      <c r="J290" s="51" t="str">
        <v>kanan</v>
      </c>
      <c r="K290" s="51"/>
      <c r="L290" s="51"/>
      <c r="T290" s="51" t="str">
        <v>kanan</v>
      </c>
      <c r="U290" s="51"/>
      <c r="V290" s="51"/>
    </row>
    <row r="291" spans="5:22">
      <c r="E291" s="51" t="str">
        <v>tengah</v>
      </c>
      <c r="F291" s="51"/>
      <c r="G291" s="51"/>
      <c r="J291" s="51" t="str">
        <v>tengah</v>
      </c>
      <c r="K291" s="51"/>
      <c r="L291" s="51"/>
      <c r="T291" s="51" t="str">
        <v>kanan</v>
      </c>
      <c r="U291" s="51"/>
      <c r="V291" s="51"/>
    </row>
    <row r="292" spans="5:22">
      <c r="E292" s="51" t="str">
        <v>kiri</v>
      </c>
      <c r="F292" s="51"/>
      <c r="G292" s="51"/>
      <c r="J292" s="51" t="str">
        <v>kanan</v>
      </c>
      <c r="K292" s="51"/>
      <c r="L292" s="51"/>
      <c r="T292" s="51" t="str">
        <v>tengah</v>
      </c>
      <c r="U292" s="51"/>
      <c r="V292" s="51"/>
    </row>
    <row r="293" spans="5:22">
      <c r="E293" s="51" t="str">
        <v>kanan</v>
      </c>
      <c r="F293" s="51"/>
      <c r="G293" s="51"/>
      <c r="J293" s="51" t="str">
        <v>kanan</v>
      </c>
      <c r="K293" s="51"/>
      <c r="L293" s="51"/>
      <c r="T293" s="51" t="str">
        <v>tengah</v>
      </c>
      <c r="U293" s="51"/>
      <c r="V293" s="51"/>
    </row>
    <row r="294" spans="5:22">
      <c r="E294" s="51" t="str">
        <v>tengah</v>
      </c>
      <c r="F294" s="51"/>
      <c r="G294" s="51"/>
      <c r="J294" s="51" t="str">
        <v>tengah</v>
      </c>
      <c r="K294" s="51"/>
      <c r="L294" s="51"/>
      <c r="T294" s="51" t="str">
        <v>kanan</v>
      </c>
      <c r="U294" s="51"/>
      <c r="V294" s="51"/>
    </row>
    <row r="295" spans="5:22">
      <c r="E295" s="51" t="str">
        <v>tengah</v>
      </c>
      <c r="F295" s="51"/>
      <c r="G295" s="51"/>
      <c r="J295" s="51" t="str">
        <v>tengah</v>
      </c>
      <c r="K295" s="51"/>
      <c r="L295" s="51"/>
      <c r="T295" s="51" t="str">
        <v>tengah</v>
      </c>
      <c r="U295" s="51"/>
      <c r="V295" s="51"/>
    </row>
    <row r="296" spans="5:22">
      <c r="E296" s="51" t="str">
        <v>kiri</v>
      </c>
      <c r="F296" s="51"/>
      <c r="G296" s="51"/>
      <c r="J296" s="51" t="str">
        <v>tengah</v>
      </c>
      <c r="K296" s="51"/>
      <c r="L296" s="51"/>
      <c r="T296" s="51" t="str">
        <v>tengah</v>
      </c>
      <c r="U296" s="51"/>
      <c r="V296" s="51"/>
    </row>
    <row r="297" spans="5:22">
      <c r="E297" s="51" t="str">
        <v>kiri</v>
      </c>
      <c r="F297" s="51"/>
      <c r="G297" s="51"/>
      <c r="J297" s="51" t="str">
        <v>tengah</v>
      </c>
      <c r="K297" s="51"/>
      <c r="L297" s="51"/>
      <c r="T297" s="51" t="str">
        <v>kanan</v>
      </c>
      <c r="U297" s="51"/>
      <c r="V297" s="51"/>
    </row>
    <row r="298" spans="5:22">
      <c r="E298" s="51" t="str">
        <v>tengah</v>
      </c>
      <c r="F298" s="51"/>
      <c r="G298" s="51"/>
      <c r="J298" s="51" t="str">
        <v>tengah</v>
      </c>
      <c r="K298" s="51"/>
      <c r="L298" s="51"/>
      <c r="T298" s="51" t="str">
        <v>kanan</v>
      </c>
      <c r="U298" s="51"/>
      <c r="V298" s="51"/>
    </row>
    <row r="299" spans="5:22">
      <c r="E299" s="51" t="str">
        <v>kanan</v>
      </c>
      <c r="F299" s="51"/>
      <c r="G299" s="51"/>
      <c r="J299" s="51" t="str">
        <v>tengah</v>
      </c>
      <c r="K299" s="51"/>
      <c r="L299" s="51"/>
      <c r="T299" s="51" t="str">
        <v>tengah</v>
      </c>
      <c r="U299" s="51"/>
      <c r="V299" s="51"/>
    </row>
    <row r="300" spans="5:22">
      <c r="E300" s="51" t="str">
        <v>tengah</v>
      </c>
      <c r="F300" s="51"/>
      <c r="G300" s="51"/>
      <c r="J300" s="51" t="str">
        <v>tengah</v>
      </c>
      <c r="K300" s="51"/>
      <c r="L300" s="51"/>
      <c r="T300" s="51" t="str">
        <v>kanan</v>
      </c>
      <c r="U300" s="51"/>
      <c r="V300" s="51"/>
    </row>
    <row r="301" spans="5:22">
      <c r="E301" s="51" t="str">
        <v>tengah</v>
      </c>
      <c r="F301" s="51"/>
      <c r="G301" s="51"/>
      <c r="J301" s="51" t="str">
        <v>kanan</v>
      </c>
      <c r="K301" s="51"/>
      <c r="L301" s="51"/>
      <c r="T301" s="51" t="str">
        <v>tengah</v>
      </c>
      <c r="U301" s="51"/>
      <c r="V301" s="51"/>
    </row>
    <row r="302" spans="5:22">
      <c r="E302" s="51" t="str">
        <v>tengah</v>
      </c>
      <c r="F302" s="51"/>
      <c r="G302" s="51"/>
      <c r="J302" s="51" t="str">
        <v>kanan</v>
      </c>
      <c r="K302" s="51"/>
      <c r="L302" s="51"/>
      <c r="T302" s="51" t="str">
        <v>kanan</v>
      </c>
      <c r="U302" s="51"/>
      <c r="V302" s="51"/>
    </row>
    <row r="303" spans="5:22">
      <c r="E303" s="51" t="str">
        <v>tengah</v>
      </c>
      <c r="F303" s="51"/>
      <c r="G303" s="51"/>
      <c r="J303" s="51" t="str">
        <v>kanan</v>
      </c>
      <c r="K303" s="51"/>
      <c r="L303" s="51"/>
      <c r="T303" s="51" t="str">
        <v>tengah</v>
      </c>
      <c r="U303" s="51"/>
      <c r="V303" s="51"/>
    </row>
    <row r="304" spans="5:22">
      <c r="E304" s="51" t="str">
        <v>tengah</v>
      </c>
      <c r="F304" s="51"/>
      <c r="G304" s="51"/>
      <c r="J304" s="51" t="str">
        <v>tengah</v>
      </c>
      <c r="K304" s="51"/>
      <c r="L304" s="51"/>
      <c r="T304" s="51" t="str">
        <v>kanan</v>
      </c>
      <c r="U304" s="51"/>
      <c r="V304" s="51"/>
    </row>
    <row r="305" spans="5:22">
      <c r="E305" s="51" t="str">
        <v>kanan</v>
      </c>
      <c r="F305" s="51"/>
      <c r="G305" s="51"/>
      <c r="J305" s="51" t="str">
        <v>tengah</v>
      </c>
      <c r="K305" s="51"/>
      <c r="L305" s="51"/>
      <c r="T305" s="51" t="str">
        <v>kanan</v>
      </c>
      <c r="U305" s="51"/>
      <c r="V305" s="51"/>
    </row>
    <row r="306" spans="5:22">
      <c r="E306" s="51" t="str">
        <v>kiri</v>
      </c>
      <c r="F306" s="51"/>
      <c r="G306" s="51"/>
      <c r="J306" s="51" t="str">
        <v>kanan</v>
      </c>
      <c r="K306" s="51"/>
      <c r="L306" s="51"/>
      <c r="T306" s="51" t="str">
        <v>kanan</v>
      </c>
      <c r="U306" s="51"/>
      <c r="V306" s="51"/>
    </row>
    <row r="307" spans="5:22">
      <c r="E307" s="51" t="str">
        <v>kiri</v>
      </c>
      <c r="F307" s="51"/>
      <c r="G307" s="51"/>
      <c r="J307" s="51" t="str">
        <v>tengah</v>
      </c>
      <c r="K307" s="51"/>
      <c r="L307" s="51"/>
      <c r="T307" s="51" t="str">
        <v>kanan</v>
      </c>
      <c r="U307" s="51"/>
      <c r="V307" s="51"/>
    </row>
    <row r="308" spans="5:22">
      <c r="E308" s="51" t="str">
        <v>tengah</v>
      </c>
      <c r="F308" s="51"/>
      <c r="G308" s="51"/>
      <c r="J308" s="51" t="str">
        <v>kanan</v>
      </c>
      <c r="K308" s="51"/>
      <c r="L308" s="51"/>
      <c r="T308" s="51" t="str">
        <v>tengah</v>
      </c>
      <c r="U308" s="51"/>
      <c r="V308" s="51"/>
    </row>
    <row r="309" spans="5:22">
      <c r="E309" s="51" t="str">
        <v>tengah</v>
      </c>
      <c r="F309" s="51"/>
      <c r="G309" s="51"/>
      <c r="J309" s="51" t="str">
        <v>tengah</v>
      </c>
      <c r="K309" s="51"/>
      <c r="L309" s="51"/>
      <c r="T309" s="51" t="str">
        <v>kanan</v>
      </c>
      <c r="U309" s="51"/>
      <c r="V309" s="51"/>
    </row>
    <row r="310" spans="5:22">
      <c r="E310" s="51" t="str">
        <v>tengah</v>
      </c>
      <c r="F310" s="51"/>
      <c r="G310" s="51"/>
      <c r="J310" s="51" t="str">
        <v>tengah</v>
      </c>
      <c r="K310" s="51"/>
      <c r="L310" s="51"/>
      <c r="T310" s="51" t="str">
        <v>tengah</v>
      </c>
      <c r="U310" s="51"/>
      <c r="V310" s="51"/>
    </row>
    <row r="311" spans="5:22">
      <c r="E311" s="51" t="str">
        <v>kiri</v>
      </c>
      <c r="F311" s="51"/>
      <c r="G311" s="51"/>
      <c r="J311" s="51" t="str">
        <v>kiri</v>
      </c>
      <c r="K311" s="51"/>
      <c r="L311" s="51"/>
      <c r="T311" s="51" t="str">
        <v>kanan</v>
      </c>
      <c r="U311" s="51"/>
      <c r="V311" s="51"/>
    </row>
    <row r="312" spans="5:22">
      <c r="E312" s="51" t="str">
        <v>tengah</v>
      </c>
      <c r="F312" s="51"/>
      <c r="G312" s="51"/>
      <c r="J312" s="51" t="str">
        <v>tengah</v>
      </c>
      <c r="K312" s="51"/>
      <c r="L312" s="51"/>
      <c r="T312" s="51" t="str">
        <v>tengah</v>
      </c>
      <c r="U312" s="51"/>
      <c r="V312" s="51"/>
    </row>
    <row r="313" spans="5:22">
      <c r="E313" s="51" t="str">
        <v>kiri</v>
      </c>
      <c r="F313" s="51"/>
      <c r="G313" s="51"/>
      <c r="J313" s="51" t="str">
        <v>tengah</v>
      </c>
      <c r="K313" s="51"/>
      <c r="L313" s="51"/>
      <c r="T313" s="51" t="str">
        <v>tengah</v>
      </c>
      <c r="U313" s="51"/>
      <c r="V313" s="51"/>
    </row>
    <row r="314" spans="5:22">
      <c r="E314" s="51" t="str">
        <v>kanan</v>
      </c>
      <c r="F314" s="51"/>
      <c r="G314" s="51"/>
      <c r="J314" s="51" t="str">
        <v>tengah</v>
      </c>
      <c r="K314" s="51"/>
      <c r="L314" s="51"/>
      <c r="T314" s="51" t="str">
        <v>kanan</v>
      </c>
      <c r="U314" s="51"/>
      <c r="V314" s="51"/>
    </row>
    <row r="315" spans="5:22">
      <c r="E315" s="51" t="str">
        <v>tengah</v>
      </c>
      <c r="F315" s="51"/>
      <c r="G315" s="51"/>
      <c r="J315" s="51" t="str">
        <v>tengah</v>
      </c>
      <c r="K315" s="51"/>
      <c r="L315" s="51"/>
      <c r="T315" s="51" t="str">
        <v>kanan</v>
      </c>
      <c r="U315" s="51"/>
      <c r="V315" s="51"/>
    </row>
    <row r="316" spans="5:22">
      <c r="E316" s="51" t="str">
        <v>tengah</v>
      </c>
      <c r="F316" s="51"/>
      <c r="G316" s="51"/>
      <c r="J316" s="51" t="str">
        <v>tengah</v>
      </c>
      <c r="K316" s="51"/>
      <c r="L316" s="51"/>
      <c r="T316" s="51" t="str">
        <v>tengah</v>
      </c>
      <c r="U316" s="51"/>
      <c r="V316" s="51"/>
    </row>
    <row r="317" spans="5:22">
      <c r="E317" s="51" t="str">
        <v>kiri</v>
      </c>
      <c r="F317" s="51"/>
      <c r="G317" s="51"/>
      <c r="J317" s="51" t="str">
        <v>tengah</v>
      </c>
      <c r="K317" s="51"/>
      <c r="L317" s="51"/>
      <c r="T317" s="51" t="str">
        <v>tengah</v>
      </c>
      <c r="U317" s="51"/>
      <c r="V317" s="51"/>
    </row>
    <row r="318" spans="5:22">
      <c r="E318" s="51" t="str">
        <v>kiri</v>
      </c>
      <c r="F318" s="51"/>
      <c r="G318" s="51"/>
      <c r="J318" s="51" t="str">
        <v>tengah</v>
      </c>
      <c r="K318" s="51"/>
      <c r="L318" s="51"/>
      <c r="T318" s="51" t="str">
        <v>tengah</v>
      </c>
      <c r="U318" s="51"/>
      <c r="V318" s="51"/>
    </row>
    <row r="319" spans="5:22">
      <c r="E319" s="51" t="str">
        <v>tengah</v>
      </c>
      <c r="F319" s="51"/>
      <c r="G319" s="51"/>
      <c r="J319" s="51" t="str">
        <v>tengah</v>
      </c>
      <c r="K319" s="51"/>
      <c r="L319" s="51"/>
      <c r="T319" s="51" t="str">
        <v>kanan</v>
      </c>
      <c r="U319" s="51"/>
      <c r="V319" s="51"/>
    </row>
    <row r="320" spans="5:22">
      <c r="E320" s="51" t="str">
        <v>tengah</v>
      </c>
      <c r="F320" s="51"/>
      <c r="G320" s="51"/>
      <c r="J320" s="51" t="str">
        <v>kanan</v>
      </c>
      <c r="K320" s="51"/>
      <c r="L320" s="51"/>
      <c r="T320" s="51" t="str">
        <v>kanan</v>
      </c>
      <c r="U320" s="51"/>
      <c r="V320" s="51"/>
    </row>
    <row r="321" spans="5:22">
      <c r="E321" s="51" t="str">
        <v>kiri</v>
      </c>
      <c r="F321" s="51"/>
      <c r="G321" s="51"/>
      <c r="J321" s="51" t="str">
        <v>tengah</v>
      </c>
      <c r="K321" s="51"/>
      <c r="L321" s="51"/>
      <c r="T321" s="51" t="str">
        <v>tengah</v>
      </c>
      <c r="U321" s="51"/>
      <c r="V321" s="51"/>
    </row>
    <row r="322" spans="5:22">
      <c r="E322" s="51" t="str">
        <v>tengah</v>
      </c>
      <c r="F322" s="51"/>
      <c r="G322" s="51"/>
      <c r="J322" s="51" t="str">
        <v>kanan</v>
      </c>
      <c r="K322" s="51"/>
      <c r="L322" s="51"/>
      <c r="T322" s="51" t="str">
        <v>tengah</v>
      </c>
      <c r="U322" s="51"/>
      <c r="V322" s="51"/>
    </row>
    <row r="323" spans="5:22">
      <c r="E323" s="51" t="str">
        <v>kanan</v>
      </c>
      <c r="F323" s="51"/>
      <c r="G323" s="51"/>
      <c r="J323" s="51" t="str">
        <v>tengah</v>
      </c>
      <c r="K323" s="51"/>
      <c r="L323" s="51"/>
      <c r="T323" s="51" t="str">
        <v>kanan</v>
      </c>
      <c r="U323" s="51"/>
      <c r="V323" s="51"/>
    </row>
    <row r="324" spans="5:22">
      <c r="E324" s="51" t="str">
        <v>kiri</v>
      </c>
      <c r="F324" s="51"/>
      <c r="G324" s="51"/>
      <c r="J324" s="51" t="str">
        <v>tengah</v>
      </c>
      <c r="K324" s="51"/>
      <c r="L324" s="51"/>
      <c r="T324" s="51" t="str">
        <v>tengah</v>
      </c>
      <c r="U324" s="51"/>
      <c r="V324" s="51"/>
    </row>
    <row r="325" spans="5:22">
      <c r="E325" s="51" t="str">
        <v>kiri</v>
      </c>
      <c r="F325" s="51"/>
      <c r="G325" s="51"/>
      <c r="J325" s="51" t="str">
        <v>kiri</v>
      </c>
      <c r="K325" s="51"/>
      <c r="L325" s="51"/>
      <c r="T325" s="51" t="str">
        <v>kanan</v>
      </c>
      <c r="U325" s="51"/>
      <c r="V325" s="51"/>
    </row>
    <row r="326" spans="5:22">
      <c r="E326" s="51" t="str">
        <v>kiri</v>
      </c>
      <c r="F326" s="51"/>
      <c r="G326" s="51"/>
      <c r="J326" s="51" t="str">
        <v>kiri</v>
      </c>
      <c r="K326" s="51"/>
      <c r="L326" s="51"/>
      <c r="T326" s="51" t="str">
        <v>kanan</v>
      </c>
      <c r="U326" s="51"/>
      <c r="V326" s="51"/>
    </row>
    <row r="327" spans="5:22">
      <c r="E327" s="51" t="str">
        <v>tengah</v>
      </c>
      <c r="F327" s="51"/>
      <c r="G327" s="51"/>
      <c r="J327" s="51" t="str">
        <v>tengah</v>
      </c>
      <c r="K327" s="51"/>
      <c r="L327" s="51"/>
      <c r="T327" s="51" t="str">
        <v>tengah</v>
      </c>
      <c r="U327" s="51"/>
      <c r="V327" s="51"/>
    </row>
    <row r="328" spans="5:22">
      <c r="E328" s="51" t="str">
        <v>kanan</v>
      </c>
      <c r="F328" s="51"/>
      <c r="G328" s="51"/>
      <c r="J328" s="51" t="str">
        <v>kiri</v>
      </c>
      <c r="K328" s="51"/>
      <c r="L328" s="51"/>
      <c r="T328" s="51" t="str">
        <v>tengah</v>
      </c>
      <c r="U328" s="51"/>
      <c r="V328" s="51"/>
    </row>
    <row r="329" spans="5:22">
      <c r="E329" s="51" t="str">
        <v>kanan</v>
      </c>
      <c r="F329" s="51"/>
      <c r="G329" s="51"/>
      <c r="J329" s="51" t="str">
        <v>kanan</v>
      </c>
      <c r="K329" s="51"/>
      <c r="L329" s="51"/>
      <c r="T329" s="51" t="str">
        <v>kanan</v>
      </c>
      <c r="U329" s="51"/>
      <c r="V329" s="51"/>
    </row>
    <row r="330" spans="5:22">
      <c r="E330" s="51" t="str">
        <v>tengah</v>
      </c>
      <c r="F330" s="51"/>
      <c r="G330" s="51"/>
      <c r="J330" s="51" t="str">
        <v>tengah</v>
      </c>
      <c r="K330" s="51"/>
      <c r="L330" s="51"/>
      <c r="T330" s="51" t="str">
        <v>tengah</v>
      </c>
      <c r="U330" s="51"/>
      <c r="V330" s="51"/>
    </row>
    <row r="331" spans="5:22">
      <c r="E331" s="51" t="str">
        <v>tengah</v>
      </c>
      <c r="F331" s="51"/>
      <c r="G331" s="51"/>
      <c r="J331" s="51" t="str">
        <v>tengah</v>
      </c>
      <c r="K331" s="51"/>
      <c r="L331" s="51"/>
      <c r="T331" s="51" t="str">
        <v>kanan</v>
      </c>
      <c r="U331" s="51"/>
      <c r="V331" s="51"/>
    </row>
    <row r="332" spans="5:22">
      <c r="E332" s="51" t="str">
        <v>tengah</v>
      </c>
      <c r="F332" s="51"/>
      <c r="G332" s="51"/>
      <c r="J332" s="51" t="str">
        <v>kanan</v>
      </c>
      <c r="K332" s="51"/>
      <c r="L332" s="51"/>
      <c r="T332" s="51" t="str">
        <v>tengah</v>
      </c>
      <c r="U332" s="51"/>
      <c r="V332" s="51"/>
    </row>
  </sheetData>
  <pageMargins left="0.7" right="0.7" top="0.75" bottom="0.75" header="0.3" footer="0.3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32"/>
  <sheetViews>
    <sheetView topLeftCell="E184" workbookViewId="0">
      <selection activeCell="P197" sqref="P197"/>
    </sheetView>
  </sheetViews>
  <sheetFormatPr defaultColWidth="9.14074074074074" defaultRowHeight="15"/>
  <cols>
    <col min="1" max="2" width="9.14074074074074" style="49"/>
    <col min="3" max="3" width="13.2814814814815" style="49" customWidth="1"/>
    <col min="4" max="4" width="13.8518518518519" style="49" customWidth="1"/>
    <col min="5" max="5" width="9.14074074074074" style="49"/>
    <col min="6" max="6" width="16.1407407407407" style="49" customWidth="1"/>
    <col min="7" max="9" width="9.14074074074074" style="49"/>
    <col min="10" max="10" width="13.2814814814815" style="49" customWidth="1"/>
    <col min="11" max="11" width="13.8518518518519" style="49" customWidth="1"/>
    <col min="12" max="13" width="9.14074074074074" style="49"/>
    <col min="14" max="14" width="15" style="49" customWidth="1"/>
    <col min="15" max="15" width="16.1407407407407" style="49" customWidth="1"/>
    <col min="16" max="16384" width="9.14074074074074" style="49"/>
  </cols>
  <sheetData>
    <row r="1" spans="1:17">
      <c r="A1" s="50" t="s">
        <v>183</v>
      </c>
      <c r="B1" s="50" t="s">
        <v>1</v>
      </c>
      <c r="C1" s="50" t="s">
        <v>4</v>
      </c>
      <c r="D1" s="50" t="s">
        <v>5</v>
      </c>
      <c r="E1" s="58"/>
      <c r="H1" s="50" t="s">
        <v>183</v>
      </c>
      <c r="I1" s="50" t="s">
        <v>1</v>
      </c>
      <c r="J1" s="50" t="s">
        <v>4</v>
      </c>
      <c r="K1" s="50" t="s">
        <v>5</v>
      </c>
      <c r="O1" s="50" t="s">
        <v>184</v>
      </c>
      <c r="P1" s="53"/>
      <c r="Q1" s="53"/>
    </row>
    <row r="2" spans="1:17">
      <c r="A2" s="51">
        <f ca="1" t="shared" ref="A2:A33" si="0">RANDBETWEEN(2,164)</f>
        <v>60</v>
      </c>
      <c r="B2" s="51">
        <f ca="1" t="array" ref="B2">INDEX([1]Data_DBD!$B:$B,$A2)</f>
        <v>68</v>
      </c>
      <c r="C2" s="51">
        <f ca="1" t="array" ref="C2">INDEX([1]Data_DBD!$E:$E,$A2)</f>
        <v>0</v>
      </c>
      <c r="D2" s="51" t="str">
        <f ca="1" t="array" ref="D2">INDEX([1]Data_DBD!$F:$F,$A2)</f>
        <v>Sedang</v>
      </c>
      <c r="E2" s="59"/>
      <c r="H2" s="51">
        <v>105</v>
      </c>
      <c r="I2" s="51">
        <v>61</v>
      </c>
      <c r="J2" s="51">
        <v>1</v>
      </c>
      <c r="K2" s="51" t="s">
        <v>105</v>
      </c>
      <c r="O2" s="53" t="s">
        <v>105</v>
      </c>
      <c r="P2" s="53">
        <f>COUNTIF(K2:K164,"Tinggi")</f>
        <v>69</v>
      </c>
      <c r="Q2" s="53">
        <f>P2/163</f>
        <v>0.423312883435583</v>
      </c>
    </row>
    <row r="3" spans="1:17">
      <c r="A3" s="51">
        <f ca="1" t="shared" si="0"/>
        <v>27</v>
      </c>
      <c r="B3" s="51">
        <f ca="1" t="array" ref="B3">INDEX([1]Data_DBD!$B:$B,$A3)</f>
        <v>37</v>
      </c>
      <c r="C3" s="51">
        <f ca="1" t="array" ref="C3">INDEX([1]Data_DBD!$E:$E,$A3)</f>
        <v>1</v>
      </c>
      <c r="D3" s="51" t="str">
        <f ca="1" t="array" ref="D3">INDEX([1]Data_DBD!$F:$F,$A3)</f>
        <v>Sedang</v>
      </c>
      <c r="E3" s="59"/>
      <c r="H3" s="51">
        <v>71</v>
      </c>
      <c r="I3" s="51">
        <v>84</v>
      </c>
      <c r="J3" s="51">
        <v>0</v>
      </c>
      <c r="K3" s="51" t="s">
        <v>8</v>
      </c>
      <c r="O3" s="53" t="s">
        <v>8</v>
      </c>
      <c r="P3" s="53">
        <f>COUNTIF(K2:K164,"Sedang")</f>
        <v>74</v>
      </c>
      <c r="Q3" s="53">
        <f>P3/163</f>
        <v>0.45398773006135</v>
      </c>
    </row>
    <row r="4" spans="1:17">
      <c r="A4" s="51">
        <f ca="1" t="shared" si="0"/>
        <v>32</v>
      </c>
      <c r="B4" s="51">
        <f ca="1" t="array" ref="B4">INDEX([1]Data_DBD!$B:$B,$A4)</f>
        <v>54</v>
      </c>
      <c r="C4" s="51">
        <f ca="1" t="array" ref="C4">INDEX([1]Data_DBD!$E:$E,$A4)</f>
        <v>0</v>
      </c>
      <c r="D4" s="51" t="str">
        <f ca="1" t="array" ref="D4">INDEX([1]Data_DBD!$F:$F,$A4)</f>
        <v>Sedang</v>
      </c>
      <c r="E4" s="59"/>
      <c r="H4" s="51">
        <v>73</v>
      </c>
      <c r="I4" s="51">
        <v>15</v>
      </c>
      <c r="J4" s="51">
        <v>1</v>
      </c>
      <c r="K4" s="51" t="s">
        <v>8</v>
      </c>
      <c r="O4" s="53" t="s">
        <v>26</v>
      </c>
      <c r="P4" s="53">
        <f>COUNTIF(K2:K164,"Rendah")</f>
        <v>20</v>
      </c>
      <c r="Q4" s="53">
        <f>P4/163</f>
        <v>0.122699386503067</v>
      </c>
    </row>
    <row r="5" spans="1:16">
      <c r="A5" s="51">
        <f ca="1" t="shared" si="0"/>
        <v>149</v>
      </c>
      <c r="B5" s="51">
        <f ca="1" t="array" ref="B5">INDEX([1]Data_DBD!$B:$B,$A5)</f>
        <v>19</v>
      </c>
      <c r="C5" s="51">
        <f ca="1" t="array" ref="C5">INDEX([1]Data_DBD!$E:$E,$A5)</f>
        <v>0</v>
      </c>
      <c r="D5" s="51" t="str">
        <f ca="1" t="array" ref="D5">INDEX([1]Data_DBD!$F:$F,$A5)</f>
        <v>Tinggi</v>
      </c>
      <c r="E5" s="59"/>
      <c r="H5" s="51">
        <v>36</v>
      </c>
      <c r="I5" s="51">
        <v>27</v>
      </c>
      <c r="J5" s="51">
        <v>1</v>
      </c>
      <c r="K5" s="51" t="s">
        <v>26</v>
      </c>
      <c r="O5" s="54" t="s">
        <v>185</v>
      </c>
      <c r="P5" s="49">
        <f>-(IFERROR(Q2*LOG(Q2,2),0)+IFERROR(Q3*LOG(Q3,2),0)+IFERROR(Q4*LOG(Q4,2),0))</f>
        <v>1.41359748875879</v>
      </c>
    </row>
    <row r="6" spans="1:11">
      <c r="A6" s="51">
        <f ca="1" t="shared" si="0"/>
        <v>94</v>
      </c>
      <c r="B6" s="51">
        <f ca="1" t="array" ref="B6">INDEX([1]Data_DBD!$B:$B,$A6)</f>
        <v>12</v>
      </c>
      <c r="C6" s="51">
        <f ca="1" t="array" ref="C6">INDEX([1]Data_DBD!$E:$E,$A6)</f>
        <v>0</v>
      </c>
      <c r="D6" s="51" t="str">
        <f ca="1" t="array" ref="D6">INDEX([1]Data_DBD!$F:$F,$A6)</f>
        <v>Tinggi</v>
      </c>
      <c r="E6" s="59"/>
      <c r="H6" s="51">
        <v>15</v>
      </c>
      <c r="I6" s="51">
        <v>21</v>
      </c>
      <c r="J6" s="51">
        <v>0</v>
      </c>
      <c r="K6" s="51" t="s">
        <v>26</v>
      </c>
    </row>
    <row r="7" spans="1:11">
      <c r="A7" s="51">
        <f ca="1" t="shared" si="0"/>
        <v>20</v>
      </c>
      <c r="B7" s="51">
        <f ca="1" t="array" ref="B7">INDEX([1]Data_DBD!$B:$B,$A7)</f>
        <v>15</v>
      </c>
      <c r="C7" s="51">
        <f ca="1" t="array" ref="C7">INDEX([1]Data_DBD!$E:$E,$A7)</f>
        <v>0</v>
      </c>
      <c r="D7" s="51" t="str">
        <f ca="1" t="array" ref="D7">INDEX([1]Data_DBD!$F:$F,$A7)</f>
        <v>Rendah</v>
      </c>
      <c r="E7" s="59"/>
      <c r="H7" s="51">
        <v>49</v>
      </c>
      <c r="I7" s="51">
        <v>64</v>
      </c>
      <c r="J7" s="51">
        <v>0</v>
      </c>
      <c r="K7" s="51" t="s">
        <v>8</v>
      </c>
    </row>
    <row r="8" spans="1:11">
      <c r="A8" s="51">
        <f ca="1" t="shared" si="0"/>
        <v>61</v>
      </c>
      <c r="B8" s="51">
        <f ca="1" t="array" ref="B8">INDEX([1]Data_DBD!$B:$B,$A8)</f>
        <v>29</v>
      </c>
      <c r="C8" s="51">
        <f ca="1" t="array" ref="C8">INDEX([1]Data_DBD!$E:$E,$A8)</f>
        <v>1</v>
      </c>
      <c r="D8" s="51" t="str">
        <f ca="1" t="array" ref="D8">INDEX([1]Data_DBD!$F:$F,$A8)</f>
        <v>Sedang</v>
      </c>
      <c r="E8" s="59"/>
      <c r="H8" s="51">
        <v>106</v>
      </c>
      <c r="I8" s="51">
        <v>23</v>
      </c>
      <c r="J8" s="51">
        <v>1</v>
      </c>
      <c r="K8" s="51" t="s">
        <v>105</v>
      </c>
    </row>
    <row r="9" spans="1:11">
      <c r="A9" s="51">
        <f ca="1" t="shared" si="0"/>
        <v>65</v>
      </c>
      <c r="B9" s="51">
        <f ca="1" t="array" ref="B9">INDEX([1]Data_DBD!$B:$B,$A9)</f>
        <v>49</v>
      </c>
      <c r="C9" s="51">
        <f ca="1" t="array" ref="C9">INDEX([1]Data_DBD!$E:$E,$A9)</f>
        <v>0</v>
      </c>
      <c r="D9" s="51" t="str">
        <f ca="1" t="array" ref="D9">INDEX([1]Data_DBD!$F:$F,$A9)</f>
        <v>Sedang</v>
      </c>
      <c r="E9" s="59"/>
      <c r="H9" s="51">
        <v>96</v>
      </c>
      <c r="I9" s="51">
        <v>56</v>
      </c>
      <c r="J9" s="51">
        <v>0</v>
      </c>
      <c r="K9" s="51" t="s">
        <v>105</v>
      </c>
    </row>
    <row r="10" spans="1:11">
      <c r="A10" s="51">
        <f ca="1" t="shared" si="0"/>
        <v>23</v>
      </c>
      <c r="B10" s="51">
        <f ca="1" t="array" ref="B10">INDEX([1]Data_DBD!$B:$B,$A10)</f>
        <v>28</v>
      </c>
      <c r="C10" s="51">
        <f ca="1" t="array" ref="C10">INDEX([1]Data_DBD!$E:$E,$A10)</f>
        <v>1</v>
      </c>
      <c r="D10" s="51" t="str">
        <f ca="1" t="array" ref="D10">INDEX([1]Data_DBD!$F:$F,$A10)</f>
        <v>Sedang</v>
      </c>
      <c r="E10" s="59"/>
      <c r="H10" s="51">
        <v>137</v>
      </c>
      <c r="I10" s="51">
        <v>3</v>
      </c>
      <c r="J10" s="51">
        <v>1</v>
      </c>
      <c r="K10" s="51" t="s">
        <v>105</v>
      </c>
    </row>
    <row r="11" spans="1:11">
      <c r="A11" s="51">
        <f ca="1" t="shared" si="0"/>
        <v>81</v>
      </c>
      <c r="B11" s="51">
        <f ca="1" t="array" ref="B11">INDEX([1]Data_DBD!$B:$B,$A11)</f>
        <v>23</v>
      </c>
      <c r="C11" s="51">
        <f ca="1" t="array" ref="C11">INDEX([1]Data_DBD!$E:$E,$A11)</f>
        <v>1</v>
      </c>
      <c r="D11" s="51" t="str">
        <f ca="1" t="array" ref="D11">INDEX([1]Data_DBD!$F:$F,$A11)</f>
        <v>Sedang</v>
      </c>
      <c r="E11" s="59"/>
      <c r="H11" s="51">
        <v>33</v>
      </c>
      <c r="I11" s="51">
        <v>19</v>
      </c>
      <c r="J11" s="51">
        <v>1</v>
      </c>
      <c r="K11" s="51" t="s">
        <v>8</v>
      </c>
    </row>
    <row r="12" spans="1:11">
      <c r="A12" s="51">
        <f ca="1" t="shared" si="0"/>
        <v>102</v>
      </c>
      <c r="B12" s="51">
        <f ca="1" t="array" ref="B12">INDEX([1]Data_DBD!$B:$B,$A12)</f>
        <v>41</v>
      </c>
      <c r="C12" s="51">
        <f ca="1" t="array" ref="C12">INDEX([1]Data_DBD!$E:$E,$A12)</f>
        <v>0</v>
      </c>
      <c r="D12" s="51" t="str">
        <f ca="1" t="array" ref="D12">INDEX([1]Data_DBD!$F:$F,$A12)</f>
        <v>Tinggi</v>
      </c>
      <c r="E12" s="59"/>
      <c r="H12" s="51">
        <v>74</v>
      </c>
      <c r="I12" s="51">
        <v>9</v>
      </c>
      <c r="J12" s="51">
        <v>0</v>
      </c>
      <c r="K12" s="51" t="s">
        <v>8</v>
      </c>
    </row>
    <row r="13" spans="1:11">
      <c r="A13" s="51">
        <f ca="1" t="shared" si="0"/>
        <v>85</v>
      </c>
      <c r="B13" s="51">
        <f ca="1" t="array" ref="B13">INDEX([1]Data_DBD!$B:$B,$A13)</f>
        <v>27</v>
      </c>
      <c r="C13" s="51">
        <f ca="1" t="array" ref="C13">INDEX([1]Data_DBD!$E:$E,$A13)</f>
        <v>0</v>
      </c>
      <c r="D13" s="51" t="str">
        <f ca="1" t="array" ref="D13">INDEX([1]Data_DBD!$F:$F,$A13)</f>
        <v>Sedang</v>
      </c>
      <c r="E13" s="59"/>
      <c r="H13" s="51">
        <v>164</v>
      </c>
      <c r="I13" s="51">
        <v>10</v>
      </c>
      <c r="J13" s="51">
        <v>0</v>
      </c>
      <c r="K13" s="51" t="s">
        <v>26</v>
      </c>
    </row>
    <row r="14" spans="1:11">
      <c r="A14" s="51">
        <f ca="1" t="shared" si="0"/>
        <v>71</v>
      </c>
      <c r="B14" s="51">
        <f ca="1" t="array" ref="B14">INDEX([1]Data_DBD!$B:$B,$A14)</f>
        <v>84</v>
      </c>
      <c r="C14" s="51">
        <f ca="1" t="array" ref="C14">INDEX([1]Data_DBD!$E:$E,$A14)</f>
        <v>0</v>
      </c>
      <c r="D14" s="51" t="str">
        <f ca="1" t="array" ref="D14">INDEX([1]Data_DBD!$F:$F,$A14)</f>
        <v>Sedang</v>
      </c>
      <c r="E14" s="59"/>
      <c r="H14" s="51">
        <v>89</v>
      </c>
      <c r="I14" s="51">
        <v>32</v>
      </c>
      <c r="J14" s="51">
        <v>0</v>
      </c>
      <c r="K14" s="51" t="s">
        <v>8</v>
      </c>
    </row>
    <row r="15" spans="1:11">
      <c r="A15" s="51">
        <f ca="1" t="shared" si="0"/>
        <v>52</v>
      </c>
      <c r="B15" s="51">
        <f ca="1" t="array" ref="B15">INDEX([1]Data_DBD!$B:$B,$A15)</f>
        <v>59</v>
      </c>
      <c r="C15" s="51">
        <f ca="1" t="array" ref="C15">INDEX([1]Data_DBD!$E:$E,$A15)</f>
        <v>1</v>
      </c>
      <c r="D15" s="51" t="str">
        <f ca="1" t="array" ref="D15">INDEX([1]Data_DBD!$F:$F,$A15)</f>
        <v>Sedang</v>
      </c>
      <c r="E15" s="59"/>
      <c r="H15" s="51">
        <v>15</v>
      </c>
      <c r="I15" s="51">
        <v>21</v>
      </c>
      <c r="J15" s="51">
        <v>0</v>
      </c>
      <c r="K15" s="51" t="s">
        <v>26</v>
      </c>
    </row>
    <row r="16" spans="1:11">
      <c r="A16" s="51">
        <f ca="1" t="shared" si="0"/>
        <v>162</v>
      </c>
      <c r="B16" s="51">
        <f ca="1" t="array" ref="B16">INDEX([1]Data_DBD!$B:$B,$A16)</f>
        <v>22</v>
      </c>
      <c r="C16" s="51">
        <f ca="1" t="array" ref="C16">INDEX([1]Data_DBD!$E:$E,$A16)</f>
        <v>1</v>
      </c>
      <c r="D16" s="51" t="str">
        <f ca="1" t="array" ref="D16">INDEX([1]Data_DBD!$F:$F,$A16)</f>
        <v>Rendah</v>
      </c>
      <c r="E16" s="59"/>
      <c r="H16" s="51">
        <v>75</v>
      </c>
      <c r="I16" s="51">
        <v>2</v>
      </c>
      <c r="J16" s="51">
        <v>1</v>
      </c>
      <c r="K16" s="51" t="s">
        <v>8</v>
      </c>
    </row>
    <row r="17" spans="1:11">
      <c r="A17" s="51">
        <f ca="1" t="shared" si="0"/>
        <v>66</v>
      </c>
      <c r="B17" s="51">
        <f ca="1" t="array" ref="B17">INDEX([1]Data_DBD!$B:$B,$A17)</f>
        <v>21</v>
      </c>
      <c r="C17" s="51">
        <f ca="1" t="array" ref="C17">INDEX([1]Data_DBD!$E:$E,$A17)</f>
        <v>1</v>
      </c>
      <c r="D17" s="51" t="str">
        <f ca="1" t="array" ref="D17">INDEX([1]Data_DBD!$F:$F,$A17)</f>
        <v>Sedang</v>
      </c>
      <c r="E17" s="59"/>
      <c r="H17" s="51">
        <v>24</v>
      </c>
      <c r="I17" s="51">
        <v>60</v>
      </c>
      <c r="J17" s="51">
        <v>0</v>
      </c>
      <c r="K17" s="51" t="s">
        <v>8</v>
      </c>
    </row>
    <row r="18" spans="1:11">
      <c r="A18" s="51">
        <f ca="1" t="shared" si="0"/>
        <v>3</v>
      </c>
      <c r="B18" s="51">
        <f ca="1" t="array" ref="B18">INDEX([1]Data_DBD!$B:$B,$A18)</f>
        <v>43</v>
      </c>
      <c r="C18" s="51">
        <f ca="1" t="array" ref="C18">INDEX([1]Data_DBD!$E:$E,$A18)</f>
        <v>1</v>
      </c>
      <c r="D18" s="51" t="str">
        <f ca="1" t="array" ref="D18">INDEX([1]Data_DBD!$F:$F,$A18)</f>
        <v>Sedang</v>
      </c>
      <c r="E18" s="59"/>
      <c r="H18" s="51">
        <v>42</v>
      </c>
      <c r="I18" s="51">
        <v>21</v>
      </c>
      <c r="J18" s="51">
        <v>1</v>
      </c>
      <c r="K18" s="51" t="s">
        <v>8</v>
      </c>
    </row>
    <row r="19" spans="1:11">
      <c r="A19" s="51">
        <f ca="1" t="shared" si="0"/>
        <v>92</v>
      </c>
      <c r="B19" s="51">
        <f ca="1" t="array" ref="B19">INDEX([1]Data_DBD!$B:$B,$A19)</f>
        <v>55</v>
      </c>
      <c r="C19" s="51">
        <f ca="1" t="array" ref="C19">INDEX([1]Data_DBD!$E:$E,$A19)</f>
        <v>0</v>
      </c>
      <c r="D19" s="51" t="str">
        <f ca="1" t="array" ref="D19">INDEX([1]Data_DBD!$F:$F,$A19)</f>
        <v>Tinggi</v>
      </c>
      <c r="E19" s="59"/>
      <c r="H19" s="51">
        <v>80</v>
      </c>
      <c r="I19" s="51">
        <v>27</v>
      </c>
      <c r="J19" s="51">
        <v>1</v>
      </c>
      <c r="K19" s="51" t="s">
        <v>8</v>
      </c>
    </row>
    <row r="20" spans="1:11">
      <c r="A20" s="51">
        <f ca="1" t="shared" si="0"/>
        <v>13</v>
      </c>
      <c r="B20" s="51">
        <f ca="1" t="array" ref="B20">INDEX([1]Data_DBD!$B:$B,$A20)</f>
        <v>47</v>
      </c>
      <c r="C20" s="51">
        <f ca="1" t="array" ref="C20">INDEX([1]Data_DBD!$E:$E,$A20)</f>
        <v>0</v>
      </c>
      <c r="D20" s="51" t="str">
        <f ca="1" t="array" ref="D20">INDEX([1]Data_DBD!$F:$F,$A20)</f>
        <v>Sedang</v>
      </c>
      <c r="E20" s="59"/>
      <c r="H20" s="51">
        <v>103</v>
      </c>
      <c r="I20" s="51">
        <v>22</v>
      </c>
      <c r="J20" s="51">
        <v>0</v>
      </c>
      <c r="K20" s="51" t="s">
        <v>105</v>
      </c>
    </row>
    <row r="21" spans="1:11">
      <c r="A21" s="51">
        <f ca="1" t="shared" si="0"/>
        <v>23</v>
      </c>
      <c r="B21" s="51">
        <f ca="1" t="array" ref="B21">INDEX([1]Data_DBD!$B:$B,$A21)</f>
        <v>28</v>
      </c>
      <c r="C21" s="51">
        <f ca="1" t="array" ref="C21">INDEX([1]Data_DBD!$E:$E,$A21)</f>
        <v>1</v>
      </c>
      <c r="D21" s="51" t="str">
        <f ca="1" t="array" ref="D21">INDEX([1]Data_DBD!$F:$F,$A21)</f>
        <v>Sedang</v>
      </c>
      <c r="E21" s="59"/>
      <c r="H21" s="51">
        <v>136</v>
      </c>
      <c r="I21" s="51">
        <v>6</v>
      </c>
      <c r="J21" s="51">
        <v>0</v>
      </c>
      <c r="K21" s="51" t="s">
        <v>105</v>
      </c>
    </row>
    <row r="22" spans="1:11">
      <c r="A22" s="51">
        <f ca="1" t="shared" si="0"/>
        <v>65</v>
      </c>
      <c r="B22" s="51">
        <f ca="1" t="array" ref="B22">INDEX([1]Data_DBD!$B:$B,$A22)</f>
        <v>49</v>
      </c>
      <c r="C22" s="51">
        <f ca="1" t="array" ref="C22">INDEX([1]Data_DBD!$E:$E,$A22)</f>
        <v>0</v>
      </c>
      <c r="D22" s="51" t="str">
        <f ca="1" t="array" ref="D22">INDEX([1]Data_DBD!$F:$F,$A22)</f>
        <v>Sedang</v>
      </c>
      <c r="E22" s="59"/>
      <c r="H22" s="51">
        <v>129</v>
      </c>
      <c r="I22" s="51">
        <v>4</v>
      </c>
      <c r="J22" s="51">
        <v>0</v>
      </c>
      <c r="K22" s="51" t="s">
        <v>105</v>
      </c>
    </row>
    <row r="23" spans="1:11">
      <c r="A23" s="51">
        <f ca="1" t="shared" si="0"/>
        <v>121</v>
      </c>
      <c r="B23" s="51">
        <f ca="1" t="array" ref="B23">INDEX([1]Data_DBD!$B:$B,$A23)</f>
        <v>82</v>
      </c>
      <c r="C23" s="51">
        <f ca="1" t="array" ref="C23">INDEX([1]Data_DBD!$E:$E,$A23)</f>
        <v>1</v>
      </c>
      <c r="D23" s="51" t="str">
        <f ca="1" t="array" ref="D23">INDEX([1]Data_DBD!$F:$F,$A23)</f>
        <v>Tinggi</v>
      </c>
      <c r="E23" s="59"/>
      <c r="H23" s="51">
        <v>5</v>
      </c>
      <c r="I23" s="51">
        <v>18</v>
      </c>
      <c r="J23" s="51">
        <v>1</v>
      </c>
      <c r="K23" s="51" t="s">
        <v>8</v>
      </c>
    </row>
    <row r="24" spans="1:11">
      <c r="A24" s="51">
        <f ca="1" t="shared" si="0"/>
        <v>162</v>
      </c>
      <c r="B24" s="51">
        <f ca="1" t="array" ref="B24">INDEX([1]Data_DBD!$B:$B,$A24)</f>
        <v>22</v>
      </c>
      <c r="C24" s="51">
        <f ca="1" t="array" ref="C24">INDEX([1]Data_DBD!$E:$E,$A24)</f>
        <v>1</v>
      </c>
      <c r="D24" s="51" t="str">
        <f ca="1" t="array" ref="D24">INDEX([1]Data_DBD!$F:$F,$A24)</f>
        <v>Rendah</v>
      </c>
      <c r="E24" s="59"/>
      <c r="H24" s="51">
        <v>16</v>
      </c>
      <c r="I24" s="51">
        <v>66</v>
      </c>
      <c r="J24" s="51">
        <v>1</v>
      </c>
      <c r="K24" s="51" t="s">
        <v>26</v>
      </c>
    </row>
    <row r="25" spans="1:11">
      <c r="A25" s="51">
        <f ca="1" t="shared" si="0"/>
        <v>119</v>
      </c>
      <c r="B25" s="51">
        <f ca="1" t="array" ref="B25">INDEX([1]Data_DBD!$B:$B,$A25)</f>
        <v>30</v>
      </c>
      <c r="C25" s="51">
        <f ca="1" t="array" ref="C25">INDEX([1]Data_DBD!$E:$E,$A25)</f>
        <v>0</v>
      </c>
      <c r="D25" s="51" t="str">
        <f ca="1" t="array" ref="D25">INDEX([1]Data_DBD!$F:$F,$A25)</f>
        <v>Tinggi</v>
      </c>
      <c r="E25" s="59"/>
      <c r="H25" s="51">
        <v>20</v>
      </c>
      <c r="I25" s="51">
        <v>15</v>
      </c>
      <c r="J25" s="51">
        <v>0</v>
      </c>
      <c r="K25" s="51" t="s">
        <v>26</v>
      </c>
    </row>
    <row r="26" spans="1:11">
      <c r="A26" s="51">
        <f ca="1" t="shared" si="0"/>
        <v>72</v>
      </c>
      <c r="B26" s="51">
        <f ca="1" t="array" ref="B26">INDEX([1]Data_DBD!$B:$B,$A26)</f>
        <v>3</v>
      </c>
      <c r="C26" s="51">
        <f ca="1" t="array" ref="C26">INDEX([1]Data_DBD!$E:$E,$A26)</f>
        <v>1</v>
      </c>
      <c r="D26" s="51" t="str">
        <f ca="1" t="array" ref="D26">INDEX([1]Data_DBD!$F:$F,$A26)</f>
        <v>Sedang</v>
      </c>
      <c r="E26" s="59"/>
      <c r="H26" s="51">
        <v>133</v>
      </c>
      <c r="I26" s="51">
        <v>6</v>
      </c>
      <c r="J26" s="51">
        <v>0</v>
      </c>
      <c r="K26" s="51" t="s">
        <v>105</v>
      </c>
    </row>
    <row r="27" spans="1:11">
      <c r="A27" s="51">
        <f ca="1" t="shared" si="0"/>
        <v>150</v>
      </c>
      <c r="B27" s="51">
        <f ca="1" t="array" ref="B27">INDEX([1]Data_DBD!$B:$B,$A27)</f>
        <v>61</v>
      </c>
      <c r="C27" s="51">
        <f ca="1" t="array" ref="C27">INDEX([1]Data_DBD!$E:$E,$A27)</f>
        <v>1</v>
      </c>
      <c r="D27" s="51" t="str">
        <f ca="1" t="array" ref="D27">INDEX([1]Data_DBD!$F:$F,$A27)</f>
        <v>Tinggi</v>
      </c>
      <c r="E27" s="59"/>
      <c r="H27" s="51">
        <v>98</v>
      </c>
      <c r="I27" s="51">
        <v>16</v>
      </c>
      <c r="J27" s="51">
        <v>1</v>
      </c>
      <c r="K27" s="51" t="s">
        <v>105</v>
      </c>
    </row>
    <row r="28" spans="1:11">
      <c r="A28" s="51">
        <f ca="1" t="shared" si="0"/>
        <v>71</v>
      </c>
      <c r="B28" s="51">
        <f ca="1" t="array" ref="B28">INDEX([1]Data_DBD!$B:$B,$A28)</f>
        <v>84</v>
      </c>
      <c r="C28" s="51">
        <f ca="1" t="array" ref="C28">INDEX([1]Data_DBD!$E:$E,$A28)</f>
        <v>0</v>
      </c>
      <c r="D28" s="51" t="str">
        <f ca="1" t="array" ref="D28">INDEX([1]Data_DBD!$F:$F,$A28)</f>
        <v>Sedang</v>
      </c>
      <c r="E28" s="59"/>
      <c r="H28" s="51">
        <v>71</v>
      </c>
      <c r="I28" s="51">
        <v>84</v>
      </c>
      <c r="J28" s="51">
        <v>0</v>
      </c>
      <c r="K28" s="51" t="s">
        <v>8</v>
      </c>
    </row>
    <row r="29" spans="1:11">
      <c r="A29" s="51">
        <f ca="1" t="shared" si="0"/>
        <v>133</v>
      </c>
      <c r="B29" s="51">
        <f ca="1" t="array" ref="B29">INDEX([1]Data_DBD!$B:$B,$A29)</f>
        <v>6</v>
      </c>
      <c r="C29" s="51">
        <f ca="1" t="array" ref="C29">INDEX([1]Data_DBD!$E:$E,$A29)</f>
        <v>0</v>
      </c>
      <c r="D29" s="51" t="str">
        <f ca="1" t="array" ref="D29">INDEX([1]Data_DBD!$F:$F,$A29)</f>
        <v>Tinggi</v>
      </c>
      <c r="E29" s="59"/>
      <c r="H29" s="51">
        <v>72</v>
      </c>
      <c r="I29" s="51">
        <v>3</v>
      </c>
      <c r="J29" s="51">
        <v>1</v>
      </c>
      <c r="K29" s="51" t="s">
        <v>8</v>
      </c>
    </row>
    <row r="30" spans="1:11">
      <c r="A30" s="51">
        <f ca="1" t="shared" si="0"/>
        <v>20</v>
      </c>
      <c r="B30" s="51">
        <f ca="1" t="array" ref="B30">INDEX([1]Data_DBD!$B:$B,$A30)</f>
        <v>15</v>
      </c>
      <c r="C30" s="51">
        <f ca="1" t="array" ref="C30">INDEX([1]Data_DBD!$E:$E,$A30)</f>
        <v>0</v>
      </c>
      <c r="D30" s="51" t="str">
        <f ca="1" t="array" ref="D30">INDEX([1]Data_DBD!$F:$F,$A30)</f>
        <v>Rendah</v>
      </c>
      <c r="E30" s="59"/>
      <c r="H30" s="51">
        <v>33</v>
      </c>
      <c r="I30" s="51">
        <v>19</v>
      </c>
      <c r="J30" s="51">
        <v>1</v>
      </c>
      <c r="K30" s="51" t="s">
        <v>8</v>
      </c>
    </row>
    <row r="31" spans="1:11">
      <c r="A31" s="51">
        <f ca="1" t="shared" si="0"/>
        <v>149</v>
      </c>
      <c r="B31" s="51">
        <f ca="1" t="array" ref="B31">INDEX([1]Data_DBD!$B:$B,$A31)</f>
        <v>19</v>
      </c>
      <c r="C31" s="51">
        <f ca="1" t="array" ref="C31">INDEX([1]Data_DBD!$E:$E,$A31)</f>
        <v>0</v>
      </c>
      <c r="D31" s="51" t="str">
        <f ca="1" t="array" ref="D31">INDEX([1]Data_DBD!$F:$F,$A31)</f>
        <v>Tinggi</v>
      </c>
      <c r="E31" s="59"/>
      <c r="H31" s="51">
        <v>153</v>
      </c>
      <c r="I31" s="51">
        <v>73</v>
      </c>
      <c r="J31" s="51">
        <v>1</v>
      </c>
      <c r="K31" s="51" t="s">
        <v>105</v>
      </c>
    </row>
    <row r="32" spans="1:11">
      <c r="A32" s="51">
        <f ca="1" t="shared" si="0"/>
        <v>149</v>
      </c>
      <c r="B32" s="51">
        <f ca="1" t="array" ref="B32">INDEX([1]Data_DBD!$B:$B,$A32)</f>
        <v>19</v>
      </c>
      <c r="C32" s="51">
        <f ca="1" t="array" ref="C32">INDEX([1]Data_DBD!$E:$E,$A32)</f>
        <v>0</v>
      </c>
      <c r="D32" s="51" t="str">
        <f ca="1" t="array" ref="D32">INDEX([1]Data_DBD!$F:$F,$A32)</f>
        <v>Tinggi</v>
      </c>
      <c r="E32" s="59"/>
      <c r="H32" s="51">
        <v>122</v>
      </c>
      <c r="I32" s="51">
        <v>28</v>
      </c>
      <c r="J32" s="51">
        <v>1</v>
      </c>
      <c r="K32" s="51" t="s">
        <v>105</v>
      </c>
    </row>
    <row r="33" spans="1:11">
      <c r="A33" s="51">
        <f ca="1" t="shared" si="0"/>
        <v>61</v>
      </c>
      <c r="B33" s="51">
        <f ca="1" t="array" ref="B33">INDEX([1]Data_DBD!$B:$B,$A33)</f>
        <v>29</v>
      </c>
      <c r="C33" s="51">
        <f ca="1" t="array" ref="C33">INDEX([1]Data_DBD!$E:$E,$A33)</f>
        <v>1</v>
      </c>
      <c r="D33" s="51" t="str">
        <f ca="1" t="array" ref="D33">INDEX([1]Data_DBD!$F:$F,$A33)</f>
        <v>Sedang</v>
      </c>
      <c r="E33" s="59"/>
      <c r="H33" s="51">
        <v>85</v>
      </c>
      <c r="I33" s="51">
        <v>27</v>
      </c>
      <c r="J33" s="51">
        <v>0</v>
      </c>
      <c r="K33" s="51" t="s">
        <v>8</v>
      </c>
    </row>
    <row r="34" spans="1:11">
      <c r="A34" s="51">
        <f ca="1" t="shared" ref="A34:A65" si="1">RANDBETWEEN(2,164)</f>
        <v>133</v>
      </c>
      <c r="B34" s="51">
        <f ca="1" t="array" ref="B34">INDEX([1]Data_DBD!$B:$B,$A34)</f>
        <v>6</v>
      </c>
      <c r="C34" s="51">
        <f ca="1" t="array" ref="C34">INDEX([1]Data_DBD!$E:$E,$A34)</f>
        <v>0</v>
      </c>
      <c r="D34" s="51" t="str">
        <f ca="1" t="array" ref="D34">INDEX([1]Data_DBD!$F:$F,$A34)</f>
        <v>Tinggi</v>
      </c>
      <c r="E34" s="59"/>
      <c r="H34" s="51">
        <v>94</v>
      </c>
      <c r="I34" s="51">
        <v>12</v>
      </c>
      <c r="J34" s="51">
        <v>0</v>
      </c>
      <c r="K34" s="51" t="s">
        <v>105</v>
      </c>
    </row>
    <row r="35" spans="1:11">
      <c r="A35" s="51">
        <f ca="1" t="shared" si="1"/>
        <v>100</v>
      </c>
      <c r="B35" s="51">
        <f ca="1" t="array" ref="B35">INDEX([1]Data_DBD!$B:$B,$A35)</f>
        <v>19</v>
      </c>
      <c r="C35" s="51">
        <f ca="1" t="array" ref="C35">INDEX([1]Data_DBD!$E:$E,$A35)</f>
        <v>0</v>
      </c>
      <c r="D35" s="51" t="str">
        <f ca="1" t="array" ref="D35">INDEX([1]Data_DBD!$F:$F,$A35)</f>
        <v>Tinggi</v>
      </c>
      <c r="E35" s="59"/>
      <c r="H35" s="51">
        <v>16</v>
      </c>
      <c r="I35" s="51">
        <v>66</v>
      </c>
      <c r="J35" s="51">
        <v>1</v>
      </c>
      <c r="K35" s="51" t="s">
        <v>26</v>
      </c>
    </row>
    <row r="36" spans="1:11">
      <c r="A36" s="51">
        <f ca="1" t="shared" si="1"/>
        <v>53</v>
      </c>
      <c r="B36" s="51">
        <f ca="1" t="array" ref="B36">INDEX([1]Data_DBD!$B:$B,$A36)</f>
        <v>35</v>
      </c>
      <c r="C36" s="51">
        <f ca="1" t="array" ref="C36">INDEX([1]Data_DBD!$E:$E,$A36)</f>
        <v>1</v>
      </c>
      <c r="D36" s="51" t="str">
        <f ca="1" t="array" ref="D36">INDEX([1]Data_DBD!$F:$F,$A36)</f>
        <v>Sedang</v>
      </c>
      <c r="E36" s="59"/>
      <c r="H36" s="51">
        <v>144</v>
      </c>
      <c r="I36" s="51">
        <v>61</v>
      </c>
      <c r="J36" s="51">
        <v>1</v>
      </c>
      <c r="K36" s="51" t="s">
        <v>105</v>
      </c>
    </row>
    <row r="37" spans="1:11">
      <c r="A37" s="51">
        <f ca="1" t="shared" si="1"/>
        <v>14</v>
      </c>
      <c r="B37" s="51">
        <f ca="1" t="array" ref="B37">INDEX([1]Data_DBD!$B:$B,$A37)</f>
        <v>49</v>
      </c>
      <c r="C37" s="51">
        <f ca="1" t="array" ref="C37">INDEX([1]Data_DBD!$E:$E,$A37)</f>
        <v>1</v>
      </c>
      <c r="D37" s="51" t="str">
        <f ca="1" t="array" ref="D37">INDEX([1]Data_DBD!$F:$F,$A37)</f>
        <v>Rendah</v>
      </c>
      <c r="E37" s="59"/>
      <c r="H37" s="51">
        <v>30</v>
      </c>
      <c r="I37" s="51">
        <v>3</v>
      </c>
      <c r="J37" s="51">
        <v>1</v>
      </c>
      <c r="K37" s="51" t="s">
        <v>8</v>
      </c>
    </row>
    <row r="38" spans="1:11">
      <c r="A38" s="51">
        <f ca="1" t="shared" si="1"/>
        <v>3</v>
      </c>
      <c r="B38" s="51">
        <f ca="1" t="array" ref="B38">INDEX([1]Data_DBD!$B:$B,$A38)</f>
        <v>43</v>
      </c>
      <c r="C38" s="51">
        <f ca="1" t="array" ref="C38">INDEX([1]Data_DBD!$E:$E,$A38)</f>
        <v>1</v>
      </c>
      <c r="D38" s="51" t="str">
        <f ca="1" t="array" ref="D38">INDEX([1]Data_DBD!$F:$F,$A38)</f>
        <v>Sedang</v>
      </c>
      <c r="E38" s="59"/>
      <c r="H38" s="51">
        <v>69</v>
      </c>
      <c r="I38" s="51">
        <v>24</v>
      </c>
      <c r="J38" s="51">
        <v>1</v>
      </c>
      <c r="K38" s="51" t="s">
        <v>8</v>
      </c>
    </row>
    <row r="39" spans="1:11">
      <c r="A39" s="51">
        <f ca="1" t="shared" si="1"/>
        <v>119</v>
      </c>
      <c r="B39" s="51">
        <f ca="1" t="array" ref="B39">INDEX([1]Data_DBD!$B:$B,$A39)</f>
        <v>30</v>
      </c>
      <c r="C39" s="51">
        <f ca="1" t="array" ref="C39">INDEX([1]Data_DBD!$E:$E,$A39)</f>
        <v>0</v>
      </c>
      <c r="D39" s="51" t="str">
        <f ca="1" t="array" ref="D39">INDEX([1]Data_DBD!$F:$F,$A39)</f>
        <v>Tinggi</v>
      </c>
      <c r="E39" s="59"/>
      <c r="H39" s="51">
        <v>60</v>
      </c>
      <c r="I39" s="51">
        <v>68</v>
      </c>
      <c r="J39" s="51">
        <v>0</v>
      </c>
      <c r="K39" s="51" t="s">
        <v>8</v>
      </c>
    </row>
    <row r="40" spans="1:11">
      <c r="A40" s="51">
        <f ca="1" t="shared" si="1"/>
        <v>155</v>
      </c>
      <c r="B40" s="51">
        <f ca="1" t="array" ref="B40">INDEX([1]Data_DBD!$B:$B,$A40)</f>
        <v>19</v>
      </c>
      <c r="C40" s="51">
        <f ca="1" t="array" ref="C40">INDEX([1]Data_DBD!$E:$E,$A40)</f>
        <v>1</v>
      </c>
      <c r="D40" s="51" t="str">
        <f ca="1" t="array" ref="D40">INDEX([1]Data_DBD!$F:$F,$A40)</f>
        <v>Tinggi</v>
      </c>
      <c r="E40" s="59"/>
      <c r="H40" s="51">
        <v>17</v>
      </c>
      <c r="I40" s="51">
        <v>2</v>
      </c>
      <c r="J40" s="51">
        <v>0</v>
      </c>
      <c r="K40" s="51" t="s">
        <v>26</v>
      </c>
    </row>
    <row r="41" spans="1:11">
      <c r="A41" s="51">
        <f ca="1" t="shared" si="1"/>
        <v>69</v>
      </c>
      <c r="B41" s="51">
        <f ca="1" t="array" ref="B41">INDEX([1]Data_DBD!$B:$B,$A41)</f>
        <v>24</v>
      </c>
      <c r="C41" s="51">
        <f ca="1" t="array" ref="C41">INDEX([1]Data_DBD!$E:$E,$A41)</f>
        <v>1</v>
      </c>
      <c r="D41" s="51" t="str">
        <f ca="1" t="array" ref="D41">INDEX([1]Data_DBD!$F:$F,$A41)</f>
        <v>Sedang</v>
      </c>
      <c r="E41" s="59"/>
      <c r="H41" s="51">
        <v>47</v>
      </c>
      <c r="I41" s="51">
        <v>19</v>
      </c>
      <c r="J41" s="51">
        <v>0</v>
      </c>
      <c r="K41" s="51" t="s">
        <v>8</v>
      </c>
    </row>
    <row r="42" spans="1:11">
      <c r="A42" s="51">
        <f ca="1" t="shared" si="1"/>
        <v>159</v>
      </c>
      <c r="B42" s="51">
        <f ca="1" t="array" ref="B42">INDEX([1]Data_DBD!$B:$B,$A42)</f>
        <v>17</v>
      </c>
      <c r="C42" s="51">
        <f ca="1" t="array" ref="C42">INDEX([1]Data_DBD!$E:$E,$A42)</f>
        <v>0</v>
      </c>
      <c r="D42" s="51" t="str">
        <f ca="1" t="array" ref="D42">INDEX([1]Data_DBD!$F:$F,$A42)</f>
        <v>Tinggi</v>
      </c>
      <c r="E42" s="59"/>
      <c r="H42" s="51">
        <v>130</v>
      </c>
      <c r="I42" s="51">
        <v>12</v>
      </c>
      <c r="J42" s="51">
        <v>0</v>
      </c>
      <c r="K42" s="51" t="s">
        <v>105</v>
      </c>
    </row>
    <row r="43" spans="1:11">
      <c r="A43" s="51">
        <f ca="1" t="shared" si="1"/>
        <v>14</v>
      </c>
      <c r="B43" s="51">
        <f ca="1" t="array" ref="B43">INDEX([1]Data_DBD!$B:$B,$A43)</f>
        <v>49</v>
      </c>
      <c r="C43" s="51">
        <f ca="1" t="array" ref="C43">INDEX([1]Data_DBD!$E:$E,$A43)</f>
        <v>1</v>
      </c>
      <c r="D43" s="51" t="str">
        <f ca="1" t="array" ref="D43">INDEX([1]Data_DBD!$F:$F,$A43)</f>
        <v>Rendah</v>
      </c>
      <c r="E43" s="59"/>
      <c r="H43" s="51">
        <v>146</v>
      </c>
      <c r="I43" s="51">
        <v>34</v>
      </c>
      <c r="J43" s="51">
        <v>1</v>
      </c>
      <c r="K43" s="51" t="s">
        <v>105</v>
      </c>
    </row>
    <row r="44" spans="1:11">
      <c r="A44" s="51">
        <f ca="1" t="shared" si="1"/>
        <v>51</v>
      </c>
      <c r="B44" s="51">
        <f ca="1" t="array" ref="B44">INDEX([1]Data_DBD!$B:$B,$A44)</f>
        <v>48</v>
      </c>
      <c r="C44" s="51">
        <f ca="1" t="array" ref="C44">INDEX([1]Data_DBD!$E:$E,$A44)</f>
        <v>0</v>
      </c>
      <c r="D44" s="51" t="str">
        <f ca="1" t="array" ref="D44">INDEX([1]Data_DBD!$F:$F,$A44)</f>
        <v>Sedang</v>
      </c>
      <c r="E44" s="59"/>
      <c r="H44" s="51">
        <v>149</v>
      </c>
      <c r="I44" s="51">
        <v>19</v>
      </c>
      <c r="J44" s="51">
        <v>0</v>
      </c>
      <c r="K44" s="51" t="s">
        <v>105</v>
      </c>
    </row>
    <row r="45" spans="1:11">
      <c r="A45" s="51">
        <f ca="1" t="shared" si="1"/>
        <v>68</v>
      </c>
      <c r="B45" s="51">
        <f ca="1" t="array" ref="B45">INDEX([1]Data_DBD!$B:$B,$A45)</f>
        <v>44</v>
      </c>
      <c r="C45" s="51">
        <f ca="1" t="array" ref="C45">INDEX([1]Data_DBD!$E:$E,$A45)</f>
        <v>0</v>
      </c>
      <c r="D45" s="51" t="str">
        <f ca="1" t="array" ref="D45">INDEX([1]Data_DBD!$F:$F,$A45)</f>
        <v>Sedang</v>
      </c>
      <c r="E45" s="59"/>
      <c r="H45" s="51">
        <v>50</v>
      </c>
      <c r="I45" s="51">
        <v>19</v>
      </c>
      <c r="J45" s="51">
        <v>0</v>
      </c>
      <c r="K45" s="51" t="s">
        <v>8</v>
      </c>
    </row>
    <row r="46" spans="1:11">
      <c r="A46" s="51">
        <f ca="1" t="shared" si="1"/>
        <v>28</v>
      </c>
      <c r="B46" s="51">
        <f ca="1" t="array" ref="B46">INDEX([1]Data_DBD!$B:$B,$A46)</f>
        <v>22</v>
      </c>
      <c r="C46" s="51">
        <f ca="1" t="array" ref="C46">INDEX([1]Data_DBD!$E:$E,$A46)</f>
        <v>1</v>
      </c>
      <c r="D46" s="51" t="str">
        <f ca="1" t="array" ref="D46">INDEX([1]Data_DBD!$F:$F,$A46)</f>
        <v>Sedang</v>
      </c>
      <c r="E46" s="59"/>
      <c r="H46" s="51">
        <v>53</v>
      </c>
      <c r="I46" s="51">
        <v>35</v>
      </c>
      <c r="J46" s="51">
        <v>1</v>
      </c>
      <c r="K46" s="51" t="s">
        <v>8</v>
      </c>
    </row>
    <row r="47" spans="1:11">
      <c r="A47" s="51">
        <f ca="1" t="shared" si="1"/>
        <v>20</v>
      </c>
      <c r="B47" s="51">
        <f ca="1" t="array" ref="B47">INDEX([1]Data_DBD!$B:$B,$A47)</f>
        <v>15</v>
      </c>
      <c r="C47" s="51">
        <f ca="1" t="array" ref="C47">INDEX([1]Data_DBD!$E:$E,$A47)</f>
        <v>0</v>
      </c>
      <c r="D47" s="51" t="str">
        <f ca="1" t="array" ref="D47">INDEX([1]Data_DBD!$F:$F,$A47)</f>
        <v>Rendah</v>
      </c>
      <c r="E47" s="59"/>
      <c r="H47" s="51">
        <v>153</v>
      </c>
      <c r="I47" s="51">
        <v>73</v>
      </c>
      <c r="J47" s="51">
        <v>1</v>
      </c>
      <c r="K47" s="51" t="s">
        <v>105</v>
      </c>
    </row>
    <row r="48" spans="1:11">
      <c r="A48" s="51">
        <f ca="1" t="shared" si="1"/>
        <v>48</v>
      </c>
      <c r="B48" s="51">
        <f ca="1" t="array" ref="B48">INDEX([1]Data_DBD!$B:$B,$A48)</f>
        <v>50</v>
      </c>
      <c r="C48" s="51">
        <f ca="1" t="array" ref="C48">INDEX([1]Data_DBD!$E:$E,$A48)</f>
        <v>1</v>
      </c>
      <c r="D48" s="51" t="str">
        <f ca="1" t="array" ref="D48">INDEX([1]Data_DBD!$F:$F,$A48)</f>
        <v>Sedang</v>
      </c>
      <c r="E48" s="59"/>
      <c r="H48" s="51">
        <v>93</v>
      </c>
      <c r="I48" s="51">
        <v>65</v>
      </c>
      <c r="J48" s="51">
        <v>0</v>
      </c>
      <c r="K48" s="51" t="s">
        <v>105</v>
      </c>
    </row>
    <row r="49" spans="1:11">
      <c r="A49" s="51">
        <f ca="1" t="shared" si="1"/>
        <v>101</v>
      </c>
      <c r="B49" s="51">
        <f ca="1" t="array" ref="B49">INDEX([1]Data_DBD!$B:$B,$A49)</f>
        <v>42</v>
      </c>
      <c r="C49" s="51">
        <f ca="1" t="array" ref="C49">INDEX([1]Data_DBD!$E:$E,$A49)</f>
        <v>0</v>
      </c>
      <c r="D49" s="51" t="str">
        <f ca="1" t="array" ref="D49">INDEX([1]Data_DBD!$F:$F,$A49)</f>
        <v>Tinggi</v>
      </c>
      <c r="E49" s="59"/>
      <c r="H49" s="51">
        <v>119</v>
      </c>
      <c r="I49" s="51">
        <v>30</v>
      </c>
      <c r="J49" s="51">
        <v>0</v>
      </c>
      <c r="K49" s="51" t="s">
        <v>105</v>
      </c>
    </row>
    <row r="50" spans="1:11">
      <c r="A50" s="51">
        <f ca="1" t="shared" si="1"/>
        <v>130</v>
      </c>
      <c r="B50" s="51">
        <f ca="1" t="array" ref="B50">INDEX([1]Data_DBD!$B:$B,$A50)</f>
        <v>12</v>
      </c>
      <c r="C50" s="51">
        <f ca="1" t="array" ref="C50">INDEX([1]Data_DBD!$E:$E,$A50)</f>
        <v>0</v>
      </c>
      <c r="D50" s="51" t="str">
        <f ca="1" t="array" ref="D50">INDEX([1]Data_DBD!$F:$F,$A50)</f>
        <v>Tinggi</v>
      </c>
      <c r="E50" s="59"/>
      <c r="H50" s="51">
        <v>130</v>
      </c>
      <c r="I50" s="51">
        <v>12</v>
      </c>
      <c r="J50" s="51">
        <v>0</v>
      </c>
      <c r="K50" s="51" t="s">
        <v>105</v>
      </c>
    </row>
    <row r="51" spans="1:11">
      <c r="A51" s="51">
        <f ca="1" t="shared" si="1"/>
        <v>133</v>
      </c>
      <c r="B51" s="51">
        <f ca="1" t="array" ref="B51">INDEX([1]Data_DBD!$B:$B,$A51)</f>
        <v>6</v>
      </c>
      <c r="C51" s="51">
        <f ca="1" t="array" ref="C51">INDEX([1]Data_DBD!$E:$E,$A51)</f>
        <v>0</v>
      </c>
      <c r="D51" s="51" t="str">
        <f ca="1" t="array" ref="D51">INDEX([1]Data_DBD!$F:$F,$A51)</f>
        <v>Tinggi</v>
      </c>
      <c r="E51" s="59"/>
      <c r="H51" s="51">
        <v>18</v>
      </c>
      <c r="I51" s="51">
        <v>49</v>
      </c>
      <c r="J51" s="51">
        <v>1</v>
      </c>
      <c r="K51" s="51" t="s">
        <v>26</v>
      </c>
    </row>
    <row r="52" spans="1:11">
      <c r="A52" s="51">
        <f ca="1" t="shared" si="1"/>
        <v>39</v>
      </c>
      <c r="B52" s="51">
        <f ca="1" t="array" ref="B52">INDEX([1]Data_DBD!$B:$B,$A52)</f>
        <v>12</v>
      </c>
      <c r="C52" s="51">
        <f ca="1" t="array" ref="C52">INDEX([1]Data_DBD!$E:$E,$A52)</f>
        <v>1</v>
      </c>
      <c r="D52" s="51" t="str">
        <f ca="1" t="array" ref="D52">INDEX([1]Data_DBD!$F:$F,$A52)</f>
        <v>Sedang</v>
      </c>
      <c r="E52" s="59"/>
      <c r="H52" s="51">
        <v>37</v>
      </c>
      <c r="I52" s="51">
        <v>28</v>
      </c>
      <c r="J52" s="51">
        <v>1</v>
      </c>
      <c r="K52" s="51" t="s">
        <v>26</v>
      </c>
    </row>
    <row r="53" spans="1:11">
      <c r="A53" s="51">
        <f ca="1" t="shared" si="1"/>
        <v>61</v>
      </c>
      <c r="B53" s="51">
        <f ca="1" t="array" ref="B53">INDEX([1]Data_DBD!$B:$B,$A53)</f>
        <v>29</v>
      </c>
      <c r="C53" s="51">
        <f ca="1" t="array" ref="C53">INDEX([1]Data_DBD!$E:$E,$A53)</f>
        <v>1</v>
      </c>
      <c r="D53" s="51" t="str">
        <f ca="1" t="array" ref="D53">INDEX([1]Data_DBD!$F:$F,$A53)</f>
        <v>Sedang</v>
      </c>
      <c r="E53" s="59"/>
      <c r="H53" s="51">
        <v>126</v>
      </c>
      <c r="I53" s="51">
        <v>51</v>
      </c>
      <c r="J53" s="51">
        <v>1</v>
      </c>
      <c r="K53" s="51" t="s">
        <v>105</v>
      </c>
    </row>
    <row r="54" spans="1:11">
      <c r="A54" s="51">
        <f ca="1" t="shared" si="1"/>
        <v>40</v>
      </c>
      <c r="B54" s="51">
        <f ca="1" t="array" ref="B54">INDEX([1]Data_DBD!$B:$B,$A54)</f>
        <v>65</v>
      </c>
      <c r="C54" s="51">
        <f ca="1" t="array" ref="C54">INDEX([1]Data_DBD!$E:$E,$A54)</f>
        <v>1</v>
      </c>
      <c r="D54" s="51" t="str">
        <f ca="1" t="array" ref="D54">INDEX([1]Data_DBD!$F:$F,$A54)</f>
        <v>Sedang</v>
      </c>
      <c r="E54" s="59"/>
      <c r="H54" s="51">
        <v>104</v>
      </c>
      <c r="I54" s="51">
        <v>37</v>
      </c>
      <c r="J54" s="51">
        <v>1</v>
      </c>
      <c r="K54" s="51" t="s">
        <v>105</v>
      </c>
    </row>
    <row r="55" spans="1:11">
      <c r="A55" s="51">
        <f ca="1" t="shared" si="1"/>
        <v>149</v>
      </c>
      <c r="B55" s="51">
        <f ca="1" t="array" ref="B55">INDEX([1]Data_DBD!$B:$B,$A55)</f>
        <v>19</v>
      </c>
      <c r="C55" s="51">
        <f ca="1" t="array" ref="C55">INDEX([1]Data_DBD!$E:$E,$A55)</f>
        <v>0</v>
      </c>
      <c r="D55" s="51" t="str">
        <f ca="1" t="array" ref="D55">INDEX([1]Data_DBD!$F:$F,$A55)</f>
        <v>Tinggi</v>
      </c>
      <c r="E55" s="59"/>
      <c r="H55" s="51">
        <v>12</v>
      </c>
      <c r="I55" s="51">
        <v>23</v>
      </c>
      <c r="J55" s="51">
        <v>0</v>
      </c>
      <c r="K55" s="51" t="s">
        <v>8</v>
      </c>
    </row>
    <row r="56" spans="1:11">
      <c r="A56" s="51">
        <f ca="1" t="shared" si="1"/>
        <v>102</v>
      </c>
      <c r="B56" s="51">
        <f ca="1" t="array" ref="B56">INDEX([1]Data_DBD!$B:$B,$A56)</f>
        <v>41</v>
      </c>
      <c r="C56" s="51">
        <f ca="1" t="array" ref="C56">INDEX([1]Data_DBD!$E:$E,$A56)</f>
        <v>0</v>
      </c>
      <c r="D56" s="51" t="str">
        <f ca="1" t="array" ref="D56">INDEX([1]Data_DBD!$F:$F,$A56)</f>
        <v>Tinggi</v>
      </c>
      <c r="E56" s="59"/>
      <c r="H56" s="51">
        <v>89</v>
      </c>
      <c r="I56" s="51">
        <v>32</v>
      </c>
      <c r="J56" s="51">
        <v>0</v>
      </c>
      <c r="K56" s="51" t="s">
        <v>8</v>
      </c>
    </row>
    <row r="57" spans="1:11">
      <c r="A57" s="51">
        <f ca="1" t="shared" si="1"/>
        <v>104</v>
      </c>
      <c r="B57" s="51">
        <f ca="1" t="array" ref="B57">INDEX([1]Data_DBD!$B:$B,$A57)</f>
        <v>37</v>
      </c>
      <c r="C57" s="51">
        <f ca="1" t="array" ref="C57">INDEX([1]Data_DBD!$E:$E,$A57)</f>
        <v>1</v>
      </c>
      <c r="D57" s="51" t="str">
        <f ca="1" t="array" ref="D57">INDEX([1]Data_DBD!$F:$F,$A57)</f>
        <v>Tinggi</v>
      </c>
      <c r="E57" s="59"/>
      <c r="H57" s="51">
        <v>94</v>
      </c>
      <c r="I57" s="51">
        <v>12</v>
      </c>
      <c r="J57" s="51">
        <v>0</v>
      </c>
      <c r="K57" s="51" t="s">
        <v>105</v>
      </c>
    </row>
    <row r="58" spans="1:11">
      <c r="A58" s="51">
        <f ca="1" t="shared" si="1"/>
        <v>115</v>
      </c>
      <c r="B58" s="51">
        <f ca="1" t="array" ref="B58">INDEX([1]Data_DBD!$B:$B,$A58)</f>
        <v>52</v>
      </c>
      <c r="C58" s="51">
        <f ca="1" t="array" ref="C58">INDEX([1]Data_DBD!$E:$E,$A58)</f>
        <v>1</v>
      </c>
      <c r="D58" s="51" t="str">
        <f ca="1" t="array" ref="D58">INDEX([1]Data_DBD!$F:$F,$A58)</f>
        <v>Tinggi</v>
      </c>
      <c r="E58" s="59"/>
      <c r="H58" s="51">
        <v>40</v>
      </c>
      <c r="I58" s="51">
        <v>65</v>
      </c>
      <c r="J58" s="51">
        <v>1</v>
      </c>
      <c r="K58" s="51" t="s">
        <v>8</v>
      </c>
    </row>
    <row r="59" spans="1:11">
      <c r="A59" s="51">
        <f ca="1" t="shared" si="1"/>
        <v>93</v>
      </c>
      <c r="B59" s="51">
        <f ca="1" t="array" ref="B59">INDEX([1]Data_DBD!$B:$B,$A59)</f>
        <v>65</v>
      </c>
      <c r="C59" s="51">
        <f ca="1" t="array" ref="C59">INDEX([1]Data_DBD!$E:$E,$A59)</f>
        <v>0</v>
      </c>
      <c r="D59" s="51" t="str">
        <f ca="1" t="array" ref="D59">INDEX([1]Data_DBD!$F:$F,$A59)</f>
        <v>Tinggi</v>
      </c>
      <c r="E59" s="59"/>
      <c r="H59" s="51">
        <v>89</v>
      </c>
      <c r="I59" s="51">
        <v>32</v>
      </c>
      <c r="J59" s="51">
        <v>0</v>
      </c>
      <c r="K59" s="51" t="s">
        <v>8</v>
      </c>
    </row>
    <row r="60" spans="1:11">
      <c r="A60" s="51">
        <f ca="1" t="shared" si="1"/>
        <v>83</v>
      </c>
      <c r="B60" s="51">
        <f ca="1" t="array" ref="B60">INDEX([1]Data_DBD!$B:$B,$A60)</f>
        <v>50</v>
      </c>
      <c r="C60" s="51">
        <f ca="1" t="array" ref="C60">INDEX([1]Data_DBD!$E:$E,$A60)</f>
        <v>0</v>
      </c>
      <c r="D60" s="51" t="str">
        <f ca="1" t="array" ref="D60">INDEX([1]Data_DBD!$F:$F,$A60)</f>
        <v>Sedang</v>
      </c>
      <c r="E60" s="59"/>
      <c r="H60" s="51">
        <v>88</v>
      </c>
      <c r="I60" s="51">
        <v>20</v>
      </c>
      <c r="J60" s="51">
        <v>1</v>
      </c>
      <c r="K60" s="51" t="s">
        <v>8</v>
      </c>
    </row>
    <row r="61" spans="1:11">
      <c r="A61" s="51">
        <f ca="1" t="shared" si="1"/>
        <v>118</v>
      </c>
      <c r="B61" s="51">
        <f ca="1" t="array" ref="B61">INDEX([1]Data_DBD!$B:$B,$A61)</f>
        <v>67</v>
      </c>
      <c r="C61" s="51">
        <f ca="1" t="array" ref="C61">INDEX([1]Data_DBD!$E:$E,$A61)</f>
        <v>1</v>
      </c>
      <c r="D61" s="51" t="str">
        <f ca="1" t="array" ref="D61">INDEX([1]Data_DBD!$F:$F,$A61)</f>
        <v>Tinggi</v>
      </c>
      <c r="E61" s="59"/>
      <c r="H61" s="51">
        <v>155</v>
      </c>
      <c r="I61" s="51">
        <v>19</v>
      </c>
      <c r="J61" s="51">
        <v>1</v>
      </c>
      <c r="K61" s="51" t="s">
        <v>105</v>
      </c>
    </row>
    <row r="62" spans="1:11">
      <c r="A62" s="51">
        <f ca="1" t="shared" si="1"/>
        <v>65</v>
      </c>
      <c r="B62" s="51">
        <f ca="1" t="array" ref="B62">INDEX([1]Data_DBD!$B:$B,$A62)</f>
        <v>49</v>
      </c>
      <c r="C62" s="51">
        <f ca="1" t="array" ref="C62">INDEX([1]Data_DBD!$E:$E,$A62)</f>
        <v>0</v>
      </c>
      <c r="D62" s="51" t="str">
        <f ca="1" t="array" ref="D62">INDEX([1]Data_DBD!$F:$F,$A62)</f>
        <v>Sedang</v>
      </c>
      <c r="E62" s="59"/>
      <c r="H62" s="51">
        <v>27</v>
      </c>
      <c r="I62" s="51">
        <v>37</v>
      </c>
      <c r="J62" s="51">
        <v>1</v>
      </c>
      <c r="K62" s="51" t="s">
        <v>8</v>
      </c>
    </row>
    <row r="63" spans="1:11">
      <c r="A63" s="51">
        <f ca="1" t="shared" si="1"/>
        <v>42</v>
      </c>
      <c r="B63" s="51">
        <f ca="1" t="array" ref="B63">INDEX([1]Data_DBD!$B:$B,$A63)</f>
        <v>21</v>
      </c>
      <c r="C63" s="51">
        <f ca="1" t="array" ref="C63">INDEX([1]Data_DBD!$E:$E,$A63)</f>
        <v>1</v>
      </c>
      <c r="D63" s="51" t="str">
        <f ca="1" t="array" ref="D63">INDEX([1]Data_DBD!$F:$F,$A63)</f>
        <v>Sedang</v>
      </c>
      <c r="E63" s="59"/>
      <c r="H63" s="51">
        <v>57</v>
      </c>
      <c r="I63" s="51">
        <v>2</v>
      </c>
      <c r="J63" s="51">
        <v>1</v>
      </c>
      <c r="K63" s="51" t="s">
        <v>8</v>
      </c>
    </row>
    <row r="64" spans="1:11">
      <c r="A64" s="51">
        <f ca="1" t="shared" si="1"/>
        <v>44</v>
      </c>
      <c r="B64" s="51">
        <f ca="1" t="array" ref="B64">INDEX([1]Data_DBD!$B:$B,$A64)</f>
        <v>28</v>
      </c>
      <c r="C64" s="51">
        <f ca="1" t="array" ref="C64">INDEX([1]Data_DBD!$E:$E,$A64)</f>
        <v>1</v>
      </c>
      <c r="D64" s="51" t="str">
        <f ca="1" t="array" ref="D64">INDEX([1]Data_DBD!$F:$F,$A64)</f>
        <v>Sedang</v>
      </c>
      <c r="E64" s="59"/>
      <c r="H64" s="51">
        <v>53</v>
      </c>
      <c r="I64" s="51">
        <v>35</v>
      </c>
      <c r="J64" s="51">
        <v>1</v>
      </c>
      <c r="K64" s="51" t="s">
        <v>8</v>
      </c>
    </row>
    <row r="65" spans="1:11">
      <c r="A65" s="51">
        <f ca="1" t="shared" si="1"/>
        <v>83</v>
      </c>
      <c r="B65" s="51">
        <f ca="1" t="array" ref="B65">INDEX([1]Data_DBD!$B:$B,$A65)</f>
        <v>50</v>
      </c>
      <c r="C65" s="51">
        <f ca="1" t="array" ref="C65">INDEX([1]Data_DBD!$E:$E,$A65)</f>
        <v>0</v>
      </c>
      <c r="D65" s="51" t="str">
        <f ca="1" t="array" ref="D65">INDEX([1]Data_DBD!$F:$F,$A65)</f>
        <v>Sedang</v>
      </c>
      <c r="E65" s="59"/>
      <c r="H65" s="51">
        <v>154</v>
      </c>
      <c r="I65" s="51">
        <v>18</v>
      </c>
      <c r="J65" s="51">
        <v>1</v>
      </c>
      <c r="K65" s="51" t="s">
        <v>105</v>
      </c>
    </row>
    <row r="66" spans="1:11">
      <c r="A66" s="51">
        <f ca="1" t="shared" ref="A66:A97" si="2">RANDBETWEEN(2,164)</f>
        <v>6</v>
      </c>
      <c r="B66" s="51">
        <f ca="1" t="array" ref="B66">INDEX([1]Data_DBD!$B:$B,$A66)</f>
        <v>14</v>
      </c>
      <c r="C66" s="51">
        <f ca="1" t="array" ref="C66">INDEX([1]Data_DBD!$E:$E,$A66)</f>
        <v>0</v>
      </c>
      <c r="D66" s="51" t="str">
        <f ca="1" t="array" ref="D66">INDEX([1]Data_DBD!$F:$F,$A66)</f>
        <v>Sedang</v>
      </c>
      <c r="E66" s="59"/>
      <c r="H66" s="51">
        <v>57</v>
      </c>
      <c r="I66" s="51">
        <v>2</v>
      </c>
      <c r="J66" s="51">
        <v>1</v>
      </c>
      <c r="K66" s="51" t="s">
        <v>8</v>
      </c>
    </row>
    <row r="67" spans="1:11">
      <c r="A67" s="51">
        <f ca="1" t="shared" si="2"/>
        <v>36</v>
      </c>
      <c r="B67" s="51">
        <f ca="1" t="array" ref="B67">INDEX([1]Data_DBD!$B:$B,$A67)</f>
        <v>27</v>
      </c>
      <c r="C67" s="51">
        <f ca="1" t="array" ref="C67">INDEX([1]Data_DBD!$E:$E,$A67)</f>
        <v>1</v>
      </c>
      <c r="D67" s="51" t="str">
        <f ca="1" t="array" ref="D67">INDEX([1]Data_DBD!$F:$F,$A67)</f>
        <v>Rendah</v>
      </c>
      <c r="E67" s="59"/>
      <c r="H67" s="51">
        <v>142</v>
      </c>
      <c r="I67" s="51">
        <v>39</v>
      </c>
      <c r="J67" s="51">
        <v>1</v>
      </c>
      <c r="K67" s="51" t="s">
        <v>105</v>
      </c>
    </row>
    <row r="68" spans="1:11">
      <c r="A68" s="51">
        <f ca="1" t="shared" si="2"/>
        <v>20</v>
      </c>
      <c r="B68" s="51">
        <f ca="1" t="array" ref="B68">INDEX([1]Data_DBD!$B:$B,$A68)</f>
        <v>15</v>
      </c>
      <c r="C68" s="51">
        <f ca="1" t="array" ref="C68">INDEX([1]Data_DBD!$E:$E,$A68)</f>
        <v>0</v>
      </c>
      <c r="D68" s="51" t="str">
        <f ca="1" t="array" ref="D68">INDEX([1]Data_DBD!$F:$F,$A68)</f>
        <v>Rendah</v>
      </c>
      <c r="E68" s="59"/>
      <c r="H68" s="51">
        <v>17</v>
      </c>
      <c r="I68" s="51">
        <v>2</v>
      </c>
      <c r="J68" s="51">
        <v>0</v>
      </c>
      <c r="K68" s="51" t="s">
        <v>26</v>
      </c>
    </row>
    <row r="69" spans="1:11">
      <c r="A69" s="51">
        <f ca="1" t="shared" si="2"/>
        <v>117</v>
      </c>
      <c r="B69" s="51">
        <f ca="1" t="array" ref="B69">INDEX([1]Data_DBD!$B:$B,$A69)</f>
        <v>49</v>
      </c>
      <c r="C69" s="51">
        <f ca="1" t="array" ref="C69">INDEX([1]Data_DBD!$E:$E,$A69)</f>
        <v>1</v>
      </c>
      <c r="D69" s="51" t="str">
        <f ca="1" t="array" ref="D69">INDEX([1]Data_DBD!$F:$F,$A69)</f>
        <v>Tinggi</v>
      </c>
      <c r="E69" s="59"/>
      <c r="H69" s="51">
        <v>116</v>
      </c>
      <c r="I69" s="51">
        <v>32</v>
      </c>
      <c r="J69" s="51">
        <v>1</v>
      </c>
      <c r="K69" s="51" t="s">
        <v>105</v>
      </c>
    </row>
    <row r="70" spans="1:11">
      <c r="A70" s="51">
        <f ca="1" t="shared" si="2"/>
        <v>137</v>
      </c>
      <c r="B70" s="51">
        <f ca="1" t="array" ref="B70">INDEX([1]Data_DBD!$B:$B,$A70)</f>
        <v>3</v>
      </c>
      <c r="C70" s="51">
        <f ca="1" t="array" ref="C70">INDEX([1]Data_DBD!$E:$E,$A70)</f>
        <v>1</v>
      </c>
      <c r="D70" s="51" t="str">
        <f ca="1" t="array" ref="D70">INDEX([1]Data_DBD!$F:$F,$A70)</f>
        <v>Tinggi</v>
      </c>
      <c r="E70" s="59"/>
      <c r="H70" s="51">
        <v>52</v>
      </c>
      <c r="I70" s="51">
        <v>59</v>
      </c>
      <c r="J70" s="51">
        <v>1</v>
      </c>
      <c r="K70" s="51" t="s">
        <v>8</v>
      </c>
    </row>
    <row r="71" spans="1:11">
      <c r="A71" s="51">
        <f ca="1" t="shared" si="2"/>
        <v>51</v>
      </c>
      <c r="B71" s="51">
        <f ca="1" t="array" ref="B71">INDEX([1]Data_DBD!$B:$B,$A71)</f>
        <v>48</v>
      </c>
      <c r="C71" s="51">
        <f ca="1" t="array" ref="C71">INDEX([1]Data_DBD!$E:$E,$A71)</f>
        <v>0</v>
      </c>
      <c r="D71" s="51" t="str">
        <f ca="1" t="array" ref="D71">INDEX([1]Data_DBD!$F:$F,$A71)</f>
        <v>Sedang</v>
      </c>
      <c r="E71" s="59"/>
      <c r="H71" s="51">
        <v>20</v>
      </c>
      <c r="I71" s="51">
        <v>15</v>
      </c>
      <c r="J71" s="51">
        <v>0</v>
      </c>
      <c r="K71" s="51" t="s">
        <v>26</v>
      </c>
    </row>
    <row r="72" spans="1:11">
      <c r="A72" s="51">
        <f ca="1" t="shared" si="2"/>
        <v>34</v>
      </c>
      <c r="B72" s="51">
        <f ca="1" t="array" ref="B72">INDEX([1]Data_DBD!$B:$B,$A72)</f>
        <v>55</v>
      </c>
      <c r="C72" s="51">
        <f ca="1" t="array" ref="C72">INDEX([1]Data_DBD!$E:$E,$A72)</f>
        <v>0</v>
      </c>
      <c r="D72" s="51" t="str">
        <f ca="1" t="array" ref="D72">INDEX([1]Data_DBD!$F:$F,$A72)</f>
        <v>Sedang</v>
      </c>
      <c r="E72" s="59"/>
      <c r="H72" s="51">
        <v>160</v>
      </c>
      <c r="I72" s="51">
        <v>16</v>
      </c>
      <c r="J72" s="51">
        <v>0</v>
      </c>
      <c r="K72" s="51" t="s">
        <v>105</v>
      </c>
    </row>
    <row r="73" spans="1:11">
      <c r="A73" s="51">
        <f ca="1" t="shared" si="2"/>
        <v>143</v>
      </c>
      <c r="B73" s="51">
        <f ca="1" t="array" ref="B73">INDEX([1]Data_DBD!$B:$B,$A73)</f>
        <v>20</v>
      </c>
      <c r="C73" s="51">
        <f ca="1" t="array" ref="C73">INDEX([1]Data_DBD!$E:$E,$A73)</f>
        <v>1</v>
      </c>
      <c r="D73" s="51" t="str">
        <f ca="1" t="array" ref="D73">INDEX([1]Data_DBD!$F:$F,$A73)</f>
        <v>Tinggi</v>
      </c>
      <c r="E73" s="59"/>
      <c r="H73" s="51">
        <v>30</v>
      </c>
      <c r="I73" s="51">
        <v>3</v>
      </c>
      <c r="J73" s="51">
        <v>1</v>
      </c>
      <c r="K73" s="51" t="s">
        <v>8</v>
      </c>
    </row>
    <row r="74" spans="1:11">
      <c r="A74" s="51">
        <f ca="1" t="shared" si="2"/>
        <v>69</v>
      </c>
      <c r="B74" s="51">
        <f ca="1" t="array" ref="B74">INDEX([1]Data_DBD!$B:$B,$A74)</f>
        <v>24</v>
      </c>
      <c r="C74" s="51">
        <f ca="1" t="array" ref="C74">INDEX([1]Data_DBD!$E:$E,$A74)</f>
        <v>1</v>
      </c>
      <c r="D74" s="51" t="str">
        <f ca="1" t="array" ref="D74">INDEX([1]Data_DBD!$F:$F,$A74)</f>
        <v>Sedang</v>
      </c>
      <c r="E74" s="59"/>
      <c r="H74" s="51">
        <v>121</v>
      </c>
      <c r="I74" s="51">
        <v>82</v>
      </c>
      <c r="J74" s="51">
        <v>1</v>
      </c>
      <c r="K74" s="51" t="s">
        <v>105</v>
      </c>
    </row>
    <row r="75" spans="1:11">
      <c r="A75" s="51">
        <f ca="1" t="shared" si="2"/>
        <v>141</v>
      </c>
      <c r="B75" s="51">
        <f ca="1" t="array" ref="B75">INDEX([1]Data_DBD!$B:$B,$A75)</f>
        <v>36</v>
      </c>
      <c r="C75" s="51">
        <f ca="1" t="array" ref="C75">INDEX([1]Data_DBD!$E:$E,$A75)</f>
        <v>0</v>
      </c>
      <c r="D75" s="51" t="str">
        <f ca="1" t="array" ref="D75">INDEX([1]Data_DBD!$F:$F,$A75)</f>
        <v>Tinggi</v>
      </c>
      <c r="E75" s="59"/>
      <c r="H75" s="51">
        <v>113</v>
      </c>
      <c r="I75" s="51">
        <v>69</v>
      </c>
      <c r="J75" s="51">
        <v>1</v>
      </c>
      <c r="K75" s="51" t="s">
        <v>105</v>
      </c>
    </row>
    <row r="76" spans="1:11">
      <c r="A76" s="51">
        <f ca="1" t="shared" si="2"/>
        <v>4</v>
      </c>
      <c r="B76" s="51">
        <f ca="1" t="array" ref="B76">INDEX([1]Data_DBD!$B:$B,$A76)</f>
        <v>23</v>
      </c>
      <c r="C76" s="51">
        <f ca="1" t="array" ref="C76">INDEX([1]Data_DBD!$E:$E,$A76)</f>
        <v>0</v>
      </c>
      <c r="D76" s="51" t="str">
        <f ca="1" t="array" ref="D76">INDEX([1]Data_DBD!$F:$F,$A76)</f>
        <v>Sedang</v>
      </c>
      <c r="E76" s="59"/>
      <c r="H76" s="51">
        <v>157</v>
      </c>
      <c r="I76" s="51">
        <v>15</v>
      </c>
      <c r="J76" s="51">
        <v>1</v>
      </c>
      <c r="K76" s="51" t="s">
        <v>105</v>
      </c>
    </row>
    <row r="77" spans="1:11">
      <c r="A77" s="51">
        <f ca="1" t="shared" si="2"/>
        <v>118</v>
      </c>
      <c r="B77" s="51">
        <f ca="1" t="array" ref="B77">INDEX([1]Data_DBD!$B:$B,$A77)</f>
        <v>67</v>
      </c>
      <c r="C77" s="51">
        <f ca="1" t="array" ref="C77">INDEX([1]Data_DBD!$E:$E,$A77)</f>
        <v>1</v>
      </c>
      <c r="D77" s="51" t="str">
        <f ca="1" t="array" ref="D77">INDEX([1]Data_DBD!$F:$F,$A77)</f>
        <v>Tinggi</v>
      </c>
      <c r="E77" s="59"/>
      <c r="H77" s="51">
        <v>97</v>
      </c>
      <c r="I77" s="51">
        <v>16</v>
      </c>
      <c r="J77" s="51">
        <v>1</v>
      </c>
      <c r="K77" s="51" t="s">
        <v>105</v>
      </c>
    </row>
    <row r="78" spans="1:11">
      <c r="A78" s="51">
        <f ca="1" t="shared" si="2"/>
        <v>164</v>
      </c>
      <c r="B78" s="51">
        <f ca="1" t="array" ref="B78">INDEX([1]Data_DBD!$B:$B,$A78)</f>
        <v>10</v>
      </c>
      <c r="C78" s="51">
        <f ca="1" t="array" ref="C78">INDEX([1]Data_DBD!$E:$E,$A78)</f>
        <v>0</v>
      </c>
      <c r="D78" s="51" t="str">
        <f ca="1" t="array" ref="D78">INDEX([1]Data_DBD!$F:$F,$A78)</f>
        <v>Rendah</v>
      </c>
      <c r="E78" s="59"/>
      <c r="H78" s="51">
        <v>164</v>
      </c>
      <c r="I78" s="51">
        <v>10</v>
      </c>
      <c r="J78" s="51">
        <v>0</v>
      </c>
      <c r="K78" s="51" t="s">
        <v>26</v>
      </c>
    </row>
    <row r="79" spans="1:11">
      <c r="A79" s="51">
        <f ca="1" t="shared" si="2"/>
        <v>77</v>
      </c>
      <c r="B79" s="51">
        <f ca="1" t="array" ref="B79">INDEX([1]Data_DBD!$B:$B,$A79)</f>
        <v>16</v>
      </c>
      <c r="C79" s="51">
        <f ca="1" t="array" ref="C79">INDEX([1]Data_DBD!$E:$E,$A79)</f>
        <v>1</v>
      </c>
      <c r="D79" s="51" t="str">
        <f ca="1" t="array" ref="D79">INDEX([1]Data_DBD!$F:$F,$A79)</f>
        <v>Sedang</v>
      </c>
      <c r="E79" s="59"/>
      <c r="H79" s="51">
        <v>36</v>
      </c>
      <c r="I79" s="51">
        <v>27</v>
      </c>
      <c r="J79" s="51">
        <v>1</v>
      </c>
      <c r="K79" s="51" t="s">
        <v>26</v>
      </c>
    </row>
    <row r="80" spans="1:11">
      <c r="A80" s="51">
        <f ca="1" t="shared" si="2"/>
        <v>133</v>
      </c>
      <c r="B80" s="51">
        <f ca="1" t="array" ref="B80">INDEX([1]Data_DBD!$B:$B,$A80)</f>
        <v>6</v>
      </c>
      <c r="C80" s="51">
        <f ca="1" t="array" ref="C80">INDEX([1]Data_DBD!$E:$E,$A80)</f>
        <v>0</v>
      </c>
      <c r="D80" s="51" t="str">
        <f ca="1" t="array" ref="D80">INDEX([1]Data_DBD!$F:$F,$A80)</f>
        <v>Tinggi</v>
      </c>
      <c r="E80" s="59"/>
      <c r="H80" s="51">
        <v>7</v>
      </c>
      <c r="I80" s="51">
        <v>12</v>
      </c>
      <c r="J80" s="51">
        <v>1</v>
      </c>
      <c r="K80" s="51" t="s">
        <v>8</v>
      </c>
    </row>
    <row r="81" spans="1:11">
      <c r="A81" s="51">
        <f ca="1" t="shared" si="2"/>
        <v>65</v>
      </c>
      <c r="B81" s="51">
        <f ca="1" t="array" ref="B81">INDEX([1]Data_DBD!$B:$B,$A81)</f>
        <v>49</v>
      </c>
      <c r="C81" s="51">
        <f ca="1" t="array" ref="C81">INDEX([1]Data_DBD!$E:$E,$A81)</f>
        <v>0</v>
      </c>
      <c r="D81" s="51" t="str">
        <f ca="1" t="array" ref="D81">INDEX([1]Data_DBD!$F:$F,$A81)</f>
        <v>Sedang</v>
      </c>
      <c r="E81" s="59"/>
      <c r="H81" s="51">
        <v>77</v>
      </c>
      <c r="I81" s="51">
        <v>16</v>
      </c>
      <c r="J81" s="51">
        <v>1</v>
      </c>
      <c r="K81" s="51" t="s">
        <v>8</v>
      </c>
    </row>
    <row r="82" spans="1:11">
      <c r="A82" s="51">
        <f ca="1" t="shared" si="2"/>
        <v>77</v>
      </c>
      <c r="B82" s="51">
        <f ca="1" t="array" ref="B82">INDEX([1]Data_DBD!$B:$B,$A82)</f>
        <v>16</v>
      </c>
      <c r="C82" s="51">
        <f ca="1" t="array" ref="C82">INDEX([1]Data_DBD!$E:$E,$A82)</f>
        <v>1</v>
      </c>
      <c r="D82" s="51" t="str">
        <f ca="1" t="array" ref="D82">INDEX([1]Data_DBD!$F:$F,$A82)</f>
        <v>Sedang</v>
      </c>
      <c r="E82" s="59"/>
      <c r="H82" s="51">
        <v>59</v>
      </c>
      <c r="I82" s="51">
        <v>28</v>
      </c>
      <c r="J82" s="51">
        <v>0</v>
      </c>
      <c r="K82" s="51" t="s">
        <v>8</v>
      </c>
    </row>
    <row r="83" spans="1:11">
      <c r="A83" s="51">
        <f ca="1" t="shared" si="2"/>
        <v>92</v>
      </c>
      <c r="B83" s="51">
        <f ca="1" t="array" ref="B83">INDEX([1]Data_DBD!$B:$B,$A83)</f>
        <v>55</v>
      </c>
      <c r="C83" s="51">
        <f ca="1" t="array" ref="C83">INDEX([1]Data_DBD!$E:$E,$A83)</f>
        <v>0</v>
      </c>
      <c r="D83" s="51" t="str">
        <f ca="1" t="array" ref="D83">INDEX([1]Data_DBD!$F:$F,$A83)</f>
        <v>Tinggi</v>
      </c>
      <c r="E83" s="59"/>
      <c r="H83" s="51">
        <v>48</v>
      </c>
      <c r="I83" s="51">
        <v>50</v>
      </c>
      <c r="J83" s="51">
        <v>1</v>
      </c>
      <c r="K83" s="51" t="s">
        <v>8</v>
      </c>
    </row>
    <row r="84" spans="1:11">
      <c r="A84" s="51">
        <f ca="1" t="shared" si="2"/>
        <v>149</v>
      </c>
      <c r="B84" s="51">
        <f ca="1" t="array" ref="B84">INDEX([1]Data_DBD!$B:$B,$A84)</f>
        <v>19</v>
      </c>
      <c r="C84" s="51">
        <f ca="1" t="array" ref="C84">INDEX([1]Data_DBD!$E:$E,$A84)</f>
        <v>0</v>
      </c>
      <c r="D84" s="51" t="str">
        <f ca="1" t="array" ref="D84">INDEX([1]Data_DBD!$F:$F,$A84)</f>
        <v>Tinggi</v>
      </c>
      <c r="E84" s="59"/>
      <c r="H84" s="51">
        <v>42</v>
      </c>
      <c r="I84" s="51">
        <v>21</v>
      </c>
      <c r="J84" s="51">
        <v>1</v>
      </c>
      <c r="K84" s="51" t="s">
        <v>8</v>
      </c>
    </row>
    <row r="85" spans="1:11">
      <c r="A85" s="51">
        <f ca="1" t="shared" si="2"/>
        <v>152</v>
      </c>
      <c r="B85" s="51">
        <f ca="1" t="array" ref="B85">INDEX([1]Data_DBD!$B:$B,$A85)</f>
        <v>47</v>
      </c>
      <c r="C85" s="51">
        <f ca="1" t="array" ref="C85">INDEX([1]Data_DBD!$E:$E,$A85)</f>
        <v>1</v>
      </c>
      <c r="D85" s="51" t="str">
        <f ca="1" t="array" ref="D85">INDEX([1]Data_DBD!$F:$F,$A85)</f>
        <v>Tinggi</v>
      </c>
      <c r="E85" s="59"/>
      <c r="H85" s="51">
        <v>32</v>
      </c>
      <c r="I85" s="51">
        <v>54</v>
      </c>
      <c r="J85" s="51">
        <v>0</v>
      </c>
      <c r="K85" s="51" t="s">
        <v>8</v>
      </c>
    </row>
    <row r="86" spans="1:11">
      <c r="A86" s="51">
        <f ca="1" t="shared" si="2"/>
        <v>127</v>
      </c>
      <c r="B86" s="51">
        <f ca="1" t="array" ref="B86">INDEX([1]Data_DBD!$B:$B,$A86)</f>
        <v>21</v>
      </c>
      <c r="C86" s="51">
        <f ca="1" t="array" ref="C86">INDEX([1]Data_DBD!$E:$E,$A86)</f>
        <v>0</v>
      </c>
      <c r="D86" s="51" t="str">
        <f ca="1" t="array" ref="D86">INDEX([1]Data_DBD!$F:$F,$A86)</f>
        <v>Tinggi</v>
      </c>
      <c r="E86" s="59"/>
      <c r="H86" s="51">
        <v>16</v>
      </c>
      <c r="I86" s="51">
        <v>66</v>
      </c>
      <c r="J86" s="51">
        <v>1</v>
      </c>
      <c r="K86" s="51" t="s">
        <v>26</v>
      </c>
    </row>
    <row r="87" spans="1:11">
      <c r="A87" s="51">
        <f ca="1" t="shared" si="2"/>
        <v>78</v>
      </c>
      <c r="B87" s="51">
        <f ca="1" t="array" ref="B87">INDEX([1]Data_DBD!$B:$B,$A87)</f>
        <v>6</v>
      </c>
      <c r="C87" s="51">
        <f ca="1" t="array" ref="C87">INDEX([1]Data_DBD!$E:$E,$A87)</f>
        <v>0</v>
      </c>
      <c r="D87" s="51" t="str">
        <f ca="1" t="array" ref="D87">INDEX([1]Data_DBD!$F:$F,$A87)</f>
        <v>Sedang</v>
      </c>
      <c r="E87" s="59"/>
      <c r="H87" s="51">
        <v>120</v>
      </c>
      <c r="I87" s="51">
        <v>26</v>
      </c>
      <c r="J87" s="51">
        <v>1</v>
      </c>
      <c r="K87" s="51" t="s">
        <v>105</v>
      </c>
    </row>
    <row r="88" spans="1:11">
      <c r="A88" s="51">
        <f ca="1" t="shared" si="2"/>
        <v>137</v>
      </c>
      <c r="B88" s="51">
        <f ca="1" t="array" ref="B88">INDEX([1]Data_DBD!$B:$B,$A88)</f>
        <v>3</v>
      </c>
      <c r="C88" s="51">
        <f ca="1" t="array" ref="C88">INDEX([1]Data_DBD!$E:$E,$A88)</f>
        <v>1</v>
      </c>
      <c r="D88" s="51" t="str">
        <f ca="1" t="array" ref="D88">INDEX([1]Data_DBD!$F:$F,$A88)</f>
        <v>Tinggi</v>
      </c>
      <c r="E88" s="59"/>
      <c r="H88" s="51">
        <v>64</v>
      </c>
      <c r="I88" s="51">
        <v>35</v>
      </c>
      <c r="J88" s="51">
        <v>0</v>
      </c>
      <c r="K88" s="51" t="s">
        <v>8</v>
      </c>
    </row>
    <row r="89" spans="1:11">
      <c r="A89" s="51">
        <f ca="1" t="shared" si="2"/>
        <v>4</v>
      </c>
      <c r="B89" s="51">
        <f ca="1" t="array" ref="B89">INDEX([1]Data_DBD!$B:$B,$A89)</f>
        <v>23</v>
      </c>
      <c r="C89" s="51">
        <f ca="1" t="array" ref="C89">INDEX([1]Data_DBD!$E:$E,$A89)</f>
        <v>0</v>
      </c>
      <c r="D89" s="51" t="str">
        <f ca="1" t="array" ref="D89">INDEX([1]Data_DBD!$F:$F,$A89)</f>
        <v>Sedang</v>
      </c>
      <c r="E89" s="59"/>
      <c r="H89" s="51">
        <v>71</v>
      </c>
      <c r="I89" s="51">
        <v>84</v>
      </c>
      <c r="J89" s="51">
        <v>0</v>
      </c>
      <c r="K89" s="51" t="s">
        <v>8</v>
      </c>
    </row>
    <row r="90" spans="1:11">
      <c r="A90" s="51">
        <f ca="1" t="shared" si="2"/>
        <v>161</v>
      </c>
      <c r="B90" s="51">
        <f ca="1" t="array" ref="B90">INDEX([1]Data_DBD!$B:$B,$A90)</f>
        <v>12</v>
      </c>
      <c r="C90" s="51">
        <f ca="1" t="array" ref="C90">INDEX([1]Data_DBD!$E:$E,$A90)</f>
        <v>1</v>
      </c>
      <c r="D90" s="51" t="str">
        <f ca="1" t="array" ref="D90">INDEX([1]Data_DBD!$F:$F,$A90)</f>
        <v>Tinggi</v>
      </c>
      <c r="E90" s="59"/>
      <c r="H90" s="51">
        <v>137</v>
      </c>
      <c r="I90" s="51">
        <v>3</v>
      </c>
      <c r="J90" s="51">
        <v>1</v>
      </c>
      <c r="K90" s="51" t="s">
        <v>105</v>
      </c>
    </row>
    <row r="91" spans="1:11">
      <c r="A91" s="51">
        <f ca="1" t="shared" si="2"/>
        <v>11</v>
      </c>
      <c r="B91" s="51">
        <f ca="1" t="array" ref="B91">INDEX([1]Data_DBD!$B:$B,$A91)</f>
        <v>24</v>
      </c>
      <c r="C91" s="51">
        <f ca="1" t="array" ref="C91">INDEX([1]Data_DBD!$E:$E,$A91)</f>
        <v>1</v>
      </c>
      <c r="D91" s="51" t="str">
        <f ca="1" t="array" ref="D91">INDEX([1]Data_DBD!$F:$F,$A91)</f>
        <v>Sedang</v>
      </c>
      <c r="E91" s="59"/>
      <c r="H91" s="51">
        <v>57</v>
      </c>
      <c r="I91" s="51">
        <v>2</v>
      </c>
      <c r="J91" s="51">
        <v>1</v>
      </c>
      <c r="K91" s="51" t="s">
        <v>8</v>
      </c>
    </row>
    <row r="92" spans="1:11">
      <c r="A92" s="51">
        <f ca="1" t="shared" si="2"/>
        <v>70</v>
      </c>
      <c r="B92" s="51">
        <f ca="1" t="array" ref="B92">INDEX([1]Data_DBD!$B:$B,$A92)</f>
        <v>26</v>
      </c>
      <c r="C92" s="51">
        <f ca="1" t="array" ref="C92">INDEX([1]Data_DBD!$E:$E,$A92)</f>
        <v>1</v>
      </c>
      <c r="D92" s="51" t="str">
        <f ca="1" t="array" ref="D92">INDEX([1]Data_DBD!$F:$F,$A92)</f>
        <v>Sedang</v>
      </c>
      <c r="E92" s="59"/>
      <c r="H92" s="51">
        <v>132</v>
      </c>
      <c r="I92" s="51">
        <v>10</v>
      </c>
      <c r="J92" s="51">
        <v>1</v>
      </c>
      <c r="K92" s="51" t="s">
        <v>105</v>
      </c>
    </row>
    <row r="93" spans="1:11">
      <c r="A93" s="51">
        <f ca="1" t="shared" si="2"/>
        <v>58</v>
      </c>
      <c r="B93" s="51">
        <f ca="1" t="array" ref="B93">INDEX([1]Data_DBD!$B:$B,$A93)</f>
        <v>17</v>
      </c>
      <c r="C93" s="51">
        <f ca="1" t="array" ref="C93">INDEX([1]Data_DBD!$E:$E,$A93)</f>
        <v>0</v>
      </c>
      <c r="D93" s="51" t="str">
        <f ca="1" t="array" ref="D93">INDEX([1]Data_DBD!$F:$F,$A93)</f>
        <v>Sedang</v>
      </c>
      <c r="E93" s="59"/>
      <c r="H93" s="51">
        <v>106</v>
      </c>
      <c r="I93" s="51">
        <v>23</v>
      </c>
      <c r="J93" s="51">
        <v>1</v>
      </c>
      <c r="K93" s="51" t="s">
        <v>105</v>
      </c>
    </row>
    <row r="94" spans="1:11">
      <c r="A94" s="51">
        <f ca="1" t="shared" si="2"/>
        <v>102</v>
      </c>
      <c r="B94" s="51">
        <f ca="1" t="array" ref="B94">INDEX([1]Data_DBD!$B:$B,$A94)</f>
        <v>41</v>
      </c>
      <c r="C94" s="51">
        <f ca="1" t="array" ref="C94">INDEX([1]Data_DBD!$E:$E,$A94)</f>
        <v>0</v>
      </c>
      <c r="D94" s="51" t="str">
        <f ca="1" t="array" ref="D94">INDEX([1]Data_DBD!$F:$F,$A94)</f>
        <v>Tinggi</v>
      </c>
      <c r="E94" s="59"/>
      <c r="H94" s="51">
        <v>106</v>
      </c>
      <c r="I94" s="51">
        <v>23</v>
      </c>
      <c r="J94" s="51">
        <v>1</v>
      </c>
      <c r="K94" s="51" t="s">
        <v>105</v>
      </c>
    </row>
    <row r="95" spans="1:11">
      <c r="A95" s="51">
        <f ca="1" t="shared" si="2"/>
        <v>107</v>
      </c>
      <c r="B95" s="51">
        <f ca="1" t="array" ref="B95">INDEX([1]Data_DBD!$B:$B,$A95)</f>
        <v>48</v>
      </c>
      <c r="C95" s="51">
        <f ca="1" t="array" ref="C95">INDEX([1]Data_DBD!$E:$E,$A95)</f>
        <v>0</v>
      </c>
      <c r="D95" s="51" t="str">
        <f ca="1" t="array" ref="D95">INDEX([1]Data_DBD!$F:$F,$A95)</f>
        <v>Tinggi</v>
      </c>
      <c r="E95" s="59"/>
      <c r="H95" s="51">
        <v>111</v>
      </c>
      <c r="I95" s="51">
        <v>25</v>
      </c>
      <c r="J95" s="51">
        <v>0</v>
      </c>
      <c r="K95" s="51" t="s">
        <v>105</v>
      </c>
    </row>
    <row r="96" spans="1:11">
      <c r="A96" s="51">
        <f ca="1" t="shared" si="2"/>
        <v>131</v>
      </c>
      <c r="B96" s="51">
        <f ca="1" t="array" ref="B96">INDEX([1]Data_DBD!$B:$B,$A96)</f>
        <v>10</v>
      </c>
      <c r="C96" s="51">
        <f ca="1" t="array" ref="C96">INDEX([1]Data_DBD!$E:$E,$A96)</f>
        <v>0</v>
      </c>
      <c r="D96" s="51" t="str">
        <f ca="1" t="array" ref="D96">INDEX([1]Data_DBD!$F:$F,$A96)</f>
        <v>Tinggi</v>
      </c>
      <c r="E96" s="59"/>
      <c r="H96" s="51">
        <v>22</v>
      </c>
      <c r="I96" s="51">
        <v>6</v>
      </c>
      <c r="J96" s="51">
        <v>0</v>
      </c>
      <c r="K96" s="51" t="s">
        <v>8</v>
      </c>
    </row>
    <row r="97" spans="1:11">
      <c r="A97" s="51">
        <f ca="1" t="shared" si="2"/>
        <v>152</v>
      </c>
      <c r="B97" s="51">
        <f ca="1" t="array" ref="B97">INDEX([1]Data_DBD!$B:$B,$A97)</f>
        <v>47</v>
      </c>
      <c r="C97" s="51">
        <f ca="1" t="array" ref="C97">INDEX([1]Data_DBD!$E:$E,$A97)</f>
        <v>1</v>
      </c>
      <c r="D97" s="51" t="str">
        <f ca="1" t="array" ref="D97">INDEX([1]Data_DBD!$F:$F,$A97)</f>
        <v>Tinggi</v>
      </c>
      <c r="E97" s="59"/>
      <c r="H97" s="51">
        <v>63</v>
      </c>
      <c r="I97" s="51">
        <v>25</v>
      </c>
      <c r="J97" s="51">
        <v>0</v>
      </c>
      <c r="K97" s="51" t="s">
        <v>8</v>
      </c>
    </row>
    <row r="98" spans="1:11">
      <c r="A98" s="51">
        <f ca="1" t="shared" ref="A98:A129" si="3">RANDBETWEEN(2,164)</f>
        <v>56</v>
      </c>
      <c r="B98" s="51">
        <f ca="1" t="array" ref="B98">INDEX([1]Data_DBD!$B:$B,$A98)</f>
        <v>4</v>
      </c>
      <c r="C98" s="51">
        <f ca="1" t="array" ref="C98">INDEX([1]Data_DBD!$E:$E,$A98)</f>
        <v>0</v>
      </c>
      <c r="D98" s="51" t="str">
        <f ca="1" t="array" ref="D98">INDEX([1]Data_DBD!$F:$F,$A98)</f>
        <v>Sedang</v>
      </c>
      <c r="E98" s="59"/>
      <c r="H98" s="51">
        <v>164</v>
      </c>
      <c r="I98" s="51">
        <v>10</v>
      </c>
      <c r="J98" s="51">
        <v>0</v>
      </c>
      <c r="K98" s="51" t="s">
        <v>26</v>
      </c>
    </row>
    <row r="99" spans="1:11">
      <c r="A99" s="51">
        <f ca="1" t="shared" si="3"/>
        <v>3</v>
      </c>
      <c r="B99" s="51">
        <f ca="1" t="array" ref="B99">INDEX([1]Data_DBD!$B:$B,$A99)</f>
        <v>43</v>
      </c>
      <c r="C99" s="51">
        <f ca="1" t="array" ref="C99">INDEX([1]Data_DBD!$E:$E,$A99)</f>
        <v>1</v>
      </c>
      <c r="D99" s="51" t="str">
        <f ca="1" t="array" ref="D99">INDEX([1]Data_DBD!$F:$F,$A99)</f>
        <v>Sedang</v>
      </c>
      <c r="E99" s="59"/>
      <c r="H99" s="51">
        <v>2</v>
      </c>
      <c r="I99" s="51">
        <v>34</v>
      </c>
      <c r="J99" s="51">
        <v>0</v>
      </c>
      <c r="K99" s="51" t="s">
        <v>8</v>
      </c>
    </row>
    <row r="100" spans="1:11">
      <c r="A100" s="51">
        <f ca="1" t="shared" si="3"/>
        <v>150</v>
      </c>
      <c r="B100" s="51">
        <f ca="1" t="array" ref="B100">INDEX([1]Data_DBD!$B:$B,$A100)</f>
        <v>61</v>
      </c>
      <c r="C100" s="51">
        <f ca="1" t="array" ref="C100">INDEX([1]Data_DBD!$E:$E,$A100)</f>
        <v>1</v>
      </c>
      <c r="D100" s="51" t="str">
        <f ca="1" t="array" ref="D100">INDEX([1]Data_DBD!$F:$F,$A100)</f>
        <v>Tinggi</v>
      </c>
      <c r="E100" s="59"/>
      <c r="H100" s="51">
        <v>18</v>
      </c>
      <c r="I100" s="51">
        <v>49</v>
      </c>
      <c r="J100" s="51">
        <v>1</v>
      </c>
      <c r="K100" s="51" t="s">
        <v>26</v>
      </c>
    </row>
    <row r="101" spans="1:11">
      <c r="A101" s="51">
        <f ca="1" t="shared" si="3"/>
        <v>145</v>
      </c>
      <c r="B101" s="51">
        <f ca="1" t="array" ref="B101">INDEX([1]Data_DBD!$B:$B,$A101)</f>
        <v>28</v>
      </c>
      <c r="C101" s="51">
        <f ca="1" t="array" ref="C101">INDEX([1]Data_DBD!$E:$E,$A101)</f>
        <v>1</v>
      </c>
      <c r="D101" s="51" t="str">
        <f ca="1" t="array" ref="D101">INDEX([1]Data_DBD!$F:$F,$A101)</f>
        <v>Tinggi</v>
      </c>
      <c r="E101" s="59"/>
      <c r="H101" s="51">
        <v>43</v>
      </c>
      <c r="I101" s="51">
        <v>15</v>
      </c>
      <c r="J101" s="51">
        <v>0</v>
      </c>
      <c r="K101" s="51" t="s">
        <v>8</v>
      </c>
    </row>
    <row r="102" spans="1:11">
      <c r="A102" s="51">
        <f ca="1" t="shared" si="3"/>
        <v>25</v>
      </c>
      <c r="B102" s="51">
        <f ca="1" t="array" ref="B102">INDEX([1]Data_DBD!$B:$B,$A102)</f>
        <v>81</v>
      </c>
      <c r="C102" s="51">
        <f ca="1" t="array" ref="C102">INDEX([1]Data_DBD!$E:$E,$A102)</f>
        <v>0</v>
      </c>
      <c r="D102" s="51" t="str">
        <f ca="1" t="array" ref="D102">INDEX([1]Data_DBD!$F:$F,$A102)</f>
        <v>Sedang</v>
      </c>
      <c r="E102" s="59"/>
      <c r="H102" s="51">
        <v>147</v>
      </c>
      <c r="I102" s="51">
        <v>66</v>
      </c>
      <c r="J102" s="51">
        <v>1</v>
      </c>
      <c r="K102" s="51" t="s">
        <v>105</v>
      </c>
    </row>
    <row r="103" spans="1:11">
      <c r="A103" s="51">
        <f ca="1" t="shared" si="3"/>
        <v>163</v>
      </c>
      <c r="B103" s="51">
        <f ca="1" t="array" ref="B103">INDEX([1]Data_DBD!$B:$B,$A103)</f>
        <v>34</v>
      </c>
      <c r="C103" s="51">
        <f ca="1" t="array" ref="C103">INDEX([1]Data_DBD!$E:$E,$A103)</f>
        <v>1</v>
      </c>
      <c r="D103" s="51" t="str">
        <f ca="1" t="array" ref="D103">INDEX([1]Data_DBD!$F:$F,$A103)</f>
        <v>Rendah</v>
      </c>
      <c r="E103" s="59"/>
      <c r="H103" s="51">
        <v>143</v>
      </c>
      <c r="I103" s="51">
        <v>20</v>
      </c>
      <c r="J103" s="51">
        <v>1</v>
      </c>
      <c r="K103" s="51" t="s">
        <v>105</v>
      </c>
    </row>
    <row r="104" spans="1:11">
      <c r="A104" s="51">
        <f ca="1" t="shared" si="3"/>
        <v>102</v>
      </c>
      <c r="B104" s="51">
        <f ca="1" t="array" ref="B104">INDEX([1]Data_DBD!$B:$B,$A104)</f>
        <v>41</v>
      </c>
      <c r="C104" s="51">
        <f ca="1" t="array" ref="C104">INDEX([1]Data_DBD!$E:$E,$A104)</f>
        <v>0</v>
      </c>
      <c r="D104" s="51" t="str">
        <f ca="1" t="array" ref="D104">INDEX([1]Data_DBD!$F:$F,$A104)</f>
        <v>Tinggi</v>
      </c>
      <c r="E104" s="59"/>
      <c r="H104" s="51">
        <v>142</v>
      </c>
      <c r="I104" s="51">
        <v>39</v>
      </c>
      <c r="J104" s="51">
        <v>1</v>
      </c>
      <c r="K104" s="51" t="s">
        <v>105</v>
      </c>
    </row>
    <row r="105" spans="1:11">
      <c r="A105" s="51">
        <f ca="1" t="shared" si="3"/>
        <v>146</v>
      </c>
      <c r="B105" s="51">
        <f ca="1" t="array" ref="B105">INDEX([1]Data_DBD!$B:$B,$A105)</f>
        <v>34</v>
      </c>
      <c r="C105" s="51">
        <f ca="1" t="array" ref="C105">INDEX([1]Data_DBD!$E:$E,$A105)</f>
        <v>1</v>
      </c>
      <c r="D105" s="51" t="str">
        <f ca="1" t="array" ref="D105">INDEX([1]Data_DBD!$F:$F,$A105)</f>
        <v>Tinggi</v>
      </c>
      <c r="E105" s="59"/>
      <c r="H105" s="51">
        <v>63</v>
      </c>
      <c r="I105" s="51">
        <v>25</v>
      </c>
      <c r="J105" s="51">
        <v>0</v>
      </c>
      <c r="K105" s="51" t="s">
        <v>8</v>
      </c>
    </row>
    <row r="106" spans="1:11">
      <c r="A106" s="51">
        <f ca="1" t="shared" si="3"/>
        <v>25</v>
      </c>
      <c r="B106" s="51">
        <f ca="1" t="array" ref="B106">INDEX([1]Data_DBD!$B:$B,$A106)</f>
        <v>81</v>
      </c>
      <c r="C106" s="51">
        <f ca="1" t="array" ref="C106">INDEX([1]Data_DBD!$E:$E,$A106)</f>
        <v>0</v>
      </c>
      <c r="D106" s="51" t="str">
        <f ca="1" t="array" ref="D106">INDEX([1]Data_DBD!$F:$F,$A106)</f>
        <v>Sedang</v>
      </c>
      <c r="E106" s="59"/>
      <c r="H106" s="51">
        <v>138</v>
      </c>
      <c r="I106" s="51">
        <v>13</v>
      </c>
      <c r="J106" s="51">
        <v>1</v>
      </c>
      <c r="K106" s="51" t="s">
        <v>105</v>
      </c>
    </row>
    <row r="107" spans="1:11">
      <c r="A107" s="51">
        <f ca="1" t="shared" si="3"/>
        <v>102</v>
      </c>
      <c r="B107" s="51">
        <f ca="1" t="array" ref="B107">INDEX([1]Data_DBD!$B:$B,$A107)</f>
        <v>41</v>
      </c>
      <c r="C107" s="51">
        <f ca="1" t="array" ref="C107">INDEX([1]Data_DBD!$E:$E,$A107)</f>
        <v>0</v>
      </c>
      <c r="D107" s="51" t="str">
        <f ca="1" t="array" ref="D107">INDEX([1]Data_DBD!$F:$F,$A107)</f>
        <v>Tinggi</v>
      </c>
      <c r="E107" s="59"/>
      <c r="H107" s="51">
        <v>60</v>
      </c>
      <c r="I107" s="51">
        <v>68</v>
      </c>
      <c r="J107" s="51">
        <v>0</v>
      </c>
      <c r="K107" s="51" t="s">
        <v>8</v>
      </c>
    </row>
    <row r="108" spans="1:11">
      <c r="A108" s="51">
        <f ca="1" t="shared" si="3"/>
        <v>147</v>
      </c>
      <c r="B108" s="51">
        <f ca="1" t="array" ref="B108">INDEX([1]Data_DBD!$B:$B,$A108)</f>
        <v>66</v>
      </c>
      <c r="C108" s="51">
        <f ca="1" t="array" ref="C108">INDEX([1]Data_DBD!$E:$E,$A108)</f>
        <v>1</v>
      </c>
      <c r="D108" s="51" t="str">
        <f ca="1" t="array" ref="D108">INDEX([1]Data_DBD!$F:$F,$A108)</f>
        <v>Tinggi</v>
      </c>
      <c r="E108" s="59"/>
      <c r="H108" s="51">
        <v>10</v>
      </c>
      <c r="I108" s="51">
        <v>18</v>
      </c>
      <c r="J108" s="51">
        <v>0</v>
      </c>
      <c r="K108" s="51" t="s">
        <v>8</v>
      </c>
    </row>
    <row r="109" spans="1:11">
      <c r="A109" s="51">
        <f ca="1" t="shared" si="3"/>
        <v>115</v>
      </c>
      <c r="B109" s="51">
        <f ca="1" t="array" ref="B109">INDEX([1]Data_DBD!$B:$B,$A109)</f>
        <v>52</v>
      </c>
      <c r="C109" s="51">
        <f ca="1" t="array" ref="C109">INDEX([1]Data_DBD!$E:$E,$A109)</f>
        <v>1</v>
      </c>
      <c r="D109" s="51" t="str">
        <f ca="1" t="array" ref="D109">INDEX([1]Data_DBD!$F:$F,$A109)</f>
        <v>Tinggi</v>
      </c>
      <c r="E109" s="59"/>
      <c r="H109" s="51">
        <v>142</v>
      </c>
      <c r="I109" s="51">
        <v>39</v>
      </c>
      <c r="J109" s="51">
        <v>1</v>
      </c>
      <c r="K109" s="51" t="s">
        <v>105</v>
      </c>
    </row>
    <row r="110" spans="1:11">
      <c r="A110" s="51">
        <f ca="1" t="shared" si="3"/>
        <v>144</v>
      </c>
      <c r="B110" s="51">
        <f ca="1" t="array" ref="B110">INDEX([1]Data_DBD!$B:$B,$A110)</f>
        <v>61</v>
      </c>
      <c r="C110" s="51">
        <f ca="1" t="array" ref="C110">INDEX([1]Data_DBD!$E:$E,$A110)</f>
        <v>1</v>
      </c>
      <c r="D110" s="51" t="str">
        <f ca="1" t="array" ref="D110">INDEX([1]Data_DBD!$F:$F,$A110)</f>
        <v>Tinggi</v>
      </c>
      <c r="E110" s="59"/>
      <c r="H110" s="51">
        <v>7</v>
      </c>
      <c r="I110" s="51">
        <v>12</v>
      </c>
      <c r="J110" s="51">
        <v>1</v>
      </c>
      <c r="K110" s="51" t="s">
        <v>8</v>
      </c>
    </row>
    <row r="111" spans="1:11">
      <c r="A111" s="51">
        <f ca="1" t="shared" si="3"/>
        <v>39</v>
      </c>
      <c r="B111" s="51">
        <f ca="1" t="array" ref="B111">INDEX([1]Data_DBD!$B:$B,$A111)</f>
        <v>12</v>
      </c>
      <c r="C111" s="51">
        <f ca="1" t="array" ref="C111">INDEX([1]Data_DBD!$E:$E,$A111)</f>
        <v>1</v>
      </c>
      <c r="D111" s="51" t="str">
        <f ca="1" t="array" ref="D111">INDEX([1]Data_DBD!$F:$F,$A111)</f>
        <v>Sedang</v>
      </c>
      <c r="E111" s="59"/>
      <c r="H111" s="51">
        <v>137</v>
      </c>
      <c r="I111" s="51">
        <v>3</v>
      </c>
      <c r="J111" s="51">
        <v>1</v>
      </c>
      <c r="K111" s="51" t="s">
        <v>105</v>
      </c>
    </row>
    <row r="112" spans="1:11">
      <c r="A112" s="51">
        <f ca="1" t="shared" si="3"/>
        <v>143</v>
      </c>
      <c r="B112" s="51">
        <f ca="1" t="array" ref="B112">INDEX([1]Data_DBD!$B:$B,$A112)</f>
        <v>20</v>
      </c>
      <c r="C112" s="51">
        <f ca="1" t="array" ref="C112">INDEX([1]Data_DBD!$E:$E,$A112)</f>
        <v>1</v>
      </c>
      <c r="D112" s="51" t="str">
        <f ca="1" t="array" ref="D112">INDEX([1]Data_DBD!$F:$F,$A112)</f>
        <v>Tinggi</v>
      </c>
      <c r="E112" s="59"/>
      <c r="H112" s="51">
        <v>128</v>
      </c>
      <c r="I112" s="51">
        <v>38</v>
      </c>
      <c r="J112" s="51">
        <v>0</v>
      </c>
      <c r="K112" s="51" t="s">
        <v>105</v>
      </c>
    </row>
    <row r="113" spans="1:11">
      <c r="A113" s="51">
        <f ca="1" t="shared" si="3"/>
        <v>60</v>
      </c>
      <c r="B113" s="51">
        <f ca="1" t="array" ref="B113">INDEX([1]Data_DBD!$B:$B,$A113)</f>
        <v>68</v>
      </c>
      <c r="C113" s="51">
        <f ca="1" t="array" ref="C113">INDEX([1]Data_DBD!$E:$E,$A113)</f>
        <v>0</v>
      </c>
      <c r="D113" s="51" t="str">
        <f ca="1" t="array" ref="D113">INDEX([1]Data_DBD!$F:$F,$A113)</f>
        <v>Sedang</v>
      </c>
      <c r="E113" s="59"/>
      <c r="H113" s="51">
        <v>130</v>
      </c>
      <c r="I113" s="51">
        <v>12</v>
      </c>
      <c r="J113" s="51">
        <v>0</v>
      </c>
      <c r="K113" s="51" t="s">
        <v>105</v>
      </c>
    </row>
    <row r="114" spans="1:11">
      <c r="A114" s="51">
        <f ca="1" t="shared" si="3"/>
        <v>66</v>
      </c>
      <c r="B114" s="51">
        <f ca="1" t="array" ref="B114">INDEX([1]Data_DBD!$B:$B,$A114)</f>
        <v>21</v>
      </c>
      <c r="C114" s="51">
        <f ca="1" t="array" ref="C114">INDEX([1]Data_DBD!$E:$E,$A114)</f>
        <v>1</v>
      </c>
      <c r="D114" s="51" t="str">
        <f ca="1" t="array" ref="D114">INDEX([1]Data_DBD!$F:$F,$A114)</f>
        <v>Sedang</v>
      </c>
      <c r="E114" s="59"/>
      <c r="H114" s="51">
        <v>146</v>
      </c>
      <c r="I114" s="51">
        <v>34</v>
      </c>
      <c r="J114" s="51">
        <v>1</v>
      </c>
      <c r="K114" s="51" t="s">
        <v>105</v>
      </c>
    </row>
    <row r="115" spans="1:11">
      <c r="A115" s="51">
        <f ca="1" t="shared" si="3"/>
        <v>72</v>
      </c>
      <c r="B115" s="51">
        <f ca="1" t="array" ref="B115">INDEX([1]Data_DBD!$B:$B,$A115)</f>
        <v>3</v>
      </c>
      <c r="C115" s="51">
        <f ca="1" t="array" ref="C115">INDEX([1]Data_DBD!$E:$E,$A115)</f>
        <v>1</v>
      </c>
      <c r="D115" s="51" t="str">
        <f ca="1" t="array" ref="D115">INDEX([1]Data_DBD!$F:$F,$A115)</f>
        <v>Sedang</v>
      </c>
      <c r="E115" s="59"/>
      <c r="H115" s="51">
        <v>29</v>
      </c>
      <c r="I115" s="51">
        <v>19</v>
      </c>
      <c r="J115" s="51">
        <v>1</v>
      </c>
      <c r="K115" s="51" t="s">
        <v>8</v>
      </c>
    </row>
    <row r="116" spans="1:11">
      <c r="A116" s="51">
        <f ca="1" t="shared" si="3"/>
        <v>16</v>
      </c>
      <c r="B116" s="51">
        <f ca="1" t="array" ref="B116">INDEX([1]Data_DBD!$B:$B,$A116)</f>
        <v>66</v>
      </c>
      <c r="C116" s="51">
        <f ca="1" t="array" ref="C116">INDEX([1]Data_DBD!$E:$E,$A116)</f>
        <v>1</v>
      </c>
      <c r="D116" s="51" t="str">
        <f ca="1" t="array" ref="D116">INDEX([1]Data_DBD!$F:$F,$A116)</f>
        <v>Rendah</v>
      </c>
      <c r="E116" s="59"/>
      <c r="H116" s="51">
        <v>38</v>
      </c>
      <c r="I116" s="51">
        <v>52</v>
      </c>
      <c r="J116" s="51">
        <v>1</v>
      </c>
      <c r="K116" s="51" t="s">
        <v>26</v>
      </c>
    </row>
    <row r="117" spans="1:11">
      <c r="A117" s="51">
        <f ca="1" t="shared" si="3"/>
        <v>85</v>
      </c>
      <c r="B117" s="51">
        <f ca="1" t="array" ref="B117">INDEX([1]Data_DBD!$B:$B,$A117)</f>
        <v>27</v>
      </c>
      <c r="C117" s="51">
        <f ca="1" t="array" ref="C117">INDEX([1]Data_DBD!$E:$E,$A117)</f>
        <v>0</v>
      </c>
      <c r="D117" s="51" t="str">
        <f ca="1" t="array" ref="D117">INDEX([1]Data_DBD!$F:$F,$A117)</f>
        <v>Sedang</v>
      </c>
      <c r="E117" s="59"/>
      <c r="H117" s="51">
        <v>125</v>
      </c>
      <c r="I117" s="51">
        <v>39</v>
      </c>
      <c r="J117" s="51">
        <v>0</v>
      </c>
      <c r="K117" s="51" t="s">
        <v>105</v>
      </c>
    </row>
    <row r="118" spans="1:11">
      <c r="A118" s="51">
        <f ca="1" t="shared" si="3"/>
        <v>86</v>
      </c>
      <c r="B118" s="51">
        <f ca="1" t="array" ref="B118">INDEX([1]Data_DBD!$B:$B,$A118)</f>
        <v>23</v>
      </c>
      <c r="C118" s="51">
        <f ca="1" t="array" ref="C118">INDEX([1]Data_DBD!$E:$E,$A118)</f>
        <v>0</v>
      </c>
      <c r="D118" s="51" t="str">
        <f ca="1" t="array" ref="D118">INDEX([1]Data_DBD!$F:$F,$A118)</f>
        <v>Sedang</v>
      </c>
      <c r="E118" s="59"/>
      <c r="H118" s="51">
        <v>7</v>
      </c>
      <c r="I118" s="51">
        <v>12</v>
      </c>
      <c r="J118" s="51">
        <v>1</v>
      </c>
      <c r="K118" s="51" t="s">
        <v>8</v>
      </c>
    </row>
    <row r="119" spans="1:11">
      <c r="A119" s="51">
        <f ca="1" t="shared" si="3"/>
        <v>51</v>
      </c>
      <c r="B119" s="51">
        <f ca="1" t="array" ref="B119">INDEX([1]Data_DBD!$B:$B,$A119)</f>
        <v>48</v>
      </c>
      <c r="C119" s="51">
        <f ca="1" t="array" ref="C119">INDEX([1]Data_DBD!$E:$E,$A119)</f>
        <v>0</v>
      </c>
      <c r="D119" s="51" t="str">
        <f ca="1" t="array" ref="D119">INDEX([1]Data_DBD!$F:$F,$A119)</f>
        <v>Sedang</v>
      </c>
      <c r="E119" s="59"/>
      <c r="H119" s="51">
        <v>141</v>
      </c>
      <c r="I119" s="51">
        <v>36</v>
      </c>
      <c r="J119" s="51">
        <v>0</v>
      </c>
      <c r="K119" s="51" t="s">
        <v>105</v>
      </c>
    </row>
    <row r="120" spans="1:11">
      <c r="A120" s="51">
        <f ca="1" t="shared" si="3"/>
        <v>27</v>
      </c>
      <c r="B120" s="51">
        <f ca="1" t="array" ref="B120">INDEX([1]Data_DBD!$B:$B,$A120)</f>
        <v>37</v>
      </c>
      <c r="C120" s="51">
        <f ca="1" t="array" ref="C120">INDEX([1]Data_DBD!$E:$E,$A120)</f>
        <v>1</v>
      </c>
      <c r="D120" s="51" t="str">
        <f ca="1" t="array" ref="D120">INDEX([1]Data_DBD!$F:$F,$A120)</f>
        <v>Sedang</v>
      </c>
      <c r="E120" s="59"/>
      <c r="H120" s="51">
        <v>29</v>
      </c>
      <c r="I120" s="51">
        <v>19</v>
      </c>
      <c r="J120" s="51">
        <v>1</v>
      </c>
      <c r="K120" s="51" t="s">
        <v>8</v>
      </c>
    </row>
    <row r="121" spans="1:11">
      <c r="A121" s="51">
        <f ca="1" t="shared" si="3"/>
        <v>63</v>
      </c>
      <c r="B121" s="51">
        <f ca="1" t="array" ref="B121">INDEX([1]Data_DBD!$B:$B,$A121)</f>
        <v>25</v>
      </c>
      <c r="C121" s="51">
        <f ca="1" t="array" ref="C121">INDEX([1]Data_DBD!$E:$E,$A121)</f>
        <v>0</v>
      </c>
      <c r="D121" s="51" t="str">
        <f ca="1" t="array" ref="D121">INDEX([1]Data_DBD!$F:$F,$A121)</f>
        <v>Sedang</v>
      </c>
      <c r="E121" s="59"/>
      <c r="H121" s="51">
        <v>77</v>
      </c>
      <c r="I121" s="51">
        <v>16</v>
      </c>
      <c r="J121" s="51">
        <v>1</v>
      </c>
      <c r="K121" s="51" t="s">
        <v>8</v>
      </c>
    </row>
    <row r="122" spans="1:11">
      <c r="A122" s="51">
        <f ca="1" t="shared" si="3"/>
        <v>68</v>
      </c>
      <c r="B122" s="51">
        <f ca="1" t="array" ref="B122">INDEX([1]Data_DBD!$B:$B,$A122)</f>
        <v>44</v>
      </c>
      <c r="C122" s="51">
        <f ca="1" t="array" ref="C122">INDEX([1]Data_DBD!$E:$E,$A122)</f>
        <v>0</v>
      </c>
      <c r="D122" s="51" t="str">
        <f ca="1" t="array" ref="D122">INDEX([1]Data_DBD!$F:$F,$A122)</f>
        <v>Sedang</v>
      </c>
      <c r="E122" s="59"/>
      <c r="H122" s="51">
        <v>145</v>
      </c>
      <c r="I122" s="51">
        <v>28</v>
      </c>
      <c r="J122" s="51">
        <v>1</v>
      </c>
      <c r="K122" s="51" t="s">
        <v>105</v>
      </c>
    </row>
    <row r="123" spans="1:11">
      <c r="A123" s="51">
        <f ca="1" t="shared" si="3"/>
        <v>147</v>
      </c>
      <c r="B123" s="51">
        <f ca="1" t="array" ref="B123">INDEX([1]Data_DBD!$B:$B,$A123)</f>
        <v>66</v>
      </c>
      <c r="C123" s="51">
        <f ca="1" t="array" ref="C123">INDEX([1]Data_DBD!$E:$E,$A123)</f>
        <v>1</v>
      </c>
      <c r="D123" s="51" t="str">
        <f ca="1" t="array" ref="D123">INDEX([1]Data_DBD!$F:$F,$A123)</f>
        <v>Tinggi</v>
      </c>
      <c r="E123" s="59"/>
      <c r="H123" s="51">
        <v>108</v>
      </c>
      <c r="I123" s="51">
        <v>69</v>
      </c>
      <c r="J123" s="51">
        <v>1</v>
      </c>
      <c r="K123" s="51" t="s">
        <v>105</v>
      </c>
    </row>
    <row r="124" spans="1:11">
      <c r="A124" s="51">
        <f ca="1" t="shared" si="3"/>
        <v>139</v>
      </c>
      <c r="B124" s="51">
        <f ca="1" t="array" ref="B124">INDEX([1]Data_DBD!$B:$B,$A124)</f>
        <v>52</v>
      </c>
      <c r="C124" s="51">
        <f ca="1" t="array" ref="C124">INDEX([1]Data_DBD!$E:$E,$A124)</f>
        <v>0</v>
      </c>
      <c r="D124" s="51" t="str">
        <f ca="1" t="array" ref="D124">INDEX([1]Data_DBD!$F:$F,$A124)</f>
        <v>Tinggi</v>
      </c>
      <c r="E124" s="59"/>
      <c r="H124" s="51">
        <v>161</v>
      </c>
      <c r="I124" s="51">
        <v>12</v>
      </c>
      <c r="J124" s="51">
        <v>1</v>
      </c>
      <c r="K124" s="51" t="s">
        <v>105</v>
      </c>
    </row>
    <row r="125" spans="1:11">
      <c r="A125" s="51">
        <f ca="1" t="shared" si="3"/>
        <v>116</v>
      </c>
      <c r="B125" s="51">
        <f ca="1" t="array" ref="B125">INDEX([1]Data_DBD!$B:$B,$A125)</f>
        <v>32</v>
      </c>
      <c r="C125" s="51">
        <f ca="1" t="array" ref="C125">INDEX([1]Data_DBD!$E:$E,$A125)</f>
        <v>1</v>
      </c>
      <c r="D125" s="51" t="str">
        <f ca="1" t="array" ref="D125">INDEX([1]Data_DBD!$F:$F,$A125)</f>
        <v>Tinggi</v>
      </c>
      <c r="E125" s="59"/>
      <c r="H125" s="51">
        <v>65</v>
      </c>
      <c r="I125" s="51">
        <v>49</v>
      </c>
      <c r="J125" s="51">
        <v>0</v>
      </c>
      <c r="K125" s="51" t="s">
        <v>8</v>
      </c>
    </row>
    <row r="126" spans="1:11">
      <c r="A126" s="51">
        <f ca="1" t="shared" si="3"/>
        <v>31</v>
      </c>
      <c r="B126" s="51">
        <f ca="1" t="array" ref="B126">INDEX([1]Data_DBD!$B:$B,$A126)</f>
        <v>64</v>
      </c>
      <c r="C126" s="51">
        <f ca="1" t="array" ref="C126">INDEX([1]Data_DBD!$E:$E,$A126)</f>
        <v>1</v>
      </c>
      <c r="D126" s="51" t="str">
        <f ca="1" t="array" ref="D126">INDEX([1]Data_DBD!$F:$F,$A126)</f>
        <v>Sedang</v>
      </c>
      <c r="E126" s="59"/>
      <c r="H126" s="51">
        <v>157</v>
      </c>
      <c r="I126" s="51">
        <v>15</v>
      </c>
      <c r="J126" s="51">
        <v>1</v>
      </c>
      <c r="K126" s="51" t="s">
        <v>105</v>
      </c>
    </row>
    <row r="127" spans="1:11">
      <c r="A127" s="51">
        <f ca="1" t="shared" si="3"/>
        <v>31</v>
      </c>
      <c r="B127" s="51">
        <f ca="1" t="array" ref="B127">INDEX([1]Data_DBD!$B:$B,$A127)</f>
        <v>64</v>
      </c>
      <c r="C127" s="51">
        <f ca="1" t="array" ref="C127">INDEX([1]Data_DBD!$E:$E,$A127)</f>
        <v>1</v>
      </c>
      <c r="D127" s="51" t="str">
        <f ca="1" t="array" ref="D127">INDEX([1]Data_DBD!$F:$F,$A127)</f>
        <v>Sedang</v>
      </c>
      <c r="E127" s="59"/>
      <c r="H127" s="51">
        <v>23</v>
      </c>
      <c r="I127" s="51">
        <v>28</v>
      </c>
      <c r="J127" s="51">
        <v>1</v>
      </c>
      <c r="K127" s="51" t="s">
        <v>8</v>
      </c>
    </row>
    <row r="128" spans="1:11">
      <c r="A128" s="51">
        <f ca="1" t="shared" si="3"/>
        <v>53</v>
      </c>
      <c r="B128" s="51">
        <f ca="1" t="array" ref="B128">INDEX([1]Data_DBD!$B:$B,$A128)</f>
        <v>35</v>
      </c>
      <c r="C128" s="51">
        <f ca="1" t="array" ref="C128">INDEX([1]Data_DBD!$E:$E,$A128)</f>
        <v>1</v>
      </c>
      <c r="D128" s="51" t="str">
        <f ca="1" t="array" ref="D128">INDEX([1]Data_DBD!$F:$F,$A128)</f>
        <v>Sedang</v>
      </c>
      <c r="E128" s="59"/>
      <c r="H128" s="51">
        <v>46</v>
      </c>
      <c r="I128" s="51">
        <v>62</v>
      </c>
      <c r="J128" s="51">
        <v>0</v>
      </c>
      <c r="K128" s="51" t="s">
        <v>8</v>
      </c>
    </row>
    <row r="129" spans="1:11">
      <c r="A129" s="51">
        <f ca="1" t="shared" si="3"/>
        <v>35</v>
      </c>
      <c r="B129" s="51">
        <f ca="1" t="array" ref="B129">INDEX([1]Data_DBD!$B:$B,$A129)</f>
        <v>40</v>
      </c>
      <c r="C129" s="51">
        <f ca="1" t="array" ref="C129">INDEX([1]Data_DBD!$E:$E,$A129)</f>
        <v>1</v>
      </c>
      <c r="D129" s="51" t="str">
        <f ca="1" t="array" ref="D129">INDEX([1]Data_DBD!$F:$F,$A129)</f>
        <v>Rendah</v>
      </c>
      <c r="E129" s="59"/>
      <c r="H129" s="51">
        <v>4</v>
      </c>
      <c r="I129" s="51">
        <v>23</v>
      </c>
      <c r="J129" s="51">
        <v>0</v>
      </c>
      <c r="K129" s="51" t="s">
        <v>8</v>
      </c>
    </row>
    <row r="130" spans="1:11">
      <c r="A130" s="51">
        <f ca="1" t="shared" ref="A130:A164" si="4">RANDBETWEEN(2,164)</f>
        <v>97</v>
      </c>
      <c r="B130" s="51">
        <f ca="1" t="array" ref="B130">INDEX([1]Data_DBD!$B:$B,$A130)</f>
        <v>16</v>
      </c>
      <c r="C130" s="51">
        <f ca="1" t="array" ref="C130">INDEX([1]Data_DBD!$E:$E,$A130)</f>
        <v>1</v>
      </c>
      <c r="D130" s="51" t="str">
        <f ca="1" t="array" ref="D130">INDEX([1]Data_DBD!$F:$F,$A130)</f>
        <v>Tinggi</v>
      </c>
      <c r="E130" s="59"/>
      <c r="H130" s="51">
        <v>43</v>
      </c>
      <c r="I130" s="51">
        <v>15</v>
      </c>
      <c r="J130" s="51">
        <v>0</v>
      </c>
      <c r="K130" s="51" t="s">
        <v>8</v>
      </c>
    </row>
    <row r="131" spans="1:11">
      <c r="A131" s="51">
        <f ca="1" t="shared" si="4"/>
        <v>162</v>
      </c>
      <c r="B131" s="51">
        <f ca="1" t="array" ref="B131">INDEX([1]Data_DBD!$B:$B,$A131)</f>
        <v>22</v>
      </c>
      <c r="C131" s="51">
        <f ca="1" t="array" ref="C131">INDEX([1]Data_DBD!$E:$E,$A131)</f>
        <v>1</v>
      </c>
      <c r="D131" s="51" t="str">
        <f ca="1" t="array" ref="D131">INDEX([1]Data_DBD!$F:$F,$A131)</f>
        <v>Rendah</v>
      </c>
      <c r="E131" s="59"/>
      <c r="H131" s="51">
        <v>97</v>
      </c>
      <c r="I131" s="51">
        <v>16</v>
      </c>
      <c r="J131" s="51">
        <v>1</v>
      </c>
      <c r="K131" s="51" t="s">
        <v>105</v>
      </c>
    </row>
    <row r="132" spans="1:11">
      <c r="A132" s="51">
        <f ca="1" t="shared" si="4"/>
        <v>100</v>
      </c>
      <c r="B132" s="51">
        <f ca="1" t="array" ref="B132">INDEX([1]Data_DBD!$B:$B,$A132)</f>
        <v>19</v>
      </c>
      <c r="C132" s="51">
        <f ca="1" t="array" ref="C132">INDEX([1]Data_DBD!$E:$E,$A132)</f>
        <v>0</v>
      </c>
      <c r="D132" s="51" t="str">
        <f ca="1" t="array" ref="D132">INDEX([1]Data_DBD!$F:$F,$A132)</f>
        <v>Tinggi</v>
      </c>
      <c r="E132" s="59"/>
      <c r="H132" s="51">
        <v>104</v>
      </c>
      <c r="I132" s="51">
        <v>37</v>
      </c>
      <c r="J132" s="51">
        <v>1</v>
      </c>
      <c r="K132" s="51" t="s">
        <v>105</v>
      </c>
    </row>
    <row r="133" spans="1:11">
      <c r="A133" s="51">
        <f ca="1" t="shared" si="4"/>
        <v>79</v>
      </c>
      <c r="B133" s="51">
        <f ca="1" t="array" ref="B133">INDEX([1]Data_DBD!$B:$B,$A133)</f>
        <v>29</v>
      </c>
      <c r="C133" s="51">
        <f ca="1" t="array" ref="C133">INDEX([1]Data_DBD!$E:$E,$A133)</f>
        <v>0</v>
      </c>
      <c r="D133" s="51" t="str">
        <f ca="1" t="array" ref="D133">INDEX([1]Data_DBD!$F:$F,$A133)</f>
        <v>Sedang</v>
      </c>
      <c r="E133" s="59"/>
      <c r="H133" s="51">
        <v>3</v>
      </c>
      <c r="I133" s="51">
        <v>43</v>
      </c>
      <c r="J133" s="51">
        <v>1</v>
      </c>
      <c r="K133" s="51" t="s">
        <v>8</v>
      </c>
    </row>
    <row r="134" spans="1:11">
      <c r="A134" s="51">
        <f ca="1" t="shared" si="4"/>
        <v>32</v>
      </c>
      <c r="B134" s="51">
        <f ca="1" t="array" ref="B134">INDEX([1]Data_DBD!$B:$B,$A134)</f>
        <v>54</v>
      </c>
      <c r="C134" s="51">
        <f ca="1" t="array" ref="C134">INDEX([1]Data_DBD!$E:$E,$A134)</f>
        <v>0</v>
      </c>
      <c r="D134" s="51" t="str">
        <f ca="1" t="array" ref="D134">INDEX([1]Data_DBD!$F:$F,$A134)</f>
        <v>Sedang</v>
      </c>
      <c r="E134" s="59"/>
      <c r="H134" s="51">
        <v>130</v>
      </c>
      <c r="I134" s="51">
        <v>12</v>
      </c>
      <c r="J134" s="51">
        <v>0</v>
      </c>
      <c r="K134" s="51" t="s">
        <v>105</v>
      </c>
    </row>
    <row r="135" spans="1:11">
      <c r="A135" s="51">
        <f ca="1" t="shared" si="4"/>
        <v>32</v>
      </c>
      <c r="B135" s="51">
        <f ca="1" t="array" ref="B135">INDEX([1]Data_DBD!$B:$B,$A135)</f>
        <v>54</v>
      </c>
      <c r="C135" s="51">
        <f ca="1" t="array" ref="C135">INDEX([1]Data_DBD!$E:$E,$A135)</f>
        <v>0</v>
      </c>
      <c r="D135" s="51" t="str">
        <f ca="1" t="array" ref="D135">INDEX([1]Data_DBD!$F:$F,$A135)</f>
        <v>Sedang</v>
      </c>
      <c r="E135" s="59"/>
      <c r="H135" s="51">
        <v>31</v>
      </c>
      <c r="I135" s="51">
        <v>64</v>
      </c>
      <c r="J135" s="51">
        <v>1</v>
      </c>
      <c r="K135" s="51" t="s">
        <v>8</v>
      </c>
    </row>
    <row r="136" spans="1:11">
      <c r="A136" s="51">
        <f ca="1" t="shared" si="4"/>
        <v>64</v>
      </c>
      <c r="B136" s="51">
        <f ca="1" t="array" ref="B136">INDEX([1]Data_DBD!$B:$B,$A136)</f>
        <v>35</v>
      </c>
      <c r="C136" s="51">
        <f ca="1" t="array" ref="C136">INDEX([1]Data_DBD!$E:$E,$A136)</f>
        <v>0</v>
      </c>
      <c r="D136" s="51" t="str">
        <f ca="1" t="array" ref="D136">INDEX([1]Data_DBD!$F:$F,$A136)</f>
        <v>Sedang</v>
      </c>
      <c r="E136" s="59"/>
      <c r="H136" s="51">
        <v>99</v>
      </c>
      <c r="I136" s="51">
        <v>4</v>
      </c>
      <c r="J136" s="51">
        <v>1</v>
      </c>
      <c r="K136" s="51" t="s">
        <v>105</v>
      </c>
    </row>
    <row r="137" spans="1:11">
      <c r="A137" s="51">
        <f ca="1" t="shared" si="4"/>
        <v>141</v>
      </c>
      <c r="B137" s="51">
        <f ca="1" t="array" ref="B137">INDEX([1]Data_DBD!$B:$B,$A137)</f>
        <v>36</v>
      </c>
      <c r="C137" s="51">
        <f ca="1" t="array" ref="C137">INDEX([1]Data_DBD!$E:$E,$A137)</f>
        <v>0</v>
      </c>
      <c r="D137" s="51" t="str">
        <f ca="1" t="array" ref="D137">INDEX([1]Data_DBD!$F:$F,$A137)</f>
        <v>Tinggi</v>
      </c>
      <c r="E137" s="59"/>
      <c r="H137" s="51">
        <v>55</v>
      </c>
      <c r="I137" s="51">
        <v>7</v>
      </c>
      <c r="J137" s="51">
        <v>1</v>
      </c>
      <c r="K137" s="51" t="s">
        <v>8</v>
      </c>
    </row>
    <row r="138" spans="1:11">
      <c r="A138" s="51">
        <f ca="1" t="shared" si="4"/>
        <v>71</v>
      </c>
      <c r="B138" s="51">
        <f ca="1" t="array" ref="B138">INDEX([1]Data_DBD!$B:$B,$A138)</f>
        <v>84</v>
      </c>
      <c r="C138" s="51">
        <f ca="1" t="array" ref="C138">INDEX([1]Data_DBD!$E:$E,$A138)</f>
        <v>0</v>
      </c>
      <c r="D138" s="51" t="str">
        <f ca="1" t="array" ref="D138">INDEX([1]Data_DBD!$F:$F,$A138)</f>
        <v>Sedang</v>
      </c>
      <c r="E138" s="59"/>
      <c r="H138" s="51">
        <v>35</v>
      </c>
      <c r="I138" s="51">
        <v>40</v>
      </c>
      <c r="J138" s="51">
        <v>1</v>
      </c>
      <c r="K138" s="51" t="s">
        <v>26</v>
      </c>
    </row>
    <row r="139" spans="1:11">
      <c r="A139" s="51">
        <f ca="1" t="shared" si="4"/>
        <v>77</v>
      </c>
      <c r="B139" s="51">
        <f ca="1" t="array" ref="B139">INDEX([1]Data_DBD!$B:$B,$A139)</f>
        <v>16</v>
      </c>
      <c r="C139" s="51">
        <f ca="1" t="array" ref="C139">INDEX([1]Data_DBD!$E:$E,$A139)</f>
        <v>1</v>
      </c>
      <c r="D139" s="51" t="str">
        <f ca="1" t="array" ref="D139">INDEX([1]Data_DBD!$F:$F,$A139)</f>
        <v>Sedang</v>
      </c>
      <c r="E139" s="59"/>
      <c r="H139" s="51">
        <v>128</v>
      </c>
      <c r="I139" s="51">
        <v>38</v>
      </c>
      <c r="J139" s="51">
        <v>0</v>
      </c>
      <c r="K139" s="51" t="s">
        <v>105</v>
      </c>
    </row>
    <row r="140" spans="1:11">
      <c r="A140" s="51">
        <f ca="1" t="shared" si="4"/>
        <v>118</v>
      </c>
      <c r="B140" s="51">
        <f ca="1" t="array" ref="B140">INDEX([1]Data_DBD!$B:$B,$A140)</f>
        <v>67</v>
      </c>
      <c r="C140" s="51">
        <f ca="1" t="array" ref="C140">INDEX([1]Data_DBD!$E:$E,$A140)</f>
        <v>1</v>
      </c>
      <c r="D140" s="51" t="str">
        <f ca="1" t="array" ref="D140">INDEX([1]Data_DBD!$F:$F,$A140)</f>
        <v>Tinggi</v>
      </c>
      <c r="E140" s="59"/>
      <c r="H140" s="51">
        <v>18</v>
      </c>
      <c r="I140" s="51">
        <v>49</v>
      </c>
      <c r="J140" s="51">
        <v>1</v>
      </c>
      <c r="K140" s="51" t="s">
        <v>26</v>
      </c>
    </row>
    <row r="141" spans="1:11">
      <c r="A141" s="51">
        <f ca="1" t="shared" si="4"/>
        <v>49</v>
      </c>
      <c r="B141" s="51">
        <f ca="1" t="array" ref="B141">INDEX([1]Data_DBD!$B:$B,$A141)</f>
        <v>64</v>
      </c>
      <c r="C141" s="51">
        <f ca="1" t="array" ref="C141">INDEX([1]Data_DBD!$E:$E,$A141)</f>
        <v>0</v>
      </c>
      <c r="D141" s="51" t="str">
        <f ca="1" t="array" ref="D141">INDEX([1]Data_DBD!$F:$F,$A141)</f>
        <v>Sedang</v>
      </c>
      <c r="E141" s="59"/>
      <c r="H141" s="51">
        <v>28</v>
      </c>
      <c r="I141" s="51">
        <v>22</v>
      </c>
      <c r="J141" s="51">
        <v>1</v>
      </c>
      <c r="K141" s="51" t="s">
        <v>8</v>
      </c>
    </row>
    <row r="142" spans="1:11">
      <c r="A142" s="51">
        <f ca="1" t="shared" si="4"/>
        <v>155</v>
      </c>
      <c r="B142" s="51">
        <f ca="1" t="array" ref="B142">INDEX([1]Data_DBD!$B:$B,$A142)</f>
        <v>19</v>
      </c>
      <c r="C142" s="51">
        <f ca="1" t="array" ref="C142">INDEX([1]Data_DBD!$E:$E,$A142)</f>
        <v>1</v>
      </c>
      <c r="D142" s="51" t="str">
        <f ca="1" t="array" ref="D142">INDEX([1]Data_DBD!$F:$F,$A142)</f>
        <v>Tinggi</v>
      </c>
      <c r="E142" s="59"/>
      <c r="H142" s="51">
        <v>62</v>
      </c>
      <c r="I142" s="51">
        <v>43</v>
      </c>
      <c r="J142" s="51">
        <v>1</v>
      </c>
      <c r="K142" s="51" t="s">
        <v>8</v>
      </c>
    </row>
    <row r="143" spans="1:11">
      <c r="A143" s="51">
        <f ca="1" t="shared" si="4"/>
        <v>65</v>
      </c>
      <c r="B143" s="51">
        <f ca="1" t="array" ref="B143">INDEX([1]Data_DBD!$B:$B,$A143)</f>
        <v>49</v>
      </c>
      <c r="C143" s="51">
        <f ca="1" t="array" ref="C143">INDEX([1]Data_DBD!$E:$E,$A143)</f>
        <v>0</v>
      </c>
      <c r="D143" s="51" t="str">
        <f ca="1" t="array" ref="D143">INDEX([1]Data_DBD!$F:$F,$A143)</f>
        <v>Sedang</v>
      </c>
      <c r="E143" s="59"/>
      <c r="H143" s="51">
        <v>145</v>
      </c>
      <c r="I143" s="51">
        <v>28</v>
      </c>
      <c r="J143" s="51">
        <v>1</v>
      </c>
      <c r="K143" s="51" t="s">
        <v>105</v>
      </c>
    </row>
    <row r="144" spans="1:11">
      <c r="A144" s="51">
        <f ca="1" t="shared" si="4"/>
        <v>161</v>
      </c>
      <c r="B144" s="51">
        <f ca="1" t="array" ref="B144">INDEX([1]Data_DBD!$B:$B,$A144)</f>
        <v>12</v>
      </c>
      <c r="C144" s="51">
        <f ca="1" t="array" ref="C144">INDEX([1]Data_DBD!$E:$E,$A144)</f>
        <v>1</v>
      </c>
      <c r="D144" s="51" t="str">
        <f ca="1" t="array" ref="D144">INDEX([1]Data_DBD!$F:$F,$A144)</f>
        <v>Tinggi</v>
      </c>
      <c r="E144" s="59"/>
      <c r="H144" s="51">
        <v>132</v>
      </c>
      <c r="I144" s="51">
        <v>10</v>
      </c>
      <c r="J144" s="51">
        <v>1</v>
      </c>
      <c r="K144" s="51" t="s">
        <v>105</v>
      </c>
    </row>
    <row r="145" spans="1:11">
      <c r="A145" s="51">
        <f ca="1" t="shared" si="4"/>
        <v>19</v>
      </c>
      <c r="B145" s="51">
        <f ca="1" t="array" ref="B145">INDEX([1]Data_DBD!$B:$B,$A145)</f>
        <v>8</v>
      </c>
      <c r="C145" s="51">
        <f ca="1" t="array" ref="C145">INDEX([1]Data_DBD!$E:$E,$A145)</f>
        <v>0</v>
      </c>
      <c r="D145" s="51" t="str">
        <f ca="1" t="array" ref="D145">INDEX([1]Data_DBD!$F:$F,$A145)</f>
        <v>Rendah</v>
      </c>
      <c r="E145" s="59"/>
      <c r="H145" s="51">
        <v>120</v>
      </c>
      <c r="I145" s="51">
        <v>26</v>
      </c>
      <c r="J145" s="51">
        <v>1</v>
      </c>
      <c r="K145" s="51" t="s">
        <v>105</v>
      </c>
    </row>
    <row r="146" spans="1:11">
      <c r="A146" s="51">
        <f ca="1" t="shared" si="4"/>
        <v>76</v>
      </c>
      <c r="B146" s="51">
        <f ca="1" t="array" ref="B146">INDEX([1]Data_DBD!$B:$B,$A146)</f>
        <v>70</v>
      </c>
      <c r="C146" s="51">
        <f ca="1" t="array" ref="C146">INDEX([1]Data_DBD!$E:$E,$A146)</f>
        <v>0</v>
      </c>
      <c r="D146" s="51" t="str">
        <f ca="1" t="array" ref="D146">INDEX([1]Data_DBD!$F:$F,$A146)</f>
        <v>Sedang</v>
      </c>
      <c r="E146" s="59"/>
      <c r="H146" s="51">
        <v>132</v>
      </c>
      <c r="I146" s="51">
        <v>10</v>
      </c>
      <c r="J146" s="51">
        <v>1</v>
      </c>
      <c r="K146" s="51" t="s">
        <v>105</v>
      </c>
    </row>
    <row r="147" spans="1:11">
      <c r="A147" s="51">
        <f ca="1" t="shared" si="4"/>
        <v>46</v>
      </c>
      <c r="B147" s="51">
        <f ca="1" t="array" ref="B147">INDEX([1]Data_DBD!$B:$B,$A147)</f>
        <v>62</v>
      </c>
      <c r="C147" s="51">
        <f ca="1" t="array" ref="C147">INDEX([1]Data_DBD!$E:$E,$A147)</f>
        <v>0</v>
      </c>
      <c r="D147" s="51" t="str">
        <f ca="1" t="array" ref="D147">INDEX([1]Data_DBD!$F:$F,$A147)</f>
        <v>Sedang</v>
      </c>
      <c r="E147" s="59"/>
      <c r="H147" s="51">
        <v>125</v>
      </c>
      <c r="I147" s="51">
        <v>39</v>
      </c>
      <c r="J147" s="51">
        <v>0</v>
      </c>
      <c r="K147" s="51" t="s">
        <v>105</v>
      </c>
    </row>
    <row r="148" spans="1:11">
      <c r="A148" s="51">
        <f ca="1" t="shared" si="4"/>
        <v>92</v>
      </c>
      <c r="B148" s="51">
        <f ca="1" t="array" ref="B148">INDEX([1]Data_DBD!$B:$B,$A148)</f>
        <v>55</v>
      </c>
      <c r="C148" s="51">
        <f ca="1" t="array" ref="C148">INDEX([1]Data_DBD!$E:$E,$A148)</f>
        <v>0</v>
      </c>
      <c r="D148" s="51" t="str">
        <f ca="1" t="array" ref="D148">INDEX([1]Data_DBD!$F:$F,$A148)</f>
        <v>Tinggi</v>
      </c>
      <c r="E148" s="59"/>
      <c r="H148" s="51">
        <v>68</v>
      </c>
      <c r="I148" s="51">
        <v>44</v>
      </c>
      <c r="J148" s="51">
        <v>0</v>
      </c>
      <c r="K148" s="51" t="s">
        <v>8</v>
      </c>
    </row>
    <row r="149" spans="1:11">
      <c r="A149" s="51">
        <f ca="1" t="shared" si="4"/>
        <v>70</v>
      </c>
      <c r="B149" s="51">
        <f ca="1" t="array" ref="B149">INDEX([1]Data_DBD!$B:$B,$A149)</f>
        <v>26</v>
      </c>
      <c r="C149" s="51">
        <f ca="1" t="array" ref="C149">INDEX([1]Data_DBD!$E:$E,$A149)</f>
        <v>1</v>
      </c>
      <c r="D149" s="51" t="str">
        <f ca="1" t="array" ref="D149">INDEX([1]Data_DBD!$F:$F,$A149)</f>
        <v>Sedang</v>
      </c>
      <c r="E149" s="59"/>
      <c r="H149" s="51">
        <v>70</v>
      </c>
      <c r="I149" s="51">
        <v>26</v>
      </c>
      <c r="J149" s="51">
        <v>1</v>
      </c>
      <c r="K149" s="51" t="s">
        <v>8</v>
      </c>
    </row>
    <row r="150" spans="1:11">
      <c r="A150" s="51">
        <f ca="1" t="shared" si="4"/>
        <v>15</v>
      </c>
      <c r="B150" s="51">
        <f ca="1" t="array" ref="B150">INDEX([1]Data_DBD!$B:$B,$A150)</f>
        <v>21</v>
      </c>
      <c r="C150" s="51">
        <f ca="1" t="array" ref="C150">INDEX([1]Data_DBD!$E:$E,$A150)</f>
        <v>0</v>
      </c>
      <c r="D150" s="51" t="str">
        <f ca="1" t="array" ref="D150">INDEX([1]Data_DBD!$F:$F,$A150)</f>
        <v>Rendah</v>
      </c>
      <c r="E150" s="59"/>
      <c r="H150" s="51">
        <v>46</v>
      </c>
      <c r="I150" s="51">
        <v>62</v>
      </c>
      <c r="J150" s="51">
        <v>0</v>
      </c>
      <c r="K150" s="51" t="s">
        <v>8</v>
      </c>
    </row>
    <row r="151" spans="1:11">
      <c r="A151" s="51">
        <f ca="1" t="shared" si="4"/>
        <v>30</v>
      </c>
      <c r="B151" s="51">
        <f ca="1" t="array" ref="B151">INDEX([1]Data_DBD!$B:$B,$A151)</f>
        <v>3</v>
      </c>
      <c r="C151" s="51">
        <f ca="1" t="array" ref="C151">INDEX([1]Data_DBD!$E:$E,$A151)</f>
        <v>1</v>
      </c>
      <c r="D151" s="51" t="str">
        <f ca="1" t="array" ref="D151">INDEX([1]Data_DBD!$F:$F,$A151)</f>
        <v>Sedang</v>
      </c>
      <c r="E151" s="59"/>
      <c r="H151" s="51">
        <v>153</v>
      </c>
      <c r="I151" s="51">
        <v>73</v>
      </c>
      <c r="J151" s="51">
        <v>1</v>
      </c>
      <c r="K151" s="51" t="s">
        <v>105</v>
      </c>
    </row>
    <row r="152" spans="1:11">
      <c r="A152" s="51">
        <f ca="1" t="shared" si="4"/>
        <v>124</v>
      </c>
      <c r="B152" s="51">
        <f ca="1" t="array" ref="B152">INDEX([1]Data_DBD!$B:$B,$A152)</f>
        <v>24</v>
      </c>
      <c r="C152" s="51">
        <f ca="1" t="array" ref="C152">INDEX([1]Data_DBD!$E:$E,$A152)</f>
        <v>1</v>
      </c>
      <c r="D152" s="51" t="str">
        <f ca="1" t="array" ref="D152">INDEX([1]Data_DBD!$F:$F,$A152)</f>
        <v>Tinggi</v>
      </c>
      <c r="E152" s="59"/>
      <c r="H152" s="51">
        <v>45</v>
      </c>
      <c r="I152" s="51">
        <v>75</v>
      </c>
      <c r="J152" s="51">
        <v>1</v>
      </c>
      <c r="K152" s="51" t="s">
        <v>8</v>
      </c>
    </row>
    <row r="153" spans="1:11">
      <c r="A153" s="51">
        <f ca="1" t="shared" si="4"/>
        <v>56</v>
      </c>
      <c r="B153" s="51">
        <f ca="1" t="array" ref="B153">INDEX([1]Data_DBD!$B:$B,$A153)</f>
        <v>4</v>
      </c>
      <c r="C153" s="51">
        <f ca="1" t="array" ref="C153">INDEX([1]Data_DBD!$E:$E,$A153)</f>
        <v>0</v>
      </c>
      <c r="D153" s="51" t="str">
        <f ca="1" t="array" ref="D153">INDEX([1]Data_DBD!$F:$F,$A153)</f>
        <v>Sedang</v>
      </c>
      <c r="E153" s="59"/>
      <c r="H153" s="51">
        <v>39</v>
      </c>
      <c r="I153" s="51">
        <v>12</v>
      </c>
      <c r="J153" s="51">
        <v>1</v>
      </c>
      <c r="K153" s="51" t="s">
        <v>8</v>
      </c>
    </row>
    <row r="154" ht="15.75" spans="1:19">
      <c r="A154" s="51">
        <f ca="1" t="shared" si="4"/>
        <v>131</v>
      </c>
      <c r="B154" s="51">
        <f ca="1" t="array" ref="B154">INDEX([1]Data_DBD!$B:$B,$A154)</f>
        <v>10</v>
      </c>
      <c r="C154" s="51">
        <f ca="1" t="array" ref="C154">INDEX([1]Data_DBD!$E:$E,$A154)</f>
        <v>0</v>
      </c>
      <c r="D154" s="51" t="str">
        <f ca="1" t="array" ref="D154">INDEX([1]Data_DBD!$F:$F,$A154)</f>
        <v>Tinggi</v>
      </c>
      <c r="E154" s="59"/>
      <c r="H154" s="51">
        <v>110</v>
      </c>
      <c r="I154" s="51">
        <v>42</v>
      </c>
      <c r="J154" s="51">
        <v>1</v>
      </c>
      <c r="K154" s="51" t="s">
        <v>105</v>
      </c>
      <c r="S154" s="42" t="s">
        <v>268</v>
      </c>
    </row>
    <row r="155" ht="15.75" spans="1:19">
      <c r="A155" s="51">
        <f ca="1" t="shared" si="4"/>
        <v>63</v>
      </c>
      <c r="B155" s="51">
        <f ca="1" t="array" ref="B155">INDEX([1]Data_DBD!$B:$B,$A155)</f>
        <v>25</v>
      </c>
      <c r="C155" s="51">
        <f ca="1" t="array" ref="C155">INDEX([1]Data_DBD!$E:$E,$A155)</f>
        <v>0</v>
      </c>
      <c r="D155" s="51" t="str">
        <f ca="1" t="array" ref="D155">INDEX([1]Data_DBD!$F:$F,$A155)</f>
        <v>Sedang</v>
      </c>
      <c r="E155" s="59"/>
      <c r="H155" s="51">
        <v>100</v>
      </c>
      <c r="I155" s="51">
        <v>19</v>
      </c>
      <c r="J155" s="51">
        <v>0</v>
      </c>
      <c r="K155" s="51" t="s">
        <v>105</v>
      </c>
      <c r="S155" s="43" t="s">
        <v>244</v>
      </c>
    </row>
    <row r="156" ht="15.75" spans="1:19">
      <c r="A156" s="51">
        <f ca="1" t="shared" si="4"/>
        <v>121</v>
      </c>
      <c r="B156" s="51">
        <f ca="1" t="array" ref="B156">INDEX([1]Data_DBD!$B:$B,$A156)</f>
        <v>82</v>
      </c>
      <c r="C156" s="51">
        <f ca="1" t="array" ref="C156">INDEX([1]Data_DBD!$E:$E,$A156)</f>
        <v>1</v>
      </c>
      <c r="D156" s="51" t="str">
        <f ca="1" t="array" ref="D156">INDEX([1]Data_DBD!$F:$F,$A156)</f>
        <v>Tinggi</v>
      </c>
      <c r="E156" s="59"/>
      <c r="H156" s="51">
        <v>151</v>
      </c>
      <c r="I156" s="51">
        <v>24</v>
      </c>
      <c r="J156" s="51">
        <v>0</v>
      </c>
      <c r="K156" s="51" t="s">
        <v>105</v>
      </c>
      <c r="S156" s="44" t="s">
        <v>245</v>
      </c>
    </row>
    <row r="157" ht="15.75" spans="1:19">
      <c r="A157" s="51">
        <f ca="1" t="shared" si="4"/>
        <v>61</v>
      </c>
      <c r="B157" s="51">
        <f ca="1" t="array" ref="B157">INDEX([1]Data_DBD!$B:$B,$A157)</f>
        <v>29</v>
      </c>
      <c r="C157" s="51">
        <f ca="1" t="array" ref="C157">INDEX([1]Data_DBD!$E:$E,$A157)</f>
        <v>1</v>
      </c>
      <c r="D157" s="51" t="str">
        <f ca="1" t="array" ref="D157">INDEX([1]Data_DBD!$F:$F,$A157)</f>
        <v>Sedang</v>
      </c>
      <c r="E157" s="59"/>
      <c r="H157" s="51">
        <v>27</v>
      </c>
      <c r="I157" s="51">
        <v>37</v>
      </c>
      <c r="J157" s="51">
        <v>1</v>
      </c>
      <c r="K157" s="51" t="s">
        <v>8</v>
      </c>
      <c r="S157" s="44" t="s">
        <v>269</v>
      </c>
    </row>
    <row r="158" ht="15.75" spans="1:19">
      <c r="A158" s="51">
        <f ca="1" t="shared" si="4"/>
        <v>20</v>
      </c>
      <c r="B158" s="51">
        <f ca="1" t="array" ref="B158">INDEX([1]Data_DBD!$B:$B,$A158)</f>
        <v>15</v>
      </c>
      <c r="C158" s="51">
        <f ca="1" t="array" ref="C158">INDEX([1]Data_DBD!$E:$E,$A158)</f>
        <v>0</v>
      </c>
      <c r="D158" s="51" t="str">
        <f ca="1" t="array" ref="D158">INDEX([1]Data_DBD!$F:$F,$A158)</f>
        <v>Rendah</v>
      </c>
      <c r="E158" s="59"/>
      <c r="H158" s="51">
        <v>56</v>
      </c>
      <c r="I158" s="51">
        <v>4</v>
      </c>
      <c r="J158" s="51">
        <v>0</v>
      </c>
      <c r="K158" s="51" t="s">
        <v>8</v>
      </c>
      <c r="S158" s="43" t="s">
        <v>190</v>
      </c>
    </row>
    <row r="159" ht="15.75" spans="1:19">
      <c r="A159" s="51">
        <f ca="1" t="shared" si="4"/>
        <v>4</v>
      </c>
      <c r="B159" s="51">
        <f ca="1" t="array" ref="B159">INDEX([1]Data_DBD!$B:$B,$A159)</f>
        <v>23</v>
      </c>
      <c r="C159" s="51">
        <f ca="1" t="array" ref="C159">INDEX([1]Data_DBD!$E:$E,$A159)</f>
        <v>0</v>
      </c>
      <c r="D159" s="51" t="str">
        <f ca="1" t="array" ref="D159">INDEX([1]Data_DBD!$F:$F,$A159)</f>
        <v>Sedang</v>
      </c>
      <c r="E159" s="59"/>
      <c r="H159" s="51">
        <v>157</v>
      </c>
      <c r="I159" s="51">
        <v>15</v>
      </c>
      <c r="J159" s="51">
        <v>1</v>
      </c>
      <c r="K159" s="51" t="s">
        <v>105</v>
      </c>
      <c r="S159" s="44" t="s">
        <v>247</v>
      </c>
    </row>
    <row r="160" spans="1:11">
      <c r="A160" s="51">
        <f ca="1" t="shared" si="4"/>
        <v>32</v>
      </c>
      <c r="B160" s="51">
        <f ca="1" t="array" ref="B160">INDEX([1]Data_DBD!$B:$B,$A160)</f>
        <v>54</v>
      </c>
      <c r="C160" s="51">
        <f ca="1" t="array" ref="C160">INDEX([1]Data_DBD!$E:$E,$A160)</f>
        <v>0</v>
      </c>
      <c r="D160" s="51" t="str">
        <f ca="1" t="array" ref="D160">INDEX([1]Data_DBD!$F:$F,$A160)</f>
        <v>Sedang</v>
      </c>
      <c r="E160" s="59"/>
      <c r="H160" s="51">
        <v>139</v>
      </c>
      <c r="I160" s="51">
        <v>52</v>
      </c>
      <c r="J160" s="51">
        <v>0</v>
      </c>
      <c r="K160" s="51" t="s">
        <v>105</v>
      </c>
    </row>
    <row r="161" spans="1:11">
      <c r="A161" s="51">
        <f ca="1" t="shared" si="4"/>
        <v>65</v>
      </c>
      <c r="B161" s="51">
        <f ca="1" t="array" ref="B161">INDEX([1]Data_DBD!$B:$B,$A161)</f>
        <v>49</v>
      </c>
      <c r="C161" s="51">
        <f ca="1" t="array" ref="C161">INDEX([1]Data_DBD!$E:$E,$A161)</f>
        <v>0</v>
      </c>
      <c r="D161" s="51" t="str">
        <f ca="1" t="array" ref="D161">INDEX([1]Data_DBD!$F:$F,$A161)</f>
        <v>Sedang</v>
      </c>
      <c r="E161" s="59"/>
      <c r="H161" s="51">
        <v>4</v>
      </c>
      <c r="I161" s="51">
        <v>23</v>
      </c>
      <c r="J161" s="51">
        <v>0</v>
      </c>
      <c r="K161" s="51" t="s">
        <v>8</v>
      </c>
    </row>
    <row r="162" spans="1:11">
      <c r="A162" s="51">
        <f ca="1" t="shared" si="4"/>
        <v>40</v>
      </c>
      <c r="B162" s="51">
        <f ca="1" t="array" ref="B162">INDEX([1]Data_DBD!$B:$B,$A162)</f>
        <v>65</v>
      </c>
      <c r="C162" s="51">
        <f ca="1" t="array" ref="C162">INDEX([1]Data_DBD!$E:$E,$A162)</f>
        <v>1</v>
      </c>
      <c r="D162" s="51" t="str">
        <f ca="1" t="array" ref="D162">INDEX([1]Data_DBD!$F:$F,$A162)</f>
        <v>Sedang</v>
      </c>
      <c r="E162" s="59"/>
      <c r="H162" s="51">
        <v>76</v>
      </c>
      <c r="I162" s="51">
        <v>70</v>
      </c>
      <c r="J162" s="51">
        <v>0</v>
      </c>
      <c r="K162" s="51" t="s">
        <v>8</v>
      </c>
    </row>
    <row r="163" spans="1:11">
      <c r="A163" s="51">
        <f ca="1" t="shared" si="4"/>
        <v>26</v>
      </c>
      <c r="B163" s="51">
        <f ca="1" t="array" ref="B163">INDEX([1]Data_DBD!$B:$B,$A163)</f>
        <v>75</v>
      </c>
      <c r="C163" s="51">
        <f ca="1" t="array" ref="C163">INDEX([1]Data_DBD!$E:$E,$A163)</f>
        <v>1</v>
      </c>
      <c r="D163" s="51" t="str">
        <f ca="1" t="array" ref="D163">INDEX([1]Data_DBD!$F:$F,$A163)</f>
        <v>Sedang</v>
      </c>
      <c r="E163" s="59"/>
      <c r="H163" s="51">
        <v>77</v>
      </c>
      <c r="I163" s="51">
        <v>16</v>
      </c>
      <c r="J163" s="51">
        <v>1</v>
      </c>
      <c r="K163" s="51" t="s">
        <v>8</v>
      </c>
    </row>
    <row r="164" spans="1:11">
      <c r="A164" s="51">
        <f ca="1" t="shared" si="4"/>
        <v>42</v>
      </c>
      <c r="B164" s="51">
        <f ca="1" t="array" ref="B164">INDEX([1]Data_DBD!$B:$B,$A164)</f>
        <v>21</v>
      </c>
      <c r="C164" s="51">
        <f ca="1" t="array" ref="C164">INDEX([1]Data_DBD!$E:$E,$A164)</f>
        <v>1</v>
      </c>
      <c r="D164" s="51" t="str">
        <f ca="1" t="array" ref="D164">INDEX([1]Data_DBD!$F:$F,$A164)</f>
        <v>Sedang</v>
      </c>
      <c r="E164" s="59"/>
      <c r="H164" s="51">
        <v>81</v>
      </c>
      <c r="I164" s="51">
        <v>23</v>
      </c>
      <c r="J164" s="51">
        <v>1</v>
      </c>
      <c r="K164" s="51" t="s">
        <v>8</v>
      </c>
    </row>
    <row r="165" spans="8:11">
      <c r="H165" s="53"/>
      <c r="I165" s="51">
        <f>AVERAGE(I2:I164)</f>
        <v>30.3435582822086</v>
      </c>
      <c r="J165" s="51">
        <f>AVERAGE(J2:J164)</f>
        <v>0.595092024539877</v>
      </c>
      <c r="K165" s="53"/>
    </row>
    <row r="166" spans="2:2">
      <c r="B166" s="49">
        <v>63</v>
      </c>
    </row>
    <row r="167" spans="5:5">
      <c r="E167" s="60"/>
    </row>
    <row r="168" spans="5:14">
      <c r="E168" s="55" t="s">
        <v>207</v>
      </c>
      <c r="N168" s="55" t="s">
        <v>210</v>
      </c>
    </row>
    <row r="169" spans="5:16">
      <c r="E169" s="51" t="s">
        <v>1</v>
      </c>
      <c r="F169" s="51">
        <f>AVERAGEIF($I$2:$I$164,"&lt;="&amp;$I$165)</f>
        <v>15.8989898989899</v>
      </c>
      <c r="G169" s="51">
        <f>AVERAGEIF($I$2:$I$164,"&gt;"&amp;$I$165)</f>
        <v>52.6875</v>
      </c>
      <c r="N169" s="51" t="s">
        <v>213</v>
      </c>
      <c r="O169" s="51">
        <f>AVERAGEIF($J$2:$J$164,"&lt;="&amp;$J$165)</f>
        <v>0</v>
      </c>
      <c r="P169" s="51">
        <f>AVERAGEIF($J$2:$J$164,"&gt;"&amp;$J$165)</f>
        <v>1</v>
      </c>
    </row>
    <row r="170" spans="5:16">
      <c r="E170" s="51" t="str">
        <f t="array" ref="E170:E332">IF($I$2:$I$164&lt;$F$169,"kiri",IF($I$2:$I$164&lt;$G$169,"tengah","kanan"))</f>
        <v>kanan</v>
      </c>
      <c r="F170" s="51" t="s">
        <v>270</v>
      </c>
      <c r="G170" s="51"/>
      <c r="N170" s="51" t="str">
        <f t="array" ref="N170:N332">IF($J$2:$J$164&lt;$O$169,"kiri",IF($J$2:$J$164&lt;$P$169,"tengah","kanan"))</f>
        <v>kanan</v>
      </c>
      <c r="O170" s="51" t="s">
        <v>217</v>
      </c>
      <c r="P170" s="51"/>
    </row>
    <row r="171" spans="5:16">
      <c r="E171" s="51" t="str">
        <v>kanan</v>
      </c>
      <c r="F171" s="51">
        <f>COUNTIFS($E$170:$E$332,"Kanan",$K$2:$K$164,"Tinggi")</f>
        <v>11</v>
      </c>
      <c r="G171" s="51">
        <f>F171/29</f>
        <v>0.379310344827586</v>
      </c>
      <c r="N171" s="51" t="str">
        <v>tengah</v>
      </c>
      <c r="O171" s="51">
        <f>COUNTIFS($N$170:$N$332,"Kanan",$K$2:$K$164,"Tinggi")</f>
        <v>45</v>
      </c>
      <c r="P171" s="51">
        <f>O171/97</f>
        <v>0.463917525773196</v>
      </c>
    </row>
    <row r="172" spans="5:16">
      <c r="E172" s="51" t="str">
        <v>kiri</v>
      </c>
      <c r="F172" s="51">
        <f>COUNTIFS($E$170:$E$332,"Kanan",$K$2:$K$164,"Sedang")</f>
        <v>15</v>
      </c>
      <c r="G172" s="51">
        <f>F172/29</f>
        <v>0.517241379310345</v>
      </c>
      <c r="N172" s="51" t="str">
        <v>kanan</v>
      </c>
      <c r="O172" s="51">
        <f>COUNTIFS($N$170:$N$332,"Kanan",$K$2:$K$164,"Sedang")</f>
        <v>41</v>
      </c>
      <c r="P172" s="51">
        <f>O172/97</f>
        <v>0.422680412371134</v>
      </c>
    </row>
    <row r="173" spans="5:16">
      <c r="E173" s="51" t="str">
        <v>tengah</v>
      </c>
      <c r="F173" s="51">
        <f>COUNTIFS($E$170:$E$332,"Kanan",$K$2:$K$164,"Rendah")</f>
        <v>3</v>
      </c>
      <c r="G173" s="51">
        <f>F173/29</f>
        <v>0.103448275862069</v>
      </c>
      <c r="N173" s="51" t="str">
        <v>kanan</v>
      </c>
      <c r="O173" s="51">
        <f>COUNTIFS($N$170:$N$332,"Kanan",$K$2:$K$164,"Rendah")</f>
        <v>11</v>
      </c>
      <c r="P173" s="51">
        <f>O173/97</f>
        <v>0.11340206185567</v>
      </c>
    </row>
    <row r="174" spans="5:16">
      <c r="E174" s="51" t="str">
        <v>tengah</v>
      </c>
      <c r="F174" s="51" t="s">
        <v>218</v>
      </c>
      <c r="G174" s="51">
        <f>-(IFERROR(G171*LOG(G171,2),0)+IFERROR(G172*LOG(G172,2),0)+IFERROR(G173*LOG(G173,2),0))</f>
        <v>1.361015676462</v>
      </c>
      <c r="N174" s="51" t="str">
        <v>tengah</v>
      </c>
      <c r="O174" s="51" t="s">
        <v>218</v>
      </c>
      <c r="P174" s="51">
        <f>-(IFERROR(P171*LOG(P171,2),0)+IFERROR(P172*LOG(P172,2),0)+IFERROR(P173*LOG(P173,2),0))</f>
        <v>1.39530697281407</v>
      </c>
    </row>
    <row r="175" spans="5:16">
      <c r="E175" s="51" t="str">
        <v>kanan</v>
      </c>
      <c r="F175" s="51"/>
      <c r="G175" s="51">
        <f>SUM(F171:F173)/163</f>
        <v>0.177914110429448</v>
      </c>
      <c r="N175" s="51" t="str">
        <v>tengah</v>
      </c>
      <c r="O175" s="51"/>
      <c r="P175" s="51">
        <f>SUM(O171:O173)/163</f>
        <v>0.595092024539877</v>
      </c>
    </row>
    <row r="176" spans="5:16">
      <c r="E176" s="51" t="str">
        <v>tengah</v>
      </c>
      <c r="F176" s="51"/>
      <c r="G176" s="56">
        <f>G174*G175</f>
        <v>0.24214389335827</v>
      </c>
      <c r="N176" s="51" t="str">
        <v>kanan</v>
      </c>
      <c r="O176" s="51"/>
      <c r="P176" s="56">
        <f>P174*P175</f>
        <v>0.83033605130653</v>
      </c>
    </row>
    <row r="177" spans="5:16">
      <c r="E177" s="51" t="str">
        <v>kanan</v>
      </c>
      <c r="F177" s="51"/>
      <c r="G177" s="51"/>
      <c r="N177" s="51" t="str">
        <v>tengah</v>
      </c>
      <c r="O177" s="51"/>
      <c r="P177" s="51"/>
    </row>
    <row r="178" spans="5:16">
      <c r="E178" s="51" t="str">
        <v>kiri</v>
      </c>
      <c r="F178" s="51"/>
      <c r="G178" s="51"/>
      <c r="N178" s="51" t="str">
        <v>kanan</v>
      </c>
      <c r="O178" s="51"/>
      <c r="P178" s="51"/>
    </row>
    <row r="179" spans="5:16">
      <c r="E179" s="51" t="str">
        <v>tengah</v>
      </c>
      <c r="F179" s="51" t="s">
        <v>271</v>
      </c>
      <c r="G179" s="51"/>
      <c r="N179" s="51" t="str">
        <v>kanan</v>
      </c>
      <c r="O179" s="51" t="s">
        <v>222</v>
      </c>
      <c r="P179" s="51"/>
    </row>
    <row r="180" spans="5:16">
      <c r="E180" s="51" t="str">
        <v>kiri</v>
      </c>
      <c r="F180" s="51">
        <f>COUNTIFS($E$170:$E$332,"Kiri",$K$2:$K$164,"Tinggi")</f>
        <v>21</v>
      </c>
      <c r="G180" s="51">
        <f>F180/46</f>
        <v>0.456521739130435</v>
      </c>
      <c r="N180" s="51" t="str">
        <v>tengah</v>
      </c>
      <c r="O180" s="51">
        <f>COUNTIFS($N$170:$N$332,"Kiri",$K$2:$K$164,"Tinggi")</f>
        <v>0</v>
      </c>
      <c r="P180" s="51">
        <f>O180/97</f>
        <v>0</v>
      </c>
    </row>
    <row r="181" spans="5:16">
      <c r="E181" s="51" t="str">
        <v>kiri</v>
      </c>
      <c r="F181" s="51">
        <f>COUNTIFS($E$170:$E$332,"Kiri",$K$2:$K$164,"Sedang")</f>
        <v>18</v>
      </c>
      <c r="G181" s="51">
        <f>F181/46</f>
        <v>0.391304347826087</v>
      </c>
      <c r="N181" s="51" t="str">
        <v>tengah</v>
      </c>
      <c r="O181" s="51">
        <f>COUNTIFS($N$170:$N$332,"Kiri",$K$2:$K$164,"Sedang")</f>
        <v>0</v>
      </c>
      <c r="P181" s="51">
        <f>O181/97</f>
        <v>0</v>
      </c>
    </row>
    <row r="182" spans="5:16">
      <c r="E182" s="51" t="str">
        <v>tengah</v>
      </c>
      <c r="F182" s="51">
        <f>COUNTIFS($E$170:$E$332,"Kiri",$K$2:$K$164,"Rendah")</f>
        <v>7</v>
      </c>
      <c r="G182" s="51">
        <f>F182/46</f>
        <v>0.152173913043478</v>
      </c>
      <c r="N182" s="51" t="str">
        <v>tengah</v>
      </c>
      <c r="O182" s="51">
        <f>COUNTIFS($N$170:$N$332,"Kiri",$K$2:$K$164,"Rendah")</f>
        <v>0</v>
      </c>
      <c r="P182" s="51">
        <f>O182/97</f>
        <v>0</v>
      </c>
    </row>
    <row r="183" spans="5:16">
      <c r="E183" s="51" t="str">
        <v>tengah</v>
      </c>
      <c r="F183" s="51" t="s">
        <v>218</v>
      </c>
      <c r="G183" s="51">
        <f>-(IFERROR(G180*LOG(G180,2),0)+IFERROR(G181*LOG(G181,2),0)+IFERROR(G182*LOG(G182,2),0))</f>
        <v>1.45945760043269</v>
      </c>
      <c r="N183" s="51" t="str">
        <v>tengah</v>
      </c>
      <c r="O183" s="51" t="s">
        <v>218</v>
      </c>
      <c r="P183" s="51">
        <f>-(IFERROR(P180*LOG(P180,2),0)+IFERROR(P181*LOG(P181,2),0)+IFERROR(P182*LOG(P182,2),0))</f>
        <v>0</v>
      </c>
    </row>
    <row r="184" spans="5:16">
      <c r="E184" s="51" t="str">
        <v>kiri</v>
      </c>
      <c r="F184" s="51"/>
      <c r="G184" s="51">
        <f>SUM(F180:F182)/163</f>
        <v>0.282208588957055</v>
      </c>
      <c r="N184" s="51" t="str">
        <v>kanan</v>
      </c>
      <c r="O184" s="51"/>
      <c r="P184" s="51">
        <f>SUM(O180:O182)/163</f>
        <v>0</v>
      </c>
    </row>
    <row r="185" spans="5:16">
      <c r="E185" s="51" t="str">
        <v>kanan</v>
      </c>
      <c r="F185" s="51"/>
      <c r="G185" s="56">
        <f>G183*G184</f>
        <v>0.411871470060759</v>
      </c>
      <c r="N185" s="51" t="str">
        <v>tengah</v>
      </c>
      <c r="O185" s="51"/>
      <c r="P185" s="56">
        <f>P183*P184</f>
        <v>0</v>
      </c>
    </row>
    <row r="186" spans="5:16">
      <c r="E186" s="51" t="str">
        <v>tengah</v>
      </c>
      <c r="F186" s="51"/>
      <c r="G186" s="51"/>
      <c r="N186" s="51" t="str">
        <v>kanan</v>
      </c>
      <c r="O186" s="51"/>
      <c r="P186" s="51"/>
    </row>
    <row r="187" spans="5:16">
      <c r="E187" s="51" t="str">
        <v>tengah</v>
      </c>
      <c r="F187" s="51"/>
      <c r="G187" s="51"/>
      <c r="N187" s="51" t="str">
        <v>kanan</v>
      </c>
      <c r="O187" s="51"/>
      <c r="P187" s="51"/>
    </row>
    <row r="188" spans="5:16">
      <c r="E188" s="51" t="str">
        <v>tengah</v>
      </c>
      <c r="F188" s="51" t="s">
        <v>223</v>
      </c>
      <c r="G188" s="51"/>
      <c r="N188" s="51" t="str">
        <v>tengah</v>
      </c>
      <c r="O188" s="51" t="s">
        <v>223</v>
      </c>
      <c r="P188" s="51"/>
    </row>
    <row r="189" spans="5:16">
      <c r="E189" s="51" t="str">
        <v>kiri</v>
      </c>
      <c r="F189" s="51">
        <f>COUNTIFS($E$170:$E$332,"Tengah",$K$2:$K$164,"Tinggi")</f>
        <v>37</v>
      </c>
      <c r="G189" s="51">
        <f>F189/88</f>
        <v>0.420454545454545</v>
      </c>
      <c r="N189" s="51" t="str">
        <v>tengah</v>
      </c>
      <c r="O189" s="51">
        <f>COUNTIFS($N$170:$N$332,"Tengah",$K$2:$K$164,"Tinggi")</f>
        <v>24</v>
      </c>
      <c r="P189" s="51">
        <f>O189/66</f>
        <v>0.363636363636364</v>
      </c>
    </row>
    <row r="190" spans="5:16">
      <c r="E190" s="51" t="str">
        <v>kiri</v>
      </c>
      <c r="F190" s="51">
        <f>COUNTIFS($E$170:$E$332,"Tengah",$K$2:$K$164,"Sedang")</f>
        <v>41</v>
      </c>
      <c r="G190" s="51">
        <f>F190/88</f>
        <v>0.465909090909091</v>
      </c>
      <c r="N190" s="51" t="str">
        <v>tengah</v>
      </c>
      <c r="O190" s="51">
        <f>COUNTIFS($N$170:$N$332,"Tengah",$K$2:$K$164,"Sedang")</f>
        <v>33</v>
      </c>
      <c r="P190" s="51">
        <f>O190/66</f>
        <v>0.5</v>
      </c>
    </row>
    <row r="191" spans="5:16">
      <c r="E191" s="51" t="str">
        <v>tengah</v>
      </c>
      <c r="F191" s="51">
        <f>COUNTIFS($E$170:$E$332,"Tengah",$K$2:$K$164,"Rendah")</f>
        <v>10</v>
      </c>
      <c r="G191" s="51">
        <f>F191/88</f>
        <v>0.113636363636364</v>
      </c>
      <c r="N191" s="51" t="str">
        <v>kanan</v>
      </c>
      <c r="O191" s="51">
        <f>COUNTIFS($N$170:$N$332,"Tengah",$K$2:$K$164,"Rendah")</f>
        <v>9</v>
      </c>
      <c r="P191" s="51">
        <f>O191/66</f>
        <v>0.136363636363636</v>
      </c>
    </row>
    <row r="192" spans="5:16">
      <c r="E192" s="51" t="str">
        <v>kanan</v>
      </c>
      <c r="F192" s="51" t="s">
        <v>218</v>
      </c>
      <c r="G192" s="51">
        <f>-(IFERROR(G189*LOG(G189,2),0)+IFERROR(G190*LOG(G190,2),0)+IFERROR(G191*LOG(G191,2),0))</f>
        <v>1.39546925879086</v>
      </c>
      <c r="N192" s="51" t="str">
        <v>kanan</v>
      </c>
      <c r="O192" s="51" t="s">
        <v>218</v>
      </c>
      <c r="P192" s="51">
        <f>-(IFERROR(P189*LOG(P189,2),0)+IFERROR(P190*LOG(P190,2),0)+IFERROR(P191*LOG(P191,2),0))</f>
        <v>1.42267546831122</v>
      </c>
    </row>
    <row r="193" spans="5:16">
      <c r="E193" s="51" t="str">
        <v>kiri</v>
      </c>
      <c r="F193" s="51"/>
      <c r="G193" s="51">
        <f>SUM(F189:F191)/163</f>
        <v>0.539877300613497</v>
      </c>
      <c r="N193" s="51" t="str">
        <v>tengah</v>
      </c>
      <c r="O193" s="51"/>
      <c r="P193" s="51">
        <f>SUM(O189:O191)/163</f>
        <v>0.404907975460123</v>
      </c>
    </row>
    <row r="194" spans="5:16">
      <c r="E194" s="51" t="str">
        <v>kiri</v>
      </c>
      <c r="F194" s="51"/>
      <c r="G194" s="56">
        <f>G192*G193</f>
        <v>0.753382176525129</v>
      </c>
      <c r="N194" s="51" t="str">
        <v>tengah</v>
      </c>
      <c r="O194" s="51"/>
      <c r="P194" s="56">
        <f>P192*P193</f>
        <v>0.576052643610677</v>
      </c>
    </row>
    <row r="195" spans="5:16">
      <c r="E195" s="51" t="str">
        <v>tengah</v>
      </c>
      <c r="F195" s="51"/>
      <c r="G195" s="51"/>
      <c r="N195" s="51" t="str">
        <v>kanan</v>
      </c>
      <c r="O195" s="51"/>
      <c r="P195" s="51"/>
    </row>
    <row r="196" spans="5:16">
      <c r="E196" s="51" t="str">
        <v>kanan</v>
      </c>
      <c r="F196" s="51" t="s">
        <v>224</v>
      </c>
      <c r="G196" s="51" t="s">
        <v>218</v>
      </c>
      <c r="N196" s="51" t="str">
        <v>tengah</v>
      </c>
      <c r="O196" s="51" t="s">
        <v>224</v>
      </c>
      <c r="P196" s="61" t="s">
        <v>218</v>
      </c>
    </row>
    <row r="197" spans="5:16">
      <c r="E197" s="51" t="str">
        <v>kiri</v>
      </c>
      <c r="F197" s="57">
        <f>P5-(G176+G185+G194)</f>
        <v>0.0061999488146296</v>
      </c>
      <c r="G197" s="56">
        <f>(G176+G185+G194)</f>
        <v>1.40739753994416</v>
      </c>
      <c r="N197" s="51" t="str">
        <v>kanan</v>
      </c>
      <c r="O197" s="57">
        <f>P5-(P176+P185+P194)</f>
        <v>0.0072087938415808</v>
      </c>
      <c r="P197" s="56">
        <f>(P176+P185+P194)</f>
        <v>1.40638869491721</v>
      </c>
    </row>
    <row r="198" spans="5:16">
      <c r="E198" s="51" t="str">
        <v>tengah</v>
      </c>
      <c r="F198" s="51"/>
      <c r="G198" s="51"/>
      <c r="N198" s="51" t="str">
        <v>kanan</v>
      </c>
      <c r="O198" s="51"/>
      <c r="P198" s="51"/>
    </row>
    <row r="199" spans="5:16">
      <c r="E199" s="51" t="str">
        <v>kanan</v>
      </c>
      <c r="F199" s="51"/>
      <c r="G199" s="51"/>
      <c r="N199" s="51" t="str">
        <v>kanan</v>
      </c>
      <c r="O199" s="51"/>
      <c r="P199" s="51"/>
    </row>
    <row r="200" spans="5:16">
      <c r="E200" s="51" t="str">
        <v>tengah</v>
      </c>
      <c r="F200" s="51"/>
      <c r="G200" s="51"/>
      <c r="N200" s="51" t="str">
        <v>kanan</v>
      </c>
      <c r="O200" s="51"/>
      <c r="P200" s="51"/>
    </row>
    <row r="201" spans="5:16">
      <c r="E201" s="51" t="str">
        <v>tengah</v>
      </c>
      <c r="F201" s="51"/>
      <c r="G201" s="51"/>
      <c r="N201" s="51" t="str">
        <v>tengah</v>
      </c>
      <c r="O201" s="51"/>
      <c r="P201" s="51"/>
    </row>
    <row r="202" spans="5:16">
      <c r="E202" s="51" t="str">
        <v>kiri</v>
      </c>
      <c r="F202" s="51"/>
      <c r="G202" s="51"/>
      <c r="N202" s="51" t="str">
        <v>tengah</v>
      </c>
      <c r="O202" s="51"/>
      <c r="P202" s="51"/>
    </row>
    <row r="203" spans="5:16">
      <c r="E203" s="51" t="str">
        <v>kanan</v>
      </c>
      <c r="F203" s="51"/>
      <c r="G203" s="51"/>
      <c r="N203" s="51" t="str">
        <v>kanan</v>
      </c>
      <c r="O203" s="51"/>
      <c r="P203" s="51"/>
    </row>
    <row r="204" spans="5:16">
      <c r="E204" s="51" t="str">
        <v>kanan</v>
      </c>
      <c r="F204" s="51"/>
      <c r="G204" s="51"/>
      <c r="N204" s="51" t="str">
        <v>kanan</v>
      </c>
      <c r="O204" s="51"/>
      <c r="P204" s="51"/>
    </row>
    <row r="205" spans="5:16">
      <c r="E205" s="51" t="str">
        <v>kiri</v>
      </c>
      <c r="F205" s="51"/>
      <c r="G205" s="51"/>
      <c r="N205" s="51" t="str">
        <v>kanan</v>
      </c>
      <c r="O205" s="51"/>
      <c r="P205" s="51"/>
    </row>
    <row r="206" spans="5:16">
      <c r="E206" s="51" t="str">
        <v>tengah</v>
      </c>
      <c r="F206" s="51"/>
      <c r="G206" s="51"/>
      <c r="N206" s="51" t="str">
        <v>kanan</v>
      </c>
      <c r="O206" s="51"/>
      <c r="P206" s="51"/>
    </row>
    <row r="207" spans="5:16">
      <c r="E207" s="51" t="str">
        <v>kanan</v>
      </c>
      <c r="F207" s="51"/>
      <c r="G207" s="51"/>
      <c r="N207" s="51" t="str">
        <v>tengah</v>
      </c>
      <c r="O207" s="51"/>
      <c r="P207" s="51"/>
    </row>
    <row r="208" spans="5:16">
      <c r="E208" s="51" t="str">
        <v>kiri</v>
      </c>
      <c r="F208" s="51"/>
      <c r="G208" s="51"/>
      <c r="N208" s="51" t="str">
        <v>tengah</v>
      </c>
      <c r="O208" s="51"/>
      <c r="P208" s="51"/>
    </row>
    <row r="209" spans="5:16">
      <c r="E209" s="51" t="str">
        <v>tengah</v>
      </c>
      <c r="F209" s="51"/>
      <c r="G209" s="51"/>
      <c r="N209" s="51" t="str">
        <v>tengah</v>
      </c>
      <c r="O209" s="51"/>
      <c r="P209" s="51"/>
    </row>
    <row r="210" spans="5:16">
      <c r="E210" s="51" t="str">
        <v>kiri</v>
      </c>
      <c r="F210" s="51"/>
      <c r="G210" s="51"/>
      <c r="N210" s="51" t="str">
        <v>tengah</v>
      </c>
      <c r="O210" s="51"/>
      <c r="P210" s="51"/>
    </row>
    <row r="211" spans="5:16">
      <c r="E211" s="51" t="str">
        <v>tengah</v>
      </c>
      <c r="F211" s="51"/>
      <c r="G211" s="51"/>
      <c r="N211" s="51" t="str">
        <v>kanan</v>
      </c>
      <c r="O211" s="51"/>
      <c r="P211" s="51"/>
    </row>
    <row r="212" spans="5:16">
      <c r="E212" s="51" t="str">
        <v>tengah</v>
      </c>
      <c r="F212" s="51"/>
      <c r="G212" s="51"/>
      <c r="N212" s="51" t="str">
        <v>tengah</v>
      </c>
      <c r="O212" s="51"/>
      <c r="P212" s="51"/>
    </row>
    <row r="213" spans="5:16">
      <c r="E213" s="51" t="str">
        <v>tengah</v>
      </c>
      <c r="F213" s="51"/>
      <c r="G213" s="51"/>
      <c r="N213" s="51" t="str">
        <v>tengah</v>
      </c>
      <c r="O213" s="51"/>
      <c r="P213" s="51"/>
    </row>
    <row r="214" spans="5:16">
      <c r="E214" s="51" t="str">
        <v>tengah</v>
      </c>
      <c r="F214" s="51"/>
      <c r="G214" s="51"/>
      <c r="N214" s="51" t="str">
        <v>kanan</v>
      </c>
      <c r="O214" s="51"/>
      <c r="P214" s="51"/>
    </row>
    <row r="215" spans="5:16">
      <c r="E215" s="51" t="str">
        <v>kanan</v>
      </c>
      <c r="F215" s="51"/>
      <c r="G215" s="51"/>
      <c r="N215" s="51" t="str">
        <v>kanan</v>
      </c>
      <c r="O215" s="51"/>
      <c r="P215" s="51"/>
    </row>
    <row r="216" spans="5:16">
      <c r="E216" s="51" t="str">
        <v>kanan</v>
      </c>
      <c r="F216" s="51"/>
      <c r="G216" s="51"/>
      <c r="N216" s="51" t="str">
        <v>tengah</v>
      </c>
      <c r="O216" s="51"/>
      <c r="P216" s="51"/>
    </row>
    <row r="217" spans="5:16">
      <c r="E217" s="51" t="str">
        <v>tengah</v>
      </c>
      <c r="F217" s="51"/>
      <c r="G217" s="51"/>
      <c r="N217" s="51" t="str">
        <v>tengah</v>
      </c>
      <c r="O217" s="51"/>
      <c r="P217" s="51"/>
    </row>
    <row r="218" spans="5:16">
      <c r="E218" s="51" t="str">
        <v>kiri</v>
      </c>
      <c r="F218" s="51"/>
      <c r="G218" s="51"/>
      <c r="N218" s="51" t="str">
        <v>tengah</v>
      </c>
      <c r="O218" s="51"/>
      <c r="P218" s="51"/>
    </row>
    <row r="219" spans="5:16">
      <c r="E219" s="51" t="str">
        <v>tengah</v>
      </c>
      <c r="F219" s="51"/>
      <c r="G219" s="51"/>
      <c r="N219" s="51" t="str">
        <v>kanan</v>
      </c>
      <c r="O219" s="51"/>
      <c r="P219" s="51"/>
    </row>
    <row r="220" spans="5:16">
      <c r="E220" s="51" t="str">
        <v>tengah</v>
      </c>
      <c r="F220" s="51"/>
      <c r="G220" s="51"/>
      <c r="N220" s="51" t="str">
        <v>kanan</v>
      </c>
      <c r="O220" s="51"/>
      <c r="P220" s="51"/>
    </row>
    <row r="221" spans="5:16">
      <c r="E221" s="51" t="str">
        <v>tengah</v>
      </c>
      <c r="F221" s="51"/>
      <c r="G221" s="51"/>
      <c r="N221" s="51" t="str">
        <v>kanan</v>
      </c>
      <c r="O221" s="51"/>
      <c r="P221" s="51"/>
    </row>
    <row r="222" spans="5:16">
      <c r="E222" s="51" t="str">
        <v>tengah</v>
      </c>
      <c r="F222" s="51"/>
      <c r="G222" s="51"/>
      <c r="N222" s="51" t="str">
        <v>kanan</v>
      </c>
      <c r="O222" s="51"/>
      <c r="P222" s="51"/>
    </row>
    <row r="223" spans="5:16">
      <c r="E223" s="51" t="str">
        <v>tengah</v>
      </c>
      <c r="F223" s="51"/>
      <c r="G223" s="51"/>
      <c r="N223" s="51" t="str">
        <v>tengah</v>
      </c>
      <c r="O223" s="51"/>
      <c r="P223" s="51"/>
    </row>
    <row r="224" spans="5:16">
      <c r="E224" s="51" t="str">
        <v>tengah</v>
      </c>
      <c r="F224" s="51"/>
      <c r="G224" s="51"/>
      <c r="N224" s="51" t="str">
        <v>tengah</v>
      </c>
      <c r="O224" s="51"/>
      <c r="P224" s="51"/>
    </row>
    <row r="225" spans="5:16">
      <c r="E225" s="51" t="str">
        <v>kiri</v>
      </c>
      <c r="F225" s="51"/>
      <c r="G225" s="51"/>
      <c r="N225" s="51" t="str">
        <v>tengah</v>
      </c>
      <c r="O225" s="51"/>
      <c r="P225" s="51"/>
    </row>
    <row r="226" spans="5:16">
      <c r="E226" s="51" t="str">
        <v>kanan</v>
      </c>
      <c r="F226" s="51"/>
      <c r="G226" s="51"/>
      <c r="N226" s="51" t="str">
        <v>kanan</v>
      </c>
      <c r="O226" s="51"/>
      <c r="P226" s="51"/>
    </row>
    <row r="227" spans="5:16">
      <c r="E227" s="51" t="str">
        <v>tengah</v>
      </c>
      <c r="F227" s="51"/>
      <c r="G227" s="51"/>
      <c r="N227" s="51" t="str">
        <v>tengah</v>
      </c>
      <c r="O227" s="51"/>
      <c r="P227" s="51"/>
    </row>
    <row r="228" spans="5:16">
      <c r="E228" s="51" t="str">
        <v>tengah</v>
      </c>
      <c r="F228" s="51"/>
      <c r="G228" s="51"/>
      <c r="N228" s="51" t="str">
        <v>kanan</v>
      </c>
      <c r="O228" s="51"/>
      <c r="P228" s="51"/>
    </row>
    <row r="229" spans="5:16">
      <c r="E229" s="51" t="str">
        <v>tengah</v>
      </c>
      <c r="F229" s="51"/>
      <c r="G229" s="51"/>
      <c r="N229" s="51" t="str">
        <v>kanan</v>
      </c>
      <c r="O229" s="51"/>
      <c r="P229" s="51"/>
    </row>
    <row r="230" spans="5:16">
      <c r="E230" s="51" t="str">
        <v>tengah</v>
      </c>
      <c r="F230" s="51"/>
      <c r="G230" s="51"/>
      <c r="N230" s="51" t="str">
        <v>kanan</v>
      </c>
      <c r="O230" s="51"/>
      <c r="P230" s="51"/>
    </row>
    <row r="231" spans="5:16">
      <c r="E231" s="51" t="str">
        <v>kiri</v>
      </c>
      <c r="F231" s="51"/>
      <c r="G231" s="51"/>
      <c r="N231" s="51" t="str">
        <v>kanan</v>
      </c>
      <c r="O231" s="51"/>
      <c r="P231" s="51"/>
    </row>
    <row r="232" spans="5:16">
      <c r="E232" s="51" t="str">
        <v>tengah</v>
      </c>
      <c r="F232" s="51"/>
      <c r="G232" s="51"/>
      <c r="N232" s="51" t="str">
        <v>kanan</v>
      </c>
      <c r="O232" s="51"/>
      <c r="P232" s="51"/>
    </row>
    <row r="233" spans="5:16">
      <c r="E233" s="51" t="str">
        <v>tengah</v>
      </c>
      <c r="F233" s="51"/>
      <c r="G233" s="51"/>
      <c r="N233" s="51" t="str">
        <v>kanan</v>
      </c>
      <c r="O233" s="51"/>
      <c r="P233" s="51"/>
    </row>
    <row r="234" spans="5:16">
      <c r="E234" s="51" t="str">
        <v>kiri</v>
      </c>
      <c r="F234" s="51"/>
      <c r="G234" s="51"/>
      <c r="N234" s="51" t="str">
        <v>kanan</v>
      </c>
      <c r="O234" s="51"/>
      <c r="P234" s="51"/>
    </row>
    <row r="235" spans="5:16">
      <c r="E235" s="51" t="str">
        <v>tengah</v>
      </c>
      <c r="F235" s="51"/>
      <c r="G235" s="51"/>
      <c r="N235" s="51" t="str">
        <v>kanan</v>
      </c>
      <c r="O235" s="51"/>
      <c r="P235" s="51"/>
    </row>
    <row r="236" spans="5:16">
      <c r="E236" s="51" t="str">
        <v>kiri</v>
      </c>
      <c r="F236" s="51"/>
      <c r="G236" s="51"/>
      <c r="N236" s="51" t="str">
        <v>tengah</v>
      </c>
      <c r="O236" s="51"/>
      <c r="P236" s="51"/>
    </row>
    <row r="237" spans="5:16">
      <c r="E237" s="51" t="str">
        <v>tengah</v>
      </c>
      <c r="F237" s="51"/>
      <c r="G237" s="51"/>
      <c r="N237" s="51" t="str">
        <v>kanan</v>
      </c>
      <c r="O237" s="51"/>
      <c r="P237" s="51"/>
    </row>
    <row r="238" spans="5:16">
      <c r="E238" s="51" t="str">
        <v>kanan</v>
      </c>
      <c r="F238" s="51"/>
      <c r="G238" s="51"/>
      <c r="N238" s="51" t="str">
        <v>kanan</v>
      </c>
      <c r="O238" s="51"/>
      <c r="P238" s="51"/>
    </row>
    <row r="239" spans="5:16">
      <c r="E239" s="51" t="str">
        <v>kiri</v>
      </c>
      <c r="F239" s="51"/>
      <c r="G239" s="51"/>
      <c r="N239" s="51" t="str">
        <v>tengah</v>
      </c>
      <c r="O239" s="51"/>
      <c r="P239" s="51"/>
    </row>
    <row r="240" spans="5:16">
      <c r="E240" s="51" t="str">
        <v>tengah</v>
      </c>
      <c r="F240" s="51"/>
      <c r="G240" s="51"/>
      <c r="N240" s="51" t="str">
        <v>tengah</v>
      </c>
      <c r="O240" s="51"/>
      <c r="P240" s="51"/>
    </row>
    <row r="241" spans="5:16">
      <c r="E241" s="51" t="str">
        <v>kiri</v>
      </c>
      <c r="F241" s="51"/>
      <c r="G241" s="51"/>
      <c r="N241" s="51" t="str">
        <v>kanan</v>
      </c>
      <c r="O241" s="51"/>
      <c r="P241" s="51"/>
    </row>
    <row r="242" spans="5:16">
      <c r="E242" s="51" t="str">
        <v>kanan</v>
      </c>
      <c r="F242" s="51"/>
      <c r="G242" s="51"/>
      <c r="N242" s="51" t="str">
        <v>kanan</v>
      </c>
      <c r="O242" s="51"/>
      <c r="P242" s="51"/>
    </row>
    <row r="243" spans="5:16">
      <c r="E243" s="51" t="str">
        <v>kanan</v>
      </c>
      <c r="F243" s="51"/>
      <c r="G243" s="51"/>
      <c r="N243" s="51" t="str">
        <v>kanan</v>
      </c>
      <c r="O243" s="51"/>
      <c r="P243" s="51"/>
    </row>
    <row r="244" spans="5:16">
      <c r="E244" s="51" t="str">
        <v>kiri</v>
      </c>
      <c r="F244" s="51"/>
      <c r="G244" s="51"/>
      <c r="N244" s="51" t="str">
        <v>kanan</v>
      </c>
      <c r="O244" s="51"/>
      <c r="P244" s="51"/>
    </row>
    <row r="245" spans="5:16">
      <c r="E245" s="51" t="str">
        <v>tengah</v>
      </c>
      <c r="F245" s="51"/>
      <c r="G245" s="51"/>
      <c r="N245" s="51" t="str">
        <v>kanan</v>
      </c>
      <c r="O245" s="51"/>
      <c r="P245" s="51"/>
    </row>
    <row r="246" spans="5:16">
      <c r="E246" s="51" t="str">
        <v>kiri</v>
      </c>
      <c r="F246" s="51"/>
      <c r="G246" s="51"/>
      <c r="N246" s="51" t="str">
        <v>tengah</v>
      </c>
      <c r="O246" s="51"/>
      <c r="P246" s="51"/>
    </row>
    <row r="247" spans="5:16">
      <c r="E247" s="51" t="str">
        <v>tengah</v>
      </c>
      <c r="F247" s="51"/>
      <c r="G247" s="51"/>
      <c r="N247" s="51" t="str">
        <v>kanan</v>
      </c>
      <c r="O247" s="51"/>
      <c r="P247" s="51"/>
    </row>
    <row r="248" spans="5:16">
      <c r="E248" s="51" t="str">
        <v>kiri</v>
      </c>
      <c r="F248" s="51"/>
      <c r="G248" s="51"/>
      <c r="N248" s="51" t="str">
        <v>kanan</v>
      </c>
      <c r="O248" s="51"/>
      <c r="P248" s="51"/>
    </row>
    <row r="249" spans="5:16">
      <c r="E249" s="51" t="str">
        <v>tengah</v>
      </c>
      <c r="F249" s="51"/>
      <c r="G249" s="51"/>
      <c r="N249" s="51" t="str">
        <v>kanan</v>
      </c>
      <c r="O249" s="51"/>
      <c r="P249" s="51"/>
    </row>
    <row r="250" spans="5:16">
      <c r="E250" s="51" t="str">
        <v>tengah</v>
      </c>
      <c r="F250" s="51"/>
      <c r="G250" s="51"/>
      <c r="N250" s="51" t="str">
        <v>tengah</v>
      </c>
      <c r="O250" s="51"/>
      <c r="P250" s="51"/>
    </row>
    <row r="251" spans="5:16">
      <c r="E251" s="51" t="str">
        <v>tengah</v>
      </c>
      <c r="F251" s="51"/>
      <c r="G251" s="51"/>
      <c r="N251" s="51" t="str">
        <v>kanan</v>
      </c>
      <c r="O251" s="51"/>
      <c r="P251" s="51"/>
    </row>
    <row r="252" spans="5:16">
      <c r="E252" s="51" t="str">
        <v>tengah</v>
      </c>
      <c r="F252" s="51"/>
      <c r="G252" s="51"/>
      <c r="N252" s="51" t="str">
        <v>kanan</v>
      </c>
      <c r="O252" s="51"/>
      <c r="P252" s="51"/>
    </row>
    <row r="253" spans="5:16">
      <c r="E253" s="51" t="str">
        <v>kanan</v>
      </c>
      <c r="F253" s="51"/>
      <c r="G253" s="51"/>
      <c r="N253" s="51" t="str">
        <v>tengah</v>
      </c>
      <c r="O253" s="51"/>
      <c r="P253" s="51"/>
    </row>
    <row r="254" spans="5:16">
      <c r="E254" s="51" t="str">
        <v>kanan</v>
      </c>
      <c r="F254" s="51"/>
      <c r="G254" s="51"/>
      <c r="N254" s="51" t="str">
        <v>kanan</v>
      </c>
      <c r="O254" s="51"/>
      <c r="P254" s="51"/>
    </row>
    <row r="255" spans="5:16">
      <c r="E255" s="51" t="str">
        <v>tengah</v>
      </c>
      <c r="F255" s="51"/>
      <c r="G255" s="51"/>
      <c r="N255" s="51" t="str">
        <v>kanan</v>
      </c>
      <c r="O255" s="51"/>
      <c r="P255" s="51"/>
    </row>
    <row r="256" spans="5:16">
      <c r="E256" s="51" t="str">
        <v>tengah</v>
      </c>
      <c r="F256" s="51"/>
      <c r="G256" s="51"/>
      <c r="N256" s="51" t="str">
        <v>tengah</v>
      </c>
      <c r="O256" s="51"/>
      <c r="P256" s="51"/>
    </row>
    <row r="257" spans="5:16">
      <c r="E257" s="51" t="str">
        <v>kanan</v>
      </c>
      <c r="F257" s="51"/>
      <c r="G257" s="51"/>
      <c r="N257" s="51" t="str">
        <v>tengah</v>
      </c>
      <c r="O257" s="51"/>
      <c r="P257" s="51"/>
    </row>
    <row r="258" spans="5:16">
      <c r="E258" s="51" t="str">
        <v>kiri</v>
      </c>
      <c r="F258" s="51"/>
      <c r="G258" s="51"/>
      <c r="N258" s="51" t="str">
        <v>kanan</v>
      </c>
      <c r="O258" s="51"/>
      <c r="P258" s="51"/>
    </row>
    <row r="259" spans="5:16">
      <c r="E259" s="51" t="str">
        <v>kiri</v>
      </c>
      <c r="F259" s="51"/>
      <c r="G259" s="51"/>
      <c r="N259" s="51" t="str">
        <v>kanan</v>
      </c>
      <c r="O259" s="51"/>
      <c r="P259" s="51"/>
    </row>
    <row r="260" spans="5:16">
      <c r="E260" s="51" t="str">
        <v>kiri</v>
      </c>
      <c r="F260" s="51"/>
      <c r="G260" s="51"/>
      <c r="N260" s="51" t="str">
        <v>kanan</v>
      </c>
      <c r="O260" s="51"/>
      <c r="P260" s="51"/>
    </row>
    <row r="261" spans="5:16">
      <c r="E261" s="51" t="str">
        <v>tengah</v>
      </c>
      <c r="F261" s="51"/>
      <c r="G261" s="51"/>
      <c r="N261" s="51" t="str">
        <v>kanan</v>
      </c>
      <c r="O261" s="51"/>
      <c r="P261" s="51"/>
    </row>
    <row r="262" spans="5:16">
      <c r="E262" s="51" t="str">
        <v>tengah</v>
      </c>
      <c r="F262" s="51"/>
      <c r="G262" s="51"/>
      <c r="N262" s="51" t="str">
        <v>kanan</v>
      </c>
      <c r="O262" s="51"/>
      <c r="P262" s="51"/>
    </row>
    <row r="263" spans="5:16">
      <c r="E263" s="51" t="str">
        <v>tengah</v>
      </c>
      <c r="F263" s="51"/>
      <c r="G263" s="51"/>
      <c r="N263" s="51" t="str">
        <v>tengah</v>
      </c>
      <c r="O263" s="51"/>
      <c r="P263" s="51"/>
    </row>
    <row r="264" spans="5:16">
      <c r="E264" s="51" t="str">
        <v>kiri</v>
      </c>
      <c r="F264" s="51"/>
      <c r="G264" s="51"/>
      <c r="N264" s="51" t="str">
        <v>tengah</v>
      </c>
      <c r="O264" s="51"/>
      <c r="P264" s="51"/>
    </row>
    <row r="265" spans="5:16">
      <c r="E265" s="51" t="str">
        <v>tengah</v>
      </c>
      <c r="F265" s="51"/>
      <c r="G265" s="51"/>
      <c r="N265" s="51" t="str">
        <v>tengah</v>
      </c>
      <c r="O265" s="51"/>
      <c r="P265" s="51"/>
    </row>
    <row r="266" spans="5:16">
      <c r="E266" s="51" t="str">
        <v>kiri</v>
      </c>
      <c r="F266" s="51"/>
      <c r="G266" s="51"/>
      <c r="N266" s="51" t="str">
        <v>tengah</v>
      </c>
      <c r="O266" s="51"/>
      <c r="P266" s="51"/>
    </row>
    <row r="267" spans="5:16">
      <c r="E267" s="51" t="str">
        <v>tengah</v>
      </c>
      <c r="F267" s="51"/>
      <c r="G267" s="51"/>
      <c r="N267" s="51" t="str">
        <v>tengah</v>
      </c>
      <c r="O267" s="51"/>
      <c r="P267" s="51"/>
    </row>
    <row r="268" spans="5:16">
      <c r="E268" s="51" t="str">
        <v>tengah</v>
      </c>
      <c r="F268" s="51"/>
      <c r="G268" s="51"/>
      <c r="N268" s="51" t="str">
        <v>kanan</v>
      </c>
      <c r="O268" s="51"/>
      <c r="P268" s="51"/>
    </row>
    <row r="269" spans="5:16">
      <c r="E269" s="51" t="str">
        <v>kiri</v>
      </c>
      <c r="F269" s="51"/>
      <c r="G269" s="51"/>
      <c r="N269" s="51" t="str">
        <v>tengah</v>
      </c>
      <c r="O269" s="51"/>
      <c r="P269" s="51"/>
    </row>
    <row r="270" spans="5:16">
      <c r="E270" s="51" t="str">
        <v>kanan</v>
      </c>
      <c r="F270" s="51"/>
      <c r="G270" s="51"/>
      <c r="N270" s="51" t="str">
        <v>kanan</v>
      </c>
      <c r="O270" s="51"/>
      <c r="P270" s="51"/>
    </row>
    <row r="271" spans="5:16">
      <c r="E271" s="51" t="str">
        <v>tengah</v>
      </c>
      <c r="F271" s="51"/>
      <c r="G271" s="51"/>
      <c r="N271" s="51" t="str">
        <v>kanan</v>
      </c>
      <c r="O271" s="51"/>
      <c r="P271" s="51"/>
    </row>
    <row r="272" spans="5:16">
      <c r="E272" s="51" t="str">
        <v>tengah</v>
      </c>
      <c r="F272" s="51"/>
      <c r="G272" s="51"/>
      <c r="N272" s="51" t="str">
        <v>kanan</v>
      </c>
      <c r="O272" s="51"/>
      <c r="P272" s="51"/>
    </row>
    <row r="273" spans="5:16">
      <c r="E273" s="51" t="str">
        <v>tengah</v>
      </c>
      <c r="F273" s="51"/>
      <c r="G273" s="51"/>
      <c r="N273" s="51" t="str">
        <v>tengah</v>
      </c>
      <c r="O273" s="51"/>
      <c r="P273" s="51"/>
    </row>
    <row r="274" spans="5:16">
      <c r="E274" s="51" t="str">
        <v>kiri</v>
      </c>
      <c r="F274" s="51"/>
      <c r="G274" s="51"/>
      <c r="N274" s="51" t="str">
        <v>kanan</v>
      </c>
      <c r="O274" s="51"/>
      <c r="P274" s="51"/>
    </row>
    <row r="275" spans="5:16">
      <c r="E275" s="51" t="str">
        <v>kanan</v>
      </c>
      <c r="F275" s="51"/>
      <c r="G275" s="51"/>
      <c r="N275" s="51" t="str">
        <v>tengah</v>
      </c>
      <c r="O275" s="51"/>
      <c r="P275" s="51"/>
    </row>
    <row r="276" spans="5:16">
      <c r="E276" s="51" t="str">
        <v>tengah</v>
      </c>
      <c r="F276" s="51"/>
      <c r="G276" s="51"/>
      <c r="N276" s="51" t="str">
        <v>tengah</v>
      </c>
      <c r="O276" s="51"/>
      <c r="P276" s="51"/>
    </row>
    <row r="277" spans="5:16">
      <c r="E277" s="51" t="str">
        <v>tengah</v>
      </c>
      <c r="F277" s="51"/>
      <c r="G277" s="51"/>
      <c r="N277" s="51" t="str">
        <v>kanan</v>
      </c>
      <c r="O277" s="51"/>
      <c r="P277" s="51"/>
    </row>
    <row r="278" spans="5:16">
      <c r="E278" s="51" t="str">
        <v>kiri</v>
      </c>
      <c r="F278" s="51"/>
      <c r="G278" s="51"/>
      <c r="N278" s="51" t="str">
        <v>kanan</v>
      </c>
      <c r="O278" s="51"/>
      <c r="P278" s="51"/>
    </row>
    <row r="279" spans="5:16">
      <c r="E279" s="51" t="str">
        <v>kiri</v>
      </c>
      <c r="F279" s="51"/>
      <c r="G279" s="51"/>
      <c r="N279" s="51" t="str">
        <v>kanan</v>
      </c>
      <c r="O279" s="51"/>
      <c r="P279" s="51"/>
    </row>
    <row r="280" spans="5:16">
      <c r="E280" s="51" t="str">
        <v>tengah</v>
      </c>
      <c r="F280" s="51"/>
      <c r="G280" s="51"/>
      <c r="N280" s="51" t="str">
        <v>tengah</v>
      </c>
      <c r="O280" s="51"/>
      <c r="P280" s="51"/>
    </row>
    <row r="281" spans="5:16">
      <c r="E281" s="51" t="str">
        <v>kiri</v>
      </c>
      <c r="F281" s="51"/>
      <c r="G281" s="51"/>
      <c r="N281" s="51" t="str">
        <v>tengah</v>
      </c>
      <c r="O281" s="51"/>
      <c r="P281" s="51"/>
    </row>
    <row r="282" spans="5:16">
      <c r="E282" s="51" t="str">
        <v>tengah</v>
      </c>
      <c r="F282" s="51"/>
      <c r="G282" s="51"/>
      <c r="N282" s="51" t="str">
        <v>kanan</v>
      </c>
      <c r="O282" s="51"/>
      <c r="P282" s="51"/>
    </row>
    <row r="283" spans="5:16">
      <c r="E283" s="51" t="str">
        <v>tengah</v>
      </c>
      <c r="F283" s="51"/>
      <c r="G283" s="51"/>
      <c r="N283" s="51" t="str">
        <v>kanan</v>
      </c>
      <c r="O283" s="51"/>
      <c r="P283" s="51"/>
    </row>
    <row r="284" spans="5:16">
      <c r="E284" s="51" t="str">
        <v>tengah</v>
      </c>
      <c r="F284" s="51"/>
      <c r="G284" s="51"/>
      <c r="N284" s="51" t="str">
        <v>kanan</v>
      </c>
      <c r="O284" s="51"/>
      <c r="P284" s="51"/>
    </row>
    <row r="285" spans="5:16">
      <c r="E285" s="51" t="str">
        <v>tengah</v>
      </c>
      <c r="F285" s="51"/>
      <c r="G285" s="51"/>
      <c r="N285" s="51" t="str">
        <v>tengah</v>
      </c>
      <c r="O285" s="51"/>
      <c r="P285" s="51"/>
    </row>
    <row r="286" spans="5:16">
      <c r="E286" s="51" t="str">
        <v>kiri</v>
      </c>
      <c r="F286" s="51"/>
      <c r="G286" s="51"/>
      <c r="N286" s="51" t="str">
        <v>kanan</v>
      </c>
      <c r="O286" s="51"/>
      <c r="P286" s="51"/>
    </row>
    <row r="287" spans="5:16">
      <c r="E287" s="51" t="str">
        <v>tengah</v>
      </c>
      <c r="F287" s="51"/>
      <c r="G287" s="51"/>
      <c r="N287" s="51" t="str">
        <v>tengah</v>
      </c>
      <c r="O287" s="51"/>
      <c r="P287" s="51"/>
    </row>
    <row r="288" spans="5:16">
      <c r="E288" s="51" t="str">
        <v>tengah</v>
      </c>
      <c r="F288" s="51"/>
      <c r="G288" s="51"/>
      <c r="N288" s="51" t="str">
        <v>kanan</v>
      </c>
      <c r="O288" s="51"/>
      <c r="P288" s="51"/>
    </row>
    <row r="289" spans="5:16">
      <c r="E289" s="51" t="str">
        <v>tengah</v>
      </c>
      <c r="F289" s="51"/>
      <c r="G289" s="51"/>
      <c r="N289" s="51" t="str">
        <v>kanan</v>
      </c>
      <c r="O289" s="51"/>
      <c r="P289" s="51"/>
    </row>
    <row r="290" spans="5:16">
      <c r="E290" s="51" t="str">
        <v>tengah</v>
      </c>
      <c r="F290" s="51"/>
      <c r="G290" s="51"/>
      <c r="N290" s="51" t="str">
        <v>kanan</v>
      </c>
      <c r="O290" s="51"/>
      <c r="P290" s="51"/>
    </row>
    <row r="291" spans="5:16">
      <c r="E291" s="51" t="str">
        <v>kanan</v>
      </c>
      <c r="F291" s="51"/>
      <c r="G291" s="51"/>
      <c r="N291" s="51" t="str">
        <v>kanan</v>
      </c>
      <c r="O291" s="51"/>
      <c r="P291" s="51"/>
    </row>
    <row r="292" spans="5:16">
      <c r="E292" s="51" t="str">
        <v>kiri</v>
      </c>
      <c r="F292" s="51"/>
      <c r="G292" s="51"/>
      <c r="N292" s="51" t="str">
        <v>kanan</v>
      </c>
      <c r="O292" s="51"/>
      <c r="P292" s="51"/>
    </row>
    <row r="293" spans="5:16">
      <c r="E293" s="51" t="str">
        <v>tengah</v>
      </c>
      <c r="F293" s="51"/>
      <c r="G293" s="51"/>
      <c r="N293" s="51" t="str">
        <v>tengah</v>
      </c>
      <c r="O293" s="51"/>
      <c r="P293" s="51"/>
    </row>
    <row r="294" spans="5:16">
      <c r="E294" s="51" t="str">
        <v>kiri</v>
      </c>
      <c r="F294" s="51"/>
      <c r="G294" s="51"/>
      <c r="N294" s="51" t="str">
        <v>kanan</v>
      </c>
      <c r="O294" s="51"/>
      <c r="P294" s="51"/>
    </row>
    <row r="295" spans="5:16">
      <c r="E295" s="51" t="str">
        <v>tengah</v>
      </c>
      <c r="F295" s="51"/>
      <c r="G295" s="51"/>
      <c r="N295" s="51" t="str">
        <v>kanan</v>
      </c>
      <c r="O295" s="51"/>
      <c r="P295" s="51"/>
    </row>
    <row r="296" spans="5:16">
      <c r="E296" s="51" t="str">
        <v>kanan</v>
      </c>
      <c r="F296" s="51"/>
      <c r="G296" s="51"/>
      <c r="N296" s="51" t="str">
        <v>tengah</v>
      </c>
      <c r="O296" s="51"/>
      <c r="P296" s="51"/>
    </row>
    <row r="297" spans="5:16">
      <c r="E297" s="51" t="str">
        <v>tengah</v>
      </c>
      <c r="F297" s="51"/>
      <c r="G297" s="51"/>
      <c r="N297" s="51" t="str">
        <v>tengah</v>
      </c>
      <c r="O297" s="51"/>
      <c r="P297" s="51"/>
    </row>
    <row r="298" spans="5:16">
      <c r="E298" s="51" t="str">
        <v>kiri</v>
      </c>
      <c r="F298" s="51"/>
      <c r="G298" s="51"/>
      <c r="N298" s="51" t="str">
        <v>tengah</v>
      </c>
      <c r="O298" s="51"/>
      <c r="P298" s="51"/>
    </row>
    <row r="299" spans="5:16">
      <c r="E299" s="51" t="str">
        <v>tengah</v>
      </c>
      <c r="F299" s="51"/>
      <c r="G299" s="51"/>
      <c r="N299" s="51" t="str">
        <v>kanan</v>
      </c>
      <c r="O299" s="51"/>
      <c r="P299" s="51"/>
    </row>
    <row r="300" spans="5:16">
      <c r="E300" s="51" t="str">
        <v>tengah</v>
      </c>
      <c r="F300" s="51"/>
      <c r="G300" s="51"/>
      <c r="N300" s="51" t="str">
        <v>kanan</v>
      </c>
      <c r="O300" s="51"/>
      <c r="P300" s="51"/>
    </row>
    <row r="301" spans="5:16">
      <c r="E301" s="51" t="str">
        <v>tengah</v>
      </c>
      <c r="F301" s="51"/>
      <c r="G301" s="51"/>
      <c r="N301" s="51" t="str">
        <v>kanan</v>
      </c>
      <c r="O301" s="51"/>
      <c r="P301" s="51"/>
    </row>
    <row r="302" spans="5:16">
      <c r="E302" s="51" t="str">
        <v>kiri</v>
      </c>
      <c r="F302" s="51"/>
      <c r="G302" s="51"/>
      <c r="N302" s="51" t="str">
        <v>tengah</v>
      </c>
      <c r="O302" s="51"/>
      <c r="P302" s="51"/>
    </row>
    <row r="303" spans="5:16">
      <c r="E303" s="51" t="str">
        <v>kanan</v>
      </c>
      <c r="F303" s="51"/>
      <c r="G303" s="51"/>
      <c r="N303" s="51" t="str">
        <v>kanan</v>
      </c>
      <c r="O303" s="51"/>
      <c r="P303" s="51"/>
    </row>
    <row r="304" spans="5:16">
      <c r="E304" s="51" t="str">
        <v>kiri</v>
      </c>
      <c r="F304" s="51"/>
      <c r="G304" s="51"/>
      <c r="N304" s="51" t="str">
        <v>kanan</v>
      </c>
      <c r="O304" s="51"/>
      <c r="P304" s="51"/>
    </row>
    <row r="305" spans="5:16">
      <c r="E305" s="51" t="str">
        <v>kiri</v>
      </c>
      <c r="F305" s="51"/>
      <c r="G305" s="51"/>
      <c r="N305" s="51" t="str">
        <v>kanan</v>
      </c>
      <c r="O305" s="51"/>
      <c r="P305" s="51"/>
    </row>
    <row r="306" spans="5:16">
      <c r="E306" s="51" t="str">
        <v>tengah</v>
      </c>
      <c r="F306" s="51"/>
      <c r="G306" s="51"/>
      <c r="N306" s="51" t="str">
        <v>kanan</v>
      </c>
      <c r="O306" s="51"/>
      <c r="P306" s="51"/>
    </row>
    <row r="307" spans="5:16">
      <c r="E307" s="51" t="str">
        <v>tengah</v>
      </c>
      <c r="F307" s="51"/>
      <c r="G307" s="51"/>
      <c r="N307" s="51" t="str">
        <v>tengah</v>
      </c>
      <c r="O307" s="51"/>
      <c r="P307" s="51"/>
    </row>
    <row r="308" spans="5:16">
      <c r="E308" s="51" t="str">
        <v>tengah</v>
      </c>
      <c r="F308" s="51"/>
      <c r="G308" s="51"/>
      <c r="N308" s="51" t="str">
        <v>kanan</v>
      </c>
      <c r="O308" s="51"/>
      <c r="P308" s="51"/>
    </row>
    <row r="309" spans="5:16">
      <c r="E309" s="51" t="str">
        <v>tengah</v>
      </c>
      <c r="F309" s="51"/>
      <c r="G309" s="51"/>
      <c r="N309" s="51" t="str">
        <v>kanan</v>
      </c>
      <c r="O309" s="51"/>
      <c r="P309" s="51"/>
    </row>
    <row r="310" spans="5:16">
      <c r="E310" s="51" t="str">
        <v>tengah</v>
      </c>
      <c r="F310" s="51"/>
      <c r="G310" s="51"/>
      <c r="N310" s="51" t="str">
        <v>kanan</v>
      </c>
      <c r="O310" s="51"/>
      <c r="P310" s="51"/>
    </row>
    <row r="311" spans="5:16">
      <c r="E311" s="51" t="str">
        <v>tengah</v>
      </c>
      <c r="F311" s="51"/>
      <c r="G311" s="51"/>
      <c r="N311" s="51" t="str">
        <v>kanan</v>
      </c>
      <c r="O311" s="51"/>
      <c r="P311" s="51"/>
    </row>
    <row r="312" spans="5:16">
      <c r="E312" s="51" t="str">
        <v>kiri</v>
      </c>
      <c r="F312" s="51"/>
      <c r="G312" s="51"/>
      <c r="N312" s="51" t="str">
        <v>kanan</v>
      </c>
      <c r="O312" s="51"/>
      <c r="P312" s="51"/>
    </row>
    <row r="313" spans="5:16">
      <c r="E313" s="51" t="str">
        <v>tengah</v>
      </c>
      <c r="F313" s="51"/>
      <c r="G313" s="51"/>
      <c r="N313" s="51" t="str">
        <v>kanan</v>
      </c>
      <c r="O313" s="51"/>
      <c r="P313" s="51"/>
    </row>
    <row r="314" spans="5:16">
      <c r="E314" s="51" t="str">
        <v>kiri</v>
      </c>
      <c r="F314" s="51"/>
      <c r="G314" s="51"/>
      <c r="N314" s="51" t="str">
        <v>kanan</v>
      </c>
      <c r="O314" s="51"/>
      <c r="P314" s="51"/>
    </row>
    <row r="315" spans="5:16">
      <c r="E315" s="51" t="str">
        <v>tengah</v>
      </c>
      <c r="F315" s="51"/>
      <c r="G315" s="51"/>
      <c r="N315" s="51" t="str">
        <v>tengah</v>
      </c>
      <c r="O315" s="51"/>
      <c r="P315" s="51"/>
    </row>
    <row r="316" spans="5:16">
      <c r="E316" s="51" t="str">
        <v>tengah</v>
      </c>
      <c r="F316" s="51"/>
      <c r="G316" s="51"/>
      <c r="N316" s="51" t="str">
        <v>tengah</v>
      </c>
      <c r="O316" s="51"/>
      <c r="P316" s="51"/>
    </row>
    <row r="317" spans="5:16">
      <c r="E317" s="51" t="str">
        <v>tengah</v>
      </c>
      <c r="F317" s="51"/>
      <c r="G317" s="51"/>
      <c r="N317" s="51" t="str">
        <v>kanan</v>
      </c>
      <c r="O317" s="51"/>
      <c r="P317" s="51"/>
    </row>
    <row r="318" spans="5:16">
      <c r="E318" s="51" t="str">
        <v>kanan</v>
      </c>
      <c r="F318" s="51"/>
      <c r="G318" s="51"/>
      <c r="N318" s="51" t="str">
        <v>tengah</v>
      </c>
      <c r="O318" s="51"/>
      <c r="P318" s="51"/>
    </row>
    <row r="319" spans="5:16">
      <c r="E319" s="51" t="str">
        <v>kanan</v>
      </c>
      <c r="F319" s="51"/>
      <c r="G319" s="51"/>
      <c r="N319" s="51" t="str">
        <v>kanan</v>
      </c>
      <c r="O319" s="51"/>
      <c r="P319" s="51"/>
    </row>
    <row r="320" spans="5:16">
      <c r="E320" s="51" t="str">
        <v>kanan</v>
      </c>
      <c r="F320" s="51"/>
      <c r="G320" s="51"/>
      <c r="N320" s="51" t="str">
        <v>kanan</v>
      </c>
      <c r="O320" s="51"/>
      <c r="P320" s="51"/>
    </row>
    <row r="321" spans="5:16">
      <c r="E321" s="51" t="str">
        <v>kiri</v>
      </c>
      <c r="F321" s="51"/>
      <c r="G321" s="51"/>
      <c r="N321" s="51" t="str">
        <v>kanan</v>
      </c>
      <c r="O321" s="51"/>
      <c r="P321" s="51"/>
    </row>
    <row r="322" spans="5:16">
      <c r="E322" s="51" t="str">
        <v>tengah</v>
      </c>
      <c r="F322" s="51"/>
      <c r="G322" s="51"/>
      <c r="N322" s="51" t="str">
        <v>kanan</v>
      </c>
      <c r="O322" s="51"/>
      <c r="P322" s="51"/>
    </row>
    <row r="323" spans="5:16">
      <c r="E323" s="51" t="str">
        <v>tengah</v>
      </c>
      <c r="F323" s="51"/>
      <c r="G323" s="51"/>
      <c r="N323" s="51" t="str">
        <v>tengah</v>
      </c>
      <c r="O323" s="51"/>
      <c r="P323" s="51"/>
    </row>
    <row r="324" spans="5:16">
      <c r="E324" s="51" t="str">
        <v>tengah</v>
      </c>
      <c r="F324" s="51"/>
      <c r="G324" s="51"/>
      <c r="N324" s="51" t="str">
        <v>tengah</v>
      </c>
      <c r="O324" s="51"/>
      <c r="P324" s="51"/>
    </row>
    <row r="325" spans="5:16">
      <c r="E325" s="51" t="str">
        <v>tengah</v>
      </c>
      <c r="F325" s="51"/>
      <c r="G325" s="51"/>
      <c r="N325" s="51" t="str">
        <v>kanan</v>
      </c>
      <c r="O325" s="51"/>
      <c r="P325" s="51"/>
    </row>
    <row r="326" spans="5:16">
      <c r="E326" s="51" t="str">
        <v>kiri</v>
      </c>
      <c r="F326" s="51"/>
      <c r="G326" s="51"/>
      <c r="N326" s="51" t="str">
        <v>tengah</v>
      </c>
      <c r="O326" s="51"/>
      <c r="P326" s="51"/>
    </row>
    <row r="327" spans="5:16">
      <c r="E327" s="51" t="str">
        <v>kiri</v>
      </c>
      <c r="F327" s="51"/>
      <c r="G327" s="51"/>
      <c r="N327" s="51" t="str">
        <v>kanan</v>
      </c>
      <c r="O327" s="51"/>
      <c r="P327" s="51"/>
    </row>
    <row r="328" spans="5:16">
      <c r="E328" s="51" t="str">
        <v>tengah</v>
      </c>
      <c r="F328" s="51"/>
      <c r="G328" s="51"/>
      <c r="N328" s="51" t="str">
        <v>tengah</v>
      </c>
      <c r="O328" s="51"/>
      <c r="P328" s="51"/>
    </row>
    <row r="329" spans="5:16">
      <c r="E329" s="51" t="str">
        <v>tengah</v>
      </c>
      <c r="F329" s="51"/>
      <c r="G329" s="51"/>
      <c r="N329" s="51" t="str">
        <v>tengah</v>
      </c>
      <c r="O329" s="51"/>
      <c r="P329" s="51"/>
    </row>
    <row r="330" spans="5:16">
      <c r="E330" s="51" t="str">
        <v>kanan</v>
      </c>
      <c r="F330" s="51"/>
      <c r="G330" s="51"/>
      <c r="N330" s="51" t="str">
        <v>tengah</v>
      </c>
      <c r="O330" s="51"/>
      <c r="P330" s="51"/>
    </row>
    <row r="331" spans="5:16">
      <c r="E331" s="51" t="str">
        <v>tengah</v>
      </c>
      <c r="F331" s="51"/>
      <c r="G331" s="51"/>
      <c r="N331" s="51" t="str">
        <v>kanan</v>
      </c>
      <c r="O331" s="51"/>
      <c r="P331" s="51"/>
    </row>
    <row r="332" spans="5:16">
      <c r="E332" s="51" t="str">
        <v>tengah</v>
      </c>
      <c r="F332" s="51"/>
      <c r="G332" s="51"/>
      <c r="N332" s="51" t="str">
        <v>kanan</v>
      </c>
      <c r="O332" s="51"/>
      <c r="P332" s="51"/>
    </row>
  </sheetData>
  <pageMargins left="0.7" right="0.7" top="0.75" bottom="0.75" header="0.3" footer="0.3"/>
  <headerFooter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32"/>
  <sheetViews>
    <sheetView topLeftCell="A171" workbookViewId="0">
      <selection activeCell="G197" sqref="G197"/>
    </sheetView>
  </sheetViews>
  <sheetFormatPr defaultColWidth="9.14074074074074" defaultRowHeight="15"/>
  <cols>
    <col min="1" max="2" width="9.14074074074074" style="49"/>
    <col min="3" max="3" width="13.8518518518519" style="49" customWidth="1"/>
    <col min="4" max="5" width="9.14074074074074" style="49"/>
    <col min="6" max="6" width="11.5703703703704" style="49" customWidth="1"/>
    <col min="7" max="9" width="9.14074074074074" style="49"/>
    <col min="10" max="10" width="13.8518518518519" style="49" customWidth="1"/>
    <col min="11" max="14" width="9.14074074074074" style="49"/>
    <col min="15" max="15" width="16.1407407407407" style="49" customWidth="1"/>
    <col min="16" max="16384" width="9.14074074074074" style="49"/>
  </cols>
  <sheetData>
    <row r="1" spans="1:17">
      <c r="A1" s="50" t="s">
        <v>183</v>
      </c>
      <c r="B1" s="50" t="s">
        <v>1</v>
      </c>
      <c r="C1" s="50" t="s">
        <v>5</v>
      </c>
      <c r="H1" s="52" t="s">
        <v>183</v>
      </c>
      <c r="I1" s="52" t="s">
        <v>1</v>
      </c>
      <c r="J1" s="52" t="s">
        <v>5</v>
      </c>
      <c r="O1" s="50" t="s">
        <v>184</v>
      </c>
      <c r="P1" s="53"/>
      <c r="Q1" s="53"/>
    </row>
    <row r="2" spans="1:17">
      <c r="A2" s="51">
        <f ca="1" t="shared" ref="A2:A33" si="0">RANDBETWEEN(2,164)</f>
        <v>104</v>
      </c>
      <c r="B2" s="51">
        <f ca="1" t="array" ref="B2">INDEX([1]Data_DBD!$B:$B,$A2)</f>
        <v>37</v>
      </c>
      <c r="C2" s="51" t="str">
        <f ca="1" t="array" ref="C2">INDEX([1]Data_DBD!$F:$F,$A2)</f>
        <v>Tinggi</v>
      </c>
      <c r="H2" s="52">
        <v>102</v>
      </c>
      <c r="I2" s="52">
        <v>41</v>
      </c>
      <c r="J2" s="52" t="s">
        <v>105</v>
      </c>
      <c r="O2" s="53" t="s">
        <v>105</v>
      </c>
      <c r="P2" s="53">
        <f>COUNTIF(J2:J164,"Tinggi")</f>
        <v>74</v>
      </c>
      <c r="Q2" s="53">
        <f>P2/163</f>
        <v>0.45398773006135</v>
      </c>
    </row>
    <row r="3" spans="1:17">
      <c r="A3" s="51">
        <f ca="1" t="shared" si="0"/>
        <v>162</v>
      </c>
      <c r="B3" s="51">
        <f ca="1" t="array" ref="B3">INDEX([1]Data_DBD!$B:$B,$A3)</f>
        <v>22</v>
      </c>
      <c r="C3" s="51" t="str">
        <f ca="1" t="array" ref="C3">INDEX([1]Data_DBD!$F:$F,$A3)</f>
        <v>Rendah</v>
      </c>
      <c r="H3" s="52">
        <v>76</v>
      </c>
      <c r="I3" s="52">
        <v>70</v>
      </c>
      <c r="J3" s="52" t="s">
        <v>8</v>
      </c>
      <c r="O3" s="53" t="s">
        <v>8</v>
      </c>
      <c r="P3" s="53">
        <f>COUNTIF(J2:J164,"Sedang")</f>
        <v>76</v>
      </c>
      <c r="Q3" s="53">
        <f>P3/163</f>
        <v>0.466257668711656</v>
      </c>
    </row>
    <row r="4" spans="1:17">
      <c r="A4" s="51">
        <f ca="1" t="shared" si="0"/>
        <v>44</v>
      </c>
      <c r="B4" s="51">
        <f ca="1" t="array" ref="B4">INDEX([1]Data_DBD!$B:$B,$A4)</f>
        <v>28</v>
      </c>
      <c r="C4" s="51" t="str">
        <f ca="1" t="array" ref="C4">INDEX([1]Data_DBD!$F:$F,$A4)</f>
        <v>Sedang</v>
      </c>
      <c r="H4" s="52">
        <v>163</v>
      </c>
      <c r="I4" s="52">
        <v>34</v>
      </c>
      <c r="J4" s="52" t="s">
        <v>26</v>
      </c>
      <c r="O4" s="53" t="s">
        <v>26</v>
      </c>
      <c r="P4" s="53">
        <f>COUNTIF(J2:J164,"Rendah")</f>
        <v>13</v>
      </c>
      <c r="Q4" s="53">
        <f>P4/163</f>
        <v>0.0797546012269939</v>
      </c>
    </row>
    <row r="5" spans="1:16">
      <c r="A5" s="51">
        <f ca="1" t="shared" si="0"/>
        <v>119</v>
      </c>
      <c r="B5" s="51">
        <f ca="1" t="array" ref="B5">INDEX([1]Data_DBD!$B:$B,$A5)</f>
        <v>30</v>
      </c>
      <c r="C5" s="51" t="str">
        <f ca="1" t="array" ref="C5">INDEX([1]Data_DBD!$F:$F,$A5)</f>
        <v>Tinggi</v>
      </c>
      <c r="H5" s="52">
        <v>28</v>
      </c>
      <c r="I5" s="52">
        <v>22</v>
      </c>
      <c r="J5" s="52" t="s">
        <v>8</v>
      </c>
      <c r="O5" s="54" t="s">
        <v>185</v>
      </c>
      <c r="P5" s="49">
        <f>-(IFERROR(Q2*LOG(Q2,2),0)+IFERROR(Q3*LOG(Q3,2),0)+IFERROR(Q4*LOG(Q4,2),0))</f>
        <v>1.32144130506489</v>
      </c>
    </row>
    <row r="6" spans="1:10">
      <c r="A6" s="51">
        <f ca="1" t="shared" si="0"/>
        <v>56</v>
      </c>
      <c r="B6" s="51">
        <f ca="1" t="array" ref="B6">INDEX([1]Data_DBD!$B:$B,$A6)</f>
        <v>4</v>
      </c>
      <c r="C6" s="51" t="str">
        <f ca="1" t="array" ref="C6">INDEX([1]Data_DBD!$F:$F,$A6)</f>
        <v>Sedang</v>
      </c>
      <c r="H6" s="52">
        <v>161</v>
      </c>
      <c r="I6" s="52">
        <v>12</v>
      </c>
      <c r="J6" s="52" t="s">
        <v>105</v>
      </c>
    </row>
    <row r="7" spans="1:10">
      <c r="A7" s="51">
        <f ca="1" t="shared" si="0"/>
        <v>96</v>
      </c>
      <c r="B7" s="51">
        <f ca="1" t="array" ref="B7">INDEX([1]Data_DBD!$B:$B,$A7)</f>
        <v>56</v>
      </c>
      <c r="C7" s="51" t="str">
        <f ca="1" t="array" ref="C7">INDEX([1]Data_DBD!$F:$F,$A7)</f>
        <v>Tinggi</v>
      </c>
      <c r="H7" s="52">
        <v>148</v>
      </c>
      <c r="I7" s="52">
        <v>55</v>
      </c>
      <c r="J7" s="52" t="s">
        <v>105</v>
      </c>
    </row>
    <row r="8" spans="1:10">
      <c r="A8" s="51">
        <f ca="1" t="shared" si="0"/>
        <v>32</v>
      </c>
      <c r="B8" s="51">
        <f ca="1" t="array" ref="B8">INDEX([1]Data_DBD!$B:$B,$A8)</f>
        <v>54</v>
      </c>
      <c r="C8" s="51" t="str">
        <f ca="1" t="array" ref="C8">INDEX([1]Data_DBD!$F:$F,$A8)</f>
        <v>Sedang</v>
      </c>
      <c r="H8" s="52">
        <v>81</v>
      </c>
      <c r="I8" s="52">
        <v>23</v>
      </c>
      <c r="J8" s="52" t="s">
        <v>8</v>
      </c>
    </row>
    <row r="9" spans="1:10">
      <c r="A9" s="51">
        <f ca="1" t="shared" si="0"/>
        <v>5</v>
      </c>
      <c r="B9" s="51">
        <f ca="1" t="array" ref="B9">INDEX([1]Data_DBD!$B:$B,$A9)</f>
        <v>18</v>
      </c>
      <c r="C9" s="51" t="str">
        <f ca="1" t="array" ref="C9">INDEX([1]Data_DBD!$F:$F,$A9)</f>
        <v>Sedang</v>
      </c>
      <c r="H9" s="52">
        <v>8</v>
      </c>
      <c r="I9" s="52">
        <v>4</v>
      </c>
      <c r="J9" s="52" t="s">
        <v>8</v>
      </c>
    </row>
    <row r="10" spans="1:10">
      <c r="A10" s="51">
        <f ca="1" t="shared" si="0"/>
        <v>108</v>
      </c>
      <c r="B10" s="51">
        <f ca="1" t="array" ref="B10">INDEX([1]Data_DBD!$B:$B,$A10)</f>
        <v>69</v>
      </c>
      <c r="C10" s="51" t="str">
        <f ca="1" t="array" ref="C10">INDEX([1]Data_DBD!$F:$F,$A10)</f>
        <v>Tinggi</v>
      </c>
      <c r="H10" s="52">
        <v>116</v>
      </c>
      <c r="I10" s="52">
        <v>32</v>
      </c>
      <c r="J10" s="52" t="s">
        <v>105</v>
      </c>
    </row>
    <row r="11" spans="1:10">
      <c r="A11" s="51">
        <f ca="1" t="shared" si="0"/>
        <v>13</v>
      </c>
      <c r="B11" s="51">
        <f ca="1" t="array" ref="B11">INDEX([1]Data_DBD!$B:$B,$A11)</f>
        <v>47</v>
      </c>
      <c r="C11" s="51" t="str">
        <f ca="1" t="array" ref="C11">INDEX([1]Data_DBD!$F:$F,$A11)</f>
        <v>Sedang</v>
      </c>
      <c r="H11" s="52">
        <v>17</v>
      </c>
      <c r="I11" s="52">
        <v>2</v>
      </c>
      <c r="J11" s="52" t="s">
        <v>26</v>
      </c>
    </row>
    <row r="12" spans="1:10">
      <c r="A12" s="51">
        <f ca="1" t="shared" si="0"/>
        <v>160</v>
      </c>
      <c r="B12" s="51">
        <f ca="1" t="array" ref="B12">INDEX([1]Data_DBD!$B:$B,$A12)</f>
        <v>16</v>
      </c>
      <c r="C12" s="51" t="str">
        <f ca="1" t="array" ref="C12">INDEX([1]Data_DBD!$F:$F,$A12)</f>
        <v>Tinggi</v>
      </c>
      <c r="H12" s="52">
        <v>162</v>
      </c>
      <c r="I12" s="52">
        <v>22</v>
      </c>
      <c r="J12" s="52" t="s">
        <v>26</v>
      </c>
    </row>
    <row r="13" spans="1:10">
      <c r="A13" s="51">
        <f ca="1" t="shared" si="0"/>
        <v>152</v>
      </c>
      <c r="B13" s="51">
        <f ca="1" t="array" ref="B13">INDEX([1]Data_DBD!$B:$B,$A13)</f>
        <v>47</v>
      </c>
      <c r="C13" s="51" t="str">
        <f ca="1" t="array" ref="C13">INDEX([1]Data_DBD!$F:$F,$A13)</f>
        <v>Tinggi</v>
      </c>
      <c r="H13" s="52">
        <v>7</v>
      </c>
      <c r="I13" s="52">
        <v>12</v>
      </c>
      <c r="J13" s="52" t="s">
        <v>8</v>
      </c>
    </row>
    <row r="14" spans="1:10">
      <c r="A14" s="51">
        <f ca="1" t="shared" si="0"/>
        <v>17</v>
      </c>
      <c r="B14" s="51">
        <f ca="1" t="array" ref="B14">INDEX([1]Data_DBD!$B:$B,$A14)</f>
        <v>2</v>
      </c>
      <c r="C14" s="51" t="str">
        <f ca="1" t="array" ref="C14">INDEX([1]Data_DBD!$F:$F,$A14)</f>
        <v>Rendah</v>
      </c>
      <c r="H14" s="52">
        <v>25</v>
      </c>
      <c r="I14" s="52">
        <v>81</v>
      </c>
      <c r="J14" s="52" t="s">
        <v>8</v>
      </c>
    </row>
    <row r="15" spans="1:10">
      <c r="A15" s="51">
        <f ca="1" t="shared" si="0"/>
        <v>150</v>
      </c>
      <c r="B15" s="51">
        <f ca="1" t="array" ref="B15">INDEX([1]Data_DBD!$B:$B,$A15)</f>
        <v>61</v>
      </c>
      <c r="C15" s="51" t="str">
        <f ca="1" t="array" ref="C15">INDEX([1]Data_DBD!$F:$F,$A15)</f>
        <v>Tinggi</v>
      </c>
      <c r="H15" s="52">
        <v>143</v>
      </c>
      <c r="I15" s="52">
        <v>20</v>
      </c>
      <c r="J15" s="52" t="s">
        <v>105</v>
      </c>
    </row>
    <row r="16" spans="1:10">
      <c r="A16" s="51">
        <f ca="1" t="shared" si="0"/>
        <v>68</v>
      </c>
      <c r="B16" s="51">
        <f ca="1" t="array" ref="B16">INDEX([1]Data_DBD!$B:$B,$A16)</f>
        <v>44</v>
      </c>
      <c r="C16" s="51" t="str">
        <f ca="1" t="array" ref="C16">INDEX([1]Data_DBD!$F:$F,$A16)</f>
        <v>Sedang</v>
      </c>
      <c r="H16" s="52">
        <v>22</v>
      </c>
      <c r="I16" s="52">
        <v>6</v>
      </c>
      <c r="J16" s="52" t="s">
        <v>8</v>
      </c>
    </row>
    <row r="17" spans="1:10">
      <c r="A17" s="51">
        <f ca="1" t="shared" si="0"/>
        <v>53</v>
      </c>
      <c r="B17" s="51">
        <f ca="1" t="array" ref="B17">INDEX([1]Data_DBD!$B:$B,$A17)</f>
        <v>35</v>
      </c>
      <c r="C17" s="51" t="str">
        <f ca="1" t="array" ref="C17">INDEX([1]Data_DBD!$F:$F,$A17)</f>
        <v>Sedang</v>
      </c>
      <c r="H17" s="52">
        <v>86</v>
      </c>
      <c r="I17" s="52">
        <v>23</v>
      </c>
      <c r="J17" s="52" t="s">
        <v>8</v>
      </c>
    </row>
    <row r="18" spans="1:10">
      <c r="A18" s="51">
        <f ca="1" t="shared" si="0"/>
        <v>19</v>
      </c>
      <c r="B18" s="51">
        <f ca="1" t="array" ref="B18">INDEX([1]Data_DBD!$B:$B,$A18)</f>
        <v>8</v>
      </c>
      <c r="C18" s="51" t="str">
        <f ca="1" t="array" ref="C18">INDEX([1]Data_DBD!$F:$F,$A18)</f>
        <v>Rendah</v>
      </c>
      <c r="H18" s="52">
        <v>92</v>
      </c>
      <c r="I18" s="52">
        <v>55</v>
      </c>
      <c r="J18" s="52" t="s">
        <v>105</v>
      </c>
    </row>
    <row r="19" spans="1:10">
      <c r="A19" s="51">
        <f ca="1" t="shared" si="0"/>
        <v>24</v>
      </c>
      <c r="B19" s="51">
        <f ca="1" t="array" ref="B19">INDEX([1]Data_DBD!$B:$B,$A19)</f>
        <v>60</v>
      </c>
      <c r="C19" s="51" t="str">
        <f ca="1" t="array" ref="C19">INDEX([1]Data_DBD!$F:$F,$A19)</f>
        <v>Sedang</v>
      </c>
      <c r="H19" s="52">
        <v>136</v>
      </c>
      <c r="I19" s="52">
        <v>6</v>
      </c>
      <c r="J19" s="52" t="s">
        <v>105</v>
      </c>
    </row>
    <row r="20" spans="1:10">
      <c r="A20" s="51">
        <f ca="1" t="shared" si="0"/>
        <v>124</v>
      </c>
      <c r="B20" s="51">
        <f ca="1" t="array" ref="B20">INDEX([1]Data_DBD!$B:$B,$A20)</f>
        <v>24</v>
      </c>
      <c r="C20" s="51" t="str">
        <f ca="1" t="array" ref="C20">INDEX([1]Data_DBD!$F:$F,$A20)</f>
        <v>Tinggi</v>
      </c>
      <c r="H20" s="52">
        <v>65</v>
      </c>
      <c r="I20" s="52">
        <v>49</v>
      </c>
      <c r="J20" s="52" t="s">
        <v>8</v>
      </c>
    </row>
    <row r="21" spans="1:10">
      <c r="A21" s="51">
        <f ca="1" t="shared" si="0"/>
        <v>22</v>
      </c>
      <c r="B21" s="51">
        <f ca="1" t="array" ref="B21">INDEX([1]Data_DBD!$B:$B,$A21)</f>
        <v>6</v>
      </c>
      <c r="C21" s="51" t="str">
        <f ca="1" t="array" ref="C21">INDEX([1]Data_DBD!$F:$F,$A21)</f>
        <v>Sedang</v>
      </c>
      <c r="H21" s="52">
        <v>34</v>
      </c>
      <c r="I21" s="52">
        <v>55</v>
      </c>
      <c r="J21" s="52" t="s">
        <v>8</v>
      </c>
    </row>
    <row r="22" spans="1:10">
      <c r="A22" s="51">
        <f ca="1" t="shared" si="0"/>
        <v>50</v>
      </c>
      <c r="B22" s="51">
        <f ca="1" t="array" ref="B22">INDEX([1]Data_DBD!$B:$B,$A22)</f>
        <v>19</v>
      </c>
      <c r="C22" s="51" t="str">
        <f ca="1" t="array" ref="C22">INDEX([1]Data_DBD!$F:$F,$A22)</f>
        <v>Sedang</v>
      </c>
      <c r="H22" s="52">
        <v>90</v>
      </c>
      <c r="I22" s="52">
        <v>47</v>
      </c>
      <c r="J22" s="52" t="s">
        <v>105</v>
      </c>
    </row>
    <row r="23" spans="1:10">
      <c r="A23" s="51">
        <f ca="1" t="shared" si="0"/>
        <v>142</v>
      </c>
      <c r="B23" s="51">
        <f ca="1" t="array" ref="B23">INDEX([1]Data_DBD!$B:$B,$A23)</f>
        <v>39</v>
      </c>
      <c r="C23" s="51" t="str">
        <f ca="1" t="array" ref="C23">INDEX([1]Data_DBD!$F:$F,$A23)</f>
        <v>Tinggi</v>
      </c>
      <c r="H23" s="52">
        <v>115</v>
      </c>
      <c r="I23" s="52">
        <v>52</v>
      </c>
      <c r="J23" s="52" t="s">
        <v>105</v>
      </c>
    </row>
    <row r="24" spans="1:10">
      <c r="A24" s="51">
        <f ca="1" t="shared" si="0"/>
        <v>162</v>
      </c>
      <c r="B24" s="51">
        <f ca="1" t="array" ref="B24">INDEX([1]Data_DBD!$B:$B,$A24)</f>
        <v>22</v>
      </c>
      <c r="C24" s="51" t="str">
        <f ca="1" t="array" ref="C24">INDEX([1]Data_DBD!$F:$F,$A24)</f>
        <v>Rendah</v>
      </c>
      <c r="H24" s="52">
        <v>31</v>
      </c>
      <c r="I24" s="52">
        <v>64</v>
      </c>
      <c r="J24" s="52" t="s">
        <v>8</v>
      </c>
    </row>
    <row r="25" spans="1:10">
      <c r="A25" s="51">
        <f ca="1" t="shared" si="0"/>
        <v>122</v>
      </c>
      <c r="B25" s="51">
        <f ca="1" t="array" ref="B25">INDEX([1]Data_DBD!$B:$B,$A25)</f>
        <v>28</v>
      </c>
      <c r="C25" s="51" t="str">
        <f ca="1" t="array" ref="C25">INDEX([1]Data_DBD!$F:$F,$A25)</f>
        <v>Tinggi</v>
      </c>
      <c r="H25" s="52">
        <v>120</v>
      </c>
      <c r="I25" s="52">
        <v>26</v>
      </c>
      <c r="J25" s="52" t="s">
        <v>105</v>
      </c>
    </row>
    <row r="26" spans="1:10">
      <c r="A26" s="51">
        <f ca="1" t="shared" si="0"/>
        <v>119</v>
      </c>
      <c r="B26" s="51">
        <f ca="1" t="array" ref="B26">INDEX([1]Data_DBD!$B:$B,$A26)</f>
        <v>30</v>
      </c>
      <c r="C26" s="51" t="str">
        <f ca="1" t="array" ref="C26">INDEX([1]Data_DBD!$F:$F,$A26)</f>
        <v>Tinggi</v>
      </c>
      <c r="H26" s="52">
        <v>127</v>
      </c>
      <c r="I26" s="52">
        <v>21</v>
      </c>
      <c r="J26" s="52" t="s">
        <v>105</v>
      </c>
    </row>
    <row r="27" spans="1:10">
      <c r="A27" s="51">
        <f ca="1" t="shared" si="0"/>
        <v>88</v>
      </c>
      <c r="B27" s="51">
        <f ca="1" t="array" ref="B27">INDEX([1]Data_DBD!$B:$B,$A27)</f>
        <v>20</v>
      </c>
      <c r="C27" s="51" t="str">
        <f ca="1" t="array" ref="C27">INDEX([1]Data_DBD!$F:$F,$A27)</f>
        <v>Sedang</v>
      </c>
      <c r="H27" s="52">
        <v>69</v>
      </c>
      <c r="I27" s="52">
        <v>24</v>
      </c>
      <c r="J27" s="52" t="s">
        <v>8</v>
      </c>
    </row>
    <row r="28" spans="1:10">
      <c r="A28" s="51">
        <f ca="1" t="shared" si="0"/>
        <v>33</v>
      </c>
      <c r="B28" s="51">
        <f ca="1" t="array" ref="B28">INDEX([1]Data_DBD!$B:$B,$A28)</f>
        <v>19</v>
      </c>
      <c r="C28" s="51" t="str">
        <f ca="1" t="array" ref="C28">INDEX([1]Data_DBD!$F:$F,$A28)</f>
        <v>Sedang</v>
      </c>
      <c r="H28" s="52">
        <v>42</v>
      </c>
      <c r="I28" s="52">
        <v>21</v>
      </c>
      <c r="J28" s="52" t="s">
        <v>8</v>
      </c>
    </row>
    <row r="29" spans="1:10">
      <c r="A29" s="51">
        <f ca="1" t="shared" si="0"/>
        <v>60</v>
      </c>
      <c r="B29" s="51">
        <f ca="1" t="array" ref="B29">INDEX([1]Data_DBD!$B:$B,$A29)</f>
        <v>68</v>
      </c>
      <c r="C29" s="51" t="str">
        <f ca="1" t="array" ref="C29">INDEX([1]Data_DBD!$F:$F,$A29)</f>
        <v>Sedang</v>
      </c>
      <c r="H29" s="52">
        <v>129</v>
      </c>
      <c r="I29" s="52">
        <v>4</v>
      </c>
      <c r="J29" s="52" t="s">
        <v>105</v>
      </c>
    </row>
    <row r="30" spans="1:10">
      <c r="A30" s="51">
        <f ca="1" t="shared" si="0"/>
        <v>15</v>
      </c>
      <c r="B30" s="51">
        <f ca="1" t="array" ref="B30">INDEX([1]Data_DBD!$B:$B,$A30)</f>
        <v>21</v>
      </c>
      <c r="C30" s="51" t="str">
        <f ca="1" t="array" ref="C30">INDEX([1]Data_DBD!$F:$F,$A30)</f>
        <v>Rendah</v>
      </c>
      <c r="H30" s="52">
        <v>101</v>
      </c>
      <c r="I30" s="52">
        <v>42</v>
      </c>
      <c r="J30" s="52" t="s">
        <v>105</v>
      </c>
    </row>
    <row r="31" spans="1:10">
      <c r="A31" s="51">
        <f ca="1" t="shared" si="0"/>
        <v>73</v>
      </c>
      <c r="B31" s="51">
        <f ca="1" t="array" ref="B31">INDEX([1]Data_DBD!$B:$B,$A31)</f>
        <v>15</v>
      </c>
      <c r="C31" s="51" t="str">
        <f ca="1" t="array" ref="C31">INDEX([1]Data_DBD!$F:$F,$A31)</f>
        <v>Sedang</v>
      </c>
      <c r="H31" s="52">
        <v>141</v>
      </c>
      <c r="I31" s="52">
        <v>36</v>
      </c>
      <c r="J31" s="52" t="s">
        <v>105</v>
      </c>
    </row>
    <row r="32" spans="1:10">
      <c r="A32" s="51">
        <f ca="1" t="shared" si="0"/>
        <v>101</v>
      </c>
      <c r="B32" s="51">
        <f ca="1" t="array" ref="B32">INDEX([1]Data_DBD!$B:$B,$A32)</f>
        <v>42</v>
      </c>
      <c r="C32" s="51" t="str">
        <f ca="1" t="array" ref="C32">INDEX([1]Data_DBD!$F:$F,$A32)</f>
        <v>Tinggi</v>
      </c>
      <c r="H32" s="52">
        <v>152</v>
      </c>
      <c r="I32" s="52">
        <v>47</v>
      </c>
      <c r="J32" s="52" t="s">
        <v>105</v>
      </c>
    </row>
    <row r="33" spans="1:10">
      <c r="A33" s="51">
        <f ca="1" t="shared" si="0"/>
        <v>101</v>
      </c>
      <c r="B33" s="51">
        <f ca="1" t="array" ref="B33">INDEX([1]Data_DBD!$B:$B,$A33)</f>
        <v>42</v>
      </c>
      <c r="C33" s="51" t="str">
        <f ca="1" t="array" ref="C33">INDEX([1]Data_DBD!$F:$F,$A33)</f>
        <v>Tinggi</v>
      </c>
      <c r="H33" s="52">
        <v>81</v>
      </c>
      <c r="I33" s="52">
        <v>23</v>
      </c>
      <c r="J33" s="52" t="s">
        <v>8</v>
      </c>
    </row>
    <row r="34" spans="1:10">
      <c r="A34" s="51">
        <f ca="1" t="shared" ref="A34:A65" si="1">RANDBETWEEN(2,164)</f>
        <v>66</v>
      </c>
      <c r="B34" s="51">
        <f ca="1" t="array" ref="B34">INDEX([1]Data_DBD!$B:$B,$A34)</f>
        <v>21</v>
      </c>
      <c r="C34" s="51" t="str">
        <f ca="1" t="array" ref="C34">INDEX([1]Data_DBD!$F:$F,$A34)</f>
        <v>Sedang</v>
      </c>
      <c r="H34" s="52">
        <v>41</v>
      </c>
      <c r="I34" s="52">
        <v>8</v>
      </c>
      <c r="J34" s="52" t="s">
        <v>8</v>
      </c>
    </row>
    <row r="35" spans="1:10">
      <c r="A35" s="51">
        <f ca="1" t="shared" si="1"/>
        <v>49</v>
      </c>
      <c r="B35" s="51">
        <f ca="1" t="array" ref="B35">INDEX([1]Data_DBD!$B:$B,$A35)</f>
        <v>64</v>
      </c>
      <c r="C35" s="51" t="str">
        <f ca="1" t="array" ref="C35">INDEX([1]Data_DBD!$F:$F,$A35)</f>
        <v>Sedang</v>
      </c>
      <c r="H35" s="52">
        <v>129</v>
      </c>
      <c r="I35" s="52">
        <v>4</v>
      </c>
      <c r="J35" s="52" t="s">
        <v>105</v>
      </c>
    </row>
    <row r="36" spans="1:10">
      <c r="A36" s="51">
        <f ca="1" t="shared" si="1"/>
        <v>75</v>
      </c>
      <c r="B36" s="51">
        <f ca="1" t="array" ref="B36">INDEX([1]Data_DBD!$B:$B,$A36)</f>
        <v>2</v>
      </c>
      <c r="C36" s="51" t="str">
        <f ca="1" t="array" ref="C36">INDEX([1]Data_DBD!$F:$F,$A36)</f>
        <v>Sedang</v>
      </c>
      <c r="H36" s="52">
        <v>148</v>
      </c>
      <c r="I36" s="52">
        <v>55</v>
      </c>
      <c r="J36" s="52" t="s">
        <v>105</v>
      </c>
    </row>
    <row r="37" spans="1:10">
      <c r="A37" s="51">
        <f ca="1" t="shared" si="1"/>
        <v>40</v>
      </c>
      <c r="B37" s="51">
        <f ca="1" t="array" ref="B37">INDEX([1]Data_DBD!$B:$B,$A37)</f>
        <v>65</v>
      </c>
      <c r="C37" s="51" t="str">
        <f ca="1" t="array" ref="C37">INDEX([1]Data_DBD!$F:$F,$A37)</f>
        <v>Sedang</v>
      </c>
      <c r="H37" s="52">
        <v>59</v>
      </c>
      <c r="I37" s="52">
        <v>28</v>
      </c>
      <c r="J37" s="52" t="s">
        <v>8</v>
      </c>
    </row>
    <row r="38" spans="1:10">
      <c r="A38" s="51">
        <f ca="1" t="shared" si="1"/>
        <v>84</v>
      </c>
      <c r="B38" s="51">
        <f ca="1" t="array" ref="B38">INDEX([1]Data_DBD!$B:$B,$A38)</f>
        <v>42</v>
      </c>
      <c r="C38" s="51" t="str">
        <f ca="1" t="array" ref="C38">INDEX([1]Data_DBD!$F:$F,$A38)</f>
        <v>Sedang</v>
      </c>
      <c r="H38" s="52">
        <v>88</v>
      </c>
      <c r="I38" s="52">
        <v>20</v>
      </c>
      <c r="J38" s="52" t="s">
        <v>8</v>
      </c>
    </row>
    <row r="39" spans="1:10">
      <c r="A39" s="51">
        <f ca="1" t="shared" si="1"/>
        <v>101</v>
      </c>
      <c r="B39" s="51">
        <f ca="1" t="array" ref="B39">INDEX([1]Data_DBD!$B:$B,$A39)</f>
        <v>42</v>
      </c>
      <c r="C39" s="51" t="str">
        <f ca="1" t="array" ref="C39">INDEX([1]Data_DBD!$F:$F,$A39)</f>
        <v>Tinggi</v>
      </c>
      <c r="H39" s="52">
        <v>39</v>
      </c>
      <c r="I39" s="52">
        <v>12</v>
      </c>
      <c r="J39" s="52" t="s">
        <v>8</v>
      </c>
    </row>
    <row r="40" spans="1:10">
      <c r="A40" s="51">
        <f ca="1" t="shared" si="1"/>
        <v>119</v>
      </c>
      <c r="B40" s="51">
        <f ca="1" t="array" ref="B40">INDEX([1]Data_DBD!$B:$B,$A40)</f>
        <v>30</v>
      </c>
      <c r="C40" s="51" t="str">
        <f ca="1" t="array" ref="C40">INDEX([1]Data_DBD!$F:$F,$A40)</f>
        <v>Tinggi</v>
      </c>
      <c r="H40" s="52">
        <v>99</v>
      </c>
      <c r="I40" s="52">
        <v>4</v>
      </c>
      <c r="J40" s="52" t="s">
        <v>105</v>
      </c>
    </row>
    <row r="41" spans="1:10">
      <c r="A41" s="51">
        <f ca="1" t="shared" si="1"/>
        <v>34</v>
      </c>
      <c r="B41" s="51">
        <f ca="1" t="array" ref="B41">INDEX([1]Data_DBD!$B:$B,$A41)</f>
        <v>55</v>
      </c>
      <c r="C41" s="51" t="str">
        <f ca="1" t="array" ref="C41">INDEX([1]Data_DBD!$F:$F,$A41)</f>
        <v>Sedang</v>
      </c>
      <c r="H41" s="52">
        <v>64</v>
      </c>
      <c r="I41" s="52">
        <v>35</v>
      </c>
      <c r="J41" s="52" t="s">
        <v>8</v>
      </c>
    </row>
    <row r="42" spans="1:10">
      <c r="A42" s="51">
        <f ca="1" t="shared" si="1"/>
        <v>44</v>
      </c>
      <c r="B42" s="51">
        <f ca="1" t="array" ref="B42">INDEX([1]Data_DBD!$B:$B,$A42)</f>
        <v>28</v>
      </c>
      <c r="C42" s="51" t="str">
        <f ca="1" t="array" ref="C42">INDEX([1]Data_DBD!$F:$F,$A42)</f>
        <v>Sedang</v>
      </c>
      <c r="H42" s="52">
        <v>138</v>
      </c>
      <c r="I42" s="52">
        <v>13</v>
      </c>
      <c r="J42" s="52" t="s">
        <v>105</v>
      </c>
    </row>
    <row r="43" spans="1:10">
      <c r="A43" s="51">
        <f ca="1" t="shared" si="1"/>
        <v>118</v>
      </c>
      <c r="B43" s="51">
        <f ca="1" t="array" ref="B43">INDEX([1]Data_DBD!$B:$B,$A43)</f>
        <v>67</v>
      </c>
      <c r="C43" s="51" t="str">
        <f ca="1" t="array" ref="C43">INDEX([1]Data_DBD!$F:$F,$A43)</f>
        <v>Tinggi</v>
      </c>
      <c r="H43" s="52">
        <v>111</v>
      </c>
      <c r="I43" s="52">
        <v>25</v>
      </c>
      <c r="J43" s="52" t="s">
        <v>105</v>
      </c>
    </row>
    <row r="44" spans="1:10">
      <c r="A44" s="51">
        <f ca="1" t="shared" si="1"/>
        <v>13</v>
      </c>
      <c r="B44" s="51">
        <f ca="1" t="array" ref="B44">INDEX([1]Data_DBD!$B:$B,$A44)</f>
        <v>47</v>
      </c>
      <c r="C44" s="51" t="str">
        <f ca="1" t="array" ref="C44">INDEX([1]Data_DBD!$F:$F,$A44)</f>
        <v>Sedang</v>
      </c>
      <c r="H44" s="52">
        <v>86</v>
      </c>
      <c r="I44" s="52">
        <v>23</v>
      </c>
      <c r="J44" s="52" t="s">
        <v>8</v>
      </c>
    </row>
    <row r="45" spans="1:10">
      <c r="A45" s="51">
        <f ca="1" t="shared" si="1"/>
        <v>23</v>
      </c>
      <c r="B45" s="51">
        <f ca="1" t="array" ref="B45">INDEX([1]Data_DBD!$B:$B,$A45)</f>
        <v>28</v>
      </c>
      <c r="C45" s="51" t="str">
        <f ca="1" t="array" ref="C45">INDEX([1]Data_DBD!$F:$F,$A45)</f>
        <v>Sedang</v>
      </c>
      <c r="H45" s="52">
        <v>98</v>
      </c>
      <c r="I45" s="52">
        <v>16</v>
      </c>
      <c r="J45" s="52" t="s">
        <v>105</v>
      </c>
    </row>
    <row r="46" spans="1:10">
      <c r="A46" s="51">
        <f ca="1" t="shared" si="1"/>
        <v>100</v>
      </c>
      <c r="B46" s="51">
        <f ca="1" t="array" ref="B46">INDEX([1]Data_DBD!$B:$B,$A46)</f>
        <v>19</v>
      </c>
      <c r="C46" s="51" t="str">
        <f ca="1" t="array" ref="C46">INDEX([1]Data_DBD!$F:$F,$A46)</f>
        <v>Tinggi</v>
      </c>
      <c r="H46" s="52">
        <v>94</v>
      </c>
      <c r="I46" s="52">
        <v>12</v>
      </c>
      <c r="J46" s="52" t="s">
        <v>105</v>
      </c>
    </row>
    <row r="47" spans="1:10">
      <c r="A47" s="51">
        <f ca="1" t="shared" si="1"/>
        <v>5</v>
      </c>
      <c r="B47" s="51">
        <f ca="1" t="array" ref="B47">INDEX([1]Data_DBD!$B:$B,$A47)</f>
        <v>18</v>
      </c>
      <c r="C47" s="51" t="str">
        <f ca="1" t="array" ref="C47">INDEX([1]Data_DBD!$F:$F,$A47)</f>
        <v>Sedang</v>
      </c>
      <c r="H47" s="52">
        <v>31</v>
      </c>
      <c r="I47" s="52">
        <v>64</v>
      </c>
      <c r="J47" s="52" t="s">
        <v>8</v>
      </c>
    </row>
    <row r="48" spans="1:10">
      <c r="A48" s="51">
        <f ca="1" t="shared" si="1"/>
        <v>56</v>
      </c>
      <c r="B48" s="51">
        <f ca="1" t="array" ref="B48">INDEX([1]Data_DBD!$B:$B,$A48)</f>
        <v>4</v>
      </c>
      <c r="C48" s="51" t="str">
        <f ca="1" t="array" ref="C48">INDEX([1]Data_DBD!$F:$F,$A48)</f>
        <v>Sedang</v>
      </c>
      <c r="H48" s="52">
        <v>103</v>
      </c>
      <c r="I48" s="52">
        <v>22</v>
      </c>
      <c r="J48" s="52" t="s">
        <v>105</v>
      </c>
    </row>
    <row r="49" spans="1:10">
      <c r="A49" s="51">
        <f ca="1" t="shared" si="1"/>
        <v>153</v>
      </c>
      <c r="B49" s="51">
        <f ca="1" t="array" ref="B49">INDEX([1]Data_DBD!$B:$B,$A49)</f>
        <v>73</v>
      </c>
      <c r="C49" s="51" t="str">
        <f ca="1" t="array" ref="C49">INDEX([1]Data_DBD!$F:$F,$A49)</f>
        <v>Tinggi</v>
      </c>
      <c r="H49" s="52">
        <v>105</v>
      </c>
      <c r="I49" s="52">
        <v>61</v>
      </c>
      <c r="J49" s="52" t="s">
        <v>105</v>
      </c>
    </row>
    <row r="50" spans="1:10">
      <c r="A50" s="51">
        <f ca="1" t="shared" si="1"/>
        <v>6</v>
      </c>
      <c r="B50" s="51">
        <f ca="1" t="array" ref="B50">INDEX([1]Data_DBD!$B:$B,$A50)</f>
        <v>14</v>
      </c>
      <c r="C50" s="51" t="str">
        <f ca="1" t="array" ref="C50">INDEX([1]Data_DBD!$F:$F,$A50)</f>
        <v>Sedang</v>
      </c>
      <c r="H50" s="52">
        <v>67</v>
      </c>
      <c r="I50" s="52">
        <v>21</v>
      </c>
      <c r="J50" s="52" t="s">
        <v>8</v>
      </c>
    </row>
    <row r="51" spans="1:10">
      <c r="A51" s="51">
        <f ca="1" t="shared" si="1"/>
        <v>69</v>
      </c>
      <c r="B51" s="51">
        <f ca="1" t="array" ref="B51">INDEX([1]Data_DBD!$B:$B,$A51)</f>
        <v>24</v>
      </c>
      <c r="C51" s="51" t="str">
        <f ca="1" t="array" ref="C51">INDEX([1]Data_DBD!$F:$F,$A51)</f>
        <v>Sedang</v>
      </c>
      <c r="H51" s="52">
        <v>127</v>
      </c>
      <c r="I51" s="52">
        <v>21</v>
      </c>
      <c r="J51" s="52" t="s">
        <v>105</v>
      </c>
    </row>
    <row r="52" spans="1:10">
      <c r="A52" s="51">
        <f ca="1" t="shared" si="1"/>
        <v>11</v>
      </c>
      <c r="B52" s="51">
        <f ca="1" t="array" ref="B52">INDEX([1]Data_DBD!$B:$B,$A52)</f>
        <v>24</v>
      </c>
      <c r="C52" s="51" t="str">
        <f ca="1" t="array" ref="C52">INDEX([1]Data_DBD!$F:$F,$A52)</f>
        <v>Sedang</v>
      </c>
      <c r="H52" s="52">
        <v>164</v>
      </c>
      <c r="I52" s="52">
        <v>10</v>
      </c>
      <c r="J52" s="52" t="s">
        <v>26</v>
      </c>
    </row>
    <row r="53" spans="1:10">
      <c r="A53" s="51">
        <f ca="1" t="shared" si="1"/>
        <v>99</v>
      </c>
      <c r="B53" s="51">
        <f ca="1" t="array" ref="B53">INDEX([1]Data_DBD!$B:$B,$A53)</f>
        <v>4</v>
      </c>
      <c r="C53" s="51" t="str">
        <f ca="1" t="array" ref="C53">INDEX([1]Data_DBD!$F:$F,$A53)</f>
        <v>Tinggi</v>
      </c>
      <c r="H53" s="52">
        <v>19</v>
      </c>
      <c r="I53" s="52">
        <v>8</v>
      </c>
      <c r="J53" s="52" t="s">
        <v>26</v>
      </c>
    </row>
    <row r="54" spans="1:10">
      <c r="A54" s="51">
        <f ca="1" t="shared" si="1"/>
        <v>48</v>
      </c>
      <c r="B54" s="51">
        <f ca="1" t="array" ref="B54">INDEX([1]Data_DBD!$B:$B,$A54)</f>
        <v>50</v>
      </c>
      <c r="C54" s="51" t="str">
        <f ca="1" t="array" ref="C54">INDEX([1]Data_DBD!$F:$F,$A54)</f>
        <v>Sedang</v>
      </c>
      <c r="H54" s="52">
        <v>60</v>
      </c>
      <c r="I54" s="52">
        <v>68</v>
      </c>
      <c r="J54" s="52" t="s">
        <v>8</v>
      </c>
    </row>
    <row r="55" spans="1:10">
      <c r="A55" s="51">
        <f ca="1" t="shared" si="1"/>
        <v>72</v>
      </c>
      <c r="B55" s="51">
        <f ca="1" t="array" ref="B55">INDEX([1]Data_DBD!$B:$B,$A55)</f>
        <v>3</v>
      </c>
      <c r="C55" s="51" t="str">
        <f ca="1" t="array" ref="C55">INDEX([1]Data_DBD!$F:$F,$A55)</f>
        <v>Sedang</v>
      </c>
      <c r="H55" s="52">
        <v>109</v>
      </c>
      <c r="I55" s="52">
        <v>40</v>
      </c>
      <c r="J55" s="52" t="s">
        <v>105</v>
      </c>
    </row>
    <row r="56" spans="1:10">
      <c r="A56" s="51">
        <f ca="1" t="shared" si="1"/>
        <v>141</v>
      </c>
      <c r="B56" s="51">
        <f ca="1" t="array" ref="B56">INDEX([1]Data_DBD!$B:$B,$A56)</f>
        <v>36</v>
      </c>
      <c r="C56" s="51" t="str">
        <f ca="1" t="array" ref="C56">INDEX([1]Data_DBD!$F:$F,$A56)</f>
        <v>Tinggi</v>
      </c>
      <c r="H56" s="52">
        <v>130</v>
      </c>
      <c r="I56" s="52">
        <v>12</v>
      </c>
      <c r="J56" s="52" t="s">
        <v>105</v>
      </c>
    </row>
    <row r="57" spans="1:10">
      <c r="A57" s="51">
        <f ca="1" t="shared" si="1"/>
        <v>71</v>
      </c>
      <c r="B57" s="51">
        <f ca="1" t="array" ref="B57">INDEX([1]Data_DBD!$B:$B,$A57)</f>
        <v>84</v>
      </c>
      <c r="C57" s="51" t="str">
        <f ca="1" t="array" ref="C57">INDEX([1]Data_DBD!$F:$F,$A57)</f>
        <v>Sedang</v>
      </c>
      <c r="H57" s="52">
        <v>139</v>
      </c>
      <c r="I57" s="52">
        <v>52</v>
      </c>
      <c r="J57" s="52" t="s">
        <v>105</v>
      </c>
    </row>
    <row r="58" spans="1:10">
      <c r="A58" s="51">
        <f ca="1" t="shared" si="1"/>
        <v>155</v>
      </c>
      <c r="B58" s="51">
        <f ca="1" t="array" ref="B58">INDEX([1]Data_DBD!$B:$B,$A58)</f>
        <v>19</v>
      </c>
      <c r="C58" s="51" t="str">
        <f ca="1" t="array" ref="C58">INDEX([1]Data_DBD!$F:$F,$A58)</f>
        <v>Tinggi</v>
      </c>
      <c r="H58" s="52">
        <v>28</v>
      </c>
      <c r="I58" s="52">
        <v>22</v>
      </c>
      <c r="J58" s="52" t="s">
        <v>8</v>
      </c>
    </row>
    <row r="59" spans="1:10">
      <c r="A59" s="51">
        <f ca="1" t="shared" si="1"/>
        <v>20</v>
      </c>
      <c r="B59" s="51">
        <f ca="1" t="array" ref="B59">INDEX([1]Data_DBD!$B:$B,$A59)</f>
        <v>15</v>
      </c>
      <c r="C59" s="51" t="str">
        <f ca="1" t="array" ref="C59">INDEX([1]Data_DBD!$F:$F,$A59)</f>
        <v>Rendah</v>
      </c>
      <c r="H59" s="52">
        <v>122</v>
      </c>
      <c r="I59" s="52">
        <v>28</v>
      </c>
      <c r="J59" s="52" t="s">
        <v>105</v>
      </c>
    </row>
    <row r="60" spans="1:10">
      <c r="A60" s="51">
        <f ca="1" t="shared" si="1"/>
        <v>127</v>
      </c>
      <c r="B60" s="51">
        <f ca="1" t="array" ref="B60">INDEX([1]Data_DBD!$B:$B,$A60)</f>
        <v>21</v>
      </c>
      <c r="C60" s="51" t="str">
        <f ca="1" t="array" ref="C60">INDEX([1]Data_DBD!$F:$F,$A60)</f>
        <v>Tinggi</v>
      </c>
      <c r="H60" s="52">
        <v>68</v>
      </c>
      <c r="I60" s="52">
        <v>44</v>
      </c>
      <c r="J60" s="52" t="s">
        <v>8</v>
      </c>
    </row>
    <row r="61" spans="1:10">
      <c r="A61" s="51">
        <f ca="1" t="shared" si="1"/>
        <v>3</v>
      </c>
      <c r="B61" s="51">
        <f ca="1" t="array" ref="B61">INDEX([1]Data_DBD!$B:$B,$A61)</f>
        <v>43</v>
      </c>
      <c r="C61" s="51" t="str">
        <f ca="1" t="array" ref="C61">INDEX([1]Data_DBD!$F:$F,$A61)</f>
        <v>Sedang</v>
      </c>
      <c r="H61" s="52">
        <v>23</v>
      </c>
      <c r="I61" s="52">
        <v>28</v>
      </c>
      <c r="J61" s="52" t="s">
        <v>8</v>
      </c>
    </row>
    <row r="62" spans="1:10">
      <c r="A62" s="51">
        <f ca="1" t="shared" si="1"/>
        <v>94</v>
      </c>
      <c r="B62" s="51">
        <f ca="1" t="array" ref="B62">INDEX([1]Data_DBD!$B:$B,$A62)</f>
        <v>12</v>
      </c>
      <c r="C62" s="51" t="str">
        <f ca="1" t="array" ref="C62">INDEX([1]Data_DBD!$F:$F,$A62)</f>
        <v>Tinggi</v>
      </c>
      <c r="H62" s="52">
        <v>107</v>
      </c>
      <c r="I62" s="52">
        <v>48</v>
      </c>
      <c r="J62" s="52" t="s">
        <v>105</v>
      </c>
    </row>
    <row r="63" spans="1:10">
      <c r="A63" s="51">
        <f ca="1" t="shared" si="1"/>
        <v>68</v>
      </c>
      <c r="B63" s="51">
        <f ca="1" t="array" ref="B63">INDEX([1]Data_DBD!$B:$B,$A63)</f>
        <v>44</v>
      </c>
      <c r="C63" s="51" t="str">
        <f ca="1" t="array" ref="C63">INDEX([1]Data_DBD!$F:$F,$A63)</f>
        <v>Sedang</v>
      </c>
      <c r="H63" s="52">
        <v>89</v>
      </c>
      <c r="I63" s="52">
        <v>32</v>
      </c>
      <c r="J63" s="52" t="s">
        <v>8</v>
      </c>
    </row>
    <row r="64" spans="1:10">
      <c r="A64" s="51">
        <f ca="1" t="shared" si="1"/>
        <v>24</v>
      </c>
      <c r="B64" s="51">
        <f ca="1" t="array" ref="B64">INDEX([1]Data_DBD!$B:$B,$A64)</f>
        <v>60</v>
      </c>
      <c r="C64" s="51" t="str">
        <f ca="1" t="array" ref="C64">INDEX([1]Data_DBD!$F:$F,$A64)</f>
        <v>Sedang</v>
      </c>
      <c r="H64" s="52">
        <v>79</v>
      </c>
      <c r="I64" s="52">
        <v>29</v>
      </c>
      <c r="J64" s="52" t="s">
        <v>8</v>
      </c>
    </row>
    <row r="65" spans="1:10">
      <c r="A65" s="51">
        <f ca="1" t="shared" si="1"/>
        <v>144</v>
      </c>
      <c r="B65" s="51">
        <f ca="1" t="array" ref="B65">INDEX([1]Data_DBD!$B:$B,$A65)</f>
        <v>61</v>
      </c>
      <c r="C65" s="51" t="str">
        <f ca="1" t="array" ref="C65">INDEX([1]Data_DBD!$F:$F,$A65)</f>
        <v>Tinggi</v>
      </c>
      <c r="H65" s="52">
        <v>2</v>
      </c>
      <c r="I65" s="52">
        <v>34</v>
      </c>
      <c r="J65" s="52" t="s">
        <v>8</v>
      </c>
    </row>
    <row r="66" spans="1:10">
      <c r="A66" s="51">
        <f ca="1" t="shared" ref="A66:A97" si="2">RANDBETWEEN(2,164)</f>
        <v>34</v>
      </c>
      <c r="B66" s="51">
        <f ca="1" t="array" ref="B66">INDEX([1]Data_DBD!$B:$B,$A66)</f>
        <v>55</v>
      </c>
      <c r="C66" s="51" t="str">
        <f ca="1" t="array" ref="C66">INDEX([1]Data_DBD!$F:$F,$A66)</f>
        <v>Sedang</v>
      </c>
      <c r="H66" s="52">
        <v>32</v>
      </c>
      <c r="I66" s="52">
        <v>54</v>
      </c>
      <c r="J66" s="52" t="s">
        <v>8</v>
      </c>
    </row>
    <row r="67" spans="1:10">
      <c r="A67" s="51">
        <f ca="1" t="shared" si="2"/>
        <v>49</v>
      </c>
      <c r="B67" s="51">
        <f ca="1" t="array" ref="B67">INDEX([1]Data_DBD!$B:$B,$A67)</f>
        <v>64</v>
      </c>
      <c r="C67" s="51" t="str">
        <f ca="1" t="array" ref="C67">INDEX([1]Data_DBD!$F:$F,$A67)</f>
        <v>Sedang</v>
      </c>
      <c r="H67" s="52">
        <v>18</v>
      </c>
      <c r="I67" s="52">
        <v>49</v>
      </c>
      <c r="J67" s="52" t="s">
        <v>26</v>
      </c>
    </row>
    <row r="68" spans="1:10">
      <c r="A68" s="51">
        <f ca="1" t="shared" si="2"/>
        <v>3</v>
      </c>
      <c r="B68" s="51">
        <f ca="1" t="array" ref="B68">INDEX([1]Data_DBD!$B:$B,$A68)</f>
        <v>43</v>
      </c>
      <c r="C68" s="51" t="str">
        <f ca="1" t="array" ref="C68">INDEX([1]Data_DBD!$F:$F,$A68)</f>
        <v>Sedang</v>
      </c>
      <c r="H68" s="52">
        <v>52</v>
      </c>
      <c r="I68" s="52">
        <v>59</v>
      </c>
      <c r="J68" s="52" t="s">
        <v>8</v>
      </c>
    </row>
    <row r="69" spans="1:10">
      <c r="A69" s="51">
        <f ca="1" t="shared" si="2"/>
        <v>108</v>
      </c>
      <c r="B69" s="51">
        <f ca="1" t="array" ref="B69">INDEX([1]Data_DBD!$B:$B,$A69)</f>
        <v>69</v>
      </c>
      <c r="C69" s="51" t="str">
        <f ca="1" t="array" ref="C69">INDEX([1]Data_DBD!$F:$F,$A69)</f>
        <v>Tinggi</v>
      </c>
      <c r="H69" s="52">
        <v>135</v>
      </c>
      <c r="I69" s="52">
        <v>10</v>
      </c>
      <c r="J69" s="52" t="s">
        <v>105</v>
      </c>
    </row>
    <row r="70" spans="1:10">
      <c r="A70" s="51">
        <f ca="1" t="shared" si="2"/>
        <v>12</v>
      </c>
      <c r="B70" s="51">
        <f ca="1" t="array" ref="B70">INDEX([1]Data_DBD!$B:$B,$A70)</f>
        <v>23</v>
      </c>
      <c r="C70" s="51" t="str">
        <f ca="1" t="array" ref="C70">INDEX([1]Data_DBD!$F:$F,$A70)</f>
        <v>Sedang</v>
      </c>
      <c r="H70" s="52">
        <v>140</v>
      </c>
      <c r="I70" s="52">
        <v>74</v>
      </c>
      <c r="J70" s="52" t="s">
        <v>105</v>
      </c>
    </row>
    <row r="71" spans="1:10">
      <c r="A71" s="51">
        <f ca="1" t="shared" si="2"/>
        <v>9</v>
      </c>
      <c r="B71" s="51">
        <f ca="1" t="array" ref="B71">INDEX([1]Data_DBD!$B:$B,$A71)</f>
        <v>16</v>
      </c>
      <c r="C71" s="51" t="str">
        <f ca="1" t="array" ref="C71">INDEX([1]Data_DBD!$F:$F,$A71)</f>
        <v>Sedang</v>
      </c>
      <c r="H71" s="52">
        <v>103</v>
      </c>
      <c r="I71" s="52">
        <v>22</v>
      </c>
      <c r="J71" s="52" t="s">
        <v>105</v>
      </c>
    </row>
    <row r="72" spans="1:10">
      <c r="A72" s="51">
        <f ca="1" t="shared" si="2"/>
        <v>58</v>
      </c>
      <c r="B72" s="51">
        <f ca="1" t="array" ref="B72">INDEX([1]Data_DBD!$B:$B,$A72)</f>
        <v>17</v>
      </c>
      <c r="C72" s="51" t="str">
        <f ca="1" t="array" ref="C72">INDEX([1]Data_DBD!$F:$F,$A72)</f>
        <v>Sedang</v>
      </c>
      <c r="H72" s="52">
        <v>8</v>
      </c>
      <c r="I72" s="52">
        <v>4</v>
      </c>
      <c r="J72" s="52" t="s">
        <v>8</v>
      </c>
    </row>
    <row r="73" spans="1:10">
      <c r="A73" s="51">
        <f ca="1" t="shared" si="2"/>
        <v>162</v>
      </c>
      <c r="B73" s="51">
        <f ca="1" t="array" ref="B73">INDEX([1]Data_DBD!$B:$B,$A73)</f>
        <v>22</v>
      </c>
      <c r="C73" s="51" t="str">
        <f ca="1" t="array" ref="C73">INDEX([1]Data_DBD!$F:$F,$A73)</f>
        <v>Rendah</v>
      </c>
      <c r="H73" s="52">
        <v>130</v>
      </c>
      <c r="I73" s="52">
        <v>12</v>
      </c>
      <c r="J73" s="52" t="s">
        <v>105</v>
      </c>
    </row>
    <row r="74" spans="1:10">
      <c r="A74" s="51">
        <f ca="1" t="shared" si="2"/>
        <v>133</v>
      </c>
      <c r="B74" s="51">
        <f ca="1" t="array" ref="B74">INDEX([1]Data_DBD!$B:$B,$A74)</f>
        <v>6</v>
      </c>
      <c r="C74" s="51" t="str">
        <f ca="1" t="array" ref="C74">INDEX([1]Data_DBD!$F:$F,$A74)</f>
        <v>Tinggi</v>
      </c>
      <c r="H74" s="52">
        <v>158</v>
      </c>
      <c r="I74" s="52">
        <v>5</v>
      </c>
      <c r="J74" s="52" t="s">
        <v>105</v>
      </c>
    </row>
    <row r="75" spans="1:10">
      <c r="A75" s="51">
        <f ca="1" t="shared" si="2"/>
        <v>39</v>
      </c>
      <c r="B75" s="51">
        <f ca="1" t="array" ref="B75">INDEX([1]Data_DBD!$B:$B,$A75)</f>
        <v>12</v>
      </c>
      <c r="C75" s="51" t="str">
        <f ca="1" t="array" ref="C75">INDEX([1]Data_DBD!$F:$F,$A75)</f>
        <v>Sedang</v>
      </c>
      <c r="H75" s="52">
        <v>150</v>
      </c>
      <c r="I75" s="52">
        <v>61</v>
      </c>
      <c r="J75" s="52" t="s">
        <v>105</v>
      </c>
    </row>
    <row r="76" spans="1:10">
      <c r="A76" s="51">
        <f ca="1" t="shared" si="2"/>
        <v>61</v>
      </c>
      <c r="B76" s="51">
        <f ca="1" t="array" ref="B76">INDEX([1]Data_DBD!$B:$B,$A76)</f>
        <v>29</v>
      </c>
      <c r="C76" s="51" t="str">
        <f ca="1" t="array" ref="C76">INDEX([1]Data_DBD!$F:$F,$A76)</f>
        <v>Sedang</v>
      </c>
      <c r="H76" s="52">
        <v>91</v>
      </c>
      <c r="I76" s="52">
        <v>35</v>
      </c>
      <c r="J76" s="52" t="s">
        <v>105</v>
      </c>
    </row>
    <row r="77" spans="1:10">
      <c r="A77" s="51">
        <f ca="1" t="shared" si="2"/>
        <v>102</v>
      </c>
      <c r="B77" s="51">
        <f ca="1" t="array" ref="B77">INDEX([1]Data_DBD!$B:$B,$A77)</f>
        <v>41</v>
      </c>
      <c r="C77" s="51" t="str">
        <f ca="1" t="array" ref="C77">INDEX([1]Data_DBD!$F:$F,$A77)</f>
        <v>Tinggi</v>
      </c>
      <c r="H77" s="52">
        <v>17</v>
      </c>
      <c r="I77" s="52">
        <v>2</v>
      </c>
      <c r="J77" s="52" t="s">
        <v>26</v>
      </c>
    </row>
    <row r="78" spans="1:10">
      <c r="A78" s="51">
        <f ca="1" t="shared" si="2"/>
        <v>33</v>
      </c>
      <c r="B78" s="51">
        <f ca="1" t="array" ref="B78">INDEX([1]Data_DBD!$B:$B,$A78)</f>
        <v>19</v>
      </c>
      <c r="C78" s="51" t="str">
        <f ca="1" t="array" ref="C78">INDEX([1]Data_DBD!$F:$F,$A78)</f>
        <v>Sedang</v>
      </c>
      <c r="H78" s="52">
        <v>147</v>
      </c>
      <c r="I78" s="52">
        <v>66</v>
      </c>
      <c r="J78" s="52" t="s">
        <v>105</v>
      </c>
    </row>
    <row r="79" spans="1:10">
      <c r="A79" s="51">
        <f ca="1" t="shared" si="2"/>
        <v>4</v>
      </c>
      <c r="B79" s="51">
        <f ca="1" t="array" ref="B79">INDEX([1]Data_DBD!$B:$B,$A79)</f>
        <v>23</v>
      </c>
      <c r="C79" s="51" t="str">
        <f ca="1" t="array" ref="C79">INDEX([1]Data_DBD!$F:$F,$A79)</f>
        <v>Sedang</v>
      </c>
      <c r="H79" s="52">
        <v>67</v>
      </c>
      <c r="I79" s="52">
        <v>21</v>
      </c>
      <c r="J79" s="52" t="s">
        <v>8</v>
      </c>
    </row>
    <row r="80" spans="1:10">
      <c r="A80" s="51">
        <f ca="1" t="shared" si="2"/>
        <v>86</v>
      </c>
      <c r="B80" s="51">
        <f ca="1" t="array" ref="B80">INDEX([1]Data_DBD!$B:$B,$A80)</f>
        <v>23</v>
      </c>
      <c r="C80" s="51" t="str">
        <f ca="1" t="array" ref="C80">INDEX([1]Data_DBD!$F:$F,$A80)</f>
        <v>Sedang</v>
      </c>
      <c r="H80" s="52">
        <v>130</v>
      </c>
      <c r="I80" s="52">
        <v>12</v>
      </c>
      <c r="J80" s="52" t="s">
        <v>105</v>
      </c>
    </row>
    <row r="81" spans="1:10">
      <c r="A81" s="51">
        <f ca="1" t="shared" si="2"/>
        <v>44</v>
      </c>
      <c r="B81" s="51">
        <f ca="1" t="array" ref="B81">INDEX([1]Data_DBD!$B:$B,$A81)</f>
        <v>28</v>
      </c>
      <c r="C81" s="51" t="str">
        <f ca="1" t="array" ref="C81">INDEX([1]Data_DBD!$F:$F,$A81)</f>
        <v>Sedang</v>
      </c>
      <c r="H81" s="52">
        <v>64</v>
      </c>
      <c r="I81" s="52">
        <v>35</v>
      </c>
      <c r="J81" s="52" t="s">
        <v>8</v>
      </c>
    </row>
    <row r="82" spans="1:10">
      <c r="A82" s="51">
        <f ca="1" t="shared" si="2"/>
        <v>118</v>
      </c>
      <c r="B82" s="51">
        <f ca="1" t="array" ref="B82">INDEX([1]Data_DBD!$B:$B,$A82)</f>
        <v>67</v>
      </c>
      <c r="C82" s="51" t="str">
        <f ca="1" t="array" ref="C82">INDEX([1]Data_DBD!$F:$F,$A82)</f>
        <v>Tinggi</v>
      </c>
      <c r="H82" s="52">
        <v>30</v>
      </c>
      <c r="I82" s="52">
        <v>3</v>
      </c>
      <c r="J82" s="52" t="s">
        <v>8</v>
      </c>
    </row>
    <row r="83" spans="1:10">
      <c r="A83" s="51">
        <f ca="1" t="shared" si="2"/>
        <v>58</v>
      </c>
      <c r="B83" s="51">
        <f ca="1" t="array" ref="B83">INDEX([1]Data_DBD!$B:$B,$A83)</f>
        <v>17</v>
      </c>
      <c r="C83" s="51" t="str">
        <f ca="1" t="array" ref="C83">INDEX([1]Data_DBD!$F:$F,$A83)</f>
        <v>Sedang</v>
      </c>
      <c r="H83" s="52">
        <v>31</v>
      </c>
      <c r="I83" s="52">
        <v>64</v>
      </c>
      <c r="J83" s="52" t="s">
        <v>8</v>
      </c>
    </row>
    <row r="84" spans="1:10">
      <c r="A84" s="51">
        <f ca="1" t="shared" si="2"/>
        <v>16</v>
      </c>
      <c r="B84" s="51">
        <f ca="1" t="array" ref="B84">INDEX([1]Data_DBD!$B:$B,$A84)</f>
        <v>66</v>
      </c>
      <c r="C84" s="51" t="str">
        <f ca="1" t="array" ref="C84">INDEX([1]Data_DBD!$F:$F,$A84)</f>
        <v>Rendah</v>
      </c>
      <c r="H84" s="52">
        <v>132</v>
      </c>
      <c r="I84" s="52">
        <v>10</v>
      </c>
      <c r="J84" s="52" t="s">
        <v>105</v>
      </c>
    </row>
    <row r="85" spans="1:10">
      <c r="A85" s="51">
        <f ca="1" t="shared" si="2"/>
        <v>84</v>
      </c>
      <c r="B85" s="51">
        <f ca="1" t="array" ref="B85">INDEX([1]Data_DBD!$B:$B,$A85)</f>
        <v>42</v>
      </c>
      <c r="C85" s="51" t="str">
        <f ca="1" t="array" ref="C85">INDEX([1]Data_DBD!$F:$F,$A85)</f>
        <v>Sedang</v>
      </c>
      <c r="H85" s="52">
        <v>164</v>
      </c>
      <c r="I85" s="52">
        <v>10</v>
      </c>
      <c r="J85" s="52" t="s">
        <v>26</v>
      </c>
    </row>
    <row r="86" spans="1:10">
      <c r="A86" s="51">
        <f ca="1" t="shared" si="2"/>
        <v>142</v>
      </c>
      <c r="B86" s="51">
        <f ca="1" t="array" ref="B86">INDEX([1]Data_DBD!$B:$B,$A86)</f>
        <v>39</v>
      </c>
      <c r="C86" s="51" t="str">
        <f ca="1" t="array" ref="C86">INDEX([1]Data_DBD!$F:$F,$A86)</f>
        <v>Tinggi</v>
      </c>
      <c r="H86" s="52">
        <v>17</v>
      </c>
      <c r="I86" s="52">
        <v>2</v>
      </c>
      <c r="J86" s="52" t="s">
        <v>26</v>
      </c>
    </row>
    <row r="87" spans="1:10">
      <c r="A87" s="51">
        <f ca="1" t="shared" si="2"/>
        <v>118</v>
      </c>
      <c r="B87" s="51">
        <f ca="1" t="array" ref="B87">INDEX([1]Data_DBD!$B:$B,$A87)</f>
        <v>67</v>
      </c>
      <c r="C87" s="51" t="str">
        <f ca="1" t="array" ref="C87">INDEX([1]Data_DBD!$F:$F,$A87)</f>
        <v>Tinggi</v>
      </c>
      <c r="H87" s="52">
        <v>72</v>
      </c>
      <c r="I87" s="52">
        <v>3</v>
      </c>
      <c r="J87" s="52" t="s">
        <v>8</v>
      </c>
    </row>
    <row r="88" spans="1:10">
      <c r="A88" s="51">
        <f ca="1" t="shared" si="2"/>
        <v>145</v>
      </c>
      <c r="B88" s="51">
        <f ca="1" t="array" ref="B88">INDEX([1]Data_DBD!$B:$B,$A88)</f>
        <v>28</v>
      </c>
      <c r="C88" s="51" t="str">
        <f ca="1" t="array" ref="C88">INDEX([1]Data_DBD!$F:$F,$A88)</f>
        <v>Tinggi</v>
      </c>
      <c r="H88" s="52">
        <v>55</v>
      </c>
      <c r="I88" s="52">
        <v>7</v>
      </c>
      <c r="J88" s="52" t="s">
        <v>8</v>
      </c>
    </row>
    <row r="89" spans="1:10">
      <c r="A89" s="51">
        <f ca="1" t="shared" si="2"/>
        <v>94</v>
      </c>
      <c r="B89" s="51">
        <f ca="1" t="array" ref="B89">INDEX([1]Data_DBD!$B:$B,$A89)</f>
        <v>12</v>
      </c>
      <c r="C89" s="51" t="str">
        <f ca="1" t="array" ref="C89">INDEX([1]Data_DBD!$F:$F,$A89)</f>
        <v>Tinggi</v>
      </c>
      <c r="H89" s="52">
        <v>54</v>
      </c>
      <c r="I89" s="52">
        <v>7</v>
      </c>
      <c r="J89" s="52" t="s">
        <v>8</v>
      </c>
    </row>
    <row r="90" spans="1:10">
      <c r="A90" s="51">
        <f ca="1" t="shared" si="2"/>
        <v>122</v>
      </c>
      <c r="B90" s="51">
        <f ca="1" t="array" ref="B90">INDEX([1]Data_DBD!$B:$B,$A90)</f>
        <v>28</v>
      </c>
      <c r="C90" s="51" t="str">
        <f ca="1" t="array" ref="C90">INDEX([1]Data_DBD!$F:$F,$A90)</f>
        <v>Tinggi</v>
      </c>
      <c r="H90" s="52">
        <v>84</v>
      </c>
      <c r="I90" s="52">
        <v>42</v>
      </c>
      <c r="J90" s="52" t="s">
        <v>8</v>
      </c>
    </row>
    <row r="91" spans="1:10">
      <c r="A91" s="51">
        <f ca="1" t="shared" si="2"/>
        <v>20</v>
      </c>
      <c r="B91" s="51">
        <f ca="1" t="array" ref="B91">INDEX([1]Data_DBD!$B:$B,$A91)</f>
        <v>15</v>
      </c>
      <c r="C91" s="51" t="str">
        <f ca="1" t="array" ref="C91">INDEX([1]Data_DBD!$F:$F,$A91)</f>
        <v>Rendah</v>
      </c>
      <c r="H91" s="52">
        <v>63</v>
      </c>
      <c r="I91" s="52">
        <v>25</v>
      </c>
      <c r="J91" s="52" t="s">
        <v>8</v>
      </c>
    </row>
    <row r="92" spans="1:10">
      <c r="A92" s="51">
        <f ca="1" t="shared" si="2"/>
        <v>65</v>
      </c>
      <c r="B92" s="51">
        <f ca="1" t="array" ref="B92">INDEX([1]Data_DBD!$B:$B,$A92)</f>
        <v>49</v>
      </c>
      <c r="C92" s="51" t="str">
        <f ca="1" t="array" ref="C92">INDEX([1]Data_DBD!$F:$F,$A92)</f>
        <v>Sedang</v>
      </c>
      <c r="H92" s="52">
        <v>41</v>
      </c>
      <c r="I92" s="52">
        <v>8</v>
      </c>
      <c r="J92" s="52" t="s">
        <v>8</v>
      </c>
    </row>
    <row r="93" spans="1:10">
      <c r="A93" s="51">
        <f ca="1" t="shared" si="2"/>
        <v>106</v>
      </c>
      <c r="B93" s="51">
        <f ca="1" t="array" ref="B93">INDEX([1]Data_DBD!$B:$B,$A93)</f>
        <v>23</v>
      </c>
      <c r="C93" s="51" t="str">
        <f ca="1" t="array" ref="C93">INDEX([1]Data_DBD!$F:$F,$A93)</f>
        <v>Tinggi</v>
      </c>
      <c r="H93" s="52">
        <v>39</v>
      </c>
      <c r="I93" s="52">
        <v>12</v>
      </c>
      <c r="J93" s="52" t="s">
        <v>8</v>
      </c>
    </row>
    <row r="94" spans="1:10">
      <c r="A94" s="51">
        <f ca="1" t="shared" si="2"/>
        <v>20</v>
      </c>
      <c r="B94" s="51">
        <f ca="1" t="array" ref="B94">INDEX([1]Data_DBD!$B:$B,$A94)</f>
        <v>15</v>
      </c>
      <c r="C94" s="51" t="str">
        <f ca="1" t="array" ref="C94">INDEX([1]Data_DBD!$F:$F,$A94)</f>
        <v>Rendah</v>
      </c>
      <c r="H94" s="52">
        <v>107</v>
      </c>
      <c r="I94" s="52">
        <v>48</v>
      </c>
      <c r="J94" s="52" t="s">
        <v>105</v>
      </c>
    </row>
    <row r="95" spans="1:10">
      <c r="A95" s="51">
        <f ca="1" t="shared" si="2"/>
        <v>119</v>
      </c>
      <c r="B95" s="51">
        <f ca="1" t="array" ref="B95">INDEX([1]Data_DBD!$B:$B,$A95)</f>
        <v>30</v>
      </c>
      <c r="C95" s="51" t="str">
        <f ca="1" t="array" ref="C95">INDEX([1]Data_DBD!$F:$F,$A95)</f>
        <v>Tinggi</v>
      </c>
      <c r="H95" s="52">
        <v>5</v>
      </c>
      <c r="I95" s="52">
        <v>18</v>
      </c>
      <c r="J95" s="52" t="s">
        <v>8</v>
      </c>
    </row>
    <row r="96" spans="1:10">
      <c r="A96" s="51">
        <f ca="1" t="shared" si="2"/>
        <v>27</v>
      </c>
      <c r="B96" s="51">
        <f ca="1" t="array" ref="B96">INDEX([1]Data_DBD!$B:$B,$A96)</f>
        <v>37</v>
      </c>
      <c r="C96" s="51" t="str">
        <f ca="1" t="array" ref="C96">INDEX([1]Data_DBD!$F:$F,$A96)</f>
        <v>Sedang</v>
      </c>
      <c r="H96" s="52">
        <v>38</v>
      </c>
      <c r="I96" s="52">
        <v>52</v>
      </c>
      <c r="J96" s="52" t="s">
        <v>26</v>
      </c>
    </row>
    <row r="97" spans="1:10">
      <c r="A97" s="51">
        <f ca="1" t="shared" si="2"/>
        <v>89</v>
      </c>
      <c r="B97" s="51">
        <f ca="1" t="array" ref="B97">INDEX([1]Data_DBD!$B:$B,$A97)</f>
        <v>32</v>
      </c>
      <c r="C97" s="51" t="str">
        <f ca="1" t="array" ref="C97">INDEX([1]Data_DBD!$F:$F,$A97)</f>
        <v>Sedang</v>
      </c>
      <c r="H97" s="52">
        <v>76</v>
      </c>
      <c r="I97" s="52">
        <v>70</v>
      </c>
      <c r="J97" s="52" t="s">
        <v>8</v>
      </c>
    </row>
    <row r="98" spans="1:10">
      <c r="A98" s="51">
        <f ca="1" t="shared" ref="A98:A129" si="3">RANDBETWEEN(2,164)</f>
        <v>149</v>
      </c>
      <c r="B98" s="51">
        <f ca="1" t="array" ref="B98">INDEX([1]Data_DBD!$B:$B,$A98)</f>
        <v>19</v>
      </c>
      <c r="C98" s="51" t="str">
        <f ca="1" t="array" ref="C98">INDEX([1]Data_DBD!$F:$F,$A98)</f>
        <v>Tinggi</v>
      </c>
      <c r="H98" s="52">
        <v>145</v>
      </c>
      <c r="I98" s="52">
        <v>28</v>
      </c>
      <c r="J98" s="52" t="s">
        <v>105</v>
      </c>
    </row>
    <row r="99" spans="1:10">
      <c r="A99" s="51">
        <f ca="1" t="shared" si="3"/>
        <v>140</v>
      </c>
      <c r="B99" s="51">
        <f ca="1" t="array" ref="B99">INDEX([1]Data_DBD!$B:$B,$A99)</f>
        <v>74</v>
      </c>
      <c r="C99" s="51" t="str">
        <f ca="1" t="array" ref="C99">INDEX([1]Data_DBD!$F:$F,$A99)</f>
        <v>Tinggi</v>
      </c>
      <c r="H99" s="52">
        <v>40</v>
      </c>
      <c r="I99" s="52">
        <v>65</v>
      </c>
      <c r="J99" s="52" t="s">
        <v>8</v>
      </c>
    </row>
    <row r="100" spans="1:10">
      <c r="A100" s="51">
        <f ca="1" t="shared" si="3"/>
        <v>31</v>
      </c>
      <c r="B100" s="51">
        <f ca="1" t="array" ref="B100">INDEX([1]Data_DBD!$B:$B,$A100)</f>
        <v>64</v>
      </c>
      <c r="C100" s="51" t="str">
        <f ca="1" t="array" ref="C100">INDEX([1]Data_DBD!$F:$F,$A100)</f>
        <v>Sedang</v>
      </c>
      <c r="H100" s="52">
        <v>113</v>
      </c>
      <c r="I100" s="52">
        <v>69</v>
      </c>
      <c r="J100" s="52" t="s">
        <v>105</v>
      </c>
    </row>
    <row r="101" spans="1:10">
      <c r="A101" s="51">
        <f ca="1" t="shared" si="3"/>
        <v>16</v>
      </c>
      <c r="B101" s="51">
        <f ca="1" t="array" ref="B101">INDEX([1]Data_DBD!$B:$B,$A101)</f>
        <v>66</v>
      </c>
      <c r="C101" s="51" t="str">
        <f ca="1" t="array" ref="C101">INDEX([1]Data_DBD!$F:$F,$A101)</f>
        <v>Rendah</v>
      </c>
      <c r="H101" s="52">
        <v>9</v>
      </c>
      <c r="I101" s="52">
        <v>16</v>
      </c>
      <c r="J101" s="52" t="s">
        <v>8</v>
      </c>
    </row>
    <row r="102" spans="1:10">
      <c r="A102" s="51">
        <f ca="1" t="shared" si="3"/>
        <v>142</v>
      </c>
      <c r="B102" s="51">
        <f ca="1" t="array" ref="B102">INDEX([1]Data_DBD!$B:$B,$A102)</f>
        <v>39</v>
      </c>
      <c r="C102" s="51" t="str">
        <f ca="1" t="array" ref="C102">INDEX([1]Data_DBD!$F:$F,$A102)</f>
        <v>Tinggi</v>
      </c>
      <c r="H102" s="52">
        <v>13</v>
      </c>
      <c r="I102" s="52">
        <v>47</v>
      </c>
      <c r="J102" s="52" t="s">
        <v>8</v>
      </c>
    </row>
    <row r="103" spans="1:10">
      <c r="A103" s="51">
        <f ca="1" t="shared" si="3"/>
        <v>122</v>
      </c>
      <c r="B103" s="51">
        <f ca="1" t="array" ref="B103">INDEX([1]Data_DBD!$B:$B,$A103)</f>
        <v>28</v>
      </c>
      <c r="C103" s="51" t="str">
        <f ca="1" t="array" ref="C103">INDEX([1]Data_DBD!$F:$F,$A103)</f>
        <v>Tinggi</v>
      </c>
      <c r="H103" s="52">
        <v>124</v>
      </c>
      <c r="I103" s="52">
        <v>24</v>
      </c>
      <c r="J103" s="52" t="s">
        <v>105</v>
      </c>
    </row>
    <row r="104" spans="1:10">
      <c r="A104" s="51">
        <f ca="1" t="shared" si="3"/>
        <v>81</v>
      </c>
      <c r="B104" s="51">
        <f ca="1" t="array" ref="B104">INDEX([1]Data_DBD!$B:$B,$A104)</f>
        <v>23</v>
      </c>
      <c r="C104" s="51" t="str">
        <f ca="1" t="array" ref="C104">INDEX([1]Data_DBD!$F:$F,$A104)</f>
        <v>Sedang</v>
      </c>
      <c r="H104" s="52">
        <v>3</v>
      </c>
      <c r="I104" s="52">
        <v>43</v>
      </c>
      <c r="J104" s="52" t="s">
        <v>8</v>
      </c>
    </row>
    <row r="105" spans="1:10">
      <c r="A105" s="51">
        <f ca="1" t="shared" si="3"/>
        <v>137</v>
      </c>
      <c r="B105" s="51">
        <f ca="1" t="array" ref="B105">INDEX([1]Data_DBD!$B:$B,$A105)</f>
        <v>3</v>
      </c>
      <c r="C105" s="51" t="str">
        <f ca="1" t="array" ref="C105">INDEX([1]Data_DBD!$F:$F,$A105)</f>
        <v>Tinggi</v>
      </c>
      <c r="H105" s="52">
        <v>102</v>
      </c>
      <c r="I105" s="52">
        <v>41</v>
      </c>
      <c r="J105" s="52" t="s">
        <v>105</v>
      </c>
    </row>
    <row r="106" spans="1:10">
      <c r="A106" s="51">
        <f ca="1" t="shared" si="3"/>
        <v>107</v>
      </c>
      <c r="B106" s="51">
        <f ca="1" t="array" ref="B106">INDEX([1]Data_DBD!$B:$B,$A106)</f>
        <v>48</v>
      </c>
      <c r="C106" s="51" t="str">
        <f ca="1" t="array" ref="C106">INDEX([1]Data_DBD!$F:$F,$A106)</f>
        <v>Tinggi</v>
      </c>
      <c r="H106" s="52">
        <v>6</v>
      </c>
      <c r="I106" s="52">
        <v>14</v>
      </c>
      <c r="J106" s="52" t="s">
        <v>8</v>
      </c>
    </row>
    <row r="107" spans="1:10">
      <c r="A107" s="51">
        <f ca="1" t="shared" si="3"/>
        <v>28</v>
      </c>
      <c r="B107" s="51">
        <f ca="1" t="array" ref="B107">INDEX([1]Data_DBD!$B:$B,$A107)</f>
        <v>22</v>
      </c>
      <c r="C107" s="51" t="str">
        <f ca="1" t="array" ref="C107">INDEX([1]Data_DBD!$F:$F,$A107)</f>
        <v>Sedang</v>
      </c>
      <c r="H107" s="52">
        <v>4</v>
      </c>
      <c r="I107" s="52">
        <v>23</v>
      </c>
      <c r="J107" s="52" t="s">
        <v>8</v>
      </c>
    </row>
    <row r="108" spans="1:10">
      <c r="A108" s="51">
        <f ca="1" t="shared" si="3"/>
        <v>34</v>
      </c>
      <c r="B108" s="51">
        <f ca="1" t="array" ref="B108">INDEX([1]Data_DBD!$B:$B,$A108)</f>
        <v>55</v>
      </c>
      <c r="C108" s="51" t="str">
        <f ca="1" t="array" ref="C108">INDEX([1]Data_DBD!$F:$F,$A108)</f>
        <v>Sedang</v>
      </c>
      <c r="H108" s="52">
        <v>85</v>
      </c>
      <c r="I108" s="52">
        <v>27</v>
      </c>
      <c r="J108" s="52" t="s">
        <v>8</v>
      </c>
    </row>
    <row r="109" spans="1:10">
      <c r="A109" s="51">
        <f ca="1" t="shared" si="3"/>
        <v>146</v>
      </c>
      <c r="B109" s="51">
        <f ca="1" t="array" ref="B109">INDEX([1]Data_DBD!$B:$B,$A109)</f>
        <v>34</v>
      </c>
      <c r="C109" s="51" t="str">
        <f ca="1" t="array" ref="C109">INDEX([1]Data_DBD!$F:$F,$A109)</f>
        <v>Tinggi</v>
      </c>
      <c r="H109" s="52">
        <v>68</v>
      </c>
      <c r="I109" s="52">
        <v>44</v>
      </c>
      <c r="J109" s="52" t="s">
        <v>8</v>
      </c>
    </row>
    <row r="110" spans="1:10">
      <c r="A110" s="51">
        <f ca="1" t="shared" si="3"/>
        <v>42</v>
      </c>
      <c r="B110" s="51">
        <f ca="1" t="array" ref="B110">INDEX([1]Data_DBD!$B:$B,$A110)</f>
        <v>21</v>
      </c>
      <c r="C110" s="51" t="str">
        <f ca="1" t="array" ref="C110">INDEX([1]Data_DBD!$F:$F,$A110)</f>
        <v>Sedang</v>
      </c>
      <c r="H110" s="52">
        <v>6</v>
      </c>
      <c r="I110" s="52">
        <v>14</v>
      </c>
      <c r="J110" s="52" t="s">
        <v>8</v>
      </c>
    </row>
    <row r="111" spans="1:10">
      <c r="A111" s="51">
        <f ca="1" t="shared" si="3"/>
        <v>44</v>
      </c>
      <c r="B111" s="51">
        <f ca="1" t="array" ref="B111">INDEX([1]Data_DBD!$B:$B,$A111)</f>
        <v>28</v>
      </c>
      <c r="C111" s="51" t="str">
        <f ca="1" t="array" ref="C111">INDEX([1]Data_DBD!$F:$F,$A111)</f>
        <v>Sedang</v>
      </c>
      <c r="H111" s="52">
        <v>107</v>
      </c>
      <c r="I111" s="52">
        <v>48</v>
      </c>
      <c r="J111" s="52" t="s">
        <v>105</v>
      </c>
    </row>
    <row r="112" spans="1:10">
      <c r="A112" s="51">
        <f ca="1" t="shared" si="3"/>
        <v>6</v>
      </c>
      <c r="B112" s="51">
        <f ca="1" t="array" ref="B112">INDEX([1]Data_DBD!$B:$B,$A112)</f>
        <v>14</v>
      </c>
      <c r="C112" s="51" t="str">
        <f ca="1" t="array" ref="C112">INDEX([1]Data_DBD!$F:$F,$A112)</f>
        <v>Sedang</v>
      </c>
      <c r="H112" s="52">
        <v>153</v>
      </c>
      <c r="I112" s="52">
        <v>73</v>
      </c>
      <c r="J112" s="52" t="s">
        <v>105</v>
      </c>
    </row>
    <row r="113" spans="1:10">
      <c r="A113" s="51">
        <f ca="1" t="shared" si="3"/>
        <v>144</v>
      </c>
      <c r="B113" s="51">
        <f ca="1" t="array" ref="B113">INDEX([1]Data_DBD!$B:$B,$A113)</f>
        <v>61</v>
      </c>
      <c r="C113" s="51" t="str">
        <f ca="1" t="array" ref="C113">INDEX([1]Data_DBD!$F:$F,$A113)</f>
        <v>Tinggi</v>
      </c>
      <c r="H113" s="52">
        <v>55</v>
      </c>
      <c r="I113" s="52">
        <v>7</v>
      </c>
      <c r="J113" s="52" t="s">
        <v>8</v>
      </c>
    </row>
    <row r="114" spans="1:10">
      <c r="A114" s="51">
        <f ca="1" t="shared" si="3"/>
        <v>85</v>
      </c>
      <c r="B114" s="51">
        <f ca="1" t="array" ref="B114">INDEX([1]Data_DBD!$B:$B,$A114)</f>
        <v>27</v>
      </c>
      <c r="C114" s="51" t="str">
        <f ca="1" t="array" ref="C114">INDEX([1]Data_DBD!$F:$F,$A114)</f>
        <v>Sedang</v>
      </c>
      <c r="H114" s="52">
        <v>34</v>
      </c>
      <c r="I114" s="52">
        <v>55</v>
      </c>
      <c r="J114" s="52" t="s">
        <v>8</v>
      </c>
    </row>
    <row r="115" spans="1:10">
      <c r="A115" s="51">
        <f ca="1" t="shared" si="3"/>
        <v>86</v>
      </c>
      <c r="B115" s="51">
        <f ca="1" t="array" ref="B115">INDEX([1]Data_DBD!$B:$B,$A115)</f>
        <v>23</v>
      </c>
      <c r="C115" s="51" t="str">
        <f ca="1" t="array" ref="C115">INDEX([1]Data_DBD!$F:$F,$A115)</f>
        <v>Sedang</v>
      </c>
      <c r="H115" s="52">
        <v>6</v>
      </c>
      <c r="I115" s="52">
        <v>14</v>
      </c>
      <c r="J115" s="52" t="s">
        <v>8</v>
      </c>
    </row>
    <row r="116" spans="1:10">
      <c r="A116" s="51">
        <f ca="1" t="shared" si="3"/>
        <v>13</v>
      </c>
      <c r="B116" s="51">
        <f ca="1" t="array" ref="B116">INDEX([1]Data_DBD!$B:$B,$A116)</f>
        <v>47</v>
      </c>
      <c r="C116" s="51" t="str">
        <f ca="1" t="array" ref="C116">INDEX([1]Data_DBD!$F:$F,$A116)</f>
        <v>Sedang</v>
      </c>
      <c r="H116" s="52">
        <v>110</v>
      </c>
      <c r="I116" s="52">
        <v>42</v>
      </c>
      <c r="J116" s="52" t="s">
        <v>105</v>
      </c>
    </row>
    <row r="117" spans="1:10">
      <c r="A117" s="51">
        <f ca="1" t="shared" si="3"/>
        <v>27</v>
      </c>
      <c r="B117" s="51">
        <f ca="1" t="array" ref="B117">INDEX([1]Data_DBD!$B:$B,$A117)</f>
        <v>37</v>
      </c>
      <c r="C117" s="51" t="str">
        <f ca="1" t="array" ref="C117">INDEX([1]Data_DBD!$F:$F,$A117)</f>
        <v>Sedang</v>
      </c>
      <c r="H117" s="52">
        <v>158</v>
      </c>
      <c r="I117" s="52">
        <v>5</v>
      </c>
      <c r="J117" s="52" t="s">
        <v>105</v>
      </c>
    </row>
    <row r="118" spans="1:10">
      <c r="A118" s="51">
        <f ca="1" t="shared" si="3"/>
        <v>160</v>
      </c>
      <c r="B118" s="51">
        <f ca="1" t="array" ref="B118">INDEX([1]Data_DBD!$B:$B,$A118)</f>
        <v>16</v>
      </c>
      <c r="C118" s="51" t="str">
        <f ca="1" t="array" ref="C118">INDEX([1]Data_DBD!$F:$F,$A118)</f>
        <v>Tinggi</v>
      </c>
      <c r="H118" s="52">
        <v>28</v>
      </c>
      <c r="I118" s="52">
        <v>22</v>
      </c>
      <c r="J118" s="52" t="s">
        <v>8</v>
      </c>
    </row>
    <row r="119" spans="1:10">
      <c r="A119" s="51">
        <f ca="1" t="shared" si="3"/>
        <v>79</v>
      </c>
      <c r="B119" s="51">
        <f ca="1" t="array" ref="B119">INDEX([1]Data_DBD!$B:$B,$A119)</f>
        <v>29</v>
      </c>
      <c r="C119" s="51" t="str">
        <f ca="1" t="array" ref="C119">INDEX([1]Data_DBD!$F:$F,$A119)</f>
        <v>Sedang</v>
      </c>
      <c r="H119" s="52">
        <v>84</v>
      </c>
      <c r="I119" s="52">
        <v>42</v>
      </c>
      <c r="J119" s="52" t="s">
        <v>8</v>
      </c>
    </row>
    <row r="120" spans="1:10">
      <c r="A120" s="51">
        <f ca="1" t="shared" si="3"/>
        <v>76</v>
      </c>
      <c r="B120" s="51">
        <f ca="1" t="array" ref="B120">INDEX([1]Data_DBD!$B:$B,$A120)</f>
        <v>70</v>
      </c>
      <c r="C120" s="51" t="str">
        <f ca="1" t="array" ref="C120">INDEX([1]Data_DBD!$F:$F,$A120)</f>
        <v>Sedang</v>
      </c>
      <c r="H120" s="52">
        <v>50</v>
      </c>
      <c r="I120" s="52">
        <v>19</v>
      </c>
      <c r="J120" s="52" t="s">
        <v>8</v>
      </c>
    </row>
    <row r="121" spans="1:10">
      <c r="A121" s="51">
        <f ca="1" t="shared" si="3"/>
        <v>147</v>
      </c>
      <c r="B121" s="51">
        <f ca="1" t="array" ref="B121">INDEX([1]Data_DBD!$B:$B,$A121)</f>
        <v>66</v>
      </c>
      <c r="C121" s="51" t="str">
        <f ca="1" t="array" ref="C121">INDEX([1]Data_DBD!$F:$F,$A121)</f>
        <v>Tinggi</v>
      </c>
      <c r="H121" s="52">
        <v>113</v>
      </c>
      <c r="I121" s="52">
        <v>69</v>
      </c>
      <c r="J121" s="52" t="s">
        <v>105</v>
      </c>
    </row>
    <row r="122" spans="1:10">
      <c r="A122" s="51">
        <f ca="1" t="shared" si="3"/>
        <v>69</v>
      </c>
      <c r="B122" s="51">
        <f ca="1" t="array" ref="B122">INDEX([1]Data_DBD!$B:$B,$A122)</f>
        <v>24</v>
      </c>
      <c r="C122" s="51" t="str">
        <f ca="1" t="array" ref="C122">INDEX([1]Data_DBD!$F:$F,$A122)</f>
        <v>Sedang</v>
      </c>
      <c r="H122" s="52">
        <v>33</v>
      </c>
      <c r="I122" s="52">
        <v>19</v>
      </c>
      <c r="J122" s="52" t="s">
        <v>8</v>
      </c>
    </row>
    <row r="123" spans="1:10">
      <c r="A123" s="51">
        <f ca="1" t="shared" si="3"/>
        <v>15</v>
      </c>
      <c r="B123" s="51">
        <f ca="1" t="array" ref="B123">INDEX([1]Data_DBD!$B:$B,$A123)</f>
        <v>21</v>
      </c>
      <c r="C123" s="51" t="str">
        <f ca="1" t="array" ref="C123">INDEX([1]Data_DBD!$F:$F,$A123)</f>
        <v>Rendah</v>
      </c>
      <c r="H123" s="52">
        <v>114</v>
      </c>
      <c r="I123" s="52">
        <v>14</v>
      </c>
      <c r="J123" s="52" t="s">
        <v>105</v>
      </c>
    </row>
    <row r="124" spans="1:10">
      <c r="A124" s="51">
        <f ca="1" t="shared" si="3"/>
        <v>51</v>
      </c>
      <c r="B124" s="51">
        <f ca="1" t="array" ref="B124">INDEX([1]Data_DBD!$B:$B,$A124)</f>
        <v>48</v>
      </c>
      <c r="C124" s="51" t="str">
        <f ca="1" t="array" ref="C124">INDEX([1]Data_DBD!$F:$F,$A124)</f>
        <v>Sedang</v>
      </c>
      <c r="H124" s="52">
        <v>30</v>
      </c>
      <c r="I124" s="52">
        <v>3</v>
      </c>
      <c r="J124" s="52" t="s">
        <v>8</v>
      </c>
    </row>
    <row r="125" spans="1:10">
      <c r="A125" s="51">
        <f ca="1" t="shared" si="3"/>
        <v>115</v>
      </c>
      <c r="B125" s="51">
        <f ca="1" t="array" ref="B125">INDEX([1]Data_DBD!$B:$B,$A125)</f>
        <v>52</v>
      </c>
      <c r="C125" s="51" t="str">
        <f ca="1" t="array" ref="C125">INDEX([1]Data_DBD!$F:$F,$A125)</f>
        <v>Tinggi</v>
      </c>
      <c r="H125" s="52">
        <v>115</v>
      </c>
      <c r="I125" s="52">
        <v>52</v>
      </c>
      <c r="J125" s="52" t="s">
        <v>105</v>
      </c>
    </row>
    <row r="126" spans="1:10">
      <c r="A126" s="51">
        <f ca="1" t="shared" si="3"/>
        <v>20</v>
      </c>
      <c r="B126" s="51">
        <f ca="1" t="array" ref="B126">INDEX([1]Data_DBD!$B:$B,$A126)</f>
        <v>15</v>
      </c>
      <c r="C126" s="51" t="str">
        <f ca="1" t="array" ref="C126">INDEX([1]Data_DBD!$F:$F,$A126)</f>
        <v>Rendah</v>
      </c>
      <c r="H126" s="52">
        <v>25</v>
      </c>
      <c r="I126" s="52">
        <v>81</v>
      </c>
      <c r="J126" s="52" t="s">
        <v>8</v>
      </c>
    </row>
    <row r="127" spans="1:10">
      <c r="A127" s="51">
        <f ca="1" t="shared" si="3"/>
        <v>159</v>
      </c>
      <c r="B127" s="51">
        <f ca="1" t="array" ref="B127">INDEX([1]Data_DBD!$B:$B,$A127)</f>
        <v>17</v>
      </c>
      <c r="C127" s="51" t="str">
        <f ca="1" t="array" ref="C127">INDEX([1]Data_DBD!$F:$F,$A127)</f>
        <v>Tinggi</v>
      </c>
      <c r="H127" s="52">
        <v>53</v>
      </c>
      <c r="I127" s="52">
        <v>35</v>
      </c>
      <c r="J127" s="52" t="s">
        <v>8</v>
      </c>
    </row>
    <row r="128" spans="1:10">
      <c r="A128" s="51">
        <f ca="1" t="shared" si="3"/>
        <v>81</v>
      </c>
      <c r="B128" s="51">
        <f ca="1" t="array" ref="B128">INDEX([1]Data_DBD!$B:$B,$A128)</f>
        <v>23</v>
      </c>
      <c r="C128" s="51" t="str">
        <f ca="1" t="array" ref="C128">INDEX([1]Data_DBD!$F:$F,$A128)</f>
        <v>Sedang</v>
      </c>
      <c r="H128" s="52">
        <v>32</v>
      </c>
      <c r="I128" s="52">
        <v>54</v>
      </c>
      <c r="J128" s="52" t="s">
        <v>8</v>
      </c>
    </row>
    <row r="129" spans="1:10">
      <c r="A129" s="51">
        <f ca="1" t="shared" si="3"/>
        <v>68</v>
      </c>
      <c r="B129" s="51">
        <f ca="1" t="array" ref="B129">INDEX([1]Data_DBD!$B:$B,$A129)</f>
        <v>44</v>
      </c>
      <c r="C129" s="51" t="str">
        <f ca="1" t="array" ref="C129">INDEX([1]Data_DBD!$F:$F,$A129)</f>
        <v>Sedang</v>
      </c>
      <c r="H129" s="52">
        <v>162</v>
      </c>
      <c r="I129" s="52">
        <v>22</v>
      </c>
      <c r="J129" s="52" t="s">
        <v>26</v>
      </c>
    </row>
    <row r="130" spans="1:10">
      <c r="A130" s="51">
        <f ca="1" t="shared" ref="A130:A164" si="4">RANDBETWEEN(2,164)</f>
        <v>88</v>
      </c>
      <c r="B130" s="51">
        <f ca="1" t="array" ref="B130">INDEX([1]Data_DBD!$B:$B,$A130)</f>
        <v>20</v>
      </c>
      <c r="C130" s="51" t="str">
        <f ca="1" t="array" ref="C130">INDEX([1]Data_DBD!$F:$F,$A130)</f>
        <v>Sedang</v>
      </c>
      <c r="H130" s="52">
        <v>140</v>
      </c>
      <c r="I130" s="52">
        <v>74</v>
      </c>
      <c r="J130" s="52" t="s">
        <v>105</v>
      </c>
    </row>
    <row r="131" spans="1:10">
      <c r="A131" s="51">
        <f ca="1" t="shared" si="4"/>
        <v>49</v>
      </c>
      <c r="B131" s="51">
        <f ca="1" t="array" ref="B131">INDEX([1]Data_DBD!$B:$B,$A131)</f>
        <v>64</v>
      </c>
      <c r="C131" s="51" t="str">
        <f ca="1" t="array" ref="C131">INDEX([1]Data_DBD!$F:$F,$A131)</f>
        <v>Sedang</v>
      </c>
      <c r="H131" s="52">
        <v>143</v>
      </c>
      <c r="I131" s="52">
        <v>20</v>
      </c>
      <c r="J131" s="52" t="s">
        <v>105</v>
      </c>
    </row>
    <row r="132" spans="1:10">
      <c r="A132" s="51">
        <f ca="1" t="shared" si="4"/>
        <v>88</v>
      </c>
      <c r="B132" s="51">
        <f ca="1" t="array" ref="B132">INDEX([1]Data_DBD!$B:$B,$A132)</f>
        <v>20</v>
      </c>
      <c r="C132" s="51" t="str">
        <f ca="1" t="array" ref="C132">INDEX([1]Data_DBD!$F:$F,$A132)</f>
        <v>Sedang</v>
      </c>
      <c r="H132" s="52">
        <v>144</v>
      </c>
      <c r="I132" s="52">
        <v>61</v>
      </c>
      <c r="J132" s="52" t="s">
        <v>105</v>
      </c>
    </row>
    <row r="133" spans="1:10">
      <c r="A133" s="51">
        <f ca="1" t="shared" si="4"/>
        <v>131</v>
      </c>
      <c r="B133" s="51">
        <f ca="1" t="array" ref="B133">INDEX([1]Data_DBD!$B:$B,$A133)</f>
        <v>10</v>
      </c>
      <c r="C133" s="51" t="str">
        <f ca="1" t="array" ref="C133">INDEX([1]Data_DBD!$F:$F,$A133)</f>
        <v>Tinggi</v>
      </c>
      <c r="H133" s="52">
        <v>30</v>
      </c>
      <c r="I133" s="52">
        <v>3</v>
      </c>
      <c r="J133" s="52" t="s">
        <v>8</v>
      </c>
    </row>
    <row r="134" spans="1:10">
      <c r="A134" s="51">
        <f ca="1" t="shared" si="4"/>
        <v>49</v>
      </c>
      <c r="B134" s="51">
        <f ca="1" t="array" ref="B134">INDEX([1]Data_DBD!$B:$B,$A134)</f>
        <v>64</v>
      </c>
      <c r="C134" s="51" t="str">
        <f ca="1" t="array" ref="C134">INDEX([1]Data_DBD!$F:$F,$A134)</f>
        <v>Sedang</v>
      </c>
      <c r="H134" s="52">
        <v>90</v>
      </c>
      <c r="I134" s="52">
        <v>47</v>
      </c>
      <c r="J134" s="52" t="s">
        <v>105</v>
      </c>
    </row>
    <row r="135" spans="1:10">
      <c r="A135" s="51">
        <f ca="1" t="shared" si="4"/>
        <v>79</v>
      </c>
      <c r="B135" s="51">
        <f ca="1" t="array" ref="B135">INDEX([1]Data_DBD!$B:$B,$A135)</f>
        <v>29</v>
      </c>
      <c r="C135" s="51" t="str">
        <f ca="1" t="array" ref="C135">INDEX([1]Data_DBD!$F:$F,$A135)</f>
        <v>Sedang</v>
      </c>
      <c r="H135" s="52">
        <v>121</v>
      </c>
      <c r="I135" s="52">
        <v>82</v>
      </c>
      <c r="J135" s="52" t="s">
        <v>105</v>
      </c>
    </row>
    <row r="136" spans="1:10">
      <c r="A136" s="51">
        <f ca="1" t="shared" si="4"/>
        <v>76</v>
      </c>
      <c r="B136" s="51">
        <f ca="1" t="array" ref="B136">INDEX([1]Data_DBD!$B:$B,$A136)</f>
        <v>70</v>
      </c>
      <c r="C136" s="51" t="str">
        <f ca="1" t="array" ref="C136">INDEX([1]Data_DBD!$F:$F,$A136)</f>
        <v>Sedang</v>
      </c>
      <c r="H136" s="52">
        <v>68</v>
      </c>
      <c r="I136" s="52">
        <v>44</v>
      </c>
      <c r="J136" s="52" t="s">
        <v>8</v>
      </c>
    </row>
    <row r="137" spans="1:10">
      <c r="A137" s="51">
        <f ca="1" t="shared" si="4"/>
        <v>15</v>
      </c>
      <c r="B137" s="51">
        <f ca="1" t="array" ref="B137">INDEX([1]Data_DBD!$B:$B,$A137)</f>
        <v>21</v>
      </c>
      <c r="C137" s="51" t="str">
        <f ca="1" t="array" ref="C137">INDEX([1]Data_DBD!$F:$F,$A137)</f>
        <v>Rendah</v>
      </c>
      <c r="H137" s="52">
        <v>83</v>
      </c>
      <c r="I137" s="52">
        <v>50</v>
      </c>
      <c r="J137" s="52" t="s">
        <v>8</v>
      </c>
    </row>
    <row r="138" spans="1:10">
      <c r="A138" s="51">
        <f ca="1" t="shared" si="4"/>
        <v>48</v>
      </c>
      <c r="B138" s="51">
        <f ca="1" t="array" ref="B138">INDEX([1]Data_DBD!$B:$B,$A138)</f>
        <v>50</v>
      </c>
      <c r="C138" s="51" t="str">
        <f ca="1" t="array" ref="C138">INDEX([1]Data_DBD!$F:$F,$A138)</f>
        <v>Sedang</v>
      </c>
      <c r="H138" s="52">
        <v>41</v>
      </c>
      <c r="I138" s="52">
        <v>8</v>
      </c>
      <c r="J138" s="52" t="s">
        <v>8</v>
      </c>
    </row>
    <row r="139" spans="1:10">
      <c r="A139" s="51">
        <f ca="1" t="shared" si="4"/>
        <v>133</v>
      </c>
      <c r="B139" s="51">
        <f ca="1" t="array" ref="B139">INDEX([1]Data_DBD!$B:$B,$A139)</f>
        <v>6</v>
      </c>
      <c r="C139" s="51" t="str">
        <f ca="1" t="array" ref="C139">INDEX([1]Data_DBD!$F:$F,$A139)</f>
        <v>Tinggi</v>
      </c>
      <c r="H139" s="52">
        <v>59</v>
      </c>
      <c r="I139" s="52">
        <v>28</v>
      </c>
      <c r="J139" s="52" t="s">
        <v>8</v>
      </c>
    </row>
    <row r="140" spans="1:10">
      <c r="A140" s="51">
        <f ca="1" t="shared" si="4"/>
        <v>152</v>
      </c>
      <c r="B140" s="51">
        <f ca="1" t="array" ref="B140">INDEX([1]Data_DBD!$B:$B,$A140)</f>
        <v>47</v>
      </c>
      <c r="C140" s="51" t="str">
        <f ca="1" t="array" ref="C140">INDEX([1]Data_DBD!$F:$F,$A140)</f>
        <v>Tinggi</v>
      </c>
      <c r="H140" s="52">
        <v>136</v>
      </c>
      <c r="I140" s="52">
        <v>6</v>
      </c>
      <c r="J140" s="52" t="s">
        <v>105</v>
      </c>
    </row>
    <row r="141" spans="1:10">
      <c r="A141" s="51">
        <f ca="1" t="shared" si="4"/>
        <v>107</v>
      </c>
      <c r="B141" s="51">
        <f ca="1" t="array" ref="B141">INDEX([1]Data_DBD!$B:$B,$A141)</f>
        <v>48</v>
      </c>
      <c r="C141" s="51" t="str">
        <f ca="1" t="array" ref="C141">INDEX([1]Data_DBD!$F:$F,$A141)</f>
        <v>Tinggi</v>
      </c>
      <c r="H141" s="52">
        <v>85</v>
      </c>
      <c r="I141" s="52">
        <v>27</v>
      </c>
      <c r="J141" s="52" t="s">
        <v>8</v>
      </c>
    </row>
    <row r="142" spans="1:10">
      <c r="A142" s="51">
        <f ca="1" t="shared" si="4"/>
        <v>27</v>
      </c>
      <c r="B142" s="51">
        <f ca="1" t="array" ref="B142">INDEX([1]Data_DBD!$B:$B,$A142)</f>
        <v>37</v>
      </c>
      <c r="C142" s="51" t="str">
        <f ca="1" t="array" ref="C142">INDEX([1]Data_DBD!$F:$F,$A142)</f>
        <v>Sedang</v>
      </c>
      <c r="H142" s="52">
        <v>101</v>
      </c>
      <c r="I142" s="52">
        <v>42</v>
      </c>
      <c r="J142" s="52" t="s">
        <v>105</v>
      </c>
    </row>
    <row r="143" spans="1:10">
      <c r="A143" s="51">
        <f ca="1" t="shared" si="4"/>
        <v>32</v>
      </c>
      <c r="B143" s="51">
        <f ca="1" t="array" ref="B143">INDEX([1]Data_DBD!$B:$B,$A143)</f>
        <v>54</v>
      </c>
      <c r="C143" s="51" t="str">
        <f ca="1" t="array" ref="C143">INDEX([1]Data_DBD!$F:$F,$A143)</f>
        <v>Sedang</v>
      </c>
      <c r="H143" s="52">
        <v>14</v>
      </c>
      <c r="I143" s="52">
        <v>49</v>
      </c>
      <c r="J143" s="52" t="s">
        <v>26</v>
      </c>
    </row>
    <row r="144" spans="1:10">
      <c r="A144" s="51">
        <f ca="1" t="shared" si="4"/>
        <v>71</v>
      </c>
      <c r="B144" s="51">
        <f ca="1" t="array" ref="B144">INDEX([1]Data_DBD!$B:$B,$A144)</f>
        <v>84</v>
      </c>
      <c r="C144" s="51" t="str">
        <f ca="1" t="array" ref="C144">INDEX([1]Data_DBD!$F:$F,$A144)</f>
        <v>Sedang</v>
      </c>
      <c r="H144" s="52">
        <v>161</v>
      </c>
      <c r="I144" s="52">
        <v>12</v>
      </c>
      <c r="J144" s="52" t="s">
        <v>105</v>
      </c>
    </row>
    <row r="145" spans="1:10">
      <c r="A145" s="51">
        <f ca="1" t="shared" si="4"/>
        <v>68</v>
      </c>
      <c r="B145" s="51">
        <f ca="1" t="array" ref="B145">INDEX([1]Data_DBD!$B:$B,$A145)</f>
        <v>44</v>
      </c>
      <c r="C145" s="51" t="str">
        <f ca="1" t="array" ref="C145">INDEX([1]Data_DBD!$F:$F,$A145)</f>
        <v>Sedang</v>
      </c>
      <c r="H145" s="52">
        <v>111</v>
      </c>
      <c r="I145" s="52">
        <v>25</v>
      </c>
      <c r="J145" s="52" t="s">
        <v>105</v>
      </c>
    </row>
    <row r="146" spans="1:10">
      <c r="A146" s="51">
        <f ca="1" t="shared" si="4"/>
        <v>147</v>
      </c>
      <c r="B146" s="51">
        <f ca="1" t="array" ref="B146">INDEX([1]Data_DBD!$B:$B,$A146)</f>
        <v>66</v>
      </c>
      <c r="C146" s="51" t="str">
        <f ca="1" t="array" ref="C146">INDEX([1]Data_DBD!$F:$F,$A146)</f>
        <v>Tinggi</v>
      </c>
      <c r="H146" s="52">
        <v>98</v>
      </c>
      <c r="I146" s="52">
        <v>16</v>
      </c>
      <c r="J146" s="52" t="s">
        <v>105</v>
      </c>
    </row>
    <row r="147" spans="1:10">
      <c r="A147" s="51">
        <f ca="1" t="shared" si="4"/>
        <v>78</v>
      </c>
      <c r="B147" s="51">
        <f ca="1" t="array" ref="B147">INDEX([1]Data_DBD!$B:$B,$A147)</f>
        <v>6</v>
      </c>
      <c r="C147" s="51" t="str">
        <f ca="1" t="array" ref="C147">INDEX([1]Data_DBD!$F:$F,$A147)</f>
        <v>Sedang</v>
      </c>
      <c r="H147" s="52">
        <v>15</v>
      </c>
      <c r="I147" s="52">
        <v>21</v>
      </c>
      <c r="J147" s="52" t="s">
        <v>26</v>
      </c>
    </row>
    <row r="148" spans="1:10">
      <c r="A148" s="51">
        <f ca="1" t="shared" si="4"/>
        <v>137</v>
      </c>
      <c r="B148" s="51">
        <f ca="1" t="array" ref="B148">INDEX([1]Data_DBD!$B:$B,$A148)</f>
        <v>3</v>
      </c>
      <c r="C148" s="51" t="str">
        <f ca="1" t="array" ref="C148">INDEX([1]Data_DBD!$F:$F,$A148)</f>
        <v>Tinggi</v>
      </c>
      <c r="H148" s="52">
        <v>135</v>
      </c>
      <c r="I148" s="52">
        <v>10</v>
      </c>
      <c r="J148" s="52" t="s">
        <v>105</v>
      </c>
    </row>
    <row r="149" spans="1:10">
      <c r="A149" s="51">
        <f ca="1" t="shared" si="4"/>
        <v>17</v>
      </c>
      <c r="B149" s="51">
        <f ca="1" t="array" ref="B149">INDEX([1]Data_DBD!$B:$B,$A149)</f>
        <v>2</v>
      </c>
      <c r="C149" s="51" t="str">
        <f ca="1" t="array" ref="C149">INDEX([1]Data_DBD!$F:$F,$A149)</f>
        <v>Rendah</v>
      </c>
      <c r="H149" s="52">
        <v>145</v>
      </c>
      <c r="I149" s="52">
        <v>28</v>
      </c>
      <c r="J149" s="52" t="s">
        <v>105</v>
      </c>
    </row>
    <row r="150" spans="1:10">
      <c r="A150" s="51">
        <f ca="1" t="shared" si="4"/>
        <v>131</v>
      </c>
      <c r="B150" s="51">
        <f ca="1" t="array" ref="B150">INDEX([1]Data_DBD!$B:$B,$A150)</f>
        <v>10</v>
      </c>
      <c r="C150" s="51" t="str">
        <f ca="1" t="array" ref="C150">INDEX([1]Data_DBD!$F:$F,$A150)</f>
        <v>Tinggi</v>
      </c>
      <c r="H150" s="52">
        <v>23</v>
      </c>
      <c r="I150" s="52">
        <v>28</v>
      </c>
      <c r="J150" s="52" t="s">
        <v>8</v>
      </c>
    </row>
    <row r="151" spans="1:10">
      <c r="A151" s="51">
        <f ca="1" t="shared" si="4"/>
        <v>34</v>
      </c>
      <c r="B151" s="51">
        <f ca="1" t="array" ref="B151">INDEX([1]Data_DBD!$B:$B,$A151)</f>
        <v>55</v>
      </c>
      <c r="C151" s="51" t="str">
        <f ca="1" t="array" ref="C151">INDEX([1]Data_DBD!$F:$F,$A151)</f>
        <v>Sedang</v>
      </c>
      <c r="H151" s="52">
        <v>112</v>
      </c>
      <c r="I151" s="52">
        <v>61</v>
      </c>
      <c r="J151" s="52" t="s">
        <v>105</v>
      </c>
    </row>
    <row r="152" spans="1:10">
      <c r="A152" s="51">
        <f ca="1" t="shared" si="4"/>
        <v>130</v>
      </c>
      <c r="B152" s="51">
        <f ca="1" t="array" ref="B152">INDEX([1]Data_DBD!$B:$B,$A152)</f>
        <v>12</v>
      </c>
      <c r="C152" s="51" t="str">
        <f ca="1" t="array" ref="C152">INDEX([1]Data_DBD!$F:$F,$A152)</f>
        <v>Tinggi</v>
      </c>
      <c r="H152" s="52">
        <v>92</v>
      </c>
      <c r="I152" s="52">
        <v>55</v>
      </c>
      <c r="J152" s="52" t="s">
        <v>105</v>
      </c>
    </row>
    <row r="153" spans="1:10">
      <c r="A153" s="51">
        <f ca="1" t="shared" si="4"/>
        <v>145</v>
      </c>
      <c r="B153" s="51">
        <f ca="1" t="array" ref="B153">INDEX([1]Data_DBD!$B:$B,$A153)</f>
        <v>28</v>
      </c>
      <c r="C153" s="51" t="str">
        <f ca="1" t="array" ref="C153">INDEX([1]Data_DBD!$F:$F,$A153)</f>
        <v>Tinggi</v>
      </c>
      <c r="H153" s="52">
        <v>144</v>
      </c>
      <c r="I153" s="52">
        <v>61</v>
      </c>
      <c r="J153" s="52" t="s">
        <v>105</v>
      </c>
    </row>
    <row r="154" spans="1:10">
      <c r="A154" s="51">
        <f ca="1" t="shared" si="4"/>
        <v>134</v>
      </c>
      <c r="B154" s="51">
        <f ca="1" t="array" ref="B154">INDEX([1]Data_DBD!$B:$B,$A154)</f>
        <v>4</v>
      </c>
      <c r="C154" s="51" t="str">
        <f ca="1" t="array" ref="C154">INDEX([1]Data_DBD!$F:$F,$A154)</f>
        <v>Tinggi</v>
      </c>
      <c r="H154" s="52">
        <v>137</v>
      </c>
      <c r="I154" s="52">
        <v>3</v>
      </c>
      <c r="J154" s="52" t="s">
        <v>105</v>
      </c>
    </row>
    <row r="155" spans="1:10">
      <c r="A155" s="51">
        <f ca="1" t="shared" si="4"/>
        <v>51</v>
      </c>
      <c r="B155" s="51">
        <f ca="1" t="array" ref="B155">INDEX([1]Data_DBD!$B:$B,$A155)</f>
        <v>48</v>
      </c>
      <c r="C155" s="51" t="str">
        <f ca="1" t="array" ref="C155">INDEX([1]Data_DBD!$F:$F,$A155)</f>
        <v>Sedang</v>
      </c>
      <c r="H155" s="52">
        <v>93</v>
      </c>
      <c r="I155" s="52">
        <v>65</v>
      </c>
      <c r="J155" s="52" t="s">
        <v>105</v>
      </c>
    </row>
    <row r="156" spans="1:10">
      <c r="A156" s="51">
        <f ca="1" t="shared" si="4"/>
        <v>144</v>
      </c>
      <c r="B156" s="51">
        <f ca="1" t="array" ref="B156">INDEX([1]Data_DBD!$B:$B,$A156)</f>
        <v>61</v>
      </c>
      <c r="C156" s="51" t="str">
        <f ca="1" t="array" ref="C156">INDEX([1]Data_DBD!$F:$F,$A156)</f>
        <v>Tinggi</v>
      </c>
      <c r="H156" s="52">
        <v>108</v>
      </c>
      <c r="I156" s="52">
        <v>69</v>
      </c>
      <c r="J156" s="52" t="s">
        <v>105</v>
      </c>
    </row>
    <row r="157" spans="1:10">
      <c r="A157" s="51">
        <f ca="1" t="shared" si="4"/>
        <v>116</v>
      </c>
      <c r="B157" s="51">
        <f ca="1" t="array" ref="B157">INDEX([1]Data_DBD!$B:$B,$A157)</f>
        <v>32</v>
      </c>
      <c r="C157" s="51" t="str">
        <f ca="1" t="array" ref="C157">INDEX([1]Data_DBD!$F:$F,$A157)</f>
        <v>Tinggi</v>
      </c>
      <c r="H157" s="52">
        <v>127</v>
      </c>
      <c r="I157" s="52">
        <v>21</v>
      </c>
      <c r="J157" s="52" t="s">
        <v>105</v>
      </c>
    </row>
    <row r="158" spans="1:10">
      <c r="A158" s="51">
        <f ca="1" t="shared" si="4"/>
        <v>68</v>
      </c>
      <c r="B158" s="51">
        <f ca="1" t="array" ref="B158">INDEX([1]Data_DBD!$B:$B,$A158)</f>
        <v>44</v>
      </c>
      <c r="C158" s="51" t="str">
        <f ca="1" t="array" ref="C158">INDEX([1]Data_DBD!$F:$F,$A158)</f>
        <v>Sedang</v>
      </c>
      <c r="H158" s="52">
        <v>48</v>
      </c>
      <c r="I158" s="52">
        <v>50</v>
      </c>
      <c r="J158" s="52" t="s">
        <v>8</v>
      </c>
    </row>
    <row r="159" spans="1:10">
      <c r="A159" s="51">
        <f ca="1" t="shared" si="4"/>
        <v>131</v>
      </c>
      <c r="B159" s="51">
        <f ca="1" t="array" ref="B159">INDEX([1]Data_DBD!$B:$B,$A159)</f>
        <v>10</v>
      </c>
      <c r="C159" s="51" t="str">
        <f ca="1" t="array" ref="C159">INDEX([1]Data_DBD!$F:$F,$A159)</f>
        <v>Tinggi</v>
      </c>
      <c r="H159" s="52">
        <v>159</v>
      </c>
      <c r="I159" s="52">
        <v>17</v>
      </c>
      <c r="J159" s="52" t="s">
        <v>105</v>
      </c>
    </row>
    <row r="160" spans="1:10">
      <c r="A160" s="51">
        <f ca="1" t="shared" si="4"/>
        <v>39</v>
      </c>
      <c r="B160" s="51">
        <f ca="1" t="array" ref="B160">INDEX([1]Data_DBD!$B:$B,$A160)</f>
        <v>12</v>
      </c>
      <c r="C160" s="51" t="str">
        <f ca="1" t="array" ref="C160">INDEX([1]Data_DBD!$F:$F,$A160)</f>
        <v>Sedang</v>
      </c>
      <c r="H160" s="52">
        <v>54</v>
      </c>
      <c r="I160" s="52">
        <v>7</v>
      </c>
      <c r="J160" s="52" t="s">
        <v>8</v>
      </c>
    </row>
    <row r="161" spans="1:10">
      <c r="A161" s="51">
        <f ca="1" t="shared" si="4"/>
        <v>159</v>
      </c>
      <c r="B161" s="51">
        <f ca="1" t="array" ref="B161">INDEX([1]Data_DBD!$B:$B,$A161)</f>
        <v>17</v>
      </c>
      <c r="C161" s="51" t="str">
        <f ca="1" t="array" ref="C161">INDEX([1]Data_DBD!$F:$F,$A161)</f>
        <v>Tinggi</v>
      </c>
      <c r="H161" s="52">
        <v>108</v>
      </c>
      <c r="I161" s="52">
        <v>69</v>
      </c>
      <c r="J161" s="52" t="s">
        <v>105</v>
      </c>
    </row>
    <row r="162" spans="1:10">
      <c r="A162" s="51">
        <f ca="1" t="shared" si="4"/>
        <v>93</v>
      </c>
      <c r="B162" s="51">
        <f ca="1" t="array" ref="B162">INDEX([1]Data_DBD!$B:$B,$A162)</f>
        <v>65</v>
      </c>
      <c r="C162" s="51" t="str">
        <f ca="1" t="array" ref="C162">INDEX([1]Data_DBD!$F:$F,$A162)</f>
        <v>Tinggi</v>
      </c>
      <c r="H162" s="52">
        <v>43</v>
      </c>
      <c r="I162" s="52">
        <v>15</v>
      </c>
      <c r="J162" s="52" t="s">
        <v>8</v>
      </c>
    </row>
    <row r="163" spans="1:10">
      <c r="A163" s="51">
        <f ca="1" t="shared" si="4"/>
        <v>145</v>
      </c>
      <c r="B163" s="51">
        <f ca="1" t="array" ref="B163">INDEX([1]Data_DBD!$B:$B,$A163)</f>
        <v>28</v>
      </c>
      <c r="C163" s="51" t="str">
        <f ca="1" t="array" ref="C163">INDEX([1]Data_DBD!$F:$F,$A163)</f>
        <v>Tinggi</v>
      </c>
      <c r="H163" s="52">
        <v>97</v>
      </c>
      <c r="I163" s="52">
        <v>16</v>
      </c>
      <c r="J163" s="52" t="s">
        <v>105</v>
      </c>
    </row>
    <row r="164" spans="1:10">
      <c r="A164" s="51">
        <f ca="1" t="shared" si="4"/>
        <v>152</v>
      </c>
      <c r="B164" s="51">
        <f ca="1" t="array" ref="B164">INDEX([1]Data_DBD!$B:$B,$A164)</f>
        <v>47</v>
      </c>
      <c r="C164" s="51" t="str">
        <f ca="1" t="array" ref="C164">INDEX([1]Data_DBD!$F:$F,$A164)</f>
        <v>Tinggi</v>
      </c>
      <c r="H164" s="52">
        <v>60</v>
      </c>
      <c r="I164" s="52">
        <v>68</v>
      </c>
      <c r="J164" s="52" t="s">
        <v>8</v>
      </c>
    </row>
    <row r="165" spans="9:9">
      <c r="I165" s="49">
        <f>AVERAGE(I2:I164)</f>
        <v>32.0306748466258</v>
      </c>
    </row>
    <row r="166" spans="2:2">
      <c r="B166" s="49">
        <v>99</v>
      </c>
    </row>
    <row r="168" spans="5:5">
      <c r="E168" s="55" t="s">
        <v>207</v>
      </c>
    </row>
    <row r="169" spans="5:7">
      <c r="E169" s="51" t="s">
        <v>1</v>
      </c>
      <c r="F169" s="51">
        <f>AVERAGEIF($I$2:$I$164,"&lt;="&amp;$I$165)</f>
        <v>15.7021276595745</v>
      </c>
      <c r="G169" s="51">
        <f>AVERAGEIF($I$2:$I$164,"&gt;"&amp;$I$165)</f>
        <v>54.2753623188406</v>
      </c>
    </row>
    <row r="170" spans="5:7">
      <c r="E170" s="51" t="str">
        <f t="array" ref="E170:E332">IF($I$2:$I$164&lt;$F$169,"kiri",IF($I$2:$I$164&lt;$G$169,"tengah","kanan"))</f>
        <v>tengah</v>
      </c>
      <c r="F170" s="51" t="s">
        <v>272</v>
      </c>
      <c r="G170" s="51"/>
    </row>
    <row r="171" ht="15.75" spans="5:17">
      <c r="E171" s="51" t="str">
        <v>kanan</v>
      </c>
      <c r="F171" s="51">
        <f>COUNTIFS($E$170:$E$332,"Kanan",$J$2:$J$164,"Tinggi")</f>
        <v>19</v>
      </c>
      <c r="G171" s="51">
        <f>F171/32</f>
        <v>0.59375</v>
      </c>
      <c r="Q171" s="42" t="s">
        <v>273</v>
      </c>
    </row>
    <row r="172" ht="15.75" spans="5:17">
      <c r="E172" s="51" t="str">
        <v>tengah</v>
      </c>
      <c r="F172" s="51">
        <f>COUNTIFS($E$170:$E$332,"Kanan",$J$2:$J$164,"Sedang")</f>
        <v>13</v>
      </c>
      <c r="G172" s="51">
        <f>F172/32</f>
        <v>0.40625</v>
      </c>
      <c r="Q172" s="43" t="s">
        <v>187</v>
      </c>
    </row>
    <row r="173" ht="15.75" spans="5:17">
      <c r="E173" s="51" t="str">
        <v>tengah</v>
      </c>
      <c r="F173" s="51">
        <f>COUNTIFS($E$170:$E$332,"Kanan",$J$2:$J$164,"Rendah")</f>
        <v>0</v>
      </c>
      <c r="G173" s="51">
        <f>F173/32</f>
        <v>0</v>
      </c>
      <c r="Q173" s="44" t="s">
        <v>274</v>
      </c>
    </row>
    <row r="174" ht="15.75" spans="5:17">
      <c r="E174" s="51" t="str">
        <v>kiri</v>
      </c>
      <c r="F174" s="51" t="s">
        <v>218</v>
      </c>
      <c r="G174" s="51">
        <f>-(IFERROR(G171*LOG(G171,2),0)+IFERROR(G172*LOG(G172,2),0)+IFERROR(G173*LOG(G173,2),0))</f>
        <v>0.974489403398052</v>
      </c>
      <c r="Q174" s="44" t="s">
        <v>227</v>
      </c>
    </row>
    <row r="175" ht="15.75" spans="5:17">
      <c r="E175" s="51" t="str">
        <v>kanan</v>
      </c>
      <c r="F175" s="51"/>
      <c r="G175" s="51">
        <f>SUM(F171:F173)/163</f>
        <v>0.196319018404908</v>
      </c>
      <c r="Q175" s="43" t="s">
        <v>190</v>
      </c>
    </row>
    <row r="176" ht="15.75" spans="5:17">
      <c r="E176" s="51" t="str">
        <v>tengah</v>
      </c>
      <c r="F176" s="51"/>
      <c r="G176" s="56">
        <f>G174*G175</f>
        <v>0.19131080312109</v>
      </c>
      <c r="Q176" s="44" t="s">
        <v>275</v>
      </c>
    </row>
    <row r="177" ht="15.75" spans="5:17">
      <c r="E177" s="51" t="str">
        <v>kiri</v>
      </c>
      <c r="F177" s="51"/>
      <c r="G177" s="51"/>
      <c r="Q177" s="44" t="s">
        <v>229</v>
      </c>
    </row>
    <row r="178" ht="15.75" spans="5:17">
      <c r="E178" s="51" t="str">
        <v>tengah</v>
      </c>
      <c r="F178" s="51"/>
      <c r="G178" s="51"/>
      <c r="Q178" s="43" t="s">
        <v>193</v>
      </c>
    </row>
    <row r="179" ht="15.75" spans="5:17">
      <c r="E179" s="51" t="str">
        <v>kiri</v>
      </c>
      <c r="F179" s="51" t="s">
        <v>276</v>
      </c>
      <c r="G179" s="51"/>
      <c r="Q179" s="44" t="s">
        <v>277</v>
      </c>
    </row>
    <row r="180" spans="5:7">
      <c r="E180" s="51" t="str">
        <v>tengah</v>
      </c>
      <c r="F180" s="51">
        <f>COUNTIFS($E$170:$E$332,"Kiri",$J$2:$J$164,"Tinggi")</f>
        <v>19</v>
      </c>
      <c r="G180" s="51">
        <f>F180/46</f>
        <v>0.41304347826087</v>
      </c>
    </row>
    <row r="181" spans="5:7">
      <c r="E181" s="51" t="str">
        <v>kiri</v>
      </c>
      <c r="F181" s="51">
        <f>COUNTIFS($E$170:$E$332,"Kiri",$J$2:$J$164,"Sedang")</f>
        <v>21</v>
      </c>
      <c r="G181" s="51">
        <f>F181/46</f>
        <v>0.456521739130435</v>
      </c>
    </row>
    <row r="182" spans="5:7">
      <c r="E182" s="51" t="str">
        <v>kanan</v>
      </c>
      <c r="F182" s="51">
        <f>COUNTIFS($E$170:$E$332,"Kiri",$J$2:$J$164,"Rendah")</f>
        <v>6</v>
      </c>
      <c r="G182" s="51">
        <f>F182/46</f>
        <v>0.130434782608696</v>
      </c>
    </row>
    <row r="183" spans="5:7">
      <c r="E183" s="51" t="str">
        <v>tengah</v>
      </c>
      <c r="F183" s="51" t="s">
        <v>218</v>
      </c>
      <c r="G183" s="51">
        <f>-(IFERROR(G180*LOG(G180,2),0)+IFERROR(G181*LOG(G181,2),0)+IFERROR(G182*LOG(G182,2),0))</f>
        <v>1.42662579001116</v>
      </c>
    </row>
    <row r="184" spans="5:7">
      <c r="E184" s="51" t="str">
        <v>kiri</v>
      </c>
      <c r="F184" s="51"/>
      <c r="G184" s="51">
        <f>SUM(F180:F182)/163</f>
        <v>0.282208588957055</v>
      </c>
    </row>
    <row r="185" spans="5:7">
      <c r="E185" s="51" t="str">
        <v>tengah</v>
      </c>
      <c r="F185" s="51"/>
      <c r="G185" s="56">
        <f>G183*G184</f>
        <v>0.402606051168795</v>
      </c>
    </row>
    <row r="186" spans="5:7">
      <c r="E186" s="51" t="str">
        <v>kanan</v>
      </c>
      <c r="F186" s="51"/>
      <c r="G186" s="51"/>
    </row>
    <row r="187" spans="5:7">
      <c r="E187" s="51" t="str">
        <v>kiri</v>
      </c>
      <c r="F187" s="51"/>
      <c r="G187" s="51"/>
    </row>
    <row r="188" spans="5:7">
      <c r="E188" s="51" t="str">
        <v>tengah</v>
      </c>
      <c r="F188" s="51" t="s">
        <v>223</v>
      </c>
      <c r="G188" s="51"/>
    </row>
    <row r="189" spans="5:7">
      <c r="E189" s="51" t="str">
        <v>kanan</v>
      </c>
      <c r="F189" s="51">
        <f>COUNTIFS($E$170:$E$332,"Tengah",$J$2:$J$164,"Tinggi")</f>
        <v>36</v>
      </c>
      <c r="G189" s="51">
        <f>F189/85</f>
        <v>0.423529411764706</v>
      </c>
    </row>
    <row r="190" spans="5:7">
      <c r="E190" s="51" t="str">
        <v>tengah</v>
      </c>
      <c r="F190" s="51">
        <f>COUNTIFS($E$170:$E$332,"Tengah",$J$2:$J$164,"Sedang")</f>
        <v>42</v>
      </c>
      <c r="G190" s="51">
        <f>F190/85</f>
        <v>0.494117647058824</v>
      </c>
    </row>
    <row r="191" spans="5:7">
      <c r="E191" s="51" t="str">
        <v>tengah</v>
      </c>
      <c r="F191" s="51">
        <f>COUNTIFS($E$170:$E$332,"Tengah",$J$2:$J$164,"Rendah")</f>
        <v>7</v>
      </c>
      <c r="G191" s="51">
        <f>F191/85</f>
        <v>0.0823529411764706</v>
      </c>
    </row>
    <row r="192" spans="5:7">
      <c r="E192" s="51" t="str">
        <v>kanan</v>
      </c>
      <c r="F192" s="51" t="s">
        <v>218</v>
      </c>
      <c r="G192" s="51">
        <f>-(IFERROR(G189*LOG(G189,2),0)+IFERROR(G190*LOG(G190,2),0)+IFERROR(G191*LOG(G191,2),0))</f>
        <v>1.32414250951377</v>
      </c>
    </row>
    <row r="193" spans="5:7">
      <c r="E193" s="51" t="str">
        <v>tengah</v>
      </c>
      <c r="F193" s="51"/>
      <c r="G193" s="51">
        <f>SUM(F189:F191)/163</f>
        <v>0.521472392638037</v>
      </c>
    </row>
    <row r="194" spans="5:7">
      <c r="E194" s="51" t="str">
        <v>tengah</v>
      </c>
      <c r="F194" s="51"/>
      <c r="G194" s="56">
        <f>G192*G193</f>
        <v>0.690503762629879</v>
      </c>
    </row>
    <row r="195" spans="5:7">
      <c r="E195" s="51" t="str">
        <v>tengah</v>
      </c>
      <c r="F195" s="51"/>
      <c r="G195" s="51"/>
    </row>
    <row r="196" spans="5:7">
      <c r="E196" s="51" t="str">
        <v>tengah</v>
      </c>
      <c r="F196" s="51" t="s">
        <v>224</v>
      </c>
      <c r="G196" s="51" t="s">
        <v>218</v>
      </c>
    </row>
    <row r="197" spans="5:7">
      <c r="E197" s="51" t="str">
        <v>kiri</v>
      </c>
      <c r="F197" s="57">
        <f>P5-(G176+G185+G194)</f>
        <v>0.0370206881451236</v>
      </c>
      <c r="G197" s="56">
        <f>(G176+G185+G194)</f>
        <v>1.28442061691976</v>
      </c>
    </row>
    <row r="198" spans="5:7">
      <c r="E198" s="51" t="str">
        <v>tengah</v>
      </c>
      <c r="F198" s="51"/>
      <c r="G198" s="51"/>
    </row>
    <row r="199" spans="5:7">
      <c r="E199" s="51" t="str">
        <v>tengah</v>
      </c>
      <c r="F199" s="51"/>
      <c r="G199" s="51"/>
    </row>
    <row r="200" spans="5:7">
      <c r="E200" s="51" t="str">
        <v>tengah</v>
      </c>
      <c r="F200" s="51"/>
      <c r="G200" s="51"/>
    </row>
    <row r="201" spans="5:7">
      <c r="E201" s="51" t="str">
        <v>tengah</v>
      </c>
      <c r="F201" s="51"/>
      <c r="G201" s="51"/>
    </row>
    <row r="202" spans="5:7">
      <c r="E202" s="51" t="str">
        <v>kiri</v>
      </c>
      <c r="F202" s="51"/>
      <c r="G202" s="51"/>
    </row>
    <row r="203" spans="5:7">
      <c r="E203" s="51" t="str">
        <v>kiri</v>
      </c>
      <c r="F203" s="51"/>
      <c r="G203" s="51"/>
    </row>
    <row r="204" spans="5:7">
      <c r="E204" s="51" t="str">
        <v>kanan</v>
      </c>
      <c r="F204" s="51"/>
      <c r="G204" s="51"/>
    </row>
    <row r="205" spans="5:7">
      <c r="E205" s="51" t="str">
        <v>tengah</v>
      </c>
      <c r="F205" s="51"/>
      <c r="G205" s="51"/>
    </row>
    <row r="206" spans="5:7">
      <c r="E206" s="51" t="str">
        <v>tengah</v>
      </c>
      <c r="F206" s="51"/>
      <c r="G206" s="51"/>
    </row>
    <row r="207" spans="5:7">
      <c r="E207" s="51" t="str">
        <v>kiri</v>
      </c>
      <c r="F207" s="51"/>
      <c r="G207" s="51"/>
    </row>
    <row r="208" spans="5:7">
      <c r="E208" s="51" t="str">
        <v>kiri</v>
      </c>
      <c r="F208" s="51"/>
      <c r="G208" s="51"/>
    </row>
    <row r="209" spans="5:7">
      <c r="E209" s="51" t="str">
        <v>tengah</v>
      </c>
      <c r="F209" s="51"/>
      <c r="G209" s="51"/>
    </row>
    <row r="210" spans="5:7">
      <c r="E210" s="51" t="str">
        <v>kiri</v>
      </c>
      <c r="F210" s="51"/>
      <c r="G210" s="51"/>
    </row>
    <row r="211" spans="5:7">
      <c r="E211" s="51" t="str">
        <v>tengah</v>
      </c>
      <c r="F211" s="51"/>
      <c r="G211" s="51"/>
    </row>
    <row r="212" spans="5:7">
      <c r="E212" s="51" t="str">
        <v>tengah</v>
      </c>
      <c r="F212" s="51"/>
      <c r="G212" s="51"/>
    </row>
    <row r="213" spans="5:7">
      <c r="E213" s="51" t="str">
        <v>tengah</v>
      </c>
      <c r="F213" s="51"/>
      <c r="G213" s="51"/>
    </row>
    <row r="214" spans="5:7">
      <c r="E214" s="51" t="str">
        <v>kiri</v>
      </c>
      <c r="F214" s="51"/>
      <c r="G214" s="51"/>
    </row>
    <row r="215" spans="5:7">
      <c r="E215" s="51" t="str">
        <v>kanan</v>
      </c>
      <c r="F215" s="51"/>
      <c r="G215" s="51"/>
    </row>
    <row r="216" spans="5:7">
      <c r="E216" s="51" t="str">
        <v>tengah</v>
      </c>
      <c r="F216" s="51"/>
      <c r="G216" s="51"/>
    </row>
    <row r="217" spans="5:7">
      <c r="E217" s="51" t="str">
        <v>kanan</v>
      </c>
      <c r="F217" s="51"/>
      <c r="G217" s="51"/>
    </row>
    <row r="218" spans="5:7">
      <c r="E218" s="51" t="str">
        <v>tengah</v>
      </c>
      <c r="F218" s="51"/>
      <c r="G218" s="51"/>
    </row>
    <row r="219" spans="5:7">
      <c r="E219" s="51" t="str">
        <v>tengah</v>
      </c>
      <c r="F219" s="51"/>
      <c r="G219" s="51"/>
    </row>
    <row r="220" spans="5:7">
      <c r="E220" s="51" t="str">
        <v>kiri</v>
      </c>
      <c r="F220" s="51"/>
      <c r="G220" s="51"/>
    </row>
    <row r="221" spans="5:7">
      <c r="E221" s="51" t="str">
        <v>kiri</v>
      </c>
      <c r="F221" s="51"/>
      <c r="G221" s="51"/>
    </row>
    <row r="222" spans="5:7">
      <c r="E222" s="51" t="str">
        <v>kanan</v>
      </c>
      <c r="F222" s="51"/>
      <c r="G222" s="51"/>
    </row>
    <row r="223" spans="5:7">
      <c r="E223" s="51" t="str">
        <v>tengah</v>
      </c>
      <c r="F223" s="51"/>
      <c r="G223" s="51"/>
    </row>
    <row r="224" spans="5:7">
      <c r="E224" s="51" t="str">
        <v>kiri</v>
      </c>
      <c r="F224" s="51"/>
      <c r="G224" s="51"/>
    </row>
    <row r="225" spans="5:7">
      <c r="E225" s="51" t="str">
        <v>tengah</v>
      </c>
      <c r="F225" s="51"/>
      <c r="G225" s="51"/>
    </row>
    <row r="226" spans="5:7">
      <c r="E226" s="51" t="str">
        <v>tengah</v>
      </c>
      <c r="F226" s="51"/>
      <c r="G226" s="51"/>
    </row>
    <row r="227" spans="5:7">
      <c r="E227" s="51" t="str">
        <v>tengah</v>
      </c>
      <c r="F227" s="51"/>
      <c r="G227" s="51"/>
    </row>
    <row r="228" spans="5:7">
      <c r="E228" s="51" t="str">
        <v>tengah</v>
      </c>
      <c r="F228" s="51"/>
      <c r="G228" s="51"/>
    </row>
    <row r="229" spans="5:7">
      <c r="E229" s="51" t="str">
        <v>tengah</v>
      </c>
      <c r="F229" s="51"/>
      <c r="G229" s="51"/>
    </row>
    <row r="230" spans="5:7">
      <c r="E230" s="51" t="str">
        <v>tengah</v>
      </c>
      <c r="F230" s="51"/>
      <c r="G230" s="51"/>
    </row>
    <row r="231" spans="5:7">
      <c r="E231" s="51" t="str">
        <v>tengah</v>
      </c>
      <c r="F231" s="51"/>
      <c r="G231" s="51"/>
    </row>
    <row r="232" spans="5:7">
      <c r="E232" s="51" t="str">
        <v>tengah</v>
      </c>
      <c r="F232" s="51"/>
      <c r="G232" s="51"/>
    </row>
    <row r="233" spans="5:7">
      <c r="E233" s="51" t="str">
        <v>tengah</v>
      </c>
      <c r="F233" s="51"/>
      <c r="G233" s="51"/>
    </row>
    <row r="234" spans="5:7">
      <c r="E234" s="51" t="str">
        <v>tengah</v>
      </c>
      <c r="F234" s="51"/>
      <c r="G234" s="51"/>
    </row>
    <row r="235" spans="5:7">
      <c r="E235" s="51" t="str">
        <v>tengah</v>
      </c>
      <c r="F235" s="51"/>
      <c r="G235" s="51"/>
    </row>
    <row r="236" spans="5:7">
      <c r="E236" s="51" t="str">
        <v>kanan</v>
      </c>
      <c r="F236" s="51"/>
      <c r="G236" s="51"/>
    </row>
    <row r="237" spans="5:7">
      <c r="E237" s="51" t="str">
        <v>kiri</v>
      </c>
      <c r="F237" s="51"/>
      <c r="G237" s="51"/>
    </row>
    <row r="238" spans="5:7">
      <c r="E238" s="51" t="str">
        <v>kanan</v>
      </c>
      <c r="F238" s="51"/>
      <c r="G238" s="51"/>
    </row>
    <row r="239" spans="5:7">
      <c r="E239" s="51" t="str">
        <v>tengah</v>
      </c>
      <c r="F239" s="51"/>
      <c r="G239" s="51"/>
    </row>
    <row r="240" spans="5:7">
      <c r="E240" s="51" t="str">
        <v>kiri</v>
      </c>
      <c r="F240" s="51"/>
      <c r="G240" s="51"/>
    </row>
    <row r="241" spans="5:7">
      <c r="E241" s="51" t="str">
        <v>kiri</v>
      </c>
      <c r="F241" s="51"/>
      <c r="G241" s="51"/>
    </row>
    <row r="242" spans="5:7">
      <c r="E242" s="51" t="str">
        <v>kiri</v>
      </c>
      <c r="F242" s="51"/>
      <c r="G242" s="51"/>
    </row>
    <row r="243" spans="5:7">
      <c r="E243" s="51" t="str">
        <v>kanan</v>
      </c>
      <c r="F243" s="51"/>
      <c r="G243" s="51"/>
    </row>
    <row r="244" spans="5:7">
      <c r="E244" s="51" t="str">
        <v>tengah</v>
      </c>
      <c r="F244" s="51"/>
      <c r="G244" s="51"/>
    </row>
    <row r="245" spans="5:7">
      <c r="E245" s="51" t="str">
        <v>kiri</v>
      </c>
      <c r="F245" s="51"/>
      <c r="G245" s="51"/>
    </row>
    <row r="246" spans="5:7">
      <c r="E246" s="51" t="str">
        <v>kanan</v>
      </c>
      <c r="F246" s="51"/>
      <c r="G246" s="51"/>
    </row>
    <row r="247" spans="5:7">
      <c r="E247" s="51" t="str">
        <v>tengah</v>
      </c>
      <c r="F247" s="51"/>
      <c r="G247" s="51"/>
    </row>
    <row r="248" spans="5:7">
      <c r="E248" s="51" t="str">
        <v>kiri</v>
      </c>
      <c r="F248" s="51"/>
      <c r="G248" s="51"/>
    </row>
    <row r="249" spans="5:7">
      <c r="E249" s="51" t="str">
        <v>tengah</v>
      </c>
      <c r="F249" s="51"/>
      <c r="G249" s="51"/>
    </row>
    <row r="250" spans="5:7">
      <c r="E250" s="51" t="str">
        <v>kiri</v>
      </c>
      <c r="F250" s="51"/>
      <c r="G250" s="51"/>
    </row>
    <row r="251" spans="5:7">
      <c r="E251" s="51" t="str">
        <v>kanan</v>
      </c>
      <c r="F251" s="51"/>
      <c r="G251" s="51"/>
    </row>
    <row r="252" spans="5:7">
      <c r="E252" s="51" t="str">
        <v>kiri</v>
      </c>
      <c r="F252" s="51"/>
      <c r="G252" s="51"/>
    </row>
    <row r="253" spans="5:7">
      <c r="E253" s="51" t="str">
        <v>kiri</v>
      </c>
      <c r="F253" s="51"/>
      <c r="G253" s="51"/>
    </row>
    <row r="254" spans="5:7">
      <c r="E254" s="51" t="str">
        <v>kiri</v>
      </c>
      <c r="F254" s="51"/>
      <c r="G254" s="51"/>
    </row>
    <row r="255" spans="5:7">
      <c r="E255" s="51" t="str">
        <v>kiri</v>
      </c>
      <c r="F255" s="51"/>
      <c r="G255" s="51"/>
    </row>
    <row r="256" spans="5:7">
      <c r="E256" s="51" t="str">
        <v>kiri</v>
      </c>
      <c r="F256" s="51"/>
      <c r="G256" s="51"/>
    </row>
    <row r="257" spans="5:7">
      <c r="E257" s="51" t="str">
        <v>kiri</v>
      </c>
      <c r="F257" s="51"/>
      <c r="G257" s="51"/>
    </row>
    <row r="258" spans="5:7">
      <c r="E258" s="51" t="str">
        <v>tengah</v>
      </c>
      <c r="F258" s="51"/>
      <c r="G258" s="51"/>
    </row>
    <row r="259" spans="5:7">
      <c r="E259" s="51" t="str">
        <v>tengah</v>
      </c>
      <c r="F259" s="51"/>
      <c r="G259" s="51"/>
    </row>
    <row r="260" spans="5:7">
      <c r="E260" s="51" t="str">
        <v>kiri</v>
      </c>
      <c r="F260" s="51"/>
      <c r="G260" s="51"/>
    </row>
    <row r="261" spans="5:7">
      <c r="E261" s="51" t="str">
        <v>kiri</v>
      </c>
      <c r="F261" s="51"/>
      <c r="G261" s="51"/>
    </row>
    <row r="262" spans="5:7">
      <c r="E262" s="51" t="str">
        <v>tengah</v>
      </c>
      <c r="F262" s="51"/>
      <c r="G262" s="51"/>
    </row>
    <row r="263" spans="5:7">
      <c r="E263" s="51" t="str">
        <v>tengah</v>
      </c>
      <c r="F263" s="51"/>
      <c r="G263" s="51"/>
    </row>
    <row r="264" spans="5:7">
      <c r="E264" s="51" t="str">
        <v>tengah</v>
      </c>
      <c r="F264" s="51"/>
      <c r="G264" s="51"/>
    </row>
    <row r="265" spans="5:7">
      <c r="E265" s="51" t="str">
        <v>kanan</v>
      </c>
      <c r="F265" s="51"/>
      <c r="G265" s="51"/>
    </row>
    <row r="266" spans="5:7">
      <c r="E266" s="51" t="str">
        <v>tengah</v>
      </c>
      <c r="F266" s="51"/>
      <c r="G266" s="51"/>
    </row>
    <row r="267" spans="5:7">
      <c r="E267" s="51" t="str">
        <v>kanan</v>
      </c>
      <c r="F267" s="51"/>
      <c r="G267" s="51"/>
    </row>
    <row r="268" spans="5:7">
      <c r="E268" s="51" t="str">
        <v>kanan</v>
      </c>
      <c r="F268" s="51"/>
      <c r="G268" s="51"/>
    </row>
    <row r="269" spans="5:7">
      <c r="E269" s="51" t="str">
        <v>tengah</v>
      </c>
      <c r="F269" s="51"/>
      <c r="G269" s="51"/>
    </row>
    <row r="270" spans="5:7">
      <c r="E270" s="51" t="str">
        <v>tengah</v>
      </c>
      <c r="F270" s="51"/>
      <c r="G270" s="51"/>
    </row>
    <row r="271" spans="5:7">
      <c r="E271" s="51" t="str">
        <v>tengah</v>
      </c>
      <c r="F271" s="51"/>
      <c r="G271" s="51"/>
    </row>
    <row r="272" spans="5:7">
      <c r="E272" s="51" t="str">
        <v>tengah</v>
      </c>
      <c r="F272" s="51"/>
      <c r="G272" s="51"/>
    </row>
    <row r="273" spans="5:7">
      <c r="E273" s="51" t="str">
        <v>tengah</v>
      </c>
      <c r="F273" s="51"/>
      <c r="G273" s="51"/>
    </row>
    <row r="274" spans="5:7">
      <c r="E274" s="51" t="str">
        <v>kiri</v>
      </c>
      <c r="F274" s="51"/>
      <c r="G274" s="51"/>
    </row>
    <row r="275" spans="5:7">
      <c r="E275" s="51" t="str">
        <v>tengah</v>
      </c>
      <c r="F275" s="51"/>
      <c r="G275" s="51"/>
    </row>
    <row r="276" spans="5:7">
      <c r="E276" s="51" t="str">
        <v>tengah</v>
      </c>
      <c r="F276" s="51"/>
      <c r="G276" s="51"/>
    </row>
    <row r="277" spans="5:7">
      <c r="E277" s="51" t="str">
        <v>tengah</v>
      </c>
      <c r="F277" s="51"/>
      <c r="G277" s="51"/>
    </row>
    <row r="278" spans="5:7">
      <c r="E278" s="51" t="str">
        <v>kiri</v>
      </c>
      <c r="F278" s="51"/>
      <c r="G278" s="51"/>
    </row>
    <row r="279" spans="5:7">
      <c r="E279" s="51" t="str">
        <v>tengah</v>
      </c>
      <c r="F279" s="51"/>
      <c r="G279" s="51"/>
    </row>
    <row r="280" spans="5:7">
      <c r="E280" s="51" t="str">
        <v>kanan</v>
      </c>
      <c r="F280" s="51"/>
      <c r="G280" s="51"/>
    </row>
    <row r="281" spans="5:7">
      <c r="E281" s="51" t="str">
        <v>kiri</v>
      </c>
      <c r="F281" s="51"/>
      <c r="G281" s="51"/>
    </row>
    <row r="282" spans="5:7">
      <c r="E282" s="51" t="str">
        <v>kanan</v>
      </c>
      <c r="F282" s="51"/>
      <c r="G282" s="51"/>
    </row>
    <row r="283" spans="5:7">
      <c r="E283" s="51" t="str">
        <v>kiri</v>
      </c>
      <c r="F283" s="51"/>
      <c r="G283" s="51"/>
    </row>
    <row r="284" spans="5:7">
      <c r="E284" s="51" t="str">
        <v>tengah</v>
      </c>
      <c r="F284" s="51"/>
      <c r="G284" s="51"/>
    </row>
    <row r="285" spans="5:7">
      <c r="E285" s="51" t="str">
        <v>kiri</v>
      </c>
      <c r="F285" s="51"/>
      <c r="G285" s="51"/>
    </row>
    <row r="286" spans="5:7">
      <c r="E286" s="51" t="str">
        <v>tengah</v>
      </c>
      <c r="F286" s="51"/>
      <c r="G286" s="51"/>
    </row>
    <row r="287" spans="5:7">
      <c r="E287" s="51" t="str">
        <v>tengah</v>
      </c>
      <c r="F287" s="51"/>
      <c r="G287" s="51"/>
    </row>
    <row r="288" spans="5:7">
      <c r="E288" s="51" t="str">
        <v>tengah</v>
      </c>
      <c r="F288" s="51"/>
      <c r="G288" s="51"/>
    </row>
    <row r="289" spans="5:7">
      <c r="E289" s="51" t="str">
        <v>kanan</v>
      </c>
      <c r="F289" s="51"/>
      <c r="G289" s="51"/>
    </row>
    <row r="290" spans="5:7">
      <c r="E290" s="51" t="str">
        <v>tengah</v>
      </c>
      <c r="F290" s="51"/>
      <c r="G290" s="51"/>
    </row>
    <row r="291" spans="5:7">
      <c r="E291" s="51" t="str">
        <v>kiri</v>
      </c>
      <c r="F291" s="51"/>
      <c r="G291" s="51"/>
    </row>
    <row r="292" spans="5:7">
      <c r="E292" s="51" t="str">
        <v>kiri</v>
      </c>
      <c r="F292" s="51"/>
      <c r="G292" s="51"/>
    </row>
    <row r="293" spans="5:7">
      <c r="E293" s="51" t="str">
        <v>tengah</v>
      </c>
      <c r="F293" s="51"/>
      <c r="G293" s="51"/>
    </row>
    <row r="294" spans="5:7">
      <c r="E294" s="51" t="str">
        <v>kanan</v>
      </c>
      <c r="F294" s="51"/>
      <c r="G294" s="51"/>
    </row>
    <row r="295" spans="5:7">
      <c r="E295" s="51" t="str">
        <v>tengah</v>
      </c>
      <c r="F295" s="51"/>
      <c r="G295" s="51"/>
    </row>
    <row r="296" spans="5:7">
      <c r="E296" s="51" t="str">
        <v>tengah</v>
      </c>
      <c r="F296" s="51"/>
      <c r="G296" s="51"/>
    </row>
    <row r="297" spans="5:7">
      <c r="E297" s="51" t="str">
        <v>tengah</v>
      </c>
      <c r="F297" s="51"/>
      <c r="G297" s="51"/>
    </row>
    <row r="298" spans="5:7">
      <c r="E298" s="51" t="str">
        <v>kanan</v>
      </c>
      <c r="F298" s="51"/>
      <c r="G298" s="51"/>
    </row>
    <row r="299" spans="5:7">
      <c r="E299" s="51" t="str">
        <v>tengah</v>
      </c>
      <c r="F299" s="51"/>
      <c r="G299" s="51"/>
    </row>
    <row r="300" spans="5:7">
      <c r="E300" s="51" t="str">
        <v>kanan</v>
      </c>
      <c r="F300" s="51"/>
      <c r="G300" s="51"/>
    </row>
    <row r="301" spans="5:7">
      <c r="E301" s="51" t="str">
        <v>kiri</v>
      </c>
      <c r="F301" s="51"/>
      <c r="G301" s="51"/>
    </row>
    <row r="302" spans="5:7">
      <c r="E302" s="51" t="str">
        <v>tengah</v>
      </c>
      <c r="F302" s="51"/>
      <c r="G302" s="51"/>
    </row>
    <row r="303" spans="5:7">
      <c r="E303" s="51" t="str">
        <v>kanan</v>
      </c>
      <c r="F303" s="51"/>
      <c r="G303" s="51"/>
    </row>
    <row r="304" spans="5:7">
      <c r="E304" s="51" t="str">
        <v>tengah</v>
      </c>
      <c r="F304" s="51"/>
      <c r="G304" s="51"/>
    </row>
    <row r="305" spans="5:7">
      <c r="E305" s="51" t="str">
        <v>tengah</v>
      </c>
      <c r="F305" s="51"/>
      <c r="G305" s="51"/>
    </row>
    <row r="306" spans="5:7">
      <c r="E306" s="51" t="str">
        <v>kiri</v>
      </c>
      <c r="F306" s="51"/>
      <c r="G306" s="51"/>
    </row>
    <row r="307" spans="5:7">
      <c r="E307" s="51" t="str">
        <v>tengah</v>
      </c>
      <c r="F307" s="51"/>
      <c r="G307" s="51"/>
    </row>
    <row r="308" spans="5:7">
      <c r="E308" s="51" t="str">
        <v>kiri</v>
      </c>
      <c r="F308" s="51"/>
      <c r="G308" s="51"/>
    </row>
    <row r="309" spans="5:7">
      <c r="E309" s="51" t="str">
        <v>tengah</v>
      </c>
      <c r="F309" s="51"/>
      <c r="G309" s="51"/>
    </row>
    <row r="310" spans="5:7">
      <c r="E310" s="51" t="str">
        <v>tengah</v>
      </c>
      <c r="F310" s="51"/>
      <c r="G310" s="51"/>
    </row>
    <row r="311" spans="5:7">
      <c r="E311" s="51" t="str">
        <v>tengah</v>
      </c>
      <c r="F311" s="51"/>
      <c r="G311" s="51"/>
    </row>
    <row r="312" spans="5:7">
      <c r="E312" s="51" t="str">
        <v>kiri</v>
      </c>
      <c r="F312" s="51"/>
      <c r="G312" s="51"/>
    </row>
    <row r="313" spans="5:7">
      <c r="E313" s="51" t="str">
        <v>tengah</v>
      </c>
      <c r="F313" s="51"/>
      <c r="G313" s="51"/>
    </row>
    <row r="314" spans="5:7">
      <c r="E314" s="51" t="str">
        <v>tengah</v>
      </c>
      <c r="F314" s="51"/>
      <c r="G314" s="51"/>
    </row>
    <row r="315" spans="5:7">
      <c r="E315" s="51" t="str">
        <v>tengah</v>
      </c>
      <c r="F315" s="51"/>
      <c r="G315" s="51"/>
    </row>
    <row r="316" spans="5:7">
      <c r="E316" s="51" t="str">
        <v>kiri</v>
      </c>
      <c r="F316" s="51"/>
      <c r="G316" s="51"/>
    </row>
    <row r="317" spans="5:7">
      <c r="E317" s="51" t="str">
        <v>tengah</v>
      </c>
      <c r="F317" s="51"/>
      <c r="G317" s="51"/>
    </row>
    <row r="318" spans="5:7">
      <c r="E318" s="51" t="str">
        <v>tengah</v>
      </c>
      <c r="F318" s="51"/>
      <c r="G318" s="51"/>
    </row>
    <row r="319" spans="5:7">
      <c r="E319" s="51" t="str">
        <v>kanan</v>
      </c>
      <c r="F319" s="51"/>
      <c r="G319" s="51"/>
    </row>
    <row r="320" spans="5:7">
      <c r="E320" s="51" t="str">
        <v>kanan</v>
      </c>
      <c r="F320" s="51"/>
      <c r="G320" s="51"/>
    </row>
    <row r="321" spans="5:7">
      <c r="E321" s="51" t="str">
        <v>kanan</v>
      </c>
      <c r="F321" s="51"/>
      <c r="G321" s="51"/>
    </row>
    <row r="322" spans="5:7">
      <c r="E322" s="51" t="str">
        <v>kiri</v>
      </c>
      <c r="F322" s="51"/>
      <c r="G322" s="51"/>
    </row>
    <row r="323" spans="5:7">
      <c r="E323" s="51" t="str">
        <v>kanan</v>
      </c>
      <c r="F323" s="51"/>
      <c r="G323" s="51"/>
    </row>
    <row r="324" spans="5:7">
      <c r="E324" s="51" t="str">
        <v>kanan</v>
      </c>
      <c r="F324" s="51"/>
      <c r="G324" s="51"/>
    </row>
    <row r="325" spans="5:7">
      <c r="E325" s="51" t="str">
        <v>tengah</v>
      </c>
      <c r="F325" s="51"/>
      <c r="G325" s="51"/>
    </row>
    <row r="326" spans="5:7">
      <c r="E326" s="51" t="str">
        <v>tengah</v>
      </c>
      <c r="F326" s="51"/>
      <c r="G326" s="51"/>
    </row>
    <row r="327" spans="5:7">
      <c r="E327" s="51" t="str">
        <v>tengah</v>
      </c>
      <c r="F327" s="51"/>
      <c r="G327" s="51"/>
    </row>
    <row r="328" spans="5:7">
      <c r="E328" s="51" t="str">
        <v>kiri</v>
      </c>
      <c r="F328" s="51"/>
      <c r="G328" s="51"/>
    </row>
    <row r="329" spans="5:7">
      <c r="E329" s="51" t="str">
        <v>kanan</v>
      </c>
      <c r="F329" s="51"/>
      <c r="G329" s="51"/>
    </row>
    <row r="330" spans="5:7">
      <c r="E330" s="51" t="str">
        <v>kiri</v>
      </c>
      <c r="F330" s="51"/>
      <c r="G330" s="51"/>
    </row>
    <row r="331" spans="5:7">
      <c r="E331" s="51" t="str">
        <v>tengah</v>
      </c>
      <c r="F331" s="51"/>
      <c r="G331" s="51"/>
    </row>
    <row r="332" spans="5:7">
      <c r="E332" s="51" t="str">
        <v>kanan</v>
      </c>
      <c r="F332" s="51"/>
      <c r="G332" s="51"/>
    </row>
  </sheetData>
  <pageMargins left="0.7" right="0.7" top="0.75" bottom="0.75" header="0.3" footer="0.3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32"/>
  <sheetViews>
    <sheetView zoomScale="106" zoomScaleNormal="106" topLeftCell="J190" workbookViewId="0">
      <selection activeCell="V198" sqref="V198"/>
    </sheetView>
  </sheetViews>
  <sheetFormatPr defaultColWidth="9" defaultRowHeight="15"/>
  <cols>
    <col min="3" max="3" width="17.2814814814815" customWidth="1"/>
    <col min="4" max="4" width="31.2814814814815" customWidth="1"/>
    <col min="5" max="5" width="20.7111111111111" customWidth="1"/>
    <col min="6" max="6" width="13.8518518518519" customWidth="1"/>
    <col min="10" max="10" width="15.8518518518519" customWidth="1"/>
    <col min="11" max="11" width="22" customWidth="1"/>
    <col min="12" max="12" width="13.2814814814815" customWidth="1"/>
    <col min="13" max="13" width="13.8518518518519" customWidth="1"/>
    <col min="15" max="15" width="24.8518518518519" customWidth="1"/>
    <col min="16" max="16" width="12" customWidth="1"/>
    <col min="20" max="20" width="14.2814814814815" customWidth="1"/>
  </cols>
  <sheetData>
    <row r="1" spans="1:17">
      <c r="A1" s="35" t="s">
        <v>183</v>
      </c>
      <c r="B1" s="35" t="s">
        <v>1</v>
      </c>
      <c r="C1" s="35" t="s">
        <v>2</v>
      </c>
      <c r="D1" s="35" t="s">
        <v>182</v>
      </c>
      <c r="E1" s="35" t="s">
        <v>4</v>
      </c>
      <c r="F1" s="35" t="s">
        <v>5</v>
      </c>
      <c r="H1" s="36" t="s">
        <v>183</v>
      </c>
      <c r="I1" s="36" t="s">
        <v>1</v>
      </c>
      <c r="J1" s="36" t="s">
        <v>2</v>
      </c>
      <c r="K1" s="36" t="s">
        <v>182</v>
      </c>
      <c r="L1" s="36" t="s">
        <v>4</v>
      </c>
      <c r="M1" s="36" t="s">
        <v>5</v>
      </c>
      <c r="O1" s="35" t="s">
        <v>184</v>
      </c>
      <c r="P1" s="38"/>
      <c r="Q1" s="38"/>
    </row>
    <row r="2" spans="1:17">
      <c r="A2" s="36">
        <f ca="1">RANDBETWEEN(2,164)</f>
        <v>22</v>
      </c>
      <c r="B2" s="36">
        <f ca="1" t="array" ref="B2">INDEX(Data_DBD!$B:$B,$A2)</f>
        <v>6</v>
      </c>
      <c r="C2" s="36" t="str">
        <f ca="1" t="array" ref="C2">INDEX(Data_DBD!$C:$C,$A2)</f>
        <v>3 Hari</v>
      </c>
      <c r="D2" s="36">
        <f ca="1" t="array" ref="D2">INDEX(Data_DBD!$D:$D,$A2)</f>
        <v>14</v>
      </c>
      <c r="E2" s="36">
        <f ca="1" t="array" ref="E2">INDEX(Data_DBD!$E:$E,$A2)</f>
        <v>0</v>
      </c>
      <c r="F2" s="36" t="str">
        <f ca="1" t="array" ref="F2">INDEX(Data_DBD!$F:$F,$A2)</f>
        <v>Sedang</v>
      </c>
      <c r="H2" s="36">
        <v>76</v>
      </c>
      <c r="I2" s="36">
        <v>70</v>
      </c>
      <c r="J2" s="36">
        <v>2</v>
      </c>
      <c r="K2" s="36">
        <v>10</v>
      </c>
      <c r="L2" s="36">
        <v>0</v>
      </c>
      <c r="M2" s="36" t="s">
        <v>8</v>
      </c>
      <c r="O2" s="38" t="s">
        <v>105</v>
      </c>
      <c r="P2" s="38">
        <f>COUNTIF(M2:M164,"Tinggi")</f>
        <v>71</v>
      </c>
      <c r="Q2" s="38">
        <f>P2/163</f>
        <v>0.43558282208589</v>
      </c>
    </row>
    <row r="3" spans="1:17">
      <c r="A3" s="36">
        <f ca="1" t="shared" ref="A3:A66" si="0">RANDBETWEEN(2,164)</f>
        <v>4</v>
      </c>
      <c r="B3" s="36">
        <f ca="1" t="array" ref="B3">INDEX(Data_DBD!$B:$B,$A3)</f>
        <v>23</v>
      </c>
      <c r="C3" s="36" t="str">
        <f ca="1" t="array" ref="C3">INDEX(Data_DBD!$C:$C,$A3)</f>
        <v>5 Hari</v>
      </c>
      <c r="D3" s="36">
        <f ca="1" t="array" ref="D3">INDEX(Data_DBD!$D:$D,$A3)</f>
        <v>12</v>
      </c>
      <c r="E3" s="36">
        <f ca="1" t="array" ref="E3">INDEX(Data_DBD!$E:$E,$A3)</f>
        <v>0</v>
      </c>
      <c r="F3" s="36" t="str">
        <f ca="1" t="array" ref="F3">INDEX(Data_DBD!$F:$F,$A3)</f>
        <v>Sedang</v>
      </c>
      <c r="H3" s="36">
        <v>125</v>
      </c>
      <c r="I3" s="36">
        <v>39</v>
      </c>
      <c r="J3" s="36">
        <v>4</v>
      </c>
      <c r="K3" s="36">
        <v>33</v>
      </c>
      <c r="L3" s="36">
        <v>0</v>
      </c>
      <c r="M3" s="36" t="s">
        <v>105</v>
      </c>
      <c r="O3" s="38" t="s">
        <v>8</v>
      </c>
      <c r="P3" s="38">
        <f>COUNTIF(M2:M164,"Sedang")</f>
        <v>73</v>
      </c>
      <c r="Q3" s="38">
        <f>P3/163</f>
        <v>0.447852760736196</v>
      </c>
    </row>
    <row r="4" spans="1:17">
      <c r="A4" s="36">
        <f ca="1" t="shared" si="0"/>
        <v>28</v>
      </c>
      <c r="B4" s="36">
        <f ca="1" t="array" ref="B4">INDEX(Data_DBD!$B:$B,$A4)</f>
        <v>22</v>
      </c>
      <c r="C4" s="36" t="str">
        <f ca="1" t="array" ref="C4">INDEX(Data_DBD!$C:$C,$A4)</f>
        <v>2 Hari</v>
      </c>
      <c r="D4" s="36">
        <f ca="1" t="array" ref="D4">INDEX(Data_DBD!$D:$D,$A4)</f>
        <v>14</v>
      </c>
      <c r="E4" s="36">
        <f ca="1" t="array" ref="E4">INDEX(Data_DBD!$E:$E,$A4)</f>
        <v>1</v>
      </c>
      <c r="F4" s="36" t="str">
        <f ca="1" t="array" ref="F4">INDEX(Data_DBD!$F:$F,$A4)</f>
        <v>Sedang</v>
      </c>
      <c r="H4" s="36">
        <v>126</v>
      </c>
      <c r="I4" s="36">
        <v>51</v>
      </c>
      <c r="J4" s="36">
        <v>3</v>
      </c>
      <c r="K4" s="36">
        <v>33</v>
      </c>
      <c r="L4" s="36">
        <v>1</v>
      </c>
      <c r="M4" s="36" t="s">
        <v>105</v>
      </c>
      <c r="O4" s="38" t="s">
        <v>26</v>
      </c>
      <c r="P4" s="38">
        <f>COUNTIF(M2:M164,"Rendah")</f>
        <v>19</v>
      </c>
      <c r="Q4" s="38">
        <f>P4/163</f>
        <v>0.116564417177914</v>
      </c>
    </row>
    <row r="5" spans="1:16">
      <c r="A5" s="36">
        <f ca="1" t="shared" si="0"/>
        <v>35</v>
      </c>
      <c r="B5" s="36">
        <f ca="1" t="array" ref="B5">INDEX(Data_DBD!$B:$B,$A5)</f>
        <v>40</v>
      </c>
      <c r="C5" s="36" t="str">
        <f ca="1" t="array" ref="C5">INDEX(Data_DBD!$C:$C,$A5)</f>
        <v>3 Hari</v>
      </c>
      <c r="D5" s="36">
        <f ca="1" t="array" ref="D5">INDEX(Data_DBD!$D:$D,$A5)</f>
        <v>4</v>
      </c>
      <c r="E5" s="36">
        <f ca="1" t="array" ref="E5">INDEX(Data_DBD!$E:$E,$A5)</f>
        <v>1</v>
      </c>
      <c r="F5" s="36" t="str">
        <f ca="1" t="array" ref="F5">INDEX(Data_DBD!$F:$F,$A5)</f>
        <v>Rendah</v>
      </c>
      <c r="H5" s="36">
        <v>140</v>
      </c>
      <c r="I5" s="36">
        <v>74</v>
      </c>
      <c r="J5" s="36">
        <v>5</v>
      </c>
      <c r="K5" s="36">
        <v>21</v>
      </c>
      <c r="L5" s="36">
        <v>1</v>
      </c>
      <c r="M5" s="36" t="s">
        <v>105</v>
      </c>
      <c r="O5" s="39" t="s">
        <v>185</v>
      </c>
      <c r="P5">
        <f>-(IFERROR(Q2*LOG(Q2,2),0)+IFERROR(Q3*LOG(Q3,2),0)+IFERROR(Q4*LOG(Q4,2),0))</f>
        <v>1.40271673681696</v>
      </c>
    </row>
    <row r="6" spans="1:13">
      <c r="A6" s="36">
        <f ca="1" t="shared" si="0"/>
        <v>161</v>
      </c>
      <c r="B6" s="36">
        <f ca="1" t="array" ref="B6">INDEX(Data_DBD!$B:$B,$A6)</f>
        <v>12</v>
      </c>
      <c r="C6" s="36" t="str">
        <f ca="1" t="array" ref="C6">INDEX(Data_DBD!$C:$C,$A6)</f>
        <v>3 Hari</v>
      </c>
      <c r="D6" s="36">
        <f ca="1" t="array" ref="D6">INDEX(Data_DBD!$D:$D,$A6)</f>
        <v>21</v>
      </c>
      <c r="E6" s="36">
        <f ca="1" t="array" ref="E6">INDEX(Data_DBD!$E:$E,$A6)</f>
        <v>1</v>
      </c>
      <c r="F6" s="36" t="str">
        <f ca="1" t="array" ref="F6">INDEX(Data_DBD!$F:$F,$A6)</f>
        <v>Tinggi</v>
      </c>
      <c r="H6" s="36">
        <v>73</v>
      </c>
      <c r="I6" s="36">
        <v>15</v>
      </c>
      <c r="J6" s="36">
        <v>3</v>
      </c>
      <c r="K6" s="36">
        <v>10</v>
      </c>
      <c r="L6" s="36">
        <v>1</v>
      </c>
      <c r="M6" s="36" t="s">
        <v>8</v>
      </c>
    </row>
    <row r="7" spans="1:13">
      <c r="A7" s="36">
        <f ca="1" t="shared" si="0"/>
        <v>63</v>
      </c>
      <c r="B7" s="36">
        <f ca="1" t="array" ref="B7">INDEX(Data_DBD!$B:$B,$A7)</f>
        <v>25</v>
      </c>
      <c r="C7" s="36" t="str">
        <f ca="1" t="array" ref="C7">INDEX(Data_DBD!$C:$C,$A7)</f>
        <v>3 Hari</v>
      </c>
      <c r="D7" s="36">
        <f ca="1" t="array" ref="D7">INDEX(Data_DBD!$D:$D,$A7)</f>
        <v>15</v>
      </c>
      <c r="E7" s="36">
        <f ca="1" t="array" ref="E7">INDEX(Data_DBD!$E:$E,$A7)</f>
        <v>0</v>
      </c>
      <c r="F7" s="36" t="str">
        <f ca="1" t="array" ref="F7">INDEX(Data_DBD!$F:$F,$A7)</f>
        <v>Sedang</v>
      </c>
      <c r="H7" s="36">
        <v>125</v>
      </c>
      <c r="I7" s="36">
        <v>39</v>
      </c>
      <c r="J7" s="36">
        <v>4</v>
      </c>
      <c r="K7" s="36">
        <v>33</v>
      </c>
      <c r="L7" s="36">
        <v>0</v>
      </c>
      <c r="M7" s="36" t="s">
        <v>105</v>
      </c>
    </row>
    <row r="8" spans="1:13">
      <c r="A8" s="36">
        <f ca="1" t="shared" si="0"/>
        <v>159</v>
      </c>
      <c r="B8" s="36">
        <f ca="1" t="array" ref="B8">INDEX(Data_DBD!$B:$B,$A8)</f>
        <v>17</v>
      </c>
      <c r="C8" s="36" t="str">
        <f ca="1" t="array" ref="C8">INDEX(Data_DBD!$C:$C,$A8)</f>
        <v>2 Hari</v>
      </c>
      <c r="D8" s="36">
        <f ca="1" t="array" ref="D8">INDEX(Data_DBD!$D:$D,$A8)</f>
        <v>21</v>
      </c>
      <c r="E8" s="36">
        <f ca="1" t="array" ref="E8">INDEX(Data_DBD!$E:$E,$A8)</f>
        <v>0</v>
      </c>
      <c r="F8" s="36" t="str">
        <f ca="1" t="array" ref="F8">INDEX(Data_DBD!$F:$F,$A8)</f>
        <v>Tinggi</v>
      </c>
      <c r="H8" s="36">
        <v>119</v>
      </c>
      <c r="I8" s="36">
        <v>30</v>
      </c>
      <c r="J8" s="36">
        <v>7</v>
      </c>
      <c r="K8" s="36">
        <v>33</v>
      </c>
      <c r="L8" s="36">
        <v>0</v>
      </c>
      <c r="M8" s="36" t="s">
        <v>105</v>
      </c>
    </row>
    <row r="9" spans="1:13">
      <c r="A9" s="36">
        <f ca="1" t="shared" si="0"/>
        <v>121</v>
      </c>
      <c r="B9" s="36">
        <f ca="1" t="array" ref="B9">INDEX(Data_DBD!$B:$B,$A9)</f>
        <v>82</v>
      </c>
      <c r="C9" s="36" t="str">
        <f ca="1" t="array" ref="C9">INDEX(Data_DBD!$C:$C,$A9)</f>
        <v>5 Hari</v>
      </c>
      <c r="D9" s="36">
        <f ca="1" t="array" ref="D9">INDEX(Data_DBD!$D:$D,$A9)</f>
        <v>33</v>
      </c>
      <c r="E9" s="36">
        <f ca="1" t="array" ref="E9">INDEX(Data_DBD!$E:$E,$A9)</f>
        <v>1</v>
      </c>
      <c r="F9" s="36" t="str">
        <f ca="1" t="array" ref="F9">INDEX(Data_DBD!$F:$F,$A9)</f>
        <v>Tinggi</v>
      </c>
      <c r="H9" s="36">
        <v>11</v>
      </c>
      <c r="I9" s="36">
        <v>24</v>
      </c>
      <c r="J9" s="36">
        <v>5</v>
      </c>
      <c r="K9" s="36">
        <v>12</v>
      </c>
      <c r="L9" s="36">
        <v>1</v>
      </c>
      <c r="M9" s="36" t="s">
        <v>8</v>
      </c>
    </row>
    <row r="10" spans="1:13">
      <c r="A10" s="36">
        <f ca="1" t="shared" si="0"/>
        <v>137</v>
      </c>
      <c r="B10" s="36">
        <f ca="1" t="array" ref="B10">INDEX(Data_DBD!$B:$B,$A10)</f>
        <v>3.5</v>
      </c>
      <c r="C10" s="36" t="str">
        <f ca="1" t="array" ref="C10">INDEX(Data_DBD!$C:$C,$A10)</f>
        <v>1 Hari</v>
      </c>
      <c r="D10" s="36">
        <f ca="1" t="array" ref="D10">INDEX(Data_DBD!$D:$D,$A10)</f>
        <v>33</v>
      </c>
      <c r="E10" s="36">
        <f ca="1" t="array" ref="E10">INDEX(Data_DBD!$E:$E,$A10)</f>
        <v>1</v>
      </c>
      <c r="F10" s="36" t="str">
        <f ca="1" t="array" ref="F10">INDEX(Data_DBD!$F:$F,$A10)</f>
        <v>Tinggi</v>
      </c>
      <c r="H10" s="36">
        <v>125</v>
      </c>
      <c r="I10" s="36">
        <v>39</v>
      </c>
      <c r="J10" s="36">
        <v>4</v>
      </c>
      <c r="K10" s="36">
        <v>33</v>
      </c>
      <c r="L10" s="36">
        <v>0</v>
      </c>
      <c r="M10" s="36" t="s">
        <v>105</v>
      </c>
    </row>
    <row r="11" spans="1:13">
      <c r="A11" s="36">
        <f ca="1" t="shared" si="0"/>
        <v>63</v>
      </c>
      <c r="B11" s="36">
        <f ca="1" t="array" ref="B11">INDEX(Data_DBD!$B:$B,$A11)</f>
        <v>25</v>
      </c>
      <c r="C11" s="36" t="str">
        <f ca="1" t="array" ref="C11">INDEX(Data_DBD!$C:$C,$A11)</f>
        <v>3 Hari</v>
      </c>
      <c r="D11" s="36">
        <f ca="1" t="array" ref="D11">INDEX(Data_DBD!$D:$D,$A11)</f>
        <v>15</v>
      </c>
      <c r="E11" s="36">
        <f ca="1" t="array" ref="E11">INDEX(Data_DBD!$E:$E,$A11)</f>
        <v>0</v>
      </c>
      <c r="F11" s="36" t="str">
        <f ca="1" t="array" ref="F11">INDEX(Data_DBD!$F:$F,$A11)</f>
        <v>Sedang</v>
      </c>
      <c r="H11" s="36">
        <v>39</v>
      </c>
      <c r="I11" s="36">
        <v>12</v>
      </c>
      <c r="J11" s="36">
        <v>5</v>
      </c>
      <c r="K11" s="36">
        <v>13</v>
      </c>
      <c r="L11" s="36">
        <v>1</v>
      </c>
      <c r="M11" s="36" t="s">
        <v>8</v>
      </c>
    </row>
    <row r="12" spans="1:13">
      <c r="A12" s="36">
        <f ca="1" t="shared" si="0"/>
        <v>121</v>
      </c>
      <c r="B12" s="36">
        <f ca="1" t="array" ref="B12">INDEX(Data_DBD!$B:$B,$A12)</f>
        <v>82</v>
      </c>
      <c r="C12" s="36" t="str">
        <f ca="1" t="array" ref="C12">INDEX(Data_DBD!$C:$C,$A12)</f>
        <v>5 Hari</v>
      </c>
      <c r="D12" s="36">
        <f ca="1" t="array" ref="D12">INDEX(Data_DBD!$D:$D,$A12)</f>
        <v>33</v>
      </c>
      <c r="E12" s="36">
        <f ca="1" t="array" ref="E12">INDEX(Data_DBD!$E:$E,$A12)</f>
        <v>1</v>
      </c>
      <c r="F12" s="36" t="str">
        <f ca="1" t="array" ref="F12">INDEX(Data_DBD!$F:$F,$A12)</f>
        <v>Tinggi</v>
      </c>
      <c r="H12" s="36">
        <v>23</v>
      </c>
      <c r="I12" s="36">
        <v>28</v>
      </c>
      <c r="J12" s="36">
        <v>4</v>
      </c>
      <c r="K12" s="36">
        <v>14</v>
      </c>
      <c r="L12" s="36">
        <v>1</v>
      </c>
      <c r="M12" s="36" t="s">
        <v>8</v>
      </c>
    </row>
    <row r="13" spans="1:13">
      <c r="A13" s="36">
        <f ca="1" t="shared" si="0"/>
        <v>143</v>
      </c>
      <c r="B13" s="36">
        <f ca="1" t="array" ref="B13">INDEX(Data_DBD!$B:$B,$A13)</f>
        <v>20</v>
      </c>
      <c r="C13" s="36" t="str">
        <f ca="1" t="array" ref="C13">INDEX(Data_DBD!$C:$C,$A13)</f>
        <v>4 Hari</v>
      </c>
      <c r="D13" s="36">
        <f ca="1" t="array" ref="D13">INDEX(Data_DBD!$D:$D,$A13)</f>
        <v>21</v>
      </c>
      <c r="E13" s="36">
        <f ca="1" t="array" ref="E13">INDEX(Data_DBD!$E:$E,$A13)</f>
        <v>1</v>
      </c>
      <c r="F13" s="36" t="str">
        <f ca="1" t="array" ref="F13">INDEX(Data_DBD!$F:$F,$A13)</f>
        <v>Tinggi</v>
      </c>
      <c r="H13" s="36">
        <v>129</v>
      </c>
      <c r="I13" s="36">
        <v>4</v>
      </c>
      <c r="J13" s="36">
        <v>3</v>
      </c>
      <c r="K13" s="36">
        <v>33</v>
      </c>
      <c r="L13" s="36">
        <v>0</v>
      </c>
      <c r="M13" s="36" t="s">
        <v>105</v>
      </c>
    </row>
    <row r="14" spans="1:13">
      <c r="A14" s="36">
        <f ca="1" t="shared" si="0"/>
        <v>118</v>
      </c>
      <c r="B14" s="36">
        <f ca="1" t="array" ref="B14">INDEX(Data_DBD!$B:$B,$A14)</f>
        <v>67</v>
      </c>
      <c r="C14" s="36" t="str">
        <f ca="1" t="array" ref="C14">INDEX(Data_DBD!$C:$C,$A14)</f>
        <v>4 Hari</v>
      </c>
      <c r="D14" s="36">
        <f ca="1" t="array" ref="D14">INDEX(Data_DBD!$D:$D,$A14)</f>
        <v>33</v>
      </c>
      <c r="E14" s="36">
        <f ca="1" t="array" ref="E14">INDEX(Data_DBD!$E:$E,$A14)</f>
        <v>1</v>
      </c>
      <c r="F14" s="36" t="str">
        <f ca="1" t="array" ref="F14">INDEX(Data_DBD!$F:$F,$A14)</f>
        <v>Tinggi</v>
      </c>
      <c r="H14" s="36">
        <v>86</v>
      </c>
      <c r="I14" s="36">
        <v>23</v>
      </c>
      <c r="J14" s="36">
        <v>3</v>
      </c>
      <c r="K14" s="36">
        <v>13</v>
      </c>
      <c r="L14" s="36">
        <v>0</v>
      </c>
      <c r="M14" s="36" t="s">
        <v>8</v>
      </c>
    </row>
    <row r="15" spans="1:13">
      <c r="A15" s="36">
        <f ca="1" t="shared" si="0"/>
        <v>141</v>
      </c>
      <c r="B15" s="36">
        <f ca="1" t="array" ref="B15">INDEX(Data_DBD!$B:$B,$A15)</f>
        <v>36</v>
      </c>
      <c r="C15" s="36" t="str">
        <f ca="1" t="array" ref="C15">INDEX(Data_DBD!$C:$C,$A15)</f>
        <v>2 Hari</v>
      </c>
      <c r="D15" s="36">
        <f ca="1" t="array" ref="D15">INDEX(Data_DBD!$D:$D,$A15)</f>
        <v>21</v>
      </c>
      <c r="E15" s="36">
        <f ca="1" t="array" ref="E15">INDEX(Data_DBD!$E:$E,$A15)</f>
        <v>0</v>
      </c>
      <c r="F15" s="36" t="str">
        <f ca="1" t="array" ref="F15">INDEX(Data_DBD!$F:$F,$A15)</f>
        <v>Tinggi</v>
      </c>
      <c r="H15" s="36">
        <v>58</v>
      </c>
      <c r="I15" s="36">
        <v>17</v>
      </c>
      <c r="J15" s="36">
        <v>3</v>
      </c>
      <c r="K15" s="36">
        <v>15</v>
      </c>
      <c r="L15" s="36">
        <v>0</v>
      </c>
      <c r="M15" s="36" t="s">
        <v>8</v>
      </c>
    </row>
    <row r="16" spans="1:13">
      <c r="A16" s="36">
        <f ca="1" t="shared" si="0"/>
        <v>77</v>
      </c>
      <c r="B16" s="36">
        <f ca="1" t="array" ref="B16">INDEX(Data_DBD!$B:$B,$A16)</f>
        <v>16</v>
      </c>
      <c r="C16" s="36" t="str">
        <f ca="1" t="array" ref="C16">INDEX(Data_DBD!$C:$C,$A16)</f>
        <v>4 Hari</v>
      </c>
      <c r="D16" s="36">
        <f ca="1" t="array" ref="D16">INDEX(Data_DBD!$D:$D,$A16)</f>
        <v>13</v>
      </c>
      <c r="E16" s="36">
        <f ca="1" t="array" ref="E16">INDEX(Data_DBD!$E:$E,$A16)</f>
        <v>1</v>
      </c>
      <c r="F16" s="36" t="str">
        <f ca="1" t="array" ref="F16">INDEX(Data_DBD!$F:$F,$A16)</f>
        <v>Sedang</v>
      </c>
      <c r="H16" s="36">
        <v>134</v>
      </c>
      <c r="I16" s="36">
        <v>4</v>
      </c>
      <c r="J16" s="36">
        <v>2</v>
      </c>
      <c r="K16" s="36">
        <v>33</v>
      </c>
      <c r="L16" s="36">
        <v>1</v>
      </c>
      <c r="M16" s="36" t="s">
        <v>105</v>
      </c>
    </row>
    <row r="17" spans="1:13">
      <c r="A17" s="36">
        <f ca="1" t="shared" si="0"/>
        <v>65</v>
      </c>
      <c r="B17" s="36">
        <f ca="1" t="array" ref="B17">INDEX(Data_DBD!$B:$B,$A17)</f>
        <v>49</v>
      </c>
      <c r="C17" s="36" t="str">
        <f ca="1" t="array" ref="C17">INDEX(Data_DBD!$C:$C,$A17)</f>
        <v>3 Hari</v>
      </c>
      <c r="D17" s="36">
        <f ca="1" t="array" ref="D17">INDEX(Data_DBD!$D:$D,$A17)</f>
        <v>15</v>
      </c>
      <c r="E17" s="36">
        <f ca="1" t="array" ref="E17">INDEX(Data_DBD!$E:$E,$A17)</f>
        <v>0</v>
      </c>
      <c r="F17" s="36" t="str">
        <f ca="1" t="array" ref="F17">INDEX(Data_DBD!$F:$F,$A17)</f>
        <v>Sedang</v>
      </c>
      <c r="H17" s="36">
        <v>102</v>
      </c>
      <c r="I17" s="36">
        <v>41</v>
      </c>
      <c r="J17" s="36">
        <v>4</v>
      </c>
      <c r="K17" s="36">
        <v>18</v>
      </c>
      <c r="L17" s="36">
        <v>0</v>
      </c>
      <c r="M17" s="36" t="s">
        <v>105</v>
      </c>
    </row>
    <row r="18" spans="1:13">
      <c r="A18" s="36">
        <f ca="1" t="shared" si="0"/>
        <v>149</v>
      </c>
      <c r="B18" s="36">
        <f ca="1" t="array" ref="B18">INDEX(Data_DBD!$B:$B,$A18)</f>
        <v>19</v>
      </c>
      <c r="C18" s="36" t="str">
        <f ca="1" t="array" ref="C18">INDEX(Data_DBD!$C:$C,$A18)</f>
        <v>5 Hari</v>
      </c>
      <c r="D18" s="36">
        <f ca="1" t="array" ref="D18">INDEX(Data_DBD!$D:$D,$A18)</f>
        <v>21</v>
      </c>
      <c r="E18" s="36">
        <f ca="1" t="array" ref="E18">INDEX(Data_DBD!$E:$E,$A18)</f>
        <v>0</v>
      </c>
      <c r="F18" s="36" t="str">
        <f ca="1" t="array" ref="F18">INDEX(Data_DBD!$F:$F,$A18)</f>
        <v>Tinggi</v>
      </c>
      <c r="H18" s="36">
        <v>60</v>
      </c>
      <c r="I18" s="36">
        <v>68</v>
      </c>
      <c r="J18" s="36">
        <v>4</v>
      </c>
      <c r="K18" s="36">
        <v>15</v>
      </c>
      <c r="L18" s="36">
        <v>0</v>
      </c>
      <c r="M18" s="36" t="s">
        <v>8</v>
      </c>
    </row>
    <row r="19" spans="1:13">
      <c r="A19" s="36">
        <f ca="1" t="shared" si="0"/>
        <v>152</v>
      </c>
      <c r="B19" s="36">
        <f ca="1" t="array" ref="B19">INDEX(Data_DBD!$B:$B,$A19)</f>
        <v>47</v>
      </c>
      <c r="C19" s="36" t="str">
        <f ca="1" t="array" ref="C19">INDEX(Data_DBD!$C:$C,$A19)</f>
        <v>3 Hari</v>
      </c>
      <c r="D19" s="36">
        <f ca="1" t="array" ref="D19">INDEX(Data_DBD!$D:$D,$A19)</f>
        <v>21</v>
      </c>
      <c r="E19" s="36">
        <f ca="1" t="array" ref="E19">INDEX(Data_DBD!$E:$E,$A19)</f>
        <v>1</v>
      </c>
      <c r="F19" s="36" t="str">
        <f ca="1" t="array" ref="F19">INDEX(Data_DBD!$F:$F,$A19)</f>
        <v>Tinggi</v>
      </c>
      <c r="H19" s="36">
        <v>4</v>
      </c>
      <c r="I19" s="36">
        <v>23</v>
      </c>
      <c r="J19" s="36">
        <v>5</v>
      </c>
      <c r="K19" s="36">
        <v>12</v>
      </c>
      <c r="L19" s="36">
        <v>0</v>
      </c>
      <c r="M19" s="36" t="s">
        <v>8</v>
      </c>
    </row>
    <row r="20" spans="1:13">
      <c r="A20" s="36">
        <f ca="1" t="shared" si="0"/>
        <v>144</v>
      </c>
      <c r="B20" s="36">
        <f ca="1" t="array" ref="B20">INDEX(Data_DBD!$B:$B,$A20)</f>
        <v>61</v>
      </c>
      <c r="C20" s="36" t="str">
        <f ca="1" t="array" ref="C20">INDEX(Data_DBD!$C:$C,$A20)</f>
        <v>4 Hari</v>
      </c>
      <c r="D20" s="36">
        <f ca="1" t="array" ref="D20">INDEX(Data_DBD!$D:$D,$A20)</f>
        <v>21</v>
      </c>
      <c r="E20" s="36">
        <f ca="1" t="array" ref="E20">INDEX(Data_DBD!$E:$E,$A20)</f>
        <v>1</v>
      </c>
      <c r="F20" s="36" t="str">
        <f ca="1" t="array" ref="F20">INDEX(Data_DBD!$F:$F,$A20)</f>
        <v>Tinggi</v>
      </c>
      <c r="H20" s="36">
        <v>147</v>
      </c>
      <c r="I20" s="36">
        <v>66</v>
      </c>
      <c r="J20" s="36">
        <v>10</v>
      </c>
      <c r="K20" s="36">
        <v>21</v>
      </c>
      <c r="L20" s="36">
        <v>1</v>
      </c>
      <c r="M20" s="36" t="s">
        <v>105</v>
      </c>
    </row>
    <row r="21" spans="1:13">
      <c r="A21" s="36">
        <f ca="1" t="shared" si="0"/>
        <v>107</v>
      </c>
      <c r="B21" s="36">
        <f ca="1" t="array" ref="B21">INDEX(Data_DBD!$B:$B,$A21)</f>
        <v>48</v>
      </c>
      <c r="C21" s="36" t="str">
        <f ca="1" t="array" ref="C21">INDEX(Data_DBD!$C:$C,$A21)</f>
        <v>5 Hari</v>
      </c>
      <c r="D21" s="36">
        <f ca="1" t="array" ref="D21">INDEX(Data_DBD!$D:$D,$A21)</f>
        <v>18</v>
      </c>
      <c r="E21" s="36">
        <f ca="1" t="array" ref="E21">INDEX(Data_DBD!$E:$E,$A21)</f>
        <v>0</v>
      </c>
      <c r="F21" s="36" t="str">
        <f ca="1" t="array" ref="F21">INDEX(Data_DBD!$F:$F,$A21)</f>
        <v>Tinggi</v>
      </c>
      <c r="H21" s="36">
        <v>59</v>
      </c>
      <c r="I21" s="36">
        <v>28</v>
      </c>
      <c r="J21" s="36">
        <v>4</v>
      </c>
      <c r="K21" s="36">
        <v>15</v>
      </c>
      <c r="L21" s="36">
        <v>0</v>
      </c>
      <c r="M21" s="36" t="s">
        <v>8</v>
      </c>
    </row>
    <row r="22" spans="1:13">
      <c r="A22" s="36">
        <f ca="1" t="shared" si="0"/>
        <v>116</v>
      </c>
      <c r="B22" s="36">
        <f ca="1" t="array" ref="B22">INDEX(Data_DBD!$B:$B,$A22)</f>
        <v>32</v>
      </c>
      <c r="C22" s="36" t="str">
        <f ca="1" t="array" ref="C22">INDEX(Data_DBD!$C:$C,$A22)</f>
        <v>4 Hari</v>
      </c>
      <c r="D22" s="36">
        <f ca="1" t="array" ref="D22">INDEX(Data_DBD!$D:$D,$A22)</f>
        <v>33</v>
      </c>
      <c r="E22" s="36">
        <f ca="1" t="array" ref="E22">INDEX(Data_DBD!$E:$E,$A22)</f>
        <v>1</v>
      </c>
      <c r="F22" s="36" t="str">
        <f ca="1" t="array" ref="F22">INDEX(Data_DBD!$F:$F,$A22)</f>
        <v>Tinggi</v>
      </c>
      <c r="H22" s="36">
        <v>132</v>
      </c>
      <c r="I22" s="36">
        <v>10</v>
      </c>
      <c r="J22" s="36">
        <v>3</v>
      </c>
      <c r="K22" s="36">
        <v>33</v>
      </c>
      <c r="L22" s="36">
        <v>1</v>
      </c>
      <c r="M22" s="36" t="s">
        <v>105</v>
      </c>
    </row>
    <row r="23" spans="1:13">
      <c r="A23" s="36">
        <f ca="1" t="shared" si="0"/>
        <v>50</v>
      </c>
      <c r="B23" s="36">
        <f ca="1" t="array" ref="B23">INDEX(Data_DBD!$B:$B,$A23)</f>
        <v>19</v>
      </c>
      <c r="C23" s="36" t="str">
        <f ca="1" t="array" ref="C23">INDEX(Data_DBD!$C:$C,$A23)</f>
        <v>5 Hari</v>
      </c>
      <c r="D23" s="36">
        <f ca="1" t="array" ref="D23">INDEX(Data_DBD!$D:$D,$A23)</f>
        <v>13</v>
      </c>
      <c r="E23" s="36">
        <f ca="1" t="array" ref="E23">INDEX(Data_DBD!$E:$E,$A23)</f>
        <v>0</v>
      </c>
      <c r="F23" s="36" t="str">
        <f ca="1" t="array" ref="F23">INDEX(Data_DBD!$F:$F,$A23)</f>
        <v>Sedang</v>
      </c>
      <c r="H23" s="36">
        <v>58</v>
      </c>
      <c r="I23" s="36">
        <v>17</v>
      </c>
      <c r="J23" s="36">
        <v>3</v>
      </c>
      <c r="K23" s="36">
        <v>15</v>
      </c>
      <c r="L23" s="36">
        <v>0</v>
      </c>
      <c r="M23" s="36" t="s">
        <v>8</v>
      </c>
    </row>
    <row r="24" spans="1:13">
      <c r="A24" s="36">
        <f ca="1" t="shared" si="0"/>
        <v>34</v>
      </c>
      <c r="B24" s="36">
        <f ca="1" t="array" ref="B24">INDEX(Data_DBD!$B:$B,$A24)</f>
        <v>55</v>
      </c>
      <c r="C24" s="36" t="str">
        <f ca="1" t="array" ref="C24">INDEX(Data_DBD!$C:$C,$A24)</f>
        <v>3 Hari</v>
      </c>
      <c r="D24" s="36">
        <f ca="1" t="array" ref="D24">INDEX(Data_DBD!$D:$D,$A24)</f>
        <v>14</v>
      </c>
      <c r="E24" s="36">
        <f ca="1" t="array" ref="E24">INDEX(Data_DBD!$E:$E,$A24)</f>
        <v>0</v>
      </c>
      <c r="F24" s="36" t="str">
        <f ca="1" t="array" ref="F24">INDEX(Data_DBD!$F:$F,$A24)</f>
        <v>Sedang</v>
      </c>
      <c r="H24" s="36">
        <v>28</v>
      </c>
      <c r="I24" s="36">
        <v>22</v>
      </c>
      <c r="J24" s="36">
        <v>2</v>
      </c>
      <c r="K24" s="36">
        <v>14</v>
      </c>
      <c r="L24" s="36">
        <v>1</v>
      </c>
      <c r="M24" s="36" t="s">
        <v>8</v>
      </c>
    </row>
    <row r="25" spans="1:13">
      <c r="A25" s="36">
        <f ca="1" t="shared" si="0"/>
        <v>52</v>
      </c>
      <c r="B25" s="36">
        <f ca="1" t="array" ref="B25">INDEX(Data_DBD!$B:$B,$A25)</f>
        <v>59</v>
      </c>
      <c r="C25" s="36" t="str">
        <f ca="1" t="array" ref="C25">INDEX(Data_DBD!$C:$C,$A25)</f>
        <v>4 Hari</v>
      </c>
      <c r="D25" s="36">
        <f ca="1" t="array" ref="D25">INDEX(Data_DBD!$D:$D,$A25)</f>
        <v>15</v>
      </c>
      <c r="E25" s="36">
        <f ca="1" t="array" ref="E25">INDEX(Data_DBD!$E:$E,$A25)</f>
        <v>1</v>
      </c>
      <c r="F25" s="36" t="str">
        <f ca="1" t="array" ref="F25">INDEX(Data_DBD!$F:$F,$A25)</f>
        <v>Sedang</v>
      </c>
      <c r="H25" s="36">
        <v>124</v>
      </c>
      <c r="I25" s="36">
        <v>24</v>
      </c>
      <c r="J25" s="36">
        <v>3</v>
      </c>
      <c r="K25" s="36">
        <v>33</v>
      </c>
      <c r="L25" s="36">
        <v>1</v>
      </c>
      <c r="M25" s="36" t="s">
        <v>105</v>
      </c>
    </row>
    <row r="26" spans="1:13">
      <c r="A26" s="36">
        <f ca="1" t="shared" si="0"/>
        <v>92</v>
      </c>
      <c r="B26" s="36">
        <f ca="1" t="array" ref="B26">INDEX(Data_DBD!$B:$B,$A26)</f>
        <v>55</v>
      </c>
      <c r="C26" s="36" t="str">
        <f ca="1" t="array" ref="C26">INDEX(Data_DBD!$C:$C,$A26)</f>
        <v>7 Hari</v>
      </c>
      <c r="D26" s="36">
        <f ca="1" t="array" ref="D26">INDEX(Data_DBD!$D:$D,$A26)</f>
        <v>18</v>
      </c>
      <c r="E26" s="36">
        <f ca="1" t="array" ref="E26">INDEX(Data_DBD!$E:$E,$A26)</f>
        <v>0</v>
      </c>
      <c r="F26" s="36" t="str">
        <f ca="1" t="array" ref="F26">INDEX(Data_DBD!$F:$F,$A26)</f>
        <v>Tinggi</v>
      </c>
      <c r="H26" s="36">
        <v>80</v>
      </c>
      <c r="I26" s="36">
        <v>27</v>
      </c>
      <c r="J26" s="36">
        <v>3</v>
      </c>
      <c r="K26" s="36">
        <v>13</v>
      </c>
      <c r="L26" s="36">
        <v>1</v>
      </c>
      <c r="M26" s="36" t="s">
        <v>8</v>
      </c>
    </row>
    <row r="27" spans="1:13">
      <c r="A27" s="36">
        <f ca="1" t="shared" si="0"/>
        <v>150</v>
      </c>
      <c r="B27" s="36">
        <f ca="1" t="array" ref="B27">INDEX(Data_DBD!$B:$B,$A27)</f>
        <v>61</v>
      </c>
      <c r="C27" s="36" t="str">
        <f ca="1" t="array" ref="C27">INDEX(Data_DBD!$C:$C,$A27)</f>
        <v>5 Hari</v>
      </c>
      <c r="D27" s="36">
        <f ca="1" t="array" ref="D27">INDEX(Data_DBD!$D:$D,$A27)</f>
        <v>21</v>
      </c>
      <c r="E27" s="36">
        <f ca="1" t="array" ref="E27">INDEX(Data_DBD!$E:$E,$A27)</f>
        <v>1</v>
      </c>
      <c r="F27" s="36" t="str">
        <f ca="1" t="array" ref="F27">INDEX(Data_DBD!$F:$F,$A27)</f>
        <v>Tinggi</v>
      </c>
      <c r="H27" s="36">
        <v>42</v>
      </c>
      <c r="I27" s="36">
        <v>21</v>
      </c>
      <c r="J27" s="36">
        <v>5</v>
      </c>
      <c r="K27" s="36">
        <v>13</v>
      </c>
      <c r="L27" s="36">
        <v>1</v>
      </c>
      <c r="M27" s="36" t="s">
        <v>8</v>
      </c>
    </row>
    <row r="28" spans="1:13">
      <c r="A28" s="36">
        <f ca="1" t="shared" si="0"/>
        <v>70</v>
      </c>
      <c r="B28" s="36">
        <f ca="1" t="array" ref="B28">INDEX(Data_DBD!$B:$B,$A28)</f>
        <v>26</v>
      </c>
      <c r="C28" s="36" t="str">
        <f ca="1" t="array" ref="C28">INDEX(Data_DBD!$C:$C,$A28)</f>
        <v>3 Hari</v>
      </c>
      <c r="D28" s="36">
        <f ca="1" t="array" ref="D28">INDEX(Data_DBD!$D:$D,$A28)</f>
        <v>10</v>
      </c>
      <c r="E28" s="36">
        <f ca="1" t="array" ref="E28">INDEX(Data_DBD!$E:$E,$A28)</f>
        <v>1</v>
      </c>
      <c r="F28" s="36" t="str">
        <f ca="1" t="array" ref="F28">INDEX(Data_DBD!$F:$F,$A28)</f>
        <v>Sedang</v>
      </c>
      <c r="H28" s="36">
        <v>18</v>
      </c>
      <c r="I28" s="36">
        <v>49</v>
      </c>
      <c r="J28" s="36">
        <v>4</v>
      </c>
      <c r="K28" s="36">
        <v>7</v>
      </c>
      <c r="L28" s="36">
        <v>1</v>
      </c>
      <c r="M28" s="36" t="s">
        <v>26</v>
      </c>
    </row>
    <row r="29" spans="1:13">
      <c r="A29" s="36">
        <f ca="1" t="shared" si="0"/>
        <v>61</v>
      </c>
      <c r="B29" s="36">
        <f ca="1" t="array" ref="B29">INDEX(Data_DBD!$B:$B,$A29)</f>
        <v>29</v>
      </c>
      <c r="C29" s="36" t="str">
        <f ca="1" t="array" ref="C29">INDEX(Data_DBD!$C:$C,$A29)</f>
        <v>3 Hari</v>
      </c>
      <c r="D29" s="36">
        <f ca="1" t="array" ref="D29">INDEX(Data_DBD!$D:$D,$A29)</f>
        <v>15</v>
      </c>
      <c r="E29" s="36">
        <f ca="1" t="array" ref="E29">INDEX(Data_DBD!$E:$E,$A29)</f>
        <v>1</v>
      </c>
      <c r="F29" s="36" t="str">
        <f ca="1" t="array" ref="F29">INDEX(Data_DBD!$F:$F,$A29)</f>
        <v>Sedang</v>
      </c>
      <c r="H29" s="36">
        <v>117</v>
      </c>
      <c r="I29" s="36">
        <v>49</v>
      </c>
      <c r="J29" s="36">
        <v>4</v>
      </c>
      <c r="K29" s="36">
        <v>33</v>
      </c>
      <c r="L29" s="36">
        <v>1</v>
      </c>
      <c r="M29" s="36" t="s">
        <v>105</v>
      </c>
    </row>
    <row r="30" spans="1:13">
      <c r="A30" s="36">
        <f ca="1" t="shared" si="0"/>
        <v>68</v>
      </c>
      <c r="B30" s="36">
        <f ca="1" t="array" ref="B30">INDEX(Data_DBD!$B:$B,$A30)</f>
        <v>44</v>
      </c>
      <c r="C30" s="36" t="str">
        <f ca="1" t="array" ref="C30">INDEX(Data_DBD!$C:$C,$A30)</f>
        <v>5 Hari</v>
      </c>
      <c r="D30" s="36">
        <f ca="1" t="array" ref="D30">INDEX(Data_DBD!$D:$D,$A30)</f>
        <v>10</v>
      </c>
      <c r="E30" s="36">
        <f ca="1" t="array" ref="E30">INDEX(Data_DBD!$E:$E,$A30)</f>
        <v>0</v>
      </c>
      <c r="F30" s="36" t="str">
        <f ca="1" t="array" ref="F30">INDEX(Data_DBD!$F:$F,$A30)</f>
        <v>Sedang</v>
      </c>
      <c r="H30" s="36">
        <v>49</v>
      </c>
      <c r="I30" s="36">
        <v>64</v>
      </c>
      <c r="J30" s="36">
        <v>5</v>
      </c>
      <c r="K30" s="36">
        <v>13</v>
      </c>
      <c r="L30" s="36">
        <v>0</v>
      </c>
      <c r="M30" s="36" t="s">
        <v>8</v>
      </c>
    </row>
    <row r="31" spans="1:13">
      <c r="A31" s="36">
        <f ca="1" t="shared" si="0"/>
        <v>64</v>
      </c>
      <c r="B31" s="36">
        <f ca="1" t="array" ref="B31">INDEX(Data_DBD!$B:$B,$A31)</f>
        <v>35</v>
      </c>
      <c r="C31" s="36" t="str">
        <f ca="1" t="array" ref="C31">INDEX(Data_DBD!$C:$C,$A31)</f>
        <v>1 Hari</v>
      </c>
      <c r="D31" s="36">
        <f ca="1" t="array" ref="D31">INDEX(Data_DBD!$D:$D,$A31)</f>
        <v>15</v>
      </c>
      <c r="E31" s="36">
        <f ca="1" t="array" ref="E31">INDEX(Data_DBD!$E:$E,$A31)</f>
        <v>0</v>
      </c>
      <c r="F31" s="36" t="str">
        <f ca="1" t="array" ref="F31">INDEX(Data_DBD!$F:$F,$A31)</f>
        <v>Sedang</v>
      </c>
      <c r="H31" s="36">
        <v>8</v>
      </c>
      <c r="I31" s="36">
        <v>4</v>
      </c>
      <c r="J31" s="36">
        <v>2</v>
      </c>
      <c r="K31" s="36">
        <v>12</v>
      </c>
      <c r="L31" s="36">
        <v>0</v>
      </c>
      <c r="M31" s="36" t="s">
        <v>8</v>
      </c>
    </row>
    <row r="32" spans="1:13">
      <c r="A32" s="36">
        <f ca="1" t="shared" si="0"/>
        <v>30</v>
      </c>
      <c r="B32" s="36" t="str">
        <f ca="1" t="array" ref="B32">INDEX(Data_DBD!$B:$B,$A32)</f>
        <v>2,8</v>
      </c>
      <c r="C32" s="36" t="str">
        <f ca="1" t="array" ref="C32">INDEX(Data_DBD!$C:$C,$A32)</f>
        <v>2 Hari</v>
      </c>
      <c r="D32" s="36">
        <f ca="1" t="array" ref="D32">INDEX(Data_DBD!$D:$D,$A32)</f>
        <v>14</v>
      </c>
      <c r="E32" s="36">
        <f ca="1" t="array" ref="E32">INDEX(Data_DBD!$E:$E,$A32)</f>
        <v>1</v>
      </c>
      <c r="F32" s="36" t="str">
        <f ca="1" t="array" ref="F32">INDEX(Data_DBD!$F:$F,$A32)</f>
        <v>Sedang</v>
      </c>
      <c r="H32" s="36">
        <v>31</v>
      </c>
      <c r="I32" s="36">
        <v>64</v>
      </c>
      <c r="J32" s="36">
        <v>4</v>
      </c>
      <c r="K32" s="36">
        <v>14</v>
      </c>
      <c r="L32" s="36">
        <v>1</v>
      </c>
      <c r="M32" s="36" t="s">
        <v>8</v>
      </c>
    </row>
    <row r="33" spans="1:13">
      <c r="A33" s="36">
        <f ca="1" t="shared" si="0"/>
        <v>149</v>
      </c>
      <c r="B33" s="36">
        <f ca="1" t="array" ref="B33">INDEX(Data_DBD!$B:$B,$A33)</f>
        <v>19</v>
      </c>
      <c r="C33" s="36" t="str">
        <f ca="1" t="array" ref="C33">INDEX(Data_DBD!$C:$C,$A33)</f>
        <v>5 Hari</v>
      </c>
      <c r="D33" s="36">
        <f ca="1" t="array" ref="D33">INDEX(Data_DBD!$D:$D,$A33)</f>
        <v>21</v>
      </c>
      <c r="E33" s="36">
        <f ca="1" t="array" ref="E33">INDEX(Data_DBD!$E:$E,$A33)</f>
        <v>0</v>
      </c>
      <c r="F33" s="36" t="str">
        <f ca="1" t="array" ref="F33">INDEX(Data_DBD!$F:$F,$A33)</f>
        <v>Tinggi</v>
      </c>
      <c r="H33" s="36">
        <v>6</v>
      </c>
      <c r="I33" s="36">
        <v>14</v>
      </c>
      <c r="J33" s="36">
        <v>4</v>
      </c>
      <c r="K33" s="36">
        <v>12</v>
      </c>
      <c r="L33" s="36">
        <v>0</v>
      </c>
      <c r="M33" s="36" t="s">
        <v>8</v>
      </c>
    </row>
    <row r="34" spans="1:13">
      <c r="A34" s="36">
        <f ca="1" t="shared" si="0"/>
        <v>11</v>
      </c>
      <c r="B34" s="36">
        <f ca="1" t="array" ref="B34">INDEX(Data_DBD!$B:$B,$A34)</f>
        <v>24</v>
      </c>
      <c r="C34" s="36" t="str">
        <f ca="1" t="array" ref="C34">INDEX(Data_DBD!$C:$C,$A34)</f>
        <v>5 Hari</v>
      </c>
      <c r="D34" s="36">
        <f ca="1" t="array" ref="D34">INDEX(Data_DBD!$D:$D,$A34)</f>
        <v>12</v>
      </c>
      <c r="E34" s="36">
        <f ca="1" t="array" ref="E34">INDEX(Data_DBD!$E:$E,$A34)</f>
        <v>1</v>
      </c>
      <c r="F34" s="36" t="str">
        <f ca="1" t="array" ref="F34">INDEX(Data_DBD!$F:$F,$A34)</f>
        <v>Sedang</v>
      </c>
      <c r="H34" s="36">
        <v>74</v>
      </c>
      <c r="I34" s="36">
        <v>9</v>
      </c>
      <c r="J34" s="36">
        <v>4</v>
      </c>
      <c r="K34" s="36">
        <v>10</v>
      </c>
      <c r="L34" s="36">
        <v>0</v>
      </c>
      <c r="M34" s="36" t="s">
        <v>8</v>
      </c>
    </row>
    <row r="35" spans="1:13">
      <c r="A35" s="36">
        <f ca="1" t="shared" si="0"/>
        <v>19</v>
      </c>
      <c r="B35" s="36">
        <f ca="1" t="array" ref="B35">INDEX(Data_DBD!$B:$B,$A35)</f>
        <v>8</v>
      </c>
      <c r="C35" s="36" t="str">
        <f ca="1" t="array" ref="C35">INDEX(Data_DBD!$C:$C,$A35)</f>
        <v>4 Hari</v>
      </c>
      <c r="D35" s="36">
        <f ca="1" t="array" ref="D35">INDEX(Data_DBD!$D:$D,$A35)</f>
        <v>7</v>
      </c>
      <c r="E35" s="36">
        <f ca="1" t="array" ref="E35">INDEX(Data_DBD!$E:$E,$A35)</f>
        <v>0</v>
      </c>
      <c r="F35" s="36" t="str">
        <f ca="1" t="array" ref="F35">INDEX(Data_DBD!$F:$F,$A35)</f>
        <v>Rendah</v>
      </c>
      <c r="H35" s="36">
        <v>39</v>
      </c>
      <c r="I35" s="36">
        <v>12</v>
      </c>
      <c r="J35" s="36">
        <v>5</v>
      </c>
      <c r="K35" s="36">
        <v>13</v>
      </c>
      <c r="L35" s="36">
        <v>1</v>
      </c>
      <c r="M35" s="36" t="s">
        <v>8</v>
      </c>
    </row>
    <row r="36" spans="1:13">
      <c r="A36" s="36">
        <f ca="1" t="shared" si="0"/>
        <v>68</v>
      </c>
      <c r="B36" s="36">
        <f ca="1" t="array" ref="B36">INDEX(Data_DBD!$B:$B,$A36)</f>
        <v>44</v>
      </c>
      <c r="C36" s="36" t="str">
        <f ca="1" t="array" ref="C36">INDEX(Data_DBD!$C:$C,$A36)</f>
        <v>5 Hari</v>
      </c>
      <c r="D36" s="36">
        <f ca="1" t="array" ref="D36">INDEX(Data_DBD!$D:$D,$A36)</f>
        <v>10</v>
      </c>
      <c r="E36" s="36">
        <f ca="1" t="array" ref="E36">INDEX(Data_DBD!$E:$E,$A36)</f>
        <v>0</v>
      </c>
      <c r="F36" s="36" t="str">
        <f ca="1" t="array" ref="F36">INDEX(Data_DBD!$F:$F,$A36)</f>
        <v>Sedang</v>
      </c>
      <c r="H36" s="36">
        <v>76</v>
      </c>
      <c r="I36" s="36">
        <v>70</v>
      </c>
      <c r="J36" s="36">
        <v>2</v>
      </c>
      <c r="K36" s="36">
        <v>10</v>
      </c>
      <c r="L36" s="36">
        <v>0</v>
      </c>
      <c r="M36" s="36" t="s">
        <v>8</v>
      </c>
    </row>
    <row r="37" spans="1:13">
      <c r="A37" s="36">
        <f ca="1" t="shared" si="0"/>
        <v>80</v>
      </c>
      <c r="B37" s="36">
        <f ca="1" t="array" ref="B37">INDEX(Data_DBD!$B:$B,$A37)</f>
        <v>27</v>
      </c>
      <c r="C37" s="36" t="str">
        <f ca="1" t="array" ref="C37">INDEX(Data_DBD!$C:$C,$A37)</f>
        <v>3 Hari</v>
      </c>
      <c r="D37" s="36">
        <f ca="1" t="array" ref="D37">INDEX(Data_DBD!$D:$D,$A37)</f>
        <v>13</v>
      </c>
      <c r="E37" s="36">
        <f ca="1" t="array" ref="E37">INDEX(Data_DBD!$E:$E,$A37)</f>
        <v>1</v>
      </c>
      <c r="F37" s="36" t="str">
        <f ca="1" t="array" ref="F37">INDEX(Data_DBD!$F:$F,$A37)</f>
        <v>Sedang</v>
      </c>
      <c r="H37" s="36">
        <v>36</v>
      </c>
      <c r="I37" s="36">
        <v>27</v>
      </c>
      <c r="J37" s="36">
        <v>1</v>
      </c>
      <c r="K37" s="36">
        <v>4</v>
      </c>
      <c r="L37" s="36">
        <v>1</v>
      </c>
      <c r="M37" s="36" t="s">
        <v>26</v>
      </c>
    </row>
    <row r="38" spans="1:13">
      <c r="A38" s="36">
        <f ca="1" t="shared" si="0"/>
        <v>36</v>
      </c>
      <c r="B38" s="36">
        <f ca="1" t="array" ref="B38">INDEX(Data_DBD!$B:$B,$A38)</f>
        <v>27</v>
      </c>
      <c r="C38" s="36" t="str">
        <f ca="1" t="array" ref="C38">INDEX(Data_DBD!$C:$C,$A38)</f>
        <v>1 Hari</v>
      </c>
      <c r="D38" s="36">
        <f ca="1" t="array" ref="D38">INDEX(Data_DBD!$D:$D,$A38)</f>
        <v>4</v>
      </c>
      <c r="E38" s="36">
        <f ca="1" t="array" ref="E38">INDEX(Data_DBD!$E:$E,$A38)</f>
        <v>1</v>
      </c>
      <c r="F38" s="36" t="str">
        <f ca="1" t="array" ref="F38">INDEX(Data_DBD!$F:$F,$A38)</f>
        <v>Rendah</v>
      </c>
      <c r="H38" s="36">
        <v>9</v>
      </c>
      <c r="I38" s="36">
        <v>16</v>
      </c>
      <c r="J38" s="36">
        <v>6</v>
      </c>
      <c r="K38" s="36">
        <v>12</v>
      </c>
      <c r="L38" s="36">
        <v>1</v>
      </c>
      <c r="M38" s="36" t="s">
        <v>8</v>
      </c>
    </row>
    <row r="39" spans="1:13">
      <c r="A39" s="36">
        <f ca="1" t="shared" si="0"/>
        <v>40</v>
      </c>
      <c r="B39" s="36">
        <f ca="1" t="array" ref="B39">INDEX(Data_DBD!$B:$B,$A39)</f>
        <v>65</v>
      </c>
      <c r="C39" s="36" t="str">
        <f ca="1" t="array" ref="C39">INDEX(Data_DBD!$C:$C,$A39)</f>
        <v>3 Hari</v>
      </c>
      <c r="D39" s="36">
        <f ca="1" t="array" ref="D39">INDEX(Data_DBD!$D:$D,$A39)</f>
        <v>13</v>
      </c>
      <c r="E39" s="36">
        <f ca="1" t="array" ref="E39">INDEX(Data_DBD!$E:$E,$A39)</f>
        <v>1</v>
      </c>
      <c r="F39" s="36" t="str">
        <f ca="1" t="array" ref="F39">INDEX(Data_DBD!$F:$F,$A39)</f>
        <v>Sedang</v>
      </c>
      <c r="H39" s="36">
        <v>71</v>
      </c>
      <c r="I39" s="36">
        <v>84</v>
      </c>
      <c r="J39" s="36">
        <v>3</v>
      </c>
      <c r="K39" s="36">
        <v>10</v>
      </c>
      <c r="L39" s="36">
        <v>0</v>
      </c>
      <c r="M39" s="36" t="s">
        <v>8</v>
      </c>
    </row>
    <row r="40" spans="1:13">
      <c r="A40" s="36">
        <f ca="1" t="shared" si="0"/>
        <v>19</v>
      </c>
      <c r="B40" s="36">
        <f ca="1" t="array" ref="B40">INDEX(Data_DBD!$B:$B,$A40)</f>
        <v>8</v>
      </c>
      <c r="C40" s="36" t="str">
        <f ca="1" t="array" ref="C40">INDEX(Data_DBD!$C:$C,$A40)</f>
        <v>4 Hari</v>
      </c>
      <c r="D40" s="36">
        <f ca="1" t="array" ref="D40">INDEX(Data_DBD!$D:$D,$A40)</f>
        <v>7</v>
      </c>
      <c r="E40" s="36">
        <f ca="1" t="array" ref="E40">INDEX(Data_DBD!$E:$E,$A40)</f>
        <v>0</v>
      </c>
      <c r="F40" s="36" t="str">
        <f ca="1" t="array" ref="F40">INDEX(Data_DBD!$F:$F,$A40)</f>
        <v>Rendah</v>
      </c>
      <c r="H40" s="36">
        <v>104</v>
      </c>
      <c r="I40" s="36">
        <v>37</v>
      </c>
      <c r="J40" s="36">
        <v>4</v>
      </c>
      <c r="K40" s="36">
        <v>18</v>
      </c>
      <c r="L40" s="36">
        <v>1</v>
      </c>
      <c r="M40" s="36" t="s">
        <v>105</v>
      </c>
    </row>
    <row r="41" spans="1:13">
      <c r="A41" s="36">
        <f ca="1" t="shared" si="0"/>
        <v>65</v>
      </c>
      <c r="B41" s="36">
        <f ca="1" t="array" ref="B41">INDEX(Data_DBD!$B:$B,$A41)</f>
        <v>49</v>
      </c>
      <c r="C41" s="36" t="str">
        <f ca="1" t="array" ref="C41">INDEX(Data_DBD!$C:$C,$A41)</f>
        <v>3 Hari</v>
      </c>
      <c r="D41" s="36">
        <f ca="1" t="array" ref="D41">INDEX(Data_DBD!$D:$D,$A41)</f>
        <v>15</v>
      </c>
      <c r="E41" s="36">
        <f ca="1" t="array" ref="E41">INDEX(Data_DBD!$E:$E,$A41)</f>
        <v>0</v>
      </c>
      <c r="F41" s="36" t="str">
        <f ca="1" t="array" ref="F41">INDEX(Data_DBD!$F:$F,$A41)</f>
        <v>Sedang</v>
      </c>
      <c r="H41" s="36">
        <v>89</v>
      </c>
      <c r="I41" s="36">
        <v>32</v>
      </c>
      <c r="J41" s="36">
        <v>4</v>
      </c>
      <c r="K41" s="36">
        <v>13</v>
      </c>
      <c r="L41" s="36">
        <v>0</v>
      </c>
      <c r="M41" s="36" t="s">
        <v>8</v>
      </c>
    </row>
    <row r="42" spans="1:13">
      <c r="A42" s="36">
        <f ca="1" t="shared" si="0"/>
        <v>56</v>
      </c>
      <c r="B42" s="36">
        <f ca="1" t="array" ref="B42">INDEX(Data_DBD!$B:$B,$A42)</f>
        <v>4</v>
      </c>
      <c r="C42" s="36" t="str">
        <f ca="1" t="array" ref="C42">INDEX(Data_DBD!$C:$C,$A42)</f>
        <v>3 Hari</v>
      </c>
      <c r="D42" s="36">
        <f ca="1" t="array" ref="D42">INDEX(Data_DBD!$D:$D,$A42)</f>
        <v>15</v>
      </c>
      <c r="E42" s="36">
        <f ca="1" t="array" ref="E42">INDEX(Data_DBD!$E:$E,$A42)</f>
        <v>0</v>
      </c>
      <c r="F42" s="36" t="str">
        <f ca="1" t="array" ref="F42">INDEX(Data_DBD!$F:$F,$A42)</f>
        <v>Sedang</v>
      </c>
      <c r="H42" s="36">
        <v>143</v>
      </c>
      <c r="I42" s="36">
        <v>20</v>
      </c>
      <c r="J42" s="36">
        <v>4</v>
      </c>
      <c r="K42" s="36">
        <v>21</v>
      </c>
      <c r="L42" s="36">
        <v>1</v>
      </c>
      <c r="M42" s="36" t="s">
        <v>105</v>
      </c>
    </row>
    <row r="43" spans="1:13">
      <c r="A43" s="36">
        <f ca="1" t="shared" si="0"/>
        <v>61</v>
      </c>
      <c r="B43" s="36">
        <f ca="1" t="array" ref="B43">INDEX(Data_DBD!$B:$B,$A43)</f>
        <v>29</v>
      </c>
      <c r="C43" s="36" t="str">
        <f ca="1" t="array" ref="C43">INDEX(Data_DBD!$C:$C,$A43)</f>
        <v>3 Hari</v>
      </c>
      <c r="D43" s="36">
        <f ca="1" t="array" ref="D43">INDEX(Data_DBD!$D:$D,$A43)</f>
        <v>15</v>
      </c>
      <c r="E43" s="36">
        <f ca="1" t="array" ref="E43">INDEX(Data_DBD!$E:$E,$A43)</f>
        <v>1</v>
      </c>
      <c r="F43" s="36" t="str">
        <f ca="1" t="array" ref="F43">INDEX(Data_DBD!$F:$F,$A43)</f>
        <v>Sedang</v>
      </c>
      <c r="H43" s="36">
        <v>122</v>
      </c>
      <c r="I43" s="36">
        <v>28</v>
      </c>
      <c r="J43" s="36">
        <v>3</v>
      </c>
      <c r="K43" s="36">
        <v>33</v>
      </c>
      <c r="L43" s="36">
        <v>1</v>
      </c>
      <c r="M43" s="36" t="s">
        <v>105</v>
      </c>
    </row>
    <row r="44" spans="1:13">
      <c r="A44" s="36">
        <f ca="1" t="shared" si="0"/>
        <v>6</v>
      </c>
      <c r="B44" s="36">
        <f ca="1" t="array" ref="B44">INDEX(Data_DBD!$B:$B,$A44)</f>
        <v>14</v>
      </c>
      <c r="C44" s="36" t="str">
        <f ca="1" t="array" ref="C44">INDEX(Data_DBD!$C:$C,$A44)</f>
        <v>4 Hari</v>
      </c>
      <c r="D44" s="36">
        <f ca="1" t="array" ref="D44">INDEX(Data_DBD!$D:$D,$A44)</f>
        <v>12</v>
      </c>
      <c r="E44" s="36">
        <f ca="1" t="array" ref="E44">INDEX(Data_DBD!$E:$E,$A44)</f>
        <v>0</v>
      </c>
      <c r="F44" s="36" t="str">
        <f ca="1" t="array" ref="F44">INDEX(Data_DBD!$F:$F,$A44)</f>
        <v>Sedang</v>
      </c>
      <c r="H44" s="36">
        <v>19</v>
      </c>
      <c r="I44" s="36">
        <v>8</v>
      </c>
      <c r="J44" s="36">
        <v>4</v>
      </c>
      <c r="K44" s="36">
        <v>7</v>
      </c>
      <c r="L44" s="36">
        <v>0</v>
      </c>
      <c r="M44" s="36" t="s">
        <v>26</v>
      </c>
    </row>
    <row r="45" spans="1:13">
      <c r="A45" s="36">
        <f ca="1" t="shared" si="0"/>
        <v>40</v>
      </c>
      <c r="B45" s="36">
        <f ca="1" t="array" ref="B45">INDEX(Data_DBD!$B:$B,$A45)</f>
        <v>65</v>
      </c>
      <c r="C45" s="36" t="str">
        <f ca="1" t="array" ref="C45">INDEX(Data_DBD!$C:$C,$A45)</f>
        <v>3 Hari</v>
      </c>
      <c r="D45" s="36">
        <f ca="1" t="array" ref="D45">INDEX(Data_DBD!$D:$D,$A45)</f>
        <v>13</v>
      </c>
      <c r="E45" s="36">
        <f ca="1" t="array" ref="E45">INDEX(Data_DBD!$E:$E,$A45)</f>
        <v>1</v>
      </c>
      <c r="F45" s="36" t="str">
        <f ca="1" t="array" ref="F45">INDEX(Data_DBD!$F:$F,$A45)</f>
        <v>Sedang</v>
      </c>
      <c r="H45" s="36">
        <v>33</v>
      </c>
      <c r="I45" s="36">
        <v>19</v>
      </c>
      <c r="J45" s="36">
        <v>4</v>
      </c>
      <c r="K45" s="36">
        <v>14</v>
      </c>
      <c r="L45" s="36">
        <v>1</v>
      </c>
      <c r="M45" s="36" t="s">
        <v>8</v>
      </c>
    </row>
    <row r="46" spans="1:13">
      <c r="A46" s="36">
        <f ca="1" t="shared" si="0"/>
        <v>53</v>
      </c>
      <c r="B46" s="36">
        <f ca="1" t="array" ref="B46">INDEX(Data_DBD!$B:$B,$A46)</f>
        <v>35</v>
      </c>
      <c r="C46" s="36" t="str">
        <f ca="1" t="array" ref="C46">INDEX(Data_DBD!$C:$C,$A46)</f>
        <v>4 Hari</v>
      </c>
      <c r="D46" s="36">
        <f ca="1" t="array" ref="D46">INDEX(Data_DBD!$D:$D,$A46)</f>
        <v>15</v>
      </c>
      <c r="E46" s="36">
        <f ca="1" t="array" ref="E46">INDEX(Data_DBD!$E:$E,$A46)</f>
        <v>1</v>
      </c>
      <c r="F46" s="36" t="str">
        <f ca="1" t="array" ref="F46">INDEX(Data_DBD!$F:$F,$A46)</f>
        <v>Sedang</v>
      </c>
      <c r="H46" s="36">
        <v>43</v>
      </c>
      <c r="I46" s="36">
        <v>15</v>
      </c>
      <c r="J46" s="36">
        <v>4</v>
      </c>
      <c r="K46" s="36">
        <v>13</v>
      </c>
      <c r="L46" s="36">
        <v>0</v>
      </c>
      <c r="M46" s="36" t="s">
        <v>8</v>
      </c>
    </row>
    <row r="47" spans="1:13">
      <c r="A47" s="36">
        <f ca="1" t="shared" si="0"/>
        <v>24</v>
      </c>
      <c r="B47" s="36">
        <f ca="1" t="array" ref="B47">INDEX(Data_DBD!$B:$B,$A47)</f>
        <v>60</v>
      </c>
      <c r="C47" s="36" t="str">
        <f ca="1" t="array" ref="C47">INDEX(Data_DBD!$C:$C,$A47)</f>
        <v>4 Hari</v>
      </c>
      <c r="D47" s="36">
        <f ca="1" t="array" ref="D47">INDEX(Data_DBD!$D:$D,$A47)</f>
        <v>14</v>
      </c>
      <c r="E47" s="36">
        <f ca="1" t="array" ref="E47">INDEX(Data_DBD!$E:$E,$A47)</f>
        <v>0</v>
      </c>
      <c r="F47" s="36" t="str">
        <f ca="1" t="array" ref="F47">INDEX(Data_DBD!$F:$F,$A47)</f>
        <v>Sedang</v>
      </c>
      <c r="H47" s="36">
        <v>35</v>
      </c>
      <c r="I47" s="36">
        <v>40</v>
      </c>
      <c r="J47" s="36">
        <v>3</v>
      </c>
      <c r="K47" s="36">
        <v>4</v>
      </c>
      <c r="L47" s="36">
        <v>1</v>
      </c>
      <c r="M47" s="36" t="s">
        <v>26</v>
      </c>
    </row>
    <row r="48" spans="1:13">
      <c r="A48" s="36">
        <f ca="1" t="shared" si="0"/>
        <v>152</v>
      </c>
      <c r="B48" s="36">
        <f ca="1" t="array" ref="B48">INDEX(Data_DBD!$B:$B,$A48)</f>
        <v>47</v>
      </c>
      <c r="C48" s="36" t="str">
        <f ca="1" t="array" ref="C48">INDEX(Data_DBD!$C:$C,$A48)</f>
        <v>3 Hari</v>
      </c>
      <c r="D48" s="36">
        <f ca="1" t="array" ref="D48">INDEX(Data_DBD!$D:$D,$A48)</f>
        <v>21</v>
      </c>
      <c r="E48" s="36">
        <f ca="1" t="array" ref="E48">INDEX(Data_DBD!$E:$E,$A48)</f>
        <v>1</v>
      </c>
      <c r="F48" s="36" t="str">
        <f ca="1" t="array" ref="F48">INDEX(Data_DBD!$F:$F,$A48)</f>
        <v>Tinggi</v>
      </c>
      <c r="H48" s="36">
        <v>58</v>
      </c>
      <c r="I48" s="36">
        <v>17</v>
      </c>
      <c r="J48" s="36">
        <v>3</v>
      </c>
      <c r="K48" s="36">
        <v>15</v>
      </c>
      <c r="L48" s="36">
        <v>0</v>
      </c>
      <c r="M48" s="36" t="s">
        <v>8</v>
      </c>
    </row>
    <row r="49" spans="1:13">
      <c r="A49" s="36">
        <f ca="1" t="shared" si="0"/>
        <v>97</v>
      </c>
      <c r="B49" s="36">
        <f ca="1" t="array" ref="B49">INDEX(Data_DBD!$B:$B,$A49)</f>
        <v>16</v>
      </c>
      <c r="C49" s="36" t="str">
        <f ca="1" t="array" ref="C49">INDEX(Data_DBD!$C:$C,$A49)</f>
        <v>2 Hari</v>
      </c>
      <c r="D49" s="36">
        <f ca="1" t="array" ref="D49">INDEX(Data_DBD!$D:$D,$A49)</f>
        <v>18</v>
      </c>
      <c r="E49" s="36">
        <f ca="1" t="array" ref="E49">INDEX(Data_DBD!$E:$E,$A49)</f>
        <v>1</v>
      </c>
      <c r="F49" s="36" t="str">
        <f ca="1" t="array" ref="F49">INDEX(Data_DBD!$F:$F,$A49)</f>
        <v>Tinggi</v>
      </c>
      <c r="H49" s="36">
        <v>116</v>
      </c>
      <c r="I49" s="36">
        <v>32</v>
      </c>
      <c r="J49" s="36">
        <v>4</v>
      </c>
      <c r="K49" s="36">
        <v>33</v>
      </c>
      <c r="L49" s="36">
        <v>1</v>
      </c>
      <c r="M49" s="36" t="s">
        <v>105</v>
      </c>
    </row>
    <row r="50" spans="1:13">
      <c r="A50" s="36">
        <f ca="1" t="shared" si="0"/>
        <v>162</v>
      </c>
      <c r="B50" s="36">
        <f ca="1" t="array" ref="B50">INDEX(Data_DBD!$B:$B,$A50)</f>
        <v>22</v>
      </c>
      <c r="C50" s="36" t="str">
        <f ca="1" t="array" ref="C50">INDEX(Data_DBD!$C:$C,$A50)</f>
        <v>3 Hari</v>
      </c>
      <c r="D50" s="36">
        <f ca="1" t="array" ref="D50">INDEX(Data_DBD!$D:$D,$A50)</f>
        <v>3</v>
      </c>
      <c r="E50" s="36">
        <f ca="1" t="array" ref="E50">INDEX(Data_DBD!$E:$E,$A50)</f>
        <v>1</v>
      </c>
      <c r="F50" s="36" t="str">
        <f ca="1" t="array" ref="F50">INDEX(Data_DBD!$F:$F,$A50)</f>
        <v>Rendah</v>
      </c>
      <c r="H50" s="36">
        <v>156</v>
      </c>
      <c r="I50" s="36">
        <v>5</v>
      </c>
      <c r="J50" s="36">
        <v>2</v>
      </c>
      <c r="K50" s="36">
        <v>21</v>
      </c>
      <c r="L50" s="36">
        <v>0</v>
      </c>
      <c r="M50" s="36" t="s">
        <v>105</v>
      </c>
    </row>
    <row r="51" spans="1:13">
      <c r="A51" s="36">
        <f ca="1" t="shared" si="0"/>
        <v>104</v>
      </c>
      <c r="B51" s="36">
        <f ca="1" t="array" ref="B51">INDEX(Data_DBD!$B:$B,$A51)</f>
        <v>37</v>
      </c>
      <c r="C51" s="36" t="str">
        <f ca="1" t="array" ref="C51">INDEX(Data_DBD!$C:$C,$A51)</f>
        <v>4 Hari</v>
      </c>
      <c r="D51" s="36">
        <f ca="1" t="array" ref="D51">INDEX(Data_DBD!$D:$D,$A51)</f>
        <v>18</v>
      </c>
      <c r="E51" s="36">
        <f ca="1" t="array" ref="E51">INDEX(Data_DBD!$E:$E,$A51)</f>
        <v>1</v>
      </c>
      <c r="F51" s="36" t="str">
        <f ca="1" t="array" ref="F51">INDEX(Data_DBD!$F:$F,$A51)</f>
        <v>Tinggi</v>
      </c>
      <c r="H51" s="36">
        <v>25</v>
      </c>
      <c r="I51" s="36">
        <v>81</v>
      </c>
      <c r="J51" s="36">
        <v>5</v>
      </c>
      <c r="K51" s="36">
        <v>14</v>
      </c>
      <c r="L51" s="36">
        <v>0</v>
      </c>
      <c r="M51" s="36" t="s">
        <v>8</v>
      </c>
    </row>
    <row r="52" spans="1:13">
      <c r="A52" s="36">
        <f ca="1" t="shared" si="0"/>
        <v>65</v>
      </c>
      <c r="B52" s="36">
        <f ca="1" t="array" ref="B52">INDEX(Data_DBD!$B:$B,$A52)</f>
        <v>49</v>
      </c>
      <c r="C52" s="36" t="str">
        <f ca="1" t="array" ref="C52">INDEX(Data_DBD!$C:$C,$A52)</f>
        <v>3 Hari</v>
      </c>
      <c r="D52" s="36">
        <f ca="1" t="array" ref="D52">INDEX(Data_DBD!$D:$D,$A52)</f>
        <v>15</v>
      </c>
      <c r="E52" s="36">
        <f ca="1" t="array" ref="E52">INDEX(Data_DBD!$E:$E,$A52)</f>
        <v>0</v>
      </c>
      <c r="F52" s="36" t="str">
        <f ca="1" t="array" ref="F52">INDEX(Data_DBD!$F:$F,$A52)</f>
        <v>Sedang</v>
      </c>
      <c r="H52" s="36">
        <v>49</v>
      </c>
      <c r="I52" s="36">
        <v>64</v>
      </c>
      <c r="J52" s="36">
        <v>5</v>
      </c>
      <c r="K52" s="36">
        <v>13</v>
      </c>
      <c r="L52" s="36">
        <v>0</v>
      </c>
      <c r="M52" s="36" t="s">
        <v>8</v>
      </c>
    </row>
    <row r="53" spans="1:13">
      <c r="A53" s="36">
        <f ca="1" t="shared" si="0"/>
        <v>42</v>
      </c>
      <c r="B53" s="36">
        <f ca="1" t="array" ref="B53">INDEX(Data_DBD!$B:$B,$A53)</f>
        <v>21</v>
      </c>
      <c r="C53" s="36" t="str">
        <f ca="1" t="array" ref="C53">INDEX(Data_DBD!$C:$C,$A53)</f>
        <v>5 Hari</v>
      </c>
      <c r="D53" s="36">
        <f ca="1" t="array" ref="D53">INDEX(Data_DBD!$D:$D,$A53)</f>
        <v>13</v>
      </c>
      <c r="E53" s="36">
        <f ca="1" t="array" ref="E53">INDEX(Data_DBD!$E:$E,$A53)</f>
        <v>1</v>
      </c>
      <c r="F53" s="36" t="str">
        <f ca="1" t="array" ref="F53">INDEX(Data_DBD!$F:$F,$A53)</f>
        <v>Sedang</v>
      </c>
      <c r="H53" s="36">
        <v>10</v>
      </c>
      <c r="I53" s="36">
        <v>18</v>
      </c>
      <c r="J53" s="36">
        <v>5</v>
      </c>
      <c r="K53" s="36">
        <v>12</v>
      </c>
      <c r="L53" s="36">
        <v>0</v>
      </c>
      <c r="M53" s="36" t="s">
        <v>8</v>
      </c>
    </row>
    <row r="54" spans="1:13">
      <c r="A54" s="36">
        <f ca="1" t="shared" si="0"/>
        <v>164</v>
      </c>
      <c r="B54" s="36">
        <f ca="1" t="array" ref="B54">INDEX(Data_DBD!$B:$B,$A54)</f>
        <v>10</v>
      </c>
      <c r="C54" s="36" t="str">
        <f ca="1" t="array" ref="C54">INDEX(Data_DBD!$C:$C,$A54)</f>
        <v>6 Hari</v>
      </c>
      <c r="D54" s="36">
        <f ca="1" t="array" ref="D54">INDEX(Data_DBD!$D:$D,$A54)</f>
        <v>3</v>
      </c>
      <c r="E54" s="36">
        <f ca="1" t="array" ref="E54">INDEX(Data_DBD!$E:$E,$A54)</f>
        <v>0</v>
      </c>
      <c r="F54" s="36" t="str">
        <f ca="1" t="array" ref="F54">INDEX(Data_DBD!$F:$F,$A54)</f>
        <v>Rendah</v>
      </c>
      <c r="H54" s="36">
        <v>73</v>
      </c>
      <c r="I54" s="36">
        <v>15</v>
      </c>
      <c r="J54" s="36">
        <v>3</v>
      </c>
      <c r="K54" s="36">
        <v>10</v>
      </c>
      <c r="L54" s="36">
        <v>1</v>
      </c>
      <c r="M54" s="36" t="s">
        <v>8</v>
      </c>
    </row>
    <row r="55" spans="1:13">
      <c r="A55" s="36">
        <f ca="1" t="shared" si="0"/>
        <v>159</v>
      </c>
      <c r="B55" s="36">
        <f ca="1" t="array" ref="B55">INDEX(Data_DBD!$B:$B,$A55)</f>
        <v>17</v>
      </c>
      <c r="C55" s="36" t="str">
        <f ca="1" t="array" ref="C55">INDEX(Data_DBD!$C:$C,$A55)</f>
        <v>2 Hari</v>
      </c>
      <c r="D55" s="36">
        <f ca="1" t="array" ref="D55">INDEX(Data_DBD!$D:$D,$A55)</f>
        <v>21</v>
      </c>
      <c r="E55" s="36">
        <f ca="1" t="array" ref="E55">INDEX(Data_DBD!$E:$E,$A55)</f>
        <v>0</v>
      </c>
      <c r="F55" s="36" t="str">
        <f ca="1" t="array" ref="F55">INDEX(Data_DBD!$F:$F,$A55)</f>
        <v>Tinggi</v>
      </c>
      <c r="H55" s="36">
        <v>6</v>
      </c>
      <c r="I55" s="36">
        <v>14</v>
      </c>
      <c r="J55" s="36">
        <v>4</v>
      </c>
      <c r="K55" s="36">
        <v>12</v>
      </c>
      <c r="L55" s="36">
        <v>0</v>
      </c>
      <c r="M55" s="36" t="s">
        <v>8</v>
      </c>
    </row>
    <row r="56" spans="1:13">
      <c r="A56" s="36">
        <f ca="1" t="shared" si="0"/>
        <v>104</v>
      </c>
      <c r="B56" s="36">
        <f ca="1" t="array" ref="B56">INDEX(Data_DBD!$B:$B,$A56)</f>
        <v>37</v>
      </c>
      <c r="C56" s="36" t="str">
        <f ca="1" t="array" ref="C56">INDEX(Data_DBD!$C:$C,$A56)</f>
        <v>4 Hari</v>
      </c>
      <c r="D56" s="36">
        <f ca="1" t="array" ref="D56">INDEX(Data_DBD!$D:$D,$A56)</f>
        <v>18</v>
      </c>
      <c r="E56" s="36">
        <f ca="1" t="array" ref="E56">INDEX(Data_DBD!$E:$E,$A56)</f>
        <v>1</v>
      </c>
      <c r="F56" s="36" t="str">
        <f ca="1" t="array" ref="F56">INDEX(Data_DBD!$F:$F,$A56)</f>
        <v>Tinggi</v>
      </c>
      <c r="H56" s="36">
        <v>92</v>
      </c>
      <c r="I56" s="36">
        <v>55</v>
      </c>
      <c r="J56" s="36">
        <v>7</v>
      </c>
      <c r="K56" s="36">
        <v>18</v>
      </c>
      <c r="L56" s="36">
        <v>0</v>
      </c>
      <c r="M56" s="36" t="s">
        <v>105</v>
      </c>
    </row>
    <row r="57" spans="1:13">
      <c r="A57" s="36">
        <f ca="1" t="shared" si="0"/>
        <v>44</v>
      </c>
      <c r="B57" s="36">
        <f ca="1" t="array" ref="B57">INDEX(Data_DBD!$B:$B,$A57)</f>
        <v>28</v>
      </c>
      <c r="C57" s="36" t="str">
        <f ca="1" t="array" ref="C57">INDEX(Data_DBD!$C:$C,$A57)</f>
        <v>5 Hari</v>
      </c>
      <c r="D57" s="36">
        <f ca="1" t="array" ref="D57">INDEX(Data_DBD!$D:$D,$A57)</f>
        <v>13</v>
      </c>
      <c r="E57" s="36">
        <f ca="1" t="array" ref="E57">INDEX(Data_DBD!$E:$E,$A57)</f>
        <v>1</v>
      </c>
      <c r="F57" s="36" t="str">
        <f ca="1" t="array" ref="F57">INDEX(Data_DBD!$F:$F,$A57)</f>
        <v>Sedang</v>
      </c>
      <c r="H57" s="36">
        <v>99</v>
      </c>
      <c r="I57" s="36">
        <v>4</v>
      </c>
      <c r="J57" s="36">
        <v>2</v>
      </c>
      <c r="K57" s="36">
        <v>18</v>
      </c>
      <c r="L57" s="36">
        <v>1</v>
      </c>
      <c r="M57" s="36" t="s">
        <v>105</v>
      </c>
    </row>
    <row r="58" spans="1:13">
      <c r="A58" s="36">
        <f ca="1" t="shared" si="0"/>
        <v>33</v>
      </c>
      <c r="B58" s="36">
        <f ca="1" t="array" ref="B58">INDEX(Data_DBD!$B:$B,$A58)</f>
        <v>19</v>
      </c>
      <c r="C58" s="36" t="str">
        <f ca="1" t="array" ref="C58">INDEX(Data_DBD!$C:$C,$A58)</f>
        <v>4 Hari</v>
      </c>
      <c r="D58" s="36">
        <f ca="1" t="array" ref="D58">INDEX(Data_DBD!$D:$D,$A58)</f>
        <v>14</v>
      </c>
      <c r="E58" s="36">
        <f ca="1" t="array" ref="E58">INDEX(Data_DBD!$E:$E,$A58)</f>
        <v>1</v>
      </c>
      <c r="F58" s="36" t="str">
        <f ca="1" t="array" ref="F58">INDEX(Data_DBD!$F:$F,$A58)</f>
        <v>Sedang</v>
      </c>
      <c r="H58" s="36">
        <v>62</v>
      </c>
      <c r="I58" s="36">
        <v>43</v>
      </c>
      <c r="J58" s="36">
        <v>4</v>
      </c>
      <c r="K58" s="36">
        <v>15</v>
      </c>
      <c r="L58" s="36">
        <v>1</v>
      </c>
      <c r="M58" s="36" t="s">
        <v>8</v>
      </c>
    </row>
    <row r="59" spans="1:13">
      <c r="A59" s="36">
        <f ca="1" t="shared" si="0"/>
        <v>64</v>
      </c>
      <c r="B59" s="36">
        <f ca="1" t="array" ref="B59">INDEX(Data_DBD!$B:$B,$A59)</f>
        <v>35</v>
      </c>
      <c r="C59" s="36" t="str">
        <f ca="1" t="array" ref="C59">INDEX(Data_DBD!$C:$C,$A59)</f>
        <v>1 Hari</v>
      </c>
      <c r="D59" s="36">
        <f ca="1" t="array" ref="D59">INDEX(Data_DBD!$D:$D,$A59)</f>
        <v>15</v>
      </c>
      <c r="E59" s="36">
        <f ca="1" t="array" ref="E59">INDEX(Data_DBD!$E:$E,$A59)</f>
        <v>0</v>
      </c>
      <c r="F59" s="36" t="str">
        <f ca="1" t="array" ref="F59">INDEX(Data_DBD!$F:$F,$A59)</f>
        <v>Sedang</v>
      </c>
      <c r="H59" s="36">
        <v>65</v>
      </c>
      <c r="I59" s="36">
        <v>49</v>
      </c>
      <c r="J59" s="36">
        <v>3</v>
      </c>
      <c r="K59" s="36">
        <v>15</v>
      </c>
      <c r="L59" s="36">
        <v>0</v>
      </c>
      <c r="M59" s="36" t="s">
        <v>8</v>
      </c>
    </row>
    <row r="60" spans="1:13">
      <c r="A60" s="36">
        <f ca="1" t="shared" si="0"/>
        <v>18</v>
      </c>
      <c r="B60" s="36">
        <f ca="1" t="array" ref="B60">INDEX(Data_DBD!$B:$B,$A60)</f>
        <v>49</v>
      </c>
      <c r="C60" s="36" t="str">
        <f ca="1" t="array" ref="C60">INDEX(Data_DBD!$C:$C,$A60)</f>
        <v>4 Hari</v>
      </c>
      <c r="D60" s="36">
        <f ca="1" t="array" ref="D60">INDEX(Data_DBD!$D:$D,$A60)</f>
        <v>7</v>
      </c>
      <c r="E60" s="36">
        <f ca="1" t="array" ref="E60">INDEX(Data_DBD!$E:$E,$A60)</f>
        <v>1</v>
      </c>
      <c r="F60" s="36" t="str">
        <f ca="1" t="array" ref="F60">INDEX(Data_DBD!$F:$F,$A60)</f>
        <v>Rendah</v>
      </c>
      <c r="H60" s="36">
        <v>163</v>
      </c>
      <c r="I60" s="36">
        <v>34</v>
      </c>
      <c r="J60" s="36">
        <v>4</v>
      </c>
      <c r="K60" s="36">
        <v>3</v>
      </c>
      <c r="L60" s="36">
        <v>1</v>
      </c>
      <c r="M60" s="36" t="s">
        <v>26</v>
      </c>
    </row>
    <row r="61" spans="1:13">
      <c r="A61" s="36">
        <f ca="1" t="shared" si="0"/>
        <v>92</v>
      </c>
      <c r="B61" s="36">
        <f ca="1" t="array" ref="B61">INDEX(Data_DBD!$B:$B,$A61)</f>
        <v>55</v>
      </c>
      <c r="C61" s="36" t="str">
        <f ca="1" t="array" ref="C61">INDEX(Data_DBD!$C:$C,$A61)</f>
        <v>7 Hari</v>
      </c>
      <c r="D61" s="36">
        <f ca="1" t="array" ref="D61">INDEX(Data_DBD!$D:$D,$A61)</f>
        <v>18</v>
      </c>
      <c r="E61" s="36">
        <f ca="1" t="array" ref="E61">INDEX(Data_DBD!$E:$E,$A61)</f>
        <v>0</v>
      </c>
      <c r="F61" s="36" t="str">
        <f ca="1" t="array" ref="F61">INDEX(Data_DBD!$F:$F,$A61)</f>
        <v>Tinggi</v>
      </c>
      <c r="H61" s="36">
        <v>38</v>
      </c>
      <c r="I61" s="36">
        <v>52</v>
      </c>
      <c r="J61" s="36">
        <v>3</v>
      </c>
      <c r="K61" s="36">
        <v>4</v>
      </c>
      <c r="L61" s="36">
        <v>1</v>
      </c>
      <c r="M61" s="36" t="s">
        <v>26</v>
      </c>
    </row>
    <row r="62" spans="1:13">
      <c r="A62" s="36">
        <f ca="1" t="shared" si="0"/>
        <v>100</v>
      </c>
      <c r="B62" s="36">
        <f ca="1" t="array" ref="B62">INDEX(Data_DBD!$B:$B,$A62)</f>
        <v>19</v>
      </c>
      <c r="C62" s="36" t="str">
        <f ca="1" t="array" ref="C62">INDEX(Data_DBD!$C:$C,$A62)</f>
        <v>6 Hari</v>
      </c>
      <c r="D62" s="36">
        <f ca="1" t="array" ref="D62">INDEX(Data_DBD!$D:$D,$A62)</f>
        <v>18</v>
      </c>
      <c r="E62" s="36">
        <f ca="1" t="array" ref="E62">INDEX(Data_DBD!$E:$E,$A62)</f>
        <v>0</v>
      </c>
      <c r="F62" s="36" t="str">
        <f ca="1" t="array" ref="F62">INDEX(Data_DBD!$F:$F,$A62)</f>
        <v>Tinggi</v>
      </c>
      <c r="H62" s="36">
        <v>123</v>
      </c>
      <c r="I62" s="36">
        <v>22</v>
      </c>
      <c r="J62" s="36">
        <v>4</v>
      </c>
      <c r="K62" s="36">
        <v>33</v>
      </c>
      <c r="L62" s="36">
        <v>0</v>
      </c>
      <c r="M62" s="36" t="s">
        <v>105</v>
      </c>
    </row>
    <row r="63" spans="1:13">
      <c r="A63" s="36">
        <f ca="1" t="shared" si="0"/>
        <v>163</v>
      </c>
      <c r="B63" s="36">
        <f ca="1" t="array" ref="B63">INDEX(Data_DBD!$B:$B,$A63)</f>
        <v>34</v>
      </c>
      <c r="C63" s="36" t="str">
        <f ca="1" t="array" ref="C63">INDEX(Data_DBD!$C:$C,$A63)</f>
        <v>4 Hari</v>
      </c>
      <c r="D63" s="36">
        <f ca="1" t="array" ref="D63">INDEX(Data_DBD!$D:$D,$A63)</f>
        <v>3</v>
      </c>
      <c r="E63" s="36">
        <f ca="1" t="array" ref="E63">INDEX(Data_DBD!$E:$E,$A63)</f>
        <v>1</v>
      </c>
      <c r="F63" s="36" t="str">
        <f ca="1" t="array" ref="F63">INDEX(Data_DBD!$F:$F,$A63)</f>
        <v>Rendah</v>
      </c>
      <c r="H63" s="36">
        <v>151</v>
      </c>
      <c r="I63" s="36">
        <v>24</v>
      </c>
      <c r="J63" s="36">
        <v>3</v>
      </c>
      <c r="K63" s="36">
        <v>21</v>
      </c>
      <c r="L63" s="36">
        <v>0</v>
      </c>
      <c r="M63" s="36" t="s">
        <v>105</v>
      </c>
    </row>
    <row r="64" spans="1:13">
      <c r="A64" s="36">
        <f ca="1" t="shared" si="0"/>
        <v>56</v>
      </c>
      <c r="B64" s="36">
        <f ca="1" t="array" ref="B64">INDEX(Data_DBD!$B:$B,$A64)</f>
        <v>4</v>
      </c>
      <c r="C64" s="36" t="str">
        <f ca="1" t="array" ref="C64">INDEX(Data_DBD!$C:$C,$A64)</f>
        <v>3 Hari</v>
      </c>
      <c r="D64" s="36">
        <f ca="1" t="array" ref="D64">INDEX(Data_DBD!$D:$D,$A64)</f>
        <v>15</v>
      </c>
      <c r="E64" s="36">
        <f ca="1" t="array" ref="E64">INDEX(Data_DBD!$E:$E,$A64)</f>
        <v>0</v>
      </c>
      <c r="F64" s="36" t="str">
        <f ca="1" t="array" ref="F64">INDEX(Data_DBD!$F:$F,$A64)</f>
        <v>Sedang</v>
      </c>
      <c r="H64" s="36">
        <v>164</v>
      </c>
      <c r="I64" s="36">
        <v>10</v>
      </c>
      <c r="J64" s="36">
        <v>6</v>
      </c>
      <c r="K64" s="36">
        <v>3</v>
      </c>
      <c r="L64" s="36">
        <v>0</v>
      </c>
      <c r="M64" s="36" t="s">
        <v>26</v>
      </c>
    </row>
    <row r="65" spans="1:13">
      <c r="A65" s="36">
        <f ca="1" t="shared" si="0"/>
        <v>56</v>
      </c>
      <c r="B65" s="36">
        <f ca="1" t="array" ref="B65">INDEX(Data_DBD!$B:$B,$A65)</f>
        <v>4</v>
      </c>
      <c r="C65" s="36" t="str">
        <f ca="1" t="array" ref="C65">INDEX(Data_DBD!$C:$C,$A65)</f>
        <v>3 Hari</v>
      </c>
      <c r="D65" s="36">
        <f ca="1" t="array" ref="D65">INDEX(Data_DBD!$D:$D,$A65)</f>
        <v>15</v>
      </c>
      <c r="E65" s="36">
        <f ca="1" t="array" ref="E65">INDEX(Data_DBD!$E:$E,$A65)</f>
        <v>0</v>
      </c>
      <c r="F65" s="36" t="str">
        <f ca="1" t="array" ref="F65">INDEX(Data_DBD!$F:$F,$A65)</f>
        <v>Sedang</v>
      </c>
      <c r="H65" s="36">
        <v>140</v>
      </c>
      <c r="I65" s="36">
        <v>74</v>
      </c>
      <c r="J65" s="36">
        <v>5</v>
      </c>
      <c r="K65" s="36">
        <v>21</v>
      </c>
      <c r="L65" s="36">
        <v>1</v>
      </c>
      <c r="M65" s="36" t="s">
        <v>105</v>
      </c>
    </row>
    <row r="66" spans="1:13">
      <c r="A66" s="36">
        <f ca="1" t="shared" si="0"/>
        <v>35</v>
      </c>
      <c r="B66" s="36">
        <f ca="1" t="array" ref="B66">INDEX(Data_DBD!$B:$B,$A66)</f>
        <v>40</v>
      </c>
      <c r="C66" s="36" t="str">
        <f ca="1" t="array" ref="C66">INDEX(Data_DBD!$C:$C,$A66)</f>
        <v>3 Hari</v>
      </c>
      <c r="D66" s="36">
        <f ca="1" t="array" ref="D66">INDEX(Data_DBD!$D:$D,$A66)</f>
        <v>4</v>
      </c>
      <c r="E66" s="36">
        <f ca="1" t="array" ref="E66">INDEX(Data_DBD!$E:$E,$A66)</f>
        <v>1</v>
      </c>
      <c r="F66" s="36" t="str">
        <f ca="1" t="array" ref="F66">INDEX(Data_DBD!$F:$F,$A66)</f>
        <v>Rendah</v>
      </c>
      <c r="H66" s="36">
        <v>112</v>
      </c>
      <c r="I66" s="36">
        <v>61</v>
      </c>
      <c r="J66" s="36">
        <v>3</v>
      </c>
      <c r="K66" s="36">
        <v>33</v>
      </c>
      <c r="L66" s="36">
        <v>1</v>
      </c>
      <c r="M66" s="36" t="s">
        <v>105</v>
      </c>
    </row>
    <row r="67" spans="1:13">
      <c r="A67" s="36">
        <f ca="1" t="shared" ref="A67:A130" si="1">RANDBETWEEN(2,164)</f>
        <v>84</v>
      </c>
      <c r="B67" s="36">
        <f ca="1" t="array" ref="B67">INDEX(Data_DBD!$B:$B,$A67)</f>
        <v>42</v>
      </c>
      <c r="C67" s="36" t="str">
        <f ca="1" t="array" ref="C67">INDEX(Data_DBD!$C:$C,$A67)</f>
        <v>4 Hari</v>
      </c>
      <c r="D67" s="36">
        <f ca="1" t="array" ref="D67">INDEX(Data_DBD!$D:$D,$A67)</f>
        <v>13</v>
      </c>
      <c r="E67" s="36">
        <f ca="1" t="array" ref="E67">INDEX(Data_DBD!$E:$E,$A67)</f>
        <v>1</v>
      </c>
      <c r="F67" s="36" t="str">
        <f ca="1" t="array" ref="F67">INDEX(Data_DBD!$F:$F,$A67)</f>
        <v>Sedang</v>
      </c>
      <c r="H67" s="36">
        <v>124</v>
      </c>
      <c r="I67" s="36">
        <v>24</v>
      </c>
      <c r="J67" s="36">
        <v>3</v>
      </c>
      <c r="K67" s="36">
        <v>33</v>
      </c>
      <c r="L67" s="36">
        <v>1</v>
      </c>
      <c r="M67" s="36" t="s">
        <v>105</v>
      </c>
    </row>
    <row r="68" spans="1:13">
      <c r="A68" s="36">
        <f ca="1" t="shared" si="1"/>
        <v>13</v>
      </c>
      <c r="B68" s="36">
        <f ca="1" t="array" ref="B68">INDEX(Data_DBD!$B:$B,$A68)</f>
        <v>47</v>
      </c>
      <c r="C68" s="36" t="str">
        <f ca="1" t="array" ref="C68">INDEX(Data_DBD!$C:$C,$A68)</f>
        <v>2 Hari</v>
      </c>
      <c r="D68" s="36">
        <f ca="1" t="array" ref="D68">INDEX(Data_DBD!$D:$D,$A68)</f>
        <v>12</v>
      </c>
      <c r="E68" s="36">
        <f ca="1" t="array" ref="E68">INDEX(Data_DBD!$E:$E,$A68)</f>
        <v>0</v>
      </c>
      <c r="F68" s="36" t="str">
        <f ca="1" t="array" ref="F68">INDEX(Data_DBD!$F:$F,$A68)</f>
        <v>Sedang</v>
      </c>
      <c r="H68" s="36">
        <v>131</v>
      </c>
      <c r="I68" s="36">
        <v>10</v>
      </c>
      <c r="J68" s="36">
        <v>2</v>
      </c>
      <c r="K68" s="36">
        <v>33</v>
      </c>
      <c r="L68" s="36">
        <v>0</v>
      </c>
      <c r="M68" s="36" t="s">
        <v>105</v>
      </c>
    </row>
    <row r="69" spans="1:13">
      <c r="A69" s="36">
        <f ca="1" t="shared" si="1"/>
        <v>145</v>
      </c>
      <c r="B69" s="36">
        <f ca="1" t="array" ref="B69">INDEX(Data_DBD!$B:$B,$A69)</f>
        <v>28</v>
      </c>
      <c r="C69" s="36" t="str">
        <f ca="1" t="array" ref="C69">INDEX(Data_DBD!$C:$C,$A69)</f>
        <v>4 Hari</v>
      </c>
      <c r="D69" s="36">
        <f ca="1" t="array" ref="D69">INDEX(Data_DBD!$D:$D,$A69)</f>
        <v>21</v>
      </c>
      <c r="E69" s="36">
        <f ca="1" t="array" ref="E69">INDEX(Data_DBD!$E:$E,$A69)</f>
        <v>1</v>
      </c>
      <c r="F69" s="36" t="str">
        <f ca="1" t="array" ref="F69">INDEX(Data_DBD!$F:$F,$A69)</f>
        <v>Tinggi</v>
      </c>
      <c r="H69" s="36">
        <v>60</v>
      </c>
      <c r="I69" s="36">
        <v>68</v>
      </c>
      <c r="J69" s="36">
        <v>4</v>
      </c>
      <c r="K69" s="36">
        <v>15</v>
      </c>
      <c r="L69" s="36">
        <v>0</v>
      </c>
      <c r="M69" s="36" t="s">
        <v>8</v>
      </c>
    </row>
    <row r="70" spans="1:13">
      <c r="A70" s="36">
        <f ca="1" t="shared" si="1"/>
        <v>29</v>
      </c>
      <c r="B70" s="36">
        <f ca="1" t="array" ref="B70">INDEX(Data_DBD!$B:$B,$A70)</f>
        <v>19</v>
      </c>
      <c r="C70" s="36" t="str">
        <f ca="1" t="array" ref="C70">INDEX(Data_DBD!$C:$C,$A70)</f>
        <v>2 Hari</v>
      </c>
      <c r="D70" s="36">
        <f ca="1" t="array" ref="D70">INDEX(Data_DBD!$D:$D,$A70)</f>
        <v>14</v>
      </c>
      <c r="E70" s="36">
        <f ca="1" t="array" ref="E70">INDEX(Data_DBD!$E:$E,$A70)</f>
        <v>1</v>
      </c>
      <c r="F70" s="36" t="str">
        <f ca="1" t="array" ref="F70">INDEX(Data_DBD!$F:$F,$A70)</f>
        <v>Sedang</v>
      </c>
      <c r="H70" s="36">
        <v>131</v>
      </c>
      <c r="I70" s="36">
        <v>10</v>
      </c>
      <c r="J70" s="36">
        <v>2</v>
      </c>
      <c r="K70" s="36">
        <v>33</v>
      </c>
      <c r="L70" s="36">
        <v>0</v>
      </c>
      <c r="M70" s="36" t="s">
        <v>105</v>
      </c>
    </row>
    <row r="71" spans="1:13">
      <c r="A71" s="36">
        <f ca="1" t="shared" si="1"/>
        <v>144</v>
      </c>
      <c r="B71" s="36">
        <f ca="1" t="array" ref="B71">INDEX(Data_DBD!$B:$B,$A71)</f>
        <v>61</v>
      </c>
      <c r="C71" s="36" t="str">
        <f ca="1" t="array" ref="C71">INDEX(Data_DBD!$C:$C,$A71)</f>
        <v>4 Hari</v>
      </c>
      <c r="D71" s="36">
        <f ca="1" t="array" ref="D71">INDEX(Data_DBD!$D:$D,$A71)</f>
        <v>21</v>
      </c>
      <c r="E71" s="36">
        <f ca="1" t="array" ref="E71">INDEX(Data_DBD!$E:$E,$A71)</f>
        <v>1</v>
      </c>
      <c r="F71" s="36" t="str">
        <f ca="1" t="array" ref="F71">INDEX(Data_DBD!$F:$F,$A71)</f>
        <v>Tinggi</v>
      </c>
      <c r="H71" s="36">
        <v>86</v>
      </c>
      <c r="I71" s="36">
        <v>23</v>
      </c>
      <c r="J71" s="36">
        <v>3</v>
      </c>
      <c r="K71" s="36">
        <v>13</v>
      </c>
      <c r="L71" s="36">
        <v>0</v>
      </c>
      <c r="M71" s="36" t="s">
        <v>8</v>
      </c>
    </row>
    <row r="72" spans="1:13">
      <c r="A72" s="36">
        <f ca="1" t="shared" si="1"/>
        <v>149</v>
      </c>
      <c r="B72" s="36">
        <f ca="1" t="array" ref="B72">INDEX(Data_DBD!$B:$B,$A72)</f>
        <v>19</v>
      </c>
      <c r="C72" s="36" t="str">
        <f ca="1" t="array" ref="C72">INDEX(Data_DBD!$C:$C,$A72)</f>
        <v>5 Hari</v>
      </c>
      <c r="D72" s="36">
        <f ca="1" t="array" ref="D72">INDEX(Data_DBD!$D:$D,$A72)</f>
        <v>21</v>
      </c>
      <c r="E72" s="36">
        <f ca="1" t="array" ref="E72">INDEX(Data_DBD!$E:$E,$A72)</f>
        <v>0</v>
      </c>
      <c r="F72" s="36" t="str">
        <f ca="1" t="array" ref="F72">INDEX(Data_DBD!$F:$F,$A72)</f>
        <v>Tinggi</v>
      </c>
      <c r="H72" s="36">
        <v>73</v>
      </c>
      <c r="I72" s="36">
        <v>15</v>
      </c>
      <c r="J72" s="36">
        <v>3</v>
      </c>
      <c r="K72" s="36">
        <v>10</v>
      </c>
      <c r="L72" s="36">
        <v>1</v>
      </c>
      <c r="M72" s="36" t="s">
        <v>8</v>
      </c>
    </row>
    <row r="73" spans="1:13">
      <c r="A73" s="36">
        <f ca="1" t="shared" si="1"/>
        <v>99</v>
      </c>
      <c r="B73" s="36">
        <f ca="1" t="array" ref="B73">INDEX(Data_DBD!$B:$B,$A73)</f>
        <v>4</v>
      </c>
      <c r="C73" s="36" t="str">
        <f ca="1" t="array" ref="C73">INDEX(Data_DBD!$C:$C,$A73)</f>
        <v>2 Hari</v>
      </c>
      <c r="D73" s="36">
        <f ca="1" t="array" ref="D73">INDEX(Data_DBD!$D:$D,$A73)</f>
        <v>18</v>
      </c>
      <c r="E73" s="36">
        <f ca="1" t="array" ref="E73">INDEX(Data_DBD!$E:$E,$A73)</f>
        <v>1</v>
      </c>
      <c r="F73" s="36" t="str">
        <f ca="1" t="array" ref="F73">INDEX(Data_DBD!$F:$F,$A73)</f>
        <v>Tinggi</v>
      </c>
      <c r="H73" s="36">
        <v>36</v>
      </c>
      <c r="I73" s="36">
        <v>27</v>
      </c>
      <c r="J73" s="36">
        <v>1</v>
      </c>
      <c r="K73" s="36">
        <v>4</v>
      </c>
      <c r="L73" s="36">
        <v>1</v>
      </c>
      <c r="M73" s="36" t="s">
        <v>26</v>
      </c>
    </row>
    <row r="74" spans="1:13">
      <c r="A74" s="36">
        <f ca="1" t="shared" si="1"/>
        <v>119</v>
      </c>
      <c r="B74" s="36">
        <f ca="1" t="array" ref="B74">INDEX(Data_DBD!$B:$B,$A74)</f>
        <v>30</v>
      </c>
      <c r="C74" s="36" t="str">
        <f ca="1" t="array" ref="C74">INDEX(Data_DBD!$C:$C,$A74)</f>
        <v>7 Hari</v>
      </c>
      <c r="D74" s="36">
        <f ca="1" t="array" ref="D74">INDEX(Data_DBD!$D:$D,$A74)</f>
        <v>33</v>
      </c>
      <c r="E74" s="36">
        <f ca="1" t="array" ref="E74">INDEX(Data_DBD!$E:$E,$A74)</f>
        <v>0</v>
      </c>
      <c r="F74" s="36" t="str">
        <f ca="1" t="array" ref="F74">INDEX(Data_DBD!$F:$F,$A74)</f>
        <v>Tinggi</v>
      </c>
      <c r="H74" s="36">
        <v>149</v>
      </c>
      <c r="I74" s="36">
        <v>19</v>
      </c>
      <c r="J74" s="36">
        <v>5</v>
      </c>
      <c r="K74" s="36">
        <v>21</v>
      </c>
      <c r="L74" s="36">
        <v>0</v>
      </c>
      <c r="M74" s="36" t="s">
        <v>105</v>
      </c>
    </row>
    <row r="75" spans="1:13">
      <c r="A75" s="36">
        <f ca="1" t="shared" si="1"/>
        <v>162</v>
      </c>
      <c r="B75" s="36">
        <f ca="1" t="array" ref="B75">INDEX(Data_DBD!$B:$B,$A75)</f>
        <v>22</v>
      </c>
      <c r="C75" s="36" t="str">
        <f ca="1" t="array" ref="C75">INDEX(Data_DBD!$C:$C,$A75)</f>
        <v>3 Hari</v>
      </c>
      <c r="D75" s="36">
        <f ca="1" t="array" ref="D75">INDEX(Data_DBD!$D:$D,$A75)</f>
        <v>3</v>
      </c>
      <c r="E75" s="36">
        <f ca="1" t="array" ref="E75">INDEX(Data_DBD!$E:$E,$A75)</f>
        <v>1</v>
      </c>
      <c r="F75" s="36" t="str">
        <f ca="1" t="array" ref="F75">INDEX(Data_DBD!$F:$F,$A75)</f>
        <v>Rendah</v>
      </c>
      <c r="H75" s="36">
        <v>164</v>
      </c>
      <c r="I75" s="36">
        <v>10</v>
      </c>
      <c r="J75" s="36">
        <v>6</v>
      </c>
      <c r="K75" s="36">
        <v>3</v>
      </c>
      <c r="L75" s="36">
        <v>0</v>
      </c>
      <c r="M75" s="36" t="s">
        <v>26</v>
      </c>
    </row>
    <row r="76" spans="1:13">
      <c r="A76" s="36">
        <f ca="1" t="shared" si="1"/>
        <v>159</v>
      </c>
      <c r="B76" s="36">
        <f ca="1" t="array" ref="B76">INDEX(Data_DBD!$B:$B,$A76)</f>
        <v>17</v>
      </c>
      <c r="C76" s="36" t="str">
        <f ca="1" t="array" ref="C76">INDEX(Data_DBD!$C:$C,$A76)</f>
        <v>2 Hari</v>
      </c>
      <c r="D76" s="36">
        <f ca="1" t="array" ref="D76">INDEX(Data_DBD!$D:$D,$A76)</f>
        <v>21</v>
      </c>
      <c r="E76" s="36">
        <f ca="1" t="array" ref="E76">INDEX(Data_DBD!$E:$E,$A76)</f>
        <v>0</v>
      </c>
      <c r="F76" s="36" t="str">
        <f ca="1" t="array" ref="F76">INDEX(Data_DBD!$F:$F,$A76)</f>
        <v>Tinggi</v>
      </c>
      <c r="H76" s="36">
        <v>32</v>
      </c>
      <c r="I76" s="36">
        <v>54</v>
      </c>
      <c r="J76" s="36">
        <v>4</v>
      </c>
      <c r="K76" s="36">
        <v>14</v>
      </c>
      <c r="L76" s="36">
        <v>0</v>
      </c>
      <c r="M76" s="36" t="s">
        <v>8</v>
      </c>
    </row>
    <row r="77" spans="1:13">
      <c r="A77" s="36">
        <f ca="1" t="shared" si="1"/>
        <v>60</v>
      </c>
      <c r="B77" s="36">
        <f ca="1" t="array" ref="B77">INDEX(Data_DBD!$B:$B,$A77)</f>
        <v>68</v>
      </c>
      <c r="C77" s="36" t="str">
        <f ca="1" t="array" ref="C77">INDEX(Data_DBD!$C:$C,$A77)</f>
        <v>4 Hari</v>
      </c>
      <c r="D77" s="36">
        <f ca="1" t="array" ref="D77">INDEX(Data_DBD!$D:$D,$A77)</f>
        <v>15</v>
      </c>
      <c r="E77" s="36">
        <f ca="1" t="array" ref="E77">INDEX(Data_DBD!$E:$E,$A77)</f>
        <v>0</v>
      </c>
      <c r="F77" s="36" t="str">
        <f ca="1" t="array" ref="F77">INDEX(Data_DBD!$F:$F,$A77)</f>
        <v>Sedang</v>
      </c>
      <c r="H77" s="36">
        <v>138</v>
      </c>
      <c r="I77" s="36">
        <v>13</v>
      </c>
      <c r="J77" s="36">
        <v>3</v>
      </c>
      <c r="K77" s="36">
        <v>33</v>
      </c>
      <c r="L77" s="36">
        <v>1</v>
      </c>
      <c r="M77" s="36" t="s">
        <v>105</v>
      </c>
    </row>
    <row r="78" spans="1:13">
      <c r="A78" s="36">
        <f ca="1" t="shared" si="1"/>
        <v>162</v>
      </c>
      <c r="B78" s="36">
        <f ca="1" t="array" ref="B78">INDEX(Data_DBD!$B:$B,$A78)</f>
        <v>22</v>
      </c>
      <c r="C78" s="36" t="str">
        <f ca="1" t="array" ref="C78">INDEX(Data_DBD!$C:$C,$A78)</f>
        <v>3 Hari</v>
      </c>
      <c r="D78" s="36">
        <f ca="1" t="array" ref="D78">INDEX(Data_DBD!$D:$D,$A78)</f>
        <v>3</v>
      </c>
      <c r="E78" s="36">
        <f ca="1" t="array" ref="E78">INDEX(Data_DBD!$E:$E,$A78)</f>
        <v>1</v>
      </c>
      <c r="F78" s="36" t="str">
        <f ca="1" t="array" ref="F78">INDEX(Data_DBD!$F:$F,$A78)</f>
        <v>Rendah</v>
      </c>
      <c r="H78" s="36">
        <v>105</v>
      </c>
      <c r="I78" s="36">
        <v>61</v>
      </c>
      <c r="J78" s="36">
        <v>3</v>
      </c>
      <c r="K78" s="36">
        <v>18</v>
      </c>
      <c r="L78" s="36">
        <v>1</v>
      </c>
      <c r="M78" s="36" t="s">
        <v>105</v>
      </c>
    </row>
    <row r="79" spans="1:13">
      <c r="A79" s="36">
        <f ca="1" t="shared" si="1"/>
        <v>119</v>
      </c>
      <c r="B79" s="36">
        <f ca="1" t="array" ref="B79">INDEX(Data_DBD!$B:$B,$A79)</f>
        <v>30</v>
      </c>
      <c r="C79" s="36" t="str">
        <f ca="1" t="array" ref="C79">INDEX(Data_DBD!$C:$C,$A79)</f>
        <v>7 Hari</v>
      </c>
      <c r="D79" s="36">
        <f ca="1" t="array" ref="D79">INDEX(Data_DBD!$D:$D,$A79)</f>
        <v>33</v>
      </c>
      <c r="E79" s="36">
        <f ca="1" t="array" ref="E79">INDEX(Data_DBD!$E:$E,$A79)</f>
        <v>0</v>
      </c>
      <c r="F79" s="36" t="str">
        <f ca="1" t="array" ref="F79">INDEX(Data_DBD!$F:$F,$A79)</f>
        <v>Tinggi</v>
      </c>
      <c r="H79" s="36">
        <v>76</v>
      </c>
      <c r="I79" s="36">
        <v>70</v>
      </c>
      <c r="J79" s="36">
        <v>2</v>
      </c>
      <c r="K79" s="36">
        <v>10</v>
      </c>
      <c r="L79" s="36">
        <v>0</v>
      </c>
      <c r="M79" s="36" t="s">
        <v>8</v>
      </c>
    </row>
    <row r="80" spans="1:13">
      <c r="A80" s="36">
        <f ca="1" t="shared" si="1"/>
        <v>23</v>
      </c>
      <c r="B80" s="36">
        <f ca="1" t="array" ref="B80">INDEX(Data_DBD!$B:$B,$A80)</f>
        <v>28</v>
      </c>
      <c r="C80" s="36" t="str">
        <f ca="1" t="array" ref="C80">INDEX(Data_DBD!$C:$C,$A80)</f>
        <v>4 Hari</v>
      </c>
      <c r="D80" s="36">
        <f ca="1" t="array" ref="D80">INDEX(Data_DBD!$D:$D,$A80)</f>
        <v>14</v>
      </c>
      <c r="E80" s="36">
        <f ca="1" t="array" ref="E80">INDEX(Data_DBD!$E:$E,$A80)</f>
        <v>1</v>
      </c>
      <c r="F80" s="36" t="str">
        <f ca="1" t="array" ref="F80">INDEX(Data_DBD!$F:$F,$A80)</f>
        <v>Sedang</v>
      </c>
      <c r="H80" s="36">
        <v>129</v>
      </c>
      <c r="I80" s="36">
        <v>4</v>
      </c>
      <c r="J80" s="36">
        <v>3</v>
      </c>
      <c r="K80" s="36">
        <v>33</v>
      </c>
      <c r="L80" s="36">
        <v>0</v>
      </c>
      <c r="M80" s="36" t="s">
        <v>105</v>
      </c>
    </row>
    <row r="81" spans="1:13">
      <c r="A81" s="36">
        <f ca="1" t="shared" si="1"/>
        <v>32</v>
      </c>
      <c r="B81" s="36">
        <f ca="1" t="array" ref="B81">INDEX(Data_DBD!$B:$B,$A81)</f>
        <v>54</v>
      </c>
      <c r="C81" s="36" t="str">
        <f ca="1" t="array" ref="C81">INDEX(Data_DBD!$C:$C,$A81)</f>
        <v>4 Hari</v>
      </c>
      <c r="D81" s="36">
        <f ca="1" t="array" ref="D81">INDEX(Data_DBD!$D:$D,$A81)</f>
        <v>14</v>
      </c>
      <c r="E81" s="36">
        <f ca="1" t="array" ref="E81">INDEX(Data_DBD!$E:$E,$A81)</f>
        <v>0</v>
      </c>
      <c r="F81" s="36" t="str">
        <f ca="1" t="array" ref="F81">INDEX(Data_DBD!$F:$F,$A81)</f>
        <v>Sedang</v>
      </c>
      <c r="H81" s="36">
        <v>156</v>
      </c>
      <c r="I81" s="36">
        <v>5</v>
      </c>
      <c r="J81" s="36">
        <v>2</v>
      </c>
      <c r="K81" s="36">
        <v>21</v>
      </c>
      <c r="L81" s="36">
        <v>0</v>
      </c>
      <c r="M81" s="36" t="s">
        <v>105</v>
      </c>
    </row>
    <row r="82" spans="1:13">
      <c r="A82" s="36">
        <f ca="1" t="shared" si="1"/>
        <v>146</v>
      </c>
      <c r="B82" s="36">
        <f ca="1" t="array" ref="B82">INDEX(Data_DBD!$B:$B,$A82)</f>
        <v>34</v>
      </c>
      <c r="C82" s="36" t="str">
        <f ca="1" t="array" ref="C82">INDEX(Data_DBD!$C:$C,$A82)</f>
        <v>2 Hari</v>
      </c>
      <c r="D82" s="36">
        <f ca="1" t="array" ref="D82">INDEX(Data_DBD!$D:$D,$A82)</f>
        <v>21</v>
      </c>
      <c r="E82" s="36">
        <f ca="1" t="array" ref="E82">INDEX(Data_DBD!$E:$E,$A82)</f>
        <v>1</v>
      </c>
      <c r="F82" s="36" t="str">
        <f ca="1" t="array" ref="F82">INDEX(Data_DBD!$F:$F,$A82)</f>
        <v>Tinggi</v>
      </c>
      <c r="H82" s="36">
        <v>135</v>
      </c>
      <c r="I82" s="36">
        <v>10</v>
      </c>
      <c r="J82" s="36">
        <v>2</v>
      </c>
      <c r="K82" s="36">
        <v>33</v>
      </c>
      <c r="L82" s="36">
        <v>0</v>
      </c>
      <c r="M82" s="36" t="s">
        <v>105</v>
      </c>
    </row>
    <row r="83" spans="1:13">
      <c r="A83" s="36">
        <f ca="1" t="shared" si="1"/>
        <v>101</v>
      </c>
      <c r="B83" s="36">
        <f ca="1" t="array" ref="B83">INDEX(Data_DBD!$B:$B,$A83)</f>
        <v>42</v>
      </c>
      <c r="C83" s="36" t="str">
        <f ca="1" t="array" ref="C83">INDEX(Data_DBD!$C:$C,$A83)</f>
        <v>5 Hari</v>
      </c>
      <c r="D83" s="36">
        <f ca="1" t="array" ref="D83">INDEX(Data_DBD!$D:$D,$A83)</f>
        <v>18</v>
      </c>
      <c r="E83" s="36">
        <f ca="1" t="array" ref="E83">INDEX(Data_DBD!$E:$E,$A83)</f>
        <v>0</v>
      </c>
      <c r="F83" s="36" t="str">
        <f ca="1" t="array" ref="F83">INDEX(Data_DBD!$F:$F,$A83)</f>
        <v>Tinggi</v>
      </c>
      <c r="H83" s="36">
        <v>161</v>
      </c>
      <c r="I83" s="36">
        <v>12</v>
      </c>
      <c r="J83" s="36">
        <v>3</v>
      </c>
      <c r="K83" s="36">
        <v>21</v>
      </c>
      <c r="L83" s="36">
        <v>1</v>
      </c>
      <c r="M83" s="36" t="s">
        <v>105</v>
      </c>
    </row>
    <row r="84" spans="1:13">
      <c r="A84" s="36">
        <f ca="1" t="shared" si="1"/>
        <v>18</v>
      </c>
      <c r="B84" s="36">
        <f ca="1" t="array" ref="B84">INDEX(Data_DBD!$B:$B,$A84)</f>
        <v>49</v>
      </c>
      <c r="C84" s="36" t="str">
        <f ca="1" t="array" ref="C84">INDEX(Data_DBD!$C:$C,$A84)</f>
        <v>4 Hari</v>
      </c>
      <c r="D84" s="36">
        <f ca="1" t="array" ref="D84">INDEX(Data_DBD!$D:$D,$A84)</f>
        <v>7</v>
      </c>
      <c r="E84" s="36">
        <f ca="1" t="array" ref="E84">INDEX(Data_DBD!$E:$E,$A84)</f>
        <v>1</v>
      </c>
      <c r="F84" s="36" t="str">
        <f ca="1" t="array" ref="F84">INDEX(Data_DBD!$F:$F,$A84)</f>
        <v>Rendah</v>
      </c>
      <c r="H84" s="36">
        <v>46</v>
      </c>
      <c r="I84" s="36">
        <v>62</v>
      </c>
      <c r="J84" s="36">
        <v>2</v>
      </c>
      <c r="K84" s="36">
        <v>13</v>
      </c>
      <c r="L84" s="36">
        <v>0</v>
      </c>
      <c r="M84" s="36" t="s">
        <v>8</v>
      </c>
    </row>
    <row r="85" spans="1:13">
      <c r="A85" s="36">
        <f ca="1" t="shared" si="1"/>
        <v>49</v>
      </c>
      <c r="B85" s="36">
        <f ca="1" t="array" ref="B85">INDEX(Data_DBD!$B:$B,$A85)</f>
        <v>64</v>
      </c>
      <c r="C85" s="36" t="str">
        <f ca="1" t="array" ref="C85">INDEX(Data_DBD!$C:$C,$A85)</f>
        <v>5 Hari</v>
      </c>
      <c r="D85" s="36">
        <f ca="1" t="array" ref="D85">INDEX(Data_DBD!$D:$D,$A85)</f>
        <v>13</v>
      </c>
      <c r="E85" s="36">
        <f ca="1" t="array" ref="E85">INDEX(Data_DBD!$E:$E,$A85)</f>
        <v>0</v>
      </c>
      <c r="F85" s="36" t="str">
        <f ca="1" t="array" ref="F85">INDEX(Data_DBD!$F:$F,$A85)</f>
        <v>Sedang</v>
      </c>
      <c r="H85" s="36">
        <v>98</v>
      </c>
      <c r="I85" s="36">
        <v>16</v>
      </c>
      <c r="J85" s="36">
        <v>2</v>
      </c>
      <c r="K85" s="36">
        <v>18</v>
      </c>
      <c r="L85" s="36">
        <v>1</v>
      </c>
      <c r="M85" s="36" t="s">
        <v>105</v>
      </c>
    </row>
    <row r="86" spans="1:13">
      <c r="A86" s="36">
        <f ca="1" t="shared" si="1"/>
        <v>6</v>
      </c>
      <c r="B86" s="36">
        <f ca="1" t="array" ref="B86">INDEX(Data_DBD!$B:$B,$A86)</f>
        <v>14</v>
      </c>
      <c r="C86" s="36" t="str">
        <f ca="1" t="array" ref="C86">INDEX(Data_DBD!$C:$C,$A86)</f>
        <v>4 Hari</v>
      </c>
      <c r="D86" s="36">
        <f ca="1" t="array" ref="D86">INDEX(Data_DBD!$D:$D,$A86)</f>
        <v>12</v>
      </c>
      <c r="E86" s="36">
        <f ca="1" t="array" ref="E86">INDEX(Data_DBD!$E:$E,$A86)</f>
        <v>0</v>
      </c>
      <c r="F86" s="36" t="str">
        <f ca="1" t="array" ref="F86">INDEX(Data_DBD!$F:$F,$A86)</f>
        <v>Sedang</v>
      </c>
      <c r="H86" s="36">
        <v>64</v>
      </c>
      <c r="I86" s="36">
        <v>35</v>
      </c>
      <c r="J86" s="36">
        <v>1</v>
      </c>
      <c r="K86" s="36">
        <v>15</v>
      </c>
      <c r="L86" s="36">
        <v>0</v>
      </c>
      <c r="M86" s="36" t="s">
        <v>8</v>
      </c>
    </row>
    <row r="87" spans="1:13">
      <c r="A87" s="36">
        <f ca="1" t="shared" si="1"/>
        <v>89</v>
      </c>
      <c r="B87" s="36">
        <f ca="1" t="array" ref="B87">INDEX(Data_DBD!$B:$B,$A87)</f>
        <v>32</v>
      </c>
      <c r="C87" s="36" t="str">
        <f ca="1" t="array" ref="C87">INDEX(Data_DBD!$C:$C,$A87)</f>
        <v>4 Hari</v>
      </c>
      <c r="D87" s="36">
        <f ca="1" t="array" ref="D87">INDEX(Data_DBD!$D:$D,$A87)</f>
        <v>13</v>
      </c>
      <c r="E87" s="36">
        <f ca="1" t="array" ref="E87">INDEX(Data_DBD!$E:$E,$A87)</f>
        <v>0</v>
      </c>
      <c r="F87" s="36" t="str">
        <f ca="1" t="array" ref="F87">INDEX(Data_DBD!$F:$F,$A87)</f>
        <v>Sedang</v>
      </c>
      <c r="H87" s="36">
        <v>36</v>
      </c>
      <c r="I87" s="36">
        <v>27</v>
      </c>
      <c r="J87" s="36">
        <v>1</v>
      </c>
      <c r="K87" s="36">
        <v>4</v>
      </c>
      <c r="L87" s="36">
        <v>1</v>
      </c>
      <c r="M87" s="36" t="s">
        <v>26</v>
      </c>
    </row>
    <row r="88" spans="1:13">
      <c r="A88" s="36">
        <f ca="1" t="shared" si="1"/>
        <v>77</v>
      </c>
      <c r="B88" s="36">
        <f ca="1" t="array" ref="B88">INDEX(Data_DBD!$B:$B,$A88)</f>
        <v>16</v>
      </c>
      <c r="C88" s="36" t="str">
        <f ca="1" t="array" ref="C88">INDEX(Data_DBD!$C:$C,$A88)</f>
        <v>4 Hari</v>
      </c>
      <c r="D88" s="36">
        <f ca="1" t="array" ref="D88">INDEX(Data_DBD!$D:$D,$A88)</f>
        <v>13</v>
      </c>
      <c r="E88" s="36">
        <f ca="1" t="array" ref="E88">INDEX(Data_DBD!$E:$E,$A88)</f>
        <v>1</v>
      </c>
      <c r="F88" s="36" t="str">
        <f ca="1" t="array" ref="F88">INDEX(Data_DBD!$F:$F,$A88)</f>
        <v>Sedang</v>
      </c>
      <c r="H88" s="36">
        <v>100</v>
      </c>
      <c r="I88" s="36">
        <v>19</v>
      </c>
      <c r="J88" s="36">
        <v>6</v>
      </c>
      <c r="K88" s="36">
        <v>18</v>
      </c>
      <c r="L88" s="36">
        <v>0</v>
      </c>
      <c r="M88" s="36" t="s">
        <v>105</v>
      </c>
    </row>
    <row r="89" spans="1:13">
      <c r="A89" s="36">
        <f ca="1" t="shared" si="1"/>
        <v>119</v>
      </c>
      <c r="B89" s="36">
        <f ca="1" t="array" ref="B89">INDEX(Data_DBD!$B:$B,$A89)</f>
        <v>30</v>
      </c>
      <c r="C89" s="36" t="str">
        <f ca="1" t="array" ref="C89">INDEX(Data_DBD!$C:$C,$A89)</f>
        <v>7 Hari</v>
      </c>
      <c r="D89" s="36">
        <f ca="1" t="array" ref="D89">INDEX(Data_DBD!$D:$D,$A89)</f>
        <v>33</v>
      </c>
      <c r="E89" s="36">
        <f ca="1" t="array" ref="E89">INDEX(Data_DBD!$E:$E,$A89)</f>
        <v>0</v>
      </c>
      <c r="F89" s="36" t="str">
        <f ca="1" t="array" ref="F89">INDEX(Data_DBD!$F:$F,$A89)</f>
        <v>Tinggi</v>
      </c>
      <c r="H89" s="36">
        <v>40</v>
      </c>
      <c r="I89" s="36">
        <v>65</v>
      </c>
      <c r="J89" s="36">
        <v>3</v>
      </c>
      <c r="K89" s="36">
        <v>13</v>
      </c>
      <c r="L89" s="36">
        <v>1</v>
      </c>
      <c r="M89" s="36" t="s">
        <v>8</v>
      </c>
    </row>
    <row r="90" spans="1:13">
      <c r="A90" s="36">
        <f ca="1" t="shared" si="1"/>
        <v>34</v>
      </c>
      <c r="B90" s="36">
        <f ca="1" t="array" ref="B90">INDEX(Data_DBD!$B:$B,$A90)</f>
        <v>55</v>
      </c>
      <c r="C90" s="36" t="str">
        <f ca="1" t="array" ref="C90">INDEX(Data_DBD!$C:$C,$A90)</f>
        <v>3 Hari</v>
      </c>
      <c r="D90" s="36">
        <f ca="1" t="array" ref="D90">INDEX(Data_DBD!$D:$D,$A90)</f>
        <v>14</v>
      </c>
      <c r="E90" s="36">
        <f ca="1" t="array" ref="E90">INDEX(Data_DBD!$E:$E,$A90)</f>
        <v>0</v>
      </c>
      <c r="F90" s="36" t="str">
        <f ca="1" t="array" ref="F90">INDEX(Data_DBD!$F:$F,$A90)</f>
        <v>Sedang</v>
      </c>
      <c r="H90" s="36">
        <v>17</v>
      </c>
      <c r="I90" s="36">
        <v>2</v>
      </c>
      <c r="J90" s="36">
        <v>3</v>
      </c>
      <c r="K90" s="36">
        <v>7</v>
      </c>
      <c r="L90" s="36">
        <v>0</v>
      </c>
      <c r="M90" s="36" t="s">
        <v>26</v>
      </c>
    </row>
    <row r="91" spans="1:13">
      <c r="A91" s="36">
        <f ca="1" t="shared" si="1"/>
        <v>100</v>
      </c>
      <c r="B91" s="36">
        <f ca="1" t="array" ref="B91">INDEX(Data_DBD!$B:$B,$A91)</f>
        <v>19</v>
      </c>
      <c r="C91" s="36" t="str">
        <f ca="1" t="array" ref="C91">INDEX(Data_DBD!$C:$C,$A91)</f>
        <v>6 Hari</v>
      </c>
      <c r="D91" s="36">
        <f ca="1" t="array" ref="D91">INDEX(Data_DBD!$D:$D,$A91)</f>
        <v>18</v>
      </c>
      <c r="E91" s="36">
        <f ca="1" t="array" ref="E91">INDEX(Data_DBD!$E:$E,$A91)</f>
        <v>0</v>
      </c>
      <c r="F91" s="36" t="str">
        <f ca="1" t="array" ref="F91">INDEX(Data_DBD!$F:$F,$A91)</f>
        <v>Tinggi</v>
      </c>
      <c r="H91" s="36">
        <v>85</v>
      </c>
      <c r="I91" s="36">
        <v>27</v>
      </c>
      <c r="J91" s="36">
        <v>9</v>
      </c>
      <c r="K91" s="36">
        <v>13</v>
      </c>
      <c r="L91" s="36">
        <v>0</v>
      </c>
      <c r="M91" s="36" t="s">
        <v>8</v>
      </c>
    </row>
    <row r="92" spans="1:13">
      <c r="A92" s="36">
        <f ca="1" t="shared" si="1"/>
        <v>22</v>
      </c>
      <c r="B92" s="36">
        <f ca="1" t="array" ref="B92">INDEX(Data_DBD!$B:$B,$A92)</f>
        <v>6</v>
      </c>
      <c r="C92" s="36" t="str">
        <f ca="1" t="array" ref="C92">INDEX(Data_DBD!$C:$C,$A92)</f>
        <v>3 Hari</v>
      </c>
      <c r="D92" s="36">
        <f ca="1" t="array" ref="D92">INDEX(Data_DBD!$D:$D,$A92)</f>
        <v>14</v>
      </c>
      <c r="E92" s="36">
        <f ca="1" t="array" ref="E92">INDEX(Data_DBD!$E:$E,$A92)</f>
        <v>0</v>
      </c>
      <c r="F92" s="36" t="str">
        <f ca="1" t="array" ref="F92">INDEX(Data_DBD!$F:$F,$A92)</f>
        <v>Sedang</v>
      </c>
      <c r="H92" s="36">
        <v>88</v>
      </c>
      <c r="I92" s="36">
        <v>20</v>
      </c>
      <c r="J92" s="36">
        <v>4</v>
      </c>
      <c r="K92" s="36">
        <v>13</v>
      </c>
      <c r="L92" s="36">
        <v>1</v>
      </c>
      <c r="M92" s="36" t="s">
        <v>8</v>
      </c>
    </row>
    <row r="93" spans="1:13">
      <c r="A93" s="36">
        <f ca="1" t="shared" si="1"/>
        <v>26</v>
      </c>
      <c r="B93" s="36">
        <f ca="1" t="array" ref="B93">INDEX(Data_DBD!$B:$B,$A93)</f>
        <v>75</v>
      </c>
      <c r="C93" s="36" t="str">
        <f ca="1" t="array" ref="C93">INDEX(Data_DBD!$C:$C,$A93)</f>
        <v>4 Hari</v>
      </c>
      <c r="D93" s="36">
        <f ca="1" t="array" ref="D93">INDEX(Data_DBD!$D:$D,$A93)</f>
        <v>14</v>
      </c>
      <c r="E93" s="36">
        <f ca="1" t="array" ref="E93">INDEX(Data_DBD!$E:$E,$A93)</f>
        <v>1</v>
      </c>
      <c r="F93" s="36" t="str">
        <f ca="1" t="array" ref="F93">INDEX(Data_DBD!$F:$F,$A93)</f>
        <v>Sedang</v>
      </c>
      <c r="H93" s="36">
        <v>154</v>
      </c>
      <c r="I93" s="36">
        <v>18</v>
      </c>
      <c r="J93" s="36">
        <v>5</v>
      </c>
      <c r="K93" s="36">
        <v>21</v>
      </c>
      <c r="L93" s="36">
        <v>1</v>
      </c>
      <c r="M93" s="36" t="s">
        <v>105</v>
      </c>
    </row>
    <row r="94" spans="1:13">
      <c r="A94" s="36">
        <f ca="1" t="shared" si="1"/>
        <v>144</v>
      </c>
      <c r="B94" s="36">
        <f ca="1" t="array" ref="B94">INDEX(Data_DBD!$B:$B,$A94)</f>
        <v>61</v>
      </c>
      <c r="C94" s="36" t="str">
        <f ca="1" t="array" ref="C94">INDEX(Data_DBD!$C:$C,$A94)</f>
        <v>4 Hari</v>
      </c>
      <c r="D94" s="36">
        <f ca="1" t="array" ref="D94">INDEX(Data_DBD!$D:$D,$A94)</f>
        <v>21</v>
      </c>
      <c r="E94" s="36">
        <f ca="1" t="array" ref="E94">INDEX(Data_DBD!$E:$E,$A94)</f>
        <v>1</v>
      </c>
      <c r="F94" s="36" t="str">
        <f ca="1" t="array" ref="F94">INDEX(Data_DBD!$F:$F,$A94)</f>
        <v>Tinggi</v>
      </c>
      <c r="H94" s="36">
        <v>64</v>
      </c>
      <c r="I94" s="36">
        <v>35</v>
      </c>
      <c r="J94" s="36">
        <v>1</v>
      </c>
      <c r="K94" s="36">
        <v>15</v>
      </c>
      <c r="L94" s="36">
        <v>0</v>
      </c>
      <c r="M94" s="36" t="s">
        <v>8</v>
      </c>
    </row>
    <row r="95" spans="1:13">
      <c r="A95" s="36">
        <f ca="1" t="shared" si="1"/>
        <v>64</v>
      </c>
      <c r="B95" s="36">
        <f ca="1" t="array" ref="B95">INDEX(Data_DBD!$B:$B,$A95)</f>
        <v>35</v>
      </c>
      <c r="C95" s="36" t="str">
        <f ca="1" t="array" ref="C95">INDEX(Data_DBD!$C:$C,$A95)</f>
        <v>1 Hari</v>
      </c>
      <c r="D95" s="36">
        <f ca="1" t="array" ref="D95">INDEX(Data_DBD!$D:$D,$A95)</f>
        <v>15</v>
      </c>
      <c r="E95" s="36">
        <f ca="1" t="array" ref="E95">INDEX(Data_DBD!$E:$E,$A95)</f>
        <v>0</v>
      </c>
      <c r="F95" s="36" t="str">
        <f ca="1" t="array" ref="F95">INDEX(Data_DBD!$F:$F,$A95)</f>
        <v>Sedang</v>
      </c>
      <c r="H95" s="36">
        <v>127</v>
      </c>
      <c r="I95" s="36">
        <v>21</v>
      </c>
      <c r="J95" s="36">
        <v>2</v>
      </c>
      <c r="K95" s="36">
        <v>33</v>
      </c>
      <c r="L95" s="36">
        <v>0</v>
      </c>
      <c r="M95" s="36" t="s">
        <v>105</v>
      </c>
    </row>
    <row r="96" spans="1:13">
      <c r="A96" s="36">
        <f ca="1" t="shared" si="1"/>
        <v>162</v>
      </c>
      <c r="B96" s="36">
        <f ca="1" t="array" ref="B96">INDEX(Data_DBD!$B:$B,$A96)</f>
        <v>22</v>
      </c>
      <c r="C96" s="36" t="str">
        <f ca="1" t="array" ref="C96">INDEX(Data_DBD!$C:$C,$A96)</f>
        <v>3 Hari</v>
      </c>
      <c r="D96" s="36">
        <f ca="1" t="array" ref="D96">INDEX(Data_DBD!$D:$D,$A96)</f>
        <v>3</v>
      </c>
      <c r="E96" s="36">
        <f ca="1" t="array" ref="E96">INDEX(Data_DBD!$E:$E,$A96)</f>
        <v>1</v>
      </c>
      <c r="F96" s="36" t="str">
        <f ca="1" t="array" ref="F96">INDEX(Data_DBD!$F:$F,$A96)</f>
        <v>Rendah</v>
      </c>
      <c r="H96" s="36">
        <v>126</v>
      </c>
      <c r="I96" s="36">
        <v>51</v>
      </c>
      <c r="J96" s="36">
        <v>3</v>
      </c>
      <c r="K96" s="36">
        <v>33</v>
      </c>
      <c r="L96" s="36">
        <v>1</v>
      </c>
      <c r="M96" s="36" t="s">
        <v>105</v>
      </c>
    </row>
    <row r="97" spans="1:13">
      <c r="A97" s="36">
        <f ca="1" t="shared" si="1"/>
        <v>66</v>
      </c>
      <c r="B97" s="36">
        <f ca="1" t="array" ref="B97">INDEX(Data_DBD!$B:$B,$A97)</f>
        <v>21</v>
      </c>
      <c r="C97" s="36" t="str">
        <f ca="1" t="array" ref="C97">INDEX(Data_DBD!$C:$C,$A97)</f>
        <v>5 Hari</v>
      </c>
      <c r="D97" s="36">
        <f ca="1" t="array" ref="D97">INDEX(Data_DBD!$D:$D,$A97)</f>
        <v>15</v>
      </c>
      <c r="E97" s="36">
        <f ca="1" t="array" ref="E97">INDEX(Data_DBD!$E:$E,$A97)</f>
        <v>1</v>
      </c>
      <c r="F97" s="36" t="str">
        <f ca="1" t="array" ref="F97">INDEX(Data_DBD!$F:$F,$A97)</f>
        <v>Sedang</v>
      </c>
      <c r="H97" s="36">
        <v>116</v>
      </c>
      <c r="I97" s="36">
        <v>32</v>
      </c>
      <c r="J97" s="36">
        <v>4</v>
      </c>
      <c r="K97" s="36">
        <v>33</v>
      </c>
      <c r="L97" s="36">
        <v>1</v>
      </c>
      <c r="M97" s="36" t="s">
        <v>105</v>
      </c>
    </row>
    <row r="98" spans="1:13">
      <c r="A98" s="36">
        <f ca="1" t="shared" si="1"/>
        <v>72</v>
      </c>
      <c r="B98" s="36">
        <f ca="1" t="array" ref="B98">INDEX(Data_DBD!$B:$B,$A98)</f>
        <v>3</v>
      </c>
      <c r="C98" s="36" t="str">
        <f ca="1" t="array" ref="C98">INDEX(Data_DBD!$C:$C,$A98)</f>
        <v>5 Hari</v>
      </c>
      <c r="D98" s="36">
        <f ca="1" t="array" ref="D98">INDEX(Data_DBD!$D:$D,$A98)</f>
        <v>10</v>
      </c>
      <c r="E98" s="36">
        <f ca="1" t="array" ref="E98">INDEX(Data_DBD!$E:$E,$A98)</f>
        <v>1</v>
      </c>
      <c r="F98" s="36" t="str">
        <f ca="1" t="array" ref="F98">INDEX(Data_DBD!$F:$F,$A98)</f>
        <v>Sedang</v>
      </c>
      <c r="H98" s="36">
        <v>144</v>
      </c>
      <c r="I98" s="36">
        <v>61</v>
      </c>
      <c r="J98" s="36">
        <v>4</v>
      </c>
      <c r="K98" s="36">
        <v>21</v>
      </c>
      <c r="L98" s="36">
        <v>1</v>
      </c>
      <c r="M98" s="36" t="s">
        <v>105</v>
      </c>
    </row>
    <row r="99" spans="1:13">
      <c r="A99" s="36">
        <f ca="1" t="shared" si="1"/>
        <v>109</v>
      </c>
      <c r="B99" s="36">
        <f ca="1" t="array" ref="B99">INDEX(Data_DBD!$B:$B,$A99)</f>
        <v>40</v>
      </c>
      <c r="C99" s="36" t="str">
        <f ca="1" t="array" ref="C99">INDEX(Data_DBD!$C:$C,$A99)</f>
        <v>3 Hari</v>
      </c>
      <c r="D99" s="36">
        <f ca="1" t="array" ref="D99">INDEX(Data_DBD!$D:$D,$A99)</f>
        <v>33</v>
      </c>
      <c r="E99" s="36">
        <f ca="1" t="array" ref="E99">INDEX(Data_DBD!$E:$E,$A99)</f>
        <v>1</v>
      </c>
      <c r="F99" s="36" t="str">
        <f ca="1" t="array" ref="F99">INDEX(Data_DBD!$F:$F,$A99)</f>
        <v>Tinggi</v>
      </c>
      <c r="H99" s="36">
        <v>17</v>
      </c>
      <c r="I99" s="36">
        <v>2</v>
      </c>
      <c r="J99" s="36">
        <v>3</v>
      </c>
      <c r="K99" s="36">
        <v>7</v>
      </c>
      <c r="L99" s="36">
        <v>0</v>
      </c>
      <c r="M99" s="36" t="s">
        <v>26</v>
      </c>
    </row>
    <row r="100" spans="1:13">
      <c r="A100" s="36">
        <f ca="1" t="shared" si="1"/>
        <v>60</v>
      </c>
      <c r="B100" s="36">
        <f ca="1" t="array" ref="B100">INDEX(Data_DBD!$B:$B,$A100)</f>
        <v>68</v>
      </c>
      <c r="C100" s="36" t="str">
        <f ca="1" t="array" ref="C100">INDEX(Data_DBD!$C:$C,$A100)</f>
        <v>4 Hari</v>
      </c>
      <c r="D100" s="36">
        <f ca="1" t="array" ref="D100">INDEX(Data_DBD!$D:$D,$A100)</f>
        <v>15</v>
      </c>
      <c r="E100" s="36">
        <f ca="1" t="array" ref="E100">INDEX(Data_DBD!$E:$E,$A100)</f>
        <v>0</v>
      </c>
      <c r="F100" s="36" t="str">
        <f ca="1" t="array" ref="F100">INDEX(Data_DBD!$F:$F,$A100)</f>
        <v>Sedang</v>
      </c>
      <c r="H100" s="36">
        <v>64</v>
      </c>
      <c r="I100" s="36">
        <v>35</v>
      </c>
      <c r="J100" s="36">
        <v>1</v>
      </c>
      <c r="K100" s="36">
        <v>15</v>
      </c>
      <c r="L100" s="36">
        <v>0</v>
      </c>
      <c r="M100" s="36" t="s">
        <v>8</v>
      </c>
    </row>
    <row r="101" spans="1:13">
      <c r="A101" s="36">
        <f ca="1" t="shared" si="1"/>
        <v>34</v>
      </c>
      <c r="B101" s="36">
        <f ca="1" t="array" ref="B101">INDEX(Data_DBD!$B:$B,$A101)</f>
        <v>55</v>
      </c>
      <c r="C101" s="36" t="str">
        <f ca="1" t="array" ref="C101">INDEX(Data_DBD!$C:$C,$A101)</f>
        <v>3 Hari</v>
      </c>
      <c r="D101" s="36">
        <f ca="1" t="array" ref="D101">INDEX(Data_DBD!$D:$D,$A101)</f>
        <v>14</v>
      </c>
      <c r="E101" s="36">
        <f ca="1" t="array" ref="E101">INDEX(Data_DBD!$E:$E,$A101)</f>
        <v>0</v>
      </c>
      <c r="F101" s="36" t="str">
        <f ca="1" t="array" ref="F101">INDEX(Data_DBD!$F:$F,$A101)</f>
        <v>Sedang</v>
      </c>
      <c r="H101" s="36">
        <v>38</v>
      </c>
      <c r="I101" s="36">
        <v>52</v>
      </c>
      <c r="J101" s="36">
        <v>3</v>
      </c>
      <c r="K101" s="36">
        <v>4</v>
      </c>
      <c r="L101" s="36">
        <v>1</v>
      </c>
      <c r="M101" s="36" t="s">
        <v>26</v>
      </c>
    </row>
    <row r="102" spans="1:13">
      <c r="A102" s="36">
        <f ca="1" t="shared" si="1"/>
        <v>31</v>
      </c>
      <c r="B102" s="36">
        <f ca="1" t="array" ref="B102">INDEX(Data_DBD!$B:$B,$A102)</f>
        <v>64</v>
      </c>
      <c r="C102" s="36" t="str">
        <f ca="1" t="array" ref="C102">INDEX(Data_DBD!$C:$C,$A102)</f>
        <v>4 Hari</v>
      </c>
      <c r="D102" s="36">
        <f ca="1" t="array" ref="D102">INDEX(Data_DBD!$D:$D,$A102)</f>
        <v>14</v>
      </c>
      <c r="E102" s="36">
        <f ca="1" t="array" ref="E102">INDEX(Data_DBD!$E:$E,$A102)</f>
        <v>1</v>
      </c>
      <c r="F102" s="36" t="str">
        <f ca="1" t="array" ref="F102">INDEX(Data_DBD!$F:$F,$A102)</f>
        <v>Sedang</v>
      </c>
      <c r="H102" s="36">
        <v>66</v>
      </c>
      <c r="I102" s="36">
        <v>21</v>
      </c>
      <c r="J102" s="36">
        <v>5</v>
      </c>
      <c r="K102" s="36">
        <v>15</v>
      </c>
      <c r="L102" s="36">
        <v>1</v>
      </c>
      <c r="M102" s="36" t="s">
        <v>8</v>
      </c>
    </row>
    <row r="103" spans="1:13">
      <c r="A103" s="36">
        <f ca="1" t="shared" si="1"/>
        <v>66</v>
      </c>
      <c r="B103" s="36">
        <f ca="1" t="array" ref="B103">INDEX(Data_DBD!$B:$B,$A103)</f>
        <v>21</v>
      </c>
      <c r="C103" s="36" t="str">
        <f ca="1" t="array" ref="C103">INDEX(Data_DBD!$C:$C,$A103)</f>
        <v>5 Hari</v>
      </c>
      <c r="D103" s="36">
        <f ca="1" t="array" ref="D103">INDEX(Data_DBD!$D:$D,$A103)</f>
        <v>15</v>
      </c>
      <c r="E103" s="36">
        <f ca="1" t="array" ref="E103">INDEX(Data_DBD!$E:$E,$A103)</f>
        <v>1</v>
      </c>
      <c r="F103" s="36" t="str">
        <f ca="1" t="array" ref="F103">INDEX(Data_DBD!$F:$F,$A103)</f>
        <v>Sedang</v>
      </c>
      <c r="H103" s="36">
        <v>162</v>
      </c>
      <c r="I103" s="36">
        <v>22</v>
      </c>
      <c r="J103" s="36">
        <v>3</v>
      </c>
      <c r="K103" s="36">
        <v>3</v>
      </c>
      <c r="L103" s="36">
        <v>1</v>
      </c>
      <c r="M103" s="36" t="s">
        <v>26</v>
      </c>
    </row>
    <row r="104" spans="1:13">
      <c r="A104" s="36">
        <f ca="1" t="shared" si="1"/>
        <v>102</v>
      </c>
      <c r="B104" s="36">
        <f ca="1" t="array" ref="B104">INDEX(Data_DBD!$B:$B,$A104)</f>
        <v>41</v>
      </c>
      <c r="C104" s="36" t="str">
        <f ca="1" t="array" ref="C104">INDEX(Data_DBD!$C:$C,$A104)</f>
        <v>4 Hari</v>
      </c>
      <c r="D104" s="36">
        <f ca="1" t="array" ref="D104">INDEX(Data_DBD!$D:$D,$A104)</f>
        <v>18</v>
      </c>
      <c r="E104" s="36">
        <f ca="1" t="array" ref="E104">INDEX(Data_DBD!$E:$E,$A104)</f>
        <v>0</v>
      </c>
      <c r="F104" s="36" t="str">
        <f ca="1" t="array" ref="F104">INDEX(Data_DBD!$F:$F,$A104)</f>
        <v>Tinggi</v>
      </c>
      <c r="H104" s="36">
        <v>89</v>
      </c>
      <c r="I104" s="36">
        <v>32</v>
      </c>
      <c r="J104" s="36">
        <v>4</v>
      </c>
      <c r="K104" s="36">
        <v>13</v>
      </c>
      <c r="L104" s="36">
        <v>0</v>
      </c>
      <c r="M104" s="36" t="s">
        <v>8</v>
      </c>
    </row>
    <row r="105" spans="1:13">
      <c r="A105" s="36">
        <f ca="1" t="shared" si="1"/>
        <v>32</v>
      </c>
      <c r="B105" s="36">
        <f ca="1" t="array" ref="B105">INDEX(Data_DBD!$B:$B,$A105)</f>
        <v>54</v>
      </c>
      <c r="C105" s="36" t="str">
        <f ca="1" t="array" ref="C105">INDEX(Data_DBD!$C:$C,$A105)</f>
        <v>4 Hari</v>
      </c>
      <c r="D105" s="36">
        <f ca="1" t="array" ref="D105">INDEX(Data_DBD!$D:$D,$A105)</f>
        <v>14</v>
      </c>
      <c r="E105" s="36">
        <f ca="1" t="array" ref="E105">INDEX(Data_DBD!$E:$E,$A105)</f>
        <v>0</v>
      </c>
      <c r="F105" s="36" t="str">
        <f ca="1" t="array" ref="F105">INDEX(Data_DBD!$F:$F,$A105)</f>
        <v>Sedang</v>
      </c>
      <c r="H105" s="36">
        <v>104</v>
      </c>
      <c r="I105" s="36">
        <v>37</v>
      </c>
      <c r="J105" s="36">
        <v>4</v>
      </c>
      <c r="K105" s="36">
        <v>18</v>
      </c>
      <c r="L105" s="36">
        <v>1</v>
      </c>
      <c r="M105" s="36" t="s">
        <v>105</v>
      </c>
    </row>
    <row r="106" spans="1:13">
      <c r="A106" s="36">
        <f ca="1" t="shared" si="1"/>
        <v>69</v>
      </c>
      <c r="B106" s="36">
        <f ca="1" t="array" ref="B106">INDEX(Data_DBD!$B:$B,$A106)</f>
        <v>24</v>
      </c>
      <c r="C106" s="36" t="str">
        <f ca="1" t="array" ref="C106">INDEX(Data_DBD!$C:$C,$A106)</f>
        <v>4 Hari</v>
      </c>
      <c r="D106" s="36">
        <f ca="1" t="array" ref="D106">INDEX(Data_DBD!$D:$D,$A106)</f>
        <v>10</v>
      </c>
      <c r="E106" s="36">
        <f ca="1" t="array" ref="E106">INDEX(Data_DBD!$E:$E,$A106)</f>
        <v>1</v>
      </c>
      <c r="F106" s="36" t="str">
        <f ca="1" t="array" ref="F106">INDEX(Data_DBD!$F:$F,$A106)</f>
        <v>Sedang</v>
      </c>
      <c r="H106" s="36">
        <v>42</v>
      </c>
      <c r="I106" s="36">
        <v>21</v>
      </c>
      <c r="J106" s="36">
        <v>5</v>
      </c>
      <c r="K106" s="36">
        <v>13</v>
      </c>
      <c r="L106" s="36">
        <v>1</v>
      </c>
      <c r="M106" s="36" t="s">
        <v>8</v>
      </c>
    </row>
    <row r="107" spans="1:13">
      <c r="A107" s="36">
        <f ca="1" t="shared" si="1"/>
        <v>131</v>
      </c>
      <c r="B107" s="36">
        <f ca="1" t="array" ref="B107">INDEX(Data_DBD!$B:$B,$A107)</f>
        <v>10</v>
      </c>
      <c r="C107" s="36" t="str">
        <f ca="1" t="array" ref="C107">INDEX(Data_DBD!$C:$C,$A107)</f>
        <v>2 Hari</v>
      </c>
      <c r="D107" s="36">
        <f ca="1" t="array" ref="D107">INDEX(Data_DBD!$D:$D,$A107)</f>
        <v>33</v>
      </c>
      <c r="E107" s="36">
        <f ca="1" t="array" ref="E107">INDEX(Data_DBD!$E:$E,$A107)</f>
        <v>0</v>
      </c>
      <c r="F107" s="36" t="str">
        <f ca="1" t="array" ref="F107">INDEX(Data_DBD!$F:$F,$A107)</f>
        <v>Tinggi</v>
      </c>
      <c r="H107" s="36">
        <v>128</v>
      </c>
      <c r="I107" s="36">
        <v>38</v>
      </c>
      <c r="J107" s="36">
        <v>2</v>
      </c>
      <c r="K107" s="36">
        <v>33</v>
      </c>
      <c r="L107" s="36">
        <v>0</v>
      </c>
      <c r="M107" s="36" t="s">
        <v>105</v>
      </c>
    </row>
    <row r="108" spans="1:13">
      <c r="A108" s="36">
        <f ca="1" t="shared" si="1"/>
        <v>71</v>
      </c>
      <c r="B108" s="36">
        <f ca="1" t="array" ref="B108">INDEX(Data_DBD!$B:$B,$A108)</f>
        <v>84</v>
      </c>
      <c r="C108" s="36" t="str">
        <f ca="1" t="array" ref="C108">INDEX(Data_DBD!$C:$C,$A108)</f>
        <v>3 Hari</v>
      </c>
      <c r="D108" s="36">
        <f ca="1" t="array" ref="D108">INDEX(Data_DBD!$D:$D,$A108)</f>
        <v>10</v>
      </c>
      <c r="E108" s="36">
        <f ca="1" t="array" ref="E108">INDEX(Data_DBD!$E:$E,$A108)</f>
        <v>0</v>
      </c>
      <c r="F108" s="36" t="str">
        <f ca="1" t="array" ref="F108">INDEX(Data_DBD!$F:$F,$A108)</f>
        <v>Sedang</v>
      </c>
      <c r="H108" s="36">
        <v>161</v>
      </c>
      <c r="I108" s="36">
        <v>12</v>
      </c>
      <c r="J108" s="36">
        <v>3</v>
      </c>
      <c r="K108" s="36">
        <v>21</v>
      </c>
      <c r="L108" s="36">
        <v>1</v>
      </c>
      <c r="M108" s="36" t="s">
        <v>105</v>
      </c>
    </row>
    <row r="109" spans="1:13">
      <c r="A109" s="36">
        <f ca="1" t="shared" si="1"/>
        <v>94</v>
      </c>
      <c r="B109" s="36">
        <f ca="1" t="array" ref="B109">INDEX(Data_DBD!$B:$B,$A109)</f>
        <v>12</v>
      </c>
      <c r="C109" s="36" t="str">
        <f ca="1" t="array" ref="C109">INDEX(Data_DBD!$C:$C,$A109)</f>
        <v>4 Hari</v>
      </c>
      <c r="D109" s="36">
        <f ca="1" t="array" ref="D109">INDEX(Data_DBD!$D:$D,$A109)</f>
        <v>18</v>
      </c>
      <c r="E109" s="36">
        <f ca="1" t="array" ref="E109">INDEX(Data_DBD!$E:$E,$A109)</f>
        <v>0</v>
      </c>
      <c r="F109" s="36" t="str">
        <f ca="1" t="array" ref="F109">INDEX(Data_DBD!$F:$F,$A109)</f>
        <v>Tinggi</v>
      </c>
      <c r="H109" s="36">
        <v>102</v>
      </c>
      <c r="I109" s="36">
        <v>41</v>
      </c>
      <c r="J109" s="36">
        <v>4</v>
      </c>
      <c r="K109" s="36">
        <v>18</v>
      </c>
      <c r="L109" s="36">
        <v>0</v>
      </c>
      <c r="M109" s="36" t="s">
        <v>105</v>
      </c>
    </row>
    <row r="110" spans="1:13">
      <c r="A110" s="36">
        <f ca="1" t="shared" si="1"/>
        <v>97</v>
      </c>
      <c r="B110" s="36">
        <f ca="1" t="array" ref="B110">INDEX(Data_DBD!$B:$B,$A110)</f>
        <v>16</v>
      </c>
      <c r="C110" s="36" t="str">
        <f ca="1" t="array" ref="C110">INDEX(Data_DBD!$C:$C,$A110)</f>
        <v>2 Hari</v>
      </c>
      <c r="D110" s="36">
        <f ca="1" t="array" ref="D110">INDEX(Data_DBD!$D:$D,$A110)</f>
        <v>18</v>
      </c>
      <c r="E110" s="36">
        <f ca="1" t="array" ref="E110">INDEX(Data_DBD!$E:$E,$A110)</f>
        <v>1</v>
      </c>
      <c r="F110" s="36" t="str">
        <f ca="1" t="array" ref="F110">INDEX(Data_DBD!$F:$F,$A110)</f>
        <v>Tinggi</v>
      </c>
      <c r="H110" s="36">
        <v>15</v>
      </c>
      <c r="I110" s="36">
        <v>21</v>
      </c>
      <c r="J110" s="36">
        <v>2</v>
      </c>
      <c r="K110" s="36">
        <v>7</v>
      </c>
      <c r="L110" s="36">
        <v>0</v>
      </c>
      <c r="M110" s="36" t="s">
        <v>26</v>
      </c>
    </row>
    <row r="111" spans="1:13">
      <c r="A111" s="36">
        <f ca="1" t="shared" si="1"/>
        <v>92</v>
      </c>
      <c r="B111" s="36">
        <f ca="1" t="array" ref="B111">INDEX(Data_DBD!$B:$B,$A111)</f>
        <v>55</v>
      </c>
      <c r="C111" s="36" t="str">
        <f ca="1" t="array" ref="C111">INDEX(Data_DBD!$C:$C,$A111)</f>
        <v>7 Hari</v>
      </c>
      <c r="D111" s="36">
        <f ca="1" t="array" ref="D111">INDEX(Data_DBD!$D:$D,$A111)</f>
        <v>18</v>
      </c>
      <c r="E111" s="36">
        <f ca="1" t="array" ref="E111">INDEX(Data_DBD!$E:$E,$A111)</f>
        <v>0</v>
      </c>
      <c r="F111" s="36" t="str">
        <f ca="1" t="array" ref="F111">INDEX(Data_DBD!$F:$F,$A111)</f>
        <v>Tinggi</v>
      </c>
      <c r="H111" s="36">
        <v>154</v>
      </c>
      <c r="I111" s="36">
        <v>18</v>
      </c>
      <c r="J111" s="36">
        <v>5</v>
      </c>
      <c r="K111" s="36">
        <v>21</v>
      </c>
      <c r="L111" s="36">
        <v>1</v>
      </c>
      <c r="M111" s="36" t="s">
        <v>105</v>
      </c>
    </row>
    <row r="112" spans="1:13">
      <c r="A112" s="36">
        <f ca="1" t="shared" si="1"/>
        <v>50</v>
      </c>
      <c r="B112" s="36">
        <f ca="1" t="array" ref="B112">INDEX(Data_DBD!$B:$B,$A112)</f>
        <v>19</v>
      </c>
      <c r="C112" s="36" t="str">
        <f ca="1" t="array" ref="C112">INDEX(Data_DBD!$C:$C,$A112)</f>
        <v>5 Hari</v>
      </c>
      <c r="D112" s="36">
        <f ca="1" t="array" ref="D112">INDEX(Data_DBD!$D:$D,$A112)</f>
        <v>13</v>
      </c>
      <c r="E112" s="36">
        <f ca="1" t="array" ref="E112">INDEX(Data_DBD!$E:$E,$A112)</f>
        <v>0</v>
      </c>
      <c r="F112" s="36" t="str">
        <f ca="1" t="array" ref="F112">INDEX(Data_DBD!$F:$F,$A112)</f>
        <v>Sedang</v>
      </c>
      <c r="H112" s="36">
        <v>64</v>
      </c>
      <c r="I112" s="36">
        <v>35</v>
      </c>
      <c r="J112" s="36">
        <v>1</v>
      </c>
      <c r="K112" s="36">
        <v>15</v>
      </c>
      <c r="L112" s="36">
        <v>0</v>
      </c>
      <c r="M112" s="36" t="s">
        <v>8</v>
      </c>
    </row>
    <row r="113" spans="1:13">
      <c r="A113" s="36">
        <f ca="1" t="shared" si="1"/>
        <v>159</v>
      </c>
      <c r="B113" s="36">
        <f ca="1" t="array" ref="B113">INDEX(Data_DBD!$B:$B,$A113)</f>
        <v>17</v>
      </c>
      <c r="C113" s="36" t="str">
        <f ca="1" t="array" ref="C113">INDEX(Data_DBD!$C:$C,$A113)</f>
        <v>2 Hari</v>
      </c>
      <c r="D113" s="36">
        <f ca="1" t="array" ref="D113">INDEX(Data_DBD!$D:$D,$A113)</f>
        <v>21</v>
      </c>
      <c r="E113" s="36">
        <f ca="1" t="array" ref="E113">INDEX(Data_DBD!$E:$E,$A113)</f>
        <v>0</v>
      </c>
      <c r="F113" s="36" t="str">
        <f ca="1" t="array" ref="F113">INDEX(Data_DBD!$F:$F,$A113)</f>
        <v>Tinggi</v>
      </c>
      <c r="H113" s="36">
        <v>27</v>
      </c>
      <c r="I113" s="36">
        <v>37</v>
      </c>
      <c r="J113" s="36">
        <v>4</v>
      </c>
      <c r="K113" s="36">
        <v>14</v>
      </c>
      <c r="L113" s="36">
        <v>1</v>
      </c>
      <c r="M113" s="36" t="s">
        <v>8</v>
      </c>
    </row>
    <row r="114" spans="1:13">
      <c r="A114" s="36">
        <f ca="1" t="shared" si="1"/>
        <v>64</v>
      </c>
      <c r="B114" s="36">
        <f ca="1" t="array" ref="B114">INDEX(Data_DBD!$B:$B,$A114)</f>
        <v>35</v>
      </c>
      <c r="C114" s="36" t="str">
        <f ca="1" t="array" ref="C114">INDEX(Data_DBD!$C:$C,$A114)</f>
        <v>1 Hari</v>
      </c>
      <c r="D114" s="36">
        <f ca="1" t="array" ref="D114">INDEX(Data_DBD!$D:$D,$A114)</f>
        <v>15</v>
      </c>
      <c r="E114" s="36">
        <f ca="1" t="array" ref="E114">INDEX(Data_DBD!$E:$E,$A114)</f>
        <v>0</v>
      </c>
      <c r="F114" s="36" t="str">
        <f ca="1" t="array" ref="F114">INDEX(Data_DBD!$F:$F,$A114)</f>
        <v>Sedang</v>
      </c>
      <c r="H114" s="36">
        <v>84</v>
      </c>
      <c r="I114" s="36">
        <v>42</v>
      </c>
      <c r="J114" s="36">
        <v>4</v>
      </c>
      <c r="K114" s="36">
        <v>13</v>
      </c>
      <c r="L114" s="36">
        <v>1</v>
      </c>
      <c r="M114" s="36" t="s">
        <v>8</v>
      </c>
    </row>
    <row r="115" spans="1:13">
      <c r="A115" s="36">
        <f ca="1" t="shared" si="1"/>
        <v>127</v>
      </c>
      <c r="B115" s="36">
        <f ca="1" t="array" ref="B115">INDEX(Data_DBD!$B:$B,$A115)</f>
        <v>21</v>
      </c>
      <c r="C115" s="36" t="str">
        <f ca="1" t="array" ref="C115">INDEX(Data_DBD!$C:$C,$A115)</f>
        <v>2 Hari</v>
      </c>
      <c r="D115" s="36">
        <f ca="1" t="array" ref="D115">INDEX(Data_DBD!$D:$D,$A115)</f>
        <v>33</v>
      </c>
      <c r="E115" s="36">
        <f ca="1" t="array" ref="E115">INDEX(Data_DBD!$E:$E,$A115)</f>
        <v>0</v>
      </c>
      <c r="F115" s="36" t="str">
        <f ca="1" t="array" ref="F115">INDEX(Data_DBD!$F:$F,$A115)</f>
        <v>Tinggi</v>
      </c>
      <c r="H115" s="36">
        <v>35</v>
      </c>
      <c r="I115" s="36">
        <v>40</v>
      </c>
      <c r="J115" s="36">
        <v>3</v>
      </c>
      <c r="K115" s="36">
        <v>4</v>
      </c>
      <c r="L115" s="36">
        <v>1</v>
      </c>
      <c r="M115" s="36" t="s">
        <v>26</v>
      </c>
    </row>
    <row r="116" spans="1:13">
      <c r="A116" s="36">
        <f ca="1" t="shared" si="1"/>
        <v>20</v>
      </c>
      <c r="B116" s="36">
        <f ca="1" t="array" ref="B116">INDEX(Data_DBD!$B:$B,$A116)</f>
        <v>15</v>
      </c>
      <c r="C116" s="36" t="str">
        <f ca="1" t="array" ref="C116">INDEX(Data_DBD!$C:$C,$A116)</f>
        <v>5 Hari</v>
      </c>
      <c r="D116" s="36">
        <f ca="1" t="array" ref="D116">INDEX(Data_DBD!$D:$D,$A116)</f>
        <v>7</v>
      </c>
      <c r="E116" s="36">
        <f ca="1" t="array" ref="E116">INDEX(Data_DBD!$E:$E,$A116)</f>
        <v>0</v>
      </c>
      <c r="F116" s="36" t="str">
        <f ca="1" t="array" ref="F116">INDEX(Data_DBD!$F:$F,$A116)</f>
        <v>Rendah</v>
      </c>
      <c r="H116" s="36">
        <v>78</v>
      </c>
      <c r="I116" s="36">
        <v>6</v>
      </c>
      <c r="J116" s="36">
        <v>3</v>
      </c>
      <c r="K116" s="36">
        <v>13</v>
      </c>
      <c r="L116" s="36">
        <v>0</v>
      </c>
      <c r="M116" s="36" t="s">
        <v>8</v>
      </c>
    </row>
    <row r="117" spans="1:13">
      <c r="A117" s="36">
        <f ca="1" t="shared" si="1"/>
        <v>72</v>
      </c>
      <c r="B117" s="36">
        <f ca="1" t="array" ref="B117">INDEX(Data_DBD!$B:$B,$A117)</f>
        <v>3</v>
      </c>
      <c r="C117" s="36" t="str">
        <f ca="1" t="array" ref="C117">INDEX(Data_DBD!$C:$C,$A117)</f>
        <v>5 Hari</v>
      </c>
      <c r="D117" s="36">
        <f ca="1" t="array" ref="D117">INDEX(Data_DBD!$D:$D,$A117)</f>
        <v>10</v>
      </c>
      <c r="E117" s="36">
        <f ca="1" t="array" ref="E117">INDEX(Data_DBD!$E:$E,$A117)</f>
        <v>1</v>
      </c>
      <c r="F117" s="36" t="str">
        <f ca="1" t="array" ref="F117">INDEX(Data_DBD!$F:$F,$A117)</f>
        <v>Sedang</v>
      </c>
      <c r="H117" s="36">
        <v>28</v>
      </c>
      <c r="I117" s="36">
        <v>22</v>
      </c>
      <c r="J117" s="36">
        <v>2</v>
      </c>
      <c r="K117" s="36">
        <v>14</v>
      </c>
      <c r="L117" s="36">
        <v>1</v>
      </c>
      <c r="M117" s="36" t="s">
        <v>8</v>
      </c>
    </row>
    <row r="118" spans="1:13">
      <c r="A118" s="36">
        <f ca="1" t="shared" si="1"/>
        <v>96</v>
      </c>
      <c r="B118" s="36">
        <f ca="1" t="array" ref="B118">INDEX(Data_DBD!$B:$B,$A118)</f>
        <v>56</v>
      </c>
      <c r="C118" s="36" t="str">
        <f ca="1" t="array" ref="C118">INDEX(Data_DBD!$C:$C,$A118)</f>
        <v>4 Hari</v>
      </c>
      <c r="D118" s="36">
        <f ca="1" t="array" ref="D118">INDEX(Data_DBD!$D:$D,$A118)</f>
        <v>18</v>
      </c>
      <c r="E118" s="36">
        <f ca="1" t="array" ref="E118">INDEX(Data_DBD!$E:$E,$A118)</f>
        <v>0</v>
      </c>
      <c r="F118" s="36" t="str">
        <f ca="1" t="array" ref="F118">INDEX(Data_DBD!$F:$F,$A118)</f>
        <v>Tinggi</v>
      </c>
      <c r="H118" s="36">
        <v>100</v>
      </c>
      <c r="I118" s="36">
        <v>19</v>
      </c>
      <c r="J118" s="36">
        <v>6</v>
      </c>
      <c r="K118" s="36">
        <v>18</v>
      </c>
      <c r="L118" s="36">
        <v>0</v>
      </c>
      <c r="M118" s="36" t="s">
        <v>105</v>
      </c>
    </row>
    <row r="119" spans="1:13">
      <c r="A119" s="36">
        <f ca="1" t="shared" si="1"/>
        <v>27</v>
      </c>
      <c r="B119" s="36">
        <f ca="1" t="array" ref="B119">INDEX(Data_DBD!$B:$B,$A119)</f>
        <v>37</v>
      </c>
      <c r="C119" s="36" t="str">
        <f ca="1" t="array" ref="C119">INDEX(Data_DBD!$C:$C,$A119)</f>
        <v>4 Hari</v>
      </c>
      <c r="D119" s="36">
        <f ca="1" t="array" ref="D119">INDEX(Data_DBD!$D:$D,$A119)</f>
        <v>14</v>
      </c>
      <c r="E119" s="36">
        <f ca="1" t="array" ref="E119">INDEX(Data_DBD!$E:$E,$A119)</f>
        <v>1</v>
      </c>
      <c r="F119" s="36" t="str">
        <f ca="1" t="array" ref="F119">INDEX(Data_DBD!$F:$F,$A119)</f>
        <v>Sedang</v>
      </c>
      <c r="H119" s="36">
        <v>13</v>
      </c>
      <c r="I119" s="36">
        <v>47</v>
      </c>
      <c r="J119" s="36">
        <v>2</v>
      </c>
      <c r="K119" s="36">
        <v>12</v>
      </c>
      <c r="L119" s="36">
        <v>0</v>
      </c>
      <c r="M119" s="36" t="s">
        <v>8</v>
      </c>
    </row>
    <row r="120" spans="1:13">
      <c r="A120" s="36">
        <f ca="1" t="shared" si="1"/>
        <v>133</v>
      </c>
      <c r="B120" s="36">
        <f ca="1" t="array" ref="B120">INDEX(Data_DBD!$B:$B,$A120)</f>
        <v>6</v>
      </c>
      <c r="C120" s="36" t="str">
        <f ca="1" t="array" ref="C120">INDEX(Data_DBD!$C:$C,$A120)</f>
        <v>4 Hari</v>
      </c>
      <c r="D120" s="36">
        <f ca="1" t="array" ref="D120">INDEX(Data_DBD!$D:$D,$A120)</f>
        <v>33</v>
      </c>
      <c r="E120" s="36">
        <f ca="1" t="array" ref="E120">INDEX(Data_DBD!$E:$E,$A120)</f>
        <v>0</v>
      </c>
      <c r="F120" s="36" t="str">
        <f ca="1" t="array" ref="F120">INDEX(Data_DBD!$F:$F,$A120)</f>
        <v>Tinggi</v>
      </c>
      <c r="H120" s="36">
        <v>159</v>
      </c>
      <c r="I120" s="36">
        <v>17</v>
      </c>
      <c r="J120" s="36">
        <v>2</v>
      </c>
      <c r="K120" s="36">
        <v>21</v>
      </c>
      <c r="L120" s="36">
        <v>0</v>
      </c>
      <c r="M120" s="36" t="s">
        <v>105</v>
      </c>
    </row>
    <row r="121" spans="1:13">
      <c r="A121" s="36">
        <f ca="1" t="shared" si="1"/>
        <v>81</v>
      </c>
      <c r="B121" s="36">
        <f ca="1" t="array" ref="B121">INDEX(Data_DBD!$B:$B,$A121)</f>
        <v>23</v>
      </c>
      <c r="C121" s="36" t="str">
        <f ca="1" t="array" ref="C121">INDEX(Data_DBD!$C:$C,$A121)</f>
        <v>5 Hari</v>
      </c>
      <c r="D121" s="36">
        <f ca="1" t="array" ref="D121">INDEX(Data_DBD!$D:$D,$A121)</f>
        <v>13</v>
      </c>
      <c r="E121" s="36">
        <f ca="1" t="array" ref="E121">INDEX(Data_DBD!$E:$E,$A121)</f>
        <v>1</v>
      </c>
      <c r="F121" s="36" t="str">
        <f ca="1" t="array" ref="F121">INDEX(Data_DBD!$F:$F,$A121)</f>
        <v>Sedang</v>
      </c>
      <c r="H121" s="36">
        <v>116</v>
      </c>
      <c r="I121" s="36">
        <v>32</v>
      </c>
      <c r="J121" s="36">
        <v>4</v>
      </c>
      <c r="K121" s="36">
        <v>33</v>
      </c>
      <c r="L121" s="36">
        <v>1</v>
      </c>
      <c r="M121" s="36" t="s">
        <v>105</v>
      </c>
    </row>
    <row r="122" spans="1:13">
      <c r="A122" s="36">
        <f ca="1" t="shared" si="1"/>
        <v>100</v>
      </c>
      <c r="B122" s="36">
        <f ca="1" t="array" ref="B122">INDEX(Data_DBD!$B:$B,$A122)</f>
        <v>19</v>
      </c>
      <c r="C122" s="36" t="str">
        <f ca="1" t="array" ref="C122">INDEX(Data_DBD!$C:$C,$A122)</f>
        <v>6 Hari</v>
      </c>
      <c r="D122" s="36">
        <f ca="1" t="array" ref="D122">INDEX(Data_DBD!$D:$D,$A122)</f>
        <v>18</v>
      </c>
      <c r="E122" s="36">
        <f ca="1" t="array" ref="E122">INDEX(Data_DBD!$E:$E,$A122)</f>
        <v>0</v>
      </c>
      <c r="F122" s="36" t="str">
        <f ca="1" t="array" ref="F122">INDEX(Data_DBD!$F:$F,$A122)</f>
        <v>Tinggi</v>
      </c>
      <c r="H122" s="36">
        <v>86</v>
      </c>
      <c r="I122" s="36">
        <v>23</v>
      </c>
      <c r="J122" s="36">
        <v>3</v>
      </c>
      <c r="K122" s="36">
        <v>13</v>
      </c>
      <c r="L122" s="36">
        <v>0</v>
      </c>
      <c r="M122" s="36" t="s">
        <v>8</v>
      </c>
    </row>
    <row r="123" spans="1:13">
      <c r="A123" s="36">
        <f ca="1" t="shared" si="1"/>
        <v>3</v>
      </c>
      <c r="B123" s="36">
        <f ca="1" t="array" ref="B123">INDEX(Data_DBD!$B:$B,$A123)</f>
        <v>43</v>
      </c>
      <c r="C123" s="36" t="str">
        <f ca="1" t="array" ref="C123">INDEX(Data_DBD!$C:$C,$A123)</f>
        <v>3 Hari</v>
      </c>
      <c r="D123" s="36">
        <f ca="1" t="array" ref="D123">INDEX(Data_DBD!$D:$D,$A123)</f>
        <v>12</v>
      </c>
      <c r="E123" s="36">
        <f ca="1" t="array" ref="E123">INDEX(Data_DBD!$E:$E,$A123)</f>
        <v>1</v>
      </c>
      <c r="F123" s="36" t="str">
        <f ca="1" t="array" ref="F123">INDEX(Data_DBD!$F:$F,$A123)</f>
        <v>Sedang</v>
      </c>
      <c r="H123" s="36">
        <v>52</v>
      </c>
      <c r="I123" s="36">
        <v>59</v>
      </c>
      <c r="J123" s="36">
        <v>4</v>
      </c>
      <c r="K123" s="36">
        <v>15</v>
      </c>
      <c r="L123" s="36">
        <v>1</v>
      </c>
      <c r="M123" s="36" t="s">
        <v>8</v>
      </c>
    </row>
    <row r="124" spans="1:13">
      <c r="A124" s="36">
        <f ca="1" t="shared" si="1"/>
        <v>155</v>
      </c>
      <c r="B124" s="36">
        <f ca="1" t="array" ref="B124">INDEX(Data_DBD!$B:$B,$A124)</f>
        <v>19</v>
      </c>
      <c r="C124" s="36" t="str">
        <f ca="1" t="array" ref="C124">INDEX(Data_DBD!$C:$C,$A124)</f>
        <v>5 Hari</v>
      </c>
      <c r="D124" s="36">
        <f ca="1" t="array" ref="D124">INDEX(Data_DBD!$D:$D,$A124)</f>
        <v>21</v>
      </c>
      <c r="E124" s="36">
        <f ca="1" t="array" ref="E124">INDEX(Data_DBD!$E:$E,$A124)</f>
        <v>1</v>
      </c>
      <c r="F124" s="36" t="str">
        <f ca="1" t="array" ref="F124">INDEX(Data_DBD!$F:$F,$A124)</f>
        <v>Tinggi</v>
      </c>
      <c r="H124" s="36">
        <v>91</v>
      </c>
      <c r="I124" s="36">
        <v>35</v>
      </c>
      <c r="J124" s="36">
        <v>1</v>
      </c>
      <c r="K124" s="36">
        <v>18</v>
      </c>
      <c r="L124" s="36">
        <v>1</v>
      </c>
      <c r="M124" s="36" t="s">
        <v>105</v>
      </c>
    </row>
    <row r="125" spans="1:13">
      <c r="A125" s="36">
        <f ca="1" t="shared" si="1"/>
        <v>32</v>
      </c>
      <c r="B125" s="36">
        <f ca="1" t="array" ref="B125">INDEX(Data_DBD!$B:$B,$A125)</f>
        <v>54</v>
      </c>
      <c r="C125" s="36" t="str">
        <f ca="1" t="array" ref="C125">INDEX(Data_DBD!$C:$C,$A125)</f>
        <v>4 Hari</v>
      </c>
      <c r="D125" s="36">
        <f ca="1" t="array" ref="D125">INDEX(Data_DBD!$D:$D,$A125)</f>
        <v>14</v>
      </c>
      <c r="E125" s="36">
        <f ca="1" t="array" ref="E125">INDEX(Data_DBD!$E:$E,$A125)</f>
        <v>0</v>
      </c>
      <c r="F125" s="36" t="str">
        <f ca="1" t="array" ref="F125">INDEX(Data_DBD!$F:$F,$A125)</f>
        <v>Sedang</v>
      </c>
      <c r="H125" s="36">
        <v>47</v>
      </c>
      <c r="I125" s="36">
        <v>19</v>
      </c>
      <c r="J125" s="36">
        <v>2</v>
      </c>
      <c r="K125" s="36">
        <v>13</v>
      </c>
      <c r="L125" s="36">
        <v>0</v>
      </c>
      <c r="M125" s="36" t="s">
        <v>8</v>
      </c>
    </row>
    <row r="126" spans="1:13">
      <c r="A126" s="36">
        <f ca="1" t="shared" si="1"/>
        <v>86</v>
      </c>
      <c r="B126" s="36">
        <f ca="1" t="array" ref="B126">INDEX(Data_DBD!$B:$B,$A126)</f>
        <v>23</v>
      </c>
      <c r="C126" s="36" t="str">
        <f ca="1" t="array" ref="C126">INDEX(Data_DBD!$C:$C,$A126)</f>
        <v>3 Hari</v>
      </c>
      <c r="D126" s="36">
        <f ca="1" t="array" ref="D126">INDEX(Data_DBD!$D:$D,$A126)</f>
        <v>13</v>
      </c>
      <c r="E126" s="36">
        <f ca="1" t="array" ref="E126">INDEX(Data_DBD!$E:$E,$A126)</f>
        <v>0</v>
      </c>
      <c r="F126" s="36" t="str">
        <f ca="1" t="array" ref="F126">INDEX(Data_DBD!$F:$F,$A126)</f>
        <v>Sedang</v>
      </c>
      <c r="H126" s="36">
        <v>56</v>
      </c>
      <c r="I126" s="36">
        <v>4</v>
      </c>
      <c r="J126" s="36">
        <v>3</v>
      </c>
      <c r="K126" s="36">
        <v>15</v>
      </c>
      <c r="L126" s="36">
        <v>0</v>
      </c>
      <c r="M126" s="36" t="s">
        <v>8</v>
      </c>
    </row>
    <row r="127" spans="1:13">
      <c r="A127" s="36">
        <f ca="1" t="shared" si="1"/>
        <v>63</v>
      </c>
      <c r="B127" s="36">
        <f ca="1" t="array" ref="B127">INDEX(Data_DBD!$B:$B,$A127)</f>
        <v>25</v>
      </c>
      <c r="C127" s="36" t="str">
        <f ca="1" t="array" ref="C127">INDEX(Data_DBD!$C:$C,$A127)</f>
        <v>3 Hari</v>
      </c>
      <c r="D127" s="36">
        <f ca="1" t="array" ref="D127">INDEX(Data_DBD!$D:$D,$A127)</f>
        <v>15</v>
      </c>
      <c r="E127" s="36">
        <f ca="1" t="array" ref="E127">INDEX(Data_DBD!$E:$E,$A127)</f>
        <v>0</v>
      </c>
      <c r="F127" s="36" t="str">
        <f ca="1" t="array" ref="F127">INDEX(Data_DBD!$F:$F,$A127)</f>
        <v>Sedang</v>
      </c>
      <c r="H127" s="36">
        <v>97</v>
      </c>
      <c r="I127" s="36">
        <v>16</v>
      </c>
      <c r="J127" s="36">
        <v>2</v>
      </c>
      <c r="K127" s="36">
        <v>18</v>
      </c>
      <c r="L127" s="36">
        <v>1</v>
      </c>
      <c r="M127" s="36" t="s">
        <v>105</v>
      </c>
    </row>
    <row r="128" spans="1:13">
      <c r="A128" s="36">
        <f ca="1" t="shared" si="1"/>
        <v>46</v>
      </c>
      <c r="B128" s="36">
        <f ca="1" t="array" ref="B128">INDEX(Data_DBD!$B:$B,$A128)</f>
        <v>62</v>
      </c>
      <c r="C128" s="36" t="str">
        <f ca="1" t="array" ref="C128">INDEX(Data_DBD!$C:$C,$A128)</f>
        <v>2 Hari</v>
      </c>
      <c r="D128" s="36">
        <f ca="1" t="array" ref="D128">INDEX(Data_DBD!$D:$D,$A128)</f>
        <v>13</v>
      </c>
      <c r="E128" s="36">
        <f ca="1" t="array" ref="E128">INDEX(Data_DBD!$E:$E,$A128)</f>
        <v>0</v>
      </c>
      <c r="F128" s="36" t="str">
        <f ca="1" t="array" ref="F128">INDEX(Data_DBD!$F:$F,$A128)</f>
        <v>Sedang</v>
      </c>
      <c r="H128" s="36">
        <v>96</v>
      </c>
      <c r="I128" s="36">
        <v>56</v>
      </c>
      <c r="J128" s="36">
        <v>4</v>
      </c>
      <c r="K128" s="36">
        <v>18</v>
      </c>
      <c r="L128" s="36">
        <v>0</v>
      </c>
      <c r="M128" s="36" t="s">
        <v>105</v>
      </c>
    </row>
    <row r="129" spans="1:13">
      <c r="A129" s="36">
        <f ca="1" t="shared" si="1"/>
        <v>15</v>
      </c>
      <c r="B129" s="36">
        <f ca="1" t="array" ref="B129">INDEX(Data_DBD!$B:$B,$A129)</f>
        <v>21</v>
      </c>
      <c r="C129" s="36" t="str">
        <f ca="1" t="array" ref="C129">INDEX(Data_DBD!$C:$C,$A129)</f>
        <v>2 Hari</v>
      </c>
      <c r="D129" s="36">
        <f ca="1" t="array" ref="D129">INDEX(Data_DBD!$D:$D,$A129)</f>
        <v>7</v>
      </c>
      <c r="E129" s="36">
        <f ca="1" t="array" ref="E129">INDEX(Data_DBD!$E:$E,$A129)</f>
        <v>0</v>
      </c>
      <c r="F129" s="36" t="str">
        <f ca="1" t="array" ref="F129">INDEX(Data_DBD!$F:$F,$A129)</f>
        <v>Rendah</v>
      </c>
      <c r="H129" s="36">
        <v>20</v>
      </c>
      <c r="I129" s="36">
        <v>15</v>
      </c>
      <c r="J129" s="36">
        <v>5</v>
      </c>
      <c r="K129" s="36">
        <v>7</v>
      </c>
      <c r="L129" s="36">
        <v>0</v>
      </c>
      <c r="M129" s="36" t="s">
        <v>26</v>
      </c>
    </row>
    <row r="130" spans="1:13">
      <c r="A130" s="36">
        <f ca="1" t="shared" si="1"/>
        <v>40</v>
      </c>
      <c r="B130" s="36">
        <f ca="1" t="array" ref="B130">INDEX(Data_DBD!$B:$B,$A130)</f>
        <v>65</v>
      </c>
      <c r="C130" s="36" t="str">
        <f ca="1" t="array" ref="C130">INDEX(Data_DBD!$C:$C,$A130)</f>
        <v>3 Hari</v>
      </c>
      <c r="D130" s="36">
        <f ca="1" t="array" ref="D130">INDEX(Data_DBD!$D:$D,$A130)</f>
        <v>13</v>
      </c>
      <c r="E130" s="36">
        <f ca="1" t="array" ref="E130">INDEX(Data_DBD!$E:$E,$A130)</f>
        <v>1</v>
      </c>
      <c r="F130" s="36" t="str">
        <f ca="1" t="array" ref="F130">INDEX(Data_DBD!$F:$F,$A130)</f>
        <v>Sedang</v>
      </c>
      <c r="H130" s="36">
        <v>119</v>
      </c>
      <c r="I130" s="36">
        <v>30</v>
      </c>
      <c r="J130" s="36">
        <v>7</v>
      </c>
      <c r="K130" s="36">
        <v>33</v>
      </c>
      <c r="L130" s="36">
        <v>0</v>
      </c>
      <c r="M130" s="36" t="s">
        <v>105</v>
      </c>
    </row>
    <row r="131" spans="1:13">
      <c r="A131" s="36">
        <f ca="1" t="shared" ref="A131:A164" si="2">RANDBETWEEN(2,164)</f>
        <v>3</v>
      </c>
      <c r="B131" s="36">
        <f ca="1" t="array" ref="B131">INDEX(Data_DBD!$B:$B,$A131)</f>
        <v>43</v>
      </c>
      <c r="C131" s="36" t="str">
        <f ca="1" t="array" ref="C131">INDEX(Data_DBD!$C:$C,$A131)</f>
        <v>3 Hari</v>
      </c>
      <c r="D131" s="36">
        <f ca="1" t="array" ref="D131">INDEX(Data_DBD!$D:$D,$A131)</f>
        <v>12</v>
      </c>
      <c r="E131" s="36">
        <f ca="1" t="array" ref="E131">INDEX(Data_DBD!$E:$E,$A131)</f>
        <v>1</v>
      </c>
      <c r="F131" s="36" t="str">
        <f ca="1" t="array" ref="F131">INDEX(Data_DBD!$F:$F,$A131)</f>
        <v>Sedang</v>
      </c>
      <c r="H131" s="36">
        <v>58</v>
      </c>
      <c r="I131" s="36">
        <v>17</v>
      </c>
      <c r="J131" s="36">
        <v>3</v>
      </c>
      <c r="K131" s="36">
        <v>15</v>
      </c>
      <c r="L131" s="36">
        <v>0</v>
      </c>
      <c r="M131" s="36" t="s">
        <v>8</v>
      </c>
    </row>
    <row r="132" spans="1:13">
      <c r="A132" s="36">
        <f ca="1" t="shared" si="2"/>
        <v>145</v>
      </c>
      <c r="B132" s="36">
        <f ca="1" t="array" ref="B132">INDEX(Data_DBD!$B:$B,$A132)</f>
        <v>28</v>
      </c>
      <c r="C132" s="36" t="str">
        <f ca="1" t="array" ref="C132">INDEX(Data_DBD!$C:$C,$A132)</f>
        <v>4 Hari</v>
      </c>
      <c r="D132" s="36">
        <f ca="1" t="array" ref="D132">INDEX(Data_DBD!$D:$D,$A132)</f>
        <v>21</v>
      </c>
      <c r="E132" s="36">
        <f ca="1" t="array" ref="E132">INDEX(Data_DBD!$E:$E,$A132)</f>
        <v>1</v>
      </c>
      <c r="F132" s="36" t="str">
        <f ca="1" t="array" ref="F132">INDEX(Data_DBD!$F:$F,$A132)</f>
        <v>Tinggi</v>
      </c>
      <c r="H132" s="36">
        <v>138</v>
      </c>
      <c r="I132" s="36">
        <v>13</v>
      </c>
      <c r="J132" s="36">
        <v>3</v>
      </c>
      <c r="K132" s="36">
        <v>33</v>
      </c>
      <c r="L132" s="36">
        <v>1</v>
      </c>
      <c r="M132" s="36" t="s">
        <v>105</v>
      </c>
    </row>
    <row r="133" spans="1:13">
      <c r="A133" s="36">
        <f ca="1" t="shared" si="2"/>
        <v>152</v>
      </c>
      <c r="B133" s="36">
        <f ca="1" t="array" ref="B133">INDEX(Data_DBD!$B:$B,$A133)</f>
        <v>47</v>
      </c>
      <c r="C133" s="36" t="str">
        <f ca="1" t="array" ref="C133">INDEX(Data_DBD!$C:$C,$A133)</f>
        <v>3 Hari</v>
      </c>
      <c r="D133" s="36">
        <f ca="1" t="array" ref="D133">INDEX(Data_DBD!$D:$D,$A133)</f>
        <v>21</v>
      </c>
      <c r="E133" s="36">
        <f ca="1" t="array" ref="E133">INDEX(Data_DBD!$E:$E,$A133)</f>
        <v>1</v>
      </c>
      <c r="F133" s="36" t="str">
        <f ca="1" t="array" ref="F133">INDEX(Data_DBD!$F:$F,$A133)</f>
        <v>Tinggi</v>
      </c>
      <c r="H133" s="36">
        <v>5</v>
      </c>
      <c r="I133" s="36">
        <v>18</v>
      </c>
      <c r="J133" s="36">
        <v>2</v>
      </c>
      <c r="K133" s="36">
        <v>12</v>
      </c>
      <c r="L133" s="36">
        <v>1</v>
      </c>
      <c r="M133" s="36" t="s">
        <v>8</v>
      </c>
    </row>
    <row r="134" spans="1:13">
      <c r="A134" s="36">
        <f ca="1" t="shared" si="2"/>
        <v>18</v>
      </c>
      <c r="B134" s="36">
        <f ca="1" t="array" ref="B134">INDEX(Data_DBD!$B:$B,$A134)</f>
        <v>49</v>
      </c>
      <c r="C134" s="36" t="str">
        <f ca="1" t="array" ref="C134">INDEX(Data_DBD!$C:$C,$A134)</f>
        <v>4 Hari</v>
      </c>
      <c r="D134" s="36">
        <f ca="1" t="array" ref="D134">INDEX(Data_DBD!$D:$D,$A134)</f>
        <v>7</v>
      </c>
      <c r="E134" s="36">
        <f ca="1" t="array" ref="E134">INDEX(Data_DBD!$E:$E,$A134)</f>
        <v>1</v>
      </c>
      <c r="F134" s="36" t="str">
        <f ca="1" t="array" ref="F134">INDEX(Data_DBD!$F:$F,$A134)</f>
        <v>Rendah</v>
      </c>
      <c r="H134" s="36">
        <v>36</v>
      </c>
      <c r="I134" s="36">
        <v>27</v>
      </c>
      <c r="J134" s="36">
        <v>1</v>
      </c>
      <c r="K134" s="36">
        <v>4</v>
      </c>
      <c r="L134" s="36">
        <v>1</v>
      </c>
      <c r="M134" s="36" t="s">
        <v>26</v>
      </c>
    </row>
    <row r="135" spans="1:13">
      <c r="A135" s="36">
        <f ca="1" t="shared" si="2"/>
        <v>22</v>
      </c>
      <c r="B135" s="36">
        <f ca="1" t="array" ref="B135">INDEX(Data_DBD!$B:$B,$A135)</f>
        <v>6</v>
      </c>
      <c r="C135" s="36" t="str">
        <f ca="1" t="array" ref="C135">INDEX(Data_DBD!$C:$C,$A135)</f>
        <v>3 Hari</v>
      </c>
      <c r="D135" s="36">
        <f ca="1" t="array" ref="D135">INDEX(Data_DBD!$D:$D,$A135)</f>
        <v>14</v>
      </c>
      <c r="E135" s="36">
        <f ca="1" t="array" ref="E135">INDEX(Data_DBD!$E:$E,$A135)</f>
        <v>0</v>
      </c>
      <c r="F135" s="36" t="str">
        <f ca="1" t="array" ref="F135">INDEX(Data_DBD!$F:$F,$A135)</f>
        <v>Sedang</v>
      </c>
      <c r="H135" s="36">
        <v>11</v>
      </c>
      <c r="I135" s="36">
        <v>24</v>
      </c>
      <c r="J135" s="36">
        <v>5</v>
      </c>
      <c r="K135" s="36">
        <v>12</v>
      </c>
      <c r="L135" s="36">
        <v>1</v>
      </c>
      <c r="M135" s="36" t="s">
        <v>8</v>
      </c>
    </row>
    <row r="136" spans="1:13">
      <c r="A136" s="36">
        <f ca="1" t="shared" si="2"/>
        <v>65</v>
      </c>
      <c r="B136" s="36">
        <f ca="1" t="array" ref="B136">INDEX(Data_DBD!$B:$B,$A136)</f>
        <v>49</v>
      </c>
      <c r="C136" s="36" t="str">
        <f ca="1" t="array" ref="C136">INDEX(Data_DBD!$C:$C,$A136)</f>
        <v>3 Hari</v>
      </c>
      <c r="D136" s="36">
        <f ca="1" t="array" ref="D136">INDEX(Data_DBD!$D:$D,$A136)</f>
        <v>15</v>
      </c>
      <c r="E136" s="36">
        <f ca="1" t="array" ref="E136">INDEX(Data_DBD!$E:$E,$A136)</f>
        <v>0</v>
      </c>
      <c r="F136" s="36" t="str">
        <f ca="1" t="array" ref="F136">INDEX(Data_DBD!$F:$F,$A136)</f>
        <v>Sedang</v>
      </c>
      <c r="H136" s="36">
        <v>11</v>
      </c>
      <c r="I136" s="36">
        <v>24</v>
      </c>
      <c r="J136" s="36">
        <v>5</v>
      </c>
      <c r="K136" s="36">
        <v>12</v>
      </c>
      <c r="L136" s="36">
        <v>1</v>
      </c>
      <c r="M136" s="36" t="s">
        <v>8</v>
      </c>
    </row>
    <row r="137" spans="1:13">
      <c r="A137" s="36">
        <f ca="1" t="shared" si="2"/>
        <v>147</v>
      </c>
      <c r="B137" s="36">
        <f ca="1" t="array" ref="B137">INDEX(Data_DBD!$B:$B,$A137)</f>
        <v>66</v>
      </c>
      <c r="C137" s="36" t="str">
        <f ca="1" t="array" ref="C137">INDEX(Data_DBD!$C:$C,$A137)</f>
        <v>10 Hari</v>
      </c>
      <c r="D137" s="36">
        <f ca="1" t="array" ref="D137">INDEX(Data_DBD!$D:$D,$A137)</f>
        <v>21</v>
      </c>
      <c r="E137" s="36">
        <f ca="1" t="array" ref="E137">INDEX(Data_DBD!$E:$E,$A137)</f>
        <v>1</v>
      </c>
      <c r="F137" s="36" t="str">
        <f ca="1" t="array" ref="F137">INDEX(Data_DBD!$F:$F,$A137)</f>
        <v>Tinggi</v>
      </c>
      <c r="H137" s="36">
        <v>113</v>
      </c>
      <c r="I137" s="36">
        <v>69</v>
      </c>
      <c r="J137" s="36">
        <v>1</v>
      </c>
      <c r="K137" s="36">
        <v>33</v>
      </c>
      <c r="L137" s="36">
        <v>1</v>
      </c>
      <c r="M137" s="36" t="s">
        <v>105</v>
      </c>
    </row>
    <row r="138" spans="1:13">
      <c r="A138" s="36">
        <f ca="1" t="shared" si="2"/>
        <v>27</v>
      </c>
      <c r="B138" s="36">
        <f ca="1" t="array" ref="B138">INDEX(Data_DBD!$B:$B,$A138)</f>
        <v>37</v>
      </c>
      <c r="C138" s="36" t="str">
        <f ca="1" t="array" ref="C138">INDEX(Data_DBD!$C:$C,$A138)</f>
        <v>4 Hari</v>
      </c>
      <c r="D138" s="36">
        <f ca="1" t="array" ref="D138">INDEX(Data_DBD!$D:$D,$A138)</f>
        <v>14</v>
      </c>
      <c r="E138" s="36">
        <f ca="1" t="array" ref="E138">INDEX(Data_DBD!$E:$E,$A138)</f>
        <v>1</v>
      </c>
      <c r="F138" s="36" t="str">
        <f ca="1" t="array" ref="F138">INDEX(Data_DBD!$F:$F,$A138)</f>
        <v>Sedang</v>
      </c>
      <c r="H138" s="36">
        <v>57</v>
      </c>
      <c r="I138" s="36">
        <v>2</v>
      </c>
      <c r="J138" s="36">
        <v>2</v>
      </c>
      <c r="K138" s="36">
        <v>15</v>
      </c>
      <c r="L138" s="36">
        <v>1</v>
      </c>
      <c r="M138" s="36" t="s">
        <v>8</v>
      </c>
    </row>
    <row r="139" spans="1:13">
      <c r="A139" s="36">
        <f ca="1" t="shared" si="2"/>
        <v>79</v>
      </c>
      <c r="B139" s="36">
        <f ca="1" t="array" ref="B139">INDEX(Data_DBD!$B:$B,$A139)</f>
        <v>29</v>
      </c>
      <c r="C139" s="36" t="str">
        <f ca="1" t="array" ref="C139">INDEX(Data_DBD!$C:$C,$A139)</f>
        <v>3 Hari</v>
      </c>
      <c r="D139" s="36">
        <f ca="1" t="array" ref="D139">INDEX(Data_DBD!$D:$D,$A139)</f>
        <v>13</v>
      </c>
      <c r="E139" s="36">
        <f ca="1" t="array" ref="E139">INDEX(Data_DBD!$E:$E,$A139)</f>
        <v>0</v>
      </c>
      <c r="F139" s="36" t="str">
        <f ca="1" t="array" ref="F139">INDEX(Data_DBD!$F:$F,$A139)</f>
        <v>Sedang</v>
      </c>
      <c r="H139" s="36">
        <v>162</v>
      </c>
      <c r="I139" s="36">
        <v>22</v>
      </c>
      <c r="J139" s="36">
        <v>3</v>
      </c>
      <c r="K139" s="36">
        <v>3</v>
      </c>
      <c r="L139" s="36">
        <v>1</v>
      </c>
      <c r="M139" s="36" t="s">
        <v>26</v>
      </c>
    </row>
    <row r="140" spans="1:13">
      <c r="A140" s="36">
        <f ca="1" t="shared" si="2"/>
        <v>32</v>
      </c>
      <c r="B140" s="36">
        <f ca="1" t="array" ref="B140">INDEX(Data_DBD!$B:$B,$A140)</f>
        <v>54</v>
      </c>
      <c r="C140" s="36" t="str">
        <f ca="1" t="array" ref="C140">INDEX(Data_DBD!$C:$C,$A140)</f>
        <v>4 Hari</v>
      </c>
      <c r="D140" s="36">
        <f ca="1" t="array" ref="D140">INDEX(Data_DBD!$D:$D,$A140)</f>
        <v>14</v>
      </c>
      <c r="E140" s="36">
        <f ca="1" t="array" ref="E140">INDEX(Data_DBD!$E:$E,$A140)</f>
        <v>0</v>
      </c>
      <c r="F140" s="36" t="str">
        <f ca="1" t="array" ref="F140">INDEX(Data_DBD!$F:$F,$A140)</f>
        <v>Sedang</v>
      </c>
      <c r="H140" s="36">
        <v>92</v>
      </c>
      <c r="I140" s="36">
        <v>55</v>
      </c>
      <c r="J140" s="36">
        <v>7</v>
      </c>
      <c r="K140" s="36">
        <v>18</v>
      </c>
      <c r="L140" s="36">
        <v>0</v>
      </c>
      <c r="M140" s="36" t="s">
        <v>105</v>
      </c>
    </row>
    <row r="141" spans="1:13">
      <c r="A141" s="36">
        <f ca="1" t="shared" si="2"/>
        <v>73</v>
      </c>
      <c r="B141" s="36">
        <f ca="1" t="array" ref="B141">INDEX(Data_DBD!$B:$B,$A141)</f>
        <v>15</v>
      </c>
      <c r="C141" s="36" t="str">
        <f ca="1" t="array" ref="C141">INDEX(Data_DBD!$C:$C,$A141)</f>
        <v>3 Hari</v>
      </c>
      <c r="D141" s="36">
        <f ca="1" t="array" ref="D141">INDEX(Data_DBD!$D:$D,$A141)</f>
        <v>10</v>
      </c>
      <c r="E141" s="36">
        <f ca="1" t="array" ref="E141">INDEX(Data_DBD!$E:$E,$A141)</f>
        <v>1</v>
      </c>
      <c r="F141" s="36" t="str">
        <f ca="1" t="array" ref="F141">INDEX(Data_DBD!$F:$F,$A141)</f>
        <v>Sedang</v>
      </c>
      <c r="H141" s="36">
        <v>89</v>
      </c>
      <c r="I141" s="36">
        <v>32</v>
      </c>
      <c r="J141" s="36">
        <v>4</v>
      </c>
      <c r="K141" s="36">
        <v>13</v>
      </c>
      <c r="L141" s="36">
        <v>0</v>
      </c>
      <c r="M141" s="36" t="s">
        <v>8</v>
      </c>
    </row>
    <row r="142" spans="1:13">
      <c r="A142" s="36">
        <f ca="1" t="shared" si="2"/>
        <v>20</v>
      </c>
      <c r="B142" s="36">
        <f ca="1" t="array" ref="B142">INDEX(Data_DBD!$B:$B,$A142)</f>
        <v>15</v>
      </c>
      <c r="C142" s="36" t="str">
        <f ca="1" t="array" ref="C142">INDEX(Data_DBD!$C:$C,$A142)</f>
        <v>5 Hari</v>
      </c>
      <c r="D142" s="36">
        <f ca="1" t="array" ref="D142">INDEX(Data_DBD!$D:$D,$A142)</f>
        <v>7</v>
      </c>
      <c r="E142" s="36">
        <f ca="1" t="array" ref="E142">INDEX(Data_DBD!$E:$E,$A142)</f>
        <v>0</v>
      </c>
      <c r="F142" s="36" t="str">
        <f ca="1" t="array" ref="F142">INDEX(Data_DBD!$F:$F,$A142)</f>
        <v>Rendah</v>
      </c>
      <c r="H142" s="36">
        <v>133</v>
      </c>
      <c r="I142" s="36">
        <v>6</v>
      </c>
      <c r="J142" s="36">
        <v>4</v>
      </c>
      <c r="K142" s="36">
        <v>33</v>
      </c>
      <c r="L142" s="36">
        <v>0</v>
      </c>
      <c r="M142" s="36" t="s">
        <v>105</v>
      </c>
    </row>
    <row r="143" spans="1:13">
      <c r="A143" s="36">
        <f ca="1" t="shared" si="2"/>
        <v>147</v>
      </c>
      <c r="B143" s="36">
        <f ca="1" t="array" ref="B143">INDEX(Data_DBD!$B:$B,$A143)</f>
        <v>66</v>
      </c>
      <c r="C143" s="36" t="str">
        <f ca="1" t="array" ref="C143">INDEX(Data_DBD!$C:$C,$A143)</f>
        <v>10 Hari</v>
      </c>
      <c r="D143" s="36">
        <f ca="1" t="array" ref="D143">INDEX(Data_DBD!$D:$D,$A143)</f>
        <v>21</v>
      </c>
      <c r="E143" s="36">
        <f ca="1" t="array" ref="E143">INDEX(Data_DBD!$E:$E,$A143)</f>
        <v>1</v>
      </c>
      <c r="F143" s="36" t="str">
        <f ca="1" t="array" ref="F143">INDEX(Data_DBD!$F:$F,$A143)</f>
        <v>Tinggi</v>
      </c>
      <c r="H143" s="36">
        <v>136</v>
      </c>
      <c r="I143" s="36">
        <v>6</v>
      </c>
      <c r="J143" s="36">
        <v>2</v>
      </c>
      <c r="K143" s="36">
        <v>33</v>
      </c>
      <c r="L143" s="36">
        <v>0</v>
      </c>
      <c r="M143" s="36" t="s">
        <v>105</v>
      </c>
    </row>
    <row r="144" spans="1:13">
      <c r="A144" s="36">
        <f ca="1" t="shared" si="2"/>
        <v>32</v>
      </c>
      <c r="B144" s="36">
        <f ca="1" t="array" ref="B144">INDEX(Data_DBD!$B:$B,$A144)</f>
        <v>54</v>
      </c>
      <c r="C144" s="36" t="str">
        <f ca="1" t="array" ref="C144">INDEX(Data_DBD!$C:$C,$A144)</f>
        <v>4 Hari</v>
      </c>
      <c r="D144" s="36">
        <f ca="1" t="array" ref="D144">INDEX(Data_DBD!$D:$D,$A144)</f>
        <v>14</v>
      </c>
      <c r="E144" s="36">
        <f ca="1" t="array" ref="E144">INDEX(Data_DBD!$E:$E,$A144)</f>
        <v>0</v>
      </c>
      <c r="F144" s="36" t="str">
        <f ca="1" t="array" ref="F144">INDEX(Data_DBD!$F:$F,$A144)</f>
        <v>Sedang</v>
      </c>
      <c r="H144" s="36">
        <v>76</v>
      </c>
      <c r="I144" s="36">
        <v>70</v>
      </c>
      <c r="J144" s="36">
        <v>2</v>
      </c>
      <c r="K144" s="36">
        <v>10</v>
      </c>
      <c r="L144" s="36">
        <v>0</v>
      </c>
      <c r="M144" s="36" t="s">
        <v>8</v>
      </c>
    </row>
    <row r="145" spans="1:13">
      <c r="A145" s="36">
        <f ca="1" t="shared" si="2"/>
        <v>61</v>
      </c>
      <c r="B145" s="36">
        <f ca="1" t="array" ref="B145">INDEX(Data_DBD!$B:$B,$A145)</f>
        <v>29</v>
      </c>
      <c r="C145" s="36" t="str">
        <f ca="1" t="array" ref="C145">INDEX(Data_DBD!$C:$C,$A145)</f>
        <v>3 Hari</v>
      </c>
      <c r="D145" s="36">
        <f ca="1" t="array" ref="D145">INDEX(Data_DBD!$D:$D,$A145)</f>
        <v>15</v>
      </c>
      <c r="E145" s="36">
        <f ca="1" t="array" ref="E145">INDEX(Data_DBD!$E:$E,$A145)</f>
        <v>1</v>
      </c>
      <c r="F145" s="36" t="str">
        <f ca="1" t="array" ref="F145">INDEX(Data_DBD!$F:$F,$A145)</f>
        <v>Sedang</v>
      </c>
      <c r="H145" s="36">
        <v>116</v>
      </c>
      <c r="I145" s="36">
        <v>32</v>
      </c>
      <c r="J145" s="36">
        <v>4</v>
      </c>
      <c r="K145" s="36">
        <v>33</v>
      </c>
      <c r="L145" s="36">
        <v>1</v>
      </c>
      <c r="M145" s="36" t="s">
        <v>105</v>
      </c>
    </row>
    <row r="146" spans="1:13">
      <c r="A146" s="36">
        <f ca="1" t="shared" si="2"/>
        <v>102</v>
      </c>
      <c r="B146" s="36">
        <f ca="1" t="array" ref="B146">INDEX(Data_DBD!$B:$B,$A146)</f>
        <v>41</v>
      </c>
      <c r="C146" s="36" t="str">
        <f ca="1" t="array" ref="C146">INDEX(Data_DBD!$C:$C,$A146)</f>
        <v>4 Hari</v>
      </c>
      <c r="D146" s="36">
        <f ca="1" t="array" ref="D146">INDEX(Data_DBD!$D:$D,$A146)</f>
        <v>18</v>
      </c>
      <c r="E146" s="36">
        <f ca="1" t="array" ref="E146">INDEX(Data_DBD!$E:$E,$A146)</f>
        <v>0</v>
      </c>
      <c r="F146" s="36" t="str">
        <f ca="1" t="array" ref="F146">INDEX(Data_DBD!$F:$F,$A146)</f>
        <v>Tinggi</v>
      </c>
      <c r="H146" s="36">
        <v>25</v>
      </c>
      <c r="I146" s="36">
        <v>81</v>
      </c>
      <c r="J146" s="36">
        <v>5</v>
      </c>
      <c r="K146" s="36">
        <v>14</v>
      </c>
      <c r="L146" s="36">
        <v>0</v>
      </c>
      <c r="M146" s="36" t="s">
        <v>8</v>
      </c>
    </row>
    <row r="147" spans="1:13">
      <c r="A147" s="36">
        <f ca="1" t="shared" si="2"/>
        <v>32</v>
      </c>
      <c r="B147" s="36">
        <f ca="1" t="array" ref="B147">INDEX(Data_DBD!$B:$B,$A147)</f>
        <v>54</v>
      </c>
      <c r="C147" s="36" t="str">
        <f ca="1" t="array" ref="C147">INDEX(Data_DBD!$C:$C,$A147)</f>
        <v>4 Hari</v>
      </c>
      <c r="D147" s="36">
        <f ca="1" t="array" ref="D147">INDEX(Data_DBD!$D:$D,$A147)</f>
        <v>14</v>
      </c>
      <c r="E147" s="36">
        <f ca="1" t="array" ref="E147">INDEX(Data_DBD!$E:$E,$A147)</f>
        <v>0</v>
      </c>
      <c r="F147" s="36" t="str">
        <f ca="1" t="array" ref="F147">INDEX(Data_DBD!$F:$F,$A147)</f>
        <v>Sedang</v>
      </c>
      <c r="H147" s="36">
        <v>155</v>
      </c>
      <c r="I147" s="36">
        <v>19</v>
      </c>
      <c r="J147" s="36">
        <v>5</v>
      </c>
      <c r="K147" s="36">
        <v>21</v>
      </c>
      <c r="L147" s="36">
        <v>1</v>
      </c>
      <c r="M147" s="36" t="s">
        <v>105</v>
      </c>
    </row>
    <row r="148" spans="1:13">
      <c r="A148" s="36">
        <f ca="1" t="shared" si="2"/>
        <v>71</v>
      </c>
      <c r="B148" s="36">
        <f ca="1" t="array" ref="B148">INDEX(Data_DBD!$B:$B,$A148)</f>
        <v>84</v>
      </c>
      <c r="C148" s="36" t="str">
        <f ca="1" t="array" ref="C148">INDEX(Data_DBD!$C:$C,$A148)</f>
        <v>3 Hari</v>
      </c>
      <c r="D148" s="36">
        <f ca="1" t="array" ref="D148">INDEX(Data_DBD!$D:$D,$A148)</f>
        <v>10</v>
      </c>
      <c r="E148" s="36">
        <f ca="1" t="array" ref="E148">INDEX(Data_DBD!$E:$E,$A148)</f>
        <v>0</v>
      </c>
      <c r="F148" s="36" t="str">
        <f ca="1" t="array" ref="F148">INDEX(Data_DBD!$F:$F,$A148)</f>
        <v>Sedang</v>
      </c>
      <c r="H148" s="36">
        <v>46</v>
      </c>
      <c r="I148" s="36">
        <v>62</v>
      </c>
      <c r="J148" s="36">
        <v>2</v>
      </c>
      <c r="K148" s="36">
        <v>13</v>
      </c>
      <c r="L148" s="36">
        <v>0</v>
      </c>
      <c r="M148" s="36" t="s">
        <v>8</v>
      </c>
    </row>
    <row r="149" spans="1:13">
      <c r="A149" s="36">
        <f ca="1" t="shared" si="2"/>
        <v>101</v>
      </c>
      <c r="B149" s="36">
        <f ca="1" t="array" ref="B149">INDEX(Data_DBD!$B:$B,$A149)</f>
        <v>42</v>
      </c>
      <c r="C149" s="36" t="str">
        <f ca="1" t="array" ref="C149">INDEX(Data_DBD!$C:$C,$A149)</f>
        <v>5 Hari</v>
      </c>
      <c r="D149" s="36">
        <f ca="1" t="array" ref="D149">INDEX(Data_DBD!$D:$D,$A149)</f>
        <v>18</v>
      </c>
      <c r="E149" s="36">
        <f ca="1" t="array" ref="E149">INDEX(Data_DBD!$E:$E,$A149)</f>
        <v>0</v>
      </c>
      <c r="F149" s="36" t="str">
        <f ca="1" t="array" ref="F149">INDEX(Data_DBD!$F:$F,$A149)</f>
        <v>Tinggi</v>
      </c>
      <c r="H149" s="36">
        <v>124</v>
      </c>
      <c r="I149" s="36">
        <v>24</v>
      </c>
      <c r="J149" s="36">
        <v>3</v>
      </c>
      <c r="K149" s="36">
        <v>33</v>
      </c>
      <c r="L149" s="36">
        <v>1</v>
      </c>
      <c r="M149" s="36" t="s">
        <v>105</v>
      </c>
    </row>
    <row r="150" spans="1:13">
      <c r="A150" s="36">
        <f ca="1" t="shared" si="2"/>
        <v>141</v>
      </c>
      <c r="B150" s="36">
        <f ca="1" t="array" ref="B150">INDEX(Data_DBD!$B:$B,$A150)</f>
        <v>36</v>
      </c>
      <c r="C150" s="36" t="str">
        <f ca="1" t="array" ref="C150">INDEX(Data_DBD!$C:$C,$A150)</f>
        <v>2 Hari</v>
      </c>
      <c r="D150" s="36">
        <f ca="1" t="array" ref="D150">INDEX(Data_DBD!$D:$D,$A150)</f>
        <v>21</v>
      </c>
      <c r="E150" s="36">
        <f ca="1" t="array" ref="E150">INDEX(Data_DBD!$E:$E,$A150)</f>
        <v>0</v>
      </c>
      <c r="F150" s="36" t="str">
        <f ca="1" t="array" ref="F150">INDEX(Data_DBD!$F:$F,$A150)</f>
        <v>Tinggi</v>
      </c>
      <c r="H150" s="36">
        <v>91</v>
      </c>
      <c r="I150" s="36">
        <v>35</v>
      </c>
      <c r="J150" s="36">
        <v>1</v>
      </c>
      <c r="K150" s="36">
        <v>18</v>
      </c>
      <c r="L150" s="36">
        <v>1</v>
      </c>
      <c r="M150" s="36" t="s">
        <v>105</v>
      </c>
    </row>
    <row r="151" spans="1:13">
      <c r="A151" s="36">
        <f ca="1" t="shared" si="2"/>
        <v>49</v>
      </c>
      <c r="B151" s="36">
        <f ca="1" t="array" ref="B151">INDEX(Data_DBD!$B:$B,$A151)</f>
        <v>64</v>
      </c>
      <c r="C151" s="36" t="str">
        <f ca="1" t="array" ref="C151">INDEX(Data_DBD!$C:$C,$A151)</f>
        <v>5 Hari</v>
      </c>
      <c r="D151" s="36">
        <f ca="1" t="array" ref="D151">INDEX(Data_DBD!$D:$D,$A151)</f>
        <v>13</v>
      </c>
      <c r="E151" s="36">
        <f ca="1" t="array" ref="E151">INDEX(Data_DBD!$E:$E,$A151)</f>
        <v>0</v>
      </c>
      <c r="F151" s="36" t="str">
        <f ca="1" t="array" ref="F151">INDEX(Data_DBD!$F:$F,$A151)</f>
        <v>Sedang</v>
      </c>
      <c r="H151" s="36">
        <v>159</v>
      </c>
      <c r="I151" s="36">
        <v>17</v>
      </c>
      <c r="J151" s="36">
        <v>2</v>
      </c>
      <c r="K151" s="36">
        <v>21</v>
      </c>
      <c r="L151" s="36">
        <v>0</v>
      </c>
      <c r="M151" s="36" t="s">
        <v>105</v>
      </c>
    </row>
    <row r="152" spans="1:13">
      <c r="A152" s="36">
        <f ca="1" t="shared" si="2"/>
        <v>4</v>
      </c>
      <c r="B152" s="36">
        <f ca="1" t="array" ref="B152">INDEX(Data_DBD!$B:$B,$A152)</f>
        <v>23</v>
      </c>
      <c r="C152" s="36" t="str">
        <f ca="1" t="array" ref="C152">INDEX(Data_DBD!$C:$C,$A152)</f>
        <v>5 Hari</v>
      </c>
      <c r="D152" s="36">
        <f ca="1" t="array" ref="D152">INDEX(Data_DBD!$D:$D,$A152)</f>
        <v>12</v>
      </c>
      <c r="E152" s="36">
        <f ca="1" t="array" ref="E152">INDEX(Data_DBD!$E:$E,$A152)</f>
        <v>0</v>
      </c>
      <c r="F152" s="36" t="str">
        <f ca="1" t="array" ref="F152">INDEX(Data_DBD!$F:$F,$A152)</f>
        <v>Sedang</v>
      </c>
      <c r="H152" s="36">
        <v>96</v>
      </c>
      <c r="I152" s="36">
        <v>56</v>
      </c>
      <c r="J152" s="36">
        <v>4</v>
      </c>
      <c r="K152" s="36">
        <v>18</v>
      </c>
      <c r="L152" s="36">
        <v>0</v>
      </c>
      <c r="M152" s="36" t="s">
        <v>105</v>
      </c>
    </row>
    <row r="153" spans="1:13">
      <c r="A153" s="36">
        <f ca="1" t="shared" si="2"/>
        <v>28</v>
      </c>
      <c r="B153" s="36">
        <f ca="1" t="array" ref="B153">INDEX(Data_DBD!$B:$B,$A153)</f>
        <v>22</v>
      </c>
      <c r="C153" s="36" t="str">
        <f ca="1" t="array" ref="C153">INDEX(Data_DBD!$C:$C,$A153)</f>
        <v>2 Hari</v>
      </c>
      <c r="D153" s="36">
        <f ca="1" t="array" ref="D153">INDEX(Data_DBD!$D:$D,$A153)</f>
        <v>14</v>
      </c>
      <c r="E153" s="36">
        <f ca="1" t="array" ref="E153">INDEX(Data_DBD!$E:$E,$A153)</f>
        <v>1</v>
      </c>
      <c r="F153" s="36" t="str">
        <f ca="1" t="array" ref="F153">INDEX(Data_DBD!$F:$F,$A153)</f>
        <v>Sedang</v>
      </c>
      <c r="H153" s="36">
        <v>4</v>
      </c>
      <c r="I153" s="36">
        <v>23</v>
      </c>
      <c r="J153" s="36">
        <v>5</v>
      </c>
      <c r="K153" s="36">
        <v>12</v>
      </c>
      <c r="L153" s="36">
        <v>0</v>
      </c>
      <c r="M153" s="36" t="s">
        <v>8</v>
      </c>
    </row>
    <row r="154" ht="15.75" spans="1:21">
      <c r="A154" s="36">
        <f ca="1" t="shared" si="2"/>
        <v>20</v>
      </c>
      <c r="B154" s="36">
        <f ca="1" t="array" ref="B154">INDEX(Data_DBD!$B:$B,$A154)</f>
        <v>15</v>
      </c>
      <c r="C154" s="36" t="str">
        <f ca="1" t="array" ref="C154">INDEX(Data_DBD!$C:$C,$A154)</f>
        <v>5 Hari</v>
      </c>
      <c r="D154" s="36">
        <f ca="1" t="array" ref="D154">INDEX(Data_DBD!$D:$D,$A154)</f>
        <v>7</v>
      </c>
      <c r="E154" s="36">
        <f ca="1" t="array" ref="E154">INDEX(Data_DBD!$E:$E,$A154)</f>
        <v>0</v>
      </c>
      <c r="F154" s="36" t="str">
        <f ca="1" t="array" ref="F154">INDEX(Data_DBD!$F:$F,$A154)</f>
        <v>Rendah</v>
      </c>
      <c r="H154" s="36">
        <v>88</v>
      </c>
      <c r="I154" s="36">
        <v>20</v>
      </c>
      <c r="J154" s="36">
        <v>4</v>
      </c>
      <c r="K154" s="36">
        <v>13</v>
      </c>
      <c r="L154" s="36">
        <v>1</v>
      </c>
      <c r="M154" s="36" t="s">
        <v>8</v>
      </c>
      <c r="U154" s="42" t="s">
        <v>278</v>
      </c>
    </row>
    <row r="155" ht="15.75" spans="1:21">
      <c r="A155" s="36">
        <f ca="1" t="shared" si="2"/>
        <v>75</v>
      </c>
      <c r="B155" s="36">
        <f ca="1" t="array" ref="B155">INDEX(Data_DBD!$B:$B,$A155)</f>
        <v>2</v>
      </c>
      <c r="C155" s="36" t="str">
        <f ca="1" t="array" ref="C155">INDEX(Data_DBD!$C:$C,$A155)</f>
        <v>2 Hari</v>
      </c>
      <c r="D155" s="36">
        <f ca="1" t="array" ref="D155">INDEX(Data_DBD!$D:$D,$A155)</f>
        <v>10</v>
      </c>
      <c r="E155" s="36">
        <f ca="1" t="array" ref="E155">INDEX(Data_DBD!$E:$E,$A155)</f>
        <v>1</v>
      </c>
      <c r="F155" s="36" t="str">
        <f ca="1" t="array" ref="F155">INDEX(Data_DBD!$F:$F,$A155)</f>
        <v>Sedang</v>
      </c>
      <c r="H155" s="36">
        <v>11</v>
      </c>
      <c r="I155" s="36">
        <v>24</v>
      </c>
      <c r="J155" s="36">
        <v>5</v>
      </c>
      <c r="K155" s="36">
        <v>12</v>
      </c>
      <c r="L155" s="36">
        <v>1</v>
      </c>
      <c r="M155" s="36" t="s">
        <v>8</v>
      </c>
      <c r="U155" s="43" t="s">
        <v>187</v>
      </c>
    </row>
    <row r="156" ht="15.75" spans="1:21">
      <c r="A156" s="36">
        <f ca="1" t="shared" si="2"/>
        <v>141</v>
      </c>
      <c r="B156" s="36">
        <f ca="1" t="array" ref="B156">INDEX(Data_DBD!$B:$B,$A156)</f>
        <v>36</v>
      </c>
      <c r="C156" s="36" t="str">
        <f ca="1" t="array" ref="C156">INDEX(Data_DBD!$C:$C,$A156)</f>
        <v>2 Hari</v>
      </c>
      <c r="D156" s="36">
        <f ca="1" t="array" ref="D156">INDEX(Data_DBD!$D:$D,$A156)</f>
        <v>21</v>
      </c>
      <c r="E156" s="36">
        <f ca="1" t="array" ref="E156">INDEX(Data_DBD!$E:$E,$A156)</f>
        <v>0</v>
      </c>
      <c r="F156" s="36" t="str">
        <f ca="1" t="array" ref="F156">INDEX(Data_DBD!$F:$F,$A156)</f>
        <v>Tinggi</v>
      </c>
      <c r="H156" s="36">
        <v>114</v>
      </c>
      <c r="I156" s="36">
        <v>14</v>
      </c>
      <c r="J156" s="36">
        <v>2</v>
      </c>
      <c r="K156" s="36">
        <v>33</v>
      </c>
      <c r="L156" s="36">
        <v>1</v>
      </c>
      <c r="M156" s="36" t="s">
        <v>105</v>
      </c>
      <c r="U156" s="44" t="s">
        <v>279</v>
      </c>
    </row>
    <row r="157" ht="15.75" spans="1:21">
      <c r="A157" s="36">
        <f ca="1" t="shared" si="2"/>
        <v>92</v>
      </c>
      <c r="B157" s="36">
        <f ca="1" t="array" ref="B157">INDEX(Data_DBD!$B:$B,$A157)</f>
        <v>55</v>
      </c>
      <c r="C157" s="36" t="str">
        <f ca="1" t="array" ref="C157">INDEX(Data_DBD!$C:$C,$A157)</f>
        <v>7 Hari</v>
      </c>
      <c r="D157" s="36">
        <f ca="1" t="array" ref="D157">INDEX(Data_DBD!$D:$D,$A157)</f>
        <v>18</v>
      </c>
      <c r="E157" s="36">
        <f ca="1" t="array" ref="E157">INDEX(Data_DBD!$E:$E,$A157)</f>
        <v>0</v>
      </c>
      <c r="F157" s="36" t="str">
        <f ca="1" t="array" ref="F157">INDEX(Data_DBD!$F:$F,$A157)</f>
        <v>Tinggi</v>
      </c>
      <c r="H157" s="36">
        <v>87</v>
      </c>
      <c r="I157" s="36">
        <v>21</v>
      </c>
      <c r="J157" s="36">
        <v>3</v>
      </c>
      <c r="K157" s="36">
        <v>13</v>
      </c>
      <c r="L157" s="36">
        <v>0</v>
      </c>
      <c r="M157" s="36" t="s">
        <v>8</v>
      </c>
      <c r="U157" s="44" t="s">
        <v>250</v>
      </c>
    </row>
    <row r="158" ht="15.75" spans="1:21">
      <c r="A158" s="36">
        <f ca="1" t="shared" si="2"/>
        <v>85</v>
      </c>
      <c r="B158" s="36">
        <f ca="1" t="array" ref="B158">INDEX(Data_DBD!$B:$B,$A158)</f>
        <v>27</v>
      </c>
      <c r="C158" s="36" t="str">
        <f ca="1" t="array" ref="C158">INDEX(Data_DBD!$C:$C,$A158)</f>
        <v>9 Hari</v>
      </c>
      <c r="D158" s="36">
        <f ca="1" t="array" ref="D158">INDEX(Data_DBD!$D:$D,$A158)</f>
        <v>13</v>
      </c>
      <c r="E158" s="36">
        <f ca="1" t="array" ref="E158">INDEX(Data_DBD!$E:$E,$A158)</f>
        <v>0</v>
      </c>
      <c r="F158" s="36" t="str">
        <f ca="1" t="array" ref="F158">INDEX(Data_DBD!$F:$F,$A158)</f>
        <v>Sedang</v>
      </c>
      <c r="H158" s="36">
        <v>103</v>
      </c>
      <c r="I158" s="36">
        <v>22</v>
      </c>
      <c r="J158" s="36">
        <v>5</v>
      </c>
      <c r="K158" s="36">
        <v>18</v>
      </c>
      <c r="L158" s="36">
        <v>0</v>
      </c>
      <c r="M158" s="36" t="s">
        <v>105</v>
      </c>
      <c r="U158" s="43" t="s">
        <v>190</v>
      </c>
    </row>
    <row r="159" ht="15.75" spans="1:21">
      <c r="A159" s="36">
        <f ca="1" t="shared" si="2"/>
        <v>76</v>
      </c>
      <c r="B159" s="36">
        <f ca="1" t="array" ref="B159">INDEX(Data_DBD!$B:$B,$A159)</f>
        <v>70</v>
      </c>
      <c r="C159" s="36" t="str">
        <f ca="1" t="array" ref="C159">INDEX(Data_DBD!$C:$C,$A159)</f>
        <v>2 Hari</v>
      </c>
      <c r="D159" s="36">
        <f ca="1" t="array" ref="D159">INDEX(Data_DBD!$D:$D,$A159)</f>
        <v>10</v>
      </c>
      <c r="E159" s="36">
        <f ca="1" t="array" ref="E159">INDEX(Data_DBD!$E:$E,$A159)</f>
        <v>0</v>
      </c>
      <c r="F159" s="36" t="str">
        <f ca="1" t="array" ref="F159">INDEX(Data_DBD!$F:$F,$A159)</f>
        <v>Sedang</v>
      </c>
      <c r="H159" s="36">
        <v>156</v>
      </c>
      <c r="I159" s="36">
        <v>5</v>
      </c>
      <c r="J159" s="36">
        <v>2</v>
      </c>
      <c r="K159" s="36">
        <v>21</v>
      </c>
      <c r="L159" s="36">
        <v>0</v>
      </c>
      <c r="M159" s="36" t="s">
        <v>105</v>
      </c>
      <c r="U159" s="44" t="s">
        <v>280</v>
      </c>
    </row>
    <row r="160" ht="15.75" spans="1:21">
      <c r="A160" s="36">
        <f ca="1" t="shared" si="2"/>
        <v>155</v>
      </c>
      <c r="B160" s="36">
        <f ca="1" t="array" ref="B160">INDEX(Data_DBD!$B:$B,$A160)</f>
        <v>19</v>
      </c>
      <c r="C160" s="36" t="str">
        <f ca="1" t="array" ref="C160">INDEX(Data_DBD!$C:$C,$A160)</f>
        <v>5 Hari</v>
      </c>
      <c r="D160" s="36">
        <f ca="1" t="array" ref="D160">INDEX(Data_DBD!$D:$D,$A160)</f>
        <v>21</v>
      </c>
      <c r="E160" s="36">
        <f ca="1" t="array" ref="E160">INDEX(Data_DBD!$E:$E,$A160)</f>
        <v>1</v>
      </c>
      <c r="F160" s="36" t="str">
        <f ca="1" t="array" ref="F160">INDEX(Data_DBD!$F:$F,$A160)</f>
        <v>Tinggi</v>
      </c>
      <c r="H160" s="36">
        <v>143</v>
      </c>
      <c r="I160" s="36">
        <v>20</v>
      </c>
      <c r="J160" s="36">
        <v>4</v>
      </c>
      <c r="K160" s="36">
        <v>21</v>
      </c>
      <c r="L160" s="36">
        <v>1</v>
      </c>
      <c r="M160" s="36" t="s">
        <v>105</v>
      </c>
      <c r="U160" s="44" t="s">
        <v>252</v>
      </c>
    </row>
    <row r="161" ht="15.75" spans="1:21">
      <c r="A161" s="36">
        <f ca="1" t="shared" si="2"/>
        <v>10</v>
      </c>
      <c r="B161" s="36">
        <f ca="1" t="array" ref="B161">INDEX(Data_DBD!$B:$B,$A161)</f>
        <v>18</v>
      </c>
      <c r="C161" s="36" t="str">
        <f ca="1" t="array" ref="C161">INDEX(Data_DBD!$C:$C,$A161)</f>
        <v>5 Hari</v>
      </c>
      <c r="D161" s="36">
        <f ca="1" t="array" ref="D161">INDEX(Data_DBD!$D:$D,$A161)</f>
        <v>12</v>
      </c>
      <c r="E161" s="36">
        <f ca="1" t="array" ref="E161">INDEX(Data_DBD!$E:$E,$A161)</f>
        <v>0</v>
      </c>
      <c r="F161" s="36" t="str">
        <f ca="1" t="array" ref="F161">INDEX(Data_DBD!$F:$F,$A161)</f>
        <v>Sedang</v>
      </c>
      <c r="H161" s="36">
        <v>43</v>
      </c>
      <c r="I161" s="36">
        <v>15</v>
      </c>
      <c r="J161" s="36">
        <v>4</v>
      </c>
      <c r="K161" s="36">
        <v>13</v>
      </c>
      <c r="L161" s="36">
        <v>0</v>
      </c>
      <c r="M161" s="36" t="s">
        <v>8</v>
      </c>
      <c r="U161" s="43" t="s">
        <v>193</v>
      </c>
    </row>
    <row r="162" ht="15.75" spans="1:21">
      <c r="A162" s="36">
        <f ca="1" t="shared" si="2"/>
        <v>12</v>
      </c>
      <c r="B162" s="36">
        <f ca="1" t="array" ref="B162">INDEX(Data_DBD!$B:$B,$A162)</f>
        <v>23</v>
      </c>
      <c r="C162" s="36" t="str">
        <f ca="1" t="array" ref="C162">INDEX(Data_DBD!$C:$C,$A162)</f>
        <v>3 Hari</v>
      </c>
      <c r="D162" s="36">
        <f ca="1" t="array" ref="D162">INDEX(Data_DBD!$D:$D,$A162)</f>
        <v>12</v>
      </c>
      <c r="E162" s="36">
        <f ca="1" t="array" ref="E162">INDEX(Data_DBD!$E:$E,$A162)</f>
        <v>0</v>
      </c>
      <c r="F162" s="36" t="str">
        <f ca="1" t="array" ref="F162">INDEX(Data_DBD!$F:$F,$A162)</f>
        <v>Sedang</v>
      </c>
      <c r="H162" s="36">
        <v>95</v>
      </c>
      <c r="I162" s="36">
        <v>11</v>
      </c>
      <c r="J162" s="36">
        <v>3</v>
      </c>
      <c r="K162" s="36">
        <v>18</v>
      </c>
      <c r="L162" s="36">
        <v>1</v>
      </c>
      <c r="M162" s="36" t="s">
        <v>105</v>
      </c>
      <c r="U162" s="44" t="s">
        <v>281</v>
      </c>
    </row>
    <row r="163" spans="1:13">
      <c r="A163" s="36">
        <f ca="1" t="shared" si="2"/>
        <v>100</v>
      </c>
      <c r="B163" s="36">
        <f ca="1" t="array" ref="B163">INDEX(Data_DBD!$B:$B,$A163)</f>
        <v>19</v>
      </c>
      <c r="C163" s="36" t="str">
        <f ca="1" t="array" ref="C163">INDEX(Data_DBD!$C:$C,$A163)</f>
        <v>6 Hari</v>
      </c>
      <c r="D163" s="36">
        <f ca="1" t="array" ref="D163">INDEX(Data_DBD!$D:$D,$A163)</f>
        <v>18</v>
      </c>
      <c r="E163" s="36">
        <f ca="1" t="array" ref="E163">INDEX(Data_DBD!$E:$E,$A163)</f>
        <v>0</v>
      </c>
      <c r="F163" s="36" t="str">
        <f ca="1" t="array" ref="F163">INDEX(Data_DBD!$F:$F,$A163)</f>
        <v>Tinggi</v>
      </c>
      <c r="H163" s="36">
        <v>114</v>
      </c>
      <c r="I163" s="36">
        <v>14</v>
      </c>
      <c r="J163" s="36">
        <v>2</v>
      </c>
      <c r="K163" s="36">
        <v>33</v>
      </c>
      <c r="L163" s="36">
        <v>1</v>
      </c>
      <c r="M163" s="36" t="s">
        <v>105</v>
      </c>
    </row>
    <row r="164" spans="1:13">
      <c r="A164" s="36">
        <f ca="1" t="shared" si="2"/>
        <v>9</v>
      </c>
      <c r="B164" s="36">
        <f ca="1" t="array" ref="B164">INDEX(Data_DBD!$B:$B,$A164)</f>
        <v>16</v>
      </c>
      <c r="C164" s="36" t="str">
        <f ca="1" t="array" ref="C164">INDEX(Data_DBD!$C:$C,$A164)</f>
        <v>6 Hari</v>
      </c>
      <c r="D164" s="36">
        <f ca="1" t="array" ref="D164">INDEX(Data_DBD!$D:$D,$A164)</f>
        <v>12</v>
      </c>
      <c r="E164" s="36">
        <f ca="1" t="array" ref="E164">INDEX(Data_DBD!$E:$E,$A164)</f>
        <v>1</v>
      </c>
      <c r="F164" s="36" t="str">
        <f ca="1" t="array" ref="F164">INDEX(Data_DBD!$F:$F,$A164)</f>
        <v>Sedang</v>
      </c>
      <c r="H164" s="36">
        <v>151</v>
      </c>
      <c r="I164" s="36">
        <v>24</v>
      </c>
      <c r="J164" s="36">
        <v>3</v>
      </c>
      <c r="K164" s="36">
        <v>21</v>
      </c>
      <c r="L164" s="36">
        <v>0</v>
      </c>
      <c r="M164" s="36" t="s">
        <v>105</v>
      </c>
    </row>
    <row r="165" spans="9:12">
      <c r="I165">
        <f>AVERAGE(I2:I164)</f>
        <v>30.1042944785276</v>
      </c>
      <c r="J165">
        <f>AVERAGE(J2:J164)</f>
        <v>3.50306748466258</v>
      </c>
      <c r="K165">
        <f>AVERAGE(K2:K164)</f>
        <v>17.7055214723926</v>
      </c>
      <c r="L165">
        <f>AVERAGE(L2:L164)</f>
        <v>0.484662576687117</v>
      </c>
    </row>
    <row r="166" spans="2:2">
      <c r="B166">
        <v>66</v>
      </c>
    </row>
    <row r="168" spans="5:20">
      <c r="E168" s="40" t="s">
        <v>207</v>
      </c>
      <c r="J168" s="40" t="s">
        <v>208</v>
      </c>
      <c r="O168" s="40" t="s">
        <v>209</v>
      </c>
      <c r="T168" s="40" t="s">
        <v>210</v>
      </c>
    </row>
    <row r="169" spans="5:22">
      <c r="E169" s="36" t="s">
        <v>1</v>
      </c>
      <c r="F169" s="36">
        <f>AVERAGEIF($I$2:$I$164,"&lt;="&amp;$I$165)</f>
        <v>16.82</v>
      </c>
      <c r="G169" s="36">
        <f>AVERAGEIF($I$2:$I$164,"&gt;"&amp;$I$165)</f>
        <v>51.1904761904762</v>
      </c>
      <c r="J169" s="36" t="s">
        <v>211</v>
      </c>
      <c r="K169" s="36">
        <f>AVERAGEIF($J$2:$J$164,"&lt;="&amp;$J$165)</f>
        <v>2.37647058823529</v>
      </c>
      <c r="L169" s="36">
        <f>AVERAGEIF($J$2:$J$164,"&gt;"&amp;$J$165)</f>
        <v>4.73076923076923</v>
      </c>
      <c r="O169" s="36" t="s">
        <v>212</v>
      </c>
      <c r="P169" s="36">
        <f>AVERAGEIF($K$2:$K$164,"&lt;="&amp;$K$165)</f>
        <v>11.3152173913043</v>
      </c>
      <c r="Q169" s="36">
        <f>AVERAGEIF($K$2:$K$164,"&gt;"&amp;$K$165)</f>
        <v>25.9859154929577</v>
      </c>
      <c r="T169" s="36" t="s">
        <v>213</v>
      </c>
      <c r="U169" s="36">
        <f>AVERAGEIF($L$2:$L$164,"&lt;="&amp;$L$165)</f>
        <v>0</v>
      </c>
      <c r="V169" s="36">
        <f>AVERAGEIF($L$2:$L$164,"&gt;"&amp;$L$165)</f>
        <v>1</v>
      </c>
    </row>
    <row r="170" spans="5:22">
      <c r="E170" s="36" t="str">
        <f t="array" ref="E170:E332">IF($I$2:$I$164&lt;$F$169,"kiri",IF($I$2:$I$164&lt;$G$169,"tengah","kanan"))</f>
        <v>kanan</v>
      </c>
      <c r="F170" s="36" t="s">
        <v>282</v>
      </c>
      <c r="G170" s="36"/>
      <c r="J170" s="36" t="str">
        <f t="array" ref="J170:J332">IF($J$2:$J$164&lt;$K$169,"kiri",IF($J$2:$J$164&lt;$L$169,"tengah","kanan"))</f>
        <v>kiri</v>
      </c>
      <c r="K170" s="36" t="s">
        <v>283</v>
      </c>
      <c r="L170" s="36"/>
      <c r="O170" s="36" t="str">
        <f t="array" ref="O170:O332">IF($K$2:$K$164&lt;$P$169,"kiri",IF($K$2:$K$164&lt;$Q$169,"tengah","kanan"))</f>
        <v>kiri</v>
      </c>
      <c r="P170" s="36" t="s">
        <v>284</v>
      </c>
      <c r="Q170" s="36"/>
      <c r="T170" s="36" t="str">
        <f t="array" ref="T170:T332">IF($L$2:$L$164&lt;$U$169,"kiri",IF($L$2:$L$164&lt;$V$169,"tengah","kanan"))</f>
        <v>tengah</v>
      </c>
      <c r="U170" s="36" t="s">
        <v>217</v>
      </c>
      <c r="V170" s="36"/>
    </row>
    <row r="171" spans="5:22">
      <c r="E171" s="36" t="str">
        <v>tengah</v>
      </c>
      <c r="F171" s="36">
        <f>COUNTIFS($E$170:$E$332,"Kanan",$M$2:$M$164,"Tinggi")</f>
        <v>11</v>
      </c>
      <c r="G171" s="36">
        <f>F171/30</f>
        <v>0.366666666666667</v>
      </c>
      <c r="J171" s="36" t="str">
        <v>tengah</v>
      </c>
      <c r="K171" s="36">
        <f>COUNTIFS($J$170:$J$332,"Kanan",$M$2:$M$164,"Tinggi")</f>
        <v>14</v>
      </c>
      <c r="L171" s="36">
        <f>K171/35</f>
        <v>0.4</v>
      </c>
      <c r="O171" s="36" t="str">
        <v>kanan</v>
      </c>
      <c r="P171" s="36">
        <f>COUNTIFS($O$170:$O$332,"Kanan",$M$2:$M$164,"Tinggi")</f>
        <v>34</v>
      </c>
      <c r="Q171" s="36">
        <f>P171/34</f>
        <v>1</v>
      </c>
      <c r="T171" s="36" t="str">
        <v>tengah</v>
      </c>
      <c r="U171" s="36">
        <f>COUNTIFS($T$170:$T$332,"Kanan",$M$2:$M$164,"Tinggi")</f>
        <v>39</v>
      </c>
      <c r="V171" s="36">
        <f>U171/79</f>
        <v>0.493670886075949</v>
      </c>
    </row>
    <row r="172" spans="5:22">
      <c r="E172" s="36" t="str">
        <v>tengah</v>
      </c>
      <c r="F172" s="36">
        <f>COUNTIFS($E$170:$E$332,"Kanan",$M$2:$M$164,"Sedang")</f>
        <v>17</v>
      </c>
      <c r="G172" s="36">
        <f>F172/30</f>
        <v>0.566666666666667</v>
      </c>
      <c r="J172" s="36" t="str">
        <v>tengah</v>
      </c>
      <c r="K172" s="36">
        <f>COUNTIFS($J$170:$J$332,"Kanan",$M$2:$M$164,"Sedang")</f>
        <v>18</v>
      </c>
      <c r="L172" s="36">
        <f>K172/35</f>
        <v>0.514285714285714</v>
      </c>
      <c r="O172" s="36" t="str">
        <v>kanan</v>
      </c>
      <c r="P172" s="36">
        <f>COUNTIFS($O$170:$O$332,"Kanan",$M$2:$M$164,"Sedang")</f>
        <v>0</v>
      </c>
      <c r="Q172" s="36">
        <f>P172/27</f>
        <v>0</v>
      </c>
      <c r="T172" s="36" t="str">
        <v>kanan</v>
      </c>
      <c r="U172" s="36">
        <f>COUNTIFS($T$170:$T$332,"Kanan",$M$2:$M$164,"Sedang")</f>
        <v>28</v>
      </c>
      <c r="V172" s="36">
        <f>U172/79</f>
        <v>0.354430379746835</v>
      </c>
    </row>
    <row r="173" spans="5:22">
      <c r="E173" s="36" t="str">
        <v>kanan</v>
      </c>
      <c r="F173" s="36">
        <f>COUNTIFS($E$170:$E$332,"Kanan",$M$2:$M$164,"Rendah")</f>
        <v>2</v>
      </c>
      <c r="G173" s="36">
        <f>F173/30</f>
        <v>0.0666666666666667</v>
      </c>
      <c r="J173" s="36" t="str">
        <v>kanan</v>
      </c>
      <c r="K173" s="36">
        <f>COUNTIFS($J$170:$J$332,"Kanan",$M$2:$M$164,"Rendah")</f>
        <v>3</v>
      </c>
      <c r="L173" s="36">
        <f>K173/35</f>
        <v>0.0857142857142857</v>
      </c>
      <c r="O173" s="36" t="str">
        <v>tengah</v>
      </c>
      <c r="P173" s="36">
        <f>COUNTIFS($O$170:$O$332,"Kanan",$M$2:$M$164,"Rendah")</f>
        <v>0</v>
      </c>
      <c r="Q173" s="36">
        <f>P173/27</f>
        <v>0</v>
      </c>
      <c r="T173" s="36" t="str">
        <v>kanan</v>
      </c>
      <c r="U173" s="36">
        <f>COUNTIFS($T$170:$T$332,"Kanan",$M$2:$M$164,"Rendah")</f>
        <v>12</v>
      </c>
      <c r="V173" s="36">
        <f>U173/79</f>
        <v>0.151898734177215</v>
      </c>
    </row>
    <row r="174" spans="5:22">
      <c r="E174" s="36" t="str">
        <v>kiri</v>
      </c>
      <c r="F174" s="36" t="s">
        <v>218</v>
      </c>
      <c r="G174" s="36">
        <f>-(IFERROR(G171*LOG(G171,2),0)+IFERROR(G172*LOG(G172,2),0)+IFERROR(G173*LOG(G173,2),0))</f>
        <v>1.25553672539965</v>
      </c>
      <c r="J174" s="36" t="str">
        <v>tengah</v>
      </c>
      <c r="K174" s="36" t="s">
        <v>218</v>
      </c>
      <c r="L174" s="36">
        <f>-(IFERROR(L171*LOG(L171,2),0)+IFERROR(L172*LOG(L172,2),0)+IFERROR(L173*LOG(L173,2),0))</f>
        <v>1.32595426160407</v>
      </c>
      <c r="O174" s="36" t="str">
        <v>kiri</v>
      </c>
      <c r="P174" s="36" t="s">
        <v>218</v>
      </c>
      <c r="Q174" s="36">
        <f>-(IFERROR(Q171*LOG(Q171,2),0)+IFERROR(Q172*LOG(Q172,2),0)+IFERROR(Q173*LOG(Q173,2),0))</f>
        <v>0</v>
      </c>
      <c r="T174" s="36" t="str">
        <v>kanan</v>
      </c>
      <c r="U174" s="36" t="s">
        <v>218</v>
      </c>
      <c r="V174" s="36">
        <f>-(IFERROR(V171*LOG(V171,2),0)+IFERROR(V172*LOG(V172,2),0)+IFERROR(V173*LOG(V173,2),0))</f>
        <v>1.44610765498856</v>
      </c>
    </row>
    <row r="175" spans="5:22">
      <c r="E175" s="36" t="str">
        <v>tengah</v>
      </c>
      <c r="F175" s="36"/>
      <c r="G175" s="36">
        <f>SUM(F171:F173)/163</f>
        <v>0.184049079754601</v>
      </c>
      <c r="J175" s="36" t="str">
        <v>tengah</v>
      </c>
      <c r="K175" s="36"/>
      <c r="L175" s="36">
        <f>SUM(K171:K173)/163</f>
        <v>0.214723926380368</v>
      </c>
      <c r="O175" s="36" t="str">
        <v>kanan</v>
      </c>
      <c r="P175" s="36"/>
      <c r="Q175" s="36">
        <f>SUM(P171:P173)/163</f>
        <v>0.208588957055215</v>
      </c>
      <c r="T175" s="36" t="str">
        <v>tengah</v>
      </c>
      <c r="U175" s="36"/>
      <c r="V175" s="36">
        <f>SUM(U171:U173)/163</f>
        <v>0.484662576687117</v>
      </c>
    </row>
    <row r="176" spans="5:22">
      <c r="E176" s="36" t="str">
        <v>tengah</v>
      </c>
      <c r="F176" s="36"/>
      <c r="G176" s="41">
        <f>G174*G175</f>
        <v>0.231080378907911</v>
      </c>
      <c r="J176" s="36" t="str">
        <v>kanan</v>
      </c>
      <c r="K176" s="36"/>
      <c r="L176" s="41">
        <f>L174*L175</f>
        <v>0.284714105252407</v>
      </c>
      <c r="O176" s="36" t="str">
        <v>kanan</v>
      </c>
      <c r="P176" s="36"/>
      <c r="Q176" s="41">
        <f>Q174*Q175</f>
        <v>0</v>
      </c>
      <c r="T176" s="36" t="str">
        <v>tengah</v>
      </c>
      <c r="U176" s="36"/>
      <c r="V176" s="41">
        <f>V174*V175</f>
        <v>0.700874262233722</v>
      </c>
    </row>
    <row r="177" spans="5:22">
      <c r="E177" s="36" t="str">
        <v>tengah</v>
      </c>
      <c r="F177" s="36"/>
      <c r="G177" s="36"/>
      <c r="J177" s="36" t="str">
        <v>kanan</v>
      </c>
      <c r="K177" s="36"/>
      <c r="L177" s="36"/>
      <c r="O177" s="36" t="str">
        <v>tengah</v>
      </c>
      <c r="P177" s="36"/>
      <c r="Q177" s="36"/>
      <c r="T177" s="36" t="str">
        <v>kanan</v>
      </c>
      <c r="U177" s="36"/>
      <c r="V177" s="36"/>
    </row>
    <row r="178" spans="5:22">
      <c r="E178" s="36" t="str">
        <v>tengah</v>
      </c>
      <c r="F178" s="36"/>
      <c r="G178" s="36"/>
      <c r="J178" s="36" t="str">
        <v>tengah</v>
      </c>
      <c r="K178" s="36"/>
      <c r="L178" s="36"/>
      <c r="O178" s="36" t="str">
        <v>kanan</v>
      </c>
      <c r="P178" s="36"/>
      <c r="Q178" s="36"/>
      <c r="T178" s="36" t="str">
        <v>tengah</v>
      </c>
      <c r="U178" s="36"/>
      <c r="V178" s="36"/>
    </row>
    <row r="179" spans="5:22">
      <c r="E179" s="36" t="str">
        <v>kiri</v>
      </c>
      <c r="F179" s="36" t="s">
        <v>285</v>
      </c>
      <c r="G179" s="36"/>
      <c r="J179" s="36" t="str">
        <v>kanan</v>
      </c>
      <c r="K179" s="36" t="s">
        <v>286</v>
      </c>
      <c r="L179" s="36"/>
      <c r="O179" s="36" t="str">
        <v>tengah</v>
      </c>
      <c r="P179" s="36" t="s">
        <v>287</v>
      </c>
      <c r="Q179" s="36"/>
      <c r="T179" s="36" t="str">
        <v>kanan</v>
      </c>
      <c r="U179" s="36" t="s">
        <v>222</v>
      </c>
      <c r="V179" s="36"/>
    </row>
    <row r="180" spans="5:22">
      <c r="E180" s="36" t="str">
        <v>tengah</v>
      </c>
      <c r="F180" s="36">
        <f>COUNTIFS($E$170:$E$332,"Kiri",$M$2:$M$164,"Tinggi")</f>
        <v>22</v>
      </c>
      <c r="G180" s="36">
        <f>F180/43</f>
        <v>0.511627906976744</v>
      </c>
      <c r="J180" s="36" t="str">
        <v>tengah</v>
      </c>
      <c r="K180" s="36">
        <f>COUNTIFS($J$170:$J$332,"Kiri",$M$2:$M$164,"Tinggi")</f>
        <v>20</v>
      </c>
      <c r="L180" s="36">
        <f>K180/42</f>
        <v>0.476190476190476</v>
      </c>
      <c r="O180" s="36" t="str">
        <v>tengah</v>
      </c>
      <c r="P180" s="36">
        <f>COUNTIFS($O$170:$O$332,"Kiri",$M$2:$M$164,"Tinggi")</f>
        <v>0</v>
      </c>
      <c r="Q180" s="36">
        <f>P180/57</f>
        <v>0</v>
      </c>
      <c r="T180" s="36" t="str">
        <v>kanan</v>
      </c>
      <c r="U180" s="36">
        <f>COUNTIFS($T$170:$T$332,"Kiri",$M$2:$M$164,"Tinggi")</f>
        <v>0</v>
      </c>
      <c r="V180" s="36">
        <f>U180/78</f>
        <v>0</v>
      </c>
    </row>
    <row r="181" spans="5:22">
      <c r="E181" s="36" t="str">
        <v>kiri</v>
      </c>
      <c r="F181" s="36">
        <f>COUNTIFS($E$170:$E$332,"Kiri",$M$2:$M$164,"Sedang")</f>
        <v>15</v>
      </c>
      <c r="G181" s="36">
        <f>F181/43</f>
        <v>0.348837209302326</v>
      </c>
      <c r="J181" s="36" t="str">
        <v>tengah</v>
      </c>
      <c r="K181" s="36">
        <f>COUNTIFS($J$170:$J$332,"Kiri",$M$2:$M$164,"Sedang")</f>
        <v>17</v>
      </c>
      <c r="L181" s="36">
        <f>K181/42</f>
        <v>0.404761904761905</v>
      </c>
      <c r="O181" s="36" t="str">
        <v>kanan</v>
      </c>
      <c r="P181" s="36">
        <f>COUNTIFS($O$170:$O$332,"Kiri",$M$2:$M$164,"Sedang")</f>
        <v>9</v>
      </c>
      <c r="Q181" s="36">
        <f>P181/28</f>
        <v>0.321428571428571</v>
      </c>
      <c r="T181" s="36" t="str">
        <v>tengah</v>
      </c>
      <c r="U181" s="36">
        <f>COUNTIFS($T$170:$T$332,"Kiri",$M$2:$M$164,"Sedang")</f>
        <v>0</v>
      </c>
      <c r="V181" s="36">
        <f>U181/78</f>
        <v>0</v>
      </c>
    </row>
    <row r="182" spans="5:22">
      <c r="E182" s="36" t="str">
        <v>tengah</v>
      </c>
      <c r="F182" s="36">
        <f>COUNTIFS($E$170:$E$332,"Kiri",$M$2:$M$164,"Rendah")</f>
        <v>6</v>
      </c>
      <c r="G182" s="36">
        <f>F182/43</f>
        <v>0.13953488372093</v>
      </c>
      <c r="J182" s="36" t="str">
        <v>tengah</v>
      </c>
      <c r="K182" s="36">
        <f>COUNTIFS($J$170:$J$332,"Kiri",$M$2:$M$164,"Rendah")</f>
        <v>5</v>
      </c>
      <c r="L182" s="36">
        <f>K182/42</f>
        <v>0.119047619047619</v>
      </c>
      <c r="O182" s="36" t="str">
        <v>tengah</v>
      </c>
      <c r="P182" s="36">
        <f>COUNTIFS($O$170:$O$332,"Kiri",$M$2:$M$164,"Rendah")</f>
        <v>19</v>
      </c>
      <c r="Q182" s="36">
        <f>P182/28</f>
        <v>0.678571428571429</v>
      </c>
      <c r="T182" s="36" t="str">
        <v>tengah</v>
      </c>
      <c r="U182" s="36">
        <f>COUNTIFS($T$170:$T$332,"Kiri",$M$2:$M$164,"Rendah")</f>
        <v>0</v>
      </c>
      <c r="V182" s="36">
        <f>U182/78</f>
        <v>0</v>
      </c>
    </row>
    <row r="183" spans="5:22">
      <c r="E183" s="36" t="str">
        <v>tengah</v>
      </c>
      <c r="F183" s="36" t="s">
        <v>218</v>
      </c>
      <c r="G183" s="36">
        <f>-(IFERROR(G180*LOG(G180,2),0)+IFERROR(G181*LOG(G181,2),0)+IFERROR(G182*LOG(G182,2),0))</f>
        <v>1.42113383497012</v>
      </c>
      <c r="J183" s="36" t="str">
        <v>tengah</v>
      </c>
      <c r="K183" s="36" t="s">
        <v>218</v>
      </c>
      <c r="L183" s="36">
        <f>-(IFERROR(L180*LOG(L180,2),0)+IFERROR(L181*LOG(L181,2),0)+IFERROR(L182*LOG(L182,2),0))</f>
        <v>1.40338716864924</v>
      </c>
      <c r="O183" s="36" t="str">
        <v>tengah</v>
      </c>
      <c r="P183" s="36" t="s">
        <v>218</v>
      </c>
      <c r="Q183" s="36">
        <f>-(IFERROR(Q180*LOG(Q180,2),0)+IFERROR(Q181*LOG(Q181,2),0)+IFERROR(Q182*LOG(Q182,2),0))</f>
        <v>0.905928216042999</v>
      </c>
      <c r="T183" s="36" t="str">
        <v>tengah</v>
      </c>
      <c r="U183" s="36" t="s">
        <v>218</v>
      </c>
      <c r="V183" s="36">
        <f>-(IFERROR(V180*LOG(V180,2),0)+IFERROR(V181*LOG(V181,2),0)+IFERROR(V182*LOG(V182,2),0))</f>
        <v>0</v>
      </c>
    </row>
    <row r="184" spans="5:22">
      <c r="E184" s="36" t="str">
        <v>kiri</v>
      </c>
      <c r="F184" s="36"/>
      <c r="G184" s="36">
        <f>SUM(F180:F182)/163</f>
        <v>0.263803680981595</v>
      </c>
      <c r="J184" s="36" t="str">
        <v>kiri</v>
      </c>
      <c r="K184" s="36"/>
      <c r="L184" s="36">
        <f>SUM(K180:K182)/163</f>
        <v>0.257668711656442</v>
      </c>
      <c r="O184" s="36" t="str">
        <v>kanan</v>
      </c>
      <c r="P184" s="36"/>
      <c r="Q184" s="36">
        <f>SUM(P180:P182)/163</f>
        <v>0.171779141104294</v>
      </c>
      <c r="T184" s="36" t="str">
        <v>kanan</v>
      </c>
      <c r="U184" s="36"/>
      <c r="V184" s="36">
        <f>SUM(U180:U182)/163</f>
        <v>0</v>
      </c>
    </row>
    <row r="185" spans="5:22">
      <c r="E185" s="36" t="str">
        <v>tengah</v>
      </c>
      <c r="F185" s="36"/>
      <c r="G185" s="41">
        <f>G183*G184</f>
        <v>0.374900336832607</v>
      </c>
      <c r="J185" s="36" t="str">
        <v>tengah</v>
      </c>
      <c r="K185" s="36"/>
      <c r="L185" s="41">
        <f>L183*L184</f>
        <v>0.361608963701031</v>
      </c>
      <c r="O185" s="36" t="str">
        <v>tengah</v>
      </c>
      <c r="P185" s="36"/>
      <c r="Q185" s="41">
        <f>Q183*Q184</f>
        <v>0.155619570854012</v>
      </c>
      <c r="T185" s="36" t="str">
        <v>tengah</v>
      </c>
      <c r="U185" s="36"/>
      <c r="V185" s="41">
        <f>V183*V184</f>
        <v>0</v>
      </c>
    </row>
    <row r="186" spans="5:22">
      <c r="E186" s="36" t="str">
        <v>kanan</v>
      </c>
      <c r="F186" s="36"/>
      <c r="G186" s="36"/>
      <c r="J186" s="36" t="str">
        <v>tengah</v>
      </c>
      <c r="K186" s="36"/>
      <c r="L186" s="36"/>
      <c r="O186" s="36" t="str">
        <v>tengah</v>
      </c>
      <c r="P186" s="36"/>
      <c r="Q186" s="36"/>
      <c r="T186" s="36" t="str">
        <v>tengah</v>
      </c>
      <c r="U186" s="36"/>
      <c r="V186" s="36"/>
    </row>
    <row r="187" spans="5:22">
      <c r="E187" s="36" t="str">
        <v>tengah</v>
      </c>
      <c r="F187" s="36"/>
      <c r="G187" s="36"/>
      <c r="J187" s="36" t="str">
        <v>kanan</v>
      </c>
      <c r="K187" s="36"/>
      <c r="L187" s="36"/>
      <c r="O187" s="36" t="str">
        <v>tengah</v>
      </c>
      <c r="P187" s="36"/>
      <c r="Q187" s="36"/>
      <c r="T187" s="36" t="str">
        <v>tengah</v>
      </c>
      <c r="U187" s="36"/>
      <c r="V187" s="36"/>
    </row>
    <row r="188" spans="5:22">
      <c r="E188" s="36" t="str">
        <v>kanan</v>
      </c>
      <c r="F188" s="36" t="s">
        <v>223</v>
      </c>
      <c r="G188" s="36"/>
      <c r="J188" s="36" t="str">
        <v>kanan</v>
      </c>
      <c r="K188" s="36" t="s">
        <v>223</v>
      </c>
      <c r="L188" s="36"/>
      <c r="O188" s="36" t="str">
        <v>tengah</v>
      </c>
      <c r="P188" s="36" t="s">
        <v>223</v>
      </c>
      <c r="Q188" s="36"/>
      <c r="T188" s="36" t="str">
        <v>kanan</v>
      </c>
      <c r="U188" s="36" t="s">
        <v>223</v>
      </c>
      <c r="V188" s="36"/>
    </row>
    <row r="189" spans="5:22">
      <c r="E189" s="36" t="str">
        <v>tengah</v>
      </c>
      <c r="F189" s="36">
        <f>COUNTIFS($E$170:$E$332,"Tengah",$M$2:$M$164,"Tinggi")</f>
        <v>38</v>
      </c>
      <c r="G189" s="36">
        <f>F189/90</f>
        <v>0.422222222222222</v>
      </c>
      <c r="J189" s="36" t="str">
        <v>tengah</v>
      </c>
      <c r="K189" s="36">
        <f>COUNTIFS($J$170:$J$332,"Tengah",$M$2:$M$164,"Tinggi")</f>
        <v>37</v>
      </c>
      <c r="L189" s="36">
        <f>K189/86</f>
        <v>0.430232558139535</v>
      </c>
      <c r="O189" s="36" t="str">
        <v>tengah</v>
      </c>
      <c r="P189" s="36">
        <f>COUNTIFS($O$170:$O$332,"Tengah",$M$2:$M$164,"Tinggi")</f>
        <v>37</v>
      </c>
      <c r="Q189" s="36">
        <f>P189/101</f>
        <v>0.366336633663366</v>
      </c>
      <c r="T189" s="36" t="str">
        <v>tengah</v>
      </c>
      <c r="U189" s="36">
        <f>COUNTIFS($T$170:$T$332,"Tengah",$M$2:$M$164,"Tinggi")</f>
        <v>32</v>
      </c>
      <c r="V189" s="36">
        <f>U189/84</f>
        <v>0.380952380952381</v>
      </c>
    </row>
    <row r="190" spans="5:22">
      <c r="E190" s="36" t="str">
        <v>kiri</v>
      </c>
      <c r="F190" s="36">
        <f>COUNTIFS($E$170:$E$332,"Tengah",$M$2:$M$164,"Sedang")</f>
        <v>41</v>
      </c>
      <c r="G190" s="36">
        <f>F190/90</f>
        <v>0.455555555555556</v>
      </c>
      <c r="J190" s="36" t="str">
        <v>tengah</v>
      </c>
      <c r="K190" s="36">
        <f>COUNTIFS($J$170:$J$332,"Tengah",$M$2:$M$164,"Sedang")</f>
        <v>38</v>
      </c>
      <c r="L190" s="36">
        <f>K190/86</f>
        <v>0.441860465116279</v>
      </c>
      <c r="O190" s="36" t="str">
        <v>kanan</v>
      </c>
      <c r="P190" s="36">
        <f>COUNTIFS($O$170:$O$332,"Tengah",$M$2:$M$164,"Sedang")</f>
        <v>64</v>
      </c>
      <c r="Q190" s="36">
        <f>P190/101</f>
        <v>0.633663366336634</v>
      </c>
      <c r="T190" s="36" t="str">
        <v>kanan</v>
      </c>
      <c r="U190" s="36">
        <f>COUNTIFS($T$170:$T$332,"Tengah",$M$2:$M$164,"Sedang")</f>
        <v>45</v>
      </c>
      <c r="V190" s="36">
        <f>U190/84</f>
        <v>0.535714285714286</v>
      </c>
    </row>
    <row r="191" spans="5:22">
      <c r="E191" s="36" t="str">
        <v>tengah</v>
      </c>
      <c r="F191" s="36">
        <f>COUNTIFS($E$170:$E$332,"Tengah",$M$2:$M$164,"Rendah")</f>
        <v>11</v>
      </c>
      <c r="G191" s="36">
        <f>F191/90</f>
        <v>0.122222222222222</v>
      </c>
      <c r="J191" s="36" t="str">
        <v>tengah</v>
      </c>
      <c r="K191" s="36">
        <f>COUNTIFS($J$170:$J$332,"Tengah",$M$2:$M$164,"Rendah")</f>
        <v>11</v>
      </c>
      <c r="L191" s="36">
        <f>K191/86</f>
        <v>0.127906976744186</v>
      </c>
      <c r="O191" s="36" t="str">
        <v>tengah</v>
      </c>
      <c r="P191" s="36">
        <f>COUNTIFS($O$170:$O$332,"Tengah",$M$2:$M$164,"Rendah")</f>
        <v>0</v>
      </c>
      <c r="Q191" s="36">
        <f>P191/101</f>
        <v>0</v>
      </c>
      <c r="T191" s="36" t="str">
        <v>tengah</v>
      </c>
      <c r="U191" s="36">
        <f>COUNTIFS($T$170:$T$332,"Tengah",$M$2:$M$164,"Rendah")</f>
        <v>7</v>
      </c>
      <c r="V191" s="36">
        <f>U191/84</f>
        <v>0.0833333333333333</v>
      </c>
    </row>
    <row r="192" spans="5:22">
      <c r="E192" s="36" t="str">
        <v>tengah</v>
      </c>
      <c r="F192" s="36" t="s">
        <v>218</v>
      </c>
      <c r="G192" s="36">
        <f>-(IFERROR(G189*LOG(G189,2),0)+IFERROR(G190*LOG(G190,2),0)+IFERROR(G191*LOG(G191,2),0))</f>
        <v>1.41257947960514</v>
      </c>
      <c r="J192" s="36" t="str">
        <v>kiri</v>
      </c>
      <c r="K192" s="36" t="s">
        <v>218</v>
      </c>
      <c r="L192" s="36">
        <f>-(IFERROR(L189*LOG(L189,2),0)+IFERROR(L190*LOG(L190,2),0)+IFERROR(L191*LOG(L191,2),0))</f>
        <v>1.4236511751191</v>
      </c>
      <c r="O192" s="36" t="str">
        <v>tengah</v>
      </c>
      <c r="P192" s="36" t="s">
        <v>218</v>
      </c>
      <c r="Q192" s="36">
        <f>-(IFERROR(Q189*LOG(Q189,2),0)+IFERROR(Q190*LOG(Q190,2),0)+IFERROR(Q191*LOG(Q191,2),0))</f>
        <v>0.94781767554119</v>
      </c>
      <c r="T192" s="36" t="str">
        <v>kanan</v>
      </c>
      <c r="U192" s="36" t="s">
        <v>218</v>
      </c>
      <c r="V192" s="36">
        <f>-(IFERROR(V189*LOG(V189,2),0)+IFERROR(V190*LOG(V190,2),0)+IFERROR(V191*LOG(V191,2),0))</f>
        <v>1.31154511576402</v>
      </c>
    </row>
    <row r="193" spans="5:22">
      <c r="E193" s="36" t="str">
        <v>tengah</v>
      </c>
      <c r="F193" s="36"/>
      <c r="G193" s="36">
        <f>SUM(F189:F191)/163</f>
        <v>0.552147239263804</v>
      </c>
      <c r="J193" s="36" t="str">
        <v>tengah</v>
      </c>
      <c r="K193" s="36"/>
      <c r="L193" s="36">
        <f>SUM(K189:K191)/163</f>
        <v>0.52760736196319</v>
      </c>
      <c r="O193" s="36" t="str">
        <v>kanan</v>
      </c>
      <c r="P193" s="36"/>
      <c r="Q193" s="36">
        <f>SUM(P189:P191)/163</f>
        <v>0.619631901840491</v>
      </c>
      <c r="T193" s="36" t="str">
        <v>kanan</v>
      </c>
      <c r="U193" s="36"/>
      <c r="V193" s="36">
        <f>SUM(U189:U191)/163</f>
        <v>0.515337423312883</v>
      </c>
    </row>
    <row r="194" spans="5:22">
      <c r="E194" s="36" t="str">
        <v>tengah</v>
      </c>
      <c r="F194" s="36"/>
      <c r="G194" s="41">
        <f>G192*G193</f>
        <v>0.77995185990468</v>
      </c>
      <c r="J194" s="36" t="str">
        <v>tengah</v>
      </c>
      <c r="K194" s="36"/>
      <c r="L194" s="41">
        <f>L192*L193</f>
        <v>0.751128840860385</v>
      </c>
      <c r="O194" s="36" t="str">
        <v>tengah</v>
      </c>
      <c r="P194" s="36"/>
      <c r="Q194" s="41">
        <f>Q192*Q193</f>
        <v>0.58729806889362</v>
      </c>
      <c r="T194" s="36" t="str">
        <v>kanan</v>
      </c>
      <c r="U194" s="36"/>
      <c r="V194" s="41">
        <f>V192*V193</f>
        <v>0.675888280516425</v>
      </c>
    </row>
    <row r="195" spans="5:22">
      <c r="E195" s="36" t="str">
        <v>tengah</v>
      </c>
      <c r="F195" s="36"/>
      <c r="G195" s="36"/>
      <c r="J195" s="36" t="str">
        <v>kanan</v>
      </c>
      <c r="K195" s="36"/>
      <c r="L195" s="36"/>
      <c r="O195" s="36" t="str">
        <v>tengah</v>
      </c>
      <c r="P195" s="36"/>
      <c r="Q195" s="36"/>
      <c r="T195" s="36" t="str">
        <v>kanan</v>
      </c>
      <c r="U195" s="36"/>
      <c r="V195" s="36"/>
    </row>
    <row r="196" spans="5:22">
      <c r="E196" s="36" t="str">
        <v>tengah</v>
      </c>
      <c r="F196" s="36" t="s">
        <v>224</v>
      </c>
      <c r="G196" s="45" t="s">
        <v>218</v>
      </c>
      <c r="J196" s="36" t="str">
        <v>tengah</v>
      </c>
      <c r="K196" s="36" t="s">
        <v>224</v>
      </c>
      <c r="L196" s="45" t="s">
        <v>218</v>
      </c>
      <c r="O196" s="36" t="str">
        <v>kiri</v>
      </c>
      <c r="P196" s="36" t="s">
        <v>224</v>
      </c>
      <c r="Q196" s="45" t="s">
        <v>218</v>
      </c>
      <c r="T196" s="36" t="str">
        <v>kanan</v>
      </c>
      <c r="U196" s="36" t="s">
        <v>224</v>
      </c>
      <c r="V196" s="36" t="s">
        <v>218</v>
      </c>
    </row>
    <row r="197" spans="5:22">
      <c r="E197" s="36" t="str">
        <v>tengah</v>
      </c>
      <c r="F197" s="46">
        <f>P5-(G176+G185+G194)</f>
        <v>0.0167841611717583</v>
      </c>
      <c r="G197" s="41">
        <f>(G176+G185+G194)</f>
        <v>1.3859325756452</v>
      </c>
      <c r="J197" s="36" t="str">
        <v>tengah</v>
      </c>
      <c r="K197" s="46">
        <f>P5-(L176+L185+L194)</f>
        <v>0.00526482700313302</v>
      </c>
      <c r="L197" s="41">
        <f>(L176+L185+L194)</f>
        <v>1.39745190981382</v>
      </c>
      <c r="O197" s="36" t="str">
        <v>kanan</v>
      </c>
      <c r="P197" s="46">
        <f>P5-(Q176+Q185+Q194)</f>
        <v>0.659799097069324</v>
      </c>
      <c r="Q197" s="41">
        <f>(Q176+Q185+Q194)</f>
        <v>0.742917639747632</v>
      </c>
      <c r="T197" s="36" t="str">
        <v>kanan</v>
      </c>
      <c r="U197" s="46">
        <f>P5-(V176+V185+V194)</f>
        <v>0.0259541940668095</v>
      </c>
      <c r="V197" s="41">
        <f>(V176+V185+V194)</f>
        <v>1.37676254275015</v>
      </c>
    </row>
    <row r="198" spans="5:22">
      <c r="E198" s="36" t="str">
        <v>kanan</v>
      </c>
      <c r="F198" s="36"/>
      <c r="G198" s="36"/>
      <c r="J198" s="36" t="str">
        <v>kanan</v>
      </c>
      <c r="K198" s="36"/>
      <c r="L198" s="36"/>
      <c r="O198" s="36" t="str">
        <v>tengah</v>
      </c>
      <c r="P198" s="36"/>
      <c r="Q198" s="36"/>
      <c r="T198" s="36" t="str">
        <v>tengah</v>
      </c>
      <c r="U198" s="36"/>
      <c r="V198" s="36"/>
    </row>
    <row r="199" spans="5:22">
      <c r="E199" s="36" t="str">
        <v>kiri</v>
      </c>
      <c r="F199" s="36"/>
      <c r="G199" s="36"/>
      <c r="J199" s="36" t="str">
        <v>kiri</v>
      </c>
      <c r="K199" s="36"/>
      <c r="L199" s="36"/>
      <c r="O199" s="36" t="str">
        <v>tengah</v>
      </c>
      <c r="P199" s="36"/>
      <c r="Q199" s="36"/>
      <c r="T199" s="36" t="str">
        <v>tengah</v>
      </c>
      <c r="U199" s="36"/>
      <c r="V199" s="36"/>
    </row>
    <row r="200" spans="5:22">
      <c r="E200" s="36" t="str">
        <v>kanan</v>
      </c>
      <c r="F200" s="36"/>
      <c r="G200" s="36"/>
      <c r="J200" s="36" t="str">
        <v>tengah</v>
      </c>
      <c r="K200" s="36"/>
      <c r="L200" s="36"/>
      <c r="O200" s="36" t="str">
        <v>tengah</v>
      </c>
      <c r="P200" s="36"/>
      <c r="Q200" s="36"/>
      <c r="T200" s="36" t="str">
        <v>kanan</v>
      </c>
      <c r="U200" s="36"/>
      <c r="V200" s="36"/>
    </row>
    <row r="201" spans="5:22">
      <c r="E201" s="36" t="str">
        <v>kiri</v>
      </c>
      <c r="F201" s="36"/>
      <c r="G201" s="36"/>
      <c r="J201" s="36" t="str">
        <v>tengah</v>
      </c>
      <c r="K201" s="36"/>
      <c r="L201" s="36"/>
      <c r="O201" s="36" t="str">
        <v>tengah</v>
      </c>
      <c r="P201" s="36"/>
      <c r="Q201" s="36"/>
      <c r="T201" s="36" t="str">
        <v>tengah</v>
      </c>
      <c r="U201" s="36"/>
      <c r="V201" s="36"/>
    </row>
    <row r="202" spans="5:22">
      <c r="E202" s="36" t="str">
        <v>kiri</v>
      </c>
      <c r="F202" s="36"/>
      <c r="G202" s="36"/>
      <c r="J202" s="36" t="str">
        <v>tengah</v>
      </c>
      <c r="K202" s="36"/>
      <c r="L202" s="36"/>
      <c r="O202" s="36" t="str">
        <v>kiri</v>
      </c>
      <c r="P202" s="36"/>
      <c r="Q202" s="36"/>
      <c r="T202" s="36" t="str">
        <v>tengah</v>
      </c>
      <c r="U202" s="36"/>
      <c r="V202" s="36"/>
    </row>
    <row r="203" spans="5:22">
      <c r="E203" s="36" t="str">
        <v>kiri</v>
      </c>
      <c r="F203" s="36"/>
      <c r="G203" s="36"/>
      <c r="J203" s="36" t="str">
        <v>kanan</v>
      </c>
      <c r="K203" s="36"/>
      <c r="L203" s="36"/>
      <c r="O203" s="36" t="str">
        <v>tengah</v>
      </c>
      <c r="P203" s="36"/>
      <c r="Q203" s="36"/>
      <c r="T203" s="36" t="str">
        <v>kanan</v>
      </c>
      <c r="U203" s="36"/>
      <c r="V203" s="36"/>
    </row>
    <row r="204" spans="5:22">
      <c r="E204" s="36" t="str">
        <v>kanan</v>
      </c>
      <c r="F204" s="36"/>
      <c r="G204" s="36"/>
      <c r="J204" s="36" t="str">
        <v>kiri</v>
      </c>
      <c r="K204" s="36"/>
      <c r="L204" s="36"/>
      <c r="O204" s="36" t="str">
        <v>kiri</v>
      </c>
      <c r="P204" s="36"/>
      <c r="Q204" s="36"/>
      <c r="T204" s="36" t="str">
        <v>tengah</v>
      </c>
      <c r="U204" s="36"/>
      <c r="V204" s="36"/>
    </row>
    <row r="205" spans="5:22">
      <c r="E205" s="36" t="str">
        <v>tengah</v>
      </c>
      <c r="F205" s="36"/>
      <c r="G205" s="36"/>
      <c r="J205" s="36" t="str">
        <v>kiri</v>
      </c>
      <c r="K205" s="36"/>
      <c r="L205" s="36"/>
      <c r="O205" s="36" t="str">
        <v>kiri</v>
      </c>
      <c r="P205" s="36"/>
      <c r="Q205" s="36"/>
      <c r="T205" s="36" t="str">
        <v>kanan</v>
      </c>
      <c r="U205" s="36"/>
      <c r="V205" s="36"/>
    </row>
    <row r="206" spans="5:22">
      <c r="E206" s="36" t="str">
        <v>kiri</v>
      </c>
      <c r="F206" s="36"/>
      <c r="G206" s="36"/>
      <c r="J206" s="36" t="str">
        <v>kanan</v>
      </c>
      <c r="K206" s="36"/>
      <c r="L206" s="36"/>
      <c r="O206" s="36" t="str">
        <v>tengah</v>
      </c>
      <c r="P206" s="36"/>
      <c r="Q206" s="36"/>
      <c r="T206" s="36" t="str">
        <v>kanan</v>
      </c>
      <c r="U206" s="36"/>
      <c r="V206" s="36"/>
    </row>
    <row r="207" spans="5:22">
      <c r="E207" s="36" t="str">
        <v>kanan</v>
      </c>
      <c r="F207" s="36"/>
      <c r="G207" s="36"/>
      <c r="J207" s="36" t="str">
        <v>tengah</v>
      </c>
      <c r="K207" s="36"/>
      <c r="L207" s="36"/>
      <c r="O207" s="36" t="str">
        <v>kiri</v>
      </c>
      <c r="P207" s="36"/>
      <c r="Q207" s="36"/>
      <c r="T207" s="36" t="str">
        <v>tengah</v>
      </c>
      <c r="U207" s="36"/>
      <c r="V207" s="36"/>
    </row>
    <row r="208" spans="5:22">
      <c r="E208" s="36" t="str">
        <v>tengah</v>
      </c>
      <c r="F208" s="36"/>
      <c r="G208" s="36"/>
      <c r="J208" s="36" t="str">
        <v>tengah</v>
      </c>
      <c r="K208" s="36"/>
      <c r="L208" s="36"/>
      <c r="O208" s="36" t="str">
        <v>tengah</v>
      </c>
      <c r="P208" s="36"/>
      <c r="Q208" s="36"/>
      <c r="T208" s="36" t="str">
        <v>kanan</v>
      </c>
      <c r="U208" s="36"/>
      <c r="V208" s="36"/>
    </row>
    <row r="209" spans="5:22">
      <c r="E209" s="36" t="str">
        <v>tengah</v>
      </c>
      <c r="F209" s="36"/>
      <c r="G209" s="36"/>
      <c r="J209" s="36" t="str">
        <v>tengah</v>
      </c>
      <c r="K209" s="36"/>
      <c r="L209" s="36"/>
      <c r="O209" s="36" t="str">
        <v>tengah</v>
      </c>
      <c r="P209" s="36"/>
      <c r="Q209" s="36"/>
      <c r="T209" s="36" t="str">
        <v>tengah</v>
      </c>
      <c r="U209" s="36"/>
      <c r="V209" s="36"/>
    </row>
    <row r="210" spans="5:22">
      <c r="E210" s="36" t="str">
        <v>tengah</v>
      </c>
      <c r="F210" s="36"/>
      <c r="G210" s="36"/>
      <c r="J210" s="36" t="str">
        <v>tengah</v>
      </c>
      <c r="K210" s="36"/>
      <c r="L210" s="36"/>
      <c r="O210" s="36" t="str">
        <v>tengah</v>
      </c>
      <c r="P210" s="36"/>
      <c r="Q210" s="36"/>
      <c r="T210" s="36" t="str">
        <v>kanan</v>
      </c>
      <c r="U210" s="36"/>
      <c r="V210" s="36"/>
    </row>
    <row r="211" spans="5:22">
      <c r="E211" s="36" t="str">
        <v>tengah</v>
      </c>
      <c r="F211" s="36"/>
      <c r="G211" s="36"/>
      <c r="J211" s="36" t="str">
        <v>tengah</v>
      </c>
      <c r="K211" s="36"/>
      <c r="L211" s="36"/>
      <c r="O211" s="36" t="str">
        <v>kanan</v>
      </c>
      <c r="P211" s="36"/>
      <c r="Q211" s="36"/>
      <c r="T211" s="36" t="str">
        <v>kanan</v>
      </c>
      <c r="U211" s="36"/>
      <c r="V211" s="36"/>
    </row>
    <row r="212" spans="5:22">
      <c r="E212" s="36" t="str">
        <v>kiri</v>
      </c>
      <c r="F212" s="36"/>
      <c r="G212" s="36"/>
      <c r="J212" s="36" t="str">
        <v>tengah</v>
      </c>
      <c r="K212" s="36"/>
      <c r="L212" s="36"/>
      <c r="O212" s="36" t="str">
        <v>kiri</v>
      </c>
      <c r="P212" s="36"/>
      <c r="Q212" s="36"/>
      <c r="T212" s="36" t="str">
        <v>tengah</v>
      </c>
      <c r="U212" s="36"/>
      <c r="V212" s="36"/>
    </row>
    <row r="213" spans="5:22">
      <c r="E213" s="36" t="str">
        <v>tengah</v>
      </c>
      <c r="F213" s="36"/>
      <c r="G213" s="36"/>
      <c r="J213" s="36" t="str">
        <v>tengah</v>
      </c>
      <c r="K213" s="36"/>
      <c r="L213" s="36"/>
      <c r="O213" s="36" t="str">
        <v>tengah</v>
      </c>
      <c r="P213" s="36"/>
      <c r="Q213" s="36"/>
      <c r="T213" s="36" t="str">
        <v>kanan</v>
      </c>
      <c r="U213" s="36"/>
      <c r="V213" s="36"/>
    </row>
    <row r="214" spans="5:22">
      <c r="E214" s="36" t="str">
        <v>kiri</v>
      </c>
      <c r="F214" s="36"/>
      <c r="G214" s="36"/>
      <c r="J214" s="36" t="str">
        <v>tengah</v>
      </c>
      <c r="K214" s="36"/>
      <c r="L214" s="36"/>
      <c r="O214" s="36" t="str">
        <v>tengah</v>
      </c>
      <c r="P214" s="36"/>
      <c r="Q214" s="36"/>
      <c r="T214" s="36" t="str">
        <v>tengah</v>
      </c>
      <c r="U214" s="36"/>
      <c r="V214" s="36"/>
    </row>
    <row r="215" spans="5:22">
      <c r="E215" s="36" t="str">
        <v>tengah</v>
      </c>
      <c r="F215" s="36"/>
      <c r="G215" s="36"/>
      <c r="J215" s="36" t="str">
        <v>tengah</v>
      </c>
      <c r="K215" s="36"/>
      <c r="L215" s="36"/>
      <c r="O215" s="36" t="str">
        <v>kiri</v>
      </c>
      <c r="P215" s="36"/>
      <c r="Q215" s="36"/>
      <c r="T215" s="36" t="str">
        <v>kanan</v>
      </c>
      <c r="U215" s="36"/>
      <c r="V215" s="36"/>
    </row>
    <row r="216" spans="5:22">
      <c r="E216" s="36" t="str">
        <v>tengah</v>
      </c>
      <c r="F216" s="36"/>
      <c r="G216" s="36"/>
      <c r="J216" s="36" t="str">
        <v>tengah</v>
      </c>
      <c r="K216" s="36"/>
      <c r="L216" s="36"/>
      <c r="O216" s="36" t="str">
        <v>tengah</v>
      </c>
      <c r="P216" s="36"/>
      <c r="Q216" s="36"/>
      <c r="T216" s="36" t="str">
        <v>tengah</v>
      </c>
      <c r="U216" s="36"/>
      <c r="V216" s="36"/>
    </row>
    <row r="217" spans="5:22">
      <c r="E217" s="36" t="str">
        <v>tengah</v>
      </c>
      <c r="F217" s="36"/>
      <c r="G217" s="36"/>
      <c r="J217" s="36" t="str">
        <v>tengah</v>
      </c>
      <c r="K217" s="36"/>
      <c r="L217" s="36"/>
      <c r="O217" s="36" t="str">
        <v>kanan</v>
      </c>
      <c r="P217" s="36"/>
      <c r="Q217" s="36"/>
      <c r="T217" s="36" t="str">
        <v>kanan</v>
      </c>
      <c r="U217" s="36"/>
      <c r="V217" s="36"/>
    </row>
    <row r="218" spans="5:22">
      <c r="E218" s="36" t="str">
        <v>kiri</v>
      </c>
      <c r="F218" s="36"/>
      <c r="G218" s="36"/>
      <c r="J218" s="36" t="str">
        <v>kiri</v>
      </c>
      <c r="K218" s="36"/>
      <c r="L218" s="36"/>
      <c r="O218" s="36" t="str">
        <v>tengah</v>
      </c>
      <c r="P218" s="36"/>
      <c r="Q218" s="36"/>
      <c r="T218" s="36" t="str">
        <v>tengah</v>
      </c>
      <c r="U218" s="36"/>
      <c r="V218" s="36"/>
    </row>
    <row r="219" spans="5:22">
      <c r="E219" s="36" t="str">
        <v>kanan</v>
      </c>
      <c r="F219" s="36"/>
      <c r="G219" s="36"/>
      <c r="J219" s="36" t="str">
        <v>kanan</v>
      </c>
      <c r="K219" s="36"/>
      <c r="L219" s="36"/>
      <c r="O219" s="36" t="str">
        <v>tengah</v>
      </c>
      <c r="P219" s="36"/>
      <c r="Q219" s="36"/>
      <c r="T219" s="36" t="str">
        <v>tengah</v>
      </c>
      <c r="U219" s="36"/>
      <c r="V219" s="36"/>
    </row>
    <row r="220" spans="5:22">
      <c r="E220" s="36" t="str">
        <v>kanan</v>
      </c>
      <c r="F220" s="36"/>
      <c r="G220" s="36"/>
      <c r="J220" s="36" t="str">
        <v>kanan</v>
      </c>
      <c r="K220" s="36"/>
      <c r="L220" s="36"/>
      <c r="O220" s="36" t="str">
        <v>tengah</v>
      </c>
      <c r="P220" s="36"/>
      <c r="Q220" s="36"/>
      <c r="T220" s="36" t="str">
        <v>tengah</v>
      </c>
      <c r="U220" s="36"/>
      <c r="V220" s="36"/>
    </row>
    <row r="221" spans="5:22">
      <c r="E221" s="36" t="str">
        <v>tengah</v>
      </c>
      <c r="F221" s="36"/>
      <c r="G221" s="36"/>
      <c r="J221" s="36" t="str">
        <v>kanan</v>
      </c>
      <c r="K221" s="36"/>
      <c r="L221" s="36"/>
      <c r="O221" s="36" t="str">
        <v>tengah</v>
      </c>
      <c r="P221" s="36"/>
      <c r="Q221" s="36"/>
      <c r="T221" s="36" t="str">
        <v>tengah</v>
      </c>
      <c r="U221" s="36"/>
      <c r="V221" s="36"/>
    </row>
    <row r="222" spans="5:22">
      <c r="E222" s="36" t="str">
        <v>kiri</v>
      </c>
      <c r="F222" s="36"/>
      <c r="G222" s="36"/>
      <c r="J222" s="36" t="str">
        <v>tengah</v>
      </c>
      <c r="K222" s="36"/>
      <c r="L222" s="36"/>
      <c r="O222" s="36" t="str">
        <v>kiri</v>
      </c>
      <c r="P222" s="36"/>
      <c r="Q222" s="36"/>
      <c r="T222" s="36" t="str">
        <v>kanan</v>
      </c>
      <c r="U222" s="36"/>
      <c r="V222" s="36"/>
    </row>
    <row r="223" spans="5:22">
      <c r="E223" s="36" t="str">
        <v>kiri</v>
      </c>
      <c r="F223" s="36"/>
      <c r="G223" s="36"/>
      <c r="J223" s="36" t="str">
        <v>tengah</v>
      </c>
      <c r="K223" s="36"/>
      <c r="L223" s="36"/>
      <c r="O223" s="36" t="str">
        <v>tengah</v>
      </c>
      <c r="P223" s="36"/>
      <c r="Q223" s="36"/>
      <c r="T223" s="36" t="str">
        <v>tengah</v>
      </c>
      <c r="U223" s="36"/>
      <c r="V223" s="36"/>
    </row>
    <row r="224" spans="5:22">
      <c r="E224" s="36" t="str">
        <v>kanan</v>
      </c>
      <c r="F224" s="36"/>
      <c r="G224" s="36"/>
      <c r="J224" s="36" t="str">
        <v>kanan</v>
      </c>
      <c r="K224" s="36"/>
      <c r="L224" s="36"/>
      <c r="O224" s="36" t="str">
        <v>tengah</v>
      </c>
      <c r="P224" s="36"/>
      <c r="Q224" s="36"/>
      <c r="T224" s="36" t="str">
        <v>tengah</v>
      </c>
      <c r="U224" s="36"/>
      <c r="V224" s="36"/>
    </row>
    <row r="225" spans="5:22">
      <c r="E225" s="36" t="str">
        <v>kiri</v>
      </c>
      <c r="F225" s="36"/>
      <c r="G225" s="36"/>
      <c r="J225" s="36" t="str">
        <v>kiri</v>
      </c>
      <c r="K225" s="36"/>
      <c r="L225" s="36"/>
      <c r="O225" s="36" t="str">
        <v>tengah</v>
      </c>
      <c r="P225" s="36"/>
      <c r="Q225" s="36"/>
      <c r="T225" s="36" t="str">
        <v>kanan</v>
      </c>
      <c r="U225" s="36"/>
      <c r="V225" s="36"/>
    </row>
    <row r="226" spans="5:22">
      <c r="E226" s="36" t="str">
        <v>tengah</v>
      </c>
      <c r="F226" s="36"/>
      <c r="G226" s="36"/>
      <c r="J226" s="36" t="str">
        <v>tengah</v>
      </c>
      <c r="K226" s="36"/>
      <c r="L226" s="36"/>
      <c r="O226" s="36" t="str">
        <v>tengah</v>
      </c>
      <c r="P226" s="36"/>
      <c r="Q226" s="36"/>
      <c r="T226" s="36" t="str">
        <v>kanan</v>
      </c>
      <c r="U226" s="36"/>
      <c r="V226" s="36"/>
    </row>
    <row r="227" spans="5:22">
      <c r="E227" s="36" t="str">
        <v>tengah</v>
      </c>
      <c r="F227" s="36"/>
      <c r="G227" s="36"/>
      <c r="J227" s="36" t="str">
        <v>tengah</v>
      </c>
      <c r="K227" s="36"/>
      <c r="L227" s="36"/>
      <c r="O227" s="36" t="str">
        <v>tengah</v>
      </c>
      <c r="P227" s="36"/>
      <c r="Q227" s="36"/>
      <c r="T227" s="36" t="str">
        <v>tengah</v>
      </c>
      <c r="U227" s="36"/>
      <c r="V227" s="36"/>
    </row>
    <row r="228" spans="5:22">
      <c r="E228" s="36" t="str">
        <v>tengah</v>
      </c>
      <c r="F228" s="36"/>
      <c r="G228" s="36"/>
      <c r="J228" s="36" t="str">
        <v>tengah</v>
      </c>
      <c r="K228" s="36"/>
      <c r="L228" s="36"/>
      <c r="O228" s="36" t="str">
        <v>kiri</v>
      </c>
      <c r="P228" s="36"/>
      <c r="Q228" s="36"/>
      <c r="T228" s="36" t="str">
        <v>kanan</v>
      </c>
      <c r="U228" s="36"/>
      <c r="V228" s="36"/>
    </row>
    <row r="229" spans="5:22">
      <c r="E229" s="36" t="str">
        <v>kanan</v>
      </c>
      <c r="F229" s="36"/>
      <c r="G229" s="36"/>
      <c r="J229" s="36" t="str">
        <v>tengah</v>
      </c>
      <c r="K229" s="36"/>
      <c r="L229" s="36"/>
      <c r="O229" s="36" t="str">
        <v>kiri</v>
      </c>
      <c r="P229" s="36"/>
      <c r="Q229" s="36"/>
      <c r="T229" s="36" t="str">
        <v>kanan</v>
      </c>
      <c r="U229" s="36"/>
      <c r="V229" s="36"/>
    </row>
    <row r="230" spans="5:22">
      <c r="E230" s="36" t="str">
        <v>tengah</v>
      </c>
      <c r="F230" s="36"/>
      <c r="G230" s="36"/>
      <c r="J230" s="36" t="str">
        <v>tengah</v>
      </c>
      <c r="K230" s="36"/>
      <c r="L230" s="36"/>
      <c r="O230" s="36" t="str">
        <v>kanan</v>
      </c>
      <c r="P230" s="36"/>
      <c r="Q230" s="36"/>
      <c r="T230" s="36" t="str">
        <v>tengah</v>
      </c>
      <c r="U230" s="36"/>
      <c r="V230" s="36"/>
    </row>
    <row r="231" spans="5:22">
      <c r="E231" s="36" t="str">
        <v>tengah</v>
      </c>
      <c r="F231" s="36"/>
      <c r="G231" s="36"/>
      <c r="J231" s="36" t="str">
        <v>tengah</v>
      </c>
      <c r="K231" s="36"/>
      <c r="L231" s="36"/>
      <c r="O231" s="36" t="str">
        <v>tengah</v>
      </c>
      <c r="P231" s="36"/>
      <c r="Q231" s="36"/>
      <c r="T231" s="36" t="str">
        <v>tengah</v>
      </c>
      <c r="U231" s="36"/>
      <c r="V231" s="36"/>
    </row>
    <row r="232" spans="5:22">
      <c r="E232" s="36" t="str">
        <v>kiri</v>
      </c>
      <c r="F232" s="36"/>
      <c r="G232" s="36"/>
      <c r="J232" s="36" t="str">
        <v>kanan</v>
      </c>
      <c r="K232" s="36"/>
      <c r="L232" s="36"/>
      <c r="O232" s="36" t="str">
        <v>kiri</v>
      </c>
      <c r="P232" s="36"/>
      <c r="Q232" s="36"/>
      <c r="T232" s="36" t="str">
        <v>tengah</v>
      </c>
      <c r="U232" s="36"/>
      <c r="V232" s="36"/>
    </row>
    <row r="233" spans="5:22">
      <c r="E233" s="36" t="str">
        <v>kanan</v>
      </c>
      <c r="F233" s="36"/>
      <c r="G233" s="36"/>
      <c r="J233" s="36" t="str">
        <v>kanan</v>
      </c>
      <c r="K233" s="36"/>
      <c r="L233" s="36"/>
      <c r="O233" s="36" t="str">
        <v>tengah</v>
      </c>
      <c r="P233" s="36"/>
      <c r="Q233" s="36"/>
      <c r="T233" s="36" t="str">
        <v>kanan</v>
      </c>
      <c r="U233" s="36"/>
      <c r="V233" s="36"/>
    </row>
    <row r="234" spans="5:22">
      <c r="E234" s="36" t="str">
        <v>kanan</v>
      </c>
      <c r="F234" s="36"/>
      <c r="G234" s="36"/>
      <c r="J234" s="36" t="str">
        <v>tengah</v>
      </c>
      <c r="K234" s="36"/>
      <c r="L234" s="36"/>
      <c r="O234" s="36" t="str">
        <v>kanan</v>
      </c>
      <c r="P234" s="36"/>
      <c r="Q234" s="36"/>
      <c r="T234" s="36" t="str">
        <v>kanan</v>
      </c>
      <c r="U234" s="36"/>
      <c r="V234" s="36"/>
    </row>
    <row r="235" spans="5:22">
      <c r="E235" s="36" t="str">
        <v>tengah</v>
      </c>
      <c r="F235" s="36"/>
      <c r="G235" s="36"/>
      <c r="J235" s="36" t="str">
        <v>tengah</v>
      </c>
      <c r="K235" s="36"/>
      <c r="L235" s="36"/>
      <c r="O235" s="36" t="str">
        <v>kanan</v>
      </c>
      <c r="P235" s="36"/>
      <c r="Q235" s="36"/>
      <c r="T235" s="36" t="str">
        <v>kanan</v>
      </c>
      <c r="U235" s="36"/>
      <c r="V235" s="36"/>
    </row>
    <row r="236" spans="5:22">
      <c r="E236" s="36" t="str">
        <v>kiri</v>
      </c>
      <c r="F236" s="36"/>
      <c r="G236" s="36"/>
      <c r="J236" s="36" t="str">
        <v>kiri</v>
      </c>
      <c r="K236" s="36"/>
      <c r="L236" s="36"/>
      <c r="O236" s="36" t="str">
        <v>kanan</v>
      </c>
      <c r="P236" s="36"/>
      <c r="Q236" s="36"/>
      <c r="T236" s="36" t="str">
        <v>tengah</v>
      </c>
      <c r="U236" s="36"/>
      <c r="V236" s="36"/>
    </row>
    <row r="237" spans="5:22">
      <c r="E237" s="36" t="str">
        <v>kanan</v>
      </c>
      <c r="F237" s="36"/>
      <c r="G237" s="36"/>
      <c r="J237" s="36" t="str">
        <v>tengah</v>
      </c>
      <c r="K237" s="36"/>
      <c r="L237" s="36"/>
      <c r="O237" s="36" t="str">
        <v>tengah</v>
      </c>
      <c r="P237" s="36"/>
      <c r="Q237" s="36"/>
      <c r="T237" s="36" t="str">
        <v>tengah</v>
      </c>
      <c r="U237" s="36"/>
      <c r="V237" s="36"/>
    </row>
    <row r="238" spans="5:22">
      <c r="E238" s="36" t="str">
        <v>kiri</v>
      </c>
      <c r="F238" s="36"/>
      <c r="G238" s="36"/>
      <c r="J238" s="36" t="str">
        <v>kiri</v>
      </c>
      <c r="K238" s="36"/>
      <c r="L238" s="36"/>
      <c r="O238" s="36" t="str">
        <v>kanan</v>
      </c>
      <c r="P238" s="36"/>
      <c r="Q238" s="36"/>
      <c r="T238" s="36" t="str">
        <v>tengah</v>
      </c>
      <c r="U238" s="36"/>
      <c r="V238" s="36"/>
    </row>
    <row r="239" spans="5:22">
      <c r="E239" s="36" t="str">
        <v>tengah</v>
      </c>
      <c r="F239" s="36"/>
      <c r="G239" s="36"/>
      <c r="J239" s="36" t="str">
        <v>tengah</v>
      </c>
      <c r="K239" s="36"/>
      <c r="L239" s="36"/>
      <c r="O239" s="36" t="str">
        <v>tengah</v>
      </c>
      <c r="P239" s="36"/>
      <c r="Q239" s="36"/>
      <c r="T239" s="36" t="str">
        <v>tengah</v>
      </c>
      <c r="U239" s="36"/>
      <c r="V239" s="36"/>
    </row>
    <row r="240" spans="5:22">
      <c r="E240" s="36" t="str">
        <v>kiri</v>
      </c>
      <c r="F240" s="36"/>
      <c r="G240" s="36"/>
      <c r="J240" s="36" t="str">
        <v>tengah</v>
      </c>
      <c r="K240" s="36"/>
      <c r="L240" s="36"/>
      <c r="O240" s="36" t="str">
        <v>kiri</v>
      </c>
      <c r="P240" s="36"/>
      <c r="Q240" s="36"/>
      <c r="T240" s="36" t="str">
        <v>kanan</v>
      </c>
      <c r="U240" s="36"/>
      <c r="V240" s="36"/>
    </row>
    <row r="241" spans="5:22">
      <c r="E241" s="36" t="str">
        <v>tengah</v>
      </c>
      <c r="F241" s="36"/>
      <c r="G241" s="36"/>
      <c r="J241" s="36" t="str">
        <v>kiri</v>
      </c>
      <c r="K241" s="36"/>
      <c r="L241" s="36"/>
      <c r="O241" s="36" t="str">
        <v>kiri</v>
      </c>
      <c r="P241" s="36"/>
      <c r="Q241" s="36"/>
      <c r="T241" s="36" t="str">
        <v>kanan</v>
      </c>
      <c r="U241" s="36"/>
      <c r="V241" s="36"/>
    </row>
    <row r="242" spans="5:22">
      <c r="E242" s="36" t="str">
        <v>tengah</v>
      </c>
      <c r="F242" s="36"/>
      <c r="G242" s="36"/>
      <c r="J242" s="36" t="str">
        <v>kanan</v>
      </c>
      <c r="K242" s="36"/>
      <c r="L242" s="36"/>
      <c r="O242" s="36" t="str">
        <v>tengah</v>
      </c>
      <c r="P242" s="36"/>
      <c r="Q242" s="36"/>
      <c r="T242" s="36" t="str">
        <v>tengah</v>
      </c>
      <c r="U242" s="36"/>
      <c r="V242" s="36"/>
    </row>
    <row r="243" spans="5:22">
      <c r="E243" s="36" t="str">
        <v>kiri</v>
      </c>
      <c r="F243" s="36"/>
      <c r="G243" s="36"/>
      <c r="J243" s="36" t="str">
        <v>kanan</v>
      </c>
      <c r="K243" s="36"/>
      <c r="L243" s="36"/>
      <c r="O243" s="36" t="str">
        <v>kiri</v>
      </c>
      <c r="P243" s="36"/>
      <c r="Q243" s="36"/>
      <c r="T243" s="36" t="str">
        <v>tengah</v>
      </c>
      <c r="U243" s="36"/>
      <c r="V243" s="36"/>
    </row>
    <row r="244" spans="5:22">
      <c r="E244" s="36" t="str">
        <v>kanan</v>
      </c>
      <c r="F244" s="36"/>
      <c r="G244" s="36"/>
      <c r="J244" s="36" t="str">
        <v>tengah</v>
      </c>
      <c r="K244" s="36"/>
      <c r="L244" s="36"/>
      <c r="O244" s="36" t="str">
        <v>tengah</v>
      </c>
      <c r="P244" s="36"/>
      <c r="Q244" s="36"/>
      <c r="T244" s="36" t="str">
        <v>tengah</v>
      </c>
      <c r="U244" s="36"/>
      <c r="V244" s="36"/>
    </row>
    <row r="245" spans="5:22">
      <c r="E245" s="36" t="str">
        <v>kiri</v>
      </c>
      <c r="F245" s="36"/>
      <c r="G245" s="36"/>
      <c r="J245" s="36" t="str">
        <v>tengah</v>
      </c>
      <c r="K245" s="36"/>
      <c r="L245" s="36"/>
      <c r="O245" s="36" t="str">
        <v>kanan</v>
      </c>
      <c r="P245" s="36"/>
      <c r="Q245" s="36"/>
      <c r="T245" s="36" t="str">
        <v>kanan</v>
      </c>
      <c r="U245" s="36"/>
      <c r="V245" s="36"/>
    </row>
    <row r="246" spans="5:22">
      <c r="E246" s="36" t="str">
        <v>kanan</v>
      </c>
      <c r="F246" s="36"/>
      <c r="G246" s="36"/>
      <c r="J246" s="36" t="str">
        <v>tengah</v>
      </c>
      <c r="K246" s="36"/>
      <c r="L246" s="36"/>
      <c r="O246" s="36" t="str">
        <v>tengah</v>
      </c>
      <c r="P246" s="36"/>
      <c r="Q246" s="36"/>
      <c r="T246" s="36" t="str">
        <v>kanan</v>
      </c>
      <c r="U246" s="36"/>
      <c r="V246" s="36"/>
    </row>
    <row r="247" spans="5:22">
      <c r="E247" s="36" t="str">
        <v>kanan</v>
      </c>
      <c r="F247" s="36"/>
      <c r="G247" s="36"/>
      <c r="J247" s="36" t="str">
        <v>kiri</v>
      </c>
      <c r="K247" s="36"/>
      <c r="L247" s="36"/>
      <c r="O247" s="36" t="str">
        <v>kiri</v>
      </c>
      <c r="P247" s="36"/>
      <c r="Q247" s="36"/>
      <c r="T247" s="36" t="str">
        <v>tengah</v>
      </c>
      <c r="U247" s="36"/>
      <c r="V247" s="36"/>
    </row>
    <row r="248" spans="5:22">
      <c r="E248" s="36" t="str">
        <v>kiri</v>
      </c>
      <c r="F248" s="36"/>
      <c r="G248" s="36"/>
      <c r="J248" s="36" t="str">
        <v>tengah</v>
      </c>
      <c r="K248" s="36"/>
      <c r="L248" s="36"/>
      <c r="O248" s="36" t="str">
        <v>kanan</v>
      </c>
      <c r="P248" s="36"/>
      <c r="Q248" s="36"/>
      <c r="T248" s="36" t="str">
        <v>tengah</v>
      </c>
      <c r="U248" s="36"/>
      <c r="V248" s="36"/>
    </row>
    <row r="249" spans="5:22">
      <c r="E249" s="36" t="str">
        <v>kiri</v>
      </c>
      <c r="F249" s="36"/>
      <c r="G249" s="36"/>
      <c r="J249" s="36" t="str">
        <v>kiri</v>
      </c>
      <c r="K249" s="36"/>
      <c r="L249" s="36"/>
      <c r="O249" s="36" t="str">
        <v>tengah</v>
      </c>
      <c r="P249" s="36"/>
      <c r="Q249" s="36"/>
      <c r="T249" s="36" t="str">
        <v>tengah</v>
      </c>
      <c r="U249" s="36"/>
      <c r="V249" s="36"/>
    </row>
    <row r="250" spans="5:22">
      <c r="E250" s="36" t="str">
        <v>kiri</v>
      </c>
      <c r="F250" s="36"/>
      <c r="G250" s="36"/>
      <c r="J250" s="36" t="str">
        <v>kiri</v>
      </c>
      <c r="K250" s="36"/>
      <c r="L250" s="36"/>
      <c r="O250" s="36" t="str">
        <v>kanan</v>
      </c>
      <c r="P250" s="36"/>
      <c r="Q250" s="36"/>
      <c r="T250" s="36" t="str">
        <v>tengah</v>
      </c>
      <c r="U250" s="36"/>
      <c r="V250" s="36"/>
    </row>
    <row r="251" spans="5:22">
      <c r="E251" s="36" t="str">
        <v>kiri</v>
      </c>
      <c r="F251" s="36"/>
      <c r="G251" s="36"/>
      <c r="J251" s="36" t="str">
        <v>tengah</v>
      </c>
      <c r="K251" s="36"/>
      <c r="L251" s="36"/>
      <c r="O251" s="36" t="str">
        <v>tengah</v>
      </c>
      <c r="P251" s="36"/>
      <c r="Q251" s="36"/>
      <c r="T251" s="36" t="str">
        <v>kanan</v>
      </c>
      <c r="U251" s="36"/>
      <c r="V251" s="36"/>
    </row>
    <row r="252" spans="5:22">
      <c r="E252" s="36" t="str">
        <v>kanan</v>
      </c>
      <c r="F252" s="36"/>
      <c r="G252" s="36"/>
      <c r="J252" s="36" t="str">
        <v>kiri</v>
      </c>
      <c r="K252" s="36"/>
      <c r="L252" s="36"/>
      <c r="O252" s="36" t="str">
        <v>tengah</v>
      </c>
      <c r="P252" s="36"/>
      <c r="Q252" s="36"/>
      <c r="T252" s="36" t="str">
        <v>tengah</v>
      </c>
      <c r="U252" s="36"/>
      <c r="V252" s="36"/>
    </row>
    <row r="253" spans="5:22">
      <c r="E253" s="36" t="str">
        <v>kiri</v>
      </c>
      <c r="F253" s="36"/>
      <c r="G253" s="36"/>
      <c r="J253" s="36" t="str">
        <v>kiri</v>
      </c>
      <c r="K253" s="36"/>
      <c r="L253" s="36"/>
      <c r="O253" s="36" t="str">
        <v>tengah</v>
      </c>
      <c r="P253" s="36"/>
      <c r="Q253" s="36"/>
      <c r="T253" s="36" t="str">
        <v>kanan</v>
      </c>
      <c r="U253" s="36"/>
      <c r="V253" s="36"/>
    </row>
    <row r="254" spans="5:22">
      <c r="E254" s="36" t="str">
        <v>tengah</v>
      </c>
      <c r="F254" s="36"/>
      <c r="G254" s="36"/>
      <c r="J254" s="36" t="str">
        <v>kiri</v>
      </c>
      <c r="K254" s="36"/>
      <c r="L254" s="36"/>
      <c r="O254" s="36" t="str">
        <v>tengah</v>
      </c>
      <c r="P254" s="36"/>
      <c r="Q254" s="36"/>
      <c r="T254" s="36" t="str">
        <v>tengah</v>
      </c>
      <c r="U254" s="36"/>
      <c r="V254" s="36"/>
    </row>
    <row r="255" spans="5:22">
      <c r="E255" s="36" t="str">
        <v>tengah</v>
      </c>
      <c r="F255" s="36"/>
      <c r="G255" s="36"/>
      <c r="J255" s="36" t="str">
        <v>kiri</v>
      </c>
      <c r="K255" s="36"/>
      <c r="L255" s="36"/>
      <c r="O255" s="36" t="str">
        <v>kiri</v>
      </c>
      <c r="P255" s="36"/>
      <c r="Q255" s="36"/>
      <c r="T255" s="36" t="str">
        <v>kanan</v>
      </c>
      <c r="U255" s="36"/>
      <c r="V255" s="36"/>
    </row>
    <row r="256" spans="5:22">
      <c r="E256" s="36" t="str">
        <v>tengah</v>
      </c>
      <c r="F256" s="36"/>
      <c r="G256" s="36"/>
      <c r="J256" s="36" t="str">
        <v>kanan</v>
      </c>
      <c r="K256" s="36"/>
      <c r="L256" s="36"/>
      <c r="O256" s="36" t="str">
        <v>tengah</v>
      </c>
      <c r="P256" s="36"/>
      <c r="Q256" s="36"/>
      <c r="T256" s="36" t="str">
        <v>tengah</v>
      </c>
      <c r="U256" s="36"/>
      <c r="V256" s="36"/>
    </row>
    <row r="257" spans="5:22">
      <c r="E257" s="36" t="str">
        <v>kanan</v>
      </c>
      <c r="F257" s="36"/>
      <c r="G257" s="36"/>
      <c r="J257" s="36" t="str">
        <v>tengah</v>
      </c>
      <c r="K257" s="36"/>
      <c r="L257" s="36"/>
      <c r="O257" s="36" t="str">
        <v>tengah</v>
      </c>
      <c r="P257" s="36"/>
      <c r="Q257" s="36"/>
      <c r="T257" s="36" t="str">
        <v>kanan</v>
      </c>
      <c r="U257" s="36"/>
      <c r="V257" s="36"/>
    </row>
    <row r="258" spans="5:22">
      <c r="E258" s="36" t="str">
        <v>kiri</v>
      </c>
      <c r="F258" s="36"/>
      <c r="G258" s="36"/>
      <c r="J258" s="36" t="str">
        <v>tengah</v>
      </c>
      <c r="K258" s="36"/>
      <c r="L258" s="36"/>
      <c r="O258" s="36" t="str">
        <v>kiri</v>
      </c>
      <c r="P258" s="36"/>
      <c r="Q258" s="36"/>
      <c r="T258" s="36" t="str">
        <v>tengah</v>
      </c>
      <c r="U258" s="36"/>
      <c r="V258" s="36"/>
    </row>
    <row r="259" spans="5:22">
      <c r="E259" s="36" t="str">
        <v>tengah</v>
      </c>
      <c r="F259" s="36"/>
      <c r="G259" s="36"/>
      <c r="J259" s="36" t="str">
        <v>kanan</v>
      </c>
      <c r="K259" s="36"/>
      <c r="L259" s="36"/>
      <c r="O259" s="36" t="str">
        <v>tengah</v>
      </c>
      <c r="P259" s="36"/>
      <c r="Q259" s="36"/>
      <c r="T259" s="36" t="str">
        <v>tengah</v>
      </c>
      <c r="U259" s="36"/>
      <c r="V259" s="36"/>
    </row>
    <row r="260" spans="5:22">
      <c r="E260" s="36" t="str">
        <v>tengah</v>
      </c>
      <c r="F260" s="36"/>
      <c r="G260" s="36"/>
      <c r="J260" s="36" t="str">
        <v>tengah</v>
      </c>
      <c r="K260" s="36"/>
      <c r="L260" s="36"/>
      <c r="O260" s="36" t="str">
        <v>tengah</v>
      </c>
      <c r="P260" s="36"/>
      <c r="Q260" s="36"/>
      <c r="T260" s="36" t="str">
        <v>kanan</v>
      </c>
      <c r="U260" s="36"/>
      <c r="V260" s="36"/>
    </row>
    <row r="261" spans="5:22">
      <c r="E261" s="36" t="str">
        <v>tengah</v>
      </c>
      <c r="F261" s="36"/>
      <c r="G261" s="36"/>
      <c r="J261" s="36" t="str">
        <v>kanan</v>
      </c>
      <c r="K261" s="36"/>
      <c r="L261" s="36"/>
      <c r="O261" s="36" t="str">
        <v>tengah</v>
      </c>
      <c r="P261" s="36"/>
      <c r="Q261" s="36"/>
      <c r="T261" s="36" t="str">
        <v>kanan</v>
      </c>
      <c r="U261" s="36"/>
      <c r="V261" s="36"/>
    </row>
    <row r="262" spans="5:22">
      <c r="E262" s="36" t="str">
        <v>tengah</v>
      </c>
      <c r="F262" s="36"/>
      <c r="G262" s="36"/>
      <c r="J262" s="36" t="str">
        <v>kiri</v>
      </c>
      <c r="K262" s="36"/>
      <c r="L262" s="36"/>
      <c r="O262" s="36" t="str">
        <v>tengah</v>
      </c>
      <c r="P262" s="36"/>
      <c r="Q262" s="36"/>
      <c r="T262" s="36" t="str">
        <v>tengah</v>
      </c>
      <c r="U262" s="36"/>
      <c r="V262" s="36"/>
    </row>
    <row r="263" spans="5:22">
      <c r="E263" s="36" t="str">
        <v>tengah</v>
      </c>
      <c r="F263" s="36"/>
      <c r="G263" s="36"/>
      <c r="J263" s="36" t="str">
        <v>kiri</v>
      </c>
      <c r="K263" s="36"/>
      <c r="L263" s="36"/>
      <c r="O263" s="36" t="str">
        <v>kanan</v>
      </c>
      <c r="P263" s="36"/>
      <c r="Q263" s="36"/>
      <c r="T263" s="36" t="str">
        <v>tengah</v>
      </c>
      <c r="U263" s="36"/>
      <c r="V263" s="36"/>
    </row>
    <row r="264" spans="5:22">
      <c r="E264" s="36" t="str">
        <v>tengah</v>
      </c>
      <c r="F264" s="36"/>
      <c r="G264" s="36"/>
      <c r="J264" s="36" t="str">
        <v>tengah</v>
      </c>
      <c r="K264" s="36"/>
      <c r="L264" s="36"/>
      <c r="O264" s="36" t="str">
        <v>kanan</v>
      </c>
      <c r="P264" s="36"/>
      <c r="Q264" s="36"/>
      <c r="T264" s="36" t="str">
        <v>kanan</v>
      </c>
      <c r="U264" s="36"/>
      <c r="V264" s="36"/>
    </row>
    <row r="265" spans="5:22">
      <c r="E265" s="36" t="str">
        <v>tengah</v>
      </c>
      <c r="F265" s="36"/>
      <c r="G265" s="36"/>
      <c r="J265" s="36" t="str">
        <v>tengah</v>
      </c>
      <c r="K265" s="36"/>
      <c r="L265" s="36"/>
      <c r="O265" s="36" t="str">
        <v>kanan</v>
      </c>
      <c r="P265" s="36"/>
      <c r="Q265" s="36"/>
      <c r="T265" s="36" t="str">
        <v>kanan</v>
      </c>
      <c r="U265" s="36"/>
      <c r="V265" s="36"/>
    </row>
    <row r="266" spans="5:22">
      <c r="E266" s="36" t="str">
        <v>kanan</v>
      </c>
      <c r="F266" s="36"/>
      <c r="G266" s="36"/>
      <c r="J266" s="36" t="str">
        <v>tengah</v>
      </c>
      <c r="K266" s="36"/>
      <c r="L266" s="36"/>
      <c r="O266" s="36" t="str">
        <v>tengah</v>
      </c>
      <c r="P266" s="36"/>
      <c r="Q266" s="36"/>
      <c r="T266" s="36" t="str">
        <v>kanan</v>
      </c>
      <c r="U266" s="36"/>
      <c r="V266" s="36"/>
    </row>
    <row r="267" spans="5:22">
      <c r="E267" s="36" t="str">
        <v>kiri</v>
      </c>
      <c r="F267" s="36"/>
      <c r="G267" s="36"/>
      <c r="J267" s="36" t="str">
        <v>tengah</v>
      </c>
      <c r="K267" s="36"/>
      <c r="L267" s="36"/>
      <c r="O267" s="36" t="str">
        <v>kiri</v>
      </c>
      <c r="P267" s="36"/>
      <c r="Q267" s="36"/>
      <c r="T267" s="36" t="str">
        <v>tengah</v>
      </c>
      <c r="U267" s="36"/>
      <c r="V267" s="36"/>
    </row>
    <row r="268" spans="5:22">
      <c r="E268" s="36" t="str">
        <v>tengah</v>
      </c>
      <c r="F268" s="36"/>
      <c r="G268" s="36"/>
      <c r="J268" s="36" t="str">
        <v>kiri</v>
      </c>
      <c r="K268" s="36"/>
      <c r="L268" s="36"/>
      <c r="O268" s="36" t="str">
        <v>tengah</v>
      </c>
      <c r="P268" s="36"/>
      <c r="Q268" s="36"/>
      <c r="T268" s="36" t="str">
        <v>tengah</v>
      </c>
      <c r="U268" s="36"/>
      <c r="V268" s="36"/>
    </row>
    <row r="269" spans="5:22">
      <c r="E269" s="36" t="str">
        <v>kanan</v>
      </c>
      <c r="F269" s="36"/>
      <c r="G269" s="36"/>
      <c r="J269" s="36" t="str">
        <v>tengah</v>
      </c>
      <c r="K269" s="36"/>
      <c r="L269" s="36"/>
      <c r="O269" s="36" t="str">
        <v>kiri</v>
      </c>
      <c r="P269" s="36"/>
      <c r="Q269" s="36"/>
      <c r="T269" s="36" t="str">
        <v>kanan</v>
      </c>
      <c r="U269" s="36"/>
      <c r="V269" s="36"/>
    </row>
    <row r="270" spans="5:22">
      <c r="E270" s="36" t="str">
        <v>tengah</v>
      </c>
      <c r="F270" s="36"/>
      <c r="G270" s="36"/>
      <c r="J270" s="36" t="str">
        <v>kanan</v>
      </c>
      <c r="K270" s="36"/>
      <c r="L270" s="36"/>
      <c r="O270" s="36" t="str">
        <v>tengah</v>
      </c>
      <c r="P270" s="36"/>
      <c r="Q270" s="36"/>
      <c r="T270" s="36" t="str">
        <v>kanan</v>
      </c>
      <c r="U270" s="36"/>
      <c r="V270" s="36"/>
    </row>
    <row r="271" spans="5:22">
      <c r="E271" s="36" t="str">
        <v>tengah</v>
      </c>
      <c r="F271" s="36"/>
      <c r="G271" s="36"/>
      <c r="J271" s="36" t="str">
        <v>tengah</v>
      </c>
      <c r="K271" s="36"/>
      <c r="L271" s="36"/>
      <c r="O271" s="36" t="str">
        <v>kiri</v>
      </c>
      <c r="P271" s="36"/>
      <c r="Q271" s="36"/>
      <c r="T271" s="36" t="str">
        <v>kanan</v>
      </c>
      <c r="U271" s="36"/>
      <c r="V271" s="36"/>
    </row>
    <row r="272" spans="5:22">
      <c r="E272" s="36" t="str">
        <v>tengah</v>
      </c>
      <c r="F272" s="36"/>
      <c r="G272" s="36"/>
      <c r="J272" s="36" t="str">
        <v>tengah</v>
      </c>
      <c r="K272" s="36"/>
      <c r="L272" s="36"/>
      <c r="O272" s="36" t="str">
        <v>tengah</v>
      </c>
      <c r="P272" s="36"/>
      <c r="Q272" s="36"/>
      <c r="T272" s="36" t="str">
        <v>tengah</v>
      </c>
      <c r="U272" s="36"/>
      <c r="V272" s="36"/>
    </row>
    <row r="273" spans="5:22">
      <c r="E273" s="36" t="str">
        <v>tengah</v>
      </c>
      <c r="F273" s="36"/>
      <c r="G273" s="36"/>
      <c r="J273" s="36" t="str">
        <v>tengah</v>
      </c>
      <c r="K273" s="36"/>
      <c r="L273" s="36"/>
      <c r="O273" s="36" t="str">
        <v>tengah</v>
      </c>
      <c r="P273" s="36"/>
      <c r="Q273" s="36"/>
      <c r="T273" s="36" t="str">
        <v>kanan</v>
      </c>
      <c r="U273" s="36"/>
      <c r="V273" s="36"/>
    </row>
    <row r="274" spans="5:22">
      <c r="E274" s="36" t="str">
        <v>tengah</v>
      </c>
      <c r="F274" s="36"/>
      <c r="G274" s="36"/>
      <c r="J274" s="36" t="str">
        <v>kanan</v>
      </c>
      <c r="K274" s="36"/>
      <c r="L274" s="36"/>
      <c r="O274" s="36" t="str">
        <v>tengah</v>
      </c>
      <c r="P274" s="36"/>
      <c r="Q274" s="36"/>
      <c r="T274" s="36" t="str">
        <v>kanan</v>
      </c>
      <c r="U274" s="36"/>
      <c r="V274" s="36"/>
    </row>
    <row r="275" spans="5:22">
      <c r="E275" s="36" t="str">
        <v>tengah</v>
      </c>
      <c r="F275" s="36"/>
      <c r="G275" s="36"/>
      <c r="J275" s="36" t="str">
        <v>kiri</v>
      </c>
      <c r="K275" s="36"/>
      <c r="L275" s="36"/>
      <c r="O275" s="36" t="str">
        <v>kanan</v>
      </c>
      <c r="P275" s="36"/>
      <c r="Q275" s="36"/>
      <c r="T275" s="36" t="str">
        <v>tengah</v>
      </c>
      <c r="U275" s="36"/>
      <c r="V275" s="36"/>
    </row>
    <row r="276" spans="5:22">
      <c r="E276" s="36" t="str">
        <v>kiri</v>
      </c>
      <c r="F276" s="36"/>
      <c r="G276" s="36"/>
      <c r="J276" s="36" t="str">
        <v>tengah</v>
      </c>
      <c r="K276" s="36"/>
      <c r="L276" s="36"/>
      <c r="O276" s="36" t="str">
        <v>tengah</v>
      </c>
      <c r="P276" s="36"/>
      <c r="Q276" s="36"/>
      <c r="T276" s="36" t="str">
        <v>kanan</v>
      </c>
      <c r="U276" s="36"/>
      <c r="V276" s="36"/>
    </row>
    <row r="277" spans="5:22">
      <c r="E277" s="36" t="str">
        <v>tengah</v>
      </c>
      <c r="F277" s="36"/>
      <c r="G277" s="36"/>
      <c r="J277" s="36" t="str">
        <v>tengah</v>
      </c>
      <c r="K277" s="36"/>
      <c r="L277" s="36"/>
      <c r="O277" s="36" t="str">
        <v>tengah</v>
      </c>
      <c r="P277" s="36"/>
      <c r="Q277" s="36"/>
      <c r="T277" s="36" t="str">
        <v>tengah</v>
      </c>
      <c r="U277" s="36"/>
      <c r="V277" s="36"/>
    </row>
    <row r="278" spans="5:22">
      <c r="E278" s="36" t="str">
        <v>tengah</v>
      </c>
      <c r="F278" s="36"/>
      <c r="G278" s="36"/>
      <c r="J278" s="36" t="str">
        <v>kiri</v>
      </c>
      <c r="K278" s="36"/>
      <c r="L278" s="36"/>
      <c r="O278" s="36" t="str">
        <v>kiri</v>
      </c>
      <c r="P278" s="36"/>
      <c r="Q278" s="36"/>
      <c r="T278" s="36" t="str">
        <v>tengah</v>
      </c>
      <c r="U278" s="36"/>
      <c r="V278" s="36"/>
    </row>
    <row r="279" spans="5:22">
      <c r="E279" s="36" t="str">
        <v>tengah</v>
      </c>
      <c r="F279" s="36"/>
      <c r="G279" s="36"/>
      <c r="J279" s="36" t="str">
        <v>kanan</v>
      </c>
      <c r="K279" s="36"/>
      <c r="L279" s="36"/>
      <c r="O279" s="36" t="str">
        <v>tengah</v>
      </c>
      <c r="P279" s="36"/>
      <c r="Q279" s="36"/>
      <c r="T279" s="36" t="str">
        <v>kanan</v>
      </c>
      <c r="U279" s="36"/>
      <c r="V279" s="36"/>
    </row>
    <row r="280" spans="5:22">
      <c r="E280" s="36" t="str">
        <v>tengah</v>
      </c>
      <c r="F280" s="36"/>
      <c r="G280" s="36"/>
      <c r="J280" s="36" t="str">
        <v>kiri</v>
      </c>
      <c r="K280" s="36"/>
      <c r="L280" s="36"/>
      <c r="O280" s="36" t="str">
        <v>tengah</v>
      </c>
      <c r="P280" s="36"/>
      <c r="Q280" s="36"/>
      <c r="T280" s="36" t="str">
        <v>tengah</v>
      </c>
      <c r="U280" s="36"/>
      <c r="V280" s="36"/>
    </row>
    <row r="281" spans="5:22">
      <c r="E281" s="36" t="str">
        <v>tengah</v>
      </c>
      <c r="F281" s="36"/>
      <c r="G281" s="36"/>
      <c r="J281" s="36" t="str">
        <v>tengah</v>
      </c>
      <c r="K281" s="36"/>
      <c r="L281" s="36"/>
      <c r="O281" s="36" t="str">
        <v>tengah</v>
      </c>
      <c r="P281" s="36"/>
      <c r="Q281" s="36"/>
      <c r="T281" s="36" t="str">
        <v>kanan</v>
      </c>
      <c r="U281" s="36"/>
      <c r="V281" s="36"/>
    </row>
    <row r="282" spans="5:22">
      <c r="E282" s="36" t="str">
        <v>tengah</v>
      </c>
      <c r="F282" s="36"/>
      <c r="G282" s="36"/>
      <c r="J282" s="36" t="str">
        <v>tengah</v>
      </c>
      <c r="K282" s="36"/>
      <c r="L282" s="36"/>
      <c r="O282" s="36" t="str">
        <v>tengah</v>
      </c>
      <c r="P282" s="36"/>
      <c r="Q282" s="36"/>
      <c r="T282" s="36" t="str">
        <v>kanan</v>
      </c>
      <c r="U282" s="36"/>
      <c r="V282" s="36"/>
    </row>
    <row r="283" spans="5:22">
      <c r="E283" s="36" t="str">
        <v>tengah</v>
      </c>
      <c r="F283" s="36"/>
      <c r="G283" s="36"/>
      <c r="J283" s="36" t="str">
        <v>tengah</v>
      </c>
      <c r="K283" s="36"/>
      <c r="L283" s="36"/>
      <c r="O283" s="36" t="str">
        <v>kiri</v>
      </c>
      <c r="P283" s="36"/>
      <c r="Q283" s="36"/>
      <c r="T283" s="36" t="str">
        <v>kanan</v>
      </c>
      <c r="U283" s="36"/>
      <c r="V283" s="36"/>
    </row>
    <row r="284" spans="5:22">
      <c r="E284" s="36" t="str">
        <v>kiri</v>
      </c>
      <c r="F284" s="36"/>
      <c r="G284" s="36"/>
      <c r="J284" s="36" t="str">
        <v>tengah</v>
      </c>
      <c r="K284" s="36"/>
      <c r="L284" s="36"/>
      <c r="O284" s="36" t="str">
        <v>tengah</v>
      </c>
      <c r="P284" s="36"/>
      <c r="Q284" s="36"/>
      <c r="T284" s="36" t="str">
        <v>tengah</v>
      </c>
      <c r="U284" s="36"/>
      <c r="V284" s="36"/>
    </row>
    <row r="285" spans="5:22">
      <c r="E285" s="36" t="str">
        <v>tengah</v>
      </c>
      <c r="F285" s="36"/>
      <c r="G285" s="36"/>
      <c r="J285" s="36" t="str">
        <v>kiri</v>
      </c>
      <c r="K285" s="36"/>
      <c r="L285" s="36"/>
      <c r="O285" s="36" t="str">
        <v>tengah</v>
      </c>
      <c r="P285" s="36"/>
      <c r="Q285" s="36"/>
      <c r="T285" s="36" t="str">
        <v>kanan</v>
      </c>
      <c r="U285" s="36"/>
      <c r="V285" s="36"/>
    </row>
    <row r="286" spans="5:22">
      <c r="E286" s="36" t="str">
        <v>tengah</v>
      </c>
      <c r="F286" s="36"/>
      <c r="G286" s="36"/>
      <c r="J286" s="36" t="str">
        <v>kanan</v>
      </c>
      <c r="K286" s="36"/>
      <c r="L286" s="36"/>
      <c r="O286" s="36" t="str">
        <v>tengah</v>
      </c>
      <c r="P286" s="36"/>
      <c r="Q286" s="36"/>
      <c r="T286" s="36" t="str">
        <v>tengah</v>
      </c>
      <c r="U286" s="36"/>
      <c r="V286" s="36"/>
    </row>
    <row r="287" spans="5:22">
      <c r="E287" s="36" t="str">
        <v>tengah</v>
      </c>
      <c r="F287" s="36"/>
      <c r="G287" s="36"/>
      <c r="J287" s="36" t="str">
        <v>kiri</v>
      </c>
      <c r="K287" s="36"/>
      <c r="L287" s="36"/>
      <c r="O287" s="36" t="str">
        <v>tengah</v>
      </c>
      <c r="P287" s="36"/>
      <c r="Q287" s="36"/>
      <c r="T287" s="36" t="str">
        <v>tengah</v>
      </c>
      <c r="U287" s="36"/>
      <c r="V287" s="36"/>
    </row>
    <row r="288" spans="5:22">
      <c r="E288" s="36" t="str">
        <v>tengah</v>
      </c>
      <c r="F288" s="36"/>
      <c r="G288" s="36"/>
      <c r="J288" s="36" t="str">
        <v>kiri</v>
      </c>
      <c r="K288" s="36"/>
      <c r="L288" s="36"/>
      <c r="O288" s="36" t="str">
        <v>tengah</v>
      </c>
      <c r="P288" s="36"/>
      <c r="Q288" s="36"/>
      <c r="T288" s="36" t="str">
        <v>tengah</v>
      </c>
      <c r="U288" s="36"/>
      <c r="V288" s="36"/>
    </row>
    <row r="289" spans="5:22">
      <c r="E289" s="36" t="str">
        <v>tengah</v>
      </c>
      <c r="F289" s="36"/>
      <c r="G289" s="36"/>
      <c r="J289" s="36" t="str">
        <v>tengah</v>
      </c>
      <c r="K289" s="36"/>
      <c r="L289" s="36"/>
      <c r="O289" s="36" t="str">
        <v>kanan</v>
      </c>
      <c r="P289" s="36"/>
      <c r="Q289" s="36"/>
      <c r="T289" s="36" t="str">
        <v>kanan</v>
      </c>
      <c r="U289" s="36"/>
      <c r="V289" s="36"/>
    </row>
    <row r="290" spans="5:22">
      <c r="E290" s="36" t="str">
        <v>tengah</v>
      </c>
      <c r="F290" s="36"/>
      <c r="G290" s="36"/>
      <c r="J290" s="36" t="str">
        <v>tengah</v>
      </c>
      <c r="K290" s="36"/>
      <c r="L290" s="36"/>
      <c r="O290" s="36" t="str">
        <v>tengah</v>
      </c>
      <c r="P290" s="36"/>
      <c r="Q290" s="36"/>
      <c r="T290" s="36" t="str">
        <v>tengah</v>
      </c>
      <c r="U290" s="36"/>
      <c r="V290" s="36"/>
    </row>
    <row r="291" spans="5:22">
      <c r="E291" s="36" t="str">
        <v>kanan</v>
      </c>
      <c r="F291" s="36"/>
      <c r="G291" s="36"/>
      <c r="J291" s="36" t="str">
        <v>tengah</v>
      </c>
      <c r="K291" s="36"/>
      <c r="L291" s="36"/>
      <c r="O291" s="36" t="str">
        <v>tengah</v>
      </c>
      <c r="P291" s="36"/>
      <c r="Q291" s="36"/>
      <c r="T291" s="36" t="str">
        <v>kanan</v>
      </c>
      <c r="U291" s="36"/>
      <c r="V291" s="36"/>
    </row>
    <row r="292" spans="5:22">
      <c r="E292" s="36" t="str">
        <v>tengah</v>
      </c>
      <c r="F292" s="36"/>
      <c r="G292" s="36"/>
      <c r="J292" s="36" t="str">
        <v>kiri</v>
      </c>
      <c r="K292" s="36"/>
      <c r="L292" s="36"/>
      <c r="O292" s="36" t="str">
        <v>tengah</v>
      </c>
      <c r="P292" s="36"/>
      <c r="Q292" s="36"/>
      <c r="T292" s="36" t="str">
        <v>kanan</v>
      </c>
      <c r="U292" s="36"/>
      <c r="V292" s="36"/>
    </row>
    <row r="293" spans="5:22">
      <c r="E293" s="36" t="str">
        <v>tengah</v>
      </c>
      <c r="F293" s="36"/>
      <c r="G293" s="36"/>
      <c r="J293" s="36" t="str">
        <v>kiri</v>
      </c>
      <c r="K293" s="36"/>
      <c r="L293" s="36"/>
      <c r="O293" s="36" t="str">
        <v>tengah</v>
      </c>
      <c r="P293" s="36"/>
      <c r="Q293" s="36"/>
      <c r="T293" s="36" t="str">
        <v>tengah</v>
      </c>
      <c r="U293" s="36"/>
      <c r="V293" s="36"/>
    </row>
    <row r="294" spans="5:22">
      <c r="E294" s="36" t="str">
        <v>kiri</v>
      </c>
      <c r="F294" s="36"/>
      <c r="G294" s="36"/>
      <c r="J294" s="36" t="str">
        <v>tengah</v>
      </c>
      <c r="K294" s="36"/>
      <c r="L294" s="36"/>
      <c r="O294" s="36" t="str">
        <v>tengah</v>
      </c>
      <c r="P294" s="36"/>
      <c r="Q294" s="36"/>
      <c r="T294" s="36" t="str">
        <v>tengah</v>
      </c>
      <c r="U294" s="36"/>
      <c r="V294" s="36"/>
    </row>
    <row r="295" spans="5:22">
      <c r="E295" s="36" t="str">
        <v>kiri</v>
      </c>
      <c r="F295" s="36"/>
      <c r="G295" s="36"/>
      <c r="J295" s="36" t="str">
        <v>kiri</v>
      </c>
      <c r="K295" s="36"/>
      <c r="L295" s="36"/>
      <c r="O295" s="36" t="str">
        <v>tengah</v>
      </c>
      <c r="P295" s="36"/>
      <c r="Q295" s="36"/>
      <c r="T295" s="36" t="str">
        <v>kanan</v>
      </c>
      <c r="U295" s="36"/>
      <c r="V295" s="36"/>
    </row>
    <row r="296" spans="5:22">
      <c r="E296" s="36" t="str">
        <v>kanan</v>
      </c>
      <c r="F296" s="36"/>
      <c r="G296" s="36"/>
      <c r="J296" s="36" t="str">
        <v>tengah</v>
      </c>
      <c r="K296" s="36"/>
      <c r="L296" s="36"/>
      <c r="O296" s="36" t="str">
        <v>tengah</v>
      </c>
      <c r="P296" s="36"/>
      <c r="Q296" s="36"/>
      <c r="T296" s="36" t="str">
        <v>tengah</v>
      </c>
      <c r="U296" s="36"/>
      <c r="V296" s="36"/>
    </row>
    <row r="297" spans="5:22">
      <c r="E297" s="36" t="str">
        <v>kiri</v>
      </c>
      <c r="F297" s="36"/>
      <c r="G297" s="36"/>
      <c r="J297" s="36" t="str">
        <v>kanan</v>
      </c>
      <c r="K297" s="36"/>
      <c r="L297" s="36"/>
      <c r="O297" s="36" t="str">
        <v>kiri</v>
      </c>
      <c r="P297" s="36"/>
      <c r="Q297" s="36"/>
      <c r="T297" s="36" t="str">
        <v>tengah</v>
      </c>
      <c r="U297" s="36"/>
      <c r="V297" s="36"/>
    </row>
    <row r="298" spans="5:22">
      <c r="E298" s="36" t="str">
        <v>tengah</v>
      </c>
      <c r="F298" s="36"/>
      <c r="G298" s="36"/>
      <c r="J298" s="36" t="str">
        <v>kanan</v>
      </c>
      <c r="K298" s="36"/>
      <c r="L298" s="36"/>
      <c r="O298" s="36" t="str">
        <v>kanan</v>
      </c>
      <c r="P298" s="36"/>
      <c r="Q298" s="36"/>
      <c r="T298" s="36" t="str">
        <v>tengah</v>
      </c>
      <c r="U298" s="36"/>
      <c r="V298" s="36"/>
    </row>
    <row r="299" spans="5:22">
      <c r="E299" s="36" t="str">
        <v>tengah</v>
      </c>
      <c r="F299" s="36"/>
      <c r="G299" s="36"/>
      <c r="J299" s="36" t="str">
        <v>tengah</v>
      </c>
      <c r="K299" s="36"/>
      <c r="L299" s="36"/>
      <c r="O299" s="36" t="str">
        <v>tengah</v>
      </c>
      <c r="P299" s="36"/>
      <c r="Q299" s="36"/>
      <c r="T299" s="36" t="str">
        <v>tengah</v>
      </c>
      <c r="U299" s="36"/>
      <c r="V299" s="36"/>
    </row>
    <row r="300" spans="5:22">
      <c r="E300" s="36" t="str">
        <v>kiri</v>
      </c>
      <c r="F300" s="36"/>
      <c r="G300" s="36"/>
      <c r="J300" s="36" t="str">
        <v>tengah</v>
      </c>
      <c r="K300" s="36"/>
      <c r="L300" s="36"/>
      <c r="O300" s="36" t="str">
        <v>kanan</v>
      </c>
      <c r="P300" s="36"/>
      <c r="Q300" s="36"/>
      <c r="T300" s="36" t="str">
        <v>kanan</v>
      </c>
      <c r="U300" s="36"/>
      <c r="V300" s="36"/>
    </row>
    <row r="301" spans="5:22">
      <c r="E301" s="36" t="str">
        <v>tengah</v>
      </c>
      <c r="F301" s="36"/>
      <c r="G301" s="36"/>
      <c r="J301" s="36" t="str">
        <v>kiri</v>
      </c>
      <c r="K301" s="36"/>
      <c r="L301" s="36"/>
      <c r="O301" s="36" t="str">
        <v>tengah</v>
      </c>
      <c r="P301" s="36"/>
      <c r="Q301" s="36"/>
      <c r="T301" s="36" t="str">
        <v>kanan</v>
      </c>
      <c r="U301" s="36"/>
      <c r="V301" s="36"/>
    </row>
    <row r="302" spans="5:22">
      <c r="E302" s="36" t="str">
        <v>tengah</v>
      </c>
      <c r="F302" s="36"/>
      <c r="G302" s="36"/>
      <c r="J302" s="36" t="str">
        <v>kiri</v>
      </c>
      <c r="K302" s="36"/>
      <c r="L302" s="36"/>
      <c r="O302" s="36" t="str">
        <v>kiri</v>
      </c>
      <c r="P302" s="36"/>
      <c r="Q302" s="36"/>
      <c r="T302" s="36" t="str">
        <v>kanan</v>
      </c>
      <c r="U302" s="36"/>
      <c r="V302" s="36"/>
    </row>
    <row r="303" spans="5:22">
      <c r="E303" s="36" t="str">
        <v>tengah</v>
      </c>
      <c r="F303" s="36"/>
      <c r="G303" s="36"/>
      <c r="J303" s="36" t="str">
        <v>kanan</v>
      </c>
      <c r="K303" s="36"/>
      <c r="L303" s="36"/>
      <c r="O303" s="36" t="str">
        <v>tengah</v>
      </c>
      <c r="P303" s="36"/>
      <c r="Q303" s="36"/>
      <c r="T303" s="36" t="str">
        <v>kanan</v>
      </c>
      <c r="U303" s="36"/>
      <c r="V303" s="36"/>
    </row>
    <row r="304" spans="5:22">
      <c r="E304" s="36" t="str">
        <v>tengah</v>
      </c>
      <c r="F304" s="36"/>
      <c r="G304" s="36"/>
      <c r="J304" s="36" t="str">
        <v>kanan</v>
      </c>
      <c r="K304" s="36"/>
      <c r="L304" s="36"/>
      <c r="O304" s="36" t="str">
        <v>tengah</v>
      </c>
      <c r="P304" s="36"/>
      <c r="Q304" s="36"/>
      <c r="T304" s="36" t="str">
        <v>kanan</v>
      </c>
      <c r="U304" s="36"/>
      <c r="V304" s="36"/>
    </row>
    <row r="305" spans="5:22">
      <c r="E305" s="36" t="str">
        <v>kanan</v>
      </c>
      <c r="F305" s="36"/>
      <c r="G305" s="36"/>
      <c r="J305" s="36" t="str">
        <v>kiri</v>
      </c>
      <c r="K305" s="36"/>
      <c r="L305" s="36"/>
      <c r="O305" s="36" t="str">
        <v>kanan</v>
      </c>
      <c r="P305" s="36"/>
      <c r="Q305" s="36"/>
      <c r="T305" s="36" t="str">
        <v>kanan</v>
      </c>
      <c r="U305" s="36"/>
      <c r="V305" s="36"/>
    </row>
    <row r="306" spans="5:22">
      <c r="E306" s="36" t="str">
        <v>kiri</v>
      </c>
      <c r="F306" s="36"/>
      <c r="G306" s="36"/>
      <c r="J306" s="36" t="str">
        <v>kiri</v>
      </c>
      <c r="K306" s="36"/>
      <c r="L306" s="36"/>
      <c r="O306" s="36" t="str">
        <v>tengah</v>
      </c>
      <c r="P306" s="36"/>
      <c r="Q306" s="36"/>
      <c r="T306" s="36" t="str">
        <v>kanan</v>
      </c>
      <c r="U306" s="36"/>
      <c r="V306" s="36"/>
    </row>
    <row r="307" spans="5:22">
      <c r="E307" s="36" t="str">
        <v>tengah</v>
      </c>
      <c r="F307" s="36"/>
      <c r="G307" s="36"/>
      <c r="J307" s="36" t="str">
        <v>tengah</v>
      </c>
      <c r="K307" s="36"/>
      <c r="L307" s="36"/>
      <c r="O307" s="36" t="str">
        <v>kiri</v>
      </c>
      <c r="P307" s="36"/>
      <c r="Q307" s="36"/>
      <c r="T307" s="36" t="str">
        <v>kanan</v>
      </c>
      <c r="U307" s="36"/>
      <c r="V307" s="36"/>
    </row>
    <row r="308" spans="5:22">
      <c r="E308" s="36" t="str">
        <v>kanan</v>
      </c>
      <c r="F308" s="36"/>
      <c r="G308" s="36"/>
      <c r="J308" s="36" t="str">
        <v>kanan</v>
      </c>
      <c r="K308" s="36"/>
      <c r="L308" s="36"/>
      <c r="O308" s="36" t="str">
        <v>tengah</v>
      </c>
      <c r="P308" s="36"/>
      <c r="Q308" s="36"/>
      <c r="T308" s="36" t="str">
        <v>tengah</v>
      </c>
      <c r="U308" s="36"/>
      <c r="V308" s="36"/>
    </row>
    <row r="309" spans="5:22">
      <c r="E309" s="36" t="str">
        <v>tengah</v>
      </c>
      <c r="F309" s="36"/>
      <c r="G309" s="36"/>
      <c r="J309" s="36" t="str">
        <v>tengah</v>
      </c>
      <c r="K309" s="36"/>
      <c r="L309" s="36"/>
      <c r="O309" s="36" t="str">
        <v>tengah</v>
      </c>
      <c r="P309" s="36"/>
      <c r="Q309" s="36"/>
      <c r="T309" s="36" t="str">
        <v>tengah</v>
      </c>
      <c r="U309" s="36"/>
      <c r="V309" s="36"/>
    </row>
    <row r="310" spans="5:22">
      <c r="E310" s="36" t="str">
        <v>kiri</v>
      </c>
      <c r="F310" s="36"/>
      <c r="G310" s="36"/>
      <c r="J310" s="36" t="str">
        <v>tengah</v>
      </c>
      <c r="K310" s="36"/>
      <c r="L310" s="36"/>
      <c r="O310" s="36" t="str">
        <v>kanan</v>
      </c>
      <c r="P310" s="36"/>
      <c r="Q310" s="36"/>
      <c r="T310" s="36" t="str">
        <v>tengah</v>
      </c>
      <c r="U310" s="36"/>
      <c r="V310" s="36"/>
    </row>
    <row r="311" spans="5:22">
      <c r="E311" s="36" t="str">
        <v>kiri</v>
      </c>
      <c r="F311" s="36"/>
      <c r="G311" s="36"/>
      <c r="J311" s="36" t="str">
        <v>kiri</v>
      </c>
      <c r="K311" s="36"/>
      <c r="L311" s="36"/>
      <c r="O311" s="36" t="str">
        <v>kanan</v>
      </c>
      <c r="P311" s="36"/>
      <c r="Q311" s="36"/>
      <c r="T311" s="36" t="str">
        <v>tengah</v>
      </c>
      <c r="U311" s="36"/>
      <c r="V311" s="36"/>
    </row>
    <row r="312" spans="5:22">
      <c r="E312" s="36" t="str">
        <v>kanan</v>
      </c>
      <c r="F312" s="36"/>
      <c r="G312" s="36"/>
      <c r="J312" s="36" t="str">
        <v>kiri</v>
      </c>
      <c r="K312" s="36"/>
      <c r="L312" s="36"/>
      <c r="O312" s="36" t="str">
        <v>kiri</v>
      </c>
      <c r="P312" s="36"/>
      <c r="Q312" s="36"/>
      <c r="T312" s="36" t="str">
        <v>tengah</v>
      </c>
      <c r="U312" s="36"/>
      <c r="V312" s="36"/>
    </row>
    <row r="313" spans="5:22">
      <c r="E313" s="36" t="str">
        <v>tengah</v>
      </c>
      <c r="F313" s="36"/>
      <c r="G313" s="36"/>
      <c r="J313" s="36" t="str">
        <v>tengah</v>
      </c>
      <c r="K313" s="36"/>
      <c r="L313" s="36"/>
      <c r="O313" s="36" t="str">
        <v>kanan</v>
      </c>
      <c r="P313" s="36"/>
      <c r="Q313" s="36"/>
      <c r="T313" s="36" t="str">
        <v>kanan</v>
      </c>
      <c r="U313" s="36"/>
      <c r="V313" s="36"/>
    </row>
    <row r="314" spans="5:22">
      <c r="E314" s="36" t="str">
        <v>kanan</v>
      </c>
      <c r="F314" s="36"/>
      <c r="G314" s="36"/>
      <c r="J314" s="36" t="str">
        <v>kanan</v>
      </c>
      <c r="K314" s="36"/>
      <c r="L314" s="36"/>
      <c r="O314" s="36" t="str">
        <v>tengah</v>
      </c>
      <c r="P314" s="36"/>
      <c r="Q314" s="36"/>
      <c r="T314" s="36" t="str">
        <v>tengah</v>
      </c>
      <c r="U314" s="36"/>
      <c r="V314" s="36"/>
    </row>
    <row r="315" spans="5:22">
      <c r="E315" s="36" t="str">
        <v>tengah</v>
      </c>
      <c r="F315" s="36"/>
      <c r="G315" s="36"/>
      <c r="J315" s="36" t="str">
        <v>kanan</v>
      </c>
      <c r="K315" s="36"/>
      <c r="L315" s="36"/>
      <c r="O315" s="36" t="str">
        <v>tengah</v>
      </c>
      <c r="P315" s="36"/>
      <c r="Q315" s="36"/>
      <c r="T315" s="36" t="str">
        <v>kanan</v>
      </c>
      <c r="U315" s="36"/>
      <c r="V315" s="36"/>
    </row>
    <row r="316" spans="5:22">
      <c r="E316" s="36" t="str">
        <v>kanan</v>
      </c>
      <c r="F316" s="36"/>
      <c r="G316" s="36"/>
      <c r="J316" s="36" t="str">
        <v>kiri</v>
      </c>
      <c r="K316" s="36"/>
      <c r="L316" s="36"/>
      <c r="O316" s="36" t="str">
        <v>tengah</v>
      </c>
      <c r="P316" s="36"/>
      <c r="Q316" s="36"/>
      <c r="T316" s="36" t="str">
        <v>tengah</v>
      </c>
      <c r="U316" s="36"/>
      <c r="V316" s="36"/>
    </row>
    <row r="317" spans="5:22">
      <c r="E317" s="36" t="str">
        <v>tengah</v>
      </c>
      <c r="F317" s="36"/>
      <c r="G317" s="36"/>
      <c r="J317" s="36" t="str">
        <v>tengah</v>
      </c>
      <c r="K317" s="36"/>
      <c r="L317" s="36"/>
      <c r="O317" s="36" t="str">
        <v>kanan</v>
      </c>
      <c r="P317" s="36"/>
      <c r="Q317" s="36"/>
      <c r="T317" s="36" t="str">
        <v>kanan</v>
      </c>
      <c r="U317" s="36"/>
      <c r="V317" s="36"/>
    </row>
    <row r="318" spans="5:22">
      <c r="E318" s="36" t="str">
        <v>tengah</v>
      </c>
      <c r="F318" s="36"/>
      <c r="G318" s="36"/>
      <c r="J318" s="36" t="str">
        <v>kiri</v>
      </c>
      <c r="K318" s="36"/>
      <c r="L318" s="36"/>
      <c r="O318" s="36" t="str">
        <v>tengah</v>
      </c>
      <c r="P318" s="36"/>
      <c r="Q318" s="36"/>
      <c r="T318" s="36" t="str">
        <v>kanan</v>
      </c>
      <c r="U318" s="36"/>
      <c r="V318" s="36"/>
    </row>
    <row r="319" spans="5:22">
      <c r="E319" s="36" t="str">
        <v>tengah</v>
      </c>
      <c r="F319" s="36"/>
      <c r="G319" s="36"/>
      <c r="J319" s="36" t="str">
        <v>kiri</v>
      </c>
      <c r="K319" s="36"/>
      <c r="L319" s="36"/>
      <c r="O319" s="36" t="str">
        <v>tengah</v>
      </c>
      <c r="P319" s="36"/>
      <c r="Q319" s="36"/>
      <c r="T319" s="36" t="str">
        <v>tengah</v>
      </c>
      <c r="U319" s="36"/>
      <c r="V319" s="36"/>
    </row>
    <row r="320" spans="5:22">
      <c r="E320" s="36" t="str">
        <v>kanan</v>
      </c>
      <c r="F320" s="36"/>
      <c r="G320" s="36"/>
      <c r="J320" s="36" t="str">
        <v>tengah</v>
      </c>
      <c r="K320" s="36"/>
      <c r="L320" s="36"/>
      <c r="O320" s="36" t="str">
        <v>tengah</v>
      </c>
      <c r="P320" s="36"/>
      <c r="Q320" s="36"/>
      <c r="T320" s="36" t="str">
        <v>tengah</v>
      </c>
      <c r="U320" s="36"/>
      <c r="V320" s="36"/>
    </row>
    <row r="321" spans="5:22">
      <c r="E321" s="36" t="str">
        <v>tengah</v>
      </c>
      <c r="F321" s="36"/>
      <c r="G321" s="36"/>
      <c r="J321" s="36" t="str">
        <v>kanan</v>
      </c>
      <c r="K321" s="36"/>
      <c r="L321" s="36"/>
      <c r="O321" s="36" t="str">
        <v>tengah</v>
      </c>
      <c r="P321" s="36"/>
      <c r="Q321" s="36"/>
      <c r="T321" s="36" t="str">
        <v>tengah</v>
      </c>
      <c r="U321" s="36"/>
      <c r="V321" s="36"/>
    </row>
    <row r="322" spans="5:22">
      <c r="E322" s="36" t="str">
        <v>tengah</v>
      </c>
      <c r="F322" s="36"/>
      <c r="G322" s="36"/>
      <c r="J322" s="36" t="str">
        <v>tengah</v>
      </c>
      <c r="K322" s="36"/>
      <c r="L322" s="36"/>
      <c r="O322" s="36" t="str">
        <v>tengah</v>
      </c>
      <c r="P322" s="36"/>
      <c r="Q322" s="36"/>
      <c r="T322" s="36" t="str">
        <v>kanan</v>
      </c>
      <c r="U322" s="36"/>
      <c r="V322" s="36"/>
    </row>
    <row r="323" spans="5:22">
      <c r="E323" s="36" t="str">
        <v>tengah</v>
      </c>
      <c r="F323" s="36"/>
      <c r="G323" s="36"/>
      <c r="J323" s="36" t="str">
        <v>kanan</v>
      </c>
      <c r="K323" s="36"/>
      <c r="L323" s="36"/>
      <c r="O323" s="36" t="str">
        <v>tengah</v>
      </c>
      <c r="P323" s="36"/>
      <c r="Q323" s="36"/>
      <c r="T323" s="36" t="str">
        <v>kanan</v>
      </c>
      <c r="U323" s="36"/>
      <c r="V323" s="36"/>
    </row>
    <row r="324" spans="5:22">
      <c r="E324" s="36" t="str">
        <v>kiri</v>
      </c>
      <c r="F324" s="36"/>
      <c r="G324" s="36"/>
      <c r="J324" s="36" t="str">
        <v>kiri</v>
      </c>
      <c r="K324" s="36"/>
      <c r="L324" s="36"/>
      <c r="O324" s="36" t="str">
        <v>kanan</v>
      </c>
      <c r="P324" s="36"/>
      <c r="Q324" s="36"/>
      <c r="T324" s="36" t="str">
        <v>kanan</v>
      </c>
      <c r="U324" s="36"/>
      <c r="V324" s="36"/>
    </row>
    <row r="325" spans="5:22">
      <c r="E325" s="36" t="str">
        <v>tengah</v>
      </c>
      <c r="F325" s="36"/>
      <c r="G325" s="36"/>
      <c r="J325" s="36" t="str">
        <v>tengah</v>
      </c>
      <c r="K325" s="36"/>
      <c r="L325" s="36"/>
      <c r="O325" s="36" t="str">
        <v>tengah</v>
      </c>
      <c r="P325" s="36"/>
      <c r="Q325" s="36"/>
      <c r="T325" s="36" t="str">
        <v>tengah</v>
      </c>
      <c r="U325" s="36"/>
      <c r="V325" s="36"/>
    </row>
    <row r="326" spans="5:22">
      <c r="E326" s="36" t="str">
        <v>tengah</v>
      </c>
      <c r="F326" s="36"/>
      <c r="G326" s="36"/>
      <c r="J326" s="36" t="str">
        <v>kanan</v>
      </c>
      <c r="K326" s="36"/>
      <c r="L326" s="36"/>
      <c r="O326" s="36" t="str">
        <v>tengah</v>
      </c>
      <c r="P326" s="36"/>
      <c r="Q326" s="36"/>
      <c r="T326" s="36" t="str">
        <v>tengah</v>
      </c>
      <c r="U326" s="36"/>
      <c r="V326" s="36"/>
    </row>
    <row r="327" spans="5:22">
      <c r="E327" s="36" t="str">
        <v>kiri</v>
      </c>
      <c r="F327" s="36"/>
      <c r="G327" s="36"/>
      <c r="J327" s="36" t="str">
        <v>kiri</v>
      </c>
      <c r="K327" s="36"/>
      <c r="L327" s="36"/>
      <c r="O327" s="36" t="str">
        <v>tengah</v>
      </c>
      <c r="P327" s="36"/>
      <c r="Q327" s="36"/>
      <c r="T327" s="36" t="str">
        <v>tengah</v>
      </c>
      <c r="U327" s="36"/>
      <c r="V327" s="36"/>
    </row>
    <row r="328" spans="5:22">
      <c r="E328" s="36" t="str">
        <v>tengah</v>
      </c>
      <c r="F328" s="36"/>
      <c r="G328" s="36"/>
      <c r="J328" s="36" t="str">
        <v>tengah</v>
      </c>
      <c r="K328" s="36"/>
      <c r="L328" s="36"/>
      <c r="O328" s="36" t="str">
        <v>tengah</v>
      </c>
      <c r="P328" s="36"/>
      <c r="Q328" s="36"/>
      <c r="T328" s="36" t="str">
        <v>kanan</v>
      </c>
      <c r="U328" s="36"/>
      <c r="V328" s="36"/>
    </row>
    <row r="329" spans="5:22">
      <c r="E329" s="36" t="str">
        <v>kiri</v>
      </c>
      <c r="F329" s="36"/>
      <c r="G329" s="36"/>
      <c r="J329" s="36" t="str">
        <v>tengah</v>
      </c>
      <c r="K329" s="36"/>
      <c r="L329" s="36"/>
      <c r="O329" s="36" t="str">
        <v>tengah</v>
      </c>
      <c r="P329" s="36"/>
      <c r="Q329" s="36"/>
      <c r="T329" s="36" t="str">
        <v>tengah</v>
      </c>
      <c r="U329" s="36"/>
      <c r="V329" s="36"/>
    </row>
    <row r="330" spans="5:22">
      <c r="E330" s="36" t="str">
        <v>kiri</v>
      </c>
      <c r="F330" s="36"/>
      <c r="G330" s="36"/>
      <c r="J330" s="36" t="str">
        <v>tengah</v>
      </c>
      <c r="K330" s="36"/>
      <c r="L330" s="36"/>
      <c r="O330" s="36" t="str">
        <v>tengah</v>
      </c>
      <c r="P330" s="36"/>
      <c r="Q330" s="36"/>
      <c r="T330" s="36" t="str">
        <v>kanan</v>
      </c>
      <c r="U330" s="36"/>
      <c r="V330" s="36"/>
    </row>
    <row r="331" spans="5:22">
      <c r="E331" s="36" t="str">
        <v>kiri</v>
      </c>
      <c r="F331" s="36"/>
      <c r="G331" s="36"/>
      <c r="J331" s="36" t="str">
        <v>kiri</v>
      </c>
      <c r="K331" s="36"/>
      <c r="L331" s="36"/>
      <c r="O331" s="36" t="str">
        <v>kanan</v>
      </c>
      <c r="P331" s="36"/>
      <c r="Q331" s="36"/>
      <c r="T331" s="36" t="str">
        <v>kanan</v>
      </c>
      <c r="U331" s="36"/>
      <c r="V331" s="36"/>
    </row>
    <row r="332" spans="5:22">
      <c r="E332" s="36" t="str">
        <v>tengah</v>
      </c>
      <c r="F332" s="36"/>
      <c r="G332" s="36"/>
      <c r="J332" s="36" t="str">
        <v>tengah</v>
      </c>
      <c r="K332" s="36"/>
      <c r="L332" s="36"/>
      <c r="O332" s="36" t="str">
        <v>tengah</v>
      </c>
      <c r="P332" s="36"/>
      <c r="Q332" s="36"/>
      <c r="T332" s="36" t="str">
        <v>tengah</v>
      </c>
      <c r="U332" s="36"/>
      <c r="V332" s="36"/>
    </row>
  </sheetData>
  <pageMargins left="0.7" right="0.7" top="0.75" bottom="0.75" header="0.3" footer="0.3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32"/>
  <sheetViews>
    <sheetView zoomScale="93" zoomScaleNormal="93" topLeftCell="C154" workbookViewId="0">
      <selection activeCell="K196" sqref="K196"/>
    </sheetView>
  </sheetViews>
  <sheetFormatPr defaultColWidth="9" defaultRowHeight="15"/>
  <cols>
    <col min="3" max="3" width="15.8518518518519" customWidth="1"/>
    <col min="4" max="4" width="13.2814814814815" customWidth="1"/>
    <col min="5" max="5" width="13.8518518518519" customWidth="1"/>
    <col min="6" max="6" width="12" customWidth="1"/>
    <col min="9" max="9" width="18.2814814814815" customWidth="1"/>
    <col min="10" max="10" width="15.8518518518519" customWidth="1"/>
    <col min="12" max="12" width="13.8518518518519" customWidth="1"/>
    <col min="13" max="13" width="14.2814814814815" customWidth="1"/>
    <col min="14" max="14" width="12.8518518518519" customWidth="1"/>
    <col min="15" max="15" width="16.8518518518519" customWidth="1"/>
  </cols>
  <sheetData>
    <row r="1" spans="1:17">
      <c r="A1" s="35" t="s">
        <v>183</v>
      </c>
      <c r="B1" s="35" t="s">
        <v>1</v>
      </c>
      <c r="C1" s="35" t="s">
        <v>2</v>
      </c>
      <c r="D1" s="35" t="s">
        <v>4</v>
      </c>
      <c r="E1" s="35" t="s">
        <v>5</v>
      </c>
      <c r="H1" s="36" t="s">
        <v>183</v>
      </c>
      <c r="I1" s="36" t="s">
        <v>1</v>
      </c>
      <c r="J1" s="36" t="s">
        <v>2</v>
      </c>
      <c r="K1" s="36" t="s">
        <v>4</v>
      </c>
      <c r="L1" s="36" t="s">
        <v>5</v>
      </c>
      <c r="O1" s="35" t="s">
        <v>184</v>
      </c>
      <c r="P1" s="38"/>
      <c r="Q1" s="38"/>
    </row>
    <row r="2" spans="1:17">
      <c r="A2" s="36">
        <f ca="1">RANDBETWEEN(2,164)</f>
        <v>140</v>
      </c>
      <c r="B2" s="36">
        <f ca="1" t="array" ref="B2">INDEX(Data_DBD!$B:$B,$A2)</f>
        <v>74</v>
      </c>
      <c r="C2" s="36" t="str">
        <f ca="1" t="array" ref="C2">INDEX(Data_DBD!$C:$C,$A2)</f>
        <v>5 Hari</v>
      </c>
      <c r="D2" s="36">
        <f ca="1" t="array" ref="D2">INDEX(Data_DBD!$E:$E,$A2)</f>
        <v>1</v>
      </c>
      <c r="E2" s="36" t="str">
        <f ca="1" t="array" ref="E2">INDEX(Data_DBD!$F:$F,$A2)</f>
        <v>Tinggi</v>
      </c>
      <c r="H2" s="36">
        <v>144</v>
      </c>
      <c r="I2" s="36">
        <v>61</v>
      </c>
      <c r="J2" s="36">
        <v>4</v>
      </c>
      <c r="K2" s="36">
        <v>1</v>
      </c>
      <c r="L2" s="36" t="s">
        <v>105</v>
      </c>
      <c r="O2" s="38" t="s">
        <v>105</v>
      </c>
      <c r="P2" s="38">
        <f>COUNTIF(L2:L164,"Tinggi")</f>
        <v>75</v>
      </c>
      <c r="Q2" s="38">
        <f>P2/163</f>
        <v>0.460122699386503</v>
      </c>
    </row>
    <row r="3" spans="1:17">
      <c r="A3" s="36">
        <f ca="1" t="shared" ref="A3:A66" si="0">RANDBETWEEN(2,164)</f>
        <v>159</v>
      </c>
      <c r="B3" s="36">
        <f ca="1" t="array" ref="B3">INDEX(Data_DBD!$B:$B,$A3)</f>
        <v>17</v>
      </c>
      <c r="C3" s="36" t="str">
        <f ca="1" t="array" ref="C3">INDEX(Data_DBD!$C:$C,$A3)</f>
        <v>2 Hari</v>
      </c>
      <c r="D3" s="36">
        <f ca="1" t="array" ref="D3">INDEX(Data_DBD!$E:$E,$A3)</f>
        <v>0</v>
      </c>
      <c r="E3" s="36" t="str">
        <f ca="1" t="array" ref="E3">INDEX(Data_DBD!$F:$F,$A3)</f>
        <v>Tinggi</v>
      </c>
      <c r="H3" s="36">
        <v>2</v>
      </c>
      <c r="I3" s="36">
        <v>34</v>
      </c>
      <c r="J3" s="36">
        <v>3</v>
      </c>
      <c r="K3" s="36">
        <v>0</v>
      </c>
      <c r="L3" s="36" t="s">
        <v>8</v>
      </c>
      <c r="O3" s="38" t="s">
        <v>8</v>
      </c>
      <c r="P3" s="38">
        <f>COUNTIF(L2:L164,"Sedang")</f>
        <v>79</v>
      </c>
      <c r="Q3" s="38">
        <f>P3/163</f>
        <v>0.484662576687117</v>
      </c>
    </row>
    <row r="4" spans="1:17">
      <c r="A4" s="36">
        <f ca="1" t="shared" si="0"/>
        <v>147</v>
      </c>
      <c r="B4" s="36">
        <f ca="1" t="array" ref="B4">INDEX(Data_DBD!$B:$B,$A4)</f>
        <v>66</v>
      </c>
      <c r="C4" s="36" t="str">
        <f ca="1" t="array" ref="C4">INDEX(Data_DBD!$C:$C,$A4)</f>
        <v>10 Hari</v>
      </c>
      <c r="D4" s="36">
        <f ca="1" t="array" ref="D4">INDEX(Data_DBD!$E:$E,$A4)</f>
        <v>1</v>
      </c>
      <c r="E4" s="36" t="str">
        <f ca="1" t="array" ref="E4">INDEX(Data_DBD!$F:$F,$A4)</f>
        <v>Tinggi</v>
      </c>
      <c r="H4" s="36">
        <v>150</v>
      </c>
      <c r="I4" s="36">
        <v>61</v>
      </c>
      <c r="J4" s="36">
        <v>5</v>
      </c>
      <c r="K4" s="36">
        <v>1</v>
      </c>
      <c r="L4" s="36" t="s">
        <v>105</v>
      </c>
      <c r="O4" s="38" t="s">
        <v>26</v>
      </c>
      <c r="P4" s="38">
        <f>COUNTIF(L2:L164,"Rendah")</f>
        <v>9</v>
      </c>
      <c r="Q4" s="38">
        <f>P4/163</f>
        <v>0.0552147239263804</v>
      </c>
    </row>
    <row r="5" spans="1:16">
      <c r="A5" s="36">
        <f ca="1" t="shared" si="0"/>
        <v>77</v>
      </c>
      <c r="B5" s="36">
        <f ca="1" t="array" ref="B5">INDEX(Data_DBD!$B:$B,$A5)</f>
        <v>16</v>
      </c>
      <c r="C5" s="36" t="str">
        <f ca="1" t="array" ref="C5">INDEX(Data_DBD!$C:$C,$A5)</f>
        <v>4 Hari</v>
      </c>
      <c r="D5" s="36">
        <f ca="1" t="array" ref="D5">INDEX(Data_DBD!$E:$E,$A5)</f>
        <v>1</v>
      </c>
      <c r="E5" s="36" t="str">
        <f ca="1" t="array" ref="E5">INDEX(Data_DBD!$F:$F,$A5)</f>
        <v>Sedang</v>
      </c>
      <c r="H5" s="36">
        <v>22</v>
      </c>
      <c r="I5" s="36">
        <v>6</v>
      </c>
      <c r="J5" s="36">
        <v>3</v>
      </c>
      <c r="K5" s="36">
        <v>0</v>
      </c>
      <c r="L5" s="36" t="s">
        <v>8</v>
      </c>
      <c r="O5" s="39" t="s">
        <v>185</v>
      </c>
      <c r="P5">
        <f>-(IFERROR(Q2*LOG(Q2,2),0)+IFERROR(Q3*LOG(Q3,2),0)+IFERROR(Q4*LOG(Q4,2),0))</f>
        <v>1.25247413026689</v>
      </c>
    </row>
    <row r="6" spans="1:12">
      <c r="A6" s="36">
        <f ca="1" t="shared" si="0"/>
        <v>134</v>
      </c>
      <c r="B6" s="36">
        <f ca="1" t="array" ref="B6">INDEX(Data_DBD!$B:$B,$A6)</f>
        <v>4</v>
      </c>
      <c r="C6" s="36" t="str">
        <f ca="1" t="array" ref="C6">INDEX(Data_DBD!$C:$C,$A6)</f>
        <v>2 Hari</v>
      </c>
      <c r="D6" s="36">
        <f ca="1" t="array" ref="D6">INDEX(Data_DBD!$E:$E,$A6)</f>
        <v>1</v>
      </c>
      <c r="E6" s="36" t="str">
        <f ca="1" t="array" ref="E6">INDEX(Data_DBD!$F:$F,$A6)</f>
        <v>Tinggi</v>
      </c>
      <c r="H6" s="36">
        <v>27</v>
      </c>
      <c r="I6" s="36">
        <v>37</v>
      </c>
      <c r="J6" s="36">
        <v>4</v>
      </c>
      <c r="K6" s="36">
        <v>1</v>
      </c>
      <c r="L6" s="36" t="s">
        <v>8</v>
      </c>
    </row>
    <row r="7" spans="1:12">
      <c r="A7" s="36">
        <f ca="1" t="shared" si="0"/>
        <v>32</v>
      </c>
      <c r="B7" s="36">
        <f ca="1" t="array" ref="B7">INDEX(Data_DBD!$B:$B,$A7)</f>
        <v>54</v>
      </c>
      <c r="C7" s="36" t="str">
        <f ca="1" t="array" ref="C7">INDEX(Data_DBD!$C:$C,$A7)</f>
        <v>4 Hari</v>
      </c>
      <c r="D7" s="36">
        <f ca="1" t="array" ref="D7">INDEX(Data_DBD!$E:$E,$A7)</f>
        <v>0</v>
      </c>
      <c r="E7" s="36" t="str">
        <f ca="1" t="array" ref="E7">INDEX(Data_DBD!$F:$F,$A7)</f>
        <v>Sedang</v>
      </c>
      <c r="H7" s="36">
        <v>41</v>
      </c>
      <c r="I7" s="36">
        <v>8</v>
      </c>
      <c r="J7" s="36">
        <v>4</v>
      </c>
      <c r="K7" s="36">
        <v>0</v>
      </c>
      <c r="L7" s="36" t="s">
        <v>8</v>
      </c>
    </row>
    <row r="8" spans="1:12">
      <c r="A8" s="36">
        <f ca="1" t="shared" si="0"/>
        <v>22</v>
      </c>
      <c r="B8" s="36">
        <f ca="1" t="array" ref="B8">INDEX(Data_DBD!$B:$B,$A8)</f>
        <v>6</v>
      </c>
      <c r="C8" s="36" t="str">
        <f ca="1" t="array" ref="C8">INDEX(Data_DBD!$C:$C,$A8)</f>
        <v>3 Hari</v>
      </c>
      <c r="D8" s="36">
        <f ca="1" t="array" ref="D8">INDEX(Data_DBD!$E:$E,$A8)</f>
        <v>0</v>
      </c>
      <c r="E8" s="36" t="str">
        <f ca="1" t="array" ref="E8">INDEX(Data_DBD!$F:$F,$A8)</f>
        <v>Sedang</v>
      </c>
      <c r="H8" s="36">
        <v>97</v>
      </c>
      <c r="I8" s="36">
        <v>16</v>
      </c>
      <c r="J8" s="36">
        <v>2</v>
      </c>
      <c r="K8" s="36">
        <v>1</v>
      </c>
      <c r="L8" s="36" t="s">
        <v>105</v>
      </c>
    </row>
    <row r="9" spans="1:12">
      <c r="A9" s="36">
        <f ca="1" t="shared" si="0"/>
        <v>152</v>
      </c>
      <c r="B9" s="36">
        <f ca="1" t="array" ref="B9">INDEX(Data_DBD!$B:$B,$A9)</f>
        <v>47</v>
      </c>
      <c r="C9" s="36" t="str">
        <f ca="1" t="array" ref="C9">INDEX(Data_DBD!$C:$C,$A9)</f>
        <v>3 Hari</v>
      </c>
      <c r="D9" s="36">
        <f ca="1" t="array" ref="D9">INDEX(Data_DBD!$E:$E,$A9)</f>
        <v>1</v>
      </c>
      <c r="E9" s="36" t="str">
        <f ca="1" t="array" ref="E9">INDEX(Data_DBD!$F:$F,$A9)</f>
        <v>Tinggi</v>
      </c>
      <c r="H9" s="36">
        <v>2</v>
      </c>
      <c r="I9" s="36">
        <v>34</v>
      </c>
      <c r="J9" s="36">
        <v>3</v>
      </c>
      <c r="K9" s="36">
        <v>0</v>
      </c>
      <c r="L9" s="36" t="s">
        <v>8</v>
      </c>
    </row>
    <row r="10" spans="1:12">
      <c r="A10" s="36">
        <f ca="1" t="shared" si="0"/>
        <v>118</v>
      </c>
      <c r="B10" s="36">
        <f ca="1" t="array" ref="B10">INDEX(Data_DBD!$B:$B,$A10)</f>
        <v>67</v>
      </c>
      <c r="C10" s="36" t="str">
        <f ca="1" t="array" ref="C10">INDEX(Data_DBD!$C:$C,$A10)</f>
        <v>4 Hari</v>
      </c>
      <c r="D10" s="36">
        <f ca="1" t="array" ref="D10">INDEX(Data_DBD!$E:$E,$A10)</f>
        <v>1</v>
      </c>
      <c r="E10" s="36" t="str">
        <f ca="1" t="array" ref="E10">INDEX(Data_DBD!$F:$F,$A10)</f>
        <v>Tinggi</v>
      </c>
      <c r="H10" s="36">
        <v>69</v>
      </c>
      <c r="I10" s="36">
        <v>24</v>
      </c>
      <c r="J10" s="36">
        <v>4</v>
      </c>
      <c r="K10" s="36">
        <v>1</v>
      </c>
      <c r="L10" s="36" t="s">
        <v>8</v>
      </c>
    </row>
    <row r="11" spans="1:12">
      <c r="A11" s="36">
        <f ca="1" t="shared" si="0"/>
        <v>97</v>
      </c>
      <c r="B11" s="36">
        <f ca="1" t="array" ref="B11">INDEX(Data_DBD!$B:$B,$A11)</f>
        <v>16</v>
      </c>
      <c r="C11" s="36" t="str">
        <f ca="1" t="array" ref="C11">INDEX(Data_DBD!$C:$C,$A11)</f>
        <v>2 Hari</v>
      </c>
      <c r="D11" s="36">
        <f ca="1" t="array" ref="D11">INDEX(Data_DBD!$E:$E,$A11)</f>
        <v>1</v>
      </c>
      <c r="E11" s="36" t="str">
        <f ca="1" t="array" ref="E11">INDEX(Data_DBD!$F:$F,$A11)</f>
        <v>Tinggi</v>
      </c>
      <c r="H11" s="36">
        <v>111</v>
      </c>
      <c r="I11" s="36">
        <v>25</v>
      </c>
      <c r="J11" s="36">
        <v>4</v>
      </c>
      <c r="K11" s="36">
        <v>0</v>
      </c>
      <c r="L11" s="36" t="s">
        <v>105</v>
      </c>
    </row>
    <row r="12" spans="1:12">
      <c r="A12" s="36">
        <f ca="1" t="shared" si="0"/>
        <v>58</v>
      </c>
      <c r="B12" s="36">
        <f ca="1" t="array" ref="B12">INDEX(Data_DBD!$B:$B,$A12)</f>
        <v>17</v>
      </c>
      <c r="C12" s="36" t="str">
        <f ca="1" t="array" ref="C12">INDEX(Data_DBD!$C:$C,$A12)</f>
        <v>3 Hari</v>
      </c>
      <c r="D12" s="36">
        <f ca="1" t="array" ref="D12">INDEX(Data_DBD!$E:$E,$A12)</f>
        <v>0</v>
      </c>
      <c r="E12" s="36" t="str">
        <f ca="1" t="array" ref="E12">INDEX(Data_DBD!$F:$F,$A12)</f>
        <v>Sedang</v>
      </c>
      <c r="H12" s="36">
        <v>93</v>
      </c>
      <c r="I12" s="36">
        <v>65</v>
      </c>
      <c r="J12" s="36">
        <v>4</v>
      </c>
      <c r="K12" s="36">
        <v>0</v>
      </c>
      <c r="L12" s="36" t="s">
        <v>105</v>
      </c>
    </row>
    <row r="13" spans="1:12">
      <c r="A13" s="36">
        <f ca="1" t="shared" si="0"/>
        <v>16</v>
      </c>
      <c r="B13" s="36">
        <f ca="1" t="array" ref="B13">INDEX(Data_DBD!$B:$B,$A13)</f>
        <v>66</v>
      </c>
      <c r="C13" s="36" t="str">
        <f ca="1" t="array" ref="C13">INDEX(Data_DBD!$C:$C,$A13)</f>
        <v>5 Hari</v>
      </c>
      <c r="D13" s="36">
        <f ca="1" t="array" ref="D13">INDEX(Data_DBD!$E:$E,$A13)</f>
        <v>1</v>
      </c>
      <c r="E13" s="36" t="str">
        <f ca="1" t="array" ref="E13">INDEX(Data_DBD!$F:$F,$A13)</f>
        <v>Rendah</v>
      </c>
      <c r="H13" s="36">
        <v>91</v>
      </c>
      <c r="I13" s="36">
        <v>35</v>
      </c>
      <c r="J13" s="36">
        <v>1</v>
      </c>
      <c r="K13" s="36">
        <v>1</v>
      </c>
      <c r="L13" s="36" t="s">
        <v>105</v>
      </c>
    </row>
    <row r="14" spans="1:12">
      <c r="A14" s="36">
        <f ca="1" t="shared" si="0"/>
        <v>149</v>
      </c>
      <c r="B14" s="36">
        <f ca="1" t="array" ref="B14">INDEX(Data_DBD!$B:$B,$A14)</f>
        <v>19</v>
      </c>
      <c r="C14" s="36" t="str">
        <f ca="1" t="array" ref="C14">INDEX(Data_DBD!$C:$C,$A14)</f>
        <v>5 Hari</v>
      </c>
      <c r="D14" s="36">
        <f ca="1" t="array" ref="D14">INDEX(Data_DBD!$E:$E,$A14)</f>
        <v>0</v>
      </c>
      <c r="E14" s="36" t="str">
        <f ca="1" t="array" ref="E14">INDEX(Data_DBD!$F:$F,$A14)</f>
        <v>Tinggi</v>
      </c>
      <c r="H14" s="36">
        <v>118</v>
      </c>
      <c r="I14" s="36">
        <v>67</v>
      </c>
      <c r="J14" s="36">
        <v>4</v>
      </c>
      <c r="K14" s="36">
        <v>1</v>
      </c>
      <c r="L14" s="36" t="s">
        <v>105</v>
      </c>
    </row>
    <row r="15" spans="1:12">
      <c r="A15" s="36">
        <f ca="1" t="shared" si="0"/>
        <v>64</v>
      </c>
      <c r="B15" s="36">
        <f ca="1" t="array" ref="B15">INDEX(Data_DBD!$B:$B,$A15)</f>
        <v>35</v>
      </c>
      <c r="C15" s="36" t="str">
        <f ca="1" t="array" ref="C15">INDEX(Data_DBD!$C:$C,$A15)</f>
        <v>1 Hari</v>
      </c>
      <c r="D15" s="36">
        <f ca="1" t="array" ref="D15">INDEX(Data_DBD!$E:$E,$A15)</f>
        <v>0</v>
      </c>
      <c r="E15" s="36" t="str">
        <f ca="1" t="array" ref="E15">INDEX(Data_DBD!$F:$F,$A15)</f>
        <v>Sedang</v>
      </c>
      <c r="H15" s="36">
        <v>65</v>
      </c>
      <c r="I15" s="36">
        <v>49</v>
      </c>
      <c r="J15" s="36">
        <v>3</v>
      </c>
      <c r="K15" s="36">
        <v>0</v>
      </c>
      <c r="L15" s="36" t="s">
        <v>8</v>
      </c>
    </row>
    <row r="16" spans="1:12">
      <c r="A16" s="36">
        <f ca="1" t="shared" si="0"/>
        <v>152</v>
      </c>
      <c r="B16" s="36">
        <f ca="1" t="array" ref="B16">INDEX(Data_DBD!$B:$B,$A16)</f>
        <v>47</v>
      </c>
      <c r="C16" s="36" t="str">
        <f ca="1" t="array" ref="C16">INDEX(Data_DBD!$C:$C,$A16)</f>
        <v>3 Hari</v>
      </c>
      <c r="D16" s="36">
        <f ca="1" t="array" ref="D16">INDEX(Data_DBD!$E:$E,$A16)</f>
        <v>1</v>
      </c>
      <c r="E16" s="36" t="str">
        <f ca="1" t="array" ref="E16">INDEX(Data_DBD!$F:$F,$A16)</f>
        <v>Tinggi</v>
      </c>
      <c r="H16" s="36">
        <v>93</v>
      </c>
      <c r="I16" s="36">
        <v>65</v>
      </c>
      <c r="J16" s="36">
        <v>4</v>
      </c>
      <c r="K16" s="36">
        <v>0</v>
      </c>
      <c r="L16" s="36" t="s">
        <v>105</v>
      </c>
    </row>
    <row r="17" spans="1:12">
      <c r="A17" s="36">
        <f ca="1" t="shared" si="0"/>
        <v>133</v>
      </c>
      <c r="B17" s="36">
        <f ca="1" t="array" ref="B17">INDEX(Data_DBD!$B:$B,$A17)</f>
        <v>6</v>
      </c>
      <c r="C17" s="36" t="str">
        <f ca="1" t="array" ref="C17">INDEX(Data_DBD!$C:$C,$A17)</f>
        <v>4 Hari</v>
      </c>
      <c r="D17" s="36">
        <f ca="1" t="array" ref="D17">INDEX(Data_DBD!$E:$E,$A17)</f>
        <v>0</v>
      </c>
      <c r="E17" s="36" t="str">
        <f ca="1" t="array" ref="E17">INDEX(Data_DBD!$F:$F,$A17)</f>
        <v>Tinggi</v>
      </c>
      <c r="H17" s="36">
        <v>121</v>
      </c>
      <c r="I17" s="36">
        <v>82</v>
      </c>
      <c r="J17" s="36">
        <v>5</v>
      </c>
      <c r="K17" s="36">
        <v>1</v>
      </c>
      <c r="L17" s="36" t="s">
        <v>105</v>
      </c>
    </row>
    <row r="18" spans="1:12">
      <c r="A18" s="36">
        <f ca="1" t="shared" si="0"/>
        <v>147</v>
      </c>
      <c r="B18" s="36">
        <f ca="1" t="array" ref="B18">INDEX(Data_DBD!$B:$B,$A18)</f>
        <v>66</v>
      </c>
      <c r="C18" s="36" t="str">
        <f ca="1" t="array" ref="C18">INDEX(Data_DBD!$C:$C,$A18)</f>
        <v>10 Hari</v>
      </c>
      <c r="D18" s="36">
        <f ca="1" t="array" ref="D18">INDEX(Data_DBD!$E:$E,$A18)</f>
        <v>1</v>
      </c>
      <c r="E18" s="36" t="str">
        <f ca="1" t="array" ref="E18">INDEX(Data_DBD!$F:$F,$A18)</f>
        <v>Tinggi</v>
      </c>
      <c r="H18" s="36">
        <v>148</v>
      </c>
      <c r="I18" s="36">
        <v>55</v>
      </c>
      <c r="J18" s="36">
        <v>3</v>
      </c>
      <c r="K18" s="36">
        <v>1</v>
      </c>
      <c r="L18" s="36" t="s">
        <v>105</v>
      </c>
    </row>
    <row r="19" spans="1:12">
      <c r="A19" s="36">
        <f ca="1" t="shared" si="0"/>
        <v>39</v>
      </c>
      <c r="B19" s="36">
        <f ca="1" t="array" ref="B19">INDEX(Data_DBD!$B:$B,$A19)</f>
        <v>12</v>
      </c>
      <c r="C19" s="36" t="str">
        <f ca="1" t="array" ref="C19">INDEX(Data_DBD!$C:$C,$A19)</f>
        <v>5 Hari</v>
      </c>
      <c r="D19" s="36">
        <f ca="1" t="array" ref="D19">INDEX(Data_DBD!$E:$E,$A19)</f>
        <v>1</v>
      </c>
      <c r="E19" s="36" t="str">
        <f ca="1" t="array" ref="E19">INDEX(Data_DBD!$F:$F,$A19)</f>
        <v>Sedang</v>
      </c>
      <c r="H19" s="36">
        <v>67</v>
      </c>
      <c r="I19" s="36">
        <v>21</v>
      </c>
      <c r="J19" s="36">
        <v>3</v>
      </c>
      <c r="K19" s="36">
        <v>1</v>
      </c>
      <c r="L19" s="36" t="s">
        <v>8</v>
      </c>
    </row>
    <row r="20" spans="1:12">
      <c r="A20" s="36">
        <f ca="1" t="shared" si="0"/>
        <v>15</v>
      </c>
      <c r="B20" s="36">
        <f ca="1" t="array" ref="B20">INDEX(Data_DBD!$B:$B,$A20)</f>
        <v>21</v>
      </c>
      <c r="C20" s="36" t="str">
        <f ca="1" t="array" ref="C20">INDEX(Data_DBD!$C:$C,$A20)</f>
        <v>2 Hari</v>
      </c>
      <c r="D20" s="36">
        <f ca="1" t="array" ref="D20">INDEX(Data_DBD!$E:$E,$A20)</f>
        <v>0</v>
      </c>
      <c r="E20" s="36" t="str">
        <f ca="1" t="array" ref="E20">INDEX(Data_DBD!$F:$F,$A20)</f>
        <v>Rendah</v>
      </c>
      <c r="H20" s="36">
        <v>5</v>
      </c>
      <c r="I20" s="36">
        <v>18</v>
      </c>
      <c r="J20" s="36">
        <v>2</v>
      </c>
      <c r="K20" s="36">
        <v>1</v>
      </c>
      <c r="L20" s="36" t="s">
        <v>8</v>
      </c>
    </row>
    <row r="21" spans="1:12">
      <c r="A21" s="36">
        <f ca="1" t="shared" si="0"/>
        <v>40</v>
      </c>
      <c r="B21" s="36">
        <f ca="1" t="array" ref="B21">INDEX(Data_DBD!$B:$B,$A21)</f>
        <v>65</v>
      </c>
      <c r="C21" s="36" t="str">
        <f ca="1" t="array" ref="C21">INDEX(Data_DBD!$C:$C,$A21)</f>
        <v>3 Hari</v>
      </c>
      <c r="D21" s="36">
        <f ca="1" t="array" ref="D21">INDEX(Data_DBD!$E:$E,$A21)</f>
        <v>1</v>
      </c>
      <c r="E21" s="36" t="str">
        <f ca="1" t="array" ref="E21">INDEX(Data_DBD!$F:$F,$A21)</f>
        <v>Sedang</v>
      </c>
      <c r="H21" s="36">
        <v>45</v>
      </c>
      <c r="I21" s="36">
        <v>75</v>
      </c>
      <c r="J21" s="36">
        <v>3</v>
      </c>
      <c r="K21" s="36">
        <v>1</v>
      </c>
      <c r="L21" s="36" t="s">
        <v>8</v>
      </c>
    </row>
    <row r="22" spans="1:12">
      <c r="A22" s="36">
        <f ca="1" t="shared" si="0"/>
        <v>48</v>
      </c>
      <c r="B22" s="36">
        <f ca="1" t="array" ref="B22">INDEX(Data_DBD!$B:$B,$A22)</f>
        <v>50</v>
      </c>
      <c r="C22" s="36" t="str">
        <f ca="1" t="array" ref="C22">INDEX(Data_DBD!$C:$C,$A22)</f>
        <v>5 Hari</v>
      </c>
      <c r="D22" s="36">
        <f ca="1" t="array" ref="D22">INDEX(Data_DBD!$E:$E,$A22)</f>
        <v>1</v>
      </c>
      <c r="E22" s="36" t="str">
        <f ca="1" t="array" ref="E22">INDEX(Data_DBD!$F:$F,$A22)</f>
        <v>Sedang</v>
      </c>
      <c r="H22" s="36">
        <v>159</v>
      </c>
      <c r="I22" s="36">
        <v>17</v>
      </c>
      <c r="J22" s="36">
        <v>2</v>
      </c>
      <c r="K22" s="36">
        <v>0</v>
      </c>
      <c r="L22" s="36" t="s">
        <v>105</v>
      </c>
    </row>
    <row r="23" spans="1:12">
      <c r="A23" s="36">
        <f ca="1" t="shared" si="0"/>
        <v>10</v>
      </c>
      <c r="B23" s="36">
        <f ca="1" t="array" ref="B23">INDEX(Data_DBD!$B:$B,$A23)</f>
        <v>18</v>
      </c>
      <c r="C23" s="36" t="str">
        <f ca="1" t="array" ref="C23">INDEX(Data_DBD!$C:$C,$A23)</f>
        <v>5 Hari</v>
      </c>
      <c r="D23" s="36">
        <f ca="1" t="array" ref="D23">INDEX(Data_DBD!$E:$E,$A23)</f>
        <v>0</v>
      </c>
      <c r="E23" s="36" t="str">
        <f ca="1" t="array" ref="E23">INDEX(Data_DBD!$F:$F,$A23)</f>
        <v>Sedang</v>
      </c>
      <c r="H23" s="36">
        <v>10</v>
      </c>
      <c r="I23" s="36">
        <v>18</v>
      </c>
      <c r="J23" s="36">
        <v>5</v>
      </c>
      <c r="K23" s="36">
        <v>0</v>
      </c>
      <c r="L23" s="36" t="s">
        <v>8</v>
      </c>
    </row>
    <row r="24" spans="1:12">
      <c r="A24" s="36">
        <f ca="1" t="shared" si="0"/>
        <v>115</v>
      </c>
      <c r="B24" s="36">
        <f ca="1" t="array" ref="B24">INDEX(Data_DBD!$B:$B,$A24)</f>
        <v>52</v>
      </c>
      <c r="C24" s="36" t="str">
        <f ca="1" t="array" ref="C24">INDEX(Data_DBD!$C:$C,$A24)</f>
        <v>3 Hari</v>
      </c>
      <c r="D24" s="36">
        <f ca="1" t="array" ref="D24">INDEX(Data_DBD!$E:$E,$A24)</f>
        <v>1</v>
      </c>
      <c r="E24" s="36" t="str">
        <f ca="1" t="array" ref="E24">INDEX(Data_DBD!$F:$F,$A24)</f>
        <v>Tinggi</v>
      </c>
      <c r="H24" s="36">
        <v>145</v>
      </c>
      <c r="I24" s="36">
        <v>28</v>
      </c>
      <c r="J24" s="36">
        <v>4</v>
      </c>
      <c r="K24" s="36">
        <v>1</v>
      </c>
      <c r="L24" s="36" t="s">
        <v>105</v>
      </c>
    </row>
    <row r="25" spans="1:12">
      <c r="A25" s="36">
        <f ca="1" t="shared" si="0"/>
        <v>107</v>
      </c>
      <c r="B25" s="36">
        <f ca="1" t="array" ref="B25">INDEX(Data_DBD!$B:$B,$A25)</f>
        <v>48</v>
      </c>
      <c r="C25" s="36" t="str">
        <f ca="1" t="array" ref="C25">INDEX(Data_DBD!$C:$C,$A25)</f>
        <v>5 Hari</v>
      </c>
      <c r="D25" s="36">
        <f ca="1" t="array" ref="D25">INDEX(Data_DBD!$E:$E,$A25)</f>
        <v>0</v>
      </c>
      <c r="E25" s="36" t="str">
        <f ca="1" t="array" ref="E25">INDEX(Data_DBD!$F:$F,$A25)</f>
        <v>Tinggi</v>
      </c>
      <c r="H25" s="36">
        <v>11</v>
      </c>
      <c r="I25" s="36">
        <v>24</v>
      </c>
      <c r="J25" s="36">
        <v>5</v>
      </c>
      <c r="K25" s="36">
        <v>1</v>
      </c>
      <c r="L25" s="36" t="s">
        <v>8</v>
      </c>
    </row>
    <row r="26" spans="1:12">
      <c r="A26" s="36">
        <f ca="1" t="shared" si="0"/>
        <v>102</v>
      </c>
      <c r="B26" s="36">
        <f ca="1" t="array" ref="B26">INDEX(Data_DBD!$B:$B,$A26)</f>
        <v>41</v>
      </c>
      <c r="C26" s="36" t="str">
        <f ca="1" t="array" ref="C26">INDEX(Data_DBD!$C:$C,$A26)</f>
        <v>4 Hari</v>
      </c>
      <c r="D26" s="36">
        <f ca="1" t="array" ref="D26">INDEX(Data_DBD!$E:$E,$A26)</f>
        <v>0</v>
      </c>
      <c r="E26" s="36" t="str">
        <f ca="1" t="array" ref="E26">INDEX(Data_DBD!$F:$F,$A26)</f>
        <v>Tinggi</v>
      </c>
      <c r="H26" s="36">
        <v>126</v>
      </c>
      <c r="I26" s="36">
        <v>51</v>
      </c>
      <c r="J26" s="36">
        <v>3</v>
      </c>
      <c r="K26" s="36">
        <v>1</v>
      </c>
      <c r="L26" s="36" t="s">
        <v>105</v>
      </c>
    </row>
    <row r="27" spans="1:12">
      <c r="A27" s="36">
        <f ca="1" t="shared" si="0"/>
        <v>20</v>
      </c>
      <c r="B27" s="36">
        <f ca="1" t="array" ref="B27">INDEX(Data_DBD!$B:$B,$A27)</f>
        <v>15</v>
      </c>
      <c r="C27" s="36" t="str">
        <f ca="1" t="array" ref="C27">INDEX(Data_DBD!$C:$C,$A27)</f>
        <v>5 Hari</v>
      </c>
      <c r="D27" s="36">
        <f ca="1" t="array" ref="D27">INDEX(Data_DBD!$E:$E,$A27)</f>
        <v>0</v>
      </c>
      <c r="E27" s="36" t="str">
        <f ca="1" t="array" ref="E27">INDEX(Data_DBD!$F:$F,$A27)</f>
        <v>Rendah</v>
      </c>
      <c r="H27" s="36">
        <v>157</v>
      </c>
      <c r="I27" s="36">
        <v>15</v>
      </c>
      <c r="J27" s="36">
        <v>4</v>
      </c>
      <c r="K27" s="36">
        <v>1</v>
      </c>
      <c r="L27" s="36" t="s">
        <v>105</v>
      </c>
    </row>
    <row r="28" spans="1:12">
      <c r="A28" s="36">
        <f ca="1" t="shared" si="0"/>
        <v>131</v>
      </c>
      <c r="B28" s="36">
        <f ca="1" t="array" ref="B28">INDEX(Data_DBD!$B:$B,$A28)</f>
        <v>10</v>
      </c>
      <c r="C28" s="36" t="str">
        <f ca="1" t="array" ref="C28">INDEX(Data_DBD!$C:$C,$A28)</f>
        <v>2 Hari</v>
      </c>
      <c r="D28" s="36">
        <f ca="1" t="array" ref="D28">INDEX(Data_DBD!$E:$E,$A28)</f>
        <v>0</v>
      </c>
      <c r="E28" s="36" t="str">
        <f ca="1" t="array" ref="E28">INDEX(Data_DBD!$F:$F,$A28)</f>
        <v>Tinggi</v>
      </c>
      <c r="H28" s="36">
        <v>158</v>
      </c>
      <c r="I28" s="36">
        <v>5</v>
      </c>
      <c r="J28" s="36">
        <v>2</v>
      </c>
      <c r="K28" s="36">
        <v>0</v>
      </c>
      <c r="L28" s="36" t="s">
        <v>105</v>
      </c>
    </row>
    <row r="29" spans="1:12">
      <c r="A29" s="36">
        <f ca="1" t="shared" si="0"/>
        <v>4</v>
      </c>
      <c r="B29" s="36">
        <f ca="1" t="array" ref="B29">INDEX(Data_DBD!$B:$B,$A29)</f>
        <v>23</v>
      </c>
      <c r="C29" s="36" t="str">
        <f ca="1" t="array" ref="C29">INDEX(Data_DBD!$C:$C,$A29)</f>
        <v>5 Hari</v>
      </c>
      <c r="D29" s="36">
        <f ca="1" t="array" ref="D29">INDEX(Data_DBD!$E:$E,$A29)</f>
        <v>0</v>
      </c>
      <c r="E29" s="36" t="str">
        <f ca="1" t="array" ref="E29">INDEX(Data_DBD!$F:$F,$A29)</f>
        <v>Sedang</v>
      </c>
      <c r="H29" s="36">
        <v>150</v>
      </c>
      <c r="I29" s="36">
        <v>61</v>
      </c>
      <c r="J29" s="36">
        <v>5</v>
      </c>
      <c r="K29" s="36">
        <v>1</v>
      </c>
      <c r="L29" s="36" t="s">
        <v>105</v>
      </c>
    </row>
    <row r="30" spans="1:12">
      <c r="A30" s="36">
        <f ca="1" t="shared" si="0"/>
        <v>51</v>
      </c>
      <c r="B30" s="36">
        <f ca="1" t="array" ref="B30">INDEX(Data_DBD!$B:$B,$A30)</f>
        <v>48</v>
      </c>
      <c r="C30" s="36" t="str">
        <f ca="1" t="array" ref="C30">INDEX(Data_DBD!$C:$C,$A30)</f>
        <v>4 Hari</v>
      </c>
      <c r="D30" s="36">
        <f ca="1" t="array" ref="D30">INDEX(Data_DBD!$E:$E,$A30)</f>
        <v>0</v>
      </c>
      <c r="E30" s="36" t="str">
        <f ca="1" t="array" ref="E30">INDEX(Data_DBD!$F:$F,$A30)</f>
        <v>Sedang</v>
      </c>
      <c r="H30" s="36">
        <v>27</v>
      </c>
      <c r="I30" s="36">
        <v>37</v>
      </c>
      <c r="J30" s="36">
        <v>4</v>
      </c>
      <c r="K30" s="36">
        <v>1</v>
      </c>
      <c r="L30" s="36" t="s">
        <v>8</v>
      </c>
    </row>
    <row r="31" spans="1:12">
      <c r="A31" s="36">
        <f ca="1" t="shared" si="0"/>
        <v>44</v>
      </c>
      <c r="B31" s="36">
        <f ca="1" t="array" ref="B31">INDEX(Data_DBD!$B:$B,$A31)</f>
        <v>28</v>
      </c>
      <c r="C31" s="36" t="str">
        <f ca="1" t="array" ref="C31">INDEX(Data_DBD!$C:$C,$A31)</f>
        <v>5 Hari</v>
      </c>
      <c r="D31" s="36">
        <f ca="1" t="array" ref="D31">INDEX(Data_DBD!$E:$E,$A31)</f>
        <v>1</v>
      </c>
      <c r="E31" s="36" t="str">
        <f ca="1" t="array" ref="E31">INDEX(Data_DBD!$F:$F,$A31)</f>
        <v>Sedang</v>
      </c>
      <c r="H31" s="36">
        <v>145</v>
      </c>
      <c r="I31" s="36">
        <v>28</v>
      </c>
      <c r="J31" s="36">
        <v>4</v>
      </c>
      <c r="K31" s="36">
        <v>1</v>
      </c>
      <c r="L31" s="36" t="s">
        <v>105</v>
      </c>
    </row>
    <row r="32" spans="1:12">
      <c r="A32" s="36">
        <f ca="1" t="shared" si="0"/>
        <v>71</v>
      </c>
      <c r="B32" s="36">
        <f ca="1" t="array" ref="B32">INDEX(Data_DBD!$B:$B,$A32)</f>
        <v>84</v>
      </c>
      <c r="C32" s="36" t="str">
        <f ca="1" t="array" ref="C32">INDEX(Data_DBD!$C:$C,$A32)</f>
        <v>3 Hari</v>
      </c>
      <c r="D32" s="36">
        <f ca="1" t="array" ref="D32">INDEX(Data_DBD!$E:$E,$A32)</f>
        <v>0</v>
      </c>
      <c r="E32" s="36" t="str">
        <f ca="1" t="array" ref="E32">INDEX(Data_DBD!$F:$F,$A32)</f>
        <v>Sedang</v>
      </c>
      <c r="H32" s="36">
        <v>104</v>
      </c>
      <c r="I32" s="36">
        <v>37</v>
      </c>
      <c r="J32" s="36">
        <v>4</v>
      </c>
      <c r="K32" s="36">
        <v>1</v>
      </c>
      <c r="L32" s="36" t="s">
        <v>105</v>
      </c>
    </row>
    <row r="33" spans="1:12">
      <c r="A33" s="36">
        <f ca="1" t="shared" si="0"/>
        <v>118</v>
      </c>
      <c r="B33" s="36">
        <f ca="1" t="array" ref="B33">INDEX(Data_DBD!$B:$B,$A33)</f>
        <v>67</v>
      </c>
      <c r="C33" s="36" t="str">
        <f ca="1" t="array" ref="C33">INDEX(Data_DBD!$C:$C,$A33)</f>
        <v>4 Hari</v>
      </c>
      <c r="D33" s="36">
        <f ca="1" t="array" ref="D33">INDEX(Data_DBD!$E:$E,$A33)</f>
        <v>1</v>
      </c>
      <c r="E33" s="36" t="str">
        <f ca="1" t="array" ref="E33">INDEX(Data_DBD!$F:$F,$A33)</f>
        <v>Tinggi</v>
      </c>
      <c r="H33" s="36">
        <v>53</v>
      </c>
      <c r="I33" s="36">
        <v>35</v>
      </c>
      <c r="J33" s="36">
        <v>4</v>
      </c>
      <c r="K33" s="36">
        <v>1</v>
      </c>
      <c r="L33" s="36" t="s">
        <v>8</v>
      </c>
    </row>
    <row r="34" spans="1:12">
      <c r="A34" s="36">
        <f ca="1" t="shared" si="0"/>
        <v>115</v>
      </c>
      <c r="B34" s="36">
        <f ca="1" t="array" ref="B34">INDEX(Data_DBD!$B:$B,$A34)</f>
        <v>52</v>
      </c>
      <c r="C34" s="36" t="str">
        <f ca="1" t="array" ref="C34">INDEX(Data_DBD!$C:$C,$A34)</f>
        <v>3 Hari</v>
      </c>
      <c r="D34" s="36">
        <f ca="1" t="array" ref="D34">INDEX(Data_DBD!$E:$E,$A34)</f>
        <v>1</v>
      </c>
      <c r="E34" s="36" t="str">
        <f ca="1" t="array" ref="E34">INDEX(Data_DBD!$F:$F,$A34)</f>
        <v>Tinggi</v>
      </c>
      <c r="H34" s="36">
        <v>44</v>
      </c>
      <c r="I34" s="36">
        <v>28</v>
      </c>
      <c r="J34" s="36">
        <v>5</v>
      </c>
      <c r="K34" s="36">
        <v>1</v>
      </c>
      <c r="L34" s="36" t="s">
        <v>8</v>
      </c>
    </row>
    <row r="35" spans="1:12">
      <c r="A35" s="36">
        <f ca="1" t="shared" si="0"/>
        <v>107</v>
      </c>
      <c r="B35" s="36">
        <f ca="1" t="array" ref="B35">INDEX(Data_DBD!$B:$B,$A35)</f>
        <v>48</v>
      </c>
      <c r="C35" s="36" t="str">
        <f ca="1" t="array" ref="C35">INDEX(Data_DBD!$C:$C,$A35)</f>
        <v>5 Hari</v>
      </c>
      <c r="D35" s="36">
        <f ca="1" t="array" ref="D35">INDEX(Data_DBD!$E:$E,$A35)</f>
        <v>0</v>
      </c>
      <c r="E35" s="36" t="str">
        <f ca="1" t="array" ref="E35">INDEX(Data_DBD!$F:$F,$A35)</f>
        <v>Tinggi</v>
      </c>
      <c r="H35" s="36">
        <v>115</v>
      </c>
      <c r="I35" s="36">
        <v>52</v>
      </c>
      <c r="J35" s="36">
        <v>3</v>
      </c>
      <c r="K35" s="36">
        <v>1</v>
      </c>
      <c r="L35" s="36" t="s">
        <v>105</v>
      </c>
    </row>
    <row r="36" spans="1:12">
      <c r="A36" s="36">
        <f ca="1" t="shared" si="0"/>
        <v>32</v>
      </c>
      <c r="B36" s="36">
        <f ca="1" t="array" ref="B36">INDEX(Data_DBD!$B:$B,$A36)</f>
        <v>54</v>
      </c>
      <c r="C36" s="36" t="str">
        <f ca="1" t="array" ref="C36">INDEX(Data_DBD!$C:$C,$A36)</f>
        <v>4 Hari</v>
      </c>
      <c r="D36" s="36">
        <f ca="1" t="array" ref="D36">INDEX(Data_DBD!$E:$E,$A36)</f>
        <v>0</v>
      </c>
      <c r="E36" s="36" t="str">
        <f ca="1" t="array" ref="E36">INDEX(Data_DBD!$F:$F,$A36)</f>
        <v>Sedang</v>
      </c>
      <c r="H36" s="36">
        <v>127</v>
      </c>
      <c r="I36" s="36">
        <v>21</v>
      </c>
      <c r="J36" s="36">
        <v>2</v>
      </c>
      <c r="K36" s="36">
        <v>0</v>
      </c>
      <c r="L36" s="36" t="s">
        <v>105</v>
      </c>
    </row>
    <row r="37" spans="1:12">
      <c r="A37" s="36">
        <f ca="1" t="shared" si="0"/>
        <v>131</v>
      </c>
      <c r="B37" s="36">
        <f ca="1" t="array" ref="B37">INDEX(Data_DBD!$B:$B,$A37)</f>
        <v>10</v>
      </c>
      <c r="C37" s="36" t="str">
        <f ca="1" t="array" ref="C37">INDEX(Data_DBD!$C:$C,$A37)</f>
        <v>2 Hari</v>
      </c>
      <c r="D37" s="36">
        <f ca="1" t="array" ref="D37">INDEX(Data_DBD!$E:$E,$A37)</f>
        <v>0</v>
      </c>
      <c r="E37" s="36" t="str">
        <f ca="1" t="array" ref="E37">INDEX(Data_DBD!$F:$F,$A37)</f>
        <v>Tinggi</v>
      </c>
      <c r="H37" s="36">
        <v>68</v>
      </c>
      <c r="I37" s="36">
        <v>44</v>
      </c>
      <c r="J37" s="36">
        <v>5</v>
      </c>
      <c r="K37" s="36">
        <v>0</v>
      </c>
      <c r="L37" s="36" t="s">
        <v>8</v>
      </c>
    </row>
    <row r="38" spans="1:12">
      <c r="A38" s="36">
        <f ca="1" t="shared" si="0"/>
        <v>161</v>
      </c>
      <c r="B38" s="36">
        <f ca="1" t="array" ref="B38">INDEX(Data_DBD!$B:$B,$A38)</f>
        <v>12</v>
      </c>
      <c r="C38" s="36" t="str">
        <f ca="1" t="array" ref="C38">INDEX(Data_DBD!$C:$C,$A38)</f>
        <v>3 Hari</v>
      </c>
      <c r="D38" s="36">
        <f ca="1" t="array" ref="D38">INDEX(Data_DBD!$E:$E,$A38)</f>
        <v>1</v>
      </c>
      <c r="E38" s="36" t="str">
        <f ca="1" t="array" ref="E38">INDEX(Data_DBD!$F:$F,$A38)</f>
        <v>Tinggi</v>
      </c>
      <c r="H38" s="36">
        <v>26</v>
      </c>
      <c r="I38" s="36">
        <v>75</v>
      </c>
      <c r="J38" s="36">
        <v>4</v>
      </c>
      <c r="K38" s="36">
        <v>1</v>
      </c>
      <c r="L38" s="36" t="s">
        <v>8</v>
      </c>
    </row>
    <row r="39" spans="1:12">
      <c r="A39" s="36">
        <f ca="1" t="shared" si="0"/>
        <v>106</v>
      </c>
      <c r="B39" s="36">
        <f ca="1" t="array" ref="B39">INDEX(Data_DBD!$B:$B,$A39)</f>
        <v>23</v>
      </c>
      <c r="C39" s="36" t="str">
        <f ca="1" t="array" ref="C39">INDEX(Data_DBD!$C:$C,$A39)</f>
        <v>3 Hari</v>
      </c>
      <c r="D39" s="36">
        <f ca="1" t="array" ref="D39">INDEX(Data_DBD!$E:$E,$A39)</f>
        <v>1</v>
      </c>
      <c r="E39" s="36" t="str">
        <f ca="1" t="array" ref="E39">INDEX(Data_DBD!$F:$F,$A39)</f>
        <v>Tinggi</v>
      </c>
      <c r="H39" s="36">
        <v>157</v>
      </c>
      <c r="I39" s="36">
        <v>15</v>
      </c>
      <c r="J39" s="36">
        <v>4</v>
      </c>
      <c r="K39" s="36">
        <v>1</v>
      </c>
      <c r="L39" s="36" t="s">
        <v>105</v>
      </c>
    </row>
    <row r="40" spans="1:12">
      <c r="A40" s="36">
        <f ca="1" t="shared" si="0"/>
        <v>70</v>
      </c>
      <c r="B40" s="36">
        <f ca="1" t="array" ref="B40">INDEX(Data_DBD!$B:$B,$A40)</f>
        <v>26</v>
      </c>
      <c r="C40" s="36" t="str">
        <f ca="1" t="array" ref="C40">INDEX(Data_DBD!$C:$C,$A40)</f>
        <v>3 Hari</v>
      </c>
      <c r="D40" s="36">
        <f ca="1" t="array" ref="D40">INDEX(Data_DBD!$E:$E,$A40)</f>
        <v>1</v>
      </c>
      <c r="E40" s="36" t="str">
        <f ca="1" t="array" ref="E40">INDEX(Data_DBD!$F:$F,$A40)</f>
        <v>Sedang</v>
      </c>
      <c r="H40" s="36">
        <v>10</v>
      </c>
      <c r="I40" s="36">
        <v>18</v>
      </c>
      <c r="J40" s="36">
        <v>5</v>
      </c>
      <c r="K40" s="36">
        <v>0</v>
      </c>
      <c r="L40" s="36" t="s">
        <v>8</v>
      </c>
    </row>
    <row r="41" spans="1:12">
      <c r="A41" s="36">
        <f ca="1" t="shared" si="0"/>
        <v>63</v>
      </c>
      <c r="B41" s="36">
        <f ca="1" t="array" ref="B41">INDEX(Data_DBD!$B:$B,$A41)</f>
        <v>25</v>
      </c>
      <c r="C41" s="36" t="str">
        <f ca="1" t="array" ref="C41">INDEX(Data_DBD!$C:$C,$A41)</f>
        <v>3 Hari</v>
      </c>
      <c r="D41" s="36">
        <f ca="1" t="array" ref="D41">INDEX(Data_DBD!$E:$E,$A41)</f>
        <v>0</v>
      </c>
      <c r="E41" s="36" t="str">
        <f ca="1" t="array" ref="E41">INDEX(Data_DBD!$F:$F,$A41)</f>
        <v>Sedang</v>
      </c>
      <c r="H41" s="36">
        <v>73</v>
      </c>
      <c r="I41" s="36">
        <v>15</v>
      </c>
      <c r="J41" s="36">
        <v>3</v>
      </c>
      <c r="K41" s="36">
        <v>1</v>
      </c>
      <c r="L41" s="36" t="s">
        <v>8</v>
      </c>
    </row>
    <row r="42" spans="1:12">
      <c r="A42" s="36">
        <f ca="1" t="shared" si="0"/>
        <v>68</v>
      </c>
      <c r="B42" s="36">
        <f ca="1" t="array" ref="B42">INDEX(Data_DBD!$B:$B,$A42)</f>
        <v>44</v>
      </c>
      <c r="C42" s="36" t="str">
        <f ca="1" t="array" ref="C42">INDEX(Data_DBD!$C:$C,$A42)</f>
        <v>5 Hari</v>
      </c>
      <c r="D42" s="36">
        <f ca="1" t="array" ref="D42">INDEX(Data_DBD!$E:$E,$A42)</f>
        <v>0</v>
      </c>
      <c r="E42" s="36" t="str">
        <f ca="1" t="array" ref="E42">INDEX(Data_DBD!$F:$F,$A42)</f>
        <v>Sedang</v>
      </c>
      <c r="H42" s="36">
        <v>133</v>
      </c>
      <c r="I42" s="36">
        <v>6</v>
      </c>
      <c r="J42" s="36">
        <v>4</v>
      </c>
      <c r="K42" s="36">
        <v>0</v>
      </c>
      <c r="L42" s="36" t="s">
        <v>105</v>
      </c>
    </row>
    <row r="43" spans="1:12">
      <c r="A43" s="36">
        <f ca="1" t="shared" si="0"/>
        <v>19</v>
      </c>
      <c r="B43" s="36">
        <f ca="1" t="array" ref="B43">INDEX(Data_DBD!$B:$B,$A43)</f>
        <v>8</v>
      </c>
      <c r="C43" s="36" t="str">
        <f ca="1" t="array" ref="C43">INDEX(Data_DBD!$C:$C,$A43)</f>
        <v>4 Hari</v>
      </c>
      <c r="D43" s="36">
        <f ca="1" t="array" ref="D43">INDEX(Data_DBD!$E:$E,$A43)</f>
        <v>0</v>
      </c>
      <c r="E43" s="36" t="str">
        <f ca="1" t="array" ref="E43">INDEX(Data_DBD!$F:$F,$A43)</f>
        <v>Rendah</v>
      </c>
      <c r="H43" s="36">
        <v>79</v>
      </c>
      <c r="I43" s="36">
        <v>29</v>
      </c>
      <c r="J43" s="36">
        <v>3</v>
      </c>
      <c r="K43" s="36">
        <v>0</v>
      </c>
      <c r="L43" s="36" t="s">
        <v>8</v>
      </c>
    </row>
    <row r="44" spans="1:12">
      <c r="A44" s="36">
        <f ca="1" t="shared" si="0"/>
        <v>56</v>
      </c>
      <c r="B44" s="36">
        <f ca="1" t="array" ref="B44">INDEX(Data_DBD!$B:$B,$A44)</f>
        <v>4</v>
      </c>
      <c r="C44" s="36" t="str">
        <f ca="1" t="array" ref="C44">INDEX(Data_DBD!$C:$C,$A44)</f>
        <v>3 Hari</v>
      </c>
      <c r="D44" s="36">
        <f ca="1" t="array" ref="D44">INDEX(Data_DBD!$E:$E,$A44)</f>
        <v>0</v>
      </c>
      <c r="E44" s="36" t="str">
        <f ca="1" t="array" ref="E44">INDEX(Data_DBD!$F:$F,$A44)</f>
        <v>Sedang</v>
      </c>
      <c r="H44" s="36">
        <v>61</v>
      </c>
      <c r="I44" s="36">
        <v>29</v>
      </c>
      <c r="J44" s="36">
        <v>3</v>
      </c>
      <c r="K44" s="36">
        <v>1</v>
      </c>
      <c r="L44" s="36" t="s">
        <v>8</v>
      </c>
    </row>
    <row r="45" spans="1:12">
      <c r="A45" s="36">
        <f ca="1" t="shared" si="0"/>
        <v>68</v>
      </c>
      <c r="B45" s="36">
        <f ca="1" t="array" ref="B45">INDEX(Data_DBD!$B:$B,$A45)</f>
        <v>44</v>
      </c>
      <c r="C45" s="36" t="str">
        <f ca="1" t="array" ref="C45">INDEX(Data_DBD!$C:$C,$A45)</f>
        <v>5 Hari</v>
      </c>
      <c r="D45" s="36">
        <f ca="1" t="array" ref="D45">INDEX(Data_DBD!$E:$E,$A45)</f>
        <v>0</v>
      </c>
      <c r="E45" s="36" t="str">
        <f ca="1" t="array" ref="E45">INDEX(Data_DBD!$F:$F,$A45)</f>
        <v>Sedang</v>
      </c>
      <c r="H45" s="36">
        <v>102</v>
      </c>
      <c r="I45" s="36">
        <v>41</v>
      </c>
      <c r="J45" s="36">
        <v>4</v>
      </c>
      <c r="K45" s="36">
        <v>0</v>
      </c>
      <c r="L45" s="36" t="s">
        <v>105</v>
      </c>
    </row>
    <row r="46" spans="1:12">
      <c r="A46" s="36">
        <f ca="1" t="shared" si="0"/>
        <v>92</v>
      </c>
      <c r="B46" s="36">
        <f ca="1" t="array" ref="B46">INDEX(Data_DBD!$B:$B,$A46)</f>
        <v>55</v>
      </c>
      <c r="C46" s="36" t="str">
        <f ca="1" t="array" ref="C46">INDEX(Data_DBD!$C:$C,$A46)</f>
        <v>7 Hari</v>
      </c>
      <c r="D46" s="36">
        <f ca="1" t="array" ref="D46">INDEX(Data_DBD!$E:$E,$A46)</f>
        <v>0</v>
      </c>
      <c r="E46" s="36" t="str">
        <f ca="1" t="array" ref="E46">INDEX(Data_DBD!$F:$F,$A46)</f>
        <v>Tinggi</v>
      </c>
      <c r="H46" s="36">
        <v>129</v>
      </c>
      <c r="I46" s="36">
        <v>4</v>
      </c>
      <c r="J46" s="36">
        <v>3</v>
      </c>
      <c r="K46" s="36">
        <v>0</v>
      </c>
      <c r="L46" s="36" t="s">
        <v>105</v>
      </c>
    </row>
    <row r="47" spans="1:12">
      <c r="A47" s="36">
        <f ca="1" t="shared" si="0"/>
        <v>159</v>
      </c>
      <c r="B47" s="36">
        <f ca="1" t="array" ref="B47">INDEX(Data_DBD!$B:$B,$A47)</f>
        <v>17</v>
      </c>
      <c r="C47" s="36" t="str">
        <f ca="1" t="array" ref="C47">INDEX(Data_DBD!$C:$C,$A47)</f>
        <v>2 Hari</v>
      </c>
      <c r="D47" s="36">
        <f ca="1" t="array" ref="D47">INDEX(Data_DBD!$E:$E,$A47)</f>
        <v>0</v>
      </c>
      <c r="E47" s="36" t="str">
        <f ca="1" t="array" ref="E47">INDEX(Data_DBD!$F:$F,$A47)</f>
        <v>Tinggi</v>
      </c>
      <c r="H47" s="36">
        <v>120</v>
      </c>
      <c r="I47" s="36">
        <v>26</v>
      </c>
      <c r="J47" s="36">
        <v>4</v>
      </c>
      <c r="K47" s="36">
        <v>1</v>
      </c>
      <c r="L47" s="36" t="s">
        <v>105</v>
      </c>
    </row>
    <row r="48" spans="1:12">
      <c r="A48" s="36">
        <f ca="1" t="shared" si="0"/>
        <v>10</v>
      </c>
      <c r="B48" s="36">
        <f ca="1" t="array" ref="B48">INDEX(Data_DBD!$B:$B,$A48)</f>
        <v>18</v>
      </c>
      <c r="C48" s="36" t="str">
        <f ca="1" t="array" ref="C48">INDEX(Data_DBD!$C:$C,$A48)</f>
        <v>5 Hari</v>
      </c>
      <c r="D48" s="36">
        <f ca="1" t="array" ref="D48">INDEX(Data_DBD!$E:$E,$A48)</f>
        <v>0</v>
      </c>
      <c r="E48" s="36" t="str">
        <f ca="1" t="array" ref="E48">INDEX(Data_DBD!$F:$F,$A48)</f>
        <v>Sedang</v>
      </c>
      <c r="H48" s="36">
        <v>102</v>
      </c>
      <c r="I48" s="36">
        <v>41</v>
      </c>
      <c r="J48" s="36">
        <v>4</v>
      </c>
      <c r="K48" s="36">
        <v>0</v>
      </c>
      <c r="L48" s="36" t="s">
        <v>105</v>
      </c>
    </row>
    <row r="49" spans="1:12">
      <c r="A49" s="36">
        <f ca="1" t="shared" si="0"/>
        <v>69</v>
      </c>
      <c r="B49" s="36">
        <f ca="1" t="array" ref="B49">INDEX(Data_DBD!$B:$B,$A49)</f>
        <v>24</v>
      </c>
      <c r="C49" s="36" t="str">
        <f ca="1" t="array" ref="C49">INDEX(Data_DBD!$C:$C,$A49)</f>
        <v>4 Hari</v>
      </c>
      <c r="D49" s="36">
        <f ca="1" t="array" ref="D49">INDEX(Data_DBD!$E:$E,$A49)</f>
        <v>1</v>
      </c>
      <c r="E49" s="36" t="str">
        <f ca="1" t="array" ref="E49">INDEX(Data_DBD!$F:$F,$A49)</f>
        <v>Sedang</v>
      </c>
      <c r="H49" s="36">
        <v>30</v>
      </c>
      <c r="I49" s="36">
        <v>3</v>
      </c>
      <c r="J49" s="36">
        <v>2</v>
      </c>
      <c r="K49" s="36">
        <v>1</v>
      </c>
      <c r="L49" s="36" t="s">
        <v>8</v>
      </c>
    </row>
    <row r="50" spans="1:12">
      <c r="A50" s="36">
        <f ca="1" t="shared" si="0"/>
        <v>118</v>
      </c>
      <c r="B50" s="36">
        <f ca="1" t="array" ref="B50">INDEX(Data_DBD!$B:$B,$A50)</f>
        <v>67</v>
      </c>
      <c r="C50" s="36" t="str">
        <f ca="1" t="array" ref="C50">INDEX(Data_DBD!$C:$C,$A50)</f>
        <v>4 Hari</v>
      </c>
      <c r="D50" s="36">
        <f ca="1" t="array" ref="D50">INDEX(Data_DBD!$E:$E,$A50)</f>
        <v>1</v>
      </c>
      <c r="E50" s="36" t="str">
        <f ca="1" t="array" ref="E50">INDEX(Data_DBD!$F:$F,$A50)</f>
        <v>Tinggi</v>
      </c>
      <c r="H50" s="36">
        <v>152</v>
      </c>
      <c r="I50" s="36">
        <v>47</v>
      </c>
      <c r="J50" s="36">
        <v>3</v>
      </c>
      <c r="K50" s="36">
        <v>1</v>
      </c>
      <c r="L50" s="36" t="s">
        <v>105</v>
      </c>
    </row>
    <row r="51" spans="1:12">
      <c r="A51" s="36">
        <f ca="1" t="shared" si="0"/>
        <v>65</v>
      </c>
      <c r="B51" s="36">
        <f ca="1" t="array" ref="B51">INDEX(Data_DBD!$B:$B,$A51)</f>
        <v>49</v>
      </c>
      <c r="C51" s="36" t="str">
        <f ca="1" t="array" ref="C51">INDEX(Data_DBD!$C:$C,$A51)</f>
        <v>3 Hari</v>
      </c>
      <c r="D51" s="36">
        <f ca="1" t="array" ref="D51">INDEX(Data_DBD!$E:$E,$A51)</f>
        <v>0</v>
      </c>
      <c r="E51" s="36" t="str">
        <f ca="1" t="array" ref="E51">INDEX(Data_DBD!$F:$F,$A51)</f>
        <v>Sedang</v>
      </c>
      <c r="H51" s="36">
        <v>99</v>
      </c>
      <c r="I51" s="36">
        <v>4</v>
      </c>
      <c r="J51" s="36">
        <v>2</v>
      </c>
      <c r="K51" s="36">
        <v>1</v>
      </c>
      <c r="L51" s="36" t="s">
        <v>105</v>
      </c>
    </row>
    <row r="52" spans="1:12">
      <c r="A52" s="36">
        <f ca="1" t="shared" si="0"/>
        <v>67</v>
      </c>
      <c r="B52" s="36">
        <f ca="1" t="array" ref="B52">INDEX(Data_DBD!$B:$B,$A52)</f>
        <v>21</v>
      </c>
      <c r="C52" s="36" t="str">
        <f ca="1" t="array" ref="C52">INDEX(Data_DBD!$C:$C,$A52)</f>
        <v>3 Hari</v>
      </c>
      <c r="D52" s="36">
        <f ca="1" t="array" ref="D52">INDEX(Data_DBD!$E:$E,$A52)</f>
        <v>1</v>
      </c>
      <c r="E52" s="36" t="str">
        <f ca="1" t="array" ref="E52">INDEX(Data_DBD!$F:$F,$A52)</f>
        <v>Sedang</v>
      </c>
      <c r="H52" s="36">
        <v>136</v>
      </c>
      <c r="I52" s="36">
        <v>6</v>
      </c>
      <c r="J52" s="36">
        <v>2</v>
      </c>
      <c r="K52" s="36">
        <v>0</v>
      </c>
      <c r="L52" s="36" t="s">
        <v>105</v>
      </c>
    </row>
    <row r="53" spans="1:12">
      <c r="A53" s="36">
        <f ca="1" t="shared" si="0"/>
        <v>67</v>
      </c>
      <c r="B53" s="36">
        <f ca="1" t="array" ref="B53">INDEX(Data_DBD!$B:$B,$A53)</f>
        <v>21</v>
      </c>
      <c r="C53" s="36" t="str">
        <f ca="1" t="array" ref="C53">INDEX(Data_DBD!$C:$C,$A53)</f>
        <v>3 Hari</v>
      </c>
      <c r="D53" s="36">
        <f ca="1" t="array" ref="D53">INDEX(Data_DBD!$E:$E,$A53)</f>
        <v>1</v>
      </c>
      <c r="E53" s="36" t="str">
        <f ca="1" t="array" ref="E53">INDEX(Data_DBD!$F:$F,$A53)</f>
        <v>Sedang</v>
      </c>
      <c r="H53" s="36">
        <v>122</v>
      </c>
      <c r="I53" s="36">
        <v>28</v>
      </c>
      <c r="J53" s="36">
        <v>3</v>
      </c>
      <c r="K53" s="36">
        <v>1</v>
      </c>
      <c r="L53" s="36" t="s">
        <v>105</v>
      </c>
    </row>
    <row r="54" spans="1:12">
      <c r="A54" s="36">
        <f ca="1" t="shared" si="0"/>
        <v>46</v>
      </c>
      <c r="B54" s="36">
        <f ca="1" t="array" ref="B54">INDEX(Data_DBD!$B:$B,$A54)</f>
        <v>62</v>
      </c>
      <c r="C54" s="36" t="str">
        <f ca="1" t="array" ref="C54">INDEX(Data_DBD!$C:$C,$A54)</f>
        <v>2 Hari</v>
      </c>
      <c r="D54" s="36">
        <f ca="1" t="array" ref="D54">INDEX(Data_DBD!$E:$E,$A54)</f>
        <v>0</v>
      </c>
      <c r="E54" s="36" t="str">
        <f ca="1" t="array" ref="E54">INDEX(Data_DBD!$F:$F,$A54)</f>
        <v>Sedang</v>
      </c>
      <c r="H54" s="36">
        <v>111</v>
      </c>
      <c r="I54" s="36">
        <v>25</v>
      </c>
      <c r="J54" s="36">
        <v>4</v>
      </c>
      <c r="K54" s="36">
        <v>0</v>
      </c>
      <c r="L54" s="36" t="s">
        <v>105</v>
      </c>
    </row>
    <row r="55" spans="1:12">
      <c r="A55" s="36">
        <f ca="1" t="shared" si="0"/>
        <v>33</v>
      </c>
      <c r="B55" s="36">
        <f ca="1" t="array" ref="B55">INDEX(Data_DBD!$B:$B,$A55)</f>
        <v>19</v>
      </c>
      <c r="C55" s="36" t="str">
        <f ca="1" t="array" ref="C55">INDEX(Data_DBD!$C:$C,$A55)</f>
        <v>4 Hari</v>
      </c>
      <c r="D55" s="36">
        <f ca="1" t="array" ref="D55">INDEX(Data_DBD!$E:$E,$A55)</f>
        <v>1</v>
      </c>
      <c r="E55" s="36" t="str">
        <f ca="1" t="array" ref="E55">INDEX(Data_DBD!$F:$F,$A55)</f>
        <v>Sedang</v>
      </c>
      <c r="H55" s="36">
        <v>45</v>
      </c>
      <c r="I55" s="36">
        <v>75</v>
      </c>
      <c r="J55" s="36">
        <v>3</v>
      </c>
      <c r="K55" s="36">
        <v>1</v>
      </c>
      <c r="L55" s="36" t="s">
        <v>8</v>
      </c>
    </row>
    <row r="56" spans="1:12">
      <c r="A56" s="36">
        <f ca="1" t="shared" si="0"/>
        <v>24</v>
      </c>
      <c r="B56" s="36">
        <f ca="1" t="array" ref="B56">INDEX(Data_DBD!$B:$B,$A56)</f>
        <v>60</v>
      </c>
      <c r="C56" s="36" t="str">
        <f ca="1" t="array" ref="C56">INDEX(Data_DBD!$C:$C,$A56)</f>
        <v>4 Hari</v>
      </c>
      <c r="D56" s="36">
        <f ca="1" t="array" ref="D56">INDEX(Data_DBD!$E:$E,$A56)</f>
        <v>0</v>
      </c>
      <c r="E56" s="36" t="str">
        <f ca="1" t="array" ref="E56">INDEX(Data_DBD!$F:$F,$A56)</f>
        <v>Sedang</v>
      </c>
      <c r="H56" s="36">
        <v>87</v>
      </c>
      <c r="I56" s="36">
        <v>21</v>
      </c>
      <c r="J56" s="36">
        <v>3</v>
      </c>
      <c r="K56" s="36">
        <v>0</v>
      </c>
      <c r="L56" s="36" t="s">
        <v>8</v>
      </c>
    </row>
    <row r="57" spans="1:12">
      <c r="A57" s="36">
        <f ca="1" t="shared" si="0"/>
        <v>100</v>
      </c>
      <c r="B57" s="36">
        <f ca="1" t="array" ref="B57">INDEX(Data_DBD!$B:$B,$A57)</f>
        <v>19</v>
      </c>
      <c r="C57" s="36" t="str">
        <f ca="1" t="array" ref="C57">INDEX(Data_DBD!$C:$C,$A57)</f>
        <v>6 Hari</v>
      </c>
      <c r="D57" s="36">
        <f ca="1" t="array" ref="D57">INDEX(Data_DBD!$E:$E,$A57)</f>
        <v>0</v>
      </c>
      <c r="E57" s="36" t="str">
        <f ca="1" t="array" ref="E57">INDEX(Data_DBD!$F:$F,$A57)</f>
        <v>Tinggi</v>
      </c>
      <c r="H57" s="36">
        <v>63</v>
      </c>
      <c r="I57" s="36">
        <v>25</v>
      </c>
      <c r="J57" s="36">
        <v>3</v>
      </c>
      <c r="K57" s="36">
        <v>0</v>
      </c>
      <c r="L57" s="36" t="s">
        <v>8</v>
      </c>
    </row>
    <row r="58" spans="1:12">
      <c r="A58" s="36">
        <f ca="1" t="shared" si="0"/>
        <v>63</v>
      </c>
      <c r="B58" s="36">
        <f ca="1" t="array" ref="B58">INDEX(Data_DBD!$B:$B,$A58)</f>
        <v>25</v>
      </c>
      <c r="C58" s="36" t="str">
        <f ca="1" t="array" ref="C58">INDEX(Data_DBD!$C:$C,$A58)</f>
        <v>3 Hari</v>
      </c>
      <c r="D58" s="36">
        <f ca="1" t="array" ref="D58">INDEX(Data_DBD!$E:$E,$A58)</f>
        <v>0</v>
      </c>
      <c r="E58" s="36" t="str">
        <f ca="1" t="array" ref="E58">INDEX(Data_DBD!$F:$F,$A58)</f>
        <v>Sedang</v>
      </c>
      <c r="H58" s="36">
        <v>27</v>
      </c>
      <c r="I58" s="36">
        <v>37</v>
      </c>
      <c r="J58" s="36">
        <v>4</v>
      </c>
      <c r="K58" s="36">
        <v>1</v>
      </c>
      <c r="L58" s="36" t="s">
        <v>8</v>
      </c>
    </row>
    <row r="59" spans="1:12">
      <c r="A59" s="36">
        <f ca="1" t="shared" si="0"/>
        <v>100</v>
      </c>
      <c r="B59" s="36">
        <f ca="1" t="array" ref="B59">INDEX(Data_DBD!$B:$B,$A59)</f>
        <v>19</v>
      </c>
      <c r="C59" s="36" t="str">
        <f ca="1" t="array" ref="C59">INDEX(Data_DBD!$C:$C,$A59)</f>
        <v>6 Hari</v>
      </c>
      <c r="D59" s="36">
        <f ca="1" t="array" ref="D59">INDEX(Data_DBD!$E:$E,$A59)</f>
        <v>0</v>
      </c>
      <c r="E59" s="36" t="str">
        <f ca="1" t="array" ref="E59">INDEX(Data_DBD!$F:$F,$A59)</f>
        <v>Tinggi</v>
      </c>
      <c r="H59" s="36">
        <v>76</v>
      </c>
      <c r="I59" s="36">
        <v>70</v>
      </c>
      <c r="J59" s="36">
        <v>2</v>
      </c>
      <c r="K59" s="36">
        <v>0</v>
      </c>
      <c r="L59" s="36" t="s">
        <v>8</v>
      </c>
    </row>
    <row r="60" spans="1:12">
      <c r="A60" s="36">
        <f ca="1" t="shared" si="0"/>
        <v>119</v>
      </c>
      <c r="B60" s="36">
        <f ca="1" t="array" ref="B60">INDEX(Data_DBD!$B:$B,$A60)</f>
        <v>30</v>
      </c>
      <c r="C60" s="36" t="str">
        <f ca="1" t="array" ref="C60">INDEX(Data_DBD!$C:$C,$A60)</f>
        <v>7 Hari</v>
      </c>
      <c r="D60" s="36">
        <f ca="1" t="array" ref="D60">INDEX(Data_DBD!$E:$E,$A60)</f>
        <v>0</v>
      </c>
      <c r="E60" s="36" t="str">
        <f ca="1" t="array" ref="E60">INDEX(Data_DBD!$F:$F,$A60)</f>
        <v>Tinggi</v>
      </c>
      <c r="H60" s="36">
        <v>63</v>
      </c>
      <c r="I60" s="36">
        <v>25</v>
      </c>
      <c r="J60" s="36">
        <v>3</v>
      </c>
      <c r="K60" s="36">
        <v>0</v>
      </c>
      <c r="L60" s="36" t="s">
        <v>8</v>
      </c>
    </row>
    <row r="61" spans="1:12">
      <c r="A61" s="36">
        <f ca="1" t="shared" si="0"/>
        <v>147</v>
      </c>
      <c r="B61" s="36">
        <f ca="1" t="array" ref="B61">INDEX(Data_DBD!$B:$B,$A61)</f>
        <v>66</v>
      </c>
      <c r="C61" s="36" t="str">
        <f ca="1" t="array" ref="C61">INDEX(Data_DBD!$C:$C,$A61)</f>
        <v>10 Hari</v>
      </c>
      <c r="D61" s="36">
        <f ca="1" t="array" ref="D61">INDEX(Data_DBD!$E:$E,$A61)</f>
        <v>1</v>
      </c>
      <c r="E61" s="36" t="str">
        <f ca="1" t="array" ref="E61">INDEX(Data_DBD!$F:$F,$A61)</f>
        <v>Tinggi</v>
      </c>
      <c r="H61" s="36">
        <v>122</v>
      </c>
      <c r="I61" s="36">
        <v>28</v>
      </c>
      <c r="J61" s="36">
        <v>3</v>
      </c>
      <c r="K61" s="36">
        <v>1</v>
      </c>
      <c r="L61" s="36" t="s">
        <v>105</v>
      </c>
    </row>
    <row r="62" spans="1:12">
      <c r="A62" s="36">
        <f ca="1" t="shared" si="0"/>
        <v>42</v>
      </c>
      <c r="B62" s="36">
        <f ca="1" t="array" ref="B62">INDEX(Data_DBD!$B:$B,$A62)</f>
        <v>21</v>
      </c>
      <c r="C62" s="36" t="str">
        <f ca="1" t="array" ref="C62">INDEX(Data_DBD!$C:$C,$A62)</f>
        <v>5 Hari</v>
      </c>
      <c r="D62" s="36">
        <f ca="1" t="array" ref="D62">INDEX(Data_DBD!$E:$E,$A62)</f>
        <v>1</v>
      </c>
      <c r="E62" s="36" t="str">
        <f ca="1" t="array" ref="E62">INDEX(Data_DBD!$F:$F,$A62)</f>
        <v>Sedang</v>
      </c>
      <c r="H62" s="36">
        <v>7</v>
      </c>
      <c r="I62" s="36">
        <v>12</v>
      </c>
      <c r="J62" s="36">
        <v>1</v>
      </c>
      <c r="K62" s="36">
        <v>1</v>
      </c>
      <c r="L62" s="36" t="s">
        <v>8</v>
      </c>
    </row>
    <row r="63" spans="1:12">
      <c r="A63" s="36">
        <f ca="1" t="shared" si="0"/>
        <v>73</v>
      </c>
      <c r="B63" s="36">
        <f ca="1" t="array" ref="B63">INDEX(Data_DBD!$B:$B,$A63)</f>
        <v>15</v>
      </c>
      <c r="C63" s="36" t="str">
        <f ca="1" t="array" ref="C63">INDEX(Data_DBD!$C:$C,$A63)</f>
        <v>3 Hari</v>
      </c>
      <c r="D63" s="36">
        <f ca="1" t="array" ref="D63">INDEX(Data_DBD!$E:$E,$A63)</f>
        <v>1</v>
      </c>
      <c r="E63" s="36" t="str">
        <f ca="1" t="array" ref="E63">INDEX(Data_DBD!$F:$F,$A63)</f>
        <v>Sedang</v>
      </c>
      <c r="H63" s="36">
        <v>157</v>
      </c>
      <c r="I63" s="36">
        <v>15</v>
      </c>
      <c r="J63" s="36">
        <v>4</v>
      </c>
      <c r="K63" s="36">
        <v>1</v>
      </c>
      <c r="L63" s="36" t="s">
        <v>105</v>
      </c>
    </row>
    <row r="64" spans="1:12">
      <c r="A64" s="36">
        <f ca="1" t="shared" si="0"/>
        <v>32</v>
      </c>
      <c r="B64" s="36">
        <f ca="1" t="array" ref="B64">INDEX(Data_DBD!$B:$B,$A64)</f>
        <v>54</v>
      </c>
      <c r="C64" s="36" t="str">
        <f ca="1" t="array" ref="C64">INDEX(Data_DBD!$C:$C,$A64)</f>
        <v>4 Hari</v>
      </c>
      <c r="D64" s="36">
        <f ca="1" t="array" ref="D64">INDEX(Data_DBD!$E:$E,$A64)</f>
        <v>0</v>
      </c>
      <c r="E64" s="36" t="str">
        <f ca="1" t="array" ref="E64">INDEX(Data_DBD!$F:$F,$A64)</f>
        <v>Sedang</v>
      </c>
      <c r="H64" s="36">
        <v>19</v>
      </c>
      <c r="I64" s="36">
        <v>8</v>
      </c>
      <c r="J64" s="36">
        <v>4</v>
      </c>
      <c r="K64" s="36">
        <v>0</v>
      </c>
      <c r="L64" s="36" t="s">
        <v>26</v>
      </c>
    </row>
    <row r="65" spans="1:12">
      <c r="A65" s="36">
        <f ca="1" t="shared" si="0"/>
        <v>4</v>
      </c>
      <c r="B65" s="36">
        <f ca="1" t="array" ref="B65">INDEX(Data_DBD!$B:$B,$A65)</f>
        <v>23</v>
      </c>
      <c r="C65" s="36" t="str">
        <f ca="1" t="array" ref="C65">INDEX(Data_DBD!$C:$C,$A65)</f>
        <v>5 Hari</v>
      </c>
      <c r="D65" s="36">
        <f ca="1" t="array" ref="D65">INDEX(Data_DBD!$E:$E,$A65)</f>
        <v>0</v>
      </c>
      <c r="E65" s="36" t="str">
        <f ca="1" t="array" ref="E65">INDEX(Data_DBD!$F:$F,$A65)</f>
        <v>Sedang</v>
      </c>
      <c r="H65" s="36">
        <v>32</v>
      </c>
      <c r="I65" s="36">
        <v>54</v>
      </c>
      <c r="J65" s="36">
        <v>4</v>
      </c>
      <c r="K65" s="36">
        <v>0</v>
      </c>
      <c r="L65" s="36" t="s">
        <v>8</v>
      </c>
    </row>
    <row r="66" spans="1:12">
      <c r="A66" s="36">
        <f ca="1" t="shared" si="0"/>
        <v>101</v>
      </c>
      <c r="B66" s="36">
        <f ca="1" t="array" ref="B66">INDEX(Data_DBD!$B:$B,$A66)</f>
        <v>42</v>
      </c>
      <c r="C66" s="36" t="str">
        <f ca="1" t="array" ref="C66">INDEX(Data_DBD!$C:$C,$A66)</f>
        <v>5 Hari</v>
      </c>
      <c r="D66" s="36">
        <f ca="1" t="array" ref="D66">INDEX(Data_DBD!$E:$E,$A66)</f>
        <v>0</v>
      </c>
      <c r="E66" s="36" t="str">
        <f ca="1" t="array" ref="E66">INDEX(Data_DBD!$F:$F,$A66)</f>
        <v>Tinggi</v>
      </c>
      <c r="H66" s="36">
        <v>126</v>
      </c>
      <c r="I66" s="36">
        <v>51</v>
      </c>
      <c r="J66" s="36">
        <v>3</v>
      </c>
      <c r="K66" s="36">
        <v>1</v>
      </c>
      <c r="L66" s="36" t="s">
        <v>105</v>
      </c>
    </row>
    <row r="67" spans="1:12">
      <c r="A67" s="36">
        <f ca="1" t="shared" ref="A67:A130" si="1">RANDBETWEEN(2,164)</f>
        <v>98</v>
      </c>
      <c r="B67" s="36">
        <f ca="1" t="array" ref="B67">INDEX(Data_DBD!$B:$B,$A67)</f>
        <v>16</v>
      </c>
      <c r="C67" s="36" t="str">
        <f ca="1" t="array" ref="C67">INDEX(Data_DBD!$C:$C,$A67)</f>
        <v>2 Hari</v>
      </c>
      <c r="D67" s="36">
        <f ca="1" t="array" ref="D67">INDEX(Data_DBD!$E:$E,$A67)</f>
        <v>1</v>
      </c>
      <c r="E67" s="36" t="str">
        <f ca="1" t="array" ref="E67">INDEX(Data_DBD!$F:$F,$A67)</f>
        <v>Tinggi</v>
      </c>
      <c r="H67" s="36">
        <v>109</v>
      </c>
      <c r="I67" s="36">
        <v>40</v>
      </c>
      <c r="J67" s="36">
        <v>3</v>
      </c>
      <c r="K67" s="36">
        <v>1</v>
      </c>
      <c r="L67" s="36" t="s">
        <v>105</v>
      </c>
    </row>
    <row r="68" spans="1:12">
      <c r="A68" s="36">
        <f ca="1" t="shared" si="1"/>
        <v>141</v>
      </c>
      <c r="B68" s="36">
        <f ca="1" t="array" ref="B68">INDEX(Data_DBD!$B:$B,$A68)</f>
        <v>36</v>
      </c>
      <c r="C68" s="36" t="str">
        <f ca="1" t="array" ref="C68">INDEX(Data_DBD!$C:$C,$A68)</f>
        <v>2 Hari</v>
      </c>
      <c r="D68" s="36">
        <f ca="1" t="array" ref="D68">INDEX(Data_DBD!$E:$E,$A68)</f>
        <v>0</v>
      </c>
      <c r="E68" s="36" t="str">
        <f ca="1" t="array" ref="E68">INDEX(Data_DBD!$F:$F,$A68)</f>
        <v>Tinggi</v>
      </c>
      <c r="H68" s="36">
        <v>79</v>
      </c>
      <c r="I68" s="36">
        <v>29</v>
      </c>
      <c r="J68" s="36">
        <v>3</v>
      </c>
      <c r="K68" s="36">
        <v>0</v>
      </c>
      <c r="L68" s="36" t="s">
        <v>8</v>
      </c>
    </row>
    <row r="69" spans="1:12">
      <c r="A69" s="36">
        <f ca="1" t="shared" si="1"/>
        <v>32</v>
      </c>
      <c r="B69" s="36">
        <f ca="1" t="array" ref="B69">INDEX(Data_DBD!$B:$B,$A69)</f>
        <v>54</v>
      </c>
      <c r="C69" s="36" t="str">
        <f ca="1" t="array" ref="C69">INDEX(Data_DBD!$C:$C,$A69)</f>
        <v>4 Hari</v>
      </c>
      <c r="D69" s="36">
        <f ca="1" t="array" ref="D69">INDEX(Data_DBD!$E:$E,$A69)</f>
        <v>0</v>
      </c>
      <c r="E69" s="36" t="str">
        <f ca="1" t="array" ref="E69">INDEX(Data_DBD!$F:$F,$A69)</f>
        <v>Sedang</v>
      </c>
      <c r="H69" s="36">
        <v>144</v>
      </c>
      <c r="I69" s="36">
        <v>61</v>
      </c>
      <c r="J69" s="36">
        <v>4</v>
      </c>
      <c r="K69" s="36">
        <v>1</v>
      </c>
      <c r="L69" s="36" t="s">
        <v>105</v>
      </c>
    </row>
    <row r="70" spans="1:12">
      <c r="A70" s="36">
        <f ca="1" t="shared" si="1"/>
        <v>108</v>
      </c>
      <c r="B70" s="36">
        <f ca="1" t="array" ref="B70">INDEX(Data_DBD!$B:$B,$A70)</f>
        <v>69</v>
      </c>
      <c r="C70" s="36" t="str">
        <f ca="1" t="array" ref="C70">INDEX(Data_DBD!$C:$C,$A70)</f>
        <v>7 Hari</v>
      </c>
      <c r="D70" s="36">
        <f ca="1" t="array" ref="D70">INDEX(Data_DBD!$E:$E,$A70)</f>
        <v>1</v>
      </c>
      <c r="E70" s="36" t="str">
        <f ca="1" t="array" ref="E70">INDEX(Data_DBD!$F:$F,$A70)</f>
        <v>Tinggi</v>
      </c>
      <c r="H70" s="36">
        <v>110</v>
      </c>
      <c r="I70" s="36">
        <v>42</v>
      </c>
      <c r="J70" s="36">
        <v>2</v>
      </c>
      <c r="K70" s="36">
        <v>1</v>
      </c>
      <c r="L70" s="36" t="s">
        <v>105</v>
      </c>
    </row>
    <row r="71" spans="1:12">
      <c r="A71" s="36">
        <f ca="1" t="shared" si="1"/>
        <v>152</v>
      </c>
      <c r="B71" s="36">
        <f ca="1" t="array" ref="B71">INDEX(Data_DBD!$B:$B,$A71)</f>
        <v>47</v>
      </c>
      <c r="C71" s="36" t="str">
        <f ca="1" t="array" ref="C71">INDEX(Data_DBD!$C:$C,$A71)</f>
        <v>3 Hari</v>
      </c>
      <c r="D71" s="36">
        <f ca="1" t="array" ref="D71">INDEX(Data_DBD!$E:$E,$A71)</f>
        <v>1</v>
      </c>
      <c r="E71" s="36" t="str">
        <f ca="1" t="array" ref="E71">INDEX(Data_DBD!$F:$F,$A71)</f>
        <v>Tinggi</v>
      </c>
      <c r="H71" s="36">
        <v>131</v>
      </c>
      <c r="I71" s="36">
        <v>10</v>
      </c>
      <c r="J71" s="36">
        <v>2</v>
      </c>
      <c r="K71" s="36">
        <v>0</v>
      </c>
      <c r="L71" s="36" t="s">
        <v>105</v>
      </c>
    </row>
    <row r="72" spans="1:12">
      <c r="A72" s="36">
        <f ca="1" t="shared" si="1"/>
        <v>35</v>
      </c>
      <c r="B72" s="36">
        <f ca="1" t="array" ref="B72">INDEX(Data_DBD!$B:$B,$A72)</f>
        <v>40</v>
      </c>
      <c r="C72" s="36" t="str">
        <f ca="1" t="array" ref="C72">INDEX(Data_DBD!$C:$C,$A72)</f>
        <v>3 Hari</v>
      </c>
      <c r="D72" s="36">
        <f ca="1" t="array" ref="D72">INDEX(Data_DBD!$E:$E,$A72)</f>
        <v>1</v>
      </c>
      <c r="E72" s="36" t="str">
        <f ca="1" t="array" ref="E72">INDEX(Data_DBD!$F:$F,$A72)</f>
        <v>Rendah</v>
      </c>
      <c r="H72" s="36">
        <v>125</v>
      </c>
      <c r="I72" s="36">
        <v>39</v>
      </c>
      <c r="J72" s="36">
        <v>4</v>
      </c>
      <c r="K72" s="36">
        <v>0</v>
      </c>
      <c r="L72" s="36" t="s">
        <v>105</v>
      </c>
    </row>
    <row r="73" spans="1:12">
      <c r="A73" s="36">
        <f ca="1" t="shared" si="1"/>
        <v>142</v>
      </c>
      <c r="B73" s="36">
        <f ca="1" t="array" ref="B73">INDEX(Data_DBD!$B:$B,$A73)</f>
        <v>39</v>
      </c>
      <c r="C73" s="36" t="str">
        <f ca="1" t="array" ref="C73">INDEX(Data_DBD!$C:$C,$A73)</f>
        <v>2 Hari</v>
      </c>
      <c r="D73" s="36">
        <f ca="1" t="array" ref="D73">INDEX(Data_DBD!$E:$E,$A73)</f>
        <v>1</v>
      </c>
      <c r="E73" s="36" t="str">
        <f ca="1" t="array" ref="E73">INDEX(Data_DBD!$F:$F,$A73)</f>
        <v>Tinggi</v>
      </c>
      <c r="H73" s="36">
        <v>88</v>
      </c>
      <c r="I73" s="36">
        <v>20</v>
      </c>
      <c r="J73" s="36">
        <v>4</v>
      </c>
      <c r="K73" s="36">
        <v>1</v>
      </c>
      <c r="L73" s="36" t="s">
        <v>8</v>
      </c>
    </row>
    <row r="74" spans="1:12">
      <c r="A74" s="36">
        <f ca="1" t="shared" si="1"/>
        <v>75</v>
      </c>
      <c r="B74" s="36">
        <f ca="1" t="array" ref="B74">INDEX(Data_DBD!$B:$B,$A74)</f>
        <v>2</v>
      </c>
      <c r="C74" s="36" t="str">
        <f ca="1" t="array" ref="C74">INDEX(Data_DBD!$C:$C,$A74)</f>
        <v>2 Hari</v>
      </c>
      <c r="D74" s="36">
        <f ca="1" t="array" ref="D74">INDEX(Data_DBD!$E:$E,$A74)</f>
        <v>1</v>
      </c>
      <c r="E74" s="36" t="str">
        <f ca="1" t="array" ref="E74">INDEX(Data_DBD!$F:$F,$A74)</f>
        <v>Sedang</v>
      </c>
      <c r="H74" s="36">
        <v>77</v>
      </c>
      <c r="I74" s="36">
        <v>16</v>
      </c>
      <c r="J74" s="36">
        <v>4</v>
      </c>
      <c r="K74" s="36">
        <v>1</v>
      </c>
      <c r="L74" s="36" t="s">
        <v>8</v>
      </c>
    </row>
    <row r="75" spans="1:12">
      <c r="A75" s="36">
        <f ca="1" t="shared" si="1"/>
        <v>143</v>
      </c>
      <c r="B75" s="36">
        <f ca="1" t="array" ref="B75">INDEX(Data_DBD!$B:$B,$A75)</f>
        <v>20</v>
      </c>
      <c r="C75" s="36" t="str">
        <f ca="1" t="array" ref="C75">INDEX(Data_DBD!$C:$C,$A75)</f>
        <v>4 Hari</v>
      </c>
      <c r="D75" s="36">
        <f ca="1" t="array" ref="D75">INDEX(Data_DBD!$E:$E,$A75)</f>
        <v>1</v>
      </c>
      <c r="E75" s="36" t="str">
        <f ca="1" t="array" ref="E75">INDEX(Data_DBD!$F:$F,$A75)</f>
        <v>Tinggi</v>
      </c>
      <c r="H75" s="36">
        <v>137</v>
      </c>
      <c r="I75" s="36">
        <v>3</v>
      </c>
      <c r="J75" s="36">
        <v>1</v>
      </c>
      <c r="K75" s="36">
        <v>1</v>
      </c>
      <c r="L75" s="36" t="s">
        <v>105</v>
      </c>
    </row>
    <row r="76" spans="1:12">
      <c r="A76" s="36">
        <f ca="1" t="shared" si="1"/>
        <v>40</v>
      </c>
      <c r="B76" s="36">
        <f ca="1" t="array" ref="B76">INDEX(Data_DBD!$B:$B,$A76)</f>
        <v>65</v>
      </c>
      <c r="C76" s="36" t="str">
        <f ca="1" t="array" ref="C76">INDEX(Data_DBD!$C:$C,$A76)</f>
        <v>3 Hari</v>
      </c>
      <c r="D76" s="36">
        <f ca="1" t="array" ref="D76">INDEX(Data_DBD!$E:$E,$A76)</f>
        <v>1</v>
      </c>
      <c r="E76" s="36" t="str">
        <f ca="1" t="array" ref="E76">INDEX(Data_DBD!$F:$F,$A76)</f>
        <v>Sedang</v>
      </c>
      <c r="H76" s="36">
        <v>10</v>
      </c>
      <c r="I76" s="36">
        <v>18</v>
      </c>
      <c r="J76" s="36">
        <v>5</v>
      </c>
      <c r="K76" s="36">
        <v>0</v>
      </c>
      <c r="L76" s="36" t="s">
        <v>8</v>
      </c>
    </row>
    <row r="77" spans="1:12">
      <c r="A77" s="36">
        <f ca="1" t="shared" si="1"/>
        <v>71</v>
      </c>
      <c r="B77" s="36">
        <f ca="1" t="array" ref="B77">INDEX(Data_DBD!$B:$B,$A77)</f>
        <v>84</v>
      </c>
      <c r="C77" s="36" t="str">
        <f ca="1" t="array" ref="C77">INDEX(Data_DBD!$C:$C,$A77)</f>
        <v>3 Hari</v>
      </c>
      <c r="D77" s="36">
        <f ca="1" t="array" ref="D77">INDEX(Data_DBD!$E:$E,$A77)</f>
        <v>0</v>
      </c>
      <c r="E77" s="36" t="str">
        <f ca="1" t="array" ref="E77">INDEX(Data_DBD!$F:$F,$A77)</f>
        <v>Sedang</v>
      </c>
      <c r="H77" s="36">
        <v>51</v>
      </c>
      <c r="I77" s="36">
        <v>48</v>
      </c>
      <c r="J77" s="36">
        <v>4</v>
      </c>
      <c r="K77" s="36">
        <v>0</v>
      </c>
      <c r="L77" s="36" t="s">
        <v>8</v>
      </c>
    </row>
    <row r="78" spans="1:12">
      <c r="A78" s="36">
        <f ca="1" t="shared" si="1"/>
        <v>42</v>
      </c>
      <c r="B78" s="36">
        <f ca="1" t="array" ref="B78">INDEX(Data_DBD!$B:$B,$A78)</f>
        <v>21</v>
      </c>
      <c r="C78" s="36" t="str">
        <f ca="1" t="array" ref="C78">INDEX(Data_DBD!$C:$C,$A78)</f>
        <v>5 Hari</v>
      </c>
      <c r="D78" s="36">
        <f ca="1" t="array" ref="D78">INDEX(Data_DBD!$E:$E,$A78)</f>
        <v>1</v>
      </c>
      <c r="E78" s="36" t="str">
        <f ca="1" t="array" ref="E78">INDEX(Data_DBD!$F:$F,$A78)</f>
        <v>Sedang</v>
      </c>
      <c r="H78" s="36">
        <v>86</v>
      </c>
      <c r="I78" s="36">
        <v>23</v>
      </c>
      <c r="J78" s="36">
        <v>3</v>
      </c>
      <c r="K78" s="36">
        <v>0</v>
      </c>
      <c r="L78" s="36" t="s">
        <v>8</v>
      </c>
    </row>
    <row r="79" spans="1:12">
      <c r="A79" s="36">
        <f ca="1" t="shared" si="1"/>
        <v>40</v>
      </c>
      <c r="B79" s="36">
        <f ca="1" t="array" ref="B79">INDEX(Data_DBD!$B:$B,$A79)</f>
        <v>65</v>
      </c>
      <c r="C79" s="36" t="str">
        <f ca="1" t="array" ref="C79">INDEX(Data_DBD!$C:$C,$A79)</f>
        <v>3 Hari</v>
      </c>
      <c r="D79" s="36">
        <f ca="1" t="array" ref="D79">INDEX(Data_DBD!$E:$E,$A79)</f>
        <v>1</v>
      </c>
      <c r="E79" s="36" t="str">
        <f ca="1" t="array" ref="E79">INDEX(Data_DBD!$F:$F,$A79)</f>
        <v>Sedang</v>
      </c>
      <c r="H79" s="36">
        <v>146</v>
      </c>
      <c r="I79" s="36">
        <v>34</v>
      </c>
      <c r="J79" s="36">
        <v>2</v>
      </c>
      <c r="K79" s="36">
        <v>1</v>
      </c>
      <c r="L79" s="36" t="s">
        <v>105</v>
      </c>
    </row>
    <row r="80" spans="1:12">
      <c r="A80" s="36">
        <f ca="1" t="shared" si="1"/>
        <v>131</v>
      </c>
      <c r="B80" s="36">
        <f ca="1" t="array" ref="B80">INDEX(Data_DBD!$B:$B,$A80)</f>
        <v>10</v>
      </c>
      <c r="C80" s="36" t="str">
        <f ca="1" t="array" ref="C80">INDEX(Data_DBD!$C:$C,$A80)</f>
        <v>2 Hari</v>
      </c>
      <c r="D80" s="36">
        <f ca="1" t="array" ref="D80">INDEX(Data_DBD!$E:$E,$A80)</f>
        <v>0</v>
      </c>
      <c r="E80" s="36" t="str">
        <f ca="1" t="array" ref="E80">INDEX(Data_DBD!$F:$F,$A80)</f>
        <v>Tinggi</v>
      </c>
      <c r="H80" s="36">
        <v>15</v>
      </c>
      <c r="I80" s="36">
        <v>21</v>
      </c>
      <c r="J80" s="36">
        <v>2</v>
      </c>
      <c r="K80" s="36">
        <v>0</v>
      </c>
      <c r="L80" s="36" t="s">
        <v>26</v>
      </c>
    </row>
    <row r="81" spans="1:12">
      <c r="A81" s="36">
        <f ca="1" t="shared" si="1"/>
        <v>48</v>
      </c>
      <c r="B81" s="36">
        <f ca="1" t="array" ref="B81">INDEX(Data_DBD!$B:$B,$A81)</f>
        <v>50</v>
      </c>
      <c r="C81" s="36" t="str">
        <f ca="1" t="array" ref="C81">INDEX(Data_DBD!$C:$C,$A81)</f>
        <v>5 Hari</v>
      </c>
      <c r="D81" s="36">
        <f ca="1" t="array" ref="D81">INDEX(Data_DBD!$E:$E,$A81)</f>
        <v>1</v>
      </c>
      <c r="E81" s="36" t="str">
        <f ca="1" t="array" ref="E81">INDEX(Data_DBD!$F:$F,$A81)</f>
        <v>Sedang</v>
      </c>
      <c r="H81" s="36">
        <v>151</v>
      </c>
      <c r="I81" s="36">
        <v>24</v>
      </c>
      <c r="J81" s="36">
        <v>3</v>
      </c>
      <c r="K81" s="36">
        <v>0</v>
      </c>
      <c r="L81" s="36" t="s">
        <v>105</v>
      </c>
    </row>
    <row r="82" spans="1:12">
      <c r="A82" s="36">
        <f ca="1" t="shared" si="1"/>
        <v>116</v>
      </c>
      <c r="B82" s="36">
        <f ca="1" t="array" ref="B82">INDEX(Data_DBD!$B:$B,$A82)</f>
        <v>32</v>
      </c>
      <c r="C82" s="36" t="str">
        <f ca="1" t="array" ref="C82">INDEX(Data_DBD!$C:$C,$A82)</f>
        <v>4 Hari</v>
      </c>
      <c r="D82" s="36">
        <f ca="1" t="array" ref="D82">INDEX(Data_DBD!$E:$E,$A82)</f>
        <v>1</v>
      </c>
      <c r="E82" s="36" t="str">
        <f ca="1" t="array" ref="E82">INDEX(Data_DBD!$F:$F,$A82)</f>
        <v>Tinggi</v>
      </c>
      <c r="H82" s="36">
        <v>56</v>
      </c>
      <c r="I82" s="36">
        <v>4</v>
      </c>
      <c r="J82" s="36">
        <v>3</v>
      </c>
      <c r="K82" s="36">
        <v>0</v>
      </c>
      <c r="L82" s="36" t="s">
        <v>8</v>
      </c>
    </row>
    <row r="83" spans="1:12">
      <c r="A83" s="36">
        <f ca="1" t="shared" si="1"/>
        <v>121</v>
      </c>
      <c r="B83" s="36">
        <f ca="1" t="array" ref="B83">INDEX(Data_DBD!$B:$B,$A83)</f>
        <v>82</v>
      </c>
      <c r="C83" s="36" t="str">
        <f ca="1" t="array" ref="C83">INDEX(Data_DBD!$C:$C,$A83)</f>
        <v>5 Hari</v>
      </c>
      <c r="D83" s="36">
        <f ca="1" t="array" ref="D83">INDEX(Data_DBD!$E:$E,$A83)</f>
        <v>1</v>
      </c>
      <c r="E83" s="36" t="str">
        <f ca="1" t="array" ref="E83">INDEX(Data_DBD!$F:$F,$A83)</f>
        <v>Tinggi</v>
      </c>
      <c r="H83" s="36">
        <v>70</v>
      </c>
      <c r="I83" s="36">
        <v>26</v>
      </c>
      <c r="J83" s="36">
        <v>3</v>
      </c>
      <c r="K83" s="36">
        <v>1</v>
      </c>
      <c r="L83" s="36" t="s">
        <v>8</v>
      </c>
    </row>
    <row r="84" spans="1:12">
      <c r="A84" s="36">
        <f ca="1" t="shared" si="1"/>
        <v>58</v>
      </c>
      <c r="B84" s="36">
        <f ca="1" t="array" ref="B84">INDEX(Data_DBD!$B:$B,$A84)</f>
        <v>17</v>
      </c>
      <c r="C84" s="36" t="str">
        <f ca="1" t="array" ref="C84">INDEX(Data_DBD!$C:$C,$A84)</f>
        <v>3 Hari</v>
      </c>
      <c r="D84" s="36">
        <f ca="1" t="array" ref="D84">INDEX(Data_DBD!$E:$E,$A84)</f>
        <v>0</v>
      </c>
      <c r="E84" s="36" t="str">
        <f ca="1" t="array" ref="E84">INDEX(Data_DBD!$F:$F,$A84)</f>
        <v>Sedang</v>
      </c>
      <c r="H84" s="36">
        <v>5</v>
      </c>
      <c r="I84" s="36">
        <v>18</v>
      </c>
      <c r="J84" s="36">
        <v>2</v>
      </c>
      <c r="K84" s="36">
        <v>1</v>
      </c>
      <c r="L84" s="36" t="s">
        <v>8</v>
      </c>
    </row>
    <row r="85" spans="1:12">
      <c r="A85" s="36">
        <f ca="1" t="shared" si="1"/>
        <v>52</v>
      </c>
      <c r="B85" s="36">
        <f ca="1" t="array" ref="B85">INDEX(Data_DBD!$B:$B,$A85)</f>
        <v>59</v>
      </c>
      <c r="C85" s="36" t="str">
        <f ca="1" t="array" ref="C85">INDEX(Data_DBD!$C:$C,$A85)</f>
        <v>4 Hari</v>
      </c>
      <c r="D85" s="36">
        <f ca="1" t="array" ref="D85">INDEX(Data_DBD!$E:$E,$A85)</f>
        <v>1</v>
      </c>
      <c r="E85" s="36" t="str">
        <f ca="1" t="array" ref="E85">INDEX(Data_DBD!$F:$F,$A85)</f>
        <v>Sedang</v>
      </c>
      <c r="H85" s="36">
        <v>66</v>
      </c>
      <c r="I85" s="36">
        <v>21</v>
      </c>
      <c r="J85" s="36">
        <v>5</v>
      </c>
      <c r="K85" s="36">
        <v>1</v>
      </c>
      <c r="L85" s="36" t="s">
        <v>8</v>
      </c>
    </row>
    <row r="86" spans="1:12">
      <c r="A86" s="36">
        <f ca="1" t="shared" si="1"/>
        <v>122</v>
      </c>
      <c r="B86" s="36">
        <f ca="1" t="array" ref="B86">INDEX(Data_DBD!$B:$B,$A86)</f>
        <v>28</v>
      </c>
      <c r="C86" s="36" t="str">
        <f ca="1" t="array" ref="C86">INDEX(Data_DBD!$C:$C,$A86)</f>
        <v>3 Hari</v>
      </c>
      <c r="D86" s="36">
        <f ca="1" t="array" ref="D86">INDEX(Data_DBD!$E:$E,$A86)</f>
        <v>1</v>
      </c>
      <c r="E86" s="36" t="str">
        <f ca="1" t="array" ref="E86">INDEX(Data_DBD!$F:$F,$A86)</f>
        <v>Tinggi</v>
      </c>
      <c r="H86" s="36">
        <v>164</v>
      </c>
      <c r="I86" s="36">
        <v>10</v>
      </c>
      <c r="J86" s="36">
        <v>6</v>
      </c>
      <c r="K86" s="36">
        <v>0</v>
      </c>
      <c r="L86" s="36" t="s">
        <v>26</v>
      </c>
    </row>
    <row r="87" spans="1:12">
      <c r="A87" s="36">
        <f ca="1" t="shared" si="1"/>
        <v>115</v>
      </c>
      <c r="B87" s="36">
        <f ca="1" t="array" ref="B87">INDEX(Data_DBD!$B:$B,$A87)</f>
        <v>52</v>
      </c>
      <c r="C87" s="36" t="str">
        <f ca="1" t="array" ref="C87">INDEX(Data_DBD!$C:$C,$A87)</f>
        <v>3 Hari</v>
      </c>
      <c r="D87" s="36">
        <f ca="1" t="array" ref="D87">INDEX(Data_DBD!$E:$E,$A87)</f>
        <v>1</v>
      </c>
      <c r="E87" s="36" t="str">
        <f ca="1" t="array" ref="E87">INDEX(Data_DBD!$F:$F,$A87)</f>
        <v>Tinggi</v>
      </c>
      <c r="H87" s="36">
        <v>148</v>
      </c>
      <c r="I87" s="36">
        <v>55</v>
      </c>
      <c r="J87" s="36">
        <v>3</v>
      </c>
      <c r="K87" s="36">
        <v>1</v>
      </c>
      <c r="L87" s="36" t="s">
        <v>105</v>
      </c>
    </row>
    <row r="88" spans="1:12">
      <c r="A88" s="36">
        <f ca="1" t="shared" si="1"/>
        <v>71</v>
      </c>
      <c r="B88" s="36">
        <f ca="1" t="array" ref="B88">INDEX(Data_DBD!$B:$B,$A88)</f>
        <v>84</v>
      </c>
      <c r="C88" s="36" t="str">
        <f ca="1" t="array" ref="C88">INDEX(Data_DBD!$C:$C,$A88)</f>
        <v>3 Hari</v>
      </c>
      <c r="D88" s="36">
        <f ca="1" t="array" ref="D88">INDEX(Data_DBD!$E:$E,$A88)</f>
        <v>0</v>
      </c>
      <c r="E88" s="36" t="str">
        <f ca="1" t="array" ref="E88">INDEX(Data_DBD!$F:$F,$A88)</f>
        <v>Sedang</v>
      </c>
      <c r="H88" s="36">
        <v>11</v>
      </c>
      <c r="I88" s="36">
        <v>24</v>
      </c>
      <c r="J88" s="36">
        <v>5</v>
      </c>
      <c r="K88" s="36">
        <v>1</v>
      </c>
      <c r="L88" s="36" t="s">
        <v>8</v>
      </c>
    </row>
    <row r="89" spans="1:12">
      <c r="A89" s="36">
        <f ca="1" t="shared" si="1"/>
        <v>92</v>
      </c>
      <c r="B89" s="36">
        <f ca="1" t="array" ref="B89">INDEX(Data_DBD!$B:$B,$A89)</f>
        <v>55</v>
      </c>
      <c r="C89" s="36" t="str">
        <f ca="1" t="array" ref="C89">INDEX(Data_DBD!$C:$C,$A89)</f>
        <v>7 Hari</v>
      </c>
      <c r="D89" s="36">
        <f ca="1" t="array" ref="D89">INDEX(Data_DBD!$E:$E,$A89)</f>
        <v>0</v>
      </c>
      <c r="E89" s="36" t="str">
        <f ca="1" t="array" ref="E89">INDEX(Data_DBD!$F:$F,$A89)</f>
        <v>Tinggi</v>
      </c>
      <c r="H89" s="36">
        <v>97</v>
      </c>
      <c r="I89" s="36">
        <v>16</v>
      </c>
      <c r="J89" s="36">
        <v>2</v>
      </c>
      <c r="K89" s="36">
        <v>1</v>
      </c>
      <c r="L89" s="36" t="s">
        <v>105</v>
      </c>
    </row>
    <row r="90" spans="1:12">
      <c r="A90" s="36">
        <f ca="1" t="shared" si="1"/>
        <v>108</v>
      </c>
      <c r="B90" s="36">
        <f ca="1" t="array" ref="B90">INDEX(Data_DBD!$B:$B,$A90)</f>
        <v>69</v>
      </c>
      <c r="C90" s="36" t="str">
        <f ca="1" t="array" ref="C90">INDEX(Data_DBD!$C:$C,$A90)</f>
        <v>7 Hari</v>
      </c>
      <c r="D90" s="36">
        <f ca="1" t="array" ref="D90">INDEX(Data_DBD!$E:$E,$A90)</f>
        <v>1</v>
      </c>
      <c r="E90" s="36" t="str">
        <f ca="1" t="array" ref="E90">INDEX(Data_DBD!$F:$F,$A90)</f>
        <v>Tinggi</v>
      </c>
      <c r="H90" s="36">
        <v>122</v>
      </c>
      <c r="I90" s="36">
        <v>28</v>
      </c>
      <c r="J90" s="36">
        <v>3</v>
      </c>
      <c r="K90" s="36">
        <v>1</v>
      </c>
      <c r="L90" s="36" t="s">
        <v>105</v>
      </c>
    </row>
    <row r="91" spans="1:12">
      <c r="A91" s="36">
        <f ca="1" t="shared" si="1"/>
        <v>19</v>
      </c>
      <c r="B91" s="36">
        <f ca="1" t="array" ref="B91">INDEX(Data_DBD!$B:$B,$A91)</f>
        <v>8</v>
      </c>
      <c r="C91" s="36" t="str">
        <f ca="1" t="array" ref="C91">INDEX(Data_DBD!$C:$C,$A91)</f>
        <v>4 Hari</v>
      </c>
      <c r="D91" s="36">
        <f ca="1" t="array" ref="D91">INDEX(Data_DBD!$E:$E,$A91)</f>
        <v>0</v>
      </c>
      <c r="E91" s="36" t="str">
        <f ca="1" t="array" ref="E91">INDEX(Data_DBD!$F:$F,$A91)</f>
        <v>Rendah</v>
      </c>
      <c r="H91" s="36">
        <v>107</v>
      </c>
      <c r="I91" s="36">
        <v>48</v>
      </c>
      <c r="J91" s="36">
        <v>5</v>
      </c>
      <c r="K91" s="36">
        <v>0</v>
      </c>
      <c r="L91" s="36" t="s">
        <v>105</v>
      </c>
    </row>
    <row r="92" spans="1:12">
      <c r="A92" s="36">
        <f ca="1" t="shared" si="1"/>
        <v>126</v>
      </c>
      <c r="B92" s="36">
        <f ca="1" t="array" ref="B92">INDEX(Data_DBD!$B:$B,$A92)</f>
        <v>51</v>
      </c>
      <c r="C92" s="36" t="str">
        <f ca="1" t="array" ref="C92">INDEX(Data_DBD!$C:$C,$A92)</f>
        <v>3 Hari</v>
      </c>
      <c r="D92" s="36">
        <f ca="1" t="array" ref="D92">INDEX(Data_DBD!$E:$E,$A92)</f>
        <v>1</v>
      </c>
      <c r="E92" s="36" t="str">
        <f ca="1" t="array" ref="E92">INDEX(Data_DBD!$F:$F,$A92)</f>
        <v>Tinggi</v>
      </c>
      <c r="H92" s="36">
        <v>162</v>
      </c>
      <c r="I92" s="36">
        <v>22</v>
      </c>
      <c r="J92" s="36">
        <v>3</v>
      </c>
      <c r="K92" s="36">
        <v>1</v>
      </c>
      <c r="L92" s="36" t="s">
        <v>26</v>
      </c>
    </row>
    <row r="93" spans="1:12">
      <c r="A93" s="36">
        <f ca="1" t="shared" si="1"/>
        <v>148</v>
      </c>
      <c r="B93" s="36">
        <f ca="1" t="array" ref="B93">INDEX(Data_DBD!$B:$B,$A93)</f>
        <v>55</v>
      </c>
      <c r="C93" s="36" t="str">
        <f ca="1" t="array" ref="C93">INDEX(Data_DBD!$C:$C,$A93)</f>
        <v>3 Hari</v>
      </c>
      <c r="D93" s="36">
        <f ca="1" t="array" ref="D93">INDEX(Data_DBD!$E:$E,$A93)</f>
        <v>1</v>
      </c>
      <c r="E93" s="36" t="str">
        <f ca="1" t="array" ref="E93">INDEX(Data_DBD!$F:$F,$A93)</f>
        <v>Tinggi</v>
      </c>
      <c r="H93" s="36">
        <v>21</v>
      </c>
      <c r="I93" s="36">
        <v>10</v>
      </c>
      <c r="J93" s="36">
        <v>5</v>
      </c>
      <c r="K93" s="36">
        <v>1</v>
      </c>
      <c r="L93" s="36" t="s">
        <v>8</v>
      </c>
    </row>
    <row r="94" spans="1:12">
      <c r="A94" s="36">
        <f ca="1" t="shared" si="1"/>
        <v>80</v>
      </c>
      <c r="B94" s="36">
        <f ca="1" t="array" ref="B94">INDEX(Data_DBD!$B:$B,$A94)</f>
        <v>27</v>
      </c>
      <c r="C94" s="36" t="str">
        <f ca="1" t="array" ref="C94">INDEX(Data_DBD!$C:$C,$A94)</f>
        <v>3 Hari</v>
      </c>
      <c r="D94" s="36">
        <f ca="1" t="array" ref="D94">INDEX(Data_DBD!$E:$E,$A94)</f>
        <v>1</v>
      </c>
      <c r="E94" s="36" t="str">
        <f ca="1" t="array" ref="E94">INDEX(Data_DBD!$F:$F,$A94)</f>
        <v>Sedang</v>
      </c>
      <c r="H94" s="36">
        <v>22</v>
      </c>
      <c r="I94" s="36">
        <v>6</v>
      </c>
      <c r="J94" s="36">
        <v>3</v>
      </c>
      <c r="K94" s="36">
        <v>0</v>
      </c>
      <c r="L94" s="36" t="s">
        <v>8</v>
      </c>
    </row>
    <row r="95" spans="1:12">
      <c r="A95" s="36">
        <f ca="1" t="shared" si="1"/>
        <v>6</v>
      </c>
      <c r="B95" s="36">
        <f ca="1" t="array" ref="B95">INDEX(Data_DBD!$B:$B,$A95)</f>
        <v>14</v>
      </c>
      <c r="C95" s="36" t="str">
        <f ca="1" t="array" ref="C95">INDEX(Data_DBD!$C:$C,$A95)</f>
        <v>4 Hari</v>
      </c>
      <c r="D95" s="36">
        <f ca="1" t="array" ref="D95">INDEX(Data_DBD!$E:$E,$A95)</f>
        <v>0</v>
      </c>
      <c r="E95" s="36" t="str">
        <f ca="1" t="array" ref="E95">INDEX(Data_DBD!$F:$F,$A95)</f>
        <v>Sedang</v>
      </c>
      <c r="H95" s="36">
        <v>96</v>
      </c>
      <c r="I95" s="36">
        <v>56</v>
      </c>
      <c r="J95" s="36">
        <v>4</v>
      </c>
      <c r="K95" s="36">
        <v>0</v>
      </c>
      <c r="L95" s="36" t="s">
        <v>105</v>
      </c>
    </row>
    <row r="96" spans="1:12">
      <c r="A96" s="36">
        <f ca="1" t="shared" si="1"/>
        <v>29</v>
      </c>
      <c r="B96" s="36">
        <f ca="1" t="array" ref="B96">INDEX(Data_DBD!$B:$B,$A96)</f>
        <v>19</v>
      </c>
      <c r="C96" s="36" t="str">
        <f ca="1" t="array" ref="C96">INDEX(Data_DBD!$C:$C,$A96)</f>
        <v>2 Hari</v>
      </c>
      <c r="D96" s="36">
        <f ca="1" t="array" ref="D96">INDEX(Data_DBD!$E:$E,$A96)</f>
        <v>1</v>
      </c>
      <c r="E96" s="36" t="str">
        <f ca="1" t="array" ref="E96">INDEX(Data_DBD!$F:$F,$A96)</f>
        <v>Sedang</v>
      </c>
      <c r="H96" s="36">
        <v>92</v>
      </c>
      <c r="I96" s="36">
        <v>55</v>
      </c>
      <c r="J96" s="36">
        <v>7</v>
      </c>
      <c r="K96" s="36">
        <v>0</v>
      </c>
      <c r="L96" s="36" t="s">
        <v>105</v>
      </c>
    </row>
    <row r="97" spans="1:12">
      <c r="A97" s="36">
        <f ca="1" t="shared" si="1"/>
        <v>115</v>
      </c>
      <c r="B97" s="36">
        <f ca="1" t="array" ref="B97">INDEX(Data_DBD!$B:$B,$A97)</f>
        <v>52</v>
      </c>
      <c r="C97" s="36" t="str">
        <f ca="1" t="array" ref="C97">INDEX(Data_DBD!$C:$C,$A97)</f>
        <v>3 Hari</v>
      </c>
      <c r="D97" s="36">
        <f ca="1" t="array" ref="D97">INDEX(Data_DBD!$E:$E,$A97)</f>
        <v>1</v>
      </c>
      <c r="E97" s="36" t="str">
        <f ca="1" t="array" ref="E97">INDEX(Data_DBD!$F:$F,$A97)</f>
        <v>Tinggi</v>
      </c>
      <c r="H97" s="36">
        <v>158</v>
      </c>
      <c r="I97" s="36">
        <v>5</v>
      </c>
      <c r="J97" s="36">
        <v>2</v>
      </c>
      <c r="K97" s="36">
        <v>0</v>
      </c>
      <c r="L97" s="36" t="s">
        <v>105</v>
      </c>
    </row>
    <row r="98" spans="1:12">
      <c r="A98" s="36">
        <f ca="1" t="shared" si="1"/>
        <v>106</v>
      </c>
      <c r="B98" s="36">
        <f ca="1" t="array" ref="B98">INDEX(Data_DBD!$B:$B,$A98)</f>
        <v>23</v>
      </c>
      <c r="C98" s="36" t="str">
        <f ca="1" t="array" ref="C98">INDEX(Data_DBD!$C:$C,$A98)</f>
        <v>3 Hari</v>
      </c>
      <c r="D98" s="36">
        <f ca="1" t="array" ref="D98">INDEX(Data_DBD!$E:$E,$A98)</f>
        <v>1</v>
      </c>
      <c r="E98" s="36" t="str">
        <f ca="1" t="array" ref="E98">INDEX(Data_DBD!$F:$F,$A98)</f>
        <v>Tinggi</v>
      </c>
      <c r="H98" s="36">
        <v>113</v>
      </c>
      <c r="I98" s="36">
        <v>69</v>
      </c>
      <c r="J98" s="36">
        <v>1</v>
      </c>
      <c r="K98" s="36">
        <v>1</v>
      </c>
      <c r="L98" s="36" t="s">
        <v>105</v>
      </c>
    </row>
    <row r="99" spans="1:12">
      <c r="A99" s="36">
        <f ca="1" t="shared" si="1"/>
        <v>68</v>
      </c>
      <c r="B99" s="36">
        <f ca="1" t="array" ref="B99">INDEX(Data_DBD!$B:$B,$A99)</f>
        <v>44</v>
      </c>
      <c r="C99" s="36" t="str">
        <f ca="1" t="array" ref="C99">INDEX(Data_DBD!$C:$C,$A99)</f>
        <v>5 Hari</v>
      </c>
      <c r="D99" s="36">
        <f ca="1" t="array" ref="D99">INDEX(Data_DBD!$E:$E,$A99)</f>
        <v>0</v>
      </c>
      <c r="E99" s="36" t="str">
        <f ca="1" t="array" ref="E99">INDEX(Data_DBD!$F:$F,$A99)</f>
        <v>Sedang</v>
      </c>
      <c r="H99" s="36">
        <v>57</v>
      </c>
      <c r="I99" s="36">
        <v>2</v>
      </c>
      <c r="J99" s="36">
        <v>2</v>
      </c>
      <c r="K99" s="36">
        <v>1</v>
      </c>
      <c r="L99" s="36" t="s">
        <v>8</v>
      </c>
    </row>
    <row r="100" spans="1:12">
      <c r="A100" s="36">
        <f ca="1" t="shared" si="1"/>
        <v>44</v>
      </c>
      <c r="B100" s="36">
        <f ca="1" t="array" ref="B100">INDEX(Data_DBD!$B:$B,$A100)</f>
        <v>28</v>
      </c>
      <c r="C100" s="36" t="str">
        <f ca="1" t="array" ref="C100">INDEX(Data_DBD!$C:$C,$A100)</f>
        <v>5 Hari</v>
      </c>
      <c r="D100" s="36">
        <f ca="1" t="array" ref="D100">INDEX(Data_DBD!$E:$E,$A100)</f>
        <v>1</v>
      </c>
      <c r="E100" s="36" t="str">
        <f ca="1" t="array" ref="E100">INDEX(Data_DBD!$F:$F,$A100)</f>
        <v>Sedang</v>
      </c>
      <c r="H100" s="36">
        <v>87</v>
      </c>
      <c r="I100" s="36">
        <v>21</v>
      </c>
      <c r="J100" s="36">
        <v>3</v>
      </c>
      <c r="K100" s="36">
        <v>0</v>
      </c>
      <c r="L100" s="36" t="s">
        <v>8</v>
      </c>
    </row>
    <row r="101" spans="1:12">
      <c r="A101" s="36">
        <f ca="1" t="shared" si="1"/>
        <v>61</v>
      </c>
      <c r="B101" s="36">
        <f ca="1" t="array" ref="B101">INDEX(Data_DBD!$B:$B,$A101)</f>
        <v>29</v>
      </c>
      <c r="C101" s="36" t="str">
        <f ca="1" t="array" ref="C101">INDEX(Data_DBD!$C:$C,$A101)</f>
        <v>3 Hari</v>
      </c>
      <c r="D101" s="36">
        <f ca="1" t="array" ref="D101">INDEX(Data_DBD!$E:$E,$A101)</f>
        <v>1</v>
      </c>
      <c r="E101" s="36" t="str">
        <f ca="1" t="array" ref="E101">INDEX(Data_DBD!$F:$F,$A101)</f>
        <v>Sedang</v>
      </c>
      <c r="H101" s="36">
        <v>72</v>
      </c>
      <c r="I101" s="36">
        <v>3</v>
      </c>
      <c r="J101" s="36">
        <v>5</v>
      </c>
      <c r="K101" s="36">
        <v>1</v>
      </c>
      <c r="L101" s="36" t="s">
        <v>8</v>
      </c>
    </row>
    <row r="102" spans="1:12">
      <c r="A102" s="36">
        <f ca="1" t="shared" si="1"/>
        <v>44</v>
      </c>
      <c r="B102" s="36">
        <f ca="1" t="array" ref="B102">INDEX(Data_DBD!$B:$B,$A102)</f>
        <v>28</v>
      </c>
      <c r="C102" s="36" t="str">
        <f ca="1" t="array" ref="C102">INDEX(Data_DBD!$C:$C,$A102)</f>
        <v>5 Hari</v>
      </c>
      <c r="D102" s="36">
        <f ca="1" t="array" ref="D102">INDEX(Data_DBD!$E:$E,$A102)</f>
        <v>1</v>
      </c>
      <c r="E102" s="36" t="str">
        <f ca="1" t="array" ref="E102">INDEX(Data_DBD!$F:$F,$A102)</f>
        <v>Sedang</v>
      </c>
      <c r="H102" s="36">
        <v>50</v>
      </c>
      <c r="I102" s="36">
        <v>19</v>
      </c>
      <c r="J102" s="36">
        <v>5</v>
      </c>
      <c r="K102" s="36">
        <v>0</v>
      </c>
      <c r="L102" s="36" t="s">
        <v>8</v>
      </c>
    </row>
    <row r="103" spans="1:12">
      <c r="A103" s="36">
        <f ca="1" t="shared" si="1"/>
        <v>88</v>
      </c>
      <c r="B103" s="36">
        <f ca="1" t="array" ref="B103">INDEX(Data_DBD!$B:$B,$A103)</f>
        <v>20</v>
      </c>
      <c r="C103" s="36" t="str">
        <f ca="1" t="array" ref="C103">INDEX(Data_DBD!$C:$C,$A103)</f>
        <v>4 Hari</v>
      </c>
      <c r="D103" s="36">
        <f ca="1" t="array" ref="D103">INDEX(Data_DBD!$E:$E,$A103)</f>
        <v>1</v>
      </c>
      <c r="E103" s="36" t="str">
        <f ca="1" t="array" ref="E103">INDEX(Data_DBD!$F:$F,$A103)</f>
        <v>Sedang</v>
      </c>
      <c r="H103" s="36">
        <v>114</v>
      </c>
      <c r="I103" s="36">
        <v>14</v>
      </c>
      <c r="J103" s="36">
        <v>2</v>
      </c>
      <c r="K103" s="36">
        <v>1</v>
      </c>
      <c r="L103" s="36" t="s">
        <v>105</v>
      </c>
    </row>
    <row r="104" spans="1:12">
      <c r="A104" s="36">
        <f ca="1" t="shared" si="1"/>
        <v>84</v>
      </c>
      <c r="B104" s="36">
        <f ca="1" t="array" ref="B104">INDEX(Data_DBD!$B:$B,$A104)</f>
        <v>42</v>
      </c>
      <c r="C104" s="36" t="str">
        <f ca="1" t="array" ref="C104">INDEX(Data_DBD!$C:$C,$A104)</f>
        <v>4 Hari</v>
      </c>
      <c r="D104" s="36">
        <f ca="1" t="array" ref="D104">INDEX(Data_DBD!$E:$E,$A104)</f>
        <v>1</v>
      </c>
      <c r="E104" s="36" t="str">
        <f ca="1" t="array" ref="E104">INDEX(Data_DBD!$F:$F,$A104)</f>
        <v>Sedang</v>
      </c>
      <c r="H104" s="36">
        <v>26</v>
      </c>
      <c r="I104" s="36">
        <v>75</v>
      </c>
      <c r="J104" s="36">
        <v>4</v>
      </c>
      <c r="K104" s="36">
        <v>1</v>
      </c>
      <c r="L104" s="36" t="s">
        <v>8</v>
      </c>
    </row>
    <row r="105" spans="1:12">
      <c r="A105" s="36">
        <f ca="1" t="shared" si="1"/>
        <v>49</v>
      </c>
      <c r="B105" s="36">
        <f ca="1" t="array" ref="B105">INDEX(Data_DBD!$B:$B,$A105)</f>
        <v>64</v>
      </c>
      <c r="C105" s="36" t="str">
        <f ca="1" t="array" ref="C105">INDEX(Data_DBD!$C:$C,$A105)</f>
        <v>5 Hari</v>
      </c>
      <c r="D105" s="36">
        <f ca="1" t="array" ref="D105">INDEX(Data_DBD!$E:$E,$A105)</f>
        <v>0</v>
      </c>
      <c r="E105" s="36" t="str">
        <f ca="1" t="array" ref="E105">INDEX(Data_DBD!$F:$F,$A105)</f>
        <v>Sedang</v>
      </c>
      <c r="H105" s="36">
        <v>31</v>
      </c>
      <c r="I105" s="36">
        <v>64</v>
      </c>
      <c r="J105" s="36">
        <v>4</v>
      </c>
      <c r="K105" s="36">
        <v>1</v>
      </c>
      <c r="L105" s="36" t="s">
        <v>8</v>
      </c>
    </row>
    <row r="106" spans="1:12">
      <c r="A106" s="36">
        <f ca="1" t="shared" si="1"/>
        <v>94</v>
      </c>
      <c r="B106" s="36">
        <f ca="1" t="array" ref="B106">INDEX(Data_DBD!$B:$B,$A106)</f>
        <v>12</v>
      </c>
      <c r="C106" s="36" t="str">
        <f ca="1" t="array" ref="C106">INDEX(Data_DBD!$C:$C,$A106)</f>
        <v>4 Hari</v>
      </c>
      <c r="D106" s="36">
        <f ca="1" t="array" ref="D106">INDEX(Data_DBD!$E:$E,$A106)</f>
        <v>0</v>
      </c>
      <c r="E106" s="36" t="str">
        <f ca="1" t="array" ref="E106">INDEX(Data_DBD!$F:$F,$A106)</f>
        <v>Tinggi</v>
      </c>
      <c r="H106" s="36">
        <v>15</v>
      </c>
      <c r="I106" s="36">
        <v>21</v>
      </c>
      <c r="J106" s="36">
        <v>2</v>
      </c>
      <c r="K106" s="36">
        <v>0</v>
      </c>
      <c r="L106" s="36" t="s">
        <v>26</v>
      </c>
    </row>
    <row r="107" spans="1:12">
      <c r="A107" s="36">
        <f ca="1" t="shared" si="1"/>
        <v>119</v>
      </c>
      <c r="B107" s="36">
        <f ca="1" t="array" ref="B107">INDEX(Data_DBD!$B:$B,$A107)</f>
        <v>30</v>
      </c>
      <c r="C107" s="36" t="str">
        <f ca="1" t="array" ref="C107">INDEX(Data_DBD!$C:$C,$A107)</f>
        <v>7 Hari</v>
      </c>
      <c r="D107" s="36">
        <f ca="1" t="array" ref="D107">INDEX(Data_DBD!$E:$E,$A107)</f>
        <v>0</v>
      </c>
      <c r="E107" s="36" t="str">
        <f ca="1" t="array" ref="E107">INDEX(Data_DBD!$F:$F,$A107)</f>
        <v>Tinggi</v>
      </c>
      <c r="H107" s="36">
        <v>107</v>
      </c>
      <c r="I107" s="36">
        <v>48</v>
      </c>
      <c r="J107" s="36">
        <v>5</v>
      </c>
      <c r="K107" s="36">
        <v>0</v>
      </c>
      <c r="L107" s="36" t="s">
        <v>105</v>
      </c>
    </row>
    <row r="108" spans="1:12">
      <c r="A108" s="36">
        <f ca="1" t="shared" si="1"/>
        <v>141</v>
      </c>
      <c r="B108" s="36">
        <f ca="1" t="array" ref="B108">INDEX(Data_DBD!$B:$B,$A108)</f>
        <v>36</v>
      </c>
      <c r="C108" s="36" t="str">
        <f ca="1" t="array" ref="C108">INDEX(Data_DBD!$C:$C,$A108)</f>
        <v>2 Hari</v>
      </c>
      <c r="D108" s="36">
        <f ca="1" t="array" ref="D108">INDEX(Data_DBD!$E:$E,$A108)</f>
        <v>0</v>
      </c>
      <c r="E108" s="36" t="str">
        <f ca="1" t="array" ref="E108">INDEX(Data_DBD!$F:$F,$A108)</f>
        <v>Tinggi</v>
      </c>
      <c r="H108" s="36">
        <v>150</v>
      </c>
      <c r="I108" s="36">
        <v>61</v>
      </c>
      <c r="J108" s="36">
        <v>5</v>
      </c>
      <c r="K108" s="36">
        <v>1</v>
      </c>
      <c r="L108" s="36" t="s">
        <v>105</v>
      </c>
    </row>
    <row r="109" spans="1:12">
      <c r="A109" s="36">
        <f ca="1" t="shared" si="1"/>
        <v>20</v>
      </c>
      <c r="B109" s="36">
        <f ca="1" t="array" ref="B109">INDEX(Data_DBD!$B:$B,$A109)</f>
        <v>15</v>
      </c>
      <c r="C109" s="36" t="str">
        <f ca="1" t="array" ref="C109">INDEX(Data_DBD!$C:$C,$A109)</f>
        <v>5 Hari</v>
      </c>
      <c r="D109" s="36">
        <f ca="1" t="array" ref="D109">INDEX(Data_DBD!$E:$E,$A109)</f>
        <v>0</v>
      </c>
      <c r="E109" s="36" t="str">
        <f ca="1" t="array" ref="E109">INDEX(Data_DBD!$F:$F,$A109)</f>
        <v>Rendah</v>
      </c>
      <c r="H109" s="36">
        <v>113</v>
      </c>
      <c r="I109" s="36">
        <v>69</v>
      </c>
      <c r="J109" s="36">
        <v>1</v>
      </c>
      <c r="K109" s="36">
        <v>1</v>
      </c>
      <c r="L109" s="36" t="s">
        <v>105</v>
      </c>
    </row>
    <row r="110" spans="1:12">
      <c r="A110" s="36">
        <f ca="1" t="shared" si="1"/>
        <v>81</v>
      </c>
      <c r="B110" s="36">
        <f ca="1" t="array" ref="B110">INDEX(Data_DBD!$B:$B,$A110)</f>
        <v>23</v>
      </c>
      <c r="C110" s="36" t="str">
        <f ca="1" t="array" ref="C110">INDEX(Data_DBD!$C:$C,$A110)</f>
        <v>5 Hari</v>
      </c>
      <c r="D110" s="36">
        <f ca="1" t="array" ref="D110">INDEX(Data_DBD!$E:$E,$A110)</f>
        <v>1</v>
      </c>
      <c r="E110" s="36" t="str">
        <f ca="1" t="array" ref="E110">INDEX(Data_DBD!$F:$F,$A110)</f>
        <v>Sedang</v>
      </c>
      <c r="H110" s="36">
        <v>67</v>
      </c>
      <c r="I110" s="36">
        <v>21</v>
      </c>
      <c r="J110" s="36">
        <v>3</v>
      </c>
      <c r="K110" s="36">
        <v>1</v>
      </c>
      <c r="L110" s="36" t="s">
        <v>8</v>
      </c>
    </row>
    <row r="111" spans="1:12">
      <c r="A111" s="36">
        <f ca="1" t="shared" si="1"/>
        <v>97</v>
      </c>
      <c r="B111" s="36">
        <f ca="1" t="array" ref="B111">INDEX(Data_DBD!$B:$B,$A111)</f>
        <v>16</v>
      </c>
      <c r="C111" s="36" t="str">
        <f ca="1" t="array" ref="C111">INDEX(Data_DBD!$C:$C,$A111)</f>
        <v>2 Hari</v>
      </c>
      <c r="D111" s="36">
        <f ca="1" t="array" ref="D111">INDEX(Data_DBD!$E:$E,$A111)</f>
        <v>1</v>
      </c>
      <c r="E111" s="36" t="str">
        <f ca="1" t="array" ref="E111">INDEX(Data_DBD!$F:$F,$A111)</f>
        <v>Tinggi</v>
      </c>
      <c r="H111" s="36">
        <v>125</v>
      </c>
      <c r="I111" s="36">
        <v>39</v>
      </c>
      <c r="J111" s="36">
        <v>4</v>
      </c>
      <c r="K111" s="36">
        <v>0</v>
      </c>
      <c r="L111" s="36" t="s">
        <v>105</v>
      </c>
    </row>
    <row r="112" spans="1:12">
      <c r="A112" s="36">
        <f ca="1" t="shared" si="1"/>
        <v>78</v>
      </c>
      <c r="B112" s="36">
        <f ca="1" t="array" ref="B112">INDEX(Data_DBD!$B:$B,$A112)</f>
        <v>6</v>
      </c>
      <c r="C112" s="36" t="str">
        <f ca="1" t="array" ref="C112">INDEX(Data_DBD!$C:$C,$A112)</f>
        <v>3 Hari</v>
      </c>
      <c r="D112" s="36">
        <f ca="1" t="array" ref="D112">INDEX(Data_DBD!$E:$E,$A112)</f>
        <v>0</v>
      </c>
      <c r="E112" s="36" t="str">
        <f ca="1" t="array" ref="E112">INDEX(Data_DBD!$F:$F,$A112)</f>
        <v>Sedang</v>
      </c>
      <c r="H112" s="36">
        <v>13</v>
      </c>
      <c r="I112" s="36">
        <v>47</v>
      </c>
      <c r="J112" s="36">
        <v>2</v>
      </c>
      <c r="K112" s="36">
        <v>0</v>
      </c>
      <c r="L112" s="36" t="s">
        <v>8</v>
      </c>
    </row>
    <row r="113" spans="1:12">
      <c r="A113" s="36">
        <f ca="1" t="shared" si="1"/>
        <v>16</v>
      </c>
      <c r="B113" s="36">
        <f ca="1" t="array" ref="B113">INDEX(Data_DBD!$B:$B,$A113)</f>
        <v>66</v>
      </c>
      <c r="C113" s="36" t="str">
        <f ca="1" t="array" ref="C113">INDEX(Data_DBD!$C:$C,$A113)</f>
        <v>5 Hari</v>
      </c>
      <c r="D113" s="36">
        <f ca="1" t="array" ref="D113">INDEX(Data_DBD!$E:$E,$A113)</f>
        <v>1</v>
      </c>
      <c r="E113" s="36" t="str">
        <f ca="1" t="array" ref="E113">INDEX(Data_DBD!$F:$F,$A113)</f>
        <v>Rendah</v>
      </c>
      <c r="H113" s="36">
        <v>71</v>
      </c>
      <c r="I113" s="36">
        <v>84</v>
      </c>
      <c r="J113" s="36">
        <v>3</v>
      </c>
      <c r="K113" s="36">
        <v>0</v>
      </c>
      <c r="L113" s="36" t="s">
        <v>8</v>
      </c>
    </row>
    <row r="114" spans="1:12">
      <c r="A114" s="36">
        <f ca="1" t="shared" si="1"/>
        <v>93</v>
      </c>
      <c r="B114" s="36">
        <f ca="1" t="array" ref="B114">INDEX(Data_DBD!$B:$B,$A114)</f>
        <v>65</v>
      </c>
      <c r="C114" s="36" t="str">
        <f ca="1" t="array" ref="C114">INDEX(Data_DBD!$C:$C,$A114)</f>
        <v>4 Hari</v>
      </c>
      <c r="D114" s="36">
        <f ca="1" t="array" ref="D114">INDEX(Data_DBD!$E:$E,$A114)</f>
        <v>0</v>
      </c>
      <c r="E114" s="36" t="str">
        <f ca="1" t="array" ref="E114">INDEX(Data_DBD!$F:$F,$A114)</f>
        <v>Tinggi</v>
      </c>
      <c r="H114" s="36">
        <v>58</v>
      </c>
      <c r="I114" s="36">
        <v>17</v>
      </c>
      <c r="J114" s="36">
        <v>3</v>
      </c>
      <c r="K114" s="36">
        <v>0</v>
      </c>
      <c r="L114" s="36" t="s">
        <v>8</v>
      </c>
    </row>
    <row r="115" spans="1:12">
      <c r="A115" s="36">
        <f ca="1" t="shared" si="1"/>
        <v>142</v>
      </c>
      <c r="B115" s="36">
        <f ca="1" t="array" ref="B115">INDEX(Data_DBD!$B:$B,$A115)</f>
        <v>39</v>
      </c>
      <c r="C115" s="36" t="str">
        <f ca="1" t="array" ref="C115">INDEX(Data_DBD!$C:$C,$A115)</f>
        <v>2 Hari</v>
      </c>
      <c r="D115" s="36">
        <f ca="1" t="array" ref="D115">INDEX(Data_DBD!$E:$E,$A115)</f>
        <v>1</v>
      </c>
      <c r="E115" s="36" t="str">
        <f ca="1" t="array" ref="E115">INDEX(Data_DBD!$F:$F,$A115)</f>
        <v>Tinggi</v>
      </c>
      <c r="H115" s="36">
        <v>132</v>
      </c>
      <c r="I115" s="36">
        <v>10</v>
      </c>
      <c r="J115" s="36">
        <v>3</v>
      </c>
      <c r="K115" s="36">
        <v>1</v>
      </c>
      <c r="L115" s="36" t="s">
        <v>105</v>
      </c>
    </row>
    <row r="116" spans="1:12">
      <c r="A116" s="36">
        <f ca="1" t="shared" si="1"/>
        <v>122</v>
      </c>
      <c r="B116" s="36">
        <f ca="1" t="array" ref="B116">INDEX(Data_DBD!$B:$B,$A116)</f>
        <v>28</v>
      </c>
      <c r="C116" s="36" t="str">
        <f ca="1" t="array" ref="C116">INDEX(Data_DBD!$C:$C,$A116)</f>
        <v>3 Hari</v>
      </c>
      <c r="D116" s="36">
        <f ca="1" t="array" ref="D116">INDEX(Data_DBD!$E:$E,$A116)</f>
        <v>1</v>
      </c>
      <c r="E116" s="36" t="str">
        <f ca="1" t="array" ref="E116">INDEX(Data_DBD!$F:$F,$A116)</f>
        <v>Tinggi</v>
      </c>
      <c r="H116" s="36">
        <v>137</v>
      </c>
      <c r="I116" s="36">
        <v>3</v>
      </c>
      <c r="J116" s="36">
        <v>1</v>
      </c>
      <c r="K116" s="36">
        <v>1</v>
      </c>
      <c r="L116" s="36" t="s">
        <v>105</v>
      </c>
    </row>
    <row r="117" spans="1:12">
      <c r="A117" s="36">
        <f ca="1" t="shared" si="1"/>
        <v>68</v>
      </c>
      <c r="B117" s="36">
        <f ca="1" t="array" ref="B117">INDEX(Data_DBD!$B:$B,$A117)</f>
        <v>44</v>
      </c>
      <c r="C117" s="36" t="str">
        <f ca="1" t="array" ref="C117">INDEX(Data_DBD!$C:$C,$A117)</f>
        <v>5 Hari</v>
      </c>
      <c r="D117" s="36">
        <f ca="1" t="array" ref="D117">INDEX(Data_DBD!$E:$E,$A117)</f>
        <v>0</v>
      </c>
      <c r="E117" s="36" t="str">
        <f ca="1" t="array" ref="E117">INDEX(Data_DBD!$F:$F,$A117)</f>
        <v>Sedang</v>
      </c>
      <c r="H117" s="36">
        <v>82</v>
      </c>
      <c r="I117" s="36">
        <v>28</v>
      </c>
      <c r="J117" s="36">
        <v>3</v>
      </c>
      <c r="K117" s="36">
        <v>1</v>
      </c>
      <c r="L117" s="36" t="s">
        <v>8</v>
      </c>
    </row>
    <row r="118" spans="1:12">
      <c r="A118" s="36">
        <f ca="1" t="shared" si="1"/>
        <v>6</v>
      </c>
      <c r="B118" s="36">
        <f ca="1" t="array" ref="B118">INDEX(Data_DBD!$B:$B,$A118)</f>
        <v>14</v>
      </c>
      <c r="C118" s="36" t="str">
        <f ca="1" t="array" ref="C118">INDEX(Data_DBD!$C:$C,$A118)</f>
        <v>4 Hari</v>
      </c>
      <c r="D118" s="36">
        <f ca="1" t="array" ref="D118">INDEX(Data_DBD!$E:$E,$A118)</f>
        <v>0</v>
      </c>
      <c r="E118" s="36" t="str">
        <f ca="1" t="array" ref="E118">INDEX(Data_DBD!$F:$F,$A118)</f>
        <v>Sedang</v>
      </c>
      <c r="H118" s="36">
        <v>97</v>
      </c>
      <c r="I118" s="36">
        <v>16</v>
      </c>
      <c r="J118" s="36">
        <v>2</v>
      </c>
      <c r="K118" s="36">
        <v>1</v>
      </c>
      <c r="L118" s="36" t="s">
        <v>105</v>
      </c>
    </row>
    <row r="119" spans="1:12">
      <c r="A119" s="36">
        <f ca="1" t="shared" si="1"/>
        <v>39</v>
      </c>
      <c r="B119" s="36">
        <f ca="1" t="array" ref="B119">INDEX(Data_DBD!$B:$B,$A119)</f>
        <v>12</v>
      </c>
      <c r="C119" s="36" t="str">
        <f ca="1" t="array" ref="C119">INDEX(Data_DBD!$C:$C,$A119)</f>
        <v>5 Hari</v>
      </c>
      <c r="D119" s="36">
        <f ca="1" t="array" ref="D119">INDEX(Data_DBD!$E:$E,$A119)</f>
        <v>1</v>
      </c>
      <c r="E119" s="36" t="str">
        <f ca="1" t="array" ref="E119">INDEX(Data_DBD!$F:$F,$A119)</f>
        <v>Sedang</v>
      </c>
      <c r="H119" s="36">
        <v>39</v>
      </c>
      <c r="I119" s="36">
        <v>12</v>
      </c>
      <c r="J119" s="36">
        <v>5</v>
      </c>
      <c r="K119" s="36">
        <v>1</v>
      </c>
      <c r="L119" s="36" t="s">
        <v>8</v>
      </c>
    </row>
    <row r="120" spans="1:12">
      <c r="A120" s="36">
        <f ca="1" t="shared" si="1"/>
        <v>144</v>
      </c>
      <c r="B120" s="36">
        <f ca="1" t="array" ref="B120">INDEX(Data_DBD!$B:$B,$A120)</f>
        <v>61</v>
      </c>
      <c r="C120" s="36" t="str">
        <f ca="1" t="array" ref="C120">INDEX(Data_DBD!$C:$C,$A120)</f>
        <v>4 Hari</v>
      </c>
      <c r="D120" s="36">
        <f ca="1" t="array" ref="D120">INDEX(Data_DBD!$E:$E,$A120)</f>
        <v>1</v>
      </c>
      <c r="E120" s="36" t="str">
        <f ca="1" t="array" ref="E120">INDEX(Data_DBD!$F:$F,$A120)</f>
        <v>Tinggi</v>
      </c>
      <c r="H120" s="36">
        <v>47</v>
      </c>
      <c r="I120" s="36">
        <v>19</v>
      </c>
      <c r="J120" s="36">
        <v>2</v>
      </c>
      <c r="K120" s="36">
        <v>0</v>
      </c>
      <c r="L120" s="36" t="s">
        <v>8</v>
      </c>
    </row>
    <row r="121" spans="1:12">
      <c r="A121" s="36">
        <f ca="1" t="shared" si="1"/>
        <v>86</v>
      </c>
      <c r="B121" s="36">
        <f ca="1" t="array" ref="B121">INDEX(Data_DBD!$B:$B,$A121)</f>
        <v>23</v>
      </c>
      <c r="C121" s="36" t="str">
        <f ca="1" t="array" ref="C121">INDEX(Data_DBD!$C:$C,$A121)</f>
        <v>3 Hari</v>
      </c>
      <c r="D121" s="36">
        <f ca="1" t="array" ref="D121">INDEX(Data_DBD!$E:$E,$A121)</f>
        <v>0</v>
      </c>
      <c r="E121" s="36" t="str">
        <f ca="1" t="array" ref="E121">INDEX(Data_DBD!$F:$F,$A121)</f>
        <v>Sedang</v>
      </c>
      <c r="H121" s="36">
        <v>87</v>
      </c>
      <c r="I121" s="36">
        <v>21</v>
      </c>
      <c r="J121" s="36">
        <v>3</v>
      </c>
      <c r="K121" s="36">
        <v>0</v>
      </c>
      <c r="L121" s="36" t="s">
        <v>8</v>
      </c>
    </row>
    <row r="122" spans="1:12">
      <c r="A122" s="36">
        <f ca="1" t="shared" si="1"/>
        <v>40</v>
      </c>
      <c r="B122" s="36">
        <f ca="1" t="array" ref="B122">INDEX(Data_DBD!$B:$B,$A122)</f>
        <v>65</v>
      </c>
      <c r="C122" s="36" t="str">
        <f ca="1" t="array" ref="C122">INDEX(Data_DBD!$C:$C,$A122)</f>
        <v>3 Hari</v>
      </c>
      <c r="D122" s="36">
        <f ca="1" t="array" ref="D122">INDEX(Data_DBD!$E:$E,$A122)</f>
        <v>1</v>
      </c>
      <c r="E122" s="36" t="str">
        <f ca="1" t="array" ref="E122">INDEX(Data_DBD!$F:$F,$A122)</f>
        <v>Sedang</v>
      </c>
      <c r="H122" s="36">
        <v>31</v>
      </c>
      <c r="I122" s="36">
        <v>64</v>
      </c>
      <c r="J122" s="36">
        <v>4</v>
      </c>
      <c r="K122" s="36">
        <v>1</v>
      </c>
      <c r="L122" s="36" t="s">
        <v>8</v>
      </c>
    </row>
    <row r="123" spans="1:12">
      <c r="A123" s="36">
        <f ca="1" t="shared" si="1"/>
        <v>104</v>
      </c>
      <c r="B123" s="36">
        <f ca="1" t="array" ref="B123">INDEX(Data_DBD!$B:$B,$A123)</f>
        <v>37</v>
      </c>
      <c r="C123" s="36" t="str">
        <f ca="1" t="array" ref="C123">INDEX(Data_DBD!$C:$C,$A123)</f>
        <v>4 Hari</v>
      </c>
      <c r="D123" s="36">
        <f ca="1" t="array" ref="D123">INDEX(Data_DBD!$E:$E,$A123)</f>
        <v>1</v>
      </c>
      <c r="E123" s="36" t="str">
        <f ca="1" t="array" ref="E123">INDEX(Data_DBD!$F:$F,$A123)</f>
        <v>Tinggi</v>
      </c>
      <c r="H123" s="36">
        <v>78</v>
      </c>
      <c r="I123" s="36">
        <v>6</v>
      </c>
      <c r="J123" s="36">
        <v>3</v>
      </c>
      <c r="K123" s="36">
        <v>0</v>
      </c>
      <c r="L123" s="36" t="s">
        <v>8</v>
      </c>
    </row>
    <row r="124" spans="1:12">
      <c r="A124" s="36">
        <f ca="1" t="shared" si="1"/>
        <v>36</v>
      </c>
      <c r="B124" s="36">
        <f ca="1" t="array" ref="B124">INDEX(Data_DBD!$B:$B,$A124)</f>
        <v>27</v>
      </c>
      <c r="C124" s="36" t="str">
        <f ca="1" t="array" ref="C124">INDEX(Data_DBD!$C:$C,$A124)</f>
        <v>1 Hari</v>
      </c>
      <c r="D124" s="36">
        <f ca="1" t="array" ref="D124">INDEX(Data_DBD!$E:$E,$A124)</f>
        <v>1</v>
      </c>
      <c r="E124" s="36" t="str">
        <f ca="1" t="array" ref="E124">INDEX(Data_DBD!$F:$F,$A124)</f>
        <v>Rendah</v>
      </c>
      <c r="H124" s="36">
        <v>56</v>
      </c>
      <c r="I124" s="36">
        <v>4</v>
      </c>
      <c r="J124" s="36">
        <v>3</v>
      </c>
      <c r="K124" s="36">
        <v>0</v>
      </c>
      <c r="L124" s="36" t="s">
        <v>8</v>
      </c>
    </row>
    <row r="125" spans="1:12">
      <c r="A125" s="36">
        <f ca="1" t="shared" si="1"/>
        <v>147</v>
      </c>
      <c r="B125" s="36">
        <f ca="1" t="array" ref="B125">INDEX(Data_DBD!$B:$B,$A125)</f>
        <v>66</v>
      </c>
      <c r="C125" s="36" t="str">
        <f ca="1" t="array" ref="C125">INDEX(Data_DBD!$C:$C,$A125)</f>
        <v>10 Hari</v>
      </c>
      <c r="D125" s="36">
        <f ca="1" t="array" ref="D125">INDEX(Data_DBD!$E:$E,$A125)</f>
        <v>1</v>
      </c>
      <c r="E125" s="36" t="str">
        <f ca="1" t="array" ref="E125">INDEX(Data_DBD!$F:$F,$A125)</f>
        <v>Tinggi</v>
      </c>
      <c r="H125" s="36">
        <v>62</v>
      </c>
      <c r="I125" s="36">
        <v>43</v>
      </c>
      <c r="J125" s="36">
        <v>4</v>
      </c>
      <c r="K125" s="36">
        <v>1</v>
      </c>
      <c r="L125" s="36" t="s">
        <v>8</v>
      </c>
    </row>
    <row r="126" spans="1:12">
      <c r="A126" s="36">
        <f ca="1" t="shared" si="1"/>
        <v>15</v>
      </c>
      <c r="B126" s="36">
        <f ca="1" t="array" ref="B126">INDEX(Data_DBD!$B:$B,$A126)</f>
        <v>21</v>
      </c>
      <c r="C126" s="36" t="str">
        <f ca="1" t="array" ref="C126">INDEX(Data_DBD!$C:$C,$A126)</f>
        <v>2 Hari</v>
      </c>
      <c r="D126" s="36">
        <f ca="1" t="array" ref="D126">INDEX(Data_DBD!$E:$E,$A126)</f>
        <v>0</v>
      </c>
      <c r="E126" s="36" t="str">
        <f ca="1" t="array" ref="E126">INDEX(Data_DBD!$F:$F,$A126)</f>
        <v>Rendah</v>
      </c>
      <c r="H126" s="36">
        <v>70</v>
      </c>
      <c r="I126" s="36">
        <v>26</v>
      </c>
      <c r="J126" s="36">
        <v>3</v>
      </c>
      <c r="K126" s="36">
        <v>1</v>
      </c>
      <c r="L126" s="36" t="s">
        <v>8</v>
      </c>
    </row>
    <row r="127" spans="1:12">
      <c r="A127" s="36">
        <f ca="1" t="shared" si="1"/>
        <v>4</v>
      </c>
      <c r="B127" s="36">
        <f ca="1" t="array" ref="B127">INDEX(Data_DBD!$B:$B,$A127)</f>
        <v>23</v>
      </c>
      <c r="C127" s="36" t="str">
        <f ca="1" t="array" ref="C127">INDEX(Data_DBD!$C:$C,$A127)</f>
        <v>5 Hari</v>
      </c>
      <c r="D127" s="36">
        <f ca="1" t="array" ref="D127">INDEX(Data_DBD!$E:$E,$A127)</f>
        <v>0</v>
      </c>
      <c r="E127" s="36" t="str">
        <f ca="1" t="array" ref="E127">INDEX(Data_DBD!$F:$F,$A127)</f>
        <v>Sedang</v>
      </c>
      <c r="H127" s="36">
        <v>100</v>
      </c>
      <c r="I127" s="36">
        <v>19</v>
      </c>
      <c r="J127" s="36">
        <v>6</v>
      </c>
      <c r="K127" s="36">
        <v>0</v>
      </c>
      <c r="L127" s="36" t="s">
        <v>105</v>
      </c>
    </row>
    <row r="128" spans="1:12">
      <c r="A128" s="36">
        <f ca="1" t="shared" si="1"/>
        <v>32</v>
      </c>
      <c r="B128" s="36">
        <f ca="1" t="array" ref="B128">INDEX(Data_DBD!$B:$B,$A128)</f>
        <v>54</v>
      </c>
      <c r="C128" s="36" t="str">
        <f ca="1" t="array" ref="C128">INDEX(Data_DBD!$C:$C,$A128)</f>
        <v>4 Hari</v>
      </c>
      <c r="D128" s="36">
        <f ca="1" t="array" ref="D128">INDEX(Data_DBD!$E:$E,$A128)</f>
        <v>0</v>
      </c>
      <c r="E128" s="36" t="str">
        <f ca="1" t="array" ref="E128">INDEX(Data_DBD!$F:$F,$A128)</f>
        <v>Sedang</v>
      </c>
      <c r="H128" s="36">
        <v>93</v>
      </c>
      <c r="I128" s="36">
        <v>65</v>
      </c>
      <c r="J128" s="36">
        <v>4</v>
      </c>
      <c r="K128" s="36">
        <v>0</v>
      </c>
      <c r="L128" s="36" t="s">
        <v>105</v>
      </c>
    </row>
    <row r="129" spans="1:12">
      <c r="A129" s="36">
        <f ca="1" t="shared" si="1"/>
        <v>68</v>
      </c>
      <c r="B129" s="36">
        <f ca="1" t="array" ref="B129">INDEX(Data_DBD!$B:$B,$A129)</f>
        <v>44</v>
      </c>
      <c r="C129" s="36" t="str">
        <f ca="1" t="array" ref="C129">INDEX(Data_DBD!$C:$C,$A129)</f>
        <v>5 Hari</v>
      </c>
      <c r="D129" s="36">
        <f ca="1" t="array" ref="D129">INDEX(Data_DBD!$E:$E,$A129)</f>
        <v>0</v>
      </c>
      <c r="E129" s="36" t="str">
        <f ca="1" t="array" ref="E129">INDEX(Data_DBD!$F:$F,$A129)</f>
        <v>Sedang</v>
      </c>
      <c r="H129" s="36">
        <v>48</v>
      </c>
      <c r="I129" s="36">
        <v>50</v>
      </c>
      <c r="J129" s="36">
        <v>5</v>
      </c>
      <c r="K129" s="36">
        <v>1</v>
      </c>
      <c r="L129" s="36" t="s">
        <v>8</v>
      </c>
    </row>
    <row r="130" spans="1:12">
      <c r="A130" s="36">
        <f ca="1" t="shared" si="1"/>
        <v>71</v>
      </c>
      <c r="B130" s="36">
        <f ca="1" t="array" ref="B130">INDEX(Data_DBD!$B:$B,$A130)</f>
        <v>84</v>
      </c>
      <c r="C130" s="36" t="str">
        <f ca="1" t="array" ref="C130">INDEX(Data_DBD!$C:$C,$A130)</f>
        <v>3 Hari</v>
      </c>
      <c r="D130" s="36">
        <f ca="1" t="array" ref="D130">INDEX(Data_DBD!$E:$E,$A130)</f>
        <v>0</v>
      </c>
      <c r="E130" s="36" t="str">
        <f ca="1" t="array" ref="E130">INDEX(Data_DBD!$F:$F,$A130)</f>
        <v>Sedang</v>
      </c>
      <c r="H130" s="36">
        <v>143</v>
      </c>
      <c r="I130" s="36">
        <v>20</v>
      </c>
      <c r="J130" s="36">
        <v>4</v>
      </c>
      <c r="K130" s="36">
        <v>1</v>
      </c>
      <c r="L130" s="36" t="s">
        <v>105</v>
      </c>
    </row>
    <row r="131" spans="1:12">
      <c r="A131" s="36">
        <f ca="1" t="shared" ref="A131:A164" si="2">RANDBETWEEN(2,164)</f>
        <v>137</v>
      </c>
      <c r="B131" s="36">
        <f ca="1" t="array" ref="B131">INDEX(Data_DBD!$B:$B,$A131)</f>
        <v>3.5</v>
      </c>
      <c r="C131" s="36" t="str">
        <f ca="1" t="array" ref="C131">INDEX(Data_DBD!$C:$C,$A131)</f>
        <v>1 Hari</v>
      </c>
      <c r="D131" s="36">
        <f ca="1" t="array" ref="D131">INDEX(Data_DBD!$E:$E,$A131)</f>
        <v>1</v>
      </c>
      <c r="E131" s="36" t="str">
        <f ca="1" t="array" ref="E131">INDEX(Data_DBD!$F:$F,$A131)</f>
        <v>Tinggi</v>
      </c>
      <c r="H131" s="36">
        <v>107</v>
      </c>
      <c r="I131" s="36">
        <v>48</v>
      </c>
      <c r="J131" s="36">
        <v>5</v>
      </c>
      <c r="K131" s="36">
        <v>0</v>
      </c>
      <c r="L131" s="36" t="s">
        <v>105</v>
      </c>
    </row>
    <row r="132" spans="1:12">
      <c r="A132" s="36">
        <f ca="1" t="shared" si="2"/>
        <v>34</v>
      </c>
      <c r="B132" s="36">
        <f ca="1" t="array" ref="B132">INDEX(Data_DBD!$B:$B,$A132)</f>
        <v>55</v>
      </c>
      <c r="C132" s="36" t="str">
        <f ca="1" t="array" ref="C132">INDEX(Data_DBD!$C:$C,$A132)</f>
        <v>3 Hari</v>
      </c>
      <c r="D132" s="36">
        <f ca="1" t="array" ref="D132">INDEX(Data_DBD!$E:$E,$A132)</f>
        <v>0</v>
      </c>
      <c r="E132" s="36" t="str">
        <f ca="1" t="array" ref="E132">INDEX(Data_DBD!$F:$F,$A132)</f>
        <v>Sedang</v>
      </c>
      <c r="H132" s="36">
        <v>122</v>
      </c>
      <c r="I132" s="36">
        <v>28</v>
      </c>
      <c r="J132" s="36">
        <v>3</v>
      </c>
      <c r="K132" s="36">
        <v>1</v>
      </c>
      <c r="L132" s="36" t="s">
        <v>105</v>
      </c>
    </row>
    <row r="133" spans="1:12">
      <c r="A133" s="36">
        <f ca="1" t="shared" si="2"/>
        <v>88</v>
      </c>
      <c r="B133" s="36">
        <f ca="1" t="array" ref="B133">INDEX(Data_DBD!$B:$B,$A133)</f>
        <v>20</v>
      </c>
      <c r="C133" s="36" t="str">
        <f ca="1" t="array" ref="C133">INDEX(Data_DBD!$C:$C,$A133)</f>
        <v>4 Hari</v>
      </c>
      <c r="D133" s="36">
        <f ca="1" t="array" ref="D133">INDEX(Data_DBD!$E:$E,$A133)</f>
        <v>1</v>
      </c>
      <c r="E133" s="36" t="str">
        <f ca="1" t="array" ref="E133">INDEX(Data_DBD!$F:$F,$A133)</f>
        <v>Sedang</v>
      </c>
      <c r="H133" s="36">
        <v>47</v>
      </c>
      <c r="I133" s="36">
        <v>19</v>
      </c>
      <c r="J133" s="36">
        <v>2</v>
      </c>
      <c r="K133" s="36">
        <v>0</v>
      </c>
      <c r="L133" s="36" t="s">
        <v>8</v>
      </c>
    </row>
    <row r="134" spans="1:12">
      <c r="A134" s="36">
        <f ca="1" t="shared" si="2"/>
        <v>26</v>
      </c>
      <c r="B134" s="36">
        <f ca="1" t="array" ref="B134">INDEX(Data_DBD!$B:$B,$A134)</f>
        <v>75</v>
      </c>
      <c r="C134" s="36" t="str">
        <f ca="1" t="array" ref="C134">INDEX(Data_DBD!$C:$C,$A134)</f>
        <v>4 Hari</v>
      </c>
      <c r="D134" s="36">
        <f ca="1" t="array" ref="D134">INDEX(Data_DBD!$E:$E,$A134)</f>
        <v>1</v>
      </c>
      <c r="E134" s="36" t="str">
        <f ca="1" t="array" ref="E134">INDEX(Data_DBD!$F:$F,$A134)</f>
        <v>Sedang</v>
      </c>
      <c r="H134" s="36">
        <v>123</v>
      </c>
      <c r="I134" s="36">
        <v>22</v>
      </c>
      <c r="J134" s="36">
        <v>4</v>
      </c>
      <c r="K134" s="36">
        <v>0</v>
      </c>
      <c r="L134" s="36" t="s">
        <v>105</v>
      </c>
    </row>
    <row r="135" spans="1:12">
      <c r="A135" s="36">
        <f ca="1" t="shared" si="2"/>
        <v>71</v>
      </c>
      <c r="B135" s="36">
        <f ca="1" t="array" ref="B135">INDEX(Data_DBD!$B:$B,$A135)</f>
        <v>84</v>
      </c>
      <c r="C135" s="36" t="str">
        <f ca="1" t="array" ref="C135">INDEX(Data_DBD!$C:$C,$A135)</f>
        <v>3 Hari</v>
      </c>
      <c r="D135" s="36">
        <f ca="1" t="array" ref="D135">INDEX(Data_DBD!$E:$E,$A135)</f>
        <v>0</v>
      </c>
      <c r="E135" s="36" t="str">
        <f ca="1" t="array" ref="E135">INDEX(Data_DBD!$F:$F,$A135)</f>
        <v>Sedang</v>
      </c>
      <c r="H135" s="36">
        <v>97</v>
      </c>
      <c r="I135" s="36">
        <v>16</v>
      </c>
      <c r="J135" s="36">
        <v>2</v>
      </c>
      <c r="K135" s="36">
        <v>1</v>
      </c>
      <c r="L135" s="36" t="s">
        <v>105</v>
      </c>
    </row>
    <row r="136" spans="1:12">
      <c r="A136" s="36">
        <f ca="1" t="shared" si="2"/>
        <v>77</v>
      </c>
      <c r="B136" s="36">
        <f ca="1" t="array" ref="B136">INDEX(Data_DBD!$B:$B,$A136)</f>
        <v>16</v>
      </c>
      <c r="C136" s="36" t="str">
        <f ca="1" t="array" ref="C136">INDEX(Data_DBD!$C:$C,$A136)</f>
        <v>4 Hari</v>
      </c>
      <c r="D136" s="36">
        <f ca="1" t="array" ref="D136">INDEX(Data_DBD!$E:$E,$A136)</f>
        <v>1</v>
      </c>
      <c r="E136" s="36" t="str">
        <f ca="1" t="array" ref="E136">INDEX(Data_DBD!$F:$F,$A136)</f>
        <v>Sedang</v>
      </c>
      <c r="H136" s="36">
        <v>106</v>
      </c>
      <c r="I136" s="36">
        <v>23</v>
      </c>
      <c r="J136" s="36">
        <v>3</v>
      </c>
      <c r="K136" s="36">
        <v>1</v>
      </c>
      <c r="L136" s="36" t="s">
        <v>105</v>
      </c>
    </row>
    <row r="137" spans="1:12">
      <c r="A137" s="36">
        <f ca="1" t="shared" si="2"/>
        <v>28</v>
      </c>
      <c r="B137" s="36">
        <f ca="1" t="array" ref="B137">INDEX(Data_DBD!$B:$B,$A137)</f>
        <v>22</v>
      </c>
      <c r="C137" s="36" t="str">
        <f ca="1" t="array" ref="C137">INDEX(Data_DBD!$C:$C,$A137)</f>
        <v>2 Hari</v>
      </c>
      <c r="D137" s="36">
        <f ca="1" t="array" ref="D137">INDEX(Data_DBD!$E:$E,$A137)</f>
        <v>1</v>
      </c>
      <c r="E137" s="36" t="str">
        <f ca="1" t="array" ref="E137">INDEX(Data_DBD!$F:$F,$A137)</f>
        <v>Sedang</v>
      </c>
      <c r="H137" s="36">
        <v>10</v>
      </c>
      <c r="I137" s="36">
        <v>18</v>
      </c>
      <c r="J137" s="36">
        <v>5</v>
      </c>
      <c r="K137" s="36">
        <v>0</v>
      </c>
      <c r="L137" s="36" t="s">
        <v>8</v>
      </c>
    </row>
    <row r="138" spans="1:12">
      <c r="A138" s="36">
        <f ca="1" t="shared" si="2"/>
        <v>119</v>
      </c>
      <c r="B138" s="36">
        <f ca="1" t="array" ref="B138">INDEX(Data_DBD!$B:$B,$A138)</f>
        <v>30</v>
      </c>
      <c r="C138" s="36" t="str">
        <f ca="1" t="array" ref="C138">INDEX(Data_DBD!$C:$C,$A138)</f>
        <v>7 Hari</v>
      </c>
      <c r="D138" s="36">
        <f ca="1" t="array" ref="D138">INDEX(Data_DBD!$E:$E,$A138)</f>
        <v>0</v>
      </c>
      <c r="E138" s="36" t="str">
        <f ca="1" t="array" ref="E138">INDEX(Data_DBD!$F:$F,$A138)</f>
        <v>Tinggi</v>
      </c>
      <c r="H138" s="36">
        <v>155</v>
      </c>
      <c r="I138" s="36">
        <v>19</v>
      </c>
      <c r="J138" s="36">
        <v>5</v>
      </c>
      <c r="K138" s="36">
        <v>1</v>
      </c>
      <c r="L138" s="36" t="s">
        <v>105</v>
      </c>
    </row>
    <row r="139" spans="1:12">
      <c r="A139" s="36">
        <f ca="1" t="shared" si="2"/>
        <v>109</v>
      </c>
      <c r="B139" s="36">
        <f ca="1" t="array" ref="B139">INDEX(Data_DBD!$B:$B,$A139)</f>
        <v>40</v>
      </c>
      <c r="C139" s="36" t="str">
        <f ca="1" t="array" ref="C139">INDEX(Data_DBD!$C:$C,$A139)</f>
        <v>3 Hari</v>
      </c>
      <c r="D139" s="36">
        <f ca="1" t="array" ref="D139">INDEX(Data_DBD!$E:$E,$A139)</f>
        <v>1</v>
      </c>
      <c r="E139" s="36" t="str">
        <f ca="1" t="array" ref="E139">INDEX(Data_DBD!$F:$F,$A139)</f>
        <v>Tinggi</v>
      </c>
      <c r="H139" s="36">
        <v>31</v>
      </c>
      <c r="I139" s="36">
        <v>64</v>
      </c>
      <c r="J139" s="36">
        <v>4</v>
      </c>
      <c r="K139" s="36">
        <v>1</v>
      </c>
      <c r="L139" s="36" t="s">
        <v>8</v>
      </c>
    </row>
    <row r="140" spans="1:12">
      <c r="A140" s="36">
        <f ca="1" t="shared" si="2"/>
        <v>34</v>
      </c>
      <c r="B140" s="36">
        <f ca="1" t="array" ref="B140">INDEX(Data_DBD!$B:$B,$A140)</f>
        <v>55</v>
      </c>
      <c r="C140" s="36" t="str">
        <f ca="1" t="array" ref="C140">INDEX(Data_DBD!$C:$C,$A140)</f>
        <v>3 Hari</v>
      </c>
      <c r="D140" s="36">
        <f ca="1" t="array" ref="D140">INDEX(Data_DBD!$E:$E,$A140)</f>
        <v>0</v>
      </c>
      <c r="E140" s="36" t="str">
        <f ca="1" t="array" ref="E140">INDEX(Data_DBD!$F:$F,$A140)</f>
        <v>Sedang</v>
      </c>
      <c r="H140" s="36">
        <v>163</v>
      </c>
      <c r="I140" s="36">
        <v>34</v>
      </c>
      <c r="J140" s="36">
        <v>4</v>
      </c>
      <c r="K140" s="36">
        <v>1</v>
      </c>
      <c r="L140" s="36" t="s">
        <v>26</v>
      </c>
    </row>
    <row r="141" spans="1:12">
      <c r="A141" s="36">
        <f ca="1" t="shared" si="2"/>
        <v>148</v>
      </c>
      <c r="B141" s="36">
        <f ca="1" t="array" ref="B141">INDEX(Data_DBD!$B:$B,$A141)</f>
        <v>55</v>
      </c>
      <c r="C141" s="36" t="str">
        <f ca="1" t="array" ref="C141">INDEX(Data_DBD!$C:$C,$A141)</f>
        <v>3 Hari</v>
      </c>
      <c r="D141" s="36">
        <f ca="1" t="array" ref="D141">INDEX(Data_DBD!$E:$E,$A141)</f>
        <v>1</v>
      </c>
      <c r="E141" s="36" t="str">
        <f ca="1" t="array" ref="E141">INDEX(Data_DBD!$F:$F,$A141)</f>
        <v>Tinggi</v>
      </c>
      <c r="H141" s="36">
        <v>26</v>
      </c>
      <c r="I141" s="36">
        <v>75</v>
      </c>
      <c r="J141" s="36">
        <v>4</v>
      </c>
      <c r="K141" s="36">
        <v>1</v>
      </c>
      <c r="L141" s="36" t="s">
        <v>8</v>
      </c>
    </row>
    <row r="142" spans="1:12">
      <c r="A142" s="36">
        <f ca="1" t="shared" si="2"/>
        <v>92</v>
      </c>
      <c r="B142" s="36">
        <f ca="1" t="array" ref="B142">INDEX(Data_DBD!$B:$B,$A142)</f>
        <v>55</v>
      </c>
      <c r="C142" s="36" t="str">
        <f ca="1" t="array" ref="C142">INDEX(Data_DBD!$C:$C,$A142)</f>
        <v>7 Hari</v>
      </c>
      <c r="D142" s="36">
        <f ca="1" t="array" ref="D142">INDEX(Data_DBD!$E:$E,$A142)</f>
        <v>0</v>
      </c>
      <c r="E142" s="36" t="str">
        <f ca="1" t="array" ref="E142">INDEX(Data_DBD!$F:$F,$A142)</f>
        <v>Tinggi</v>
      </c>
      <c r="H142" s="36">
        <v>90</v>
      </c>
      <c r="I142" s="36">
        <v>47</v>
      </c>
      <c r="J142" s="36">
        <v>3</v>
      </c>
      <c r="K142" s="36">
        <v>0</v>
      </c>
      <c r="L142" s="36" t="s">
        <v>105</v>
      </c>
    </row>
    <row r="143" spans="1:12">
      <c r="A143" s="36">
        <f ca="1" t="shared" si="2"/>
        <v>100</v>
      </c>
      <c r="B143" s="36">
        <f ca="1" t="array" ref="B143">INDEX(Data_DBD!$B:$B,$A143)</f>
        <v>19</v>
      </c>
      <c r="C143" s="36" t="str">
        <f ca="1" t="array" ref="C143">INDEX(Data_DBD!$C:$C,$A143)</f>
        <v>6 Hari</v>
      </c>
      <c r="D143" s="36">
        <f ca="1" t="array" ref="D143">INDEX(Data_DBD!$E:$E,$A143)</f>
        <v>0</v>
      </c>
      <c r="E143" s="36" t="str">
        <f ca="1" t="array" ref="E143">INDEX(Data_DBD!$F:$F,$A143)</f>
        <v>Tinggi</v>
      </c>
      <c r="H143" s="36">
        <v>59</v>
      </c>
      <c r="I143" s="36">
        <v>28</v>
      </c>
      <c r="J143" s="36">
        <v>4</v>
      </c>
      <c r="K143" s="36">
        <v>0</v>
      </c>
      <c r="L143" s="36" t="s">
        <v>8</v>
      </c>
    </row>
    <row r="144" spans="1:12">
      <c r="A144" s="36">
        <f ca="1" t="shared" si="2"/>
        <v>56</v>
      </c>
      <c r="B144" s="36">
        <f ca="1" t="array" ref="B144">INDEX(Data_DBD!$B:$B,$A144)</f>
        <v>4</v>
      </c>
      <c r="C144" s="36" t="str">
        <f ca="1" t="array" ref="C144">INDEX(Data_DBD!$C:$C,$A144)</f>
        <v>3 Hari</v>
      </c>
      <c r="D144" s="36">
        <f ca="1" t="array" ref="D144">INDEX(Data_DBD!$E:$E,$A144)</f>
        <v>0</v>
      </c>
      <c r="E144" s="36" t="str">
        <f ca="1" t="array" ref="E144">INDEX(Data_DBD!$F:$F,$A144)</f>
        <v>Sedang</v>
      </c>
      <c r="H144" s="36">
        <v>76</v>
      </c>
      <c r="I144" s="36">
        <v>70</v>
      </c>
      <c r="J144" s="36">
        <v>2</v>
      </c>
      <c r="K144" s="36">
        <v>0</v>
      </c>
      <c r="L144" s="36" t="s">
        <v>8</v>
      </c>
    </row>
    <row r="145" spans="1:12">
      <c r="A145" s="36">
        <f ca="1" t="shared" si="2"/>
        <v>15</v>
      </c>
      <c r="B145" s="36">
        <f ca="1" t="array" ref="B145">INDEX(Data_DBD!$B:$B,$A145)</f>
        <v>21</v>
      </c>
      <c r="C145" s="36" t="str">
        <f ca="1" t="array" ref="C145">INDEX(Data_DBD!$C:$C,$A145)</f>
        <v>2 Hari</v>
      </c>
      <c r="D145" s="36">
        <f ca="1" t="array" ref="D145">INDEX(Data_DBD!$E:$E,$A145)</f>
        <v>0</v>
      </c>
      <c r="E145" s="36" t="str">
        <f ca="1" t="array" ref="E145">INDEX(Data_DBD!$F:$F,$A145)</f>
        <v>Rendah</v>
      </c>
      <c r="H145" s="36">
        <v>144</v>
      </c>
      <c r="I145" s="36">
        <v>61</v>
      </c>
      <c r="J145" s="36">
        <v>4</v>
      </c>
      <c r="K145" s="36">
        <v>1</v>
      </c>
      <c r="L145" s="36" t="s">
        <v>105</v>
      </c>
    </row>
    <row r="146" spans="1:12">
      <c r="A146" s="36">
        <f ca="1" t="shared" si="2"/>
        <v>107</v>
      </c>
      <c r="B146" s="36">
        <f ca="1" t="array" ref="B146">INDEX(Data_DBD!$B:$B,$A146)</f>
        <v>48</v>
      </c>
      <c r="C146" s="36" t="str">
        <f ca="1" t="array" ref="C146">INDEX(Data_DBD!$C:$C,$A146)</f>
        <v>5 Hari</v>
      </c>
      <c r="D146" s="36">
        <f ca="1" t="array" ref="D146">INDEX(Data_DBD!$E:$E,$A146)</f>
        <v>0</v>
      </c>
      <c r="E146" s="36" t="str">
        <f ca="1" t="array" ref="E146">INDEX(Data_DBD!$F:$F,$A146)</f>
        <v>Tinggi</v>
      </c>
      <c r="H146" s="36">
        <v>14</v>
      </c>
      <c r="I146" s="36">
        <v>49</v>
      </c>
      <c r="J146" s="36">
        <v>4</v>
      </c>
      <c r="K146" s="36">
        <v>1</v>
      </c>
      <c r="L146" s="36" t="s">
        <v>26</v>
      </c>
    </row>
    <row r="147" spans="1:12">
      <c r="A147" s="36">
        <f ca="1" t="shared" si="2"/>
        <v>164</v>
      </c>
      <c r="B147" s="36">
        <f ca="1" t="array" ref="B147">INDEX(Data_DBD!$B:$B,$A147)</f>
        <v>10</v>
      </c>
      <c r="C147" s="36" t="str">
        <f ca="1" t="array" ref="C147">INDEX(Data_DBD!$C:$C,$A147)</f>
        <v>6 Hari</v>
      </c>
      <c r="D147" s="36">
        <f ca="1" t="array" ref="D147">INDEX(Data_DBD!$E:$E,$A147)</f>
        <v>0</v>
      </c>
      <c r="E147" s="36" t="str">
        <f ca="1" t="array" ref="E147">INDEX(Data_DBD!$F:$F,$A147)</f>
        <v>Rendah</v>
      </c>
      <c r="H147" s="36">
        <v>47</v>
      </c>
      <c r="I147" s="36">
        <v>19</v>
      </c>
      <c r="J147" s="36">
        <v>2</v>
      </c>
      <c r="K147" s="36">
        <v>0</v>
      </c>
      <c r="L147" s="36" t="s">
        <v>8</v>
      </c>
    </row>
    <row r="148" spans="1:12">
      <c r="A148" s="36">
        <f ca="1" t="shared" si="2"/>
        <v>49</v>
      </c>
      <c r="B148" s="36">
        <f ca="1" t="array" ref="B148">INDEX(Data_DBD!$B:$B,$A148)</f>
        <v>64</v>
      </c>
      <c r="C148" s="36" t="str">
        <f ca="1" t="array" ref="C148">INDEX(Data_DBD!$C:$C,$A148)</f>
        <v>5 Hari</v>
      </c>
      <c r="D148" s="36">
        <f ca="1" t="array" ref="D148">INDEX(Data_DBD!$E:$E,$A148)</f>
        <v>0</v>
      </c>
      <c r="E148" s="36" t="str">
        <f ca="1" t="array" ref="E148">INDEX(Data_DBD!$F:$F,$A148)</f>
        <v>Sedang</v>
      </c>
      <c r="H148" s="36">
        <v>139</v>
      </c>
      <c r="I148" s="36">
        <v>52</v>
      </c>
      <c r="J148" s="36">
        <v>7</v>
      </c>
      <c r="K148" s="36">
        <v>0</v>
      </c>
      <c r="L148" s="36" t="s">
        <v>105</v>
      </c>
    </row>
    <row r="149" spans="1:12">
      <c r="A149" s="36">
        <f ca="1" t="shared" si="2"/>
        <v>46</v>
      </c>
      <c r="B149" s="36">
        <f ca="1" t="array" ref="B149">INDEX(Data_DBD!$B:$B,$A149)</f>
        <v>62</v>
      </c>
      <c r="C149" s="36" t="str">
        <f ca="1" t="array" ref="C149">INDEX(Data_DBD!$C:$C,$A149)</f>
        <v>2 Hari</v>
      </c>
      <c r="D149" s="36">
        <f ca="1" t="array" ref="D149">INDEX(Data_DBD!$E:$E,$A149)</f>
        <v>0</v>
      </c>
      <c r="E149" s="36" t="str">
        <f ca="1" t="array" ref="E149">INDEX(Data_DBD!$F:$F,$A149)</f>
        <v>Sedang</v>
      </c>
      <c r="H149" s="36">
        <v>49</v>
      </c>
      <c r="I149" s="36">
        <v>64</v>
      </c>
      <c r="J149" s="36">
        <v>5</v>
      </c>
      <c r="K149" s="36">
        <v>0</v>
      </c>
      <c r="L149" s="36" t="s">
        <v>8</v>
      </c>
    </row>
    <row r="150" spans="1:12">
      <c r="A150" s="36">
        <f ca="1" t="shared" si="2"/>
        <v>50</v>
      </c>
      <c r="B150" s="36">
        <f ca="1" t="array" ref="B150">INDEX(Data_DBD!$B:$B,$A150)</f>
        <v>19</v>
      </c>
      <c r="C150" s="36" t="str">
        <f ca="1" t="array" ref="C150">INDEX(Data_DBD!$C:$C,$A150)</f>
        <v>5 Hari</v>
      </c>
      <c r="D150" s="36">
        <f ca="1" t="array" ref="D150">INDEX(Data_DBD!$E:$E,$A150)</f>
        <v>0</v>
      </c>
      <c r="E150" s="36" t="str">
        <f ca="1" t="array" ref="E150">INDEX(Data_DBD!$F:$F,$A150)</f>
        <v>Sedang</v>
      </c>
      <c r="H150" s="36">
        <v>17</v>
      </c>
      <c r="I150" s="36">
        <v>2</v>
      </c>
      <c r="J150" s="36">
        <v>3</v>
      </c>
      <c r="K150" s="36">
        <v>0</v>
      </c>
      <c r="L150" s="36" t="s">
        <v>26</v>
      </c>
    </row>
    <row r="151" spans="1:12">
      <c r="A151" s="36">
        <f ca="1" t="shared" si="2"/>
        <v>108</v>
      </c>
      <c r="B151" s="36">
        <f ca="1" t="array" ref="B151">INDEX(Data_DBD!$B:$B,$A151)</f>
        <v>69</v>
      </c>
      <c r="C151" s="36" t="str">
        <f ca="1" t="array" ref="C151">INDEX(Data_DBD!$C:$C,$A151)</f>
        <v>7 Hari</v>
      </c>
      <c r="D151" s="36">
        <f ca="1" t="array" ref="D151">INDEX(Data_DBD!$E:$E,$A151)</f>
        <v>1</v>
      </c>
      <c r="E151" s="36" t="str">
        <f ca="1" t="array" ref="E151">INDEX(Data_DBD!$F:$F,$A151)</f>
        <v>Tinggi</v>
      </c>
      <c r="H151" s="36">
        <v>27</v>
      </c>
      <c r="I151" s="36">
        <v>37</v>
      </c>
      <c r="J151" s="36">
        <v>4</v>
      </c>
      <c r="K151" s="36">
        <v>1</v>
      </c>
      <c r="L151" s="36" t="s">
        <v>8</v>
      </c>
    </row>
    <row r="152" spans="1:12">
      <c r="A152" s="36">
        <f ca="1" t="shared" si="2"/>
        <v>27</v>
      </c>
      <c r="B152" s="36">
        <f ca="1" t="array" ref="B152">INDEX(Data_DBD!$B:$B,$A152)</f>
        <v>37</v>
      </c>
      <c r="C152" s="36" t="str">
        <f ca="1" t="array" ref="C152">INDEX(Data_DBD!$C:$C,$A152)</f>
        <v>4 Hari</v>
      </c>
      <c r="D152" s="36">
        <f ca="1" t="array" ref="D152">INDEX(Data_DBD!$E:$E,$A152)</f>
        <v>1</v>
      </c>
      <c r="E152" s="36" t="str">
        <f ca="1" t="array" ref="E152">INDEX(Data_DBD!$F:$F,$A152)</f>
        <v>Sedang</v>
      </c>
      <c r="H152" s="36">
        <v>117</v>
      </c>
      <c r="I152" s="36">
        <v>49</v>
      </c>
      <c r="J152" s="36">
        <v>4</v>
      </c>
      <c r="K152" s="36">
        <v>1</v>
      </c>
      <c r="L152" s="36" t="s">
        <v>105</v>
      </c>
    </row>
    <row r="153" spans="1:12">
      <c r="A153" s="36">
        <f ca="1" t="shared" si="2"/>
        <v>152</v>
      </c>
      <c r="B153" s="36">
        <f ca="1" t="array" ref="B153">INDEX(Data_DBD!$B:$B,$A153)</f>
        <v>47</v>
      </c>
      <c r="C153" s="36" t="str">
        <f ca="1" t="array" ref="C153">INDEX(Data_DBD!$C:$C,$A153)</f>
        <v>3 Hari</v>
      </c>
      <c r="D153" s="36">
        <f ca="1" t="array" ref="D153">INDEX(Data_DBD!$E:$E,$A153)</f>
        <v>1</v>
      </c>
      <c r="E153" s="36" t="str">
        <f ca="1" t="array" ref="E153">INDEX(Data_DBD!$F:$F,$A153)</f>
        <v>Tinggi</v>
      </c>
      <c r="H153" s="36">
        <v>26</v>
      </c>
      <c r="I153" s="36">
        <v>75</v>
      </c>
      <c r="J153" s="36">
        <v>4</v>
      </c>
      <c r="K153" s="36">
        <v>1</v>
      </c>
      <c r="L153" s="36" t="s">
        <v>8</v>
      </c>
    </row>
    <row r="154" spans="1:12">
      <c r="A154" s="36">
        <f ca="1" t="shared" si="2"/>
        <v>107</v>
      </c>
      <c r="B154" s="36">
        <f ca="1" t="array" ref="B154">INDEX(Data_DBD!$B:$B,$A154)</f>
        <v>48</v>
      </c>
      <c r="C154" s="36" t="str">
        <f ca="1" t="array" ref="C154">INDEX(Data_DBD!$C:$C,$A154)</f>
        <v>5 Hari</v>
      </c>
      <c r="D154" s="36">
        <f ca="1" t="array" ref="D154">INDEX(Data_DBD!$E:$E,$A154)</f>
        <v>0</v>
      </c>
      <c r="E154" s="36" t="str">
        <f ca="1" t="array" ref="E154">INDEX(Data_DBD!$F:$F,$A154)</f>
        <v>Tinggi</v>
      </c>
      <c r="H154" s="36">
        <v>120</v>
      </c>
      <c r="I154" s="36">
        <v>26</v>
      </c>
      <c r="J154" s="36">
        <v>4</v>
      </c>
      <c r="K154" s="36">
        <v>1</v>
      </c>
      <c r="L154" s="36" t="s">
        <v>105</v>
      </c>
    </row>
    <row r="155" spans="1:12">
      <c r="A155" s="36">
        <f ca="1" t="shared" si="2"/>
        <v>107</v>
      </c>
      <c r="B155" s="36">
        <f ca="1" t="array" ref="B155">INDEX(Data_DBD!$B:$B,$A155)</f>
        <v>48</v>
      </c>
      <c r="C155" s="36" t="str">
        <f ca="1" t="array" ref="C155">INDEX(Data_DBD!$C:$C,$A155)</f>
        <v>5 Hari</v>
      </c>
      <c r="D155" s="36">
        <f ca="1" t="array" ref="D155">INDEX(Data_DBD!$E:$E,$A155)</f>
        <v>0</v>
      </c>
      <c r="E155" s="36" t="str">
        <f ca="1" t="array" ref="E155">INDEX(Data_DBD!$F:$F,$A155)</f>
        <v>Tinggi</v>
      </c>
      <c r="H155" s="36">
        <v>120</v>
      </c>
      <c r="I155" s="36">
        <v>26</v>
      </c>
      <c r="J155" s="36">
        <v>4</v>
      </c>
      <c r="K155" s="36">
        <v>1</v>
      </c>
      <c r="L155" s="36" t="s">
        <v>105</v>
      </c>
    </row>
    <row r="156" ht="15.75" spans="1:21">
      <c r="A156" s="36">
        <f ca="1" t="shared" si="2"/>
        <v>32</v>
      </c>
      <c r="B156" s="36">
        <f ca="1" t="array" ref="B156">INDEX(Data_DBD!$B:$B,$A156)</f>
        <v>54</v>
      </c>
      <c r="C156" s="36" t="str">
        <f ca="1" t="array" ref="C156">INDEX(Data_DBD!$C:$C,$A156)</f>
        <v>4 Hari</v>
      </c>
      <c r="D156" s="36">
        <f ca="1" t="array" ref="D156">INDEX(Data_DBD!$E:$E,$A156)</f>
        <v>0</v>
      </c>
      <c r="E156" s="36" t="str">
        <f ca="1" t="array" ref="E156">INDEX(Data_DBD!$F:$F,$A156)</f>
        <v>Sedang</v>
      </c>
      <c r="H156" s="36">
        <v>46</v>
      </c>
      <c r="I156" s="36">
        <v>62</v>
      </c>
      <c r="J156" s="36">
        <v>2</v>
      </c>
      <c r="K156" s="36">
        <v>0</v>
      </c>
      <c r="L156" s="36" t="s">
        <v>8</v>
      </c>
      <c r="U156" s="42" t="s">
        <v>288</v>
      </c>
    </row>
    <row r="157" ht="15.75" spans="1:21">
      <c r="A157" s="36">
        <f ca="1" t="shared" si="2"/>
        <v>163</v>
      </c>
      <c r="B157" s="36">
        <f ca="1" t="array" ref="B157">INDEX(Data_DBD!$B:$B,$A157)</f>
        <v>34</v>
      </c>
      <c r="C157" s="36" t="str">
        <f ca="1" t="array" ref="C157">INDEX(Data_DBD!$C:$C,$A157)</f>
        <v>4 Hari</v>
      </c>
      <c r="D157" s="36">
        <f ca="1" t="array" ref="D157">INDEX(Data_DBD!$E:$E,$A157)</f>
        <v>1</v>
      </c>
      <c r="E157" s="36" t="str">
        <f ca="1" t="array" ref="E157">INDEX(Data_DBD!$F:$F,$A157)</f>
        <v>Rendah</v>
      </c>
      <c r="H157" s="36">
        <v>63</v>
      </c>
      <c r="I157" s="36">
        <v>25</v>
      </c>
      <c r="J157" s="36">
        <v>3</v>
      </c>
      <c r="K157" s="36">
        <v>0</v>
      </c>
      <c r="L157" s="36" t="s">
        <v>8</v>
      </c>
      <c r="U157" s="43" t="s">
        <v>187</v>
      </c>
    </row>
    <row r="158" ht="15.75" spans="1:21">
      <c r="A158" s="36">
        <f ca="1" t="shared" si="2"/>
        <v>32</v>
      </c>
      <c r="B158" s="36">
        <f ca="1" t="array" ref="B158">INDEX(Data_DBD!$B:$B,$A158)</f>
        <v>54</v>
      </c>
      <c r="C158" s="36" t="str">
        <f ca="1" t="array" ref="C158">INDEX(Data_DBD!$C:$C,$A158)</f>
        <v>4 Hari</v>
      </c>
      <c r="D158" s="36">
        <f ca="1" t="array" ref="D158">INDEX(Data_DBD!$E:$E,$A158)</f>
        <v>0</v>
      </c>
      <c r="E158" s="36" t="str">
        <f ca="1" t="array" ref="E158">INDEX(Data_DBD!$F:$F,$A158)</f>
        <v>Sedang</v>
      </c>
      <c r="H158" s="36">
        <v>110</v>
      </c>
      <c r="I158" s="36">
        <v>42</v>
      </c>
      <c r="J158" s="36">
        <v>2</v>
      </c>
      <c r="K158" s="36">
        <v>1</v>
      </c>
      <c r="L158" s="36" t="s">
        <v>105</v>
      </c>
      <c r="U158" s="44" t="s">
        <v>289</v>
      </c>
    </row>
    <row r="159" ht="15.75" spans="1:21">
      <c r="A159" s="36">
        <f ca="1" t="shared" si="2"/>
        <v>79</v>
      </c>
      <c r="B159" s="36">
        <f ca="1" t="array" ref="B159">INDEX(Data_DBD!$B:$B,$A159)</f>
        <v>29</v>
      </c>
      <c r="C159" s="36" t="str">
        <f ca="1" t="array" ref="C159">INDEX(Data_DBD!$C:$C,$A159)</f>
        <v>3 Hari</v>
      </c>
      <c r="D159" s="36">
        <f ca="1" t="array" ref="D159">INDEX(Data_DBD!$E:$E,$A159)</f>
        <v>0</v>
      </c>
      <c r="E159" s="36" t="str">
        <f ca="1" t="array" ref="E159">INDEX(Data_DBD!$F:$F,$A159)</f>
        <v>Sedang</v>
      </c>
      <c r="H159" s="36">
        <v>65</v>
      </c>
      <c r="I159" s="36">
        <v>49</v>
      </c>
      <c r="J159" s="36">
        <v>3</v>
      </c>
      <c r="K159" s="36">
        <v>0</v>
      </c>
      <c r="L159" s="36" t="s">
        <v>8</v>
      </c>
      <c r="U159" s="44" t="s">
        <v>290</v>
      </c>
    </row>
    <row r="160" ht="15.75" spans="1:21">
      <c r="A160" s="36">
        <f ca="1" t="shared" si="2"/>
        <v>76</v>
      </c>
      <c r="B160" s="36">
        <f ca="1" t="array" ref="B160">INDEX(Data_DBD!$B:$B,$A160)</f>
        <v>70</v>
      </c>
      <c r="C160" s="36" t="str">
        <f ca="1" t="array" ref="C160">INDEX(Data_DBD!$C:$C,$A160)</f>
        <v>2 Hari</v>
      </c>
      <c r="D160" s="36">
        <f ca="1" t="array" ref="D160">INDEX(Data_DBD!$E:$E,$A160)</f>
        <v>0</v>
      </c>
      <c r="E160" s="36" t="str">
        <f ca="1" t="array" ref="E160">INDEX(Data_DBD!$F:$F,$A160)</f>
        <v>Sedang</v>
      </c>
      <c r="H160" s="36">
        <v>29</v>
      </c>
      <c r="I160" s="36">
        <v>19</v>
      </c>
      <c r="J160" s="36">
        <v>2</v>
      </c>
      <c r="K160" s="36">
        <v>1</v>
      </c>
      <c r="L160" s="36" t="s">
        <v>8</v>
      </c>
      <c r="U160" s="43" t="s">
        <v>190</v>
      </c>
    </row>
    <row r="161" ht="15.75" spans="1:21">
      <c r="A161" s="36">
        <f ca="1" t="shared" si="2"/>
        <v>15</v>
      </c>
      <c r="B161" s="36">
        <f ca="1" t="array" ref="B161">INDEX(Data_DBD!$B:$B,$A161)</f>
        <v>21</v>
      </c>
      <c r="C161" s="36" t="str">
        <f ca="1" t="array" ref="C161">INDEX(Data_DBD!$C:$C,$A161)</f>
        <v>2 Hari</v>
      </c>
      <c r="D161" s="36">
        <f ca="1" t="array" ref="D161">INDEX(Data_DBD!$E:$E,$A161)</f>
        <v>0</v>
      </c>
      <c r="E161" s="36" t="str">
        <f ca="1" t="array" ref="E161">INDEX(Data_DBD!$F:$F,$A161)</f>
        <v>Rendah</v>
      </c>
      <c r="H161" s="36">
        <v>72</v>
      </c>
      <c r="I161" s="36">
        <v>3</v>
      </c>
      <c r="J161" s="36">
        <v>5</v>
      </c>
      <c r="K161" s="36">
        <v>1</v>
      </c>
      <c r="L161" s="36" t="s">
        <v>8</v>
      </c>
      <c r="U161" s="44" t="s">
        <v>291</v>
      </c>
    </row>
    <row r="162" ht="15.75" spans="1:21">
      <c r="A162" s="36">
        <f ca="1" t="shared" si="2"/>
        <v>65</v>
      </c>
      <c r="B162" s="36">
        <f ca="1" t="array" ref="B162">INDEX(Data_DBD!$B:$B,$A162)</f>
        <v>49</v>
      </c>
      <c r="C162" s="36" t="str">
        <f ca="1" t="array" ref="C162">INDEX(Data_DBD!$C:$C,$A162)</f>
        <v>3 Hari</v>
      </c>
      <c r="D162" s="36">
        <f ca="1" t="array" ref="D162">INDEX(Data_DBD!$E:$E,$A162)</f>
        <v>0</v>
      </c>
      <c r="E162" s="36" t="str">
        <f ca="1" t="array" ref="E162">INDEX(Data_DBD!$F:$F,$A162)</f>
        <v>Sedang</v>
      </c>
      <c r="H162" s="36">
        <v>107</v>
      </c>
      <c r="I162" s="36">
        <v>48</v>
      </c>
      <c r="J162" s="36">
        <v>5</v>
      </c>
      <c r="K162" s="36">
        <v>0</v>
      </c>
      <c r="L162" s="36" t="s">
        <v>105</v>
      </c>
      <c r="U162" s="44" t="s">
        <v>229</v>
      </c>
    </row>
    <row r="163" ht="15.75" spans="1:21">
      <c r="A163" s="36">
        <f ca="1" t="shared" si="2"/>
        <v>68</v>
      </c>
      <c r="B163" s="36">
        <f ca="1" t="array" ref="B163">INDEX(Data_DBD!$B:$B,$A163)</f>
        <v>44</v>
      </c>
      <c r="C163" s="36" t="str">
        <f ca="1" t="array" ref="C163">INDEX(Data_DBD!$C:$C,$A163)</f>
        <v>5 Hari</v>
      </c>
      <c r="D163" s="36">
        <f ca="1" t="array" ref="D163">INDEX(Data_DBD!$E:$E,$A163)</f>
        <v>0</v>
      </c>
      <c r="E163" s="36" t="str">
        <f ca="1" t="array" ref="E163">INDEX(Data_DBD!$F:$F,$A163)</f>
        <v>Sedang</v>
      </c>
      <c r="H163" s="36">
        <v>13</v>
      </c>
      <c r="I163" s="36">
        <v>47</v>
      </c>
      <c r="J163" s="36">
        <v>2</v>
      </c>
      <c r="K163" s="36">
        <v>0</v>
      </c>
      <c r="L163" s="36" t="s">
        <v>8</v>
      </c>
      <c r="U163" s="43" t="s">
        <v>193</v>
      </c>
    </row>
    <row r="164" ht="15.75" spans="1:21">
      <c r="A164" s="36">
        <f ca="1" t="shared" si="2"/>
        <v>52</v>
      </c>
      <c r="B164" s="36">
        <f ca="1" t="array" ref="B164">INDEX(Data_DBD!$B:$B,$A164)</f>
        <v>59</v>
      </c>
      <c r="C164" s="36" t="str">
        <f ca="1" t="array" ref="C164">INDEX(Data_DBD!$C:$C,$A164)</f>
        <v>4 Hari</v>
      </c>
      <c r="D164" s="36">
        <f ca="1" t="array" ref="D164">INDEX(Data_DBD!$E:$E,$A164)</f>
        <v>1</v>
      </c>
      <c r="E164" s="36" t="str">
        <f ca="1" t="array" ref="E164">INDEX(Data_DBD!$F:$F,$A164)</f>
        <v>Sedang</v>
      </c>
      <c r="H164" s="36">
        <v>163</v>
      </c>
      <c r="I164" s="36">
        <v>34</v>
      </c>
      <c r="J164" s="36">
        <v>4</v>
      </c>
      <c r="K164" s="36">
        <v>1</v>
      </c>
      <c r="L164" s="36" t="s">
        <v>26</v>
      </c>
      <c r="U164" s="44" t="s">
        <v>292</v>
      </c>
    </row>
    <row r="165" spans="9:11">
      <c r="I165">
        <f>AVERAGE(I2:I164)</f>
        <v>33.0306748466258</v>
      </c>
      <c r="J165">
        <f>AVERAGE(J2:J164)</f>
        <v>3.4478527607362</v>
      </c>
      <c r="K165">
        <f>AVERAGE(K2:K164)</f>
        <v>0.558282208588957</v>
      </c>
    </row>
    <row r="166" spans="2:2">
      <c r="B166">
        <v>28</v>
      </c>
    </row>
    <row r="168" spans="5:13">
      <c r="E168" s="40" t="s">
        <v>207</v>
      </c>
      <c r="I168" s="40" t="s">
        <v>208</v>
      </c>
      <c r="M168" s="40" t="s">
        <v>210</v>
      </c>
    </row>
    <row r="169" spans="5:15">
      <c r="E169" s="36" t="s">
        <v>1</v>
      </c>
      <c r="F169" s="36">
        <f>AVERAGEIF($I$2:$I$164,"&lt;="&amp;$I$165)</f>
        <v>17.3152173913043</v>
      </c>
      <c r="G169" s="36">
        <f>AVERAGEIF($I$2:$I$164,"&gt;"&amp;$I$165)</f>
        <v>53.3943661971831</v>
      </c>
      <c r="I169" s="36" t="s">
        <v>211</v>
      </c>
      <c r="J169" s="36">
        <f>AVERAGEIF($J$2:$J$164,"&lt;="&amp;$J$165)</f>
        <v>2.49397590361446</v>
      </c>
      <c r="K169" s="36">
        <f>AVERAGEIF($J$2:$J$164,"&gt;"&amp;$J$165)</f>
        <v>4.4375</v>
      </c>
      <c r="M169" s="36" t="s">
        <v>213</v>
      </c>
      <c r="N169" s="36">
        <f>AVERAGEIF($K$2:$K$164,"&lt;="&amp;$K$165)</f>
        <v>0</v>
      </c>
      <c r="O169" s="36">
        <f>AVERAGEIF($K$2:$K$164,"&gt;"&amp;$K$165)</f>
        <v>1</v>
      </c>
    </row>
    <row r="170" spans="5:15">
      <c r="E170" s="36" t="str">
        <f t="array" ref="E170:E332">IF($I$2:$I$164&lt;$F$169,"kiri",IF($I$2:$I$164&lt;$G$169,"tengah","kanan"))</f>
        <v>kanan</v>
      </c>
      <c r="F170" s="36" t="s">
        <v>293</v>
      </c>
      <c r="G170" s="36"/>
      <c r="I170" s="36" t="str">
        <f t="array" ref="I170:I332">IF($J$2:$J$164&lt;$J$169,"kiri",IF($J$2:$J$164&lt;$K$169,"tengah","kanan"))</f>
        <v>tengah</v>
      </c>
      <c r="J170" s="36" t="s">
        <v>232</v>
      </c>
      <c r="K170" s="36"/>
      <c r="M170" s="36" t="str">
        <f t="array" ref="M170:M332">IF($K$2:$K$164&lt;$N$169,"kiri",IF($K$2:$K$164&lt;$O$169,"tengah","kanan"))</f>
        <v>kanan</v>
      </c>
      <c r="N170" s="36" t="s">
        <v>217</v>
      </c>
      <c r="O170" s="36"/>
    </row>
    <row r="171" spans="5:15">
      <c r="E171" s="36" t="str">
        <v>tengah</v>
      </c>
      <c r="F171" s="36">
        <f>COUNTIFS($E$170:$E$332,"Kanan",$L$2:$L$164,"Tinggi")</f>
        <v>17</v>
      </c>
      <c r="G171" s="36">
        <f>F171/32</f>
        <v>0.53125</v>
      </c>
      <c r="I171" s="36" t="str">
        <v>tengah</v>
      </c>
      <c r="J171" s="36">
        <f>COUNTIFS($I$170:$I$332,"Kanan",$L$2:$L$164,"Tinggi")</f>
        <v>12</v>
      </c>
      <c r="K171" s="36">
        <f>J171/29</f>
        <v>0.413793103448276</v>
      </c>
      <c r="M171" s="36" t="str">
        <v>tengah</v>
      </c>
      <c r="N171" s="36">
        <f>COUNTIFS($M$170:$M$332,"Kanan",$L$2:$L$164,"Tinggi")</f>
        <v>47</v>
      </c>
      <c r="O171" s="36">
        <f>N171/91</f>
        <v>0.516483516483517</v>
      </c>
    </row>
    <row r="172" spans="5:15">
      <c r="E172" s="36" t="str">
        <v>kanan</v>
      </c>
      <c r="F172" s="36">
        <f>COUNTIFS($E$170:$E$332,"Kanan",$L$2:$L$164,"Sedang")</f>
        <v>15</v>
      </c>
      <c r="G172" s="36">
        <f>F172/32</f>
        <v>0.46875</v>
      </c>
      <c r="I172" s="36" t="str">
        <v>kanan</v>
      </c>
      <c r="J172" s="36">
        <f>COUNTIFS($I$170:$I$332,"Kanan",$L$2:$L$164,"Sedang")</f>
        <v>16</v>
      </c>
      <c r="K172" s="36">
        <f>J172/29</f>
        <v>0.551724137931034</v>
      </c>
      <c r="M172" s="36" t="str">
        <v>kanan</v>
      </c>
      <c r="N172" s="36">
        <f>COUNTIFS($M$170:$M$332,"Kanan",$L$2:$L$164,"Sedang")</f>
        <v>40</v>
      </c>
      <c r="O172" s="36">
        <f>N172/91</f>
        <v>0.43956043956044</v>
      </c>
    </row>
    <row r="173" spans="5:15">
      <c r="E173" s="36" t="str">
        <v>kiri</v>
      </c>
      <c r="F173" s="36">
        <f>COUNTIFS($E$170:$E$332,"Kanan",$L$2:$L$164,"Rendah")</f>
        <v>0</v>
      </c>
      <c r="G173" s="36">
        <f>F173/32</f>
        <v>0</v>
      </c>
      <c r="I173" s="36" t="str">
        <v>tengah</v>
      </c>
      <c r="J173" s="36">
        <f>COUNTIFS($I$170:$I$332,"Kanan",$L$2:$L$164,"Rendah")</f>
        <v>1</v>
      </c>
      <c r="K173" s="36">
        <f>J173/29</f>
        <v>0.0344827586206897</v>
      </c>
      <c r="M173" s="36" t="str">
        <v>tengah</v>
      </c>
      <c r="N173" s="36">
        <f>COUNTIFS($M$170:$M$332,"Kanan",$L$2:$L$164,"Rendah")</f>
        <v>4</v>
      </c>
      <c r="O173" s="36">
        <f>N173/91</f>
        <v>0.043956043956044</v>
      </c>
    </row>
    <row r="174" spans="5:15">
      <c r="E174" s="36" t="str">
        <v>tengah</v>
      </c>
      <c r="F174" s="36" t="s">
        <v>218</v>
      </c>
      <c r="G174" s="36">
        <f>-(IFERROR(G171*LOG(G171,2),0)+IFERROR(G172*LOG(G172,2),0)+IFERROR(G173*LOG(G173,2),0))</f>
        <v>0.997180398894264</v>
      </c>
      <c r="I174" s="36" t="str">
        <v>tengah</v>
      </c>
      <c r="J174" s="36" t="s">
        <v>218</v>
      </c>
      <c r="K174" s="36">
        <f>-(IFERROR(K171*LOG(K171,2),0)+IFERROR(K172*LOG(K172,2),0)+IFERROR(K173*LOG(K173,2),0))</f>
        <v>1.16765168448434</v>
      </c>
      <c r="M174" s="36" t="str">
        <v>kanan</v>
      </c>
      <c r="N174" s="36" t="s">
        <v>218</v>
      </c>
      <c r="O174" s="36">
        <f>-(IFERROR(O171*LOG(O171,2),0)+IFERROR(O172*LOG(O172,2),0)+IFERROR(O173*LOG(O173,2),0))</f>
        <v>1.21171991685426</v>
      </c>
    </row>
    <row r="175" spans="5:15">
      <c r="E175" s="36" t="str">
        <v>kiri</v>
      </c>
      <c r="F175" s="36"/>
      <c r="G175" s="36">
        <f>SUM(F171:F173)/163</f>
        <v>0.196319018404908</v>
      </c>
      <c r="I175" s="36" t="str">
        <v>tengah</v>
      </c>
      <c r="J175" s="36"/>
      <c r="K175" s="36">
        <f>SUM(J171:J173)/163</f>
        <v>0.177914110429448</v>
      </c>
      <c r="M175" s="36" t="str">
        <v>tengah</v>
      </c>
      <c r="N175" s="36"/>
      <c r="O175" s="36">
        <f>SUM(N171:N173)/163</f>
        <v>0.558282208588957</v>
      </c>
    </row>
    <row r="176" spans="5:15">
      <c r="E176" s="36" t="str">
        <v>kiri</v>
      </c>
      <c r="F176" s="36"/>
      <c r="G176" s="41">
        <f>G174*G175</f>
        <v>0.195765477083537</v>
      </c>
      <c r="I176" s="36" t="str">
        <v>kiri</v>
      </c>
      <c r="J176" s="36"/>
      <c r="K176" s="41">
        <f>K174*K175</f>
        <v>0.207741710736477</v>
      </c>
      <c r="M176" s="36" t="str">
        <v>kanan</v>
      </c>
      <c r="N176" s="36"/>
      <c r="O176" s="41">
        <f>O174*O175</f>
        <v>0.676481671372625</v>
      </c>
    </row>
    <row r="177" spans="5:15">
      <c r="E177" s="36" t="str">
        <v>tengah</v>
      </c>
      <c r="F177" s="36"/>
      <c r="G177" s="36"/>
      <c r="I177" s="36" t="str">
        <v>tengah</v>
      </c>
      <c r="J177" s="36"/>
      <c r="K177" s="36"/>
      <c r="M177" s="36" t="str">
        <v>tengah</v>
      </c>
      <c r="N177" s="36"/>
      <c r="O177" s="36"/>
    </row>
    <row r="178" spans="5:15">
      <c r="E178" s="36" t="str">
        <v>tengah</v>
      </c>
      <c r="F178" s="36"/>
      <c r="G178" s="36"/>
      <c r="I178" s="36" t="str">
        <v>tengah</v>
      </c>
      <c r="J178" s="36"/>
      <c r="K178" s="36"/>
      <c r="M178" s="36" t="str">
        <v>kanan</v>
      </c>
      <c r="N178" s="36"/>
      <c r="O178" s="36"/>
    </row>
    <row r="179" spans="5:15">
      <c r="E179" s="36" t="str">
        <v>tengah</v>
      </c>
      <c r="F179" s="36" t="s">
        <v>294</v>
      </c>
      <c r="G179" s="36"/>
      <c r="I179" s="36" t="str">
        <v>tengah</v>
      </c>
      <c r="J179" s="36" t="s">
        <v>295</v>
      </c>
      <c r="K179" s="36"/>
      <c r="M179" s="36" t="str">
        <v>tengah</v>
      </c>
      <c r="N179" s="36" t="s">
        <v>222</v>
      </c>
      <c r="O179" s="36"/>
    </row>
    <row r="180" spans="5:15">
      <c r="E180" s="36" t="str">
        <v>kanan</v>
      </c>
      <c r="F180" s="36">
        <f>COUNTIFS($E$170:$E$332,"Kiri",$L$2:$L$164,"Tinggi")</f>
        <v>19</v>
      </c>
      <c r="G180" s="36">
        <f>F180/38</f>
        <v>0.5</v>
      </c>
      <c r="I180" s="36" t="str">
        <v>tengah</v>
      </c>
      <c r="J180" s="36">
        <f>COUNTIFS($I$170:$I$332,"Kiri",$L$2:$L$164,"Tinggi")</f>
        <v>20</v>
      </c>
      <c r="K180" s="36">
        <f>J180/36</f>
        <v>0.555555555555556</v>
      </c>
      <c r="M180" s="36" t="str">
        <v>tengah</v>
      </c>
      <c r="N180" s="36">
        <f>COUNTIFS($M$170:$M$332,"Kiri",$L$2:$L$164,"Tinggi")</f>
        <v>0</v>
      </c>
      <c r="O180" s="36">
        <f>N180/78</f>
        <v>0</v>
      </c>
    </row>
    <row r="181" spans="5:15">
      <c r="E181" s="36" t="str">
        <v>tengah</v>
      </c>
      <c r="F181" s="36">
        <f>COUNTIFS($E$170:$E$332,"Kiri",$L$2:$L$164,"Sedang")</f>
        <v>16</v>
      </c>
      <c r="G181" s="36">
        <f>F181/38</f>
        <v>0.421052631578947</v>
      </c>
      <c r="I181" s="36" t="str">
        <v>kiri</v>
      </c>
      <c r="J181" s="36">
        <f>COUNTIFS($I$170:$I$332,"Kiri",$L$2:$L$164,"Sedang")</f>
        <v>14</v>
      </c>
      <c r="K181" s="36">
        <f>J181/36</f>
        <v>0.388888888888889</v>
      </c>
      <c r="M181" s="36" t="str">
        <v>kanan</v>
      </c>
      <c r="N181" s="36">
        <f>COUNTIFS($T$170:$T$332,"Kiri",$M$2:$M$164,"Sedang")</f>
        <v>0</v>
      </c>
      <c r="O181" s="36">
        <f>N181/78</f>
        <v>0</v>
      </c>
    </row>
    <row r="182" spans="5:15">
      <c r="E182" s="36" t="str">
        <v>kanan</v>
      </c>
      <c r="F182" s="36">
        <f>COUNTIFS($E$170:$E$332,"Kiri",$L$2:$L$164,"Rendah")</f>
        <v>3</v>
      </c>
      <c r="G182" s="36">
        <f>F182/38</f>
        <v>0.0789473684210526</v>
      </c>
      <c r="I182" s="36" t="str">
        <v>tengah</v>
      </c>
      <c r="J182" s="36">
        <f>COUNTIFS($I$170:$I$332,"Kiri",$L$2:$L$164,"Rendah")</f>
        <v>2</v>
      </c>
      <c r="K182" s="36">
        <f>J182/36</f>
        <v>0.0555555555555556</v>
      </c>
      <c r="M182" s="36" t="str">
        <v>kanan</v>
      </c>
      <c r="N182" s="36">
        <f>COUNTIFS($T$170:$T$332,"Kiri",$M$2:$M$164,"Rendah")</f>
        <v>0</v>
      </c>
      <c r="O182" s="36">
        <f>N182/78</f>
        <v>0</v>
      </c>
    </row>
    <row r="183" spans="5:15">
      <c r="E183" s="36" t="str">
        <v>tengah</v>
      </c>
      <c r="F183" s="36" t="s">
        <v>218</v>
      </c>
      <c r="G183" s="36">
        <f>-(IFERROR(G180*LOG(G180,2),0)+IFERROR(G181*LOG(G181,2),0)+IFERROR(G182*LOG(G182,2),0))</f>
        <v>1.31462461192802</v>
      </c>
      <c r="I183" s="36" t="str">
        <v>tengah</v>
      </c>
      <c r="J183" s="36" t="s">
        <v>218</v>
      </c>
      <c r="K183" s="36">
        <f>-(IFERROR(K180*LOG(K180,2),0)+IFERROR(K181*LOG(K181,2),0)+IFERROR(K182*LOG(K182,2),0))</f>
        <v>1.23266025681582</v>
      </c>
      <c r="M183" s="36" t="str">
        <v>tengah</v>
      </c>
      <c r="N183" s="36" t="s">
        <v>218</v>
      </c>
      <c r="O183" s="36">
        <f>-(IFERROR(O180*LOG(O180,2),0)+IFERROR(O181*LOG(O181,2),0)+IFERROR(O182*LOG(O182,2),0))</f>
        <v>0</v>
      </c>
    </row>
    <row r="184" spans="5:15">
      <c r="E184" s="36" t="str">
        <v>kanan</v>
      </c>
      <c r="F184" s="36"/>
      <c r="G184" s="36">
        <f>SUM(F180:F182)/163</f>
        <v>0.233128834355828</v>
      </c>
      <c r="I184" s="36" t="str">
        <v>tengah</v>
      </c>
      <c r="J184" s="36"/>
      <c r="K184" s="36">
        <f>SUM(J180:J182)/163</f>
        <v>0.220858895705521</v>
      </c>
      <c r="M184" s="36" t="str">
        <v>tengah</v>
      </c>
      <c r="N184" s="36"/>
      <c r="O184" s="36">
        <f>SUM(N180:N182)/163</f>
        <v>0</v>
      </c>
    </row>
    <row r="185" spans="5:15">
      <c r="E185" s="36" t="str">
        <v>kanan</v>
      </c>
      <c r="F185" s="36"/>
      <c r="G185" s="41">
        <f>G183*G184</f>
        <v>0.306476903394262</v>
      </c>
      <c r="I185" s="36" t="str">
        <v>kanan</v>
      </c>
      <c r="J185" s="36"/>
      <c r="K185" s="41">
        <f>K183*K184</f>
        <v>0.272243983100427</v>
      </c>
      <c r="M185" s="36" t="str">
        <v>kanan</v>
      </c>
      <c r="N185" s="36"/>
      <c r="O185" s="41">
        <f>O183*O184</f>
        <v>0</v>
      </c>
    </row>
    <row r="186" spans="5:15">
      <c r="E186" s="36" t="str">
        <v>kanan</v>
      </c>
      <c r="F186" s="36"/>
      <c r="G186" s="36"/>
      <c r="I186" s="36" t="str">
        <v>tengah</v>
      </c>
      <c r="J186" s="36"/>
      <c r="K186" s="36"/>
      <c r="M186" s="36" t="str">
        <v>kanan</v>
      </c>
      <c r="N186" s="36"/>
      <c r="O186" s="36"/>
    </row>
    <row r="187" spans="5:15">
      <c r="E187" s="36" t="str">
        <v>tengah</v>
      </c>
      <c r="F187" s="36"/>
      <c r="G187" s="36"/>
      <c r="I187" s="36" t="str">
        <v>tengah</v>
      </c>
      <c r="J187" s="36"/>
      <c r="K187" s="36"/>
      <c r="M187" s="36" t="str">
        <v>kanan</v>
      </c>
      <c r="N187" s="36"/>
      <c r="O187" s="36"/>
    </row>
    <row r="188" spans="5:15">
      <c r="E188" s="36" t="str">
        <v>tengah</v>
      </c>
      <c r="F188" s="36" t="s">
        <v>223</v>
      </c>
      <c r="G188" s="36"/>
      <c r="I188" s="36" t="str">
        <v>kiri</v>
      </c>
      <c r="J188" s="36" t="s">
        <v>223</v>
      </c>
      <c r="K188" s="36"/>
      <c r="M188" s="36" t="str">
        <v>kanan</v>
      </c>
      <c r="N188" s="36" t="s">
        <v>223</v>
      </c>
      <c r="O188" s="36"/>
    </row>
    <row r="189" spans="5:15">
      <c r="E189" s="36" t="str">
        <v>kanan</v>
      </c>
      <c r="F189" s="36">
        <f>COUNTIFS($E$170:$E$332,"Tengah",$L$2:$L$164,"Tinggi")</f>
        <v>39</v>
      </c>
      <c r="G189" s="36">
        <f>F189/93</f>
        <v>0.419354838709677</v>
      </c>
      <c r="I189" s="36" t="str">
        <v>tengah</v>
      </c>
      <c r="J189" s="36">
        <f>COUNTIFS($I$170:$I$332,"Tengah",$L$2:$L$164,"Tinggi")</f>
        <v>43</v>
      </c>
      <c r="K189" s="36">
        <f>J189/98</f>
        <v>0.438775510204082</v>
      </c>
      <c r="M189" s="36" t="str">
        <v>kanan</v>
      </c>
      <c r="N189" s="36">
        <f>COUNTIFS($M$170:$M$332,"Tengah",$L$2:$L$164,"Tinggi")</f>
        <v>28</v>
      </c>
      <c r="O189" s="36">
        <f>N189/72</f>
        <v>0.388888888888889</v>
      </c>
    </row>
    <row r="190" spans="5:15">
      <c r="E190" s="36" t="str">
        <v>kiri</v>
      </c>
      <c r="F190" s="36">
        <f>COUNTIFS($E$170:$E$332,"Tengah",$L$2:$L$164,"Sedang")</f>
        <v>48</v>
      </c>
      <c r="G190" s="36">
        <f>F190/93</f>
        <v>0.516129032258065</v>
      </c>
      <c r="I190" s="36" t="str">
        <v>kiri</v>
      </c>
      <c r="J190" s="36">
        <f>COUNTIFS($I$170:$I$332,"Tengah",$L$2:$L$164,"Sedang")</f>
        <v>49</v>
      </c>
      <c r="K190" s="36">
        <f>J190/98</f>
        <v>0.5</v>
      </c>
      <c r="M190" s="36" t="str">
        <v>tengah</v>
      </c>
      <c r="N190" s="36">
        <f>COUNTIFS($M$170:$M$332,"Tengah",$L$2:$L$164,"Sedang")</f>
        <v>39</v>
      </c>
      <c r="O190" s="36">
        <f>N190/72</f>
        <v>0.541666666666667</v>
      </c>
    </row>
    <row r="191" spans="5:15">
      <c r="E191" s="36" t="str">
        <v>tengah</v>
      </c>
      <c r="F191" s="36">
        <f>COUNTIFS($E$170:$E$332,"Tengah",$L$2:$L$164,"Rendah")</f>
        <v>6</v>
      </c>
      <c r="G191" s="36">
        <f>F191/93</f>
        <v>0.0645161290322581</v>
      </c>
      <c r="I191" s="36" t="str">
        <v>kanan</v>
      </c>
      <c r="J191" s="36">
        <f>COUNTIFS($I$170:$I$332,"Tengah",$L$2:$L$164,"Rendah")</f>
        <v>6</v>
      </c>
      <c r="K191" s="36">
        <f>J191/98</f>
        <v>0.0612244897959184</v>
      </c>
      <c r="M191" s="36" t="str">
        <v>tengah</v>
      </c>
      <c r="N191" s="36">
        <f>COUNTIFS($M$170:$M$332,"Tengah",$L$2:$L$164,"Rendah")</f>
        <v>5</v>
      </c>
      <c r="O191" s="36">
        <f>N191/72</f>
        <v>0.0694444444444444</v>
      </c>
    </row>
    <row r="192" spans="5:15">
      <c r="E192" s="36" t="str">
        <v>tengah</v>
      </c>
      <c r="F192" s="36" t="s">
        <v>218</v>
      </c>
      <c r="G192" s="36">
        <f>-(IFERROR(G189*LOG(G189,2),0)+IFERROR(G190*LOG(G190,2),0)+IFERROR(G191*LOG(G191,2),0))</f>
        <v>1.27336675116642</v>
      </c>
      <c r="I192" s="36" t="str">
        <v>tengah</v>
      </c>
      <c r="J192" s="36" t="s">
        <v>218</v>
      </c>
      <c r="K192" s="36">
        <f>-(IFERROR(K189*LOG(K189,2),0)+IFERROR(K190*LOG(K190,2),0)+IFERROR(K191*LOG(K191,2),0))</f>
        <v>1.26817982556253</v>
      </c>
      <c r="M192" s="36" t="str">
        <v>kanan</v>
      </c>
      <c r="N192" s="36" t="s">
        <v>218</v>
      </c>
      <c r="O192" s="36">
        <f>-(IFERROR(O189*LOG(O189,2),0)+IFERROR(O190*LOG(O190,2),0)+IFERROR(O191*LOG(O191,2),0))</f>
        <v>1.27622687883568</v>
      </c>
    </row>
    <row r="193" spans="5:15">
      <c r="E193" s="36" t="str">
        <v>tengah</v>
      </c>
      <c r="F193" s="36"/>
      <c r="G193" s="36">
        <f>SUM(F189:F191)/163</f>
        <v>0.570552147239264</v>
      </c>
      <c r="I193" s="36" t="str">
        <v>kanan</v>
      </c>
      <c r="J193" s="36"/>
      <c r="K193" s="36">
        <f>SUM(J189:J191)/163</f>
        <v>0.601226993865031</v>
      </c>
      <c r="M193" s="36" t="str">
        <v>kanan</v>
      </c>
      <c r="N193" s="36"/>
      <c r="O193" s="36">
        <f>SUM(N189:N191)/163</f>
        <v>0.441717791411043</v>
      </c>
    </row>
    <row r="194" spans="5:15">
      <c r="E194" s="36" t="str">
        <v>tengah</v>
      </c>
      <c r="F194" s="36"/>
      <c r="G194" s="41">
        <f>G192*G193</f>
        <v>0.726522134101085</v>
      </c>
      <c r="I194" s="36" t="str">
        <v>tengah</v>
      </c>
      <c r="J194" s="36"/>
      <c r="K194" s="41">
        <f>K192*K193</f>
        <v>0.76246394420324</v>
      </c>
      <c r="M194" s="36" t="str">
        <v>kanan</v>
      </c>
      <c r="N194" s="36"/>
      <c r="O194" s="41">
        <f>O192*O193</f>
        <v>0.563732118258706</v>
      </c>
    </row>
    <row r="195" spans="5:15">
      <c r="E195" s="36" t="str">
        <v>kiri</v>
      </c>
      <c r="F195" s="36"/>
      <c r="G195" s="36"/>
      <c r="I195" s="36" t="str">
        <v>tengah</v>
      </c>
      <c r="J195" s="36"/>
      <c r="K195" s="36"/>
      <c r="M195" s="36" t="str">
        <v>kanan</v>
      </c>
      <c r="N195" s="36"/>
      <c r="O195" s="36"/>
    </row>
    <row r="196" spans="5:15">
      <c r="E196" s="36" t="str">
        <v>kiri</v>
      </c>
      <c r="F196" s="36" t="s">
        <v>224</v>
      </c>
      <c r="G196" s="45" t="s">
        <v>218</v>
      </c>
      <c r="I196" s="36" t="str">
        <v>kiri</v>
      </c>
      <c r="J196" s="36" t="s">
        <v>224</v>
      </c>
      <c r="K196" s="45" t="s">
        <v>218</v>
      </c>
      <c r="M196" s="36" t="str">
        <v>tengah</v>
      </c>
      <c r="N196" s="36" t="s">
        <v>224</v>
      </c>
      <c r="O196" s="45" t="s">
        <v>218</v>
      </c>
    </row>
    <row r="197" spans="5:15">
      <c r="E197" s="36" t="str">
        <v>kanan</v>
      </c>
      <c r="F197" s="46">
        <f>P5-(G176+G185+G194)</f>
        <v>0.0237096156880043</v>
      </c>
      <c r="G197" s="41">
        <f>(G176+G185+G194)</f>
        <v>1.22876451457888</v>
      </c>
      <c r="I197" s="36" t="str">
        <v>kanan</v>
      </c>
      <c r="J197" s="46">
        <f>P5-(K176+K185+K194)</f>
        <v>0.0100244922267443</v>
      </c>
      <c r="K197" s="41">
        <f>(K176+K185+K194)</f>
        <v>1.24244963804014</v>
      </c>
      <c r="M197" s="36" t="str">
        <v>kanan</v>
      </c>
      <c r="N197" s="46">
        <f>P5-(O176+O185+O194)</f>
        <v>0.0122603406355561</v>
      </c>
      <c r="O197" s="41">
        <f>(O176+O185+O194)</f>
        <v>1.24021378963133</v>
      </c>
    </row>
    <row r="198" spans="5:15">
      <c r="E198" s="36" t="str">
        <v>tengah</v>
      </c>
      <c r="F198" s="36"/>
      <c r="G198" s="36"/>
      <c r="I198" s="36" t="str">
        <v>tengah</v>
      </c>
      <c r="J198" s="36"/>
      <c r="K198" s="36"/>
      <c r="M198" s="36" t="str">
        <v>kanan</v>
      </c>
      <c r="N198" s="36"/>
      <c r="O198" s="36"/>
    </row>
    <row r="199" spans="5:15">
      <c r="E199" s="36" t="str">
        <v>tengah</v>
      </c>
      <c r="F199" s="36"/>
      <c r="G199" s="36"/>
      <c r="I199" s="36" t="str">
        <v>tengah</v>
      </c>
      <c r="J199" s="36"/>
      <c r="K199" s="36"/>
      <c r="M199" s="36" t="str">
        <v>kanan</v>
      </c>
      <c r="N199" s="36"/>
      <c r="O199" s="36"/>
    </row>
    <row r="200" spans="5:15">
      <c r="E200" s="36" t="str">
        <v>tengah</v>
      </c>
      <c r="F200" s="36"/>
      <c r="G200" s="36"/>
      <c r="I200" s="36" t="str">
        <v>tengah</v>
      </c>
      <c r="J200" s="36"/>
      <c r="K200" s="36"/>
      <c r="M200" s="36" t="str">
        <v>kanan</v>
      </c>
      <c r="N200" s="36"/>
      <c r="O200" s="36"/>
    </row>
    <row r="201" spans="5:15">
      <c r="E201" s="36" t="str">
        <v>tengah</v>
      </c>
      <c r="F201" s="36"/>
      <c r="G201" s="36"/>
      <c r="I201" s="36" t="str">
        <v>tengah</v>
      </c>
      <c r="J201" s="36"/>
      <c r="K201" s="36"/>
      <c r="M201" s="36" t="str">
        <v>kanan</v>
      </c>
      <c r="N201" s="36"/>
      <c r="O201" s="36"/>
    </row>
    <row r="202" spans="5:15">
      <c r="E202" s="36" t="str">
        <v>tengah</v>
      </c>
      <c r="F202" s="36"/>
      <c r="G202" s="36"/>
      <c r="I202" s="36" t="str">
        <v>kanan</v>
      </c>
      <c r="J202" s="36"/>
      <c r="K202" s="36"/>
      <c r="M202" s="36" t="str">
        <v>kanan</v>
      </c>
      <c r="N202" s="36"/>
      <c r="O202" s="36"/>
    </row>
    <row r="203" spans="5:15">
      <c r="E203" s="36" t="str">
        <v>tengah</v>
      </c>
      <c r="F203" s="36"/>
      <c r="G203" s="36"/>
      <c r="I203" s="36" t="str">
        <v>tengah</v>
      </c>
      <c r="J203" s="36"/>
      <c r="K203" s="36"/>
      <c r="M203" s="36" t="str">
        <v>kanan</v>
      </c>
      <c r="N203" s="36"/>
      <c r="O203" s="36"/>
    </row>
    <row r="204" spans="5:15">
      <c r="E204" s="36" t="str">
        <v>tengah</v>
      </c>
      <c r="F204" s="36"/>
      <c r="G204" s="36"/>
      <c r="I204" s="36" t="str">
        <v>kiri</v>
      </c>
      <c r="J204" s="36"/>
      <c r="K204" s="36"/>
      <c r="M204" s="36" t="str">
        <v>tengah</v>
      </c>
      <c r="N204" s="36"/>
      <c r="O204" s="36"/>
    </row>
    <row r="205" spans="5:15">
      <c r="E205" s="36" t="str">
        <v>tengah</v>
      </c>
      <c r="F205" s="36"/>
      <c r="G205" s="36"/>
      <c r="I205" s="36" t="str">
        <v>kanan</v>
      </c>
      <c r="J205" s="36"/>
      <c r="K205" s="36"/>
      <c r="M205" s="36" t="str">
        <v>tengah</v>
      </c>
      <c r="N205" s="36"/>
      <c r="O205" s="36"/>
    </row>
    <row r="206" spans="5:15">
      <c r="E206" s="36" t="str">
        <v>kanan</v>
      </c>
      <c r="F206" s="36"/>
      <c r="G206" s="36"/>
      <c r="I206" s="36" t="str">
        <v>tengah</v>
      </c>
      <c r="J206" s="36"/>
      <c r="K206" s="36"/>
      <c r="M206" s="36" t="str">
        <v>kanan</v>
      </c>
      <c r="N206" s="36"/>
      <c r="O206" s="36"/>
    </row>
    <row r="207" spans="5:15">
      <c r="E207" s="36" t="str">
        <v>kiri</v>
      </c>
      <c r="F207" s="36"/>
      <c r="G207" s="36"/>
      <c r="I207" s="36" t="str">
        <v>tengah</v>
      </c>
      <c r="J207" s="36"/>
      <c r="K207" s="36"/>
      <c r="M207" s="36" t="str">
        <v>kanan</v>
      </c>
      <c r="N207" s="36"/>
      <c r="O207" s="36"/>
    </row>
    <row r="208" spans="5:15">
      <c r="E208" s="36" t="str">
        <v>tengah</v>
      </c>
      <c r="F208" s="36"/>
      <c r="G208" s="36"/>
      <c r="I208" s="36" t="str">
        <v>kanan</v>
      </c>
      <c r="J208" s="36"/>
      <c r="K208" s="36"/>
      <c r="M208" s="36" t="str">
        <v>tengah</v>
      </c>
      <c r="N208" s="36"/>
      <c r="O208" s="36"/>
    </row>
    <row r="209" spans="5:15">
      <c r="E209" s="36" t="str">
        <v>kiri</v>
      </c>
      <c r="F209" s="36"/>
      <c r="G209" s="36"/>
      <c r="I209" s="36" t="str">
        <v>tengah</v>
      </c>
      <c r="J209" s="36"/>
      <c r="K209" s="36"/>
      <c r="M209" s="36" t="str">
        <v>kanan</v>
      </c>
      <c r="N209" s="36"/>
      <c r="O209" s="36"/>
    </row>
    <row r="210" spans="5:15">
      <c r="E210" s="36" t="str">
        <v>kiri</v>
      </c>
      <c r="F210" s="36"/>
      <c r="G210" s="36"/>
      <c r="I210" s="36" t="str">
        <v>tengah</v>
      </c>
      <c r="J210" s="36"/>
      <c r="K210" s="36"/>
      <c r="M210" s="36" t="str">
        <v>tengah</v>
      </c>
      <c r="N210" s="36"/>
      <c r="O210" s="36"/>
    </row>
    <row r="211" spans="5:15">
      <c r="E211" s="36" t="str">
        <v>tengah</v>
      </c>
      <c r="F211" s="36"/>
      <c r="G211" s="36"/>
      <c r="I211" s="36" t="str">
        <v>tengah</v>
      </c>
      <c r="J211" s="36"/>
      <c r="K211" s="36"/>
      <c r="M211" s="36" t="str">
        <v>tengah</v>
      </c>
      <c r="N211" s="36"/>
      <c r="O211" s="36"/>
    </row>
    <row r="212" spans="5:15">
      <c r="E212" s="36" t="str">
        <v>tengah</v>
      </c>
      <c r="F212" s="36"/>
      <c r="G212" s="36"/>
      <c r="I212" s="36" t="str">
        <v>tengah</v>
      </c>
      <c r="J212" s="36"/>
      <c r="K212" s="36"/>
      <c r="M212" s="36" t="str">
        <v>kanan</v>
      </c>
      <c r="N212" s="36"/>
      <c r="O212" s="36"/>
    </row>
    <row r="213" spans="5:15">
      <c r="E213" s="36" t="str">
        <v>tengah</v>
      </c>
      <c r="F213" s="36"/>
      <c r="G213" s="36"/>
      <c r="I213" s="36" t="str">
        <v>tengah</v>
      </c>
      <c r="J213" s="36"/>
      <c r="K213" s="36"/>
      <c r="M213" s="36" t="str">
        <v>tengah</v>
      </c>
      <c r="N213" s="36"/>
      <c r="O213" s="36"/>
    </row>
    <row r="214" spans="5:15">
      <c r="E214" s="36" t="str">
        <v>kiri</v>
      </c>
      <c r="F214" s="36"/>
      <c r="G214" s="36"/>
      <c r="I214" s="36" t="str">
        <v>tengah</v>
      </c>
      <c r="J214" s="36"/>
      <c r="K214" s="36"/>
      <c r="M214" s="36" t="str">
        <v>tengah</v>
      </c>
      <c r="N214" s="36"/>
      <c r="O214" s="36"/>
    </row>
    <row r="215" spans="5:15">
      <c r="E215" s="36" t="str">
        <v>tengah</v>
      </c>
      <c r="F215" s="36"/>
      <c r="G215" s="36"/>
      <c r="I215" s="36" t="str">
        <v>tengah</v>
      </c>
      <c r="J215" s="36"/>
      <c r="K215" s="36"/>
      <c r="M215" s="36" t="str">
        <v>kanan</v>
      </c>
      <c r="N215" s="36"/>
      <c r="O215" s="36"/>
    </row>
    <row r="216" spans="5:15">
      <c r="E216" s="36" t="str">
        <v>tengah</v>
      </c>
      <c r="F216" s="36"/>
      <c r="G216" s="36"/>
      <c r="I216" s="36" t="str">
        <v>tengah</v>
      </c>
      <c r="J216" s="36"/>
      <c r="K216" s="36"/>
      <c r="M216" s="36" t="str">
        <v>tengah</v>
      </c>
      <c r="N216" s="36"/>
      <c r="O216" s="36"/>
    </row>
    <row r="217" spans="5:15">
      <c r="E217" s="36" t="str">
        <v>kiri</v>
      </c>
      <c r="F217" s="36"/>
      <c r="G217" s="36"/>
      <c r="I217" s="36" t="str">
        <v>kiri</v>
      </c>
      <c r="J217" s="36"/>
      <c r="K217" s="36"/>
      <c r="M217" s="36" t="str">
        <v>kanan</v>
      </c>
      <c r="N217" s="36"/>
      <c r="O217" s="36"/>
    </row>
    <row r="218" spans="5:15">
      <c r="E218" s="36" t="str">
        <v>tengah</v>
      </c>
      <c r="F218" s="36"/>
      <c r="G218" s="36"/>
      <c r="I218" s="36" t="str">
        <v>tengah</v>
      </c>
      <c r="J218" s="36"/>
      <c r="K218" s="36"/>
      <c r="M218" s="36" t="str">
        <v>kanan</v>
      </c>
      <c r="N218" s="36"/>
      <c r="O218" s="36"/>
    </row>
    <row r="219" spans="5:15">
      <c r="E219" s="36" t="str">
        <v>kiri</v>
      </c>
      <c r="F219" s="36"/>
      <c r="G219" s="36"/>
      <c r="I219" s="36" t="str">
        <v>kiri</v>
      </c>
      <c r="J219" s="36"/>
      <c r="K219" s="36"/>
      <c r="M219" s="36" t="str">
        <v>kanan</v>
      </c>
      <c r="N219" s="36"/>
      <c r="O219" s="36"/>
    </row>
    <row r="220" spans="5:15">
      <c r="E220" s="36" t="str">
        <v>kiri</v>
      </c>
      <c r="F220" s="36"/>
      <c r="G220" s="36"/>
      <c r="I220" s="36" t="str">
        <v>kiri</v>
      </c>
      <c r="J220" s="36"/>
      <c r="K220" s="36"/>
      <c r="M220" s="36" t="str">
        <v>tengah</v>
      </c>
      <c r="N220" s="36"/>
      <c r="O220" s="36"/>
    </row>
    <row r="221" spans="5:15">
      <c r="E221" s="36" t="str">
        <v>tengah</v>
      </c>
      <c r="F221" s="36"/>
      <c r="G221" s="36"/>
      <c r="I221" s="36" t="str">
        <v>tengah</v>
      </c>
      <c r="J221" s="36"/>
      <c r="K221" s="36"/>
      <c r="M221" s="36" t="str">
        <v>kanan</v>
      </c>
      <c r="N221" s="36"/>
      <c r="O221" s="36"/>
    </row>
    <row r="222" spans="5:15">
      <c r="E222" s="36" t="str">
        <v>tengah</v>
      </c>
      <c r="F222" s="36"/>
      <c r="G222" s="36"/>
      <c r="I222" s="36" t="str">
        <v>tengah</v>
      </c>
      <c r="J222" s="36"/>
      <c r="K222" s="36"/>
      <c r="M222" s="36" t="str">
        <v>tengah</v>
      </c>
      <c r="N222" s="36"/>
      <c r="O222" s="36"/>
    </row>
    <row r="223" spans="5:15">
      <c r="E223" s="36" t="str">
        <v>kanan</v>
      </c>
      <c r="F223" s="36"/>
      <c r="G223" s="36"/>
      <c r="I223" s="36" t="str">
        <v>tengah</v>
      </c>
      <c r="J223" s="36"/>
      <c r="K223" s="36"/>
      <c r="M223" s="36" t="str">
        <v>kanan</v>
      </c>
      <c r="N223" s="36"/>
      <c r="O223" s="36"/>
    </row>
    <row r="224" spans="5:15">
      <c r="E224" s="36" t="str">
        <v>tengah</v>
      </c>
      <c r="F224" s="36"/>
      <c r="G224" s="36"/>
      <c r="I224" s="36" t="str">
        <v>tengah</v>
      </c>
      <c r="J224" s="36"/>
      <c r="K224" s="36"/>
      <c r="M224" s="36" t="str">
        <v>tengah</v>
      </c>
      <c r="N224" s="36"/>
      <c r="O224" s="36"/>
    </row>
    <row r="225" spans="5:15">
      <c r="E225" s="36" t="str">
        <v>tengah</v>
      </c>
      <c r="F225" s="36"/>
      <c r="G225" s="36"/>
      <c r="I225" s="36" t="str">
        <v>tengah</v>
      </c>
      <c r="J225" s="36"/>
      <c r="K225" s="36"/>
      <c r="M225" s="36" t="str">
        <v>tengah</v>
      </c>
      <c r="N225" s="36"/>
      <c r="O225" s="36"/>
    </row>
    <row r="226" spans="5:15">
      <c r="E226" s="36" t="str">
        <v>tengah</v>
      </c>
      <c r="F226" s="36"/>
      <c r="G226" s="36"/>
      <c r="I226" s="36" t="str">
        <v>tengah</v>
      </c>
      <c r="J226" s="36"/>
      <c r="K226" s="36"/>
      <c r="M226" s="36" t="str">
        <v>kanan</v>
      </c>
      <c r="N226" s="36"/>
      <c r="O226" s="36"/>
    </row>
    <row r="227" spans="5:15">
      <c r="E227" s="36" t="str">
        <v>kanan</v>
      </c>
      <c r="F227" s="36"/>
      <c r="G227" s="36"/>
      <c r="I227" s="36" t="str">
        <v>kiri</v>
      </c>
      <c r="J227" s="36"/>
      <c r="K227" s="36"/>
      <c r="M227" s="36" t="str">
        <v>tengah</v>
      </c>
      <c r="N227" s="36"/>
      <c r="O227" s="36"/>
    </row>
    <row r="228" spans="5:15">
      <c r="E228" s="36" t="str">
        <v>tengah</v>
      </c>
      <c r="F228" s="36"/>
      <c r="G228" s="36"/>
      <c r="I228" s="36" t="str">
        <v>tengah</v>
      </c>
      <c r="J228" s="36"/>
      <c r="K228" s="36"/>
      <c r="M228" s="36" t="str">
        <v>tengah</v>
      </c>
      <c r="N228" s="36"/>
      <c r="O228" s="36"/>
    </row>
    <row r="229" spans="5:15">
      <c r="E229" s="36" t="str">
        <v>tengah</v>
      </c>
      <c r="F229" s="36"/>
      <c r="G229" s="36"/>
      <c r="I229" s="36" t="str">
        <v>tengah</v>
      </c>
      <c r="J229" s="36"/>
      <c r="K229" s="36"/>
      <c r="M229" s="36" t="str">
        <v>kanan</v>
      </c>
      <c r="N229" s="36"/>
      <c r="O229" s="36"/>
    </row>
    <row r="230" spans="5:15">
      <c r="E230" s="36" t="str">
        <v>kiri</v>
      </c>
      <c r="F230" s="36"/>
      <c r="G230" s="36"/>
      <c r="I230" s="36" t="str">
        <v>kiri</v>
      </c>
      <c r="J230" s="36"/>
      <c r="K230" s="36"/>
      <c r="M230" s="36" t="str">
        <v>kanan</v>
      </c>
      <c r="N230" s="36"/>
      <c r="O230" s="36"/>
    </row>
    <row r="231" spans="5:15">
      <c r="E231" s="36" t="str">
        <v>kiri</v>
      </c>
      <c r="F231" s="36"/>
      <c r="G231" s="36"/>
      <c r="I231" s="36" t="str">
        <v>tengah</v>
      </c>
      <c r="J231" s="36"/>
      <c r="K231" s="36"/>
      <c r="M231" s="36" t="str">
        <v>kanan</v>
      </c>
      <c r="N231" s="36"/>
      <c r="O231" s="36"/>
    </row>
    <row r="232" spans="5:15">
      <c r="E232" s="36" t="str">
        <v>kiri</v>
      </c>
      <c r="F232" s="36"/>
      <c r="G232" s="36"/>
      <c r="I232" s="36" t="str">
        <v>tengah</v>
      </c>
      <c r="J232" s="36"/>
      <c r="K232" s="36"/>
      <c r="M232" s="36" t="str">
        <v>tengah</v>
      </c>
      <c r="N232" s="36"/>
      <c r="O232" s="36"/>
    </row>
    <row r="233" spans="5:15">
      <c r="E233" s="36" t="str">
        <v>kanan</v>
      </c>
      <c r="F233" s="36"/>
      <c r="G233" s="36"/>
      <c r="I233" s="36" t="str">
        <v>tengah</v>
      </c>
      <c r="J233" s="36"/>
      <c r="K233" s="36"/>
      <c r="M233" s="36" t="str">
        <v>tengah</v>
      </c>
      <c r="N233" s="36"/>
      <c r="O233" s="36"/>
    </row>
    <row r="234" spans="5:15">
      <c r="E234" s="36" t="str">
        <v>tengah</v>
      </c>
      <c r="F234" s="36"/>
      <c r="G234" s="36"/>
      <c r="I234" s="36" t="str">
        <v>tengah</v>
      </c>
      <c r="J234" s="36"/>
      <c r="K234" s="36"/>
      <c r="M234" s="36" t="str">
        <v>kanan</v>
      </c>
      <c r="N234" s="36"/>
      <c r="O234" s="36"/>
    </row>
    <row r="235" spans="5:15">
      <c r="E235" s="36" t="str">
        <v>tengah</v>
      </c>
      <c r="F235" s="36"/>
      <c r="G235" s="36"/>
      <c r="I235" s="36" t="str">
        <v>tengah</v>
      </c>
      <c r="J235" s="36"/>
      <c r="K235" s="36"/>
      <c r="M235" s="36" t="str">
        <v>kanan</v>
      </c>
      <c r="N235" s="36"/>
      <c r="O235" s="36"/>
    </row>
    <row r="236" spans="5:15">
      <c r="E236" s="36" t="str">
        <v>tengah</v>
      </c>
      <c r="F236" s="36"/>
      <c r="G236" s="36"/>
      <c r="I236" s="36" t="str">
        <v>tengah</v>
      </c>
      <c r="J236" s="36"/>
      <c r="K236" s="36"/>
      <c r="M236" s="36" t="str">
        <v>tengah</v>
      </c>
      <c r="N236" s="36"/>
      <c r="O236" s="36"/>
    </row>
    <row r="237" spans="5:15">
      <c r="E237" s="36" t="str">
        <v>kanan</v>
      </c>
      <c r="F237" s="36"/>
      <c r="G237" s="36"/>
      <c r="I237" s="36" t="str">
        <v>tengah</v>
      </c>
      <c r="J237" s="36"/>
      <c r="K237" s="36"/>
      <c r="M237" s="36" t="str">
        <v>kanan</v>
      </c>
      <c r="N237" s="36"/>
      <c r="O237" s="36"/>
    </row>
    <row r="238" spans="5:15">
      <c r="E238" s="36" t="str">
        <v>tengah</v>
      </c>
      <c r="F238" s="36"/>
      <c r="G238" s="36"/>
      <c r="I238" s="36" t="str">
        <v>kiri</v>
      </c>
      <c r="J238" s="36"/>
      <c r="K238" s="36"/>
      <c r="M238" s="36" t="str">
        <v>kanan</v>
      </c>
      <c r="N238" s="36"/>
      <c r="O238" s="36"/>
    </row>
    <row r="239" spans="5:15">
      <c r="E239" s="36" t="str">
        <v>kiri</v>
      </c>
      <c r="F239" s="36"/>
      <c r="G239" s="36"/>
      <c r="I239" s="36" t="str">
        <v>kiri</v>
      </c>
      <c r="J239" s="36"/>
      <c r="K239" s="36"/>
      <c r="M239" s="36" t="str">
        <v>tengah</v>
      </c>
      <c r="N239" s="36"/>
      <c r="O239" s="36"/>
    </row>
    <row r="240" spans="5:15">
      <c r="E240" s="36" t="str">
        <v>tengah</v>
      </c>
      <c r="F240" s="36"/>
      <c r="G240" s="36"/>
      <c r="I240" s="36" t="str">
        <v>tengah</v>
      </c>
      <c r="J240" s="36"/>
      <c r="K240" s="36"/>
      <c r="M240" s="36" t="str">
        <v>tengah</v>
      </c>
      <c r="N240" s="36"/>
      <c r="O240" s="36"/>
    </row>
    <row r="241" spans="5:15">
      <c r="E241" s="36" t="str">
        <v>tengah</v>
      </c>
      <c r="F241" s="36"/>
      <c r="G241" s="36"/>
      <c r="I241" s="36" t="str">
        <v>tengah</v>
      </c>
      <c r="J241" s="36"/>
      <c r="K241" s="36"/>
      <c r="M241" s="36" t="str">
        <v>kanan</v>
      </c>
      <c r="N241" s="36"/>
      <c r="O241" s="36"/>
    </row>
    <row r="242" spans="5:15">
      <c r="E242" s="36" t="str">
        <v>kiri</v>
      </c>
      <c r="F242" s="36"/>
      <c r="G242" s="36"/>
      <c r="I242" s="36" t="str">
        <v>tengah</v>
      </c>
      <c r="J242" s="36"/>
      <c r="K242" s="36"/>
      <c r="M242" s="36" t="str">
        <v>kanan</v>
      </c>
      <c r="N242" s="36"/>
      <c r="O242" s="36"/>
    </row>
    <row r="243" spans="5:15">
      <c r="E243" s="36" t="str">
        <v>kiri</v>
      </c>
      <c r="F243" s="36"/>
      <c r="G243" s="36"/>
      <c r="I243" s="36" t="str">
        <v>kiri</v>
      </c>
      <c r="J243" s="36"/>
      <c r="K243" s="36"/>
      <c r="M243" s="36" t="str">
        <v>kanan</v>
      </c>
      <c r="N243" s="36"/>
      <c r="O243" s="36"/>
    </row>
    <row r="244" spans="5:15">
      <c r="E244" s="36" t="str">
        <v>tengah</v>
      </c>
      <c r="F244" s="36"/>
      <c r="G244" s="36"/>
      <c r="I244" s="36" t="str">
        <v>kanan</v>
      </c>
      <c r="J244" s="36"/>
      <c r="K244" s="36"/>
      <c r="M244" s="36" t="str">
        <v>tengah</v>
      </c>
      <c r="N244" s="36"/>
      <c r="O244" s="36"/>
    </row>
    <row r="245" spans="5:15">
      <c r="E245" s="36" t="str">
        <v>tengah</v>
      </c>
      <c r="F245" s="36"/>
      <c r="G245" s="36"/>
      <c r="I245" s="36" t="str">
        <v>tengah</v>
      </c>
      <c r="J245" s="36"/>
      <c r="K245" s="36"/>
      <c r="M245" s="36" t="str">
        <v>tengah</v>
      </c>
      <c r="N245" s="36"/>
      <c r="O245" s="36"/>
    </row>
    <row r="246" spans="5:15">
      <c r="E246" s="36" t="str">
        <v>tengah</v>
      </c>
      <c r="F246" s="36"/>
      <c r="G246" s="36"/>
      <c r="I246" s="36" t="str">
        <v>tengah</v>
      </c>
      <c r="J246" s="36"/>
      <c r="K246" s="36"/>
      <c r="M246" s="36" t="str">
        <v>tengah</v>
      </c>
      <c r="N246" s="36"/>
      <c r="O246" s="36"/>
    </row>
    <row r="247" spans="5:15">
      <c r="E247" s="36" t="str">
        <v>tengah</v>
      </c>
      <c r="F247" s="36"/>
      <c r="G247" s="36"/>
      <c r="I247" s="36" t="str">
        <v>kiri</v>
      </c>
      <c r="J247" s="36"/>
      <c r="K247" s="36"/>
      <c r="M247" s="36" t="str">
        <v>kanan</v>
      </c>
      <c r="N247" s="36"/>
      <c r="O247" s="36"/>
    </row>
    <row r="248" spans="5:15">
      <c r="E248" s="36" t="str">
        <v>tengah</v>
      </c>
      <c r="F248" s="36"/>
      <c r="G248" s="36"/>
      <c r="I248" s="36" t="str">
        <v>kiri</v>
      </c>
      <c r="J248" s="36"/>
      <c r="K248" s="36"/>
      <c r="M248" s="36" t="str">
        <v>tengah</v>
      </c>
      <c r="N248" s="36"/>
      <c r="O248" s="36"/>
    </row>
    <row r="249" spans="5:15">
      <c r="E249" s="36" t="str">
        <v>tengah</v>
      </c>
      <c r="F249" s="36"/>
      <c r="G249" s="36"/>
      <c r="I249" s="36" t="str">
        <v>tengah</v>
      </c>
      <c r="J249" s="36"/>
      <c r="K249" s="36"/>
      <c r="M249" s="36" t="str">
        <v>tengah</v>
      </c>
      <c r="N249" s="36"/>
      <c r="O249" s="36"/>
    </row>
    <row r="250" spans="5:15">
      <c r="E250" s="36" t="str">
        <v>kiri</v>
      </c>
      <c r="F250" s="36"/>
      <c r="G250" s="36"/>
      <c r="I250" s="36" t="str">
        <v>tengah</v>
      </c>
      <c r="J250" s="36"/>
      <c r="K250" s="36"/>
      <c r="M250" s="36" t="str">
        <v>tengah</v>
      </c>
      <c r="N250" s="36"/>
      <c r="O250" s="36"/>
    </row>
    <row r="251" spans="5:15">
      <c r="E251" s="36" t="str">
        <v>tengah</v>
      </c>
      <c r="F251" s="36"/>
      <c r="G251" s="36"/>
      <c r="I251" s="36" t="str">
        <v>tengah</v>
      </c>
      <c r="J251" s="36"/>
      <c r="K251" s="36"/>
      <c r="M251" s="36" t="str">
        <v>kanan</v>
      </c>
      <c r="N251" s="36"/>
      <c r="O251" s="36"/>
    </row>
    <row r="252" spans="5:15">
      <c r="E252" s="36" t="str">
        <v>tengah</v>
      </c>
      <c r="F252" s="36"/>
      <c r="G252" s="36"/>
      <c r="I252" s="36" t="str">
        <v>kiri</v>
      </c>
      <c r="J252" s="36"/>
      <c r="K252" s="36"/>
      <c r="M252" s="36" t="str">
        <v>kanan</v>
      </c>
      <c r="N252" s="36"/>
      <c r="O252" s="36"/>
    </row>
    <row r="253" spans="5:15">
      <c r="E253" s="36" t="str">
        <v>tengah</v>
      </c>
      <c r="F253" s="36"/>
      <c r="G253" s="36"/>
      <c r="I253" s="36" t="str">
        <v>kanan</v>
      </c>
      <c r="J253" s="36"/>
      <c r="K253" s="36"/>
      <c r="M253" s="36" t="str">
        <v>kanan</v>
      </c>
      <c r="N253" s="36"/>
      <c r="O253" s="36"/>
    </row>
    <row r="254" spans="5:15">
      <c r="E254" s="36" t="str">
        <v>kiri</v>
      </c>
      <c r="F254" s="36"/>
      <c r="G254" s="36"/>
      <c r="I254" s="36" t="str">
        <v>kanan</v>
      </c>
      <c r="J254" s="36"/>
      <c r="K254" s="36"/>
      <c r="M254" s="36" t="str">
        <v>tengah</v>
      </c>
      <c r="N254" s="36"/>
      <c r="O254" s="36"/>
    </row>
    <row r="255" spans="5:15">
      <c r="E255" s="36" t="str">
        <v>kanan</v>
      </c>
      <c r="F255" s="36"/>
      <c r="G255" s="36"/>
      <c r="I255" s="36" t="str">
        <v>tengah</v>
      </c>
      <c r="J255" s="36"/>
      <c r="K255" s="36"/>
      <c r="M255" s="36" t="str">
        <v>kanan</v>
      </c>
      <c r="N255" s="36"/>
      <c r="O255" s="36"/>
    </row>
    <row r="256" spans="5:15">
      <c r="E256" s="36" t="str">
        <v>tengah</v>
      </c>
      <c r="F256" s="36"/>
      <c r="G256" s="36"/>
      <c r="I256" s="36" t="str">
        <v>kanan</v>
      </c>
      <c r="J256" s="36"/>
      <c r="K256" s="36"/>
      <c r="M256" s="36" t="str">
        <v>kanan</v>
      </c>
      <c r="N256" s="36"/>
      <c r="O256" s="36"/>
    </row>
    <row r="257" spans="5:15">
      <c r="E257" s="36" t="str">
        <v>kiri</v>
      </c>
      <c r="F257" s="36"/>
      <c r="G257" s="36"/>
      <c r="I257" s="36" t="str">
        <v>kiri</v>
      </c>
      <c r="J257" s="36"/>
      <c r="K257" s="36"/>
      <c r="M257" s="36" t="str">
        <v>kanan</v>
      </c>
      <c r="N257" s="36"/>
      <c r="O257" s="36"/>
    </row>
    <row r="258" spans="5:15">
      <c r="E258" s="36" t="str">
        <v>tengah</v>
      </c>
      <c r="F258" s="36"/>
      <c r="G258" s="36"/>
      <c r="I258" s="36" t="str">
        <v>tengah</v>
      </c>
      <c r="J258" s="36"/>
      <c r="K258" s="36"/>
      <c r="M258" s="36" t="str">
        <v>kanan</v>
      </c>
      <c r="N258" s="36"/>
      <c r="O258" s="36"/>
    </row>
    <row r="259" spans="5:15">
      <c r="E259" s="36" t="str">
        <v>tengah</v>
      </c>
      <c r="F259" s="36"/>
      <c r="G259" s="36"/>
      <c r="I259" s="36" t="str">
        <v>kanan</v>
      </c>
      <c r="J259" s="36"/>
      <c r="K259" s="36"/>
      <c r="M259" s="36" t="str">
        <v>tengah</v>
      </c>
      <c r="N259" s="36"/>
      <c r="O259" s="36"/>
    </row>
    <row r="260" spans="5:15">
      <c r="E260" s="36" t="str">
        <v>tengah</v>
      </c>
      <c r="F260" s="36"/>
      <c r="G260" s="36"/>
      <c r="I260" s="36" t="str">
        <v>tengah</v>
      </c>
      <c r="J260" s="36"/>
      <c r="K260" s="36"/>
      <c r="M260" s="36" t="str">
        <v>kanan</v>
      </c>
      <c r="N260" s="36"/>
      <c r="O260" s="36"/>
    </row>
    <row r="261" spans="5:15">
      <c r="E261" s="36" t="str">
        <v>kiri</v>
      </c>
      <c r="F261" s="36"/>
      <c r="G261" s="36"/>
      <c r="I261" s="36" t="str">
        <v>kanan</v>
      </c>
      <c r="J261" s="36"/>
      <c r="K261" s="36"/>
      <c r="M261" s="36" t="str">
        <v>kanan</v>
      </c>
      <c r="N261" s="36"/>
      <c r="O261" s="36"/>
    </row>
    <row r="262" spans="5:15">
      <c r="E262" s="36" t="str">
        <v>kiri</v>
      </c>
      <c r="F262" s="36"/>
      <c r="G262" s="36"/>
      <c r="I262" s="36" t="str">
        <v>tengah</v>
      </c>
      <c r="J262" s="36"/>
      <c r="K262" s="36"/>
      <c r="M262" s="36" t="str">
        <v>tengah</v>
      </c>
      <c r="N262" s="36"/>
      <c r="O262" s="36"/>
    </row>
    <row r="263" spans="5:15">
      <c r="E263" s="36" t="str">
        <v>kanan</v>
      </c>
      <c r="F263" s="36"/>
      <c r="G263" s="36"/>
      <c r="I263" s="36" t="str">
        <v>tengah</v>
      </c>
      <c r="J263" s="36"/>
      <c r="K263" s="36"/>
      <c r="M263" s="36" t="str">
        <v>tengah</v>
      </c>
      <c r="N263" s="36"/>
      <c r="O263" s="36"/>
    </row>
    <row r="264" spans="5:15">
      <c r="E264" s="36" t="str">
        <v>kanan</v>
      </c>
      <c r="F264" s="36"/>
      <c r="G264" s="36"/>
      <c r="I264" s="36" t="str">
        <v>kanan</v>
      </c>
      <c r="J264" s="36"/>
      <c r="K264" s="36"/>
      <c r="M264" s="36" t="str">
        <v>tengah</v>
      </c>
      <c r="N264" s="36"/>
      <c r="O264" s="36"/>
    </row>
    <row r="265" spans="5:15">
      <c r="E265" s="36" t="str">
        <v>kiri</v>
      </c>
      <c r="F265" s="36"/>
      <c r="G265" s="36"/>
      <c r="I265" s="36" t="str">
        <v>kiri</v>
      </c>
      <c r="J265" s="36"/>
      <c r="K265" s="36"/>
      <c r="M265" s="36" t="str">
        <v>tengah</v>
      </c>
      <c r="N265" s="36"/>
      <c r="O265" s="36"/>
    </row>
    <row r="266" spans="5:15">
      <c r="E266" s="36" t="str">
        <v>kanan</v>
      </c>
      <c r="F266" s="36"/>
      <c r="G266" s="36"/>
      <c r="I266" s="36" t="str">
        <v>kiri</v>
      </c>
      <c r="J266" s="36"/>
      <c r="K266" s="36"/>
      <c r="M266" s="36" t="str">
        <v>kanan</v>
      </c>
      <c r="N266" s="36"/>
      <c r="O266" s="36"/>
    </row>
    <row r="267" spans="5:15">
      <c r="E267" s="36" t="str">
        <v>kiri</v>
      </c>
      <c r="F267" s="36"/>
      <c r="G267" s="36"/>
      <c r="I267" s="36" t="str">
        <v>kiri</v>
      </c>
      <c r="J267" s="36"/>
      <c r="K267" s="36"/>
      <c r="M267" s="36" t="str">
        <v>kanan</v>
      </c>
      <c r="N267" s="36"/>
      <c r="O267" s="36"/>
    </row>
    <row r="268" spans="5:15">
      <c r="E268" s="36" t="str">
        <v>tengah</v>
      </c>
      <c r="F268" s="36"/>
      <c r="G268" s="36"/>
      <c r="I268" s="36" t="str">
        <v>tengah</v>
      </c>
      <c r="J268" s="36"/>
      <c r="K268" s="36"/>
      <c r="M268" s="36" t="str">
        <v>tengah</v>
      </c>
      <c r="N268" s="36"/>
      <c r="O268" s="36"/>
    </row>
    <row r="269" spans="5:15">
      <c r="E269" s="36" t="str">
        <v>kiri</v>
      </c>
      <c r="F269" s="36"/>
      <c r="G269" s="36"/>
      <c r="I269" s="36" t="str">
        <v>kanan</v>
      </c>
      <c r="J269" s="36"/>
      <c r="K269" s="36"/>
      <c r="M269" s="36" t="str">
        <v>kanan</v>
      </c>
      <c r="N269" s="36"/>
      <c r="O269" s="36"/>
    </row>
    <row r="270" spans="5:15">
      <c r="E270" s="36" t="str">
        <v>tengah</v>
      </c>
      <c r="F270" s="36"/>
      <c r="G270" s="36"/>
      <c r="I270" s="36" t="str">
        <v>kanan</v>
      </c>
      <c r="J270" s="36"/>
      <c r="K270" s="36"/>
      <c r="M270" s="36" t="str">
        <v>tengah</v>
      </c>
      <c r="N270" s="36"/>
      <c r="O270" s="36"/>
    </row>
    <row r="271" spans="5:15">
      <c r="E271" s="36" t="str">
        <v>kiri</v>
      </c>
      <c r="F271" s="36"/>
      <c r="G271" s="36"/>
      <c r="I271" s="36" t="str">
        <v>kiri</v>
      </c>
      <c r="J271" s="36"/>
      <c r="K271" s="36"/>
      <c r="M271" s="36" t="str">
        <v>kanan</v>
      </c>
      <c r="N271" s="36"/>
      <c r="O271" s="36"/>
    </row>
    <row r="272" spans="5:15">
      <c r="E272" s="36" t="str">
        <v>kanan</v>
      </c>
      <c r="F272" s="36"/>
      <c r="G272" s="36"/>
      <c r="I272" s="36" t="str">
        <v>tengah</v>
      </c>
      <c r="J272" s="36"/>
      <c r="K272" s="36"/>
      <c r="M272" s="36" t="str">
        <v>kanan</v>
      </c>
      <c r="N272" s="36"/>
      <c r="O272" s="36"/>
    </row>
    <row r="273" spans="5:15">
      <c r="E273" s="36" t="str">
        <v>kanan</v>
      </c>
      <c r="F273" s="36"/>
      <c r="G273" s="36"/>
      <c r="I273" s="36" t="str">
        <v>tengah</v>
      </c>
      <c r="J273" s="36"/>
      <c r="K273" s="36"/>
      <c r="M273" s="36" t="str">
        <v>kanan</v>
      </c>
      <c r="N273" s="36"/>
      <c r="O273" s="36"/>
    </row>
    <row r="274" spans="5:15">
      <c r="E274" s="36" t="str">
        <v>tengah</v>
      </c>
      <c r="F274" s="36"/>
      <c r="G274" s="36"/>
      <c r="I274" s="36" t="str">
        <v>kiri</v>
      </c>
      <c r="J274" s="36"/>
      <c r="K274" s="36"/>
      <c r="M274" s="36" t="str">
        <v>tengah</v>
      </c>
      <c r="N274" s="36"/>
      <c r="O274" s="36"/>
    </row>
    <row r="275" spans="5:15">
      <c r="E275" s="36" t="str">
        <v>tengah</v>
      </c>
      <c r="F275" s="36"/>
      <c r="G275" s="36"/>
      <c r="I275" s="36" t="str">
        <v>kanan</v>
      </c>
      <c r="J275" s="36"/>
      <c r="K275" s="36"/>
      <c r="M275" s="36" t="str">
        <v>tengah</v>
      </c>
      <c r="N275" s="36"/>
      <c r="O275" s="36"/>
    </row>
    <row r="276" spans="5:15">
      <c r="E276" s="36" t="str">
        <v>kanan</v>
      </c>
      <c r="F276" s="36"/>
      <c r="G276" s="36"/>
      <c r="I276" s="36" t="str">
        <v>kanan</v>
      </c>
      <c r="J276" s="36"/>
      <c r="K276" s="36"/>
      <c r="M276" s="36" t="str">
        <v>kanan</v>
      </c>
      <c r="N276" s="36"/>
      <c r="O276" s="36"/>
    </row>
    <row r="277" spans="5:15">
      <c r="E277" s="36" t="str">
        <v>kanan</v>
      </c>
      <c r="F277" s="36"/>
      <c r="G277" s="36"/>
      <c r="I277" s="36" t="str">
        <v>kiri</v>
      </c>
      <c r="J277" s="36"/>
      <c r="K277" s="36"/>
      <c r="M277" s="36" t="str">
        <v>kanan</v>
      </c>
      <c r="N277" s="36"/>
      <c r="O277" s="36"/>
    </row>
    <row r="278" spans="5:15">
      <c r="E278" s="36" t="str">
        <v>tengah</v>
      </c>
      <c r="F278" s="36"/>
      <c r="G278" s="36"/>
      <c r="I278" s="36" t="str">
        <v>tengah</v>
      </c>
      <c r="J278" s="36"/>
      <c r="K278" s="36"/>
      <c r="M278" s="36" t="str">
        <v>kanan</v>
      </c>
      <c r="N278" s="36"/>
      <c r="O278" s="36"/>
    </row>
    <row r="279" spans="5:15">
      <c r="E279" s="36" t="str">
        <v>tengah</v>
      </c>
      <c r="F279" s="36"/>
      <c r="G279" s="36"/>
      <c r="I279" s="36" t="str">
        <v>tengah</v>
      </c>
      <c r="J279" s="36"/>
      <c r="K279" s="36"/>
      <c r="M279" s="36" t="str">
        <v>tengah</v>
      </c>
      <c r="N279" s="36"/>
      <c r="O279" s="36"/>
    </row>
    <row r="280" spans="5:15">
      <c r="E280" s="36" t="str">
        <v>tengah</v>
      </c>
      <c r="F280" s="36"/>
      <c r="G280" s="36"/>
      <c r="I280" s="36" t="str">
        <v>kiri</v>
      </c>
      <c r="J280" s="36"/>
      <c r="K280" s="36"/>
      <c r="M280" s="36" t="str">
        <v>tengah</v>
      </c>
      <c r="N280" s="36"/>
      <c r="O280" s="36"/>
    </row>
    <row r="281" spans="5:15">
      <c r="E281" s="36" t="str">
        <v>kanan</v>
      </c>
      <c r="F281" s="36"/>
      <c r="G281" s="36"/>
      <c r="I281" s="36" t="str">
        <v>tengah</v>
      </c>
      <c r="J281" s="36"/>
      <c r="K281" s="36"/>
      <c r="M281" s="36" t="str">
        <v>tengah</v>
      </c>
      <c r="N281" s="36"/>
      <c r="O281" s="36"/>
    </row>
    <row r="282" spans="5:15">
      <c r="E282" s="36" t="str">
        <v>kiri</v>
      </c>
      <c r="F282" s="36"/>
      <c r="G282" s="36"/>
      <c r="I282" s="36" t="str">
        <v>tengah</v>
      </c>
      <c r="J282" s="36"/>
      <c r="K282" s="36"/>
      <c r="M282" s="36" t="str">
        <v>tengah</v>
      </c>
      <c r="N282" s="36"/>
      <c r="O282" s="36"/>
    </row>
    <row r="283" spans="5:15">
      <c r="E283" s="36" t="str">
        <v>kiri</v>
      </c>
      <c r="F283" s="36"/>
      <c r="G283" s="36"/>
      <c r="I283" s="36" t="str">
        <v>tengah</v>
      </c>
      <c r="J283" s="36"/>
      <c r="K283" s="36"/>
      <c r="M283" s="36" t="str">
        <v>kanan</v>
      </c>
      <c r="N283" s="36"/>
      <c r="O283" s="36"/>
    </row>
    <row r="284" spans="5:15">
      <c r="E284" s="36" t="str">
        <v>kiri</v>
      </c>
      <c r="F284" s="36"/>
      <c r="G284" s="36"/>
      <c r="I284" s="36" t="str">
        <v>kiri</v>
      </c>
      <c r="J284" s="36"/>
      <c r="K284" s="36"/>
      <c r="M284" s="36" t="str">
        <v>kanan</v>
      </c>
      <c r="N284" s="36"/>
      <c r="O284" s="36"/>
    </row>
    <row r="285" spans="5:15">
      <c r="E285" s="36" t="str">
        <v>tengah</v>
      </c>
      <c r="F285" s="36"/>
      <c r="G285" s="36"/>
      <c r="I285" s="36" t="str">
        <v>tengah</v>
      </c>
      <c r="J285" s="36"/>
      <c r="K285" s="36"/>
      <c r="M285" s="36" t="str">
        <v>kanan</v>
      </c>
      <c r="N285" s="36"/>
      <c r="O285" s="36"/>
    </row>
    <row r="286" spans="5:15">
      <c r="E286" s="36" t="str">
        <v>kiri</v>
      </c>
      <c r="F286" s="36"/>
      <c r="G286" s="36"/>
      <c r="I286" s="36" t="str">
        <v>kiri</v>
      </c>
      <c r="J286" s="36"/>
      <c r="K286" s="36"/>
      <c r="M286" s="36" t="str">
        <v>kanan</v>
      </c>
      <c r="N286" s="36"/>
      <c r="O286" s="36"/>
    </row>
    <row r="287" spans="5:15">
      <c r="E287" s="36" t="str">
        <v>kiri</v>
      </c>
      <c r="F287" s="36"/>
      <c r="G287" s="36"/>
      <c r="I287" s="36" t="str">
        <v>kanan</v>
      </c>
      <c r="J287" s="36"/>
      <c r="K287" s="36"/>
      <c r="M287" s="36" t="str">
        <v>kanan</v>
      </c>
      <c r="N287" s="36"/>
      <c r="O287" s="36"/>
    </row>
    <row r="288" spans="5:15">
      <c r="E288" s="36" t="str">
        <v>tengah</v>
      </c>
      <c r="F288" s="36"/>
      <c r="G288" s="36"/>
      <c r="I288" s="36" t="str">
        <v>kiri</v>
      </c>
      <c r="J288" s="36"/>
      <c r="K288" s="36"/>
      <c r="M288" s="36" t="str">
        <v>tengah</v>
      </c>
      <c r="N288" s="36"/>
      <c r="O288" s="36"/>
    </row>
    <row r="289" spans="5:15">
      <c r="E289" s="36" t="str">
        <v>tengah</v>
      </c>
      <c r="F289" s="36"/>
      <c r="G289" s="36"/>
      <c r="I289" s="36" t="str">
        <v>tengah</v>
      </c>
      <c r="J289" s="36"/>
      <c r="K289" s="36"/>
      <c r="M289" s="36" t="str">
        <v>tengah</v>
      </c>
      <c r="N289" s="36"/>
      <c r="O289" s="36"/>
    </row>
    <row r="290" spans="5:15">
      <c r="E290" s="36" t="str">
        <v>kanan</v>
      </c>
      <c r="F290" s="36"/>
      <c r="G290" s="36"/>
      <c r="I290" s="36" t="str">
        <v>tengah</v>
      </c>
      <c r="J290" s="36"/>
      <c r="K290" s="36"/>
      <c r="M290" s="36" t="str">
        <v>kanan</v>
      </c>
      <c r="N290" s="36"/>
      <c r="O290" s="36"/>
    </row>
    <row r="291" spans="5:15">
      <c r="E291" s="36" t="str">
        <v>kiri</v>
      </c>
      <c r="F291" s="36"/>
      <c r="G291" s="36"/>
      <c r="I291" s="36" t="str">
        <v>tengah</v>
      </c>
      <c r="J291" s="36"/>
      <c r="K291" s="36"/>
      <c r="M291" s="36" t="str">
        <v>tengah</v>
      </c>
      <c r="N291" s="36"/>
      <c r="O291" s="36"/>
    </row>
    <row r="292" spans="5:15">
      <c r="E292" s="36" t="str">
        <v>kiri</v>
      </c>
      <c r="F292" s="36"/>
      <c r="G292" s="36"/>
      <c r="I292" s="36" t="str">
        <v>tengah</v>
      </c>
      <c r="J292" s="36"/>
      <c r="K292" s="36"/>
      <c r="M292" s="36" t="str">
        <v>tengah</v>
      </c>
      <c r="N292" s="36"/>
      <c r="O292" s="36"/>
    </row>
    <row r="293" spans="5:15">
      <c r="E293" s="36" t="str">
        <v>tengah</v>
      </c>
      <c r="F293" s="36"/>
      <c r="G293" s="36"/>
      <c r="I293" s="36" t="str">
        <v>tengah</v>
      </c>
      <c r="J293" s="36"/>
      <c r="K293" s="36"/>
      <c r="M293" s="36" t="str">
        <v>kanan</v>
      </c>
      <c r="N293" s="36"/>
      <c r="O293" s="36"/>
    </row>
    <row r="294" spans="5:15">
      <c r="E294" s="36" t="str">
        <v>tengah</v>
      </c>
      <c r="F294" s="36"/>
      <c r="G294" s="36"/>
      <c r="I294" s="36" t="str">
        <v>tengah</v>
      </c>
      <c r="J294" s="36"/>
      <c r="K294" s="36"/>
      <c r="M294" s="36" t="str">
        <v>kanan</v>
      </c>
      <c r="N294" s="36"/>
      <c r="O294" s="36"/>
    </row>
    <row r="295" spans="5:15">
      <c r="E295" s="36" t="str">
        <v>tengah</v>
      </c>
      <c r="F295" s="36"/>
      <c r="G295" s="36"/>
      <c r="I295" s="36" t="str">
        <v>kanan</v>
      </c>
      <c r="J295" s="36"/>
      <c r="K295" s="36"/>
      <c r="M295" s="36" t="str">
        <v>tengah</v>
      </c>
      <c r="N295" s="36"/>
      <c r="O295" s="36"/>
    </row>
    <row r="296" spans="5:15">
      <c r="E296" s="36" t="str">
        <v>kanan</v>
      </c>
      <c r="F296" s="36"/>
      <c r="G296" s="36"/>
      <c r="I296" s="36" t="str">
        <v>tengah</v>
      </c>
      <c r="J296" s="36"/>
      <c r="K296" s="36"/>
      <c r="M296" s="36" t="str">
        <v>tengah</v>
      </c>
      <c r="N296" s="36"/>
      <c r="O296" s="36"/>
    </row>
    <row r="297" spans="5:15">
      <c r="E297" s="36" t="str">
        <v>tengah</v>
      </c>
      <c r="F297" s="36"/>
      <c r="G297" s="36"/>
      <c r="I297" s="36" t="str">
        <v>kanan</v>
      </c>
      <c r="J297" s="36"/>
      <c r="K297" s="36"/>
      <c r="M297" s="36" t="str">
        <v>kanan</v>
      </c>
      <c r="N297" s="36"/>
      <c r="O297" s="36"/>
    </row>
    <row r="298" spans="5:15">
      <c r="E298" s="36" t="str">
        <v>tengah</v>
      </c>
      <c r="F298" s="36"/>
      <c r="G298" s="36"/>
      <c r="I298" s="36" t="str">
        <v>tengah</v>
      </c>
      <c r="J298" s="36"/>
      <c r="K298" s="36"/>
      <c r="M298" s="36" t="str">
        <v>kanan</v>
      </c>
      <c r="N298" s="36"/>
      <c r="O298" s="36"/>
    </row>
    <row r="299" spans="5:15">
      <c r="E299" s="36" t="str">
        <v>tengah</v>
      </c>
      <c r="F299" s="36"/>
      <c r="G299" s="36"/>
      <c r="I299" s="36" t="str">
        <v>kanan</v>
      </c>
      <c r="J299" s="36"/>
      <c r="K299" s="36"/>
      <c r="M299" s="36" t="str">
        <v>tengah</v>
      </c>
      <c r="N299" s="36"/>
      <c r="O299" s="36"/>
    </row>
    <row r="300" spans="5:15">
      <c r="E300" s="36" t="str">
        <v>tengah</v>
      </c>
      <c r="F300" s="36"/>
      <c r="G300" s="36"/>
      <c r="I300" s="36" t="str">
        <v>tengah</v>
      </c>
      <c r="J300" s="36"/>
      <c r="K300" s="36"/>
      <c r="M300" s="36" t="str">
        <v>kanan</v>
      </c>
      <c r="N300" s="36"/>
      <c r="O300" s="36"/>
    </row>
    <row r="301" spans="5:15">
      <c r="E301" s="36" t="str">
        <v>tengah</v>
      </c>
      <c r="F301" s="36"/>
      <c r="G301" s="36"/>
      <c r="I301" s="36" t="str">
        <v>kiri</v>
      </c>
      <c r="J301" s="36"/>
      <c r="K301" s="36"/>
      <c r="M301" s="36" t="str">
        <v>tengah</v>
      </c>
      <c r="N301" s="36"/>
      <c r="O301" s="36"/>
    </row>
    <row r="302" spans="5:15">
      <c r="E302" s="36" t="str">
        <v>tengah</v>
      </c>
      <c r="F302" s="36"/>
      <c r="G302" s="36"/>
      <c r="I302" s="36" t="str">
        <v>tengah</v>
      </c>
      <c r="J302" s="36"/>
      <c r="K302" s="36"/>
      <c r="M302" s="36" t="str">
        <v>tengah</v>
      </c>
      <c r="N302" s="36"/>
      <c r="O302" s="36"/>
    </row>
    <row r="303" spans="5:15">
      <c r="E303" s="36" t="str">
        <v>kiri</v>
      </c>
      <c r="F303" s="36"/>
      <c r="G303" s="36"/>
      <c r="I303" s="36" t="str">
        <v>kiri</v>
      </c>
      <c r="J303" s="36"/>
      <c r="K303" s="36"/>
      <c r="M303" s="36" t="str">
        <v>kanan</v>
      </c>
      <c r="N303" s="36"/>
      <c r="O303" s="36"/>
    </row>
    <row r="304" spans="5:15">
      <c r="E304" s="36" t="str">
        <v>tengah</v>
      </c>
      <c r="F304" s="36"/>
      <c r="G304" s="36"/>
      <c r="I304" s="36" t="str">
        <v>tengah</v>
      </c>
      <c r="J304" s="36"/>
      <c r="K304" s="36"/>
      <c r="M304" s="36" t="str">
        <v>kanan</v>
      </c>
      <c r="N304" s="36"/>
      <c r="O304" s="36"/>
    </row>
    <row r="305" spans="5:15">
      <c r="E305" s="36" t="str">
        <v>tengah</v>
      </c>
      <c r="F305" s="36"/>
      <c r="G305" s="36"/>
      <c r="I305" s="36" t="str">
        <v>kanan</v>
      </c>
      <c r="J305" s="36"/>
      <c r="K305" s="36"/>
      <c r="M305" s="36" t="str">
        <v>tengah</v>
      </c>
      <c r="N305" s="36"/>
      <c r="O305" s="36"/>
    </row>
    <row r="306" spans="5:15">
      <c r="E306" s="36" t="str">
        <v>tengah</v>
      </c>
      <c r="F306" s="36"/>
      <c r="G306" s="36"/>
      <c r="I306" s="36" t="str">
        <v>kanan</v>
      </c>
      <c r="J306" s="36"/>
      <c r="K306" s="36"/>
      <c r="M306" s="36" t="str">
        <v>kanan</v>
      </c>
      <c r="N306" s="36"/>
      <c r="O306" s="36"/>
    </row>
    <row r="307" spans="5:15">
      <c r="E307" s="36" t="str">
        <v>kanan</v>
      </c>
      <c r="F307" s="36"/>
      <c r="G307" s="36"/>
      <c r="I307" s="36" t="str">
        <v>tengah</v>
      </c>
      <c r="J307" s="36"/>
      <c r="K307" s="36"/>
      <c r="M307" s="36" t="str">
        <v>kanan</v>
      </c>
      <c r="N307" s="36"/>
      <c r="O307" s="36"/>
    </row>
    <row r="308" spans="5:15">
      <c r="E308" s="36" t="str">
        <v>tengah</v>
      </c>
      <c r="F308" s="36"/>
      <c r="G308" s="36"/>
      <c r="I308" s="36" t="str">
        <v>tengah</v>
      </c>
      <c r="J308" s="36"/>
      <c r="K308" s="36"/>
      <c r="M308" s="36" t="str">
        <v>kanan</v>
      </c>
      <c r="N308" s="36"/>
      <c r="O308" s="36"/>
    </row>
    <row r="309" spans="5:15">
      <c r="E309" s="36" t="str">
        <v>kanan</v>
      </c>
      <c r="F309" s="36"/>
      <c r="G309" s="36"/>
      <c r="I309" s="36" t="str">
        <v>tengah</v>
      </c>
      <c r="J309" s="36"/>
      <c r="K309" s="36"/>
      <c r="M309" s="36" t="str">
        <v>kanan</v>
      </c>
      <c r="N309" s="36"/>
      <c r="O309" s="36"/>
    </row>
    <row r="310" spans="5:15">
      <c r="E310" s="36" t="str">
        <v>tengah</v>
      </c>
      <c r="F310" s="36"/>
      <c r="G310" s="36"/>
      <c r="I310" s="36" t="str">
        <v>tengah</v>
      </c>
      <c r="J310" s="36"/>
      <c r="K310" s="36"/>
      <c r="M310" s="36" t="str">
        <v>tengah</v>
      </c>
      <c r="N310" s="36"/>
      <c r="O310" s="36"/>
    </row>
    <row r="311" spans="5:15">
      <c r="E311" s="36" t="str">
        <v>tengah</v>
      </c>
      <c r="F311" s="36"/>
      <c r="G311" s="36"/>
      <c r="I311" s="36" t="str">
        <v>tengah</v>
      </c>
      <c r="J311" s="36"/>
      <c r="K311" s="36"/>
      <c r="M311" s="36" t="str">
        <v>tengah</v>
      </c>
      <c r="N311" s="36"/>
      <c r="O311" s="36"/>
    </row>
    <row r="312" spans="5:15">
      <c r="E312" s="36" t="str">
        <v>kanan</v>
      </c>
      <c r="F312" s="36"/>
      <c r="G312" s="36"/>
      <c r="I312" s="36" t="str">
        <v>kiri</v>
      </c>
      <c r="J312" s="36"/>
      <c r="K312" s="36"/>
      <c r="M312" s="36" t="str">
        <v>tengah</v>
      </c>
      <c r="N312" s="36"/>
      <c r="O312" s="36"/>
    </row>
    <row r="313" spans="5:15">
      <c r="E313" s="36" t="str">
        <v>kanan</v>
      </c>
      <c r="F313" s="36"/>
      <c r="G313" s="36"/>
      <c r="I313" s="36" t="str">
        <v>tengah</v>
      </c>
      <c r="J313" s="36"/>
      <c r="K313" s="36"/>
      <c r="M313" s="36" t="str">
        <v>kanan</v>
      </c>
      <c r="N313" s="36"/>
      <c r="O313" s="36"/>
    </row>
    <row r="314" spans="5:15">
      <c r="E314" s="36" t="str">
        <v>tengah</v>
      </c>
      <c r="F314" s="36"/>
      <c r="G314" s="36"/>
      <c r="I314" s="36" t="str">
        <v>tengah</v>
      </c>
      <c r="J314" s="36"/>
      <c r="K314" s="36"/>
      <c r="M314" s="36" t="str">
        <v>kanan</v>
      </c>
      <c r="N314" s="36"/>
      <c r="O314" s="36"/>
    </row>
    <row r="315" spans="5:15">
      <c r="E315" s="36" t="str">
        <v>tengah</v>
      </c>
      <c r="F315" s="36"/>
      <c r="G315" s="36"/>
      <c r="I315" s="36" t="str">
        <v>kiri</v>
      </c>
      <c r="J315" s="36"/>
      <c r="K315" s="36"/>
      <c r="M315" s="36" t="str">
        <v>tengah</v>
      </c>
      <c r="N315" s="36"/>
      <c r="O315" s="36"/>
    </row>
    <row r="316" spans="5:15">
      <c r="E316" s="36" t="str">
        <v>tengah</v>
      </c>
      <c r="F316" s="36"/>
      <c r="G316" s="36"/>
      <c r="I316" s="36" t="str">
        <v>kanan</v>
      </c>
      <c r="J316" s="36"/>
      <c r="K316" s="36"/>
      <c r="M316" s="36" t="str">
        <v>tengah</v>
      </c>
      <c r="N316" s="36"/>
      <c r="O316" s="36"/>
    </row>
    <row r="317" spans="5:15">
      <c r="E317" s="36" t="str">
        <v>kanan</v>
      </c>
      <c r="F317" s="36"/>
      <c r="G317" s="36"/>
      <c r="I317" s="36" t="str">
        <v>kanan</v>
      </c>
      <c r="J317" s="36"/>
      <c r="K317" s="36"/>
      <c r="M317" s="36" t="str">
        <v>tengah</v>
      </c>
      <c r="N317" s="36"/>
      <c r="O317" s="36"/>
    </row>
    <row r="318" spans="5:15">
      <c r="E318" s="36" t="str">
        <v>kiri</v>
      </c>
      <c r="F318" s="36"/>
      <c r="G318" s="36"/>
      <c r="I318" s="36" t="str">
        <v>tengah</v>
      </c>
      <c r="J318" s="36"/>
      <c r="K318" s="36"/>
      <c r="M318" s="36" t="str">
        <v>tengah</v>
      </c>
      <c r="N318" s="36"/>
      <c r="O318" s="36"/>
    </row>
    <row r="319" spans="5:15">
      <c r="E319" s="36" t="str">
        <v>tengah</v>
      </c>
      <c r="F319" s="36"/>
      <c r="G319" s="36"/>
      <c r="I319" s="36" t="str">
        <v>tengah</v>
      </c>
      <c r="J319" s="36"/>
      <c r="K319" s="36"/>
      <c r="M319" s="36" t="str">
        <v>kanan</v>
      </c>
      <c r="N319" s="36"/>
      <c r="O319" s="36"/>
    </row>
    <row r="320" spans="5:15">
      <c r="E320" s="36" t="str">
        <v>tengah</v>
      </c>
      <c r="F320" s="36"/>
      <c r="G320" s="36"/>
      <c r="I320" s="36" t="str">
        <v>tengah</v>
      </c>
      <c r="J320" s="36"/>
      <c r="K320" s="36"/>
      <c r="M320" s="36" t="str">
        <v>kanan</v>
      </c>
      <c r="N320" s="36"/>
      <c r="O320" s="36"/>
    </row>
    <row r="321" spans="5:15">
      <c r="E321" s="36" t="str">
        <v>kanan</v>
      </c>
      <c r="F321" s="36"/>
      <c r="G321" s="36"/>
      <c r="I321" s="36" t="str">
        <v>tengah</v>
      </c>
      <c r="J321" s="36"/>
      <c r="K321" s="36"/>
      <c r="M321" s="36" t="str">
        <v>kanan</v>
      </c>
      <c r="N321" s="36"/>
      <c r="O321" s="36"/>
    </row>
    <row r="322" spans="5:15">
      <c r="E322" s="36" t="str">
        <v>tengah</v>
      </c>
      <c r="F322" s="36"/>
      <c r="G322" s="36"/>
      <c r="I322" s="36" t="str">
        <v>tengah</v>
      </c>
      <c r="J322" s="36"/>
      <c r="K322" s="36"/>
      <c r="M322" s="36" t="str">
        <v>kanan</v>
      </c>
      <c r="N322" s="36"/>
      <c r="O322" s="36"/>
    </row>
    <row r="323" spans="5:15">
      <c r="E323" s="36" t="str">
        <v>tengah</v>
      </c>
      <c r="F323" s="36"/>
      <c r="G323" s="36"/>
      <c r="I323" s="36" t="str">
        <v>tengah</v>
      </c>
      <c r="J323" s="36"/>
      <c r="K323" s="36"/>
      <c r="M323" s="36" t="str">
        <v>kanan</v>
      </c>
      <c r="N323" s="36"/>
      <c r="O323" s="36"/>
    </row>
    <row r="324" spans="5:15">
      <c r="E324" s="36" t="str">
        <v>kanan</v>
      </c>
      <c r="F324" s="36"/>
      <c r="G324" s="36"/>
      <c r="I324" s="36" t="str">
        <v>kiri</v>
      </c>
      <c r="J324" s="36"/>
      <c r="K324" s="36"/>
      <c r="M324" s="36" t="str">
        <v>tengah</v>
      </c>
      <c r="N324" s="36"/>
      <c r="O324" s="36"/>
    </row>
    <row r="325" spans="5:15">
      <c r="E325" s="36" t="str">
        <v>tengah</v>
      </c>
      <c r="F325" s="36"/>
      <c r="G325" s="36"/>
      <c r="I325" s="36" t="str">
        <v>tengah</v>
      </c>
      <c r="J325" s="36"/>
      <c r="K325" s="36"/>
      <c r="M325" s="36" t="str">
        <v>tengah</v>
      </c>
      <c r="N325" s="36"/>
      <c r="O325" s="36"/>
    </row>
    <row r="326" spans="5:15">
      <c r="E326" s="36" t="str">
        <v>tengah</v>
      </c>
      <c r="F326" s="36"/>
      <c r="G326" s="36"/>
      <c r="I326" s="36" t="str">
        <v>kiri</v>
      </c>
      <c r="J326" s="36"/>
      <c r="K326" s="36"/>
      <c r="M326" s="36" t="str">
        <v>kanan</v>
      </c>
      <c r="N326" s="36"/>
      <c r="O326" s="36"/>
    </row>
    <row r="327" spans="5:15">
      <c r="E327" s="36" t="str">
        <v>tengah</v>
      </c>
      <c r="F327" s="36"/>
      <c r="G327" s="36"/>
      <c r="I327" s="36" t="str">
        <v>tengah</v>
      </c>
      <c r="J327" s="36"/>
      <c r="K327" s="36"/>
      <c r="M327" s="36" t="str">
        <v>tengah</v>
      </c>
      <c r="N327" s="36"/>
      <c r="O327" s="36"/>
    </row>
    <row r="328" spans="5:15">
      <c r="E328" s="36" t="str">
        <v>tengah</v>
      </c>
      <c r="F328" s="36"/>
      <c r="G328" s="36"/>
      <c r="I328" s="36" t="str">
        <v>kiri</v>
      </c>
      <c r="J328" s="36"/>
      <c r="K328" s="36"/>
      <c r="M328" s="36" t="str">
        <v>kanan</v>
      </c>
      <c r="N328" s="36"/>
      <c r="O328" s="36"/>
    </row>
    <row r="329" spans="5:15">
      <c r="E329" s="36" t="str">
        <v>kiri</v>
      </c>
      <c r="F329" s="36"/>
      <c r="G329" s="36"/>
      <c r="I329" s="36" t="str">
        <v>kanan</v>
      </c>
      <c r="J329" s="36"/>
      <c r="K329" s="36"/>
      <c r="M329" s="36" t="str">
        <v>kanan</v>
      </c>
      <c r="N329" s="36"/>
      <c r="O329" s="36"/>
    </row>
    <row r="330" spans="5:15">
      <c r="E330" s="36" t="str">
        <v>tengah</v>
      </c>
      <c r="F330" s="36"/>
      <c r="G330" s="36"/>
      <c r="I330" s="36" t="str">
        <v>kanan</v>
      </c>
      <c r="J330" s="36"/>
      <c r="K330" s="36"/>
      <c r="M330" s="36" t="str">
        <v>tengah</v>
      </c>
      <c r="N330" s="36"/>
      <c r="O330" s="36"/>
    </row>
    <row r="331" spans="5:15">
      <c r="E331" s="36" t="str">
        <v>tengah</v>
      </c>
      <c r="F331" s="36"/>
      <c r="G331" s="36"/>
      <c r="I331" s="36" t="str">
        <v>kiri</v>
      </c>
      <c r="J331" s="36"/>
      <c r="K331" s="36"/>
      <c r="M331" s="36" t="str">
        <v>tengah</v>
      </c>
      <c r="N331" s="36"/>
      <c r="O331" s="36"/>
    </row>
    <row r="332" spans="5:15">
      <c r="E332" s="36" t="str">
        <v>tengah</v>
      </c>
      <c r="F332" s="36"/>
      <c r="G332" s="36"/>
      <c r="I332" s="36" t="str">
        <v>tengah</v>
      </c>
      <c r="J332" s="36"/>
      <c r="K332" s="36"/>
      <c r="M332" s="36" t="str">
        <v>kanan</v>
      </c>
      <c r="N332" s="36"/>
      <c r="O332" s="36"/>
    </row>
  </sheetData>
  <pageMargins left="0.7" right="0.7" top="0.75" bottom="0.75" header="0.3" footer="0.3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32"/>
  <sheetViews>
    <sheetView zoomScale="96" zoomScaleNormal="96" topLeftCell="D151" workbookViewId="0">
      <selection activeCell="O197" sqref="O197"/>
    </sheetView>
  </sheetViews>
  <sheetFormatPr defaultColWidth="9" defaultRowHeight="15"/>
  <cols>
    <col min="2" max="2" width="15.8518518518519" customWidth="1"/>
    <col min="3" max="3" width="13.2814814814815" customWidth="1"/>
    <col min="4" max="4" width="13.8518518518519" customWidth="1"/>
    <col min="9" max="9" width="15.8518518518519" customWidth="1"/>
    <col min="10" max="10" width="13.2814814814815" customWidth="1"/>
    <col min="11" max="11" width="13.8518518518519" customWidth="1"/>
    <col min="13" max="13" width="14.2814814814815" customWidth="1"/>
  </cols>
  <sheetData>
    <row r="1" spans="1:17">
      <c r="A1" s="35" t="s">
        <v>183</v>
      </c>
      <c r="B1" s="35" t="s">
        <v>2</v>
      </c>
      <c r="C1" s="35" t="s">
        <v>4</v>
      </c>
      <c r="D1" s="35" t="s">
        <v>5</v>
      </c>
      <c r="H1" s="36" t="s">
        <v>183</v>
      </c>
      <c r="I1" s="36" t="s">
        <v>2</v>
      </c>
      <c r="J1" s="36" t="s">
        <v>4</v>
      </c>
      <c r="K1" s="36" t="s">
        <v>5</v>
      </c>
      <c r="O1" s="35" t="s">
        <v>184</v>
      </c>
      <c r="P1" s="38"/>
      <c r="Q1" s="38"/>
    </row>
    <row r="2" spans="1:17">
      <c r="A2" s="36">
        <f ca="1">RANDBETWEEN(2,164)</f>
        <v>68</v>
      </c>
      <c r="B2" s="36" t="str">
        <f ca="1" t="array" ref="B2">INDEX(Data_DBD!$C:$C,$A2)</f>
        <v>5 Hari</v>
      </c>
      <c r="C2" s="36">
        <f ca="1" t="array" ref="C2">INDEX(Data_DBD!$E:$E,$A2)</f>
        <v>0</v>
      </c>
      <c r="D2" s="36" t="str">
        <f ca="1" t="array" ref="D2">INDEX(Data_DBD!$F:$F,$A2)</f>
        <v>Sedang</v>
      </c>
      <c r="H2" s="36">
        <v>35</v>
      </c>
      <c r="I2" s="36">
        <v>3</v>
      </c>
      <c r="J2" s="36">
        <v>1</v>
      </c>
      <c r="K2" s="36" t="s">
        <v>26</v>
      </c>
      <c r="O2" s="38" t="s">
        <v>105</v>
      </c>
      <c r="P2" s="38">
        <f>COUNTIF(K2:K164,"Tinggi")</f>
        <v>73</v>
      </c>
      <c r="Q2" s="38">
        <f>P2/163</f>
        <v>0.447852760736196</v>
      </c>
    </row>
    <row r="3" spans="1:17">
      <c r="A3" s="36">
        <f ca="1" t="shared" ref="A3:A66" si="0">RANDBETWEEN(2,164)</f>
        <v>148</v>
      </c>
      <c r="B3" s="36" t="str">
        <f ca="1" t="array" ref="B3">INDEX(Data_DBD!$C:$C,$A3)</f>
        <v>3 Hari</v>
      </c>
      <c r="C3" s="36">
        <f ca="1" t="array" ref="C3">INDEX(Data_DBD!$E:$E,$A3)</f>
        <v>1</v>
      </c>
      <c r="D3" s="36" t="str">
        <f ca="1" t="array" ref="D3">INDEX(Data_DBD!$F:$F,$A3)</f>
        <v>Tinggi</v>
      </c>
      <c r="H3" s="36">
        <v>152</v>
      </c>
      <c r="I3" s="36">
        <v>3</v>
      </c>
      <c r="J3" s="36">
        <v>1</v>
      </c>
      <c r="K3" s="36" t="s">
        <v>105</v>
      </c>
      <c r="O3" s="38" t="s">
        <v>8</v>
      </c>
      <c r="P3" s="38">
        <f>COUNTIF(K2:K164,"Sedang")</f>
        <v>72</v>
      </c>
      <c r="Q3" s="38">
        <f>P3/163</f>
        <v>0.441717791411043</v>
      </c>
    </row>
    <row r="4" spans="1:17">
      <c r="A4" s="36">
        <f ca="1" t="shared" si="0"/>
        <v>159</v>
      </c>
      <c r="B4" s="36" t="str">
        <f ca="1" t="array" ref="B4">INDEX(Data_DBD!$C:$C,$A4)</f>
        <v>2 Hari</v>
      </c>
      <c r="C4" s="36">
        <f ca="1" t="array" ref="C4">INDEX(Data_DBD!$E:$E,$A4)</f>
        <v>0</v>
      </c>
      <c r="D4" s="36" t="str">
        <f ca="1" t="array" ref="D4">INDEX(Data_DBD!$F:$F,$A4)</f>
        <v>Tinggi</v>
      </c>
      <c r="H4" s="36">
        <v>87</v>
      </c>
      <c r="I4" s="36">
        <v>3</v>
      </c>
      <c r="J4" s="36">
        <v>0</v>
      </c>
      <c r="K4" s="36" t="s">
        <v>8</v>
      </c>
      <c r="O4" s="38" t="s">
        <v>26</v>
      </c>
      <c r="P4" s="38">
        <f>COUNTIF(K2:K164,"Rendah")</f>
        <v>18</v>
      </c>
      <c r="Q4" s="38">
        <f>P4/163</f>
        <v>0.110429447852761</v>
      </c>
    </row>
    <row r="5" spans="1:16">
      <c r="A5" s="36">
        <f ca="1" t="shared" si="0"/>
        <v>36</v>
      </c>
      <c r="B5" s="36" t="str">
        <f ca="1" t="array" ref="B5">INDEX(Data_DBD!$C:$C,$A5)</f>
        <v>1 Hari</v>
      </c>
      <c r="C5" s="36">
        <f ca="1" t="array" ref="C5">INDEX(Data_DBD!$E:$E,$A5)</f>
        <v>1</v>
      </c>
      <c r="D5" s="36" t="str">
        <f ca="1" t="array" ref="D5">INDEX(Data_DBD!$F:$F,$A5)</f>
        <v>Rendah</v>
      </c>
      <c r="H5" s="36">
        <v>125</v>
      </c>
      <c r="I5" s="36">
        <v>4</v>
      </c>
      <c r="J5" s="36">
        <v>0</v>
      </c>
      <c r="K5" s="36" t="s">
        <v>105</v>
      </c>
      <c r="O5" s="39" t="s">
        <v>185</v>
      </c>
      <c r="P5">
        <f>-(IFERROR(Q2*LOG(Q2,2),0)+IFERROR(Q3*LOG(Q3,2),0)+IFERROR(Q4*LOG(Q4,2),0))</f>
        <v>1.39074997675838</v>
      </c>
    </row>
    <row r="6" spans="1:11">
      <c r="A6" s="36">
        <f ca="1" t="shared" si="0"/>
        <v>11</v>
      </c>
      <c r="B6" s="36" t="str">
        <f ca="1" t="array" ref="B6">INDEX(Data_DBD!$C:$C,$A6)</f>
        <v>5 Hari</v>
      </c>
      <c r="C6" s="36">
        <f ca="1" t="array" ref="C6">INDEX(Data_DBD!$E:$E,$A6)</f>
        <v>1</v>
      </c>
      <c r="D6" s="36" t="str">
        <f ca="1" t="array" ref="D6">INDEX(Data_DBD!$F:$F,$A6)</f>
        <v>Sedang</v>
      </c>
      <c r="H6" s="36">
        <v>50</v>
      </c>
      <c r="I6" s="36">
        <v>5</v>
      </c>
      <c r="J6" s="36">
        <v>0</v>
      </c>
      <c r="K6" s="36" t="s">
        <v>8</v>
      </c>
    </row>
    <row r="7" spans="1:11">
      <c r="A7" s="36">
        <f ca="1" t="shared" si="0"/>
        <v>162</v>
      </c>
      <c r="B7" s="36" t="str">
        <f ca="1" t="array" ref="B7">INDEX(Data_DBD!$C:$C,$A7)</f>
        <v>3 Hari</v>
      </c>
      <c r="C7" s="36">
        <f ca="1" t="array" ref="C7">INDEX(Data_DBD!$E:$E,$A7)</f>
        <v>1</v>
      </c>
      <c r="D7" s="36" t="str">
        <f ca="1" t="array" ref="D7">INDEX(Data_DBD!$F:$F,$A7)</f>
        <v>Rendah</v>
      </c>
      <c r="H7" s="36">
        <v>123</v>
      </c>
      <c r="I7" s="36">
        <v>4</v>
      </c>
      <c r="J7" s="36">
        <v>0</v>
      </c>
      <c r="K7" s="36" t="s">
        <v>105</v>
      </c>
    </row>
    <row r="8" spans="1:11">
      <c r="A8" s="36">
        <f ca="1" t="shared" si="0"/>
        <v>131</v>
      </c>
      <c r="B8" s="36" t="str">
        <f ca="1" t="array" ref="B8">INDEX(Data_DBD!$C:$C,$A8)</f>
        <v>2 Hari</v>
      </c>
      <c r="C8" s="36">
        <f ca="1" t="array" ref="C8">INDEX(Data_DBD!$E:$E,$A8)</f>
        <v>0</v>
      </c>
      <c r="D8" s="36" t="str">
        <f ca="1" t="array" ref="D8">INDEX(Data_DBD!$F:$F,$A8)</f>
        <v>Tinggi</v>
      </c>
      <c r="H8" s="36">
        <v>6</v>
      </c>
      <c r="I8" s="36">
        <v>4</v>
      </c>
      <c r="J8" s="36">
        <v>0</v>
      </c>
      <c r="K8" s="36" t="s">
        <v>8</v>
      </c>
    </row>
    <row r="9" spans="1:11">
      <c r="A9" s="36">
        <f ca="1" t="shared" si="0"/>
        <v>152</v>
      </c>
      <c r="B9" s="36" t="str">
        <f ca="1" t="array" ref="B9">INDEX(Data_DBD!$C:$C,$A9)</f>
        <v>3 Hari</v>
      </c>
      <c r="C9" s="36">
        <f ca="1" t="array" ref="C9">INDEX(Data_DBD!$E:$E,$A9)</f>
        <v>1</v>
      </c>
      <c r="D9" s="36" t="str">
        <f ca="1" t="array" ref="D9">INDEX(Data_DBD!$F:$F,$A9)</f>
        <v>Tinggi</v>
      </c>
      <c r="H9" s="36">
        <v>94</v>
      </c>
      <c r="I9" s="36">
        <v>4</v>
      </c>
      <c r="J9" s="36">
        <v>0</v>
      </c>
      <c r="K9" s="36" t="s">
        <v>105</v>
      </c>
    </row>
    <row r="10" spans="1:11">
      <c r="A10" s="36">
        <f ca="1" t="shared" si="0"/>
        <v>63</v>
      </c>
      <c r="B10" s="36" t="str">
        <f ca="1" t="array" ref="B10">INDEX(Data_DBD!$C:$C,$A10)</f>
        <v>3 Hari</v>
      </c>
      <c r="C10" s="36">
        <f ca="1" t="array" ref="C10">INDEX(Data_DBD!$E:$E,$A10)</f>
        <v>0</v>
      </c>
      <c r="D10" s="36" t="str">
        <f ca="1" t="array" ref="D10">INDEX(Data_DBD!$F:$F,$A10)</f>
        <v>Sedang</v>
      </c>
      <c r="H10" s="36">
        <v>149</v>
      </c>
      <c r="I10" s="36">
        <v>5</v>
      </c>
      <c r="J10" s="36">
        <v>0</v>
      </c>
      <c r="K10" s="36" t="s">
        <v>105</v>
      </c>
    </row>
    <row r="11" spans="1:11">
      <c r="A11" s="36">
        <f ca="1" t="shared" si="0"/>
        <v>85</v>
      </c>
      <c r="B11" s="36" t="str">
        <f ca="1" t="array" ref="B11">INDEX(Data_DBD!$C:$C,$A11)</f>
        <v>9 Hari</v>
      </c>
      <c r="C11" s="36">
        <f ca="1" t="array" ref="C11">INDEX(Data_DBD!$E:$E,$A11)</f>
        <v>0</v>
      </c>
      <c r="D11" s="36" t="str">
        <f ca="1" t="array" ref="D11">INDEX(Data_DBD!$F:$F,$A11)</f>
        <v>Sedang</v>
      </c>
      <c r="H11" s="36">
        <v>20</v>
      </c>
      <c r="I11" s="36">
        <v>5</v>
      </c>
      <c r="J11" s="36">
        <v>0</v>
      </c>
      <c r="K11" s="36" t="s">
        <v>26</v>
      </c>
    </row>
    <row r="12" spans="1:11">
      <c r="A12" s="36">
        <f ca="1" t="shared" si="0"/>
        <v>131</v>
      </c>
      <c r="B12" s="36" t="str">
        <f ca="1" t="array" ref="B12">INDEX(Data_DBD!$C:$C,$A12)</f>
        <v>2 Hari</v>
      </c>
      <c r="C12" s="36">
        <f ca="1" t="array" ref="C12">INDEX(Data_DBD!$E:$E,$A12)</f>
        <v>0</v>
      </c>
      <c r="D12" s="36" t="str">
        <f ca="1" t="array" ref="D12">INDEX(Data_DBD!$F:$F,$A12)</f>
        <v>Tinggi</v>
      </c>
      <c r="H12" s="36">
        <v>106</v>
      </c>
      <c r="I12" s="36">
        <v>3</v>
      </c>
      <c r="J12" s="36">
        <v>1</v>
      </c>
      <c r="K12" s="36" t="s">
        <v>105</v>
      </c>
    </row>
    <row r="13" spans="1:11">
      <c r="A13" s="36">
        <f ca="1" t="shared" si="0"/>
        <v>164</v>
      </c>
      <c r="B13" s="36" t="str">
        <f ca="1" t="array" ref="B13">INDEX(Data_DBD!$C:$C,$A13)</f>
        <v>6 Hari</v>
      </c>
      <c r="C13" s="36">
        <f ca="1" t="array" ref="C13">INDEX(Data_DBD!$E:$E,$A13)</f>
        <v>0</v>
      </c>
      <c r="D13" s="36" t="str">
        <f ca="1" t="array" ref="D13">INDEX(Data_DBD!$F:$F,$A13)</f>
        <v>Rendah</v>
      </c>
      <c r="H13" s="36">
        <v>156</v>
      </c>
      <c r="I13" s="36">
        <v>2</v>
      </c>
      <c r="J13" s="36">
        <v>0</v>
      </c>
      <c r="K13" s="36" t="s">
        <v>105</v>
      </c>
    </row>
    <row r="14" spans="1:11">
      <c r="A14" s="36">
        <f ca="1" t="shared" si="0"/>
        <v>51</v>
      </c>
      <c r="B14" s="36" t="str">
        <f ca="1" t="array" ref="B14">INDEX(Data_DBD!$C:$C,$A14)</f>
        <v>4 Hari</v>
      </c>
      <c r="C14" s="36">
        <f ca="1" t="array" ref="C14">INDEX(Data_DBD!$E:$E,$A14)</f>
        <v>0</v>
      </c>
      <c r="D14" s="36" t="str">
        <f ca="1" t="array" ref="D14">INDEX(Data_DBD!$F:$F,$A14)</f>
        <v>Sedang</v>
      </c>
      <c r="H14" s="36">
        <v>16</v>
      </c>
      <c r="I14" s="36">
        <v>5</v>
      </c>
      <c r="J14" s="36">
        <v>1</v>
      </c>
      <c r="K14" s="36" t="s">
        <v>26</v>
      </c>
    </row>
    <row r="15" spans="1:11">
      <c r="A15" s="36">
        <f ca="1" t="shared" si="0"/>
        <v>78</v>
      </c>
      <c r="B15" s="36" t="str">
        <f ca="1" t="array" ref="B15">INDEX(Data_DBD!$C:$C,$A15)</f>
        <v>3 Hari</v>
      </c>
      <c r="C15" s="36">
        <f ca="1" t="array" ref="C15">INDEX(Data_DBD!$E:$E,$A15)</f>
        <v>0</v>
      </c>
      <c r="D15" s="36" t="str">
        <f ca="1" t="array" ref="D15">INDEX(Data_DBD!$F:$F,$A15)</f>
        <v>Sedang</v>
      </c>
      <c r="H15" s="36">
        <v>5</v>
      </c>
      <c r="I15" s="36">
        <v>2</v>
      </c>
      <c r="J15" s="36">
        <v>1</v>
      </c>
      <c r="K15" s="36" t="s">
        <v>8</v>
      </c>
    </row>
    <row r="16" spans="1:11">
      <c r="A16" s="36">
        <f ca="1" t="shared" si="0"/>
        <v>159</v>
      </c>
      <c r="B16" s="36" t="str">
        <f ca="1" t="array" ref="B16">INDEX(Data_DBD!$C:$C,$A16)</f>
        <v>2 Hari</v>
      </c>
      <c r="C16" s="36">
        <f ca="1" t="array" ref="C16">INDEX(Data_DBD!$E:$E,$A16)</f>
        <v>0</v>
      </c>
      <c r="D16" s="36" t="str">
        <f ca="1" t="array" ref="D16">INDEX(Data_DBD!$F:$F,$A16)</f>
        <v>Tinggi</v>
      </c>
      <c r="H16" s="36">
        <v>98</v>
      </c>
      <c r="I16" s="36">
        <v>2</v>
      </c>
      <c r="J16" s="36">
        <v>1</v>
      </c>
      <c r="K16" s="36" t="s">
        <v>105</v>
      </c>
    </row>
    <row r="17" spans="1:11">
      <c r="A17" s="36">
        <f ca="1" t="shared" si="0"/>
        <v>64</v>
      </c>
      <c r="B17" s="36" t="str">
        <f ca="1" t="array" ref="B17">INDEX(Data_DBD!$C:$C,$A17)</f>
        <v>1 Hari</v>
      </c>
      <c r="C17" s="36">
        <f ca="1" t="array" ref="C17">INDEX(Data_DBD!$E:$E,$A17)</f>
        <v>0</v>
      </c>
      <c r="D17" s="36" t="str">
        <f ca="1" t="array" ref="D17">INDEX(Data_DBD!$F:$F,$A17)</f>
        <v>Sedang</v>
      </c>
      <c r="H17" s="36">
        <v>8</v>
      </c>
      <c r="I17" s="36">
        <v>2</v>
      </c>
      <c r="J17" s="36">
        <v>0</v>
      </c>
      <c r="K17" s="36" t="s">
        <v>8</v>
      </c>
    </row>
    <row r="18" spans="1:11">
      <c r="A18" s="36">
        <f ca="1" t="shared" si="0"/>
        <v>15</v>
      </c>
      <c r="B18" s="36" t="str">
        <f ca="1" t="array" ref="B18">INDEX(Data_DBD!$C:$C,$A18)</f>
        <v>2 Hari</v>
      </c>
      <c r="C18" s="36">
        <f ca="1" t="array" ref="C18">INDEX(Data_DBD!$E:$E,$A18)</f>
        <v>0</v>
      </c>
      <c r="D18" s="36" t="str">
        <f ca="1" t="array" ref="D18">INDEX(Data_DBD!$F:$F,$A18)</f>
        <v>Rendah</v>
      </c>
      <c r="H18" s="36">
        <v>56</v>
      </c>
      <c r="I18" s="36">
        <v>3</v>
      </c>
      <c r="J18" s="36">
        <v>0</v>
      </c>
      <c r="K18" s="36" t="s">
        <v>8</v>
      </c>
    </row>
    <row r="19" spans="1:11">
      <c r="A19" s="36">
        <f ca="1" t="shared" si="0"/>
        <v>146</v>
      </c>
      <c r="B19" s="36" t="str">
        <f ca="1" t="array" ref="B19">INDEX(Data_DBD!$C:$C,$A19)</f>
        <v>2 Hari</v>
      </c>
      <c r="C19" s="36">
        <f ca="1" t="array" ref="C19">INDEX(Data_DBD!$E:$E,$A19)</f>
        <v>1</v>
      </c>
      <c r="D19" s="36" t="str">
        <f ca="1" t="array" ref="D19">INDEX(Data_DBD!$F:$F,$A19)</f>
        <v>Tinggi</v>
      </c>
      <c r="H19" s="36">
        <v>134</v>
      </c>
      <c r="I19" s="36">
        <v>2</v>
      </c>
      <c r="J19" s="36">
        <v>1</v>
      </c>
      <c r="K19" s="36" t="s">
        <v>105</v>
      </c>
    </row>
    <row r="20" spans="1:11">
      <c r="A20" s="36">
        <f ca="1" t="shared" si="0"/>
        <v>49</v>
      </c>
      <c r="B20" s="36" t="str">
        <f ca="1" t="array" ref="B20">INDEX(Data_DBD!$C:$C,$A20)</f>
        <v>5 Hari</v>
      </c>
      <c r="C20" s="36">
        <f ca="1" t="array" ref="C20">INDEX(Data_DBD!$E:$E,$A20)</f>
        <v>0</v>
      </c>
      <c r="D20" s="36" t="str">
        <f ca="1" t="array" ref="D20">INDEX(Data_DBD!$F:$F,$A20)</f>
        <v>Sedang</v>
      </c>
      <c r="H20" s="36">
        <v>65</v>
      </c>
      <c r="I20" s="36">
        <v>3</v>
      </c>
      <c r="J20" s="36">
        <v>0</v>
      </c>
      <c r="K20" s="36" t="s">
        <v>8</v>
      </c>
    </row>
    <row r="21" spans="1:11">
      <c r="A21" s="36">
        <f ca="1" t="shared" si="0"/>
        <v>51</v>
      </c>
      <c r="B21" s="36" t="str">
        <f ca="1" t="array" ref="B21">INDEX(Data_DBD!$C:$C,$A21)</f>
        <v>4 Hari</v>
      </c>
      <c r="C21" s="36">
        <f ca="1" t="array" ref="C21">INDEX(Data_DBD!$E:$E,$A21)</f>
        <v>0</v>
      </c>
      <c r="D21" s="36" t="str">
        <f ca="1" t="array" ref="D21">INDEX(Data_DBD!$F:$F,$A21)</f>
        <v>Sedang</v>
      </c>
      <c r="H21" s="36">
        <v>130</v>
      </c>
      <c r="I21" s="36">
        <v>4</v>
      </c>
      <c r="J21" s="36">
        <v>0</v>
      </c>
      <c r="K21" s="36" t="s">
        <v>105</v>
      </c>
    </row>
    <row r="22" spans="1:11">
      <c r="A22" s="36">
        <f ca="1" t="shared" si="0"/>
        <v>60</v>
      </c>
      <c r="B22" s="36" t="str">
        <f ca="1" t="array" ref="B22">INDEX(Data_DBD!$C:$C,$A22)</f>
        <v>4 Hari</v>
      </c>
      <c r="C22" s="36">
        <f ca="1" t="array" ref="C22">INDEX(Data_DBD!$E:$E,$A22)</f>
        <v>0</v>
      </c>
      <c r="D22" s="36" t="str">
        <f ca="1" t="array" ref="D22">INDEX(Data_DBD!$F:$F,$A22)</f>
        <v>Sedang</v>
      </c>
      <c r="H22" s="36">
        <v>19</v>
      </c>
      <c r="I22" s="36">
        <v>4</v>
      </c>
      <c r="J22" s="36">
        <v>0</v>
      </c>
      <c r="K22" s="36" t="s">
        <v>26</v>
      </c>
    </row>
    <row r="23" spans="1:11">
      <c r="A23" s="36">
        <f ca="1" t="shared" si="0"/>
        <v>66</v>
      </c>
      <c r="B23" s="36" t="str">
        <f ca="1" t="array" ref="B23">INDEX(Data_DBD!$C:$C,$A23)</f>
        <v>5 Hari</v>
      </c>
      <c r="C23" s="36">
        <f ca="1" t="array" ref="C23">INDEX(Data_DBD!$E:$E,$A23)</f>
        <v>1</v>
      </c>
      <c r="D23" s="36" t="str">
        <f ca="1" t="array" ref="D23">INDEX(Data_DBD!$F:$F,$A23)</f>
        <v>Sedang</v>
      </c>
      <c r="H23" s="36">
        <v>134</v>
      </c>
      <c r="I23" s="36">
        <v>2</v>
      </c>
      <c r="J23" s="36">
        <v>1</v>
      </c>
      <c r="K23" s="36" t="s">
        <v>105</v>
      </c>
    </row>
    <row r="24" spans="1:11">
      <c r="A24" s="36">
        <f ca="1" t="shared" si="0"/>
        <v>72</v>
      </c>
      <c r="B24" s="36" t="str">
        <f ca="1" t="array" ref="B24">INDEX(Data_DBD!$C:$C,$A24)</f>
        <v>5 Hari</v>
      </c>
      <c r="C24" s="36">
        <f ca="1" t="array" ref="C24">INDEX(Data_DBD!$E:$E,$A24)</f>
        <v>1</v>
      </c>
      <c r="D24" s="36" t="str">
        <f ca="1" t="array" ref="D24">INDEX(Data_DBD!$F:$F,$A24)</f>
        <v>Sedang</v>
      </c>
      <c r="H24" s="36">
        <v>4</v>
      </c>
      <c r="I24" s="36">
        <v>5</v>
      </c>
      <c r="J24" s="36">
        <v>0</v>
      </c>
      <c r="K24" s="36" t="s">
        <v>8</v>
      </c>
    </row>
    <row r="25" spans="1:11">
      <c r="A25" s="36">
        <f ca="1" t="shared" si="0"/>
        <v>141</v>
      </c>
      <c r="B25" s="36" t="str">
        <f ca="1" t="array" ref="B25">INDEX(Data_DBD!$C:$C,$A25)</f>
        <v>2 Hari</v>
      </c>
      <c r="C25" s="36">
        <f ca="1" t="array" ref="C25">INDEX(Data_DBD!$E:$E,$A25)</f>
        <v>0</v>
      </c>
      <c r="D25" s="36" t="str">
        <f ca="1" t="array" ref="D25">INDEX(Data_DBD!$F:$F,$A25)</f>
        <v>Tinggi</v>
      </c>
      <c r="H25" s="36">
        <v>151</v>
      </c>
      <c r="I25" s="36">
        <v>3</v>
      </c>
      <c r="J25" s="36">
        <v>0</v>
      </c>
      <c r="K25" s="36" t="s">
        <v>105</v>
      </c>
    </row>
    <row r="26" spans="1:11">
      <c r="A26" s="36">
        <f ca="1" t="shared" si="0"/>
        <v>152</v>
      </c>
      <c r="B26" s="36" t="str">
        <f ca="1" t="array" ref="B26">INDEX(Data_DBD!$C:$C,$A26)</f>
        <v>3 Hari</v>
      </c>
      <c r="C26" s="36">
        <f ca="1" t="array" ref="C26">INDEX(Data_DBD!$E:$E,$A26)</f>
        <v>1</v>
      </c>
      <c r="D26" s="36" t="str">
        <f ca="1" t="array" ref="D26">INDEX(Data_DBD!$F:$F,$A26)</f>
        <v>Tinggi</v>
      </c>
      <c r="H26" s="36">
        <v>40</v>
      </c>
      <c r="I26" s="36">
        <v>3</v>
      </c>
      <c r="J26" s="36">
        <v>1</v>
      </c>
      <c r="K26" s="36" t="s">
        <v>8</v>
      </c>
    </row>
    <row r="27" spans="1:11">
      <c r="A27" s="36">
        <f ca="1" t="shared" si="0"/>
        <v>97</v>
      </c>
      <c r="B27" s="36" t="str">
        <f ca="1" t="array" ref="B27">INDEX(Data_DBD!$C:$C,$A27)</f>
        <v>2 Hari</v>
      </c>
      <c r="C27" s="36">
        <f ca="1" t="array" ref="C27">INDEX(Data_DBD!$E:$E,$A27)</f>
        <v>1</v>
      </c>
      <c r="D27" s="36" t="str">
        <f ca="1" t="array" ref="D27">INDEX(Data_DBD!$F:$F,$A27)</f>
        <v>Tinggi</v>
      </c>
      <c r="H27" s="36">
        <v>56</v>
      </c>
      <c r="I27" s="36">
        <v>3</v>
      </c>
      <c r="J27" s="36">
        <v>0</v>
      </c>
      <c r="K27" s="36" t="s">
        <v>8</v>
      </c>
    </row>
    <row r="28" spans="1:11">
      <c r="A28" s="36">
        <f ca="1" t="shared" si="0"/>
        <v>137</v>
      </c>
      <c r="B28" s="36" t="str">
        <f ca="1" t="array" ref="B28">INDEX(Data_DBD!$C:$C,$A28)</f>
        <v>1 Hari</v>
      </c>
      <c r="C28" s="36">
        <f ca="1" t="array" ref="C28">INDEX(Data_DBD!$E:$E,$A28)</f>
        <v>1</v>
      </c>
      <c r="D28" s="36" t="str">
        <f ca="1" t="array" ref="D28">INDEX(Data_DBD!$F:$F,$A28)</f>
        <v>Tinggi</v>
      </c>
      <c r="H28" s="36">
        <v>104</v>
      </c>
      <c r="I28" s="36">
        <v>4</v>
      </c>
      <c r="J28" s="36">
        <v>1</v>
      </c>
      <c r="K28" s="36" t="s">
        <v>105</v>
      </c>
    </row>
    <row r="29" spans="1:11">
      <c r="A29" s="36">
        <f ca="1" t="shared" si="0"/>
        <v>106</v>
      </c>
      <c r="B29" s="36" t="str">
        <f ca="1" t="array" ref="B29">INDEX(Data_DBD!$C:$C,$A29)</f>
        <v>3 Hari</v>
      </c>
      <c r="C29" s="36">
        <f ca="1" t="array" ref="C29">INDEX(Data_DBD!$E:$E,$A29)</f>
        <v>1</v>
      </c>
      <c r="D29" s="36" t="str">
        <f ca="1" t="array" ref="D29">INDEX(Data_DBD!$F:$F,$A29)</f>
        <v>Tinggi</v>
      </c>
      <c r="H29" s="36">
        <v>105</v>
      </c>
      <c r="I29" s="36">
        <v>3</v>
      </c>
      <c r="J29" s="36">
        <v>1</v>
      </c>
      <c r="K29" s="36" t="s">
        <v>105</v>
      </c>
    </row>
    <row r="30" spans="1:11">
      <c r="A30" s="36">
        <f ca="1" t="shared" si="0"/>
        <v>6</v>
      </c>
      <c r="B30" s="36" t="str">
        <f ca="1" t="array" ref="B30">INDEX(Data_DBD!$C:$C,$A30)</f>
        <v>4 Hari</v>
      </c>
      <c r="C30" s="36">
        <f ca="1" t="array" ref="C30">INDEX(Data_DBD!$E:$E,$A30)</f>
        <v>0</v>
      </c>
      <c r="D30" s="36" t="str">
        <f ca="1" t="array" ref="D30">INDEX(Data_DBD!$F:$F,$A30)</f>
        <v>Sedang</v>
      </c>
      <c r="H30" s="36">
        <v>60</v>
      </c>
      <c r="I30" s="36">
        <v>4</v>
      </c>
      <c r="J30" s="36">
        <v>0</v>
      </c>
      <c r="K30" s="36" t="s">
        <v>8</v>
      </c>
    </row>
    <row r="31" spans="1:11">
      <c r="A31" s="36">
        <f ca="1" t="shared" si="0"/>
        <v>106</v>
      </c>
      <c r="B31" s="36" t="str">
        <f ca="1" t="array" ref="B31">INDEX(Data_DBD!$C:$C,$A31)</f>
        <v>3 Hari</v>
      </c>
      <c r="C31" s="36">
        <f ca="1" t="array" ref="C31">INDEX(Data_DBD!$E:$E,$A31)</f>
        <v>1</v>
      </c>
      <c r="D31" s="36" t="str">
        <f ca="1" t="array" ref="D31">INDEX(Data_DBD!$F:$F,$A31)</f>
        <v>Tinggi</v>
      </c>
      <c r="H31" s="36">
        <v>30</v>
      </c>
      <c r="I31" s="36">
        <v>2</v>
      </c>
      <c r="J31" s="36">
        <v>1</v>
      </c>
      <c r="K31" s="36" t="s">
        <v>8</v>
      </c>
    </row>
    <row r="32" spans="1:11">
      <c r="A32" s="36">
        <f ca="1" t="shared" si="0"/>
        <v>119</v>
      </c>
      <c r="B32" s="36" t="str">
        <f ca="1" t="array" ref="B32">INDEX(Data_DBD!$C:$C,$A32)</f>
        <v>7 Hari</v>
      </c>
      <c r="C32" s="36">
        <f ca="1" t="array" ref="C32">INDEX(Data_DBD!$E:$E,$A32)</f>
        <v>0</v>
      </c>
      <c r="D32" s="36" t="str">
        <f ca="1" t="array" ref="D32">INDEX(Data_DBD!$F:$F,$A32)</f>
        <v>Tinggi</v>
      </c>
      <c r="H32" s="36">
        <v>99</v>
      </c>
      <c r="I32" s="36">
        <v>2</v>
      </c>
      <c r="J32" s="36">
        <v>1</v>
      </c>
      <c r="K32" s="36" t="s">
        <v>105</v>
      </c>
    </row>
    <row r="33" spans="1:11">
      <c r="A33" s="36">
        <f ca="1" t="shared" si="0"/>
        <v>107</v>
      </c>
      <c r="B33" s="36" t="str">
        <f ca="1" t="array" ref="B33">INDEX(Data_DBD!$C:$C,$A33)</f>
        <v>5 Hari</v>
      </c>
      <c r="C33" s="36">
        <f ca="1" t="array" ref="C33">INDEX(Data_DBD!$E:$E,$A33)</f>
        <v>0</v>
      </c>
      <c r="D33" s="36" t="str">
        <f ca="1" t="array" ref="D33">INDEX(Data_DBD!$F:$F,$A33)</f>
        <v>Tinggi</v>
      </c>
      <c r="H33" s="36">
        <v>162</v>
      </c>
      <c r="I33" s="36">
        <v>3</v>
      </c>
      <c r="J33" s="36">
        <v>1</v>
      </c>
      <c r="K33" s="36" t="s">
        <v>26</v>
      </c>
    </row>
    <row r="34" spans="1:11">
      <c r="A34" s="36">
        <f ca="1" t="shared" si="0"/>
        <v>35</v>
      </c>
      <c r="B34" s="36" t="str">
        <f ca="1" t="array" ref="B34">INDEX(Data_DBD!$C:$C,$A34)</f>
        <v>3 Hari</v>
      </c>
      <c r="C34" s="36">
        <f ca="1" t="array" ref="C34">INDEX(Data_DBD!$E:$E,$A34)</f>
        <v>1</v>
      </c>
      <c r="D34" s="36" t="str">
        <f ca="1" t="array" ref="D34">INDEX(Data_DBD!$F:$F,$A34)</f>
        <v>Rendah</v>
      </c>
      <c r="H34" s="36">
        <v>131</v>
      </c>
      <c r="I34" s="36">
        <v>2</v>
      </c>
      <c r="J34" s="36">
        <v>0</v>
      </c>
      <c r="K34" s="36" t="s">
        <v>105</v>
      </c>
    </row>
    <row r="35" spans="1:11">
      <c r="A35" s="36">
        <f ca="1" t="shared" si="0"/>
        <v>97</v>
      </c>
      <c r="B35" s="36" t="str">
        <f ca="1" t="array" ref="B35">INDEX(Data_DBD!$C:$C,$A35)</f>
        <v>2 Hari</v>
      </c>
      <c r="C35" s="36">
        <f ca="1" t="array" ref="C35">INDEX(Data_DBD!$E:$E,$A35)</f>
        <v>1</v>
      </c>
      <c r="D35" s="36" t="str">
        <f ca="1" t="array" ref="D35">INDEX(Data_DBD!$F:$F,$A35)</f>
        <v>Tinggi</v>
      </c>
      <c r="H35" s="36">
        <v>33</v>
      </c>
      <c r="I35" s="36">
        <v>4</v>
      </c>
      <c r="J35" s="36">
        <v>1</v>
      </c>
      <c r="K35" s="36" t="s">
        <v>8</v>
      </c>
    </row>
    <row r="36" spans="1:11">
      <c r="A36" s="36">
        <f ca="1" t="shared" si="0"/>
        <v>50</v>
      </c>
      <c r="B36" s="36" t="str">
        <f ca="1" t="array" ref="B36">INDEX(Data_DBD!$C:$C,$A36)</f>
        <v>5 Hari</v>
      </c>
      <c r="C36" s="36">
        <f ca="1" t="array" ref="C36">INDEX(Data_DBD!$E:$E,$A36)</f>
        <v>0</v>
      </c>
      <c r="D36" s="36" t="str">
        <f ca="1" t="array" ref="D36">INDEX(Data_DBD!$F:$F,$A36)</f>
        <v>Sedang</v>
      </c>
      <c r="H36" s="36">
        <v>7</v>
      </c>
      <c r="I36" s="36">
        <v>1</v>
      </c>
      <c r="J36" s="36">
        <v>1</v>
      </c>
      <c r="K36" s="36" t="s">
        <v>8</v>
      </c>
    </row>
    <row r="37" spans="1:11">
      <c r="A37" s="36">
        <f ca="1" t="shared" si="0"/>
        <v>163</v>
      </c>
      <c r="B37" s="36" t="str">
        <f ca="1" t="array" ref="B37">INDEX(Data_DBD!$C:$C,$A37)</f>
        <v>4 Hari</v>
      </c>
      <c r="C37" s="36">
        <f ca="1" t="array" ref="C37">INDEX(Data_DBD!$E:$E,$A37)</f>
        <v>1</v>
      </c>
      <c r="D37" s="36" t="str">
        <f ca="1" t="array" ref="D37">INDEX(Data_DBD!$F:$F,$A37)</f>
        <v>Rendah</v>
      </c>
      <c r="H37" s="36">
        <v>51</v>
      </c>
      <c r="I37" s="36">
        <v>4</v>
      </c>
      <c r="J37" s="36">
        <v>0</v>
      </c>
      <c r="K37" s="36" t="s">
        <v>8</v>
      </c>
    </row>
    <row r="38" spans="1:11">
      <c r="A38" s="36">
        <f ca="1" t="shared" si="0"/>
        <v>85</v>
      </c>
      <c r="B38" s="36" t="str">
        <f ca="1" t="array" ref="B38">INDEX(Data_DBD!$C:$C,$A38)</f>
        <v>9 Hari</v>
      </c>
      <c r="C38" s="36">
        <f ca="1" t="array" ref="C38">INDEX(Data_DBD!$E:$E,$A38)</f>
        <v>0</v>
      </c>
      <c r="D38" s="36" t="str">
        <f ca="1" t="array" ref="D38">INDEX(Data_DBD!$F:$F,$A38)</f>
        <v>Sedang</v>
      </c>
      <c r="H38" s="36">
        <v>5</v>
      </c>
      <c r="I38" s="36">
        <v>2</v>
      </c>
      <c r="J38" s="36">
        <v>1</v>
      </c>
      <c r="K38" s="36" t="s">
        <v>8</v>
      </c>
    </row>
    <row r="39" spans="1:11">
      <c r="A39" s="36">
        <f ca="1" t="shared" si="0"/>
        <v>133</v>
      </c>
      <c r="B39" s="36" t="str">
        <f ca="1" t="array" ref="B39">INDEX(Data_DBD!$C:$C,$A39)</f>
        <v>4 Hari</v>
      </c>
      <c r="C39" s="36">
        <f ca="1" t="array" ref="C39">INDEX(Data_DBD!$E:$E,$A39)</f>
        <v>0</v>
      </c>
      <c r="D39" s="36" t="str">
        <f ca="1" t="array" ref="D39">INDEX(Data_DBD!$F:$F,$A39)</f>
        <v>Tinggi</v>
      </c>
      <c r="H39" s="36">
        <v>111</v>
      </c>
      <c r="I39" s="36">
        <v>4</v>
      </c>
      <c r="J39" s="36">
        <v>0</v>
      </c>
      <c r="K39" s="36" t="s">
        <v>105</v>
      </c>
    </row>
    <row r="40" spans="1:11">
      <c r="A40" s="36">
        <f ca="1" t="shared" si="0"/>
        <v>88</v>
      </c>
      <c r="B40" s="36" t="str">
        <f ca="1" t="array" ref="B40">INDEX(Data_DBD!$C:$C,$A40)</f>
        <v>4 Hari</v>
      </c>
      <c r="C40" s="36">
        <f ca="1" t="array" ref="C40">INDEX(Data_DBD!$E:$E,$A40)</f>
        <v>1</v>
      </c>
      <c r="D40" s="36" t="str">
        <f ca="1" t="array" ref="D40">INDEX(Data_DBD!$F:$F,$A40)</f>
        <v>Sedang</v>
      </c>
      <c r="H40" s="36">
        <v>125</v>
      </c>
      <c r="I40" s="36">
        <v>4</v>
      </c>
      <c r="J40" s="36">
        <v>0</v>
      </c>
      <c r="K40" s="36" t="s">
        <v>105</v>
      </c>
    </row>
    <row r="41" spans="1:11">
      <c r="A41" s="36">
        <f ca="1" t="shared" si="0"/>
        <v>26</v>
      </c>
      <c r="B41" s="36" t="str">
        <f ca="1" t="array" ref="B41">INDEX(Data_DBD!$C:$C,$A41)</f>
        <v>4 Hari</v>
      </c>
      <c r="C41" s="36">
        <f ca="1" t="array" ref="C41">INDEX(Data_DBD!$E:$E,$A41)</f>
        <v>1</v>
      </c>
      <c r="D41" s="36" t="str">
        <f ca="1" t="array" ref="D41">INDEX(Data_DBD!$F:$F,$A41)</f>
        <v>Sedang</v>
      </c>
      <c r="H41" s="36">
        <v>68</v>
      </c>
      <c r="I41" s="36">
        <v>5</v>
      </c>
      <c r="J41" s="36">
        <v>0</v>
      </c>
      <c r="K41" s="36" t="s">
        <v>8</v>
      </c>
    </row>
    <row r="42" spans="1:11">
      <c r="A42" s="36">
        <f ca="1" t="shared" si="0"/>
        <v>107</v>
      </c>
      <c r="B42" s="36" t="str">
        <f ca="1" t="array" ref="B42">INDEX(Data_DBD!$C:$C,$A42)</f>
        <v>5 Hari</v>
      </c>
      <c r="C42" s="36">
        <f ca="1" t="array" ref="C42">INDEX(Data_DBD!$E:$E,$A42)</f>
        <v>0</v>
      </c>
      <c r="D42" s="36" t="str">
        <f ca="1" t="array" ref="D42">INDEX(Data_DBD!$F:$F,$A42)</f>
        <v>Tinggi</v>
      </c>
      <c r="H42" s="36">
        <v>60</v>
      </c>
      <c r="I42" s="36">
        <v>4</v>
      </c>
      <c r="J42" s="36">
        <v>0</v>
      </c>
      <c r="K42" s="36" t="s">
        <v>8</v>
      </c>
    </row>
    <row r="43" spans="1:11">
      <c r="A43" s="36">
        <f ca="1" t="shared" si="0"/>
        <v>93</v>
      </c>
      <c r="B43" s="36" t="str">
        <f ca="1" t="array" ref="B43">INDEX(Data_DBD!$C:$C,$A43)</f>
        <v>4 Hari</v>
      </c>
      <c r="C43" s="36">
        <f ca="1" t="array" ref="C43">INDEX(Data_DBD!$E:$E,$A43)</f>
        <v>0</v>
      </c>
      <c r="D43" s="36" t="str">
        <f ca="1" t="array" ref="D43">INDEX(Data_DBD!$F:$F,$A43)</f>
        <v>Tinggi</v>
      </c>
      <c r="H43" s="36">
        <v>156</v>
      </c>
      <c r="I43" s="36">
        <v>2</v>
      </c>
      <c r="J43" s="36">
        <v>0</v>
      </c>
      <c r="K43" s="36" t="s">
        <v>105</v>
      </c>
    </row>
    <row r="44" spans="1:11">
      <c r="A44" s="36">
        <f ca="1" t="shared" si="0"/>
        <v>145</v>
      </c>
      <c r="B44" s="36" t="str">
        <f ca="1" t="array" ref="B44">INDEX(Data_DBD!$C:$C,$A44)</f>
        <v>4 Hari</v>
      </c>
      <c r="C44" s="36">
        <f ca="1" t="array" ref="C44">INDEX(Data_DBD!$E:$E,$A44)</f>
        <v>1</v>
      </c>
      <c r="D44" s="36" t="str">
        <f ca="1" t="array" ref="D44">INDEX(Data_DBD!$F:$F,$A44)</f>
        <v>Tinggi</v>
      </c>
      <c r="H44" s="36">
        <v>113</v>
      </c>
      <c r="I44" s="36">
        <v>1</v>
      </c>
      <c r="J44" s="36">
        <v>1</v>
      </c>
      <c r="K44" s="36" t="s">
        <v>105</v>
      </c>
    </row>
    <row r="45" spans="1:11">
      <c r="A45" s="36">
        <f ca="1" t="shared" si="0"/>
        <v>92</v>
      </c>
      <c r="B45" s="36" t="str">
        <f ca="1" t="array" ref="B45">INDEX(Data_DBD!$C:$C,$A45)</f>
        <v>7 Hari</v>
      </c>
      <c r="C45" s="36">
        <f ca="1" t="array" ref="C45">INDEX(Data_DBD!$E:$E,$A45)</f>
        <v>0</v>
      </c>
      <c r="D45" s="36" t="str">
        <f ca="1" t="array" ref="D45">INDEX(Data_DBD!$F:$F,$A45)</f>
        <v>Tinggi</v>
      </c>
      <c r="H45" s="36">
        <v>70</v>
      </c>
      <c r="I45" s="36">
        <v>3</v>
      </c>
      <c r="J45" s="36">
        <v>1</v>
      </c>
      <c r="K45" s="36" t="s">
        <v>8</v>
      </c>
    </row>
    <row r="46" spans="1:11">
      <c r="A46" s="36">
        <f ca="1" t="shared" si="0"/>
        <v>6</v>
      </c>
      <c r="B46" s="36" t="str">
        <f ca="1" t="array" ref="B46">INDEX(Data_DBD!$C:$C,$A46)</f>
        <v>4 Hari</v>
      </c>
      <c r="C46" s="36">
        <f ca="1" t="array" ref="C46">INDEX(Data_DBD!$E:$E,$A46)</f>
        <v>0</v>
      </c>
      <c r="D46" s="36" t="str">
        <f ca="1" t="array" ref="D46">INDEX(Data_DBD!$F:$F,$A46)</f>
        <v>Sedang</v>
      </c>
      <c r="H46" s="36">
        <v>44</v>
      </c>
      <c r="I46" s="36">
        <v>5</v>
      </c>
      <c r="J46" s="36">
        <v>1</v>
      </c>
      <c r="K46" s="36" t="s">
        <v>8</v>
      </c>
    </row>
    <row r="47" spans="1:11">
      <c r="A47" s="36">
        <f ca="1" t="shared" si="0"/>
        <v>101</v>
      </c>
      <c r="B47" s="36" t="str">
        <f ca="1" t="array" ref="B47">INDEX(Data_DBD!$C:$C,$A47)</f>
        <v>5 Hari</v>
      </c>
      <c r="C47" s="36">
        <f ca="1" t="array" ref="C47">INDEX(Data_DBD!$E:$E,$A47)</f>
        <v>0</v>
      </c>
      <c r="D47" s="36" t="str">
        <f ca="1" t="array" ref="D47">INDEX(Data_DBD!$F:$F,$A47)</f>
        <v>Tinggi</v>
      </c>
      <c r="H47" s="36">
        <v>32</v>
      </c>
      <c r="I47" s="36">
        <v>4</v>
      </c>
      <c r="J47" s="36">
        <v>0</v>
      </c>
      <c r="K47" s="36" t="s">
        <v>8</v>
      </c>
    </row>
    <row r="48" spans="1:11">
      <c r="A48" s="36">
        <f ca="1" t="shared" si="0"/>
        <v>73</v>
      </c>
      <c r="B48" s="36" t="str">
        <f ca="1" t="array" ref="B48">INDEX(Data_DBD!$C:$C,$A48)</f>
        <v>3 Hari</v>
      </c>
      <c r="C48" s="36">
        <f ca="1" t="array" ref="C48">INDEX(Data_DBD!$E:$E,$A48)</f>
        <v>1</v>
      </c>
      <c r="D48" s="36" t="str">
        <f ca="1" t="array" ref="D48">INDEX(Data_DBD!$F:$F,$A48)</f>
        <v>Sedang</v>
      </c>
      <c r="H48" s="36">
        <v>26</v>
      </c>
      <c r="I48" s="36">
        <v>4</v>
      </c>
      <c r="J48" s="36">
        <v>1</v>
      </c>
      <c r="K48" s="36" t="s">
        <v>8</v>
      </c>
    </row>
    <row r="49" spans="1:11">
      <c r="A49" s="36">
        <f ca="1" t="shared" si="0"/>
        <v>121</v>
      </c>
      <c r="B49" s="36" t="str">
        <f ca="1" t="array" ref="B49">INDEX(Data_DBD!$C:$C,$A49)</f>
        <v>5 Hari</v>
      </c>
      <c r="C49" s="36">
        <f ca="1" t="array" ref="C49">INDEX(Data_DBD!$E:$E,$A49)</f>
        <v>1</v>
      </c>
      <c r="D49" s="36" t="str">
        <f ca="1" t="array" ref="D49">INDEX(Data_DBD!$F:$F,$A49)</f>
        <v>Tinggi</v>
      </c>
      <c r="H49" s="36">
        <v>82</v>
      </c>
      <c r="I49" s="36">
        <v>3</v>
      </c>
      <c r="J49" s="36">
        <v>1</v>
      </c>
      <c r="K49" s="36" t="s">
        <v>8</v>
      </c>
    </row>
    <row r="50" spans="1:11">
      <c r="A50" s="36">
        <f ca="1" t="shared" si="0"/>
        <v>101</v>
      </c>
      <c r="B50" s="36" t="str">
        <f ca="1" t="array" ref="B50">INDEX(Data_DBD!$C:$C,$A50)</f>
        <v>5 Hari</v>
      </c>
      <c r="C50" s="36">
        <f ca="1" t="array" ref="C50">INDEX(Data_DBD!$E:$E,$A50)</f>
        <v>0</v>
      </c>
      <c r="D50" s="36" t="str">
        <f ca="1" t="array" ref="D50">INDEX(Data_DBD!$F:$F,$A50)</f>
        <v>Tinggi</v>
      </c>
      <c r="H50" s="36">
        <v>75</v>
      </c>
      <c r="I50" s="36">
        <v>2</v>
      </c>
      <c r="J50" s="36">
        <v>1</v>
      </c>
      <c r="K50" s="36" t="s">
        <v>8</v>
      </c>
    </row>
    <row r="51" spans="1:11">
      <c r="A51" s="36">
        <f ca="1" t="shared" si="0"/>
        <v>51</v>
      </c>
      <c r="B51" s="36" t="str">
        <f ca="1" t="array" ref="B51">INDEX(Data_DBD!$C:$C,$A51)</f>
        <v>4 Hari</v>
      </c>
      <c r="C51" s="36">
        <f ca="1" t="array" ref="C51">INDEX(Data_DBD!$E:$E,$A51)</f>
        <v>0</v>
      </c>
      <c r="D51" s="36" t="str">
        <f ca="1" t="array" ref="D51">INDEX(Data_DBD!$F:$F,$A51)</f>
        <v>Sedang</v>
      </c>
      <c r="H51" s="36">
        <v>70</v>
      </c>
      <c r="I51" s="36">
        <v>3</v>
      </c>
      <c r="J51" s="36">
        <v>1</v>
      </c>
      <c r="K51" s="36" t="s">
        <v>8</v>
      </c>
    </row>
    <row r="52" spans="1:11">
      <c r="A52" s="36">
        <f ca="1" t="shared" si="0"/>
        <v>61</v>
      </c>
      <c r="B52" s="36" t="str">
        <f ca="1" t="array" ref="B52">INDEX(Data_DBD!$C:$C,$A52)</f>
        <v>3 Hari</v>
      </c>
      <c r="C52" s="36">
        <f ca="1" t="array" ref="C52">INDEX(Data_DBD!$E:$E,$A52)</f>
        <v>1</v>
      </c>
      <c r="D52" s="36" t="str">
        <f ca="1" t="array" ref="D52">INDEX(Data_DBD!$F:$F,$A52)</f>
        <v>Sedang</v>
      </c>
      <c r="H52" s="36">
        <v>110</v>
      </c>
      <c r="I52" s="36">
        <v>2</v>
      </c>
      <c r="J52" s="36">
        <v>1</v>
      </c>
      <c r="K52" s="36" t="s">
        <v>105</v>
      </c>
    </row>
    <row r="53" spans="1:11">
      <c r="A53" s="36">
        <f ca="1" t="shared" si="0"/>
        <v>106</v>
      </c>
      <c r="B53" s="36" t="str">
        <f ca="1" t="array" ref="B53">INDEX(Data_DBD!$C:$C,$A53)</f>
        <v>3 Hari</v>
      </c>
      <c r="C53" s="36">
        <f ca="1" t="array" ref="C53">INDEX(Data_DBD!$E:$E,$A53)</f>
        <v>1</v>
      </c>
      <c r="D53" s="36" t="str">
        <f ca="1" t="array" ref="D53">INDEX(Data_DBD!$F:$F,$A53)</f>
        <v>Tinggi</v>
      </c>
      <c r="H53" s="36">
        <v>98</v>
      </c>
      <c r="I53" s="36">
        <v>2</v>
      </c>
      <c r="J53" s="36">
        <v>1</v>
      </c>
      <c r="K53" s="36" t="s">
        <v>105</v>
      </c>
    </row>
    <row r="54" spans="1:11">
      <c r="A54" s="36">
        <f ca="1" t="shared" si="0"/>
        <v>6</v>
      </c>
      <c r="B54" s="36" t="str">
        <f ca="1" t="array" ref="B54">INDEX(Data_DBD!$C:$C,$A54)</f>
        <v>4 Hari</v>
      </c>
      <c r="C54" s="36">
        <f ca="1" t="array" ref="C54">INDEX(Data_DBD!$E:$E,$A54)</f>
        <v>0</v>
      </c>
      <c r="D54" s="36" t="str">
        <f ca="1" t="array" ref="D54">INDEX(Data_DBD!$F:$F,$A54)</f>
        <v>Sedang</v>
      </c>
      <c r="H54" s="36">
        <v>6</v>
      </c>
      <c r="I54" s="36">
        <v>4</v>
      </c>
      <c r="J54" s="36">
        <v>0</v>
      </c>
      <c r="K54" s="36" t="s">
        <v>8</v>
      </c>
    </row>
    <row r="55" spans="1:11">
      <c r="A55" s="36">
        <f ca="1" t="shared" si="0"/>
        <v>100</v>
      </c>
      <c r="B55" s="36" t="str">
        <f ca="1" t="array" ref="B55">INDEX(Data_DBD!$C:$C,$A55)</f>
        <v>6 Hari</v>
      </c>
      <c r="C55" s="36">
        <f ca="1" t="array" ref="C55">INDEX(Data_DBD!$E:$E,$A55)</f>
        <v>0</v>
      </c>
      <c r="D55" s="36" t="str">
        <f ca="1" t="array" ref="D55">INDEX(Data_DBD!$F:$F,$A55)</f>
        <v>Tinggi</v>
      </c>
      <c r="H55" s="36">
        <v>155</v>
      </c>
      <c r="I55" s="36">
        <v>5</v>
      </c>
      <c r="J55" s="36">
        <v>1</v>
      </c>
      <c r="K55" s="36" t="s">
        <v>105</v>
      </c>
    </row>
    <row r="56" spans="1:11">
      <c r="A56" s="36">
        <f ca="1" t="shared" si="0"/>
        <v>85</v>
      </c>
      <c r="B56" s="36" t="str">
        <f ca="1" t="array" ref="B56">INDEX(Data_DBD!$C:$C,$A56)</f>
        <v>9 Hari</v>
      </c>
      <c r="C56" s="36">
        <f ca="1" t="array" ref="C56">INDEX(Data_DBD!$E:$E,$A56)</f>
        <v>0</v>
      </c>
      <c r="D56" s="36" t="str">
        <f ca="1" t="array" ref="D56">INDEX(Data_DBD!$F:$F,$A56)</f>
        <v>Sedang</v>
      </c>
      <c r="H56" s="36">
        <v>148</v>
      </c>
      <c r="I56" s="36">
        <v>3</v>
      </c>
      <c r="J56" s="36">
        <v>1</v>
      </c>
      <c r="K56" s="36" t="s">
        <v>105</v>
      </c>
    </row>
    <row r="57" spans="1:11">
      <c r="A57" s="36">
        <f ca="1" t="shared" si="0"/>
        <v>85</v>
      </c>
      <c r="B57" s="36" t="str">
        <f ca="1" t="array" ref="B57">INDEX(Data_DBD!$C:$C,$A57)</f>
        <v>9 Hari</v>
      </c>
      <c r="C57" s="36">
        <f ca="1" t="array" ref="C57">INDEX(Data_DBD!$E:$E,$A57)</f>
        <v>0</v>
      </c>
      <c r="D57" s="36" t="str">
        <f ca="1" t="array" ref="D57">INDEX(Data_DBD!$F:$F,$A57)</f>
        <v>Sedang</v>
      </c>
      <c r="H57" s="36">
        <v>98</v>
      </c>
      <c r="I57" s="36">
        <v>2</v>
      </c>
      <c r="J57" s="36">
        <v>1</v>
      </c>
      <c r="K57" s="36" t="s">
        <v>105</v>
      </c>
    </row>
    <row r="58" spans="1:11">
      <c r="A58" s="36">
        <f ca="1" t="shared" si="0"/>
        <v>106</v>
      </c>
      <c r="B58" s="36" t="str">
        <f ca="1" t="array" ref="B58">INDEX(Data_DBD!$C:$C,$A58)</f>
        <v>3 Hari</v>
      </c>
      <c r="C58" s="36">
        <f ca="1" t="array" ref="C58">INDEX(Data_DBD!$E:$E,$A58)</f>
        <v>1</v>
      </c>
      <c r="D58" s="36" t="str">
        <f ca="1" t="array" ref="D58">INDEX(Data_DBD!$F:$F,$A58)</f>
        <v>Tinggi</v>
      </c>
      <c r="H58" s="36">
        <v>129</v>
      </c>
      <c r="I58" s="36">
        <v>3</v>
      </c>
      <c r="J58" s="36">
        <v>0</v>
      </c>
      <c r="K58" s="36" t="s">
        <v>105</v>
      </c>
    </row>
    <row r="59" spans="1:11">
      <c r="A59" s="36">
        <f ca="1" t="shared" si="0"/>
        <v>88</v>
      </c>
      <c r="B59" s="36" t="str">
        <f ca="1" t="array" ref="B59">INDEX(Data_DBD!$C:$C,$A59)</f>
        <v>4 Hari</v>
      </c>
      <c r="C59" s="36">
        <f ca="1" t="array" ref="C59">INDEX(Data_DBD!$E:$E,$A59)</f>
        <v>1</v>
      </c>
      <c r="D59" s="36" t="str">
        <f ca="1" t="array" ref="D59">INDEX(Data_DBD!$F:$F,$A59)</f>
        <v>Sedang</v>
      </c>
      <c r="H59" s="36">
        <v>144</v>
      </c>
      <c r="I59" s="36">
        <v>4</v>
      </c>
      <c r="J59" s="36">
        <v>1</v>
      </c>
      <c r="K59" s="36" t="s">
        <v>105</v>
      </c>
    </row>
    <row r="60" spans="1:11">
      <c r="A60" s="36">
        <f ca="1" t="shared" si="0"/>
        <v>127</v>
      </c>
      <c r="B60" s="36" t="str">
        <f ca="1" t="array" ref="B60">INDEX(Data_DBD!$C:$C,$A60)</f>
        <v>2 Hari</v>
      </c>
      <c r="C60" s="36">
        <f ca="1" t="array" ref="C60">INDEX(Data_DBD!$E:$E,$A60)</f>
        <v>0</v>
      </c>
      <c r="D60" s="36" t="str">
        <f ca="1" t="array" ref="D60">INDEX(Data_DBD!$F:$F,$A60)</f>
        <v>Tinggi</v>
      </c>
      <c r="H60" s="36">
        <v>57</v>
      </c>
      <c r="I60" s="36">
        <v>2</v>
      </c>
      <c r="J60" s="36">
        <v>1</v>
      </c>
      <c r="K60" s="36" t="s">
        <v>8</v>
      </c>
    </row>
    <row r="61" spans="1:11">
      <c r="A61" s="36">
        <f ca="1" t="shared" si="0"/>
        <v>104</v>
      </c>
      <c r="B61" s="36" t="str">
        <f ca="1" t="array" ref="B61">INDEX(Data_DBD!$C:$C,$A61)</f>
        <v>4 Hari</v>
      </c>
      <c r="C61" s="36">
        <f ca="1" t="array" ref="C61">INDEX(Data_DBD!$E:$E,$A61)</f>
        <v>1</v>
      </c>
      <c r="D61" s="36" t="str">
        <f ca="1" t="array" ref="D61">INDEX(Data_DBD!$F:$F,$A61)</f>
        <v>Tinggi</v>
      </c>
      <c r="H61" s="36">
        <v>55</v>
      </c>
      <c r="I61" s="36">
        <v>4</v>
      </c>
      <c r="J61" s="36">
        <v>1</v>
      </c>
      <c r="K61" s="36" t="s">
        <v>8</v>
      </c>
    </row>
    <row r="62" spans="1:11">
      <c r="A62" s="36">
        <f ca="1" t="shared" si="0"/>
        <v>29</v>
      </c>
      <c r="B62" s="36" t="str">
        <f ca="1" t="array" ref="B62">INDEX(Data_DBD!$C:$C,$A62)</f>
        <v>2 Hari</v>
      </c>
      <c r="C62" s="36">
        <f ca="1" t="array" ref="C62">INDEX(Data_DBD!$E:$E,$A62)</f>
        <v>1</v>
      </c>
      <c r="D62" s="36" t="str">
        <f ca="1" t="array" ref="D62">INDEX(Data_DBD!$F:$F,$A62)</f>
        <v>Sedang</v>
      </c>
      <c r="H62" s="36">
        <v>68</v>
      </c>
      <c r="I62" s="36">
        <v>5</v>
      </c>
      <c r="J62" s="36">
        <v>0</v>
      </c>
      <c r="K62" s="36" t="s">
        <v>8</v>
      </c>
    </row>
    <row r="63" spans="1:11">
      <c r="A63" s="36">
        <f ca="1" t="shared" si="0"/>
        <v>162</v>
      </c>
      <c r="B63" s="36" t="str">
        <f ca="1" t="array" ref="B63">INDEX(Data_DBD!$C:$C,$A63)</f>
        <v>3 Hari</v>
      </c>
      <c r="C63" s="36">
        <f ca="1" t="array" ref="C63">INDEX(Data_DBD!$E:$E,$A63)</f>
        <v>1</v>
      </c>
      <c r="D63" s="36" t="str">
        <f ca="1" t="array" ref="D63">INDEX(Data_DBD!$F:$F,$A63)</f>
        <v>Rendah</v>
      </c>
      <c r="H63" s="36">
        <v>161</v>
      </c>
      <c r="I63" s="36">
        <v>3</v>
      </c>
      <c r="J63" s="36">
        <v>1</v>
      </c>
      <c r="K63" s="36" t="s">
        <v>105</v>
      </c>
    </row>
    <row r="64" spans="1:11">
      <c r="A64" s="36">
        <f ca="1" t="shared" si="0"/>
        <v>32</v>
      </c>
      <c r="B64" s="36" t="str">
        <f ca="1" t="array" ref="B64">INDEX(Data_DBD!$C:$C,$A64)</f>
        <v>4 Hari</v>
      </c>
      <c r="C64" s="36">
        <f ca="1" t="array" ref="C64">INDEX(Data_DBD!$E:$E,$A64)</f>
        <v>0</v>
      </c>
      <c r="D64" s="36" t="str">
        <f ca="1" t="array" ref="D64">INDEX(Data_DBD!$F:$F,$A64)</f>
        <v>Sedang</v>
      </c>
      <c r="H64" s="36">
        <v>16</v>
      </c>
      <c r="I64" s="36">
        <v>5</v>
      </c>
      <c r="J64" s="36">
        <v>1</v>
      </c>
      <c r="K64" s="36" t="s">
        <v>26</v>
      </c>
    </row>
    <row r="65" spans="1:11">
      <c r="A65" s="36">
        <f ca="1" t="shared" si="0"/>
        <v>69</v>
      </c>
      <c r="B65" s="36" t="str">
        <f ca="1" t="array" ref="B65">INDEX(Data_DBD!$C:$C,$A65)</f>
        <v>4 Hari</v>
      </c>
      <c r="C65" s="36">
        <f ca="1" t="array" ref="C65">INDEX(Data_DBD!$E:$E,$A65)</f>
        <v>1</v>
      </c>
      <c r="D65" s="36" t="str">
        <f ca="1" t="array" ref="D65">INDEX(Data_DBD!$F:$F,$A65)</f>
        <v>Sedang</v>
      </c>
      <c r="H65" s="36">
        <v>94</v>
      </c>
      <c r="I65" s="36">
        <v>4</v>
      </c>
      <c r="J65" s="36">
        <v>0</v>
      </c>
      <c r="K65" s="36" t="s">
        <v>105</v>
      </c>
    </row>
    <row r="66" spans="1:11">
      <c r="A66" s="36">
        <f ca="1" t="shared" si="0"/>
        <v>67</v>
      </c>
      <c r="B66" s="36" t="str">
        <f ca="1" t="array" ref="B66">INDEX(Data_DBD!$C:$C,$A66)</f>
        <v>3 Hari</v>
      </c>
      <c r="C66" s="36">
        <f ca="1" t="array" ref="C66">INDEX(Data_DBD!$E:$E,$A66)</f>
        <v>1</v>
      </c>
      <c r="D66" s="36" t="str">
        <f ca="1" t="array" ref="D66">INDEX(Data_DBD!$F:$F,$A66)</f>
        <v>Sedang</v>
      </c>
      <c r="H66" s="36">
        <v>69</v>
      </c>
      <c r="I66" s="36">
        <v>4</v>
      </c>
      <c r="J66" s="36">
        <v>1</v>
      </c>
      <c r="K66" s="36" t="s">
        <v>8</v>
      </c>
    </row>
    <row r="67" spans="1:11">
      <c r="A67" s="36">
        <f ca="1" t="shared" ref="A67:A130" si="1">RANDBETWEEN(2,164)</f>
        <v>144</v>
      </c>
      <c r="B67" s="36" t="str">
        <f ca="1" t="array" ref="B67">INDEX(Data_DBD!$C:$C,$A67)</f>
        <v>4 Hari</v>
      </c>
      <c r="C67" s="36">
        <f ca="1" t="array" ref="C67">INDEX(Data_DBD!$E:$E,$A67)</f>
        <v>1</v>
      </c>
      <c r="D67" s="36" t="str">
        <f ca="1" t="array" ref="D67">INDEX(Data_DBD!$F:$F,$A67)</f>
        <v>Tinggi</v>
      </c>
      <c r="H67" s="36">
        <v>68</v>
      </c>
      <c r="I67" s="36">
        <v>5</v>
      </c>
      <c r="J67" s="36">
        <v>0</v>
      </c>
      <c r="K67" s="36" t="s">
        <v>8</v>
      </c>
    </row>
    <row r="68" spans="1:11">
      <c r="A68" s="36">
        <f ca="1" t="shared" si="1"/>
        <v>34</v>
      </c>
      <c r="B68" s="36" t="str">
        <f ca="1" t="array" ref="B68">INDEX(Data_DBD!$C:$C,$A68)</f>
        <v>3 Hari</v>
      </c>
      <c r="C68" s="36">
        <f ca="1" t="array" ref="C68">INDEX(Data_DBD!$E:$E,$A68)</f>
        <v>0</v>
      </c>
      <c r="D68" s="36" t="str">
        <f ca="1" t="array" ref="D68">INDEX(Data_DBD!$F:$F,$A68)</f>
        <v>Sedang</v>
      </c>
      <c r="H68" s="36">
        <v>160</v>
      </c>
      <c r="I68" s="36">
        <v>3</v>
      </c>
      <c r="J68" s="36">
        <v>0</v>
      </c>
      <c r="K68" s="36" t="s">
        <v>105</v>
      </c>
    </row>
    <row r="69" spans="1:11">
      <c r="A69" s="36">
        <f ca="1" t="shared" si="1"/>
        <v>151</v>
      </c>
      <c r="B69" s="36" t="str">
        <f ca="1" t="array" ref="B69">INDEX(Data_DBD!$C:$C,$A69)</f>
        <v>3 Hari</v>
      </c>
      <c r="C69" s="36">
        <f ca="1" t="array" ref="C69">INDEX(Data_DBD!$E:$E,$A69)</f>
        <v>0</v>
      </c>
      <c r="D69" s="36" t="str">
        <f ca="1" t="array" ref="D69">INDEX(Data_DBD!$F:$F,$A69)</f>
        <v>Tinggi</v>
      </c>
      <c r="H69" s="36">
        <v>57</v>
      </c>
      <c r="I69" s="36">
        <v>2</v>
      </c>
      <c r="J69" s="36">
        <v>1</v>
      </c>
      <c r="K69" s="36" t="s">
        <v>8</v>
      </c>
    </row>
    <row r="70" spans="1:11">
      <c r="A70" s="36">
        <f ca="1" t="shared" si="1"/>
        <v>3</v>
      </c>
      <c r="B70" s="36" t="str">
        <f ca="1" t="array" ref="B70">INDEX(Data_DBD!$C:$C,$A70)</f>
        <v>3 Hari</v>
      </c>
      <c r="C70" s="36">
        <f ca="1" t="array" ref="C70">INDEX(Data_DBD!$E:$E,$A70)</f>
        <v>1</v>
      </c>
      <c r="D70" s="36" t="str">
        <f ca="1" t="array" ref="D70">INDEX(Data_DBD!$F:$F,$A70)</f>
        <v>Sedang</v>
      </c>
      <c r="H70" s="36">
        <v>15</v>
      </c>
      <c r="I70" s="36">
        <v>2</v>
      </c>
      <c r="J70" s="36">
        <v>0</v>
      </c>
      <c r="K70" s="36" t="s">
        <v>26</v>
      </c>
    </row>
    <row r="71" spans="1:11">
      <c r="A71" s="36">
        <f ca="1" t="shared" si="1"/>
        <v>96</v>
      </c>
      <c r="B71" s="36" t="str">
        <f ca="1" t="array" ref="B71">INDEX(Data_DBD!$C:$C,$A71)</f>
        <v>4 Hari</v>
      </c>
      <c r="C71" s="36">
        <f ca="1" t="array" ref="C71">INDEX(Data_DBD!$E:$E,$A71)</f>
        <v>0</v>
      </c>
      <c r="D71" s="36" t="str">
        <f ca="1" t="array" ref="D71">INDEX(Data_DBD!$F:$F,$A71)</f>
        <v>Tinggi</v>
      </c>
      <c r="H71" s="36">
        <v>62</v>
      </c>
      <c r="I71" s="36">
        <v>4</v>
      </c>
      <c r="J71" s="36">
        <v>1</v>
      </c>
      <c r="K71" s="36" t="s">
        <v>8</v>
      </c>
    </row>
    <row r="72" spans="1:11">
      <c r="A72" s="36">
        <f ca="1" t="shared" si="1"/>
        <v>141</v>
      </c>
      <c r="B72" s="36" t="str">
        <f ca="1" t="array" ref="B72">INDEX(Data_DBD!$C:$C,$A72)</f>
        <v>2 Hari</v>
      </c>
      <c r="C72" s="36">
        <f ca="1" t="array" ref="C72">INDEX(Data_DBD!$E:$E,$A72)</f>
        <v>0</v>
      </c>
      <c r="D72" s="36" t="str">
        <f ca="1" t="array" ref="D72">INDEX(Data_DBD!$F:$F,$A72)</f>
        <v>Tinggi</v>
      </c>
      <c r="H72" s="36">
        <v>13</v>
      </c>
      <c r="I72" s="36">
        <v>2</v>
      </c>
      <c r="J72" s="36">
        <v>0</v>
      </c>
      <c r="K72" s="36" t="s">
        <v>8</v>
      </c>
    </row>
    <row r="73" spans="1:11">
      <c r="A73" s="36">
        <f ca="1" t="shared" si="1"/>
        <v>15</v>
      </c>
      <c r="B73" s="36" t="str">
        <f ca="1" t="array" ref="B73">INDEX(Data_DBD!$C:$C,$A73)</f>
        <v>2 Hari</v>
      </c>
      <c r="C73" s="36">
        <f ca="1" t="array" ref="C73">INDEX(Data_DBD!$E:$E,$A73)</f>
        <v>0</v>
      </c>
      <c r="D73" s="36" t="str">
        <f ca="1" t="array" ref="D73">INDEX(Data_DBD!$F:$F,$A73)</f>
        <v>Rendah</v>
      </c>
      <c r="H73" s="36">
        <v>151</v>
      </c>
      <c r="I73" s="36">
        <v>3</v>
      </c>
      <c r="J73" s="36">
        <v>0</v>
      </c>
      <c r="K73" s="36" t="s">
        <v>105</v>
      </c>
    </row>
    <row r="74" spans="1:11">
      <c r="A74" s="36">
        <f ca="1" t="shared" si="1"/>
        <v>40</v>
      </c>
      <c r="B74" s="36" t="str">
        <f ca="1" t="array" ref="B74">INDEX(Data_DBD!$C:$C,$A74)</f>
        <v>3 Hari</v>
      </c>
      <c r="C74" s="36">
        <f ca="1" t="array" ref="C74">INDEX(Data_DBD!$E:$E,$A74)</f>
        <v>1</v>
      </c>
      <c r="D74" s="36" t="str">
        <f ca="1" t="array" ref="D74">INDEX(Data_DBD!$F:$F,$A74)</f>
        <v>Sedang</v>
      </c>
      <c r="H74" s="36">
        <v>114</v>
      </c>
      <c r="I74" s="36">
        <v>2</v>
      </c>
      <c r="J74" s="36">
        <v>1</v>
      </c>
      <c r="K74" s="36" t="s">
        <v>105</v>
      </c>
    </row>
    <row r="75" spans="1:11">
      <c r="A75" s="36">
        <f ca="1" t="shared" si="1"/>
        <v>145</v>
      </c>
      <c r="B75" s="36" t="str">
        <f ca="1" t="array" ref="B75">INDEX(Data_DBD!$C:$C,$A75)</f>
        <v>4 Hari</v>
      </c>
      <c r="C75" s="36">
        <f ca="1" t="array" ref="C75">INDEX(Data_DBD!$E:$E,$A75)</f>
        <v>1</v>
      </c>
      <c r="D75" s="36" t="str">
        <f ca="1" t="array" ref="D75">INDEX(Data_DBD!$F:$F,$A75)</f>
        <v>Tinggi</v>
      </c>
      <c r="H75" s="36">
        <v>5</v>
      </c>
      <c r="I75" s="36">
        <v>2</v>
      </c>
      <c r="J75" s="36">
        <v>1</v>
      </c>
      <c r="K75" s="36" t="s">
        <v>8</v>
      </c>
    </row>
    <row r="76" spans="1:11">
      <c r="A76" s="36">
        <f ca="1" t="shared" si="1"/>
        <v>149</v>
      </c>
      <c r="B76" s="36" t="str">
        <f ca="1" t="array" ref="B76">INDEX(Data_DBD!$C:$C,$A76)</f>
        <v>5 Hari</v>
      </c>
      <c r="C76" s="36">
        <f ca="1" t="array" ref="C76">INDEX(Data_DBD!$E:$E,$A76)</f>
        <v>0</v>
      </c>
      <c r="D76" s="36" t="str">
        <f ca="1" t="array" ref="D76">INDEX(Data_DBD!$F:$F,$A76)</f>
        <v>Tinggi</v>
      </c>
      <c r="H76" s="36">
        <v>36</v>
      </c>
      <c r="I76" s="36">
        <v>1</v>
      </c>
      <c r="J76" s="36">
        <v>1</v>
      </c>
      <c r="K76" s="36" t="s">
        <v>26</v>
      </c>
    </row>
    <row r="77" spans="1:11">
      <c r="A77" s="36">
        <f ca="1" t="shared" si="1"/>
        <v>146</v>
      </c>
      <c r="B77" s="36" t="str">
        <f ca="1" t="array" ref="B77">INDEX(Data_DBD!$C:$C,$A77)</f>
        <v>2 Hari</v>
      </c>
      <c r="C77" s="36">
        <f ca="1" t="array" ref="C77">INDEX(Data_DBD!$E:$E,$A77)</f>
        <v>1</v>
      </c>
      <c r="D77" s="36" t="str">
        <f ca="1" t="array" ref="D77">INDEX(Data_DBD!$F:$F,$A77)</f>
        <v>Tinggi</v>
      </c>
      <c r="H77" s="36">
        <v>44</v>
      </c>
      <c r="I77" s="36">
        <v>5</v>
      </c>
      <c r="J77" s="36">
        <v>1</v>
      </c>
      <c r="K77" s="36" t="s">
        <v>8</v>
      </c>
    </row>
    <row r="78" spans="1:11">
      <c r="A78" s="36">
        <f ca="1" t="shared" si="1"/>
        <v>85</v>
      </c>
      <c r="B78" s="36" t="str">
        <f ca="1" t="array" ref="B78">INDEX(Data_DBD!$C:$C,$A78)</f>
        <v>9 Hari</v>
      </c>
      <c r="C78" s="36">
        <f ca="1" t="array" ref="C78">INDEX(Data_DBD!$E:$E,$A78)</f>
        <v>0</v>
      </c>
      <c r="D78" s="36" t="str">
        <f ca="1" t="array" ref="D78">INDEX(Data_DBD!$F:$F,$A78)</f>
        <v>Sedang</v>
      </c>
      <c r="H78" s="36">
        <v>45</v>
      </c>
      <c r="I78" s="36">
        <v>3</v>
      </c>
      <c r="J78" s="36">
        <v>1</v>
      </c>
      <c r="K78" s="36" t="s">
        <v>8</v>
      </c>
    </row>
    <row r="79" spans="1:11">
      <c r="A79" s="36">
        <f ca="1" t="shared" si="1"/>
        <v>64</v>
      </c>
      <c r="B79" s="36" t="str">
        <f ca="1" t="array" ref="B79">INDEX(Data_DBD!$C:$C,$A79)</f>
        <v>1 Hari</v>
      </c>
      <c r="C79" s="36">
        <f ca="1" t="array" ref="C79">INDEX(Data_DBD!$E:$E,$A79)</f>
        <v>0</v>
      </c>
      <c r="D79" s="36" t="str">
        <f ca="1" t="array" ref="D79">INDEX(Data_DBD!$F:$F,$A79)</f>
        <v>Sedang</v>
      </c>
      <c r="H79" s="36">
        <v>121</v>
      </c>
      <c r="I79" s="36">
        <v>5</v>
      </c>
      <c r="J79" s="36">
        <v>1</v>
      </c>
      <c r="K79" s="36" t="s">
        <v>105</v>
      </c>
    </row>
    <row r="80" spans="1:11">
      <c r="A80" s="36">
        <f ca="1" t="shared" si="1"/>
        <v>49</v>
      </c>
      <c r="B80" s="36" t="str">
        <f ca="1" t="array" ref="B80">INDEX(Data_DBD!$C:$C,$A80)</f>
        <v>5 Hari</v>
      </c>
      <c r="C80" s="36">
        <f ca="1" t="array" ref="C80">INDEX(Data_DBD!$E:$E,$A80)</f>
        <v>0</v>
      </c>
      <c r="D80" s="36" t="str">
        <f ca="1" t="array" ref="D80">INDEX(Data_DBD!$F:$F,$A80)</f>
        <v>Sedang</v>
      </c>
      <c r="H80" s="36">
        <v>52</v>
      </c>
      <c r="I80" s="36">
        <v>4</v>
      </c>
      <c r="J80" s="36">
        <v>1</v>
      </c>
      <c r="K80" s="36" t="s">
        <v>8</v>
      </c>
    </row>
    <row r="81" spans="1:11">
      <c r="A81" s="36">
        <f ca="1" t="shared" si="1"/>
        <v>71</v>
      </c>
      <c r="B81" s="36" t="str">
        <f ca="1" t="array" ref="B81">INDEX(Data_DBD!$C:$C,$A81)</f>
        <v>3 Hari</v>
      </c>
      <c r="C81" s="36">
        <f ca="1" t="array" ref="C81">INDEX(Data_DBD!$E:$E,$A81)</f>
        <v>0</v>
      </c>
      <c r="D81" s="36" t="str">
        <f ca="1" t="array" ref="D81">INDEX(Data_DBD!$F:$F,$A81)</f>
        <v>Sedang</v>
      </c>
      <c r="H81" s="36">
        <v>123</v>
      </c>
      <c r="I81" s="36">
        <v>4</v>
      </c>
      <c r="J81" s="36">
        <v>0</v>
      </c>
      <c r="K81" s="36" t="s">
        <v>105</v>
      </c>
    </row>
    <row r="82" spans="1:11">
      <c r="A82" s="36">
        <f ca="1" t="shared" si="1"/>
        <v>32</v>
      </c>
      <c r="B82" s="36" t="str">
        <f ca="1" t="array" ref="B82">INDEX(Data_DBD!$C:$C,$A82)</f>
        <v>4 Hari</v>
      </c>
      <c r="C82" s="36">
        <f ca="1" t="array" ref="C82">INDEX(Data_DBD!$E:$E,$A82)</f>
        <v>0</v>
      </c>
      <c r="D82" s="36" t="str">
        <f ca="1" t="array" ref="D82">INDEX(Data_DBD!$F:$F,$A82)</f>
        <v>Sedang</v>
      </c>
      <c r="H82" s="36">
        <v>112</v>
      </c>
      <c r="I82" s="36">
        <v>3</v>
      </c>
      <c r="J82" s="36">
        <v>1</v>
      </c>
      <c r="K82" s="36" t="s">
        <v>105</v>
      </c>
    </row>
    <row r="83" spans="1:11">
      <c r="A83" s="36">
        <f ca="1" t="shared" si="1"/>
        <v>18</v>
      </c>
      <c r="B83" s="36" t="str">
        <f ca="1" t="array" ref="B83">INDEX(Data_DBD!$C:$C,$A83)</f>
        <v>4 Hari</v>
      </c>
      <c r="C83" s="36">
        <f ca="1" t="array" ref="C83">INDEX(Data_DBD!$E:$E,$A83)</f>
        <v>1</v>
      </c>
      <c r="D83" s="36" t="str">
        <f ca="1" t="array" ref="D83">INDEX(Data_DBD!$F:$F,$A83)</f>
        <v>Rendah</v>
      </c>
      <c r="H83" s="36">
        <v>11</v>
      </c>
      <c r="I83" s="36">
        <v>5</v>
      </c>
      <c r="J83" s="36">
        <v>1</v>
      </c>
      <c r="K83" s="36" t="s">
        <v>8</v>
      </c>
    </row>
    <row r="84" spans="1:11">
      <c r="A84" s="36">
        <f ca="1" t="shared" si="1"/>
        <v>155</v>
      </c>
      <c r="B84" s="36" t="str">
        <f ca="1" t="array" ref="B84">INDEX(Data_DBD!$C:$C,$A84)</f>
        <v>5 Hari</v>
      </c>
      <c r="C84" s="36">
        <f ca="1" t="array" ref="C84">INDEX(Data_DBD!$E:$E,$A84)</f>
        <v>1</v>
      </c>
      <c r="D84" s="36" t="str">
        <f ca="1" t="array" ref="D84">INDEX(Data_DBD!$F:$F,$A84)</f>
        <v>Tinggi</v>
      </c>
      <c r="H84" s="36">
        <v>35</v>
      </c>
      <c r="I84" s="36">
        <v>3</v>
      </c>
      <c r="J84" s="36">
        <v>1</v>
      </c>
      <c r="K84" s="36" t="s">
        <v>26</v>
      </c>
    </row>
    <row r="85" spans="1:11">
      <c r="A85" s="36">
        <f ca="1" t="shared" si="1"/>
        <v>113</v>
      </c>
      <c r="B85" s="36" t="str">
        <f ca="1" t="array" ref="B85">INDEX(Data_DBD!$C:$C,$A85)</f>
        <v>1 Hari</v>
      </c>
      <c r="C85" s="36">
        <f ca="1" t="array" ref="C85">INDEX(Data_DBD!$E:$E,$A85)</f>
        <v>1</v>
      </c>
      <c r="D85" s="36" t="str">
        <f ca="1" t="array" ref="D85">INDEX(Data_DBD!$F:$F,$A85)</f>
        <v>Tinggi</v>
      </c>
      <c r="H85" s="36">
        <v>48</v>
      </c>
      <c r="I85" s="36">
        <v>5</v>
      </c>
      <c r="J85" s="36">
        <v>1</v>
      </c>
      <c r="K85" s="36" t="s">
        <v>8</v>
      </c>
    </row>
    <row r="86" spans="1:11">
      <c r="A86" s="36">
        <f ca="1" t="shared" si="1"/>
        <v>20</v>
      </c>
      <c r="B86" s="36" t="str">
        <f ca="1" t="array" ref="B86">INDEX(Data_DBD!$C:$C,$A86)</f>
        <v>5 Hari</v>
      </c>
      <c r="C86" s="36">
        <f ca="1" t="array" ref="C86">INDEX(Data_DBD!$E:$E,$A86)</f>
        <v>0</v>
      </c>
      <c r="D86" s="36" t="str">
        <f ca="1" t="array" ref="D86">INDEX(Data_DBD!$F:$F,$A86)</f>
        <v>Rendah</v>
      </c>
      <c r="H86" s="36">
        <v>159</v>
      </c>
      <c r="I86" s="36">
        <v>2</v>
      </c>
      <c r="J86" s="36">
        <v>0</v>
      </c>
      <c r="K86" s="36" t="s">
        <v>105</v>
      </c>
    </row>
    <row r="87" spans="1:11">
      <c r="A87" s="36">
        <f ca="1" t="shared" si="1"/>
        <v>40</v>
      </c>
      <c r="B87" s="36" t="str">
        <f ca="1" t="array" ref="B87">INDEX(Data_DBD!$C:$C,$A87)</f>
        <v>3 Hari</v>
      </c>
      <c r="C87" s="36">
        <f ca="1" t="array" ref="C87">INDEX(Data_DBD!$E:$E,$A87)</f>
        <v>1</v>
      </c>
      <c r="D87" s="36" t="str">
        <f ca="1" t="array" ref="D87">INDEX(Data_DBD!$F:$F,$A87)</f>
        <v>Sedang</v>
      </c>
      <c r="H87" s="36">
        <v>155</v>
      </c>
      <c r="I87" s="36">
        <v>5</v>
      </c>
      <c r="J87" s="36">
        <v>1</v>
      </c>
      <c r="K87" s="36" t="s">
        <v>105</v>
      </c>
    </row>
    <row r="88" spans="1:11">
      <c r="A88" s="36">
        <f ca="1" t="shared" si="1"/>
        <v>150</v>
      </c>
      <c r="B88" s="36" t="str">
        <f ca="1" t="array" ref="B88">INDEX(Data_DBD!$C:$C,$A88)</f>
        <v>5 Hari</v>
      </c>
      <c r="C88" s="36">
        <f ca="1" t="array" ref="C88">INDEX(Data_DBD!$E:$E,$A88)</f>
        <v>1</v>
      </c>
      <c r="D88" s="36" t="str">
        <f ca="1" t="array" ref="D88">INDEX(Data_DBD!$F:$F,$A88)</f>
        <v>Tinggi</v>
      </c>
      <c r="H88" s="36">
        <v>58</v>
      </c>
      <c r="I88" s="36">
        <v>3</v>
      </c>
      <c r="J88" s="36">
        <v>0</v>
      </c>
      <c r="K88" s="36" t="s">
        <v>8</v>
      </c>
    </row>
    <row r="89" spans="1:11">
      <c r="A89" s="36">
        <f ca="1" t="shared" si="1"/>
        <v>104</v>
      </c>
      <c r="B89" s="36" t="str">
        <f ca="1" t="array" ref="B89">INDEX(Data_DBD!$C:$C,$A89)</f>
        <v>4 Hari</v>
      </c>
      <c r="C89" s="36">
        <f ca="1" t="array" ref="C89">INDEX(Data_DBD!$E:$E,$A89)</f>
        <v>1</v>
      </c>
      <c r="D89" s="36" t="str">
        <f ca="1" t="array" ref="D89">INDEX(Data_DBD!$F:$F,$A89)</f>
        <v>Tinggi</v>
      </c>
      <c r="H89" s="36">
        <v>102</v>
      </c>
      <c r="I89" s="36">
        <v>4</v>
      </c>
      <c r="J89" s="36">
        <v>0</v>
      </c>
      <c r="K89" s="36" t="s">
        <v>105</v>
      </c>
    </row>
    <row r="90" spans="1:11">
      <c r="A90" s="36">
        <f ca="1" t="shared" si="1"/>
        <v>104</v>
      </c>
      <c r="B90" s="36" t="str">
        <f ca="1" t="array" ref="B90">INDEX(Data_DBD!$C:$C,$A90)</f>
        <v>4 Hari</v>
      </c>
      <c r="C90" s="36">
        <f ca="1" t="array" ref="C90">INDEX(Data_DBD!$E:$E,$A90)</f>
        <v>1</v>
      </c>
      <c r="D90" s="36" t="str">
        <f ca="1" t="array" ref="D90">INDEX(Data_DBD!$F:$F,$A90)</f>
        <v>Tinggi</v>
      </c>
      <c r="H90" s="36">
        <v>75</v>
      </c>
      <c r="I90" s="36">
        <v>2</v>
      </c>
      <c r="J90" s="36">
        <v>1</v>
      </c>
      <c r="K90" s="36" t="s">
        <v>8</v>
      </c>
    </row>
    <row r="91" spans="1:11">
      <c r="A91" s="36">
        <f ca="1" t="shared" si="1"/>
        <v>64</v>
      </c>
      <c r="B91" s="36" t="str">
        <f ca="1" t="array" ref="B91">INDEX(Data_DBD!$C:$C,$A91)</f>
        <v>1 Hari</v>
      </c>
      <c r="C91" s="36">
        <f ca="1" t="array" ref="C91">INDEX(Data_DBD!$E:$E,$A91)</f>
        <v>0</v>
      </c>
      <c r="D91" s="36" t="str">
        <f ca="1" t="array" ref="D91">INDEX(Data_DBD!$F:$F,$A91)</f>
        <v>Sedang</v>
      </c>
      <c r="H91" s="36">
        <v>8</v>
      </c>
      <c r="I91" s="36">
        <v>2</v>
      </c>
      <c r="J91" s="36">
        <v>0</v>
      </c>
      <c r="K91" s="36" t="s">
        <v>8</v>
      </c>
    </row>
    <row r="92" spans="1:11">
      <c r="A92" s="36">
        <f ca="1" t="shared" si="1"/>
        <v>26</v>
      </c>
      <c r="B92" s="36" t="str">
        <f ca="1" t="array" ref="B92">INDEX(Data_DBD!$C:$C,$A92)</f>
        <v>4 Hari</v>
      </c>
      <c r="C92" s="36">
        <f ca="1" t="array" ref="C92">INDEX(Data_DBD!$E:$E,$A92)</f>
        <v>1</v>
      </c>
      <c r="D92" s="36" t="str">
        <f ca="1" t="array" ref="D92">INDEX(Data_DBD!$F:$F,$A92)</f>
        <v>Sedang</v>
      </c>
      <c r="H92" s="36">
        <v>64</v>
      </c>
      <c r="I92" s="36">
        <v>1</v>
      </c>
      <c r="J92" s="36">
        <v>0</v>
      </c>
      <c r="K92" s="36" t="s">
        <v>8</v>
      </c>
    </row>
    <row r="93" spans="1:11">
      <c r="A93" s="36">
        <f ca="1" t="shared" si="1"/>
        <v>106</v>
      </c>
      <c r="B93" s="36" t="str">
        <f ca="1" t="array" ref="B93">INDEX(Data_DBD!$C:$C,$A93)</f>
        <v>3 Hari</v>
      </c>
      <c r="C93" s="36">
        <f ca="1" t="array" ref="C93">INDEX(Data_DBD!$E:$E,$A93)</f>
        <v>1</v>
      </c>
      <c r="D93" s="36" t="str">
        <f ca="1" t="array" ref="D93">INDEX(Data_DBD!$F:$F,$A93)</f>
        <v>Tinggi</v>
      </c>
      <c r="H93" s="36">
        <v>160</v>
      </c>
      <c r="I93" s="36">
        <v>3</v>
      </c>
      <c r="J93" s="36">
        <v>0</v>
      </c>
      <c r="K93" s="36" t="s">
        <v>105</v>
      </c>
    </row>
    <row r="94" spans="1:11">
      <c r="A94" s="36">
        <f ca="1" t="shared" si="1"/>
        <v>68</v>
      </c>
      <c r="B94" s="36" t="str">
        <f ca="1" t="array" ref="B94">INDEX(Data_DBD!$C:$C,$A94)</f>
        <v>5 Hari</v>
      </c>
      <c r="C94" s="36">
        <f ca="1" t="array" ref="C94">INDEX(Data_DBD!$E:$E,$A94)</f>
        <v>0</v>
      </c>
      <c r="D94" s="36" t="str">
        <f ca="1" t="array" ref="D94">INDEX(Data_DBD!$F:$F,$A94)</f>
        <v>Sedang</v>
      </c>
      <c r="H94" s="36">
        <v>115</v>
      </c>
      <c r="I94" s="36">
        <v>3</v>
      </c>
      <c r="J94" s="36">
        <v>1</v>
      </c>
      <c r="K94" s="36" t="s">
        <v>105</v>
      </c>
    </row>
    <row r="95" spans="1:11">
      <c r="A95" s="36">
        <f ca="1" t="shared" si="1"/>
        <v>32</v>
      </c>
      <c r="B95" s="36" t="str">
        <f ca="1" t="array" ref="B95">INDEX(Data_DBD!$C:$C,$A95)</f>
        <v>4 Hari</v>
      </c>
      <c r="C95" s="36">
        <f ca="1" t="array" ref="C95">INDEX(Data_DBD!$E:$E,$A95)</f>
        <v>0</v>
      </c>
      <c r="D95" s="36" t="str">
        <f ca="1" t="array" ref="D95">INDEX(Data_DBD!$F:$F,$A95)</f>
        <v>Sedang</v>
      </c>
      <c r="H95" s="36">
        <v>88</v>
      </c>
      <c r="I95" s="36">
        <v>4</v>
      </c>
      <c r="J95" s="36">
        <v>1</v>
      </c>
      <c r="K95" s="36" t="s">
        <v>8</v>
      </c>
    </row>
    <row r="96" spans="1:11">
      <c r="A96" s="36">
        <f ca="1" t="shared" si="1"/>
        <v>49</v>
      </c>
      <c r="B96" s="36" t="str">
        <f ca="1" t="array" ref="B96">INDEX(Data_DBD!$C:$C,$A96)</f>
        <v>5 Hari</v>
      </c>
      <c r="C96" s="36">
        <f ca="1" t="array" ref="C96">INDEX(Data_DBD!$E:$E,$A96)</f>
        <v>0</v>
      </c>
      <c r="D96" s="36" t="str">
        <f ca="1" t="array" ref="D96">INDEX(Data_DBD!$F:$F,$A96)</f>
        <v>Sedang</v>
      </c>
      <c r="H96" s="36">
        <v>126</v>
      </c>
      <c r="I96" s="36">
        <v>3</v>
      </c>
      <c r="J96" s="36">
        <v>1</v>
      </c>
      <c r="K96" s="36" t="s">
        <v>105</v>
      </c>
    </row>
    <row r="97" spans="1:11">
      <c r="A97" s="36">
        <f ca="1" t="shared" si="1"/>
        <v>71</v>
      </c>
      <c r="B97" s="36" t="str">
        <f ca="1" t="array" ref="B97">INDEX(Data_DBD!$C:$C,$A97)</f>
        <v>3 Hari</v>
      </c>
      <c r="C97" s="36">
        <f ca="1" t="array" ref="C97">INDEX(Data_DBD!$E:$E,$A97)</f>
        <v>0</v>
      </c>
      <c r="D97" s="36" t="str">
        <f ca="1" t="array" ref="D97">INDEX(Data_DBD!$F:$F,$A97)</f>
        <v>Sedang</v>
      </c>
      <c r="H97" s="36">
        <v>141</v>
      </c>
      <c r="I97" s="36">
        <v>2</v>
      </c>
      <c r="J97" s="36">
        <v>0</v>
      </c>
      <c r="K97" s="36" t="s">
        <v>105</v>
      </c>
    </row>
    <row r="98" spans="1:11">
      <c r="A98" s="36">
        <f ca="1" t="shared" si="1"/>
        <v>51</v>
      </c>
      <c r="B98" s="36" t="str">
        <f ca="1" t="array" ref="B98">INDEX(Data_DBD!$C:$C,$A98)</f>
        <v>4 Hari</v>
      </c>
      <c r="C98" s="36">
        <f ca="1" t="array" ref="C98">INDEX(Data_DBD!$E:$E,$A98)</f>
        <v>0</v>
      </c>
      <c r="D98" s="36" t="str">
        <f ca="1" t="array" ref="D98">INDEX(Data_DBD!$F:$F,$A98)</f>
        <v>Sedang</v>
      </c>
      <c r="H98" s="36">
        <v>108</v>
      </c>
      <c r="I98" s="36">
        <v>7</v>
      </c>
      <c r="J98" s="36">
        <v>1</v>
      </c>
      <c r="K98" s="36" t="s">
        <v>105</v>
      </c>
    </row>
    <row r="99" spans="1:11">
      <c r="A99" s="36">
        <f ca="1" t="shared" si="1"/>
        <v>67</v>
      </c>
      <c r="B99" s="36" t="str">
        <f ca="1" t="array" ref="B99">INDEX(Data_DBD!$C:$C,$A99)</f>
        <v>3 Hari</v>
      </c>
      <c r="C99" s="36">
        <f ca="1" t="array" ref="C99">INDEX(Data_DBD!$E:$E,$A99)</f>
        <v>1</v>
      </c>
      <c r="D99" s="36" t="str">
        <f ca="1" t="array" ref="D99">INDEX(Data_DBD!$F:$F,$A99)</f>
        <v>Sedang</v>
      </c>
      <c r="H99" s="36">
        <v>14</v>
      </c>
      <c r="I99" s="36">
        <v>4</v>
      </c>
      <c r="J99" s="36">
        <v>1</v>
      </c>
      <c r="K99" s="36" t="s">
        <v>26</v>
      </c>
    </row>
    <row r="100" spans="1:11">
      <c r="A100" s="36">
        <f ca="1" t="shared" si="1"/>
        <v>88</v>
      </c>
      <c r="B100" s="36" t="str">
        <f ca="1" t="array" ref="B100">INDEX(Data_DBD!$C:$C,$A100)</f>
        <v>4 Hari</v>
      </c>
      <c r="C100" s="36">
        <f ca="1" t="array" ref="C100">INDEX(Data_DBD!$E:$E,$A100)</f>
        <v>1</v>
      </c>
      <c r="D100" s="36" t="str">
        <f ca="1" t="array" ref="D100">INDEX(Data_DBD!$F:$F,$A100)</f>
        <v>Sedang</v>
      </c>
      <c r="H100" s="36">
        <v>93</v>
      </c>
      <c r="I100" s="36">
        <v>4</v>
      </c>
      <c r="J100" s="36">
        <v>0</v>
      </c>
      <c r="K100" s="36" t="s">
        <v>105</v>
      </c>
    </row>
    <row r="101" spans="1:11">
      <c r="A101" s="36">
        <f ca="1" t="shared" si="1"/>
        <v>159</v>
      </c>
      <c r="B101" s="36" t="str">
        <f ca="1" t="array" ref="B101">INDEX(Data_DBD!$C:$C,$A101)</f>
        <v>2 Hari</v>
      </c>
      <c r="C101" s="36">
        <f ca="1" t="array" ref="C101">INDEX(Data_DBD!$E:$E,$A101)</f>
        <v>0</v>
      </c>
      <c r="D101" s="36" t="str">
        <f ca="1" t="array" ref="D101">INDEX(Data_DBD!$F:$F,$A101)</f>
        <v>Tinggi</v>
      </c>
      <c r="H101" s="36">
        <v>120</v>
      </c>
      <c r="I101" s="36">
        <v>4</v>
      </c>
      <c r="J101" s="36">
        <v>1</v>
      </c>
      <c r="K101" s="36" t="s">
        <v>105</v>
      </c>
    </row>
    <row r="102" spans="1:11">
      <c r="A102" s="36">
        <f ca="1" t="shared" si="1"/>
        <v>152</v>
      </c>
      <c r="B102" s="36" t="str">
        <f ca="1" t="array" ref="B102">INDEX(Data_DBD!$C:$C,$A102)</f>
        <v>3 Hari</v>
      </c>
      <c r="C102" s="36">
        <f ca="1" t="array" ref="C102">INDEX(Data_DBD!$E:$E,$A102)</f>
        <v>1</v>
      </c>
      <c r="D102" s="36" t="str">
        <f ca="1" t="array" ref="D102">INDEX(Data_DBD!$F:$F,$A102)</f>
        <v>Tinggi</v>
      </c>
      <c r="H102" s="36">
        <v>18</v>
      </c>
      <c r="I102" s="36">
        <v>4</v>
      </c>
      <c r="J102" s="36">
        <v>1</v>
      </c>
      <c r="K102" s="36" t="s">
        <v>26</v>
      </c>
    </row>
    <row r="103" spans="1:11">
      <c r="A103" s="36">
        <f ca="1" t="shared" si="1"/>
        <v>4</v>
      </c>
      <c r="B103" s="36" t="str">
        <f ca="1" t="array" ref="B103">INDEX(Data_DBD!$C:$C,$A103)</f>
        <v>5 Hari</v>
      </c>
      <c r="C103" s="36">
        <f ca="1" t="array" ref="C103">INDEX(Data_DBD!$E:$E,$A103)</f>
        <v>0</v>
      </c>
      <c r="D103" s="36" t="str">
        <f ca="1" t="array" ref="D103">INDEX(Data_DBD!$F:$F,$A103)</f>
        <v>Sedang</v>
      </c>
      <c r="H103" s="36">
        <v>145</v>
      </c>
      <c r="I103" s="36">
        <v>4</v>
      </c>
      <c r="J103" s="36">
        <v>1</v>
      </c>
      <c r="K103" s="36" t="s">
        <v>105</v>
      </c>
    </row>
    <row r="104" spans="1:11">
      <c r="A104" s="36">
        <f ca="1" t="shared" si="1"/>
        <v>12</v>
      </c>
      <c r="B104" s="36" t="str">
        <f ca="1" t="array" ref="B104">INDEX(Data_DBD!$C:$C,$A104)</f>
        <v>3 Hari</v>
      </c>
      <c r="C104" s="36">
        <f ca="1" t="array" ref="C104">INDEX(Data_DBD!$E:$E,$A104)</f>
        <v>0</v>
      </c>
      <c r="D104" s="36" t="str">
        <f ca="1" t="array" ref="D104">INDEX(Data_DBD!$F:$F,$A104)</f>
        <v>Sedang</v>
      </c>
      <c r="H104" s="36">
        <v>58</v>
      </c>
      <c r="I104" s="36">
        <v>3</v>
      </c>
      <c r="J104" s="36">
        <v>0</v>
      </c>
      <c r="K104" s="36" t="s">
        <v>8</v>
      </c>
    </row>
    <row r="105" spans="1:11">
      <c r="A105" s="36">
        <f ca="1" t="shared" si="1"/>
        <v>73</v>
      </c>
      <c r="B105" s="36" t="str">
        <f ca="1" t="array" ref="B105">INDEX(Data_DBD!$C:$C,$A105)</f>
        <v>3 Hari</v>
      </c>
      <c r="C105" s="36">
        <f ca="1" t="array" ref="C105">INDEX(Data_DBD!$E:$E,$A105)</f>
        <v>1</v>
      </c>
      <c r="D105" s="36" t="str">
        <f ca="1" t="array" ref="D105">INDEX(Data_DBD!$F:$F,$A105)</f>
        <v>Sedang</v>
      </c>
      <c r="H105" s="36">
        <v>73</v>
      </c>
      <c r="I105" s="36">
        <v>3</v>
      </c>
      <c r="J105" s="36">
        <v>1</v>
      </c>
      <c r="K105" s="36" t="s">
        <v>8</v>
      </c>
    </row>
    <row r="106" spans="1:11">
      <c r="A106" s="36">
        <f ca="1" t="shared" si="1"/>
        <v>4</v>
      </c>
      <c r="B106" s="36" t="str">
        <f ca="1" t="array" ref="B106">INDEX(Data_DBD!$C:$C,$A106)</f>
        <v>5 Hari</v>
      </c>
      <c r="C106" s="36">
        <f ca="1" t="array" ref="C106">INDEX(Data_DBD!$E:$E,$A106)</f>
        <v>0</v>
      </c>
      <c r="D106" s="36" t="str">
        <f ca="1" t="array" ref="D106">INDEX(Data_DBD!$F:$F,$A106)</f>
        <v>Sedang</v>
      </c>
      <c r="H106" s="36">
        <v>114</v>
      </c>
      <c r="I106" s="36">
        <v>2</v>
      </c>
      <c r="J106" s="36">
        <v>1</v>
      </c>
      <c r="K106" s="36" t="s">
        <v>105</v>
      </c>
    </row>
    <row r="107" spans="1:11">
      <c r="A107" s="36">
        <f ca="1" t="shared" si="1"/>
        <v>92</v>
      </c>
      <c r="B107" s="36" t="str">
        <f ca="1" t="array" ref="B107">INDEX(Data_DBD!$C:$C,$A107)</f>
        <v>7 Hari</v>
      </c>
      <c r="C107" s="36">
        <f ca="1" t="array" ref="C107">INDEX(Data_DBD!$E:$E,$A107)</f>
        <v>0</v>
      </c>
      <c r="D107" s="36" t="str">
        <f ca="1" t="array" ref="D107">INDEX(Data_DBD!$F:$F,$A107)</f>
        <v>Tinggi</v>
      </c>
      <c r="H107" s="36">
        <v>15</v>
      </c>
      <c r="I107" s="36">
        <v>2</v>
      </c>
      <c r="J107" s="36">
        <v>0</v>
      </c>
      <c r="K107" s="36" t="s">
        <v>26</v>
      </c>
    </row>
    <row r="108" spans="1:11">
      <c r="A108" s="36">
        <f ca="1" t="shared" si="1"/>
        <v>161</v>
      </c>
      <c r="B108" s="36" t="str">
        <f ca="1" t="array" ref="B108">INDEX(Data_DBD!$C:$C,$A108)</f>
        <v>3 Hari</v>
      </c>
      <c r="C108" s="36">
        <f ca="1" t="array" ref="C108">INDEX(Data_DBD!$E:$E,$A108)</f>
        <v>1</v>
      </c>
      <c r="D108" s="36" t="str">
        <f ca="1" t="array" ref="D108">INDEX(Data_DBD!$F:$F,$A108)</f>
        <v>Tinggi</v>
      </c>
      <c r="H108" s="36">
        <v>110</v>
      </c>
      <c r="I108" s="36">
        <v>2</v>
      </c>
      <c r="J108" s="36">
        <v>1</v>
      </c>
      <c r="K108" s="36" t="s">
        <v>105</v>
      </c>
    </row>
    <row r="109" spans="1:11">
      <c r="A109" s="36">
        <f ca="1" t="shared" si="1"/>
        <v>33</v>
      </c>
      <c r="B109" s="36" t="str">
        <f ca="1" t="array" ref="B109">INDEX(Data_DBD!$C:$C,$A109)</f>
        <v>4 Hari</v>
      </c>
      <c r="C109" s="36">
        <f ca="1" t="array" ref="C109">INDEX(Data_DBD!$E:$E,$A109)</f>
        <v>1</v>
      </c>
      <c r="D109" s="36" t="str">
        <f ca="1" t="array" ref="D109">INDEX(Data_DBD!$F:$F,$A109)</f>
        <v>Sedang</v>
      </c>
      <c r="H109" s="36">
        <v>80</v>
      </c>
      <c r="I109" s="36">
        <v>3</v>
      </c>
      <c r="J109" s="36">
        <v>1</v>
      </c>
      <c r="K109" s="36" t="s">
        <v>8</v>
      </c>
    </row>
    <row r="110" spans="1:11">
      <c r="A110" s="36">
        <f ca="1" t="shared" si="1"/>
        <v>42</v>
      </c>
      <c r="B110" s="36" t="str">
        <f ca="1" t="array" ref="B110">INDEX(Data_DBD!$C:$C,$A110)</f>
        <v>5 Hari</v>
      </c>
      <c r="C110" s="36">
        <f ca="1" t="array" ref="C110">INDEX(Data_DBD!$E:$E,$A110)</f>
        <v>1</v>
      </c>
      <c r="D110" s="36" t="str">
        <f ca="1" t="array" ref="D110">INDEX(Data_DBD!$F:$F,$A110)</f>
        <v>Sedang</v>
      </c>
      <c r="H110" s="36">
        <v>86</v>
      </c>
      <c r="I110" s="36">
        <v>3</v>
      </c>
      <c r="J110" s="36">
        <v>0</v>
      </c>
      <c r="K110" s="36" t="s">
        <v>8</v>
      </c>
    </row>
    <row r="111" spans="1:11">
      <c r="A111" s="36">
        <f ca="1" t="shared" si="1"/>
        <v>4</v>
      </c>
      <c r="B111" s="36" t="str">
        <f ca="1" t="array" ref="B111">INDEX(Data_DBD!$C:$C,$A111)</f>
        <v>5 Hari</v>
      </c>
      <c r="C111" s="36">
        <f ca="1" t="array" ref="C111">INDEX(Data_DBD!$E:$E,$A111)</f>
        <v>0</v>
      </c>
      <c r="D111" s="36" t="str">
        <f ca="1" t="array" ref="D111">INDEX(Data_DBD!$F:$F,$A111)</f>
        <v>Sedang</v>
      </c>
      <c r="H111" s="36">
        <v>33</v>
      </c>
      <c r="I111" s="36">
        <v>4</v>
      </c>
      <c r="J111" s="36">
        <v>1</v>
      </c>
      <c r="K111" s="36" t="s">
        <v>8</v>
      </c>
    </row>
    <row r="112" spans="1:11">
      <c r="A112" s="36">
        <f ca="1" t="shared" si="1"/>
        <v>53</v>
      </c>
      <c r="B112" s="36" t="str">
        <f ca="1" t="array" ref="B112">INDEX(Data_DBD!$C:$C,$A112)</f>
        <v>4 Hari</v>
      </c>
      <c r="C112" s="36">
        <f ca="1" t="array" ref="C112">INDEX(Data_DBD!$E:$E,$A112)</f>
        <v>1</v>
      </c>
      <c r="D112" s="36" t="str">
        <f ca="1" t="array" ref="D112">INDEX(Data_DBD!$F:$F,$A112)</f>
        <v>Sedang</v>
      </c>
      <c r="H112" s="36">
        <v>43</v>
      </c>
      <c r="I112" s="36">
        <v>4</v>
      </c>
      <c r="J112" s="36">
        <v>0</v>
      </c>
      <c r="K112" s="36" t="s">
        <v>8</v>
      </c>
    </row>
    <row r="113" spans="1:11">
      <c r="A113" s="36">
        <f ca="1" t="shared" si="1"/>
        <v>155</v>
      </c>
      <c r="B113" s="36" t="str">
        <f ca="1" t="array" ref="B113">INDEX(Data_DBD!$C:$C,$A113)</f>
        <v>5 Hari</v>
      </c>
      <c r="C113" s="36">
        <f ca="1" t="array" ref="C113">INDEX(Data_DBD!$E:$E,$A113)</f>
        <v>1</v>
      </c>
      <c r="D113" s="36" t="str">
        <f ca="1" t="array" ref="D113">INDEX(Data_DBD!$F:$F,$A113)</f>
        <v>Tinggi</v>
      </c>
      <c r="H113" s="36">
        <v>118</v>
      </c>
      <c r="I113" s="36">
        <v>4</v>
      </c>
      <c r="J113" s="36">
        <v>1</v>
      </c>
      <c r="K113" s="36" t="s">
        <v>105</v>
      </c>
    </row>
    <row r="114" spans="1:11">
      <c r="A114" s="36">
        <f ca="1" t="shared" si="1"/>
        <v>162</v>
      </c>
      <c r="B114" s="36" t="str">
        <f ca="1" t="array" ref="B114">INDEX(Data_DBD!$C:$C,$A114)</f>
        <v>3 Hari</v>
      </c>
      <c r="C114" s="36">
        <f ca="1" t="array" ref="C114">INDEX(Data_DBD!$E:$E,$A114)</f>
        <v>1</v>
      </c>
      <c r="D114" s="36" t="str">
        <f ca="1" t="array" ref="D114">INDEX(Data_DBD!$F:$F,$A114)</f>
        <v>Rendah</v>
      </c>
      <c r="H114" s="36">
        <v>69</v>
      </c>
      <c r="I114" s="36">
        <v>4</v>
      </c>
      <c r="J114" s="36">
        <v>1</v>
      </c>
      <c r="K114" s="36" t="s">
        <v>8</v>
      </c>
    </row>
    <row r="115" spans="1:11">
      <c r="A115" s="36">
        <f ca="1" t="shared" si="1"/>
        <v>33</v>
      </c>
      <c r="B115" s="36" t="str">
        <f ca="1" t="array" ref="B115">INDEX(Data_DBD!$C:$C,$A115)</f>
        <v>4 Hari</v>
      </c>
      <c r="C115" s="36">
        <f ca="1" t="array" ref="C115">INDEX(Data_DBD!$E:$E,$A115)</f>
        <v>1</v>
      </c>
      <c r="D115" s="36" t="str">
        <f ca="1" t="array" ref="D115">INDEX(Data_DBD!$F:$F,$A115)</f>
        <v>Sedang</v>
      </c>
      <c r="H115" s="36">
        <v>27</v>
      </c>
      <c r="I115" s="36">
        <v>4</v>
      </c>
      <c r="J115" s="36">
        <v>1</v>
      </c>
      <c r="K115" s="36" t="s">
        <v>8</v>
      </c>
    </row>
    <row r="116" spans="1:11">
      <c r="A116" s="36">
        <f ca="1" t="shared" si="1"/>
        <v>42</v>
      </c>
      <c r="B116" s="36" t="str">
        <f ca="1" t="array" ref="B116">INDEX(Data_DBD!$C:$C,$A116)</f>
        <v>5 Hari</v>
      </c>
      <c r="C116" s="36">
        <f ca="1" t="array" ref="C116">INDEX(Data_DBD!$E:$E,$A116)</f>
        <v>1</v>
      </c>
      <c r="D116" s="36" t="str">
        <f ca="1" t="array" ref="D116">INDEX(Data_DBD!$F:$F,$A116)</f>
        <v>Sedang</v>
      </c>
      <c r="H116" s="36">
        <v>39</v>
      </c>
      <c r="I116" s="36">
        <v>5</v>
      </c>
      <c r="J116" s="36">
        <v>1</v>
      </c>
      <c r="K116" s="36" t="s">
        <v>8</v>
      </c>
    </row>
    <row r="117" spans="1:11">
      <c r="A117" s="36">
        <f ca="1" t="shared" si="1"/>
        <v>96</v>
      </c>
      <c r="B117" s="36" t="str">
        <f ca="1" t="array" ref="B117">INDEX(Data_DBD!$C:$C,$A117)</f>
        <v>4 Hari</v>
      </c>
      <c r="C117" s="36">
        <f ca="1" t="array" ref="C117">INDEX(Data_DBD!$E:$E,$A117)</f>
        <v>0</v>
      </c>
      <c r="D117" s="36" t="str">
        <f ca="1" t="array" ref="D117">INDEX(Data_DBD!$F:$F,$A117)</f>
        <v>Tinggi</v>
      </c>
      <c r="H117" s="36">
        <v>40</v>
      </c>
      <c r="I117" s="36">
        <v>3</v>
      </c>
      <c r="J117" s="36">
        <v>1</v>
      </c>
      <c r="K117" s="36" t="s">
        <v>8</v>
      </c>
    </row>
    <row r="118" spans="1:11">
      <c r="A118" s="36">
        <f ca="1" t="shared" si="1"/>
        <v>29</v>
      </c>
      <c r="B118" s="36" t="str">
        <f ca="1" t="array" ref="B118">INDEX(Data_DBD!$C:$C,$A118)</f>
        <v>2 Hari</v>
      </c>
      <c r="C118" s="36">
        <f ca="1" t="array" ref="C118">INDEX(Data_DBD!$E:$E,$A118)</f>
        <v>1</v>
      </c>
      <c r="D118" s="36" t="str">
        <f ca="1" t="array" ref="D118">INDEX(Data_DBD!$F:$F,$A118)</f>
        <v>Sedang</v>
      </c>
      <c r="H118" s="36">
        <v>112</v>
      </c>
      <c r="I118" s="36">
        <v>3</v>
      </c>
      <c r="J118" s="36">
        <v>1</v>
      </c>
      <c r="K118" s="36" t="s">
        <v>105</v>
      </c>
    </row>
    <row r="119" spans="1:11">
      <c r="A119" s="36">
        <f ca="1" t="shared" si="1"/>
        <v>22</v>
      </c>
      <c r="B119" s="36" t="str">
        <f ca="1" t="array" ref="B119">INDEX(Data_DBD!$C:$C,$A119)</f>
        <v>3 Hari</v>
      </c>
      <c r="C119" s="36">
        <f ca="1" t="array" ref="C119">INDEX(Data_DBD!$E:$E,$A119)</f>
        <v>0</v>
      </c>
      <c r="D119" s="36" t="str">
        <f ca="1" t="array" ref="D119">INDEX(Data_DBD!$F:$F,$A119)</f>
        <v>Sedang</v>
      </c>
      <c r="H119" s="36">
        <v>119</v>
      </c>
      <c r="I119" s="36">
        <v>7</v>
      </c>
      <c r="J119" s="36">
        <v>0</v>
      </c>
      <c r="K119" s="36" t="s">
        <v>105</v>
      </c>
    </row>
    <row r="120" spans="1:11">
      <c r="A120" s="36">
        <f ca="1" t="shared" si="1"/>
        <v>56</v>
      </c>
      <c r="B120" s="36" t="str">
        <f ca="1" t="array" ref="B120">INDEX(Data_DBD!$C:$C,$A120)</f>
        <v>3 Hari</v>
      </c>
      <c r="C120" s="36">
        <f ca="1" t="array" ref="C120">INDEX(Data_DBD!$E:$E,$A120)</f>
        <v>0</v>
      </c>
      <c r="D120" s="36" t="str">
        <f ca="1" t="array" ref="D120">INDEX(Data_DBD!$F:$F,$A120)</f>
        <v>Sedang</v>
      </c>
      <c r="H120" s="36">
        <v>101</v>
      </c>
      <c r="I120" s="36">
        <v>5</v>
      </c>
      <c r="J120" s="36">
        <v>0</v>
      </c>
      <c r="K120" s="36" t="s">
        <v>105</v>
      </c>
    </row>
    <row r="121" spans="1:11">
      <c r="A121" s="36">
        <f ca="1" t="shared" si="1"/>
        <v>119</v>
      </c>
      <c r="B121" s="36" t="str">
        <f ca="1" t="array" ref="B121">INDEX(Data_DBD!$C:$C,$A121)</f>
        <v>7 Hari</v>
      </c>
      <c r="C121" s="36">
        <f ca="1" t="array" ref="C121">INDEX(Data_DBD!$E:$E,$A121)</f>
        <v>0</v>
      </c>
      <c r="D121" s="36" t="str">
        <f ca="1" t="array" ref="D121">INDEX(Data_DBD!$F:$F,$A121)</f>
        <v>Tinggi</v>
      </c>
      <c r="H121" s="36">
        <v>88</v>
      </c>
      <c r="I121" s="36">
        <v>4</v>
      </c>
      <c r="J121" s="36">
        <v>1</v>
      </c>
      <c r="K121" s="36" t="s">
        <v>8</v>
      </c>
    </row>
    <row r="122" spans="1:11">
      <c r="A122" s="36">
        <f ca="1" t="shared" si="1"/>
        <v>11</v>
      </c>
      <c r="B122" s="36" t="str">
        <f ca="1" t="array" ref="B122">INDEX(Data_DBD!$C:$C,$A122)</f>
        <v>5 Hari</v>
      </c>
      <c r="C122" s="36">
        <f ca="1" t="array" ref="C122">INDEX(Data_DBD!$E:$E,$A122)</f>
        <v>1</v>
      </c>
      <c r="D122" s="36" t="str">
        <f ca="1" t="array" ref="D122">INDEX(Data_DBD!$F:$F,$A122)</f>
        <v>Sedang</v>
      </c>
      <c r="H122" s="36">
        <v>144</v>
      </c>
      <c r="I122" s="36">
        <v>4</v>
      </c>
      <c r="J122" s="36">
        <v>1</v>
      </c>
      <c r="K122" s="36" t="s">
        <v>105</v>
      </c>
    </row>
    <row r="123" spans="1:11">
      <c r="A123" s="36">
        <f ca="1" t="shared" si="1"/>
        <v>70</v>
      </c>
      <c r="B123" s="36" t="str">
        <f ca="1" t="array" ref="B123">INDEX(Data_DBD!$C:$C,$A123)</f>
        <v>3 Hari</v>
      </c>
      <c r="C123" s="36">
        <f ca="1" t="array" ref="C123">INDEX(Data_DBD!$E:$E,$A123)</f>
        <v>1</v>
      </c>
      <c r="D123" s="36" t="str">
        <f ca="1" t="array" ref="D123">INDEX(Data_DBD!$F:$F,$A123)</f>
        <v>Sedang</v>
      </c>
      <c r="H123" s="36">
        <v>78</v>
      </c>
      <c r="I123" s="36">
        <v>3</v>
      </c>
      <c r="J123" s="36">
        <v>0</v>
      </c>
      <c r="K123" s="36" t="s">
        <v>8</v>
      </c>
    </row>
    <row r="124" spans="1:11">
      <c r="A124" s="36">
        <f ca="1" t="shared" si="1"/>
        <v>104</v>
      </c>
      <c r="B124" s="36" t="str">
        <f ca="1" t="array" ref="B124">INDEX(Data_DBD!$C:$C,$A124)</f>
        <v>4 Hari</v>
      </c>
      <c r="C124" s="36">
        <f ca="1" t="array" ref="C124">INDEX(Data_DBD!$E:$E,$A124)</f>
        <v>1</v>
      </c>
      <c r="D124" s="36" t="str">
        <f ca="1" t="array" ref="D124">INDEX(Data_DBD!$F:$F,$A124)</f>
        <v>Tinggi</v>
      </c>
      <c r="H124" s="36">
        <v>44</v>
      </c>
      <c r="I124" s="36">
        <v>5</v>
      </c>
      <c r="J124" s="36">
        <v>1</v>
      </c>
      <c r="K124" s="36" t="s">
        <v>8</v>
      </c>
    </row>
    <row r="125" spans="1:11">
      <c r="A125" s="36">
        <f ca="1" t="shared" si="1"/>
        <v>15</v>
      </c>
      <c r="B125" s="36" t="str">
        <f ca="1" t="array" ref="B125">INDEX(Data_DBD!$C:$C,$A125)</f>
        <v>2 Hari</v>
      </c>
      <c r="C125" s="36">
        <f ca="1" t="array" ref="C125">INDEX(Data_DBD!$E:$E,$A125)</f>
        <v>0</v>
      </c>
      <c r="D125" s="36" t="str">
        <f ca="1" t="array" ref="D125">INDEX(Data_DBD!$F:$F,$A125)</f>
        <v>Rendah</v>
      </c>
      <c r="H125" s="36">
        <v>61</v>
      </c>
      <c r="I125" s="36">
        <v>3</v>
      </c>
      <c r="J125" s="36">
        <v>1</v>
      </c>
      <c r="K125" s="36" t="s">
        <v>8</v>
      </c>
    </row>
    <row r="126" spans="1:11">
      <c r="A126" s="36">
        <f ca="1" t="shared" si="1"/>
        <v>40</v>
      </c>
      <c r="B126" s="36" t="str">
        <f ca="1" t="array" ref="B126">INDEX(Data_DBD!$C:$C,$A126)</f>
        <v>3 Hari</v>
      </c>
      <c r="C126" s="36">
        <f ca="1" t="array" ref="C126">INDEX(Data_DBD!$E:$E,$A126)</f>
        <v>1</v>
      </c>
      <c r="D126" s="36" t="str">
        <f ca="1" t="array" ref="D126">INDEX(Data_DBD!$F:$F,$A126)</f>
        <v>Sedang</v>
      </c>
      <c r="H126" s="36">
        <v>71</v>
      </c>
      <c r="I126" s="36">
        <v>3</v>
      </c>
      <c r="J126" s="36">
        <v>0</v>
      </c>
      <c r="K126" s="36" t="s">
        <v>8</v>
      </c>
    </row>
    <row r="127" spans="1:11">
      <c r="A127" s="36">
        <f ca="1" t="shared" si="1"/>
        <v>9</v>
      </c>
      <c r="B127" s="36" t="str">
        <f ca="1" t="array" ref="B127">INDEX(Data_DBD!$C:$C,$A127)</f>
        <v>6 Hari</v>
      </c>
      <c r="C127" s="36">
        <f ca="1" t="array" ref="C127">INDEX(Data_DBD!$E:$E,$A127)</f>
        <v>1</v>
      </c>
      <c r="D127" s="36" t="str">
        <f ca="1" t="array" ref="D127">INDEX(Data_DBD!$F:$F,$A127)</f>
        <v>Sedang</v>
      </c>
      <c r="H127" s="36">
        <v>105</v>
      </c>
      <c r="I127" s="36">
        <v>3</v>
      </c>
      <c r="J127" s="36">
        <v>1</v>
      </c>
      <c r="K127" s="36" t="s">
        <v>105</v>
      </c>
    </row>
    <row r="128" spans="1:11">
      <c r="A128" s="36">
        <f ca="1" t="shared" si="1"/>
        <v>145</v>
      </c>
      <c r="B128" s="36" t="str">
        <f ca="1" t="array" ref="B128">INDEX(Data_DBD!$C:$C,$A128)</f>
        <v>4 Hari</v>
      </c>
      <c r="C128" s="36">
        <f ca="1" t="array" ref="C128">INDEX(Data_DBD!$E:$E,$A128)</f>
        <v>1</v>
      </c>
      <c r="D128" s="36" t="str">
        <f ca="1" t="array" ref="D128">INDEX(Data_DBD!$F:$F,$A128)</f>
        <v>Tinggi</v>
      </c>
      <c r="H128" s="36">
        <v>14</v>
      </c>
      <c r="I128" s="36">
        <v>4</v>
      </c>
      <c r="J128" s="36">
        <v>1</v>
      </c>
      <c r="K128" s="36" t="s">
        <v>26</v>
      </c>
    </row>
    <row r="129" spans="1:11">
      <c r="A129" s="36">
        <f ca="1" t="shared" si="1"/>
        <v>140</v>
      </c>
      <c r="B129" s="36" t="str">
        <f ca="1" t="array" ref="B129">INDEX(Data_DBD!$C:$C,$A129)</f>
        <v>5 Hari</v>
      </c>
      <c r="C129" s="36">
        <f ca="1" t="array" ref="C129">INDEX(Data_DBD!$E:$E,$A129)</f>
        <v>1</v>
      </c>
      <c r="D129" s="36" t="str">
        <f ca="1" t="array" ref="D129">INDEX(Data_DBD!$F:$F,$A129)</f>
        <v>Tinggi</v>
      </c>
      <c r="H129" s="36">
        <v>145</v>
      </c>
      <c r="I129" s="36">
        <v>4</v>
      </c>
      <c r="J129" s="36">
        <v>1</v>
      </c>
      <c r="K129" s="36" t="s">
        <v>105</v>
      </c>
    </row>
    <row r="130" spans="1:11">
      <c r="A130" s="36">
        <f ca="1" t="shared" si="1"/>
        <v>34</v>
      </c>
      <c r="B130" s="36" t="str">
        <f ca="1" t="array" ref="B130">INDEX(Data_DBD!$C:$C,$A130)</f>
        <v>3 Hari</v>
      </c>
      <c r="C130" s="36">
        <f ca="1" t="array" ref="C130">INDEX(Data_DBD!$E:$E,$A130)</f>
        <v>0</v>
      </c>
      <c r="D130" s="36" t="str">
        <f ca="1" t="array" ref="D130">INDEX(Data_DBD!$F:$F,$A130)</f>
        <v>Sedang</v>
      </c>
      <c r="H130" s="36">
        <v>131</v>
      </c>
      <c r="I130" s="36">
        <v>2</v>
      </c>
      <c r="J130" s="36">
        <v>0</v>
      </c>
      <c r="K130" s="36" t="s">
        <v>105</v>
      </c>
    </row>
    <row r="131" spans="1:11">
      <c r="A131" s="36">
        <f ca="1" t="shared" ref="A131:A164" si="2">RANDBETWEEN(2,164)</f>
        <v>144</v>
      </c>
      <c r="B131" s="36" t="str">
        <f ca="1" t="array" ref="B131">INDEX(Data_DBD!$C:$C,$A131)</f>
        <v>4 Hari</v>
      </c>
      <c r="C131" s="36">
        <f ca="1" t="array" ref="C131">INDEX(Data_DBD!$E:$E,$A131)</f>
        <v>1</v>
      </c>
      <c r="D131" s="36" t="str">
        <f ca="1" t="array" ref="D131">INDEX(Data_DBD!$F:$F,$A131)</f>
        <v>Tinggi</v>
      </c>
      <c r="H131" s="36">
        <v>158</v>
      </c>
      <c r="I131" s="36">
        <v>2</v>
      </c>
      <c r="J131" s="36">
        <v>0</v>
      </c>
      <c r="K131" s="36" t="s">
        <v>105</v>
      </c>
    </row>
    <row r="132" spans="1:11">
      <c r="A132" s="36">
        <f ca="1" t="shared" si="2"/>
        <v>113</v>
      </c>
      <c r="B132" s="36" t="str">
        <f ca="1" t="array" ref="B132">INDEX(Data_DBD!$C:$C,$A132)</f>
        <v>1 Hari</v>
      </c>
      <c r="C132" s="36">
        <f ca="1" t="array" ref="C132">INDEX(Data_DBD!$E:$E,$A132)</f>
        <v>1</v>
      </c>
      <c r="D132" s="36" t="str">
        <f ca="1" t="array" ref="D132">INDEX(Data_DBD!$F:$F,$A132)</f>
        <v>Tinggi</v>
      </c>
      <c r="H132" s="36">
        <v>40</v>
      </c>
      <c r="I132" s="36">
        <v>3</v>
      </c>
      <c r="J132" s="36">
        <v>1</v>
      </c>
      <c r="K132" s="36" t="s">
        <v>8</v>
      </c>
    </row>
    <row r="133" spans="1:11">
      <c r="A133" s="36">
        <f ca="1" t="shared" si="2"/>
        <v>155</v>
      </c>
      <c r="B133" s="36" t="str">
        <f ca="1" t="array" ref="B133">INDEX(Data_DBD!$C:$C,$A133)</f>
        <v>5 Hari</v>
      </c>
      <c r="C133" s="36">
        <f ca="1" t="array" ref="C133">INDEX(Data_DBD!$E:$E,$A133)</f>
        <v>1</v>
      </c>
      <c r="D133" s="36" t="str">
        <f ca="1" t="array" ref="D133">INDEX(Data_DBD!$F:$F,$A133)</f>
        <v>Tinggi</v>
      </c>
      <c r="H133" s="36">
        <v>106</v>
      </c>
      <c r="I133" s="36">
        <v>3</v>
      </c>
      <c r="J133" s="36">
        <v>1</v>
      </c>
      <c r="K133" s="36" t="s">
        <v>105</v>
      </c>
    </row>
    <row r="134" spans="1:11">
      <c r="A134" s="36">
        <f ca="1" t="shared" si="2"/>
        <v>33</v>
      </c>
      <c r="B134" s="36" t="str">
        <f ca="1" t="array" ref="B134">INDEX(Data_DBD!$C:$C,$A134)</f>
        <v>4 Hari</v>
      </c>
      <c r="C134" s="36">
        <f ca="1" t="array" ref="C134">INDEX(Data_DBD!$E:$E,$A134)</f>
        <v>1</v>
      </c>
      <c r="D134" s="36" t="str">
        <f ca="1" t="array" ref="D134">INDEX(Data_DBD!$F:$F,$A134)</f>
        <v>Sedang</v>
      </c>
      <c r="H134" s="36">
        <v>76</v>
      </c>
      <c r="I134" s="36">
        <v>2</v>
      </c>
      <c r="J134" s="36">
        <v>0</v>
      </c>
      <c r="K134" s="36" t="s">
        <v>8</v>
      </c>
    </row>
    <row r="135" spans="1:11">
      <c r="A135" s="36">
        <f ca="1" t="shared" si="2"/>
        <v>34</v>
      </c>
      <c r="B135" s="36" t="str">
        <f ca="1" t="array" ref="B135">INDEX(Data_DBD!$C:$C,$A135)</f>
        <v>3 Hari</v>
      </c>
      <c r="C135" s="36">
        <f ca="1" t="array" ref="C135">INDEX(Data_DBD!$E:$E,$A135)</f>
        <v>0</v>
      </c>
      <c r="D135" s="36" t="str">
        <f ca="1" t="array" ref="D135">INDEX(Data_DBD!$F:$F,$A135)</f>
        <v>Sedang</v>
      </c>
      <c r="H135" s="36">
        <v>83</v>
      </c>
      <c r="I135" s="36">
        <v>3</v>
      </c>
      <c r="J135" s="36">
        <v>0</v>
      </c>
      <c r="K135" s="36" t="s">
        <v>8</v>
      </c>
    </row>
    <row r="136" spans="1:11">
      <c r="A136" s="36">
        <f ca="1" t="shared" si="2"/>
        <v>52</v>
      </c>
      <c r="B136" s="36" t="str">
        <f ca="1" t="array" ref="B136">INDEX(Data_DBD!$C:$C,$A136)</f>
        <v>4 Hari</v>
      </c>
      <c r="C136" s="36">
        <f ca="1" t="array" ref="C136">INDEX(Data_DBD!$E:$E,$A136)</f>
        <v>1</v>
      </c>
      <c r="D136" s="36" t="str">
        <f ca="1" t="array" ref="D136">INDEX(Data_DBD!$F:$F,$A136)</f>
        <v>Sedang</v>
      </c>
      <c r="H136" s="36">
        <v>47</v>
      </c>
      <c r="I136" s="36">
        <v>2</v>
      </c>
      <c r="J136" s="36">
        <v>0</v>
      </c>
      <c r="K136" s="36" t="s">
        <v>8</v>
      </c>
    </row>
    <row r="137" spans="1:11">
      <c r="A137" s="36">
        <f ca="1" t="shared" si="2"/>
        <v>118</v>
      </c>
      <c r="B137" s="36" t="str">
        <f ca="1" t="array" ref="B137">INDEX(Data_DBD!$C:$C,$A137)</f>
        <v>4 Hari</v>
      </c>
      <c r="C137" s="36">
        <f ca="1" t="array" ref="C137">INDEX(Data_DBD!$E:$E,$A137)</f>
        <v>1</v>
      </c>
      <c r="D137" s="36" t="str">
        <f ca="1" t="array" ref="D137">INDEX(Data_DBD!$F:$F,$A137)</f>
        <v>Tinggi</v>
      </c>
      <c r="H137" s="36">
        <v>7</v>
      </c>
      <c r="I137" s="36">
        <v>1</v>
      </c>
      <c r="J137" s="36">
        <v>1</v>
      </c>
      <c r="K137" s="36" t="s">
        <v>8</v>
      </c>
    </row>
    <row r="138" spans="1:11">
      <c r="A138" s="36">
        <f ca="1" t="shared" si="2"/>
        <v>162</v>
      </c>
      <c r="B138" s="36" t="str">
        <f ca="1" t="array" ref="B138">INDEX(Data_DBD!$C:$C,$A138)</f>
        <v>3 Hari</v>
      </c>
      <c r="C138" s="36">
        <f ca="1" t="array" ref="C138">INDEX(Data_DBD!$E:$E,$A138)</f>
        <v>1</v>
      </c>
      <c r="D138" s="36" t="str">
        <f ca="1" t="array" ref="D138">INDEX(Data_DBD!$F:$F,$A138)</f>
        <v>Rendah</v>
      </c>
      <c r="H138" s="36">
        <v>70</v>
      </c>
      <c r="I138" s="36">
        <v>3</v>
      </c>
      <c r="J138" s="36">
        <v>1</v>
      </c>
      <c r="K138" s="36" t="s">
        <v>8</v>
      </c>
    </row>
    <row r="139" spans="1:11">
      <c r="A139" s="36">
        <f ca="1" t="shared" si="2"/>
        <v>68</v>
      </c>
      <c r="B139" s="36" t="str">
        <f ca="1" t="array" ref="B139">INDEX(Data_DBD!$C:$C,$A139)</f>
        <v>5 Hari</v>
      </c>
      <c r="C139" s="36">
        <f ca="1" t="array" ref="C139">INDEX(Data_DBD!$E:$E,$A139)</f>
        <v>0</v>
      </c>
      <c r="D139" s="36" t="str">
        <f ca="1" t="array" ref="D139">INDEX(Data_DBD!$F:$F,$A139)</f>
        <v>Sedang</v>
      </c>
      <c r="H139" s="36">
        <v>61</v>
      </c>
      <c r="I139" s="36">
        <v>3</v>
      </c>
      <c r="J139" s="36">
        <v>1</v>
      </c>
      <c r="K139" s="36" t="s">
        <v>8</v>
      </c>
    </row>
    <row r="140" spans="1:11">
      <c r="A140" s="36">
        <f ca="1" t="shared" si="2"/>
        <v>101</v>
      </c>
      <c r="B140" s="36" t="str">
        <f ca="1" t="array" ref="B140">INDEX(Data_DBD!$C:$C,$A140)</f>
        <v>5 Hari</v>
      </c>
      <c r="C140" s="36">
        <f ca="1" t="array" ref="C140">INDEX(Data_DBD!$E:$E,$A140)</f>
        <v>0</v>
      </c>
      <c r="D140" s="36" t="str">
        <f ca="1" t="array" ref="D140">INDEX(Data_DBD!$F:$F,$A140)</f>
        <v>Tinggi</v>
      </c>
      <c r="H140" s="36">
        <v>163</v>
      </c>
      <c r="I140" s="36">
        <v>4</v>
      </c>
      <c r="J140" s="36">
        <v>1</v>
      </c>
      <c r="K140" s="36" t="s">
        <v>26</v>
      </c>
    </row>
    <row r="141" spans="1:11">
      <c r="A141" s="36">
        <f ca="1" t="shared" si="2"/>
        <v>6</v>
      </c>
      <c r="B141" s="36" t="str">
        <f ca="1" t="array" ref="B141">INDEX(Data_DBD!$C:$C,$A141)</f>
        <v>4 Hari</v>
      </c>
      <c r="C141" s="36">
        <f ca="1" t="array" ref="C141">INDEX(Data_DBD!$E:$E,$A141)</f>
        <v>0</v>
      </c>
      <c r="D141" s="36" t="str">
        <f ca="1" t="array" ref="D141">INDEX(Data_DBD!$F:$F,$A141)</f>
        <v>Sedang</v>
      </c>
      <c r="H141" s="36">
        <v>137</v>
      </c>
      <c r="I141" s="36">
        <v>1</v>
      </c>
      <c r="J141" s="36">
        <v>1</v>
      </c>
      <c r="K141" s="36" t="s">
        <v>105</v>
      </c>
    </row>
    <row r="142" spans="1:11">
      <c r="A142" s="36">
        <f ca="1" t="shared" si="2"/>
        <v>147</v>
      </c>
      <c r="B142" s="36" t="str">
        <f ca="1" t="array" ref="B142">INDEX(Data_DBD!$C:$C,$A142)</f>
        <v>10 Hari</v>
      </c>
      <c r="C142" s="36">
        <f ca="1" t="array" ref="C142">INDEX(Data_DBD!$E:$E,$A142)</f>
        <v>1</v>
      </c>
      <c r="D142" s="36" t="str">
        <f ca="1" t="array" ref="D142">INDEX(Data_DBD!$F:$F,$A142)</f>
        <v>Tinggi</v>
      </c>
      <c r="H142" s="36">
        <v>139</v>
      </c>
      <c r="I142" s="36">
        <v>7</v>
      </c>
      <c r="J142" s="36">
        <v>0</v>
      </c>
      <c r="K142" s="36" t="s">
        <v>105</v>
      </c>
    </row>
    <row r="143" spans="1:11">
      <c r="A143" s="36">
        <f ca="1" t="shared" si="2"/>
        <v>98</v>
      </c>
      <c r="B143" s="36" t="str">
        <f ca="1" t="array" ref="B143">INDEX(Data_DBD!$C:$C,$A143)</f>
        <v>2 Hari</v>
      </c>
      <c r="C143" s="36">
        <f ca="1" t="array" ref="C143">INDEX(Data_DBD!$E:$E,$A143)</f>
        <v>1</v>
      </c>
      <c r="D143" s="36" t="str">
        <f ca="1" t="array" ref="D143">INDEX(Data_DBD!$F:$F,$A143)</f>
        <v>Tinggi</v>
      </c>
      <c r="H143" s="36">
        <v>86</v>
      </c>
      <c r="I143" s="36">
        <v>3</v>
      </c>
      <c r="J143" s="36">
        <v>0</v>
      </c>
      <c r="K143" s="36" t="s">
        <v>8</v>
      </c>
    </row>
    <row r="144" spans="1:11">
      <c r="A144" s="36">
        <f ca="1" t="shared" si="2"/>
        <v>60</v>
      </c>
      <c r="B144" s="36" t="str">
        <f ca="1" t="array" ref="B144">INDEX(Data_DBD!$C:$C,$A144)</f>
        <v>4 Hari</v>
      </c>
      <c r="C144" s="36">
        <f ca="1" t="array" ref="C144">INDEX(Data_DBD!$E:$E,$A144)</f>
        <v>0</v>
      </c>
      <c r="D144" s="36" t="str">
        <f ca="1" t="array" ref="D144">INDEX(Data_DBD!$F:$F,$A144)</f>
        <v>Sedang</v>
      </c>
      <c r="H144" s="36">
        <v>93</v>
      </c>
      <c r="I144" s="36">
        <v>4</v>
      </c>
      <c r="J144" s="36">
        <v>0</v>
      </c>
      <c r="K144" s="36" t="s">
        <v>105</v>
      </c>
    </row>
    <row r="145" spans="1:11">
      <c r="A145" s="36">
        <f ca="1" t="shared" si="2"/>
        <v>29</v>
      </c>
      <c r="B145" s="36" t="str">
        <f ca="1" t="array" ref="B145">INDEX(Data_DBD!$C:$C,$A145)</f>
        <v>2 Hari</v>
      </c>
      <c r="C145" s="36">
        <f ca="1" t="array" ref="C145">INDEX(Data_DBD!$E:$E,$A145)</f>
        <v>1</v>
      </c>
      <c r="D145" s="36" t="str">
        <f ca="1" t="array" ref="D145">INDEX(Data_DBD!$F:$F,$A145)</f>
        <v>Sedang</v>
      </c>
      <c r="H145" s="36">
        <v>104</v>
      </c>
      <c r="I145" s="36">
        <v>4</v>
      </c>
      <c r="J145" s="36">
        <v>1</v>
      </c>
      <c r="K145" s="36" t="s">
        <v>105</v>
      </c>
    </row>
    <row r="146" spans="1:11">
      <c r="A146" s="36">
        <f ca="1" t="shared" si="2"/>
        <v>60</v>
      </c>
      <c r="B146" s="36" t="str">
        <f ca="1" t="array" ref="B146">INDEX(Data_DBD!$C:$C,$A146)</f>
        <v>4 Hari</v>
      </c>
      <c r="C146" s="36">
        <f ca="1" t="array" ref="C146">INDEX(Data_DBD!$E:$E,$A146)</f>
        <v>0</v>
      </c>
      <c r="D146" s="36" t="str">
        <f ca="1" t="array" ref="D146">INDEX(Data_DBD!$F:$F,$A146)</f>
        <v>Sedang</v>
      </c>
      <c r="H146" s="36">
        <v>15</v>
      </c>
      <c r="I146" s="36">
        <v>2</v>
      </c>
      <c r="J146" s="36">
        <v>0</v>
      </c>
      <c r="K146" s="36" t="s">
        <v>26</v>
      </c>
    </row>
    <row r="147" spans="1:11">
      <c r="A147" s="36">
        <f ca="1" t="shared" si="2"/>
        <v>66</v>
      </c>
      <c r="B147" s="36" t="str">
        <f ca="1" t="array" ref="B147">INDEX(Data_DBD!$C:$C,$A147)</f>
        <v>5 Hari</v>
      </c>
      <c r="C147" s="36">
        <f ca="1" t="array" ref="C147">INDEX(Data_DBD!$E:$E,$A147)</f>
        <v>1</v>
      </c>
      <c r="D147" s="36" t="str">
        <f ca="1" t="array" ref="D147">INDEX(Data_DBD!$F:$F,$A147)</f>
        <v>Sedang</v>
      </c>
      <c r="H147" s="36">
        <v>35</v>
      </c>
      <c r="I147" s="36">
        <v>3</v>
      </c>
      <c r="J147" s="36">
        <v>1</v>
      </c>
      <c r="K147" s="36" t="s">
        <v>26</v>
      </c>
    </row>
    <row r="148" spans="1:11">
      <c r="A148" s="36">
        <f ca="1" t="shared" si="2"/>
        <v>72</v>
      </c>
      <c r="B148" s="36" t="str">
        <f ca="1" t="array" ref="B148">INDEX(Data_DBD!$C:$C,$A148)</f>
        <v>5 Hari</v>
      </c>
      <c r="C148" s="36">
        <f ca="1" t="array" ref="C148">INDEX(Data_DBD!$E:$E,$A148)</f>
        <v>1</v>
      </c>
      <c r="D148" s="36" t="str">
        <f ca="1" t="array" ref="D148">INDEX(Data_DBD!$F:$F,$A148)</f>
        <v>Sedang</v>
      </c>
      <c r="H148" s="36">
        <v>7</v>
      </c>
      <c r="I148" s="36">
        <v>1</v>
      </c>
      <c r="J148" s="36">
        <v>1</v>
      </c>
      <c r="K148" s="36" t="s">
        <v>8</v>
      </c>
    </row>
    <row r="149" spans="1:11">
      <c r="A149" s="36">
        <f ca="1" t="shared" si="2"/>
        <v>149</v>
      </c>
      <c r="B149" s="36" t="str">
        <f ca="1" t="array" ref="B149">INDEX(Data_DBD!$C:$C,$A149)</f>
        <v>5 Hari</v>
      </c>
      <c r="C149" s="36">
        <f ca="1" t="array" ref="C149">INDEX(Data_DBD!$E:$E,$A149)</f>
        <v>0</v>
      </c>
      <c r="D149" s="36" t="str">
        <f ca="1" t="array" ref="D149">INDEX(Data_DBD!$F:$F,$A149)</f>
        <v>Tinggi</v>
      </c>
      <c r="H149" s="36">
        <v>95</v>
      </c>
      <c r="I149" s="36">
        <v>3</v>
      </c>
      <c r="J149" s="36">
        <v>1</v>
      </c>
      <c r="K149" s="36" t="s">
        <v>105</v>
      </c>
    </row>
    <row r="150" spans="1:11">
      <c r="A150" s="36">
        <f ca="1" t="shared" si="2"/>
        <v>19</v>
      </c>
      <c r="B150" s="36" t="str">
        <f ca="1" t="array" ref="B150">INDEX(Data_DBD!$C:$C,$A150)</f>
        <v>4 Hari</v>
      </c>
      <c r="C150" s="36">
        <f ca="1" t="array" ref="C150">INDEX(Data_DBD!$E:$E,$A150)</f>
        <v>0</v>
      </c>
      <c r="D150" s="36" t="str">
        <f ca="1" t="array" ref="D150">INDEX(Data_DBD!$F:$F,$A150)</f>
        <v>Rendah</v>
      </c>
      <c r="H150" s="36">
        <v>10</v>
      </c>
      <c r="I150" s="36">
        <v>5</v>
      </c>
      <c r="J150" s="36">
        <v>0</v>
      </c>
      <c r="K150" s="36" t="s">
        <v>8</v>
      </c>
    </row>
    <row r="151" spans="1:11">
      <c r="A151" s="36">
        <f ca="1" t="shared" si="2"/>
        <v>69</v>
      </c>
      <c r="B151" s="36" t="str">
        <f ca="1" t="array" ref="B151">INDEX(Data_DBD!$C:$C,$A151)</f>
        <v>4 Hari</v>
      </c>
      <c r="C151" s="36">
        <f ca="1" t="array" ref="C151">INDEX(Data_DBD!$E:$E,$A151)</f>
        <v>1</v>
      </c>
      <c r="D151" s="36" t="str">
        <f ca="1" t="array" ref="D151">INDEX(Data_DBD!$F:$F,$A151)</f>
        <v>Sedang</v>
      </c>
      <c r="H151" s="36">
        <v>151</v>
      </c>
      <c r="I151" s="36">
        <v>3</v>
      </c>
      <c r="J151" s="36">
        <v>0</v>
      </c>
      <c r="K151" s="36" t="s">
        <v>105</v>
      </c>
    </row>
    <row r="152" spans="1:11">
      <c r="A152" s="36">
        <f ca="1" t="shared" si="2"/>
        <v>133</v>
      </c>
      <c r="B152" s="36" t="str">
        <f ca="1" t="array" ref="B152">INDEX(Data_DBD!$C:$C,$A152)</f>
        <v>4 Hari</v>
      </c>
      <c r="C152" s="36">
        <f ca="1" t="array" ref="C152">INDEX(Data_DBD!$E:$E,$A152)</f>
        <v>0</v>
      </c>
      <c r="D152" s="36" t="str">
        <f ca="1" t="array" ref="D152">INDEX(Data_DBD!$F:$F,$A152)</f>
        <v>Tinggi</v>
      </c>
      <c r="H152" s="36">
        <v>110</v>
      </c>
      <c r="I152" s="36">
        <v>2</v>
      </c>
      <c r="J152" s="36">
        <v>1</v>
      </c>
      <c r="K152" s="36" t="s">
        <v>105</v>
      </c>
    </row>
    <row r="153" spans="1:11">
      <c r="A153" s="36">
        <f ca="1" t="shared" si="2"/>
        <v>119</v>
      </c>
      <c r="B153" s="36" t="str">
        <f ca="1" t="array" ref="B153">INDEX(Data_DBD!$C:$C,$A153)</f>
        <v>7 Hari</v>
      </c>
      <c r="C153" s="36">
        <f ca="1" t="array" ref="C153">INDEX(Data_DBD!$E:$E,$A153)</f>
        <v>0</v>
      </c>
      <c r="D153" s="36" t="str">
        <f ca="1" t="array" ref="D153">INDEX(Data_DBD!$F:$F,$A153)</f>
        <v>Tinggi</v>
      </c>
      <c r="H153" s="36">
        <v>108</v>
      </c>
      <c r="I153" s="36">
        <v>7</v>
      </c>
      <c r="J153" s="36">
        <v>1</v>
      </c>
      <c r="K153" s="36" t="s">
        <v>105</v>
      </c>
    </row>
    <row r="154" spans="1:11">
      <c r="A154" s="36">
        <f ca="1" t="shared" si="2"/>
        <v>64</v>
      </c>
      <c r="B154" s="36" t="str">
        <f ca="1" t="array" ref="B154">INDEX(Data_DBD!$C:$C,$A154)</f>
        <v>1 Hari</v>
      </c>
      <c r="C154" s="36">
        <f ca="1" t="array" ref="C154">INDEX(Data_DBD!$E:$E,$A154)</f>
        <v>0</v>
      </c>
      <c r="D154" s="36" t="str">
        <f ca="1" t="array" ref="D154">INDEX(Data_DBD!$F:$F,$A154)</f>
        <v>Sedang</v>
      </c>
      <c r="H154" s="36">
        <v>164</v>
      </c>
      <c r="I154" s="36">
        <v>6</v>
      </c>
      <c r="J154" s="36">
        <v>0</v>
      </c>
      <c r="K154" s="36" t="s">
        <v>26</v>
      </c>
    </row>
    <row r="155" spans="1:11">
      <c r="A155" s="36">
        <f ca="1" t="shared" si="2"/>
        <v>58</v>
      </c>
      <c r="B155" s="36" t="str">
        <f ca="1" t="array" ref="B155">INDEX(Data_DBD!$C:$C,$A155)</f>
        <v>3 Hari</v>
      </c>
      <c r="C155" s="36">
        <f ca="1" t="array" ref="C155">INDEX(Data_DBD!$E:$E,$A155)</f>
        <v>0</v>
      </c>
      <c r="D155" s="36" t="str">
        <f ca="1" t="array" ref="D155">INDEX(Data_DBD!$F:$F,$A155)</f>
        <v>Sedang</v>
      </c>
      <c r="H155" s="36">
        <v>47</v>
      </c>
      <c r="I155" s="36">
        <v>2</v>
      </c>
      <c r="J155" s="36">
        <v>0</v>
      </c>
      <c r="K155" s="36" t="s">
        <v>8</v>
      </c>
    </row>
    <row r="156" ht="15.75" spans="1:21">
      <c r="A156" s="36">
        <f ca="1" t="shared" si="2"/>
        <v>75</v>
      </c>
      <c r="B156" s="36" t="str">
        <f ca="1" t="array" ref="B156">INDEX(Data_DBD!$C:$C,$A156)</f>
        <v>2 Hari</v>
      </c>
      <c r="C156" s="36">
        <f ca="1" t="array" ref="C156">INDEX(Data_DBD!$E:$E,$A156)</f>
        <v>1</v>
      </c>
      <c r="D156" s="36" t="str">
        <f ca="1" t="array" ref="D156">INDEX(Data_DBD!$F:$F,$A156)</f>
        <v>Sedang</v>
      </c>
      <c r="H156" s="36">
        <v>18</v>
      </c>
      <c r="I156" s="36">
        <v>4</v>
      </c>
      <c r="J156" s="36">
        <v>1</v>
      </c>
      <c r="K156" s="36" t="s">
        <v>26</v>
      </c>
      <c r="U156" s="42" t="s">
        <v>296</v>
      </c>
    </row>
    <row r="157" ht="15.75" spans="1:21">
      <c r="A157" s="36">
        <f ca="1" t="shared" si="2"/>
        <v>16</v>
      </c>
      <c r="B157" s="36" t="str">
        <f ca="1" t="array" ref="B157">INDEX(Data_DBD!$C:$C,$A157)</f>
        <v>5 Hari</v>
      </c>
      <c r="C157" s="36">
        <f ca="1" t="array" ref="C157">INDEX(Data_DBD!$E:$E,$A157)</f>
        <v>1</v>
      </c>
      <c r="D157" s="36" t="str">
        <f ca="1" t="array" ref="D157">INDEX(Data_DBD!$F:$F,$A157)</f>
        <v>Rendah</v>
      </c>
      <c r="H157" s="36">
        <v>10</v>
      </c>
      <c r="I157" s="36">
        <v>5</v>
      </c>
      <c r="J157" s="36">
        <v>0</v>
      </c>
      <c r="K157" s="36" t="s">
        <v>8</v>
      </c>
      <c r="U157" s="43" t="s">
        <v>187</v>
      </c>
    </row>
    <row r="158" ht="15.75" spans="1:21">
      <c r="A158" s="36">
        <f ca="1" t="shared" si="2"/>
        <v>21</v>
      </c>
      <c r="B158" s="36" t="str">
        <f ca="1" t="array" ref="B158">INDEX(Data_DBD!$C:$C,$A158)</f>
        <v>5 Hari</v>
      </c>
      <c r="C158" s="36">
        <f ca="1" t="array" ref="C158">INDEX(Data_DBD!$E:$E,$A158)</f>
        <v>1</v>
      </c>
      <c r="D158" s="36" t="str">
        <f ca="1" t="array" ref="D158">INDEX(Data_DBD!$F:$F,$A158)</f>
        <v>Sedang</v>
      </c>
      <c r="H158" s="36">
        <v>129</v>
      </c>
      <c r="I158" s="36">
        <v>3</v>
      </c>
      <c r="J158" s="36">
        <v>0</v>
      </c>
      <c r="K158" s="36" t="s">
        <v>105</v>
      </c>
      <c r="U158" s="44" t="s">
        <v>236</v>
      </c>
    </row>
    <row r="159" ht="15.75" spans="1:21">
      <c r="A159" s="36">
        <f ca="1" t="shared" si="2"/>
        <v>137</v>
      </c>
      <c r="B159" s="36" t="str">
        <f ca="1" t="array" ref="B159">INDEX(Data_DBD!$C:$C,$A159)</f>
        <v>1 Hari</v>
      </c>
      <c r="C159" s="36">
        <f ca="1" t="array" ref="C159">INDEX(Data_DBD!$E:$E,$A159)</f>
        <v>1</v>
      </c>
      <c r="D159" s="36" t="str">
        <f ca="1" t="array" ref="D159">INDEX(Data_DBD!$F:$F,$A159)</f>
        <v>Tinggi</v>
      </c>
      <c r="H159" s="36">
        <v>94</v>
      </c>
      <c r="I159" s="36">
        <v>4</v>
      </c>
      <c r="J159" s="36">
        <v>0</v>
      </c>
      <c r="K159" s="36" t="s">
        <v>105</v>
      </c>
      <c r="U159" s="44" t="s">
        <v>237</v>
      </c>
    </row>
    <row r="160" ht="15.75" spans="1:21">
      <c r="A160" s="36">
        <f ca="1" t="shared" si="2"/>
        <v>18</v>
      </c>
      <c r="B160" s="36" t="str">
        <f ca="1" t="array" ref="B160">INDEX(Data_DBD!$C:$C,$A160)</f>
        <v>4 Hari</v>
      </c>
      <c r="C160" s="36">
        <f ca="1" t="array" ref="C160">INDEX(Data_DBD!$E:$E,$A160)</f>
        <v>1</v>
      </c>
      <c r="D160" s="36" t="str">
        <f ca="1" t="array" ref="D160">INDEX(Data_DBD!$F:$F,$A160)</f>
        <v>Rendah</v>
      </c>
      <c r="H160" s="36">
        <v>155</v>
      </c>
      <c r="I160" s="36">
        <v>5</v>
      </c>
      <c r="J160" s="36">
        <v>1</v>
      </c>
      <c r="K160" s="36" t="s">
        <v>105</v>
      </c>
      <c r="U160" s="43" t="s">
        <v>190</v>
      </c>
    </row>
    <row r="161" ht="15.75" spans="1:21">
      <c r="A161" s="36">
        <f ca="1" t="shared" si="2"/>
        <v>113</v>
      </c>
      <c r="B161" s="36" t="str">
        <f ca="1" t="array" ref="B161">INDEX(Data_DBD!$C:$C,$A161)</f>
        <v>1 Hari</v>
      </c>
      <c r="C161" s="36">
        <f ca="1" t="array" ref="C161">INDEX(Data_DBD!$E:$E,$A161)</f>
        <v>1</v>
      </c>
      <c r="D161" s="36" t="str">
        <f ca="1" t="array" ref="D161">INDEX(Data_DBD!$F:$F,$A161)</f>
        <v>Tinggi</v>
      </c>
      <c r="H161" s="36">
        <v>111</v>
      </c>
      <c r="I161" s="36">
        <v>4</v>
      </c>
      <c r="J161" s="36">
        <v>0</v>
      </c>
      <c r="K161" s="36" t="s">
        <v>105</v>
      </c>
      <c r="U161" s="44" t="s">
        <v>297</v>
      </c>
    </row>
    <row r="162" ht="15.75" spans="1:21">
      <c r="A162" s="36">
        <f ca="1" t="shared" si="2"/>
        <v>141</v>
      </c>
      <c r="B162" s="36" t="str">
        <f ca="1" t="array" ref="B162">INDEX(Data_DBD!$C:$C,$A162)</f>
        <v>2 Hari</v>
      </c>
      <c r="C162" s="36">
        <f ca="1" t="array" ref="C162">INDEX(Data_DBD!$E:$E,$A162)</f>
        <v>0</v>
      </c>
      <c r="D162" s="36" t="str">
        <f ca="1" t="array" ref="D162">INDEX(Data_DBD!$F:$F,$A162)</f>
        <v>Tinggi</v>
      </c>
      <c r="H162" s="36">
        <v>157</v>
      </c>
      <c r="I162" s="36">
        <v>4</v>
      </c>
      <c r="J162" s="36">
        <v>1</v>
      </c>
      <c r="K162" s="36" t="s">
        <v>105</v>
      </c>
      <c r="U162" s="44" t="s">
        <v>269</v>
      </c>
    </row>
    <row r="163" ht="15.75" spans="1:21">
      <c r="A163" s="36">
        <f ca="1" t="shared" si="2"/>
        <v>11</v>
      </c>
      <c r="B163" s="36" t="str">
        <f ca="1" t="array" ref="B163">INDEX(Data_DBD!$C:$C,$A163)</f>
        <v>5 Hari</v>
      </c>
      <c r="C163" s="36">
        <f ca="1" t="array" ref="C163">INDEX(Data_DBD!$E:$E,$A163)</f>
        <v>1</v>
      </c>
      <c r="D163" s="36" t="str">
        <f ca="1" t="array" ref="D163">INDEX(Data_DBD!$F:$F,$A163)</f>
        <v>Sedang</v>
      </c>
      <c r="H163" s="36">
        <v>120</v>
      </c>
      <c r="I163" s="36">
        <v>4</v>
      </c>
      <c r="J163" s="36">
        <v>1</v>
      </c>
      <c r="K163" s="36" t="s">
        <v>105</v>
      </c>
      <c r="U163" s="43" t="s">
        <v>193</v>
      </c>
    </row>
    <row r="164" ht="15.75" spans="1:21">
      <c r="A164" s="36">
        <f ca="1" t="shared" si="2"/>
        <v>49</v>
      </c>
      <c r="B164" s="36" t="str">
        <f ca="1" t="array" ref="B164">INDEX(Data_DBD!$C:$C,$A164)</f>
        <v>5 Hari</v>
      </c>
      <c r="C164" s="36">
        <f ca="1" t="array" ref="C164">INDEX(Data_DBD!$E:$E,$A164)</f>
        <v>0</v>
      </c>
      <c r="D164" s="36" t="str">
        <f ca="1" t="array" ref="D164">INDEX(Data_DBD!$F:$F,$A164)</f>
        <v>Sedang</v>
      </c>
      <c r="H164" s="36">
        <v>132</v>
      </c>
      <c r="I164" s="36">
        <v>3</v>
      </c>
      <c r="J164" s="36">
        <v>1</v>
      </c>
      <c r="K164" s="36" t="s">
        <v>105</v>
      </c>
      <c r="U164" s="44" t="s">
        <v>298</v>
      </c>
    </row>
    <row r="165" spans="9:10">
      <c r="I165">
        <f>AVERAGE(I2:I164)</f>
        <v>3.37423312883436</v>
      </c>
      <c r="J165">
        <f>AVERAGE(J2:J164)</f>
        <v>0.576687116564417</v>
      </c>
    </row>
    <row r="166" spans="2:2">
      <c r="B166">
        <v>55</v>
      </c>
    </row>
    <row r="168" spans="9:13">
      <c r="I168" s="40" t="s">
        <v>208</v>
      </c>
      <c r="M168" s="40" t="s">
        <v>210</v>
      </c>
    </row>
    <row r="169" spans="9:15">
      <c r="I169" s="36" t="s">
        <v>211</v>
      </c>
      <c r="J169" s="36">
        <f>AVERAGEIF($I$2:$I$164,"&lt;="&amp;$I$165)</f>
        <v>2.44943820224719</v>
      </c>
      <c r="K169" s="36">
        <f>AVERAGEIF($I$2:$I$164,"&gt;"&amp;$I$165)</f>
        <v>4.48648648648649</v>
      </c>
      <c r="M169" s="36" t="s">
        <v>213</v>
      </c>
      <c r="N169" s="36">
        <f>AVERAGEIF($J$2:$J$164,"&lt;="&amp;$J$165)</f>
        <v>0</v>
      </c>
      <c r="O169" s="36">
        <f>AVERAGEIF($J$2:$J$164,"&gt;"&amp;$J$165)</f>
        <v>1</v>
      </c>
    </row>
    <row r="170" spans="9:15">
      <c r="I170" s="36" t="str">
        <f t="array" ref="I170:I332">IF($I$2:$I$164&lt;$J$169,"kiri",IF($I$2:$I$164&lt;$K$169,"tengah","kanan"))</f>
        <v>tengah</v>
      </c>
      <c r="J170" s="36" t="s">
        <v>299</v>
      </c>
      <c r="K170" s="36"/>
      <c r="M170" s="36" t="str">
        <f t="array" ref="M170:M332">IF($J$2:$J$164&lt;$N$169,"kiri",IF($J$2:$J$164&lt;$O$169,"tengah","kanan"))</f>
        <v>kanan</v>
      </c>
      <c r="N170" s="36" t="s">
        <v>217</v>
      </c>
      <c r="O170" s="36"/>
    </row>
    <row r="171" spans="9:15">
      <c r="I171" s="36" t="str">
        <v>tengah</v>
      </c>
      <c r="J171" s="36">
        <f>COUNTIFS($I$170:$I$332,"Kanan",$K$2:$K$164,"Tinggi")</f>
        <v>10</v>
      </c>
      <c r="K171" s="36">
        <f>J171/27</f>
        <v>0.37037037037037</v>
      </c>
      <c r="M171" s="36" t="str">
        <v>kanan</v>
      </c>
      <c r="N171" s="36">
        <f>COUNTIFS($M$170:$M$332,"Kanan",$K$2:$K$164,"Tinggi")</f>
        <v>42</v>
      </c>
      <c r="O171" s="36">
        <f>N171/94</f>
        <v>0.446808510638298</v>
      </c>
    </row>
    <row r="172" spans="9:15">
      <c r="I172" s="36" t="str">
        <v>tengah</v>
      </c>
      <c r="J172" s="36">
        <f>COUNTIFS($I$170:$I$332,"Kanan",$K$2:$K$164,"Sedang")</f>
        <v>13</v>
      </c>
      <c r="K172" s="36">
        <f>J172/27</f>
        <v>0.481481481481481</v>
      </c>
      <c r="M172" s="36" t="str">
        <v>tengah</v>
      </c>
      <c r="N172" s="36">
        <f>COUNTIFS($M$170:$M$332,"Kanan",$K$2:$K$164,"Sedang")</f>
        <v>40</v>
      </c>
      <c r="O172" s="36">
        <f>N172/94</f>
        <v>0.425531914893617</v>
      </c>
    </row>
    <row r="173" spans="9:15">
      <c r="I173" s="36" t="str">
        <v>tengah</v>
      </c>
      <c r="J173" s="36">
        <f>COUNTIFS($I$170:$I$332,"Kanan",$K$2:$K$164,"Rendah")</f>
        <v>4</v>
      </c>
      <c r="K173" s="36">
        <f>J173/27</f>
        <v>0.148148148148148</v>
      </c>
      <c r="M173" s="36" t="str">
        <v>tengah</v>
      </c>
      <c r="N173" s="36">
        <f>COUNTIFS($M$170:$M$332,"Kanan",$K$2:$K$164,"Rendah")</f>
        <v>12</v>
      </c>
      <c r="O173" s="36">
        <f>N173/94</f>
        <v>0.127659574468085</v>
      </c>
    </row>
    <row r="174" spans="9:15">
      <c r="I174" s="36" t="str">
        <v>kanan</v>
      </c>
      <c r="J174" s="36" t="s">
        <v>218</v>
      </c>
      <c r="K174" s="36">
        <f>-(IFERROR(K171*LOG(K171,2),0)+IFERROR(K172*LOG(K172,2),0)+IFERROR(K173*LOG(K173,2),0))</f>
        <v>1.44655426939651</v>
      </c>
      <c r="M174" s="36" t="str">
        <v>tengah</v>
      </c>
      <c r="N174" s="36" t="s">
        <v>218</v>
      </c>
      <c r="O174" s="36">
        <f>-(IFERROR(O171*LOG(O171,2),0)+IFERROR(O172*LOG(O172,2),0)+IFERROR(O173*LOG(O173,2),0))</f>
        <v>1.42295049464725</v>
      </c>
    </row>
    <row r="175" spans="9:15">
      <c r="I175" s="36" t="str">
        <v>tengah</v>
      </c>
      <c r="J175" s="36"/>
      <c r="K175" s="36">
        <f>SUM(J171:J173)/163</f>
        <v>0.165644171779141</v>
      </c>
      <c r="M175" s="36" t="str">
        <v>tengah</v>
      </c>
      <c r="N175" s="36"/>
      <c r="O175" s="36">
        <f>SUM(N171:N173)/163</f>
        <v>0.576687116564417</v>
      </c>
    </row>
    <row r="176" spans="9:15">
      <c r="I176" s="36" t="str">
        <v>tengah</v>
      </c>
      <c r="J176" s="36"/>
      <c r="K176" s="41">
        <f>K174*K175</f>
        <v>0.239613283887766</v>
      </c>
      <c r="M176" s="36" t="str">
        <v>tengah</v>
      </c>
      <c r="N176" s="36"/>
      <c r="O176" s="41">
        <f>O174*O175</f>
        <v>0.820597217772034</v>
      </c>
    </row>
    <row r="177" spans="9:15">
      <c r="I177" s="36" t="str">
        <v>tengah</v>
      </c>
      <c r="J177" s="36"/>
      <c r="K177" s="36"/>
      <c r="M177" s="36" t="str">
        <v>tengah</v>
      </c>
      <c r="N177" s="36"/>
      <c r="O177" s="36"/>
    </row>
    <row r="178" spans="9:15">
      <c r="I178" s="36" t="str">
        <v>kanan</v>
      </c>
      <c r="J178" s="36"/>
      <c r="K178" s="36"/>
      <c r="M178" s="36" t="str">
        <v>tengah</v>
      </c>
      <c r="N178" s="36"/>
      <c r="O178" s="36"/>
    </row>
    <row r="179" spans="9:15">
      <c r="I179" s="36" t="str">
        <v>kanan</v>
      </c>
      <c r="J179" s="36" t="s">
        <v>242</v>
      </c>
      <c r="K179" s="36"/>
      <c r="M179" s="36" t="str">
        <v>tengah</v>
      </c>
      <c r="N179" s="36" t="s">
        <v>222</v>
      </c>
      <c r="O179" s="36"/>
    </row>
    <row r="180" spans="9:15">
      <c r="I180" s="36" t="str">
        <v>tengah</v>
      </c>
      <c r="J180" s="36">
        <f>COUNTIFS($I$170:$I$332,"Kiri",$K$2:$K$164,"Tinggi")</f>
        <v>20</v>
      </c>
      <c r="K180" s="36">
        <f>J180/42</f>
        <v>0.476190476190476</v>
      </c>
      <c r="M180" s="36" t="str">
        <v>kanan</v>
      </c>
      <c r="N180" s="36">
        <f ca="1">COUNTIFS($N$170:$N$332,"Kiri",$K$2:$K$164,"Tinggi")</f>
        <v>0</v>
      </c>
      <c r="O180" s="36">
        <f ca="1">N180/57</f>
        <v>0</v>
      </c>
    </row>
    <row r="181" spans="9:15">
      <c r="I181" s="36" t="str">
        <v>kiri</v>
      </c>
      <c r="J181" s="36">
        <f>COUNTIFS($I$170:$I$332,"Kiri",$K$2:$K$164,"Sedang")</f>
        <v>18</v>
      </c>
      <c r="K181" s="36">
        <f>J181/42</f>
        <v>0.428571428571429</v>
      </c>
      <c r="M181" s="36" t="str">
        <v>tengah</v>
      </c>
      <c r="N181" s="36">
        <f ca="1">COUNTIFS($N$170:$N$332,"Kiri",$K$2:$K$164,"Sedang")</f>
        <v>0</v>
      </c>
      <c r="O181" s="36">
        <f ca="1">N181/57</f>
        <v>0</v>
      </c>
    </row>
    <row r="182" spans="9:15">
      <c r="I182" s="36" t="str">
        <v>kanan</v>
      </c>
      <c r="J182" s="36">
        <f>COUNTIFS($I$170:$I$332,"Kiri",$K$2:$K$164,"Rendah")</f>
        <v>4</v>
      </c>
      <c r="K182" s="36">
        <f>J182/42</f>
        <v>0.0952380952380952</v>
      </c>
      <c r="M182" s="36" t="str">
        <v>kanan</v>
      </c>
      <c r="N182" s="36">
        <f ca="1">COUNTIFS($N$170:$N$332,"Kiri",$K$2:$K$164,"Rendah")</f>
        <v>0</v>
      </c>
      <c r="O182" s="36">
        <f ca="1">N182/57</f>
        <v>0</v>
      </c>
    </row>
    <row r="183" spans="9:15">
      <c r="I183" s="36" t="str">
        <v>kiri</v>
      </c>
      <c r="J183" s="36" t="s">
        <v>218</v>
      </c>
      <c r="K183" s="36">
        <f>-(IFERROR(K180*LOG(K180,2),0)+IFERROR(K181*LOG(K181,2),0)+IFERROR(K182*LOG(K182,2),0))</f>
        <v>1.35666951983331</v>
      </c>
      <c r="M183" s="36" t="str">
        <v>kanan</v>
      </c>
      <c r="N183" s="36" t="s">
        <v>218</v>
      </c>
      <c r="O183" s="36">
        <f ca="1">-(IFERROR(O180*LOG(O180,2),0)+IFERROR(O181*LOG(O181,2),0)+IFERROR(O182*LOG(O182,2),0))</f>
        <v>0</v>
      </c>
    </row>
    <row r="184" spans="9:15">
      <c r="I184" s="36" t="str">
        <v>kiri</v>
      </c>
      <c r="J184" s="36"/>
      <c r="K184" s="36">
        <f>SUM(J180:J182)/163</f>
        <v>0.257668711656442</v>
      </c>
      <c r="M184" s="36" t="str">
        <v>kanan</v>
      </c>
      <c r="N184" s="36"/>
      <c r="O184" s="36">
        <f ca="1">SUM(N180:N182)/163</f>
        <v>0</v>
      </c>
    </row>
    <row r="185" spans="9:15">
      <c r="I185" s="36" t="str">
        <v>kiri</v>
      </c>
      <c r="J185" s="36"/>
      <c r="K185" s="41">
        <f>K183*K184</f>
        <v>0.349571287319013</v>
      </c>
      <c r="M185" s="36" t="str">
        <v>tengah</v>
      </c>
      <c r="N185" s="36"/>
      <c r="O185" s="41">
        <f ca="1">O183*O184</f>
        <v>0</v>
      </c>
    </row>
    <row r="186" spans="9:15">
      <c r="I186" s="36" t="str">
        <v>tengah</v>
      </c>
      <c r="J186" s="36"/>
      <c r="K186" s="36"/>
      <c r="M186" s="36" t="str">
        <v>tengah</v>
      </c>
      <c r="N186" s="36"/>
      <c r="O186" s="36"/>
    </row>
    <row r="187" spans="9:15">
      <c r="I187" s="36" t="str">
        <v>kiri</v>
      </c>
      <c r="J187" s="36"/>
      <c r="K187" s="36"/>
      <c r="M187" s="36" t="str">
        <v>kanan</v>
      </c>
      <c r="N187" s="36"/>
      <c r="O187" s="36"/>
    </row>
    <row r="188" spans="9:15">
      <c r="I188" s="36" t="str">
        <v>tengah</v>
      </c>
      <c r="J188" s="36" t="s">
        <v>223</v>
      </c>
      <c r="K188" s="36"/>
      <c r="M188" s="36" t="str">
        <v>tengah</v>
      </c>
      <c r="N188" s="36" t="s">
        <v>223</v>
      </c>
      <c r="O188" s="36"/>
    </row>
    <row r="189" spans="9:15">
      <c r="I189" s="36" t="str">
        <v>tengah</v>
      </c>
      <c r="J189" s="36">
        <f>COUNTIFS($I$170:$I$332,"Tengah",$K$2:$K$164,"Tinggi")</f>
        <v>43</v>
      </c>
      <c r="K189" s="36">
        <f>J189/94</f>
        <v>0.457446808510638</v>
      </c>
      <c r="M189" s="36" t="str">
        <v>tengah</v>
      </c>
      <c r="N189" s="36">
        <f>COUNTIFS($M$170:$M$332,"Tengah",$K$2:$K$164,"Tinggi")</f>
        <v>31</v>
      </c>
      <c r="O189" s="36">
        <f>N189/69</f>
        <v>0.449275362318841</v>
      </c>
    </row>
    <row r="190" spans="9:15">
      <c r="I190" s="36" t="str">
        <v>tengah</v>
      </c>
      <c r="J190" s="36">
        <f>COUNTIFS($I$170:$I$332,"Tengah",$K$2:$K$164,"Sedang")</f>
        <v>41</v>
      </c>
      <c r="K190" s="36">
        <f>J190/94</f>
        <v>0.436170212765957</v>
      </c>
      <c r="M190" s="36" t="str">
        <v>tengah</v>
      </c>
      <c r="N190" s="36">
        <f>COUNTIFS($M$170:$M$332,"Tengah",$K$2:$K$164,"Sedang")</f>
        <v>32</v>
      </c>
      <c r="O190" s="36">
        <f>N190/69</f>
        <v>0.463768115942029</v>
      </c>
    </row>
    <row r="191" spans="9:15">
      <c r="I191" s="36" t="str">
        <v>kiri</v>
      </c>
      <c r="J191" s="36">
        <f>COUNTIFS($I$170:$I$332,"Tengah",$K$2:$K$164,"Rendah")</f>
        <v>10</v>
      </c>
      <c r="K191" s="36">
        <f>J191/94</f>
        <v>0.106382978723404</v>
      </c>
      <c r="M191" s="36" t="str">
        <v>kanan</v>
      </c>
      <c r="N191" s="36">
        <f>COUNTIFS($M$170:$M$332,"Tengah",$K$2:$K$164,"Rendah")</f>
        <v>6</v>
      </c>
      <c r="O191" s="36">
        <f>N191/69</f>
        <v>0.0869565217391304</v>
      </c>
    </row>
    <row r="192" spans="9:15">
      <c r="I192" s="36" t="str">
        <v>kanan</v>
      </c>
      <c r="J192" s="36" t="s">
        <v>218</v>
      </c>
      <c r="K192" s="36">
        <f>-(IFERROR(K189*LOG(K189,2),0)+IFERROR(K190*LOG(K190,2),0)+IFERROR(K191*LOG(K191,2),0))</f>
        <v>1.38216015390737</v>
      </c>
      <c r="M192" s="36" t="str">
        <v>tengah</v>
      </c>
      <c r="N192" s="36" t="s">
        <v>218</v>
      </c>
      <c r="O192" s="36">
        <f>-(IFERROR(O189*LOG(O189,2),0)+IFERROR(O190*LOG(O190,2),0)+IFERROR(O191*LOG(O191,2),0))</f>
        <v>1.3391061868315</v>
      </c>
    </row>
    <row r="193" spans="9:15">
      <c r="I193" s="36" t="str">
        <v>tengah</v>
      </c>
      <c r="J193" s="36"/>
      <c r="K193" s="36">
        <f>SUM(J189:J191)/163</f>
        <v>0.576687116564417</v>
      </c>
      <c r="M193" s="36" t="str">
        <v>tengah</v>
      </c>
      <c r="N193" s="36"/>
      <c r="O193" s="36">
        <f>SUM(N189:N191)/163</f>
        <v>0.423312883435583</v>
      </c>
    </row>
    <row r="194" spans="9:15">
      <c r="I194" s="36" t="str">
        <v>tengah</v>
      </c>
      <c r="J194" s="36"/>
      <c r="K194" s="41">
        <f>K192*K193</f>
        <v>0.797073953787071</v>
      </c>
      <c r="M194" s="36" t="str">
        <v>kanan</v>
      </c>
      <c r="N194" s="36"/>
      <c r="O194" s="41">
        <f>O192*O193</f>
        <v>0.566860901174071</v>
      </c>
    </row>
    <row r="195" spans="9:15">
      <c r="I195" s="36" t="str">
        <v>tengah</v>
      </c>
      <c r="J195" s="36"/>
      <c r="K195" s="36"/>
      <c r="M195" s="36" t="str">
        <v>tengah</v>
      </c>
      <c r="N195" s="36"/>
      <c r="O195" s="36"/>
    </row>
    <row r="196" spans="9:15">
      <c r="I196" s="36" t="str">
        <v>tengah</v>
      </c>
      <c r="J196" s="36" t="s">
        <v>224</v>
      </c>
      <c r="K196" s="45" t="s">
        <v>218</v>
      </c>
      <c r="M196" s="36" t="str">
        <v>kanan</v>
      </c>
      <c r="N196" s="36" t="s">
        <v>224</v>
      </c>
      <c r="O196" s="36" t="s">
        <v>218</v>
      </c>
    </row>
    <row r="197" spans="9:15">
      <c r="I197" s="36" t="str">
        <v>tengah</v>
      </c>
      <c r="J197" s="46">
        <f>P5-(K176+K185+K194)</f>
        <v>0.00449145176453203</v>
      </c>
      <c r="K197" s="41">
        <f>(K176+K185+K194)</f>
        <v>1.38625852499385</v>
      </c>
      <c r="M197" s="36" t="str">
        <v>kanan</v>
      </c>
      <c r="N197" s="46">
        <f ca="1">P5-(O176+O185+O194)</f>
        <v>0</v>
      </c>
      <c r="O197" s="41">
        <f ca="1">(O176+O185+O194)</f>
        <v>0</v>
      </c>
    </row>
    <row r="198" spans="9:15">
      <c r="I198" s="36" t="str">
        <v>tengah</v>
      </c>
      <c r="J198" s="36"/>
      <c r="K198" s="36"/>
      <c r="M198" s="36" t="str">
        <v>tengah</v>
      </c>
      <c r="N198" s="36"/>
      <c r="O198" s="36"/>
    </row>
    <row r="199" spans="9:15">
      <c r="I199" s="36" t="str">
        <v>kiri</v>
      </c>
      <c r="J199" s="36"/>
      <c r="K199" s="36"/>
      <c r="M199" s="36" t="str">
        <v>kanan</v>
      </c>
      <c r="N199" s="36"/>
      <c r="O199" s="36"/>
    </row>
    <row r="200" spans="9:15">
      <c r="I200" s="36" t="str">
        <v>kiri</v>
      </c>
      <c r="J200" s="36"/>
      <c r="K200" s="36"/>
      <c r="M200" s="36" t="str">
        <v>kanan</v>
      </c>
      <c r="N200" s="36"/>
      <c r="O200" s="36"/>
    </row>
    <row r="201" spans="9:15">
      <c r="I201" s="36" t="str">
        <v>tengah</v>
      </c>
      <c r="J201" s="36"/>
      <c r="K201" s="36"/>
      <c r="M201" s="36" t="str">
        <v>kanan</v>
      </c>
      <c r="N201" s="36"/>
      <c r="O201" s="36"/>
    </row>
    <row r="202" spans="9:15">
      <c r="I202" s="36" t="str">
        <v>kiri</v>
      </c>
      <c r="J202" s="36"/>
      <c r="K202" s="36"/>
      <c r="M202" s="36" t="str">
        <v>tengah</v>
      </c>
      <c r="N202" s="36"/>
      <c r="O202" s="36"/>
    </row>
    <row r="203" spans="9:15">
      <c r="I203" s="36" t="str">
        <v>tengah</v>
      </c>
      <c r="J203" s="36"/>
      <c r="K203" s="36"/>
      <c r="M203" s="36" t="str">
        <v>kanan</v>
      </c>
      <c r="N203" s="36"/>
      <c r="O203" s="36"/>
    </row>
    <row r="204" spans="9:15">
      <c r="I204" s="36" t="str">
        <v>kiri</v>
      </c>
      <c r="J204" s="36"/>
      <c r="K204" s="36"/>
      <c r="M204" s="36" t="str">
        <v>kanan</v>
      </c>
      <c r="N204" s="36"/>
      <c r="O204" s="36"/>
    </row>
    <row r="205" spans="9:15">
      <c r="I205" s="36" t="str">
        <v>tengah</v>
      </c>
      <c r="J205" s="36"/>
      <c r="K205" s="36"/>
      <c r="M205" s="36" t="str">
        <v>tengah</v>
      </c>
      <c r="N205" s="36"/>
      <c r="O205" s="36"/>
    </row>
    <row r="206" spans="9:15">
      <c r="I206" s="36" t="str">
        <v>kiri</v>
      </c>
      <c r="J206" s="36"/>
      <c r="K206" s="36"/>
      <c r="M206" s="36" t="str">
        <v>kanan</v>
      </c>
      <c r="N206" s="36"/>
      <c r="O206" s="36"/>
    </row>
    <row r="207" spans="9:15">
      <c r="I207" s="36" t="str">
        <v>tengah</v>
      </c>
      <c r="J207" s="36"/>
      <c r="K207" s="36"/>
      <c r="M207" s="36" t="str">
        <v>tengah</v>
      </c>
      <c r="N207" s="36"/>
      <c r="O207" s="36"/>
    </row>
    <row r="208" spans="9:15">
      <c r="I208" s="36" t="str">
        <v>tengah</v>
      </c>
      <c r="J208" s="36"/>
      <c r="K208" s="36"/>
      <c r="M208" s="36" t="str">
        <v>tengah</v>
      </c>
      <c r="N208" s="36"/>
      <c r="O208" s="36"/>
    </row>
    <row r="209" spans="9:15">
      <c r="I209" s="36" t="str">
        <v>kanan</v>
      </c>
      <c r="J209" s="36"/>
      <c r="K209" s="36"/>
      <c r="M209" s="36" t="str">
        <v>tengah</v>
      </c>
      <c r="N209" s="36"/>
      <c r="O209" s="36"/>
    </row>
    <row r="210" spans="9:15">
      <c r="I210" s="36" t="str">
        <v>tengah</v>
      </c>
      <c r="J210" s="36"/>
      <c r="K210" s="36"/>
      <c r="M210" s="36" t="str">
        <v>tengah</v>
      </c>
      <c r="N210" s="36"/>
      <c r="O210" s="36"/>
    </row>
    <row r="211" spans="9:15">
      <c r="I211" s="36" t="str">
        <v>kiri</v>
      </c>
      <c r="J211" s="36"/>
      <c r="K211" s="36"/>
      <c r="M211" s="36" t="str">
        <v>tengah</v>
      </c>
      <c r="N211" s="36"/>
      <c r="O211" s="36"/>
    </row>
    <row r="212" spans="9:15">
      <c r="I212" s="36" t="str">
        <v>kiri</v>
      </c>
      <c r="J212" s="36"/>
      <c r="K212" s="36"/>
      <c r="M212" s="36" t="str">
        <v>kanan</v>
      </c>
      <c r="N212" s="36"/>
      <c r="O212" s="36"/>
    </row>
    <row r="213" spans="9:15">
      <c r="I213" s="36" t="str">
        <v>tengah</v>
      </c>
      <c r="J213" s="36"/>
      <c r="K213" s="36"/>
      <c r="M213" s="36" t="str">
        <v>kanan</v>
      </c>
      <c r="N213" s="36"/>
      <c r="O213" s="36"/>
    </row>
    <row r="214" spans="9:15">
      <c r="I214" s="36" t="str">
        <v>kanan</v>
      </c>
      <c r="J214" s="36"/>
      <c r="K214" s="36"/>
      <c r="M214" s="36" t="str">
        <v>kanan</v>
      </c>
      <c r="N214" s="36"/>
      <c r="O214" s="36"/>
    </row>
    <row r="215" spans="9:15">
      <c r="I215" s="36" t="str">
        <v>tengah</v>
      </c>
      <c r="J215" s="36"/>
      <c r="K215" s="36"/>
      <c r="M215" s="36" t="str">
        <v>tengah</v>
      </c>
      <c r="N215" s="36"/>
      <c r="O215" s="36"/>
    </row>
    <row r="216" spans="9:15">
      <c r="I216" s="36" t="str">
        <v>tengah</v>
      </c>
      <c r="J216" s="36"/>
      <c r="K216" s="36"/>
      <c r="M216" s="36" t="str">
        <v>kanan</v>
      </c>
      <c r="N216" s="36"/>
      <c r="O216" s="36"/>
    </row>
    <row r="217" spans="9:15">
      <c r="I217" s="36" t="str">
        <v>tengah</v>
      </c>
      <c r="J217" s="36"/>
      <c r="K217" s="36"/>
      <c r="M217" s="36" t="str">
        <v>kanan</v>
      </c>
      <c r="N217" s="36"/>
      <c r="O217" s="36"/>
    </row>
    <row r="218" spans="9:15">
      <c r="I218" s="36" t="str">
        <v>kiri</v>
      </c>
      <c r="J218" s="36"/>
      <c r="K218" s="36"/>
      <c r="M218" s="36" t="str">
        <v>kanan</v>
      </c>
      <c r="N218" s="36"/>
      <c r="O218" s="36"/>
    </row>
    <row r="219" spans="9:15">
      <c r="I219" s="36" t="str">
        <v>tengah</v>
      </c>
      <c r="J219" s="36"/>
      <c r="K219" s="36"/>
      <c r="M219" s="36" t="str">
        <v>kanan</v>
      </c>
      <c r="N219" s="36"/>
      <c r="O219" s="36"/>
    </row>
    <row r="220" spans="9:15">
      <c r="I220" s="36" t="str">
        <v>kiri</v>
      </c>
      <c r="J220" s="36"/>
      <c r="K220" s="36"/>
      <c r="M220" s="36" t="str">
        <v>kanan</v>
      </c>
      <c r="N220" s="36"/>
      <c r="O220" s="36"/>
    </row>
    <row r="221" spans="9:15">
      <c r="I221" s="36" t="str">
        <v>kiri</v>
      </c>
      <c r="J221" s="36"/>
      <c r="K221" s="36"/>
      <c r="M221" s="36" t="str">
        <v>kanan</v>
      </c>
      <c r="N221" s="36"/>
      <c r="O221" s="36"/>
    </row>
    <row r="222" spans="9:15">
      <c r="I222" s="36" t="str">
        <v>tengah</v>
      </c>
      <c r="J222" s="36"/>
      <c r="K222" s="36"/>
      <c r="M222" s="36" t="str">
        <v>tengah</v>
      </c>
      <c r="N222" s="36"/>
      <c r="O222" s="36"/>
    </row>
    <row r="223" spans="9:15">
      <c r="I223" s="36" t="str">
        <v>kanan</v>
      </c>
      <c r="J223" s="36"/>
      <c r="K223" s="36"/>
      <c r="M223" s="36" t="str">
        <v>kanan</v>
      </c>
      <c r="N223" s="36"/>
      <c r="O223" s="36"/>
    </row>
    <row r="224" spans="9:15">
      <c r="I224" s="36" t="str">
        <v>tengah</v>
      </c>
      <c r="J224" s="36"/>
      <c r="K224" s="36"/>
      <c r="M224" s="36" t="str">
        <v>kanan</v>
      </c>
      <c r="N224" s="36"/>
      <c r="O224" s="36"/>
    </row>
    <row r="225" spans="9:15">
      <c r="I225" s="36" t="str">
        <v>kiri</v>
      </c>
      <c r="J225" s="36"/>
      <c r="K225" s="36"/>
      <c r="M225" s="36" t="str">
        <v>kanan</v>
      </c>
      <c r="N225" s="36"/>
      <c r="O225" s="36"/>
    </row>
    <row r="226" spans="9:15">
      <c r="I226" s="36" t="str">
        <v>tengah</v>
      </c>
      <c r="J226" s="36"/>
      <c r="K226" s="36"/>
      <c r="M226" s="36" t="str">
        <v>tengah</v>
      </c>
      <c r="N226" s="36"/>
      <c r="O226" s="36"/>
    </row>
    <row r="227" spans="9:15">
      <c r="I227" s="36" t="str">
        <v>tengah</v>
      </c>
      <c r="J227" s="36"/>
      <c r="K227" s="36"/>
      <c r="M227" s="36" t="str">
        <v>kanan</v>
      </c>
      <c r="N227" s="36"/>
      <c r="O227" s="36"/>
    </row>
    <row r="228" spans="9:15">
      <c r="I228" s="36" t="str">
        <v>kiri</v>
      </c>
      <c r="J228" s="36"/>
      <c r="K228" s="36"/>
      <c r="M228" s="36" t="str">
        <v>kanan</v>
      </c>
      <c r="N228" s="36"/>
      <c r="O228" s="36"/>
    </row>
    <row r="229" spans="9:15">
      <c r="I229" s="36" t="str">
        <v>tengah</v>
      </c>
      <c r="J229" s="36"/>
      <c r="K229" s="36"/>
      <c r="M229" s="36" t="str">
        <v>kanan</v>
      </c>
      <c r="N229" s="36"/>
      <c r="O229" s="36"/>
    </row>
    <row r="230" spans="9:15">
      <c r="I230" s="36" t="str">
        <v>kanan</v>
      </c>
      <c r="J230" s="36"/>
      <c r="K230" s="36"/>
      <c r="M230" s="36" t="str">
        <v>tengah</v>
      </c>
      <c r="N230" s="36"/>
      <c r="O230" s="36"/>
    </row>
    <row r="231" spans="9:15">
      <c r="I231" s="36" t="str">
        <v>tengah</v>
      </c>
      <c r="J231" s="36"/>
      <c r="K231" s="36"/>
      <c r="M231" s="36" t="str">
        <v>kanan</v>
      </c>
      <c r="N231" s="36"/>
      <c r="O231" s="36"/>
    </row>
    <row r="232" spans="9:15">
      <c r="I232" s="36" t="str">
        <v>kanan</v>
      </c>
      <c r="J232" s="36"/>
      <c r="K232" s="36"/>
      <c r="M232" s="36" t="str">
        <v>kanan</v>
      </c>
      <c r="N232" s="36"/>
      <c r="O232" s="36"/>
    </row>
    <row r="233" spans="9:15">
      <c r="I233" s="36" t="str">
        <v>tengah</v>
      </c>
      <c r="J233" s="36"/>
      <c r="K233" s="36"/>
      <c r="M233" s="36" t="str">
        <v>tengah</v>
      </c>
      <c r="N233" s="36"/>
      <c r="O233" s="36"/>
    </row>
    <row r="234" spans="9:15">
      <c r="I234" s="36" t="str">
        <v>tengah</v>
      </c>
      <c r="J234" s="36"/>
      <c r="K234" s="36"/>
      <c r="M234" s="36" t="str">
        <v>kanan</v>
      </c>
      <c r="N234" s="36"/>
      <c r="O234" s="36"/>
    </row>
    <row r="235" spans="9:15">
      <c r="I235" s="36" t="str">
        <v>kanan</v>
      </c>
      <c r="J235" s="36"/>
      <c r="K235" s="36"/>
      <c r="M235" s="36" t="str">
        <v>tengah</v>
      </c>
      <c r="N235" s="36"/>
      <c r="O235" s="36"/>
    </row>
    <row r="236" spans="9:15">
      <c r="I236" s="36" t="str">
        <v>tengah</v>
      </c>
      <c r="J236" s="36"/>
      <c r="K236" s="36"/>
      <c r="M236" s="36" t="str">
        <v>tengah</v>
      </c>
      <c r="N236" s="36"/>
      <c r="O236" s="36"/>
    </row>
    <row r="237" spans="9:15">
      <c r="I237" s="36" t="str">
        <v>kiri</v>
      </c>
      <c r="J237" s="36"/>
      <c r="K237" s="36"/>
      <c r="M237" s="36" t="str">
        <v>kanan</v>
      </c>
      <c r="N237" s="36"/>
      <c r="O237" s="36"/>
    </row>
    <row r="238" spans="9:15">
      <c r="I238" s="36" t="str">
        <v>kiri</v>
      </c>
      <c r="J238" s="36"/>
      <c r="K238" s="36"/>
      <c r="M238" s="36" t="str">
        <v>tengah</v>
      </c>
      <c r="N238" s="36"/>
      <c r="O238" s="36"/>
    </row>
    <row r="239" spans="9:15">
      <c r="I239" s="36" t="str">
        <v>tengah</v>
      </c>
      <c r="J239" s="36"/>
      <c r="K239" s="36"/>
      <c r="M239" s="36" t="str">
        <v>kanan</v>
      </c>
      <c r="N239" s="36"/>
      <c r="O239" s="36"/>
    </row>
    <row r="240" spans="9:15">
      <c r="I240" s="36" t="str">
        <v>kiri</v>
      </c>
      <c r="J240" s="36"/>
      <c r="K240" s="36"/>
      <c r="M240" s="36" t="str">
        <v>tengah</v>
      </c>
      <c r="N240" s="36"/>
      <c r="O240" s="36"/>
    </row>
    <row r="241" spans="9:15">
      <c r="I241" s="36" t="str">
        <v>tengah</v>
      </c>
      <c r="J241" s="36"/>
      <c r="K241" s="36"/>
      <c r="M241" s="36" t="str">
        <v>tengah</v>
      </c>
      <c r="N241" s="36"/>
      <c r="O241" s="36"/>
    </row>
    <row r="242" spans="9:15">
      <c r="I242" s="36" t="str">
        <v>kiri</v>
      </c>
      <c r="J242" s="36"/>
      <c r="K242" s="36"/>
      <c r="M242" s="36" t="str">
        <v>kanan</v>
      </c>
      <c r="N242" s="36"/>
      <c r="O242" s="36"/>
    </row>
    <row r="243" spans="9:15">
      <c r="I243" s="36" t="str">
        <v>kiri</v>
      </c>
      <c r="J243" s="36"/>
      <c r="K243" s="36"/>
      <c r="M243" s="36" t="str">
        <v>kanan</v>
      </c>
      <c r="N243" s="36"/>
      <c r="O243" s="36"/>
    </row>
    <row r="244" spans="9:15">
      <c r="I244" s="36" t="str">
        <v>kiri</v>
      </c>
      <c r="J244" s="36"/>
      <c r="K244" s="36"/>
      <c r="M244" s="36" t="str">
        <v>kanan</v>
      </c>
      <c r="N244" s="36"/>
      <c r="O244" s="36"/>
    </row>
    <row r="245" spans="9:15">
      <c r="I245" s="36" t="str">
        <v>kanan</v>
      </c>
      <c r="J245" s="36"/>
      <c r="K245" s="36"/>
      <c r="M245" s="36" t="str">
        <v>kanan</v>
      </c>
      <c r="N245" s="36"/>
      <c r="O245" s="36"/>
    </row>
    <row r="246" spans="9:15">
      <c r="I246" s="36" t="str">
        <v>tengah</v>
      </c>
      <c r="J246" s="36"/>
      <c r="K246" s="36"/>
      <c r="M246" s="36" t="str">
        <v>kanan</v>
      </c>
      <c r="N246" s="36"/>
      <c r="O246" s="36"/>
    </row>
    <row r="247" spans="9:15">
      <c r="I247" s="36" t="str">
        <v>kanan</v>
      </c>
      <c r="J247" s="36"/>
      <c r="K247" s="36"/>
      <c r="M247" s="36" t="str">
        <v>kanan</v>
      </c>
      <c r="N247" s="36"/>
      <c r="O247" s="36"/>
    </row>
    <row r="248" spans="9:15">
      <c r="I248" s="36" t="str">
        <v>tengah</v>
      </c>
      <c r="J248" s="36"/>
      <c r="K248" s="36"/>
      <c r="M248" s="36" t="str">
        <v>kanan</v>
      </c>
      <c r="N248" s="36"/>
      <c r="O248" s="36"/>
    </row>
    <row r="249" spans="9:15">
      <c r="I249" s="36" t="str">
        <v>tengah</v>
      </c>
      <c r="J249" s="36"/>
      <c r="K249" s="36"/>
      <c r="M249" s="36" t="str">
        <v>tengah</v>
      </c>
      <c r="N249" s="36"/>
      <c r="O249" s="36"/>
    </row>
    <row r="250" spans="9:15">
      <c r="I250" s="36" t="str">
        <v>tengah</v>
      </c>
      <c r="J250" s="36"/>
      <c r="K250" s="36"/>
      <c r="M250" s="36" t="str">
        <v>kanan</v>
      </c>
      <c r="N250" s="36"/>
      <c r="O250" s="36"/>
    </row>
    <row r="251" spans="9:15">
      <c r="I251" s="36" t="str">
        <v>kanan</v>
      </c>
      <c r="J251" s="36"/>
      <c r="K251" s="36"/>
      <c r="M251" s="36" t="str">
        <v>kanan</v>
      </c>
      <c r="N251" s="36"/>
      <c r="O251" s="36"/>
    </row>
    <row r="252" spans="9:15">
      <c r="I252" s="36" t="str">
        <v>tengah</v>
      </c>
      <c r="J252" s="36"/>
      <c r="K252" s="36"/>
      <c r="M252" s="36" t="str">
        <v>kanan</v>
      </c>
      <c r="N252" s="36"/>
      <c r="O252" s="36"/>
    </row>
    <row r="253" spans="9:15">
      <c r="I253" s="36" t="str">
        <v>kanan</v>
      </c>
      <c r="J253" s="36"/>
      <c r="K253" s="36"/>
      <c r="M253" s="36" t="str">
        <v>kanan</v>
      </c>
      <c r="N253" s="36"/>
      <c r="O253" s="36"/>
    </row>
    <row r="254" spans="9:15">
      <c r="I254" s="36" t="str">
        <v>kiri</v>
      </c>
      <c r="J254" s="36"/>
      <c r="K254" s="36"/>
      <c r="M254" s="36" t="str">
        <v>tengah</v>
      </c>
      <c r="N254" s="36"/>
      <c r="O254" s="36"/>
    </row>
    <row r="255" spans="9:15">
      <c r="I255" s="36" t="str">
        <v>kanan</v>
      </c>
      <c r="J255" s="36"/>
      <c r="K255" s="36"/>
      <c r="M255" s="36" t="str">
        <v>kanan</v>
      </c>
      <c r="N255" s="36"/>
      <c r="O255" s="36"/>
    </row>
    <row r="256" spans="9:15">
      <c r="I256" s="36" t="str">
        <v>tengah</v>
      </c>
      <c r="J256" s="36"/>
      <c r="K256" s="36"/>
      <c r="M256" s="36" t="str">
        <v>tengah</v>
      </c>
      <c r="N256" s="36"/>
      <c r="O256" s="36"/>
    </row>
    <row r="257" spans="9:15">
      <c r="I257" s="36" t="str">
        <v>tengah</v>
      </c>
      <c r="J257" s="36"/>
      <c r="K257" s="36"/>
      <c r="M257" s="36" t="str">
        <v>tengah</v>
      </c>
      <c r="N257" s="36"/>
      <c r="O257" s="36"/>
    </row>
    <row r="258" spans="9:15">
      <c r="I258" s="36" t="str">
        <v>kiri</v>
      </c>
      <c r="J258" s="36"/>
      <c r="K258" s="36"/>
      <c r="M258" s="36" t="str">
        <v>kanan</v>
      </c>
      <c r="N258" s="36"/>
      <c r="O258" s="36"/>
    </row>
    <row r="259" spans="9:15">
      <c r="I259" s="36" t="str">
        <v>kiri</v>
      </c>
      <c r="J259" s="36"/>
      <c r="K259" s="36"/>
      <c r="M259" s="36" t="str">
        <v>tengah</v>
      </c>
      <c r="N259" s="36"/>
      <c r="O259" s="36"/>
    </row>
    <row r="260" spans="9:15">
      <c r="I260" s="36" t="str">
        <v>kiri</v>
      </c>
      <c r="J260" s="36"/>
      <c r="K260" s="36"/>
      <c r="M260" s="36" t="str">
        <v>tengah</v>
      </c>
      <c r="N260" s="36"/>
      <c r="O260" s="36"/>
    </row>
    <row r="261" spans="9:15">
      <c r="I261" s="36" t="str">
        <v>tengah</v>
      </c>
      <c r="J261" s="36"/>
      <c r="K261" s="36"/>
      <c r="M261" s="36" t="str">
        <v>tengah</v>
      </c>
      <c r="N261" s="36"/>
      <c r="O261" s="36"/>
    </row>
    <row r="262" spans="9:15">
      <c r="I262" s="36" t="str">
        <v>tengah</v>
      </c>
      <c r="J262" s="36"/>
      <c r="K262" s="36"/>
      <c r="M262" s="36" t="str">
        <v>kanan</v>
      </c>
      <c r="N262" s="36"/>
      <c r="O262" s="36"/>
    </row>
    <row r="263" spans="9:15">
      <c r="I263" s="36" t="str">
        <v>tengah</v>
      </c>
      <c r="J263" s="36"/>
      <c r="K263" s="36"/>
      <c r="M263" s="36" t="str">
        <v>kanan</v>
      </c>
      <c r="N263" s="36"/>
      <c r="O263" s="36"/>
    </row>
    <row r="264" spans="9:15">
      <c r="I264" s="36" t="str">
        <v>tengah</v>
      </c>
      <c r="J264" s="36"/>
      <c r="K264" s="36"/>
      <c r="M264" s="36" t="str">
        <v>kanan</v>
      </c>
      <c r="N264" s="36"/>
      <c r="O264" s="36"/>
    </row>
    <row r="265" spans="9:15">
      <c r="I265" s="36" t="str">
        <v>kiri</v>
      </c>
      <c r="J265" s="36"/>
      <c r="K265" s="36"/>
      <c r="M265" s="36" t="str">
        <v>tengah</v>
      </c>
      <c r="N265" s="36"/>
      <c r="O265" s="36"/>
    </row>
    <row r="266" spans="9:15">
      <c r="I266" s="36" t="str">
        <v>kanan</v>
      </c>
      <c r="J266" s="36"/>
      <c r="K266" s="36"/>
      <c r="M266" s="36" t="str">
        <v>kanan</v>
      </c>
      <c r="N266" s="36"/>
      <c r="O266" s="36"/>
    </row>
    <row r="267" spans="9:15">
      <c r="I267" s="36" t="str">
        <v>tengah</v>
      </c>
      <c r="J267" s="36"/>
      <c r="K267" s="36"/>
      <c r="M267" s="36" t="str">
        <v>kanan</v>
      </c>
      <c r="N267" s="36"/>
      <c r="O267" s="36"/>
    </row>
    <row r="268" spans="9:15">
      <c r="I268" s="36" t="str">
        <v>tengah</v>
      </c>
      <c r="J268" s="36"/>
      <c r="K268" s="36"/>
      <c r="M268" s="36" t="str">
        <v>tengah</v>
      </c>
      <c r="N268" s="36"/>
      <c r="O268" s="36"/>
    </row>
    <row r="269" spans="9:15">
      <c r="I269" s="36" t="str">
        <v>tengah</v>
      </c>
      <c r="J269" s="36"/>
      <c r="K269" s="36"/>
      <c r="M269" s="36" t="str">
        <v>kanan</v>
      </c>
      <c r="N269" s="36"/>
      <c r="O269" s="36"/>
    </row>
    <row r="270" spans="9:15">
      <c r="I270" s="36" t="str">
        <v>tengah</v>
      </c>
      <c r="J270" s="36"/>
      <c r="K270" s="36"/>
      <c r="M270" s="36" t="str">
        <v>kanan</v>
      </c>
      <c r="N270" s="36"/>
      <c r="O270" s="36"/>
    </row>
    <row r="271" spans="9:15">
      <c r="I271" s="36" t="str">
        <v>tengah</v>
      </c>
      <c r="J271" s="36"/>
      <c r="K271" s="36"/>
      <c r="M271" s="36" t="str">
        <v>kanan</v>
      </c>
      <c r="N271" s="36"/>
      <c r="O271" s="36"/>
    </row>
    <row r="272" spans="9:15">
      <c r="I272" s="36" t="str">
        <v>tengah</v>
      </c>
      <c r="J272" s="36"/>
      <c r="K272" s="36"/>
      <c r="M272" s="36" t="str">
        <v>tengah</v>
      </c>
      <c r="N272" s="36"/>
      <c r="O272" s="36"/>
    </row>
    <row r="273" spans="9:15">
      <c r="I273" s="36" t="str">
        <v>tengah</v>
      </c>
      <c r="J273" s="36"/>
      <c r="K273" s="36"/>
      <c r="M273" s="36" t="str">
        <v>kanan</v>
      </c>
      <c r="N273" s="36"/>
      <c r="O273" s="36"/>
    </row>
    <row r="274" spans="9:15">
      <c r="I274" s="36" t="str">
        <v>kiri</v>
      </c>
      <c r="J274" s="36"/>
      <c r="K274" s="36"/>
      <c r="M274" s="36" t="str">
        <v>kanan</v>
      </c>
      <c r="N274" s="36"/>
      <c r="O274" s="36"/>
    </row>
    <row r="275" spans="9:15">
      <c r="I275" s="36" t="str">
        <v>kiri</v>
      </c>
      <c r="J275" s="36"/>
      <c r="K275" s="36"/>
      <c r="M275" s="36" t="str">
        <v>tengah</v>
      </c>
      <c r="N275" s="36"/>
      <c r="O275" s="36"/>
    </row>
    <row r="276" spans="9:15">
      <c r="I276" s="36" t="str">
        <v>kiri</v>
      </c>
      <c r="J276" s="36"/>
      <c r="K276" s="36"/>
      <c r="M276" s="36" t="str">
        <v>kanan</v>
      </c>
      <c r="N276" s="36"/>
      <c r="O276" s="36"/>
    </row>
    <row r="277" spans="9:15">
      <c r="I277" s="36" t="str">
        <v>tengah</v>
      </c>
      <c r="J277" s="36"/>
      <c r="K277" s="36"/>
      <c r="M277" s="36" t="str">
        <v>kanan</v>
      </c>
      <c r="N277" s="36"/>
      <c r="O277" s="36"/>
    </row>
    <row r="278" spans="9:15">
      <c r="I278" s="36" t="str">
        <v>tengah</v>
      </c>
      <c r="J278" s="36"/>
      <c r="K278" s="36"/>
      <c r="M278" s="36" t="str">
        <v>tengah</v>
      </c>
      <c r="N278" s="36"/>
      <c r="O278" s="36"/>
    </row>
    <row r="279" spans="9:15">
      <c r="I279" s="36" t="str">
        <v>tengah</v>
      </c>
      <c r="J279" s="36"/>
      <c r="K279" s="36"/>
      <c r="M279" s="36" t="str">
        <v>kanan</v>
      </c>
      <c r="N279" s="36"/>
      <c r="O279" s="36"/>
    </row>
    <row r="280" spans="9:15">
      <c r="I280" s="36" t="str">
        <v>tengah</v>
      </c>
      <c r="J280" s="36"/>
      <c r="K280" s="36"/>
      <c r="M280" s="36" t="str">
        <v>tengah</v>
      </c>
      <c r="N280" s="36"/>
      <c r="O280" s="36"/>
    </row>
    <row r="281" spans="9:15">
      <c r="I281" s="36" t="str">
        <v>tengah</v>
      </c>
      <c r="J281" s="36"/>
      <c r="K281" s="36"/>
      <c r="M281" s="36" t="str">
        <v>kanan</v>
      </c>
      <c r="N281" s="36"/>
      <c r="O281" s="36"/>
    </row>
    <row r="282" spans="9:15">
      <c r="I282" s="36" t="str">
        <v>tengah</v>
      </c>
      <c r="J282" s="36"/>
      <c r="K282" s="36"/>
      <c r="M282" s="36" t="str">
        <v>kanan</v>
      </c>
      <c r="N282" s="36"/>
      <c r="O282" s="36"/>
    </row>
    <row r="283" spans="9:15">
      <c r="I283" s="36" t="str">
        <v>tengah</v>
      </c>
      <c r="J283" s="36"/>
      <c r="K283" s="36"/>
      <c r="M283" s="36" t="str">
        <v>kanan</v>
      </c>
      <c r="N283" s="36"/>
      <c r="O283" s="36"/>
    </row>
    <row r="284" spans="9:15">
      <c r="I284" s="36" t="str">
        <v>kanan</v>
      </c>
      <c r="J284" s="36"/>
      <c r="K284" s="36"/>
      <c r="M284" s="36" t="str">
        <v>kanan</v>
      </c>
      <c r="N284" s="36"/>
      <c r="O284" s="36"/>
    </row>
    <row r="285" spans="9:15">
      <c r="I285" s="36" t="str">
        <v>tengah</v>
      </c>
      <c r="J285" s="36"/>
      <c r="K285" s="36"/>
      <c r="M285" s="36" t="str">
        <v>kanan</v>
      </c>
      <c r="N285" s="36"/>
      <c r="O285" s="36"/>
    </row>
    <row r="286" spans="9:15">
      <c r="I286" s="36" t="str">
        <v>tengah</v>
      </c>
      <c r="J286" s="36"/>
      <c r="K286" s="36"/>
      <c r="M286" s="36" t="str">
        <v>kanan</v>
      </c>
      <c r="N286" s="36"/>
      <c r="O286" s="36"/>
    </row>
    <row r="287" spans="9:15">
      <c r="I287" s="36" t="str">
        <v>kanan</v>
      </c>
      <c r="J287" s="36"/>
      <c r="K287" s="36"/>
      <c r="M287" s="36" t="str">
        <v>tengah</v>
      </c>
      <c r="N287" s="36"/>
      <c r="O287" s="36"/>
    </row>
    <row r="288" spans="9:15">
      <c r="I288" s="36" t="str">
        <v>kanan</v>
      </c>
      <c r="J288" s="36"/>
      <c r="K288" s="36"/>
      <c r="M288" s="36" t="str">
        <v>tengah</v>
      </c>
      <c r="N288" s="36"/>
      <c r="O288" s="36"/>
    </row>
    <row r="289" spans="9:15">
      <c r="I289" s="36" t="str">
        <v>tengah</v>
      </c>
      <c r="J289" s="36"/>
      <c r="K289" s="36"/>
      <c r="M289" s="36" t="str">
        <v>kanan</v>
      </c>
      <c r="N289" s="36"/>
      <c r="O289" s="36"/>
    </row>
    <row r="290" spans="9:15">
      <c r="I290" s="36" t="str">
        <v>tengah</v>
      </c>
      <c r="J290" s="36"/>
      <c r="K290" s="36"/>
      <c r="M290" s="36" t="str">
        <v>kanan</v>
      </c>
      <c r="N290" s="36"/>
      <c r="O290" s="36"/>
    </row>
    <row r="291" spans="9:15">
      <c r="I291" s="36" t="str">
        <v>tengah</v>
      </c>
      <c r="J291" s="36"/>
      <c r="K291" s="36"/>
      <c r="M291" s="36" t="str">
        <v>tengah</v>
      </c>
      <c r="N291" s="36"/>
      <c r="O291" s="36"/>
    </row>
    <row r="292" spans="9:15">
      <c r="I292" s="36" t="str">
        <v>kanan</v>
      </c>
      <c r="J292" s="36"/>
      <c r="K292" s="36"/>
      <c r="M292" s="36" t="str">
        <v>kanan</v>
      </c>
      <c r="N292" s="36"/>
      <c r="O292" s="36"/>
    </row>
    <row r="293" spans="9:15">
      <c r="I293" s="36" t="str">
        <v>tengah</v>
      </c>
      <c r="J293" s="36"/>
      <c r="K293" s="36"/>
      <c r="M293" s="36" t="str">
        <v>kanan</v>
      </c>
      <c r="N293" s="36"/>
      <c r="O293" s="36"/>
    </row>
    <row r="294" spans="9:15">
      <c r="I294" s="36" t="str">
        <v>tengah</v>
      </c>
      <c r="J294" s="36"/>
      <c r="K294" s="36"/>
      <c r="M294" s="36" t="str">
        <v>tengah</v>
      </c>
      <c r="N294" s="36"/>
      <c r="O294" s="36"/>
    </row>
    <row r="295" spans="9:15">
      <c r="I295" s="36" t="str">
        <v>tengah</v>
      </c>
      <c r="J295" s="36"/>
      <c r="K295" s="36"/>
      <c r="M295" s="36" t="str">
        <v>kanan</v>
      </c>
      <c r="N295" s="36"/>
      <c r="O295" s="36"/>
    </row>
    <row r="296" spans="9:15">
      <c r="I296" s="36" t="str">
        <v>tengah</v>
      </c>
      <c r="J296" s="36"/>
      <c r="K296" s="36"/>
      <c r="M296" s="36" t="str">
        <v>kanan</v>
      </c>
      <c r="N296" s="36"/>
      <c r="O296" s="36"/>
    </row>
    <row r="297" spans="9:15">
      <c r="I297" s="36" t="str">
        <v>tengah</v>
      </c>
      <c r="J297" s="36"/>
      <c r="K297" s="36"/>
      <c r="M297" s="36" t="str">
        <v>kanan</v>
      </c>
      <c r="N297" s="36"/>
      <c r="O297" s="36"/>
    </row>
    <row r="298" spans="9:15">
      <c r="I298" s="36" t="str">
        <v>kiri</v>
      </c>
      <c r="J298" s="36"/>
      <c r="K298" s="36"/>
      <c r="M298" s="36" t="str">
        <v>tengah</v>
      </c>
      <c r="N298" s="36"/>
      <c r="O298" s="36"/>
    </row>
    <row r="299" spans="9:15">
      <c r="I299" s="36" t="str">
        <v>kiri</v>
      </c>
      <c r="J299" s="36"/>
      <c r="K299" s="36"/>
      <c r="M299" s="36" t="str">
        <v>tengah</v>
      </c>
      <c r="N299" s="36"/>
      <c r="O299" s="36"/>
    </row>
    <row r="300" spans="9:15">
      <c r="I300" s="36" t="str">
        <v>tengah</v>
      </c>
      <c r="J300" s="36"/>
      <c r="K300" s="36"/>
      <c r="M300" s="36" t="str">
        <v>kanan</v>
      </c>
      <c r="N300" s="36"/>
      <c r="O300" s="36"/>
    </row>
    <row r="301" spans="9:15">
      <c r="I301" s="36" t="str">
        <v>tengah</v>
      </c>
      <c r="J301" s="36"/>
      <c r="K301" s="36"/>
      <c r="M301" s="36" t="str">
        <v>kanan</v>
      </c>
      <c r="N301" s="36"/>
      <c r="O301" s="36"/>
    </row>
    <row r="302" spans="9:15">
      <c r="I302" s="36" t="str">
        <v>kiri</v>
      </c>
      <c r="J302" s="36"/>
      <c r="K302" s="36"/>
      <c r="M302" s="36" t="str">
        <v>tengah</v>
      </c>
      <c r="N302" s="36"/>
      <c r="O302" s="36"/>
    </row>
    <row r="303" spans="9:15">
      <c r="I303" s="36" t="str">
        <v>tengah</v>
      </c>
      <c r="J303" s="36"/>
      <c r="K303" s="36"/>
      <c r="M303" s="36" t="str">
        <v>tengah</v>
      </c>
      <c r="N303" s="36"/>
      <c r="O303" s="36"/>
    </row>
    <row r="304" spans="9:15">
      <c r="I304" s="36" t="str">
        <v>kiri</v>
      </c>
      <c r="J304" s="36"/>
      <c r="K304" s="36"/>
      <c r="M304" s="36" t="str">
        <v>tengah</v>
      </c>
      <c r="N304" s="36"/>
      <c r="O304" s="36"/>
    </row>
    <row r="305" spans="9:15">
      <c r="I305" s="36" t="str">
        <v>kiri</v>
      </c>
      <c r="J305" s="36"/>
      <c r="K305" s="36"/>
      <c r="M305" s="36" t="str">
        <v>kanan</v>
      </c>
      <c r="N305" s="36"/>
      <c r="O305" s="36"/>
    </row>
    <row r="306" spans="9:15">
      <c r="I306" s="36" t="str">
        <v>tengah</v>
      </c>
      <c r="J306" s="36"/>
      <c r="K306" s="36"/>
      <c r="M306" s="36" t="str">
        <v>kanan</v>
      </c>
      <c r="N306" s="36"/>
      <c r="O306" s="36"/>
    </row>
    <row r="307" spans="9:15">
      <c r="I307" s="36" t="str">
        <v>tengah</v>
      </c>
      <c r="J307" s="36"/>
      <c r="K307" s="36"/>
      <c r="M307" s="36" t="str">
        <v>kanan</v>
      </c>
      <c r="N307" s="36"/>
      <c r="O307" s="36"/>
    </row>
    <row r="308" spans="9:15">
      <c r="I308" s="36" t="str">
        <v>tengah</v>
      </c>
      <c r="J308" s="36"/>
      <c r="K308" s="36"/>
      <c r="M308" s="36" t="str">
        <v>kanan</v>
      </c>
      <c r="N308" s="36"/>
      <c r="O308" s="36"/>
    </row>
    <row r="309" spans="9:15">
      <c r="I309" s="36" t="str">
        <v>kiri</v>
      </c>
      <c r="J309" s="36"/>
      <c r="K309" s="36"/>
      <c r="M309" s="36" t="str">
        <v>kanan</v>
      </c>
      <c r="N309" s="36"/>
      <c r="O309" s="36"/>
    </row>
    <row r="310" spans="9:15">
      <c r="I310" s="36" t="str">
        <v>kanan</v>
      </c>
      <c r="J310" s="36"/>
      <c r="K310" s="36"/>
      <c r="M310" s="36" t="str">
        <v>tengah</v>
      </c>
      <c r="N310" s="36"/>
      <c r="O310" s="36"/>
    </row>
    <row r="311" spans="9:15">
      <c r="I311" s="36" t="str">
        <v>tengah</v>
      </c>
      <c r="J311" s="36"/>
      <c r="K311" s="36"/>
      <c r="M311" s="36" t="str">
        <v>tengah</v>
      </c>
      <c r="N311" s="36"/>
      <c r="O311" s="36"/>
    </row>
    <row r="312" spans="9:15">
      <c r="I312" s="36" t="str">
        <v>tengah</v>
      </c>
      <c r="J312" s="36"/>
      <c r="K312" s="36"/>
      <c r="M312" s="36" t="str">
        <v>tengah</v>
      </c>
      <c r="N312" s="36"/>
      <c r="O312" s="36"/>
    </row>
    <row r="313" spans="9:15">
      <c r="I313" s="36" t="str">
        <v>tengah</v>
      </c>
      <c r="J313" s="36"/>
      <c r="K313" s="36"/>
      <c r="M313" s="36" t="str">
        <v>kanan</v>
      </c>
      <c r="N313" s="36"/>
      <c r="O313" s="36"/>
    </row>
    <row r="314" spans="9:15">
      <c r="I314" s="36" t="str">
        <v>kiri</v>
      </c>
      <c r="J314" s="36"/>
      <c r="K314" s="36"/>
      <c r="M314" s="36" t="str">
        <v>tengah</v>
      </c>
      <c r="N314" s="36"/>
      <c r="O314" s="36"/>
    </row>
    <row r="315" spans="9:15">
      <c r="I315" s="36" t="str">
        <v>tengah</v>
      </c>
      <c r="J315" s="36"/>
      <c r="K315" s="36"/>
      <c r="M315" s="36" t="str">
        <v>kanan</v>
      </c>
      <c r="N315" s="36"/>
      <c r="O315" s="36"/>
    </row>
    <row r="316" spans="9:15">
      <c r="I316" s="36" t="str">
        <v>kiri</v>
      </c>
      <c r="J316" s="36"/>
      <c r="K316" s="36"/>
      <c r="M316" s="36" t="str">
        <v>kanan</v>
      </c>
      <c r="N316" s="36"/>
      <c r="O316" s="36"/>
    </row>
    <row r="317" spans="9:15">
      <c r="I317" s="36" t="str">
        <v>tengah</v>
      </c>
      <c r="J317" s="36"/>
      <c r="K317" s="36"/>
      <c r="M317" s="36" t="str">
        <v>kanan</v>
      </c>
      <c r="N317" s="36"/>
      <c r="O317" s="36"/>
    </row>
    <row r="318" spans="9:15">
      <c r="I318" s="36" t="str">
        <v>kanan</v>
      </c>
      <c r="J318" s="36"/>
      <c r="K318" s="36"/>
      <c r="M318" s="36" t="str">
        <v>tengah</v>
      </c>
      <c r="N318" s="36"/>
      <c r="O318" s="36"/>
    </row>
    <row r="319" spans="9:15">
      <c r="I319" s="36" t="str">
        <v>tengah</v>
      </c>
      <c r="J319" s="36"/>
      <c r="K319" s="36"/>
      <c r="M319" s="36" t="str">
        <v>tengah</v>
      </c>
      <c r="N319" s="36"/>
      <c r="O319" s="36"/>
    </row>
    <row r="320" spans="9:15">
      <c r="I320" s="36" t="str">
        <v>kiri</v>
      </c>
      <c r="J320" s="36"/>
      <c r="K320" s="36"/>
      <c r="M320" s="36" t="str">
        <v>kanan</v>
      </c>
      <c r="N320" s="36"/>
      <c r="O320" s="36"/>
    </row>
    <row r="321" spans="9:15">
      <c r="I321" s="36" t="str">
        <v>kanan</v>
      </c>
      <c r="J321" s="36"/>
      <c r="K321" s="36"/>
      <c r="M321" s="36" t="str">
        <v>kanan</v>
      </c>
      <c r="N321" s="36"/>
      <c r="O321" s="36"/>
    </row>
    <row r="322" spans="9:15">
      <c r="I322" s="36" t="str">
        <v>kanan</v>
      </c>
      <c r="J322" s="36"/>
      <c r="K322" s="36"/>
      <c r="M322" s="36" t="str">
        <v>tengah</v>
      </c>
      <c r="N322" s="36"/>
      <c r="O322" s="36"/>
    </row>
    <row r="323" spans="9:15">
      <c r="I323" s="36" t="str">
        <v>kiri</v>
      </c>
      <c r="J323" s="36"/>
      <c r="K323" s="36"/>
      <c r="M323" s="36" t="str">
        <v>tengah</v>
      </c>
      <c r="N323" s="36"/>
      <c r="O323" s="36"/>
    </row>
    <row r="324" spans="9:15">
      <c r="I324" s="36" t="str">
        <v>tengah</v>
      </c>
      <c r="J324" s="36"/>
      <c r="K324" s="36"/>
      <c r="M324" s="36" t="str">
        <v>kanan</v>
      </c>
      <c r="N324" s="36"/>
      <c r="O324" s="36"/>
    </row>
    <row r="325" spans="9:15">
      <c r="I325" s="36" t="str">
        <v>kanan</v>
      </c>
      <c r="J325" s="36"/>
      <c r="K325" s="36"/>
      <c r="M325" s="36" t="str">
        <v>tengah</v>
      </c>
      <c r="N325" s="36"/>
      <c r="O325" s="36"/>
    </row>
    <row r="326" spans="9:15">
      <c r="I326" s="36" t="str">
        <v>tengah</v>
      </c>
      <c r="J326" s="36"/>
      <c r="K326" s="36"/>
      <c r="M326" s="36" t="str">
        <v>tengah</v>
      </c>
      <c r="N326" s="36"/>
      <c r="O326" s="36"/>
    </row>
    <row r="327" spans="9:15">
      <c r="I327" s="36" t="str">
        <v>tengah</v>
      </c>
      <c r="J327" s="36"/>
      <c r="K327" s="36"/>
      <c r="M327" s="36" t="str">
        <v>tengah</v>
      </c>
      <c r="N327" s="36"/>
      <c r="O327" s="36"/>
    </row>
    <row r="328" spans="9:15">
      <c r="I328" s="36" t="str">
        <v>kanan</v>
      </c>
      <c r="J328" s="36"/>
      <c r="K328" s="36"/>
      <c r="M328" s="36" t="str">
        <v>kanan</v>
      </c>
      <c r="N328" s="36"/>
      <c r="O328" s="36"/>
    </row>
    <row r="329" spans="9:15">
      <c r="I329" s="36" t="str">
        <v>tengah</v>
      </c>
      <c r="J329" s="36"/>
      <c r="K329" s="36"/>
      <c r="M329" s="36" t="str">
        <v>tengah</v>
      </c>
      <c r="N329" s="36"/>
      <c r="O329" s="36"/>
    </row>
    <row r="330" spans="9:15">
      <c r="I330" s="36" t="str">
        <v>tengah</v>
      </c>
      <c r="J330" s="36"/>
      <c r="K330" s="36"/>
      <c r="M330" s="36" t="str">
        <v>kanan</v>
      </c>
      <c r="N330" s="36"/>
      <c r="O330" s="36"/>
    </row>
    <row r="331" spans="9:15">
      <c r="I331" s="36" t="str">
        <v>tengah</v>
      </c>
      <c r="J331" s="36"/>
      <c r="K331" s="36"/>
      <c r="M331" s="36" t="str">
        <v>kanan</v>
      </c>
      <c r="N331" s="36"/>
      <c r="O331" s="36"/>
    </row>
    <row r="332" spans="9:15">
      <c r="I332" s="36" t="str">
        <v>tengah</v>
      </c>
      <c r="J332" s="36"/>
      <c r="K332" s="36"/>
      <c r="M332" s="36" t="str">
        <v>kanan</v>
      </c>
      <c r="N332" s="36"/>
      <c r="O332" s="36"/>
    </row>
  </sheetData>
  <pageMargins left="0.7" right="0.7" top="0.75" bottom="0.75" header="0.3" footer="0.3"/>
  <headerFooter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32"/>
  <sheetViews>
    <sheetView zoomScale="95" zoomScaleNormal="95" topLeftCell="A187" workbookViewId="0">
      <selection activeCell="G197" sqref="G197"/>
    </sheetView>
  </sheetViews>
  <sheetFormatPr defaultColWidth="9" defaultRowHeight="15"/>
  <cols>
    <col min="2" max="2" width="13.2814814814815" customWidth="1"/>
    <col min="3" max="3" width="13.8518518518519" customWidth="1"/>
    <col min="5" max="5" width="14.2814814814815" customWidth="1"/>
    <col min="6" max="6" width="13.2814814814815" customWidth="1"/>
    <col min="7" max="7" width="13.8518518518519" customWidth="1"/>
    <col min="9" max="9" width="16.1407407407407" customWidth="1"/>
  </cols>
  <sheetData>
    <row r="1" spans="1:11">
      <c r="A1" s="35" t="s">
        <v>183</v>
      </c>
      <c r="B1" s="35" t="s">
        <v>4</v>
      </c>
      <c r="C1" s="35" t="s">
        <v>5</v>
      </c>
      <c r="E1" s="35" t="s">
        <v>183</v>
      </c>
      <c r="F1" s="35" t="s">
        <v>4</v>
      </c>
      <c r="G1" s="35" t="s">
        <v>5</v>
      </c>
      <c r="I1" s="35" t="s">
        <v>184</v>
      </c>
      <c r="J1" s="38"/>
      <c r="K1" s="38"/>
    </row>
    <row r="2" spans="1:11">
      <c r="A2" s="36">
        <f ca="1">RANDBETWEEN(2,164)</f>
        <v>142</v>
      </c>
      <c r="B2" s="36">
        <f ca="1" t="array" ref="B2">INDEX(Data_DBD!$E:$E,$A2)</f>
        <v>1</v>
      </c>
      <c r="C2" s="36" t="str">
        <f ca="1" t="array" ref="C2">INDEX(Data_DBD!$F:$F,$A2)</f>
        <v>Tinggi</v>
      </c>
      <c r="E2" s="36">
        <v>140</v>
      </c>
      <c r="F2" s="36">
        <v>1</v>
      </c>
      <c r="G2" s="36" t="s">
        <v>105</v>
      </c>
      <c r="I2" s="38" t="s">
        <v>105</v>
      </c>
      <c r="J2" s="38">
        <f>COUNTIF(G2:G164,"Tinggi")</f>
        <v>62</v>
      </c>
      <c r="K2" s="38">
        <f>J2/163</f>
        <v>0.380368098159509</v>
      </c>
    </row>
    <row r="3" spans="1:11">
      <c r="A3" s="36">
        <f ca="1" t="shared" ref="A3:A66" si="0">RANDBETWEEN(2,164)</f>
        <v>147</v>
      </c>
      <c r="B3" s="36">
        <f ca="1" t="array" ref="B3">INDEX(Data_DBD!$E:$E,$A3)</f>
        <v>1</v>
      </c>
      <c r="C3" s="36" t="str">
        <f ca="1" t="array" ref="C3">INDEX(Data_DBD!$F:$F,$A3)</f>
        <v>Tinggi</v>
      </c>
      <c r="E3" s="36">
        <v>64</v>
      </c>
      <c r="F3" s="36">
        <v>0</v>
      </c>
      <c r="G3" s="36" t="s">
        <v>8</v>
      </c>
      <c r="I3" s="38" t="s">
        <v>8</v>
      </c>
      <c r="J3" s="38">
        <f>COUNTIF(G2:G164,"Sedang")</f>
        <v>83</v>
      </c>
      <c r="K3" s="38">
        <f>J3/163</f>
        <v>0.50920245398773</v>
      </c>
    </row>
    <row r="4" spans="1:11">
      <c r="A4" s="36">
        <f ca="1" t="shared" si="0"/>
        <v>103</v>
      </c>
      <c r="B4" s="36">
        <f ca="1" t="array" ref="B4">INDEX(Data_DBD!$E:$E,$A4)</f>
        <v>0</v>
      </c>
      <c r="C4" s="36" t="str">
        <f ca="1" t="array" ref="C4">INDEX(Data_DBD!$F:$F,$A4)</f>
        <v>Tinggi</v>
      </c>
      <c r="E4" s="36">
        <v>122</v>
      </c>
      <c r="F4" s="36">
        <v>1</v>
      </c>
      <c r="G4" s="36" t="s">
        <v>105</v>
      </c>
      <c r="I4" s="38" t="s">
        <v>26</v>
      </c>
      <c r="J4" s="38">
        <f>COUNTIF(G2:G164,"Rendah")</f>
        <v>18</v>
      </c>
      <c r="K4" s="38">
        <f>J4/163</f>
        <v>0.110429447852761</v>
      </c>
    </row>
    <row r="5" spans="1:10">
      <c r="A5" s="36">
        <f ca="1" t="shared" si="0"/>
        <v>68</v>
      </c>
      <c r="B5" s="36">
        <f ca="1" t="array" ref="B5">INDEX(Data_DBD!$E:$E,$A5)</f>
        <v>0</v>
      </c>
      <c r="C5" s="36" t="str">
        <f ca="1" t="array" ref="C5">INDEX(Data_DBD!$F:$F,$A5)</f>
        <v>Sedang</v>
      </c>
      <c r="E5" s="36">
        <v>15</v>
      </c>
      <c r="F5" s="36">
        <v>0</v>
      </c>
      <c r="G5" s="36" t="s">
        <v>26</v>
      </c>
      <c r="I5" s="39" t="s">
        <v>185</v>
      </c>
      <c r="J5">
        <f>-(IFERROR(K2*LOG(K2,2),0)+IFERROR(K3*LOG(K3,2),0)+IFERROR(K4*LOG(K4,2),0))</f>
        <v>1.37727358937376</v>
      </c>
    </row>
    <row r="6" spans="1:7">
      <c r="A6" s="36">
        <f ca="1" t="shared" si="0"/>
        <v>18</v>
      </c>
      <c r="B6" s="36">
        <f ca="1" t="array" ref="B6">INDEX(Data_DBD!$E:$E,$A6)</f>
        <v>1</v>
      </c>
      <c r="C6" s="36" t="str">
        <f ca="1" t="array" ref="C6">INDEX(Data_DBD!$F:$F,$A6)</f>
        <v>Rendah</v>
      </c>
      <c r="E6" s="36">
        <v>38</v>
      </c>
      <c r="F6" s="36">
        <v>1</v>
      </c>
      <c r="G6" s="36" t="s">
        <v>26</v>
      </c>
    </row>
    <row r="7" spans="1:7">
      <c r="A7" s="36">
        <f ca="1" t="shared" si="0"/>
        <v>36</v>
      </c>
      <c r="B7" s="36">
        <f ca="1" t="array" ref="B7">INDEX(Data_DBD!$E:$E,$A7)</f>
        <v>1</v>
      </c>
      <c r="C7" s="36" t="str">
        <f ca="1" t="array" ref="C7">INDEX(Data_DBD!$F:$F,$A7)</f>
        <v>Rendah</v>
      </c>
      <c r="E7" s="36">
        <v>77</v>
      </c>
      <c r="F7" s="36">
        <v>1</v>
      </c>
      <c r="G7" s="36" t="s">
        <v>8</v>
      </c>
    </row>
    <row r="8" spans="1:7">
      <c r="A8" s="36">
        <f ca="1" t="shared" si="0"/>
        <v>164</v>
      </c>
      <c r="B8" s="36">
        <f ca="1" t="array" ref="B8">INDEX(Data_DBD!$E:$E,$A8)</f>
        <v>0</v>
      </c>
      <c r="C8" s="36" t="str">
        <f ca="1" t="array" ref="C8">INDEX(Data_DBD!$F:$F,$A8)</f>
        <v>Rendah</v>
      </c>
      <c r="E8" s="36">
        <v>42</v>
      </c>
      <c r="F8" s="36">
        <v>1</v>
      </c>
      <c r="G8" s="36" t="s">
        <v>8</v>
      </c>
    </row>
    <row r="9" spans="1:7">
      <c r="A9" s="36">
        <f ca="1" t="shared" si="0"/>
        <v>32</v>
      </c>
      <c r="B9" s="36">
        <f ca="1" t="array" ref="B9">INDEX(Data_DBD!$E:$E,$A9)</f>
        <v>0</v>
      </c>
      <c r="C9" s="36" t="str">
        <f ca="1" t="array" ref="C9">INDEX(Data_DBD!$F:$F,$A9)</f>
        <v>Sedang</v>
      </c>
      <c r="E9" s="36">
        <v>117</v>
      </c>
      <c r="F9" s="36">
        <v>1</v>
      </c>
      <c r="G9" s="36" t="s">
        <v>105</v>
      </c>
    </row>
    <row r="10" spans="1:7">
      <c r="A10" s="36">
        <f ca="1" t="shared" si="0"/>
        <v>39</v>
      </c>
      <c r="B10" s="36">
        <f ca="1" t="array" ref="B10">INDEX(Data_DBD!$E:$E,$A10)</f>
        <v>1</v>
      </c>
      <c r="C10" s="36" t="str">
        <f ca="1" t="array" ref="C10">INDEX(Data_DBD!$F:$F,$A10)</f>
        <v>Sedang</v>
      </c>
      <c r="E10" s="36">
        <v>131</v>
      </c>
      <c r="F10" s="36">
        <v>0</v>
      </c>
      <c r="G10" s="36" t="s">
        <v>105</v>
      </c>
    </row>
    <row r="11" spans="1:7">
      <c r="A11" s="36">
        <f ca="1" t="shared" si="0"/>
        <v>42</v>
      </c>
      <c r="B11" s="36">
        <f ca="1" t="array" ref="B11">INDEX(Data_DBD!$E:$E,$A11)</f>
        <v>1</v>
      </c>
      <c r="C11" s="36" t="str">
        <f ca="1" t="array" ref="C11">INDEX(Data_DBD!$F:$F,$A11)</f>
        <v>Sedang</v>
      </c>
      <c r="E11" s="36">
        <v>16</v>
      </c>
      <c r="F11" s="36">
        <v>1</v>
      </c>
      <c r="G11" s="36" t="s">
        <v>26</v>
      </c>
    </row>
    <row r="12" spans="1:7">
      <c r="A12" s="36">
        <f ca="1" t="shared" si="0"/>
        <v>6</v>
      </c>
      <c r="B12" s="36">
        <f ca="1" t="array" ref="B12">INDEX(Data_DBD!$E:$E,$A12)</f>
        <v>0</v>
      </c>
      <c r="C12" s="36" t="str">
        <f ca="1" t="array" ref="C12">INDEX(Data_DBD!$F:$F,$A12)</f>
        <v>Sedang</v>
      </c>
      <c r="E12" s="36">
        <v>95</v>
      </c>
      <c r="F12" s="36">
        <v>1</v>
      </c>
      <c r="G12" s="36" t="s">
        <v>105</v>
      </c>
    </row>
    <row r="13" spans="1:7">
      <c r="A13" s="36">
        <f ca="1" t="shared" si="0"/>
        <v>60</v>
      </c>
      <c r="B13" s="36">
        <f ca="1" t="array" ref="B13">INDEX(Data_DBD!$E:$E,$A13)</f>
        <v>0</v>
      </c>
      <c r="C13" s="36" t="str">
        <f ca="1" t="array" ref="C13">INDEX(Data_DBD!$F:$F,$A13)</f>
        <v>Sedang</v>
      </c>
      <c r="E13" s="36">
        <v>72</v>
      </c>
      <c r="F13" s="36">
        <v>1</v>
      </c>
      <c r="G13" s="36" t="s">
        <v>8</v>
      </c>
    </row>
    <row r="14" spans="1:7">
      <c r="A14" s="36">
        <f ca="1" t="shared" si="0"/>
        <v>121</v>
      </c>
      <c r="B14" s="36">
        <f ca="1" t="array" ref="B14">INDEX(Data_DBD!$E:$E,$A14)</f>
        <v>1</v>
      </c>
      <c r="C14" s="36" t="str">
        <f ca="1" t="array" ref="C14">INDEX(Data_DBD!$F:$F,$A14)</f>
        <v>Tinggi</v>
      </c>
      <c r="E14" s="36">
        <v>28</v>
      </c>
      <c r="F14" s="36">
        <v>1</v>
      </c>
      <c r="G14" s="36" t="s">
        <v>8</v>
      </c>
    </row>
    <row r="15" spans="1:7">
      <c r="A15" s="36">
        <f ca="1" t="shared" si="0"/>
        <v>106</v>
      </c>
      <c r="B15" s="36">
        <f ca="1" t="array" ref="B15">INDEX(Data_DBD!$E:$E,$A15)</f>
        <v>1</v>
      </c>
      <c r="C15" s="36" t="str">
        <f ca="1" t="array" ref="C15">INDEX(Data_DBD!$F:$F,$A15)</f>
        <v>Tinggi</v>
      </c>
      <c r="E15" s="36">
        <v>64</v>
      </c>
      <c r="F15" s="36">
        <v>0</v>
      </c>
      <c r="G15" s="36" t="s">
        <v>8</v>
      </c>
    </row>
    <row r="16" spans="1:7">
      <c r="A16" s="36">
        <f ca="1" t="shared" si="0"/>
        <v>164</v>
      </c>
      <c r="B16" s="36">
        <f ca="1" t="array" ref="B16">INDEX(Data_DBD!$E:$E,$A16)</f>
        <v>0</v>
      </c>
      <c r="C16" s="36" t="str">
        <f ca="1" t="array" ref="C16">INDEX(Data_DBD!$F:$F,$A16)</f>
        <v>Rendah</v>
      </c>
      <c r="E16" s="36">
        <v>100</v>
      </c>
      <c r="F16" s="36">
        <v>0</v>
      </c>
      <c r="G16" s="36" t="s">
        <v>105</v>
      </c>
    </row>
    <row r="17" spans="1:7">
      <c r="A17" s="36">
        <f ca="1" t="shared" si="0"/>
        <v>68</v>
      </c>
      <c r="B17" s="36">
        <f ca="1" t="array" ref="B17">INDEX(Data_DBD!$E:$E,$A17)</f>
        <v>0</v>
      </c>
      <c r="C17" s="36" t="str">
        <f ca="1" t="array" ref="C17">INDEX(Data_DBD!$F:$F,$A17)</f>
        <v>Sedang</v>
      </c>
      <c r="E17" s="36">
        <v>85</v>
      </c>
      <c r="F17" s="36">
        <v>0</v>
      </c>
      <c r="G17" s="36" t="s">
        <v>8</v>
      </c>
    </row>
    <row r="18" spans="1:7">
      <c r="A18" s="36">
        <f ca="1" t="shared" si="0"/>
        <v>155</v>
      </c>
      <c r="B18" s="36">
        <f ca="1" t="array" ref="B18">INDEX(Data_DBD!$E:$E,$A18)</f>
        <v>1</v>
      </c>
      <c r="C18" s="36" t="str">
        <f ca="1" t="array" ref="C18">INDEX(Data_DBD!$F:$F,$A18)</f>
        <v>Tinggi</v>
      </c>
      <c r="E18" s="36">
        <v>29</v>
      </c>
      <c r="F18" s="36">
        <v>1</v>
      </c>
      <c r="G18" s="36" t="s">
        <v>8</v>
      </c>
    </row>
    <row r="19" spans="1:7">
      <c r="A19" s="36">
        <f ca="1" t="shared" si="0"/>
        <v>81</v>
      </c>
      <c r="B19" s="36">
        <f ca="1" t="array" ref="B19">INDEX(Data_DBD!$E:$E,$A19)</f>
        <v>1</v>
      </c>
      <c r="C19" s="36" t="str">
        <f ca="1" t="array" ref="C19">INDEX(Data_DBD!$F:$F,$A19)</f>
        <v>Sedang</v>
      </c>
      <c r="E19" s="36">
        <v>64</v>
      </c>
      <c r="F19" s="36">
        <v>0</v>
      </c>
      <c r="G19" s="36" t="s">
        <v>8</v>
      </c>
    </row>
    <row r="20" spans="1:7">
      <c r="A20" s="36">
        <f ca="1" t="shared" si="0"/>
        <v>92</v>
      </c>
      <c r="B20" s="36">
        <f ca="1" t="array" ref="B20">INDEX(Data_DBD!$E:$E,$A20)</f>
        <v>0</v>
      </c>
      <c r="C20" s="36" t="str">
        <f ca="1" t="array" ref="C20">INDEX(Data_DBD!$F:$F,$A20)</f>
        <v>Tinggi</v>
      </c>
      <c r="E20" s="36">
        <v>46</v>
      </c>
      <c r="F20" s="36">
        <v>0</v>
      </c>
      <c r="G20" s="36" t="s">
        <v>8</v>
      </c>
    </row>
    <row r="21" spans="1:7">
      <c r="A21" s="36">
        <f ca="1" t="shared" si="0"/>
        <v>32</v>
      </c>
      <c r="B21" s="36">
        <f ca="1" t="array" ref="B21">INDEX(Data_DBD!$E:$E,$A21)</f>
        <v>0</v>
      </c>
      <c r="C21" s="36" t="str">
        <f ca="1" t="array" ref="C21">INDEX(Data_DBD!$F:$F,$A21)</f>
        <v>Sedang</v>
      </c>
      <c r="E21" s="36">
        <v>126</v>
      </c>
      <c r="F21" s="36">
        <v>1</v>
      </c>
      <c r="G21" s="36" t="s">
        <v>105</v>
      </c>
    </row>
    <row r="22" spans="1:7">
      <c r="A22" s="36">
        <f ca="1" t="shared" si="0"/>
        <v>71</v>
      </c>
      <c r="B22" s="36">
        <f ca="1" t="array" ref="B22">INDEX(Data_DBD!$E:$E,$A22)</f>
        <v>0</v>
      </c>
      <c r="C22" s="36" t="str">
        <f ca="1" t="array" ref="C22">INDEX(Data_DBD!$F:$F,$A22)</f>
        <v>Sedang</v>
      </c>
      <c r="E22" s="36">
        <v>93</v>
      </c>
      <c r="F22" s="36">
        <v>0</v>
      </c>
      <c r="G22" s="36" t="s">
        <v>105</v>
      </c>
    </row>
    <row r="23" spans="1:7">
      <c r="A23" s="36">
        <f ca="1" t="shared" si="0"/>
        <v>118</v>
      </c>
      <c r="B23" s="36">
        <f ca="1" t="array" ref="B23">INDEX(Data_DBD!$E:$E,$A23)</f>
        <v>1</v>
      </c>
      <c r="C23" s="36" t="str">
        <f ca="1" t="array" ref="C23">INDEX(Data_DBD!$F:$F,$A23)</f>
        <v>Tinggi</v>
      </c>
      <c r="E23" s="36">
        <v>54</v>
      </c>
      <c r="F23" s="36">
        <v>0</v>
      </c>
      <c r="G23" s="36" t="s">
        <v>8</v>
      </c>
    </row>
    <row r="24" spans="1:7">
      <c r="A24" s="36">
        <f ca="1" t="shared" si="0"/>
        <v>65</v>
      </c>
      <c r="B24" s="36">
        <f ca="1" t="array" ref="B24">INDEX(Data_DBD!$E:$E,$A24)</f>
        <v>0</v>
      </c>
      <c r="C24" s="36" t="str">
        <f ca="1" t="array" ref="C24">INDEX(Data_DBD!$F:$F,$A24)</f>
        <v>Sedang</v>
      </c>
      <c r="E24" s="36">
        <v>116</v>
      </c>
      <c r="F24" s="36">
        <v>1</v>
      </c>
      <c r="G24" s="36" t="s">
        <v>105</v>
      </c>
    </row>
    <row r="25" spans="1:7">
      <c r="A25" s="36">
        <f ca="1" t="shared" si="0"/>
        <v>134</v>
      </c>
      <c r="B25" s="36">
        <f ca="1" t="array" ref="B25">INDEX(Data_DBD!$E:$E,$A25)</f>
        <v>1</v>
      </c>
      <c r="C25" s="36" t="str">
        <f ca="1" t="array" ref="C25">INDEX(Data_DBD!$F:$F,$A25)</f>
        <v>Tinggi</v>
      </c>
      <c r="E25" s="36">
        <v>45</v>
      </c>
      <c r="F25" s="36">
        <v>1</v>
      </c>
      <c r="G25" s="36" t="s">
        <v>8</v>
      </c>
    </row>
    <row r="26" spans="1:7">
      <c r="A26" s="36">
        <f ca="1" t="shared" si="0"/>
        <v>122</v>
      </c>
      <c r="B26" s="36">
        <f ca="1" t="array" ref="B26">INDEX(Data_DBD!$E:$E,$A26)</f>
        <v>1</v>
      </c>
      <c r="C26" s="36" t="str">
        <f ca="1" t="array" ref="C26">INDEX(Data_DBD!$F:$F,$A26)</f>
        <v>Tinggi</v>
      </c>
      <c r="E26" s="36">
        <v>123</v>
      </c>
      <c r="F26" s="36">
        <v>0</v>
      </c>
      <c r="G26" s="36" t="s">
        <v>105</v>
      </c>
    </row>
    <row r="27" spans="1:7">
      <c r="A27" s="36">
        <f ca="1" t="shared" si="0"/>
        <v>12</v>
      </c>
      <c r="B27" s="36">
        <f ca="1" t="array" ref="B27">INDEX(Data_DBD!$E:$E,$A27)</f>
        <v>0</v>
      </c>
      <c r="C27" s="36" t="str">
        <f ca="1" t="array" ref="C27">INDEX(Data_DBD!$F:$F,$A27)</f>
        <v>Sedang</v>
      </c>
      <c r="E27" s="36">
        <v>6</v>
      </c>
      <c r="F27" s="36">
        <v>0</v>
      </c>
      <c r="G27" s="36" t="s">
        <v>8</v>
      </c>
    </row>
    <row r="28" spans="1:7">
      <c r="A28" s="36">
        <f ca="1" t="shared" si="0"/>
        <v>56</v>
      </c>
      <c r="B28" s="36">
        <f ca="1" t="array" ref="B28">INDEX(Data_DBD!$E:$E,$A28)</f>
        <v>0</v>
      </c>
      <c r="C28" s="36" t="str">
        <f ca="1" t="array" ref="C28">INDEX(Data_DBD!$F:$F,$A28)</f>
        <v>Sedang</v>
      </c>
      <c r="E28" s="36">
        <v>42</v>
      </c>
      <c r="F28" s="36">
        <v>1</v>
      </c>
      <c r="G28" s="36" t="s">
        <v>8</v>
      </c>
    </row>
    <row r="29" spans="1:7">
      <c r="A29" s="36">
        <f ca="1" t="shared" si="0"/>
        <v>163</v>
      </c>
      <c r="B29" s="36">
        <f ca="1" t="array" ref="B29">INDEX(Data_DBD!$E:$E,$A29)</f>
        <v>1</v>
      </c>
      <c r="C29" s="36" t="str">
        <f ca="1" t="array" ref="C29">INDEX(Data_DBD!$F:$F,$A29)</f>
        <v>Rendah</v>
      </c>
      <c r="E29" s="36">
        <v>31</v>
      </c>
      <c r="F29" s="36">
        <v>1</v>
      </c>
      <c r="G29" s="36" t="s">
        <v>8</v>
      </c>
    </row>
    <row r="30" spans="1:7">
      <c r="A30" s="36">
        <f ca="1" t="shared" si="0"/>
        <v>22</v>
      </c>
      <c r="B30" s="36">
        <f ca="1" t="array" ref="B30">INDEX(Data_DBD!$E:$E,$A30)</f>
        <v>0</v>
      </c>
      <c r="C30" s="36" t="str">
        <f ca="1" t="array" ref="C30">INDEX(Data_DBD!$F:$F,$A30)</f>
        <v>Sedang</v>
      </c>
      <c r="E30" s="36">
        <v>162</v>
      </c>
      <c r="F30" s="36">
        <v>1</v>
      </c>
      <c r="G30" s="36" t="s">
        <v>26</v>
      </c>
    </row>
    <row r="31" spans="1:7">
      <c r="A31" s="36">
        <f ca="1" t="shared" si="0"/>
        <v>106</v>
      </c>
      <c r="B31" s="36">
        <f ca="1" t="array" ref="B31">INDEX(Data_DBD!$E:$E,$A31)</f>
        <v>1</v>
      </c>
      <c r="C31" s="36" t="str">
        <f ca="1" t="array" ref="C31">INDEX(Data_DBD!$F:$F,$A31)</f>
        <v>Tinggi</v>
      </c>
      <c r="E31" s="36">
        <v>128</v>
      </c>
      <c r="F31" s="36">
        <v>0</v>
      </c>
      <c r="G31" s="36" t="s">
        <v>105</v>
      </c>
    </row>
    <row r="32" spans="1:7">
      <c r="A32" s="36">
        <f ca="1" t="shared" si="0"/>
        <v>101</v>
      </c>
      <c r="B32" s="36">
        <f ca="1" t="array" ref="B32">INDEX(Data_DBD!$E:$E,$A32)</f>
        <v>0</v>
      </c>
      <c r="C32" s="36" t="str">
        <f ca="1" t="array" ref="C32">INDEX(Data_DBD!$F:$F,$A32)</f>
        <v>Tinggi</v>
      </c>
      <c r="E32" s="36">
        <v>105</v>
      </c>
      <c r="F32" s="36">
        <v>1</v>
      </c>
      <c r="G32" s="36" t="s">
        <v>105</v>
      </c>
    </row>
    <row r="33" spans="1:7">
      <c r="A33" s="36">
        <f ca="1" t="shared" si="0"/>
        <v>127</v>
      </c>
      <c r="B33" s="36">
        <f ca="1" t="array" ref="B33">INDEX(Data_DBD!$E:$E,$A33)</f>
        <v>0</v>
      </c>
      <c r="C33" s="36" t="str">
        <f ca="1" t="array" ref="C33">INDEX(Data_DBD!$F:$F,$A33)</f>
        <v>Tinggi</v>
      </c>
      <c r="E33" s="36">
        <v>117</v>
      </c>
      <c r="F33" s="36">
        <v>1</v>
      </c>
      <c r="G33" s="36" t="s">
        <v>105</v>
      </c>
    </row>
    <row r="34" spans="1:7">
      <c r="A34" s="36">
        <f ca="1" t="shared" si="0"/>
        <v>89</v>
      </c>
      <c r="B34" s="36">
        <f ca="1" t="array" ref="B34">INDEX(Data_DBD!$E:$E,$A34)</f>
        <v>0</v>
      </c>
      <c r="C34" s="36" t="str">
        <f ca="1" t="array" ref="C34">INDEX(Data_DBD!$F:$F,$A34)</f>
        <v>Sedang</v>
      </c>
      <c r="E34" s="36">
        <v>39</v>
      </c>
      <c r="F34" s="36">
        <v>1</v>
      </c>
      <c r="G34" s="36" t="s">
        <v>8</v>
      </c>
    </row>
    <row r="35" spans="1:7">
      <c r="A35" s="36">
        <f ca="1" t="shared" si="0"/>
        <v>33</v>
      </c>
      <c r="B35" s="36">
        <f ca="1" t="array" ref="B35">INDEX(Data_DBD!$E:$E,$A35)</f>
        <v>1</v>
      </c>
      <c r="C35" s="36" t="str">
        <f ca="1" t="array" ref="C35">INDEX(Data_DBD!$F:$F,$A35)</f>
        <v>Sedang</v>
      </c>
      <c r="E35" s="36">
        <v>76</v>
      </c>
      <c r="F35" s="36">
        <v>0</v>
      </c>
      <c r="G35" s="36" t="s">
        <v>8</v>
      </c>
    </row>
    <row r="36" spans="1:7">
      <c r="A36" s="36">
        <f ca="1" t="shared" si="0"/>
        <v>9</v>
      </c>
      <c r="B36" s="36">
        <f ca="1" t="array" ref="B36">INDEX(Data_DBD!$E:$E,$A36)</f>
        <v>1</v>
      </c>
      <c r="C36" s="36" t="str">
        <f ca="1" t="array" ref="C36">INDEX(Data_DBD!$F:$F,$A36)</f>
        <v>Sedang</v>
      </c>
      <c r="E36" s="36">
        <v>56</v>
      </c>
      <c r="F36" s="36">
        <v>0</v>
      </c>
      <c r="G36" s="36" t="s">
        <v>8</v>
      </c>
    </row>
    <row r="37" spans="1:7">
      <c r="A37" s="36">
        <f ca="1" t="shared" si="0"/>
        <v>42</v>
      </c>
      <c r="B37" s="36">
        <f ca="1" t="array" ref="B37">INDEX(Data_DBD!$E:$E,$A37)</f>
        <v>1</v>
      </c>
      <c r="C37" s="36" t="str">
        <f ca="1" t="array" ref="C37">INDEX(Data_DBD!$F:$F,$A37)</f>
        <v>Sedang</v>
      </c>
      <c r="E37" s="36">
        <v>30</v>
      </c>
      <c r="F37" s="36">
        <v>1</v>
      </c>
      <c r="G37" s="36" t="s">
        <v>8</v>
      </c>
    </row>
    <row r="38" spans="1:7">
      <c r="A38" s="36">
        <f ca="1" t="shared" si="0"/>
        <v>140</v>
      </c>
      <c r="B38" s="36">
        <f ca="1" t="array" ref="B38">INDEX(Data_DBD!$E:$E,$A38)</f>
        <v>1</v>
      </c>
      <c r="C38" s="36" t="str">
        <f ca="1" t="array" ref="C38">INDEX(Data_DBD!$F:$F,$A38)</f>
        <v>Tinggi</v>
      </c>
      <c r="E38" s="36">
        <v>33</v>
      </c>
      <c r="F38" s="36">
        <v>1</v>
      </c>
      <c r="G38" s="36" t="s">
        <v>8</v>
      </c>
    </row>
    <row r="39" spans="1:7">
      <c r="A39" s="36">
        <f ca="1" t="shared" si="0"/>
        <v>6</v>
      </c>
      <c r="B39" s="36">
        <f ca="1" t="array" ref="B39">INDEX(Data_DBD!$E:$E,$A39)</f>
        <v>0</v>
      </c>
      <c r="C39" s="36" t="str">
        <f ca="1" t="array" ref="C39">INDEX(Data_DBD!$F:$F,$A39)</f>
        <v>Sedang</v>
      </c>
      <c r="E39" s="36">
        <v>89</v>
      </c>
      <c r="F39" s="36">
        <v>0</v>
      </c>
      <c r="G39" s="36" t="s">
        <v>8</v>
      </c>
    </row>
    <row r="40" spans="1:7">
      <c r="A40" s="36">
        <f ca="1" t="shared" si="0"/>
        <v>147</v>
      </c>
      <c r="B40" s="36">
        <f ca="1" t="array" ref="B40">INDEX(Data_DBD!$E:$E,$A40)</f>
        <v>1</v>
      </c>
      <c r="C40" s="36" t="str">
        <f ca="1" t="array" ref="C40">INDEX(Data_DBD!$F:$F,$A40)</f>
        <v>Tinggi</v>
      </c>
      <c r="E40" s="36">
        <v>120</v>
      </c>
      <c r="F40" s="36">
        <v>1</v>
      </c>
      <c r="G40" s="36" t="s">
        <v>105</v>
      </c>
    </row>
    <row r="41" spans="1:7">
      <c r="A41" s="36">
        <f ca="1" t="shared" si="0"/>
        <v>134</v>
      </c>
      <c r="B41" s="36">
        <f ca="1" t="array" ref="B41">INDEX(Data_DBD!$E:$E,$A41)</f>
        <v>1</v>
      </c>
      <c r="C41" s="36" t="str">
        <f ca="1" t="array" ref="C41">INDEX(Data_DBD!$F:$F,$A41)</f>
        <v>Tinggi</v>
      </c>
      <c r="E41" s="36">
        <v>29</v>
      </c>
      <c r="F41" s="36">
        <v>1</v>
      </c>
      <c r="G41" s="36" t="s">
        <v>8</v>
      </c>
    </row>
    <row r="42" spans="1:7">
      <c r="A42" s="36">
        <f ca="1" t="shared" si="0"/>
        <v>75</v>
      </c>
      <c r="B42" s="36">
        <f ca="1" t="array" ref="B42">INDEX(Data_DBD!$E:$E,$A42)</f>
        <v>1</v>
      </c>
      <c r="C42" s="36" t="str">
        <f ca="1" t="array" ref="C42">INDEX(Data_DBD!$F:$F,$A42)</f>
        <v>Sedang</v>
      </c>
      <c r="E42" s="36">
        <v>93</v>
      </c>
      <c r="F42" s="36">
        <v>0</v>
      </c>
      <c r="G42" s="36" t="s">
        <v>105</v>
      </c>
    </row>
    <row r="43" spans="1:7">
      <c r="A43" s="36">
        <f ca="1" t="shared" si="0"/>
        <v>52</v>
      </c>
      <c r="B43" s="36">
        <f ca="1" t="array" ref="B43">INDEX(Data_DBD!$E:$E,$A43)</f>
        <v>1</v>
      </c>
      <c r="C43" s="36" t="str">
        <f ca="1" t="array" ref="C43">INDEX(Data_DBD!$F:$F,$A43)</f>
        <v>Sedang</v>
      </c>
      <c r="E43" s="36">
        <v>37</v>
      </c>
      <c r="F43" s="36">
        <v>1</v>
      </c>
      <c r="G43" s="36" t="s">
        <v>26</v>
      </c>
    </row>
    <row r="44" spans="1:7">
      <c r="A44" s="36">
        <f ca="1" t="shared" si="0"/>
        <v>68</v>
      </c>
      <c r="B44" s="36">
        <f ca="1" t="array" ref="B44">INDEX(Data_DBD!$E:$E,$A44)</f>
        <v>0</v>
      </c>
      <c r="C44" s="36" t="str">
        <f ca="1" t="array" ref="C44">INDEX(Data_DBD!$F:$F,$A44)</f>
        <v>Sedang</v>
      </c>
      <c r="E44" s="36">
        <v>46</v>
      </c>
      <c r="F44" s="36">
        <v>0</v>
      </c>
      <c r="G44" s="36" t="s">
        <v>8</v>
      </c>
    </row>
    <row r="45" spans="1:7">
      <c r="A45" s="36">
        <f ca="1" t="shared" si="0"/>
        <v>126</v>
      </c>
      <c r="B45" s="36">
        <f ca="1" t="array" ref="B45">INDEX(Data_DBD!$E:$E,$A45)</f>
        <v>1</v>
      </c>
      <c r="C45" s="36" t="str">
        <f ca="1" t="array" ref="C45">INDEX(Data_DBD!$F:$F,$A45)</f>
        <v>Tinggi</v>
      </c>
      <c r="E45" s="36">
        <v>26</v>
      </c>
      <c r="F45" s="36">
        <v>1</v>
      </c>
      <c r="G45" s="36" t="s">
        <v>8</v>
      </c>
    </row>
    <row r="46" spans="1:7">
      <c r="A46" s="36">
        <f ca="1" t="shared" si="0"/>
        <v>36</v>
      </c>
      <c r="B46" s="36">
        <f ca="1" t="array" ref="B46">INDEX(Data_DBD!$E:$E,$A46)</f>
        <v>1</v>
      </c>
      <c r="C46" s="36" t="str">
        <f ca="1" t="array" ref="C46">INDEX(Data_DBD!$F:$F,$A46)</f>
        <v>Rendah</v>
      </c>
      <c r="E46" s="36">
        <v>141</v>
      </c>
      <c r="F46" s="36">
        <v>0</v>
      </c>
      <c r="G46" s="36" t="s">
        <v>105</v>
      </c>
    </row>
    <row r="47" spans="1:7">
      <c r="A47" s="36">
        <f ca="1" t="shared" si="0"/>
        <v>10</v>
      </c>
      <c r="B47" s="36">
        <f ca="1" t="array" ref="B47">INDEX(Data_DBD!$E:$E,$A47)</f>
        <v>0</v>
      </c>
      <c r="C47" s="36" t="str">
        <f ca="1" t="array" ref="C47">INDEX(Data_DBD!$F:$F,$A47)</f>
        <v>Sedang</v>
      </c>
      <c r="E47" s="36">
        <v>90</v>
      </c>
      <c r="F47" s="36">
        <v>0</v>
      </c>
      <c r="G47" s="36" t="s">
        <v>105</v>
      </c>
    </row>
    <row r="48" spans="1:7">
      <c r="A48" s="36">
        <f ca="1" t="shared" si="0"/>
        <v>71</v>
      </c>
      <c r="B48" s="36">
        <f ca="1" t="array" ref="B48">INDEX(Data_DBD!$E:$E,$A48)</f>
        <v>0</v>
      </c>
      <c r="C48" s="36" t="str">
        <f ca="1" t="array" ref="C48">INDEX(Data_DBD!$F:$F,$A48)</f>
        <v>Sedang</v>
      </c>
      <c r="E48" s="36">
        <v>80</v>
      </c>
      <c r="F48" s="36">
        <v>1</v>
      </c>
      <c r="G48" s="36" t="s">
        <v>8</v>
      </c>
    </row>
    <row r="49" spans="1:7">
      <c r="A49" s="36">
        <f ca="1" t="shared" si="0"/>
        <v>3</v>
      </c>
      <c r="B49" s="36">
        <f ca="1" t="array" ref="B49">INDEX(Data_DBD!$E:$E,$A49)</f>
        <v>1</v>
      </c>
      <c r="C49" s="36" t="str">
        <f ca="1" t="array" ref="C49">INDEX(Data_DBD!$F:$F,$A49)</f>
        <v>Sedang</v>
      </c>
      <c r="E49" s="36">
        <v>76</v>
      </c>
      <c r="F49" s="36">
        <v>0</v>
      </c>
      <c r="G49" s="36" t="s">
        <v>8</v>
      </c>
    </row>
    <row r="50" spans="1:7">
      <c r="A50" s="36">
        <f ca="1" t="shared" si="0"/>
        <v>42</v>
      </c>
      <c r="B50" s="36">
        <f ca="1" t="array" ref="B50">INDEX(Data_DBD!$E:$E,$A50)</f>
        <v>1</v>
      </c>
      <c r="C50" s="36" t="str">
        <f ca="1" t="array" ref="C50">INDEX(Data_DBD!$F:$F,$A50)</f>
        <v>Sedang</v>
      </c>
      <c r="E50" s="36">
        <v>159</v>
      </c>
      <c r="F50" s="36">
        <v>0</v>
      </c>
      <c r="G50" s="36" t="s">
        <v>105</v>
      </c>
    </row>
    <row r="51" spans="1:7">
      <c r="A51" s="36">
        <f ca="1" t="shared" si="0"/>
        <v>164</v>
      </c>
      <c r="B51" s="36">
        <f ca="1" t="array" ref="B51">INDEX(Data_DBD!$E:$E,$A51)</f>
        <v>0</v>
      </c>
      <c r="C51" s="36" t="str">
        <f ca="1" t="array" ref="C51">INDEX(Data_DBD!$F:$F,$A51)</f>
        <v>Rendah</v>
      </c>
      <c r="E51" s="36">
        <v>86</v>
      </c>
      <c r="F51" s="36">
        <v>0</v>
      </c>
      <c r="G51" s="36" t="s">
        <v>8</v>
      </c>
    </row>
    <row r="52" spans="1:7">
      <c r="A52" s="36">
        <f ca="1" t="shared" si="0"/>
        <v>145</v>
      </c>
      <c r="B52" s="36">
        <f ca="1" t="array" ref="B52">INDEX(Data_DBD!$E:$E,$A52)</f>
        <v>1</v>
      </c>
      <c r="C52" s="36" t="str">
        <f ca="1" t="array" ref="C52">INDEX(Data_DBD!$F:$F,$A52)</f>
        <v>Tinggi</v>
      </c>
      <c r="E52" s="36">
        <v>69</v>
      </c>
      <c r="F52" s="36">
        <v>1</v>
      </c>
      <c r="G52" s="36" t="s">
        <v>8</v>
      </c>
    </row>
    <row r="53" spans="1:7">
      <c r="A53" s="36">
        <f ca="1" t="shared" si="0"/>
        <v>71</v>
      </c>
      <c r="B53" s="36">
        <f ca="1" t="array" ref="B53">INDEX(Data_DBD!$E:$E,$A53)</f>
        <v>0</v>
      </c>
      <c r="C53" s="36" t="str">
        <f ca="1" t="array" ref="C53">INDEX(Data_DBD!$F:$F,$A53)</f>
        <v>Sedang</v>
      </c>
      <c r="E53" s="36">
        <v>60</v>
      </c>
      <c r="F53" s="36">
        <v>0</v>
      </c>
      <c r="G53" s="36" t="s">
        <v>8</v>
      </c>
    </row>
    <row r="54" spans="1:7">
      <c r="A54" s="36">
        <f ca="1" t="shared" si="0"/>
        <v>85</v>
      </c>
      <c r="B54" s="36">
        <f ca="1" t="array" ref="B54">INDEX(Data_DBD!$E:$E,$A54)</f>
        <v>0</v>
      </c>
      <c r="C54" s="36" t="str">
        <f ca="1" t="array" ref="C54">INDEX(Data_DBD!$F:$F,$A54)</f>
        <v>Sedang</v>
      </c>
      <c r="E54" s="36">
        <v>73</v>
      </c>
      <c r="F54" s="36">
        <v>1</v>
      </c>
      <c r="G54" s="36" t="s">
        <v>8</v>
      </c>
    </row>
    <row r="55" spans="1:7">
      <c r="A55" s="36">
        <f ca="1" t="shared" si="0"/>
        <v>24</v>
      </c>
      <c r="B55" s="36">
        <f ca="1" t="array" ref="B55">INDEX(Data_DBD!$E:$E,$A55)</f>
        <v>0</v>
      </c>
      <c r="C55" s="36" t="str">
        <f ca="1" t="array" ref="C55">INDEX(Data_DBD!$F:$F,$A55)</f>
        <v>Sedang</v>
      </c>
      <c r="E55" s="36">
        <v>73</v>
      </c>
      <c r="F55" s="36">
        <v>1</v>
      </c>
      <c r="G55" s="36" t="s">
        <v>8</v>
      </c>
    </row>
    <row r="56" spans="1:7">
      <c r="A56" s="36">
        <f ca="1" t="shared" si="0"/>
        <v>84</v>
      </c>
      <c r="B56" s="36">
        <f ca="1" t="array" ref="B56">INDEX(Data_DBD!$E:$E,$A56)</f>
        <v>1</v>
      </c>
      <c r="C56" s="36" t="str">
        <f ca="1" t="array" ref="C56">INDEX(Data_DBD!$F:$F,$A56)</f>
        <v>Sedang</v>
      </c>
      <c r="E56" s="36">
        <v>69</v>
      </c>
      <c r="F56" s="36">
        <v>1</v>
      </c>
      <c r="G56" s="36" t="s">
        <v>8</v>
      </c>
    </row>
    <row r="57" spans="1:7">
      <c r="A57" s="36">
        <f ca="1" t="shared" si="0"/>
        <v>94</v>
      </c>
      <c r="B57" s="36">
        <f ca="1" t="array" ref="B57">INDEX(Data_DBD!$E:$E,$A57)</f>
        <v>0</v>
      </c>
      <c r="C57" s="36" t="str">
        <f ca="1" t="array" ref="C57">INDEX(Data_DBD!$F:$F,$A57)</f>
        <v>Tinggi</v>
      </c>
      <c r="E57" s="36">
        <v>95</v>
      </c>
      <c r="F57" s="36">
        <v>1</v>
      </c>
      <c r="G57" s="36" t="s">
        <v>105</v>
      </c>
    </row>
    <row r="58" spans="1:7">
      <c r="A58" s="36">
        <f ca="1" t="shared" si="0"/>
        <v>100</v>
      </c>
      <c r="B58" s="36">
        <f ca="1" t="array" ref="B58">INDEX(Data_DBD!$E:$E,$A58)</f>
        <v>0</v>
      </c>
      <c r="C58" s="36" t="str">
        <f ca="1" t="array" ref="C58">INDEX(Data_DBD!$F:$F,$A58)</f>
        <v>Tinggi</v>
      </c>
      <c r="E58" s="36">
        <v>113</v>
      </c>
      <c r="F58" s="36">
        <v>1</v>
      </c>
      <c r="G58" s="36" t="s">
        <v>105</v>
      </c>
    </row>
    <row r="59" spans="1:7">
      <c r="A59" s="36">
        <f ca="1" t="shared" si="0"/>
        <v>32</v>
      </c>
      <c r="B59" s="36">
        <f ca="1" t="array" ref="B59">INDEX(Data_DBD!$E:$E,$A59)</f>
        <v>0</v>
      </c>
      <c r="C59" s="36" t="str">
        <f ca="1" t="array" ref="C59">INDEX(Data_DBD!$F:$F,$A59)</f>
        <v>Sedang</v>
      </c>
      <c r="E59" s="36">
        <v>47</v>
      </c>
      <c r="F59" s="36">
        <v>0</v>
      </c>
      <c r="G59" s="36" t="s">
        <v>8</v>
      </c>
    </row>
    <row r="60" spans="1:7">
      <c r="A60" s="36">
        <f ca="1" t="shared" si="0"/>
        <v>4</v>
      </c>
      <c r="B60" s="36">
        <f ca="1" t="array" ref="B60">INDEX(Data_DBD!$E:$E,$A60)</f>
        <v>0</v>
      </c>
      <c r="C60" s="36" t="str">
        <f ca="1" t="array" ref="C60">INDEX(Data_DBD!$F:$F,$A60)</f>
        <v>Sedang</v>
      </c>
      <c r="E60" s="36">
        <v>83</v>
      </c>
      <c r="F60" s="36">
        <v>0</v>
      </c>
      <c r="G60" s="36" t="s">
        <v>8</v>
      </c>
    </row>
    <row r="61" spans="1:7">
      <c r="A61" s="36">
        <f ca="1" t="shared" si="0"/>
        <v>142</v>
      </c>
      <c r="B61" s="36">
        <f ca="1" t="array" ref="B61">INDEX(Data_DBD!$E:$E,$A61)</f>
        <v>1</v>
      </c>
      <c r="C61" s="36" t="str">
        <f ca="1" t="array" ref="C61">INDEX(Data_DBD!$F:$F,$A61)</f>
        <v>Tinggi</v>
      </c>
      <c r="E61" s="36">
        <v>45</v>
      </c>
      <c r="F61" s="36">
        <v>1</v>
      </c>
      <c r="G61" s="36" t="s">
        <v>8</v>
      </c>
    </row>
    <row r="62" spans="1:7">
      <c r="A62" s="36">
        <f ca="1" t="shared" si="0"/>
        <v>88</v>
      </c>
      <c r="B62" s="36">
        <f ca="1" t="array" ref="B62">INDEX(Data_DBD!$E:$E,$A62)</f>
        <v>1</v>
      </c>
      <c r="C62" s="36" t="str">
        <f ca="1" t="array" ref="C62">INDEX(Data_DBD!$F:$F,$A62)</f>
        <v>Sedang</v>
      </c>
      <c r="E62" s="36">
        <v>135</v>
      </c>
      <c r="F62" s="36">
        <v>0</v>
      </c>
      <c r="G62" s="36" t="s">
        <v>105</v>
      </c>
    </row>
    <row r="63" spans="1:7">
      <c r="A63" s="36">
        <f ca="1" t="shared" si="0"/>
        <v>159</v>
      </c>
      <c r="B63" s="36">
        <f ca="1" t="array" ref="B63">INDEX(Data_DBD!$E:$E,$A63)</f>
        <v>0</v>
      </c>
      <c r="C63" s="36" t="str">
        <f ca="1" t="array" ref="C63">INDEX(Data_DBD!$F:$F,$A63)</f>
        <v>Tinggi</v>
      </c>
      <c r="E63" s="36">
        <v>133</v>
      </c>
      <c r="F63" s="36">
        <v>0</v>
      </c>
      <c r="G63" s="36" t="s">
        <v>105</v>
      </c>
    </row>
    <row r="64" spans="1:7">
      <c r="A64" s="36">
        <f ca="1" t="shared" si="0"/>
        <v>80</v>
      </c>
      <c r="B64" s="36">
        <f ca="1" t="array" ref="B64">INDEX(Data_DBD!$E:$E,$A64)</f>
        <v>1</v>
      </c>
      <c r="C64" s="36" t="str">
        <f ca="1" t="array" ref="C64">INDEX(Data_DBD!$F:$F,$A64)</f>
        <v>Sedang</v>
      </c>
      <c r="E64" s="36">
        <v>41</v>
      </c>
      <c r="F64" s="36">
        <v>0</v>
      </c>
      <c r="G64" s="36" t="s">
        <v>8</v>
      </c>
    </row>
    <row r="65" spans="1:7">
      <c r="A65" s="36">
        <f ca="1" t="shared" si="0"/>
        <v>51</v>
      </c>
      <c r="B65" s="36">
        <f ca="1" t="array" ref="B65">INDEX(Data_DBD!$E:$E,$A65)</f>
        <v>0</v>
      </c>
      <c r="C65" s="36" t="str">
        <f ca="1" t="array" ref="C65">INDEX(Data_DBD!$F:$F,$A65)</f>
        <v>Sedang</v>
      </c>
      <c r="E65" s="36">
        <v>109</v>
      </c>
      <c r="F65" s="36">
        <v>1</v>
      </c>
      <c r="G65" s="36" t="s">
        <v>105</v>
      </c>
    </row>
    <row r="66" spans="1:7">
      <c r="A66" s="36">
        <f ca="1" t="shared" si="0"/>
        <v>39</v>
      </c>
      <c r="B66" s="36">
        <f ca="1" t="array" ref="B66">INDEX(Data_DBD!$E:$E,$A66)</f>
        <v>1</v>
      </c>
      <c r="C66" s="36" t="str">
        <f ca="1" t="array" ref="C66">INDEX(Data_DBD!$F:$F,$A66)</f>
        <v>Sedang</v>
      </c>
      <c r="E66" s="36">
        <v>161</v>
      </c>
      <c r="F66" s="36">
        <v>1</v>
      </c>
      <c r="G66" s="36" t="s">
        <v>105</v>
      </c>
    </row>
    <row r="67" spans="1:7">
      <c r="A67" s="36">
        <f ca="1" t="shared" ref="A67:A130" si="1">RANDBETWEEN(2,164)</f>
        <v>159</v>
      </c>
      <c r="B67" s="36">
        <f ca="1" t="array" ref="B67">INDEX(Data_DBD!$E:$E,$A67)</f>
        <v>0</v>
      </c>
      <c r="C67" s="36" t="str">
        <f ca="1" t="array" ref="C67">INDEX(Data_DBD!$F:$F,$A67)</f>
        <v>Tinggi</v>
      </c>
      <c r="E67" s="36">
        <v>36</v>
      </c>
      <c r="F67" s="36">
        <v>1</v>
      </c>
      <c r="G67" s="36" t="s">
        <v>26</v>
      </c>
    </row>
    <row r="68" spans="1:7">
      <c r="A68" s="36">
        <f ca="1" t="shared" si="1"/>
        <v>161</v>
      </c>
      <c r="B68" s="36">
        <f ca="1" t="array" ref="B68">INDEX(Data_DBD!$E:$E,$A68)</f>
        <v>1</v>
      </c>
      <c r="C68" s="36" t="str">
        <f ca="1" t="array" ref="C68">INDEX(Data_DBD!$F:$F,$A68)</f>
        <v>Tinggi</v>
      </c>
      <c r="E68" s="36">
        <v>106</v>
      </c>
      <c r="F68" s="36">
        <v>1</v>
      </c>
      <c r="G68" s="36" t="s">
        <v>105</v>
      </c>
    </row>
    <row r="69" spans="1:7">
      <c r="A69" s="36">
        <f ca="1" t="shared" si="1"/>
        <v>146</v>
      </c>
      <c r="B69" s="36">
        <f ca="1" t="array" ref="B69">INDEX(Data_DBD!$E:$E,$A69)</f>
        <v>1</v>
      </c>
      <c r="C69" s="36" t="str">
        <f ca="1" t="array" ref="C69">INDEX(Data_DBD!$F:$F,$A69)</f>
        <v>Tinggi</v>
      </c>
      <c r="E69" s="36">
        <v>50</v>
      </c>
      <c r="F69" s="36">
        <v>0</v>
      </c>
      <c r="G69" s="36" t="s">
        <v>8</v>
      </c>
    </row>
    <row r="70" spans="1:7">
      <c r="A70" s="36">
        <f ca="1" t="shared" si="1"/>
        <v>91</v>
      </c>
      <c r="B70" s="36">
        <f ca="1" t="array" ref="B70">INDEX(Data_DBD!$E:$E,$A70)</f>
        <v>1</v>
      </c>
      <c r="C70" s="36" t="str">
        <f ca="1" t="array" ref="C70">INDEX(Data_DBD!$F:$F,$A70)</f>
        <v>Tinggi</v>
      </c>
      <c r="E70" s="36">
        <v>71</v>
      </c>
      <c r="F70" s="36">
        <v>0</v>
      </c>
      <c r="G70" s="36" t="s">
        <v>8</v>
      </c>
    </row>
    <row r="71" spans="1:7">
      <c r="A71" s="36">
        <f ca="1" t="shared" si="1"/>
        <v>26</v>
      </c>
      <c r="B71" s="36">
        <f ca="1" t="array" ref="B71">INDEX(Data_DBD!$E:$E,$A71)</f>
        <v>1</v>
      </c>
      <c r="C71" s="36" t="str">
        <f ca="1" t="array" ref="C71">INDEX(Data_DBD!$F:$F,$A71)</f>
        <v>Sedang</v>
      </c>
      <c r="E71" s="36">
        <v>161</v>
      </c>
      <c r="F71" s="36">
        <v>1</v>
      </c>
      <c r="G71" s="36" t="s">
        <v>105</v>
      </c>
    </row>
    <row r="72" spans="1:7">
      <c r="A72" s="36">
        <f ca="1" t="shared" si="1"/>
        <v>155</v>
      </c>
      <c r="B72" s="36">
        <f ca="1" t="array" ref="B72">INDEX(Data_DBD!$E:$E,$A72)</f>
        <v>1</v>
      </c>
      <c r="C72" s="36" t="str">
        <f ca="1" t="array" ref="C72">INDEX(Data_DBD!$F:$F,$A72)</f>
        <v>Tinggi</v>
      </c>
      <c r="E72" s="36">
        <v>62</v>
      </c>
      <c r="F72" s="36">
        <v>1</v>
      </c>
      <c r="G72" s="36" t="s">
        <v>8</v>
      </c>
    </row>
    <row r="73" spans="1:7">
      <c r="A73" s="36">
        <f ca="1" t="shared" si="1"/>
        <v>44</v>
      </c>
      <c r="B73" s="36">
        <f ca="1" t="array" ref="B73">INDEX(Data_DBD!$E:$E,$A73)</f>
        <v>1</v>
      </c>
      <c r="C73" s="36" t="str">
        <f ca="1" t="array" ref="C73">INDEX(Data_DBD!$F:$F,$A73)</f>
        <v>Sedang</v>
      </c>
      <c r="E73" s="36">
        <v>83</v>
      </c>
      <c r="F73" s="36">
        <v>0</v>
      </c>
      <c r="G73" s="36" t="s">
        <v>8</v>
      </c>
    </row>
    <row r="74" spans="1:7">
      <c r="A74" s="36">
        <f ca="1" t="shared" si="1"/>
        <v>11</v>
      </c>
      <c r="B74" s="36">
        <f ca="1" t="array" ref="B74">INDEX(Data_DBD!$E:$E,$A74)</f>
        <v>1</v>
      </c>
      <c r="C74" s="36" t="str">
        <f ca="1" t="array" ref="C74">INDEX(Data_DBD!$F:$F,$A74)</f>
        <v>Sedang</v>
      </c>
      <c r="E74" s="36">
        <v>130</v>
      </c>
      <c r="F74" s="36">
        <v>0</v>
      </c>
      <c r="G74" s="36" t="s">
        <v>105</v>
      </c>
    </row>
    <row r="75" spans="1:7">
      <c r="A75" s="36">
        <f ca="1" t="shared" si="1"/>
        <v>20</v>
      </c>
      <c r="B75" s="36">
        <f ca="1" t="array" ref="B75">INDEX(Data_DBD!$E:$E,$A75)</f>
        <v>0</v>
      </c>
      <c r="C75" s="36" t="str">
        <f ca="1" t="array" ref="C75">INDEX(Data_DBD!$F:$F,$A75)</f>
        <v>Rendah</v>
      </c>
      <c r="E75" s="36">
        <v>72</v>
      </c>
      <c r="F75" s="36">
        <v>1</v>
      </c>
      <c r="G75" s="36" t="s">
        <v>8</v>
      </c>
    </row>
    <row r="76" spans="1:7">
      <c r="A76" s="36">
        <f ca="1" t="shared" si="1"/>
        <v>116</v>
      </c>
      <c r="B76" s="36">
        <f ca="1" t="array" ref="B76">INDEX(Data_DBD!$E:$E,$A76)</f>
        <v>1</v>
      </c>
      <c r="C76" s="36" t="str">
        <f ca="1" t="array" ref="C76">INDEX(Data_DBD!$F:$F,$A76)</f>
        <v>Tinggi</v>
      </c>
      <c r="E76" s="36">
        <v>127</v>
      </c>
      <c r="F76" s="36">
        <v>0</v>
      </c>
      <c r="G76" s="36" t="s">
        <v>105</v>
      </c>
    </row>
    <row r="77" spans="1:7">
      <c r="A77" s="36">
        <f ca="1" t="shared" si="1"/>
        <v>60</v>
      </c>
      <c r="B77" s="36">
        <f ca="1" t="array" ref="B77">INDEX(Data_DBD!$E:$E,$A77)</f>
        <v>0</v>
      </c>
      <c r="C77" s="36" t="str">
        <f ca="1" t="array" ref="C77">INDEX(Data_DBD!$F:$F,$A77)</f>
        <v>Sedang</v>
      </c>
      <c r="E77" s="36">
        <v>84</v>
      </c>
      <c r="F77" s="36">
        <v>1</v>
      </c>
      <c r="G77" s="36" t="s">
        <v>8</v>
      </c>
    </row>
    <row r="78" spans="1:7">
      <c r="A78" s="36">
        <f ca="1" t="shared" si="1"/>
        <v>126</v>
      </c>
      <c r="B78" s="36">
        <f ca="1" t="array" ref="B78">INDEX(Data_DBD!$E:$E,$A78)</f>
        <v>1</v>
      </c>
      <c r="C78" s="36" t="str">
        <f ca="1" t="array" ref="C78">INDEX(Data_DBD!$F:$F,$A78)</f>
        <v>Tinggi</v>
      </c>
      <c r="E78" s="36">
        <v>134</v>
      </c>
      <c r="F78" s="36">
        <v>1</v>
      </c>
      <c r="G78" s="36" t="s">
        <v>105</v>
      </c>
    </row>
    <row r="79" spans="1:7">
      <c r="A79" s="36">
        <f ca="1" t="shared" si="1"/>
        <v>75</v>
      </c>
      <c r="B79" s="36">
        <f ca="1" t="array" ref="B79">INDEX(Data_DBD!$E:$E,$A79)</f>
        <v>1</v>
      </c>
      <c r="C79" s="36" t="str">
        <f ca="1" t="array" ref="C79">INDEX(Data_DBD!$F:$F,$A79)</f>
        <v>Sedang</v>
      </c>
      <c r="E79" s="36">
        <v>32</v>
      </c>
      <c r="F79" s="36">
        <v>0</v>
      </c>
      <c r="G79" s="36" t="s">
        <v>8</v>
      </c>
    </row>
    <row r="80" spans="1:7">
      <c r="A80" s="36">
        <f ca="1" t="shared" si="1"/>
        <v>21</v>
      </c>
      <c r="B80" s="36">
        <f ca="1" t="array" ref="B80">INDEX(Data_DBD!$E:$E,$A80)</f>
        <v>1</v>
      </c>
      <c r="C80" s="36" t="str">
        <f ca="1" t="array" ref="C80">INDEX(Data_DBD!$F:$F,$A80)</f>
        <v>Sedang</v>
      </c>
      <c r="E80" s="36">
        <v>38</v>
      </c>
      <c r="F80" s="36">
        <v>1</v>
      </c>
      <c r="G80" s="36" t="s">
        <v>26</v>
      </c>
    </row>
    <row r="81" spans="1:7">
      <c r="A81" s="36">
        <f ca="1" t="shared" si="1"/>
        <v>49</v>
      </c>
      <c r="B81" s="36">
        <f ca="1" t="array" ref="B81">INDEX(Data_DBD!$E:$E,$A81)</f>
        <v>0</v>
      </c>
      <c r="C81" s="36" t="str">
        <f ca="1" t="array" ref="C81">INDEX(Data_DBD!$F:$F,$A81)</f>
        <v>Sedang</v>
      </c>
      <c r="E81" s="36">
        <v>128</v>
      </c>
      <c r="F81" s="36">
        <v>0</v>
      </c>
      <c r="G81" s="36" t="s">
        <v>105</v>
      </c>
    </row>
    <row r="82" spans="1:7">
      <c r="A82" s="36">
        <f ca="1" t="shared" si="1"/>
        <v>4</v>
      </c>
      <c r="B82" s="36">
        <f ca="1" t="array" ref="B82">INDEX(Data_DBD!$E:$E,$A82)</f>
        <v>0</v>
      </c>
      <c r="C82" s="36" t="str">
        <f ca="1" t="array" ref="C82">INDEX(Data_DBD!$F:$F,$A82)</f>
        <v>Sedang</v>
      </c>
      <c r="E82" s="36">
        <v>156</v>
      </c>
      <c r="F82" s="36">
        <v>0</v>
      </c>
      <c r="G82" s="36" t="s">
        <v>105</v>
      </c>
    </row>
    <row r="83" spans="1:7">
      <c r="A83" s="36">
        <f ca="1" t="shared" si="1"/>
        <v>163</v>
      </c>
      <c r="B83" s="36">
        <f ca="1" t="array" ref="B83">INDEX(Data_DBD!$E:$E,$A83)</f>
        <v>1</v>
      </c>
      <c r="C83" s="36" t="str">
        <f ca="1" t="array" ref="C83">INDEX(Data_DBD!$F:$F,$A83)</f>
        <v>Rendah</v>
      </c>
      <c r="E83" s="36">
        <v>27</v>
      </c>
      <c r="F83" s="36">
        <v>1</v>
      </c>
      <c r="G83" s="36" t="s">
        <v>8</v>
      </c>
    </row>
    <row r="84" spans="1:7">
      <c r="A84" s="36">
        <f ca="1" t="shared" si="1"/>
        <v>24</v>
      </c>
      <c r="B84" s="36">
        <f ca="1" t="array" ref="B84">INDEX(Data_DBD!$E:$E,$A84)</f>
        <v>0</v>
      </c>
      <c r="C84" s="36" t="str">
        <f ca="1" t="array" ref="C84">INDEX(Data_DBD!$F:$F,$A84)</f>
        <v>Sedang</v>
      </c>
      <c r="E84" s="36">
        <v>78</v>
      </c>
      <c r="F84" s="36">
        <v>0</v>
      </c>
      <c r="G84" s="36" t="s">
        <v>8</v>
      </c>
    </row>
    <row r="85" spans="1:7">
      <c r="A85" s="36">
        <f ca="1" t="shared" si="1"/>
        <v>146</v>
      </c>
      <c r="B85" s="36">
        <f ca="1" t="array" ref="B85">INDEX(Data_DBD!$E:$E,$A85)</f>
        <v>1</v>
      </c>
      <c r="C85" s="36" t="str">
        <f ca="1" t="array" ref="C85">INDEX(Data_DBD!$F:$F,$A85)</f>
        <v>Tinggi</v>
      </c>
      <c r="E85" s="36">
        <v>142</v>
      </c>
      <c r="F85" s="36">
        <v>1</v>
      </c>
      <c r="G85" s="36" t="s">
        <v>105</v>
      </c>
    </row>
    <row r="86" spans="1:7">
      <c r="A86" s="36">
        <f ca="1" t="shared" si="1"/>
        <v>21</v>
      </c>
      <c r="B86" s="36">
        <f ca="1" t="array" ref="B86">INDEX(Data_DBD!$E:$E,$A86)</f>
        <v>1</v>
      </c>
      <c r="C86" s="36" t="str">
        <f ca="1" t="array" ref="C86">INDEX(Data_DBD!$F:$F,$A86)</f>
        <v>Sedang</v>
      </c>
      <c r="E86" s="36">
        <v>51</v>
      </c>
      <c r="F86" s="36">
        <v>0</v>
      </c>
      <c r="G86" s="36" t="s">
        <v>8</v>
      </c>
    </row>
    <row r="87" spans="1:7">
      <c r="A87" s="36">
        <f ca="1" t="shared" si="1"/>
        <v>70</v>
      </c>
      <c r="B87" s="36">
        <f ca="1" t="array" ref="B87">INDEX(Data_DBD!$E:$E,$A87)</f>
        <v>1</v>
      </c>
      <c r="C87" s="36" t="str">
        <f ca="1" t="array" ref="C87">INDEX(Data_DBD!$F:$F,$A87)</f>
        <v>Sedang</v>
      </c>
      <c r="E87" s="36">
        <v>151</v>
      </c>
      <c r="F87" s="36">
        <v>0</v>
      </c>
      <c r="G87" s="36" t="s">
        <v>105</v>
      </c>
    </row>
    <row r="88" spans="1:7">
      <c r="A88" s="36">
        <f ca="1" t="shared" si="1"/>
        <v>26</v>
      </c>
      <c r="B88" s="36">
        <f ca="1" t="array" ref="B88">INDEX(Data_DBD!$E:$E,$A88)</f>
        <v>1</v>
      </c>
      <c r="C88" s="36" t="str">
        <f ca="1" t="array" ref="C88">INDEX(Data_DBD!$F:$F,$A88)</f>
        <v>Sedang</v>
      </c>
      <c r="E88" s="36">
        <v>120</v>
      </c>
      <c r="F88" s="36">
        <v>1</v>
      </c>
      <c r="G88" s="36" t="s">
        <v>105</v>
      </c>
    </row>
    <row r="89" spans="1:7">
      <c r="A89" s="36">
        <f ca="1" t="shared" si="1"/>
        <v>46</v>
      </c>
      <c r="B89" s="36">
        <f ca="1" t="array" ref="B89">INDEX(Data_DBD!$E:$E,$A89)</f>
        <v>0</v>
      </c>
      <c r="C89" s="36" t="str">
        <f ca="1" t="array" ref="C89">INDEX(Data_DBD!$F:$F,$A89)</f>
        <v>Sedang</v>
      </c>
      <c r="E89" s="36">
        <v>34</v>
      </c>
      <c r="F89" s="36">
        <v>0</v>
      </c>
      <c r="G89" s="36" t="s">
        <v>8</v>
      </c>
    </row>
    <row r="90" spans="1:7">
      <c r="A90" s="36">
        <f ca="1" t="shared" si="1"/>
        <v>137</v>
      </c>
      <c r="B90" s="36">
        <f ca="1" t="array" ref="B90">INDEX(Data_DBD!$E:$E,$A90)</f>
        <v>1</v>
      </c>
      <c r="C90" s="36" t="str">
        <f ca="1" t="array" ref="C90">INDEX(Data_DBD!$F:$F,$A90)</f>
        <v>Tinggi</v>
      </c>
      <c r="E90" s="36">
        <v>137</v>
      </c>
      <c r="F90" s="36">
        <v>1</v>
      </c>
      <c r="G90" s="36" t="s">
        <v>105</v>
      </c>
    </row>
    <row r="91" spans="1:7">
      <c r="A91" s="36">
        <f ca="1" t="shared" si="1"/>
        <v>147</v>
      </c>
      <c r="B91" s="36">
        <f ca="1" t="array" ref="B91">INDEX(Data_DBD!$E:$E,$A91)</f>
        <v>1</v>
      </c>
      <c r="C91" s="36" t="str">
        <f ca="1" t="array" ref="C91">INDEX(Data_DBD!$F:$F,$A91)</f>
        <v>Tinggi</v>
      </c>
      <c r="E91" s="36">
        <v>2</v>
      </c>
      <c r="F91" s="36">
        <v>0</v>
      </c>
      <c r="G91" s="36" t="s">
        <v>8</v>
      </c>
    </row>
    <row r="92" spans="1:7">
      <c r="A92" s="36">
        <f ca="1" t="shared" si="1"/>
        <v>162</v>
      </c>
      <c r="B92" s="36">
        <f ca="1" t="array" ref="B92">INDEX(Data_DBD!$E:$E,$A92)</f>
        <v>1</v>
      </c>
      <c r="C92" s="36" t="str">
        <f ca="1" t="array" ref="C92">INDEX(Data_DBD!$F:$F,$A92)</f>
        <v>Rendah</v>
      </c>
      <c r="E92" s="36">
        <v>137</v>
      </c>
      <c r="F92" s="36">
        <v>1</v>
      </c>
      <c r="G92" s="36" t="s">
        <v>105</v>
      </c>
    </row>
    <row r="93" spans="1:7">
      <c r="A93" s="36">
        <f ca="1" t="shared" si="1"/>
        <v>20</v>
      </c>
      <c r="B93" s="36">
        <f ca="1" t="array" ref="B93">INDEX(Data_DBD!$E:$E,$A93)</f>
        <v>0</v>
      </c>
      <c r="C93" s="36" t="str">
        <f ca="1" t="array" ref="C93">INDEX(Data_DBD!$F:$F,$A93)</f>
        <v>Rendah</v>
      </c>
      <c r="E93" s="36">
        <v>45</v>
      </c>
      <c r="F93" s="36">
        <v>1</v>
      </c>
      <c r="G93" s="36" t="s">
        <v>8</v>
      </c>
    </row>
    <row r="94" spans="1:7">
      <c r="A94" s="36">
        <f ca="1" t="shared" si="1"/>
        <v>19</v>
      </c>
      <c r="B94" s="36">
        <f ca="1" t="array" ref="B94">INDEX(Data_DBD!$E:$E,$A94)</f>
        <v>0</v>
      </c>
      <c r="C94" s="36" t="str">
        <f ca="1" t="array" ref="C94">INDEX(Data_DBD!$F:$F,$A94)</f>
        <v>Rendah</v>
      </c>
      <c r="E94" s="36">
        <v>164</v>
      </c>
      <c r="F94" s="36">
        <v>0</v>
      </c>
      <c r="G94" s="36" t="s">
        <v>26</v>
      </c>
    </row>
    <row r="95" spans="1:7">
      <c r="A95" s="36">
        <f ca="1" t="shared" si="1"/>
        <v>159</v>
      </c>
      <c r="B95" s="36">
        <f ca="1" t="array" ref="B95">INDEX(Data_DBD!$E:$E,$A95)</f>
        <v>0</v>
      </c>
      <c r="C95" s="36" t="str">
        <f ca="1" t="array" ref="C95">INDEX(Data_DBD!$F:$F,$A95)</f>
        <v>Tinggi</v>
      </c>
      <c r="E95" s="36">
        <v>110</v>
      </c>
      <c r="F95" s="36">
        <v>1</v>
      </c>
      <c r="G95" s="36" t="s">
        <v>105</v>
      </c>
    </row>
    <row r="96" spans="1:7">
      <c r="A96" s="36">
        <f ca="1" t="shared" si="1"/>
        <v>116</v>
      </c>
      <c r="B96" s="36">
        <f ca="1" t="array" ref="B96">INDEX(Data_DBD!$E:$E,$A96)</f>
        <v>1</v>
      </c>
      <c r="C96" s="36" t="str">
        <f ca="1" t="array" ref="C96">INDEX(Data_DBD!$F:$F,$A96)</f>
        <v>Tinggi</v>
      </c>
      <c r="E96" s="36">
        <v>20</v>
      </c>
      <c r="F96" s="36">
        <v>0</v>
      </c>
      <c r="G96" s="36" t="s">
        <v>26</v>
      </c>
    </row>
    <row r="97" spans="1:7">
      <c r="A97" s="36">
        <f ca="1" t="shared" si="1"/>
        <v>19</v>
      </c>
      <c r="B97" s="36">
        <f ca="1" t="array" ref="B97">INDEX(Data_DBD!$E:$E,$A97)</f>
        <v>0</v>
      </c>
      <c r="C97" s="36" t="str">
        <f ca="1" t="array" ref="C97">INDEX(Data_DBD!$F:$F,$A97)</f>
        <v>Rendah</v>
      </c>
      <c r="E97" s="36">
        <v>68</v>
      </c>
      <c r="F97" s="36">
        <v>0</v>
      </c>
      <c r="G97" s="36" t="s">
        <v>8</v>
      </c>
    </row>
    <row r="98" spans="1:7">
      <c r="A98" s="36">
        <f ca="1" t="shared" si="1"/>
        <v>68</v>
      </c>
      <c r="B98" s="36">
        <f ca="1" t="array" ref="B98">INDEX(Data_DBD!$E:$E,$A98)</f>
        <v>0</v>
      </c>
      <c r="C98" s="36" t="str">
        <f ca="1" t="array" ref="C98">INDEX(Data_DBD!$F:$F,$A98)</f>
        <v>Sedang</v>
      </c>
      <c r="E98" s="36">
        <v>89</v>
      </c>
      <c r="F98" s="36">
        <v>0</v>
      </c>
      <c r="G98" s="36" t="s">
        <v>8</v>
      </c>
    </row>
    <row r="99" spans="1:7">
      <c r="A99" s="36">
        <f ca="1" t="shared" si="1"/>
        <v>19</v>
      </c>
      <c r="B99" s="36">
        <f ca="1" t="array" ref="B99">INDEX(Data_DBD!$E:$E,$A99)</f>
        <v>0</v>
      </c>
      <c r="C99" s="36" t="str">
        <f ca="1" t="array" ref="C99">INDEX(Data_DBD!$F:$F,$A99)</f>
        <v>Rendah</v>
      </c>
      <c r="E99" s="36">
        <v>23</v>
      </c>
      <c r="F99" s="36">
        <v>1</v>
      </c>
      <c r="G99" s="36" t="s">
        <v>8</v>
      </c>
    </row>
    <row r="100" spans="1:7">
      <c r="A100" s="36">
        <f ca="1" t="shared" si="1"/>
        <v>56</v>
      </c>
      <c r="B100" s="36">
        <f ca="1" t="array" ref="B100">INDEX(Data_DBD!$E:$E,$A100)</f>
        <v>0</v>
      </c>
      <c r="C100" s="36" t="str">
        <f ca="1" t="array" ref="C100">INDEX(Data_DBD!$F:$F,$A100)</f>
        <v>Sedang</v>
      </c>
      <c r="E100" s="36">
        <v>82</v>
      </c>
      <c r="F100" s="36">
        <v>1</v>
      </c>
      <c r="G100" s="36" t="s">
        <v>8</v>
      </c>
    </row>
    <row r="101" spans="1:7">
      <c r="A101" s="36">
        <f ca="1" t="shared" si="1"/>
        <v>49</v>
      </c>
      <c r="B101" s="36">
        <f ca="1" t="array" ref="B101">INDEX(Data_DBD!$E:$E,$A101)</f>
        <v>0</v>
      </c>
      <c r="C101" s="36" t="str">
        <f ca="1" t="array" ref="C101">INDEX(Data_DBD!$F:$F,$A101)</f>
        <v>Sedang</v>
      </c>
      <c r="E101" s="36">
        <v>82</v>
      </c>
      <c r="F101" s="36">
        <v>1</v>
      </c>
      <c r="G101" s="36" t="s">
        <v>8</v>
      </c>
    </row>
    <row r="102" spans="1:7">
      <c r="A102" s="36">
        <f ca="1" t="shared" si="1"/>
        <v>80</v>
      </c>
      <c r="B102" s="36">
        <f ca="1" t="array" ref="B102">INDEX(Data_DBD!$E:$E,$A102)</f>
        <v>1</v>
      </c>
      <c r="C102" s="36" t="str">
        <f ca="1" t="array" ref="C102">INDEX(Data_DBD!$F:$F,$A102)</f>
        <v>Sedang</v>
      </c>
      <c r="E102" s="36">
        <v>94</v>
      </c>
      <c r="F102" s="36">
        <v>0</v>
      </c>
      <c r="G102" s="36" t="s">
        <v>105</v>
      </c>
    </row>
    <row r="103" spans="1:7">
      <c r="A103" s="36">
        <f ca="1" t="shared" si="1"/>
        <v>49</v>
      </c>
      <c r="B103" s="36">
        <f ca="1" t="array" ref="B103">INDEX(Data_DBD!$E:$E,$A103)</f>
        <v>0</v>
      </c>
      <c r="C103" s="36" t="str">
        <f ca="1" t="array" ref="C103">INDEX(Data_DBD!$F:$F,$A103)</f>
        <v>Sedang</v>
      </c>
      <c r="E103" s="36">
        <v>40</v>
      </c>
      <c r="F103" s="36">
        <v>1</v>
      </c>
      <c r="G103" s="36" t="s">
        <v>8</v>
      </c>
    </row>
    <row r="104" spans="1:7">
      <c r="A104" s="36">
        <f ca="1" t="shared" si="1"/>
        <v>146</v>
      </c>
      <c r="B104" s="36">
        <f ca="1" t="array" ref="B104">INDEX(Data_DBD!$E:$E,$A104)</f>
        <v>1</v>
      </c>
      <c r="C104" s="36" t="str">
        <f ca="1" t="array" ref="C104">INDEX(Data_DBD!$F:$F,$A104)</f>
        <v>Tinggi</v>
      </c>
      <c r="E104" s="36">
        <v>32</v>
      </c>
      <c r="F104" s="36">
        <v>0</v>
      </c>
      <c r="G104" s="36" t="s">
        <v>8</v>
      </c>
    </row>
    <row r="105" spans="1:7">
      <c r="A105" s="36">
        <f ca="1" t="shared" si="1"/>
        <v>18</v>
      </c>
      <c r="B105" s="36">
        <f ca="1" t="array" ref="B105">INDEX(Data_DBD!$E:$E,$A105)</f>
        <v>1</v>
      </c>
      <c r="C105" s="36" t="str">
        <f ca="1" t="array" ref="C105">INDEX(Data_DBD!$F:$F,$A105)</f>
        <v>Rendah</v>
      </c>
      <c r="E105" s="36">
        <v>15</v>
      </c>
      <c r="F105" s="36">
        <v>0</v>
      </c>
      <c r="G105" s="36" t="s">
        <v>26</v>
      </c>
    </row>
    <row r="106" spans="1:7">
      <c r="A106" s="36">
        <f ca="1" t="shared" si="1"/>
        <v>24</v>
      </c>
      <c r="B106" s="36">
        <f ca="1" t="array" ref="B106">INDEX(Data_DBD!$E:$E,$A106)</f>
        <v>0</v>
      </c>
      <c r="C106" s="36" t="str">
        <f ca="1" t="array" ref="C106">INDEX(Data_DBD!$F:$F,$A106)</f>
        <v>Sedang</v>
      </c>
      <c r="E106" s="36">
        <v>77</v>
      </c>
      <c r="F106" s="36">
        <v>1</v>
      </c>
      <c r="G106" s="36" t="s">
        <v>8</v>
      </c>
    </row>
    <row r="107" spans="1:7">
      <c r="A107" s="36">
        <f ca="1" t="shared" si="1"/>
        <v>32</v>
      </c>
      <c r="B107" s="36">
        <f ca="1" t="array" ref="B107">INDEX(Data_DBD!$E:$E,$A107)</f>
        <v>0</v>
      </c>
      <c r="C107" s="36" t="str">
        <f ca="1" t="array" ref="C107">INDEX(Data_DBD!$F:$F,$A107)</f>
        <v>Sedang</v>
      </c>
      <c r="E107" s="36">
        <v>87</v>
      </c>
      <c r="F107" s="36">
        <v>0</v>
      </c>
      <c r="G107" s="36" t="s">
        <v>8</v>
      </c>
    </row>
    <row r="108" spans="1:7">
      <c r="A108" s="36">
        <f ca="1" t="shared" si="1"/>
        <v>118</v>
      </c>
      <c r="B108" s="36">
        <f ca="1" t="array" ref="B108">INDEX(Data_DBD!$E:$E,$A108)</f>
        <v>1</v>
      </c>
      <c r="C108" s="36" t="str">
        <f ca="1" t="array" ref="C108">INDEX(Data_DBD!$F:$F,$A108)</f>
        <v>Tinggi</v>
      </c>
      <c r="E108" s="36">
        <v>148</v>
      </c>
      <c r="F108" s="36">
        <v>1</v>
      </c>
      <c r="G108" s="36" t="s">
        <v>105</v>
      </c>
    </row>
    <row r="109" spans="1:7">
      <c r="A109" s="36">
        <f ca="1" t="shared" si="1"/>
        <v>10</v>
      </c>
      <c r="B109" s="36">
        <f ca="1" t="array" ref="B109">INDEX(Data_DBD!$E:$E,$A109)</f>
        <v>0</v>
      </c>
      <c r="C109" s="36" t="str">
        <f ca="1" t="array" ref="C109">INDEX(Data_DBD!$F:$F,$A109)</f>
        <v>Sedang</v>
      </c>
      <c r="E109" s="36">
        <v>7</v>
      </c>
      <c r="F109" s="36">
        <v>1</v>
      </c>
      <c r="G109" s="36" t="s">
        <v>8</v>
      </c>
    </row>
    <row r="110" spans="1:7">
      <c r="A110" s="36">
        <f ca="1" t="shared" si="1"/>
        <v>96</v>
      </c>
      <c r="B110" s="36">
        <f ca="1" t="array" ref="B110">INDEX(Data_DBD!$E:$E,$A110)</f>
        <v>0</v>
      </c>
      <c r="C110" s="36" t="str">
        <f ca="1" t="array" ref="C110">INDEX(Data_DBD!$F:$F,$A110)</f>
        <v>Tinggi</v>
      </c>
      <c r="E110" s="36">
        <v>74</v>
      </c>
      <c r="F110" s="36">
        <v>0</v>
      </c>
      <c r="G110" s="36" t="s">
        <v>8</v>
      </c>
    </row>
    <row r="111" spans="1:7">
      <c r="A111" s="36">
        <f ca="1" t="shared" si="1"/>
        <v>6</v>
      </c>
      <c r="B111" s="36">
        <f ca="1" t="array" ref="B111">INDEX(Data_DBD!$E:$E,$A111)</f>
        <v>0</v>
      </c>
      <c r="C111" s="36" t="str">
        <f ca="1" t="array" ref="C111">INDEX(Data_DBD!$F:$F,$A111)</f>
        <v>Sedang</v>
      </c>
      <c r="E111" s="36">
        <v>14</v>
      </c>
      <c r="F111" s="36">
        <v>1</v>
      </c>
      <c r="G111" s="36" t="s">
        <v>26</v>
      </c>
    </row>
    <row r="112" spans="1:7">
      <c r="A112" s="36">
        <f ca="1" t="shared" si="1"/>
        <v>80</v>
      </c>
      <c r="B112" s="36">
        <f ca="1" t="array" ref="B112">INDEX(Data_DBD!$E:$E,$A112)</f>
        <v>1</v>
      </c>
      <c r="C112" s="36" t="str">
        <f ca="1" t="array" ref="C112">INDEX(Data_DBD!$F:$F,$A112)</f>
        <v>Sedang</v>
      </c>
      <c r="E112" s="36">
        <v>26</v>
      </c>
      <c r="F112" s="36">
        <v>1</v>
      </c>
      <c r="G112" s="36" t="s">
        <v>8</v>
      </c>
    </row>
    <row r="113" spans="1:7">
      <c r="A113" s="36">
        <f ca="1" t="shared" si="1"/>
        <v>85</v>
      </c>
      <c r="B113" s="36">
        <f ca="1" t="array" ref="B113">INDEX(Data_DBD!$E:$E,$A113)</f>
        <v>0</v>
      </c>
      <c r="C113" s="36" t="str">
        <f ca="1" t="array" ref="C113">INDEX(Data_DBD!$F:$F,$A113)</f>
        <v>Sedang</v>
      </c>
      <c r="E113" s="36">
        <v>129</v>
      </c>
      <c r="F113" s="36">
        <v>0</v>
      </c>
      <c r="G113" s="36" t="s">
        <v>105</v>
      </c>
    </row>
    <row r="114" spans="1:7">
      <c r="A114" s="36">
        <f ca="1" t="shared" si="1"/>
        <v>6</v>
      </c>
      <c r="B114" s="36">
        <f ca="1" t="array" ref="B114">INDEX(Data_DBD!$E:$E,$A114)</f>
        <v>0</v>
      </c>
      <c r="C114" s="36" t="str">
        <f ca="1" t="array" ref="C114">INDEX(Data_DBD!$F:$F,$A114)</f>
        <v>Sedang</v>
      </c>
      <c r="E114" s="36">
        <v>159</v>
      </c>
      <c r="F114" s="36">
        <v>0</v>
      </c>
      <c r="G114" s="36" t="s">
        <v>105</v>
      </c>
    </row>
    <row r="115" spans="1:7">
      <c r="A115" s="36">
        <f ca="1" t="shared" si="1"/>
        <v>50</v>
      </c>
      <c r="B115" s="36">
        <f ca="1" t="array" ref="B115">INDEX(Data_DBD!$E:$E,$A115)</f>
        <v>0</v>
      </c>
      <c r="C115" s="36" t="str">
        <f ca="1" t="array" ref="C115">INDEX(Data_DBD!$F:$F,$A115)</f>
        <v>Sedang</v>
      </c>
      <c r="E115" s="36">
        <v>46</v>
      </c>
      <c r="F115" s="36">
        <v>0</v>
      </c>
      <c r="G115" s="36" t="s">
        <v>8</v>
      </c>
    </row>
    <row r="116" spans="1:7">
      <c r="A116" s="36">
        <f ca="1" t="shared" si="1"/>
        <v>106</v>
      </c>
      <c r="B116" s="36">
        <f ca="1" t="array" ref="B116">INDEX(Data_DBD!$E:$E,$A116)</f>
        <v>1</v>
      </c>
      <c r="C116" s="36" t="str">
        <f ca="1" t="array" ref="C116">INDEX(Data_DBD!$F:$F,$A116)</f>
        <v>Tinggi</v>
      </c>
      <c r="E116" s="36">
        <v>37</v>
      </c>
      <c r="F116" s="36">
        <v>1</v>
      </c>
      <c r="G116" s="36" t="s">
        <v>26</v>
      </c>
    </row>
    <row r="117" spans="1:7">
      <c r="A117" s="36">
        <f ca="1" t="shared" si="1"/>
        <v>78</v>
      </c>
      <c r="B117" s="36">
        <f ca="1" t="array" ref="B117">INDEX(Data_DBD!$E:$E,$A117)</f>
        <v>0</v>
      </c>
      <c r="C117" s="36" t="str">
        <f ca="1" t="array" ref="C117">INDEX(Data_DBD!$F:$F,$A117)</f>
        <v>Sedang</v>
      </c>
      <c r="E117" s="36">
        <v>66</v>
      </c>
      <c r="F117" s="36">
        <v>1</v>
      </c>
      <c r="G117" s="36" t="s">
        <v>8</v>
      </c>
    </row>
    <row r="118" spans="1:7">
      <c r="A118" s="36">
        <f ca="1" t="shared" si="1"/>
        <v>103</v>
      </c>
      <c r="B118" s="36">
        <f ca="1" t="array" ref="B118">INDEX(Data_DBD!$E:$E,$A118)</f>
        <v>0</v>
      </c>
      <c r="C118" s="36" t="str">
        <f ca="1" t="array" ref="C118">INDEX(Data_DBD!$F:$F,$A118)</f>
        <v>Tinggi</v>
      </c>
      <c r="E118" s="36">
        <v>104</v>
      </c>
      <c r="F118" s="36">
        <v>1</v>
      </c>
      <c r="G118" s="36" t="s">
        <v>105</v>
      </c>
    </row>
    <row r="119" spans="1:7">
      <c r="A119" s="36">
        <f ca="1" t="shared" si="1"/>
        <v>144</v>
      </c>
      <c r="B119" s="36">
        <f ca="1" t="array" ref="B119">INDEX(Data_DBD!$E:$E,$A119)</f>
        <v>1</v>
      </c>
      <c r="C119" s="36" t="str">
        <f ca="1" t="array" ref="C119">INDEX(Data_DBD!$F:$F,$A119)</f>
        <v>Tinggi</v>
      </c>
      <c r="E119" s="36">
        <v>113</v>
      </c>
      <c r="F119" s="36">
        <v>1</v>
      </c>
      <c r="G119" s="36" t="s">
        <v>105</v>
      </c>
    </row>
    <row r="120" spans="1:7">
      <c r="A120" s="36">
        <f ca="1" t="shared" si="1"/>
        <v>120</v>
      </c>
      <c r="B120" s="36">
        <f ca="1" t="array" ref="B120">INDEX(Data_DBD!$E:$E,$A120)</f>
        <v>1</v>
      </c>
      <c r="C120" s="36" t="str">
        <f ca="1" t="array" ref="C120">INDEX(Data_DBD!$F:$F,$A120)</f>
        <v>Tinggi</v>
      </c>
      <c r="E120" s="36">
        <v>30</v>
      </c>
      <c r="F120" s="36">
        <v>1</v>
      </c>
      <c r="G120" s="36" t="s">
        <v>8</v>
      </c>
    </row>
    <row r="121" spans="1:7">
      <c r="A121" s="36">
        <f ca="1" t="shared" si="1"/>
        <v>100</v>
      </c>
      <c r="B121" s="36">
        <f ca="1" t="array" ref="B121">INDEX(Data_DBD!$E:$E,$A121)</f>
        <v>0</v>
      </c>
      <c r="C121" s="36" t="str">
        <f ca="1" t="array" ref="C121">INDEX(Data_DBD!$F:$F,$A121)</f>
        <v>Tinggi</v>
      </c>
      <c r="E121" s="36">
        <v>43</v>
      </c>
      <c r="F121" s="36">
        <v>0</v>
      </c>
      <c r="G121" s="36" t="s">
        <v>8</v>
      </c>
    </row>
    <row r="122" spans="1:7">
      <c r="A122" s="36">
        <f ca="1" t="shared" si="1"/>
        <v>137</v>
      </c>
      <c r="B122" s="36">
        <f ca="1" t="array" ref="B122">INDEX(Data_DBD!$E:$E,$A122)</f>
        <v>1</v>
      </c>
      <c r="C122" s="36" t="str">
        <f ca="1" t="array" ref="C122">INDEX(Data_DBD!$F:$F,$A122)</f>
        <v>Tinggi</v>
      </c>
      <c r="E122" s="36">
        <v>142</v>
      </c>
      <c r="F122" s="36">
        <v>1</v>
      </c>
      <c r="G122" s="36" t="s">
        <v>105</v>
      </c>
    </row>
    <row r="123" spans="1:7">
      <c r="A123" s="36">
        <f ca="1" t="shared" si="1"/>
        <v>151</v>
      </c>
      <c r="B123" s="36">
        <f ca="1" t="array" ref="B123">INDEX(Data_DBD!$E:$E,$A123)</f>
        <v>0</v>
      </c>
      <c r="C123" s="36" t="str">
        <f ca="1" t="array" ref="C123">INDEX(Data_DBD!$F:$F,$A123)</f>
        <v>Tinggi</v>
      </c>
      <c r="E123" s="36">
        <v>39</v>
      </c>
      <c r="F123" s="36">
        <v>1</v>
      </c>
      <c r="G123" s="36" t="s">
        <v>8</v>
      </c>
    </row>
    <row r="124" spans="1:7">
      <c r="A124" s="36">
        <f ca="1" t="shared" si="1"/>
        <v>18</v>
      </c>
      <c r="B124" s="36">
        <f ca="1" t="array" ref="B124">INDEX(Data_DBD!$E:$E,$A124)</f>
        <v>1</v>
      </c>
      <c r="C124" s="36" t="str">
        <f ca="1" t="array" ref="C124">INDEX(Data_DBD!$F:$F,$A124)</f>
        <v>Rendah</v>
      </c>
      <c r="E124" s="36">
        <v>140</v>
      </c>
      <c r="F124" s="36">
        <v>1</v>
      </c>
      <c r="G124" s="36" t="s">
        <v>105</v>
      </c>
    </row>
    <row r="125" spans="1:7">
      <c r="A125" s="36">
        <f ca="1" t="shared" si="1"/>
        <v>58</v>
      </c>
      <c r="B125" s="36">
        <f ca="1" t="array" ref="B125">INDEX(Data_DBD!$E:$E,$A125)</f>
        <v>0</v>
      </c>
      <c r="C125" s="36" t="str">
        <f ca="1" t="array" ref="C125">INDEX(Data_DBD!$F:$F,$A125)</f>
        <v>Sedang</v>
      </c>
      <c r="E125" s="36">
        <v>119</v>
      </c>
      <c r="F125" s="36">
        <v>0</v>
      </c>
      <c r="G125" s="36" t="s">
        <v>105</v>
      </c>
    </row>
    <row r="126" spans="1:7">
      <c r="A126" s="36">
        <f ca="1" t="shared" si="1"/>
        <v>68</v>
      </c>
      <c r="B126" s="36">
        <f ca="1" t="array" ref="B126">INDEX(Data_DBD!$E:$E,$A126)</f>
        <v>0</v>
      </c>
      <c r="C126" s="36" t="str">
        <f ca="1" t="array" ref="C126">INDEX(Data_DBD!$F:$F,$A126)</f>
        <v>Sedang</v>
      </c>
      <c r="E126" s="36">
        <v>25</v>
      </c>
      <c r="F126" s="36">
        <v>0</v>
      </c>
      <c r="G126" s="36" t="s">
        <v>8</v>
      </c>
    </row>
    <row r="127" spans="1:7">
      <c r="A127" s="36">
        <f ca="1" t="shared" si="1"/>
        <v>15</v>
      </c>
      <c r="B127" s="36">
        <f ca="1" t="array" ref="B127">INDEX(Data_DBD!$E:$E,$A127)</f>
        <v>0</v>
      </c>
      <c r="C127" s="36" t="str">
        <f ca="1" t="array" ref="C127">INDEX(Data_DBD!$F:$F,$A127)</f>
        <v>Rendah</v>
      </c>
      <c r="E127" s="36">
        <v>97</v>
      </c>
      <c r="F127" s="36">
        <v>1</v>
      </c>
      <c r="G127" s="36" t="s">
        <v>105</v>
      </c>
    </row>
    <row r="128" spans="1:7">
      <c r="A128" s="36">
        <f ca="1" t="shared" si="1"/>
        <v>29</v>
      </c>
      <c r="B128" s="36">
        <f ca="1" t="array" ref="B128">INDEX(Data_DBD!$E:$E,$A128)</f>
        <v>1</v>
      </c>
      <c r="C128" s="36" t="str">
        <f ca="1" t="array" ref="C128">INDEX(Data_DBD!$F:$F,$A128)</f>
        <v>Sedang</v>
      </c>
      <c r="E128" s="36">
        <v>112</v>
      </c>
      <c r="F128" s="36">
        <v>1</v>
      </c>
      <c r="G128" s="36" t="s">
        <v>105</v>
      </c>
    </row>
    <row r="129" spans="1:7">
      <c r="A129" s="36">
        <f ca="1" t="shared" si="1"/>
        <v>40</v>
      </c>
      <c r="B129" s="36">
        <f ca="1" t="array" ref="B129">INDEX(Data_DBD!$E:$E,$A129)</f>
        <v>1</v>
      </c>
      <c r="C129" s="36" t="str">
        <f ca="1" t="array" ref="C129">INDEX(Data_DBD!$F:$F,$A129)</f>
        <v>Sedang</v>
      </c>
      <c r="E129" s="36">
        <v>66</v>
      </c>
      <c r="F129" s="36">
        <v>1</v>
      </c>
      <c r="G129" s="36" t="s">
        <v>8</v>
      </c>
    </row>
    <row r="130" spans="1:7">
      <c r="A130" s="36">
        <f ca="1" t="shared" si="1"/>
        <v>81</v>
      </c>
      <c r="B130" s="36">
        <f ca="1" t="array" ref="B130">INDEX(Data_DBD!$E:$E,$A130)</f>
        <v>1</v>
      </c>
      <c r="C130" s="36" t="str">
        <f ca="1" t="array" ref="C130">INDEX(Data_DBD!$F:$F,$A130)</f>
        <v>Sedang</v>
      </c>
      <c r="E130" s="36">
        <v>90</v>
      </c>
      <c r="F130" s="36">
        <v>0</v>
      </c>
      <c r="G130" s="36" t="s">
        <v>105</v>
      </c>
    </row>
    <row r="131" spans="1:7">
      <c r="A131" s="36">
        <f ca="1" t="shared" ref="A131:A164" si="2">RANDBETWEEN(2,164)</f>
        <v>40</v>
      </c>
      <c r="B131" s="36">
        <f ca="1" t="array" ref="B131">INDEX(Data_DBD!$E:$E,$A131)</f>
        <v>1</v>
      </c>
      <c r="C131" s="36" t="str">
        <f ca="1" t="array" ref="C131">INDEX(Data_DBD!$F:$F,$A131)</f>
        <v>Sedang</v>
      </c>
      <c r="E131" s="36">
        <v>11</v>
      </c>
      <c r="F131" s="36">
        <v>1</v>
      </c>
      <c r="G131" s="36" t="s">
        <v>8</v>
      </c>
    </row>
    <row r="132" spans="1:7">
      <c r="A132" s="36">
        <f ca="1" t="shared" si="2"/>
        <v>119</v>
      </c>
      <c r="B132" s="36">
        <f ca="1" t="array" ref="B132">INDEX(Data_DBD!$E:$E,$A132)</f>
        <v>0</v>
      </c>
      <c r="C132" s="36" t="str">
        <f ca="1" t="array" ref="C132">INDEX(Data_DBD!$F:$F,$A132)</f>
        <v>Tinggi</v>
      </c>
      <c r="E132" s="36">
        <v>31</v>
      </c>
      <c r="F132" s="36">
        <v>1</v>
      </c>
      <c r="G132" s="36" t="s">
        <v>8</v>
      </c>
    </row>
    <row r="133" spans="1:7">
      <c r="A133" s="36">
        <f ca="1" t="shared" si="2"/>
        <v>84</v>
      </c>
      <c r="B133" s="36">
        <f ca="1" t="array" ref="B133">INDEX(Data_DBD!$E:$E,$A133)</f>
        <v>1</v>
      </c>
      <c r="C133" s="36" t="str">
        <f ca="1" t="array" ref="C133">INDEX(Data_DBD!$F:$F,$A133)</f>
        <v>Sedang</v>
      </c>
      <c r="E133" s="36">
        <v>47</v>
      </c>
      <c r="F133" s="36">
        <v>0</v>
      </c>
      <c r="G133" s="36" t="s">
        <v>8</v>
      </c>
    </row>
    <row r="134" spans="1:7">
      <c r="A134" s="36">
        <f ca="1" t="shared" si="2"/>
        <v>26</v>
      </c>
      <c r="B134" s="36">
        <f ca="1" t="array" ref="B134">INDEX(Data_DBD!$E:$E,$A134)</f>
        <v>1</v>
      </c>
      <c r="C134" s="36" t="str">
        <f ca="1" t="array" ref="C134">INDEX(Data_DBD!$F:$F,$A134)</f>
        <v>Sedang</v>
      </c>
      <c r="E134" s="36">
        <v>37</v>
      </c>
      <c r="F134" s="36">
        <v>1</v>
      </c>
      <c r="G134" s="36" t="s">
        <v>26</v>
      </c>
    </row>
    <row r="135" spans="1:7">
      <c r="A135" s="36">
        <f ca="1" t="shared" si="2"/>
        <v>162</v>
      </c>
      <c r="B135" s="36">
        <f ca="1" t="array" ref="B135">INDEX(Data_DBD!$E:$E,$A135)</f>
        <v>1</v>
      </c>
      <c r="C135" s="36" t="str">
        <f ca="1" t="array" ref="C135">INDEX(Data_DBD!$F:$F,$A135)</f>
        <v>Rendah</v>
      </c>
      <c r="E135" s="36">
        <v>85</v>
      </c>
      <c r="F135" s="36">
        <v>0</v>
      </c>
      <c r="G135" s="36" t="s">
        <v>8</v>
      </c>
    </row>
    <row r="136" spans="1:7">
      <c r="A136" s="36">
        <f ca="1" t="shared" si="2"/>
        <v>140</v>
      </c>
      <c r="B136" s="36">
        <f ca="1" t="array" ref="B136">INDEX(Data_DBD!$E:$E,$A136)</f>
        <v>1</v>
      </c>
      <c r="C136" s="36" t="str">
        <f ca="1" t="array" ref="C136">INDEX(Data_DBD!$F:$F,$A136)</f>
        <v>Tinggi</v>
      </c>
      <c r="E136" s="36">
        <v>26</v>
      </c>
      <c r="F136" s="36">
        <v>1</v>
      </c>
      <c r="G136" s="36" t="s">
        <v>8</v>
      </c>
    </row>
    <row r="137" spans="1:7">
      <c r="A137" s="36">
        <f ca="1" t="shared" si="2"/>
        <v>46</v>
      </c>
      <c r="B137" s="36">
        <f ca="1" t="array" ref="B137">INDEX(Data_DBD!$E:$E,$A137)</f>
        <v>0</v>
      </c>
      <c r="C137" s="36" t="str">
        <f ca="1" t="array" ref="C137">INDEX(Data_DBD!$F:$F,$A137)</f>
        <v>Sedang</v>
      </c>
      <c r="E137" s="36">
        <v>113</v>
      </c>
      <c r="F137" s="36">
        <v>1</v>
      </c>
      <c r="G137" s="36" t="s">
        <v>105</v>
      </c>
    </row>
    <row r="138" spans="1:7">
      <c r="A138" s="36">
        <f ca="1" t="shared" si="2"/>
        <v>52</v>
      </c>
      <c r="B138" s="36">
        <f ca="1" t="array" ref="B138">INDEX(Data_DBD!$E:$E,$A138)</f>
        <v>1</v>
      </c>
      <c r="C138" s="36" t="str">
        <f ca="1" t="array" ref="C138">INDEX(Data_DBD!$F:$F,$A138)</f>
        <v>Sedang</v>
      </c>
      <c r="E138" s="36">
        <v>140</v>
      </c>
      <c r="F138" s="36">
        <v>1</v>
      </c>
      <c r="G138" s="36" t="s">
        <v>105</v>
      </c>
    </row>
    <row r="139" spans="1:7">
      <c r="A139" s="36">
        <f ca="1" t="shared" si="2"/>
        <v>103</v>
      </c>
      <c r="B139" s="36">
        <f ca="1" t="array" ref="B139">INDEX(Data_DBD!$E:$E,$A139)</f>
        <v>0</v>
      </c>
      <c r="C139" s="36" t="str">
        <f ca="1" t="array" ref="C139">INDEX(Data_DBD!$F:$F,$A139)</f>
        <v>Tinggi</v>
      </c>
      <c r="E139" s="36">
        <v>15</v>
      </c>
      <c r="F139" s="36">
        <v>0</v>
      </c>
      <c r="G139" s="36" t="s">
        <v>26</v>
      </c>
    </row>
    <row r="140" spans="1:7">
      <c r="A140" s="36">
        <f ca="1" t="shared" si="2"/>
        <v>115</v>
      </c>
      <c r="B140" s="36">
        <f ca="1" t="array" ref="B140">INDEX(Data_DBD!$E:$E,$A140)</f>
        <v>1</v>
      </c>
      <c r="C140" s="36" t="str">
        <f ca="1" t="array" ref="C140">INDEX(Data_DBD!$F:$F,$A140)</f>
        <v>Tinggi</v>
      </c>
      <c r="E140" s="36">
        <v>63</v>
      </c>
      <c r="F140" s="36">
        <v>0</v>
      </c>
      <c r="G140" s="36" t="s">
        <v>8</v>
      </c>
    </row>
    <row r="141" spans="1:7">
      <c r="A141" s="36">
        <f ca="1" t="shared" si="2"/>
        <v>49</v>
      </c>
      <c r="B141" s="36">
        <f ca="1" t="array" ref="B141">INDEX(Data_DBD!$E:$E,$A141)</f>
        <v>0</v>
      </c>
      <c r="C141" s="36" t="str">
        <f ca="1" t="array" ref="C141">INDEX(Data_DBD!$F:$F,$A141)</f>
        <v>Sedang</v>
      </c>
      <c r="E141" s="36">
        <v>38</v>
      </c>
      <c r="F141" s="36">
        <v>1</v>
      </c>
      <c r="G141" s="36" t="s">
        <v>26</v>
      </c>
    </row>
    <row r="142" spans="1:7">
      <c r="A142" s="36">
        <f ca="1" t="shared" si="2"/>
        <v>12</v>
      </c>
      <c r="B142" s="36">
        <f ca="1" t="array" ref="B142">INDEX(Data_DBD!$E:$E,$A142)</f>
        <v>0</v>
      </c>
      <c r="C142" s="36" t="str">
        <f ca="1" t="array" ref="C142">INDEX(Data_DBD!$F:$F,$A142)</f>
        <v>Sedang</v>
      </c>
      <c r="E142" s="36">
        <v>40</v>
      </c>
      <c r="F142" s="36">
        <v>1</v>
      </c>
      <c r="G142" s="36" t="s">
        <v>8</v>
      </c>
    </row>
    <row r="143" spans="1:7">
      <c r="A143" s="36">
        <f ca="1" t="shared" si="2"/>
        <v>9</v>
      </c>
      <c r="B143" s="36">
        <f ca="1" t="array" ref="B143">INDEX(Data_DBD!$E:$E,$A143)</f>
        <v>1</v>
      </c>
      <c r="C143" s="36" t="str">
        <f ca="1" t="array" ref="C143">INDEX(Data_DBD!$F:$F,$A143)</f>
        <v>Sedang</v>
      </c>
      <c r="E143" s="36">
        <v>151</v>
      </c>
      <c r="F143" s="36">
        <v>0</v>
      </c>
      <c r="G143" s="36" t="s">
        <v>105</v>
      </c>
    </row>
    <row r="144" spans="1:7">
      <c r="A144" s="36">
        <f ca="1" t="shared" si="2"/>
        <v>140</v>
      </c>
      <c r="B144" s="36">
        <f ca="1" t="array" ref="B144">INDEX(Data_DBD!$E:$E,$A144)</f>
        <v>1</v>
      </c>
      <c r="C144" s="36" t="str">
        <f ca="1" t="array" ref="C144">INDEX(Data_DBD!$F:$F,$A144)</f>
        <v>Tinggi</v>
      </c>
      <c r="E144" s="36">
        <v>110</v>
      </c>
      <c r="F144" s="36">
        <v>1</v>
      </c>
      <c r="G144" s="36" t="s">
        <v>105</v>
      </c>
    </row>
    <row r="145" spans="1:7">
      <c r="A145" s="36">
        <f ca="1" t="shared" si="2"/>
        <v>147</v>
      </c>
      <c r="B145" s="36">
        <f ca="1" t="array" ref="B145">INDEX(Data_DBD!$E:$E,$A145)</f>
        <v>1</v>
      </c>
      <c r="C145" s="36" t="str">
        <f ca="1" t="array" ref="C145">INDEX(Data_DBD!$F:$F,$A145)</f>
        <v>Tinggi</v>
      </c>
      <c r="E145" s="36">
        <v>39</v>
      </c>
      <c r="F145" s="36">
        <v>1</v>
      </c>
      <c r="G145" s="36" t="s">
        <v>8</v>
      </c>
    </row>
    <row r="146" spans="1:7">
      <c r="A146" s="36">
        <f ca="1" t="shared" si="2"/>
        <v>96</v>
      </c>
      <c r="B146" s="36">
        <f ca="1" t="array" ref="B146">INDEX(Data_DBD!$E:$E,$A146)</f>
        <v>0</v>
      </c>
      <c r="C146" s="36" t="str">
        <f ca="1" t="array" ref="C146">INDEX(Data_DBD!$F:$F,$A146)</f>
        <v>Tinggi</v>
      </c>
      <c r="E146" s="36">
        <v>100</v>
      </c>
      <c r="F146" s="36">
        <v>0</v>
      </c>
      <c r="G146" s="36" t="s">
        <v>105</v>
      </c>
    </row>
    <row r="147" spans="1:7">
      <c r="A147" s="36">
        <f ca="1" t="shared" si="2"/>
        <v>34</v>
      </c>
      <c r="B147" s="36">
        <f ca="1" t="array" ref="B147">INDEX(Data_DBD!$E:$E,$A147)</f>
        <v>0</v>
      </c>
      <c r="C147" s="36" t="str">
        <f ca="1" t="array" ref="C147">INDEX(Data_DBD!$F:$F,$A147)</f>
        <v>Sedang</v>
      </c>
      <c r="E147" s="36">
        <v>57</v>
      </c>
      <c r="F147" s="36">
        <v>1</v>
      </c>
      <c r="G147" s="36" t="s">
        <v>8</v>
      </c>
    </row>
    <row r="148" spans="1:7">
      <c r="A148" s="36">
        <f ca="1" t="shared" si="2"/>
        <v>144</v>
      </c>
      <c r="B148" s="36">
        <f ca="1" t="array" ref="B148">INDEX(Data_DBD!$E:$E,$A148)</f>
        <v>1</v>
      </c>
      <c r="C148" s="36" t="str">
        <f ca="1" t="array" ref="C148">INDEX(Data_DBD!$F:$F,$A148)</f>
        <v>Tinggi</v>
      </c>
      <c r="E148" s="36">
        <v>74</v>
      </c>
      <c r="F148" s="36">
        <v>0</v>
      </c>
      <c r="G148" s="36" t="s">
        <v>8</v>
      </c>
    </row>
    <row r="149" spans="1:7">
      <c r="A149" s="36">
        <f ca="1" t="shared" si="2"/>
        <v>94</v>
      </c>
      <c r="B149" s="36">
        <f ca="1" t="array" ref="B149">INDEX(Data_DBD!$E:$E,$A149)</f>
        <v>0</v>
      </c>
      <c r="C149" s="36" t="str">
        <f ca="1" t="array" ref="C149">INDEX(Data_DBD!$F:$F,$A149)</f>
        <v>Tinggi</v>
      </c>
      <c r="E149" s="36">
        <v>85</v>
      </c>
      <c r="F149" s="36">
        <v>0</v>
      </c>
      <c r="G149" s="36" t="s">
        <v>8</v>
      </c>
    </row>
    <row r="150" spans="1:7">
      <c r="A150" s="36">
        <f ca="1" t="shared" si="2"/>
        <v>137</v>
      </c>
      <c r="B150" s="36">
        <f ca="1" t="array" ref="B150">INDEX(Data_DBD!$E:$E,$A150)</f>
        <v>1</v>
      </c>
      <c r="C150" s="36" t="str">
        <f ca="1" t="array" ref="C150">INDEX(Data_DBD!$F:$F,$A150)</f>
        <v>Tinggi</v>
      </c>
      <c r="E150" s="36">
        <v>53</v>
      </c>
      <c r="F150" s="36">
        <v>1</v>
      </c>
      <c r="G150" s="36" t="s">
        <v>8</v>
      </c>
    </row>
    <row r="151" spans="1:7">
      <c r="A151" s="36">
        <f ca="1" t="shared" si="2"/>
        <v>28</v>
      </c>
      <c r="B151" s="36">
        <f ca="1" t="array" ref="B151">INDEX(Data_DBD!$E:$E,$A151)</f>
        <v>1</v>
      </c>
      <c r="C151" s="36" t="str">
        <f ca="1" t="array" ref="C151">INDEX(Data_DBD!$F:$F,$A151)</f>
        <v>Sedang</v>
      </c>
      <c r="E151" s="36">
        <v>119</v>
      </c>
      <c r="F151" s="36">
        <v>0</v>
      </c>
      <c r="G151" s="36" t="s">
        <v>105</v>
      </c>
    </row>
    <row r="152" spans="1:7">
      <c r="A152" s="36">
        <f ca="1" t="shared" si="2"/>
        <v>6</v>
      </c>
      <c r="B152" s="36">
        <f ca="1" t="array" ref="B152">INDEX(Data_DBD!$E:$E,$A152)</f>
        <v>0</v>
      </c>
      <c r="C152" s="36" t="str">
        <f ca="1" t="array" ref="C152">INDEX(Data_DBD!$F:$F,$A152)</f>
        <v>Sedang</v>
      </c>
      <c r="E152" s="36">
        <v>136</v>
      </c>
      <c r="F152" s="36">
        <v>0</v>
      </c>
      <c r="G152" s="36" t="s">
        <v>105</v>
      </c>
    </row>
    <row r="153" spans="1:7">
      <c r="A153" s="36">
        <f ca="1" t="shared" si="2"/>
        <v>15</v>
      </c>
      <c r="B153" s="36">
        <f ca="1" t="array" ref="B153">INDEX(Data_DBD!$E:$E,$A153)</f>
        <v>0</v>
      </c>
      <c r="C153" s="36" t="str">
        <f ca="1" t="array" ref="C153">INDEX(Data_DBD!$F:$F,$A153)</f>
        <v>Rendah</v>
      </c>
      <c r="E153" s="36">
        <v>62</v>
      </c>
      <c r="F153" s="36">
        <v>1</v>
      </c>
      <c r="G153" s="36" t="s">
        <v>8</v>
      </c>
    </row>
    <row r="154" spans="1:7">
      <c r="A154" s="36">
        <f ca="1" t="shared" si="2"/>
        <v>152</v>
      </c>
      <c r="B154" s="36">
        <f ca="1" t="array" ref="B154">INDEX(Data_DBD!$E:$E,$A154)</f>
        <v>1</v>
      </c>
      <c r="C154" s="36" t="str">
        <f ca="1" t="array" ref="C154">INDEX(Data_DBD!$F:$F,$A154)</f>
        <v>Tinggi</v>
      </c>
      <c r="E154" s="36">
        <v>15</v>
      </c>
      <c r="F154" s="36">
        <v>0</v>
      </c>
      <c r="G154" s="36" t="s">
        <v>26</v>
      </c>
    </row>
    <row r="155" spans="1:7">
      <c r="A155" s="36">
        <f ca="1" t="shared" si="2"/>
        <v>107</v>
      </c>
      <c r="B155" s="36">
        <f ca="1" t="array" ref="B155">INDEX(Data_DBD!$E:$E,$A155)</f>
        <v>0</v>
      </c>
      <c r="C155" s="36" t="str">
        <f ca="1" t="array" ref="C155">INDEX(Data_DBD!$F:$F,$A155)</f>
        <v>Tinggi</v>
      </c>
      <c r="E155" s="36">
        <v>104</v>
      </c>
      <c r="F155" s="36">
        <v>1</v>
      </c>
      <c r="G155" s="36" t="s">
        <v>105</v>
      </c>
    </row>
    <row r="156" spans="1:7">
      <c r="A156" s="36">
        <f ca="1" t="shared" si="2"/>
        <v>121</v>
      </c>
      <c r="B156" s="36">
        <f ca="1" t="array" ref="B156">INDEX(Data_DBD!$E:$E,$A156)</f>
        <v>1</v>
      </c>
      <c r="C156" s="36" t="str">
        <f ca="1" t="array" ref="C156">INDEX(Data_DBD!$F:$F,$A156)</f>
        <v>Tinggi</v>
      </c>
      <c r="E156" s="36">
        <v>114</v>
      </c>
      <c r="F156" s="36">
        <v>1</v>
      </c>
      <c r="G156" s="36" t="s">
        <v>105</v>
      </c>
    </row>
    <row r="157" spans="1:7">
      <c r="A157" s="36">
        <f ca="1" t="shared" si="2"/>
        <v>109</v>
      </c>
      <c r="B157" s="36">
        <f ca="1" t="array" ref="B157">INDEX(Data_DBD!$E:$E,$A157)</f>
        <v>1</v>
      </c>
      <c r="C157" s="36" t="str">
        <f ca="1" t="array" ref="C157">INDEX(Data_DBD!$F:$F,$A157)</f>
        <v>Tinggi</v>
      </c>
      <c r="E157" s="36">
        <v>164</v>
      </c>
      <c r="F157" s="36">
        <v>0</v>
      </c>
      <c r="G157" s="36" t="s">
        <v>26</v>
      </c>
    </row>
    <row r="158" spans="1:7">
      <c r="A158" s="36">
        <f ca="1" t="shared" si="2"/>
        <v>121</v>
      </c>
      <c r="B158" s="36">
        <f ca="1" t="array" ref="B158">INDEX(Data_DBD!$E:$E,$A158)</f>
        <v>1</v>
      </c>
      <c r="C158" s="36" t="str">
        <f ca="1" t="array" ref="C158">INDEX(Data_DBD!$F:$F,$A158)</f>
        <v>Tinggi</v>
      </c>
      <c r="E158" s="36">
        <v>136</v>
      </c>
      <c r="F158" s="36">
        <v>0</v>
      </c>
      <c r="G158" s="36" t="s">
        <v>105</v>
      </c>
    </row>
    <row r="159" ht="15.75" spans="1:16">
      <c r="A159" s="36">
        <f ca="1" t="shared" si="2"/>
        <v>40</v>
      </c>
      <c r="B159" s="36">
        <f ca="1" t="array" ref="B159">INDEX(Data_DBD!$E:$E,$A159)</f>
        <v>1</v>
      </c>
      <c r="C159" s="36" t="str">
        <f ca="1" t="array" ref="C159">INDEX(Data_DBD!$F:$F,$A159)</f>
        <v>Sedang</v>
      </c>
      <c r="E159" s="36">
        <v>150</v>
      </c>
      <c r="F159" s="36">
        <v>1</v>
      </c>
      <c r="G159" s="36" t="s">
        <v>105</v>
      </c>
      <c r="P159" s="42" t="s">
        <v>300</v>
      </c>
    </row>
    <row r="160" ht="15.75" spans="1:16">
      <c r="A160" s="36">
        <f ca="1" t="shared" si="2"/>
        <v>152</v>
      </c>
      <c r="B160" s="36">
        <f ca="1" t="array" ref="B160">INDEX(Data_DBD!$E:$E,$A160)</f>
        <v>1</v>
      </c>
      <c r="C160" s="36" t="str">
        <f ca="1" t="array" ref="C160">INDEX(Data_DBD!$F:$F,$A160)</f>
        <v>Tinggi</v>
      </c>
      <c r="E160" s="36">
        <v>6</v>
      </c>
      <c r="F160" s="36">
        <v>0</v>
      </c>
      <c r="G160" s="36" t="s">
        <v>8</v>
      </c>
      <c r="P160" s="43" t="s">
        <v>244</v>
      </c>
    </row>
    <row r="161" ht="15.75" spans="1:16">
      <c r="A161" s="36">
        <f ca="1" t="shared" si="2"/>
        <v>71</v>
      </c>
      <c r="B161" s="36">
        <f ca="1" t="array" ref="B161">INDEX(Data_DBD!$E:$E,$A161)</f>
        <v>0</v>
      </c>
      <c r="C161" s="36" t="str">
        <f ca="1" t="array" ref="C161">INDEX(Data_DBD!$F:$F,$A161)</f>
        <v>Sedang</v>
      </c>
      <c r="E161" s="36">
        <v>137</v>
      </c>
      <c r="F161" s="36">
        <v>1</v>
      </c>
      <c r="G161" s="36" t="s">
        <v>105</v>
      </c>
      <c r="P161" s="44" t="s">
        <v>245</v>
      </c>
    </row>
    <row r="162" ht="15.75" spans="1:16">
      <c r="A162" s="36">
        <f ca="1" t="shared" si="2"/>
        <v>34</v>
      </c>
      <c r="B162" s="36">
        <f ca="1" t="array" ref="B162">INDEX(Data_DBD!$E:$E,$A162)</f>
        <v>0</v>
      </c>
      <c r="C162" s="36" t="str">
        <f ca="1" t="array" ref="C162">INDEX(Data_DBD!$F:$F,$A162)</f>
        <v>Sedang</v>
      </c>
      <c r="E162" s="36">
        <v>20</v>
      </c>
      <c r="F162" s="36">
        <v>0</v>
      </c>
      <c r="G162" s="36" t="s">
        <v>26</v>
      </c>
      <c r="P162" s="44" t="s">
        <v>269</v>
      </c>
    </row>
    <row r="163" ht="15.75" spans="1:16">
      <c r="A163" s="36">
        <f ca="1" t="shared" si="2"/>
        <v>16</v>
      </c>
      <c r="B163" s="36">
        <f ca="1" t="array" ref="B163">INDEX(Data_DBD!$E:$E,$A163)</f>
        <v>1</v>
      </c>
      <c r="C163" s="36" t="str">
        <f ca="1" t="array" ref="C163">INDEX(Data_DBD!$F:$F,$A163)</f>
        <v>Rendah</v>
      </c>
      <c r="E163" s="36">
        <v>74</v>
      </c>
      <c r="F163" s="36">
        <v>0</v>
      </c>
      <c r="G163" s="36" t="s">
        <v>8</v>
      </c>
      <c r="P163" s="43" t="s">
        <v>190</v>
      </c>
    </row>
    <row r="164" ht="15.75" spans="1:16">
      <c r="A164" s="36">
        <f ca="1" t="shared" si="2"/>
        <v>86</v>
      </c>
      <c r="B164" s="36">
        <f ca="1" t="array" ref="B164">INDEX(Data_DBD!$E:$E,$A164)</f>
        <v>0</v>
      </c>
      <c r="C164" s="36" t="str">
        <f ca="1" t="array" ref="C164">INDEX(Data_DBD!$F:$F,$A164)</f>
        <v>Sedang</v>
      </c>
      <c r="E164" s="36">
        <v>136</v>
      </c>
      <c r="F164" s="36">
        <v>0</v>
      </c>
      <c r="G164" s="36" t="s">
        <v>105</v>
      </c>
      <c r="P164" s="44" t="s">
        <v>301</v>
      </c>
    </row>
    <row r="165" spans="6:6">
      <c r="F165" s="48">
        <f>AVERAGE(F2:F164)</f>
        <v>0.539877300613497</v>
      </c>
    </row>
    <row r="166" spans="2:2">
      <c r="B166">
        <v>2</v>
      </c>
    </row>
    <row r="168" spans="5:5">
      <c r="E168" s="40" t="s">
        <v>210</v>
      </c>
    </row>
    <row r="169" spans="5:7">
      <c r="E169" s="36" t="s">
        <v>213</v>
      </c>
      <c r="F169" s="36">
        <f>AVERAGEIF($F$2:$F$164,"&lt;="&amp;$F$165)</f>
        <v>0</v>
      </c>
      <c r="G169" s="36">
        <f>AVERAGEIF($F$2:$F$164,"&gt;"&amp;$F$165)</f>
        <v>1</v>
      </c>
    </row>
    <row r="170" spans="5:7">
      <c r="E170" s="36" t="str">
        <f t="array" ref="E170:E332">IF($F$2:$F$164&lt;$F$169,"kiri",IF($F$2:$F$164&lt;$G$169,"tengah","kanan"))</f>
        <v>kanan</v>
      </c>
      <c r="F170" s="36" t="s">
        <v>217</v>
      </c>
      <c r="G170" s="36"/>
    </row>
    <row r="171" spans="5:7">
      <c r="E171" s="36" t="str">
        <v>tengah</v>
      </c>
      <c r="F171" s="36">
        <f>COUNTIFS($E$170:$E$332,"Kanan",$G$2:$G$164,"Tinggi")</f>
        <v>35</v>
      </c>
      <c r="G171" s="36">
        <f>F171/88</f>
        <v>0.397727272727273</v>
      </c>
    </row>
    <row r="172" spans="5:7">
      <c r="E172" s="36" t="str">
        <v>kanan</v>
      </c>
      <c r="F172" s="36">
        <f>COUNTIFS($E$170:$E$332,"Kanan",$G$2:$G$164,"Sedang")</f>
        <v>43</v>
      </c>
      <c r="G172" s="36">
        <f>F172/88</f>
        <v>0.488636363636364</v>
      </c>
    </row>
    <row r="173" spans="5:7">
      <c r="E173" s="36" t="str">
        <v>tengah</v>
      </c>
      <c r="F173" s="36">
        <f>COUNTIFS($E$170:$E$332,"Kanan",$G$2:$G$164,"Rendah")</f>
        <v>10</v>
      </c>
      <c r="G173" s="36">
        <f>F173/88</f>
        <v>0.113636363636364</v>
      </c>
    </row>
    <row r="174" spans="5:7">
      <c r="E174" s="36" t="str">
        <v>kanan</v>
      </c>
      <c r="F174" s="36" t="s">
        <v>218</v>
      </c>
      <c r="G174" s="36">
        <f>-(IFERROR(G171*LOG(G171,2),0)+IFERROR(G172*LOG(G172,2),0)+IFERROR(G173*LOG(G173,2),0))</f>
        <v>1.39041376643119</v>
      </c>
    </row>
    <row r="175" spans="5:7">
      <c r="E175" s="36" t="str">
        <v>kanan</v>
      </c>
      <c r="F175" s="36"/>
      <c r="G175" s="36">
        <f>SUM(F171:F173)/163</f>
        <v>0.539877300613497</v>
      </c>
    </row>
    <row r="176" spans="5:7">
      <c r="E176" s="36" t="str">
        <v>kanan</v>
      </c>
      <c r="F176" s="36"/>
      <c r="G176" s="41">
        <f>G174*G175</f>
        <v>0.750652830956715</v>
      </c>
    </row>
    <row r="177" spans="5:7">
      <c r="E177" s="36" t="str">
        <v>kanan</v>
      </c>
      <c r="F177" s="36"/>
      <c r="G177" s="36"/>
    </row>
    <row r="178" spans="5:7">
      <c r="E178" s="36" t="str">
        <v>tengah</v>
      </c>
      <c r="F178" s="36"/>
      <c r="G178" s="36"/>
    </row>
    <row r="179" spans="5:7">
      <c r="E179" s="36" t="str">
        <v>kanan</v>
      </c>
      <c r="F179" s="36" t="s">
        <v>222</v>
      </c>
      <c r="G179" s="36"/>
    </row>
    <row r="180" spans="5:7">
      <c r="E180" s="36" t="str">
        <v>kanan</v>
      </c>
      <c r="F180" s="36">
        <f>COUNTIFS($E$170:$E$332,"Kiri",$G$2:$G$164,"Tinggi")</f>
        <v>0</v>
      </c>
      <c r="G180" s="36">
        <f>F180/88</f>
        <v>0</v>
      </c>
    </row>
    <row r="181" spans="5:7">
      <c r="E181" s="36" t="str">
        <v>kanan</v>
      </c>
      <c r="F181" s="36">
        <f>COUNTIFS($E$170:$E$332,"Kiri",$G$2:$G$164,"Sedang")</f>
        <v>0</v>
      </c>
      <c r="G181" s="36">
        <f>F181/88</f>
        <v>0</v>
      </c>
    </row>
    <row r="182" spans="5:7">
      <c r="E182" s="36" t="str">
        <v>kanan</v>
      </c>
      <c r="F182" s="36">
        <f>COUNTIFS($E$170:$E$332,"Kiri",$G$2:$G$164,"Rendah")</f>
        <v>0</v>
      </c>
      <c r="G182" s="36">
        <f>F182/88</f>
        <v>0</v>
      </c>
    </row>
    <row r="183" spans="5:7">
      <c r="E183" s="36" t="str">
        <v>tengah</v>
      </c>
      <c r="F183" s="36" t="s">
        <v>218</v>
      </c>
      <c r="G183" s="36">
        <f>-(IFERROR(G180*LOG(G180,2),0)+IFERROR(G181*LOG(G181,2),0)+IFERROR(G182*LOG(G182,2),0))</f>
        <v>0</v>
      </c>
    </row>
    <row r="184" spans="5:7">
      <c r="E184" s="36" t="str">
        <v>tengah</v>
      </c>
      <c r="F184" s="36"/>
      <c r="G184" s="36">
        <f>SUM(F180:F182)/163</f>
        <v>0</v>
      </c>
    </row>
    <row r="185" spans="5:7">
      <c r="E185" s="36" t="str">
        <v>tengah</v>
      </c>
      <c r="F185" s="36"/>
      <c r="G185" s="41">
        <f>G183*G184</f>
        <v>0</v>
      </c>
    </row>
    <row r="186" spans="5:7">
      <c r="E186" s="36" t="str">
        <v>kanan</v>
      </c>
      <c r="F186" s="36"/>
      <c r="G186" s="36"/>
    </row>
    <row r="187" spans="5:7">
      <c r="E187" s="36" t="str">
        <v>tengah</v>
      </c>
      <c r="F187" s="36"/>
      <c r="G187" s="36"/>
    </row>
    <row r="188" spans="5:7">
      <c r="E188" s="36" t="str">
        <v>tengah</v>
      </c>
      <c r="F188" s="36" t="s">
        <v>223</v>
      </c>
      <c r="G188" s="36"/>
    </row>
    <row r="189" spans="5:7">
      <c r="E189" s="36" t="str">
        <v>kanan</v>
      </c>
      <c r="F189" s="36">
        <f>COUNTIFS($E$170:$E$332,"Tengah",$G$2:$G$164,"Tinggi")</f>
        <v>27</v>
      </c>
      <c r="G189" s="36">
        <f>F189/75</f>
        <v>0.36</v>
      </c>
    </row>
    <row r="190" spans="5:7">
      <c r="E190" s="36" t="str">
        <v>tengah</v>
      </c>
      <c r="F190" s="36">
        <f>COUNTIFS($E$170:$E$332,"Tengah",$G$2:$G$164,"Sedang")</f>
        <v>40</v>
      </c>
      <c r="G190" s="36">
        <f>F190/75</f>
        <v>0.533333333333333</v>
      </c>
    </row>
    <row r="191" spans="5:7">
      <c r="E191" s="36" t="str">
        <v>tengah</v>
      </c>
      <c r="F191" s="36">
        <f>COUNTIFS($E$170:$E$332,"Tengah",$G$2:$G$164,"Rendah")</f>
        <v>8</v>
      </c>
      <c r="G191" s="36">
        <f>F191/75</f>
        <v>0.106666666666667</v>
      </c>
    </row>
    <row r="192" spans="5:7">
      <c r="E192" s="36" t="str">
        <v>kanan</v>
      </c>
      <c r="F192" s="36" t="s">
        <v>218</v>
      </c>
      <c r="G192" s="36">
        <f>-(IFERROR(G189*LOG(G189,2),0)+IFERROR(G190*LOG(G190,2),0)+IFERROR(G191*LOG(G191,2),0))</f>
        <v>1.35869753911044</v>
      </c>
    </row>
    <row r="193" spans="5:7">
      <c r="E193" s="36" t="str">
        <v>kanan</v>
      </c>
      <c r="F193" s="36"/>
      <c r="G193" s="36">
        <f>SUM(F189:F191)/163</f>
        <v>0.460122699386503</v>
      </c>
    </row>
    <row r="194" spans="5:7">
      <c r="E194" s="36" t="str">
        <v>tengah</v>
      </c>
      <c r="F194" s="36"/>
      <c r="G194" s="41">
        <f>G192*G193</f>
        <v>0.625167579345294</v>
      </c>
    </row>
    <row r="195" spans="5:7">
      <c r="E195" s="36" t="str">
        <v>tengah</v>
      </c>
      <c r="F195" s="36"/>
      <c r="G195" s="36"/>
    </row>
    <row r="196" spans="5:7">
      <c r="E196" s="36" t="str">
        <v>kanan</v>
      </c>
      <c r="F196" s="36" t="s">
        <v>224</v>
      </c>
      <c r="G196" s="45" t="s">
        <v>218</v>
      </c>
    </row>
    <row r="197" spans="5:7">
      <c r="E197" s="36" t="str">
        <v>kanan</v>
      </c>
      <c r="F197" s="46">
        <f>J5-(G176+G185+G194)</f>
        <v>0.00145317907175202</v>
      </c>
      <c r="G197" s="41">
        <f>(G176+G185+G194)</f>
        <v>1.37582041030201</v>
      </c>
    </row>
    <row r="198" spans="5:7">
      <c r="E198" s="36" t="str">
        <v>kanan</v>
      </c>
      <c r="F198" s="36"/>
      <c r="G198" s="36"/>
    </row>
    <row r="199" spans="5:7">
      <c r="E199" s="36" t="str">
        <v>tengah</v>
      </c>
      <c r="F199" s="36"/>
      <c r="G199" s="36"/>
    </row>
    <row r="200" spans="5:7">
      <c r="E200" s="36" t="str">
        <v>kanan</v>
      </c>
      <c r="F200" s="36"/>
      <c r="G200" s="36"/>
    </row>
    <row r="201" spans="5:7">
      <c r="E201" s="36" t="str">
        <v>kanan</v>
      </c>
      <c r="F201" s="36"/>
      <c r="G201" s="36"/>
    </row>
    <row r="202" spans="5:7">
      <c r="E202" s="36" t="str">
        <v>kanan</v>
      </c>
      <c r="F202" s="36"/>
      <c r="G202" s="36"/>
    </row>
    <row r="203" spans="5:7">
      <c r="E203" s="36" t="str">
        <v>tengah</v>
      </c>
      <c r="F203" s="36"/>
      <c r="G203" s="36"/>
    </row>
    <row r="204" spans="5:7">
      <c r="E204" s="36" t="str">
        <v>tengah</v>
      </c>
      <c r="F204" s="36"/>
      <c r="G204" s="36"/>
    </row>
    <row r="205" spans="5:7">
      <c r="E205" s="36" t="str">
        <v>kanan</v>
      </c>
      <c r="F205" s="36"/>
      <c r="G205" s="36"/>
    </row>
    <row r="206" spans="5:7">
      <c r="E206" s="36" t="str">
        <v>kanan</v>
      </c>
      <c r="F206" s="36"/>
      <c r="G206" s="36"/>
    </row>
    <row r="207" spans="5:7">
      <c r="E207" s="36" t="str">
        <v>tengah</v>
      </c>
      <c r="F207" s="36"/>
      <c r="G207" s="36"/>
    </row>
    <row r="208" spans="5:7">
      <c r="E208" s="36" t="str">
        <v>kanan</v>
      </c>
      <c r="F208" s="36"/>
      <c r="G208" s="36"/>
    </row>
    <row r="209" spans="5:7">
      <c r="E209" s="36" t="str">
        <v>kanan</v>
      </c>
      <c r="F209" s="36"/>
      <c r="G209" s="36"/>
    </row>
    <row r="210" spans="5:7">
      <c r="E210" s="36" t="str">
        <v>tengah</v>
      </c>
      <c r="F210" s="36"/>
      <c r="G210" s="36"/>
    </row>
    <row r="211" spans="5:7">
      <c r="E211" s="36" t="str">
        <v>kanan</v>
      </c>
      <c r="F211" s="36"/>
      <c r="G211" s="36"/>
    </row>
    <row r="212" spans="5:7">
      <c r="E212" s="36" t="str">
        <v>tengah</v>
      </c>
      <c r="F212" s="36"/>
      <c r="G212" s="36"/>
    </row>
    <row r="213" spans="5:7">
      <c r="E213" s="36" t="str">
        <v>kanan</v>
      </c>
      <c r="F213" s="36"/>
      <c r="G213" s="36"/>
    </row>
    <row r="214" spans="5:7">
      <c r="E214" s="36" t="str">
        <v>tengah</v>
      </c>
      <c r="F214" s="36"/>
      <c r="G214" s="36"/>
    </row>
    <row r="215" spans="5:7">
      <c r="E215" s="36" t="str">
        <v>tengah</v>
      </c>
      <c r="F215" s="36"/>
      <c r="G215" s="36"/>
    </row>
    <row r="216" spans="5:7">
      <c r="E216" s="36" t="str">
        <v>kanan</v>
      </c>
      <c r="F216" s="36"/>
      <c r="G216" s="36"/>
    </row>
    <row r="217" spans="5:7">
      <c r="E217" s="36" t="str">
        <v>tengah</v>
      </c>
      <c r="F217" s="36"/>
      <c r="G217" s="36"/>
    </row>
    <row r="218" spans="5:7">
      <c r="E218" s="36" t="str">
        <v>tengah</v>
      </c>
      <c r="F218" s="36"/>
      <c r="G218" s="36"/>
    </row>
    <row r="219" spans="5:7">
      <c r="E219" s="36" t="str">
        <v>tengah</v>
      </c>
      <c r="F219" s="36"/>
      <c r="G219" s="36"/>
    </row>
    <row r="220" spans="5:7">
      <c r="E220" s="36" t="str">
        <v>kanan</v>
      </c>
      <c r="F220" s="36"/>
      <c r="G220" s="36"/>
    </row>
    <row r="221" spans="5:7">
      <c r="E221" s="36" t="str">
        <v>tengah</v>
      </c>
      <c r="F221" s="36"/>
      <c r="G221" s="36"/>
    </row>
    <row r="222" spans="5:7">
      <c r="E222" s="36" t="str">
        <v>kanan</v>
      </c>
      <c r="F222" s="36"/>
      <c r="G222" s="36"/>
    </row>
    <row r="223" spans="5:7">
      <c r="E223" s="36" t="str">
        <v>kanan</v>
      </c>
      <c r="F223" s="36"/>
      <c r="G223" s="36"/>
    </row>
    <row r="224" spans="5:7">
      <c r="E224" s="36" t="str">
        <v>kanan</v>
      </c>
      <c r="F224" s="36"/>
      <c r="G224" s="36"/>
    </row>
    <row r="225" spans="5:7">
      <c r="E225" s="36" t="str">
        <v>kanan</v>
      </c>
      <c r="F225" s="36"/>
      <c r="G225" s="36"/>
    </row>
    <row r="226" spans="5:7">
      <c r="E226" s="36" t="str">
        <v>kanan</v>
      </c>
      <c r="F226" s="36"/>
      <c r="G226" s="36"/>
    </row>
    <row r="227" spans="5:7">
      <c r="E227" s="36" t="str">
        <v>tengah</v>
      </c>
      <c r="F227" s="36"/>
      <c r="G227" s="36"/>
    </row>
    <row r="228" spans="5:7">
      <c r="E228" s="36" t="str">
        <v>tengah</v>
      </c>
      <c r="F228" s="36"/>
      <c r="G228" s="36"/>
    </row>
    <row r="229" spans="5:7">
      <c r="E229" s="36" t="str">
        <v>kanan</v>
      </c>
      <c r="F229" s="36"/>
      <c r="G229" s="36"/>
    </row>
    <row r="230" spans="5:7">
      <c r="E230" s="36" t="str">
        <v>tengah</v>
      </c>
      <c r="F230" s="36"/>
      <c r="G230" s="36"/>
    </row>
    <row r="231" spans="5:7">
      <c r="E231" s="36" t="str">
        <v>tengah</v>
      </c>
      <c r="F231" s="36"/>
      <c r="G231" s="36"/>
    </row>
    <row r="232" spans="5:7">
      <c r="E232" s="36" t="str">
        <v>tengah</v>
      </c>
      <c r="F232" s="36"/>
      <c r="G232" s="36"/>
    </row>
    <row r="233" spans="5:7">
      <c r="E233" s="36" t="str">
        <v>kanan</v>
      </c>
      <c r="F233" s="36"/>
      <c r="G233" s="36"/>
    </row>
    <row r="234" spans="5:7">
      <c r="E234" s="36" t="str">
        <v>kanan</v>
      </c>
      <c r="F234" s="36"/>
      <c r="G234" s="36"/>
    </row>
    <row r="235" spans="5:7">
      <c r="E235" s="36" t="str">
        <v>kanan</v>
      </c>
      <c r="F235" s="36"/>
      <c r="G235" s="36"/>
    </row>
    <row r="236" spans="5:7">
      <c r="E236" s="36" t="str">
        <v>kanan</v>
      </c>
      <c r="F236" s="36"/>
      <c r="G236" s="36"/>
    </row>
    <row r="237" spans="5:7">
      <c r="E237" s="36" t="str">
        <v>tengah</v>
      </c>
      <c r="F237" s="36"/>
      <c r="G237" s="36"/>
    </row>
    <row r="238" spans="5:7">
      <c r="E238" s="36" t="str">
        <v>tengah</v>
      </c>
      <c r="F238" s="36"/>
      <c r="G238" s="36"/>
    </row>
    <row r="239" spans="5:7">
      <c r="E239" s="36" t="str">
        <v>kanan</v>
      </c>
      <c r="F239" s="36"/>
      <c r="G239" s="36"/>
    </row>
    <row r="240" spans="5:7">
      <c r="E240" s="36" t="str">
        <v>kanan</v>
      </c>
      <c r="F240" s="36"/>
      <c r="G240" s="36"/>
    </row>
    <row r="241" spans="5:7">
      <c r="E241" s="36" t="str">
        <v>tengah</v>
      </c>
      <c r="F241" s="36"/>
      <c r="G241" s="36"/>
    </row>
    <row r="242" spans="5:7">
      <c r="E242" s="36" t="str">
        <v>tengah</v>
      </c>
      <c r="F242" s="36"/>
      <c r="G242" s="36"/>
    </row>
    <row r="243" spans="5:7">
      <c r="E243" s="36" t="str">
        <v>kanan</v>
      </c>
      <c r="F243" s="36"/>
      <c r="G243" s="36"/>
    </row>
    <row r="244" spans="5:7">
      <c r="E244" s="36" t="str">
        <v>tengah</v>
      </c>
      <c r="F244" s="36"/>
      <c r="G244" s="36"/>
    </row>
    <row r="245" spans="5:7">
      <c r="E245" s="36" t="str">
        <v>kanan</v>
      </c>
      <c r="F245" s="36"/>
      <c r="G245" s="36"/>
    </row>
    <row r="246" spans="5:7">
      <c r="E246" s="36" t="str">
        <v>kanan</v>
      </c>
      <c r="F246" s="36"/>
      <c r="G246" s="36"/>
    </row>
    <row r="247" spans="5:7">
      <c r="E247" s="36" t="str">
        <v>tengah</v>
      </c>
      <c r="F247" s="36"/>
      <c r="G247" s="36"/>
    </row>
    <row r="248" spans="5:7">
      <c r="E248" s="36" t="str">
        <v>kanan</v>
      </c>
      <c r="F248" s="36"/>
      <c r="G248" s="36"/>
    </row>
    <row r="249" spans="5:7">
      <c r="E249" s="36" t="str">
        <v>tengah</v>
      </c>
      <c r="F249" s="36"/>
      <c r="G249" s="36"/>
    </row>
    <row r="250" spans="5:7">
      <c r="E250" s="36" t="str">
        <v>tengah</v>
      </c>
      <c r="F250" s="36"/>
      <c r="G250" s="36"/>
    </row>
    <row r="251" spans="5:7">
      <c r="E251" s="36" t="str">
        <v>kanan</v>
      </c>
      <c r="F251" s="36"/>
      <c r="G251" s="36"/>
    </row>
    <row r="252" spans="5:7">
      <c r="E252" s="36" t="str">
        <v>tengah</v>
      </c>
      <c r="F252" s="36"/>
      <c r="G252" s="36"/>
    </row>
    <row r="253" spans="5:7">
      <c r="E253" s="36" t="str">
        <v>kanan</v>
      </c>
      <c r="F253" s="36"/>
      <c r="G253" s="36"/>
    </row>
    <row r="254" spans="5:7">
      <c r="E254" s="36" t="str">
        <v>tengah</v>
      </c>
      <c r="F254" s="36"/>
      <c r="G254" s="36"/>
    </row>
    <row r="255" spans="5:7">
      <c r="E255" s="36" t="str">
        <v>tengah</v>
      </c>
      <c r="F255" s="36"/>
      <c r="G255" s="36"/>
    </row>
    <row r="256" spans="5:7">
      <c r="E256" s="36" t="str">
        <v>kanan</v>
      </c>
      <c r="F256" s="36"/>
      <c r="G256" s="36"/>
    </row>
    <row r="257" spans="5:7">
      <c r="E257" s="36" t="str">
        <v>tengah</v>
      </c>
      <c r="F257" s="36"/>
      <c r="G257" s="36"/>
    </row>
    <row r="258" spans="5:7">
      <c r="E258" s="36" t="str">
        <v>kanan</v>
      </c>
      <c r="F258" s="36"/>
      <c r="G258" s="36"/>
    </row>
    <row r="259" spans="5:7">
      <c r="E259" s="36" t="str">
        <v>tengah</v>
      </c>
      <c r="F259" s="36"/>
      <c r="G259" s="36"/>
    </row>
    <row r="260" spans="5:7">
      <c r="E260" s="36" t="str">
        <v>kanan</v>
      </c>
      <c r="F260" s="36"/>
      <c r="G260" s="36"/>
    </row>
    <row r="261" spans="5:7">
      <c r="E261" s="36" t="str">
        <v>kanan</v>
      </c>
      <c r="F261" s="36"/>
      <c r="G261" s="36"/>
    </row>
    <row r="262" spans="5:7">
      <c r="E262" s="36" t="str">
        <v>tengah</v>
      </c>
      <c r="F262" s="36"/>
      <c r="G262" s="36"/>
    </row>
    <row r="263" spans="5:7">
      <c r="E263" s="36" t="str">
        <v>kanan</v>
      </c>
      <c r="F263" s="36"/>
      <c r="G263" s="36"/>
    </row>
    <row r="264" spans="5:7">
      <c r="E264" s="36" t="str">
        <v>tengah</v>
      </c>
      <c r="F264" s="36"/>
      <c r="G264" s="36"/>
    </row>
    <row r="265" spans="5:7">
      <c r="E265" s="36" t="str">
        <v>tengah</v>
      </c>
      <c r="F265" s="36"/>
      <c r="G265" s="36"/>
    </row>
    <row r="266" spans="5:7">
      <c r="E266" s="36" t="str">
        <v>tengah</v>
      </c>
      <c r="F266" s="36"/>
      <c r="G266" s="36"/>
    </row>
    <row r="267" spans="5:7">
      <c r="E267" s="36" t="str">
        <v>kanan</v>
      </c>
      <c r="F267" s="36"/>
      <c r="G267" s="36"/>
    </row>
    <row r="268" spans="5:7">
      <c r="E268" s="36" t="str">
        <v>kanan</v>
      </c>
      <c r="F268" s="36"/>
      <c r="G268" s="36"/>
    </row>
    <row r="269" spans="5:7">
      <c r="E269" s="36" t="str">
        <v>kanan</v>
      </c>
      <c r="F269" s="36"/>
      <c r="G269" s="36"/>
    </row>
    <row r="270" spans="5:7">
      <c r="E270" s="36" t="str">
        <v>tengah</v>
      </c>
      <c r="F270" s="36"/>
      <c r="G270" s="36"/>
    </row>
    <row r="271" spans="5:7">
      <c r="E271" s="36" t="str">
        <v>kanan</v>
      </c>
      <c r="F271" s="36"/>
      <c r="G271" s="36"/>
    </row>
    <row r="272" spans="5:7">
      <c r="E272" s="36" t="str">
        <v>tengah</v>
      </c>
      <c r="F272" s="36"/>
      <c r="G272" s="36"/>
    </row>
    <row r="273" spans="5:7">
      <c r="E273" s="36" t="str">
        <v>tengah</v>
      </c>
      <c r="F273" s="36"/>
      <c r="G273" s="36"/>
    </row>
    <row r="274" spans="5:7">
      <c r="E274" s="36" t="str">
        <v>kanan</v>
      </c>
      <c r="F274" s="36"/>
      <c r="G274" s="36"/>
    </row>
    <row r="275" spans="5:7">
      <c r="E275" s="36" t="str">
        <v>tengah</v>
      </c>
      <c r="F275" s="36"/>
      <c r="G275" s="36"/>
    </row>
    <row r="276" spans="5:7">
      <c r="E276" s="36" t="str">
        <v>kanan</v>
      </c>
      <c r="F276" s="36"/>
      <c r="G276" s="36"/>
    </row>
    <row r="277" spans="5:7">
      <c r="E277" s="36" t="str">
        <v>kanan</v>
      </c>
      <c r="F277" s="36"/>
      <c r="G277" s="36"/>
    </row>
    <row r="278" spans="5:7">
      <c r="E278" s="36" t="str">
        <v>tengah</v>
      </c>
      <c r="F278" s="36"/>
      <c r="G278" s="36"/>
    </row>
    <row r="279" spans="5:7">
      <c r="E279" s="36" t="str">
        <v>kanan</v>
      </c>
      <c r="F279" s="36"/>
      <c r="G279" s="36"/>
    </row>
    <row r="280" spans="5:7">
      <c r="E280" s="36" t="str">
        <v>kanan</v>
      </c>
      <c r="F280" s="36"/>
      <c r="G280" s="36"/>
    </row>
    <row r="281" spans="5:7">
      <c r="E281" s="36" t="str">
        <v>tengah</v>
      </c>
      <c r="F281" s="36"/>
      <c r="G281" s="36"/>
    </row>
    <row r="282" spans="5:7">
      <c r="E282" s="36" t="str">
        <v>tengah</v>
      </c>
      <c r="F282" s="36"/>
      <c r="G282" s="36"/>
    </row>
    <row r="283" spans="5:7">
      <c r="E283" s="36" t="str">
        <v>tengah</v>
      </c>
      <c r="F283" s="36"/>
      <c r="G283" s="36"/>
    </row>
    <row r="284" spans="5:7">
      <c r="E284" s="36" t="str">
        <v>kanan</v>
      </c>
      <c r="F284" s="36"/>
      <c r="G284" s="36"/>
    </row>
    <row r="285" spans="5:7">
      <c r="E285" s="36" t="str">
        <v>kanan</v>
      </c>
      <c r="F285" s="36"/>
      <c r="G285" s="36"/>
    </row>
    <row r="286" spans="5:7">
      <c r="E286" s="36" t="str">
        <v>kanan</v>
      </c>
      <c r="F286" s="36"/>
      <c r="G286" s="36"/>
    </row>
    <row r="287" spans="5:7">
      <c r="E287" s="36" t="str">
        <v>kanan</v>
      </c>
      <c r="F287" s="36"/>
      <c r="G287" s="36"/>
    </row>
    <row r="288" spans="5:7">
      <c r="E288" s="36" t="str">
        <v>kanan</v>
      </c>
      <c r="F288" s="36"/>
      <c r="G288" s="36"/>
    </row>
    <row r="289" spans="5:7">
      <c r="E289" s="36" t="str">
        <v>tengah</v>
      </c>
      <c r="F289" s="36"/>
      <c r="G289" s="36"/>
    </row>
    <row r="290" spans="5:7">
      <c r="E290" s="36" t="str">
        <v>kanan</v>
      </c>
      <c r="F290" s="36"/>
      <c r="G290" s="36"/>
    </row>
    <row r="291" spans="5:7">
      <c r="E291" s="36" t="str">
        <v>kanan</v>
      </c>
      <c r="F291" s="36"/>
      <c r="G291" s="36"/>
    </row>
    <row r="292" spans="5:7">
      <c r="E292" s="36" t="str">
        <v>kanan</v>
      </c>
      <c r="F292" s="36"/>
      <c r="G292" s="36"/>
    </row>
    <row r="293" spans="5:7">
      <c r="E293" s="36" t="str">
        <v>tengah</v>
      </c>
      <c r="F293" s="36"/>
      <c r="G293" s="36"/>
    </row>
    <row r="294" spans="5:7">
      <c r="E294" s="36" t="str">
        <v>tengah</v>
      </c>
      <c r="F294" s="36"/>
      <c r="G294" s="36"/>
    </row>
    <row r="295" spans="5:7">
      <c r="E295" s="36" t="str">
        <v>kanan</v>
      </c>
      <c r="F295" s="36"/>
      <c r="G295" s="36"/>
    </row>
    <row r="296" spans="5:7">
      <c r="E296" s="36" t="str">
        <v>kanan</v>
      </c>
      <c r="F296" s="36"/>
      <c r="G296" s="36"/>
    </row>
    <row r="297" spans="5:7">
      <c r="E297" s="36" t="str">
        <v>kanan</v>
      </c>
      <c r="F297" s="36"/>
      <c r="G297" s="36"/>
    </row>
    <row r="298" spans="5:7">
      <c r="E298" s="36" t="str">
        <v>tengah</v>
      </c>
      <c r="F298" s="36"/>
      <c r="G298" s="36"/>
    </row>
    <row r="299" spans="5:7">
      <c r="E299" s="36" t="str">
        <v>kanan</v>
      </c>
      <c r="F299" s="36"/>
      <c r="G299" s="36"/>
    </row>
    <row r="300" spans="5:7">
      <c r="E300" s="36" t="str">
        <v>kanan</v>
      </c>
      <c r="F300" s="36"/>
      <c r="G300" s="36"/>
    </row>
    <row r="301" spans="5:7">
      <c r="E301" s="36" t="str">
        <v>tengah</v>
      </c>
      <c r="F301" s="36"/>
      <c r="G301" s="36"/>
    </row>
    <row r="302" spans="5:7">
      <c r="E302" s="36" t="str">
        <v>kanan</v>
      </c>
      <c r="F302" s="36"/>
      <c r="G302" s="36"/>
    </row>
    <row r="303" spans="5:7">
      <c r="E303" s="36" t="str">
        <v>tengah</v>
      </c>
      <c r="F303" s="36"/>
      <c r="G303" s="36"/>
    </row>
    <row r="304" spans="5:7">
      <c r="E304" s="36" t="str">
        <v>kanan</v>
      </c>
      <c r="F304" s="36"/>
      <c r="G304" s="36"/>
    </row>
    <row r="305" spans="5:7">
      <c r="E305" s="36" t="str">
        <v>kanan</v>
      </c>
      <c r="F305" s="36"/>
      <c r="G305" s="36"/>
    </row>
    <row r="306" spans="5:7">
      <c r="E306" s="36" t="str">
        <v>kanan</v>
      </c>
      <c r="F306" s="36"/>
      <c r="G306" s="36"/>
    </row>
    <row r="307" spans="5:7">
      <c r="E307" s="36" t="str">
        <v>tengah</v>
      </c>
      <c r="F307" s="36"/>
      <c r="G307" s="36"/>
    </row>
    <row r="308" spans="5:7">
      <c r="E308" s="36" t="str">
        <v>tengah</v>
      </c>
      <c r="F308" s="36"/>
      <c r="G308" s="36"/>
    </row>
    <row r="309" spans="5:7">
      <c r="E309" s="36" t="str">
        <v>kanan</v>
      </c>
      <c r="F309" s="36"/>
      <c r="G309" s="36"/>
    </row>
    <row r="310" spans="5:7">
      <c r="E310" s="36" t="str">
        <v>kanan</v>
      </c>
      <c r="F310" s="36"/>
      <c r="G310" s="36"/>
    </row>
    <row r="311" spans="5:7">
      <c r="E311" s="36" t="str">
        <v>tengah</v>
      </c>
      <c r="F311" s="36"/>
      <c r="G311" s="36"/>
    </row>
    <row r="312" spans="5:7">
      <c r="E312" s="36" t="str">
        <v>kanan</v>
      </c>
      <c r="F312" s="36"/>
      <c r="G312" s="36"/>
    </row>
    <row r="313" spans="5:7">
      <c r="E313" s="36" t="str">
        <v>kanan</v>
      </c>
      <c r="F313" s="36"/>
      <c r="G313" s="36"/>
    </row>
    <row r="314" spans="5:7">
      <c r="E314" s="36" t="str">
        <v>tengah</v>
      </c>
      <c r="F314" s="36"/>
      <c r="G314" s="36"/>
    </row>
    <row r="315" spans="5:7">
      <c r="E315" s="36" t="str">
        <v>kanan</v>
      </c>
      <c r="F315" s="36"/>
      <c r="G315" s="36"/>
    </row>
    <row r="316" spans="5:7">
      <c r="E316" s="36" t="str">
        <v>tengah</v>
      </c>
      <c r="F316" s="36"/>
      <c r="G316" s="36"/>
    </row>
    <row r="317" spans="5:7">
      <c r="E317" s="36" t="str">
        <v>tengah</v>
      </c>
      <c r="F317" s="36"/>
      <c r="G317" s="36"/>
    </row>
    <row r="318" spans="5:7">
      <c r="E318" s="36" t="str">
        <v>kanan</v>
      </c>
      <c r="F318" s="36"/>
      <c r="G318" s="36"/>
    </row>
    <row r="319" spans="5:7">
      <c r="E319" s="36" t="str">
        <v>tengah</v>
      </c>
      <c r="F319" s="36"/>
      <c r="G319" s="36"/>
    </row>
    <row r="320" spans="5:7">
      <c r="E320" s="36" t="str">
        <v>tengah</v>
      </c>
      <c r="F320" s="36"/>
      <c r="G320" s="36"/>
    </row>
    <row r="321" spans="5:7">
      <c r="E321" s="36" t="str">
        <v>kanan</v>
      </c>
      <c r="F321" s="36"/>
      <c r="G321" s="36"/>
    </row>
    <row r="322" spans="5:7">
      <c r="E322" s="36" t="str">
        <v>tengah</v>
      </c>
      <c r="F322" s="36"/>
      <c r="G322" s="36"/>
    </row>
    <row r="323" spans="5:7">
      <c r="E323" s="36" t="str">
        <v>kanan</v>
      </c>
      <c r="F323" s="36"/>
      <c r="G323" s="36"/>
    </row>
    <row r="324" spans="5:7">
      <c r="E324" s="36" t="str">
        <v>kanan</v>
      </c>
      <c r="F324" s="36"/>
      <c r="G324" s="36"/>
    </row>
    <row r="325" spans="5:7">
      <c r="E325" s="36" t="str">
        <v>tengah</v>
      </c>
      <c r="F325" s="36"/>
      <c r="G325" s="36"/>
    </row>
    <row r="326" spans="5:7">
      <c r="E326" s="36" t="str">
        <v>tengah</v>
      </c>
      <c r="F326" s="36"/>
      <c r="G326" s="36"/>
    </row>
    <row r="327" spans="5:7">
      <c r="E327" s="36" t="str">
        <v>kanan</v>
      </c>
      <c r="F327" s="36"/>
      <c r="G327" s="36"/>
    </row>
    <row r="328" spans="5:7">
      <c r="E328" s="36" t="str">
        <v>tengah</v>
      </c>
      <c r="F328" s="36"/>
      <c r="G328" s="36"/>
    </row>
    <row r="329" spans="5:7">
      <c r="E329" s="36" t="str">
        <v>kanan</v>
      </c>
      <c r="F329" s="36"/>
      <c r="G329" s="36"/>
    </row>
    <row r="330" spans="5:7">
      <c r="E330" s="36" t="str">
        <v>tengah</v>
      </c>
      <c r="F330" s="36"/>
      <c r="G330" s="36"/>
    </row>
    <row r="331" spans="5:7">
      <c r="E331" s="36" t="str">
        <v>tengah</v>
      </c>
      <c r="F331" s="36"/>
      <c r="G331" s="36"/>
    </row>
    <row r="332" spans="5:7">
      <c r="E332" s="36" t="str">
        <v>tengah</v>
      </c>
      <c r="F332" s="36"/>
      <c r="G332" s="36"/>
    </row>
  </sheetData>
  <pageMargins left="0.7" right="0.7" top="0.75" bottom="0.75" header="0.3" footer="0.3"/>
  <headerFooter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32"/>
  <sheetViews>
    <sheetView zoomScale="93" zoomScaleNormal="93" topLeftCell="G182" workbookViewId="0">
      <selection activeCell="V197" sqref="V197"/>
    </sheetView>
  </sheetViews>
  <sheetFormatPr defaultColWidth="9" defaultRowHeight="15"/>
  <cols>
    <col min="3" max="3" width="15.8518518518519" customWidth="1"/>
    <col min="4" max="4" width="22" customWidth="1"/>
    <col min="5" max="5" width="13.2814814814815" customWidth="1"/>
    <col min="6" max="6" width="13.8518518518519" customWidth="1"/>
    <col min="10" max="10" width="15.8518518518519" customWidth="1"/>
    <col min="11" max="11" width="22" customWidth="1"/>
    <col min="12" max="12" width="13.2814814814815" customWidth="1"/>
    <col min="13" max="13" width="13.8518518518519" customWidth="1"/>
    <col min="15" max="15" width="26.4222222222222" customWidth="1"/>
    <col min="16" max="16" width="13.1407407407407" customWidth="1"/>
  </cols>
  <sheetData>
    <row r="1" spans="1:17">
      <c r="A1" s="35" t="s">
        <v>183</v>
      </c>
      <c r="B1" s="35" t="s">
        <v>1</v>
      </c>
      <c r="C1" s="35" t="s">
        <v>2</v>
      </c>
      <c r="D1" s="35" t="s">
        <v>182</v>
      </c>
      <c r="E1" s="35" t="s">
        <v>4</v>
      </c>
      <c r="F1" s="35" t="s">
        <v>5</v>
      </c>
      <c r="H1" s="36" t="s">
        <v>183</v>
      </c>
      <c r="I1" s="36" t="s">
        <v>1</v>
      </c>
      <c r="J1" s="36" t="s">
        <v>2</v>
      </c>
      <c r="K1" s="36" t="s">
        <v>182</v>
      </c>
      <c r="L1" s="36" t="s">
        <v>4</v>
      </c>
      <c r="M1" s="36" t="s">
        <v>5</v>
      </c>
      <c r="O1" s="35" t="s">
        <v>184</v>
      </c>
      <c r="P1" s="38"/>
      <c r="Q1" s="38"/>
    </row>
    <row r="2" spans="1:17">
      <c r="A2" s="36">
        <f ca="1">RANDBETWEEN(2,164)</f>
        <v>47</v>
      </c>
      <c r="B2" s="36">
        <f ca="1" t="array" ref="B2">INDEX(Data_DBD!$B:$B,$A2)</f>
        <v>19</v>
      </c>
      <c r="C2" s="36" t="str">
        <f ca="1" t="array" ref="C2">INDEX(Data_DBD!$C:$C,$A2)</f>
        <v>2 Hari</v>
      </c>
      <c r="D2" s="36">
        <f ca="1" t="array" ref="D2">INDEX(Data_DBD!$D:$D,$A2)</f>
        <v>13</v>
      </c>
      <c r="E2" s="36">
        <f ca="1" t="array" ref="E2">INDEX(Data_DBD!$E:$E,$A2)</f>
        <v>0</v>
      </c>
      <c r="F2" s="36" t="str">
        <f ca="1" t="array" ref="F2">INDEX(Data_DBD!$F:$F,$A2)</f>
        <v>Sedang</v>
      </c>
      <c r="H2" s="36">
        <v>98</v>
      </c>
      <c r="I2" s="36">
        <v>16</v>
      </c>
      <c r="J2" s="36">
        <v>2</v>
      </c>
      <c r="K2" s="36">
        <v>18</v>
      </c>
      <c r="L2" s="36">
        <v>1</v>
      </c>
      <c r="M2" s="36" t="s">
        <v>105</v>
      </c>
      <c r="O2" s="38" t="s">
        <v>105</v>
      </c>
      <c r="P2" s="38">
        <f>COUNTIF(M2:M164,"Tinggi")</f>
        <v>73</v>
      </c>
      <c r="Q2" s="38">
        <f>P2/163</f>
        <v>0.447852760736196</v>
      </c>
    </row>
    <row r="3" spans="1:17">
      <c r="A3" s="36">
        <f ca="1" t="shared" ref="A3:A66" si="0">RANDBETWEEN(2,164)</f>
        <v>154</v>
      </c>
      <c r="B3" s="36">
        <f ca="1" t="array" ref="B3">INDEX(Data_DBD!$B:$B,$A3)</f>
        <v>18</v>
      </c>
      <c r="C3" s="36" t="str">
        <f ca="1" t="array" ref="C3">INDEX(Data_DBD!$C:$C,$A3)</f>
        <v>5 Hari</v>
      </c>
      <c r="D3" s="36">
        <f ca="1" t="array" ref="D3">INDEX(Data_DBD!$D:$D,$A3)</f>
        <v>21</v>
      </c>
      <c r="E3" s="36">
        <f ca="1" t="array" ref="E3">INDEX(Data_DBD!$E:$E,$A3)</f>
        <v>1</v>
      </c>
      <c r="F3" s="36" t="str">
        <f ca="1" t="array" ref="F3">INDEX(Data_DBD!$F:$F,$A3)</f>
        <v>Tinggi</v>
      </c>
      <c r="H3" s="36">
        <v>109</v>
      </c>
      <c r="I3" s="36">
        <v>40</v>
      </c>
      <c r="J3" s="36">
        <v>3</v>
      </c>
      <c r="K3" s="36">
        <v>33</v>
      </c>
      <c r="L3" s="36">
        <v>1</v>
      </c>
      <c r="M3" s="36" t="s">
        <v>105</v>
      </c>
      <c r="O3" s="38" t="s">
        <v>8</v>
      </c>
      <c r="P3" s="38">
        <f>COUNTIF(M2:M164,"Sedang")</f>
        <v>72</v>
      </c>
      <c r="Q3" s="38">
        <f>P3/163</f>
        <v>0.441717791411043</v>
      </c>
    </row>
    <row r="4" spans="1:17">
      <c r="A4" s="36">
        <f ca="1" t="shared" si="0"/>
        <v>164</v>
      </c>
      <c r="B4" s="36">
        <f ca="1" t="array" ref="B4">INDEX(Data_DBD!$B:$B,$A4)</f>
        <v>10</v>
      </c>
      <c r="C4" s="36" t="str">
        <f ca="1" t="array" ref="C4">INDEX(Data_DBD!$C:$C,$A4)</f>
        <v>6 Hari</v>
      </c>
      <c r="D4" s="36">
        <f ca="1" t="array" ref="D4">INDEX(Data_DBD!$D:$D,$A4)</f>
        <v>3</v>
      </c>
      <c r="E4" s="36">
        <f ca="1" t="array" ref="E4">INDEX(Data_DBD!$E:$E,$A4)</f>
        <v>0</v>
      </c>
      <c r="F4" s="36" t="str">
        <f ca="1" t="array" ref="F4">INDEX(Data_DBD!$F:$F,$A4)</f>
        <v>Rendah</v>
      </c>
      <c r="H4" s="36">
        <v>38</v>
      </c>
      <c r="I4" s="36">
        <v>52</v>
      </c>
      <c r="J4" s="36">
        <v>3</v>
      </c>
      <c r="K4" s="36">
        <v>4</v>
      </c>
      <c r="L4" s="36">
        <v>1</v>
      </c>
      <c r="M4" s="36" t="s">
        <v>26</v>
      </c>
      <c r="O4" s="38" t="s">
        <v>26</v>
      </c>
      <c r="P4" s="38">
        <f>COUNTIF(M2:M164,"Rendah")</f>
        <v>18</v>
      </c>
      <c r="Q4" s="38">
        <f>P4/163</f>
        <v>0.110429447852761</v>
      </c>
    </row>
    <row r="5" spans="1:16">
      <c r="A5" s="36">
        <f ca="1" t="shared" si="0"/>
        <v>81</v>
      </c>
      <c r="B5" s="36">
        <f ca="1" t="array" ref="B5">INDEX(Data_DBD!$B:$B,$A5)</f>
        <v>23</v>
      </c>
      <c r="C5" s="36" t="str">
        <f ca="1" t="array" ref="C5">INDEX(Data_DBD!$C:$C,$A5)</f>
        <v>5 Hari</v>
      </c>
      <c r="D5" s="36">
        <f ca="1" t="array" ref="D5">INDEX(Data_DBD!$D:$D,$A5)</f>
        <v>13</v>
      </c>
      <c r="E5" s="36">
        <f ca="1" t="array" ref="E5">INDEX(Data_DBD!$E:$E,$A5)</f>
        <v>1</v>
      </c>
      <c r="F5" s="36" t="str">
        <f ca="1" t="array" ref="F5">INDEX(Data_DBD!$F:$F,$A5)</f>
        <v>Sedang</v>
      </c>
      <c r="H5" s="36">
        <v>116</v>
      </c>
      <c r="I5" s="36">
        <v>32</v>
      </c>
      <c r="J5" s="36">
        <v>4</v>
      </c>
      <c r="K5" s="36">
        <v>33</v>
      </c>
      <c r="L5" s="36">
        <v>1</v>
      </c>
      <c r="M5" s="36" t="s">
        <v>105</v>
      </c>
      <c r="O5" s="39" t="s">
        <v>185</v>
      </c>
      <c r="P5">
        <f>-(IFERROR(Q2*LOG(Q2,2),0)+IFERROR(Q3*LOG(Q3,2),0)+IFERROR(Q4*LOG(Q4,2),0))</f>
        <v>1.39074997675838</v>
      </c>
    </row>
    <row r="6" spans="1:13">
      <c r="A6" s="36">
        <f ca="1" t="shared" si="0"/>
        <v>164</v>
      </c>
      <c r="B6" s="36">
        <f ca="1" t="array" ref="B6">INDEX(Data_DBD!$B:$B,$A6)</f>
        <v>10</v>
      </c>
      <c r="C6" s="36" t="str">
        <f ca="1" t="array" ref="C6">INDEX(Data_DBD!$C:$C,$A6)</f>
        <v>6 Hari</v>
      </c>
      <c r="D6" s="36">
        <f ca="1" t="array" ref="D6">INDEX(Data_DBD!$D:$D,$A6)</f>
        <v>3</v>
      </c>
      <c r="E6" s="36">
        <f ca="1" t="array" ref="E6">INDEX(Data_DBD!$E:$E,$A6)</f>
        <v>0</v>
      </c>
      <c r="F6" s="36" t="str">
        <f ca="1" t="array" ref="F6">INDEX(Data_DBD!$F:$F,$A6)</f>
        <v>Rendah</v>
      </c>
      <c r="H6" s="36">
        <v>126</v>
      </c>
      <c r="I6" s="36">
        <v>51</v>
      </c>
      <c r="J6" s="36">
        <v>3</v>
      </c>
      <c r="K6" s="36">
        <v>33</v>
      </c>
      <c r="L6" s="36">
        <v>1</v>
      </c>
      <c r="M6" s="36" t="s">
        <v>105</v>
      </c>
    </row>
    <row r="7" spans="1:13">
      <c r="A7" s="36">
        <f ca="1" t="shared" si="0"/>
        <v>142</v>
      </c>
      <c r="B7" s="36">
        <f ca="1" t="array" ref="B7">INDEX(Data_DBD!$B:$B,$A7)</f>
        <v>39</v>
      </c>
      <c r="C7" s="36" t="str">
        <f ca="1" t="array" ref="C7">INDEX(Data_DBD!$C:$C,$A7)</f>
        <v>2 Hari</v>
      </c>
      <c r="D7" s="36">
        <f ca="1" t="array" ref="D7">INDEX(Data_DBD!$D:$D,$A7)</f>
        <v>21</v>
      </c>
      <c r="E7" s="36">
        <f ca="1" t="array" ref="E7">INDEX(Data_DBD!$E:$E,$A7)</f>
        <v>1</v>
      </c>
      <c r="F7" s="36" t="str">
        <f ca="1" t="array" ref="F7">INDEX(Data_DBD!$F:$F,$A7)</f>
        <v>Tinggi</v>
      </c>
      <c r="H7" s="36">
        <v>156</v>
      </c>
      <c r="I7" s="36">
        <v>5</v>
      </c>
      <c r="J7" s="36">
        <v>2</v>
      </c>
      <c r="K7" s="36">
        <v>21</v>
      </c>
      <c r="L7" s="36">
        <v>0</v>
      </c>
      <c r="M7" s="36" t="s">
        <v>105</v>
      </c>
    </row>
    <row r="8" spans="1:13">
      <c r="A8" s="36">
        <f ca="1" t="shared" si="0"/>
        <v>27</v>
      </c>
      <c r="B8" s="36">
        <f ca="1" t="array" ref="B8">INDEX(Data_DBD!$B:$B,$A8)</f>
        <v>37</v>
      </c>
      <c r="C8" s="36" t="str">
        <f ca="1" t="array" ref="C8">INDEX(Data_DBD!$C:$C,$A8)</f>
        <v>4 Hari</v>
      </c>
      <c r="D8" s="36">
        <f ca="1" t="array" ref="D8">INDEX(Data_DBD!$D:$D,$A8)</f>
        <v>14</v>
      </c>
      <c r="E8" s="36">
        <f ca="1" t="array" ref="E8">INDEX(Data_DBD!$E:$E,$A8)</f>
        <v>1</v>
      </c>
      <c r="F8" s="36" t="str">
        <f ca="1" t="array" ref="F8">INDEX(Data_DBD!$F:$F,$A8)</f>
        <v>Sedang</v>
      </c>
      <c r="H8" s="36">
        <v>90</v>
      </c>
      <c r="I8" s="36">
        <v>47</v>
      </c>
      <c r="J8" s="36">
        <v>3</v>
      </c>
      <c r="K8" s="36">
        <v>18</v>
      </c>
      <c r="L8" s="36">
        <v>0</v>
      </c>
      <c r="M8" s="36" t="s">
        <v>105</v>
      </c>
    </row>
    <row r="9" spans="1:13">
      <c r="A9" s="36">
        <f ca="1" t="shared" si="0"/>
        <v>92</v>
      </c>
      <c r="B9" s="36">
        <f ca="1" t="array" ref="B9">INDEX(Data_DBD!$B:$B,$A9)</f>
        <v>55</v>
      </c>
      <c r="C9" s="36" t="str">
        <f ca="1" t="array" ref="C9">INDEX(Data_DBD!$C:$C,$A9)</f>
        <v>7 Hari</v>
      </c>
      <c r="D9" s="36">
        <f ca="1" t="array" ref="D9">INDEX(Data_DBD!$D:$D,$A9)</f>
        <v>18</v>
      </c>
      <c r="E9" s="36">
        <f ca="1" t="array" ref="E9">INDEX(Data_DBD!$E:$E,$A9)</f>
        <v>0</v>
      </c>
      <c r="F9" s="36" t="str">
        <f ca="1" t="array" ref="F9">INDEX(Data_DBD!$F:$F,$A9)</f>
        <v>Tinggi</v>
      </c>
      <c r="H9" s="36">
        <v>82</v>
      </c>
      <c r="I9" s="36">
        <v>28</v>
      </c>
      <c r="J9" s="36">
        <v>3</v>
      </c>
      <c r="K9" s="36">
        <v>13</v>
      </c>
      <c r="L9" s="36">
        <v>1</v>
      </c>
      <c r="M9" s="36" t="s">
        <v>8</v>
      </c>
    </row>
    <row r="10" spans="1:13">
      <c r="A10" s="36">
        <f ca="1" t="shared" si="0"/>
        <v>35</v>
      </c>
      <c r="B10" s="36">
        <f ca="1" t="array" ref="B10">INDEX(Data_DBD!$B:$B,$A10)</f>
        <v>40</v>
      </c>
      <c r="C10" s="36" t="str">
        <f ca="1" t="array" ref="C10">INDEX(Data_DBD!$C:$C,$A10)</f>
        <v>3 Hari</v>
      </c>
      <c r="D10" s="36">
        <f ca="1" t="array" ref="D10">INDEX(Data_DBD!$D:$D,$A10)</f>
        <v>4</v>
      </c>
      <c r="E10" s="36">
        <f ca="1" t="array" ref="E10">INDEX(Data_DBD!$E:$E,$A10)</f>
        <v>1</v>
      </c>
      <c r="F10" s="36" t="str">
        <f ca="1" t="array" ref="F10">INDEX(Data_DBD!$F:$F,$A10)</f>
        <v>Rendah</v>
      </c>
      <c r="H10" s="36">
        <v>65</v>
      </c>
      <c r="I10" s="36">
        <v>49</v>
      </c>
      <c r="J10" s="36">
        <v>3</v>
      </c>
      <c r="K10" s="36">
        <v>15</v>
      </c>
      <c r="L10" s="36">
        <v>0</v>
      </c>
      <c r="M10" s="36" t="s">
        <v>8</v>
      </c>
    </row>
    <row r="11" spans="1:13">
      <c r="A11" s="36">
        <f ca="1" t="shared" si="0"/>
        <v>89</v>
      </c>
      <c r="B11" s="36">
        <f ca="1" t="array" ref="B11">INDEX(Data_DBD!$B:$B,$A11)</f>
        <v>32</v>
      </c>
      <c r="C11" s="36" t="str">
        <f ca="1" t="array" ref="C11">INDEX(Data_DBD!$C:$C,$A11)</f>
        <v>4 Hari</v>
      </c>
      <c r="D11" s="36">
        <f ca="1" t="array" ref="D11">INDEX(Data_DBD!$D:$D,$A11)</f>
        <v>13</v>
      </c>
      <c r="E11" s="36">
        <f ca="1" t="array" ref="E11">INDEX(Data_DBD!$E:$E,$A11)</f>
        <v>0</v>
      </c>
      <c r="F11" s="36" t="str">
        <f ca="1" t="array" ref="F11">INDEX(Data_DBD!$F:$F,$A11)</f>
        <v>Sedang</v>
      </c>
      <c r="H11" s="36">
        <v>128</v>
      </c>
      <c r="I11" s="36">
        <v>38</v>
      </c>
      <c r="J11" s="36">
        <v>2</v>
      </c>
      <c r="K11" s="36">
        <v>33</v>
      </c>
      <c r="L11" s="36">
        <v>0</v>
      </c>
      <c r="M11" s="36" t="s">
        <v>105</v>
      </c>
    </row>
    <row r="12" spans="1:13">
      <c r="A12" s="36">
        <f ca="1" t="shared" si="0"/>
        <v>97</v>
      </c>
      <c r="B12" s="36">
        <f ca="1" t="array" ref="B12">INDEX(Data_DBD!$B:$B,$A12)</f>
        <v>16</v>
      </c>
      <c r="C12" s="36" t="str">
        <f ca="1" t="array" ref="C12">INDEX(Data_DBD!$C:$C,$A12)</f>
        <v>2 Hari</v>
      </c>
      <c r="D12" s="36">
        <f ca="1" t="array" ref="D12">INDEX(Data_DBD!$D:$D,$A12)</f>
        <v>18</v>
      </c>
      <c r="E12" s="36">
        <f ca="1" t="array" ref="E12">INDEX(Data_DBD!$E:$E,$A12)</f>
        <v>1</v>
      </c>
      <c r="F12" s="36" t="str">
        <f ca="1" t="array" ref="F12">INDEX(Data_DBD!$F:$F,$A12)</f>
        <v>Tinggi</v>
      </c>
      <c r="H12" s="36">
        <v>26</v>
      </c>
      <c r="I12" s="36">
        <v>75</v>
      </c>
      <c r="J12" s="36">
        <v>4</v>
      </c>
      <c r="K12" s="36">
        <v>14</v>
      </c>
      <c r="L12" s="36">
        <v>1</v>
      </c>
      <c r="M12" s="36" t="s">
        <v>8</v>
      </c>
    </row>
    <row r="13" spans="1:13">
      <c r="A13" s="36">
        <f ca="1" t="shared" si="0"/>
        <v>122</v>
      </c>
      <c r="B13" s="36">
        <f ca="1" t="array" ref="B13">INDEX(Data_DBD!$B:$B,$A13)</f>
        <v>28</v>
      </c>
      <c r="C13" s="36" t="str">
        <f ca="1" t="array" ref="C13">INDEX(Data_DBD!$C:$C,$A13)</f>
        <v>3 Hari</v>
      </c>
      <c r="D13" s="36">
        <f ca="1" t="array" ref="D13">INDEX(Data_DBD!$D:$D,$A13)</f>
        <v>33</v>
      </c>
      <c r="E13" s="36">
        <f ca="1" t="array" ref="E13">INDEX(Data_DBD!$E:$E,$A13)</f>
        <v>1</v>
      </c>
      <c r="F13" s="36" t="str">
        <f ca="1" t="array" ref="F13">INDEX(Data_DBD!$F:$F,$A13)</f>
        <v>Tinggi</v>
      </c>
      <c r="H13" s="36">
        <v>148</v>
      </c>
      <c r="I13" s="36">
        <v>55</v>
      </c>
      <c r="J13" s="36">
        <v>3</v>
      </c>
      <c r="K13" s="36">
        <v>21</v>
      </c>
      <c r="L13" s="36">
        <v>1</v>
      </c>
      <c r="M13" s="36" t="s">
        <v>105</v>
      </c>
    </row>
    <row r="14" spans="1:13">
      <c r="A14" s="36">
        <f ca="1" t="shared" si="0"/>
        <v>100</v>
      </c>
      <c r="B14" s="36">
        <f ca="1" t="array" ref="B14">INDEX(Data_DBD!$B:$B,$A14)</f>
        <v>19</v>
      </c>
      <c r="C14" s="36" t="str">
        <f ca="1" t="array" ref="C14">INDEX(Data_DBD!$C:$C,$A14)</f>
        <v>6 Hari</v>
      </c>
      <c r="D14" s="36">
        <f ca="1" t="array" ref="D14">INDEX(Data_DBD!$D:$D,$A14)</f>
        <v>18</v>
      </c>
      <c r="E14" s="36">
        <f ca="1" t="array" ref="E14">INDEX(Data_DBD!$E:$E,$A14)</f>
        <v>0</v>
      </c>
      <c r="F14" s="36" t="str">
        <f ca="1" t="array" ref="F14">INDEX(Data_DBD!$F:$F,$A14)</f>
        <v>Tinggi</v>
      </c>
      <c r="H14" s="36">
        <v>156</v>
      </c>
      <c r="I14" s="36">
        <v>5</v>
      </c>
      <c r="J14" s="36">
        <v>2</v>
      </c>
      <c r="K14" s="36">
        <v>21</v>
      </c>
      <c r="L14" s="36">
        <v>0</v>
      </c>
      <c r="M14" s="36" t="s">
        <v>105</v>
      </c>
    </row>
    <row r="15" spans="1:13">
      <c r="A15" s="36">
        <f ca="1" t="shared" si="0"/>
        <v>101</v>
      </c>
      <c r="B15" s="36">
        <f ca="1" t="array" ref="B15">INDEX(Data_DBD!$B:$B,$A15)</f>
        <v>42</v>
      </c>
      <c r="C15" s="36" t="str">
        <f ca="1" t="array" ref="C15">INDEX(Data_DBD!$C:$C,$A15)</f>
        <v>5 Hari</v>
      </c>
      <c r="D15" s="36">
        <f ca="1" t="array" ref="D15">INDEX(Data_DBD!$D:$D,$A15)</f>
        <v>18</v>
      </c>
      <c r="E15" s="36">
        <f ca="1" t="array" ref="E15">INDEX(Data_DBD!$E:$E,$A15)</f>
        <v>0</v>
      </c>
      <c r="F15" s="36" t="str">
        <f ca="1" t="array" ref="F15">INDEX(Data_DBD!$F:$F,$A15)</f>
        <v>Tinggi</v>
      </c>
      <c r="H15" s="36">
        <v>102</v>
      </c>
      <c r="I15" s="36">
        <v>41</v>
      </c>
      <c r="J15" s="36">
        <v>4</v>
      </c>
      <c r="K15" s="36">
        <v>18</v>
      </c>
      <c r="L15" s="36">
        <v>0</v>
      </c>
      <c r="M15" s="36" t="s">
        <v>105</v>
      </c>
    </row>
    <row r="16" spans="1:13">
      <c r="A16" s="36">
        <f ca="1" t="shared" si="0"/>
        <v>11</v>
      </c>
      <c r="B16" s="36">
        <f ca="1" t="array" ref="B16">INDEX(Data_DBD!$B:$B,$A16)</f>
        <v>24</v>
      </c>
      <c r="C16" s="36" t="str">
        <f ca="1" t="array" ref="C16">INDEX(Data_DBD!$C:$C,$A16)</f>
        <v>5 Hari</v>
      </c>
      <c r="D16" s="36">
        <f ca="1" t="array" ref="D16">INDEX(Data_DBD!$D:$D,$A16)</f>
        <v>12</v>
      </c>
      <c r="E16" s="36">
        <f ca="1" t="array" ref="E16">INDEX(Data_DBD!$E:$E,$A16)</f>
        <v>1</v>
      </c>
      <c r="F16" s="36" t="str">
        <f ca="1" t="array" ref="F16">INDEX(Data_DBD!$F:$F,$A16)</f>
        <v>Sedang</v>
      </c>
      <c r="H16" s="36">
        <v>88</v>
      </c>
      <c r="I16" s="36">
        <v>20</v>
      </c>
      <c r="J16" s="36">
        <v>4</v>
      </c>
      <c r="K16" s="36">
        <v>13</v>
      </c>
      <c r="L16" s="36">
        <v>1</v>
      </c>
      <c r="M16" s="36" t="s">
        <v>8</v>
      </c>
    </row>
    <row r="17" spans="1:13">
      <c r="A17" s="36">
        <f ca="1" t="shared" si="0"/>
        <v>106</v>
      </c>
      <c r="B17" s="36">
        <f ca="1" t="array" ref="B17">INDEX(Data_DBD!$B:$B,$A17)</f>
        <v>23</v>
      </c>
      <c r="C17" s="36" t="str">
        <f ca="1" t="array" ref="C17">INDEX(Data_DBD!$C:$C,$A17)</f>
        <v>3 Hari</v>
      </c>
      <c r="D17" s="36">
        <f ca="1" t="array" ref="D17">INDEX(Data_DBD!$D:$D,$A17)</f>
        <v>18</v>
      </c>
      <c r="E17" s="36">
        <f ca="1" t="array" ref="E17">INDEX(Data_DBD!$E:$E,$A17)</f>
        <v>1</v>
      </c>
      <c r="F17" s="36" t="str">
        <f ca="1" t="array" ref="F17">INDEX(Data_DBD!$F:$F,$A17)</f>
        <v>Tinggi</v>
      </c>
      <c r="H17" s="36">
        <v>111</v>
      </c>
      <c r="I17" s="36">
        <v>25</v>
      </c>
      <c r="J17" s="36">
        <v>4</v>
      </c>
      <c r="K17" s="36">
        <v>33</v>
      </c>
      <c r="L17" s="36">
        <v>0</v>
      </c>
      <c r="M17" s="36" t="s">
        <v>105</v>
      </c>
    </row>
    <row r="18" spans="1:13">
      <c r="A18" s="36">
        <f ca="1" t="shared" si="0"/>
        <v>134</v>
      </c>
      <c r="B18" s="36">
        <f ca="1" t="array" ref="B18">INDEX(Data_DBD!$B:$B,$A18)</f>
        <v>4</v>
      </c>
      <c r="C18" s="36" t="str">
        <f ca="1" t="array" ref="C18">INDEX(Data_DBD!$C:$C,$A18)</f>
        <v>2 Hari</v>
      </c>
      <c r="D18" s="36">
        <f ca="1" t="array" ref="D18">INDEX(Data_DBD!$D:$D,$A18)</f>
        <v>33</v>
      </c>
      <c r="E18" s="36">
        <f ca="1" t="array" ref="E18">INDEX(Data_DBD!$E:$E,$A18)</f>
        <v>1</v>
      </c>
      <c r="F18" s="36" t="str">
        <f ca="1" t="array" ref="F18">INDEX(Data_DBD!$F:$F,$A18)</f>
        <v>Tinggi</v>
      </c>
      <c r="H18" s="36">
        <v>76</v>
      </c>
      <c r="I18" s="36">
        <v>70</v>
      </c>
      <c r="J18" s="36">
        <v>2</v>
      </c>
      <c r="K18" s="36">
        <v>10</v>
      </c>
      <c r="L18" s="36">
        <v>0</v>
      </c>
      <c r="M18" s="36" t="s">
        <v>8</v>
      </c>
    </row>
    <row r="19" spans="1:13">
      <c r="A19" s="36">
        <f ca="1" t="shared" si="0"/>
        <v>71</v>
      </c>
      <c r="B19" s="36">
        <f ca="1" t="array" ref="B19">INDEX(Data_DBD!$B:$B,$A19)</f>
        <v>84</v>
      </c>
      <c r="C19" s="36" t="str">
        <f ca="1" t="array" ref="C19">INDEX(Data_DBD!$C:$C,$A19)</f>
        <v>3 Hari</v>
      </c>
      <c r="D19" s="36">
        <f ca="1" t="array" ref="D19">INDEX(Data_DBD!$D:$D,$A19)</f>
        <v>10</v>
      </c>
      <c r="E19" s="36">
        <f ca="1" t="array" ref="E19">INDEX(Data_DBD!$E:$E,$A19)</f>
        <v>0</v>
      </c>
      <c r="F19" s="36" t="str">
        <f ca="1" t="array" ref="F19">INDEX(Data_DBD!$F:$F,$A19)</f>
        <v>Sedang</v>
      </c>
      <c r="H19" s="36">
        <v>43</v>
      </c>
      <c r="I19" s="36">
        <v>15</v>
      </c>
      <c r="J19" s="36">
        <v>4</v>
      </c>
      <c r="K19" s="36">
        <v>13</v>
      </c>
      <c r="L19" s="36">
        <v>0</v>
      </c>
      <c r="M19" s="36" t="s">
        <v>8</v>
      </c>
    </row>
    <row r="20" spans="1:13">
      <c r="A20" s="36">
        <f ca="1" t="shared" si="0"/>
        <v>91</v>
      </c>
      <c r="B20" s="36">
        <f ca="1" t="array" ref="B20">INDEX(Data_DBD!$B:$B,$A20)</f>
        <v>35</v>
      </c>
      <c r="C20" s="36" t="str">
        <f ca="1" t="array" ref="C20">INDEX(Data_DBD!$C:$C,$A20)</f>
        <v>1 Hari</v>
      </c>
      <c r="D20" s="36">
        <f ca="1" t="array" ref="D20">INDEX(Data_DBD!$D:$D,$A20)</f>
        <v>18</v>
      </c>
      <c r="E20" s="36">
        <f ca="1" t="array" ref="E20">INDEX(Data_DBD!$E:$E,$A20)</f>
        <v>1</v>
      </c>
      <c r="F20" s="36" t="str">
        <f ca="1" t="array" ref="F20">INDEX(Data_DBD!$F:$F,$A20)</f>
        <v>Tinggi</v>
      </c>
      <c r="H20" s="36">
        <v>26</v>
      </c>
      <c r="I20" s="36">
        <v>75</v>
      </c>
      <c r="J20" s="36">
        <v>4</v>
      </c>
      <c r="K20" s="36">
        <v>14</v>
      </c>
      <c r="L20" s="36">
        <v>1</v>
      </c>
      <c r="M20" s="36" t="s">
        <v>8</v>
      </c>
    </row>
    <row r="21" spans="1:13">
      <c r="A21" s="36">
        <f ca="1" t="shared" si="0"/>
        <v>11</v>
      </c>
      <c r="B21" s="36">
        <f ca="1" t="array" ref="B21">INDEX(Data_DBD!$B:$B,$A21)</f>
        <v>24</v>
      </c>
      <c r="C21" s="36" t="str">
        <f ca="1" t="array" ref="C21">INDEX(Data_DBD!$C:$C,$A21)</f>
        <v>5 Hari</v>
      </c>
      <c r="D21" s="36">
        <f ca="1" t="array" ref="D21">INDEX(Data_DBD!$D:$D,$A21)</f>
        <v>12</v>
      </c>
      <c r="E21" s="36">
        <f ca="1" t="array" ref="E21">INDEX(Data_DBD!$E:$E,$A21)</f>
        <v>1</v>
      </c>
      <c r="F21" s="36" t="str">
        <f ca="1" t="array" ref="F21">INDEX(Data_DBD!$F:$F,$A21)</f>
        <v>Sedang</v>
      </c>
      <c r="H21" s="36">
        <v>83</v>
      </c>
      <c r="I21" s="36">
        <v>50</v>
      </c>
      <c r="J21" s="36">
        <v>3</v>
      </c>
      <c r="K21" s="36">
        <v>13</v>
      </c>
      <c r="L21" s="36">
        <v>0</v>
      </c>
      <c r="M21" s="36" t="s">
        <v>8</v>
      </c>
    </row>
    <row r="22" spans="1:13">
      <c r="A22" s="36">
        <f ca="1" t="shared" si="0"/>
        <v>32</v>
      </c>
      <c r="B22" s="36">
        <f ca="1" t="array" ref="B22">INDEX(Data_DBD!$B:$B,$A22)</f>
        <v>54</v>
      </c>
      <c r="C22" s="36" t="str">
        <f ca="1" t="array" ref="C22">INDEX(Data_DBD!$C:$C,$A22)</f>
        <v>4 Hari</v>
      </c>
      <c r="D22" s="36">
        <f ca="1" t="array" ref="D22">INDEX(Data_DBD!$D:$D,$A22)</f>
        <v>14</v>
      </c>
      <c r="E22" s="36">
        <f ca="1" t="array" ref="E22">INDEX(Data_DBD!$E:$E,$A22)</f>
        <v>0</v>
      </c>
      <c r="F22" s="36" t="str">
        <f ca="1" t="array" ref="F22">INDEX(Data_DBD!$F:$F,$A22)</f>
        <v>Sedang</v>
      </c>
      <c r="H22" s="36">
        <v>84</v>
      </c>
      <c r="I22" s="36">
        <v>42</v>
      </c>
      <c r="J22" s="36">
        <v>4</v>
      </c>
      <c r="K22" s="36">
        <v>13</v>
      </c>
      <c r="L22" s="36">
        <v>1</v>
      </c>
      <c r="M22" s="36" t="s">
        <v>8</v>
      </c>
    </row>
    <row r="23" spans="1:13">
      <c r="A23" s="36">
        <f ca="1" t="shared" si="0"/>
        <v>40</v>
      </c>
      <c r="B23" s="36">
        <f ca="1" t="array" ref="B23">INDEX(Data_DBD!$B:$B,$A23)</f>
        <v>65</v>
      </c>
      <c r="C23" s="36" t="str">
        <f ca="1" t="array" ref="C23">INDEX(Data_DBD!$C:$C,$A23)</f>
        <v>3 Hari</v>
      </c>
      <c r="D23" s="36">
        <f ca="1" t="array" ref="D23">INDEX(Data_DBD!$D:$D,$A23)</f>
        <v>13</v>
      </c>
      <c r="E23" s="36">
        <f ca="1" t="array" ref="E23">INDEX(Data_DBD!$E:$E,$A23)</f>
        <v>1</v>
      </c>
      <c r="F23" s="36" t="str">
        <f ca="1" t="array" ref="F23">INDEX(Data_DBD!$F:$F,$A23)</f>
        <v>Sedang</v>
      </c>
      <c r="H23" s="36">
        <v>12</v>
      </c>
      <c r="I23" s="36">
        <v>23</v>
      </c>
      <c r="J23" s="36">
        <v>3</v>
      </c>
      <c r="K23" s="36">
        <v>12</v>
      </c>
      <c r="L23" s="36">
        <v>0</v>
      </c>
      <c r="M23" s="36" t="s">
        <v>8</v>
      </c>
    </row>
    <row r="24" spans="1:13">
      <c r="A24" s="36">
        <f ca="1" t="shared" si="0"/>
        <v>11</v>
      </c>
      <c r="B24" s="36">
        <f ca="1" t="array" ref="B24">INDEX(Data_DBD!$B:$B,$A24)</f>
        <v>24</v>
      </c>
      <c r="C24" s="36" t="str">
        <f ca="1" t="array" ref="C24">INDEX(Data_DBD!$C:$C,$A24)</f>
        <v>5 Hari</v>
      </c>
      <c r="D24" s="36">
        <f ca="1" t="array" ref="D24">INDEX(Data_DBD!$D:$D,$A24)</f>
        <v>12</v>
      </c>
      <c r="E24" s="36">
        <f ca="1" t="array" ref="E24">INDEX(Data_DBD!$E:$E,$A24)</f>
        <v>1</v>
      </c>
      <c r="F24" s="36" t="str">
        <f ca="1" t="array" ref="F24">INDEX(Data_DBD!$F:$F,$A24)</f>
        <v>Sedang</v>
      </c>
      <c r="H24" s="36">
        <v>43</v>
      </c>
      <c r="I24" s="36">
        <v>15</v>
      </c>
      <c r="J24" s="36">
        <v>4</v>
      </c>
      <c r="K24" s="36">
        <v>13</v>
      </c>
      <c r="L24" s="36">
        <v>0</v>
      </c>
      <c r="M24" s="36" t="s">
        <v>8</v>
      </c>
    </row>
    <row r="25" spans="1:13">
      <c r="A25" s="36">
        <f ca="1" t="shared" si="0"/>
        <v>81</v>
      </c>
      <c r="B25" s="36">
        <f ca="1" t="array" ref="B25">INDEX(Data_DBD!$B:$B,$A25)</f>
        <v>23</v>
      </c>
      <c r="C25" s="36" t="str">
        <f ca="1" t="array" ref="C25">INDEX(Data_DBD!$C:$C,$A25)</f>
        <v>5 Hari</v>
      </c>
      <c r="D25" s="36">
        <f ca="1" t="array" ref="D25">INDEX(Data_DBD!$D:$D,$A25)</f>
        <v>13</v>
      </c>
      <c r="E25" s="36">
        <f ca="1" t="array" ref="E25">INDEX(Data_DBD!$E:$E,$A25)</f>
        <v>1</v>
      </c>
      <c r="F25" s="36" t="str">
        <f ca="1" t="array" ref="F25">INDEX(Data_DBD!$F:$F,$A25)</f>
        <v>Sedang</v>
      </c>
      <c r="H25" s="36">
        <v>90</v>
      </c>
      <c r="I25" s="36">
        <v>47</v>
      </c>
      <c r="J25" s="36">
        <v>3</v>
      </c>
      <c r="K25" s="36">
        <v>18</v>
      </c>
      <c r="L25" s="36">
        <v>0</v>
      </c>
      <c r="M25" s="36" t="s">
        <v>105</v>
      </c>
    </row>
    <row r="26" spans="1:13">
      <c r="A26" s="36">
        <f ca="1" t="shared" si="0"/>
        <v>32</v>
      </c>
      <c r="B26" s="36">
        <f ca="1" t="array" ref="B26">INDEX(Data_DBD!$B:$B,$A26)</f>
        <v>54</v>
      </c>
      <c r="C26" s="36" t="str">
        <f ca="1" t="array" ref="C26">INDEX(Data_DBD!$C:$C,$A26)</f>
        <v>4 Hari</v>
      </c>
      <c r="D26" s="36">
        <f ca="1" t="array" ref="D26">INDEX(Data_DBD!$D:$D,$A26)</f>
        <v>14</v>
      </c>
      <c r="E26" s="36">
        <f ca="1" t="array" ref="E26">INDEX(Data_DBD!$E:$E,$A26)</f>
        <v>0</v>
      </c>
      <c r="F26" s="36" t="str">
        <f ca="1" t="array" ref="F26">INDEX(Data_DBD!$F:$F,$A26)</f>
        <v>Sedang</v>
      </c>
      <c r="H26" s="36">
        <v>16</v>
      </c>
      <c r="I26" s="36">
        <v>66</v>
      </c>
      <c r="J26" s="36">
        <v>5</v>
      </c>
      <c r="K26" s="36">
        <v>7</v>
      </c>
      <c r="L26" s="36">
        <v>1</v>
      </c>
      <c r="M26" s="36" t="s">
        <v>26</v>
      </c>
    </row>
    <row r="27" spans="1:13">
      <c r="A27" s="36">
        <f ca="1" t="shared" si="0"/>
        <v>29</v>
      </c>
      <c r="B27" s="36">
        <f ca="1" t="array" ref="B27">INDEX(Data_DBD!$B:$B,$A27)</f>
        <v>19</v>
      </c>
      <c r="C27" s="36" t="str">
        <f ca="1" t="array" ref="C27">INDEX(Data_DBD!$C:$C,$A27)</f>
        <v>2 Hari</v>
      </c>
      <c r="D27" s="36">
        <f ca="1" t="array" ref="D27">INDEX(Data_DBD!$D:$D,$A27)</f>
        <v>14</v>
      </c>
      <c r="E27" s="36">
        <f ca="1" t="array" ref="E27">INDEX(Data_DBD!$E:$E,$A27)</f>
        <v>1</v>
      </c>
      <c r="F27" s="36" t="str">
        <f ca="1" t="array" ref="F27">INDEX(Data_DBD!$F:$F,$A27)</f>
        <v>Sedang</v>
      </c>
      <c r="H27" s="36">
        <v>29</v>
      </c>
      <c r="I27" s="36">
        <v>19</v>
      </c>
      <c r="J27" s="36">
        <v>2</v>
      </c>
      <c r="K27" s="36">
        <v>14</v>
      </c>
      <c r="L27" s="36">
        <v>1</v>
      </c>
      <c r="M27" s="36" t="s">
        <v>8</v>
      </c>
    </row>
    <row r="28" spans="1:13">
      <c r="A28" s="36">
        <f ca="1" t="shared" si="0"/>
        <v>32</v>
      </c>
      <c r="B28" s="36">
        <f ca="1" t="array" ref="B28">INDEX(Data_DBD!$B:$B,$A28)</f>
        <v>54</v>
      </c>
      <c r="C28" s="36" t="str">
        <f ca="1" t="array" ref="C28">INDEX(Data_DBD!$C:$C,$A28)</f>
        <v>4 Hari</v>
      </c>
      <c r="D28" s="36">
        <f ca="1" t="array" ref="D28">INDEX(Data_DBD!$D:$D,$A28)</f>
        <v>14</v>
      </c>
      <c r="E28" s="36">
        <f ca="1" t="array" ref="E28">INDEX(Data_DBD!$E:$E,$A28)</f>
        <v>0</v>
      </c>
      <c r="F28" s="36" t="str">
        <f ca="1" t="array" ref="F28">INDEX(Data_DBD!$F:$F,$A28)</f>
        <v>Sedang</v>
      </c>
      <c r="H28" s="36">
        <v>29</v>
      </c>
      <c r="I28" s="36">
        <v>19</v>
      </c>
      <c r="J28" s="36">
        <v>2</v>
      </c>
      <c r="K28" s="36">
        <v>14</v>
      </c>
      <c r="L28" s="36">
        <v>1</v>
      </c>
      <c r="M28" s="36" t="s">
        <v>8</v>
      </c>
    </row>
    <row r="29" spans="1:13">
      <c r="A29" s="36">
        <f ca="1" t="shared" si="0"/>
        <v>64</v>
      </c>
      <c r="B29" s="36">
        <f ca="1" t="array" ref="B29">INDEX(Data_DBD!$B:$B,$A29)</f>
        <v>35</v>
      </c>
      <c r="C29" s="36" t="str">
        <f ca="1" t="array" ref="C29">INDEX(Data_DBD!$C:$C,$A29)</f>
        <v>1 Hari</v>
      </c>
      <c r="D29" s="36">
        <f ca="1" t="array" ref="D29">INDEX(Data_DBD!$D:$D,$A29)</f>
        <v>15</v>
      </c>
      <c r="E29" s="36">
        <f ca="1" t="array" ref="E29">INDEX(Data_DBD!$E:$E,$A29)</f>
        <v>0</v>
      </c>
      <c r="F29" s="36" t="str">
        <f ca="1" t="array" ref="F29">INDEX(Data_DBD!$F:$F,$A29)</f>
        <v>Sedang</v>
      </c>
      <c r="H29" s="36">
        <v>162</v>
      </c>
      <c r="I29" s="36">
        <v>22</v>
      </c>
      <c r="J29" s="36">
        <v>3</v>
      </c>
      <c r="K29" s="36">
        <v>3</v>
      </c>
      <c r="L29" s="36">
        <v>1</v>
      </c>
      <c r="M29" s="36" t="s">
        <v>26</v>
      </c>
    </row>
    <row r="30" spans="1:13">
      <c r="A30" s="36">
        <f ca="1" t="shared" si="0"/>
        <v>119</v>
      </c>
      <c r="B30" s="36">
        <f ca="1" t="array" ref="B30">INDEX(Data_DBD!$B:$B,$A30)</f>
        <v>30</v>
      </c>
      <c r="C30" s="36" t="str">
        <f ca="1" t="array" ref="C30">INDEX(Data_DBD!$C:$C,$A30)</f>
        <v>7 Hari</v>
      </c>
      <c r="D30" s="36">
        <f ca="1" t="array" ref="D30">INDEX(Data_DBD!$D:$D,$A30)</f>
        <v>33</v>
      </c>
      <c r="E30" s="36">
        <f ca="1" t="array" ref="E30">INDEX(Data_DBD!$E:$E,$A30)</f>
        <v>0</v>
      </c>
      <c r="F30" s="36" t="str">
        <f ca="1" t="array" ref="F30">INDEX(Data_DBD!$F:$F,$A30)</f>
        <v>Tinggi</v>
      </c>
      <c r="H30" s="36">
        <v>31</v>
      </c>
      <c r="I30" s="36">
        <v>64</v>
      </c>
      <c r="J30" s="36">
        <v>4</v>
      </c>
      <c r="K30" s="36">
        <v>14</v>
      </c>
      <c r="L30" s="36">
        <v>1</v>
      </c>
      <c r="M30" s="36" t="s">
        <v>8</v>
      </c>
    </row>
    <row r="31" spans="1:13">
      <c r="A31" s="36">
        <f ca="1" t="shared" si="0"/>
        <v>109</v>
      </c>
      <c r="B31" s="36">
        <f ca="1" t="array" ref="B31">INDEX(Data_DBD!$B:$B,$A31)</f>
        <v>40</v>
      </c>
      <c r="C31" s="36" t="str">
        <f ca="1" t="array" ref="C31">INDEX(Data_DBD!$C:$C,$A31)</f>
        <v>3 Hari</v>
      </c>
      <c r="D31" s="36">
        <f ca="1" t="array" ref="D31">INDEX(Data_DBD!$D:$D,$A31)</f>
        <v>33</v>
      </c>
      <c r="E31" s="36">
        <f ca="1" t="array" ref="E31">INDEX(Data_DBD!$E:$E,$A31)</f>
        <v>1</v>
      </c>
      <c r="F31" s="36" t="str">
        <f ca="1" t="array" ref="F31">INDEX(Data_DBD!$F:$F,$A31)</f>
        <v>Tinggi</v>
      </c>
      <c r="H31" s="36">
        <v>88</v>
      </c>
      <c r="I31" s="36">
        <v>20</v>
      </c>
      <c r="J31" s="36">
        <v>4</v>
      </c>
      <c r="K31" s="36">
        <v>13</v>
      </c>
      <c r="L31" s="36">
        <v>1</v>
      </c>
      <c r="M31" s="36" t="s">
        <v>8</v>
      </c>
    </row>
    <row r="32" spans="1:13">
      <c r="A32" s="36">
        <f ca="1" t="shared" si="0"/>
        <v>34</v>
      </c>
      <c r="B32" s="36">
        <f ca="1" t="array" ref="B32">INDEX(Data_DBD!$B:$B,$A32)</f>
        <v>55</v>
      </c>
      <c r="C32" s="36" t="str">
        <f ca="1" t="array" ref="C32">INDEX(Data_DBD!$C:$C,$A32)</f>
        <v>3 Hari</v>
      </c>
      <c r="D32" s="36">
        <f ca="1" t="array" ref="D32">INDEX(Data_DBD!$D:$D,$A32)</f>
        <v>14</v>
      </c>
      <c r="E32" s="36">
        <f ca="1" t="array" ref="E32">INDEX(Data_DBD!$E:$E,$A32)</f>
        <v>0</v>
      </c>
      <c r="F32" s="36" t="str">
        <f ca="1" t="array" ref="F32">INDEX(Data_DBD!$F:$F,$A32)</f>
        <v>Sedang</v>
      </c>
      <c r="H32" s="36">
        <v>127</v>
      </c>
      <c r="I32" s="36">
        <v>21</v>
      </c>
      <c r="J32" s="36">
        <v>2</v>
      </c>
      <c r="K32" s="36">
        <v>33</v>
      </c>
      <c r="L32" s="36">
        <v>0</v>
      </c>
      <c r="M32" s="36" t="s">
        <v>105</v>
      </c>
    </row>
    <row r="33" spans="1:13">
      <c r="A33" s="36">
        <f ca="1" t="shared" si="0"/>
        <v>108</v>
      </c>
      <c r="B33" s="36">
        <f ca="1" t="array" ref="B33">INDEX(Data_DBD!$B:$B,$A33)</f>
        <v>69</v>
      </c>
      <c r="C33" s="36" t="str">
        <f ca="1" t="array" ref="C33">INDEX(Data_DBD!$C:$C,$A33)</f>
        <v>7 Hari</v>
      </c>
      <c r="D33" s="36">
        <f ca="1" t="array" ref="D33">INDEX(Data_DBD!$D:$D,$A33)</f>
        <v>33</v>
      </c>
      <c r="E33" s="36">
        <f ca="1" t="array" ref="E33">INDEX(Data_DBD!$E:$E,$A33)</f>
        <v>1</v>
      </c>
      <c r="F33" s="36" t="str">
        <f ca="1" t="array" ref="F33">INDEX(Data_DBD!$F:$F,$A33)</f>
        <v>Tinggi</v>
      </c>
      <c r="H33" s="36">
        <v>58</v>
      </c>
      <c r="I33" s="36">
        <v>17</v>
      </c>
      <c r="J33" s="36">
        <v>3</v>
      </c>
      <c r="K33" s="36">
        <v>15</v>
      </c>
      <c r="L33" s="36">
        <v>0</v>
      </c>
      <c r="M33" s="36" t="s">
        <v>8</v>
      </c>
    </row>
    <row r="34" spans="1:13">
      <c r="A34" s="36">
        <f ca="1" t="shared" si="0"/>
        <v>34</v>
      </c>
      <c r="B34" s="36">
        <f ca="1" t="array" ref="B34">INDEX(Data_DBD!$B:$B,$A34)</f>
        <v>55</v>
      </c>
      <c r="C34" s="36" t="str">
        <f ca="1" t="array" ref="C34">INDEX(Data_DBD!$C:$C,$A34)</f>
        <v>3 Hari</v>
      </c>
      <c r="D34" s="36">
        <f ca="1" t="array" ref="D34">INDEX(Data_DBD!$D:$D,$A34)</f>
        <v>14</v>
      </c>
      <c r="E34" s="36">
        <f ca="1" t="array" ref="E34">INDEX(Data_DBD!$E:$E,$A34)</f>
        <v>0</v>
      </c>
      <c r="F34" s="36" t="str">
        <f ca="1" t="array" ref="F34">INDEX(Data_DBD!$F:$F,$A34)</f>
        <v>Sedang</v>
      </c>
      <c r="H34" s="36">
        <v>15</v>
      </c>
      <c r="I34" s="36">
        <v>21</v>
      </c>
      <c r="J34" s="36">
        <v>2</v>
      </c>
      <c r="K34" s="36">
        <v>7</v>
      </c>
      <c r="L34" s="36">
        <v>0</v>
      </c>
      <c r="M34" s="36" t="s">
        <v>26</v>
      </c>
    </row>
    <row r="35" spans="1:13">
      <c r="A35" s="36">
        <f ca="1" t="shared" si="0"/>
        <v>50</v>
      </c>
      <c r="B35" s="36">
        <f ca="1" t="array" ref="B35">INDEX(Data_DBD!$B:$B,$A35)</f>
        <v>19</v>
      </c>
      <c r="C35" s="36" t="str">
        <f ca="1" t="array" ref="C35">INDEX(Data_DBD!$C:$C,$A35)</f>
        <v>5 Hari</v>
      </c>
      <c r="D35" s="36">
        <f ca="1" t="array" ref="D35">INDEX(Data_DBD!$D:$D,$A35)</f>
        <v>13</v>
      </c>
      <c r="E35" s="36">
        <f ca="1" t="array" ref="E35">INDEX(Data_DBD!$E:$E,$A35)</f>
        <v>0</v>
      </c>
      <c r="F35" s="36" t="str">
        <f ca="1" t="array" ref="F35">INDEX(Data_DBD!$F:$F,$A35)</f>
        <v>Sedang</v>
      </c>
      <c r="H35" s="36">
        <v>60</v>
      </c>
      <c r="I35" s="36">
        <v>68</v>
      </c>
      <c r="J35" s="36">
        <v>4</v>
      </c>
      <c r="K35" s="36">
        <v>15</v>
      </c>
      <c r="L35" s="36">
        <v>0</v>
      </c>
      <c r="M35" s="36" t="s">
        <v>8</v>
      </c>
    </row>
    <row r="36" spans="1:13">
      <c r="A36" s="36">
        <f ca="1" t="shared" si="0"/>
        <v>122</v>
      </c>
      <c r="B36" s="36">
        <f ca="1" t="array" ref="B36">INDEX(Data_DBD!$B:$B,$A36)</f>
        <v>28</v>
      </c>
      <c r="C36" s="36" t="str">
        <f ca="1" t="array" ref="C36">INDEX(Data_DBD!$C:$C,$A36)</f>
        <v>3 Hari</v>
      </c>
      <c r="D36" s="36">
        <f ca="1" t="array" ref="D36">INDEX(Data_DBD!$D:$D,$A36)</f>
        <v>33</v>
      </c>
      <c r="E36" s="36">
        <f ca="1" t="array" ref="E36">INDEX(Data_DBD!$E:$E,$A36)</f>
        <v>1</v>
      </c>
      <c r="F36" s="36" t="str">
        <f ca="1" t="array" ref="F36">INDEX(Data_DBD!$F:$F,$A36)</f>
        <v>Tinggi</v>
      </c>
      <c r="H36" s="36">
        <v>157</v>
      </c>
      <c r="I36" s="36">
        <v>15</v>
      </c>
      <c r="J36" s="36">
        <v>4</v>
      </c>
      <c r="K36" s="36">
        <v>21</v>
      </c>
      <c r="L36" s="36">
        <v>1</v>
      </c>
      <c r="M36" s="36" t="s">
        <v>105</v>
      </c>
    </row>
    <row r="37" spans="1:13">
      <c r="A37" s="36">
        <f ca="1" t="shared" si="0"/>
        <v>115</v>
      </c>
      <c r="B37" s="36">
        <f ca="1" t="array" ref="B37">INDEX(Data_DBD!$B:$B,$A37)</f>
        <v>52</v>
      </c>
      <c r="C37" s="36" t="str">
        <f ca="1" t="array" ref="C37">INDEX(Data_DBD!$C:$C,$A37)</f>
        <v>3 Hari</v>
      </c>
      <c r="D37" s="36">
        <f ca="1" t="array" ref="D37">INDEX(Data_DBD!$D:$D,$A37)</f>
        <v>33</v>
      </c>
      <c r="E37" s="36">
        <f ca="1" t="array" ref="E37">INDEX(Data_DBD!$E:$E,$A37)</f>
        <v>1</v>
      </c>
      <c r="F37" s="36" t="str">
        <f ca="1" t="array" ref="F37">INDEX(Data_DBD!$F:$F,$A37)</f>
        <v>Tinggi</v>
      </c>
      <c r="H37" s="36">
        <v>95</v>
      </c>
      <c r="I37" s="36">
        <v>11</v>
      </c>
      <c r="J37" s="36">
        <v>3</v>
      </c>
      <c r="K37" s="36">
        <v>18</v>
      </c>
      <c r="L37" s="36">
        <v>1</v>
      </c>
      <c r="M37" s="36" t="s">
        <v>105</v>
      </c>
    </row>
    <row r="38" spans="1:13">
      <c r="A38" s="36">
        <f ca="1" t="shared" si="0"/>
        <v>152</v>
      </c>
      <c r="B38" s="36">
        <f ca="1" t="array" ref="B38">INDEX(Data_DBD!$B:$B,$A38)</f>
        <v>47</v>
      </c>
      <c r="C38" s="36" t="str">
        <f ca="1" t="array" ref="C38">INDEX(Data_DBD!$C:$C,$A38)</f>
        <v>3 Hari</v>
      </c>
      <c r="D38" s="36">
        <f ca="1" t="array" ref="D38">INDEX(Data_DBD!$D:$D,$A38)</f>
        <v>21</v>
      </c>
      <c r="E38" s="36">
        <f ca="1" t="array" ref="E38">INDEX(Data_DBD!$E:$E,$A38)</f>
        <v>1</v>
      </c>
      <c r="F38" s="36" t="str">
        <f ca="1" t="array" ref="F38">INDEX(Data_DBD!$F:$F,$A38)</f>
        <v>Tinggi</v>
      </c>
      <c r="H38" s="36">
        <v>55</v>
      </c>
      <c r="I38" s="36">
        <v>7</v>
      </c>
      <c r="J38" s="36">
        <v>4</v>
      </c>
      <c r="K38" s="36">
        <v>15</v>
      </c>
      <c r="L38" s="36">
        <v>1</v>
      </c>
      <c r="M38" s="36" t="s">
        <v>8</v>
      </c>
    </row>
    <row r="39" spans="1:13">
      <c r="A39" s="36">
        <f ca="1" t="shared" si="0"/>
        <v>4</v>
      </c>
      <c r="B39" s="36">
        <f ca="1" t="array" ref="B39">INDEX(Data_DBD!$B:$B,$A39)</f>
        <v>23</v>
      </c>
      <c r="C39" s="36" t="str">
        <f ca="1" t="array" ref="C39">INDEX(Data_DBD!$C:$C,$A39)</f>
        <v>5 Hari</v>
      </c>
      <c r="D39" s="36">
        <f ca="1" t="array" ref="D39">INDEX(Data_DBD!$D:$D,$A39)</f>
        <v>12</v>
      </c>
      <c r="E39" s="36">
        <f ca="1" t="array" ref="E39">INDEX(Data_DBD!$E:$E,$A39)</f>
        <v>0</v>
      </c>
      <c r="F39" s="36" t="str">
        <f ca="1" t="array" ref="F39">INDEX(Data_DBD!$F:$F,$A39)</f>
        <v>Sedang</v>
      </c>
      <c r="H39" s="36">
        <v>110</v>
      </c>
      <c r="I39" s="36">
        <v>42</v>
      </c>
      <c r="J39" s="36">
        <v>2</v>
      </c>
      <c r="K39" s="36">
        <v>33</v>
      </c>
      <c r="L39" s="36">
        <v>1</v>
      </c>
      <c r="M39" s="36" t="s">
        <v>105</v>
      </c>
    </row>
    <row r="40" spans="1:13">
      <c r="A40" s="36">
        <f ca="1" t="shared" si="0"/>
        <v>89</v>
      </c>
      <c r="B40" s="36">
        <f ca="1" t="array" ref="B40">INDEX(Data_DBD!$B:$B,$A40)</f>
        <v>32</v>
      </c>
      <c r="C40" s="36" t="str">
        <f ca="1" t="array" ref="C40">INDEX(Data_DBD!$C:$C,$A40)</f>
        <v>4 Hari</v>
      </c>
      <c r="D40" s="36">
        <f ca="1" t="array" ref="D40">INDEX(Data_DBD!$D:$D,$A40)</f>
        <v>13</v>
      </c>
      <c r="E40" s="36">
        <f ca="1" t="array" ref="E40">INDEX(Data_DBD!$E:$E,$A40)</f>
        <v>0</v>
      </c>
      <c r="F40" s="36" t="str">
        <f ca="1" t="array" ref="F40">INDEX(Data_DBD!$F:$F,$A40)</f>
        <v>Sedang</v>
      </c>
      <c r="H40" s="36">
        <v>159</v>
      </c>
      <c r="I40" s="36">
        <v>17</v>
      </c>
      <c r="J40" s="36">
        <v>2</v>
      </c>
      <c r="K40" s="36">
        <v>21</v>
      </c>
      <c r="L40" s="36">
        <v>0</v>
      </c>
      <c r="M40" s="36" t="s">
        <v>105</v>
      </c>
    </row>
    <row r="41" spans="1:13">
      <c r="A41" s="36">
        <f ca="1" t="shared" si="0"/>
        <v>32</v>
      </c>
      <c r="B41" s="36">
        <f ca="1" t="array" ref="B41">INDEX(Data_DBD!$B:$B,$A41)</f>
        <v>54</v>
      </c>
      <c r="C41" s="36" t="str">
        <f ca="1" t="array" ref="C41">INDEX(Data_DBD!$C:$C,$A41)</f>
        <v>4 Hari</v>
      </c>
      <c r="D41" s="36">
        <f ca="1" t="array" ref="D41">INDEX(Data_DBD!$D:$D,$A41)</f>
        <v>14</v>
      </c>
      <c r="E41" s="36">
        <f ca="1" t="array" ref="E41">INDEX(Data_DBD!$E:$E,$A41)</f>
        <v>0</v>
      </c>
      <c r="F41" s="36" t="str">
        <f ca="1" t="array" ref="F41">INDEX(Data_DBD!$F:$F,$A41)</f>
        <v>Sedang</v>
      </c>
      <c r="H41" s="36">
        <v>102</v>
      </c>
      <c r="I41" s="36">
        <v>41</v>
      </c>
      <c r="J41" s="36">
        <v>4</v>
      </c>
      <c r="K41" s="36">
        <v>18</v>
      </c>
      <c r="L41" s="36">
        <v>0</v>
      </c>
      <c r="M41" s="36" t="s">
        <v>105</v>
      </c>
    </row>
    <row r="42" spans="1:13">
      <c r="A42" s="36">
        <f ca="1" t="shared" si="0"/>
        <v>85</v>
      </c>
      <c r="B42" s="36">
        <f ca="1" t="array" ref="B42">INDEX(Data_DBD!$B:$B,$A42)</f>
        <v>27</v>
      </c>
      <c r="C42" s="36" t="str">
        <f ca="1" t="array" ref="C42">INDEX(Data_DBD!$C:$C,$A42)</f>
        <v>9 Hari</v>
      </c>
      <c r="D42" s="36">
        <f ca="1" t="array" ref="D42">INDEX(Data_DBD!$D:$D,$A42)</f>
        <v>13</v>
      </c>
      <c r="E42" s="36">
        <f ca="1" t="array" ref="E42">INDEX(Data_DBD!$E:$E,$A42)</f>
        <v>0</v>
      </c>
      <c r="F42" s="36" t="str">
        <f ca="1" t="array" ref="F42">INDEX(Data_DBD!$F:$F,$A42)</f>
        <v>Sedang</v>
      </c>
      <c r="H42" s="36">
        <v>146</v>
      </c>
      <c r="I42" s="36">
        <v>34</v>
      </c>
      <c r="J42" s="36">
        <v>2</v>
      </c>
      <c r="K42" s="36">
        <v>21</v>
      </c>
      <c r="L42" s="36">
        <v>1</v>
      </c>
      <c r="M42" s="36" t="s">
        <v>105</v>
      </c>
    </row>
    <row r="43" spans="1:13">
      <c r="A43" s="36">
        <f ca="1" t="shared" si="0"/>
        <v>159</v>
      </c>
      <c r="B43" s="36">
        <f ca="1" t="array" ref="B43">INDEX(Data_DBD!$B:$B,$A43)</f>
        <v>17</v>
      </c>
      <c r="C43" s="36" t="str">
        <f ca="1" t="array" ref="C43">INDEX(Data_DBD!$C:$C,$A43)</f>
        <v>2 Hari</v>
      </c>
      <c r="D43" s="36">
        <f ca="1" t="array" ref="D43">INDEX(Data_DBD!$D:$D,$A43)</f>
        <v>21</v>
      </c>
      <c r="E43" s="36">
        <f ca="1" t="array" ref="E43">INDEX(Data_DBD!$E:$E,$A43)</f>
        <v>0</v>
      </c>
      <c r="F43" s="36" t="str">
        <f ca="1" t="array" ref="F43">INDEX(Data_DBD!$F:$F,$A43)</f>
        <v>Tinggi</v>
      </c>
      <c r="H43" s="36">
        <v>86</v>
      </c>
      <c r="I43" s="36">
        <v>23</v>
      </c>
      <c r="J43" s="36">
        <v>3</v>
      </c>
      <c r="K43" s="36">
        <v>13</v>
      </c>
      <c r="L43" s="36">
        <v>0</v>
      </c>
      <c r="M43" s="36" t="s">
        <v>8</v>
      </c>
    </row>
    <row r="44" spans="1:13">
      <c r="A44" s="36">
        <f ca="1" t="shared" si="0"/>
        <v>159</v>
      </c>
      <c r="B44" s="36">
        <f ca="1" t="array" ref="B44">INDEX(Data_DBD!$B:$B,$A44)</f>
        <v>17</v>
      </c>
      <c r="C44" s="36" t="str">
        <f ca="1" t="array" ref="C44">INDEX(Data_DBD!$C:$C,$A44)</f>
        <v>2 Hari</v>
      </c>
      <c r="D44" s="36">
        <f ca="1" t="array" ref="D44">INDEX(Data_DBD!$D:$D,$A44)</f>
        <v>21</v>
      </c>
      <c r="E44" s="36">
        <f ca="1" t="array" ref="E44">INDEX(Data_DBD!$E:$E,$A44)</f>
        <v>0</v>
      </c>
      <c r="F44" s="36" t="str">
        <f ca="1" t="array" ref="F44">INDEX(Data_DBD!$F:$F,$A44)</f>
        <v>Tinggi</v>
      </c>
      <c r="H44" s="36">
        <v>90</v>
      </c>
      <c r="I44" s="36">
        <v>47</v>
      </c>
      <c r="J44" s="36">
        <v>3</v>
      </c>
      <c r="K44" s="36">
        <v>18</v>
      </c>
      <c r="L44" s="36">
        <v>0</v>
      </c>
      <c r="M44" s="36" t="s">
        <v>105</v>
      </c>
    </row>
    <row r="45" spans="1:13">
      <c r="A45" s="36">
        <f ca="1" t="shared" si="0"/>
        <v>50</v>
      </c>
      <c r="B45" s="36">
        <f ca="1" t="array" ref="B45">INDEX(Data_DBD!$B:$B,$A45)</f>
        <v>19</v>
      </c>
      <c r="C45" s="36" t="str">
        <f ca="1" t="array" ref="C45">INDEX(Data_DBD!$C:$C,$A45)</f>
        <v>5 Hari</v>
      </c>
      <c r="D45" s="36">
        <f ca="1" t="array" ref="D45">INDEX(Data_DBD!$D:$D,$A45)</f>
        <v>13</v>
      </c>
      <c r="E45" s="36">
        <f ca="1" t="array" ref="E45">INDEX(Data_DBD!$E:$E,$A45)</f>
        <v>0</v>
      </c>
      <c r="F45" s="36" t="str">
        <f ca="1" t="array" ref="F45">INDEX(Data_DBD!$F:$F,$A45)</f>
        <v>Sedang</v>
      </c>
      <c r="H45" s="36">
        <v>67</v>
      </c>
      <c r="I45" s="36">
        <v>21</v>
      </c>
      <c r="J45" s="36">
        <v>3</v>
      </c>
      <c r="K45" s="36">
        <v>10</v>
      </c>
      <c r="L45" s="36">
        <v>1</v>
      </c>
      <c r="M45" s="36" t="s">
        <v>8</v>
      </c>
    </row>
    <row r="46" spans="1:13">
      <c r="A46" s="36">
        <f ca="1" t="shared" si="0"/>
        <v>20</v>
      </c>
      <c r="B46" s="36">
        <f ca="1" t="array" ref="B46">INDEX(Data_DBD!$B:$B,$A46)</f>
        <v>15</v>
      </c>
      <c r="C46" s="36" t="str">
        <f ca="1" t="array" ref="C46">INDEX(Data_DBD!$C:$C,$A46)</f>
        <v>5 Hari</v>
      </c>
      <c r="D46" s="36">
        <f ca="1" t="array" ref="D46">INDEX(Data_DBD!$D:$D,$A46)</f>
        <v>7</v>
      </c>
      <c r="E46" s="36">
        <f ca="1" t="array" ref="E46">INDEX(Data_DBD!$E:$E,$A46)</f>
        <v>0</v>
      </c>
      <c r="F46" s="36" t="str">
        <f ca="1" t="array" ref="F46">INDEX(Data_DBD!$F:$F,$A46)</f>
        <v>Rendah</v>
      </c>
      <c r="H46" s="36">
        <v>85</v>
      </c>
      <c r="I46" s="36">
        <v>27</v>
      </c>
      <c r="J46" s="36">
        <v>9</v>
      </c>
      <c r="K46" s="36">
        <v>13</v>
      </c>
      <c r="L46" s="36">
        <v>0</v>
      </c>
      <c r="M46" s="36" t="s">
        <v>8</v>
      </c>
    </row>
    <row r="47" spans="1:13">
      <c r="A47" s="36">
        <f ca="1" t="shared" si="0"/>
        <v>146</v>
      </c>
      <c r="B47" s="36">
        <f ca="1" t="array" ref="B47">INDEX(Data_DBD!$B:$B,$A47)</f>
        <v>34</v>
      </c>
      <c r="C47" s="36" t="str">
        <f ca="1" t="array" ref="C47">INDEX(Data_DBD!$C:$C,$A47)</f>
        <v>2 Hari</v>
      </c>
      <c r="D47" s="36">
        <f ca="1" t="array" ref="D47">INDEX(Data_DBD!$D:$D,$A47)</f>
        <v>21</v>
      </c>
      <c r="E47" s="36">
        <f ca="1" t="array" ref="E47">INDEX(Data_DBD!$E:$E,$A47)</f>
        <v>1</v>
      </c>
      <c r="F47" s="36" t="str">
        <f ca="1" t="array" ref="F47">INDEX(Data_DBD!$F:$F,$A47)</f>
        <v>Tinggi</v>
      </c>
      <c r="H47" s="36">
        <v>22</v>
      </c>
      <c r="I47" s="36">
        <v>6</v>
      </c>
      <c r="J47" s="36">
        <v>3</v>
      </c>
      <c r="K47" s="36">
        <v>14</v>
      </c>
      <c r="L47" s="36">
        <v>0</v>
      </c>
      <c r="M47" s="36" t="s">
        <v>8</v>
      </c>
    </row>
    <row r="48" spans="1:13">
      <c r="A48" s="36">
        <f ca="1" t="shared" si="0"/>
        <v>116</v>
      </c>
      <c r="B48" s="36">
        <f ca="1" t="array" ref="B48">INDEX(Data_DBD!$B:$B,$A48)</f>
        <v>32</v>
      </c>
      <c r="C48" s="36" t="str">
        <f ca="1" t="array" ref="C48">INDEX(Data_DBD!$C:$C,$A48)</f>
        <v>4 Hari</v>
      </c>
      <c r="D48" s="36">
        <f ca="1" t="array" ref="D48">INDEX(Data_DBD!$D:$D,$A48)</f>
        <v>33</v>
      </c>
      <c r="E48" s="36">
        <f ca="1" t="array" ref="E48">INDEX(Data_DBD!$E:$E,$A48)</f>
        <v>1</v>
      </c>
      <c r="F48" s="36" t="str">
        <f ca="1" t="array" ref="F48">INDEX(Data_DBD!$F:$F,$A48)</f>
        <v>Tinggi</v>
      </c>
      <c r="H48" s="36">
        <v>163</v>
      </c>
      <c r="I48" s="36">
        <v>34</v>
      </c>
      <c r="J48" s="36">
        <v>4</v>
      </c>
      <c r="K48" s="36">
        <v>3</v>
      </c>
      <c r="L48" s="36">
        <v>1</v>
      </c>
      <c r="M48" s="36" t="s">
        <v>26</v>
      </c>
    </row>
    <row r="49" spans="1:13">
      <c r="A49" s="36">
        <f ca="1" t="shared" si="0"/>
        <v>78</v>
      </c>
      <c r="B49" s="36">
        <f ca="1" t="array" ref="B49">INDEX(Data_DBD!$B:$B,$A49)</f>
        <v>6</v>
      </c>
      <c r="C49" s="36" t="str">
        <f ca="1" t="array" ref="C49">INDEX(Data_DBD!$C:$C,$A49)</f>
        <v>3 Hari</v>
      </c>
      <c r="D49" s="36">
        <f ca="1" t="array" ref="D49">INDEX(Data_DBD!$D:$D,$A49)</f>
        <v>13</v>
      </c>
      <c r="E49" s="36">
        <f ca="1" t="array" ref="E49">INDEX(Data_DBD!$E:$E,$A49)</f>
        <v>0</v>
      </c>
      <c r="F49" s="36" t="str">
        <f ca="1" t="array" ref="F49">INDEX(Data_DBD!$F:$F,$A49)</f>
        <v>Sedang</v>
      </c>
      <c r="H49" s="36">
        <v>150</v>
      </c>
      <c r="I49" s="36">
        <v>61</v>
      </c>
      <c r="J49" s="36">
        <v>5</v>
      </c>
      <c r="K49" s="36">
        <v>21</v>
      </c>
      <c r="L49" s="36">
        <v>1</v>
      </c>
      <c r="M49" s="36" t="s">
        <v>105</v>
      </c>
    </row>
    <row r="50" spans="1:13">
      <c r="A50" s="36">
        <f ca="1" t="shared" si="0"/>
        <v>142</v>
      </c>
      <c r="B50" s="36">
        <f ca="1" t="array" ref="B50">INDEX(Data_DBD!$B:$B,$A50)</f>
        <v>39</v>
      </c>
      <c r="C50" s="36" t="str">
        <f ca="1" t="array" ref="C50">INDEX(Data_DBD!$C:$C,$A50)</f>
        <v>2 Hari</v>
      </c>
      <c r="D50" s="36">
        <f ca="1" t="array" ref="D50">INDEX(Data_DBD!$D:$D,$A50)</f>
        <v>21</v>
      </c>
      <c r="E50" s="36">
        <f ca="1" t="array" ref="E50">INDEX(Data_DBD!$E:$E,$A50)</f>
        <v>1</v>
      </c>
      <c r="F50" s="36" t="str">
        <f ca="1" t="array" ref="F50">INDEX(Data_DBD!$F:$F,$A50)</f>
        <v>Tinggi</v>
      </c>
      <c r="H50" s="36">
        <v>2</v>
      </c>
      <c r="I50" s="36">
        <v>34</v>
      </c>
      <c r="J50" s="36">
        <v>3</v>
      </c>
      <c r="K50" s="36">
        <v>12</v>
      </c>
      <c r="L50" s="36">
        <v>0</v>
      </c>
      <c r="M50" s="36" t="s">
        <v>8</v>
      </c>
    </row>
    <row r="51" spans="1:13">
      <c r="A51" s="36">
        <f ca="1" t="shared" si="0"/>
        <v>159</v>
      </c>
      <c r="B51" s="36">
        <f ca="1" t="array" ref="B51">INDEX(Data_DBD!$B:$B,$A51)</f>
        <v>17</v>
      </c>
      <c r="C51" s="36" t="str">
        <f ca="1" t="array" ref="C51">INDEX(Data_DBD!$C:$C,$A51)</f>
        <v>2 Hari</v>
      </c>
      <c r="D51" s="36">
        <f ca="1" t="array" ref="D51">INDEX(Data_DBD!$D:$D,$A51)</f>
        <v>21</v>
      </c>
      <c r="E51" s="36">
        <f ca="1" t="array" ref="E51">INDEX(Data_DBD!$E:$E,$A51)</f>
        <v>0</v>
      </c>
      <c r="F51" s="36" t="str">
        <f ca="1" t="array" ref="F51">INDEX(Data_DBD!$F:$F,$A51)</f>
        <v>Tinggi</v>
      </c>
      <c r="H51" s="36">
        <v>132</v>
      </c>
      <c r="I51" s="36">
        <v>10</v>
      </c>
      <c r="J51" s="36">
        <v>3</v>
      </c>
      <c r="K51" s="36">
        <v>33</v>
      </c>
      <c r="L51" s="36">
        <v>1</v>
      </c>
      <c r="M51" s="36" t="s">
        <v>105</v>
      </c>
    </row>
    <row r="52" spans="1:13">
      <c r="A52" s="36">
        <f ca="1" t="shared" si="0"/>
        <v>141</v>
      </c>
      <c r="B52" s="36">
        <f ca="1" t="array" ref="B52">INDEX(Data_DBD!$B:$B,$A52)</f>
        <v>36</v>
      </c>
      <c r="C52" s="36" t="str">
        <f ca="1" t="array" ref="C52">INDEX(Data_DBD!$C:$C,$A52)</f>
        <v>2 Hari</v>
      </c>
      <c r="D52" s="36">
        <f ca="1" t="array" ref="D52">INDEX(Data_DBD!$D:$D,$A52)</f>
        <v>21</v>
      </c>
      <c r="E52" s="36">
        <f ca="1" t="array" ref="E52">INDEX(Data_DBD!$E:$E,$A52)</f>
        <v>0</v>
      </c>
      <c r="F52" s="36" t="str">
        <f ca="1" t="array" ref="F52">INDEX(Data_DBD!$F:$F,$A52)</f>
        <v>Tinggi</v>
      </c>
      <c r="H52" s="36">
        <v>9</v>
      </c>
      <c r="I52" s="36">
        <v>16</v>
      </c>
      <c r="J52" s="36">
        <v>6</v>
      </c>
      <c r="K52" s="36">
        <v>12</v>
      </c>
      <c r="L52" s="36">
        <v>1</v>
      </c>
      <c r="M52" s="36" t="s">
        <v>8</v>
      </c>
    </row>
    <row r="53" spans="1:13">
      <c r="A53" s="36">
        <f ca="1" t="shared" si="0"/>
        <v>79</v>
      </c>
      <c r="B53" s="36">
        <f ca="1" t="array" ref="B53">INDEX(Data_DBD!$B:$B,$A53)</f>
        <v>29</v>
      </c>
      <c r="C53" s="36" t="str">
        <f ca="1" t="array" ref="C53">INDEX(Data_DBD!$C:$C,$A53)</f>
        <v>3 Hari</v>
      </c>
      <c r="D53" s="36">
        <f ca="1" t="array" ref="D53">INDEX(Data_DBD!$D:$D,$A53)</f>
        <v>13</v>
      </c>
      <c r="E53" s="36">
        <f ca="1" t="array" ref="E53">INDEX(Data_DBD!$E:$E,$A53)</f>
        <v>0</v>
      </c>
      <c r="F53" s="36" t="str">
        <f ca="1" t="array" ref="F53">INDEX(Data_DBD!$F:$F,$A53)</f>
        <v>Sedang</v>
      </c>
      <c r="H53" s="36">
        <v>148</v>
      </c>
      <c r="I53" s="36">
        <v>55</v>
      </c>
      <c r="J53" s="36">
        <v>3</v>
      </c>
      <c r="K53" s="36">
        <v>21</v>
      </c>
      <c r="L53" s="36">
        <v>1</v>
      </c>
      <c r="M53" s="36" t="s">
        <v>105</v>
      </c>
    </row>
    <row r="54" spans="1:13">
      <c r="A54" s="36">
        <f ca="1" t="shared" si="0"/>
        <v>4</v>
      </c>
      <c r="B54" s="36">
        <f ca="1" t="array" ref="B54">INDEX(Data_DBD!$B:$B,$A54)</f>
        <v>23</v>
      </c>
      <c r="C54" s="36" t="str">
        <f ca="1" t="array" ref="C54">INDEX(Data_DBD!$C:$C,$A54)</f>
        <v>5 Hari</v>
      </c>
      <c r="D54" s="36">
        <f ca="1" t="array" ref="D54">INDEX(Data_DBD!$D:$D,$A54)</f>
        <v>12</v>
      </c>
      <c r="E54" s="36">
        <f ca="1" t="array" ref="E54">INDEX(Data_DBD!$E:$E,$A54)</f>
        <v>0</v>
      </c>
      <c r="F54" s="36" t="str">
        <f ca="1" t="array" ref="F54">INDEX(Data_DBD!$F:$F,$A54)</f>
        <v>Sedang</v>
      </c>
      <c r="H54" s="36">
        <v>12</v>
      </c>
      <c r="I54" s="36">
        <v>23</v>
      </c>
      <c r="J54" s="36">
        <v>3</v>
      </c>
      <c r="K54" s="36">
        <v>12</v>
      </c>
      <c r="L54" s="36">
        <v>0</v>
      </c>
      <c r="M54" s="36" t="s">
        <v>8</v>
      </c>
    </row>
    <row r="55" spans="1:13">
      <c r="A55" s="36">
        <f ca="1" t="shared" si="0"/>
        <v>120</v>
      </c>
      <c r="B55" s="36">
        <f ca="1" t="array" ref="B55">INDEX(Data_DBD!$B:$B,$A55)</f>
        <v>26</v>
      </c>
      <c r="C55" s="36" t="str">
        <f ca="1" t="array" ref="C55">INDEX(Data_DBD!$C:$C,$A55)</f>
        <v>4 Hari</v>
      </c>
      <c r="D55" s="36">
        <f ca="1" t="array" ref="D55">INDEX(Data_DBD!$D:$D,$A55)</f>
        <v>33</v>
      </c>
      <c r="E55" s="36">
        <f ca="1" t="array" ref="E55">INDEX(Data_DBD!$E:$E,$A55)</f>
        <v>1</v>
      </c>
      <c r="F55" s="36" t="str">
        <f ca="1" t="array" ref="F55">INDEX(Data_DBD!$F:$F,$A55)</f>
        <v>Tinggi</v>
      </c>
      <c r="H55" s="36">
        <v>64</v>
      </c>
      <c r="I55" s="36">
        <v>35</v>
      </c>
      <c r="J55" s="36">
        <v>1</v>
      </c>
      <c r="K55" s="36">
        <v>15</v>
      </c>
      <c r="L55" s="36">
        <v>0</v>
      </c>
      <c r="M55" s="36" t="s">
        <v>8</v>
      </c>
    </row>
    <row r="56" spans="1:13">
      <c r="A56" s="36">
        <f ca="1" t="shared" si="0"/>
        <v>49</v>
      </c>
      <c r="B56" s="36">
        <f ca="1" t="array" ref="B56">INDEX(Data_DBD!$B:$B,$A56)</f>
        <v>64</v>
      </c>
      <c r="C56" s="36" t="str">
        <f ca="1" t="array" ref="C56">INDEX(Data_DBD!$C:$C,$A56)</f>
        <v>5 Hari</v>
      </c>
      <c r="D56" s="36">
        <f ca="1" t="array" ref="D56">INDEX(Data_DBD!$D:$D,$A56)</f>
        <v>13</v>
      </c>
      <c r="E56" s="36">
        <f ca="1" t="array" ref="E56">INDEX(Data_DBD!$E:$E,$A56)</f>
        <v>0</v>
      </c>
      <c r="F56" s="36" t="str">
        <f ca="1" t="array" ref="F56">INDEX(Data_DBD!$F:$F,$A56)</f>
        <v>Sedang</v>
      </c>
      <c r="H56" s="36">
        <v>123</v>
      </c>
      <c r="I56" s="36">
        <v>22</v>
      </c>
      <c r="J56" s="36">
        <v>4</v>
      </c>
      <c r="K56" s="36">
        <v>33</v>
      </c>
      <c r="L56" s="36">
        <v>0</v>
      </c>
      <c r="M56" s="36" t="s">
        <v>105</v>
      </c>
    </row>
    <row r="57" spans="1:13">
      <c r="A57" s="36">
        <f ca="1" t="shared" si="0"/>
        <v>48</v>
      </c>
      <c r="B57" s="36">
        <f ca="1" t="array" ref="B57">INDEX(Data_DBD!$B:$B,$A57)</f>
        <v>50</v>
      </c>
      <c r="C57" s="36" t="str">
        <f ca="1" t="array" ref="C57">INDEX(Data_DBD!$C:$C,$A57)</f>
        <v>5 Hari</v>
      </c>
      <c r="D57" s="36">
        <f ca="1" t="array" ref="D57">INDEX(Data_DBD!$D:$D,$A57)</f>
        <v>13</v>
      </c>
      <c r="E57" s="36">
        <f ca="1" t="array" ref="E57">INDEX(Data_DBD!$E:$E,$A57)</f>
        <v>1</v>
      </c>
      <c r="F57" s="36" t="str">
        <f ca="1" t="array" ref="F57">INDEX(Data_DBD!$F:$F,$A57)</f>
        <v>Sedang</v>
      </c>
      <c r="H57" s="36">
        <v>56</v>
      </c>
      <c r="I57" s="36">
        <v>4</v>
      </c>
      <c r="J57" s="36">
        <v>3</v>
      </c>
      <c r="K57" s="36">
        <v>15</v>
      </c>
      <c r="L57" s="36">
        <v>0</v>
      </c>
      <c r="M57" s="36" t="s">
        <v>8</v>
      </c>
    </row>
    <row r="58" spans="1:13">
      <c r="A58" s="36">
        <f ca="1" t="shared" si="0"/>
        <v>140</v>
      </c>
      <c r="B58" s="36">
        <f ca="1" t="array" ref="B58">INDEX(Data_DBD!$B:$B,$A58)</f>
        <v>74</v>
      </c>
      <c r="C58" s="36" t="str">
        <f ca="1" t="array" ref="C58">INDEX(Data_DBD!$C:$C,$A58)</f>
        <v>5 Hari</v>
      </c>
      <c r="D58" s="36">
        <f ca="1" t="array" ref="D58">INDEX(Data_DBD!$D:$D,$A58)</f>
        <v>21</v>
      </c>
      <c r="E58" s="36">
        <f ca="1" t="array" ref="E58">INDEX(Data_DBD!$E:$E,$A58)</f>
        <v>1</v>
      </c>
      <c r="F58" s="36" t="str">
        <f ca="1" t="array" ref="F58">INDEX(Data_DBD!$F:$F,$A58)</f>
        <v>Tinggi</v>
      </c>
      <c r="H58" s="36">
        <v>12</v>
      </c>
      <c r="I58" s="36">
        <v>23</v>
      </c>
      <c r="J58" s="36">
        <v>3</v>
      </c>
      <c r="K58" s="36">
        <v>12</v>
      </c>
      <c r="L58" s="36">
        <v>0</v>
      </c>
      <c r="M58" s="36" t="s">
        <v>8</v>
      </c>
    </row>
    <row r="59" spans="1:13">
      <c r="A59" s="36">
        <f ca="1" t="shared" si="0"/>
        <v>88</v>
      </c>
      <c r="B59" s="36">
        <f ca="1" t="array" ref="B59">INDEX(Data_DBD!$B:$B,$A59)</f>
        <v>20</v>
      </c>
      <c r="C59" s="36" t="str">
        <f ca="1" t="array" ref="C59">INDEX(Data_DBD!$C:$C,$A59)</f>
        <v>4 Hari</v>
      </c>
      <c r="D59" s="36">
        <f ca="1" t="array" ref="D59">INDEX(Data_DBD!$D:$D,$A59)</f>
        <v>13</v>
      </c>
      <c r="E59" s="36">
        <f ca="1" t="array" ref="E59">INDEX(Data_DBD!$E:$E,$A59)</f>
        <v>1</v>
      </c>
      <c r="F59" s="36" t="str">
        <f ca="1" t="array" ref="F59">INDEX(Data_DBD!$F:$F,$A59)</f>
        <v>Sedang</v>
      </c>
      <c r="H59" s="36">
        <v>52</v>
      </c>
      <c r="I59" s="36">
        <v>59</v>
      </c>
      <c r="J59" s="36">
        <v>4</v>
      </c>
      <c r="K59" s="36">
        <v>15</v>
      </c>
      <c r="L59" s="36">
        <v>1</v>
      </c>
      <c r="M59" s="36" t="s">
        <v>8</v>
      </c>
    </row>
    <row r="60" spans="1:13">
      <c r="A60" s="36">
        <f ca="1" t="shared" si="0"/>
        <v>80</v>
      </c>
      <c r="B60" s="36">
        <f ca="1" t="array" ref="B60">INDEX(Data_DBD!$B:$B,$A60)</f>
        <v>27</v>
      </c>
      <c r="C60" s="36" t="str">
        <f ca="1" t="array" ref="C60">INDEX(Data_DBD!$C:$C,$A60)</f>
        <v>3 Hari</v>
      </c>
      <c r="D60" s="36">
        <f ca="1" t="array" ref="D60">INDEX(Data_DBD!$D:$D,$A60)</f>
        <v>13</v>
      </c>
      <c r="E60" s="36">
        <f ca="1" t="array" ref="E60">INDEX(Data_DBD!$E:$E,$A60)</f>
        <v>1</v>
      </c>
      <c r="F60" s="36" t="str">
        <f ca="1" t="array" ref="F60">INDEX(Data_DBD!$F:$F,$A60)</f>
        <v>Sedang</v>
      </c>
      <c r="H60" s="36">
        <v>101</v>
      </c>
      <c r="I60" s="36">
        <v>42</v>
      </c>
      <c r="J60" s="36">
        <v>5</v>
      </c>
      <c r="K60" s="36">
        <v>18</v>
      </c>
      <c r="L60" s="36">
        <v>0</v>
      </c>
      <c r="M60" s="36" t="s">
        <v>105</v>
      </c>
    </row>
    <row r="61" spans="1:13">
      <c r="A61" s="36">
        <f ca="1" t="shared" si="0"/>
        <v>148</v>
      </c>
      <c r="B61" s="36">
        <f ca="1" t="array" ref="B61">INDEX(Data_DBD!$B:$B,$A61)</f>
        <v>55</v>
      </c>
      <c r="C61" s="36" t="str">
        <f ca="1" t="array" ref="C61">INDEX(Data_DBD!$C:$C,$A61)</f>
        <v>3 Hari</v>
      </c>
      <c r="D61" s="36">
        <f ca="1" t="array" ref="D61">INDEX(Data_DBD!$D:$D,$A61)</f>
        <v>21</v>
      </c>
      <c r="E61" s="36">
        <f ca="1" t="array" ref="E61">INDEX(Data_DBD!$E:$E,$A61)</f>
        <v>1</v>
      </c>
      <c r="F61" s="36" t="str">
        <f ca="1" t="array" ref="F61">INDEX(Data_DBD!$F:$F,$A61)</f>
        <v>Tinggi</v>
      </c>
      <c r="H61" s="36">
        <v>14</v>
      </c>
      <c r="I61" s="36">
        <v>49</v>
      </c>
      <c r="J61" s="36">
        <v>4</v>
      </c>
      <c r="K61" s="36">
        <v>7</v>
      </c>
      <c r="L61" s="36">
        <v>1</v>
      </c>
      <c r="M61" s="36" t="s">
        <v>26</v>
      </c>
    </row>
    <row r="62" spans="1:13">
      <c r="A62" s="36">
        <f ca="1" t="shared" si="0"/>
        <v>71</v>
      </c>
      <c r="B62" s="36">
        <f ca="1" t="array" ref="B62">INDEX(Data_DBD!$B:$B,$A62)</f>
        <v>84</v>
      </c>
      <c r="C62" s="36" t="str">
        <f ca="1" t="array" ref="C62">INDEX(Data_DBD!$C:$C,$A62)</f>
        <v>3 Hari</v>
      </c>
      <c r="D62" s="36">
        <f ca="1" t="array" ref="D62">INDEX(Data_DBD!$D:$D,$A62)</f>
        <v>10</v>
      </c>
      <c r="E62" s="36">
        <f ca="1" t="array" ref="E62">INDEX(Data_DBD!$E:$E,$A62)</f>
        <v>0</v>
      </c>
      <c r="F62" s="36" t="str">
        <f ca="1" t="array" ref="F62">INDEX(Data_DBD!$F:$F,$A62)</f>
        <v>Sedang</v>
      </c>
      <c r="H62" s="36">
        <v>30</v>
      </c>
      <c r="I62" s="36">
        <v>3</v>
      </c>
      <c r="J62" s="36">
        <v>2</v>
      </c>
      <c r="K62" s="36">
        <v>14</v>
      </c>
      <c r="L62" s="36">
        <v>1</v>
      </c>
      <c r="M62" s="36" t="s">
        <v>8</v>
      </c>
    </row>
    <row r="63" spans="1:13">
      <c r="A63" s="36">
        <f ca="1" t="shared" si="0"/>
        <v>92</v>
      </c>
      <c r="B63" s="36">
        <f ca="1" t="array" ref="B63">INDEX(Data_DBD!$B:$B,$A63)</f>
        <v>55</v>
      </c>
      <c r="C63" s="36" t="str">
        <f ca="1" t="array" ref="C63">INDEX(Data_DBD!$C:$C,$A63)</f>
        <v>7 Hari</v>
      </c>
      <c r="D63" s="36">
        <f ca="1" t="array" ref="D63">INDEX(Data_DBD!$D:$D,$A63)</f>
        <v>18</v>
      </c>
      <c r="E63" s="36">
        <f ca="1" t="array" ref="E63">INDEX(Data_DBD!$E:$E,$A63)</f>
        <v>0</v>
      </c>
      <c r="F63" s="36" t="str">
        <f ca="1" t="array" ref="F63">INDEX(Data_DBD!$F:$F,$A63)</f>
        <v>Tinggi</v>
      </c>
      <c r="H63" s="36">
        <v>137</v>
      </c>
      <c r="I63" s="36">
        <v>3</v>
      </c>
      <c r="J63" s="36">
        <v>1</v>
      </c>
      <c r="K63" s="36">
        <v>33</v>
      </c>
      <c r="L63" s="36">
        <v>1</v>
      </c>
      <c r="M63" s="36" t="s">
        <v>105</v>
      </c>
    </row>
    <row r="64" spans="1:13">
      <c r="A64" s="36">
        <f ca="1" t="shared" si="0"/>
        <v>108</v>
      </c>
      <c r="B64" s="36">
        <f ca="1" t="array" ref="B64">INDEX(Data_DBD!$B:$B,$A64)</f>
        <v>69</v>
      </c>
      <c r="C64" s="36" t="str">
        <f ca="1" t="array" ref="C64">INDEX(Data_DBD!$C:$C,$A64)</f>
        <v>7 Hari</v>
      </c>
      <c r="D64" s="36">
        <f ca="1" t="array" ref="D64">INDEX(Data_DBD!$D:$D,$A64)</f>
        <v>33</v>
      </c>
      <c r="E64" s="36">
        <f ca="1" t="array" ref="E64">INDEX(Data_DBD!$E:$E,$A64)</f>
        <v>1</v>
      </c>
      <c r="F64" s="36" t="str">
        <f ca="1" t="array" ref="F64">INDEX(Data_DBD!$F:$F,$A64)</f>
        <v>Tinggi</v>
      </c>
      <c r="H64" s="36">
        <v>151</v>
      </c>
      <c r="I64" s="36">
        <v>24</v>
      </c>
      <c r="J64" s="36">
        <v>3</v>
      </c>
      <c r="K64" s="36">
        <v>21</v>
      </c>
      <c r="L64" s="36">
        <v>0</v>
      </c>
      <c r="M64" s="36" t="s">
        <v>105</v>
      </c>
    </row>
    <row r="65" spans="1:13">
      <c r="A65" s="36">
        <f ca="1" t="shared" si="0"/>
        <v>80</v>
      </c>
      <c r="B65" s="36">
        <f ca="1" t="array" ref="B65">INDEX(Data_DBD!$B:$B,$A65)</f>
        <v>27</v>
      </c>
      <c r="C65" s="36" t="str">
        <f ca="1" t="array" ref="C65">INDEX(Data_DBD!$C:$C,$A65)</f>
        <v>3 Hari</v>
      </c>
      <c r="D65" s="36">
        <f ca="1" t="array" ref="D65">INDEX(Data_DBD!$D:$D,$A65)</f>
        <v>13</v>
      </c>
      <c r="E65" s="36">
        <f ca="1" t="array" ref="E65">INDEX(Data_DBD!$E:$E,$A65)</f>
        <v>1</v>
      </c>
      <c r="F65" s="36" t="str">
        <f ca="1" t="array" ref="F65">INDEX(Data_DBD!$F:$F,$A65)</f>
        <v>Sedang</v>
      </c>
      <c r="H65" s="36">
        <v>112</v>
      </c>
      <c r="I65" s="36">
        <v>61</v>
      </c>
      <c r="J65" s="36">
        <v>3</v>
      </c>
      <c r="K65" s="36">
        <v>33</v>
      </c>
      <c r="L65" s="36">
        <v>1</v>
      </c>
      <c r="M65" s="36" t="s">
        <v>105</v>
      </c>
    </row>
    <row r="66" spans="1:13">
      <c r="A66" s="36">
        <f ca="1" t="shared" si="0"/>
        <v>148</v>
      </c>
      <c r="B66" s="36">
        <f ca="1" t="array" ref="B66">INDEX(Data_DBD!$B:$B,$A66)</f>
        <v>55</v>
      </c>
      <c r="C66" s="36" t="str">
        <f ca="1" t="array" ref="C66">INDEX(Data_DBD!$C:$C,$A66)</f>
        <v>3 Hari</v>
      </c>
      <c r="D66" s="36">
        <f ca="1" t="array" ref="D66">INDEX(Data_DBD!$D:$D,$A66)</f>
        <v>21</v>
      </c>
      <c r="E66" s="36">
        <f ca="1" t="array" ref="E66">INDEX(Data_DBD!$E:$E,$A66)</f>
        <v>1</v>
      </c>
      <c r="F66" s="36" t="str">
        <f ca="1" t="array" ref="F66">INDEX(Data_DBD!$F:$F,$A66)</f>
        <v>Tinggi</v>
      </c>
      <c r="H66" s="36">
        <v>32</v>
      </c>
      <c r="I66" s="36">
        <v>54</v>
      </c>
      <c r="J66" s="36">
        <v>4</v>
      </c>
      <c r="K66" s="36">
        <v>14</v>
      </c>
      <c r="L66" s="36">
        <v>0</v>
      </c>
      <c r="M66" s="36" t="s">
        <v>8</v>
      </c>
    </row>
    <row r="67" spans="1:13">
      <c r="A67" s="36">
        <f ca="1" t="shared" ref="A67:A130" si="1">RANDBETWEEN(2,164)</f>
        <v>159</v>
      </c>
      <c r="B67" s="36">
        <f ca="1" t="array" ref="B67">INDEX(Data_DBD!$B:$B,$A67)</f>
        <v>17</v>
      </c>
      <c r="C67" s="36" t="str">
        <f ca="1" t="array" ref="C67">INDEX(Data_DBD!$C:$C,$A67)</f>
        <v>2 Hari</v>
      </c>
      <c r="D67" s="36">
        <f ca="1" t="array" ref="D67">INDEX(Data_DBD!$D:$D,$A67)</f>
        <v>21</v>
      </c>
      <c r="E67" s="36">
        <f ca="1" t="array" ref="E67">INDEX(Data_DBD!$E:$E,$A67)</f>
        <v>0</v>
      </c>
      <c r="F67" s="36" t="str">
        <f ca="1" t="array" ref="F67">INDEX(Data_DBD!$F:$F,$A67)</f>
        <v>Tinggi</v>
      </c>
      <c r="H67" s="36">
        <v>112</v>
      </c>
      <c r="I67" s="36">
        <v>61</v>
      </c>
      <c r="J67" s="36">
        <v>3</v>
      </c>
      <c r="K67" s="36">
        <v>33</v>
      </c>
      <c r="L67" s="36">
        <v>1</v>
      </c>
      <c r="M67" s="36" t="s">
        <v>105</v>
      </c>
    </row>
    <row r="68" spans="1:13">
      <c r="A68" s="36">
        <f ca="1" t="shared" si="1"/>
        <v>126</v>
      </c>
      <c r="B68" s="36">
        <f ca="1" t="array" ref="B68">INDEX(Data_DBD!$B:$B,$A68)</f>
        <v>51</v>
      </c>
      <c r="C68" s="36" t="str">
        <f ca="1" t="array" ref="C68">INDEX(Data_DBD!$C:$C,$A68)</f>
        <v>3 Hari</v>
      </c>
      <c r="D68" s="36">
        <f ca="1" t="array" ref="D68">INDEX(Data_DBD!$D:$D,$A68)</f>
        <v>33</v>
      </c>
      <c r="E68" s="36">
        <f ca="1" t="array" ref="E68">INDEX(Data_DBD!$E:$E,$A68)</f>
        <v>1</v>
      </c>
      <c r="F68" s="36" t="str">
        <f ca="1" t="array" ref="F68">INDEX(Data_DBD!$F:$F,$A68)</f>
        <v>Tinggi</v>
      </c>
      <c r="H68" s="36">
        <v>54</v>
      </c>
      <c r="I68" s="36">
        <v>7</v>
      </c>
      <c r="J68" s="36">
        <v>3</v>
      </c>
      <c r="K68" s="36">
        <v>15</v>
      </c>
      <c r="L68" s="36">
        <v>0</v>
      </c>
      <c r="M68" s="36" t="s">
        <v>8</v>
      </c>
    </row>
    <row r="69" spans="1:13">
      <c r="A69" s="36">
        <f ca="1" t="shared" si="1"/>
        <v>24</v>
      </c>
      <c r="B69" s="36">
        <f ca="1" t="array" ref="B69">INDEX(Data_DBD!$B:$B,$A69)</f>
        <v>60</v>
      </c>
      <c r="C69" s="36" t="str">
        <f ca="1" t="array" ref="C69">INDEX(Data_DBD!$C:$C,$A69)</f>
        <v>4 Hari</v>
      </c>
      <c r="D69" s="36">
        <f ca="1" t="array" ref="D69">INDEX(Data_DBD!$D:$D,$A69)</f>
        <v>14</v>
      </c>
      <c r="E69" s="36">
        <f ca="1" t="array" ref="E69">INDEX(Data_DBD!$E:$E,$A69)</f>
        <v>0</v>
      </c>
      <c r="F69" s="36" t="str">
        <f ca="1" t="array" ref="F69">INDEX(Data_DBD!$F:$F,$A69)</f>
        <v>Sedang</v>
      </c>
      <c r="H69" s="36">
        <v>16</v>
      </c>
      <c r="I69" s="36">
        <v>66</v>
      </c>
      <c r="J69" s="36">
        <v>5</v>
      </c>
      <c r="K69" s="36">
        <v>7</v>
      </c>
      <c r="L69" s="36">
        <v>1</v>
      </c>
      <c r="M69" s="36" t="s">
        <v>26</v>
      </c>
    </row>
    <row r="70" spans="1:13">
      <c r="A70" s="36">
        <f ca="1" t="shared" si="1"/>
        <v>76</v>
      </c>
      <c r="B70" s="36">
        <f ca="1" t="array" ref="B70">INDEX(Data_DBD!$B:$B,$A70)</f>
        <v>70</v>
      </c>
      <c r="C70" s="36" t="str">
        <f ca="1" t="array" ref="C70">INDEX(Data_DBD!$C:$C,$A70)</f>
        <v>2 Hari</v>
      </c>
      <c r="D70" s="36">
        <f ca="1" t="array" ref="D70">INDEX(Data_DBD!$D:$D,$A70)</f>
        <v>10</v>
      </c>
      <c r="E70" s="36">
        <f ca="1" t="array" ref="E70">INDEX(Data_DBD!$E:$E,$A70)</f>
        <v>0</v>
      </c>
      <c r="F70" s="36" t="str">
        <f ca="1" t="array" ref="F70">INDEX(Data_DBD!$F:$F,$A70)</f>
        <v>Sedang</v>
      </c>
      <c r="H70" s="36">
        <v>8</v>
      </c>
      <c r="I70" s="36">
        <v>4</v>
      </c>
      <c r="J70" s="36">
        <v>2</v>
      </c>
      <c r="K70" s="36">
        <v>12</v>
      </c>
      <c r="L70" s="36">
        <v>0</v>
      </c>
      <c r="M70" s="36" t="s">
        <v>8</v>
      </c>
    </row>
    <row r="71" spans="1:13">
      <c r="A71" s="36">
        <f ca="1" t="shared" si="1"/>
        <v>159</v>
      </c>
      <c r="B71" s="36">
        <f ca="1" t="array" ref="B71">INDEX(Data_DBD!$B:$B,$A71)</f>
        <v>17</v>
      </c>
      <c r="C71" s="36" t="str">
        <f ca="1" t="array" ref="C71">INDEX(Data_DBD!$C:$C,$A71)</f>
        <v>2 Hari</v>
      </c>
      <c r="D71" s="36">
        <f ca="1" t="array" ref="D71">INDEX(Data_DBD!$D:$D,$A71)</f>
        <v>21</v>
      </c>
      <c r="E71" s="36">
        <f ca="1" t="array" ref="E71">INDEX(Data_DBD!$E:$E,$A71)</f>
        <v>0</v>
      </c>
      <c r="F71" s="36" t="str">
        <f ca="1" t="array" ref="F71">INDEX(Data_DBD!$F:$F,$A71)</f>
        <v>Tinggi</v>
      </c>
      <c r="H71" s="36">
        <v>30</v>
      </c>
      <c r="I71" s="36">
        <v>3</v>
      </c>
      <c r="J71" s="36">
        <v>2</v>
      </c>
      <c r="K71" s="36">
        <v>14</v>
      </c>
      <c r="L71" s="36">
        <v>1</v>
      </c>
      <c r="M71" s="36" t="s">
        <v>8</v>
      </c>
    </row>
    <row r="72" spans="1:13">
      <c r="A72" s="36">
        <f ca="1" t="shared" si="1"/>
        <v>148</v>
      </c>
      <c r="B72" s="36">
        <f ca="1" t="array" ref="B72">INDEX(Data_DBD!$B:$B,$A72)</f>
        <v>55</v>
      </c>
      <c r="C72" s="36" t="str">
        <f ca="1" t="array" ref="C72">INDEX(Data_DBD!$C:$C,$A72)</f>
        <v>3 Hari</v>
      </c>
      <c r="D72" s="36">
        <f ca="1" t="array" ref="D72">INDEX(Data_DBD!$D:$D,$A72)</f>
        <v>21</v>
      </c>
      <c r="E72" s="36">
        <f ca="1" t="array" ref="E72">INDEX(Data_DBD!$E:$E,$A72)</f>
        <v>1</v>
      </c>
      <c r="F72" s="36" t="str">
        <f ca="1" t="array" ref="F72">INDEX(Data_DBD!$F:$F,$A72)</f>
        <v>Tinggi</v>
      </c>
      <c r="H72" s="36">
        <v>135</v>
      </c>
      <c r="I72" s="36">
        <v>10</v>
      </c>
      <c r="J72" s="36">
        <v>2</v>
      </c>
      <c r="K72" s="36">
        <v>33</v>
      </c>
      <c r="L72" s="36">
        <v>0</v>
      </c>
      <c r="M72" s="36" t="s">
        <v>105</v>
      </c>
    </row>
    <row r="73" spans="1:13">
      <c r="A73" s="36">
        <f ca="1" t="shared" si="1"/>
        <v>15</v>
      </c>
      <c r="B73" s="36">
        <f ca="1" t="array" ref="B73">INDEX(Data_DBD!$B:$B,$A73)</f>
        <v>21</v>
      </c>
      <c r="C73" s="36" t="str">
        <f ca="1" t="array" ref="C73">INDEX(Data_DBD!$C:$C,$A73)</f>
        <v>2 Hari</v>
      </c>
      <c r="D73" s="36">
        <f ca="1" t="array" ref="D73">INDEX(Data_DBD!$D:$D,$A73)</f>
        <v>7</v>
      </c>
      <c r="E73" s="36">
        <f ca="1" t="array" ref="E73">INDEX(Data_DBD!$E:$E,$A73)</f>
        <v>0</v>
      </c>
      <c r="F73" s="36" t="str">
        <f ca="1" t="array" ref="F73">INDEX(Data_DBD!$F:$F,$A73)</f>
        <v>Rendah</v>
      </c>
      <c r="H73" s="36">
        <v>15</v>
      </c>
      <c r="I73" s="36">
        <v>21</v>
      </c>
      <c r="J73" s="36">
        <v>2</v>
      </c>
      <c r="K73" s="36">
        <v>7</v>
      </c>
      <c r="L73" s="36">
        <v>0</v>
      </c>
      <c r="M73" s="36" t="s">
        <v>26</v>
      </c>
    </row>
    <row r="74" spans="1:13">
      <c r="A74" s="36">
        <f ca="1" t="shared" si="1"/>
        <v>19</v>
      </c>
      <c r="B74" s="36">
        <f ca="1" t="array" ref="B74">INDEX(Data_DBD!$B:$B,$A74)</f>
        <v>8</v>
      </c>
      <c r="C74" s="36" t="str">
        <f ca="1" t="array" ref="C74">INDEX(Data_DBD!$C:$C,$A74)</f>
        <v>4 Hari</v>
      </c>
      <c r="D74" s="36">
        <f ca="1" t="array" ref="D74">INDEX(Data_DBD!$D:$D,$A74)</f>
        <v>7</v>
      </c>
      <c r="E74" s="36">
        <f ca="1" t="array" ref="E74">INDEX(Data_DBD!$E:$E,$A74)</f>
        <v>0</v>
      </c>
      <c r="F74" s="36" t="str">
        <f ca="1" t="array" ref="F74">INDEX(Data_DBD!$F:$F,$A74)</f>
        <v>Rendah</v>
      </c>
      <c r="H74" s="36">
        <v>158</v>
      </c>
      <c r="I74" s="36">
        <v>5</v>
      </c>
      <c r="J74" s="36">
        <v>2</v>
      </c>
      <c r="K74" s="36">
        <v>21</v>
      </c>
      <c r="L74" s="36">
        <v>0</v>
      </c>
      <c r="M74" s="36" t="s">
        <v>105</v>
      </c>
    </row>
    <row r="75" spans="1:13">
      <c r="A75" s="36">
        <f ca="1" t="shared" si="1"/>
        <v>97</v>
      </c>
      <c r="B75" s="36">
        <f ca="1" t="array" ref="B75">INDEX(Data_DBD!$B:$B,$A75)</f>
        <v>16</v>
      </c>
      <c r="C75" s="36" t="str">
        <f ca="1" t="array" ref="C75">INDEX(Data_DBD!$C:$C,$A75)</f>
        <v>2 Hari</v>
      </c>
      <c r="D75" s="36">
        <f ca="1" t="array" ref="D75">INDEX(Data_DBD!$D:$D,$A75)</f>
        <v>18</v>
      </c>
      <c r="E75" s="36">
        <f ca="1" t="array" ref="E75">INDEX(Data_DBD!$E:$E,$A75)</f>
        <v>1</v>
      </c>
      <c r="F75" s="36" t="str">
        <f ca="1" t="array" ref="F75">INDEX(Data_DBD!$F:$F,$A75)</f>
        <v>Tinggi</v>
      </c>
      <c r="H75" s="36">
        <v>32</v>
      </c>
      <c r="I75" s="36">
        <v>54</v>
      </c>
      <c r="J75" s="36">
        <v>4</v>
      </c>
      <c r="K75" s="36">
        <v>14</v>
      </c>
      <c r="L75" s="36">
        <v>0</v>
      </c>
      <c r="M75" s="36" t="s">
        <v>8</v>
      </c>
    </row>
    <row r="76" spans="1:13">
      <c r="A76" s="36">
        <f ca="1" t="shared" si="1"/>
        <v>145</v>
      </c>
      <c r="B76" s="36">
        <f ca="1" t="array" ref="B76">INDEX(Data_DBD!$B:$B,$A76)</f>
        <v>28</v>
      </c>
      <c r="C76" s="36" t="str">
        <f ca="1" t="array" ref="C76">INDEX(Data_DBD!$C:$C,$A76)</f>
        <v>4 Hari</v>
      </c>
      <c r="D76" s="36">
        <f ca="1" t="array" ref="D76">INDEX(Data_DBD!$D:$D,$A76)</f>
        <v>21</v>
      </c>
      <c r="E76" s="36">
        <f ca="1" t="array" ref="E76">INDEX(Data_DBD!$E:$E,$A76)</f>
        <v>1</v>
      </c>
      <c r="F76" s="36" t="str">
        <f ca="1" t="array" ref="F76">INDEX(Data_DBD!$F:$F,$A76)</f>
        <v>Tinggi</v>
      </c>
      <c r="H76" s="36">
        <v>106</v>
      </c>
      <c r="I76" s="36">
        <v>23</v>
      </c>
      <c r="J76" s="36">
        <v>3</v>
      </c>
      <c r="K76" s="36">
        <v>18</v>
      </c>
      <c r="L76" s="36">
        <v>1</v>
      </c>
      <c r="M76" s="36" t="s">
        <v>105</v>
      </c>
    </row>
    <row r="77" spans="1:13">
      <c r="A77" s="36">
        <f ca="1" t="shared" si="1"/>
        <v>80</v>
      </c>
      <c r="B77" s="36">
        <f ca="1" t="array" ref="B77">INDEX(Data_DBD!$B:$B,$A77)</f>
        <v>27</v>
      </c>
      <c r="C77" s="36" t="str">
        <f ca="1" t="array" ref="C77">INDEX(Data_DBD!$C:$C,$A77)</f>
        <v>3 Hari</v>
      </c>
      <c r="D77" s="36">
        <f ca="1" t="array" ref="D77">INDEX(Data_DBD!$D:$D,$A77)</f>
        <v>13</v>
      </c>
      <c r="E77" s="36">
        <f ca="1" t="array" ref="E77">INDEX(Data_DBD!$E:$E,$A77)</f>
        <v>1</v>
      </c>
      <c r="F77" s="36" t="str">
        <f ca="1" t="array" ref="F77">INDEX(Data_DBD!$F:$F,$A77)</f>
        <v>Sedang</v>
      </c>
      <c r="H77" s="36">
        <v>5</v>
      </c>
      <c r="I77" s="36">
        <v>18</v>
      </c>
      <c r="J77" s="36">
        <v>2</v>
      </c>
      <c r="K77" s="36">
        <v>12</v>
      </c>
      <c r="L77" s="36">
        <v>1</v>
      </c>
      <c r="M77" s="36" t="s">
        <v>8</v>
      </c>
    </row>
    <row r="78" spans="1:13">
      <c r="A78" s="36">
        <f ca="1" t="shared" si="1"/>
        <v>49</v>
      </c>
      <c r="B78" s="36">
        <f ca="1" t="array" ref="B78">INDEX(Data_DBD!$B:$B,$A78)</f>
        <v>64</v>
      </c>
      <c r="C78" s="36" t="str">
        <f ca="1" t="array" ref="C78">INDEX(Data_DBD!$C:$C,$A78)</f>
        <v>5 Hari</v>
      </c>
      <c r="D78" s="36">
        <f ca="1" t="array" ref="D78">INDEX(Data_DBD!$D:$D,$A78)</f>
        <v>13</v>
      </c>
      <c r="E78" s="36">
        <f ca="1" t="array" ref="E78">INDEX(Data_DBD!$E:$E,$A78)</f>
        <v>0</v>
      </c>
      <c r="F78" s="36" t="str">
        <f ca="1" t="array" ref="F78">INDEX(Data_DBD!$F:$F,$A78)</f>
        <v>Sedang</v>
      </c>
      <c r="H78" s="36">
        <v>46</v>
      </c>
      <c r="I78" s="36">
        <v>62</v>
      </c>
      <c r="J78" s="36">
        <v>2</v>
      </c>
      <c r="K78" s="36">
        <v>13</v>
      </c>
      <c r="L78" s="36">
        <v>0</v>
      </c>
      <c r="M78" s="36" t="s">
        <v>8</v>
      </c>
    </row>
    <row r="79" spans="1:13">
      <c r="A79" s="36">
        <f ca="1" t="shared" si="1"/>
        <v>12</v>
      </c>
      <c r="B79" s="36">
        <f ca="1" t="array" ref="B79">INDEX(Data_DBD!$B:$B,$A79)</f>
        <v>23</v>
      </c>
      <c r="C79" s="36" t="str">
        <f ca="1" t="array" ref="C79">INDEX(Data_DBD!$C:$C,$A79)</f>
        <v>3 Hari</v>
      </c>
      <c r="D79" s="36">
        <f ca="1" t="array" ref="D79">INDEX(Data_DBD!$D:$D,$A79)</f>
        <v>12</v>
      </c>
      <c r="E79" s="36">
        <f ca="1" t="array" ref="E79">INDEX(Data_DBD!$E:$E,$A79)</f>
        <v>0</v>
      </c>
      <c r="F79" s="36" t="str">
        <f ca="1" t="array" ref="F79">INDEX(Data_DBD!$F:$F,$A79)</f>
        <v>Sedang</v>
      </c>
      <c r="H79" s="36">
        <v>164</v>
      </c>
      <c r="I79" s="36">
        <v>10</v>
      </c>
      <c r="J79" s="36">
        <v>6</v>
      </c>
      <c r="K79" s="36">
        <v>3</v>
      </c>
      <c r="L79" s="36">
        <v>0</v>
      </c>
      <c r="M79" s="36" t="s">
        <v>26</v>
      </c>
    </row>
    <row r="80" spans="1:13">
      <c r="A80" s="36">
        <f ca="1" t="shared" si="1"/>
        <v>47</v>
      </c>
      <c r="B80" s="36">
        <f ca="1" t="array" ref="B80">INDEX(Data_DBD!$B:$B,$A80)</f>
        <v>19</v>
      </c>
      <c r="C80" s="36" t="str">
        <f ca="1" t="array" ref="C80">INDEX(Data_DBD!$C:$C,$A80)</f>
        <v>2 Hari</v>
      </c>
      <c r="D80" s="36">
        <f ca="1" t="array" ref="D80">INDEX(Data_DBD!$D:$D,$A80)</f>
        <v>13</v>
      </c>
      <c r="E80" s="36">
        <f ca="1" t="array" ref="E80">INDEX(Data_DBD!$E:$E,$A80)</f>
        <v>0</v>
      </c>
      <c r="F80" s="36" t="str">
        <f ca="1" t="array" ref="F80">INDEX(Data_DBD!$F:$F,$A80)</f>
        <v>Sedang</v>
      </c>
      <c r="H80" s="36">
        <v>72</v>
      </c>
      <c r="I80" s="36">
        <v>3</v>
      </c>
      <c r="J80" s="36">
        <v>5</v>
      </c>
      <c r="K80" s="36">
        <v>10</v>
      </c>
      <c r="L80" s="36">
        <v>1</v>
      </c>
      <c r="M80" s="36" t="s">
        <v>8</v>
      </c>
    </row>
    <row r="81" spans="1:13">
      <c r="A81" s="36">
        <f ca="1" t="shared" si="1"/>
        <v>15</v>
      </c>
      <c r="B81" s="36">
        <f ca="1" t="array" ref="B81">INDEX(Data_DBD!$B:$B,$A81)</f>
        <v>21</v>
      </c>
      <c r="C81" s="36" t="str">
        <f ca="1" t="array" ref="C81">INDEX(Data_DBD!$C:$C,$A81)</f>
        <v>2 Hari</v>
      </c>
      <c r="D81" s="36">
        <f ca="1" t="array" ref="D81">INDEX(Data_DBD!$D:$D,$A81)</f>
        <v>7</v>
      </c>
      <c r="E81" s="36">
        <f ca="1" t="array" ref="E81">INDEX(Data_DBD!$E:$E,$A81)</f>
        <v>0</v>
      </c>
      <c r="F81" s="36" t="str">
        <f ca="1" t="array" ref="F81">INDEX(Data_DBD!$F:$F,$A81)</f>
        <v>Rendah</v>
      </c>
      <c r="H81" s="36">
        <v>98</v>
      </c>
      <c r="I81" s="36">
        <v>16</v>
      </c>
      <c r="J81" s="36">
        <v>2</v>
      </c>
      <c r="K81" s="36">
        <v>18</v>
      </c>
      <c r="L81" s="36">
        <v>1</v>
      </c>
      <c r="M81" s="36" t="s">
        <v>105</v>
      </c>
    </row>
    <row r="82" spans="1:13">
      <c r="A82" s="36">
        <f ca="1" t="shared" si="1"/>
        <v>142</v>
      </c>
      <c r="B82" s="36">
        <f ca="1" t="array" ref="B82">INDEX(Data_DBD!$B:$B,$A82)</f>
        <v>39</v>
      </c>
      <c r="C82" s="36" t="str">
        <f ca="1" t="array" ref="C82">INDEX(Data_DBD!$C:$C,$A82)</f>
        <v>2 Hari</v>
      </c>
      <c r="D82" s="36">
        <f ca="1" t="array" ref="D82">INDEX(Data_DBD!$D:$D,$A82)</f>
        <v>21</v>
      </c>
      <c r="E82" s="36">
        <f ca="1" t="array" ref="E82">INDEX(Data_DBD!$E:$E,$A82)</f>
        <v>1</v>
      </c>
      <c r="F82" s="36" t="str">
        <f ca="1" t="array" ref="F82">INDEX(Data_DBD!$F:$F,$A82)</f>
        <v>Tinggi</v>
      </c>
      <c r="H82" s="36">
        <v>5</v>
      </c>
      <c r="I82" s="36">
        <v>18</v>
      </c>
      <c r="J82" s="36">
        <v>2</v>
      </c>
      <c r="K82" s="36">
        <v>12</v>
      </c>
      <c r="L82" s="36">
        <v>1</v>
      </c>
      <c r="M82" s="36" t="s">
        <v>8</v>
      </c>
    </row>
    <row r="83" spans="1:13">
      <c r="A83" s="36">
        <f ca="1" t="shared" si="1"/>
        <v>46</v>
      </c>
      <c r="B83" s="36">
        <f ca="1" t="array" ref="B83">INDEX(Data_DBD!$B:$B,$A83)</f>
        <v>62</v>
      </c>
      <c r="C83" s="36" t="str">
        <f ca="1" t="array" ref="C83">INDEX(Data_DBD!$C:$C,$A83)</f>
        <v>2 Hari</v>
      </c>
      <c r="D83" s="36">
        <f ca="1" t="array" ref="D83">INDEX(Data_DBD!$D:$D,$A83)</f>
        <v>13</v>
      </c>
      <c r="E83" s="36">
        <f ca="1" t="array" ref="E83">INDEX(Data_DBD!$E:$E,$A83)</f>
        <v>0</v>
      </c>
      <c r="F83" s="36" t="str">
        <f ca="1" t="array" ref="F83">INDEX(Data_DBD!$F:$F,$A83)</f>
        <v>Sedang</v>
      </c>
      <c r="H83" s="36">
        <v>158</v>
      </c>
      <c r="I83" s="36">
        <v>5</v>
      </c>
      <c r="J83" s="36">
        <v>2</v>
      </c>
      <c r="K83" s="36">
        <v>21</v>
      </c>
      <c r="L83" s="36">
        <v>0</v>
      </c>
      <c r="M83" s="36" t="s">
        <v>105</v>
      </c>
    </row>
    <row r="84" spans="1:13">
      <c r="A84" s="36">
        <f ca="1" t="shared" si="1"/>
        <v>73</v>
      </c>
      <c r="B84" s="36">
        <f ca="1" t="array" ref="B84">INDEX(Data_DBD!$B:$B,$A84)</f>
        <v>15</v>
      </c>
      <c r="C84" s="36" t="str">
        <f ca="1" t="array" ref="C84">INDEX(Data_DBD!$C:$C,$A84)</f>
        <v>3 Hari</v>
      </c>
      <c r="D84" s="36">
        <f ca="1" t="array" ref="D84">INDEX(Data_DBD!$D:$D,$A84)</f>
        <v>10</v>
      </c>
      <c r="E84" s="36">
        <f ca="1" t="array" ref="E84">INDEX(Data_DBD!$E:$E,$A84)</f>
        <v>1</v>
      </c>
      <c r="F84" s="36" t="str">
        <f ca="1" t="array" ref="F84">INDEX(Data_DBD!$F:$F,$A84)</f>
        <v>Sedang</v>
      </c>
      <c r="H84" s="36">
        <v>69</v>
      </c>
      <c r="I84" s="36">
        <v>24</v>
      </c>
      <c r="J84" s="36">
        <v>4</v>
      </c>
      <c r="K84" s="36">
        <v>10</v>
      </c>
      <c r="L84" s="36">
        <v>1</v>
      </c>
      <c r="M84" s="36" t="s">
        <v>8</v>
      </c>
    </row>
    <row r="85" spans="1:13">
      <c r="A85" s="36">
        <f ca="1" t="shared" si="1"/>
        <v>81</v>
      </c>
      <c r="B85" s="36">
        <f ca="1" t="array" ref="B85">INDEX(Data_DBD!$B:$B,$A85)</f>
        <v>23</v>
      </c>
      <c r="C85" s="36" t="str">
        <f ca="1" t="array" ref="C85">INDEX(Data_DBD!$C:$C,$A85)</f>
        <v>5 Hari</v>
      </c>
      <c r="D85" s="36">
        <f ca="1" t="array" ref="D85">INDEX(Data_DBD!$D:$D,$A85)</f>
        <v>13</v>
      </c>
      <c r="E85" s="36">
        <f ca="1" t="array" ref="E85">INDEX(Data_DBD!$E:$E,$A85)</f>
        <v>1</v>
      </c>
      <c r="F85" s="36" t="str">
        <f ca="1" t="array" ref="F85">INDEX(Data_DBD!$F:$F,$A85)</f>
        <v>Sedang</v>
      </c>
      <c r="H85" s="36">
        <v>8</v>
      </c>
      <c r="I85" s="36">
        <v>4</v>
      </c>
      <c r="J85" s="36">
        <v>2</v>
      </c>
      <c r="K85" s="36">
        <v>12</v>
      </c>
      <c r="L85" s="36">
        <v>0</v>
      </c>
      <c r="M85" s="36" t="s">
        <v>8</v>
      </c>
    </row>
    <row r="86" spans="1:13">
      <c r="A86" s="36">
        <f ca="1" t="shared" si="1"/>
        <v>66</v>
      </c>
      <c r="B86" s="36">
        <f ca="1" t="array" ref="B86">INDEX(Data_DBD!$B:$B,$A86)</f>
        <v>21</v>
      </c>
      <c r="C86" s="36" t="str">
        <f ca="1" t="array" ref="C86">INDEX(Data_DBD!$C:$C,$A86)</f>
        <v>5 Hari</v>
      </c>
      <c r="D86" s="36">
        <f ca="1" t="array" ref="D86">INDEX(Data_DBD!$D:$D,$A86)</f>
        <v>15</v>
      </c>
      <c r="E86" s="36">
        <f ca="1" t="array" ref="E86">INDEX(Data_DBD!$E:$E,$A86)</f>
        <v>1</v>
      </c>
      <c r="F86" s="36" t="str">
        <f ca="1" t="array" ref="F86">INDEX(Data_DBD!$F:$F,$A86)</f>
        <v>Sedang</v>
      </c>
      <c r="H86" s="36">
        <v>157</v>
      </c>
      <c r="I86" s="36">
        <v>15</v>
      </c>
      <c r="J86" s="36">
        <v>4</v>
      </c>
      <c r="K86" s="36">
        <v>21</v>
      </c>
      <c r="L86" s="36">
        <v>1</v>
      </c>
      <c r="M86" s="36" t="s">
        <v>105</v>
      </c>
    </row>
    <row r="87" spans="1:13">
      <c r="A87" s="36">
        <f ca="1" t="shared" si="1"/>
        <v>141</v>
      </c>
      <c r="B87" s="36">
        <f ca="1" t="array" ref="B87">INDEX(Data_DBD!$B:$B,$A87)</f>
        <v>36</v>
      </c>
      <c r="C87" s="36" t="str">
        <f ca="1" t="array" ref="C87">INDEX(Data_DBD!$C:$C,$A87)</f>
        <v>2 Hari</v>
      </c>
      <c r="D87" s="36">
        <f ca="1" t="array" ref="D87">INDEX(Data_DBD!$D:$D,$A87)</f>
        <v>21</v>
      </c>
      <c r="E87" s="36">
        <f ca="1" t="array" ref="E87">INDEX(Data_DBD!$E:$E,$A87)</f>
        <v>0</v>
      </c>
      <c r="F87" s="36" t="str">
        <f ca="1" t="array" ref="F87">INDEX(Data_DBD!$F:$F,$A87)</f>
        <v>Tinggi</v>
      </c>
      <c r="H87" s="36">
        <v>28</v>
      </c>
      <c r="I87" s="36">
        <v>22</v>
      </c>
      <c r="J87" s="36">
        <v>2</v>
      </c>
      <c r="K87" s="36">
        <v>14</v>
      </c>
      <c r="L87" s="36">
        <v>1</v>
      </c>
      <c r="M87" s="36" t="s">
        <v>8</v>
      </c>
    </row>
    <row r="88" spans="1:13">
      <c r="A88" s="36">
        <f ca="1" t="shared" si="1"/>
        <v>15</v>
      </c>
      <c r="B88" s="36">
        <f ca="1" t="array" ref="B88">INDEX(Data_DBD!$B:$B,$A88)</f>
        <v>21</v>
      </c>
      <c r="C88" s="36" t="str">
        <f ca="1" t="array" ref="C88">INDEX(Data_DBD!$C:$C,$A88)</f>
        <v>2 Hari</v>
      </c>
      <c r="D88" s="36">
        <f ca="1" t="array" ref="D88">INDEX(Data_DBD!$D:$D,$A88)</f>
        <v>7</v>
      </c>
      <c r="E88" s="36">
        <f ca="1" t="array" ref="E88">INDEX(Data_DBD!$E:$E,$A88)</f>
        <v>0</v>
      </c>
      <c r="F88" s="36" t="str">
        <f ca="1" t="array" ref="F88">INDEX(Data_DBD!$F:$F,$A88)</f>
        <v>Rendah</v>
      </c>
      <c r="H88" s="36">
        <v>14</v>
      </c>
      <c r="I88" s="36">
        <v>49</v>
      </c>
      <c r="J88" s="36">
        <v>4</v>
      </c>
      <c r="K88" s="36">
        <v>7</v>
      </c>
      <c r="L88" s="36">
        <v>1</v>
      </c>
      <c r="M88" s="36" t="s">
        <v>26</v>
      </c>
    </row>
    <row r="89" spans="1:13">
      <c r="A89" s="36">
        <f ca="1" t="shared" si="1"/>
        <v>68</v>
      </c>
      <c r="B89" s="36">
        <f ca="1" t="array" ref="B89">INDEX(Data_DBD!$B:$B,$A89)</f>
        <v>44</v>
      </c>
      <c r="C89" s="36" t="str">
        <f ca="1" t="array" ref="C89">INDEX(Data_DBD!$C:$C,$A89)</f>
        <v>5 Hari</v>
      </c>
      <c r="D89" s="36">
        <f ca="1" t="array" ref="D89">INDEX(Data_DBD!$D:$D,$A89)</f>
        <v>10</v>
      </c>
      <c r="E89" s="36">
        <f ca="1" t="array" ref="E89">INDEX(Data_DBD!$E:$E,$A89)</f>
        <v>0</v>
      </c>
      <c r="F89" s="36" t="str">
        <f ca="1" t="array" ref="F89">INDEX(Data_DBD!$F:$F,$A89)</f>
        <v>Sedang</v>
      </c>
      <c r="H89" s="36">
        <v>58</v>
      </c>
      <c r="I89" s="36">
        <v>17</v>
      </c>
      <c r="J89" s="36">
        <v>3</v>
      </c>
      <c r="K89" s="36">
        <v>15</v>
      </c>
      <c r="L89" s="36">
        <v>0</v>
      </c>
      <c r="M89" s="36" t="s">
        <v>8</v>
      </c>
    </row>
    <row r="90" spans="1:13">
      <c r="A90" s="36">
        <f ca="1" t="shared" si="1"/>
        <v>131</v>
      </c>
      <c r="B90" s="36">
        <f ca="1" t="array" ref="B90">INDEX(Data_DBD!$B:$B,$A90)</f>
        <v>10</v>
      </c>
      <c r="C90" s="36" t="str">
        <f ca="1" t="array" ref="C90">INDEX(Data_DBD!$C:$C,$A90)</f>
        <v>2 Hari</v>
      </c>
      <c r="D90" s="36">
        <f ca="1" t="array" ref="D90">INDEX(Data_DBD!$D:$D,$A90)</f>
        <v>33</v>
      </c>
      <c r="E90" s="36">
        <f ca="1" t="array" ref="E90">INDEX(Data_DBD!$E:$E,$A90)</f>
        <v>0</v>
      </c>
      <c r="F90" s="36" t="str">
        <f ca="1" t="array" ref="F90">INDEX(Data_DBD!$F:$F,$A90)</f>
        <v>Tinggi</v>
      </c>
      <c r="H90" s="36">
        <v>157</v>
      </c>
      <c r="I90" s="36">
        <v>15</v>
      </c>
      <c r="J90" s="36">
        <v>4</v>
      </c>
      <c r="K90" s="36">
        <v>21</v>
      </c>
      <c r="L90" s="36">
        <v>1</v>
      </c>
      <c r="M90" s="36" t="s">
        <v>105</v>
      </c>
    </row>
    <row r="91" spans="1:13">
      <c r="A91" s="36">
        <f ca="1" t="shared" si="1"/>
        <v>63</v>
      </c>
      <c r="B91" s="36">
        <f ca="1" t="array" ref="B91">INDEX(Data_DBD!$B:$B,$A91)</f>
        <v>25</v>
      </c>
      <c r="C91" s="36" t="str">
        <f ca="1" t="array" ref="C91">INDEX(Data_DBD!$C:$C,$A91)</f>
        <v>3 Hari</v>
      </c>
      <c r="D91" s="36">
        <f ca="1" t="array" ref="D91">INDEX(Data_DBD!$D:$D,$A91)</f>
        <v>15</v>
      </c>
      <c r="E91" s="36">
        <f ca="1" t="array" ref="E91">INDEX(Data_DBD!$E:$E,$A91)</f>
        <v>0</v>
      </c>
      <c r="F91" s="36" t="str">
        <f ca="1" t="array" ref="F91">INDEX(Data_DBD!$F:$F,$A91)</f>
        <v>Sedang</v>
      </c>
      <c r="H91" s="36">
        <v>129</v>
      </c>
      <c r="I91" s="36">
        <v>4</v>
      </c>
      <c r="J91" s="36">
        <v>3</v>
      </c>
      <c r="K91" s="36">
        <v>33</v>
      </c>
      <c r="L91" s="36">
        <v>0</v>
      </c>
      <c r="M91" s="36" t="s">
        <v>105</v>
      </c>
    </row>
    <row r="92" spans="1:13">
      <c r="A92" s="36">
        <f ca="1" t="shared" si="1"/>
        <v>144</v>
      </c>
      <c r="B92" s="36">
        <f ca="1" t="array" ref="B92">INDEX(Data_DBD!$B:$B,$A92)</f>
        <v>61</v>
      </c>
      <c r="C92" s="36" t="str">
        <f ca="1" t="array" ref="C92">INDEX(Data_DBD!$C:$C,$A92)</f>
        <v>4 Hari</v>
      </c>
      <c r="D92" s="36">
        <f ca="1" t="array" ref="D92">INDEX(Data_DBD!$D:$D,$A92)</f>
        <v>21</v>
      </c>
      <c r="E92" s="36">
        <f ca="1" t="array" ref="E92">INDEX(Data_DBD!$E:$E,$A92)</f>
        <v>1</v>
      </c>
      <c r="F92" s="36" t="str">
        <f ca="1" t="array" ref="F92">INDEX(Data_DBD!$F:$F,$A92)</f>
        <v>Tinggi</v>
      </c>
      <c r="H92" s="36">
        <v>120</v>
      </c>
      <c r="I92" s="36">
        <v>26</v>
      </c>
      <c r="J92" s="36">
        <v>4</v>
      </c>
      <c r="K92" s="36">
        <v>33</v>
      </c>
      <c r="L92" s="36">
        <v>1</v>
      </c>
      <c r="M92" s="36" t="s">
        <v>105</v>
      </c>
    </row>
    <row r="93" spans="1:13">
      <c r="A93" s="36">
        <f ca="1" t="shared" si="1"/>
        <v>122</v>
      </c>
      <c r="B93" s="36">
        <f ca="1" t="array" ref="B93">INDEX(Data_DBD!$B:$B,$A93)</f>
        <v>28</v>
      </c>
      <c r="C93" s="36" t="str">
        <f ca="1" t="array" ref="C93">INDEX(Data_DBD!$C:$C,$A93)</f>
        <v>3 Hari</v>
      </c>
      <c r="D93" s="36">
        <f ca="1" t="array" ref="D93">INDEX(Data_DBD!$D:$D,$A93)</f>
        <v>33</v>
      </c>
      <c r="E93" s="36">
        <f ca="1" t="array" ref="E93">INDEX(Data_DBD!$E:$E,$A93)</f>
        <v>1</v>
      </c>
      <c r="F93" s="36" t="str">
        <f ca="1" t="array" ref="F93">INDEX(Data_DBD!$F:$F,$A93)</f>
        <v>Tinggi</v>
      </c>
      <c r="H93" s="36">
        <v>56</v>
      </c>
      <c r="I93" s="36">
        <v>4</v>
      </c>
      <c r="J93" s="36">
        <v>3</v>
      </c>
      <c r="K93" s="36">
        <v>15</v>
      </c>
      <c r="L93" s="36">
        <v>0</v>
      </c>
      <c r="M93" s="36" t="s">
        <v>8</v>
      </c>
    </row>
    <row r="94" spans="1:13">
      <c r="A94" s="36">
        <f ca="1" t="shared" si="1"/>
        <v>101</v>
      </c>
      <c r="B94" s="36">
        <f ca="1" t="array" ref="B94">INDEX(Data_DBD!$B:$B,$A94)</f>
        <v>42</v>
      </c>
      <c r="C94" s="36" t="str">
        <f ca="1" t="array" ref="C94">INDEX(Data_DBD!$C:$C,$A94)</f>
        <v>5 Hari</v>
      </c>
      <c r="D94" s="36">
        <f ca="1" t="array" ref="D94">INDEX(Data_DBD!$D:$D,$A94)</f>
        <v>18</v>
      </c>
      <c r="E94" s="36">
        <f ca="1" t="array" ref="E94">INDEX(Data_DBD!$E:$E,$A94)</f>
        <v>0</v>
      </c>
      <c r="F94" s="36" t="str">
        <f ca="1" t="array" ref="F94">INDEX(Data_DBD!$F:$F,$A94)</f>
        <v>Tinggi</v>
      </c>
      <c r="H94" s="36">
        <v>2</v>
      </c>
      <c r="I94" s="36">
        <v>34</v>
      </c>
      <c r="J94" s="36">
        <v>3</v>
      </c>
      <c r="K94" s="36">
        <v>12</v>
      </c>
      <c r="L94" s="36">
        <v>0</v>
      </c>
      <c r="M94" s="36" t="s">
        <v>8</v>
      </c>
    </row>
    <row r="95" spans="1:13">
      <c r="A95" s="36">
        <f ca="1" t="shared" si="1"/>
        <v>141</v>
      </c>
      <c r="B95" s="36">
        <f ca="1" t="array" ref="B95">INDEX(Data_DBD!$B:$B,$A95)</f>
        <v>36</v>
      </c>
      <c r="C95" s="36" t="str">
        <f ca="1" t="array" ref="C95">INDEX(Data_DBD!$C:$C,$A95)</f>
        <v>2 Hari</v>
      </c>
      <c r="D95" s="36">
        <f ca="1" t="array" ref="D95">INDEX(Data_DBD!$D:$D,$A95)</f>
        <v>21</v>
      </c>
      <c r="E95" s="36">
        <f ca="1" t="array" ref="E95">INDEX(Data_DBD!$E:$E,$A95)</f>
        <v>0</v>
      </c>
      <c r="F95" s="36" t="str">
        <f ca="1" t="array" ref="F95">INDEX(Data_DBD!$F:$F,$A95)</f>
        <v>Tinggi</v>
      </c>
      <c r="H95" s="36">
        <v>18</v>
      </c>
      <c r="I95" s="36">
        <v>49</v>
      </c>
      <c r="J95" s="36">
        <v>4</v>
      </c>
      <c r="K95" s="36">
        <v>7</v>
      </c>
      <c r="L95" s="36">
        <v>1</v>
      </c>
      <c r="M95" s="36" t="s">
        <v>26</v>
      </c>
    </row>
    <row r="96" spans="1:13">
      <c r="A96" s="36">
        <f ca="1" t="shared" si="1"/>
        <v>121</v>
      </c>
      <c r="B96" s="36">
        <f ca="1" t="array" ref="B96">INDEX(Data_DBD!$B:$B,$A96)</f>
        <v>82</v>
      </c>
      <c r="C96" s="36" t="str">
        <f ca="1" t="array" ref="C96">INDEX(Data_DBD!$C:$C,$A96)</f>
        <v>5 Hari</v>
      </c>
      <c r="D96" s="36">
        <f ca="1" t="array" ref="D96">INDEX(Data_DBD!$D:$D,$A96)</f>
        <v>33</v>
      </c>
      <c r="E96" s="36">
        <f ca="1" t="array" ref="E96">INDEX(Data_DBD!$E:$E,$A96)</f>
        <v>1</v>
      </c>
      <c r="F96" s="36" t="str">
        <f ca="1" t="array" ref="F96">INDEX(Data_DBD!$F:$F,$A96)</f>
        <v>Tinggi</v>
      </c>
      <c r="H96" s="36">
        <v>104</v>
      </c>
      <c r="I96" s="36">
        <v>37</v>
      </c>
      <c r="J96" s="36">
        <v>4</v>
      </c>
      <c r="K96" s="36">
        <v>18</v>
      </c>
      <c r="L96" s="36">
        <v>1</v>
      </c>
      <c r="M96" s="36" t="s">
        <v>105</v>
      </c>
    </row>
    <row r="97" spans="1:13">
      <c r="A97" s="36">
        <f ca="1" t="shared" si="1"/>
        <v>106</v>
      </c>
      <c r="B97" s="36">
        <f ca="1" t="array" ref="B97">INDEX(Data_DBD!$B:$B,$A97)</f>
        <v>23</v>
      </c>
      <c r="C97" s="36" t="str">
        <f ca="1" t="array" ref="C97">INDEX(Data_DBD!$C:$C,$A97)</f>
        <v>3 Hari</v>
      </c>
      <c r="D97" s="36">
        <f ca="1" t="array" ref="D97">INDEX(Data_DBD!$D:$D,$A97)</f>
        <v>18</v>
      </c>
      <c r="E97" s="36">
        <f ca="1" t="array" ref="E97">INDEX(Data_DBD!$E:$E,$A97)</f>
        <v>1</v>
      </c>
      <c r="F97" s="36" t="str">
        <f ca="1" t="array" ref="F97">INDEX(Data_DBD!$F:$F,$A97)</f>
        <v>Tinggi</v>
      </c>
      <c r="H97" s="36">
        <v>7</v>
      </c>
      <c r="I97" s="36">
        <v>12</v>
      </c>
      <c r="J97" s="36">
        <v>1</v>
      </c>
      <c r="K97" s="36">
        <v>12</v>
      </c>
      <c r="L97" s="36">
        <v>1</v>
      </c>
      <c r="M97" s="36" t="s">
        <v>8</v>
      </c>
    </row>
    <row r="98" spans="1:13">
      <c r="A98" s="36">
        <f ca="1" t="shared" si="1"/>
        <v>144</v>
      </c>
      <c r="B98" s="36">
        <f ca="1" t="array" ref="B98">INDEX(Data_DBD!$B:$B,$A98)</f>
        <v>61</v>
      </c>
      <c r="C98" s="36" t="str">
        <f ca="1" t="array" ref="C98">INDEX(Data_DBD!$C:$C,$A98)</f>
        <v>4 Hari</v>
      </c>
      <c r="D98" s="36">
        <f ca="1" t="array" ref="D98">INDEX(Data_DBD!$D:$D,$A98)</f>
        <v>21</v>
      </c>
      <c r="E98" s="36">
        <f ca="1" t="array" ref="E98">INDEX(Data_DBD!$E:$E,$A98)</f>
        <v>1</v>
      </c>
      <c r="F98" s="36" t="str">
        <f ca="1" t="array" ref="F98">INDEX(Data_DBD!$F:$F,$A98)</f>
        <v>Tinggi</v>
      </c>
      <c r="H98" s="36">
        <v>102</v>
      </c>
      <c r="I98" s="36">
        <v>41</v>
      </c>
      <c r="J98" s="36">
        <v>4</v>
      </c>
      <c r="K98" s="36">
        <v>18</v>
      </c>
      <c r="L98" s="36">
        <v>0</v>
      </c>
      <c r="M98" s="36" t="s">
        <v>105</v>
      </c>
    </row>
    <row r="99" spans="1:13">
      <c r="A99" s="36">
        <f ca="1" t="shared" si="1"/>
        <v>149</v>
      </c>
      <c r="B99" s="36">
        <f ca="1" t="array" ref="B99">INDEX(Data_DBD!$B:$B,$A99)</f>
        <v>19</v>
      </c>
      <c r="C99" s="36" t="str">
        <f ca="1" t="array" ref="C99">INDEX(Data_DBD!$C:$C,$A99)</f>
        <v>5 Hari</v>
      </c>
      <c r="D99" s="36">
        <f ca="1" t="array" ref="D99">INDEX(Data_DBD!$D:$D,$A99)</f>
        <v>21</v>
      </c>
      <c r="E99" s="36">
        <f ca="1" t="array" ref="E99">INDEX(Data_DBD!$E:$E,$A99)</f>
        <v>0</v>
      </c>
      <c r="F99" s="36" t="str">
        <f ca="1" t="array" ref="F99">INDEX(Data_DBD!$F:$F,$A99)</f>
        <v>Tinggi</v>
      </c>
      <c r="H99" s="36">
        <v>31</v>
      </c>
      <c r="I99" s="36">
        <v>64</v>
      </c>
      <c r="J99" s="36">
        <v>4</v>
      </c>
      <c r="K99" s="36">
        <v>14</v>
      </c>
      <c r="L99" s="36">
        <v>1</v>
      </c>
      <c r="M99" s="36" t="s">
        <v>8</v>
      </c>
    </row>
    <row r="100" spans="1:13">
      <c r="A100" s="36">
        <f ca="1" t="shared" si="1"/>
        <v>64</v>
      </c>
      <c r="B100" s="36">
        <f ca="1" t="array" ref="B100">INDEX(Data_DBD!$B:$B,$A100)</f>
        <v>35</v>
      </c>
      <c r="C100" s="36" t="str">
        <f ca="1" t="array" ref="C100">INDEX(Data_DBD!$C:$C,$A100)</f>
        <v>1 Hari</v>
      </c>
      <c r="D100" s="36">
        <f ca="1" t="array" ref="D100">INDEX(Data_DBD!$D:$D,$A100)</f>
        <v>15</v>
      </c>
      <c r="E100" s="36">
        <f ca="1" t="array" ref="E100">INDEX(Data_DBD!$E:$E,$A100)</f>
        <v>0</v>
      </c>
      <c r="F100" s="36" t="str">
        <f ca="1" t="array" ref="F100">INDEX(Data_DBD!$F:$F,$A100)</f>
        <v>Sedang</v>
      </c>
      <c r="H100" s="36">
        <v>102</v>
      </c>
      <c r="I100" s="36">
        <v>41</v>
      </c>
      <c r="J100" s="36">
        <v>4</v>
      </c>
      <c r="K100" s="36">
        <v>18</v>
      </c>
      <c r="L100" s="36">
        <v>0</v>
      </c>
      <c r="M100" s="36" t="s">
        <v>105</v>
      </c>
    </row>
    <row r="101" spans="1:13">
      <c r="A101" s="36">
        <f ca="1" t="shared" si="1"/>
        <v>28</v>
      </c>
      <c r="B101" s="36">
        <f ca="1" t="array" ref="B101">INDEX(Data_DBD!$B:$B,$A101)</f>
        <v>22</v>
      </c>
      <c r="C101" s="36" t="str">
        <f ca="1" t="array" ref="C101">INDEX(Data_DBD!$C:$C,$A101)</f>
        <v>2 Hari</v>
      </c>
      <c r="D101" s="36">
        <f ca="1" t="array" ref="D101">INDEX(Data_DBD!$D:$D,$A101)</f>
        <v>14</v>
      </c>
      <c r="E101" s="36">
        <f ca="1" t="array" ref="E101">INDEX(Data_DBD!$E:$E,$A101)</f>
        <v>1</v>
      </c>
      <c r="F101" s="36" t="str">
        <f ca="1" t="array" ref="F101">INDEX(Data_DBD!$F:$F,$A101)</f>
        <v>Sedang</v>
      </c>
      <c r="H101" s="36">
        <v>127</v>
      </c>
      <c r="I101" s="36">
        <v>21</v>
      </c>
      <c r="J101" s="36">
        <v>2</v>
      </c>
      <c r="K101" s="36">
        <v>33</v>
      </c>
      <c r="L101" s="36">
        <v>0</v>
      </c>
      <c r="M101" s="36" t="s">
        <v>105</v>
      </c>
    </row>
    <row r="102" spans="1:13">
      <c r="A102" s="36">
        <f ca="1" t="shared" si="1"/>
        <v>107</v>
      </c>
      <c r="B102" s="36">
        <f ca="1" t="array" ref="B102">INDEX(Data_DBD!$B:$B,$A102)</f>
        <v>48</v>
      </c>
      <c r="C102" s="36" t="str">
        <f ca="1" t="array" ref="C102">INDEX(Data_DBD!$C:$C,$A102)</f>
        <v>5 Hari</v>
      </c>
      <c r="D102" s="36">
        <f ca="1" t="array" ref="D102">INDEX(Data_DBD!$D:$D,$A102)</f>
        <v>18</v>
      </c>
      <c r="E102" s="36">
        <f ca="1" t="array" ref="E102">INDEX(Data_DBD!$E:$E,$A102)</f>
        <v>0</v>
      </c>
      <c r="F102" s="36" t="str">
        <f ca="1" t="array" ref="F102">INDEX(Data_DBD!$F:$F,$A102)</f>
        <v>Tinggi</v>
      </c>
      <c r="H102" s="36">
        <v>157</v>
      </c>
      <c r="I102" s="36">
        <v>15</v>
      </c>
      <c r="J102" s="36">
        <v>4</v>
      </c>
      <c r="K102" s="36">
        <v>21</v>
      </c>
      <c r="L102" s="36">
        <v>1</v>
      </c>
      <c r="M102" s="36" t="s">
        <v>105</v>
      </c>
    </row>
    <row r="103" spans="1:13">
      <c r="A103" s="36">
        <f ca="1" t="shared" si="1"/>
        <v>51</v>
      </c>
      <c r="B103" s="36">
        <f ca="1" t="array" ref="B103">INDEX(Data_DBD!$B:$B,$A103)</f>
        <v>48</v>
      </c>
      <c r="C103" s="36" t="str">
        <f ca="1" t="array" ref="C103">INDEX(Data_DBD!$C:$C,$A103)</f>
        <v>4 Hari</v>
      </c>
      <c r="D103" s="36">
        <f ca="1" t="array" ref="D103">INDEX(Data_DBD!$D:$D,$A103)</f>
        <v>13</v>
      </c>
      <c r="E103" s="36">
        <f ca="1" t="array" ref="E103">INDEX(Data_DBD!$E:$E,$A103)</f>
        <v>0</v>
      </c>
      <c r="F103" s="36" t="str">
        <f ca="1" t="array" ref="F103">INDEX(Data_DBD!$F:$F,$A103)</f>
        <v>Sedang</v>
      </c>
      <c r="H103" s="36">
        <v>85</v>
      </c>
      <c r="I103" s="36">
        <v>27</v>
      </c>
      <c r="J103" s="36">
        <v>9</v>
      </c>
      <c r="K103" s="36">
        <v>13</v>
      </c>
      <c r="L103" s="36">
        <v>0</v>
      </c>
      <c r="M103" s="36" t="s">
        <v>8</v>
      </c>
    </row>
    <row r="104" spans="1:13">
      <c r="A104" s="36">
        <f ca="1" t="shared" si="1"/>
        <v>80</v>
      </c>
      <c r="B104" s="36">
        <f ca="1" t="array" ref="B104">INDEX(Data_DBD!$B:$B,$A104)</f>
        <v>27</v>
      </c>
      <c r="C104" s="36" t="str">
        <f ca="1" t="array" ref="C104">INDEX(Data_DBD!$C:$C,$A104)</f>
        <v>3 Hari</v>
      </c>
      <c r="D104" s="36">
        <f ca="1" t="array" ref="D104">INDEX(Data_DBD!$D:$D,$A104)</f>
        <v>13</v>
      </c>
      <c r="E104" s="36">
        <f ca="1" t="array" ref="E104">INDEX(Data_DBD!$E:$E,$A104)</f>
        <v>1</v>
      </c>
      <c r="F104" s="36" t="str">
        <f ca="1" t="array" ref="F104">INDEX(Data_DBD!$F:$F,$A104)</f>
        <v>Sedang</v>
      </c>
      <c r="H104" s="36">
        <v>89</v>
      </c>
      <c r="I104" s="36">
        <v>32</v>
      </c>
      <c r="J104" s="36">
        <v>4</v>
      </c>
      <c r="K104" s="36">
        <v>13</v>
      </c>
      <c r="L104" s="36">
        <v>0</v>
      </c>
      <c r="M104" s="36" t="s">
        <v>8</v>
      </c>
    </row>
    <row r="105" spans="1:13">
      <c r="A105" s="36">
        <f ca="1" t="shared" si="1"/>
        <v>159</v>
      </c>
      <c r="B105" s="36">
        <f ca="1" t="array" ref="B105">INDEX(Data_DBD!$B:$B,$A105)</f>
        <v>17</v>
      </c>
      <c r="C105" s="36" t="str">
        <f ca="1" t="array" ref="C105">INDEX(Data_DBD!$C:$C,$A105)</f>
        <v>2 Hari</v>
      </c>
      <c r="D105" s="36">
        <f ca="1" t="array" ref="D105">INDEX(Data_DBD!$D:$D,$A105)</f>
        <v>21</v>
      </c>
      <c r="E105" s="36">
        <f ca="1" t="array" ref="E105">INDEX(Data_DBD!$E:$E,$A105)</f>
        <v>0</v>
      </c>
      <c r="F105" s="36" t="str">
        <f ca="1" t="array" ref="F105">INDEX(Data_DBD!$F:$F,$A105)</f>
        <v>Tinggi</v>
      </c>
      <c r="H105" s="36">
        <v>160</v>
      </c>
      <c r="I105" s="36">
        <v>16</v>
      </c>
      <c r="J105" s="36">
        <v>3</v>
      </c>
      <c r="K105" s="36">
        <v>21</v>
      </c>
      <c r="L105" s="36">
        <v>0</v>
      </c>
      <c r="M105" s="36" t="s">
        <v>105</v>
      </c>
    </row>
    <row r="106" spans="1:13">
      <c r="A106" s="36">
        <f ca="1" t="shared" si="1"/>
        <v>101</v>
      </c>
      <c r="B106" s="36">
        <f ca="1" t="array" ref="B106">INDEX(Data_DBD!$B:$B,$A106)</f>
        <v>42</v>
      </c>
      <c r="C106" s="36" t="str">
        <f ca="1" t="array" ref="C106">INDEX(Data_DBD!$C:$C,$A106)</f>
        <v>5 Hari</v>
      </c>
      <c r="D106" s="36">
        <f ca="1" t="array" ref="D106">INDEX(Data_DBD!$D:$D,$A106)</f>
        <v>18</v>
      </c>
      <c r="E106" s="36">
        <f ca="1" t="array" ref="E106">INDEX(Data_DBD!$E:$E,$A106)</f>
        <v>0</v>
      </c>
      <c r="F106" s="36" t="str">
        <f ca="1" t="array" ref="F106">INDEX(Data_DBD!$F:$F,$A106)</f>
        <v>Tinggi</v>
      </c>
      <c r="H106" s="36">
        <v>21</v>
      </c>
      <c r="I106" s="36">
        <v>10</v>
      </c>
      <c r="J106" s="36">
        <v>5</v>
      </c>
      <c r="K106" s="36">
        <v>14</v>
      </c>
      <c r="L106" s="36">
        <v>1</v>
      </c>
      <c r="M106" s="36" t="s">
        <v>8</v>
      </c>
    </row>
    <row r="107" spans="1:13">
      <c r="A107" s="36">
        <f ca="1" t="shared" si="1"/>
        <v>157</v>
      </c>
      <c r="B107" s="36">
        <f ca="1" t="array" ref="B107">INDEX(Data_DBD!$B:$B,$A107)</f>
        <v>15</v>
      </c>
      <c r="C107" s="36" t="str">
        <f ca="1" t="array" ref="C107">INDEX(Data_DBD!$C:$C,$A107)</f>
        <v>4 Hari</v>
      </c>
      <c r="D107" s="36">
        <f ca="1" t="array" ref="D107">INDEX(Data_DBD!$D:$D,$A107)</f>
        <v>21</v>
      </c>
      <c r="E107" s="36">
        <f ca="1" t="array" ref="E107">INDEX(Data_DBD!$E:$E,$A107)</f>
        <v>1</v>
      </c>
      <c r="F107" s="36" t="str">
        <f ca="1" t="array" ref="F107">INDEX(Data_DBD!$F:$F,$A107)</f>
        <v>Tinggi</v>
      </c>
      <c r="H107" s="36">
        <v>129</v>
      </c>
      <c r="I107" s="36">
        <v>4</v>
      </c>
      <c r="J107" s="36">
        <v>3</v>
      </c>
      <c r="K107" s="36">
        <v>33</v>
      </c>
      <c r="L107" s="36">
        <v>0</v>
      </c>
      <c r="M107" s="36" t="s">
        <v>105</v>
      </c>
    </row>
    <row r="108" spans="1:13">
      <c r="A108" s="36">
        <f ca="1" t="shared" si="1"/>
        <v>6</v>
      </c>
      <c r="B108" s="36">
        <f ca="1" t="array" ref="B108">INDEX(Data_DBD!$B:$B,$A108)</f>
        <v>14</v>
      </c>
      <c r="C108" s="36" t="str">
        <f ca="1" t="array" ref="C108">INDEX(Data_DBD!$C:$C,$A108)</f>
        <v>4 Hari</v>
      </c>
      <c r="D108" s="36">
        <f ca="1" t="array" ref="D108">INDEX(Data_DBD!$D:$D,$A108)</f>
        <v>12</v>
      </c>
      <c r="E108" s="36">
        <f ca="1" t="array" ref="E108">INDEX(Data_DBD!$E:$E,$A108)</f>
        <v>0</v>
      </c>
      <c r="F108" s="36" t="str">
        <f ca="1" t="array" ref="F108">INDEX(Data_DBD!$F:$F,$A108)</f>
        <v>Sedang</v>
      </c>
      <c r="H108" s="36">
        <v>34</v>
      </c>
      <c r="I108" s="36">
        <v>55</v>
      </c>
      <c r="J108" s="36">
        <v>3</v>
      </c>
      <c r="K108" s="36">
        <v>14</v>
      </c>
      <c r="L108" s="36">
        <v>0</v>
      </c>
      <c r="M108" s="36" t="s">
        <v>8</v>
      </c>
    </row>
    <row r="109" spans="1:13">
      <c r="A109" s="36">
        <f ca="1" t="shared" si="1"/>
        <v>9</v>
      </c>
      <c r="B109" s="36">
        <f ca="1" t="array" ref="B109">INDEX(Data_DBD!$B:$B,$A109)</f>
        <v>16</v>
      </c>
      <c r="C109" s="36" t="str">
        <f ca="1" t="array" ref="C109">INDEX(Data_DBD!$C:$C,$A109)</f>
        <v>6 Hari</v>
      </c>
      <c r="D109" s="36">
        <f ca="1" t="array" ref="D109">INDEX(Data_DBD!$D:$D,$A109)</f>
        <v>12</v>
      </c>
      <c r="E109" s="36">
        <f ca="1" t="array" ref="E109">INDEX(Data_DBD!$E:$E,$A109)</f>
        <v>1</v>
      </c>
      <c r="F109" s="36" t="str">
        <f ca="1" t="array" ref="F109">INDEX(Data_DBD!$F:$F,$A109)</f>
        <v>Sedang</v>
      </c>
      <c r="H109" s="36">
        <v>121</v>
      </c>
      <c r="I109" s="36">
        <v>82</v>
      </c>
      <c r="J109" s="36">
        <v>5</v>
      </c>
      <c r="K109" s="36">
        <v>33</v>
      </c>
      <c r="L109" s="36">
        <v>1</v>
      </c>
      <c r="M109" s="36" t="s">
        <v>105</v>
      </c>
    </row>
    <row r="110" spans="1:13">
      <c r="A110" s="36">
        <f ca="1" t="shared" si="1"/>
        <v>85</v>
      </c>
      <c r="B110" s="36">
        <f ca="1" t="array" ref="B110">INDEX(Data_DBD!$B:$B,$A110)</f>
        <v>27</v>
      </c>
      <c r="C110" s="36" t="str">
        <f ca="1" t="array" ref="C110">INDEX(Data_DBD!$C:$C,$A110)</f>
        <v>9 Hari</v>
      </c>
      <c r="D110" s="36">
        <f ca="1" t="array" ref="D110">INDEX(Data_DBD!$D:$D,$A110)</f>
        <v>13</v>
      </c>
      <c r="E110" s="36">
        <f ca="1" t="array" ref="E110">INDEX(Data_DBD!$E:$E,$A110)</f>
        <v>0</v>
      </c>
      <c r="F110" s="36" t="str">
        <f ca="1" t="array" ref="F110">INDEX(Data_DBD!$F:$F,$A110)</f>
        <v>Sedang</v>
      </c>
      <c r="H110" s="36">
        <v>20</v>
      </c>
      <c r="I110" s="36">
        <v>15</v>
      </c>
      <c r="J110" s="36">
        <v>5</v>
      </c>
      <c r="K110" s="36">
        <v>7</v>
      </c>
      <c r="L110" s="36">
        <v>0</v>
      </c>
      <c r="M110" s="36" t="s">
        <v>26</v>
      </c>
    </row>
    <row r="111" spans="1:13">
      <c r="A111" s="36">
        <f ca="1" t="shared" si="1"/>
        <v>18</v>
      </c>
      <c r="B111" s="36">
        <f ca="1" t="array" ref="B111">INDEX(Data_DBD!$B:$B,$A111)</f>
        <v>49</v>
      </c>
      <c r="C111" s="36" t="str">
        <f ca="1" t="array" ref="C111">INDEX(Data_DBD!$C:$C,$A111)</f>
        <v>4 Hari</v>
      </c>
      <c r="D111" s="36">
        <f ca="1" t="array" ref="D111">INDEX(Data_DBD!$D:$D,$A111)</f>
        <v>7</v>
      </c>
      <c r="E111" s="36">
        <f ca="1" t="array" ref="E111">INDEX(Data_DBD!$E:$E,$A111)</f>
        <v>1</v>
      </c>
      <c r="F111" s="36" t="str">
        <f ca="1" t="array" ref="F111">INDEX(Data_DBD!$F:$F,$A111)</f>
        <v>Rendah</v>
      </c>
      <c r="H111" s="36">
        <v>137</v>
      </c>
      <c r="I111" s="36">
        <v>3</v>
      </c>
      <c r="J111" s="36">
        <v>1</v>
      </c>
      <c r="K111" s="36">
        <v>33</v>
      </c>
      <c r="L111" s="36">
        <v>1</v>
      </c>
      <c r="M111" s="36" t="s">
        <v>105</v>
      </c>
    </row>
    <row r="112" spans="1:13">
      <c r="A112" s="36">
        <f ca="1" t="shared" si="1"/>
        <v>137</v>
      </c>
      <c r="B112" s="36">
        <f ca="1" t="array" ref="B112">INDEX(Data_DBD!$B:$B,$A112)</f>
        <v>3.5</v>
      </c>
      <c r="C112" s="36" t="str">
        <f ca="1" t="array" ref="C112">INDEX(Data_DBD!$C:$C,$A112)</f>
        <v>1 Hari</v>
      </c>
      <c r="D112" s="36">
        <f ca="1" t="array" ref="D112">INDEX(Data_DBD!$D:$D,$A112)</f>
        <v>33</v>
      </c>
      <c r="E112" s="36">
        <f ca="1" t="array" ref="E112">INDEX(Data_DBD!$E:$E,$A112)</f>
        <v>1</v>
      </c>
      <c r="F112" s="36" t="str">
        <f ca="1" t="array" ref="F112">INDEX(Data_DBD!$F:$F,$A112)</f>
        <v>Tinggi</v>
      </c>
      <c r="H112" s="36">
        <v>14</v>
      </c>
      <c r="I112" s="36">
        <v>49</v>
      </c>
      <c r="J112" s="36">
        <v>4</v>
      </c>
      <c r="K112" s="36">
        <v>7</v>
      </c>
      <c r="L112" s="36">
        <v>1</v>
      </c>
      <c r="M112" s="36" t="s">
        <v>26</v>
      </c>
    </row>
    <row r="113" spans="1:13">
      <c r="A113" s="36">
        <f ca="1" t="shared" si="1"/>
        <v>29</v>
      </c>
      <c r="B113" s="36">
        <f ca="1" t="array" ref="B113">INDEX(Data_DBD!$B:$B,$A113)</f>
        <v>19</v>
      </c>
      <c r="C113" s="36" t="str">
        <f ca="1" t="array" ref="C113">INDEX(Data_DBD!$C:$C,$A113)</f>
        <v>2 Hari</v>
      </c>
      <c r="D113" s="36">
        <f ca="1" t="array" ref="D113">INDEX(Data_DBD!$D:$D,$A113)</f>
        <v>14</v>
      </c>
      <c r="E113" s="36">
        <f ca="1" t="array" ref="E113">INDEX(Data_DBD!$E:$E,$A113)</f>
        <v>1</v>
      </c>
      <c r="F113" s="36" t="str">
        <f ca="1" t="array" ref="F113">INDEX(Data_DBD!$F:$F,$A113)</f>
        <v>Sedang</v>
      </c>
      <c r="H113" s="36">
        <v>157</v>
      </c>
      <c r="I113" s="36">
        <v>15</v>
      </c>
      <c r="J113" s="36">
        <v>4</v>
      </c>
      <c r="K113" s="36">
        <v>21</v>
      </c>
      <c r="L113" s="36">
        <v>1</v>
      </c>
      <c r="M113" s="36" t="s">
        <v>105</v>
      </c>
    </row>
    <row r="114" spans="1:13">
      <c r="A114" s="36">
        <f ca="1" t="shared" si="1"/>
        <v>119</v>
      </c>
      <c r="B114" s="36">
        <f ca="1" t="array" ref="B114">INDEX(Data_DBD!$B:$B,$A114)</f>
        <v>30</v>
      </c>
      <c r="C114" s="36" t="str">
        <f ca="1" t="array" ref="C114">INDEX(Data_DBD!$C:$C,$A114)</f>
        <v>7 Hari</v>
      </c>
      <c r="D114" s="36">
        <f ca="1" t="array" ref="D114">INDEX(Data_DBD!$D:$D,$A114)</f>
        <v>33</v>
      </c>
      <c r="E114" s="36">
        <f ca="1" t="array" ref="E114">INDEX(Data_DBD!$E:$E,$A114)</f>
        <v>0</v>
      </c>
      <c r="F114" s="36" t="str">
        <f ca="1" t="array" ref="F114">INDEX(Data_DBD!$F:$F,$A114)</f>
        <v>Tinggi</v>
      </c>
      <c r="H114" s="36">
        <v>121</v>
      </c>
      <c r="I114" s="36">
        <v>82</v>
      </c>
      <c r="J114" s="36">
        <v>5</v>
      </c>
      <c r="K114" s="36">
        <v>33</v>
      </c>
      <c r="L114" s="36">
        <v>1</v>
      </c>
      <c r="M114" s="36" t="s">
        <v>105</v>
      </c>
    </row>
    <row r="115" spans="1:13">
      <c r="A115" s="36">
        <f ca="1" t="shared" si="1"/>
        <v>68</v>
      </c>
      <c r="B115" s="36">
        <f ca="1" t="array" ref="B115">INDEX(Data_DBD!$B:$B,$A115)</f>
        <v>44</v>
      </c>
      <c r="C115" s="36" t="str">
        <f ca="1" t="array" ref="C115">INDEX(Data_DBD!$C:$C,$A115)</f>
        <v>5 Hari</v>
      </c>
      <c r="D115" s="36">
        <f ca="1" t="array" ref="D115">INDEX(Data_DBD!$D:$D,$A115)</f>
        <v>10</v>
      </c>
      <c r="E115" s="36">
        <f ca="1" t="array" ref="E115">INDEX(Data_DBD!$E:$E,$A115)</f>
        <v>0</v>
      </c>
      <c r="F115" s="36" t="str">
        <f ca="1" t="array" ref="F115">INDEX(Data_DBD!$F:$F,$A115)</f>
        <v>Sedang</v>
      </c>
      <c r="H115" s="36">
        <v>56</v>
      </c>
      <c r="I115" s="36">
        <v>4</v>
      </c>
      <c r="J115" s="36">
        <v>3</v>
      </c>
      <c r="K115" s="36">
        <v>15</v>
      </c>
      <c r="L115" s="36">
        <v>0</v>
      </c>
      <c r="M115" s="36" t="s">
        <v>8</v>
      </c>
    </row>
    <row r="116" spans="1:13">
      <c r="A116" s="36">
        <f ca="1" t="shared" si="1"/>
        <v>126</v>
      </c>
      <c r="B116" s="36">
        <f ca="1" t="array" ref="B116">INDEX(Data_DBD!$B:$B,$A116)</f>
        <v>51</v>
      </c>
      <c r="C116" s="36" t="str">
        <f ca="1" t="array" ref="C116">INDEX(Data_DBD!$C:$C,$A116)</f>
        <v>3 Hari</v>
      </c>
      <c r="D116" s="36">
        <f ca="1" t="array" ref="D116">INDEX(Data_DBD!$D:$D,$A116)</f>
        <v>33</v>
      </c>
      <c r="E116" s="36">
        <f ca="1" t="array" ref="E116">INDEX(Data_DBD!$E:$E,$A116)</f>
        <v>1</v>
      </c>
      <c r="F116" s="36" t="str">
        <f ca="1" t="array" ref="F116">INDEX(Data_DBD!$F:$F,$A116)</f>
        <v>Tinggi</v>
      </c>
      <c r="H116" s="36">
        <v>8</v>
      </c>
      <c r="I116" s="36">
        <v>4</v>
      </c>
      <c r="J116" s="36">
        <v>2</v>
      </c>
      <c r="K116" s="36">
        <v>12</v>
      </c>
      <c r="L116" s="36">
        <v>0</v>
      </c>
      <c r="M116" s="36" t="s">
        <v>8</v>
      </c>
    </row>
    <row r="117" spans="1:13">
      <c r="A117" s="36">
        <f ca="1" t="shared" si="1"/>
        <v>52</v>
      </c>
      <c r="B117" s="36">
        <f ca="1" t="array" ref="B117">INDEX(Data_DBD!$B:$B,$A117)</f>
        <v>59</v>
      </c>
      <c r="C117" s="36" t="str">
        <f ca="1" t="array" ref="C117">INDEX(Data_DBD!$C:$C,$A117)</f>
        <v>4 Hari</v>
      </c>
      <c r="D117" s="36">
        <f ca="1" t="array" ref="D117">INDEX(Data_DBD!$D:$D,$A117)</f>
        <v>15</v>
      </c>
      <c r="E117" s="36">
        <f ca="1" t="array" ref="E117">INDEX(Data_DBD!$E:$E,$A117)</f>
        <v>1</v>
      </c>
      <c r="F117" s="36" t="str">
        <f ca="1" t="array" ref="F117">INDEX(Data_DBD!$F:$F,$A117)</f>
        <v>Sedang</v>
      </c>
      <c r="H117" s="36">
        <v>94</v>
      </c>
      <c r="I117" s="36">
        <v>12</v>
      </c>
      <c r="J117" s="36">
        <v>4</v>
      </c>
      <c r="K117" s="36">
        <v>18</v>
      </c>
      <c r="L117" s="36">
        <v>0</v>
      </c>
      <c r="M117" s="36" t="s">
        <v>105</v>
      </c>
    </row>
    <row r="118" spans="1:13">
      <c r="A118" s="36">
        <f ca="1" t="shared" si="1"/>
        <v>61</v>
      </c>
      <c r="B118" s="36">
        <f ca="1" t="array" ref="B118">INDEX(Data_DBD!$B:$B,$A118)</f>
        <v>29</v>
      </c>
      <c r="C118" s="36" t="str">
        <f ca="1" t="array" ref="C118">INDEX(Data_DBD!$C:$C,$A118)</f>
        <v>3 Hari</v>
      </c>
      <c r="D118" s="36">
        <f ca="1" t="array" ref="D118">INDEX(Data_DBD!$D:$D,$A118)</f>
        <v>15</v>
      </c>
      <c r="E118" s="36">
        <f ca="1" t="array" ref="E118">INDEX(Data_DBD!$E:$E,$A118)</f>
        <v>1</v>
      </c>
      <c r="F118" s="36" t="str">
        <f ca="1" t="array" ref="F118">INDEX(Data_DBD!$F:$F,$A118)</f>
        <v>Sedang</v>
      </c>
      <c r="H118" s="36">
        <v>10</v>
      </c>
      <c r="I118" s="36">
        <v>18</v>
      </c>
      <c r="J118" s="36">
        <v>5</v>
      </c>
      <c r="K118" s="36">
        <v>12</v>
      </c>
      <c r="L118" s="36">
        <v>0</v>
      </c>
      <c r="M118" s="36" t="s">
        <v>8</v>
      </c>
    </row>
    <row r="119" spans="1:13">
      <c r="A119" s="36">
        <f ca="1" t="shared" si="1"/>
        <v>40</v>
      </c>
      <c r="B119" s="36">
        <f ca="1" t="array" ref="B119">INDEX(Data_DBD!$B:$B,$A119)</f>
        <v>65</v>
      </c>
      <c r="C119" s="36" t="str">
        <f ca="1" t="array" ref="C119">INDEX(Data_DBD!$C:$C,$A119)</f>
        <v>3 Hari</v>
      </c>
      <c r="D119" s="36">
        <f ca="1" t="array" ref="D119">INDEX(Data_DBD!$D:$D,$A119)</f>
        <v>13</v>
      </c>
      <c r="E119" s="36">
        <f ca="1" t="array" ref="E119">INDEX(Data_DBD!$E:$E,$A119)</f>
        <v>1</v>
      </c>
      <c r="F119" s="36" t="str">
        <f ca="1" t="array" ref="F119">INDEX(Data_DBD!$F:$F,$A119)</f>
        <v>Sedang</v>
      </c>
      <c r="H119" s="36">
        <v>154</v>
      </c>
      <c r="I119" s="36">
        <v>18</v>
      </c>
      <c r="J119" s="36">
        <v>5</v>
      </c>
      <c r="K119" s="36">
        <v>21</v>
      </c>
      <c r="L119" s="36">
        <v>1</v>
      </c>
      <c r="M119" s="36" t="s">
        <v>105</v>
      </c>
    </row>
    <row r="120" spans="1:13">
      <c r="A120" s="36">
        <f ca="1" t="shared" si="1"/>
        <v>107</v>
      </c>
      <c r="B120" s="36">
        <f ca="1" t="array" ref="B120">INDEX(Data_DBD!$B:$B,$A120)</f>
        <v>48</v>
      </c>
      <c r="C120" s="36" t="str">
        <f ca="1" t="array" ref="C120">INDEX(Data_DBD!$C:$C,$A120)</f>
        <v>5 Hari</v>
      </c>
      <c r="D120" s="36">
        <f ca="1" t="array" ref="D120">INDEX(Data_DBD!$D:$D,$A120)</f>
        <v>18</v>
      </c>
      <c r="E120" s="36">
        <f ca="1" t="array" ref="E120">INDEX(Data_DBD!$E:$E,$A120)</f>
        <v>0</v>
      </c>
      <c r="F120" s="36" t="str">
        <f ca="1" t="array" ref="F120">INDEX(Data_DBD!$F:$F,$A120)</f>
        <v>Tinggi</v>
      </c>
      <c r="H120" s="36">
        <v>65</v>
      </c>
      <c r="I120" s="36">
        <v>49</v>
      </c>
      <c r="J120" s="36">
        <v>3</v>
      </c>
      <c r="K120" s="36">
        <v>15</v>
      </c>
      <c r="L120" s="36">
        <v>0</v>
      </c>
      <c r="M120" s="36" t="s">
        <v>8</v>
      </c>
    </row>
    <row r="121" spans="1:13">
      <c r="A121" s="36">
        <f ca="1" t="shared" si="1"/>
        <v>152</v>
      </c>
      <c r="B121" s="36">
        <f ca="1" t="array" ref="B121">INDEX(Data_DBD!$B:$B,$A121)</f>
        <v>47</v>
      </c>
      <c r="C121" s="36" t="str">
        <f ca="1" t="array" ref="C121">INDEX(Data_DBD!$C:$C,$A121)</f>
        <v>3 Hari</v>
      </c>
      <c r="D121" s="36">
        <f ca="1" t="array" ref="D121">INDEX(Data_DBD!$D:$D,$A121)</f>
        <v>21</v>
      </c>
      <c r="E121" s="36">
        <f ca="1" t="array" ref="E121">INDEX(Data_DBD!$E:$E,$A121)</f>
        <v>1</v>
      </c>
      <c r="F121" s="36" t="str">
        <f ca="1" t="array" ref="F121">INDEX(Data_DBD!$F:$F,$A121)</f>
        <v>Tinggi</v>
      </c>
      <c r="H121" s="36">
        <v>75</v>
      </c>
      <c r="I121" s="36">
        <v>2</v>
      </c>
      <c r="J121" s="36">
        <v>2</v>
      </c>
      <c r="K121" s="36">
        <v>10</v>
      </c>
      <c r="L121" s="36">
        <v>1</v>
      </c>
      <c r="M121" s="36" t="s">
        <v>8</v>
      </c>
    </row>
    <row r="122" spans="1:13">
      <c r="A122" s="36">
        <f ca="1" t="shared" si="1"/>
        <v>109</v>
      </c>
      <c r="B122" s="36">
        <f ca="1" t="array" ref="B122">INDEX(Data_DBD!$B:$B,$A122)</f>
        <v>40</v>
      </c>
      <c r="C122" s="36" t="str">
        <f ca="1" t="array" ref="C122">INDEX(Data_DBD!$C:$C,$A122)</f>
        <v>3 Hari</v>
      </c>
      <c r="D122" s="36">
        <f ca="1" t="array" ref="D122">INDEX(Data_DBD!$D:$D,$A122)</f>
        <v>33</v>
      </c>
      <c r="E122" s="36">
        <f ca="1" t="array" ref="E122">INDEX(Data_DBD!$E:$E,$A122)</f>
        <v>1</v>
      </c>
      <c r="F122" s="36" t="str">
        <f ca="1" t="array" ref="F122">INDEX(Data_DBD!$F:$F,$A122)</f>
        <v>Tinggi</v>
      </c>
      <c r="H122" s="36">
        <v>4</v>
      </c>
      <c r="I122" s="36">
        <v>23</v>
      </c>
      <c r="J122" s="36">
        <v>5</v>
      </c>
      <c r="K122" s="36">
        <v>12</v>
      </c>
      <c r="L122" s="36">
        <v>0</v>
      </c>
      <c r="M122" s="36" t="s">
        <v>8</v>
      </c>
    </row>
    <row r="123" spans="1:13">
      <c r="A123" s="36">
        <f ca="1" t="shared" si="1"/>
        <v>24</v>
      </c>
      <c r="B123" s="36">
        <f ca="1" t="array" ref="B123">INDEX(Data_DBD!$B:$B,$A123)</f>
        <v>60</v>
      </c>
      <c r="C123" s="36" t="str">
        <f ca="1" t="array" ref="C123">INDEX(Data_DBD!$C:$C,$A123)</f>
        <v>4 Hari</v>
      </c>
      <c r="D123" s="36">
        <f ca="1" t="array" ref="D123">INDEX(Data_DBD!$D:$D,$A123)</f>
        <v>14</v>
      </c>
      <c r="E123" s="36">
        <f ca="1" t="array" ref="E123">INDEX(Data_DBD!$E:$E,$A123)</f>
        <v>0</v>
      </c>
      <c r="F123" s="36" t="str">
        <f ca="1" t="array" ref="F123">INDEX(Data_DBD!$F:$F,$A123)</f>
        <v>Sedang</v>
      </c>
      <c r="H123" s="36">
        <v>105</v>
      </c>
      <c r="I123" s="36">
        <v>61</v>
      </c>
      <c r="J123" s="36">
        <v>3</v>
      </c>
      <c r="K123" s="36">
        <v>18</v>
      </c>
      <c r="L123" s="36">
        <v>1</v>
      </c>
      <c r="M123" s="36" t="s">
        <v>105</v>
      </c>
    </row>
    <row r="124" spans="1:13">
      <c r="A124" s="36">
        <f ca="1" t="shared" si="1"/>
        <v>51</v>
      </c>
      <c r="B124" s="36">
        <f ca="1" t="array" ref="B124">INDEX(Data_DBD!$B:$B,$A124)</f>
        <v>48</v>
      </c>
      <c r="C124" s="36" t="str">
        <f ca="1" t="array" ref="C124">INDEX(Data_DBD!$C:$C,$A124)</f>
        <v>4 Hari</v>
      </c>
      <c r="D124" s="36">
        <f ca="1" t="array" ref="D124">INDEX(Data_DBD!$D:$D,$A124)</f>
        <v>13</v>
      </c>
      <c r="E124" s="36">
        <f ca="1" t="array" ref="E124">INDEX(Data_DBD!$E:$E,$A124)</f>
        <v>0</v>
      </c>
      <c r="F124" s="36" t="str">
        <f ca="1" t="array" ref="F124">INDEX(Data_DBD!$F:$F,$A124)</f>
        <v>Sedang</v>
      </c>
      <c r="H124" s="36">
        <v>123</v>
      </c>
      <c r="I124" s="36">
        <v>22</v>
      </c>
      <c r="J124" s="36">
        <v>4</v>
      </c>
      <c r="K124" s="36">
        <v>33</v>
      </c>
      <c r="L124" s="36">
        <v>0</v>
      </c>
      <c r="M124" s="36" t="s">
        <v>105</v>
      </c>
    </row>
    <row r="125" spans="1:13">
      <c r="A125" s="36">
        <f ca="1" t="shared" si="1"/>
        <v>97</v>
      </c>
      <c r="B125" s="36">
        <f ca="1" t="array" ref="B125">INDEX(Data_DBD!$B:$B,$A125)</f>
        <v>16</v>
      </c>
      <c r="C125" s="36" t="str">
        <f ca="1" t="array" ref="C125">INDEX(Data_DBD!$C:$C,$A125)</f>
        <v>2 Hari</v>
      </c>
      <c r="D125" s="36">
        <f ca="1" t="array" ref="D125">INDEX(Data_DBD!$D:$D,$A125)</f>
        <v>18</v>
      </c>
      <c r="E125" s="36">
        <f ca="1" t="array" ref="E125">INDEX(Data_DBD!$E:$E,$A125)</f>
        <v>1</v>
      </c>
      <c r="F125" s="36" t="str">
        <f ca="1" t="array" ref="F125">INDEX(Data_DBD!$F:$F,$A125)</f>
        <v>Tinggi</v>
      </c>
      <c r="H125" s="36">
        <v>59</v>
      </c>
      <c r="I125" s="36">
        <v>28</v>
      </c>
      <c r="J125" s="36">
        <v>4</v>
      </c>
      <c r="K125" s="36">
        <v>15</v>
      </c>
      <c r="L125" s="36">
        <v>0</v>
      </c>
      <c r="M125" s="36" t="s">
        <v>8</v>
      </c>
    </row>
    <row r="126" spans="1:13">
      <c r="A126" s="36">
        <f ca="1" t="shared" si="1"/>
        <v>106</v>
      </c>
      <c r="B126" s="36">
        <f ca="1" t="array" ref="B126">INDEX(Data_DBD!$B:$B,$A126)</f>
        <v>23</v>
      </c>
      <c r="C126" s="36" t="str">
        <f ca="1" t="array" ref="C126">INDEX(Data_DBD!$C:$C,$A126)</f>
        <v>3 Hari</v>
      </c>
      <c r="D126" s="36">
        <f ca="1" t="array" ref="D126">INDEX(Data_DBD!$D:$D,$A126)</f>
        <v>18</v>
      </c>
      <c r="E126" s="36">
        <f ca="1" t="array" ref="E126">INDEX(Data_DBD!$E:$E,$A126)</f>
        <v>1</v>
      </c>
      <c r="F126" s="36" t="str">
        <f ca="1" t="array" ref="F126">INDEX(Data_DBD!$F:$F,$A126)</f>
        <v>Tinggi</v>
      </c>
      <c r="H126" s="36">
        <v>34</v>
      </c>
      <c r="I126" s="36">
        <v>55</v>
      </c>
      <c r="J126" s="36">
        <v>3</v>
      </c>
      <c r="K126" s="36">
        <v>14</v>
      </c>
      <c r="L126" s="36">
        <v>0</v>
      </c>
      <c r="M126" s="36" t="s">
        <v>8</v>
      </c>
    </row>
    <row r="127" spans="1:13">
      <c r="A127" s="36">
        <f ca="1" t="shared" si="1"/>
        <v>133</v>
      </c>
      <c r="B127" s="36">
        <f ca="1" t="array" ref="B127">INDEX(Data_DBD!$B:$B,$A127)</f>
        <v>6</v>
      </c>
      <c r="C127" s="36" t="str">
        <f ca="1" t="array" ref="C127">INDEX(Data_DBD!$C:$C,$A127)</f>
        <v>4 Hari</v>
      </c>
      <c r="D127" s="36">
        <f ca="1" t="array" ref="D127">INDEX(Data_DBD!$D:$D,$A127)</f>
        <v>33</v>
      </c>
      <c r="E127" s="36">
        <f ca="1" t="array" ref="E127">INDEX(Data_DBD!$E:$E,$A127)</f>
        <v>0</v>
      </c>
      <c r="F127" s="36" t="str">
        <f ca="1" t="array" ref="F127">INDEX(Data_DBD!$F:$F,$A127)</f>
        <v>Tinggi</v>
      </c>
      <c r="H127" s="36">
        <v>109</v>
      </c>
      <c r="I127" s="36">
        <v>40</v>
      </c>
      <c r="J127" s="36">
        <v>3</v>
      </c>
      <c r="K127" s="36">
        <v>33</v>
      </c>
      <c r="L127" s="36">
        <v>1</v>
      </c>
      <c r="M127" s="36" t="s">
        <v>105</v>
      </c>
    </row>
    <row r="128" spans="1:13">
      <c r="A128" s="36">
        <f ca="1" t="shared" si="1"/>
        <v>6</v>
      </c>
      <c r="B128" s="36">
        <f ca="1" t="array" ref="B128">INDEX(Data_DBD!$B:$B,$A128)</f>
        <v>14</v>
      </c>
      <c r="C128" s="36" t="str">
        <f ca="1" t="array" ref="C128">INDEX(Data_DBD!$C:$C,$A128)</f>
        <v>4 Hari</v>
      </c>
      <c r="D128" s="36">
        <f ca="1" t="array" ref="D128">INDEX(Data_DBD!$D:$D,$A128)</f>
        <v>12</v>
      </c>
      <c r="E128" s="36">
        <f ca="1" t="array" ref="E128">INDEX(Data_DBD!$E:$E,$A128)</f>
        <v>0</v>
      </c>
      <c r="F128" s="36" t="str">
        <f ca="1" t="array" ref="F128">INDEX(Data_DBD!$F:$F,$A128)</f>
        <v>Sedang</v>
      </c>
      <c r="H128" s="36">
        <v>29</v>
      </c>
      <c r="I128" s="36">
        <v>19</v>
      </c>
      <c r="J128" s="36">
        <v>2</v>
      </c>
      <c r="K128" s="36">
        <v>14</v>
      </c>
      <c r="L128" s="36">
        <v>1</v>
      </c>
      <c r="M128" s="36" t="s">
        <v>8</v>
      </c>
    </row>
    <row r="129" spans="1:13">
      <c r="A129" s="36">
        <f ca="1" t="shared" si="1"/>
        <v>133</v>
      </c>
      <c r="B129" s="36">
        <f ca="1" t="array" ref="B129">INDEX(Data_DBD!$B:$B,$A129)</f>
        <v>6</v>
      </c>
      <c r="C129" s="36" t="str">
        <f ca="1" t="array" ref="C129">INDEX(Data_DBD!$C:$C,$A129)</f>
        <v>4 Hari</v>
      </c>
      <c r="D129" s="36">
        <f ca="1" t="array" ref="D129">INDEX(Data_DBD!$D:$D,$A129)</f>
        <v>33</v>
      </c>
      <c r="E129" s="36">
        <f ca="1" t="array" ref="E129">INDEX(Data_DBD!$E:$E,$A129)</f>
        <v>0</v>
      </c>
      <c r="F129" s="36" t="str">
        <f ca="1" t="array" ref="F129">INDEX(Data_DBD!$F:$F,$A129)</f>
        <v>Tinggi</v>
      </c>
      <c r="H129" s="36">
        <v>48</v>
      </c>
      <c r="I129" s="36">
        <v>50</v>
      </c>
      <c r="J129" s="36">
        <v>5</v>
      </c>
      <c r="K129" s="36">
        <v>13</v>
      </c>
      <c r="L129" s="36">
        <v>1</v>
      </c>
      <c r="M129" s="36" t="s">
        <v>8</v>
      </c>
    </row>
    <row r="130" spans="1:13">
      <c r="A130" s="36">
        <f ca="1" t="shared" si="1"/>
        <v>34</v>
      </c>
      <c r="B130" s="36">
        <f ca="1" t="array" ref="B130">INDEX(Data_DBD!$B:$B,$A130)</f>
        <v>55</v>
      </c>
      <c r="C130" s="36" t="str">
        <f ca="1" t="array" ref="C130">INDEX(Data_DBD!$C:$C,$A130)</f>
        <v>3 Hari</v>
      </c>
      <c r="D130" s="36">
        <f ca="1" t="array" ref="D130">INDEX(Data_DBD!$D:$D,$A130)</f>
        <v>14</v>
      </c>
      <c r="E130" s="36">
        <f ca="1" t="array" ref="E130">INDEX(Data_DBD!$E:$E,$A130)</f>
        <v>0</v>
      </c>
      <c r="F130" s="36" t="str">
        <f ca="1" t="array" ref="F130">INDEX(Data_DBD!$F:$F,$A130)</f>
        <v>Sedang</v>
      </c>
      <c r="H130" s="36">
        <v>16</v>
      </c>
      <c r="I130" s="36">
        <v>66</v>
      </c>
      <c r="J130" s="36">
        <v>5</v>
      </c>
      <c r="K130" s="36">
        <v>7</v>
      </c>
      <c r="L130" s="36">
        <v>1</v>
      </c>
      <c r="M130" s="36" t="s">
        <v>26</v>
      </c>
    </row>
    <row r="131" spans="1:13">
      <c r="A131" s="36">
        <f ca="1" t="shared" ref="A131:A164" si="2">RANDBETWEEN(2,164)</f>
        <v>131</v>
      </c>
      <c r="B131" s="36">
        <f ca="1" t="array" ref="B131">INDEX(Data_DBD!$B:$B,$A131)</f>
        <v>10</v>
      </c>
      <c r="C131" s="36" t="str">
        <f ca="1" t="array" ref="C131">INDEX(Data_DBD!$C:$C,$A131)</f>
        <v>2 Hari</v>
      </c>
      <c r="D131" s="36">
        <f ca="1" t="array" ref="D131">INDEX(Data_DBD!$D:$D,$A131)</f>
        <v>33</v>
      </c>
      <c r="E131" s="36">
        <f ca="1" t="array" ref="E131">INDEX(Data_DBD!$E:$E,$A131)</f>
        <v>0</v>
      </c>
      <c r="F131" s="36" t="str">
        <f ca="1" t="array" ref="F131">INDEX(Data_DBD!$F:$F,$A131)</f>
        <v>Tinggi</v>
      </c>
      <c r="H131" s="36">
        <v>126</v>
      </c>
      <c r="I131" s="36">
        <v>51</v>
      </c>
      <c r="J131" s="36">
        <v>3</v>
      </c>
      <c r="K131" s="36">
        <v>33</v>
      </c>
      <c r="L131" s="36">
        <v>1</v>
      </c>
      <c r="M131" s="36" t="s">
        <v>105</v>
      </c>
    </row>
    <row r="132" spans="1:13">
      <c r="A132" s="36">
        <f ca="1" t="shared" si="2"/>
        <v>32</v>
      </c>
      <c r="B132" s="36">
        <f ca="1" t="array" ref="B132">INDEX(Data_DBD!$B:$B,$A132)</f>
        <v>54</v>
      </c>
      <c r="C132" s="36" t="str">
        <f ca="1" t="array" ref="C132">INDEX(Data_DBD!$C:$C,$A132)</f>
        <v>4 Hari</v>
      </c>
      <c r="D132" s="36">
        <f ca="1" t="array" ref="D132">INDEX(Data_DBD!$D:$D,$A132)</f>
        <v>14</v>
      </c>
      <c r="E132" s="36">
        <f ca="1" t="array" ref="E132">INDEX(Data_DBD!$E:$E,$A132)</f>
        <v>0</v>
      </c>
      <c r="F132" s="36" t="str">
        <f ca="1" t="array" ref="F132">INDEX(Data_DBD!$F:$F,$A132)</f>
        <v>Sedang</v>
      </c>
      <c r="H132" s="36">
        <v>56</v>
      </c>
      <c r="I132" s="36">
        <v>4</v>
      </c>
      <c r="J132" s="36">
        <v>3</v>
      </c>
      <c r="K132" s="36">
        <v>15</v>
      </c>
      <c r="L132" s="36">
        <v>0</v>
      </c>
      <c r="M132" s="36" t="s">
        <v>8</v>
      </c>
    </row>
    <row r="133" spans="1:13">
      <c r="A133" s="36">
        <f ca="1" t="shared" si="2"/>
        <v>113</v>
      </c>
      <c r="B133" s="36">
        <f ca="1" t="array" ref="B133">INDEX(Data_DBD!$B:$B,$A133)</f>
        <v>69</v>
      </c>
      <c r="C133" s="36" t="str">
        <f ca="1" t="array" ref="C133">INDEX(Data_DBD!$C:$C,$A133)</f>
        <v>1 Hari</v>
      </c>
      <c r="D133" s="36">
        <f ca="1" t="array" ref="D133">INDEX(Data_DBD!$D:$D,$A133)</f>
        <v>33</v>
      </c>
      <c r="E133" s="36">
        <f ca="1" t="array" ref="E133">INDEX(Data_DBD!$E:$E,$A133)</f>
        <v>1</v>
      </c>
      <c r="F133" s="36" t="str">
        <f ca="1" t="array" ref="F133">INDEX(Data_DBD!$F:$F,$A133)</f>
        <v>Tinggi</v>
      </c>
      <c r="H133" s="36">
        <v>146</v>
      </c>
      <c r="I133" s="36">
        <v>34</v>
      </c>
      <c r="J133" s="36">
        <v>2</v>
      </c>
      <c r="K133" s="36">
        <v>21</v>
      </c>
      <c r="L133" s="36">
        <v>1</v>
      </c>
      <c r="M133" s="36" t="s">
        <v>105</v>
      </c>
    </row>
    <row r="134" spans="1:13">
      <c r="A134" s="36">
        <f ca="1" t="shared" si="2"/>
        <v>121</v>
      </c>
      <c r="B134" s="36">
        <f ca="1" t="array" ref="B134">INDEX(Data_DBD!$B:$B,$A134)</f>
        <v>82</v>
      </c>
      <c r="C134" s="36" t="str">
        <f ca="1" t="array" ref="C134">INDEX(Data_DBD!$C:$C,$A134)</f>
        <v>5 Hari</v>
      </c>
      <c r="D134" s="36">
        <f ca="1" t="array" ref="D134">INDEX(Data_DBD!$D:$D,$A134)</f>
        <v>33</v>
      </c>
      <c r="E134" s="36">
        <f ca="1" t="array" ref="E134">INDEX(Data_DBD!$E:$E,$A134)</f>
        <v>1</v>
      </c>
      <c r="F134" s="36" t="str">
        <f ca="1" t="array" ref="F134">INDEX(Data_DBD!$F:$F,$A134)</f>
        <v>Tinggi</v>
      </c>
      <c r="H134" s="36">
        <v>8</v>
      </c>
      <c r="I134" s="36">
        <v>4</v>
      </c>
      <c r="J134" s="36">
        <v>2</v>
      </c>
      <c r="K134" s="36">
        <v>12</v>
      </c>
      <c r="L134" s="36">
        <v>0</v>
      </c>
      <c r="M134" s="36" t="s">
        <v>8</v>
      </c>
    </row>
    <row r="135" spans="1:13">
      <c r="A135" s="36">
        <f ca="1" t="shared" si="2"/>
        <v>144</v>
      </c>
      <c r="B135" s="36">
        <f ca="1" t="array" ref="B135">INDEX(Data_DBD!$B:$B,$A135)</f>
        <v>61</v>
      </c>
      <c r="C135" s="36" t="str">
        <f ca="1" t="array" ref="C135">INDEX(Data_DBD!$C:$C,$A135)</f>
        <v>4 Hari</v>
      </c>
      <c r="D135" s="36">
        <f ca="1" t="array" ref="D135">INDEX(Data_DBD!$D:$D,$A135)</f>
        <v>21</v>
      </c>
      <c r="E135" s="36">
        <f ca="1" t="array" ref="E135">INDEX(Data_DBD!$E:$E,$A135)</f>
        <v>1</v>
      </c>
      <c r="F135" s="36" t="str">
        <f ca="1" t="array" ref="F135">INDEX(Data_DBD!$F:$F,$A135)</f>
        <v>Tinggi</v>
      </c>
      <c r="H135" s="36">
        <v>103</v>
      </c>
      <c r="I135" s="36">
        <v>22</v>
      </c>
      <c r="J135" s="36">
        <v>5</v>
      </c>
      <c r="K135" s="36">
        <v>18</v>
      </c>
      <c r="L135" s="36">
        <v>0</v>
      </c>
      <c r="M135" s="36" t="s">
        <v>105</v>
      </c>
    </row>
    <row r="136" spans="1:13">
      <c r="A136" s="36">
        <f ca="1" t="shared" si="2"/>
        <v>71</v>
      </c>
      <c r="B136" s="36">
        <f ca="1" t="array" ref="B136">INDEX(Data_DBD!$B:$B,$A136)</f>
        <v>84</v>
      </c>
      <c r="C136" s="36" t="str">
        <f ca="1" t="array" ref="C136">INDEX(Data_DBD!$C:$C,$A136)</f>
        <v>3 Hari</v>
      </c>
      <c r="D136" s="36">
        <f ca="1" t="array" ref="D136">INDEX(Data_DBD!$D:$D,$A136)</f>
        <v>10</v>
      </c>
      <c r="E136" s="36">
        <f ca="1" t="array" ref="E136">INDEX(Data_DBD!$E:$E,$A136)</f>
        <v>0</v>
      </c>
      <c r="F136" s="36" t="str">
        <f ca="1" t="array" ref="F136">INDEX(Data_DBD!$F:$F,$A136)</f>
        <v>Sedang</v>
      </c>
      <c r="H136" s="36">
        <v>126</v>
      </c>
      <c r="I136" s="36">
        <v>51</v>
      </c>
      <c r="J136" s="36">
        <v>3</v>
      </c>
      <c r="K136" s="36">
        <v>33</v>
      </c>
      <c r="L136" s="36">
        <v>1</v>
      </c>
      <c r="M136" s="36" t="s">
        <v>105</v>
      </c>
    </row>
    <row r="137" spans="1:13">
      <c r="A137" s="36">
        <f ca="1" t="shared" si="2"/>
        <v>107</v>
      </c>
      <c r="B137" s="36">
        <f ca="1" t="array" ref="B137">INDEX(Data_DBD!$B:$B,$A137)</f>
        <v>48</v>
      </c>
      <c r="C137" s="36" t="str">
        <f ca="1" t="array" ref="C137">INDEX(Data_DBD!$C:$C,$A137)</f>
        <v>5 Hari</v>
      </c>
      <c r="D137" s="36">
        <f ca="1" t="array" ref="D137">INDEX(Data_DBD!$D:$D,$A137)</f>
        <v>18</v>
      </c>
      <c r="E137" s="36">
        <f ca="1" t="array" ref="E137">INDEX(Data_DBD!$E:$E,$A137)</f>
        <v>0</v>
      </c>
      <c r="F137" s="36" t="str">
        <f ca="1" t="array" ref="F137">INDEX(Data_DBD!$F:$F,$A137)</f>
        <v>Tinggi</v>
      </c>
      <c r="H137" s="36">
        <v>100</v>
      </c>
      <c r="I137" s="36">
        <v>19</v>
      </c>
      <c r="J137" s="36">
        <v>6</v>
      </c>
      <c r="K137" s="36">
        <v>18</v>
      </c>
      <c r="L137" s="36">
        <v>0</v>
      </c>
      <c r="M137" s="36" t="s">
        <v>105</v>
      </c>
    </row>
    <row r="138" spans="1:13">
      <c r="A138" s="36">
        <f ca="1" t="shared" si="2"/>
        <v>140</v>
      </c>
      <c r="B138" s="36">
        <f ca="1" t="array" ref="B138">INDEX(Data_DBD!$B:$B,$A138)</f>
        <v>74</v>
      </c>
      <c r="C138" s="36" t="str">
        <f ca="1" t="array" ref="C138">INDEX(Data_DBD!$C:$C,$A138)</f>
        <v>5 Hari</v>
      </c>
      <c r="D138" s="36">
        <f ca="1" t="array" ref="D138">INDEX(Data_DBD!$D:$D,$A138)</f>
        <v>21</v>
      </c>
      <c r="E138" s="36">
        <f ca="1" t="array" ref="E138">INDEX(Data_DBD!$E:$E,$A138)</f>
        <v>1</v>
      </c>
      <c r="F138" s="36" t="str">
        <f ca="1" t="array" ref="F138">INDEX(Data_DBD!$F:$F,$A138)</f>
        <v>Tinggi</v>
      </c>
      <c r="H138" s="36">
        <v>56</v>
      </c>
      <c r="I138" s="36">
        <v>4</v>
      </c>
      <c r="J138" s="36">
        <v>3</v>
      </c>
      <c r="K138" s="36">
        <v>15</v>
      </c>
      <c r="L138" s="36">
        <v>0</v>
      </c>
      <c r="M138" s="36" t="s">
        <v>8</v>
      </c>
    </row>
    <row r="139" spans="1:13">
      <c r="A139" s="36">
        <f ca="1" t="shared" si="2"/>
        <v>106</v>
      </c>
      <c r="B139" s="36">
        <f ca="1" t="array" ref="B139">INDEX(Data_DBD!$B:$B,$A139)</f>
        <v>23</v>
      </c>
      <c r="C139" s="36" t="str">
        <f ca="1" t="array" ref="C139">INDEX(Data_DBD!$C:$C,$A139)</f>
        <v>3 Hari</v>
      </c>
      <c r="D139" s="36">
        <f ca="1" t="array" ref="D139">INDEX(Data_DBD!$D:$D,$A139)</f>
        <v>18</v>
      </c>
      <c r="E139" s="36">
        <f ca="1" t="array" ref="E139">INDEX(Data_DBD!$E:$E,$A139)</f>
        <v>1</v>
      </c>
      <c r="F139" s="36" t="str">
        <f ca="1" t="array" ref="F139">INDEX(Data_DBD!$F:$F,$A139)</f>
        <v>Tinggi</v>
      </c>
      <c r="H139" s="36">
        <v>118</v>
      </c>
      <c r="I139" s="36">
        <v>67</v>
      </c>
      <c r="J139" s="36">
        <v>4</v>
      </c>
      <c r="K139" s="36">
        <v>33</v>
      </c>
      <c r="L139" s="36">
        <v>1</v>
      </c>
      <c r="M139" s="36" t="s">
        <v>105</v>
      </c>
    </row>
    <row r="140" spans="1:13">
      <c r="A140" s="36">
        <f ca="1" t="shared" si="2"/>
        <v>69</v>
      </c>
      <c r="B140" s="36">
        <f ca="1" t="array" ref="B140">INDEX(Data_DBD!$B:$B,$A140)</f>
        <v>24</v>
      </c>
      <c r="C140" s="36" t="str">
        <f ca="1" t="array" ref="C140">INDEX(Data_DBD!$C:$C,$A140)</f>
        <v>4 Hari</v>
      </c>
      <c r="D140" s="36">
        <f ca="1" t="array" ref="D140">INDEX(Data_DBD!$D:$D,$A140)</f>
        <v>10</v>
      </c>
      <c r="E140" s="36">
        <f ca="1" t="array" ref="E140">INDEX(Data_DBD!$E:$E,$A140)</f>
        <v>1</v>
      </c>
      <c r="F140" s="36" t="str">
        <f ca="1" t="array" ref="F140">INDEX(Data_DBD!$F:$F,$A140)</f>
        <v>Sedang</v>
      </c>
      <c r="H140" s="36">
        <v>56</v>
      </c>
      <c r="I140" s="36">
        <v>4</v>
      </c>
      <c r="J140" s="36">
        <v>3</v>
      </c>
      <c r="K140" s="36">
        <v>15</v>
      </c>
      <c r="L140" s="36">
        <v>0</v>
      </c>
      <c r="M140" s="36" t="s">
        <v>8</v>
      </c>
    </row>
    <row r="141" spans="1:13">
      <c r="A141" s="36">
        <f ca="1" t="shared" si="2"/>
        <v>11</v>
      </c>
      <c r="B141" s="36">
        <f ca="1" t="array" ref="B141">INDEX(Data_DBD!$B:$B,$A141)</f>
        <v>24</v>
      </c>
      <c r="C141" s="36" t="str">
        <f ca="1" t="array" ref="C141">INDEX(Data_DBD!$C:$C,$A141)</f>
        <v>5 Hari</v>
      </c>
      <c r="D141" s="36">
        <f ca="1" t="array" ref="D141">INDEX(Data_DBD!$D:$D,$A141)</f>
        <v>12</v>
      </c>
      <c r="E141" s="36">
        <f ca="1" t="array" ref="E141">INDEX(Data_DBD!$E:$E,$A141)</f>
        <v>1</v>
      </c>
      <c r="F141" s="36" t="str">
        <f ca="1" t="array" ref="F141">INDEX(Data_DBD!$F:$F,$A141)</f>
        <v>Sedang</v>
      </c>
      <c r="H141" s="36">
        <v>91</v>
      </c>
      <c r="I141" s="36">
        <v>35</v>
      </c>
      <c r="J141" s="36">
        <v>1</v>
      </c>
      <c r="K141" s="36">
        <v>18</v>
      </c>
      <c r="L141" s="36">
        <v>1</v>
      </c>
      <c r="M141" s="36" t="s">
        <v>105</v>
      </c>
    </row>
    <row r="142" spans="1:13">
      <c r="A142" s="36">
        <f ca="1" t="shared" si="2"/>
        <v>34</v>
      </c>
      <c r="B142" s="36">
        <f ca="1" t="array" ref="B142">INDEX(Data_DBD!$B:$B,$A142)</f>
        <v>55</v>
      </c>
      <c r="C142" s="36" t="str">
        <f ca="1" t="array" ref="C142">INDEX(Data_DBD!$C:$C,$A142)</f>
        <v>3 Hari</v>
      </c>
      <c r="D142" s="36">
        <f ca="1" t="array" ref="D142">INDEX(Data_DBD!$D:$D,$A142)</f>
        <v>14</v>
      </c>
      <c r="E142" s="36">
        <f ca="1" t="array" ref="E142">INDEX(Data_DBD!$E:$E,$A142)</f>
        <v>0</v>
      </c>
      <c r="F142" s="36" t="str">
        <f ca="1" t="array" ref="F142">INDEX(Data_DBD!$F:$F,$A142)</f>
        <v>Sedang</v>
      </c>
      <c r="H142" s="36">
        <v>86</v>
      </c>
      <c r="I142" s="36">
        <v>23</v>
      </c>
      <c r="J142" s="36">
        <v>3</v>
      </c>
      <c r="K142" s="36">
        <v>13</v>
      </c>
      <c r="L142" s="36">
        <v>0</v>
      </c>
      <c r="M142" s="36" t="s">
        <v>8</v>
      </c>
    </row>
    <row r="143" spans="1:13">
      <c r="A143" s="36">
        <f ca="1" t="shared" si="2"/>
        <v>159</v>
      </c>
      <c r="B143" s="36">
        <f ca="1" t="array" ref="B143">INDEX(Data_DBD!$B:$B,$A143)</f>
        <v>17</v>
      </c>
      <c r="C143" s="36" t="str">
        <f ca="1" t="array" ref="C143">INDEX(Data_DBD!$C:$C,$A143)</f>
        <v>2 Hari</v>
      </c>
      <c r="D143" s="36">
        <f ca="1" t="array" ref="D143">INDEX(Data_DBD!$D:$D,$A143)</f>
        <v>21</v>
      </c>
      <c r="E143" s="36">
        <f ca="1" t="array" ref="E143">INDEX(Data_DBD!$E:$E,$A143)</f>
        <v>0</v>
      </c>
      <c r="F143" s="36" t="str">
        <f ca="1" t="array" ref="F143">INDEX(Data_DBD!$F:$F,$A143)</f>
        <v>Tinggi</v>
      </c>
      <c r="H143" s="36">
        <v>162</v>
      </c>
      <c r="I143" s="36">
        <v>22</v>
      </c>
      <c r="J143" s="36">
        <v>3</v>
      </c>
      <c r="K143" s="36">
        <v>3</v>
      </c>
      <c r="L143" s="36">
        <v>1</v>
      </c>
      <c r="M143" s="36" t="s">
        <v>26</v>
      </c>
    </row>
    <row r="144" spans="1:13">
      <c r="A144" s="36">
        <f ca="1" t="shared" si="2"/>
        <v>85</v>
      </c>
      <c r="B144" s="36">
        <f ca="1" t="array" ref="B144">INDEX(Data_DBD!$B:$B,$A144)</f>
        <v>27</v>
      </c>
      <c r="C144" s="36" t="str">
        <f ca="1" t="array" ref="C144">INDEX(Data_DBD!$C:$C,$A144)</f>
        <v>9 Hari</v>
      </c>
      <c r="D144" s="36">
        <f ca="1" t="array" ref="D144">INDEX(Data_DBD!$D:$D,$A144)</f>
        <v>13</v>
      </c>
      <c r="E144" s="36">
        <f ca="1" t="array" ref="E144">INDEX(Data_DBD!$E:$E,$A144)</f>
        <v>0</v>
      </c>
      <c r="F144" s="36" t="str">
        <f ca="1" t="array" ref="F144">INDEX(Data_DBD!$F:$F,$A144)</f>
        <v>Sedang</v>
      </c>
      <c r="H144" s="36">
        <v>153</v>
      </c>
      <c r="I144" s="36">
        <v>73</v>
      </c>
      <c r="J144" s="36">
        <v>7</v>
      </c>
      <c r="K144" s="36">
        <v>21</v>
      </c>
      <c r="L144" s="36">
        <v>1</v>
      </c>
      <c r="M144" s="36" t="s">
        <v>105</v>
      </c>
    </row>
    <row r="145" spans="1:13">
      <c r="A145" s="36">
        <f ca="1" t="shared" si="2"/>
        <v>48</v>
      </c>
      <c r="B145" s="36">
        <f ca="1" t="array" ref="B145">INDEX(Data_DBD!$B:$B,$A145)</f>
        <v>50</v>
      </c>
      <c r="C145" s="36" t="str">
        <f ca="1" t="array" ref="C145">INDEX(Data_DBD!$C:$C,$A145)</f>
        <v>5 Hari</v>
      </c>
      <c r="D145" s="36">
        <f ca="1" t="array" ref="D145">INDEX(Data_DBD!$D:$D,$A145)</f>
        <v>13</v>
      </c>
      <c r="E145" s="36">
        <f ca="1" t="array" ref="E145">INDEX(Data_DBD!$E:$E,$A145)</f>
        <v>1</v>
      </c>
      <c r="F145" s="36" t="str">
        <f ca="1" t="array" ref="F145">INDEX(Data_DBD!$F:$F,$A145)</f>
        <v>Sedang</v>
      </c>
      <c r="H145" s="36">
        <v>128</v>
      </c>
      <c r="I145" s="36">
        <v>38</v>
      </c>
      <c r="J145" s="36">
        <v>2</v>
      </c>
      <c r="K145" s="36">
        <v>33</v>
      </c>
      <c r="L145" s="36">
        <v>0</v>
      </c>
      <c r="M145" s="36" t="s">
        <v>105</v>
      </c>
    </row>
    <row r="146" spans="1:13">
      <c r="A146" s="36">
        <f ca="1" t="shared" si="2"/>
        <v>88</v>
      </c>
      <c r="B146" s="36">
        <f ca="1" t="array" ref="B146">INDEX(Data_DBD!$B:$B,$A146)</f>
        <v>20</v>
      </c>
      <c r="C146" s="36" t="str">
        <f ca="1" t="array" ref="C146">INDEX(Data_DBD!$C:$C,$A146)</f>
        <v>4 Hari</v>
      </c>
      <c r="D146" s="36">
        <f ca="1" t="array" ref="D146">INDEX(Data_DBD!$D:$D,$A146)</f>
        <v>13</v>
      </c>
      <c r="E146" s="36">
        <f ca="1" t="array" ref="E146">INDEX(Data_DBD!$E:$E,$A146)</f>
        <v>1</v>
      </c>
      <c r="F146" s="36" t="str">
        <f ca="1" t="array" ref="F146">INDEX(Data_DBD!$F:$F,$A146)</f>
        <v>Sedang</v>
      </c>
      <c r="H146" s="36">
        <v>107</v>
      </c>
      <c r="I146" s="36">
        <v>48</v>
      </c>
      <c r="J146" s="36">
        <v>5</v>
      </c>
      <c r="K146" s="36">
        <v>18</v>
      </c>
      <c r="L146" s="36">
        <v>0</v>
      </c>
      <c r="M146" s="36" t="s">
        <v>105</v>
      </c>
    </row>
    <row r="147" spans="1:13">
      <c r="A147" s="36">
        <f ca="1" t="shared" si="2"/>
        <v>148</v>
      </c>
      <c r="B147" s="36">
        <f ca="1" t="array" ref="B147">INDEX(Data_DBD!$B:$B,$A147)</f>
        <v>55</v>
      </c>
      <c r="C147" s="36" t="str">
        <f ca="1" t="array" ref="C147">INDEX(Data_DBD!$C:$C,$A147)</f>
        <v>3 Hari</v>
      </c>
      <c r="D147" s="36">
        <f ca="1" t="array" ref="D147">INDEX(Data_DBD!$D:$D,$A147)</f>
        <v>21</v>
      </c>
      <c r="E147" s="36">
        <f ca="1" t="array" ref="E147">INDEX(Data_DBD!$E:$E,$A147)</f>
        <v>1</v>
      </c>
      <c r="F147" s="36" t="str">
        <f ca="1" t="array" ref="F147">INDEX(Data_DBD!$F:$F,$A147)</f>
        <v>Tinggi</v>
      </c>
      <c r="H147" s="36">
        <v>145</v>
      </c>
      <c r="I147" s="36">
        <v>28</v>
      </c>
      <c r="J147" s="36">
        <v>4</v>
      </c>
      <c r="K147" s="36">
        <v>21</v>
      </c>
      <c r="L147" s="36">
        <v>1</v>
      </c>
      <c r="M147" s="36" t="s">
        <v>105</v>
      </c>
    </row>
    <row r="148" spans="1:13">
      <c r="A148" s="36">
        <f ca="1" t="shared" si="2"/>
        <v>107</v>
      </c>
      <c r="B148" s="36">
        <f ca="1" t="array" ref="B148">INDEX(Data_DBD!$B:$B,$A148)</f>
        <v>48</v>
      </c>
      <c r="C148" s="36" t="str">
        <f ca="1" t="array" ref="C148">INDEX(Data_DBD!$C:$C,$A148)</f>
        <v>5 Hari</v>
      </c>
      <c r="D148" s="36">
        <f ca="1" t="array" ref="D148">INDEX(Data_DBD!$D:$D,$A148)</f>
        <v>18</v>
      </c>
      <c r="E148" s="36">
        <f ca="1" t="array" ref="E148">INDEX(Data_DBD!$E:$E,$A148)</f>
        <v>0</v>
      </c>
      <c r="F148" s="36" t="str">
        <f ca="1" t="array" ref="F148">INDEX(Data_DBD!$F:$F,$A148)</f>
        <v>Tinggi</v>
      </c>
      <c r="H148" s="36">
        <v>15</v>
      </c>
      <c r="I148" s="36">
        <v>21</v>
      </c>
      <c r="J148" s="36">
        <v>2</v>
      </c>
      <c r="K148" s="36">
        <v>7</v>
      </c>
      <c r="L148" s="36">
        <v>0</v>
      </c>
      <c r="M148" s="36" t="s">
        <v>26</v>
      </c>
    </row>
    <row r="149" spans="1:13">
      <c r="A149" s="36">
        <f ca="1" t="shared" si="2"/>
        <v>50</v>
      </c>
      <c r="B149" s="36">
        <f ca="1" t="array" ref="B149">INDEX(Data_DBD!$B:$B,$A149)</f>
        <v>19</v>
      </c>
      <c r="C149" s="36" t="str">
        <f ca="1" t="array" ref="C149">INDEX(Data_DBD!$C:$C,$A149)</f>
        <v>5 Hari</v>
      </c>
      <c r="D149" s="36">
        <f ca="1" t="array" ref="D149">INDEX(Data_DBD!$D:$D,$A149)</f>
        <v>13</v>
      </c>
      <c r="E149" s="36">
        <f ca="1" t="array" ref="E149">INDEX(Data_DBD!$E:$E,$A149)</f>
        <v>0</v>
      </c>
      <c r="F149" s="36" t="str">
        <f ca="1" t="array" ref="F149">INDEX(Data_DBD!$F:$F,$A149)</f>
        <v>Sedang</v>
      </c>
      <c r="H149" s="36">
        <v>96</v>
      </c>
      <c r="I149" s="36">
        <v>56</v>
      </c>
      <c r="J149" s="36">
        <v>4</v>
      </c>
      <c r="K149" s="36">
        <v>18</v>
      </c>
      <c r="L149" s="36">
        <v>0</v>
      </c>
      <c r="M149" s="36" t="s">
        <v>105</v>
      </c>
    </row>
    <row r="150" spans="1:13">
      <c r="A150" s="36">
        <f ca="1" t="shared" si="2"/>
        <v>107</v>
      </c>
      <c r="B150" s="36">
        <f ca="1" t="array" ref="B150">INDEX(Data_DBD!$B:$B,$A150)</f>
        <v>48</v>
      </c>
      <c r="C150" s="36" t="str">
        <f ca="1" t="array" ref="C150">INDEX(Data_DBD!$C:$C,$A150)</f>
        <v>5 Hari</v>
      </c>
      <c r="D150" s="36">
        <f ca="1" t="array" ref="D150">INDEX(Data_DBD!$D:$D,$A150)</f>
        <v>18</v>
      </c>
      <c r="E150" s="36">
        <f ca="1" t="array" ref="E150">INDEX(Data_DBD!$E:$E,$A150)</f>
        <v>0</v>
      </c>
      <c r="F150" s="36" t="str">
        <f ca="1" t="array" ref="F150">INDEX(Data_DBD!$F:$F,$A150)</f>
        <v>Tinggi</v>
      </c>
      <c r="H150" s="36">
        <v>100</v>
      </c>
      <c r="I150" s="36">
        <v>19</v>
      </c>
      <c r="J150" s="36">
        <v>6</v>
      </c>
      <c r="K150" s="36">
        <v>18</v>
      </c>
      <c r="L150" s="36">
        <v>0</v>
      </c>
      <c r="M150" s="36" t="s">
        <v>105</v>
      </c>
    </row>
    <row r="151" spans="1:13">
      <c r="A151" s="36">
        <f ca="1" t="shared" si="2"/>
        <v>104</v>
      </c>
      <c r="B151" s="36">
        <f ca="1" t="array" ref="B151">INDEX(Data_DBD!$B:$B,$A151)</f>
        <v>37</v>
      </c>
      <c r="C151" s="36" t="str">
        <f ca="1" t="array" ref="C151">INDEX(Data_DBD!$C:$C,$A151)</f>
        <v>4 Hari</v>
      </c>
      <c r="D151" s="36">
        <f ca="1" t="array" ref="D151">INDEX(Data_DBD!$D:$D,$A151)</f>
        <v>18</v>
      </c>
      <c r="E151" s="36">
        <f ca="1" t="array" ref="E151">INDEX(Data_DBD!$E:$E,$A151)</f>
        <v>1</v>
      </c>
      <c r="F151" s="36" t="str">
        <f ca="1" t="array" ref="F151">INDEX(Data_DBD!$F:$F,$A151)</f>
        <v>Tinggi</v>
      </c>
      <c r="H151" s="36">
        <v>119</v>
      </c>
      <c r="I151" s="36">
        <v>30</v>
      </c>
      <c r="J151" s="36">
        <v>7</v>
      </c>
      <c r="K151" s="36">
        <v>33</v>
      </c>
      <c r="L151" s="36">
        <v>0</v>
      </c>
      <c r="M151" s="36" t="s">
        <v>105</v>
      </c>
    </row>
    <row r="152" spans="1:13">
      <c r="A152" s="36">
        <f ca="1" t="shared" si="2"/>
        <v>6</v>
      </c>
      <c r="B152" s="36">
        <f ca="1" t="array" ref="B152">INDEX(Data_DBD!$B:$B,$A152)</f>
        <v>14</v>
      </c>
      <c r="C152" s="36" t="str">
        <f ca="1" t="array" ref="C152">INDEX(Data_DBD!$C:$C,$A152)</f>
        <v>4 Hari</v>
      </c>
      <c r="D152" s="36">
        <f ca="1" t="array" ref="D152">INDEX(Data_DBD!$D:$D,$A152)</f>
        <v>12</v>
      </c>
      <c r="E152" s="36">
        <f ca="1" t="array" ref="E152">INDEX(Data_DBD!$E:$E,$A152)</f>
        <v>0</v>
      </c>
      <c r="F152" s="36" t="str">
        <f ca="1" t="array" ref="F152">INDEX(Data_DBD!$F:$F,$A152)</f>
        <v>Sedang</v>
      </c>
      <c r="H152" s="36">
        <v>71</v>
      </c>
      <c r="I152" s="36">
        <v>84</v>
      </c>
      <c r="J152" s="36">
        <v>3</v>
      </c>
      <c r="K152" s="36">
        <v>10</v>
      </c>
      <c r="L152" s="36">
        <v>0</v>
      </c>
      <c r="M152" s="36" t="s">
        <v>8</v>
      </c>
    </row>
    <row r="153" ht="15.75" spans="1:22">
      <c r="A153" s="36">
        <f ca="1" t="shared" si="2"/>
        <v>56</v>
      </c>
      <c r="B153" s="36">
        <f ca="1" t="array" ref="B153">INDEX(Data_DBD!$B:$B,$A153)</f>
        <v>4</v>
      </c>
      <c r="C153" s="36" t="str">
        <f ca="1" t="array" ref="C153">INDEX(Data_DBD!$C:$C,$A153)</f>
        <v>3 Hari</v>
      </c>
      <c r="D153" s="36">
        <f ca="1" t="array" ref="D153">INDEX(Data_DBD!$D:$D,$A153)</f>
        <v>15</v>
      </c>
      <c r="E153" s="36">
        <f ca="1" t="array" ref="E153">INDEX(Data_DBD!$E:$E,$A153)</f>
        <v>0</v>
      </c>
      <c r="F153" s="36" t="str">
        <f ca="1" t="array" ref="F153">INDEX(Data_DBD!$F:$F,$A153)</f>
        <v>Sedang</v>
      </c>
      <c r="H153" s="36">
        <v>16</v>
      </c>
      <c r="I153" s="36">
        <v>66</v>
      </c>
      <c r="J153" s="36">
        <v>5</v>
      </c>
      <c r="K153" s="36">
        <v>7</v>
      </c>
      <c r="L153" s="36">
        <v>1</v>
      </c>
      <c r="M153" s="36" t="s">
        <v>26</v>
      </c>
      <c r="V153" s="42" t="s">
        <v>302</v>
      </c>
    </row>
    <row r="154" ht="15.75" spans="1:22">
      <c r="A154" s="36">
        <f ca="1" t="shared" si="2"/>
        <v>52</v>
      </c>
      <c r="B154" s="36">
        <f ca="1" t="array" ref="B154">INDEX(Data_DBD!$B:$B,$A154)</f>
        <v>59</v>
      </c>
      <c r="C154" s="36" t="str">
        <f ca="1" t="array" ref="C154">INDEX(Data_DBD!$C:$C,$A154)</f>
        <v>4 Hari</v>
      </c>
      <c r="D154" s="36">
        <f ca="1" t="array" ref="D154">INDEX(Data_DBD!$D:$D,$A154)</f>
        <v>15</v>
      </c>
      <c r="E154" s="36">
        <f ca="1" t="array" ref="E154">INDEX(Data_DBD!$E:$E,$A154)</f>
        <v>1</v>
      </c>
      <c r="F154" s="36" t="str">
        <f ca="1" t="array" ref="F154">INDEX(Data_DBD!$F:$F,$A154)</f>
        <v>Sedang</v>
      </c>
      <c r="H154" s="36">
        <v>129</v>
      </c>
      <c r="I154" s="36">
        <v>4</v>
      </c>
      <c r="J154" s="36">
        <v>3</v>
      </c>
      <c r="K154" s="36">
        <v>33</v>
      </c>
      <c r="L154" s="36">
        <v>0</v>
      </c>
      <c r="M154" s="36" t="s">
        <v>105</v>
      </c>
      <c r="V154" s="43" t="s">
        <v>187</v>
      </c>
    </row>
    <row r="155" ht="15.75" spans="1:22">
      <c r="A155" s="36">
        <f ca="1" t="shared" si="2"/>
        <v>145</v>
      </c>
      <c r="B155" s="36">
        <f ca="1" t="array" ref="B155">INDEX(Data_DBD!$B:$B,$A155)</f>
        <v>28</v>
      </c>
      <c r="C155" s="36" t="str">
        <f ca="1" t="array" ref="C155">INDEX(Data_DBD!$C:$C,$A155)</f>
        <v>4 Hari</v>
      </c>
      <c r="D155" s="36">
        <f ca="1" t="array" ref="D155">INDEX(Data_DBD!$D:$D,$A155)</f>
        <v>21</v>
      </c>
      <c r="E155" s="36">
        <f ca="1" t="array" ref="E155">INDEX(Data_DBD!$E:$E,$A155)</f>
        <v>1</v>
      </c>
      <c r="F155" s="36" t="str">
        <f ca="1" t="array" ref="F155">INDEX(Data_DBD!$F:$F,$A155)</f>
        <v>Tinggi</v>
      </c>
      <c r="H155" s="36">
        <v>127</v>
      </c>
      <c r="I155" s="36">
        <v>21</v>
      </c>
      <c r="J155" s="36">
        <v>2</v>
      </c>
      <c r="K155" s="36">
        <v>33</v>
      </c>
      <c r="L155" s="36">
        <v>0</v>
      </c>
      <c r="M155" s="36" t="s">
        <v>105</v>
      </c>
      <c r="V155" s="44" t="s">
        <v>303</v>
      </c>
    </row>
    <row r="156" ht="15.75" spans="1:22">
      <c r="A156" s="36">
        <f ca="1" t="shared" si="2"/>
        <v>147</v>
      </c>
      <c r="B156" s="36">
        <f ca="1" t="array" ref="B156">INDEX(Data_DBD!$B:$B,$A156)</f>
        <v>66</v>
      </c>
      <c r="C156" s="36" t="str">
        <f ca="1" t="array" ref="C156">INDEX(Data_DBD!$C:$C,$A156)</f>
        <v>10 Hari</v>
      </c>
      <c r="D156" s="36">
        <f ca="1" t="array" ref="D156">INDEX(Data_DBD!$D:$D,$A156)</f>
        <v>21</v>
      </c>
      <c r="E156" s="36">
        <f ca="1" t="array" ref="E156">INDEX(Data_DBD!$E:$E,$A156)</f>
        <v>1</v>
      </c>
      <c r="F156" s="36" t="str">
        <f ca="1" t="array" ref="F156">INDEX(Data_DBD!$F:$F,$A156)</f>
        <v>Tinggi</v>
      </c>
      <c r="H156" s="36">
        <v>157</v>
      </c>
      <c r="I156" s="36">
        <v>15</v>
      </c>
      <c r="J156" s="36">
        <v>4</v>
      </c>
      <c r="K156" s="36">
        <v>21</v>
      </c>
      <c r="L156" s="36">
        <v>1</v>
      </c>
      <c r="M156" s="36" t="s">
        <v>105</v>
      </c>
      <c r="V156" s="44" t="s">
        <v>250</v>
      </c>
    </row>
    <row r="157" ht="15.75" spans="1:22">
      <c r="A157" s="36">
        <f ca="1" t="shared" si="2"/>
        <v>92</v>
      </c>
      <c r="B157" s="36">
        <f ca="1" t="array" ref="B157">INDEX(Data_DBD!$B:$B,$A157)</f>
        <v>55</v>
      </c>
      <c r="C157" s="36" t="str">
        <f ca="1" t="array" ref="C157">INDEX(Data_DBD!$C:$C,$A157)</f>
        <v>7 Hari</v>
      </c>
      <c r="D157" s="36">
        <f ca="1" t="array" ref="D157">INDEX(Data_DBD!$D:$D,$A157)</f>
        <v>18</v>
      </c>
      <c r="E157" s="36">
        <f ca="1" t="array" ref="E157">INDEX(Data_DBD!$E:$E,$A157)</f>
        <v>0</v>
      </c>
      <c r="F157" s="36" t="str">
        <f ca="1" t="array" ref="F157">INDEX(Data_DBD!$F:$F,$A157)</f>
        <v>Tinggi</v>
      </c>
      <c r="H157" s="36">
        <v>152</v>
      </c>
      <c r="I157" s="36">
        <v>47</v>
      </c>
      <c r="J157" s="36">
        <v>3</v>
      </c>
      <c r="K157" s="36">
        <v>21</v>
      </c>
      <c r="L157" s="36">
        <v>1</v>
      </c>
      <c r="M157" s="36" t="s">
        <v>105</v>
      </c>
      <c r="V157" s="43" t="s">
        <v>190</v>
      </c>
    </row>
    <row r="158" ht="15.75" spans="1:22">
      <c r="A158" s="36">
        <f ca="1" t="shared" si="2"/>
        <v>22</v>
      </c>
      <c r="B158" s="36">
        <f ca="1" t="array" ref="B158">INDEX(Data_DBD!$B:$B,$A158)</f>
        <v>6</v>
      </c>
      <c r="C158" s="36" t="str">
        <f ca="1" t="array" ref="C158">INDEX(Data_DBD!$C:$C,$A158)</f>
        <v>3 Hari</v>
      </c>
      <c r="D158" s="36">
        <f ca="1" t="array" ref="D158">INDEX(Data_DBD!$D:$D,$A158)</f>
        <v>14</v>
      </c>
      <c r="E158" s="36">
        <f ca="1" t="array" ref="E158">INDEX(Data_DBD!$E:$E,$A158)</f>
        <v>0</v>
      </c>
      <c r="F158" s="36" t="str">
        <f ca="1" t="array" ref="F158">INDEX(Data_DBD!$F:$F,$A158)</f>
        <v>Sedang</v>
      </c>
      <c r="H158" s="36">
        <v>45</v>
      </c>
      <c r="I158" s="36">
        <v>75</v>
      </c>
      <c r="J158" s="36">
        <v>3</v>
      </c>
      <c r="K158" s="36">
        <v>13</v>
      </c>
      <c r="L158" s="36">
        <v>1</v>
      </c>
      <c r="M158" s="36" t="s">
        <v>8</v>
      </c>
      <c r="V158" s="44" t="s">
        <v>304</v>
      </c>
    </row>
    <row r="159" ht="15.75" spans="1:22">
      <c r="A159" s="36">
        <f ca="1" t="shared" si="2"/>
        <v>66</v>
      </c>
      <c r="B159" s="36">
        <f ca="1" t="array" ref="B159">INDEX(Data_DBD!$B:$B,$A159)</f>
        <v>21</v>
      </c>
      <c r="C159" s="36" t="str">
        <f ca="1" t="array" ref="C159">INDEX(Data_DBD!$C:$C,$A159)</f>
        <v>5 Hari</v>
      </c>
      <c r="D159" s="36">
        <f ca="1" t="array" ref="D159">INDEX(Data_DBD!$D:$D,$A159)</f>
        <v>15</v>
      </c>
      <c r="E159" s="36">
        <f ca="1" t="array" ref="E159">INDEX(Data_DBD!$E:$E,$A159)</f>
        <v>1</v>
      </c>
      <c r="F159" s="36" t="str">
        <f ca="1" t="array" ref="F159">INDEX(Data_DBD!$F:$F,$A159)</f>
        <v>Sedang</v>
      </c>
      <c r="H159" s="36">
        <v>164</v>
      </c>
      <c r="I159" s="36">
        <v>10</v>
      </c>
      <c r="J159" s="36">
        <v>6</v>
      </c>
      <c r="K159" s="36">
        <v>3</v>
      </c>
      <c r="L159" s="36">
        <v>0</v>
      </c>
      <c r="M159" s="36" t="s">
        <v>26</v>
      </c>
      <c r="V159" s="44" t="s">
        <v>252</v>
      </c>
    </row>
    <row r="160" ht="15.75" spans="1:22">
      <c r="A160" s="36">
        <f ca="1" t="shared" si="2"/>
        <v>85</v>
      </c>
      <c r="B160" s="36">
        <f ca="1" t="array" ref="B160">INDEX(Data_DBD!$B:$B,$A160)</f>
        <v>27</v>
      </c>
      <c r="C160" s="36" t="str">
        <f ca="1" t="array" ref="C160">INDEX(Data_DBD!$C:$C,$A160)</f>
        <v>9 Hari</v>
      </c>
      <c r="D160" s="36">
        <f ca="1" t="array" ref="D160">INDEX(Data_DBD!$D:$D,$A160)</f>
        <v>13</v>
      </c>
      <c r="E160" s="36">
        <f ca="1" t="array" ref="E160">INDEX(Data_DBD!$E:$E,$A160)</f>
        <v>0</v>
      </c>
      <c r="F160" s="36" t="str">
        <f ca="1" t="array" ref="F160">INDEX(Data_DBD!$F:$F,$A160)</f>
        <v>Sedang</v>
      </c>
      <c r="H160" s="36">
        <v>63</v>
      </c>
      <c r="I160" s="36">
        <v>25</v>
      </c>
      <c r="J160" s="36">
        <v>3</v>
      </c>
      <c r="K160" s="36">
        <v>15</v>
      </c>
      <c r="L160" s="36">
        <v>0</v>
      </c>
      <c r="M160" s="36" t="s">
        <v>8</v>
      </c>
      <c r="V160" s="43" t="s">
        <v>193</v>
      </c>
    </row>
    <row r="161" ht="15.75" spans="1:22">
      <c r="A161" s="36">
        <f ca="1" t="shared" si="2"/>
        <v>67</v>
      </c>
      <c r="B161" s="36">
        <f ca="1" t="array" ref="B161">INDEX(Data_DBD!$B:$B,$A161)</f>
        <v>21</v>
      </c>
      <c r="C161" s="36" t="str">
        <f ca="1" t="array" ref="C161">INDEX(Data_DBD!$C:$C,$A161)</f>
        <v>3 Hari</v>
      </c>
      <c r="D161" s="36">
        <f ca="1" t="array" ref="D161">INDEX(Data_DBD!$D:$D,$A161)</f>
        <v>10</v>
      </c>
      <c r="E161" s="36">
        <f ca="1" t="array" ref="E161">INDEX(Data_DBD!$E:$E,$A161)</f>
        <v>1</v>
      </c>
      <c r="F161" s="36" t="str">
        <f ca="1" t="array" ref="F161">INDEX(Data_DBD!$F:$F,$A161)</f>
        <v>Sedang</v>
      </c>
      <c r="H161" s="36">
        <v>156</v>
      </c>
      <c r="I161" s="36">
        <v>5</v>
      </c>
      <c r="J161" s="36">
        <v>2</v>
      </c>
      <c r="K161" s="36">
        <v>21</v>
      </c>
      <c r="L161" s="36">
        <v>0</v>
      </c>
      <c r="M161" s="36" t="s">
        <v>105</v>
      </c>
      <c r="V161" s="44" t="s">
        <v>305</v>
      </c>
    </row>
    <row r="162" spans="1:13">
      <c r="A162" s="36">
        <f ca="1" t="shared" si="2"/>
        <v>157</v>
      </c>
      <c r="B162" s="36">
        <f ca="1" t="array" ref="B162">INDEX(Data_DBD!$B:$B,$A162)</f>
        <v>15</v>
      </c>
      <c r="C162" s="36" t="str">
        <f ca="1" t="array" ref="C162">INDEX(Data_DBD!$C:$C,$A162)</f>
        <v>4 Hari</v>
      </c>
      <c r="D162" s="36">
        <f ca="1" t="array" ref="D162">INDEX(Data_DBD!$D:$D,$A162)</f>
        <v>21</v>
      </c>
      <c r="E162" s="36">
        <f ca="1" t="array" ref="E162">INDEX(Data_DBD!$E:$E,$A162)</f>
        <v>1</v>
      </c>
      <c r="F162" s="36" t="str">
        <f ca="1" t="array" ref="F162">INDEX(Data_DBD!$F:$F,$A162)</f>
        <v>Tinggi</v>
      </c>
      <c r="H162" s="36">
        <v>57</v>
      </c>
      <c r="I162" s="36">
        <v>2</v>
      </c>
      <c r="J162" s="36">
        <v>2</v>
      </c>
      <c r="K162" s="36">
        <v>15</v>
      </c>
      <c r="L162" s="36">
        <v>1</v>
      </c>
      <c r="M162" s="36" t="s">
        <v>8</v>
      </c>
    </row>
    <row r="163" spans="1:13">
      <c r="A163" s="36">
        <f ca="1" t="shared" si="2"/>
        <v>68</v>
      </c>
      <c r="B163" s="36">
        <f ca="1" t="array" ref="B163">INDEX(Data_DBD!$B:$B,$A163)</f>
        <v>44</v>
      </c>
      <c r="C163" s="36" t="str">
        <f ca="1" t="array" ref="C163">INDEX(Data_DBD!$C:$C,$A163)</f>
        <v>5 Hari</v>
      </c>
      <c r="D163" s="36">
        <f ca="1" t="array" ref="D163">INDEX(Data_DBD!$D:$D,$A163)</f>
        <v>10</v>
      </c>
      <c r="E163" s="36">
        <f ca="1" t="array" ref="E163">INDEX(Data_DBD!$E:$E,$A163)</f>
        <v>0</v>
      </c>
      <c r="F163" s="36" t="str">
        <f ca="1" t="array" ref="F163">INDEX(Data_DBD!$F:$F,$A163)</f>
        <v>Sedang</v>
      </c>
      <c r="H163" s="36">
        <v>62</v>
      </c>
      <c r="I163" s="36">
        <v>43</v>
      </c>
      <c r="J163" s="36">
        <v>4</v>
      </c>
      <c r="K163" s="36">
        <v>15</v>
      </c>
      <c r="L163" s="36">
        <v>1</v>
      </c>
      <c r="M163" s="36" t="s">
        <v>8</v>
      </c>
    </row>
    <row r="164" spans="1:13">
      <c r="A164" s="36">
        <f ca="1" t="shared" si="2"/>
        <v>29</v>
      </c>
      <c r="B164" s="36">
        <f ca="1" t="array" ref="B164">INDEX(Data_DBD!$B:$B,$A164)</f>
        <v>19</v>
      </c>
      <c r="C164" s="36" t="str">
        <f ca="1" t="array" ref="C164">INDEX(Data_DBD!$C:$C,$A164)</f>
        <v>2 Hari</v>
      </c>
      <c r="D164" s="36">
        <f ca="1" t="array" ref="D164">INDEX(Data_DBD!$D:$D,$A164)</f>
        <v>14</v>
      </c>
      <c r="E164" s="36">
        <f ca="1" t="array" ref="E164">INDEX(Data_DBD!$E:$E,$A164)</f>
        <v>1</v>
      </c>
      <c r="F164" s="36" t="str">
        <f ca="1" t="array" ref="F164">INDEX(Data_DBD!$F:$F,$A164)</f>
        <v>Sedang</v>
      </c>
      <c r="H164" s="36">
        <v>89</v>
      </c>
      <c r="I164" s="36">
        <v>32</v>
      </c>
      <c r="J164" s="36">
        <v>4</v>
      </c>
      <c r="K164" s="36">
        <v>13</v>
      </c>
      <c r="L164" s="36">
        <v>0</v>
      </c>
      <c r="M164" s="36" t="s">
        <v>8</v>
      </c>
    </row>
    <row r="165" spans="9:12">
      <c r="I165">
        <f>AVERAGE(I2:I164)</f>
        <v>30.5460122699387</v>
      </c>
      <c r="J165">
        <f>AVERAGE(J2:J164)</f>
        <v>3.41104294478528</v>
      </c>
      <c r="K165">
        <f>AVERAGE(K2:K164)</f>
        <v>17.6564417177914</v>
      </c>
      <c r="L165">
        <f>AVERAGE(L2:L164)</f>
        <v>0.484662576687117</v>
      </c>
    </row>
    <row r="166" spans="2:2">
      <c r="B166">
        <v>43</v>
      </c>
    </row>
    <row r="168" spans="5:20">
      <c r="E168" s="40" t="s">
        <v>207</v>
      </c>
      <c r="J168" s="40" t="s">
        <v>208</v>
      </c>
      <c r="O168" s="40" t="s">
        <v>209</v>
      </c>
      <c r="T168" s="40" t="s">
        <v>210</v>
      </c>
    </row>
    <row r="169" spans="5:22">
      <c r="E169" s="36" t="s">
        <v>1</v>
      </c>
      <c r="F169" s="36">
        <f>AVERAGEIF($I$2:$I$164,"&lt;="&amp;$I$165)</f>
        <v>14.7872340425532</v>
      </c>
      <c r="G169" s="36">
        <f>AVERAGEIF($I$2:$I$164,"&gt;"&amp;$I$165)</f>
        <v>52.0144927536232</v>
      </c>
      <c r="J169" s="36" t="s">
        <v>211</v>
      </c>
      <c r="K169" s="36">
        <f>AVERAGEIF($J$2:$J$164,"&lt;="&amp;$J$165)</f>
        <v>2.50537634408602</v>
      </c>
      <c r="L169" s="36">
        <f>AVERAGEIF($J$2:$J$164,"&gt;"&amp;$J$165)</f>
        <v>4.61428571428571</v>
      </c>
      <c r="O169" s="36" t="s">
        <v>212</v>
      </c>
      <c r="P169" s="36">
        <f>AVERAGEIF($K$2:$K$164,"&lt;="&amp;$K$165)</f>
        <v>11.7777777777778</v>
      </c>
      <c r="Q169" s="36">
        <f>AVERAGEIF($K$2:$K$164,"&gt;"&amp;$K$165)</f>
        <v>24.9041095890411</v>
      </c>
      <c r="T169" s="36" t="s">
        <v>213</v>
      </c>
      <c r="U169" s="36">
        <f>AVERAGEIF($L$2:$L$164,"&lt;="&amp;$L$165)</f>
        <v>0</v>
      </c>
      <c r="V169" s="36">
        <f>AVERAGEIF($L$2:$L$164,"&gt;"&amp;$L$165)</f>
        <v>1</v>
      </c>
    </row>
    <row r="170" spans="5:22">
      <c r="E170" s="36" t="str">
        <f t="array" ref="E170:E332">IF($I$2:$I$164&lt;$F$169,"kiri",IF($I$2:$I$164&lt;$G$169,"tengah","kanan"))</f>
        <v>tengah</v>
      </c>
      <c r="F170" s="36" t="s">
        <v>306</v>
      </c>
      <c r="G170" s="36"/>
      <c r="J170" s="36" t="str">
        <f t="array" ref="J170:J332">IF($J$2:$J$164&lt;$K$169,"kiri",IF($J$2:$J$164&lt;$L$169,"tengah","kanan"))</f>
        <v>kiri</v>
      </c>
      <c r="K170" s="36" t="s">
        <v>307</v>
      </c>
      <c r="L170" s="36"/>
      <c r="O170" s="36" t="str">
        <f t="array" ref="O170:O332">IF($K$2:$K$164&lt;$P$169,"kiri",IF($K$2:$K$164&lt;$Q$169,"tengah","kanan"))</f>
        <v>tengah</v>
      </c>
      <c r="P170" s="36" t="s">
        <v>308</v>
      </c>
      <c r="Q170" s="36"/>
      <c r="T170" s="36" t="str">
        <f t="array" ref="T170:T332">IF($L$2:$L$164&lt;$U$169,"kiri",IF($L$2:$L$164&lt;$V$169,"tengah","kanan"))</f>
        <v>kanan</v>
      </c>
      <c r="U170" s="36" t="s">
        <v>217</v>
      </c>
      <c r="V170" s="36"/>
    </row>
    <row r="171" spans="5:22">
      <c r="E171" s="36" t="str">
        <v>tengah</v>
      </c>
      <c r="F171" s="36">
        <f>COUNTIFS($E$170:$E$332,"Kanan",$M$2:$M$164,"Tinggi")</f>
        <v>11</v>
      </c>
      <c r="G171" s="36">
        <f>F171/29</f>
        <v>0.379310344827586</v>
      </c>
      <c r="J171" s="36" t="str">
        <v>tengah</v>
      </c>
      <c r="K171" s="36">
        <f>COUNTIFS($J$170:$J$332,"Kanan",$M$2:$M$164,"Tinggi")</f>
        <v>11</v>
      </c>
      <c r="L171" s="36">
        <f>K171/26</f>
        <v>0.423076923076923</v>
      </c>
      <c r="O171" s="36" t="str">
        <v>kanan</v>
      </c>
      <c r="P171" s="36">
        <f>COUNTIFS($O$170:$O$332,"Kanan",$M$2:$M$164,"Tinggi")</f>
        <v>29</v>
      </c>
      <c r="Q171" s="36">
        <f>P171/29</f>
        <v>1</v>
      </c>
      <c r="T171" s="36" t="str">
        <v>kanan</v>
      </c>
      <c r="U171" s="36">
        <f>COUNTIFS($T$170:$T$332,"Kanan",$M$2:$M$164,"Tinggi")</f>
        <v>38</v>
      </c>
      <c r="V171" s="36">
        <f>U171/79</f>
        <v>0.481012658227848</v>
      </c>
    </row>
    <row r="172" spans="5:22">
      <c r="E172" s="36" t="str">
        <v>tengah</v>
      </c>
      <c r="F172" s="36">
        <f>COUNTIFS($E$170:$E$332,"Kanan",$M$2:$M$164,"Sedang")</f>
        <v>14</v>
      </c>
      <c r="G172" s="36">
        <f>F172/29</f>
        <v>0.482758620689655</v>
      </c>
      <c r="J172" s="36" t="str">
        <v>tengah</v>
      </c>
      <c r="K172" s="36">
        <f>COUNTIFS($J$170:$J$332,"Kanan",$M$2:$M$164,"Sedang")</f>
        <v>8</v>
      </c>
      <c r="L172" s="36">
        <f>K172/26</f>
        <v>0.307692307692308</v>
      </c>
      <c r="O172" s="36" t="str">
        <v>kiri</v>
      </c>
      <c r="P172" s="36">
        <f>COUNTIFS($O$170:$O$332,"Kanan",$M$2:$M$164,"Sedang")</f>
        <v>0</v>
      </c>
      <c r="Q172" s="36">
        <f>P172/29</f>
        <v>0</v>
      </c>
      <c r="T172" s="36" t="str">
        <v>kanan</v>
      </c>
      <c r="U172" s="36">
        <f>COUNTIFS($T$170:$T$332,"Kanan",$M$2:$M$164,"Sedang")</f>
        <v>29</v>
      </c>
      <c r="V172" s="36">
        <f>U172/79</f>
        <v>0.367088607594937</v>
      </c>
    </row>
    <row r="173" spans="5:22">
      <c r="E173" s="36" t="str">
        <v>tengah</v>
      </c>
      <c r="F173" s="36">
        <f>COUNTIFS($E$170:$E$332,"Kanan",$M$2:$M$164,"Rendah")</f>
        <v>4</v>
      </c>
      <c r="G173" s="36">
        <f>F173/29</f>
        <v>0.137931034482759</v>
      </c>
      <c r="J173" s="36" t="str">
        <v>tengah</v>
      </c>
      <c r="K173" s="36">
        <f>COUNTIFS($J$170:$J$332,"Kanan",$M$2:$M$164,"Rendah")</f>
        <v>7</v>
      </c>
      <c r="L173" s="36">
        <f>K173/26</f>
        <v>0.269230769230769</v>
      </c>
      <c r="O173" s="36" t="str">
        <v>kanan</v>
      </c>
      <c r="P173" s="36">
        <f>COUNTIFS($O$170:$O$332,"Kanan",$M$2:$M$164,"Rendah")</f>
        <v>0</v>
      </c>
      <c r="Q173" s="36">
        <f>P173/29</f>
        <v>0</v>
      </c>
      <c r="T173" s="36" t="str">
        <v>kanan</v>
      </c>
      <c r="U173" s="36">
        <f>COUNTIFS($T$170:$T$332,"Kanan",$M$2:$M$164,"Rendah")</f>
        <v>12</v>
      </c>
      <c r="V173" s="36">
        <f>U173/79</f>
        <v>0.151898734177215</v>
      </c>
    </row>
    <row r="174" spans="5:22">
      <c r="E174" s="36" t="str">
        <v>tengah</v>
      </c>
      <c r="F174" s="36" t="s">
        <v>218</v>
      </c>
      <c r="G174" s="36">
        <f>-(IFERROR(G171*LOG(G171,2),0)+IFERROR(G172*LOG(G172,2),0)+IFERROR(G173*LOG(G173,2),0))</f>
        <v>1.43188731534079</v>
      </c>
      <c r="J174" s="36" t="str">
        <v>tengah</v>
      </c>
      <c r="K174" s="36" t="s">
        <v>218</v>
      </c>
      <c r="L174" s="36">
        <f>-(IFERROR(L171*LOG(L171,2),0)+IFERROR(L172*LOG(L172,2),0)+IFERROR(L173*LOG(L173,2),0))</f>
        <v>1.55793078508673</v>
      </c>
      <c r="O174" s="36" t="str">
        <v>kanan</v>
      </c>
      <c r="P174" s="36" t="s">
        <v>218</v>
      </c>
      <c r="Q174" s="36">
        <f>-(IFERROR(Q171*LOG(Q171,2),0)+IFERROR(Q172*LOG(Q172,2),0)+IFERROR(Q173*LOG(Q173,2),0))</f>
        <v>0</v>
      </c>
      <c r="T174" s="36" t="str">
        <v>kanan</v>
      </c>
      <c r="U174" s="36" t="s">
        <v>218</v>
      </c>
      <c r="V174" s="36">
        <f>-(IFERROR(V171*LOG(V171,2),0)+IFERROR(V172*LOG(V172,2),0)+IFERROR(V173*LOG(V173,2),0))</f>
        <v>1.45160043959217</v>
      </c>
    </row>
    <row r="175" spans="5:22">
      <c r="E175" s="36" t="str">
        <v>kiri</v>
      </c>
      <c r="F175" s="36"/>
      <c r="G175" s="36">
        <f>SUM(F171:F173)/163</f>
        <v>0.177914110429448</v>
      </c>
      <c r="J175" s="36" t="str">
        <v>kiri</v>
      </c>
      <c r="K175" s="36"/>
      <c r="L175" s="36">
        <f>SUM(K171:K173)/163</f>
        <v>0.159509202453988</v>
      </c>
      <c r="O175" s="36" t="str">
        <v>tengah</v>
      </c>
      <c r="P175" s="36"/>
      <c r="Q175" s="36">
        <f>SUM(P171:P173)/163</f>
        <v>0.177914110429448</v>
      </c>
      <c r="T175" s="36" t="str">
        <v>tengah</v>
      </c>
      <c r="U175" s="36"/>
      <c r="V175" s="36">
        <f>SUM(U171:U173)/163</f>
        <v>0.484662576687117</v>
      </c>
    </row>
    <row r="176" spans="5:22">
      <c r="E176" s="36" t="str">
        <v>tengah</v>
      </c>
      <c r="F176" s="36"/>
      <c r="G176" s="41">
        <f>G174*G175</f>
        <v>0.254752957944067</v>
      </c>
      <c r="J176" s="36" t="str">
        <v>tengah</v>
      </c>
      <c r="K176" s="36"/>
      <c r="L176" s="41">
        <f>L174*L175</f>
        <v>0.248504297007699</v>
      </c>
      <c r="O176" s="36" t="str">
        <v>tengah</v>
      </c>
      <c r="P176" s="36"/>
      <c r="Q176" s="41">
        <f>Q174*Q175</f>
        <v>0</v>
      </c>
      <c r="T176" s="36" t="str">
        <v>tengah</v>
      </c>
      <c r="U176" s="36"/>
      <c r="V176" s="41">
        <f>V174*V175</f>
        <v>0.703536409372892</v>
      </c>
    </row>
    <row r="177" spans="5:22">
      <c r="E177" s="36" t="str">
        <v>tengah</v>
      </c>
      <c r="F177" s="36"/>
      <c r="G177" s="36"/>
      <c r="J177" s="36" t="str">
        <v>tengah</v>
      </c>
      <c r="K177" s="36"/>
      <c r="L177" s="36"/>
      <c r="O177" s="36" t="str">
        <v>tengah</v>
      </c>
      <c r="P177" s="36"/>
      <c r="Q177" s="36"/>
      <c r="T177" s="36" t="str">
        <v>kanan</v>
      </c>
      <c r="U177" s="36"/>
      <c r="V177" s="36"/>
    </row>
    <row r="178" spans="5:22">
      <c r="E178" s="36" t="str">
        <v>tengah</v>
      </c>
      <c r="F178" s="36"/>
      <c r="G178" s="36"/>
      <c r="J178" s="36" t="str">
        <v>tengah</v>
      </c>
      <c r="K178" s="36"/>
      <c r="L178" s="36"/>
      <c r="O178" s="36" t="str">
        <v>tengah</v>
      </c>
      <c r="P178" s="36"/>
      <c r="Q178" s="36"/>
      <c r="T178" s="36" t="str">
        <v>tengah</v>
      </c>
      <c r="U178" s="36"/>
      <c r="V178" s="36"/>
    </row>
    <row r="179" spans="5:22">
      <c r="E179" s="36" t="str">
        <v>tengah</v>
      </c>
      <c r="F179" s="36" t="s">
        <v>309</v>
      </c>
      <c r="G179" s="36"/>
      <c r="J179" s="36" t="str">
        <v>kiri</v>
      </c>
      <c r="K179" s="36" t="s">
        <v>310</v>
      </c>
      <c r="L179" s="36"/>
      <c r="O179" s="36" t="str">
        <v>kanan</v>
      </c>
      <c r="P179" s="36" t="s">
        <v>311</v>
      </c>
      <c r="Q179" s="36"/>
      <c r="T179" s="36" t="str">
        <v>tengah</v>
      </c>
      <c r="U179" s="36" t="s">
        <v>222</v>
      </c>
      <c r="V179" s="36"/>
    </row>
    <row r="180" spans="5:22">
      <c r="E180" s="36" t="str">
        <v>kanan</v>
      </c>
      <c r="F180" s="36">
        <f>COUNTIFS($E$170:$E$332,"Kiri",$M$2:$M$164,"Tinggi")</f>
        <v>14</v>
      </c>
      <c r="G180" s="36">
        <f>F180/36</f>
        <v>0.388888888888889</v>
      </c>
      <c r="J180" s="36" t="str">
        <v>tengah</v>
      </c>
      <c r="K180" s="36">
        <f>COUNTIFS($J$170:$J$332,"Kiri",$M$2:$M$164,"Tinggi")</f>
        <v>20</v>
      </c>
      <c r="L180" s="36">
        <f>K180/41</f>
        <v>0.48780487804878</v>
      </c>
      <c r="O180" s="36" t="str">
        <v>tengah</v>
      </c>
      <c r="P180" s="36">
        <f>COUNTIFS($O$170:$O$332,"Kiri",$M$2:$M$164,"Tinggi")</f>
        <v>0</v>
      </c>
      <c r="Q180" s="36">
        <f>P180/24</f>
        <v>0</v>
      </c>
      <c r="T180" s="36" t="str">
        <v>kanan</v>
      </c>
      <c r="U180" s="36">
        <f>COUNTIFS($T$170:$T$332,"Kiri",$M$2:$M$164,"Tinggi")</f>
        <v>0</v>
      </c>
      <c r="V180" s="36">
        <f>U180/79</f>
        <v>0</v>
      </c>
    </row>
    <row r="181" spans="5:22">
      <c r="E181" s="36" t="str">
        <v>kanan</v>
      </c>
      <c r="F181" s="36">
        <f>COUNTIFS($E$170:$E$332,"Kiri",$M$2:$M$164,"Sedang")</f>
        <v>20</v>
      </c>
      <c r="G181" s="36">
        <f>F181/36</f>
        <v>0.555555555555556</v>
      </c>
      <c r="J181" s="36" t="str">
        <v>tengah</v>
      </c>
      <c r="K181" s="36">
        <f>COUNTIFS($J$170:$J$332,"Kiri",$M$2:$M$164,"Sedang")</f>
        <v>18</v>
      </c>
      <c r="L181" s="36">
        <f>K181/41</f>
        <v>0.439024390243902</v>
      </c>
      <c r="O181" s="36" t="str">
        <v>tengah</v>
      </c>
      <c r="P181" s="36">
        <f>COUNTIFS($O$170:$O$332,"Kiri",$M$2:$M$164,"Sedang")</f>
        <v>6</v>
      </c>
      <c r="Q181" s="36">
        <f>P181/24</f>
        <v>0.25</v>
      </c>
      <c r="T181" s="36" t="str">
        <v>kanan</v>
      </c>
      <c r="U181" s="36">
        <f>COUNTIFS($T$170:$T$332,"Kiri",$M$2:$M$164,"Sedang")</f>
        <v>0</v>
      </c>
      <c r="V181" s="36">
        <f>U181/79</f>
        <v>0</v>
      </c>
    </row>
    <row r="182" spans="5:22">
      <c r="E182" s="36" t="str">
        <v>kiri</v>
      </c>
      <c r="F182" s="36">
        <f>COUNTIFS($E$170:$E$332,"Kiri",$M$2:$M$164,"Rendah")</f>
        <v>2</v>
      </c>
      <c r="G182" s="36">
        <f>F182/36</f>
        <v>0.0555555555555556</v>
      </c>
      <c r="J182" s="36" t="str">
        <v>kiri</v>
      </c>
      <c r="K182" s="36">
        <f>COUNTIFS($J$170:$J$332,"Kiri",$M$2:$M$164,"Rendah")</f>
        <v>3</v>
      </c>
      <c r="L182" s="36">
        <f>K182/41</f>
        <v>0.0731707317073171</v>
      </c>
      <c r="O182" s="36" t="str">
        <v>tengah</v>
      </c>
      <c r="P182" s="36">
        <f>COUNTIFS($O$170:$O$332,"Kiri",$M$2:$M$164,"Rendah")</f>
        <v>18</v>
      </c>
      <c r="Q182" s="36">
        <f>P182/24</f>
        <v>0.75</v>
      </c>
      <c r="T182" s="36" t="str">
        <v>tengah</v>
      </c>
      <c r="U182" s="36">
        <f>COUNTIFS($T$170:$T$332,"Kiri",$M$2:$M$164,"Rendah")</f>
        <v>0</v>
      </c>
      <c r="V182" s="36">
        <f>U182/79</f>
        <v>0</v>
      </c>
    </row>
    <row r="183" spans="5:22">
      <c r="E183" s="36" t="str">
        <v>tengah</v>
      </c>
      <c r="F183" s="36" t="s">
        <v>218</v>
      </c>
      <c r="G183" s="36">
        <f>-(IFERROR(G180*LOG(G180,2),0)+IFERROR(G181*LOG(G181,2),0)+IFERROR(G182*LOG(G182,2),0))</f>
        <v>1.23266025681582</v>
      </c>
      <c r="J183" s="36" t="str">
        <v>tengah</v>
      </c>
      <c r="K183" s="36" t="s">
        <v>218</v>
      </c>
      <c r="L183" s="36">
        <f>-(IFERROR(L180*LOG(L180,2),0)+IFERROR(L181*LOG(L181,2),0)+IFERROR(L182*LOG(L182,2),0))</f>
        <v>1.30262275032851</v>
      </c>
      <c r="O183" s="36" t="str">
        <v>tengah</v>
      </c>
      <c r="P183" s="36" t="s">
        <v>218</v>
      </c>
      <c r="Q183" s="36">
        <f>-(IFERROR(Q180*LOG(Q180,2),0)+IFERROR(Q181*LOG(Q181,2),0)+IFERROR(Q182*LOG(Q182,2),0))</f>
        <v>0.811278124459133</v>
      </c>
      <c r="T183" s="36" t="str">
        <v>tengah</v>
      </c>
      <c r="U183" s="36" t="s">
        <v>218</v>
      </c>
      <c r="V183" s="36">
        <f>-(IFERROR(V180*LOG(V180,2),0)+IFERROR(V181*LOG(V181,2),0)+IFERROR(V182*LOG(V182,2),0))</f>
        <v>0</v>
      </c>
    </row>
    <row r="184" spans="5:22">
      <c r="E184" s="36" t="str">
        <v>tengah</v>
      </c>
      <c r="F184" s="36"/>
      <c r="G184" s="36">
        <f>SUM(F180:F182)/163</f>
        <v>0.220858895705521</v>
      </c>
      <c r="J184" s="36" t="str">
        <v>tengah</v>
      </c>
      <c r="K184" s="36"/>
      <c r="L184" s="36">
        <f>SUM(K180:K182)/163</f>
        <v>0.251533742331288</v>
      </c>
      <c r="O184" s="36" t="str">
        <v>tengah</v>
      </c>
      <c r="P184" s="36"/>
      <c r="Q184" s="36">
        <f>SUM(P180:P182)/163</f>
        <v>0.147239263803681</v>
      </c>
      <c r="T184" s="36" t="str">
        <v>kanan</v>
      </c>
      <c r="U184" s="36"/>
      <c r="V184" s="36">
        <f>SUM(U180:U182)/163</f>
        <v>0</v>
      </c>
    </row>
    <row r="185" spans="5:22">
      <c r="E185" s="36" t="str">
        <v>tengah</v>
      </c>
      <c r="F185" s="36"/>
      <c r="G185" s="41">
        <f>G183*G184</f>
        <v>0.272243983100427</v>
      </c>
      <c r="J185" s="36" t="str">
        <v>tengah</v>
      </c>
      <c r="K185" s="36"/>
      <c r="L185" s="41">
        <f>L183*L184</f>
        <v>0.327653575236007</v>
      </c>
      <c r="O185" s="36" t="str">
        <v>kanan</v>
      </c>
      <c r="P185" s="36"/>
      <c r="Q185" s="41">
        <f>Q183*Q184</f>
        <v>0.119451993785394</v>
      </c>
      <c r="T185" s="36" t="str">
        <v>tengah</v>
      </c>
      <c r="U185" s="36"/>
      <c r="V185" s="41">
        <f>V183*V184</f>
        <v>0</v>
      </c>
    </row>
    <row r="186" spans="5:22">
      <c r="E186" s="36" t="str">
        <v>kanan</v>
      </c>
      <c r="F186" s="36"/>
      <c r="G186" s="36"/>
      <c r="J186" s="36" t="str">
        <v>kiri</v>
      </c>
      <c r="K186" s="36"/>
      <c r="L186" s="36"/>
      <c r="O186" s="36" t="str">
        <v>kiri</v>
      </c>
      <c r="P186" s="36"/>
      <c r="Q186" s="36"/>
      <c r="T186" s="36" t="str">
        <v>tengah</v>
      </c>
      <c r="U186" s="36"/>
      <c r="V186" s="36"/>
    </row>
    <row r="187" spans="5:22">
      <c r="E187" s="36" t="str">
        <v>tengah</v>
      </c>
      <c r="F187" s="36"/>
      <c r="G187" s="36"/>
      <c r="J187" s="36" t="str">
        <v>tengah</v>
      </c>
      <c r="K187" s="36"/>
      <c r="L187" s="36"/>
      <c r="O187" s="36" t="str">
        <v>tengah</v>
      </c>
      <c r="P187" s="36"/>
      <c r="Q187" s="36"/>
      <c r="T187" s="36" t="str">
        <v>tengah</v>
      </c>
      <c r="U187" s="36"/>
      <c r="V187" s="36"/>
    </row>
    <row r="188" spans="5:22">
      <c r="E188" s="36" t="str">
        <v>kanan</v>
      </c>
      <c r="F188" s="36" t="s">
        <v>223</v>
      </c>
      <c r="G188" s="36"/>
      <c r="J188" s="36" t="str">
        <v>tengah</v>
      </c>
      <c r="K188" s="36" t="s">
        <v>223</v>
      </c>
      <c r="L188" s="36"/>
      <c r="O188" s="36" t="str">
        <v>tengah</v>
      </c>
      <c r="P188" s="36" t="s">
        <v>223</v>
      </c>
      <c r="Q188" s="36"/>
      <c r="T188" s="36" t="str">
        <v>kanan</v>
      </c>
      <c r="U188" s="36" t="s">
        <v>223</v>
      </c>
      <c r="V188" s="36"/>
    </row>
    <row r="189" spans="5:22">
      <c r="E189" s="36" t="str">
        <v>tengah</v>
      </c>
      <c r="F189" s="36">
        <f>COUNTIFS($E$170:$E$332,"Tengah",$M$2:$M$164,"Tinggi")</f>
        <v>48</v>
      </c>
      <c r="G189" s="36">
        <f>F189/98</f>
        <v>0.489795918367347</v>
      </c>
      <c r="J189" s="36" t="str">
        <v>tengah</v>
      </c>
      <c r="K189" s="36">
        <f>COUNTIFS($J$170:$J$332,"Tengah",$M$2:$M$164,"Tinggi")</f>
        <v>42</v>
      </c>
      <c r="L189" s="36">
        <f>K189/96</f>
        <v>0.4375</v>
      </c>
      <c r="O189" s="36" t="str">
        <v>tengah</v>
      </c>
      <c r="P189" s="36">
        <f>COUNTIFS($O$170:$O$332,"Tengah",$M$2:$M$164,"Tinggi")</f>
        <v>44</v>
      </c>
      <c r="Q189" s="36">
        <f>P189/110</f>
        <v>0.4</v>
      </c>
      <c r="T189" s="36" t="str">
        <v>tengah</v>
      </c>
      <c r="U189" s="36">
        <f>COUNTIFS($T$170:$T$332,"Tengah",$M$2:$M$164,"Tinggi")</f>
        <v>35</v>
      </c>
      <c r="V189" s="36">
        <f>U189/84</f>
        <v>0.416666666666667</v>
      </c>
    </row>
    <row r="190" spans="5:22">
      <c r="E190" s="36" t="str">
        <v>tengah</v>
      </c>
      <c r="F190" s="36">
        <f>COUNTIFS($E$170:$E$332,"Tengah",$M$2:$M$164,"Sedang")</f>
        <v>38</v>
      </c>
      <c r="G190" s="36">
        <f>F190/98</f>
        <v>0.387755102040816</v>
      </c>
      <c r="J190" s="36" t="str">
        <v>tengah</v>
      </c>
      <c r="K190" s="36">
        <f>COUNTIFS($J$170:$J$332,"Tengah",$M$2:$M$164,"Sedang")</f>
        <v>46</v>
      </c>
      <c r="L190" s="36">
        <f>K190/96</f>
        <v>0.479166666666667</v>
      </c>
      <c r="O190" s="36" t="str">
        <v>tengah</v>
      </c>
      <c r="P190" s="36">
        <f>COUNTIFS($O$170:$O$332,"Tengah",$M$2:$M$164,"Sedang")</f>
        <v>66</v>
      </c>
      <c r="Q190" s="36">
        <f>P190/110</f>
        <v>0.6</v>
      </c>
      <c r="T190" s="36" t="str">
        <v>kanan</v>
      </c>
      <c r="U190" s="36">
        <f>COUNTIFS($T$170:$T$332,"Tengah",$M$2:$M$164,"Sedang")</f>
        <v>43</v>
      </c>
      <c r="V190" s="36">
        <f>U190/84</f>
        <v>0.511904761904762</v>
      </c>
    </row>
    <row r="191" spans="5:22">
      <c r="E191" s="36" t="str">
        <v>tengah</v>
      </c>
      <c r="F191" s="36">
        <f>COUNTIFS($E$170:$E$332,"Tengah",$M$2:$M$164,"Rendah")</f>
        <v>12</v>
      </c>
      <c r="G191" s="36">
        <f>F191/98</f>
        <v>0.122448979591837</v>
      </c>
      <c r="J191" s="36" t="str">
        <v>tengah</v>
      </c>
      <c r="K191" s="36">
        <f>COUNTIFS($J$170:$J$332,"Tengah",$M$2:$M$164,"Rendah")</f>
        <v>8</v>
      </c>
      <c r="L191" s="36">
        <f>K191/96</f>
        <v>0.0833333333333333</v>
      </c>
      <c r="O191" s="36" t="str">
        <v>tengah</v>
      </c>
      <c r="P191" s="36">
        <f>COUNTIFS($O$170:$O$332,"Tengah",$M$2:$M$164,"Rendah")</f>
        <v>0</v>
      </c>
      <c r="Q191" s="36">
        <f>P191/110</f>
        <v>0</v>
      </c>
      <c r="T191" s="36" t="str">
        <v>tengah</v>
      </c>
      <c r="U191" s="36">
        <f>COUNTIFS($T$170:$T$332,"Tengah",$M$2:$M$164,"Rendah")</f>
        <v>6</v>
      </c>
      <c r="V191" s="36">
        <f>U191/84</f>
        <v>0.0714285714285714</v>
      </c>
    </row>
    <row r="192" spans="5:22">
      <c r="E192" s="36" t="str">
        <v>tengah</v>
      </c>
      <c r="F192" s="36" t="s">
        <v>218</v>
      </c>
      <c r="G192" s="36">
        <f>-(IFERROR(G189*LOG(G189,2),0)+IFERROR(G190*LOG(G190,2),0)+IFERROR(G191*LOG(G191,2),0))</f>
        <v>1.40533233846087</v>
      </c>
      <c r="J192" s="36" t="str">
        <v>tengah</v>
      </c>
      <c r="K192" s="36" t="s">
        <v>218</v>
      </c>
      <c r="L192" s="36">
        <f>-(IFERROR(L189*LOG(L189,2),0)+IFERROR(L190*LOG(L190,2),0)+IFERROR(L191*LOG(L191,2),0))</f>
        <v>1.3291168576448</v>
      </c>
      <c r="O192" s="36" t="str">
        <v>tengah</v>
      </c>
      <c r="P192" s="36" t="s">
        <v>218</v>
      </c>
      <c r="Q192" s="36">
        <f>-(IFERROR(Q189*LOG(Q189,2),0)+IFERROR(Q190*LOG(Q190,2),0)+IFERROR(Q191*LOG(Q191,2),0))</f>
        <v>0.970950594454669</v>
      </c>
      <c r="T192" s="36" t="str">
        <v>tengah</v>
      </c>
      <c r="U192" s="36" t="s">
        <v>218</v>
      </c>
      <c r="V192" s="36">
        <f>-(IFERROR(V189*LOG(V189,2),0)+IFERROR(V190*LOG(V190,2),0)+IFERROR(V191*LOG(V191,2),0))</f>
        <v>1.29274521980744</v>
      </c>
    </row>
    <row r="193" spans="5:22">
      <c r="E193" s="36" t="str">
        <v>tengah</v>
      </c>
      <c r="F193" s="36"/>
      <c r="G193" s="36">
        <f>SUM(F189:F191)/163</f>
        <v>0.601226993865031</v>
      </c>
      <c r="J193" s="36" t="str">
        <v>tengah</v>
      </c>
      <c r="K193" s="36"/>
      <c r="L193" s="36">
        <f>SUM(K189:K191)/163</f>
        <v>0.588957055214724</v>
      </c>
      <c r="O193" s="36" t="str">
        <v>tengah</v>
      </c>
      <c r="P193" s="36"/>
      <c r="Q193" s="36">
        <f>SUM(P189:P191)/163</f>
        <v>0.674846625766871</v>
      </c>
      <c r="T193" s="36" t="str">
        <v>tengah</v>
      </c>
      <c r="U193" s="36"/>
      <c r="V193" s="36">
        <f>SUM(U189:U191)/163</f>
        <v>0.515337423312883</v>
      </c>
    </row>
    <row r="194" spans="5:22">
      <c r="E194" s="36" t="str">
        <v>kanan</v>
      </c>
      <c r="F194" s="36"/>
      <c r="G194" s="41">
        <f>G192*G193</f>
        <v>0.84492373723414</v>
      </c>
      <c r="J194" s="36" t="str">
        <v>kanan</v>
      </c>
      <c r="K194" s="36"/>
      <c r="L194" s="41">
        <f>L192*L193</f>
        <v>0.782792750514727</v>
      </c>
      <c r="O194" s="36" t="str">
        <v>kiri</v>
      </c>
      <c r="P194" s="36"/>
      <c r="Q194" s="41">
        <f>Q192*Q193</f>
        <v>0.655242732454071</v>
      </c>
      <c r="T194" s="36" t="str">
        <v>kanan</v>
      </c>
      <c r="U194" s="36"/>
      <c r="V194" s="41">
        <f>V192*V193</f>
        <v>0.666199990575613</v>
      </c>
    </row>
    <row r="195" spans="5:22">
      <c r="E195" s="36" t="str">
        <v>tengah</v>
      </c>
      <c r="F195" s="36"/>
      <c r="G195" s="36"/>
      <c r="J195" s="36" t="str">
        <v>kiri</v>
      </c>
      <c r="K195" s="36"/>
      <c r="L195" s="36"/>
      <c r="O195" s="36" t="str">
        <v>tengah</v>
      </c>
      <c r="P195" s="36"/>
      <c r="Q195" s="36"/>
      <c r="T195" s="36" t="str">
        <v>kanan</v>
      </c>
      <c r="U195" s="36"/>
      <c r="V195" s="36"/>
    </row>
    <row r="196" spans="5:22">
      <c r="E196" s="36" t="str">
        <v>tengah</v>
      </c>
      <c r="F196" s="36" t="s">
        <v>224</v>
      </c>
      <c r="G196" s="45" t="s">
        <v>218</v>
      </c>
      <c r="J196" s="36" t="str">
        <v>kiri</v>
      </c>
      <c r="K196" s="36" t="s">
        <v>224</v>
      </c>
      <c r="L196" s="45" t="s">
        <v>218</v>
      </c>
      <c r="O196" s="36" t="str">
        <v>tengah</v>
      </c>
      <c r="P196" s="36" t="s">
        <v>224</v>
      </c>
      <c r="Q196" s="45" t="s">
        <v>218</v>
      </c>
      <c r="T196" s="36" t="str">
        <v>kanan</v>
      </c>
      <c r="U196" s="36" t="s">
        <v>224</v>
      </c>
      <c r="V196" s="45" t="s">
        <v>218</v>
      </c>
    </row>
    <row r="197" spans="5:22">
      <c r="E197" s="36" t="str">
        <v>tengah</v>
      </c>
      <c r="F197" s="46">
        <f>P5-(G176+G185+G194)</f>
        <v>0.0188292984797489</v>
      </c>
      <c r="G197" s="41">
        <f>(G176+G185+G194)</f>
        <v>1.37192067827863</v>
      </c>
      <c r="J197" s="36" t="str">
        <v>tengah</v>
      </c>
      <c r="K197" s="46">
        <f>P5-(L176+L185+L194)</f>
        <v>0.0317993539999495</v>
      </c>
      <c r="L197" s="41">
        <f>(L176+L185+L194)</f>
        <v>1.35895062275843</v>
      </c>
      <c r="O197" s="36" t="str">
        <v>kiri</v>
      </c>
      <c r="P197" s="46">
        <f>P5-(Q176+Q185+Q194)</f>
        <v>0.616055250518917</v>
      </c>
      <c r="Q197" s="41">
        <f>(Q176+Q185+Q194)</f>
        <v>0.774694726239465</v>
      </c>
      <c r="T197" s="36" t="str">
        <v>kanan</v>
      </c>
      <c r="U197" s="46">
        <f>P5-(V176+V185+V194)</f>
        <v>0.0210135768098769</v>
      </c>
      <c r="V197" s="41">
        <f>(V176+V185+V194)</f>
        <v>1.36973639994851</v>
      </c>
    </row>
    <row r="198" spans="5:22">
      <c r="E198" s="36" t="str">
        <v>kanan</v>
      </c>
      <c r="F198" s="36"/>
      <c r="G198" s="36"/>
      <c r="J198" s="36" t="str">
        <v>tengah</v>
      </c>
      <c r="K198" s="36"/>
      <c r="L198" s="36"/>
      <c r="O198" s="36" t="str">
        <v>tengah</v>
      </c>
      <c r="P198" s="36"/>
      <c r="Q198" s="36"/>
      <c r="T198" s="36" t="str">
        <v>kanan</v>
      </c>
      <c r="U198" s="36"/>
      <c r="V198" s="36"/>
    </row>
    <row r="199" spans="5:22">
      <c r="E199" s="36" t="str">
        <v>tengah</v>
      </c>
      <c r="F199" s="36"/>
      <c r="G199" s="36"/>
      <c r="J199" s="36" t="str">
        <v>tengah</v>
      </c>
      <c r="K199" s="36"/>
      <c r="L199" s="36"/>
      <c r="O199" s="36" t="str">
        <v>tengah</v>
      </c>
      <c r="P199" s="36"/>
      <c r="Q199" s="36"/>
      <c r="T199" s="36" t="str">
        <v>kanan</v>
      </c>
      <c r="U199" s="36"/>
      <c r="V199" s="36"/>
    </row>
    <row r="200" spans="5:22">
      <c r="E200" s="36" t="str">
        <v>tengah</v>
      </c>
      <c r="F200" s="36"/>
      <c r="G200" s="36"/>
      <c r="J200" s="36" t="str">
        <v>kiri</v>
      </c>
      <c r="K200" s="36"/>
      <c r="L200" s="36"/>
      <c r="O200" s="36" t="str">
        <v>kanan</v>
      </c>
      <c r="P200" s="36"/>
      <c r="Q200" s="36"/>
      <c r="T200" s="36" t="str">
        <v>tengah</v>
      </c>
      <c r="U200" s="36"/>
      <c r="V200" s="36"/>
    </row>
    <row r="201" spans="5:22">
      <c r="E201" s="36" t="str">
        <v>tengah</v>
      </c>
      <c r="F201" s="36"/>
      <c r="G201" s="36"/>
      <c r="J201" s="36" t="str">
        <v>tengah</v>
      </c>
      <c r="K201" s="36"/>
      <c r="L201" s="36"/>
      <c r="O201" s="36" t="str">
        <v>tengah</v>
      </c>
      <c r="P201" s="36"/>
      <c r="Q201" s="36"/>
      <c r="T201" s="36" t="str">
        <v>tengah</v>
      </c>
      <c r="U201" s="36"/>
      <c r="V201" s="36"/>
    </row>
    <row r="202" spans="5:22">
      <c r="E202" s="36" t="str">
        <v>tengah</v>
      </c>
      <c r="F202" s="36"/>
      <c r="G202" s="36"/>
      <c r="J202" s="36" t="str">
        <v>kiri</v>
      </c>
      <c r="K202" s="36"/>
      <c r="L202" s="36"/>
      <c r="O202" s="36" t="str">
        <v>kiri</v>
      </c>
      <c r="P202" s="36"/>
      <c r="Q202" s="36"/>
      <c r="T202" s="36" t="str">
        <v>tengah</v>
      </c>
      <c r="U202" s="36"/>
      <c r="V202" s="36"/>
    </row>
    <row r="203" spans="5:22">
      <c r="E203" s="36" t="str">
        <v>kanan</v>
      </c>
      <c r="F203" s="36"/>
      <c r="G203" s="36"/>
      <c r="J203" s="36" t="str">
        <v>tengah</v>
      </c>
      <c r="K203" s="36"/>
      <c r="L203" s="36"/>
      <c r="O203" s="36" t="str">
        <v>tengah</v>
      </c>
      <c r="P203" s="36"/>
      <c r="Q203" s="36"/>
      <c r="T203" s="36" t="str">
        <v>tengah</v>
      </c>
      <c r="U203" s="36"/>
      <c r="V203" s="36"/>
    </row>
    <row r="204" spans="5:22">
      <c r="E204" s="36" t="str">
        <v>tengah</v>
      </c>
      <c r="F204" s="36"/>
      <c r="G204" s="36"/>
      <c r="J204" s="36" t="str">
        <v>tengah</v>
      </c>
      <c r="K204" s="36"/>
      <c r="L204" s="36"/>
      <c r="O204" s="36" t="str">
        <v>tengah</v>
      </c>
      <c r="P204" s="36"/>
      <c r="Q204" s="36"/>
      <c r="T204" s="36" t="str">
        <v>kanan</v>
      </c>
      <c r="U204" s="36"/>
      <c r="V204" s="36"/>
    </row>
    <row r="205" spans="5:22">
      <c r="E205" s="36" t="str">
        <v>kiri</v>
      </c>
      <c r="F205" s="36"/>
      <c r="G205" s="36"/>
      <c r="J205" s="36" t="str">
        <v>tengah</v>
      </c>
      <c r="K205" s="36"/>
      <c r="L205" s="36"/>
      <c r="O205" s="36" t="str">
        <v>tengah</v>
      </c>
      <c r="P205" s="36"/>
      <c r="Q205" s="36"/>
      <c r="T205" s="36" t="str">
        <v>kanan</v>
      </c>
      <c r="U205" s="36"/>
      <c r="V205" s="36"/>
    </row>
    <row r="206" spans="5:22">
      <c r="E206" s="36" t="str">
        <v>kiri</v>
      </c>
      <c r="F206" s="36"/>
      <c r="G206" s="36"/>
      <c r="J206" s="36" t="str">
        <v>tengah</v>
      </c>
      <c r="K206" s="36"/>
      <c r="L206" s="36"/>
      <c r="O206" s="36" t="str">
        <v>tengah</v>
      </c>
      <c r="P206" s="36"/>
      <c r="Q206" s="36"/>
      <c r="T206" s="36" t="str">
        <v>kanan</v>
      </c>
      <c r="U206" s="36"/>
      <c r="V206" s="36"/>
    </row>
    <row r="207" spans="5:22">
      <c r="E207" s="36" t="str">
        <v>tengah</v>
      </c>
      <c r="F207" s="36"/>
      <c r="G207" s="36"/>
      <c r="J207" s="36" t="str">
        <v>kiri</v>
      </c>
      <c r="K207" s="36"/>
      <c r="L207" s="36"/>
      <c r="O207" s="36" t="str">
        <v>kanan</v>
      </c>
      <c r="P207" s="36"/>
      <c r="Q207" s="36"/>
      <c r="T207" s="36" t="str">
        <v>kanan</v>
      </c>
      <c r="U207" s="36"/>
      <c r="V207" s="36"/>
    </row>
    <row r="208" spans="5:22">
      <c r="E208" s="36" t="str">
        <v>tengah</v>
      </c>
      <c r="F208" s="36"/>
      <c r="G208" s="36"/>
      <c r="J208" s="36" t="str">
        <v>kiri</v>
      </c>
      <c r="K208" s="36"/>
      <c r="L208" s="36"/>
      <c r="O208" s="36" t="str">
        <v>tengah</v>
      </c>
      <c r="P208" s="36"/>
      <c r="Q208" s="36"/>
      <c r="T208" s="36" t="str">
        <v>tengah</v>
      </c>
      <c r="U208" s="36"/>
      <c r="V208" s="36"/>
    </row>
    <row r="209" spans="5:22">
      <c r="E209" s="36" t="str">
        <v>tengah</v>
      </c>
      <c r="F209" s="36"/>
      <c r="G209" s="36"/>
      <c r="J209" s="36" t="str">
        <v>tengah</v>
      </c>
      <c r="K209" s="36"/>
      <c r="L209" s="36"/>
      <c r="O209" s="36" t="str">
        <v>tengah</v>
      </c>
      <c r="P209" s="36"/>
      <c r="Q209" s="36"/>
      <c r="T209" s="36" t="str">
        <v>tengah</v>
      </c>
      <c r="U209" s="36"/>
      <c r="V209" s="36"/>
    </row>
    <row r="210" spans="5:22">
      <c r="E210" s="36" t="str">
        <v>tengah</v>
      </c>
      <c r="F210" s="36"/>
      <c r="G210" s="36"/>
      <c r="J210" s="36" t="str">
        <v>kiri</v>
      </c>
      <c r="K210" s="36"/>
      <c r="L210" s="36"/>
      <c r="O210" s="36" t="str">
        <v>tengah</v>
      </c>
      <c r="P210" s="36"/>
      <c r="Q210" s="36"/>
      <c r="T210" s="36" t="str">
        <v>kanan</v>
      </c>
      <c r="U210" s="36"/>
      <c r="V210" s="36"/>
    </row>
    <row r="211" spans="5:22">
      <c r="E211" s="36" t="str">
        <v>tengah</v>
      </c>
      <c r="F211" s="36"/>
      <c r="G211" s="36"/>
      <c r="J211" s="36" t="str">
        <v>tengah</v>
      </c>
      <c r="K211" s="36"/>
      <c r="L211" s="36"/>
      <c r="O211" s="36" t="str">
        <v>tengah</v>
      </c>
      <c r="P211" s="36"/>
      <c r="Q211" s="36"/>
      <c r="T211" s="36" t="str">
        <v>tengah</v>
      </c>
      <c r="U211" s="36"/>
      <c r="V211" s="36"/>
    </row>
    <row r="212" spans="5:22">
      <c r="E212" s="36" t="str">
        <v>tengah</v>
      </c>
      <c r="F212" s="36"/>
      <c r="G212" s="36"/>
      <c r="J212" s="36" t="str">
        <v>tengah</v>
      </c>
      <c r="K212" s="36"/>
      <c r="L212" s="36"/>
      <c r="O212" s="36" t="str">
        <v>tengah</v>
      </c>
      <c r="P212" s="36"/>
      <c r="Q212" s="36"/>
      <c r="T212" s="36" t="str">
        <v>tengah</v>
      </c>
      <c r="U212" s="36"/>
      <c r="V212" s="36"/>
    </row>
    <row r="213" spans="5:22">
      <c r="E213" s="36" t="str">
        <v>tengah</v>
      </c>
      <c r="F213" s="36"/>
      <c r="G213" s="36"/>
      <c r="J213" s="36" t="str">
        <v>tengah</v>
      </c>
      <c r="K213" s="36"/>
      <c r="L213" s="36"/>
      <c r="O213" s="36" t="str">
        <v>kiri</v>
      </c>
      <c r="P213" s="36"/>
      <c r="Q213" s="36"/>
      <c r="T213" s="36" t="str">
        <v>kanan</v>
      </c>
      <c r="U213" s="36"/>
      <c r="V213" s="36"/>
    </row>
    <row r="214" spans="5:22">
      <c r="E214" s="36" t="str">
        <v>tengah</v>
      </c>
      <c r="F214" s="36"/>
      <c r="G214" s="36"/>
      <c r="J214" s="36" t="str">
        <v>kanan</v>
      </c>
      <c r="K214" s="36"/>
      <c r="L214" s="36"/>
      <c r="O214" s="36" t="str">
        <v>tengah</v>
      </c>
      <c r="P214" s="36"/>
      <c r="Q214" s="36"/>
      <c r="T214" s="36" t="str">
        <v>tengah</v>
      </c>
      <c r="U214" s="36"/>
      <c r="V214" s="36"/>
    </row>
    <row r="215" spans="5:22">
      <c r="E215" s="36" t="str">
        <v>kiri</v>
      </c>
      <c r="F215" s="36"/>
      <c r="G215" s="36"/>
      <c r="J215" s="36" t="str">
        <v>tengah</v>
      </c>
      <c r="K215" s="36"/>
      <c r="L215" s="36"/>
      <c r="O215" s="36" t="str">
        <v>tengah</v>
      </c>
      <c r="P215" s="36"/>
      <c r="Q215" s="36"/>
      <c r="T215" s="36" t="str">
        <v>tengah</v>
      </c>
      <c r="U215" s="36"/>
      <c r="V215" s="36"/>
    </row>
    <row r="216" spans="5:22">
      <c r="E216" s="36" t="str">
        <v>tengah</v>
      </c>
      <c r="F216" s="36"/>
      <c r="G216" s="36"/>
      <c r="J216" s="36" t="str">
        <v>tengah</v>
      </c>
      <c r="K216" s="36"/>
      <c r="L216" s="36"/>
      <c r="O216" s="36" t="str">
        <v>kiri</v>
      </c>
      <c r="P216" s="36"/>
      <c r="Q216" s="36"/>
      <c r="T216" s="36" t="str">
        <v>kanan</v>
      </c>
      <c r="U216" s="36"/>
      <c r="V216" s="36"/>
    </row>
    <row r="217" spans="5:22">
      <c r="E217" s="36" t="str">
        <v>kanan</v>
      </c>
      <c r="F217" s="36"/>
      <c r="G217" s="36"/>
      <c r="J217" s="36" t="str">
        <v>kanan</v>
      </c>
      <c r="K217" s="36"/>
      <c r="L217" s="36"/>
      <c r="O217" s="36" t="str">
        <v>tengah</v>
      </c>
      <c r="P217" s="36"/>
      <c r="Q217" s="36"/>
      <c r="T217" s="36" t="str">
        <v>kanan</v>
      </c>
      <c r="U217" s="36"/>
      <c r="V217" s="36"/>
    </row>
    <row r="218" spans="5:22">
      <c r="E218" s="36" t="str">
        <v>tengah</v>
      </c>
      <c r="F218" s="36"/>
      <c r="G218" s="36"/>
      <c r="J218" s="36" t="str">
        <v>tengah</v>
      </c>
      <c r="K218" s="36"/>
      <c r="L218" s="36"/>
      <c r="O218" s="36" t="str">
        <v>tengah</v>
      </c>
      <c r="P218" s="36"/>
      <c r="Q218" s="36"/>
      <c r="T218" s="36" t="str">
        <v>tengah</v>
      </c>
      <c r="U218" s="36"/>
      <c r="V218" s="36"/>
    </row>
    <row r="219" spans="5:22">
      <c r="E219" s="36" t="str">
        <v>kiri</v>
      </c>
      <c r="F219" s="36"/>
      <c r="G219" s="36"/>
      <c r="J219" s="36" t="str">
        <v>tengah</v>
      </c>
      <c r="K219" s="36"/>
      <c r="L219" s="36"/>
      <c r="O219" s="36" t="str">
        <v>kanan</v>
      </c>
      <c r="P219" s="36"/>
      <c r="Q219" s="36"/>
      <c r="T219" s="36" t="str">
        <v>kanan</v>
      </c>
      <c r="U219" s="36"/>
      <c r="V219" s="36"/>
    </row>
    <row r="220" spans="5:22">
      <c r="E220" s="36" t="str">
        <v>tengah</v>
      </c>
      <c r="F220" s="36"/>
      <c r="G220" s="36"/>
      <c r="J220" s="36" t="str">
        <v>kanan</v>
      </c>
      <c r="K220" s="36"/>
      <c r="L220" s="36"/>
      <c r="O220" s="36" t="str">
        <v>tengah</v>
      </c>
      <c r="P220" s="36"/>
      <c r="Q220" s="36"/>
      <c r="T220" s="36" t="str">
        <v>kanan</v>
      </c>
      <c r="U220" s="36"/>
      <c r="V220" s="36"/>
    </row>
    <row r="221" spans="5:22">
      <c r="E221" s="36" t="str">
        <v>kanan</v>
      </c>
      <c r="F221" s="36"/>
      <c r="G221" s="36"/>
      <c r="J221" s="36" t="str">
        <v>tengah</v>
      </c>
      <c r="K221" s="36"/>
      <c r="L221" s="36"/>
      <c r="O221" s="36" t="str">
        <v>tengah</v>
      </c>
      <c r="P221" s="36"/>
      <c r="Q221" s="36"/>
      <c r="T221" s="36" t="str">
        <v>kanan</v>
      </c>
      <c r="U221" s="36"/>
      <c r="V221" s="36"/>
    </row>
    <row r="222" spans="5:22">
      <c r="E222" s="36" t="str">
        <v>tengah</v>
      </c>
      <c r="F222" s="36"/>
      <c r="G222" s="36"/>
      <c r="J222" s="36" t="str">
        <v>tengah</v>
      </c>
      <c r="K222" s="36"/>
      <c r="L222" s="36"/>
      <c r="O222" s="36" t="str">
        <v>tengah</v>
      </c>
      <c r="P222" s="36"/>
      <c r="Q222" s="36"/>
      <c r="T222" s="36" t="str">
        <v>tengah</v>
      </c>
      <c r="U222" s="36"/>
      <c r="V222" s="36"/>
    </row>
    <row r="223" spans="5:22">
      <c r="E223" s="36" t="str">
        <v>tengah</v>
      </c>
      <c r="F223" s="36"/>
      <c r="G223" s="36"/>
      <c r="J223" s="36" t="str">
        <v>kiri</v>
      </c>
      <c r="K223" s="36"/>
      <c r="L223" s="36"/>
      <c r="O223" s="36" t="str">
        <v>tengah</v>
      </c>
      <c r="P223" s="36"/>
      <c r="Q223" s="36"/>
      <c r="T223" s="36" t="str">
        <v>tengah</v>
      </c>
      <c r="U223" s="36"/>
      <c r="V223" s="36"/>
    </row>
    <row r="224" spans="5:22">
      <c r="E224" s="36" t="str">
        <v>tengah</v>
      </c>
      <c r="F224" s="36"/>
      <c r="G224" s="36"/>
      <c r="J224" s="36" t="str">
        <v>tengah</v>
      </c>
      <c r="K224" s="36"/>
      <c r="L224" s="36"/>
      <c r="O224" s="36" t="str">
        <v>kanan</v>
      </c>
      <c r="P224" s="36"/>
      <c r="Q224" s="36"/>
      <c r="T224" s="36" t="str">
        <v>tengah</v>
      </c>
      <c r="U224" s="36"/>
      <c r="V224" s="36"/>
    </row>
    <row r="225" spans="5:22">
      <c r="E225" s="36" t="str">
        <v>kiri</v>
      </c>
      <c r="F225" s="36"/>
      <c r="G225" s="36"/>
      <c r="J225" s="36" t="str">
        <v>tengah</v>
      </c>
      <c r="K225" s="36"/>
      <c r="L225" s="36"/>
      <c r="O225" s="36" t="str">
        <v>tengah</v>
      </c>
      <c r="P225" s="36"/>
      <c r="Q225" s="36"/>
      <c r="T225" s="36" t="str">
        <v>tengah</v>
      </c>
      <c r="U225" s="36"/>
      <c r="V225" s="36"/>
    </row>
    <row r="226" spans="5:22">
      <c r="E226" s="36" t="str">
        <v>tengah</v>
      </c>
      <c r="F226" s="36"/>
      <c r="G226" s="36"/>
      <c r="J226" s="36" t="str">
        <v>tengah</v>
      </c>
      <c r="K226" s="36"/>
      <c r="L226" s="36"/>
      <c r="O226" s="36" t="str">
        <v>tengah</v>
      </c>
      <c r="P226" s="36"/>
      <c r="Q226" s="36"/>
      <c r="T226" s="36" t="str">
        <v>tengah</v>
      </c>
      <c r="U226" s="36"/>
      <c r="V226" s="36"/>
    </row>
    <row r="227" spans="5:22">
      <c r="E227" s="36" t="str">
        <v>kanan</v>
      </c>
      <c r="F227" s="36"/>
      <c r="G227" s="36"/>
      <c r="J227" s="36" t="str">
        <v>tengah</v>
      </c>
      <c r="K227" s="36"/>
      <c r="L227" s="36"/>
      <c r="O227" s="36" t="str">
        <v>tengah</v>
      </c>
      <c r="P227" s="36"/>
      <c r="Q227" s="36"/>
      <c r="T227" s="36" t="str">
        <v>kanan</v>
      </c>
      <c r="U227" s="36"/>
      <c r="V227" s="36"/>
    </row>
    <row r="228" spans="5:22">
      <c r="E228" s="36" t="str">
        <v>tengah</v>
      </c>
      <c r="F228" s="36"/>
      <c r="G228" s="36"/>
      <c r="J228" s="36" t="str">
        <v>kanan</v>
      </c>
      <c r="K228" s="36"/>
      <c r="L228" s="36"/>
      <c r="O228" s="36" t="str">
        <v>tengah</v>
      </c>
      <c r="P228" s="36"/>
      <c r="Q228" s="36"/>
      <c r="T228" s="36" t="str">
        <v>tengah</v>
      </c>
      <c r="U228" s="36"/>
      <c r="V228" s="36"/>
    </row>
    <row r="229" spans="5:22">
      <c r="E229" s="36" t="str">
        <v>tengah</v>
      </c>
      <c r="F229" s="36"/>
      <c r="G229" s="36"/>
      <c r="J229" s="36" t="str">
        <v>tengah</v>
      </c>
      <c r="K229" s="36"/>
      <c r="L229" s="36"/>
      <c r="O229" s="36" t="str">
        <v>kiri</v>
      </c>
      <c r="P229" s="36"/>
      <c r="Q229" s="36"/>
      <c r="T229" s="36" t="str">
        <v>kanan</v>
      </c>
      <c r="U229" s="36"/>
      <c r="V229" s="36"/>
    </row>
    <row r="230" spans="5:22">
      <c r="E230" s="36" t="str">
        <v>kiri</v>
      </c>
      <c r="F230" s="36"/>
      <c r="G230" s="36"/>
      <c r="J230" s="36" t="str">
        <v>kiri</v>
      </c>
      <c r="K230" s="36"/>
      <c r="L230" s="36"/>
      <c r="O230" s="36" t="str">
        <v>tengah</v>
      </c>
      <c r="P230" s="36"/>
      <c r="Q230" s="36"/>
      <c r="T230" s="36" t="str">
        <v>kanan</v>
      </c>
      <c r="U230" s="36"/>
      <c r="V230" s="36"/>
    </row>
    <row r="231" spans="5:22">
      <c r="E231" s="36" t="str">
        <v>kiri</v>
      </c>
      <c r="F231" s="36"/>
      <c r="G231" s="36"/>
      <c r="J231" s="36" t="str">
        <v>kiri</v>
      </c>
      <c r="K231" s="36"/>
      <c r="L231" s="36"/>
      <c r="O231" s="36" t="str">
        <v>kanan</v>
      </c>
      <c r="P231" s="36"/>
      <c r="Q231" s="36"/>
      <c r="T231" s="36" t="str">
        <v>kanan</v>
      </c>
      <c r="U231" s="36"/>
      <c r="V231" s="36"/>
    </row>
    <row r="232" spans="5:22">
      <c r="E232" s="36" t="str">
        <v>tengah</v>
      </c>
      <c r="F232" s="36"/>
      <c r="G232" s="36"/>
      <c r="J232" s="36" t="str">
        <v>tengah</v>
      </c>
      <c r="K232" s="36"/>
      <c r="L232" s="36"/>
      <c r="O232" s="36" t="str">
        <v>tengah</v>
      </c>
      <c r="P232" s="36"/>
      <c r="Q232" s="36"/>
      <c r="T232" s="36" t="str">
        <v>tengah</v>
      </c>
      <c r="U232" s="36"/>
      <c r="V232" s="36"/>
    </row>
    <row r="233" spans="5:22">
      <c r="E233" s="36" t="str">
        <v>kanan</v>
      </c>
      <c r="F233" s="36"/>
      <c r="G233" s="36"/>
      <c r="J233" s="36" t="str">
        <v>tengah</v>
      </c>
      <c r="K233" s="36"/>
      <c r="L233" s="36"/>
      <c r="O233" s="36" t="str">
        <v>kanan</v>
      </c>
      <c r="P233" s="36"/>
      <c r="Q233" s="36"/>
      <c r="T233" s="36" t="str">
        <v>kanan</v>
      </c>
      <c r="U233" s="36"/>
      <c r="V233" s="36"/>
    </row>
    <row r="234" spans="5:22">
      <c r="E234" s="36" t="str">
        <v>kanan</v>
      </c>
      <c r="F234" s="36"/>
      <c r="G234" s="36"/>
      <c r="J234" s="36" t="str">
        <v>tengah</v>
      </c>
      <c r="K234" s="36"/>
      <c r="L234" s="36"/>
      <c r="O234" s="36" t="str">
        <v>tengah</v>
      </c>
      <c r="P234" s="36"/>
      <c r="Q234" s="36"/>
      <c r="T234" s="36" t="str">
        <v>tengah</v>
      </c>
      <c r="U234" s="36"/>
      <c r="V234" s="36"/>
    </row>
    <row r="235" spans="5:22">
      <c r="E235" s="36" t="str">
        <v>kanan</v>
      </c>
      <c r="F235" s="36"/>
      <c r="G235" s="36"/>
      <c r="J235" s="36" t="str">
        <v>tengah</v>
      </c>
      <c r="K235" s="36"/>
      <c r="L235" s="36"/>
      <c r="O235" s="36" t="str">
        <v>kanan</v>
      </c>
      <c r="P235" s="36"/>
      <c r="Q235" s="36"/>
      <c r="T235" s="36" t="str">
        <v>kanan</v>
      </c>
      <c r="U235" s="36"/>
      <c r="V235" s="36"/>
    </row>
    <row r="236" spans="5:22">
      <c r="E236" s="36" t="str">
        <v>kiri</v>
      </c>
      <c r="F236" s="36"/>
      <c r="G236" s="36"/>
      <c r="J236" s="36" t="str">
        <v>tengah</v>
      </c>
      <c r="K236" s="36"/>
      <c r="L236" s="36"/>
      <c r="O236" s="36" t="str">
        <v>tengah</v>
      </c>
      <c r="P236" s="36"/>
      <c r="Q236" s="36"/>
      <c r="T236" s="36" t="str">
        <v>tengah</v>
      </c>
      <c r="U236" s="36"/>
      <c r="V236" s="36"/>
    </row>
    <row r="237" spans="5:22">
      <c r="E237" s="36" t="str">
        <v>kanan</v>
      </c>
      <c r="F237" s="36"/>
      <c r="G237" s="36"/>
      <c r="J237" s="36" t="str">
        <v>kanan</v>
      </c>
      <c r="K237" s="36"/>
      <c r="L237" s="36"/>
      <c r="O237" s="36" t="str">
        <v>kiri</v>
      </c>
      <c r="P237" s="36"/>
      <c r="Q237" s="36"/>
      <c r="T237" s="36" t="str">
        <v>kanan</v>
      </c>
      <c r="U237" s="36"/>
      <c r="V237" s="36"/>
    </row>
    <row r="238" spans="5:22">
      <c r="E238" s="36" t="str">
        <v>kiri</v>
      </c>
      <c r="F238" s="36"/>
      <c r="G238" s="36"/>
      <c r="J238" s="36" t="str">
        <v>kiri</v>
      </c>
      <c r="K238" s="36"/>
      <c r="L238" s="36"/>
      <c r="O238" s="36" t="str">
        <v>tengah</v>
      </c>
      <c r="P238" s="36"/>
      <c r="Q238" s="36"/>
      <c r="T238" s="36" t="str">
        <v>tengah</v>
      </c>
      <c r="U238" s="36"/>
      <c r="V238" s="36"/>
    </row>
    <row r="239" spans="5:22">
      <c r="E239" s="36" t="str">
        <v>kiri</v>
      </c>
      <c r="F239" s="36"/>
      <c r="G239" s="36"/>
      <c r="J239" s="36" t="str">
        <v>kiri</v>
      </c>
      <c r="K239" s="36"/>
      <c r="L239" s="36"/>
      <c r="O239" s="36" t="str">
        <v>tengah</v>
      </c>
      <c r="P239" s="36"/>
      <c r="Q239" s="36"/>
      <c r="T239" s="36" t="str">
        <v>kanan</v>
      </c>
      <c r="U239" s="36"/>
      <c r="V239" s="36"/>
    </row>
    <row r="240" spans="5:22">
      <c r="E240" s="36" t="str">
        <v>kiri</v>
      </c>
      <c r="F240" s="36"/>
      <c r="G240" s="36"/>
      <c r="J240" s="36" t="str">
        <v>kiri</v>
      </c>
      <c r="K240" s="36"/>
      <c r="L240" s="36"/>
      <c r="O240" s="36" t="str">
        <v>kanan</v>
      </c>
      <c r="P240" s="36"/>
      <c r="Q240" s="36"/>
      <c r="T240" s="36" t="str">
        <v>tengah</v>
      </c>
      <c r="U240" s="36"/>
      <c r="V240" s="36"/>
    </row>
    <row r="241" spans="5:22">
      <c r="E241" s="36" t="str">
        <v>tengah</v>
      </c>
      <c r="F241" s="36"/>
      <c r="G241" s="36"/>
      <c r="J241" s="36" t="str">
        <v>kiri</v>
      </c>
      <c r="K241" s="36"/>
      <c r="L241" s="36"/>
      <c r="O241" s="36" t="str">
        <v>kiri</v>
      </c>
      <c r="P241" s="36"/>
      <c r="Q241" s="36"/>
      <c r="T241" s="36" t="str">
        <v>tengah</v>
      </c>
      <c r="U241" s="36"/>
      <c r="V241" s="36"/>
    </row>
    <row r="242" spans="5:22">
      <c r="E242" s="36" t="str">
        <v>kiri</v>
      </c>
      <c r="F242" s="36"/>
      <c r="G242" s="36"/>
      <c r="J242" s="36" t="str">
        <v>kiri</v>
      </c>
      <c r="K242" s="36"/>
      <c r="L242" s="36"/>
      <c r="O242" s="36" t="str">
        <v>tengah</v>
      </c>
      <c r="P242" s="36"/>
      <c r="Q242" s="36"/>
      <c r="T242" s="36" t="str">
        <v>tengah</v>
      </c>
      <c r="U242" s="36"/>
      <c r="V242" s="36"/>
    </row>
    <row r="243" spans="5:22">
      <c r="E243" s="36" t="str">
        <v>kanan</v>
      </c>
      <c r="F243" s="36"/>
      <c r="G243" s="36"/>
      <c r="J243" s="36" t="str">
        <v>tengah</v>
      </c>
      <c r="K243" s="36"/>
      <c r="L243" s="36"/>
      <c r="O243" s="36" t="str">
        <v>tengah</v>
      </c>
      <c r="P243" s="36"/>
      <c r="Q243" s="36"/>
      <c r="T243" s="36" t="str">
        <v>tengah</v>
      </c>
      <c r="U243" s="36"/>
      <c r="V243" s="36"/>
    </row>
    <row r="244" spans="5:22">
      <c r="E244" s="36" t="str">
        <v>tengah</v>
      </c>
      <c r="F244" s="36"/>
      <c r="G244" s="36"/>
      <c r="J244" s="36" t="str">
        <v>tengah</v>
      </c>
      <c r="K244" s="36"/>
      <c r="L244" s="36"/>
      <c r="O244" s="36" t="str">
        <v>tengah</v>
      </c>
      <c r="P244" s="36"/>
      <c r="Q244" s="36"/>
      <c r="T244" s="36" t="str">
        <v>kanan</v>
      </c>
      <c r="U244" s="36"/>
      <c r="V244" s="36"/>
    </row>
    <row r="245" spans="5:22">
      <c r="E245" s="36" t="str">
        <v>tengah</v>
      </c>
      <c r="F245" s="36"/>
      <c r="G245" s="36"/>
      <c r="J245" s="36" t="str">
        <v>kiri</v>
      </c>
      <c r="K245" s="36"/>
      <c r="L245" s="36"/>
      <c r="O245" s="36" t="str">
        <v>tengah</v>
      </c>
      <c r="P245" s="36"/>
      <c r="Q245" s="36"/>
      <c r="T245" s="36" t="str">
        <v>kanan</v>
      </c>
      <c r="U245" s="36"/>
      <c r="V245" s="36"/>
    </row>
    <row r="246" spans="5:22">
      <c r="E246" s="36" t="str">
        <v>kanan</v>
      </c>
      <c r="F246" s="36"/>
      <c r="G246" s="36"/>
      <c r="J246" s="36" t="str">
        <v>kiri</v>
      </c>
      <c r="K246" s="36"/>
      <c r="L246" s="36"/>
      <c r="O246" s="36" t="str">
        <v>tengah</v>
      </c>
      <c r="P246" s="36"/>
      <c r="Q246" s="36"/>
      <c r="T246" s="36" t="str">
        <v>tengah</v>
      </c>
      <c r="U246" s="36"/>
      <c r="V246" s="36"/>
    </row>
    <row r="247" spans="5:22">
      <c r="E247" s="36" t="str">
        <v>kiri</v>
      </c>
      <c r="F247" s="36"/>
      <c r="G247" s="36"/>
      <c r="J247" s="36" t="str">
        <v>kanan</v>
      </c>
      <c r="K247" s="36"/>
      <c r="L247" s="36"/>
      <c r="O247" s="36" t="str">
        <v>kiri</v>
      </c>
      <c r="P247" s="36"/>
      <c r="Q247" s="36"/>
      <c r="T247" s="36" t="str">
        <v>tengah</v>
      </c>
      <c r="U247" s="36"/>
      <c r="V247" s="36"/>
    </row>
    <row r="248" spans="5:22">
      <c r="E248" s="36" t="str">
        <v>kiri</v>
      </c>
      <c r="F248" s="36"/>
      <c r="G248" s="36"/>
      <c r="J248" s="36" t="str">
        <v>kanan</v>
      </c>
      <c r="K248" s="36"/>
      <c r="L248" s="36"/>
      <c r="O248" s="36" t="str">
        <v>kiri</v>
      </c>
      <c r="P248" s="36"/>
      <c r="Q248" s="36"/>
      <c r="T248" s="36" t="str">
        <v>kanan</v>
      </c>
      <c r="U248" s="36"/>
      <c r="V248" s="36"/>
    </row>
    <row r="249" spans="5:22">
      <c r="E249" s="36" t="str">
        <v>tengah</v>
      </c>
      <c r="F249" s="36"/>
      <c r="G249" s="36"/>
      <c r="J249" s="36" t="str">
        <v>kiri</v>
      </c>
      <c r="K249" s="36"/>
      <c r="L249" s="36"/>
      <c r="O249" s="36" t="str">
        <v>tengah</v>
      </c>
      <c r="P249" s="36"/>
      <c r="Q249" s="36"/>
      <c r="T249" s="36" t="str">
        <v>kanan</v>
      </c>
      <c r="U249" s="36"/>
      <c r="V249" s="36"/>
    </row>
    <row r="250" spans="5:22">
      <c r="E250" s="36" t="str">
        <v>tengah</v>
      </c>
      <c r="F250" s="36"/>
      <c r="G250" s="36"/>
      <c r="J250" s="36" t="str">
        <v>kiri</v>
      </c>
      <c r="K250" s="36"/>
      <c r="L250" s="36"/>
      <c r="O250" s="36" t="str">
        <v>tengah</v>
      </c>
      <c r="P250" s="36"/>
      <c r="Q250" s="36"/>
      <c r="T250" s="36" t="str">
        <v>kanan</v>
      </c>
      <c r="U250" s="36"/>
      <c r="V250" s="36"/>
    </row>
    <row r="251" spans="5:22">
      <c r="E251" s="36" t="str">
        <v>kiri</v>
      </c>
      <c r="F251" s="36"/>
      <c r="G251" s="36"/>
      <c r="J251" s="36" t="str">
        <v>kiri</v>
      </c>
      <c r="K251" s="36"/>
      <c r="L251" s="36"/>
      <c r="O251" s="36" t="str">
        <v>tengah</v>
      </c>
      <c r="P251" s="36"/>
      <c r="Q251" s="36"/>
      <c r="T251" s="36" t="str">
        <v>tengah</v>
      </c>
      <c r="U251" s="36"/>
      <c r="V251" s="36"/>
    </row>
    <row r="252" spans="5:22">
      <c r="E252" s="36" t="str">
        <v>tengah</v>
      </c>
      <c r="F252" s="36"/>
      <c r="G252" s="36"/>
      <c r="J252" s="36" t="str">
        <v>tengah</v>
      </c>
      <c r="K252" s="36"/>
      <c r="L252" s="36"/>
      <c r="O252" s="36" t="str">
        <v>kiri</v>
      </c>
      <c r="P252" s="36"/>
      <c r="Q252" s="36"/>
      <c r="T252" s="36" t="str">
        <v>kanan</v>
      </c>
      <c r="U252" s="36"/>
      <c r="V252" s="36"/>
    </row>
    <row r="253" spans="5:22">
      <c r="E253" s="36" t="str">
        <v>kiri</v>
      </c>
      <c r="F253" s="36"/>
      <c r="G253" s="36"/>
      <c r="J253" s="36" t="str">
        <v>kiri</v>
      </c>
      <c r="K253" s="36"/>
      <c r="L253" s="36"/>
      <c r="O253" s="36" t="str">
        <v>tengah</v>
      </c>
      <c r="P253" s="36"/>
      <c r="Q253" s="36"/>
      <c r="T253" s="36" t="str">
        <v>tengah</v>
      </c>
      <c r="U253" s="36"/>
      <c r="V253" s="36"/>
    </row>
    <row r="254" spans="5:22">
      <c r="E254" s="36" t="str">
        <v>tengah</v>
      </c>
      <c r="F254" s="36"/>
      <c r="G254" s="36"/>
      <c r="J254" s="36" t="str">
        <v>tengah</v>
      </c>
      <c r="K254" s="36"/>
      <c r="L254" s="36"/>
      <c r="O254" s="36" t="str">
        <v>tengah</v>
      </c>
      <c r="P254" s="36"/>
      <c r="Q254" s="36"/>
      <c r="T254" s="36" t="str">
        <v>kanan</v>
      </c>
      <c r="U254" s="36"/>
      <c r="V254" s="36"/>
    </row>
    <row r="255" spans="5:22">
      <c r="E255" s="36" t="str">
        <v>tengah</v>
      </c>
      <c r="F255" s="36"/>
      <c r="G255" s="36"/>
      <c r="J255" s="36" t="str">
        <v>kiri</v>
      </c>
      <c r="K255" s="36"/>
      <c r="L255" s="36"/>
      <c r="O255" s="36" t="str">
        <v>tengah</v>
      </c>
      <c r="P255" s="36"/>
      <c r="Q255" s="36"/>
      <c r="T255" s="36" t="str">
        <v>kanan</v>
      </c>
      <c r="U255" s="36"/>
      <c r="V255" s="36"/>
    </row>
    <row r="256" spans="5:22">
      <c r="E256" s="36" t="str">
        <v>tengah</v>
      </c>
      <c r="F256" s="36"/>
      <c r="G256" s="36"/>
      <c r="J256" s="36" t="str">
        <v>tengah</v>
      </c>
      <c r="K256" s="36"/>
      <c r="L256" s="36"/>
      <c r="O256" s="36" t="str">
        <v>kiri</v>
      </c>
      <c r="P256" s="36"/>
      <c r="Q256" s="36"/>
      <c r="T256" s="36" t="str">
        <v>kanan</v>
      </c>
      <c r="U256" s="36"/>
      <c r="V256" s="36"/>
    </row>
    <row r="257" spans="5:22">
      <c r="E257" s="36" t="str">
        <v>tengah</v>
      </c>
      <c r="F257" s="36"/>
      <c r="G257" s="36"/>
      <c r="J257" s="36" t="str">
        <v>tengah</v>
      </c>
      <c r="K257" s="36"/>
      <c r="L257" s="36"/>
      <c r="O257" s="36" t="str">
        <v>tengah</v>
      </c>
      <c r="P257" s="36"/>
      <c r="Q257" s="36"/>
      <c r="T257" s="36" t="str">
        <v>tengah</v>
      </c>
      <c r="U257" s="36"/>
      <c r="V257" s="36"/>
    </row>
    <row r="258" spans="5:22">
      <c r="E258" s="36" t="str">
        <v>tengah</v>
      </c>
      <c r="F258" s="36"/>
      <c r="G258" s="36"/>
      <c r="J258" s="36" t="str">
        <v>tengah</v>
      </c>
      <c r="K258" s="36"/>
      <c r="L258" s="36"/>
      <c r="O258" s="36" t="str">
        <v>tengah</v>
      </c>
      <c r="P258" s="36"/>
      <c r="Q258" s="36"/>
      <c r="T258" s="36" t="str">
        <v>kanan</v>
      </c>
      <c r="U258" s="36"/>
      <c r="V258" s="36"/>
    </row>
    <row r="259" spans="5:22">
      <c r="E259" s="36" t="str">
        <v>kiri</v>
      </c>
      <c r="F259" s="36"/>
      <c r="G259" s="36"/>
      <c r="J259" s="36" t="str">
        <v>tengah</v>
      </c>
      <c r="K259" s="36"/>
      <c r="L259" s="36"/>
      <c r="O259" s="36" t="str">
        <v>kanan</v>
      </c>
      <c r="P259" s="36"/>
      <c r="Q259" s="36"/>
      <c r="T259" s="36" t="str">
        <v>tengah</v>
      </c>
      <c r="U259" s="36"/>
      <c r="V259" s="36"/>
    </row>
    <row r="260" spans="5:22">
      <c r="E260" s="36" t="str">
        <v>tengah</v>
      </c>
      <c r="F260" s="36"/>
      <c r="G260" s="36"/>
      <c r="J260" s="36" t="str">
        <v>tengah</v>
      </c>
      <c r="K260" s="36"/>
      <c r="L260" s="36"/>
      <c r="O260" s="36" t="str">
        <v>kanan</v>
      </c>
      <c r="P260" s="36"/>
      <c r="Q260" s="36"/>
      <c r="T260" s="36" t="str">
        <v>kanan</v>
      </c>
      <c r="U260" s="36"/>
      <c r="V260" s="36"/>
    </row>
    <row r="261" spans="5:22">
      <c r="E261" s="36" t="str">
        <v>kiri</v>
      </c>
      <c r="F261" s="36"/>
      <c r="G261" s="36"/>
      <c r="J261" s="36" t="str">
        <v>tengah</v>
      </c>
      <c r="K261" s="36"/>
      <c r="L261" s="36"/>
      <c r="O261" s="36" t="str">
        <v>tengah</v>
      </c>
      <c r="P261" s="36"/>
      <c r="Q261" s="36"/>
      <c r="T261" s="36" t="str">
        <v>tengah</v>
      </c>
      <c r="U261" s="36"/>
      <c r="V261" s="36"/>
    </row>
    <row r="262" spans="5:22">
      <c r="E262" s="36" t="str">
        <v>tengah</v>
      </c>
      <c r="F262" s="36"/>
      <c r="G262" s="36"/>
      <c r="J262" s="36" t="str">
        <v>tengah</v>
      </c>
      <c r="K262" s="36"/>
      <c r="L262" s="36"/>
      <c r="O262" s="36" t="str">
        <v>tengah</v>
      </c>
      <c r="P262" s="36"/>
      <c r="Q262" s="36"/>
      <c r="T262" s="36" t="str">
        <v>tengah</v>
      </c>
      <c r="U262" s="36"/>
      <c r="V262" s="36"/>
    </row>
    <row r="263" spans="5:22">
      <c r="E263" s="36" t="str">
        <v>tengah</v>
      </c>
      <c r="F263" s="36"/>
      <c r="G263" s="36"/>
      <c r="J263" s="36" t="str">
        <v>tengah</v>
      </c>
      <c r="K263" s="36"/>
      <c r="L263" s="36"/>
      <c r="O263" s="36" t="str">
        <v>kiri</v>
      </c>
      <c r="P263" s="36"/>
      <c r="Q263" s="36"/>
      <c r="T263" s="36" t="str">
        <v>kanan</v>
      </c>
      <c r="U263" s="36"/>
      <c r="V263" s="36"/>
    </row>
    <row r="264" spans="5:22">
      <c r="E264" s="36" t="str">
        <v>tengah</v>
      </c>
      <c r="F264" s="36"/>
      <c r="G264" s="36"/>
      <c r="J264" s="36" t="str">
        <v>tengah</v>
      </c>
      <c r="K264" s="36"/>
      <c r="L264" s="36"/>
      <c r="O264" s="36" t="str">
        <v>tengah</v>
      </c>
      <c r="P264" s="36"/>
      <c r="Q264" s="36"/>
      <c r="T264" s="36" t="str">
        <v>kanan</v>
      </c>
      <c r="U264" s="36"/>
      <c r="V264" s="36"/>
    </row>
    <row r="265" spans="5:22">
      <c r="E265" s="36" t="str">
        <v>kiri</v>
      </c>
      <c r="F265" s="36"/>
      <c r="G265" s="36"/>
      <c r="J265" s="36" t="str">
        <v>kiri</v>
      </c>
      <c r="K265" s="36"/>
      <c r="L265" s="36"/>
      <c r="O265" s="36" t="str">
        <v>tengah</v>
      </c>
      <c r="P265" s="36"/>
      <c r="Q265" s="36"/>
      <c r="T265" s="36" t="str">
        <v>kanan</v>
      </c>
      <c r="U265" s="36"/>
      <c r="V265" s="36"/>
    </row>
    <row r="266" spans="5:22">
      <c r="E266" s="36" t="str">
        <v>tengah</v>
      </c>
      <c r="F266" s="36"/>
      <c r="G266" s="36"/>
      <c r="J266" s="36" t="str">
        <v>tengah</v>
      </c>
      <c r="K266" s="36"/>
      <c r="L266" s="36"/>
      <c r="O266" s="36" t="str">
        <v>tengah</v>
      </c>
      <c r="P266" s="36"/>
      <c r="Q266" s="36"/>
      <c r="T266" s="36" t="str">
        <v>tengah</v>
      </c>
      <c r="U266" s="36"/>
      <c r="V266" s="36"/>
    </row>
    <row r="267" spans="5:22">
      <c r="E267" s="36" t="str">
        <v>kanan</v>
      </c>
      <c r="F267" s="36"/>
      <c r="G267" s="36"/>
      <c r="J267" s="36" t="str">
        <v>tengah</v>
      </c>
      <c r="K267" s="36"/>
      <c r="L267" s="36"/>
      <c r="O267" s="36" t="str">
        <v>tengah</v>
      </c>
      <c r="P267" s="36"/>
      <c r="Q267" s="36"/>
      <c r="T267" s="36" t="str">
        <v>kanan</v>
      </c>
      <c r="U267" s="36"/>
      <c r="V267" s="36"/>
    </row>
    <row r="268" spans="5:22">
      <c r="E268" s="36" t="str">
        <v>tengah</v>
      </c>
      <c r="F268" s="36"/>
      <c r="G268" s="36"/>
      <c r="J268" s="36" t="str">
        <v>tengah</v>
      </c>
      <c r="K268" s="36"/>
      <c r="L268" s="36"/>
      <c r="O268" s="36" t="str">
        <v>tengah</v>
      </c>
      <c r="P268" s="36"/>
      <c r="Q268" s="36"/>
      <c r="T268" s="36" t="str">
        <v>tengah</v>
      </c>
      <c r="U268" s="36"/>
      <c r="V268" s="36"/>
    </row>
    <row r="269" spans="5:22">
      <c r="E269" s="36" t="str">
        <v>tengah</v>
      </c>
      <c r="F269" s="36"/>
      <c r="G269" s="36"/>
      <c r="J269" s="36" t="str">
        <v>kiri</v>
      </c>
      <c r="K269" s="36"/>
      <c r="L269" s="36"/>
      <c r="O269" s="36" t="str">
        <v>kanan</v>
      </c>
      <c r="P269" s="36"/>
      <c r="Q269" s="36"/>
      <c r="T269" s="36" t="str">
        <v>tengah</v>
      </c>
      <c r="U269" s="36"/>
      <c r="V269" s="36"/>
    </row>
    <row r="270" spans="5:22">
      <c r="E270" s="36" t="str">
        <v>tengah</v>
      </c>
      <c r="F270" s="36"/>
      <c r="G270" s="36"/>
      <c r="J270" s="36" t="str">
        <v>tengah</v>
      </c>
      <c r="K270" s="36"/>
      <c r="L270" s="36"/>
      <c r="O270" s="36" t="str">
        <v>tengah</v>
      </c>
      <c r="P270" s="36"/>
      <c r="Q270" s="36"/>
      <c r="T270" s="36" t="str">
        <v>kanan</v>
      </c>
      <c r="U270" s="36"/>
      <c r="V270" s="36"/>
    </row>
    <row r="271" spans="5:22">
      <c r="E271" s="36" t="str">
        <v>tengah</v>
      </c>
      <c r="F271" s="36"/>
      <c r="G271" s="36"/>
      <c r="J271" s="36" t="str">
        <v>kanan</v>
      </c>
      <c r="K271" s="36"/>
      <c r="L271" s="36"/>
      <c r="O271" s="36" t="str">
        <v>tengah</v>
      </c>
      <c r="P271" s="36"/>
      <c r="Q271" s="36"/>
      <c r="T271" s="36" t="str">
        <v>tengah</v>
      </c>
      <c r="U271" s="36"/>
      <c r="V271" s="36"/>
    </row>
    <row r="272" spans="5:22">
      <c r="E272" s="36" t="str">
        <v>tengah</v>
      </c>
      <c r="F272" s="36"/>
      <c r="G272" s="36"/>
      <c r="J272" s="36" t="str">
        <v>tengah</v>
      </c>
      <c r="K272" s="36"/>
      <c r="L272" s="36"/>
      <c r="O272" s="36" t="str">
        <v>tengah</v>
      </c>
      <c r="P272" s="36"/>
      <c r="Q272" s="36"/>
      <c r="T272" s="36" t="str">
        <v>tengah</v>
      </c>
      <c r="U272" s="36"/>
      <c r="V272" s="36"/>
    </row>
    <row r="273" spans="5:22">
      <c r="E273" s="36" t="str">
        <v>tengah</v>
      </c>
      <c r="F273" s="36"/>
      <c r="G273" s="36"/>
      <c r="J273" s="36" t="str">
        <v>tengah</v>
      </c>
      <c r="K273" s="36"/>
      <c r="L273" s="36"/>
      <c r="O273" s="36" t="str">
        <v>tengah</v>
      </c>
      <c r="P273" s="36"/>
      <c r="Q273" s="36"/>
      <c r="T273" s="36" t="str">
        <v>tengah</v>
      </c>
      <c r="U273" s="36"/>
      <c r="V273" s="36"/>
    </row>
    <row r="274" spans="5:22">
      <c r="E274" s="36" t="str">
        <v>kiri</v>
      </c>
      <c r="F274" s="36"/>
      <c r="G274" s="36"/>
      <c r="J274" s="36" t="str">
        <v>kanan</v>
      </c>
      <c r="K274" s="36"/>
      <c r="L274" s="36"/>
      <c r="O274" s="36" t="str">
        <v>tengah</v>
      </c>
      <c r="P274" s="36"/>
      <c r="Q274" s="36"/>
      <c r="T274" s="36" t="str">
        <v>kanan</v>
      </c>
      <c r="U274" s="36"/>
      <c r="V274" s="36"/>
    </row>
    <row r="275" spans="5:22">
      <c r="E275" s="36" t="str">
        <v>kiri</v>
      </c>
      <c r="F275" s="36"/>
      <c r="G275" s="36"/>
      <c r="J275" s="36" t="str">
        <v>tengah</v>
      </c>
      <c r="K275" s="36"/>
      <c r="L275" s="36"/>
      <c r="O275" s="36" t="str">
        <v>kanan</v>
      </c>
      <c r="P275" s="36"/>
      <c r="Q275" s="36"/>
      <c r="T275" s="36" t="str">
        <v>tengah</v>
      </c>
      <c r="U275" s="36"/>
      <c r="V275" s="36"/>
    </row>
    <row r="276" spans="5:22">
      <c r="E276" s="36" t="str">
        <v>kanan</v>
      </c>
      <c r="F276" s="36"/>
      <c r="G276" s="36"/>
      <c r="J276" s="36" t="str">
        <v>tengah</v>
      </c>
      <c r="K276" s="36"/>
      <c r="L276" s="36"/>
      <c r="O276" s="36" t="str">
        <v>tengah</v>
      </c>
      <c r="P276" s="36"/>
      <c r="Q276" s="36"/>
      <c r="T276" s="36" t="str">
        <v>tengah</v>
      </c>
      <c r="U276" s="36"/>
      <c r="V276" s="36"/>
    </row>
    <row r="277" spans="5:22">
      <c r="E277" s="36" t="str">
        <v>kanan</v>
      </c>
      <c r="F277" s="36"/>
      <c r="G277" s="36"/>
      <c r="J277" s="36" t="str">
        <v>kanan</v>
      </c>
      <c r="K277" s="36"/>
      <c r="L277" s="36"/>
      <c r="O277" s="36" t="str">
        <v>kanan</v>
      </c>
      <c r="P277" s="36"/>
      <c r="Q277" s="36"/>
      <c r="T277" s="36" t="str">
        <v>kanan</v>
      </c>
      <c r="U277" s="36"/>
      <c r="V277" s="36"/>
    </row>
    <row r="278" spans="5:22">
      <c r="E278" s="36" t="str">
        <v>tengah</v>
      </c>
      <c r="F278" s="36"/>
      <c r="G278" s="36"/>
      <c r="J278" s="36" t="str">
        <v>kanan</v>
      </c>
      <c r="K278" s="36"/>
      <c r="L278" s="36"/>
      <c r="O278" s="36" t="str">
        <v>kiri</v>
      </c>
      <c r="P278" s="36"/>
      <c r="Q278" s="36"/>
      <c r="T278" s="36" t="str">
        <v>tengah</v>
      </c>
      <c r="U278" s="36"/>
      <c r="V278" s="36"/>
    </row>
    <row r="279" spans="5:22">
      <c r="E279" s="36" t="str">
        <v>kiri</v>
      </c>
      <c r="F279" s="36"/>
      <c r="G279" s="36"/>
      <c r="J279" s="36" t="str">
        <v>kiri</v>
      </c>
      <c r="K279" s="36"/>
      <c r="L279" s="36"/>
      <c r="O279" s="36" t="str">
        <v>kanan</v>
      </c>
      <c r="P279" s="36"/>
      <c r="Q279" s="36"/>
      <c r="T279" s="36" t="str">
        <v>kanan</v>
      </c>
      <c r="U279" s="36"/>
      <c r="V279" s="36"/>
    </row>
    <row r="280" spans="5:22">
      <c r="E280" s="36" t="str">
        <v>tengah</v>
      </c>
      <c r="F280" s="36"/>
      <c r="G280" s="36"/>
      <c r="J280" s="36" t="str">
        <v>tengah</v>
      </c>
      <c r="K280" s="36"/>
      <c r="L280" s="36"/>
      <c r="O280" s="36" t="str">
        <v>kiri</v>
      </c>
      <c r="P280" s="36"/>
      <c r="Q280" s="36"/>
      <c r="T280" s="36" t="str">
        <v>kanan</v>
      </c>
      <c r="U280" s="36"/>
      <c r="V280" s="36"/>
    </row>
    <row r="281" spans="5:22">
      <c r="E281" s="36" t="str">
        <v>tengah</v>
      </c>
      <c r="F281" s="36"/>
      <c r="G281" s="36"/>
      <c r="J281" s="36" t="str">
        <v>tengah</v>
      </c>
      <c r="K281" s="36"/>
      <c r="L281" s="36"/>
      <c r="O281" s="36" t="str">
        <v>tengah</v>
      </c>
      <c r="P281" s="36"/>
      <c r="Q281" s="36"/>
      <c r="T281" s="36" t="str">
        <v>kanan</v>
      </c>
      <c r="U281" s="36"/>
      <c r="V281" s="36"/>
    </row>
    <row r="282" spans="5:22">
      <c r="E282" s="36" t="str">
        <v>kanan</v>
      </c>
      <c r="F282" s="36"/>
      <c r="G282" s="36"/>
      <c r="J282" s="36" t="str">
        <v>kanan</v>
      </c>
      <c r="K282" s="36"/>
      <c r="L282" s="36"/>
      <c r="O282" s="36" t="str">
        <v>kanan</v>
      </c>
      <c r="P282" s="36"/>
      <c r="Q282" s="36"/>
      <c r="T282" s="36" t="str">
        <v>kanan</v>
      </c>
      <c r="U282" s="36"/>
      <c r="V282" s="36"/>
    </row>
    <row r="283" spans="5:22">
      <c r="E283" s="36" t="str">
        <v>kiri</v>
      </c>
      <c r="F283" s="36"/>
      <c r="G283" s="36"/>
      <c r="J283" s="36" t="str">
        <v>tengah</v>
      </c>
      <c r="K283" s="36"/>
      <c r="L283" s="36"/>
      <c r="O283" s="36" t="str">
        <v>tengah</v>
      </c>
      <c r="P283" s="36"/>
      <c r="Q283" s="36"/>
      <c r="T283" s="36" t="str">
        <v>tengah</v>
      </c>
      <c r="U283" s="36"/>
      <c r="V283" s="36"/>
    </row>
    <row r="284" spans="5:22">
      <c r="E284" s="36" t="str">
        <v>kiri</v>
      </c>
      <c r="F284" s="36"/>
      <c r="G284" s="36"/>
      <c r="J284" s="36" t="str">
        <v>kiri</v>
      </c>
      <c r="K284" s="36"/>
      <c r="L284" s="36"/>
      <c r="O284" s="36" t="str">
        <v>tengah</v>
      </c>
      <c r="P284" s="36"/>
      <c r="Q284" s="36"/>
      <c r="T284" s="36" t="str">
        <v>tengah</v>
      </c>
      <c r="U284" s="36"/>
      <c r="V284" s="36"/>
    </row>
    <row r="285" spans="5:22">
      <c r="E285" s="36" t="str">
        <v>kiri</v>
      </c>
      <c r="F285" s="36"/>
      <c r="G285" s="36"/>
      <c r="J285" s="36" t="str">
        <v>tengah</v>
      </c>
      <c r="K285" s="36"/>
      <c r="L285" s="36"/>
      <c r="O285" s="36" t="str">
        <v>tengah</v>
      </c>
      <c r="P285" s="36"/>
      <c r="Q285" s="36"/>
      <c r="T285" s="36" t="str">
        <v>tengah</v>
      </c>
      <c r="U285" s="36"/>
      <c r="V285" s="36"/>
    </row>
    <row r="286" spans="5:22">
      <c r="E286" s="36" t="str">
        <v>tengah</v>
      </c>
      <c r="F286" s="36"/>
      <c r="G286" s="36"/>
      <c r="J286" s="36" t="str">
        <v>kanan</v>
      </c>
      <c r="K286" s="36"/>
      <c r="L286" s="36"/>
      <c r="O286" s="36" t="str">
        <v>tengah</v>
      </c>
      <c r="P286" s="36"/>
      <c r="Q286" s="36"/>
      <c r="T286" s="36" t="str">
        <v>tengah</v>
      </c>
      <c r="U286" s="36"/>
      <c r="V286" s="36"/>
    </row>
    <row r="287" spans="5:22">
      <c r="E287" s="36" t="str">
        <v>tengah</v>
      </c>
      <c r="F287" s="36"/>
      <c r="G287" s="36"/>
      <c r="J287" s="36" t="str">
        <v>kanan</v>
      </c>
      <c r="K287" s="36"/>
      <c r="L287" s="36"/>
      <c r="O287" s="36" t="str">
        <v>tengah</v>
      </c>
      <c r="P287" s="36"/>
      <c r="Q287" s="36"/>
      <c r="T287" s="36" t="str">
        <v>kanan</v>
      </c>
      <c r="U287" s="36"/>
      <c r="V287" s="36"/>
    </row>
    <row r="288" spans="5:22">
      <c r="E288" s="36" t="str">
        <v>tengah</v>
      </c>
      <c r="F288" s="36"/>
      <c r="G288" s="36"/>
      <c r="J288" s="36" t="str">
        <v>tengah</v>
      </c>
      <c r="K288" s="36"/>
      <c r="L288" s="36"/>
      <c r="O288" s="36" t="str">
        <v>tengah</v>
      </c>
      <c r="P288" s="36"/>
      <c r="Q288" s="36"/>
      <c r="T288" s="36" t="str">
        <v>tengah</v>
      </c>
      <c r="U288" s="36"/>
      <c r="V288" s="36"/>
    </row>
    <row r="289" spans="5:22">
      <c r="E289" s="36" t="str">
        <v>kiri</v>
      </c>
      <c r="F289" s="36"/>
      <c r="G289" s="36"/>
      <c r="J289" s="36" t="str">
        <v>kiri</v>
      </c>
      <c r="K289" s="36"/>
      <c r="L289" s="36"/>
      <c r="O289" s="36" t="str">
        <v>kiri</v>
      </c>
      <c r="P289" s="36"/>
      <c r="Q289" s="36"/>
      <c r="T289" s="36" t="str">
        <v>kanan</v>
      </c>
      <c r="U289" s="36"/>
      <c r="V289" s="36"/>
    </row>
    <row r="290" spans="5:22">
      <c r="E290" s="36" t="str">
        <v>tengah</v>
      </c>
      <c r="F290" s="36"/>
      <c r="G290" s="36"/>
      <c r="J290" s="36" t="str">
        <v>kanan</v>
      </c>
      <c r="K290" s="36"/>
      <c r="L290" s="36"/>
      <c r="O290" s="36" t="str">
        <v>tengah</v>
      </c>
      <c r="P290" s="36"/>
      <c r="Q290" s="36"/>
      <c r="T290" s="36" t="str">
        <v>tengah</v>
      </c>
      <c r="U290" s="36"/>
      <c r="V290" s="36"/>
    </row>
    <row r="291" spans="5:22">
      <c r="E291" s="36" t="str">
        <v>kanan</v>
      </c>
      <c r="F291" s="36"/>
      <c r="G291" s="36"/>
      <c r="J291" s="36" t="str">
        <v>tengah</v>
      </c>
      <c r="K291" s="36"/>
      <c r="L291" s="36"/>
      <c r="O291" s="36" t="str">
        <v>tengah</v>
      </c>
      <c r="P291" s="36"/>
      <c r="Q291" s="36"/>
      <c r="T291" s="36" t="str">
        <v>kanan</v>
      </c>
      <c r="U291" s="36"/>
      <c r="V291" s="36"/>
    </row>
    <row r="292" spans="5:22">
      <c r="E292" s="36" t="str">
        <v>tengah</v>
      </c>
      <c r="F292" s="36"/>
      <c r="G292" s="36"/>
      <c r="J292" s="36" t="str">
        <v>tengah</v>
      </c>
      <c r="K292" s="36"/>
      <c r="L292" s="36"/>
      <c r="O292" s="36" t="str">
        <v>kanan</v>
      </c>
      <c r="P292" s="36"/>
      <c r="Q292" s="36"/>
      <c r="T292" s="36" t="str">
        <v>tengah</v>
      </c>
      <c r="U292" s="36"/>
      <c r="V292" s="36"/>
    </row>
    <row r="293" spans="5:22">
      <c r="E293" s="36" t="str">
        <v>tengah</v>
      </c>
      <c r="F293" s="36"/>
      <c r="G293" s="36"/>
      <c r="J293" s="36" t="str">
        <v>tengah</v>
      </c>
      <c r="K293" s="36"/>
      <c r="L293" s="36"/>
      <c r="O293" s="36" t="str">
        <v>tengah</v>
      </c>
      <c r="P293" s="36"/>
      <c r="Q293" s="36"/>
      <c r="T293" s="36" t="str">
        <v>tengah</v>
      </c>
      <c r="U293" s="36"/>
      <c r="V293" s="36"/>
    </row>
    <row r="294" spans="5:22">
      <c r="E294" s="36" t="str">
        <v>kanan</v>
      </c>
      <c r="F294" s="36"/>
      <c r="G294" s="36"/>
      <c r="J294" s="36" t="str">
        <v>tengah</v>
      </c>
      <c r="K294" s="36"/>
      <c r="L294" s="36"/>
      <c r="O294" s="36" t="str">
        <v>tengah</v>
      </c>
      <c r="P294" s="36"/>
      <c r="Q294" s="36"/>
      <c r="T294" s="36" t="str">
        <v>tengah</v>
      </c>
      <c r="U294" s="36"/>
      <c r="V294" s="36"/>
    </row>
    <row r="295" spans="5:22">
      <c r="E295" s="36" t="str">
        <v>tengah</v>
      </c>
      <c r="F295" s="36"/>
      <c r="G295" s="36"/>
      <c r="J295" s="36" t="str">
        <v>tengah</v>
      </c>
      <c r="K295" s="36"/>
      <c r="L295" s="36"/>
      <c r="O295" s="36" t="str">
        <v>kanan</v>
      </c>
      <c r="P295" s="36"/>
      <c r="Q295" s="36"/>
      <c r="T295" s="36" t="str">
        <v>kanan</v>
      </c>
      <c r="U295" s="36"/>
      <c r="V295" s="36"/>
    </row>
    <row r="296" spans="5:22">
      <c r="E296" s="36" t="str">
        <v>tengah</v>
      </c>
      <c r="F296" s="36"/>
      <c r="G296" s="36"/>
      <c r="J296" s="36" t="str">
        <v>kiri</v>
      </c>
      <c r="K296" s="36"/>
      <c r="L296" s="36"/>
      <c r="O296" s="36" t="str">
        <v>tengah</v>
      </c>
      <c r="P296" s="36"/>
      <c r="Q296" s="36"/>
      <c r="T296" s="36" t="str">
        <v>kanan</v>
      </c>
      <c r="U296" s="36"/>
      <c r="V296" s="36"/>
    </row>
    <row r="297" spans="5:22">
      <c r="E297" s="36" t="str">
        <v>tengah</v>
      </c>
      <c r="F297" s="36"/>
      <c r="G297" s="36"/>
      <c r="J297" s="36" t="str">
        <v>kanan</v>
      </c>
      <c r="K297" s="36"/>
      <c r="L297" s="36"/>
      <c r="O297" s="36" t="str">
        <v>tengah</v>
      </c>
      <c r="P297" s="36"/>
      <c r="Q297" s="36"/>
      <c r="T297" s="36" t="str">
        <v>kanan</v>
      </c>
      <c r="U297" s="36"/>
      <c r="V297" s="36"/>
    </row>
    <row r="298" spans="5:22">
      <c r="E298" s="36" t="str">
        <v>kanan</v>
      </c>
      <c r="F298" s="36"/>
      <c r="G298" s="36"/>
      <c r="J298" s="36" t="str">
        <v>kanan</v>
      </c>
      <c r="K298" s="36"/>
      <c r="L298" s="36"/>
      <c r="O298" s="36" t="str">
        <v>kiri</v>
      </c>
      <c r="P298" s="36"/>
      <c r="Q298" s="36"/>
      <c r="T298" s="36" t="str">
        <v>kanan</v>
      </c>
      <c r="U298" s="36"/>
      <c r="V298" s="36"/>
    </row>
    <row r="299" spans="5:22">
      <c r="E299" s="36" t="str">
        <v>tengah</v>
      </c>
      <c r="F299" s="36"/>
      <c r="G299" s="36"/>
      <c r="J299" s="36" t="str">
        <v>tengah</v>
      </c>
      <c r="K299" s="36"/>
      <c r="L299" s="36"/>
      <c r="O299" s="36" t="str">
        <v>kanan</v>
      </c>
      <c r="P299" s="36"/>
      <c r="Q299" s="36"/>
      <c r="T299" s="36" t="str">
        <v>kanan</v>
      </c>
      <c r="U299" s="36"/>
      <c r="V299" s="36"/>
    </row>
    <row r="300" spans="5:22">
      <c r="E300" s="36" t="str">
        <v>kiri</v>
      </c>
      <c r="F300" s="36"/>
      <c r="G300" s="36"/>
      <c r="J300" s="36" t="str">
        <v>tengah</v>
      </c>
      <c r="K300" s="36"/>
      <c r="L300" s="36"/>
      <c r="O300" s="36" t="str">
        <v>tengah</v>
      </c>
      <c r="P300" s="36"/>
      <c r="Q300" s="36"/>
      <c r="T300" s="36" t="str">
        <v>tengah</v>
      </c>
      <c r="U300" s="36"/>
      <c r="V300" s="36"/>
    </row>
    <row r="301" spans="5:22">
      <c r="E301" s="36" t="str">
        <v>tengah</v>
      </c>
      <c r="F301" s="36"/>
      <c r="G301" s="36"/>
      <c r="J301" s="36" t="str">
        <v>kiri</v>
      </c>
      <c r="K301" s="36"/>
      <c r="L301" s="36"/>
      <c r="O301" s="36" t="str">
        <v>tengah</v>
      </c>
      <c r="P301" s="36"/>
      <c r="Q301" s="36"/>
      <c r="T301" s="36" t="str">
        <v>kanan</v>
      </c>
      <c r="U301" s="36"/>
      <c r="V301" s="36"/>
    </row>
    <row r="302" spans="5:22">
      <c r="E302" s="36" t="str">
        <v>kiri</v>
      </c>
      <c r="F302" s="36"/>
      <c r="G302" s="36"/>
      <c r="J302" s="36" t="str">
        <v>kiri</v>
      </c>
      <c r="K302" s="36"/>
      <c r="L302" s="36"/>
      <c r="O302" s="36" t="str">
        <v>tengah</v>
      </c>
      <c r="P302" s="36"/>
      <c r="Q302" s="36"/>
      <c r="T302" s="36" t="str">
        <v>tengah</v>
      </c>
      <c r="U302" s="36"/>
      <c r="V302" s="36"/>
    </row>
    <row r="303" spans="5:22">
      <c r="E303" s="36" t="str">
        <v>tengah</v>
      </c>
      <c r="F303" s="36"/>
      <c r="G303" s="36"/>
      <c r="J303" s="36" t="str">
        <v>kanan</v>
      </c>
      <c r="K303" s="36"/>
      <c r="L303" s="36"/>
      <c r="O303" s="36" t="str">
        <v>tengah</v>
      </c>
      <c r="P303" s="36"/>
      <c r="Q303" s="36"/>
      <c r="T303" s="36" t="str">
        <v>tengah</v>
      </c>
      <c r="U303" s="36"/>
      <c r="V303" s="36"/>
    </row>
    <row r="304" spans="5:22">
      <c r="E304" s="36" t="str">
        <v>tengah</v>
      </c>
      <c r="F304" s="36"/>
      <c r="G304" s="36"/>
      <c r="J304" s="36" t="str">
        <v>tengah</v>
      </c>
      <c r="K304" s="36"/>
      <c r="L304" s="36"/>
      <c r="O304" s="36" t="str">
        <v>kanan</v>
      </c>
      <c r="P304" s="36"/>
      <c r="Q304" s="36"/>
      <c r="T304" s="36" t="str">
        <v>kanan</v>
      </c>
      <c r="U304" s="36"/>
      <c r="V304" s="36"/>
    </row>
    <row r="305" spans="5:22">
      <c r="E305" s="36" t="str">
        <v>tengah</v>
      </c>
      <c r="F305" s="36"/>
      <c r="G305" s="36"/>
      <c r="J305" s="36" t="str">
        <v>kanan</v>
      </c>
      <c r="K305" s="36"/>
      <c r="L305" s="36"/>
      <c r="O305" s="36" t="str">
        <v>tengah</v>
      </c>
      <c r="P305" s="36"/>
      <c r="Q305" s="36"/>
      <c r="T305" s="36" t="str">
        <v>tengah</v>
      </c>
      <c r="U305" s="36"/>
      <c r="V305" s="36"/>
    </row>
    <row r="306" spans="5:22">
      <c r="E306" s="36" t="str">
        <v>kiri</v>
      </c>
      <c r="F306" s="36"/>
      <c r="G306" s="36"/>
      <c r="J306" s="36" t="str">
        <v>tengah</v>
      </c>
      <c r="K306" s="36"/>
      <c r="L306" s="36"/>
      <c r="O306" s="36" t="str">
        <v>tengah</v>
      </c>
      <c r="P306" s="36"/>
      <c r="Q306" s="36"/>
      <c r="T306" s="36" t="str">
        <v>tengah</v>
      </c>
      <c r="U306" s="36"/>
      <c r="V306" s="36"/>
    </row>
    <row r="307" spans="5:22">
      <c r="E307" s="36" t="str">
        <v>kanan</v>
      </c>
      <c r="F307" s="36"/>
      <c r="G307" s="36"/>
      <c r="J307" s="36" t="str">
        <v>tengah</v>
      </c>
      <c r="K307" s="36"/>
      <c r="L307" s="36"/>
      <c r="O307" s="36" t="str">
        <v>kanan</v>
      </c>
      <c r="P307" s="36"/>
      <c r="Q307" s="36"/>
      <c r="T307" s="36" t="str">
        <v>kanan</v>
      </c>
      <c r="U307" s="36"/>
      <c r="V307" s="36"/>
    </row>
    <row r="308" spans="5:22">
      <c r="E308" s="36" t="str">
        <v>kiri</v>
      </c>
      <c r="F308" s="36"/>
      <c r="G308" s="36"/>
      <c r="J308" s="36" t="str">
        <v>tengah</v>
      </c>
      <c r="K308" s="36"/>
      <c r="L308" s="36"/>
      <c r="O308" s="36" t="str">
        <v>tengah</v>
      </c>
      <c r="P308" s="36"/>
      <c r="Q308" s="36"/>
      <c r="T308" s="36" t="str">
        <v>tengah</v>
      </c>
      <c r="U308" s="36"/>
      <c r="V308" s="36"/>
    </row>
    <row r="309" spans="5:22">
      <c r="E309" s="36" t="str">
        <v>tengah</v>
      </c>
      <c r="F309" s="36"/>
      <c r="G309" s="36"/>
      <c r="J309" s="36" t="str">
        <v>kiri</v>
      </c>
      <c r="K309" s="36"/>
      <c r="L309" s="36"/>
      <c r="O309" s="36" t="str">
        <v>tengah</v>
      </c>
      <c r="P309" s="36"/>
      <c r="Q309" s="36"/>
      <c r="T309" s="36" t="str">
        <v>kanan</v>
      </c>
      <c r="U309" s="36"/>
      <c r="V309" s="36"/>
    </row>
    <row r="310" spans="5:22">
      <c r="E310" s="36" t="str">
        <v>tengah</v>
      </c>
      <c r="F310" s="36"/>
      <c r="G310" s="36"/>
      <c r="J310" s="36" t="str">
        <v>tengah</v>
      </c>
      <c r="K310" s="36"/>
      <c r="L310" s="36"/>
      <c r="O310" s="36" t="str">
        <v>tengah</v>
      </c>
      <c r="P310" s="36"/>
      <c r="Q310" s="36"/>
      <c r="T310" s="36" t="str">
        <v>tengah</v>
      </c>
      <c r="U310" s="36"/>
      <c r="V310" s="36"/>
    </row>
    <row r="311" spans="5:22">
      <c r="E311" s="36" t="str">
        <v>tengah</v>
      </c>
      <c r="F311" s="36"/>
      <c r="G311" s="36"/>
      <c r="J311" s="36" t="str">
        <v>tengah</v>
      </c>
      <c r="K311" s="36"/>
      <c r="L311" s="36"/>
      <c r="O311" s="36" t="str">
        <v>kiri</v>
      </c>
      <c r="P311" s="36"/>
      <c r="Q311" s="36"/>
      <c r="T311" s="36" t="str">
        <v>kanan</v>
      </c>
      <c r="U311" s="36"/>
      <c r="V311" s="36"/>
    </row>
    <row r="312" spans="5:22">
      <c r="E312" s="36" t="str">
        <v>kanan</v>
      </c>
      <c r="F312" s="36"/>
      <c r="G312" s="36"/>
      <c r="J312" s="36" t="str">
        <v>kanan</v>
      </c>
      <c r="K312" s="36"/>
      <c r="L312" s="36"/>
      <c r="O312" s="36" t="str">
        <v>tengah</v>
      </c>
      <c r="P312" s="36"/>
      <c r="Q312" s="36"/>
      <c r="T312" s="36" t="str">
        <v>kanan</v>
      </c>
      <c r="U312" s="36"/>
      <c r="V312" s="36"/>
    </row>
    <row r="313" spans="5:22">
      <c r="E313" s="36" t="str">
        <v>tengah</v>
      </c>
      <c r="F313" s="36"/>
      <c r="G313" s="36"/>
      <c r="J313" s="36" t="str">
        <v>kiri</v>
      </c>
      <c r="K313" s="36"/>
      <c r="L313" s="36"/>
      <c r="O313" s="36" t="str">
        <v>kanan</v>
      </c>
      <c r="P313" s="36"/>
      <c r="Q313" s="36"/>
      <c r="T313" s="36" t="str">
        <v>tengah</v>
      </c>
      <c r="U313" s="36"/>
      <c r="V313" s="36"/>
    </row>
    <row r="314" spans="5:22">
      <c r="E314" s="36" t="str">
        <v>tengah</v>
      </c>
      <c r="F314" s="36"/>
      <c r="G314" s="36"/>
      <c r="J314" s="36" t="str">
        <v>kanan</v>
      </c>
      <c r="K314" s="36"/>
      <c r="L314" s="36"/>
      <c r="O314" s="36" t="str">
        <v>tengah</v>
      </c>
      <c r="P314" s="36"/>
      <c r="Q314" s="36"/>
      <c r="T314" s="36" t="str">
        <v>tengah</v>
      </c>
      <c r="U314" s="36"/>
      <c r="V314" s="36"/>
    </row>
    <row r="315" spans="5:22">
      <c r="E315" s="36" t="str">
        <v>tengah</v>
      </c>
      <c r="F315" s="36"/>
      <c r="G315" s="36"/>
      <c r="J315" s="36" t="str">
        <v>tengah</v>
      </c>
      <c r="K315" s="36"/>
      <c r="L315" s="36"/>
      <c r="O315" s="36" t="str">
        <v>tengah</v>
      </c>
      <c r="P315" s="36"/>
      <c r="Q315" s="36"/>
      <c r="T315" s="36" t="str">
        <v>kanan</v>
      </c>
      <c r="U315" s="36"/>
      <c r="V315" s="36"/>
    </row>
    <row r="316" spans="5:22">
      <c r="E316" s="36" t="str">
        <v>tengah</v>
      </c>
      <c r="F316" s="36"/>
      <c r="G316" s="36"/>
      <c r="J316" s="36" t="str">
        <v>kiri</v>
      </c>
      <c r="K316" s="36"/>
      <c r="L316" s="36"/>
      <c r="O316" s="36" t="str">
        <v>kiri</v>
      </c>
      <c r="P316" s="36"/>
      <c r="Q316" s="36"/>
      <c r="T316" s="36" t="str">
        <v>tengah</v>
      </c>
      <c r="U316" s="36"/>
      <c r="V316" s="36"/>
    </row>
    <row r="317" spans="5:22">
      <c r="E317" s="36" t="str">
        <v>kanan</v>
      </c>
      <c r="F317" s="36"/>
      <c r="G317" s="36"/>
      <c r="J317" s="36" t="str">
        <v>tengah</v>
      </c>
      <c r="K317" s="36"/>
      <c r="L317" s="36"/>
      <c r="O317" s="36" t="str">
        <v>tengah</v>
      </c>
      <c r="P317" s="36"/>
      <c r="Q317" s="36"/>
      <c r="T317" s="36" t="str">
        <v>tengah</v>
      </c>
      <c r="U317" s="36"/>
      <c r="V317" s="36"/>
    </row>
    <row r="318" spans="5:22">
      <c r="E318" s="36" t="str">
        <v>tengah</v>
      </c>
      <c r="F318" s="36"/>
      <c r="G318" s="36"/>
      <c r="J318" s="36" t="str">
        <v>kanan</v>
      </c>
      <c r="K318" s="36"/>
      <c r="L318" s="36"/>
      <c r="O318" s="36" t="str">
        <v>tengah</v>
      </c>
      <c r="P318" s="36"/>
      <c r="Q318" s="36"/>
      <c r="T318" s="36" t="str">
        <v>tengah</v>
      </c>
      <c r="U318" s="36"/>
      <c r="V318" s="36"/>
    </row>
    <row r="319" spans="5:22">
      <c r="E319" s="36" t="str">
        <v>tengah</v>
      </c>
      <c r="F319" s="36"/>
      <c r="G319" s="36"/>
      <c r="J319" s="36" t="str">
        <v>kanan</v>
      </c>
      <c r="K319" s="36"/>
      <c r="L319" s="36"/>
      <c r="O319" s="36" t="str">
        <v>kanan</v>
      </c>
      <c r="P319" s="36"/>
      <c r="Q319" s="36"/>
      <c r="T319" s="36" t="str">
        <v>tengah</v>
      </c>
      <c r="U319" s="36"/>
      <c r="V319" s="36"/>
    </row>
    <row r="320" spans="5:22">
      <c r="E320" s="36" t="str">
        <v>kanan</v>
      </c>
      <c r="F320" s="36"/>
      <c r="G320" s="36"/>
      <c r="J320" s="36" t="str">
        <v>tengah</v>
      </c>
      <c r="K320" s="36"/>
      <c r="L320" s="36"/>
      <c r="O320" s="36" t="str">
        <v>kiri</v>
      </c>
      <c r="P320" s="36"/>
      <c r="Q320" s="36"/>
      <c r="T320" s="36" t="str">
        <v>tengah</v>
      </c>
      <c r="U320" s="36"/>
      <c r="V320" s="36"/>
    </row>
    <row r="321" spans="5:22">
      <c r="E321" s="36" t="str">
        <v>kanan</v>
      </c>
      <c r="F321" s="36"/>
      <c r="G321" s="36"/>
      <c r="J321" s="36" t="str">
        <v>kanan</v>
      </c>
      <c r="K321" s="36"/>
      <c r="L321" s="36"/>
      <c r="O321" s="36" t="str">
        <v>kiri</v>
      </c>
      <c r="P321" s="36"/>
      <c r="Q321" s="36"/>
      <c r="T321" s="36" t="str">
        <v>kanan</v>
      </c>
      <c r="U321" s="36"/>
      <c r="V321" s="36"/>
    </row>
    <row r="322" spans="5:22">
      <c r="E322" s="36" t="str">
        <v>kiri</v>
      </c>
      <c r="F322" s="36"/>
      <c r="G322" s="36"/>
      <c r="J322" s="36" t="str">
        <v>tengah</v>
      </c>
      <c r="K322" s="36"/>
      <c r="L322" s="36"/>
      <c r="O322" s="36" t="str">
        <v>kanan</v>
      </c>
      <c r="P322" s="36"/>
      <c r="Q322" s="36"/>
      <c r="T322" s="36" t="str">
        <v>tengah</v>
      </c>
      <c r="U322" s="36"/>
      <c r="V322" s="36"/>
    </row>
    <row r="323" spans="5:22">
      <c r="E323" s="36" t="str">
        <v>tengah</v>
      </c>
      <c r="F323" s="36"/>
      <c r="G323" s="36"/>
      <c r="J323" s="36" t="str">
        <v>kiri</v>
      </c>
      <c r="K323" s="36"/>
      <c r="L323" s="36"/>
      <c r="O323" s="36" t="str">
        <v>kanan</v>
      </c>
      <c r="P323" s="36"/>
      <c r="Q323" s="36"/>
      <c r="T323" s="36" t="str">
        <v>tengah</v>
      </c>
      <c r="U323" s="36"/>
      <c r="V323" s="36"/>
    </row>
    <row r="324" spans="5:22">
      <c r="E324" s="36" t="str">
        <v>tengah</v>
      </c>
      <c r="F324" s="36"/>
      <c r="G324" s="36"/>
      <c r="J324" s="36" t="str">
        <v>tengah</v>
      </c>
      <c r="K324" s="36"/>
      <c r="L324" s="36"/>
      <c r="O324" s="36" t="str">
        <v>tengah</v>
      </c>
      <c r="P324" s="36"/>
      <c r="Q324" s="36"/>
      <c r="T324" s="36" t="str">
        <v>kanan</v>
      </c>
      <c r="U324" s="36"/>
      <c r="V324" s="36"/>
    </row>
    <row r="325" spans="5:22">
      <c r="E325" s="36" t="str">
        <v>tengah</v>
      </c>
      <c r="F325" s="36"/>
      <c r="G325" s="36"/>
      <c r="J325" s="36" t="str">
        <v>tengah</v>
      </c>
      <c r="K325" s="36"/>
      <c r="L325" s="36"/>
      <c r="O325" s="36" t="str">
        <v>tengah</v>
      </c>
      <c r="P325" s="36"/>
      <c r="Q325" s="36"/>
      <c r="T325" s="36" t="str">
        <v>kanan</v>
      </c>
      <c r="U325" s="36"/>
      <c r="V325" s="36"/>
    </row>
    <row r="326" spans="5:22">
      <c r="E326" s="36" t="str">
        <v>kanan</v>
      </c>
      <c r="F326" s="36"/>
      <c r="G326" s="36"/>
      <c r="J326" s="36" t="str">
        <v>tengah</v>
      </c>
      <c r="K326" s="36"/>
      <c r="L326" s="36"/>
      <c r="O326" s="36" t="str">
        <v>tengah</v>
      </c>
      <c r="P326" s="36"/>
      <c r="Q326" s="36"/>
      <c r="T326" s="36" t="str">
        <v>kanan</v>
      </c>
      <c r="U326" s="36"/>
      <c r="V326" s="36"/>
    </row>
    <row r="327" spans="5:22">
      <c r="E327" s="36" t="str">
        <v>kiri</v>
      </c>
      <c r="F327" s="36"/>
      <c r="G327" s="36"/>
      <c r="J327" s="36" t="str">
        <v>kanan</v>
      </c>
      <c r="K327" s="36"/>
      <c r="L327" s="36"/>
      <c r="O327" s="36" t="str">
        <v>kiri</v>
      </c>
      <c r="P327" s="36"/>
      <c r="Q327" s="36"/>
      <c r="T327" s="36" t="str">
        <v>tengah</v>
      </c>
      <c r="U327" s="36"/>
      <c r="V327" s="36"/>
    </row>
    <row r="328" spans="5:22">
      <c r="E328" s="36" t="str">
        <v>tengah</v>
      </c>
      <c r="F328" s="36"/>
      <c r="G328" s="36"/>
      <c r="J328" s="36" t="str">
        <v>tengah</v>
      </c>
      <c r="K328" s="36"/>
      <c r="L328" s="36"/>
      <c r="O328" s="36" t="str">
        <v>tengah</v>
      </c>
      <c r="P328" s="36"/>
      <c r="Q328" s="36"/>
      <c r="T328" s="36" t="str">
        <v>tengah</v>
      </c>
      <c r="U328" s="36"/>
      <c r="V328" s="36"/>
    </row>
    <row r="329" spans="5:22">
      <c r="E329" s="36" t="str">
        <v>kiri</v>
      </c>
      <c r="F329" s="36"/>
      <c r="G329" s="36"/>
      <c r="J329" s="36" t="str">
        <v>kiri</v>
      </c>
      <c r="K329" s="36"/>
      <c r="L329" s="36"/>
      <c r="O329" s="36" t="str">
        <v>tengah</v>
      </c>
      <c r="P329" s="36"/>
      <c r="Q329" s="36"/>
      <c r="T329" s="36" t="str">
        <v>tengah</v>
      </c>
      <c r="U329" s="36"/>
      <c r="V329" s="36"/>
    </row>
    <row r="330" spans="5:22">
      <c r="E330" s="36" t="str">
        <v>kiri</v>
      </c>
      <c r="F330" s="36"/>
      <c r="G330" s="36"/>
      <c r="J330" s="36" t="str">
        <v>kiri</v>
      </c>
      <c r="K330" s="36"/>
      <c r="L330" s="36"/>
      <c r="O330" s="36" t="str">
        <v>tengah</v>
      </c>
      <c r="P330" s="36"/>
      <c r="Q330" s="36"/>
      <c r="T330" s="36" t="str">
        <v>kanan</v>
      </c>
      <c r="U330" s="36"/>
      <c r="V330" s="36"/>
    </row>
    <row r="331" spans="5:22">
      <c r="E331" s="36" t="str">
        <v>tengah</v>
      </c>
      <c r="F331" s="36"/>
      <c r="G331" s="36"/>
      <c r="J331" s="36" t="str">
        <v>tengah</v>
      </c>
      <c r="K331" s="36"/>
      <c r="L331" s="36"/>
      <c r="O331" s="36" t="str">
        <v>tengah</v>
      </c>
      <c r="P331" s="36"/>
      <c r="Q331" s="36"/>
      <c r="T331" s="36" t="str">
        <v>kanan</v>
      </c>
      <c r="U331" s="36"/>
      <c r="V331" s="36"/>
    </row>
    <row r="332" spans="5:22">
      <c r="E332" s="36" t="str">
        <v>tengah</v>
      </c>
      <c r="F332" s="36"/>
      <c r="G332" s="36"/>
      <c r="J332" s="36" t="str">
        <v>tengah</v>
      </c>
      <c r="K332" s="36"/>
      <c r="L332" s="36"/>
      <c r="O332" s="36" t="str">
        <v>tengah</v>
      </c>
      <c r="P332" s="36"/>
      <c r="Q332" s="36"/>
      <c r="T332" s="36" t="str">
        <v>tengah</v>
      </c>
      <c r="U332" s="36"/>
      <c r="V332" s="36"/>
    </row>
  </sheetData>
  <pageMargins left="0.7" right="0.7" top="0.75" bottom="0.75" header="0.3" footer="0.3"/>
  <headerFooter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32"/>
  <sheetViews>
    <sheetView topLeftCell="A184" workbookViewId="0">
      <selection activeCell="G197" sqref="G197"/>
    </sheetView>
  </sheetViews>
  <sheetFormatPr defaultColWidth="9" defaultRowHeight="15"/>
  <cols>
    <col min="3" max="3" width="15.8518518518519" customWidth="1"/>
    <col min="4" max="4" width="13.2814814814815" customWidth="1"/>
    <col min="5" max="5" width="13.8518518518519" customWidth="1"/>
    <col min="6" max="6" width="12.5703703703704" customWidth="1"/>
    <col min="10" max="10" width="15.8518518518519" customWidth="1"/>
    <col min="11" max="11" width="13.2814814814815" customWidth="1"/>
    <col min="12" max="12" width="13.8518518518519" customWidth="1"/>
  </cols>
  <sheetData>
    <row r="1" spans="1:17">
      <c r="A1" s="35" t="s">
        <v>183</v>
      </c>
      <c r="B1" s="35" t="s">
        <v>1</v>
      </c>
      <c r="C1" s="35" t="s">
        <v>2</v>
      </c>
      <c r="D1" s="35" t="s">
        <v>4</v>
      </c>
      <c r="E1" s="35" t="s">
        <v>5</v>
      </c>
      <c r="H1" s="47" t="s">
        <v>183</v>
      </c>
      <c r="I1" s="47" t="s">
        <v>1</v>
      </c>
      <c r="J1" s="47" t="s">
        <v>2</v>
      </c>
      <c r="K1" s="47" t="s">
        <v>4</v>
      </c>
      <c r="L1" s="47" t="s">
        <v>5</v>
      </c>
      <c r="O1" s="35" t="s">
        <v>184</v>
      </c>
      <c r="P1" s="38"/>
      <c r="Q1" s="38"/>
    </row>
    <row r="2" spans="1:17">
      <c r="A2" s="36">
        <f ca="1">RANDBETWEEN(2,164)</f>
        <v>138</v>
      </c>
      <c r="B2" s="36">
        <f ca="1" t="array" ref="B2">INDEX(Data_DBD!$B:$B,$A2)</f>
        <v>13</v>
      </c>
      <c r="C2" s="36" t="str">
        <f ca="1" t="array" ref="C2">INDEX(Data_DBD!$C:$C,$A2)</f>
        <v>3 Hari</v>
      </c>
      <c r="D2" s="36">
        <f ca="1" t="array" ref="D2">INDEX(Data_DBD!$E:$E,$A2)</f>
        <v>1</v>
      </c>
      <c r="E2" s="36" t="str">
        <f ca="1" t="array" ref="E2">INDEX(Data_DBD!$F:$F,$A2)</f>
        <v>Tinggi</v>
      </c>
      <c r="H2" s="36">
        <v>54</v>
      </c>
      <c r="I2" s="36">
        <v>7</v>
      </c>
      <c r="J2" s="36">
        <v>3</v>
      </c>
      <c r="K2" s="36">
        <v>0</v>
      </c>
      <c r="L2" s="36" t="s">
        <v>8</v>
      </c>
      <c r="O2" s="38" t="s">
        <v>105</v>
      </c>
      <c r="P2" s="38">
        <f>COUNTIF(L2:L164,"Tinggi")</f>
        <v>69</v>
      </c>
      <c r="Q2" s="38">
        <f>P2/163</f>
        <v>0.423312883435583</v>
      </c>
    </row>
    <row r="3" spans="1:17">
      <c r="A3" s="36">
        <f ca="1" t="shared" ref="A3:A66" si="0">RANDBETWEEN(2,164)</f>
        <v>147</v>
      </c>
      <c r="B3" s="36">
        <f ca="1" t="array" ref="B3">INDEX(Data_DBD!$B:$B,$A3)</f>
        <v>66</v>
      </c>
      <c r="C3" s="36" t="str">
        <f ca="1" t="array" ref="C3">INDEX(Data_DBD!$C:$C,$A3)</f>
        <v>10 Hari</v>
      </c>
      <c r="D3" s="36">
        <f ca="1" t="array" ref="D3">INDEX(Data_DBD!$E:$E,$A3)</f>
        <v>1</v>
      </c>
      <c r="E3" s="36" t="str">
        <f ca="1" t="array" ref="E3">INDEX(Data_DBD!$F:$F,$A3)</f>
        <v>Tinggi</v>
      </c>
      <c r="H3" s="36">
        <v>91</v>
      </c>
      <c r="I3" s="36">
        <v>35</v>
      </c>
      <c r="J3" s="36">
        <v>1</v>
      </c>
      <c r="K3" s="36">
        <v>1</v>
      </c>
      <c r="L3" s="36" t="s">
        <v>105</v>
      </c>
      <c r="O3" s="38" t="s">
        <v>8</v>
      </c>
      <c r="P3" s="38">
        <f>COUNTIF(L2:L164,"Sedang")</f>
        <v>84</v>
      </c>
      <c r="Q3" s="38">
        <f>P3/163</f>
        <v>0.515337423312883</v>
      </c>
    </row>
    <row r="4" spans="1:17">
      <c r="A4" s="36">
        <f ca="1" t="shared" si="0"/>
        <v>98</v>
      </c>
      <c r="B4" s="36">
        <f ca="1" t="array" ref="B4">INDEX(Data_DBD!$B:$B,$A4)</f>
        <v>16</v>
      </c>
      <c r="C4" s="36" t="str">
        <f ca="1" t="array" ref="C4">INDEX(Data_DBD!$C:$C,$A4)</f>
        <v>2 Hari</v>
      </c>
      <c r="D4" s="36">
        <f ca="1" t="array" ref="D4">INDEX(Data_DBD!$E:$E,$A4)</f>
        <v>1</v>
      </c>
      <c r="E4" s="36" t="str">
        <f ca="1" t="array" ref="E4">INDEX(Data_DBD!$F:$F,$A4)</f>
        <v>Tinggi</v>
      </c>
      <c r="H4" s="36">
        <v>59</v>
      </c>
      <c r="I4" s="36">
        <v>28</v>
      </c>
      <c r="J4" s="36">
        <v>4</v>
      </c>
      <c r="K4" s="36">
        <v>0</v>
      </c>
      <c r="L4" s="36" t="s">
        <v>8</v>
      </c>
      <c r="O4" s="38" t="s">
        <v>26</v>
      </c>
      <c r="P4" s="38">
        <f>COUNTIF(L2:L164,"Rendah")</f>
        <v>10</v>
      </c>
      <c r="Q4" s="38">
        <f>P4/163</f>
        <v>0.0613496932515337</v>
      </c>
    </row>
    <row r="5" spans="1:16">
      <c r="A5" s="36">
        <f ca="1" t="shared" si="0"/>
        <v>32</v>
      </c>
      <c r="B5" s="36">
        <f ca="1" t="array" ref="B5">INDEX(Data_DBD!$B:$B,$A5)</f>
        <v>54</v>
      </c>
      <c r="C5" s="36" t="str">
        <f ca="1" t="array" ref="C5">INDEX(Data_DBD!$C:$C,$A5)</f>
        <v>4 Hari</v>
      </c>
      <c r="D5" s="36">
        <f ca="1" t="array" ref="D5">INDEX(Data_DBD!$E:$E,$A5)</f>
        <v>0</v>
      </c>
      <c r="E5" s="36" t="str">
        <f ca="1" t="array" ref="E5">INDEX(Data_DBD!$F:$F,$A5)</f>
        <v>Sedang</v>
      </c>
      <c r="H5" s="36">
        <v>38</v>
      </c>
      <c r="I5" s="36">
        <v>52</v>
      </c>
      <c r="J5" s="36">
        <v>3</v>
      </c>
      <c r="K5" s="36">
        <v>1</v>
      </c>
      <c r="L5" s="36" t="s">
        <v>26</v>
      </c>
      <c r="O5" s="39" t="s">
        <v>185</v>
      </c>
      <c r="P5">
        <f>-(IFERROR(Q2*LOG(Q2,2),0)+IFERROR(Q3*LOG(Q3,2),0)+IFERROR(Q4*LOG(Q4,2),0))</f>
        <v>1.26491139361768</v>
      </c>
    </row>
    <row r="6" spans="1:12">
      <c r="A6" s="36">
        <f ca="1" t="shared" si="0"/>
        <v>88</v>
      </c>
      <c r="B6" s="36">
        <f ca="1" t="array" ref="B6">INDEX(Data_DBD!$B:$B,$A6)</f>
        <v>20</v>
      </c>
      <c r="C6" s="36" t="str">
        <f ca="1" t="array" ref="C6">INDEX(Data_DBD!$C:$C,$A6)</f>
        <v>4 Hari</v>
      </c>
      <c r="D6" s="36">
        <f ca="1" t="array" ref="D6">INDEX(Data_DBD!$E:$E,$A6)</f>
        <v>1</v>
      </c>
      <c r="E6" s="36" t="str">
        <f ca="1" t="array" ref="E6">INDEX(Data_DBD!$F:$F,$A6)</f>
        <v>Sedang</v>
      </c>
      <c r="H6" s="36">
        <v>142</v>
      </c>
      <c r="I6" s="36">
        <v>39</v>
      </c>
      <c r="J6" s="36">
        <v>2</v>
      </c>
      <c r="K6" s="36">
        <v>1</v>
      </c>
      <c r="L6" s="36" t="s">
        <v>105</v>
      </c>
    </row>
    <row r="7" spans="1:12">
      <c r="A7" s="36">
        <f ca="1" t="shared" si="0"/>
        <v>123</v>
      </c>
      <c r="B7" s="36">
        <f ca="1" t="array" ref="B7">INDEX(Data_DBD!$B:$B,$A7)</f>
        <v>22</v>
      </c>
      <c r="C7" s="36" t="str">
        <f ca="1" t="array" ref="C7">INDEX(Data_DBD!$C:$C,$A7)</f>
        <v>4 Hari</v>
      </c>
      <c r="D7" s="36">
        <f ca="1" t="array" ref="D7">INDEX(Data_DBD!$E:$E,$A7)</f>
        <v>0</v>
      </c>
      <c r="E7" s="36" t="str">
        <f ca="1" t="array" ref="E7">INDEX(Data_DBD!$F:$F,$A7)</f>
        <v>Tinggi</v>
      </c>
      <c r="H7" s="36">
        <v>142</v>
      </c>
      <c r="I7" s="36">
        <v>39</v>
      </c>
      <c r="J7" s="36">
        <v>2</v>
      </c>
      <c r="K7" s="36">
        <v>1</v>
      </c>
      <c r="L7" s="36" t="s">
        <v>105</v>
      </c>
    </row>
    <row r="8" spans="1:12">
      <c r="A8" s="36">
        <f ca="1" t="shared" si="0"/>
        <v>152</v>
      </c>
      <c r="B8" s="36">
        <f ca="1" t="array" ref="B8">INDEX(Data_DBD!$B:$B,$A8)</f>
        <v>47</v>
      </c>
      <c r="C8" s="36" t="str">
        <f ca="1" t="array" ref="C8">INDEX(Data_DBD!$C:$C,$A8)</f>
        <v>3 Hari</v>
      </c>
      <c r="D8" s="36">
        <f ca="1" t="array" ref="D8">INDEX(Data_DBD!$E:$E,$A8)</f>
        <v>1</v>
      </c>
      <c r="E8" s="36" t="str">
        <f ca="1" t="array" ref="E8">INDEX(Data_DBD!$F:$F,$A8)</f>
        <v>Tinggi</v>
      </c>
      <c r="H8" s="36">
        <v>33</v>
      </c>
      <c r="I8" s="36">
        <v>19</v>
      </c>
      <c r="J8" s="36">
        <v>4</v>
      </c>
      <c r="K8" s="36">
        <v>1</v>
      </c>
      <c r="L8" s="36" t="s">
        <v>8</v>
      </c>
    </row>
    <row r="9" spans="1:12">
      <c r="A9" s="36">
        <f ca="1" t="shared" si="0"/>
        <v>36</v>
      </c>
      <c r="B9" s="36">
        <f ca="1" t="array" ref="B9">INDEX(Data_DBD!$B:$B,$A9)</f>
        <v>27</v>
      </c>
      <c r="C9" s="36" t="str">
        <f ca="1" t="array" ref="C9">INDEX(Data_DBD!$C:$C,$A9)</f>
        <v>1 Hari</v>
      </c>
      <c r="D9" s="36">
        <f ca="1" t="array" ref="D9">INDEX(Data_DBD!$E:$E,$A9)</f>
        <v>1</v>
      </c>
      <c r="E9" s="36" t="str">
        <f ca="1" t="array" ref="E9">INDEX(Data_DBD!$F:$F,$A9)</f>
        <v>Rendah</v>
      </c>
      <c r="H9" s="36">
        <v>106</v>
      </c>
      <c r="I9" s="36">
        <v>23</v>
      </c>
      <c r="J9" s="36">
        <v>3</v>
      </c>
      <c r="K9" s="36">
        <v>1</v>
      </c>
      <c r="L9" s="36" t="s">
        <v>105</v>
      </c>
    </row>
    <row r="10" spans="1:12">
      <c r="A10" s="36">
        <f ca="1" t="shared" si="0"/>
        <v>122</v>
      </c>
      <c r="B10" s="36">
        <f ca="1" t="array" ref="B10">INDEX(Data_DBD!$B:$B,$A10)</f>
        <v>28</v>
      </c>
      <c r="C10" s="36" t="str">
        <f ca="1" t="array" ref="C10">INDEX(Data_DBD!$C:$C,$A10)</f>
        <v>3 Hari</v>
      </c>
      <c r="D10" s="36">
        <f ca="1" t="array" ref="D10">INDEX(Data_DBD!$E:$E,$A10)</f>
        <v>1</v>
      </c>
      <c r="E10" s="36" t="str">
        <f ca="1" t="array" ref="E10">INDEX(Data_DBD!$F:$F,$A10)</f>
        <v>Tinggi</v>
      </c>
      <c r="H10" s="36">
        <v>109</v>
      </c>
      <c r="I10" s="36">
        <v>40</v>
      </c>
      <c r="J10" s="36">
        <v>3</v>
      </c>
      <c r="K10" s="36">
        <v>1</v>
      </c>
      <c r="L10" s="36" t="s">
        <v>105</v>
      </c>
    </row>
    <row r="11" spans="1:12">
      <c r="A11" s="36">
        <f ca="1" t="shared" si="0"/>
        <v>159</v>
      </c>
      <c r="B11" s="36">
        <f ca="1" t="array" ref="B11">INDEX(Data_DBD!$B:$B,$A11)</f>
        <v>17</v>
      </c>
      <c r="C11" s="36" t="str">
        <f ca="1" t="array" ref="C11">INDEX(Data_DBD!$C:$C,$A11)</f>
        <v>2 Hari</v>
      </c>
      <c r="D11" s="36">
        <f ca="1" t="array" ref="D11">INDEX(Data_DBD!$E:$E,$A11)</f>
        <v>0</v>
      </c>
      <c r="E11" s="36" t="str">
        <f ca="1" t="array" ref="E11">INDEX(Data_DBD!$F:$F,$A11)</f>
        <v>Tinggi</v>
      </c>
      <c r="H11" s="36">
        <v>152</v>
      </c>
      <c r="I11" s="36">
        <v>47</v>
      </c>
      <c r="J11" s="36">
        <v>3</v>
      </c>
      <c r="K11" s="36">
        <v>1</v>
      </c>
      <c r="L11" s="36" t="s">
        <v>105</v>
      </c>
    </row>
    <row r="12" spans="1:12">
      <c r="A12" s="36">
        <f ca="1" t="shared" si="0"/>
        <v>60</v>
      </c>
      <c r="B12" s="36">
        <f ca="1" t="array" ref="B12">INDEX(Data_DBD!$B:$B,$A12)</f>
        <v>68</v>
      </c>
      <c r="C12" s="36" t="str">
        <f ca="1" t="array" ref="C12">INDEX(Data_DBD!$C:$C,$A12)</f>
        <v>4 Hari</v>
      </c>
      <c r="D12" s="36">
        <f ca="1" t="array" ref="D12">INDEX(Data_DBD!$E:$E,$A12)</f>
        <v>0</v>
      </c>
      <c r="E12" s="36" t="str">
        <f ca="1" t="array" ref="E12">INDEX(Data_DBD!$F:$F,$A12)</f>
        <v>Sedang</v>
      </c>
      <c r="H12" s="36">
        <v>35</v>
      </c>
      <c r="I12" s="36">
        <v>40</v>
      </c>
      <c r="J12" s="36">
        <v>3</v>
      </c>
      <c r="K12" s="36">
        <v>1</v>
      </c>
      <c r="L12" s="36" t="s">
        <v>26</v>
      </c>
    </row>
    <row r="13" spans="1:12">
      <c r="A13" s="36">
        <f ca="1" t="shared" si="0"/>
        <v>35</v>
      </c>
      <c r="B13" s="36">
        <f ca="1" t="array" ref="B13">INDEX(Data_DBD!$B:$B,$A13)</f>
        <v>40</v>
      </c>
      <c r="C13" s="36" t="str">
        <f ca="1" t="array" ref="C13">INDEX(Data_DBD!$C:$C,$A13)</f>
        <v>3 Hari</v>
      </c>
      <c r="D13" s="36">
        <f ca="1" t="array" ref="D13">INDEX(Data_DBD!$E:$E,$A13)</f>
        <v>1</v>
      </c>
      <c r="E13" s="36" t="str">
        <f ca="1" t="array" ref="E13">INDEX(Data_DBD!$F:$F,$A13)</f>
        <v>Rendah</v>
      </c>
      <c r="H13" s="36">
        <v>129</v>
      </c>
      <c r="I13" s="36">
        <v>4</v>
      </c>
      <c r="J13" s="36">
        <v>3</v>
      </c>
      <c r="K13" s="36">
        <v>0</v>
      </c>
      <c r="L13" s="36" t="s">
        <v>105</v>
      </c>
    </row>
    <row r="14" spans="1:12">
      <c r="A14" s="36">
        <f ca="1" t="shared" si="0"/>
        <v>66</v>
      </c>
      <c r="B14" s="36">
        <f ca="1" t="array" ref="B14">INDEX(Data_DBD!$B:$B,$A14)</f>
        <v>21</v>
      </c>
      <c r="C14" s="36" t="str">
        <f ca="1" t="array" ref="C14">INDEX(Data_DBD!$C:$C,$A14)</f>
        <v>5 Hari</v>
      </c>
      <c r="D14" s="36">
        <f ca="1" t="array" ref="D14">INDEX(Data_DBD!$E:$E,$A14)</f>
        <v>1</v>
      </c>
      <c r="E14" s="36" t="str">
        <f ca="1" t="array" ref="E14">INDEX(Data_DBD!$F:$F,$A14)</f>
        <v>Sedang</v>
      </c>
      <c r="H14" s="36">
        <v>141</v>
      </c>
      <c r="I14" s="36">
        <v>36</v>
      </c>
      <c r="J14" s="36">
        <v>2</v>
      </c>
      <c r="K14" s="36">
        <v>0</v>
      </c>
      <c r="L14" s="36" t="s">
        <v>105</v>
      </c>
    </row>
    <row r="15" spans="1:12">
      <c r="A15" s="36">
        <f ca="1" t="shared" si="0"/>
        <v>97</v>
      </c>
      <c r="B15" s="36">
        <f ca="1" t="array" ref="B15">INDEX(Data_DBD!$B:$B,$A15)</f>
        <v>16</v>
      </c>
      <c r="C15" s="36" t="str">
        <f ca="1" t="array" ref="C15">INDEX(Data_DBD!$C:$C,$A15)</f>
        <v>2 Hari</v>
      </c>
      <c r="D15" s="36">
        <f ca="1" t="array" ref="D15">INDEX(Data_DBD!$E:$E,$A15)</f>
        <v>1</v>
      </c>
      <c r="E15" s="36" t="str">
        <f ca="1" t="array" ref="E15">INDEX(Data_DBD!$F:$F,$A15)</f>
        <v>Tinggi</v>
      </c>
      <c r="H15" s="36">
        <v>134</v>
      </c>
      <c r="I15" s="36">
        <v>4</v>
      </c>
      <c r="J15" s="36">
        <v>2</v>
      </c>
      <c r="K15" s="36">
        <v>1</v>
      </c>
      <c r="L15" s="36" t="s">
        <v>105</v>
      </c>
    </row>
    <row r="16" spans="1:12">
      <c r="A16" s="36">
        <f ca="1" t="shared" si="0"/>
        <v>66</v>
      </c>
      <c r="B16" s="36">
        <f ca="1" t="array" ref="B16">INDEX(Data_DBD!$B:$B,$A16)</f>
        <v>21</v>
      </c>
      <c r="C16" s="36" t="str">
        <f ca="1" t="array" ref="C16">INDEX(Data_DBD!$C:$C,$A16)</f>
        <v>5 Hari</v>
      </c>
      <c r="D16" s="36">
        <f ca="1" t="array" ref="D16">INDEX(Data_DBD!$E:$E,$A16)</f>
        <v>1</v>
      </c>
      <c r="E16" s="36" t="str">
        <f ca="1" t="array" ref="E16">INDEX(Data_DBD!$F:$F,$A16)</f>
        <v>Sedang</v>
      </c>
      <c r="H16" s="36">
        <v>47</v>
      </c>
      <c r="I16" s="36">
        <v>19</v>
      </c>
      <c r="J16" s="36">
        <v>2</v>
      </c>
      <c r="K16" s="36">
        <v>0</v>
      </c>
      <c r="L16" s="36" t="s">
        <v>8</v>
      </c>
    </row>
    <row r="17" spans="1:12">
      <c r="A17" s="36">
        <f ca="1" t="shared" si="0"/>
        <v>69</v>
      </c>
      <c r="B17" s="36">
        <f ca="1" t="array" ref="B17">INDEX(Data_DBD!$B:$B,$A17)</f>
        <v>24</v>
      </c>
      <c r="C17" s="36" t="str">
        <f ca="1" t="array" ref="C17">INDEX(Data_DBD!$C:$C,$A17)</f>
        <v>4 Hari</v>
      </c>
      <c r="D17" s="36">
        <f ca="1" t="array" ref="D17">INDEX(Data_DBD!$E:$E,$A17)</f>
        <v>1</v>
      </c>
      <c r="E17" s="36" t="str">
        <f ca="1" t="array" ref="E17">INDEX(Data_DBD!$F:$F,$A17)</f>
        <v>Sedang</v>
      </c>
      <c r="H17" s="36">
        <v>161</v>
      </c>
      <c r="I17" s="36">
        <v>12</v>
      </c>
      <c r="J17" s="36">
        <v>3</v>
      </c>
      <c r="K17" s="36">
        <v>1</v>
      </c>
      <c r="L17" s="36" t="s">
        <v>105</v>
      </c>
    </row>
    <row r="18" spans="1:12">
      <c r="A18" s="36">
        <f ca="1" t="shared" si="0"/>
        <v>144</v>
      </c>
      <c r="B18" s="36">
        <f ca="1" t="array" ref="B18">INDEX(Data_DBD!$B:$B,$A18)</f>
        <v>61</v>
      </c>
      <c r="C18" s="36" t="str">
        <f ca="1" t="array" ref="C18">INDEX(Data_DBD!$C:$C,$A18)</f>
        <v>4 Hari</v>
      </c>
      <c r="D18" s="36">
        <f ca="1" t="array" ref="D18">INDEX(Data_DBD!$E:$E,$A18)</f>
        <v>1</v>
      </c>
      <c r="E18" s="36" t="str">
        <f ca="1" t="array" ref="E18">INDEX(Data_DBD!$F:$F,$A18)</f>
        <v>Tinggi</v>
      </c>
      <c r="H18" s="36">
        <v>47</v>
      </c>
      <c r="I18" s="36">
        <v>19</v>
      </c>
      <c r="J18" s="36">
        <v>2</v>
      </c>
      <c r="K18" s="36">
        <v>0</v>
      </c>
      <c r="L18" s="36" t="s">
        <v>8</v>
      </c>
    </row>
    <row r="19" spans="1:12">
      <c r="A19" s="36">
        <f ca="1" t="shared" si="0"/>
        <v>72</v>
      </c>
      <c r="B19" s="36">
        <f ca="1" t="array" ref="B19">INDEX(Data_DBD!$B:$B,$A19)</f>
        <v>3</v>
      </c>
      <c r="C19" s="36" t="str">
        <f ca="1" t="array" ref="C19">INDEX(Data_DBD!$C:$C,$A19)</f>
        <v>5 Hari</v>
      </c>
      <c r="D19" s="36">
        <f ca="1" t="array" ref="D19">INDEX(Data_DBD!$E:$E,$A19)</f>
        <v>1</v>
      </c>
      <c r="E19" s="36" t="str">
        <f ca="1" t="array" ref="E19">INDEX(Data_DBD!$F:$F,$A19)</f>
        <v>Sedang</v>
      </c>
      <c r="H19" s="36">
        <v>43</v>
      </c>
      <c r="I19" s="36">
        <v>15</v>
      </c>
      <c r="J19" s="36">
        <v>4</v>
      </c>
      <c r="K19" s="36">
        <v>0</v>
      </c>
      <c r="L19" s="36" t="s">
        <v>8</v>
      </c>
    </row>
    <row r="20" spans="1:12">
      <c r="A20" s="36">
        <f ca="1" t="shared" si="0"/>
        <v>134</v>
      </c>
      <c r="B20" s="36">
        <f ca="1" t="array" ref="B20">INDEX(Data_DBD!$B:$B,$A20)</f>
        <v>4</v>
      </c>
      <c r="C20" s="36" t="str">
        <f ca="1" t="array" ref="C20">INDEX(Data_DBD!$C:$C,$A20)</f>
        <v>2 Hari</v>
      </c>
      <c r="D20" s="36">
        <f ca="1" t="array" ref="D20">INDEX(Data_DBD!$E:$E,$A20)</f>
        <v>1</v>
      </c>
      <c r="E20" s="36" t="str">
        <f ca="1" t="array" ref="E20">INDEX(Data_DBD!$F:$F,$A20)</f>
        <v>Tinggi</v>
      </c>
      <c r="H20" s="36">
        <v>5</v>
      </c>
      <c r="I20" s="36">
        <v>18</v>
      </c>
      <c r="J20" s="36">
        <v>2</v>
      </c>
      <c r="K20" s="36">
        <v>1</v>
      </c>
      <c r="L20" s="36" t="s">
        <v>8</v>
      </c>
    </row>
    <row r="21" spans="1:12">
      <c r="A21" s="36">
        <f ca="1" t="shared" si="0"/>
        <v>71</v>
      </c>
      <c r="B21" s="36">
        <f ca="1" t="array" ref="B21">INDEX(Data_DBD!$B:$B,$A21)</f>
        <v>84</v>
      </c>
      <c r="C21" s="36" t="str">
        <f ca="1" t="array" ref="C21">INDEX(Data_DBD!$C:$C,$A21)</f>
        <v>3 Hari</v>
      </c>
      <c r="D21" s="36">
        <f ca="1" t="array" ref="D21">INDEX(Data_DBD!$E:$E,$A21)</f>
        <v>0</v>
      </c>
      <c r="E21" s="36" t="str">
        <f ca="1" t="array" ref="E21">INDEX(Data_DBD!$F:$F,$A21)</f>
        <v>Sedang</v>
      </c>
      <c r="H21" s="36">
        <v>29</v>
      </c>
      <c r="I21" s="36">
        <v>19</v>
      </c>
      <c r="J21" s="36">
        <v>2</v>
      </c>
      <c r="K21" s="36">
        <v>1</v>
      </c>
      <c r="L21" s="36" t="s">
        <v>8</v>
      </c>
    </row>
    <row r="22" spans="1:12">
      <c r="A22" s="36">
        <f ca="1" t="shared" si="0"/>
        <v>121</v>
      </c>
      <c r="B22" s="36">
        <f ca="1" t="array" ref="B22">INDEX(Data_DBD!$B:$B,$A22)</f>
        <v>82</v>
      </c>
      <c r="C22" s="36" t="str">
        <f ca="1" t="array" ref="C22">INDEX(Data_DBD!$C:$C,$A22)</f>
        <v>5 Hari</v>
      </c>
      <c r="D22" s="36">
        <f ca="1" t="array" ref="D22">INDEX(Data_DBD!$E:$E,$A22)</f>
        <v>1</v>
      </c>
      <c r="E22" s="36" t="str">
        <f ca="1" t="array" ref="E22">INDEX(Data_DBD!$F:$F,$A22)</f>
        <v>Tinggi</v>
      </c>
      <c r="H22" s="36">
        <v>158</v>
      </c>
      <c r="I22" s="36">
        <v>5</v>
      </c>
      <c r="J22" s="36">
        <v>2</v>
      </c>
      <c r="K22" s="36">
        <v>0</v>
      </c>
      <c r="L22" s="36" t="s">
        <v>105</v>
      </c>
    </row>
    <row r="23" spans="1:12">
      <c r="A23" s="36">
        <f ca="1" t="shared" si="0"/>
        <v>101</v>
      </c>
      <c r="B23" s="36">
        <f ca="1" t="array" ref="B23">INDEX(Data_DBD!$B:$B,$A23)</f>
        <v>42</v>
      </c>
      <c r="C23" s="36" t="str">
        <f ca="1" t="array" ref="C23">INDEX(Data_DBD!$C:$C,$A23)</f>
        <v>5 Hari</v>
      </c>
      <c r="D23" s="36">
        <f ca="1" t="array" ref="D23">INDEX(Data_DBD!$E:$E,$A23)</f>
        <v>0</v>
      </c>
      <c r="E23" s="36" t="str">
        <f ca="1" t="array" ref="E23">INDEX(Data_DBD!$F:$F,$A23)</f>
        <v>Tinggi</v>
      </c>
      <c r="H23" s="36">
        <v>34</v>
      </c>
      <c r="I23" s="36">
        <v>55</v>
      </c>
      <c r="J23" s="36">
        <v>3</v>
      </c>
      <c r="K23" s="36">
        <v>0</v>
      </c>
      <c r="L23" s="36" t="s">
        <v>8</v>
      </c>
    </row>
    <row r="24" spans="1:12">
      <c r="A24" s="36">
        <f ca="1" t="shared" si="0"/>
        <v>104</v>
      </c>
      <c r="B24" s="36">
        <f ca="1" t="array" ref="B24">INDEX(Data_DBD!$B:$B,$A24)</f>
        <v>37</v>
      </c>
      <c r="C24" s="36" t="str">
        <f ca="1" t="array" ref="C24">INDEX(Data_DBD!$C:$C,$A24)</f>
        <v>4 Hari</v>
      </c>
      <c r="D24" s="36">
        <f ca="1" t="array" ref="D24">INDEX(Data_DBD!$E:$E,$A24)</f>
        <v>1</v>
      </c>
      <c r="E24" s="36" t="str">
        <f ca="1" t="array" ref="E24">INDEX(Data_DBD!$F:$F,$A24)</f>
        <v>Tinggi</v>
      </c>
      <c r="H24" s="36">
        <v>150</v>
      </c>
      <c r="I24" s="36">
        <v>61</v>
      </c>
      <c r="J24" s="36">
        <v>5</v>
      </c>
      <c r="K24" s="36">
        <v>1</v>
      </c>
      <c r="L24" s="36" t="s">
        <v>105</v>
      </c>
    </row>
    <row r="25" spans="1:12">
      <c r="A25" s="36">
        <f ca="1" t="shared" si="0"/>
        <v>104</v>
      </c>
      <c r="B25" s="36">
        <f ca="1" t="array" ref="B25">INDEX(Data_DBD!$B:$B,$A25)</f>
        <v>37</v>
      </c>
      <c r="C25" s="36" t="str">
        <f ca="1" t="array" ref="C25">INDEX(Data_DBD!$C:$C,$A25)</f>
        <v>4 Hari</v>
      </c>
      <c r="D25" s="36">
        <f ca="1" t="array" ref="D25">INDEX(Data_DBD!$E:$E,$A25)</f>
        <v>1</v>
      </c>
      <c r="E25" s="36" t="str">
        <f ca="1" t="array" ref="E25">INDEX(Data_DBD!$F:$F,$A25)</f>
        <v>Tinggi</v>
      </c>
      <c r="H25" s="36">
        <v>27</v>
      </c>
      <c r="I25" s="36">
        <v>37</v>
      </c>
      <c r="J25" s="36">
        <v>4</v>
      </c>
      <c r="K25" s="36">
        <v>1</v>
      </c>
      <c r="L25" s="36" t="s">
        <v>8</v>
      </c>
    </row>
    <row r="26" spans="1:12">
      <c r="A26" s="36">
        <f ca="1" t="shared" si="0"/>
        <v>10</v>
      </c>
      <c r="B26" s="36">
        <f ca="1" t="array" ref="B26">INDEX(Data_DBD!$B:$B,$A26)</f>
        <v>18</v>
      </c>
      <c r="C26" s="36" t="str">
        <f ca="1" t="array" ref="C26">INDEX(Data_DBD!$C:$C,$A26)</f>
        <v>5 Hari</v>
      </c>
      <c r="D26" s="36">
        <f ca="1" t="array" ref="D26">INDEX(Data_DBD!$E:$E,$A26)</f>
        <v>0</v>
      </c>
      <c r="E26" s="36" t="str">
        <f ca="1" t="array" ref="E26">INDEX(Data_DBD!$F:$F,$A26)</f>
        <v>Sedang</v>
      </c>
      <c r="H26" s="36">
        <v>100</v>
      </c>
      <c r="I26" s="36">
        <v>19</v>
      </c>
      <c r="J26" s="36">
        <v>6</v>
      </c>
      <c r="K26" s="36">
        <v>0</v>
      </c>
      <c r="L26" s="36" t="s">
        <v>105</v>
      </c>
    </row>
    <row r="27" spans="1:12">
      <c r="A27" s="36">
        <f ca="1" t="shared" si="0"/>
        <v>100</v>
      </c>
      <c r="B27" s="36">
        <f ca="1" t="array" ref="B27">INDEX(Data_DBD!$B:$B,$A27)</f>
        <v>19</v>
      </c>
      <c r="C27" s="36" t="str">
        <f ca="1" t="array" ref="C27">INDEX(Data_DBD!$C:$C,$A27)</f>
        <v>6 Hari</v>
      </c>
      <c r="D27" s="36">
        <f ca="1" t="array" ref="D27">INDEX(Data_DBD!$E:$E,$A27)</f>
        <v>0</v>
      </c>
      <c r="E27" s="36" t="str">
        <f ca="1" t="array" ref="E27">INDEX(Data_DBD!$F:$F,$A27)</f>
        <v>Tinggi</v>
      </c>
      <c r="H27" s="36">
        <v>5</v>
      </c>
      <c r="I27" s="36">
        <v>18</v>
      </c>
      <c r="J27" s="36">
        <v>2</v>
      </c>
      <c r="K27" s="36">
        <v>1</v>
      </c>
      <c r="L27" s="36" t="s">
        <v>8</v>
      </c>
    </row>
    <row r="28" spans="1:12">
      <c r="A28" s="36">
        <f ca="1" t="shared" si="0"/>
        <v>164</v>
      </c>
      <c r="B28" s="36">
        <f ca="1" t="array" ref="B28">INDEX(Data_DBD!$B:$B,$A28)</f>
        <v>10</v>
      </c>
      <c r="C28" s="36" t="str">
        <f ca="1" t="array" ref="C28">INDEX(Data_DBD!$C:$C,$A28)</f>
        <v>6 Hari</v>
      </c>
      <c r="D28" s="36">
        <f ca="1" t="array" ref="D28">INDEX(Data_DBD!$E:$E,$A28)</f>
        <v>0</v>
      </c>
      <c r="E28" s="36" t="str">
        <f ca="1" t="array" ref="E28">INDEX(Data_DBD!$F:$F,$A28)</f>
        <v>Rendah</v>
      </c>
      <c r="H28" s="36">
        <v>151</v>
      </c>
      <c r="I28" s="36">
        <v>24</v>
      </c>
      <c r="J28" s="36">
        <v>3</v>
      </c>
      <c r="K28" s="36">
        <v>0</v>
      </c>
      <c r="L28" s="36" t="s">
        <v>105</v>
      </c>
    </row>
    <row r="29" spans="1:12">
      <c r="A29" s="36">
        <f ca="1" t="shared" si="0"/>
        <v>40</v>
      </c>
      <c r="B29" s="36">
        <f ca="1" t="array" ref="B29">INDEX(Data_DBD!$B:$B,$A29)</f>
        <v>65</v>
      </c>
      <c r="C29" s="36" t="str">
        <f ca="1" t="array" ref="C29">INDEX(Data_DBD!$C:$C,$A29)</f>
        <v>3 Hari</v>
      </c>
      <c r="D29" s="36">
        <f ca="1" t="array" ref="D29">INDEX(Data_DBD!$E:$E,$A29)</f>
        <v>1</v>
      </c>
      <c r="E29" s="36" t="str">
        <f ca="1" t="array" ref="E29">INDEX(Data_DBD!$F:$F,$A29)</f>
        <v>Sedang</v>
      </c>
      <c r="H29" s="36">
        <v>25</v>
      </c>
      <c r="I29" s="36">
        <v>81</v>
      </c>
      <c r="J29" s="36">
        <v>5</v>
      </c>
      <c r="K29" s="36">
        <v>0</v>
      </c>
      <c r="L29" s="36" t="s">
        <v>8</v>
      </c>
    </row>
    <row r="30" spans="1:12">
      <c r="A30" s="36">
        <f ca="1" t="shared" si="0"/>
        <v>100</v>
      </c>
      <c r="B30" s="36">
        <f ca="1" t="array" ref="B30">INDEX(Data_DBD!$B:$B,$A30)</f>
        <v>19</v>
      </c>
      <c r="C30" s="36" t="str">
        <f ca="1" t="array" ref="C30">INDEX(Data_DBD!$C:$C,$A30)</f>
        <v>6 Hari</v>
      </c>
      <c r="D30" s="36">
        <f ca="1" t="array" ref="D30">INDEX(Data_DBD!$E:$E,$A30)</f>
        <v>0</v>
      </c>
      <c r="E30" s="36" t="str">
        <f ca="1" t="array" ref="E30">INDEX(Data_DBD!$F:$F,$A30)</f>
        <v>Tinggi</v>
      </c>
      <c r="H30" s="36">
        <v>143</v>
      </c>
      <c r="I30" s="36">
        <v>20</v>
      </c>
      <c r="J30" s="36">
        <v>4</v>
      </c>
      <c r="K30" s="36">
        <v>1</v>
      </c>
      <c r="L30" s="36" t="s">
        <v>105</v>
      </c>
    </row>
    <row r="31" spans="1:12">
      <c r="A31" s="36">
        <f ca="1" t="shared" si="0"/>
        <v>67</v>
      </c>
      <c r="B31" s="36">
        <f ca="1" t="array" ref="B31">INDEX(Data_DBD!$B:$B,$A31)</f>
        <v>21</v>
      </c>
      <c r="C31" s="36" t="str">
        <f ca="1" t="array" ref="C31">INDEX(Data_DBD!$C:$C,$A31)</f>
        <v>3 Hari</v>
      </c>
      <c r="D31" s="36">
        <f ca="1" t="array" ref="D31">INDEX(Data_DBD!$E:$E,$A31)</f>
        <v>1</v>
      </c>
      <c r="E31" s="36" t="str">
        <f ca="1" t="array" ref="E31">INDEX(Data_DBD!$F:$F,$A31)</f>
        <v>Sedang</v>
      </c>
      <c r="H31" s="36">
        <v>85</v>
      </c>
      <c r="I31" s="36">
        <v>27</v>
      </c>
      <c r="J31" s="36">
        <v>9</v>
      </c>
      <c r="K31" s="36">
        <v>0</v>
      </c>
      <c r="L31" s="36" t="s">
        <v>8</v>
      </c>
    </row>
    <row r="32" spans="1:12">
      <c r="A32" s="36">
        <f ca="1" t="shared" si="0"/>
        <v>47</v>
      </c>
      <c r="B32" s="36">
        <f ca="1" t="array" ref="B32">INDEX(Data_DBD!$B:$B,$A32)</f>
        <v>19</v>
      </c>
      <c r="C32" s="36" t="str">
        <f ca="1" t="array" ref="C32">INDEX(Data_DBD!$C:$C,$A32)</f>
        <v>2 Hari</v>
      </c>
      <c r="D32" s="36">
        <f ca="1" t="array" ref="D32">INDEX(Data_DBD!$E:$E,$A32)</f>
        <v>0</v>
      </c>
      <c r="E32" s="36" t="str">
        <f ca="1" t="array" ref="E32">INDEX(Data_DBD!$F:$F,$A32)</f>
        <v>Sedang</v>
      </c>
      <c r="H32" s="36">
        <v>100</v>
      </c>
      <c r="I32" s="36">
        <v>19</v>
      </c>
      <c r="J32" s="36">
        <v>6</v>
      </c>
      <c r="K32" s="36">
        <v>0</v>
      </c>
      <c r="L32" s="36" t="s">
        <v>105</v>
      </c>
    </row>
    <row r="33" spans="1:12">
      <c r="A33" s="36">
        <f ca="1" t="shared" si="0"/>
        <v>67</v>
      </c>
      <c r="B33" s="36">
        <f ca="1" t="array" ref="B33">INDEX(Data_DBD!$B:$B,$A33)</f>
        <v>21</v>
      </c>
      <c r="C33" s="36" t="str">
        <f ca="1" t="array" ref="C33">INDEX(Data_DBD!$C:$C,$A33)</f>
        <v>3 Hari</v>
      </c>
      <c r="D33" s="36">
        <f ca="1" t="array" ref="D33">INDEX(Data_DBD!$E:$E,$A33)</f>
        <v>1</v>
      </c>
      <c r="E33" s="36" t="str">
        <f ca="1" t="array" ref="E33">INDEX(Data_DBD!$F:$F,$A33)</f>
        <v>Sedang</v>
      </c>
      <c r="H33" s="36">
        <v>128</v>
      </c>
      <c r="I33" s="36">
        <v>38</v>
      </c>
      <c r="J33" s="36">
        <v>2</v>
      </c>
      <c r="K33" s="36">
        <v>0</v>
      </c>
      <c r="L33" s="36" t="s">
        <v>105</v>
      </c>
    </row>
    <row r="34" spans="1:12">
      <c r="A34" s="36">
        <f ca="1" t="shared" si="0"/>
        <v>33</v>
      </c>
      <c r="B34" s="36">
        <f ca="1" t="array" ref="B34">INDEX(Data_DBD!$B:$B,$A34)</f>
        <v>19</v>
      </c>
      <c r="C34" s="36" t="str">
        <f ca="1" t="array" ref="C34">INDEX(Data_DBD!$C:$C,$A34)</f>
        <v>4 Hari</v>
      </c>
      <c r="D34" s="36">
        <f ca="1" t="array" ref="D34">INDEX(Data_DBD!$E:$E,$A34)</f>
        <v>1</v>
      </c>
      <c r="E34" s="36" t="str">
        <f ca="1" t="array" ref="E34">INDEX(Data_DBD!$F:$F,$A34)</f>
        <v>Sedang</v>
      </c>
      <c r="H34" s="36">
        <v>26</v>
      </c>
      <c r="I34" s="36">
        <v>75</v>
      </c>
      <c r="J34" s="36">
        <v>4</v>
      </c>
      <c r="K34" s="36">
        <v>1</v>
      </c>
      <c r="L34" s="36" t="s">
        <v>8</v>
      </c>
    </row>
    <row r="35" spans="1:12">
      <c r="A35" s="36">
        <f ca="1" t="shared" si="0"/>
        <v>115</v>
      </c>
      <c r="B35" s="36">
        <f ca="1" t="array" ref="B35">INDEX(Data_DBD!$B:$B,$A35)</f>
        <v>52</v>
      </c>
      <c r="C35" s="36" t="str">
        <f ca="1" t="array" ref="C35">INDEX(Data_DBD!$C:$C,$A35)</f>
        <v>3 Hari</v>
      </c>
      <c r="D35" s="36">
        <f ca="1" t="array" ref="D35">INDEX(Data_DBD!$E:$E,$A35)</f>
        <v>1</v>
      </c>
      <c r="E35" s="36" t="str">
        <f ca="1" t="array" ref="E35">INDEX(Data_DBD!$F:$F,$A35)</f>
        <v>Tinggi</v>
      </c>
      <c r="H35" s="36">
        <v>88</v>
      </c>
      <c r="I35" s="36">
        <v>20</v>
      </c>
      <c r="J35" s="36">
        <v>4</v>
      </c>
      <c r="K35" s="36">
        <v>1</v>
      </c>
      <c r="L35" s="36" t="s">
        <v>8</v>
      </c>
    </row>
    <row r="36" spans="1:12">
      <c r="A36" s="36">
        <f ca="1" t="shared" si="0"/>
        <v>149</v>
      </c>
      <c r="B36" s="36">
        <f ca="1" t="array" ref="B36">INDEX(Data_DBD!$B:$B,$A36)</f>
        <v>19</v>
      </c>
      <c r="C36" s="36" t="str">
        <f ca="1" t="array" ref="C36">INDEX(Data_DBD!$C:$C,$A36)</f>
        <v>5 Hari</v>
      </c>
      <c r="D36" s="36">
        <f ca="1" t="array" ref="D36">INDEX(Data_DBD!$E:$E,$A36)</f>
        <v>0</v>
      </c>
      <c r="E36" s="36" t="str">
        <f ca="1" t="array" ref="E36">INDEX(Data_DBD!$F:$F,$A36)</f>
        <v>Tinggi</v>
      </c>
      <c r="H36" s="36">
        <v>75</v>
      </c>
      <c r="I36" s="36">
        <v>2</v>
      </c>
      <c r="J36" s="36">
        <v>2</v>
      </c>
      <c r="K36" s="36">
        <v>1</v>
      </c>
      <c r="L36" s="36" t="s">
        <v>8</v>
      </c>
    </row>
    <row r="37" spans="1:12">
      <c r="A37" s="36">
        <f ca="1" t="shared" si="0"/>
        <v>161</v>
      </c>
      <c r="B37" s="36">
        <f ca="1" t="array" ref="B37">INDEX(Data_DBD!$B:$B,$A37)</f>
        <v>12</v>
      </c>
      <c r="C37" s="36" t="str">
        <f ca="1" t="array" ref="C37">INDEX(Data_DBD!$C:$C,$A37)</f>
        <v>3 Hari</v>
      </c>
      <c r="D37" s="36">
        <f ca="1" t="array" ref="D37">INDEX(Data_DBD!$E:$E,$A37)</f>
        <v>1</v>
      </c>
      <c r="E37" s="36" t="str">
        <f ca="1" t="array" ref="E37">INDEX(Data_DBD!$F:$F,$A37)</f>
        <v>Tinggi</v>
      </c>
      <c r="H37" s="36">
        <v>121</v>
      </c>
      <c r="I37" s="36">
        <v>82</v>
      </c>
      <c r="J37" s="36">
        <v>5</v>
      </c>
      <c r="K37" s="36">
        <v>1</v>
      </c>
      <c r="L37" s="36" t="s">
        <v>105</v>
      </c>
    </row>
    <row r="38" spans="1:12">
      <c r="A38" s="36">
        <f ca="1" t="shared" si="0"/>
        <v>29</v>
      </c>
      <c r="B38" s="36">
        <f ca="1" t="array" ref="B38">INDEX(Data_DBD!$B:$B,$A38)</f>
        <v>19</v>
      </c>
      <c r="C38" s="36" t="str">
        <f ca="1" t="array" ref="C38">INDEX(Data_DBD!$C:$C,$A38)</f>
        <v>2 Hari</v>
      </c>
      <c r="D38" s="36">
        <f ca="1" t="array" ref="D38">INDEX(Data_DBD!$E:$E,$A38)</f>
        <v>1</v>
      </c>
      <c r="E38" s="36" t="str">
        <f ca="1" t="array" ref="E38">INDEX(Data_DBD!$F:$F,$A38)</f>
        <v>Sedang</v>
      </c>
      <c r="H38" s="36">
        <v>115</v>
      </c>
      <c r="I38" s="36">
        <v>52</v>
      </c>
      <c r="J38" s="36">
        <v>3</v>
      </c>
      <c r="K38" s="36">
        <v>1</v>
      </c>
      <c r="L38" s="36" t="s">
        <v>105</v>
      </c>
    </row>
    <row r="39" spans="1:12">
      <c r="A39" s="36">
        <f ca="1" t="shared" si="0"/>
        <v>163</v>
      </c>
      <c r="B39" s="36">
        <f ca="1" t="array" ref="B39">INDEX(Data_DBD!$B:$B,$A39)</f>
        <v>34</v>
      </c>
      <c r="C39" s="36" t="str">
        <f ca="1" t="array" ref="C39">INDEX(Data_DBD!$C:$C,$A39)</f>
        <v>4 Hari</v>
      </c>
      <c r="D39" s="36">
        <f ca="1" t="array" ref="D39">INDEX(Data_DBD!$E:$E,$A39)</f>
        <v>1</v>
      </c>
      <c r="E39" s="36" t="str">
        <f ca="1" t="array" ref="E39">INDEX(Data_DBD!$F:$F,$A39)</f>
        <v>Rendah</v>
      </c>
      <c r="H39" s="36">
        <v>158</v>
      </c>
      <c r="I39" s="36">
        <v>5</v>
      </c>
      <c r="J39" s="36">
        <v>2</v>
      </c>
      <c r="K39" s="36">
        <v>0</v>
      </c>
      <c r="L39" s="36" t="s">
        <v>105</v>
      </c>
    </row>
    <row r="40" spans="1:12">
      <c r="A40" s="36">
        <f ca="1" t="shared" si="0"/>
        <v>71</v>
      </c>
      <c r="B40" s="36">
        <f ca="1" t="array" ref="B40">INDEX(Data_DBD!$B:$B,$A40)</f>
        <v>84</v>
      </c>
      <c r="C40" s="36" t="str">
        <f ca="1" t="array" ref="C40">INDEX(Data_DBD!$C:$C,$A40)</f>
        <v>3 Hari</v>
      </c>
      <c r="D40" s="36">
        <f ca="1" t="array" ref="D40">INDEX(Data_DBD!$E:$E,$A40)</f>
        <v>0</v>
      </c>
      <c r="E40" s="36" t="str">
        <f ca="1" t="array" ref="E40">INDEX(Data_DBD!$F:$F,$A40)</f>
        <v>Sedang</v>
      </c>
      <c r="H40" s="36">
        <v>8</v>
      </c>
      <c r="I40" s="36">
        <v>4</v>
      </c>
      <c r="J40" s="36">
        <v>2</v>
      </c>
      <c r="K40" s="36">
        <v>0</v>
      </c>
      <c r="L40" s="36" t="s">
        <v>8</v>
      </c>
    </row>
    <row r="41" spans="1:12">
      <c r="A41" s="36">
        <f ca="1" t="shared" si="0"/>
        <v>67</v>
      </c>
      <c r="B41" s="36">
        <f ca="1" t="array" ref="B41">INDEX(Data_DBD!$B:$B,$A41)</f>
        <v>21</v>
      </c>
      <c r="C41" s="36" t="str">
        <f ca="1" t="array" ref="C41">INDEX(Data_DBD!$C:$C,$A41)</f>
        <v>3 Hari</v>
      </c>
      <c r="D41" s="36">
        <f ca="1" t="array" ref="D41">INDEX(Data_DBD!$E:$E,$A41)</f>
        <v>1</v>
      </c>
      <c r="E41" s="36" t="str">
        <f ca="1" t="array" ref="E41">INDEX(Data_DBD!$F:$F,$A41)</f>
        <v>Sedang</v>
      </c>
      <c r="H41" s="36">
        <v>92</v>
      </c>
      <c r="I41" s="36">
        <v>55</v>
      </c>
      <c r="J41" s="36">
        <v>7</v>
      </c>
      <c r="K41" s="36">
        <v>0</v>
      </c>
      <c r="L41" s="36" t="s">
        <v>105</v>
      </c>
    </row>
    <row r="42" spans="1:12">
      <c r="A42" s="36">
        <f ca="1" t="shared" si="0"/>
        <v>85</v>
      </c>
      <c r="B42" s="36">
        <f ca="1" t="array" ref="B42">INDEX(Data_DBD!$B:$B,$A42)</f>
        <v>27</v>
      </c>
      <c r="C42" s="36" t="str">
        <f ca="1" t="array" ref="C42">INDEX(Data_DBD!$C:$C,$A42)</f>
        <v>9 Hari</v>
      </c>
      <c r="D42" s="36">
        <f ca="1" t="array" ref="D42">INDEX(Data_DBD!$E:$E,$A42)</f>
        <v>0</v>
      </c>
      <c r="E42" s="36" t="str">
        <f ca="1" t="array" ref="E42">INDEX(Data_DBD!$F:$F,$A42)</f>
        <v>Sedang</v>
      </c>
      <c r="H42" s="36">
        <v>16</v>
      </c>
      <c r="I42" s="36">
        <v>66</v>
      </c>
      <c r="J42" s="36">
        <v>5</v>
      </c>
      <c r="K42" s="36">
        <v>1</v>
      </c>
      <c r="L42" s="36" t="s">
        <v>26</v>
      </c>
    </row>
    <row r="43" spans="1:12">
      <c r="A43" s="36">
        <f ca="1" t="shared" si="0"/>
        <v>38</v>
      </c>
      <c r="B43" s="36">
        <f ca="1" t="array" ref="B43">INDEX(Data_DBD!$B:$B,$A43)</f>
        <v>52</v>
      </c>
      <c r="C43" s="36" t="str">
        <f ca="1" t="array" ref="C43">INDEX(Data_DBD!$C:$C,$A43)</f>
        <v>3 Hari</v>
      </c>
      <c r="D43" s="36">
        <f ca="1" t="array" ref="D43">INDEX(Data_DBD!$E:$E,$A43)</f>
        <v>1</v>
      </c>
      <c r="E43" s="36" t="str">
        <f ca="1" t="array" ref="E43">INDEX(Data_DBD!$F:$F,$A43)</f>
        <v>Rendah</v>
      </c>
      <c r="H43" s="36">
        <v>160</v>
      </c>
      <c r="I43" s="36">
        <v>16</v>
      </c>
      <c r="J43" s="36">
        <v>3</v>
      </c>
      <c r="K43" s="36">
        <v>0</v>
      </c>
      <c r="L43" s="36" t="s">
        <v>105</v>
      </c>
    </row>
    <row r="44" spans="1:12">
      <c r="A44" s="36">
        <f ca="1" t="shared" si="0"/>
        <v>159</v>
      </c>
      <c r="B44" s="36">
        <f ca="1" t="array" ref="B44">INDEX(Data_DBD!$B:$B,$A44)</f>
        <v>17</v>
      </c>
      <c r="C44" s="36" t="str">
        <f ca="1" t="array" ref="C44">INDEX(Data_DBD!$C:$C,$A44)</f>
        <v>2 Hari</v>
      </c>
      <c r="D44" s="36">
        <f ca="1" t="array" ref="D44">INDEX(Data_DBD!$E:$E,$A44)</f>
        <v>0</v>
      </c>
      <c r="E44" s="36" t="str">
        <f ca="1" t="array" ref="E44">INDEX(Data_DBD!$F:$F,$A44)</f>
        <v>Tinggi</v>
      </c>
      <c r="H44" s="36">
        <v>11</v>
      </c>
      <c r="I44" s="36">
        <v>24</v>
      </c>
      <c r="J44" s="36">
        <v>5</v>
      </c>
      <c r="K44" s="36">
        <v>1</v>
      </c>
      <c r="L44" s="36" t="s">
        <v>8</v>
      </c>
    </row>
    <row r="45" spans="1:12">
      <c r="A45" s="36">
        <f ca="1" t="shared" si="0"/>
        <v>3</v>
      </c>
      <c r="B45" s="36">
        <f ca="1" t="array" ref="B45">INDEX(Data_DBD!$B:$B,$A45)</f>
        <v>43</v>
      </c>
      <c r="C45" s="36" t="str">
        <f ca="1" t="array" ref="C45">INDEX(Data_DBD!$C:$C,$A45)</f>
        <v>3 Hari</v>
      </c>
      <c r="D45" s="36">
        <f ca="1" t="array" ref="D45">INDEX(Data_DBD!$E:$E,$A45)</f>
        <v>1</v>
      </c>
      <c r="E45" s="36" t="str">
        <f ca="1" t="array" ref="E45">INDEX(Data_DBD!$F:$F,$A45)</f>
        <v>Sedang</v>
      </c>
      <c r="H45" s="36">
        <v>75</v>
      </c>
      <c r="I45" s="36">
        <v>2</v>
      </c>
      <c r="J45" s="36">
        <v>2</v>
      </c>
      <c r="K45" s="36">
        <v>1</v>
      </c>
      <c r="L45" s="36" t="s">
        <v>8</v>
      </c>
    </row>
    <row r="46" spans="1:12">
      <c r="A46" s="36">
        <f ca="1" t="shared" si="0"/>
        <v>117</v>
      </c>
      <c r="B46" s="36">
        <f ca="1" t="array" ref="B46">INDEX(Data_DBD!$B:$B,$A46)</f>
        <v>49</v>
      </c>
      <c r="C46" s="36" t="str">
        <f ca="1" t="array" ref="C46">INDEX(Data_DBD!$C:$C,$A46)</f>
        <v>4 Hari</v>
      </c>
      <c r="D46" s="36">
        <f ca="1" t="array" ref="D46">INDEX(Data_DBD!$E:$E,$A46)</f>
        <v>1</v>
      </c>
      <c r="E46" s="36" t="str">
        <f ca="1" t="array" ref="E46">INDEX(Data_DBD!$F:$F,$A46)</f>
        <v>Tinggi</v>
      </c>
      <c r="H46" s="36">
        <v>63</v>
      </c>
      <c r="I46" s="36">
        <v>25</v>
      </c>
      <c r="J46" s="36">
        <v>3</v>
      </c>
      <c r="K46" s="36">
        <v>0</v>
      </c>
      <c r="L46" s="36" t="s">
        <v>8</v>
      </c>
    </row>
    <row r="47" spans="1:12">
      <c r="A47" s="36">
        <f ca="1" t="shared" si="0"/>
        <v>78</v>
      </c>
      <c r="B47" s="36">
        <f ca="1" t="array" ref="B47">INDEX(Data_DBD!$B:$B,$A47)</f>
        <v>6</v>
      </c>
      <c r="C47" s="36" t="str">
        <f ca="1" t="array" ref="C47">INDEX(Data_DBD!$C:$C,$A47)</f>
        <v>3 Hari</v>
      </c>
      <c r="D47" s="36">
        <f ca="1" t="array" ref="D47">INDEX(Data_DBD!$E:$E,$A47)</f>
        <v>0</v>
      </c>
      <c r="E47" s="36" t="str">
        <f ca="1" t="array" ref="E47">INDEX(Data_DBD!$F:$F,$A47)</f>
        <v>Sedang</v>
      </c>
      <c r="H47" s="36">
        <v>123</v>
      </c>
      <c r="I47" s="36">
        <v>22</v>
      </c>
      <c r="J47" s="36">
        <v>4</v>
      </c>
      <c r="K47" s="36">
        <v>0</v>
      </c>
      <c r="L47" s="36" t="s">
        <v>105</v>
      </c>
    </row>
    <row r="48" spans="1:12">
      <c r="A48" s="36">
        <f ca="1" t="shared" si="0"/>
        <v>141</v>
      </c>
      <c r="B48" s="36">
        <f ca="1" t="array" ref="B48">INDEX(Data_DBD!$B:$B,$A48)</f>
        <v>36</v>
      </c>
      <c r="C48" s="36" t="str">
        <f ca="1" t="array" ref="C48">INDEX(Data_DBD!$C:$C,$A48)</f>
        <v>2 Hari</v>
      </c>
      <c r="D48" s="36">
        <f ca="1" t="array" ref="D48">INDEX(Data_DBD!$E:$E,$A48)</f>
        <v>0</v>
      </c>
      <c r="E48" s="36" t="str">
        <f ca="1" t="array" ref="E48">INDEX(Data_DBD!$F:$F,$A48)</f>
        <v>Tinggi</v>
      </c>
      <c r="H48" s="36">
        <v>52</v>
      </c>
      <c r="I48" s="36">
        <v>59</v>
      </c>
      <c r="J48" s="36">
        <v>4</v>
      </c>
      <c r="K48" s="36">
        <v>1</v>
      </c>
      <c r="L48" s="36" t="s">
        <v>8</v>
      </c>
    </row>
    <row r="49" spans="1:12">
      <c r="A49" s="36">
        <f ca="1" t="shared" si="0"/>
        <v>92</v>
      </c>
      <c r="B49" s="36">
        <f ca="1" t="array" ref="B49">INDEX(Data_DBD!$B:$B,$A49)</f>
        <v>55</v>
      </c>
      <c r="C49" s="36" t="str">
        <f ca="1" t="array" ref="C49">INDEX(Data_DBD!$C:$C,$A49)</f>
        <v>7 Hari</v>
      </c>
      <c r="D49" s="36">
        <f ca="1" t="array" ref="D49">INDEX(Data_DBD!$E:$E,$A49)</f>
        <v>0</v>
      </c>
      <c r="E49" s="36" t="str">
        <f ca="1" t="array" ref="E49">INDEX(Data_DBD!$F:$F,$A49)</f>
        <v>Tinggi</v>
      </c>
      <c r="H49" s="36">
        <v>126</v>
      </c>
      <c r="I49" s="36">
        <v>51</v>
      </c>
      <c r="J49" s="36">
        <v>3</v>
      </c>
      <c r="K49" s="36">
        <v>1</v>
      </c>
      <c r="L49" s="36" t="s">
        <v>105</v>
      </c>
    </row>
    <row r="50" spans="1:12">
      <c r="A50" s="36">
        <f ca="1" t="shared" si="0"/>
        <v>154</v>
      </c>
      <c r="B50" s="36">
        <f ca="1" t="array" ref="B50">INDEX(Data_DBD!$B:$B,$A50)</f>
        <v>18</v>
      </c>
      <c r="C50" s="36" t="str">
        <f ca="1" t="array" ref="C50">INDEX(Data_DBD!$C:$C,$A50)</f>
        <v>5 Hari</v>
      </c>
      <c r="D50" s="36">
        <f ca="1" t="array" ref="D50">INDEX(Data_DBD!$E:$E,$A50)</f>
        <v>1</v>
      </c>
      <c r="E50" s="36" t="str">
        <f ca="1" t="array" ref="E50">INDEX(Data_DBD!$F:$F,$A50)</f>
        <v>Tinggi</v>
      </c>
      <c r="H50" s="36">
        <v>116</v>
      </c>
      <c r="I50" s="36">
        <v>32</v>
      </c>
      <c r="J50" s="36">
        <v>4</v>
      </c>
      <c r="K50" s="36">
        <v>1</v>
      </c>
      <c r="L50" s="36" t="s">
        <v>105</v>
      </c>
    </row>
    <row r="51" spans="1:12">
      <c r="A51" s="36">
        <f ca="1" t="shared" si="0"/>
        <v>84</v>
      </c>
      <c r="B51" s="36">
        <f ca="1" t="array" ref="B51">INDEX(Data_DBD!$B:$B,$A51)</f>
        <v>42</v>
      </c>
      <c r="C51" s="36" t="str">
        <f ca="1" t="array" ref="C51">INDEX(Data_DBD!$C:$C,$A51)</f>
        <v>4 Hari</v>
      </c>
      <c r="D51" s="36">
        <f ca="1" t="array" ref="D51">INDEX(Data_DBD!$E:$E,$A51)</f>
        <v>1</v>
      </c>
      <c r="E51" s="36" t="str">
        <f ca="1" t="array" ref="E51">INDEX(Data_DBD!$F:$F,$A51)</f>
        <v>Sedang</v>
      </c>
      <c r="H51" s="36">
        <v>116</v>
      </c>
      <c r="I51" s="36">
        <v>32</v>
      </c>
      <c r="J51" s="36">
        <v>4</v>
      </c>
      <c r="K51" s="36">
        <v>1</v>
      </c>
      <c r="L51" s="36" t="s">
        <v>105</v>
      </c>
    </row>
    <row r="52" spans="1:12">
      <c r="A52" s="36">
        <f ca="1" t="shared" si="0"/>
        <v>106</v>
      </c>
      <c r="B52" s="36">
        <f ca="1" t="array" ref="B52">INDEX(Data_DBD!$B:$B,$A52)</f>
        <v>23</v>
      </c>
      <c r="C52" s="36" t="str">
        <f ca="1" t="array" ref="C52">INDEX(Data_DBD!$C:$C,$A52)</f>
        <v>3 Hari</v>
      </c>
      <c r="D52" s="36">
        <f ca="1" t="array" ref="D52">INDEX(Data_DBD!$E:$E,$A52)</f>
        <v>1</v>
      </c>
      <c r="E52" s="36" t="str">
        <f ca="1" t="array" ref="E52">INDEX(Data_DBD!$F:$F,$A52)</f>
        <v>Tinggi</v>
      </c>
      <c r="H52" s="36">
        <v>31</v>
      </c>
      <c r="I52" s="36">
        <v>64</v>
      </c>
      <c r="J52" s="36">
        <v>4</v>
      </c>
      <c r="K52" s="36">
        <v>1</v>
      </c>
      <c r="L52" s="36" t="s">
        <v>8</v>
      </c>
    </row>
    <row r="53" spans="1:12">
      <c r="A53" s="36">
        <f ca="1" t="shared" si="0"/>
        <v>33</v>
      </c>
      <c r="B53" s="36">
        <f ca="1" t="array" ref="B53">INDEX(Data_DBD!$B:$B,$A53)</f>
        <v>19</v>
      </c>
      <c r="C53" s="36" t="str">
        <f ca="1" t="array" ref="C53">INDEX(Data_DBD!$C:$C,$A53)</f>
        <v>4 Hari</v>
      </c>
      <c r="D53" s="36">
        <f ca="1" t="array" ref="D53">INDEX(Data_DBD!$E:$E,$A53)</f>
        <v>1</v>
      </c>
      <c r="E53" s="36" t="str">
        <f ca="1" t="array" ref="E53">INDEX(Data_DBD!$F:$F,$A53)</f>
        <v>Sedang</v>
      </c>
      <c r="H53" s="36">
        <v>49</v>
      </c>
      <c r="I53" s="36">
        <v>64</v>
      </c>
      <c r="J53" s="36">
        <v>5</v>
      </c>
      <c r="K53" s="36">
        <v>0</v>
      </c>
      <c r="L53" s="36" t="s">
        <v>8</v>
      </c>
    </row>
    <row r="54" spans="1:12">
      <c r="A54" s="36">
        <f ca="1" t="shared" si="0"/>
        <v>20</v>
      </c>
      <c r="B54" s="36">
        <f ca="1" t="array" ref="B54">INDEX(Data_DBD!$B:$B,$A54)</f>
        <v>15</v>
      </c>
      <c r="C54" s="36" t="str">
        <f ca="1" t="array" ref="C54">INDEX(Data_DBD!$C:$C,$A54)</f>
        <v>5 Hari</v>
      </c>
      <c r="D54" s="36">
        <f ca="1" t="array" ref="D54">INDEX(Data_DBD!$E:$E,$A54)</f>
        <v>0</v>
      </c>
      <c r="E54" s="36" t="str">
        <f ca="1" t="array" ref="E54">INDEX(Data_DBD!$F:$F,$A54)</f>
        <v>Rendah</v>
      </c>
      <c r="H54" s="36">
        <v>11</v>
      </c>
      <c r="I54" s="36">
        <v>24</v>
      </c>
      <c r="J54" s="36">
        <v>5</v>
      </c>
      <c r="K54" s="36">
        <v>1</v>
      </c>
      <c r="L54" s="36" t="s">
        <v>8</v>
      </c>
    </row>
    <row r="55" spans="1:12">
      <c r="A55" s="36">
        <f ca="1" t="shared" si="0"/>
        <v>12</v>
      </c>
      <c r="B55" s="36">
        <f ca="1" t="array" ref="B55">INDEX(Data_DBD!$B:$B,$A55)</f>
        <v>23</v>
      </c>
      <c r="C55" s="36" t="str">
        <f ca="1" t="array" ref="C55">INDEX(Data_DBD!$C:$C,$A55)</f>
        <v>3 Hari</v>
      </c>
      <c r="D55" s="36">
        <f ca="1" t="array" ref="D55">INDEX(Data_DBD!$E:$E,$A55)</f>
        <v>0</v>
      </c>
      <c r="E55" s="36" t="str">
        <f ca="1" t="array" ref="E55">INDEX(Data_DBD!$F:$F,$A55)</f>
        <v>Sedang</v>
      </c>
      <c r="H55" s="36">
        <v>53</v>
      </c>
      <c r="I55" s="36">
        <v>35</v>
      </c>
      <c r="J55" s="36">
        <v>4</v>
      </c>
      <c r="K55" s="36">
        <v>1</v>
      </c>
      <c r="L55" s="36" t="s">
        <v>8</v>
      </c>
    </row>
    <row r="56" spans="1:12">
      <c r="A56" s="36">
        <f ca="1" t="shared" si="0"/>
        <v>5</v>
      </c>
      <c r="B56" s="36">
        <f ca="1" t="array" ref="B56">INDEX(Data_DBD!$B:$B,$A56)</f>
        <v>18</v>
      </c>
      <c r="C56" s="36" t="str">
        <f ca="1" t="array" ref="C56">INDEX(Data_DBD!$C:$C,$A56)</f>
        <v>2 Hari</v>
      </c>
      <c r="D56" s="36">
        <f ca="1" t="array" ref="D56">INDEX(Data_DBD!$E:$E,$A56)</f>
        <v>1</v>
      </c>
      <c r="E56" s="36" t="str">
        <f ca="1" t="array" ref="E56">INDEX(Data_DBD!$F:$F,$A56)</f>
        <v>Sedang</v>
      </c>
      <c r="H56" s="36">
        <v>111</v>
      </c>
      <c r="I56" s="36">
        <v>25</v>
      </c>
      <c r="J56" s="36">
        <v>4</v>
      </c>
      <c r="K56" s="36">
        <v>0</v>
      </c>
      <c r="L56" s="36" t="s">
        <v>105</v>
      </c>
    </row>
    <row r="57" spans="1:12">
      <c r="A57" s="36">
        <f ca="1" t="shared" si="0"/>
        <v>29</v>
      </c>
      <c r="B57" s="36">
        <f ca="1" t="array" ref="B57">INDEX(Data_DBD!$B:$B,$A57)</f>
        <v>19</v>
      </c>
      <c r="C57" s="36" t="str">
        <f ca="1" t="array" ref="C57">INDEX(Data_DBD!$C:$C,$A57)</f>
        <v>2 Hari</v>
      </c>
      <c r="D57" s="36">
        <f ca="1" t="array" ref="D57">INDEX(Data_DBD!$E:$E,$A57)</f>
        <v>1</v>
      </c>
      <c r="E57" s="36" t="str">
        <f ca="1" t="array" ref="E57">INDEX(Data_DBD!$F:$F,$A57)</f>
        <v>Sedang</v>
      </c>
      <c r="H57" s="36">
        <v>18</v>
      </c>
      <c r="I57" s="36">
        <v>49</v>
      </c>
      <c r="J57" s="36">
        <v>4</v>
      </c>
      <c r="K57" s="36">
        <v>1</v>
      </c>
      <c r="L57" s="36" t="s">
        <v>26</v>
      </c>
    </row>
    <row r="58" spans="1:12">
      <c r="A58" s="36">
        <f ca="1" t="shared" si="0"/>
        <v>32</v>
      </c>
      <c r="B58" s="36">
        <f ca="1" t="array" ref="B58">INDEX(Data_DBD!$B:$B,$A58)</f>
        <v>54</v>
      </c>
      <c r="C58" s="36" t="str">
        <f ca="1" t="array" ref="C58">INDEX(Data_DBD!$C:$C,$A58)</f>
        <v>4 Hari</v>
      </c>
      <c r="D58" s="36">
        <f ca="1" t="array" ref="D58">INDEX(Data_DBD!$E:$E,$A58)</f>
        <v>0</v>
      </c>
      <c r="E58" s="36" t="str">
        <f ca="1" t="array" ref="E58">INDEX(Data_DBD!$F:$F,$A58)</f>
        <v>Sedang</v>
      </c>
      <c r="H58" s="36">
        <v>24</v>
      </c>
      <c r="I58" s="36">
        <v>60</v>
      </c>
      <c r="J58" s="36">
        <v>4</v>
      </c>
      <c r="K58" s="36">
        <v>0</v>
      </c>
      <c r="L58" s="36" t="s">
        <v>8</v>
      </c>
    </row>
    <row r="59" spans="1:12">
      <c r="A59" s="36">
        <f ca="1" t="shared" si="0"/>
        <v>42</v>
      </c>
      <c r="B59" s="36">
        <f ca="1" t="array" ref="B59">INDEX(Data_DBD!$B:$B,$A59)</f>
        <v>21</v>
      </c>
      <c r="C59" s="36" t="str">
        <f ca="1" t="array" ref="C59">INDEX(Data_DBD!$C:$C,$A59)</f>
        <v>5 Hari</v>
      </c>
      <c r="D59" s="36">
        <f ca="1" t="array" ref="D59">INDEX(Data_DBD!$E:$E,$A59)</f>
        <v>1</v>
      </c>
      <c r="E59" s="36" t="str">
        <f ca="1" t="array" ref="E59">INDEX(Data_DBD!$F:$F,$A59)</f>
        <v>Sedang</v>
      </c>
      <c r="H59" s="36">
        <v>40</v>
      </c>
      <c r="I59" s="36">
        <v>65</v>
      </c>
      <c r="J59" s="36">
        <v>3</v>
      </c>
      <c r="K59" s="36">
        <v>1</v>
      </c>
      <c r="L59" s="36" t="s">
        <v>8</v>
      </c>
    </row>
    <row r="60" spans="1:12">
      <c r="A60" s="36">
        <f ca="1" t="shared" si="0"/>
        <v>97</v>
      </c>
      <c r="B60" s="36">
        <f ca="1" t="array" ref="B60">INDEX(Data_DBD!$B:$B,$A60)</f>
        <v>16</v>
      </c>
      <c r="C60" s="36" t="str">
        <f ca="1" t="array" ref="C60">INDEX(Data_DBD!$C:$C,$A60)</f>
        <v>2 Hari</v>
      </c>
      <c r="D60" s="36">
        <f ca="1" t="array" ref="D60">INDEX(Data_DBD!$E:$E,$A60)</f>
        <v>1</v>
      </c>
      <c r="E60" s="36" t="str">
        <f ca="1" t="array" ref="E60">INDEX(Data_DBD!$F:$F,$A60)</f>
        <v>Tinggi</v>
      </c>
      <c r="H60" s="36">
        <v>137</v>
      </c>
      <c r="I60" s="36">
        <v>3</v>
      </c>
      <c r="J60" s="36">
        <v>1</v>
      </c>
      <c r="K60" s="36">
        <v>1</v>
      </c>
      <c r="L60" s="36" t="s">
        <v>105</v>
      </c>
    </row>
    <row r="61" spans="1:12">
      <c r="A61" s="36">
        <f ca="1" t="shared" si="0"/>
        <v>42</v>
      </c>
      <c r="B61" s="36">
        <f ca="1" t="array" ref="B61">INDEX(Data_DBD!$B:$B,$A61)</f>
        <v>21</v>
      </c>
      <c r="C61" s="36" t="str">
        <f ca="1" t="array" ref="C61">INDEX(Data_DBD!$C:$C,$A61)</f>
        <v>5 Hari</v>
      </c>
      <c r="D61" s="36">
        <f ca="1" t="array" ref="D61">INDEX(Data_DBD!$E:$E,$A61)</f>
        <v>1</v>
      </c>
      <c r="E61" s="36" t="str">
        <f ca="1" t="array" ref="E61">INDEX(Data_DBD!$F:$F,$A61)</f>
        <v>Sedang</v>
      </c>
      <c r="H61" s="36">
        <v>33</v>
      </c>
      <c r="I61" s="36">
        <v>19</v>
      </c>
      <c r="J61" s="36">
        <v>4</v>
      </c>
      <c r="K61" s="36">
        <v>1</v>
      </c>
      <c r="L61" s="36" t="s">
        <v>8</v>
      </c>
    </row>
    <row r="62" spans="1:12">
      <c r="A62" s="36">
        <f ca="1" t="shared" si="0"/>
        <v>146</v>
      </c>
      <c r="B62" s="36">
        <f ca="1" t="array" ref="B62">INDEX(Data_DBD!$B:$B,$A62)</f>
        <v>34</v>
      </c>
      <c r="C62" s="36" t="str">
        <f ca="1" t="array" ref="C62">INDEX(Data_DBD!$C:$C,$A62)</f>
        <v>2 Hari</v>
      </c>
      <c r="D62" s="36">
        <f ca="1" t="array" ref="D62">INDEX(Data_DBD!$E:$E,$A62)</f>
        <v>1</v>
      </c>
      <c r="E62" s="36" t="str">
        <f ca="1" t="array" ref="E62">INDEX(Data_DBD!$F:$F,$A62)</f>
        <v>Tinggi</v>
      </c>
      <c r="H62" s="36">
        <v>55</v>
      </c>
      <c r="I62" s="36">
        <v>7</v>
      </c>
      <c r="J62" s="36">
        <v>4</v>
      </c>
      <c r="K62" s="36">
        <v>1</v>
      </c>
      <c r="L62" s="36" t="s">
        <v>8</v>
      </c>
    </row>
    <row r="63" spans="1:12">
      <c r="A63" s="36">
        <f ca="1" t="shared" si="0"/>
        <v>48</v>
      </c>
      <c r="B63" s="36">
        <f ca="1" t="array" ref="B63">INDEX(Data_DBD!$B:$B,$A63)</f>
        <v>50</v>
      </c>
      <c r="C63" s="36" t="str">
        <f ca="1" t="array" ref="C63">INDEX(Data_DBD!$C:$C,$A63)</f>
        <v>5 Hari</v>
      </c>
      <c r="D63" s="36">
        <f ca="1" t="array" ref="D63">INDEX(Data_DBD!$E:$E,$A63)</f>
        <v>1</v>
      </c>
      <c r="E63" s="36" t="str">
        <f ca="1" t="array" ref="E63">INDEX(Data_DBD!$F:$F,$A63)</f>
        <v>Sedang</v>
      </c>
      <c r="H63" s="36">
        <v>77</v>
      </c>
      <c r="I63" s="36">
        <v>16</v>
      </c>
      <c r="J63" s="36">
        <v>4</v>
      </c>
      <c r="K63" s="36">
        <v>1</v>
      </c>
      <c r="L63" s="36" t="s">
        <v>8</v>
      </c>
    </row>
    <row r="64" spans="1:12">
      <c r="A64" s="36">
        <f ca="1" t="shared" si="0"/>
        <v>113</v>
      </c>
      <c r="B64" s="36">
        <f ca="1" t="array" ref="B64">INDEX(Data_DBD!$B:$B,$A64)</f>
        <v>69</v>
      </c>
      <c r="C64" s="36" t="str">
        <f ca="1" t="array" ref="C64">INDEX(Data_DBD!$C:$C,$A64)</f>
        <v>1 Hari</v>
      </c>
      <c r="D64" s="36">
        <f ca="1" t="array" ref="D64">INDEX(Data_DBD!$E:$E,$A64)</f>
        <v>1</v>
      </c>
      <c r="E64" s="36" t="str">
        <f ca="1" t="array" ref="E64">INDEX(Data_DBD!$F:$F,$A64)</f>
        <v>Tinggi</v>
      </c>
      <c r="H64" s="36">
        <v>93</v>
      </c>
      <c r="I64" s="36">
        <v>65</v>
      </c>
      <c r="J64" s="36">
        <v>4</v>
      </c>
      <c r="K64" s="36">
        <v>0</v>
      </c>
      <c r="L64" s="36" t="s">
        <v>105</v>
      </c>
    </row>
    <row r="65" spans="1:12">
      <c r="A65" s="36">
        <f ca="1" t="shared" si="0"/>
        <v>116</v>
      </c>
      <c r="B65" s="36">
        <f ca="1" t="array" ref="B65">INDEX(Data_DBD!$B:$B,$A65)</f>
        <v>32</v>
      </c>
      <c r="C65" s="36" t="str">
        <f ca="1" t="array" ref="C65">INDEX(Data_DBD!$C:$C,$A65)</f>
        <v>4 Hari</v>
      </c>
      <c r="D65" s="36">
        <f ca="1" t="array" ref="D65">INDEX(Data_DBD!$E:$E,$A65)</f>
        <v>1</v>
      </c>
      <c r="E65" s="36" t="str">
        <f ca="1" t="array" ref="E65">INDEX(Data_DBD!$F:$F,$A65)</f>
        <v>Tinggi</v>
      </c>
      <c r="H65" s="36">
        <v>39</v>
      </c>
      <c r="I65" s="36">
        <v>12</v>
      </c>
      <c r="J65" s="36">
        <v>5</v>
      </c>
      <c r="K65" s="36">
        <v>1</v>
      </c>
      <c r="L65" s="36" t="s">
        <v>8</v>
      </c>
    </row>
    <row r="66" spans="1:12">
      <c r="A66" s="36">
        <f ca="1" t="shared" si="0"/>
        <v>49</v>
      </c>
      <c r="B66" s="36">
        <f ca="1" t="array" ref="B66">INDEX(Data_DBD!$B:$B,$A66)</f>
        <v>64</v>
      </c>
      <c r="C66" s="36" t="str">
        <f ca="1" t="array" ref="C66">INDEX(Data_DBD!$C:$C,$A66)</f>
        <v>5 Hari</v>
      </c>
      <c r="D66" s="36">
        <f ca="1" t="array" ref="D66">INDEX(Data_DBD!$E:$E,$A66)</f>
        <v>0</v>
      </c>
      <c r="E66" s="36" t="str">
        <f ca="1" t="array" ref="E66">INDEX(Data_DBD!$F:$F,$A66)</f>
        <v>Sedang</v>
      </c>
      <c r="H66" s="36">
        <v>34</v>
      </c>
      <c r="I66" s="36">
        <v>55</v>
      </c>
      <c r="J66" s="36">
        <v>3</v>
      </c>
      <c r="K66" s="36">
        <v>0</v>
      </c>
      <c r="L66" s="36" t="s">
        <v>8</v>
      </c>
    </row>
    <row r="67" spans="1:12">
      <c r="A67" s="36">
        <f ca="1" t="shared" ref="A67:A130" si="1">RANDBETWEEN(2,164)</f>
        <v>148</v>
      </c>
      <c r="B67" s="36">
        <f ca="1" t="array" ref="B67">INDEX(Data_DBD!$B:$B,$A67)</f>
        <v>55</v>
      </c>
      <c r="C67" s="36" t="str">
        <f ca="1" t="array" ref="C67">INDEX(Data_DBD!$C:$C,$A67)</f>
        <v>3 Hari</v>
      </c>
      <c r="D67" s="36">
        <f ca="1" t="array" ref="D67">INDEX(Data_DBD!$E:$E,$A67)</f>
        <v>1</v>
      </c>
      <c r="E67" s="36" t="str">
        <f ca="1" t="array" ref="E67">INDEX(Data_DBD!$F:$F,$A67)</f>
        <v>Tinggi</v>
      </c>
      <c r="H67" s="36">
        <v>49</v>
      </c>
      <c r="I67" s="36">
        <v>64</v>
      </c>
      <c r="J67" s="36">
        <v>5</v>
      </c>
      <c r="K67" s="36">
        <v>0</v>
      </c>
      <c r="L67" s="36" t="s">
        <v>8</v>
      </c>
    </row>
    <row r="68" spans="1:12">
      <c r="A68" s="36">
        <f ca="1" t="shared" si="1"/>
        <v>11</v>
      </c>
      <c r="B68" s="36">
        <f ca="1" t="array" ref="B68">INDEX(Data_DBD!$B:$B,$A68)</f>
        <v>24</v>
      </c>
      <c r="C68" s="36" t="str">
        <f ca="1" t="array" ref="C68">INDEX(Data_DBD!$C:$C,$A68)</f>
        <v>5 Hari</v>
      </c>
      <c r="D68" s="36">
        <f ca="1" t="array" ref="D68">INDEX(Data_DBD!$E:$E,$A68)</f>
        <v>1</v>
      </c>
      <c r="E68" s="36" t="str">
        <f ca="1" t="array" ref="E68">INDEX(Data_DBD!$F:$F,$A68)</f>
        <v>Sedang</v>
      </c>
      <c r="H68" s="36">
        <v>123</v>
      </c>
      <c r="I68" s="36">
        <v>22</v>
      </c>
      <c r="J68" s="36">
        <v>4</v>
      </c>
      <c r="K68" s="36">
        <v>0</v>
      </c>
      <c r="L68" s="36" t="s">
        <v>105</v>
      </c>
    </row>
    <row r="69" spans="1:12">
      <c r="A69" s="36">
        <f ca="1" t="shared" si="1"/>
        <v>64</v>
      </c>
      <c r="B69" s="36">
        <f ca="1" t="array" ref="B69">INDEX(Data_DBD!$B:$B,$A69)</f>
        <v>35</v>
      </c>
      <c r="C69" s="36" t="str">
        <f ca="1" t="array" ref="C69">INDEX(Data_DBD!$C:$C,$A69)</f>
        <v>1 Hari</v>
      </c>
      <c r="D69" s="36">
        <f ca="1" t="array" ref="D69">INDEX(Data_DBD!$E:$E,$A69)</f>
        <v>0</v>
      </c>
      <c r="E69" s="36" t="str">
        <f ca="1" t="array" ref="E69">INDEX(Data_DBD!$F:$F,$A69)</f>
        <v>Sedang</v>
      </c>
      <c r="H69" s="36">
        <v>81</v>
      </c>
      <c r="I69" s="36">
        <v>23</v>
      </c>
      <c r="J69" s="36">
        <v>5</v>
      </c>
      <c r="K69" s="36">
        <v>1</v>
      </c>
      <c r="L69" s="36" t="s">
        <v>8</v>
      </c>
    </row>
    <row r="70" spans="1:12">
      <c r="A70" s="36">
        <f ca="1" t="shared" si="1"/>
        <v>155</v>
      </c>
      <c r="B70" s="36">
        <f ca="1" t="array" ref="B70">INDEX(Data_DBD!$B:$B,$A70)</f>
        <v>19</v>
      </c>
      <c r="C70" s="36" t="str">
        <f ca="1" t="array" ref="C70">INDEX(Data_DBD!$C:$C,$A70)</f>
        <v>5 Hari</v>
      </c>
      <c r="D70" s="36">
        <f ca="1" t="array" ref="D70">INDEX(Data_DBD!$E:$E,$A70)</f>
        <v>1</v>
      </c>
      <c r="E70" s="36" t="str">
        <f ca="1" t="array" ref="E70">INDEX(Data_DBD!$F:$F,$A70)</f>
        <v>Tinggi</v>
      </c>
      <c r="H70" s="36">
        <v>137</v>
      </c>
      <c r="I70" s="36">
        <v>3</v>
      </c>
      <c r="J70" s="36">
        <v>1</v>
      </c>
      <c r="K70" s="36">
        <v>1</v>
      </c>
      <c r="L70" s="36" t="s">
        <v>105</v>
      </c>
    </row>
    <row r="71" spans="1:12">
      <c r="A71" s="36">
        <f ca="1" t="shared" si="1"/>
        <v>29</v>
      </c>
      <c r="B71" s="36">
        <f ca="1" t="array" ref="B71">INDEX(Data_DBD!$B:$B,$A71)</f>
        <v>19</v>
      </c>
      <c r="C71" s="36" t="str">
        <f ca="1" t="array" ref="C71">INDEX(Data_DBD!$C:$C,$A71)</f>
        <v>2 Hari</v>
      </c>
      <c r="D71" s="36">
        <f ca="1" t="array" ref="D71">INDEX(Data_DBD!$E:$E,$A71)</f>
        <v>1</v>
      </c>
      <c r="E71" s="36" t="str">
        <f ca="1" t="array" ref="E71">INDEX(Data_DBD!$F:$F,$A71)</f>
        <v>Sedang</v>
      </c>
      <c r="H71" s="36">
        <v>114</v>
      </c>
      <c r="I71" s="36">
        <v>14</v>
      </c>
      <c r="J71" s="36">
        <v>2</v>
      </c>
      <c r="K71" s="36">
        <v>1</v>
      </c>
      <c r="L71" s="36" t="s">
        <v>105</v>
      </c>
    </row>
    <row r="72" spans="1:12">
      <c r="A72" s="36">
        <f ca="1" t="shared" si="1"/>
        <v>4</v>
      </c>
      <c r="B72" s="36">
        <f ca="1" t="array" ref="B72">INDEX(Data_DBD!$B:$B,$A72)</f>
        <v>23</v>
      </c>
      <c r="C72" s="36" t="str">
        <f ca="1" t="array" ref="C72">INDEX(Data_DBD!$C:$C,$A72)</f>
        <v>5 Hari</v>
      </c>
      <c r="D72" s="36">
        <f ca="1" t="array" ref="D72">INDEX(Data_DBD!$E:$E,$A72)</f>
        <v>0</v>
      </c>
      <c r="E72" s="36" t="str">
        <f ca="1" t="array" ref="E72">INDEX(Data_DBD!$F:$F,$A72)</f>
        <v>Sedang</v>
      </c>
      <c r="H72" s="36">
        <v>108</v>
      </c>
      <c r="I72" s="36">
        <v>69</v>
      </c>
      <c r="J72" s="36">
        <v>7</v>
      </c>
      <c r="K72" s="36">
        <v>1</v>
      </c>
      <c r="L72" s="36" t="s">
        <v>105</v>
      </c>
    </row>
    <row r="73" spans="1:12">
      <c r="A73" s="36">
        <f ca="1" t="shared" si="1"/>
        <v>80</v>
      </c>
      <c r="B73" s="36">
        <f ca="1" t="array" ref="B73">INDEX(Data_DBD!$B:$B,$A73)</f>
        <v>27</v>
      </c>
      <c r="C73" s="36" t="str">
        <f ca="1" t="array" ref="C73">INDEX(Data_DBD!$C:$C,$A73)</f>
        <v>3 Hari</v>
      </c>
      <c r="D73" s="36">
        <f ca="1" t="array" ref="D73">INDEX(Data_DBD!$E:$E,$A73)</f>
        <v>1</v>
      </c>
      <c r="E73" s="36" t="str">
        <f ca="1" t="array" ref="E73">INDEX(Data_DBD!$F:$F,$A73)</f>
        <v>Sedang</v>
      </c>
      <c r="H73" s="36">
        <v>108</v>
      </c>
      <c r="I73" s="36">
        <v>69</v>
      </c>
      <c r="J73" s="36">
        <v>7</v>
      </c>
      <c r="K73" s="36">
        <v>1</v>
      </c>
      <c r="L73" s="36" t="s">
        <v>105</v>
      </c>
    </row>
    <row r="74" spans="1:12">
      <c r="A74" s="36">
        <f ca="1" t="shared" si="1"/>
        <v>139</v>
      </c>
      <c r="B74" s="36">
        <f ca="1" t="array" ref="B74">INDEX(Data_DBD!$B:$B,$A74)</f>
        <v>52</v>
      </c>
      <c r="C74" s="36" t="str">
        <f ca="1" t="array" ref="C74">INDEX(Data_DBD!$C:$C,$A74)</f>
        <v>7 Hari</v>
      </c>
      <c r="D74" s="36">
        <f ca="1" t="array" ref="D74">INDEX(Data_DBD!$E:$E,$A74)</f>
        <v>0</v>
      </c>
      <c r="E74" s="36" t="str">
        <f ca="1" t="array" ref="E74">INDEX(Data_DBD!$F:$F,$A74)</f>
        <v>Tinggi</v>
      </c>
      <c r="H74" s="36">
        <v>45</v>
      </c>
      <c r="I74" s="36">
        <v>75</v>
      </c>
      <c r="J74" s="36">
        <v>3</v>
      </c>
      <c r="K74" s="36">
        <v>1</v>
      </c>
      <c r="L74" s="36" t="s">
        <v>8</v>
      </c>
    </row>
    <row r="75" spans="1:12">
      <c r="A75" s="36">
        <f ca="1" t="shared" si="1"/>
        <v>20</v>
      </c>
      <c r="B75" s="36">
        <f ca="1" t="array" ref="B75">INDEX(Data_DBD!$B:$B,$A75)</f>
        <v>15</v>
      </c>
      <c r="C75" s="36" t="str">
        <f ca="1" t="array" ref="C75">INDEX(Data_DBD!$C:$C,$A75)</f>
        <v>5 Hari</v>
      </c>
      <c r="D75" s="36">
        <f ca="1" t="array" ref="D75">INDEX(Data_DBD!$E:$E,$A75)</f>
        <v>0</v>
      </c>
      <c r="E75" s="36" t="str">
        <f ca="1" t="array" ref="E75">INDEX(Data_DBD!$F:$F,$A75)</f>
        <v>Rendah</v>
      </c>
      <c r="H75" s="36">
        <v>139</v>
      </c>
      <c r="I75" s="36">
        <v>52</v>
      </c>
      <c r="J75" s="36">
        <v>7</v>
      </c>
      <c r="K75" s="36">
        <v>0</v>
      </c>
      <c r="L75" s="36" t="s">
        <v>105</v>
      </c>
    </row>
    <row r="76" spans="1:12">
      <c r="A76" s="36">
        <f ca="1" t="shared" si="1"/>
        <v>47</v>
      </c>
      <c r="B76" s="36">
        <f ca="1" t="array" ref="B76">INDEX(Data_DBD!$B:$B,$A76)</f>
        <v>19</v>
      </c>
      <c r="C76" s="36" t="str">
        <f ca="1" t="array" ref="C76">INDEX(Data_DBD!$C:$C,$A76)</f>
        <v>2 Hari</v>
      </c>
      <c r="D76" s="36">
        <f ca="1" t="array" ref="D76">INDEX(Data_DBD!$E:$E,$A76)</f>
        <v>0</v>
      </c>
      <c r="E76" s="36" t="str">
        <f ca="1" t="array" ref="E76">INDEX(Data_DBD!$F:$F,$A76)</f>
        <v>Sedang</v>
      </c>
      <c r="H76" s="36">
        <v>21</v>
      </c>
      <c r="I76" s="36">
        <v>10</v>
      </c>
      <c r="J76" s="36">
        <v>5</v>
      </c>
      <c r="K76" s="36">
        <v>1</v>
      </c>
      <c r="L76" s="36" t="s">
        <v>8</v>
      </c>
    </row>
    <row r="77" spans="1:12">
      <c r="A77" s="36">
        <f ca="1" t="shared" si="1"/>
        <v>131</v>
      </c>
      <c r="B77" s="36">
        <f ca="1" t="array" ref="B77">INDEX(Data_DBD!$B:$B,$A77)</f>
        <v>10</v>
      </c>
      <c r="C77" s="36" t="str">
        <f ca="1" t="array" ref="C77">INDEX(Data_DBD!$C:$C,$A77)</f>
        <v>2 Hari</v>
      </c>
      <c r="D77" s="36">
        <f ca="1" t="array" ref="D77">INDEX(Data_DBD!$E:$E,$A77)</f>
        <v>0</v>
      </c>
      <c r="E77" s="36" t="str">
        <f ca="1" t="array" ref="E77">INDEX(Data_DBD!$F:$F,$A77)</f>
        <v>Tinggi</v>
      </c>
      <c r="H77" s="36">
        <v>75</v>
      </c>
      <c r="I77" s="36">
        <v>2</v>
      </c>
      <c r="J77" s="36">
        <v>2</v>
      </c>
      <c r="K77" s="36">
        <v>1</v>
      </c>
      <c r="L77" s="36" t="s">
        <v>8</v>
      </c>
    </row>
    <row r="78" spans="1:12">
      <c r="A78" s="36">
        <f ca="1" t="shared" si="1"/>
        <v>113</v>
      </c>
      <c r="B78" s="36">
        <f ca="1" t="array" ref="B78">INDEX(Data_DBD!$B:$B,$A78)</f>
        <v>69</v>
      </c>
      <c r="C78" s="36" t="str">
        <f ca="1" t="array" ref="C78">INDEX(Data_DBD!$C:$C,$A78)</f>
        <v>1 Hari</v>
      </c>
      <c r="D78" s="36">
        <f ca="1" t="array" ref="D78">INDEX(Data_DBD!$E:$E,$A78)</f>
        <v>1</v>
      </c>
      <c r="E78" s="36" t="str">
        <f ca="1" t="array" ref="E78">INDEX(Data_DBD!$F:$F,$A78)</f>
        <v>Tinggi</v>
      </c>
      <c r="H78" s="36">
        <v>135</v>
      </c>
      <c r="I78" s="36">
        <v>10</v>
      </c>
      <c r="J78" s="36">
        <v>2</v>
      </c>
      <c r="K78" s="36">
        <v>0</v>
      </c>
      <c r="L78" s="36" t="s">
        <v>105</v>
      </c>
    </row>
    <row r="79" spans="1:12">
      <c r="A79" s="36">
        <f ca="1" t="shared" si="1"/>
        <v>18</v>
      </c>
      <c r="B79" s="36">
        <f ca="1" t="array" ref="B79">INDEX(Data_DBD!$B:$B,$A79)</f>
        <v>49</v>
      </c>
      <c r="C79" s="36" t="str">
        <f ca="1" t="array" ref="C79">INDEX(Data_DBD!$C:$C,$A79)</f>
        <v>4 Hari</v>
      </c>
      <c r="D79" s="36">
        <f ca="1" t="array" ref="D79">INDEX(Data_DBD!$E:$E,$A79)</f>
        <v>1</v>
      </c>
      <c r="E79" s="36" t="str">
        <f ca="1" t="array" ref="E79">INDEX(Data_DBD!$F:$F,$A79)</f>
        <v>Rendah</v>
      </c>
      <c r="H79" s="36">
        <v>79</v>
      </c>
      <c r="I79" s="36">
        <v>29</v>
      </c>
      <c r="J79" s="36">
        <v>3</v>
      </c>
      <c r="K79" s="36">
        <v>0</v>
      </c>
      <c r="L79" s="36" t="s">
        <v>8</v>
      </c>
    </row>
    <row r="80" spans="1:12">
      <c r="A80" s="36">
        <f ca="1" t="shared" si="1"/>
        <v>19</v>
      </c>
      <c r="B80" s="36">
        <f ca="1" t="array" ref="B80">INDEX(Data_DBD!$B:$B,$A80)</f>
        <v>8</v>
      </c>
      <c r="C80" s="36" t="str">
        <f ca="1" t="array" ref="C80">INDEX(Data_DBD!$C:$C,$A80)</f>
        <v>4 Hari</v>
      </c>
      <c r="D80" s="36">
        <f ca="1" t="array" ref="D80">INDEX(Data_DBD!$E:$E,$A80)</f>
        <v>0</v>
      </c>
      <c r="E80" s="36" t="str">
        <f ca="1" t="array" ref="E80">INDEX(Data_DBD!$F:$F,$A80)</f>
        <v>Rendah</v>
      </c>
      <c r="H80" s="36">
        <v>37</v>
      </c>
      <c r="I80" s="36">
        <v>28</v>
      </c>
      <c r="J80" s="36">
        <v>4</v>
      </c>
      <c r="K80" s="36">
        <v>1</v>
      </c>
      <c r="L80" s="36" t="s">
        <v>26</v>
      </c>
    </row>
    <row r="81" spans="1:12">
      <c r="A81" s="36">
        <f ca="1" t="shared" si="1"/>
        <v>26</v>
      </c>
      <c r="B81" s="36">
        <f ca="1" t="array" ref="B81">INDEX(Data_DBD!$B:$B,$A81)</f>
        <v>75</v>
      </c>
      <c r="C81" s="36" t="str">
        <f ca="1" t="array" ref="C81">INDEX(Data_DBD!$C:$C,$A81)</f>
        <v>4 Hari</v>
      </c>
      <c r="D81" s="36">
        <f ca="1" t="array" ref="D81">INDEX(Data_DBD!$E:$E,$A81)</f>
        <v>1</v>
      </c>
      <c r="E81" s="36" t="str">
        <f ca="1" t="array" ref="E81">INDEX(Data_DBD!$F:$F,$A81)</f>
        <v>Sedang</v>
      </c>
      <c r="H81" s="36">
        <v>112</v>
      </c>
      <c r="I81" s="36">
        <v>61</v>
      </c>
      <c r="J81" s="36">
        <v>3</v>
      </c>
      <c r="K81" s="36">
        <v>1</v>
      </c>
      <c r="L81" s="36" t="s">
        <v>105</v>
      </c>
    </row>
    <row r="82" spans="1:12">
      <c r="A82" s="36">
        <f ca="1" t="shared" si="1"/>
        <v>155</v>
      </c>
      <c r="B82" s="36">
        <f ca="1" t="array" ref="B82">INDEX(Data_DBD!$B:$B,$A82)</f>
        <v>19</v>
      </c>
      <c r="C82" s="36" t="str">
        <f ca="1" t="array" ref="C82">INDEX(Data_DBD!$C:$C,$A82)</f>
        <v>5 Hari</v>
      </c>
      <c r="D82" s="36">
        <f ca="1" t="array" ref="D82">INDEX(Data_DBD!$E:$E,$A82)</f>
        <v>1</v>
      </c>
      <c r="E82" s="36" t="str">
        <f ca="1" t="array" ref="E82">INDEX(Data_DBD!$F:$F,$A82)</f>
        <v>Tinggi</v>
      </c>
      <c r="H82" s="36">
        <v>74</v>
      </c>
      <c r="I82" s="36">
        <v>9</v>
      </c>
      <c r="J82" s="36">
        <v>4</v>
      </c>
      <c r="K82" s="36">
        <v>0</v>
      </c>
      <c r="L82" s="36" t="s">
        <v>8</v>
      </c>
    </row>
    <row r="83" spans="1:12">
      <c r="A83" s="36">
        <f ca="1" t="shared" si="1"/>
        <v>66</v>
      </c>
      <c r="B83" s="36">
        <f ca="1" t="array" ref="B83">INDEX(Data_DBD!$B:$B,$A83)</f>
        <v>21</v>
      </c>
      <c r="C83" s="36" t="str">
        <f ca="1" t="array" ref="C83">INDEX(Data_DBD!$C:$C,$A83)</f>
        <v>5 Hari</v>
      </c>
      <c r="D83" s="36">
        <f ca="1" t="array" ref="D83">INDEX(Data_DBD!$E:$E,$A83)</f>
        <v>1</v>
      </c>
      <c r="E83" s="36" t="str">
        <f ca="1" t="array" ref="E83">INDEX(Data_DBD!$F:$F,$A83)</f>
        <v>Sedang</v>
      </c>
      <c r="H83" s="36">
        <v>106</v>
      </c>
      <c r="I83" s="36">
        <v>23</v>
      </c>
      <c r="J83" s="36">
        <v>3</v>
      </c>
      <c r="K83" s="36">
        <v>1</v>
      </c>
      <c r="L83" s="36" t="s">
        <v>105</v>
      </c>
    </row>
    <row r="84" spans="1:12">
      <c r="A84" s="36">
        <f ca="1" t="shared" si="1"/>
        <v>162</v>
      </c>
      <c r="B84" s="36">
        <f ca="1" t="array" ref="B84">INDEX(Data_DBD!$B:$B,$A84)</f>
        <v>22</v>
      </c>
      <c r="C84" s="36" t="str">
        <f ca="1" t="array" ref="C84">INDEX(Data_DBD!$C:$C,$A84)</f>
        <v>3 Hari</v>
      </c>
      <c r="D84" s="36">
        <f ca="1" t="array" ref="D84">INDEX(Data_DBD!$E:$E,$A84)</f>
        <v>1</v>
      </c>
      <c r="E84" s="36" t="str">
        <f ca="1" t="array" ref="E84">INDEX(Data_DBD!$F:$F,$A84)</f>
        <v>Rendah</v>
      </c>
      <c r="H84" s="36">
        <v>127</v>
      </c>
      <c r="I84" s="36">
        <v>21</v>
      </c>
      <c r="J84" s="36">
        <v>2</v>
      </c>
      <c r="K84" s="36">
        <v>0</v>
      </c>
      <c r="L84" s="36" t="s">
        <v>105</v>
      </c>
    </row>
    <row r="85" spans="1:12">
      <c r="A85" s="36">
        <f ca="1" t="shared" si="1"/>
        <v>74</v>
      </c>
      <c r="B85" s="36">
        <f ca="1" t="array" ref="B85">INDEX(Data_DBD!$B:$B,$A85)</f>
        <v>9</v>
      </c>
      <c r="C85" s="36" t="str">
        <f ca="1" t="array" ref="C85">INDEX(Data_DBD!$C:$C,$A85)</f>
        <v>4 Hari</v>
      </c>
      <c r="D85" s="36">
        <f ca="1" t="array" ref="D85">INDEX(Data_DBD!$E:$E,$A85)</f>
        <v>0</v>
      </c>
      <c r="E85" s="36" t="str">
        <f ca="1" t="array" ref="E85">INDEX(Data_DBD!$F:$F,$A85)</f>
        <v>Sedang</v>
      </c>
      <c r="H85" s="36">
        <v>81</v>
      </c>
      <c r="I85" s="36">
        <v>23</v>
      </c>
      <c r="J85" s="36">
        <v>5</v>
      </c>
      <c r="K85" s="36">
        <v>1</v>
      </c>
      <c r="L85" s="36" t="s">
        <v>8</v>
      </c>
    </row>
    <row r="86" spans="1:12">
      <c r="A86" s="36">
        <f ca="1" t="shared" si="1"/>
        <v>96</v>
      </c>
      <c r="B86" s="36">
        <f ca="1" t="array" ref="B86">INDEX(Data_DBD!$B:$B,$A86)</f>
        <v>56</v>
      </c>
      <c r="C86" s="36" t="str">
        <f ca="1" t="array" ref="C86">INDEX(Data_DBD!$C:$C,$A86)</f>
        <v>4 Hari</v>
      </c>
      <c r="D86" s="36">
        <f ca="1" t="array" ref="D86">INDEX(Data_DBD!$E:$E,$A86)</f>
        <v>0</v>
      </c>
      <c r="E86" s="36" t="str">
        <f ca="1" t="array" ref="E86">INDEX(Data_DBD!$F:$F,$A86)</f>
        <v>Tinggi</v>
      </c>
      <c r="H86" s="36">
        <v>124</v>
      </c>
      <c r="I86" s="36">
        <v>24</v>
      </c>
      <c r="J86" s="36">
        <v>3</v>
      </c>
      <c r="K86" s="36">
        <v>1</v>
      </c>
      <c r="L86" s="36" t="s">
        <v>105</v>
      </c>
    </row>
    <row r="87" spans="1:12">
      <c r="A87" s="36">
        <f ca="1" t="shared" si="1"/>
        <v>32</v>
      </c>
      <c r="B87" s="36">
        <f ca="1" t="array" ref="B87">INDEX(Data_DBD!$B:$B,$A87)</f>
        <v>54</v>
      </c>
      <c r="C87" s="36" t="str">
        <f ca="1" t="array" ref="C87">INDEX(Data_DBD!$C:$C,$A87)</f>
        <v>4 Hari</v>
      </c>
      <c r="D87" s="36">
        <f ca="1" t="array" ref="D87">INDEX(Data_DBD!$E:$E,$A87)</f>
        <v>0</v>
      </c>
      <c r="E87" s="36" t="str">
        <f ca="1" t="array" ref="E87">INDEX(Data_DBD!$F:$F,$A87)</f>
        <v>Sedang</v>
      </c>
      <c r="H87" s="36">
        <v>93</v>
      </c>
      <c r="I87" s="36">
        <v>65</v>
      </c>
      <c r="J87" s="36">
        <v>4</v>
      </c>
      <c r="K87" s="36">
        <v>0</v>
      </c>
      <c r="L87" s="36" t="s">
        <v>105</v>
      </c>
    </row>
    <row r="88" spans="1:12">
      <c r="A88" s="36">
        <f ca="1" t="shared" si="1"/>
        <v>32</v>
      </c>
      <c r="B88" s="36">
        <f ca="1" t="array" ref="B88">INDEX(Data_DBD!$B:$B,$A88)</f>
        <v>54</v>
      </c>
      <c r="C88" s="36" t="str">
        <f ca="1" t="array" ref="C88">INDEX(Data_DBD!$C:$C,$A88)</f>
        <v>4 Hari</v>
      </c>
      <c r="D88" s="36">
        <f ca="1" t="array" ref="D88">INDEX(Data_DBD!$E:$E,$A88)</f>
        <v>0</v>
      </c>
      <c r="E88" s="36" t="str">
        <f ca="1" t="array" ref="E88">INDEX(Data_DBD!$F:$F,$A88)</f>
        <v>Sedang</v>
      </c>
      <c r="H88" s="36">
        <v>133</v>
      </c>
      <c r="I88" s="36">
        <v>6</v>
      </c>
      <c r="J88" s="36">
        <v>4</v>
      </c>
      <c r="K88" s="36">
        <v>0</v>
      </c>
      <c r="L88" s="36" t="s">
        <v>105</v>
      </c>
    </row>
    <row r="89" spans="1:12">
      <c r="A89" s="36">
        <f ca="1" t="shared" si="1"/>
        <v>4</v>
      </c>
      <c r="B89" s="36">
        <f ca="1" t="array" ref="B89">INDEX(Data_DBD!$B:$B,$A89)</f>
        <v>23</v>
      </c>
      <c r="C89" s="36" t="str">
        <f ca="1" t="array" ref="C89">INDEX(Data_DBD!$C:$C,$A89)</f>
        <v>5 Hari</v>
      </c>
      <c r="D89" s="36">
        <f ca="1" t="array" ref="D89">INDEX(Data_DBD!$E:$E,$A89)</f>
        <v>0</v>
      </c>
      <c r="E89" s="36" t="str">
        <f ca="1" t="array" ref="E89">INDEX(Data_DBD!$F:$F,$A89)</f>
        <v>Sedang</v>
      </c>
      <c r="H89" s="36">
        <v>32</v>
      </c>
      <c r="I89" s="36">
        <v>54</v>
      </c>
      <c r="J89" s="36">
        <v>4</v>
      </c>
      <c r="K89" s="36">
        <v>0</v>
      </c>
      <c r="L89" s="36" t="s">
        <v>8</v>
      </c>
    </row>
    <row r="90" spans="1:12">
      <c r="A90" s="36">
        <f ca="1" t="shared" si="1"/>
        <v>15</v>
      </c>
      <c r="B90" s="36">
        <f ca="1" t="array" ref="B90">INDEX(Data_DBD!$B:$B,$A90)</f>
        <v>21</v>
      </c>
      <c r="C90" s="36" t="str">
        <f ca="1" t="array" ref="C90">INDEX(Data_DBD!$C:$C,$A90)</f>
        <v>2 Hari</v>
      </c>
      <c r="D90" s="36">
        <f ca="1" t="array" ref="D90">INDEX(Data_DBD!$E:$E,$A90)</f>
        <v>0</v>
      </c>
      <c r="E90" s="36" t="str">
        <f ca="1" t="array" ref="E90">INDEX(Data_DBD!$F:$F,$A90)</f>
        <v>Rendah</v>
      </c>
      <c r="H90" s="36">
        <v>8</v>
      </c>
      <c r="I90" s="36">
        <v>4</v>
      </c>
      <c r="J90" s="36">
        <v>2</v>
      </c>
      <c r="K90" s="36">
        <v>0</v>
      </c>
      <c r="L90" s="36" t="s">
        <v>8</v>
      </c>
    </row>
    <row r="91" spans="1:12">
      <c r="A91" s="36">
        <f ca="1" t="shared" si="1"/>
        <v>138</v>
      </c>
      <c r="B91" s="36">
        <f ca="1" t="array" ref="B91">INDEX(Data_DBD!$B:$B,$A91)</f>
        <v>13</v>
      </c>
      <c r="C91" s="36" t="str">
        <f ca="1" t="array" ref="C91">INDEX(Data_DBD!$C:$C,$A91)</f>
        <v>3 Hari</v>
      </c>
      <c r="D91" s="36">
        <f ca="1" t="array" ref="D91">INDEX(Data_DBD!$E:$E,$A91)</f>
        <v>1</v>
      </c>
      <c r="E91" s="36" t="str">
        <f ca="1" t="array" ref="E91">INDEX(Data_DBD!$F:$F,$A91)</f>
        <v>Tinggi</v>
      </c>
      <c r="H91" s="36">
        <v>101</v>
      </c>
      <c r="I91" s="36">
        <v>42</v>
      </c>
      <c r="J91" s="36">
        <v>5</v>
      </c>
      <c r="K91" s="36">
        <v>0</v>
      </c>
      <c r="L91" s="36" t="s">
        <v>105</v>
      </c>
    </row>
    <row r="92" spans="1:12">
      <c r="A92" s="36">
        <f ca="1" t="shared" si="1"/>
        <v>108</v>
      </c>
      <c r="B92" s="36">
        <f ca="1" t="array" ref="B92">INDEX(Data_DBD!$B:$B,$A92)</f>
        <v>69</v>
      </c>
      <c r="C92" s="36" t="str">
        <f ca="1" t="array" ref="C92">INDEX(Data_DBD!$C:$C,$A92)</f>
        <v>7 Hari</v>
      </c>
      <c r="D92" s="36">
        <f ca="1" t="array" ref="D92">INDEX(Data_DBD!$E:$E,$A92)</f>
        <v>1</v>
      </c>
      <c r="E92" s="36" t="str">
        <f ca="1" t="array" ref="E92">INDEX(Data_DBD!$F:$F,$A92)</f>
        <v>Tinggi</v>
      </c>
      <c r="H92" s="36">
        <v>32</v>
      </c>
      <c r="I92" s="36">
        <v>54</v>
      </c>
      <c r="J92" s="36">
        <v>4</v>
      </c>
      <c r="K92" s="36">
        <v>0</v>
      </c>
      <c r="L92" s="36" t="s">
        <v>8</v>
      </c>
    </row>
    <row r="93" spans="1:12">
      <c r="A93" s="36">
        <f ca="1" t="shared" si="1"/>
        <v>32</v>
      </c>
      <c r="B93" s="36">
        <f ca="1" t="array" ref="B93">INDEX(Data_DBD!$B:$B,$A93)</f>
        <v>54</v>
      </c>
      <c r="C93" s="36" t="str">
        <f ca="1" t="array" ref="C93">INDEX(Data_DBD!$C:$C,$A93)</f>
        <v>4 Hari</v>
      </c>
      <c r="D93" s="36">
        <f ca="1" t="array" ref="D93">INDEX(Data_DBD!$E:$E,$A93)</f>
        <v>0</v>
      </c>
      <c r="E93" s="36" t="str">
        <f ca="1" t="array" ref="E93">INDEX(Data_DBD!$F:$F,$A93)</f>
        <v>Sedang</v>
      </c>
      <c r="H93" s="36">
        <v>140</v>
      </c>
      <c r="I93" s="36">
        <v>74</v>
      </c>
      <c r="J93" s="36">
        <v>5</v>
      </c>
      <c r="K93" s="36">
        <v>1</v>
      </c>
      <c r="L93" s="36" t="s">
        <v>105</v>
      </c>
    </row>
    <row r="94" spans="1:12">
      <c r="A94" s="36">
        <f ca="1" t="shared" si="1"/>
        <v>4</v>
      </c>
      <c r="B94" s="36">
        <f ca="1" t="array" ref="B94">INDEX(Data_DBD!$B:$B,$A94)</f>
        <v>23</v>
      </c>
      <c r="C94" s="36" t="str">
        <f ca="1" t="array" ref="C94">INDEX(Data_DBD!$C:$C,$A94)</f>
        <v>5 Hari</v>
      </c>
      <c r="D94" s="36">
        <f ca="1" t="array" ref="D94">INDEX(Data_DBD!$E:$E,$A94)</f>
        <v>0</v>
      </c>
      <c r="E94" s="36" t="str">
        <f ca="1" t="array" ref="E94">INDEX(Data_DBD!$F:$F,$A94)</f>
        <v>Sedang</v>
      </c>
      <c r="H94" s="36">
        <v>69</v>
      </c>
      <c r="I94" s="36">
        <v>24</v>
      </c>
      <c r="J94" s="36">
        <v>4</v>
      </c>
      <c r="K94" s="36">
        <v>1</v>
      </c>
      <c r="L94" s="36" t="s">
        <v>8</v>
      </c>
    </row>
    <row r="95" spans="1:12">
      <c r="A95" s="36">
        <f ca="1" t="shared" si="1"/>
        <v>133</v>
      </c>
      <c r="B95" s="36">
        <f ca="1" t="array" ref="B95">INDEX(Data_DBD!$B:$B,$A95)</f>
        <v>6</v>
      </c>
      <c r="C95" s="36" t="str">
        <f ca="1" t="array" ref="C95">INDEX(Data_DBD!$C:$C,$A95)</f>
        <v>4 Hari</v>
      </c>
      <c r="D95" s="36">
        <f ca="1" t="array" ref="D95">INDEX(Data_DBD!$E:$E,$A95)</f>
        <v>0</v>
      </c>
      <c r="E95" s="36" t="str">
        <f ca="1" t="array" ref="E95">INDEX(Data_DBD!$F:$F,$A95)</f>
        <v>Tinggi</v>
      </c>
      <c r="H95" s="36">
        <v>78</v>
      </c>
      <c r="I95" s="36">
        <v>6</v>
      </c>
      <c r="J95" s="36">
        <v>3</v>
      </c>
      <c r="K95" s="36">
        <v>0</v>
      </c>
      <c r="L95" s="36" t="s">
        <v>8</v>
      </c>
    </row>
    <row r="96" spans="1:12">
      <c r="A96" s="36">
        <f ca="1" t="shared" si="1"/>
        <v>80</v>
      </c>
      <c r="B96" s="36">
        <f ca="1" t="array" ref="B96">INDEX(Data_DBD!$B:$B,$A96)</f>
        <v>27</v>
      </c>
      <c r="C96" s="36" t="str">
        <f ca="1" t="array" ref="C96">INDEX(Data_DBD!$C:$C,$A96)</f>
        <v>3 Hari</v>
      </c>
      <c r="D96" s="36">
        <f ca="1" t="array" ref="D96">INDEX(Data_DBD!$E:$E,$A96)</f>
        <v>1</v>
      </c>
      <c r="E96" s="36" t="str">
        <f ca="1" t="array" ref="E96">INDEX(Data_DBD!$F:$F,$A96)</f>
        <v>Sedang</v>
      </c>
      <c r="H96" s="36">
        <v>131</v>
      </c>
      <c r="I96" s="36">
        <v>10</v>
      </c>
      <c r="J96" s="36">
        <v>2</v>
      </c>
      <c r="K96" s="36">
        <v>0</v>
      </c>
      <c r="L96" s="36" t="s">
        <v>105</v>
      </c>
    </row>
    <row r="97" spans="1:12">
      <c r="A97" s="36">
        <f ca="1" t="shared" si="1"/>
        <v>98</v>
      </c>
      <c r="B97" s="36">
        <f ca="1" t="array" ref="B97">INDEX(Data_DBD!$B:$B,$A97)</f>
        <v>16</v>
      </c>
      <c r="C97" s="36" t="str">
        <f ca="1" t="array" ref="C97">INDEX(Data_DBD!$C:$C,$A97)</f>
        <v>2 Hari</v>
      </c>
      <c r="D97" s="36">
        <f ca="1" t="array" ref="D97">INDEX(Data_DBD!$E:$E,$A97)</f>
        <v>1</v>
      </c>
      <c r="E97" s="36" t="str">
        <f ca="1" t="array" ref="E97">INDEX(Data_DBD!$F:$F,$A97)</f>
        <v>Tinggi</v>
      </c>
      <c r="H97" s="36">
        <v>147</v>
      </c>
      <c r="I97" s="36">
        <v>66</v>
      </c>
      <c r="J97" s="36">
        <v>10</v>
      </c>
      <c r="K97" s="36">
        <v>1</v>
      </c>
      <c r="L97" s="36" t="s">
        <v>105</v>
      </c>
    </row>
    <row r="98" spans="1:12">
      <c r="A98" s="36">
        <f ca="1" t="shared" si="1"/>
        <v>155</v>
      </c>
      <c r="B98" s="36">
        <f ca="1" t="array" ref="B98">INDEX(Data_DBD!$B:$B,$A98)</f>
        <v>19</v>
      </c>
      <c r="C98" s="36" t="str">
        <f ca="1" t="array" ref="C98">INDEX(Data_DBD!$C:$C,$A98)</f>
        <v>5 Hari</v>
      </c>
      <c r="D98" s="36">
        <f ca="1" t="array" ref="D98">INDEX(Data_DBD!$E:$E,$A98)</f>
        <v>1</v>
      </c>
      <c r="E98" s="36" t="str">
        <f ca="1" t="array" ref="E98">INDEX(Data_DBD!$F:$F,$A98)</f>
        <v>Tinggi</v>
      </c>
      <c r="H98" s="36">
        <v>54</v>
      </c>
      <c r="I98" s="36">
        <v>7</v>
      </c>
      <c r="J98" s="36">
        <v>3</v>
      </c>
      <c r="K98" s="36">
        <v>0</v>
      </c>
      <c r="L98" s="36" t="s">
        <v>8</v>
      </c>
    </row>
    <row r="99" spans="1:12">
      <c r="A99" s="36">
        <f ca="1" t="shared" si="1"/>
        <v>33</v>
      </c>
      <c r="B99" s="36">
        <f ca="1" t="array" ref="B99">INDEX(Data_DBD!$B:$B,$A99)</f>
        <v>19</v>
      </c>
      <c r="C99" s="36" t="str">
        <f ca="1" t="array" ref="C99">INDEX(Data_DBD!$C:$C,$A99)</f>
        <v>4 Hari</v>
      </c>
      <c r="D99" s="36">
        <f ca="1" t="array" ref="D99">INDEX(Data_DBD!$E:$E,$A99)</f>
        <v>1</v>
      </c>
      <c r="E99" s="36" t="str">
        <f ca="1" t="array" ref="E99">INDEX(Data_DBD!$F:$F,$A99)</f>
        <v>Sedang</v>
      </c>
      <c r="H99" s="36">
        <v>64</v>
      </c>
      <c r="I99" s="36">
        <v>35</v>
      </c>
      <c r="J99" s="36">
        <v>1</v>
      </c>
      <c r="K99" s="36">
        <v>0</v>
      </c>
      <c r="L99" s="36" t="s">
        <v>8</v>
      </c>
    </row>
    <row r="100" spans="1:12">
      <c r="A100" s="36">
        <f ca="1" t="shared" si="1"/>
        <v>42</v>
      </c>
      <c r="B100" s="36">
        <f ca="1" t="array" ref="B100">INDEX(Data_DBD!$B:$B,$A100)</f>
        <v>21</v>
      </c>
      <c r="C100" s="36" t="str">
        <f ca="1" t="array" ref="C100">INDEX(Data_DBD!$C:$C,$A100)</f>
        <v>5 Hari</v>
      </c>
      <c r="D100" s="36">
        <f ca="1" t="array" ref="D100">INDEX(Data_DBD!$E:$E,$A100)</f>
        <v>1</v>
      </c>
      <c r="E100" s="36" t="str">
        <f ca="1" t="array" ref="E100">INDEX(Data_DBD!$F:$F,$A100)</f>
        <v>Sedang</v>
      </c>
      <c r="H100" s="36">
        <v>74</v>
      </c>
      <c r="I100" s="36">
        <v>9</v>
      </c>
      <c r="J100" s="36">
        <v>4</v>
      </c>
      <c r="K100" s="36">
        <v>0</v>
      </c>
      <c r="L100" s="36" t="s">
        <v>8</v>
      </c>
    </row>
    <row r="101" spans="1:12">
      <c r="A101" s="36">
        <f ca="1" t="shared" si="1"/>
        <v>92</v>
      </c>
      <c r="B101" s="36">
        <f ca="1" t="array" ref="B101">INDEX(Data_DBD!$B:$B,$A101)</f>
        <v>55</v>
      </c>
      <c r="C101" s="36" t="str">
        <f ca="1" t="array" ref="C101">INDEX(Data_DBD!$C:$C,$A101)</f>
        <v>7 Hari</v>
      </c>
      <c r="D101" s="36">
        <f ca="1" t="array" ref="D101">INDEX(Data_DBD!$E:$E,$A101)</f>
        <v>0</v>
      </c>
      <c r="E101" s="36" t="str">
        <f ca="1" t="array" ref="E101">INDEX(Data_DBD!$F:$F,$A101)</f>
        <v>Tinggi</v>
      </c>
      <c r="H101" s="36">
        <v>67</v>
      </c>
      <c r="I101" s="36">
        <v>21</v>
      </c>
      <c r="J101" s="36">
        <v>3</v>
      </c>
      <c r="K101" s="36">
        <v>1</v>
      </c>
      <c r="L101" s="36" t="s">
        <v>8</v>
      </c>
    </row>
    <row r="102" spans="1:12">
      <c r="A102" s="36">
        <f ca="1" t="shared" si="1"/>
        <v>160</v>
      </c>
      <c r="B102" s="36">
        <f ca="1" t="array" ref="B102">INDEX(Data_DBD!$B:$B,$A102)</f>
        <v>16</v>
      </c>
      <c r="C102" s="36" t="str">
        <f ca="1" t="array" ref="C102">INDEX(Data_DBD!$C:$C,$A102)</f>
        <v>3 Hari</v>
      </c>
      <c r="D102" s="36">
        <f ca="1" t="array" ref="D102">INDEX(Data_DBD!$E:$E,$A102)</f>
        <v>0</v>
      </c>
      <c r="E102" s="36" t="str">
        <f ca="1" t="array" ref="E102">INDEX(Data_DBD!$F:$F,$A102)</f>
        <v>Tinggi</v>
      </c>
      <c r="H102" s="36">
        <v>44</v>
      </c>
      <c r="I102" s="36">
        <v>28</v>
      </c>
      <c r="J102" s="36">
        <v>5</v>
      </c>
      <c r="K102" s="36">
        <v>1</v>
      </c>
      <c r="L102" s="36" t="s">
        <v>8</v>
      </c>
    </row>
    <row r="103" spans="1:12">
      <c r="A103" s="36">
        <f ca="1" t="shared" si="1"/>
        <v>118</v>
      </c>
      <c r="B103" s="36">
        <f ca="1" t="array" ref="B103">INDEX(Data_DBD!$B:$B,$A103)</f>
        <v>67</v>
      </c>
      <c r="C103" s="36" t="str">
        <f ca="1" t="array" ref="C103">INDEX(Data_DBD!$C:$C,$A103)</f>
        <v>4 Hari</v>
      </c>
      <c r="D103" s="36">
        <f ca="1" t="array" ref="D103">INDEX(Data_DBD!$E:$E,$A103)</f>
        <v>1</v>
      </c>
      <c r="E103" s="36" t="str">
        <f ca="1" t="array" ref="E103">INDEX(Data_DBD!$F:$F,$A103)</f>
        <v>Tinggi</v>
      </c>
      <c r="H103" s="36">
        <v>76</v>
      </c>
      <c r="I103" s="36">
        <v>70</v>
      </c>
      <c r="J103" s="36">
        <v>2</v>
      </c>
      <c r="K103" s="36">
        <v>0</v>
      </c>
      <c r="L103" s="36" t="s">
        <v>8</v>
      </c>
    </row>
    <row r="104" spans="1:12">
      <c r="A104" s="36">
        <f ca="1" t="shared" si="1"/>
        <v>98</v>
      </c>
      <c r="B104" s="36">
        <f ca="1" t="array" ref="B104">INDEX(Data_DBD!$B:$B,$A104)</f>
        <v>16</v>
      </c>
      <c r="C104" s="36" t="str">
        <f ca="1" t="array" ref="C104">INDEX(Data_DBD!$C:$C,$A104)</f>
        <v>2 Hari</v>
      </c>
      <c r="D104" s="36">
        <f ca="1" t="array" ref="D104">INDEX(Data_DBD!$E:$E,$A104)</f>
        <v>1</v>
      </c>
      <c r="E104" s="36" t="str">
        <f ca="1" t="array" ref="E104">INDEX(Data_DBD!$F:$F,$A104)</f>
        <v>Tinggi</v>
      </c>
      <c r="H104" s="36">
        <v>40</v>
      </c>
      <c r="I104" s="36">
        <v>65</v>
      </c>
      <c r="J104" s="36">
        <v>3</v>
      </c>
      <c r="K104" s="36">
        <v>1</v>
      </c>
      <c r="L104" s="36" t="s">
        <v>8</v>
      </c>
    </row>
    <row r="105" spans="1:12">
      <c r="A105" s="36">
        <f ca="1" t="shared" si="1"/>
        <v>123</v>
      </c>
      <c r="B105" s="36">
        <f ca="1" t="array" ref="B105">INDEX(Data_DBD!$B:$B,$A105)</f>
        <v>22</v>
      </c>
      <c r="C105" s="36" t="str">
        <f ca="1" t="array" ref="C105">INDEX(Data_DBD!$C:$C,$A105)</f>
        <v>4 Hari</v>
      </c>
      <c r="D105" s="36">
        <f ca="1" t="array" ref="D105">INDEX(Data_DBD!$E:$E,$A105)</f>
        <v>0</v>
      </c>
      <c r="E105" s="36" t="str">
        <f ca="1" t="array" ref="E105">INDEX(Data_DBD!$F:$F,$A105)</f>
        <v>Tinggi</v>
      </c>
      <c r="H105" s="36">
        <v>48</v>
      </c>
      <c r="I105" s="36">
        <v>50</v>
      </c>
      <c r="J105" s="36">
        <v>5</v>
      </c>
      <c r="K105" s="36">
        <v>1</v>
      </c>
      <c r="L105" s="36" t="s">
        <v>8</v>
      </c>
    </row>
    <row r="106" spans="1:12">
      <c r="A106" s="36">
        <f ca="1" t="shared" si="1"/>
        <v>157</v>
      </c>
      <c r="B106" s="36">
        <f ca="1" t="array" ref="B106">INDEX(Data_DBD!$B:$B,$A106)</f>
        <v>15</v>
      </c>
      <c r="C106" s="36" t="str">
        <f ca="1" t="array" ref="C106">INDEX(Data_DBD!$C:$C,$A106)</f>
        <v>4 Hari</v>
      </c>
      <c r="D106" s="36">
        <f ca="1" t="array" ref="D106">INDEX(Data_DBD!$E:$E,$A106)</f>
        <v>1</v>
      </c>
      <c r="E106" s="36" t="str">
        <f ca="1" t="array" ref="E106">INDEX(Data_DBD!$F:$F,$A106)</f>
        <v>Tinggi</v>
      </c>
      <c r="H106" s="36">
        <v>117</v>
      </c>
      <c r="I106" s="36">
        <v>49</v>
      </c>
      <c r="J106" s="36">
        <v>4</v>
      </c>
      <c r="K106" s="36">
        <v>1</v>
      </c>
      <c r="L106" s="36" t="s">
        <v>105</v>
      </c>
    </row>
    <row r="107" spans="1:12">
      <c r="A107" s="36">
        <f ca="1" t="shared" si="1"/>
        <v>6</v>
      </c>
      <c r="B107" s="36">
        <f ca="1" t="array" ref="B107">INDEX(Data_DBD!$B:$B,$A107)</f>
        <v>14</v>
      </c>
      <c r="C107" s="36" t="str">
        <f ca="1" t="array" ref="C107">INDEX(Data_DBD!$C:$C,$A107)</f>
        <v>4 Hari</v>
      </c>
      <c r="D107" s="36">
        <f ca="1" t="array" ref="D107">INDEX(Data_DBD!$E:$E,$A107)</f>
        <v>0</v>
      </c>
      <c r="E107" s="36" t="str">
        <f ca="1" t="array" ref="E107">INDEX(Data_DBD!$F:$F,$A107)</f>
        <v>Sedang</v>
      </c>
      <c r="H107" s="36">
        <v>126</v>
      </c>
      <c r="I107" s="36">
        <v>51</v>
      </c>
      <c r="J107" s="36">
        <v>3</v>
      </c>
      <c r="K107" s="36">
        <v>1</v>
      </c>
      <c r="L107" s="36" t="s">
        <v>105</v>
      </c>
    </row>
    <row r="108" spans="1:12">
      <c r="A108" s="36">
        <f ca="1" t="shared" si="1"/>
        <v>60</v>
      </c>
      <c r="B108" s="36">
        <f ca="1" t="array" ref="B108">INDEX(Data_DBD!$B:$B,$A108)</f>
        <v>68</v>
      </c>
      <c r="C108" s="36" t="str">
        <f ca="1" t="array" ref="C108">INDEX(Data_DBD!$C:$C,$A108)</f>
        <v>4 Hari</v>
      </c>
      <c r="D108" s="36">
        <f ca="1" t="array" ref="D108">INDEX(Data_DBD!$E:$E,$A108)</f>
        <v>0</v>
      </c>
      <c r="E108" s="36" t="str">
        <f ca="1" t="array" ref="E108">INDEX(Data_DBD!$F:$F,$A108)</f>
        <v>Sedang</v>
      </c>
      <c r="H108" s="36">
        <v>49</v>
      </c>
      <c r="I108" s="36">
        <v>64</v>
      </c>
      <c r="J108" s="36">
        <v>5</v>
      </c>
      <c r="K108" s="36">
        <v>0</v>
      </c>
      <c r="L108" s="36" t="s">
        <v>8</v>
      </c>
    </row>
    <row r="109" spans="1:12">
      <c r="A109" s="36">
        <f ca="1" t="shared" si="1"/>
        <v>75</v>
      </c>
      <c r="B109" s="36">
        <f ca="1" t="array" ref="B109">INDEX(Data_DBD!$B:$B,$A109)</f>
        <v>2</v>
      </c>
      <c r="C109" s="36" t="str">
        <f ca="1" t="array" ref="C109">INDEX(Data_DBD!$C:$C,$A109)</f>
        <v>2 Hari</v>
      </c>
      <c r="D109" s="36">
        <f ca="1" t="array" ref="D109">INDEX(Data_DBD!$E:$E,$A109)</f>
        <v>1</v>
      </c>
      <c r="E109" s="36" t="str">
        <f ca="1" t="array" ref="E109">INDEX(Data_DBD!$F:$F,$A109)</f>
        <v>Sedang</v>
      </c>
      <c r="H109" s="36">
        <v>17</v>
      </c>
      <c r="I109" s="36">
        <v>2</v>
      </c>
      <c r="J109" s="36">
        <v>3</v>
      </c>
      <c r="K109" s="36">
        <v>0</v>
      </c>
      <c r="L109" s="36" t="s">
        <v>26</v>
      </c>
    </row>
    <row r="110" spans="1:12">
      <c r="A110" s="36">
        <f ca="1" t="shared" si="1"/>
        <v>40</v>
      </c>
      <c r="B110" s="36">
        <f ca="1" t="array" ref="B110">INDEX(Data_DBD!$B:$B,$A110)</f>
        <v>65</v>
      </c>
      <c r="C110" s="36" t="str">
        <f ca="1" t="array" ref="C110">INDEX(Data_DBD!$C:$C,$A110)</f>
        <v>3 Hari</v>
      </c>
      <c r="D110" s="36">
        <f ca="1" t="array" ref="D110">INDEX(Data_DBD!$E:$E,$A110)</f>
        <v>1</v>
      </c>
      <c r="E110" s="36" t="str">
        <f ca="1" t="array" ref="E110">INDEX(Data_DBD!$F:$F,$A110)</f>
        <v>Sedang</v>
      </c>
      <c r="H110" s="36">
        <v>70</v>
      </c>
      <c r="I110" s="36">
        <v>26</v>
      </c>
      <c r="J110" s="36">
        <v>3</v>
      </c>
      <c r="K110" s="36">
        <v>1</v>
      </c>
      <c r="L110" s="36" t="s">
        <v>8</v>
      </c>
    </row>
    <row r="111" spans="1:12">
      <c r="A111" s="36">
        <f ca="1" t="shared" si="1"/>
        <v>21</v>
      </c>
      <c r="B111" s="36">
        <f ca="1" t="array" ref="B111">INDEX(Data_DBD!$B:$B,$A111)</f>
        <v>10</v>
      </c>
      <c r="C111" s="36" t="str">
        <f ca="1" t="array" ref="C111">INDEX(Data_DBD!$C:$C,$A111)</f>
        <v>5 Hari</v>
      </c>
      <c r="D111" s="36">
        <f ca="1" t="array" ref="D111">INDEX(Data_DBD!$E:$E,$A111)</f>
        <v>1</v>
      </c>
      <c r="E111" s="36" t="str">
        <f ca="1" t="array" ref="E111">INDEX(Data_DBD!$F:$F,$A111)</f>
        <v>Sedang</v>
      </c>
      <c r="H111" s="36">
        <v>30</v>
      </c>
      <c r="I111" s="36">
        <v>3</v>
      </c>
      <c r="J111" s="36">
        <v>2</v>
      </c>
      <c r="K111" s="36">
        <v>1</v>
      </c>
      <c r="L111" s="36" t="s">
        <v>8</v>
      </c>
    </row>
    <row r="112" spans="1:12">
      <c r="A112" s="36">
        <f ca="1" t="shared" si="1"/>
        <v>49</v>
      </c>
      <c r="B112" s="36">
        <f ca="1" t="array" ref="B112">INDEX(Data_DBD!$B:$B,$A112)</f>
        <v>64</v>
      </c>
      <c r="C112" s="36" t="str">
        <f ca="1" t="array" ref="C112">INDEX(Data_DBD!$C:$C,$A112)</f>
        <v>5 Hari</v>
      </c>
      <c r="D112" s="36">
        <f ca="1" t="array" ref="D112">INDEX(Data_DBD!$E:$E,$A112)</f>
        <v>0</v>
      </c>
      <c r="E112" s="36" t="str">
        <f ca="1" t="array" ref="E112">INDEX(Data_DBD!$F:$F,$A112)</f>
        <v>Sedang</v>
      </c>
      <c r="H112" s="36">
        <v>72</v>
      </c>
      <c r="I112" s="36">
        <v>3</v>
      </c>
      <c r="J112" s="36">
        <v>5</v>
      </c>
      <c r="K112" s="36">
        <v>1</v>
      </c>
      <c r="L112" s="36" t="s">
        <v>8</v>
      </c>
    </row>
    <row r="113" spans="1:12">
      <c r="A113" s="36">
        <f ca="1" t="shared" si="1"/>
        <v>113</v>
      </c>
      <c r="B113" s="36">
        <f ca="1" t="array" ref="B113">INDEX(Data_DBD!$B:$B,$A113)</f>
        <v>69</v>
      </c>
      <c r="C113" s="36" t="str">
        <f ca="1" t="array" ref="C113">INDEX(Data_DBD!$C:$C,$A113)</f>
        <v>1 Hari</v>
      </c>
      <c r="D113" s="36">
        <f ca="1" t="array" ref="D113">INDEX(Data_DBD!$E:$E,$A113)</f>
        <v>1</v>
      </c>
      <c r="E113" s="36" t="str">
        <f ca="1" t="array" ref="E113">INDEX(Data_DBD!$F:$F,$A113)</f>
        <v>Tinggi</v>
      </c>
      <c r="H113" s="36">
        <v>38</v>
      </c>
      <c r="I113" s="36">
        <v>52</v>
      </c>
      <c r="J113" s="36">
        <v>3</v>
      </c>
      <c r="K113" s="36">
        <v>1</v>
      </c>
      <c r="L113" s="36" t="s">
        <v>26</v>
      </c>
    </row>
    <row r="114" spans="1:12">
      <c r="A114" s="36">
        <f ca="1" t="shared" si="1"/>
        <v>44</v>
      </c>
      <c r="B114" s="36">
        <f ca="1" t="array" ref="B114">INDEX(Data_DBD!$B:$B,$A114)</f>
        <v>28</v>
      </c>
      <c r="C114" s="36" t="str">
        <f ca="1" t="array" ref="C114">INDEX(Data_DBD!$C:$C,$A114)</f>
        <v>5 Hari</v>
      </c>
      <c r="D114" s="36">
        <f ca="1" t="array" ref="D114">INDEX(Data_DBD!$E:$E,$A114)</f>
        <v>1</v>
      </c>
      <c r="E114" s="36" t="str">
        <f ca="1" t="array" ref="E114">INDEX(Data_DBD!$F:$F,$A114)</f>
        <v>Sedang</v>
      </c>
      <c r="H114" s="36">
        <v>70</v>
      </c>
      <c r="I114" s="36">
        <v>26</v>
      </c>
      <c r="J114" s="36">
        <v>3</v>
      </c>
      <c r="K114" s="36">
        <v>1</v>
      </c>
      <c r="L114" s="36" t="s">
        <v>8</v>
      </c>
    </row>
    <row r="115" spans="1:12">
      <c r="A115" s="36">
        <f ca="1" t="shared" si="1"/>
        <v>98</v>
      </c>
      <c r="B115" s="36">
        <f ca="1" t="array" ref="B115">INDEX(Data_DBD!$B:$B,$A115)</f>
        <v>16</v>
      </c>
      <c r="C115" s="36" t="str">
        <f ca="1" t="array" ref="C115">INDEX(Data_DBD!$C:$C,$A115)</f>
        <v>2 Hari</v>
      </c>
      <c r="D115" s="36">
        <f ca="1" t="array" ref="D115">INDEX(Data_DBD!$E:$E,$A115)</f>
        <v>1</v>
      </c>
      <c r="E115" s="36" t="str">
        <f ca="1" t="array" ref="E115">INDEX(Data_DBD!$F:$F,$A115)</f>
        <v>Tinggi</v>
      </c>
      <c r="H115" s="36">
        <v>48</v>
      </c>
      <c r="I115" s="36">
        <v>50</v>
      </c>
      <c r="J115" s="36">
        <v>5</v>
      </c>
      <c r="K115" s="36">
        <v>1</v>
      </c>
      <c r="L115" s="36" t="s">
        <v>8</v>
      </c>
    </row>
    <row r="116" spans="1:12">
      <c r="A116" s="36">
        <f ca="1" t="shared" si="1"/>
        <v>11</v>
      </c>
      <c r="B116" s="36">
        <f ca="1" t="array" ref="B116">INDEX(Data_DBD!$B:$B,$A116)</f>
        <v>24</v>
      </c>
      <c r="C116" s="36" t="str">
        <f ca="1" t="array" ref="C116">INDEX(Data_DBD!$C:$C,$A116)</f>
        <v>5 Hari</v>
      </c>
      <c r="D116" s="36">
        <f ca="1" t="array" ref="D116">INDEX(Data_DBD!$E:$E,$A116)</f>
        <v>1</v>
      </c>
      <c r="E116" s="36" t="str">
        <f ca="1" t="array" ref="E116">INDEX(Data_DBD!$F:$F,$A116)</f>
        <v>Sedang</v>
      </c>
      <c r="H116" s="36">
        <v>89</v>
      </c>
      <c r="I116" s="36">
        <v>32</v>
      </c>
      <c r="J116" s="36">
        <v>4</v>
      </c>
      <c r="K116" s="36">
        <v>0</v>
      </c>
      <c r="L116" s="36" t="s">
        <v>8</v>
      </c>
    </row>
    <row r="117" spans="1:12">
      <c r="A117" s="36">
        <f ca="1" t="shared" si="1"/>
        <v>66</v>
      </c>
      <c r="B117" s="36">
        <f ca="1" t="array" ref="B117">INDEX(Data_DBD!$B:$B,$A117)</f>
        <v>21</v>
      </c>
      <c r="C117" s="36" t="str">
        <f ca="1" t="array" ref="C117">INDEX(Data_DBD!$C:$C,$A117)</f>
        <v>5 Hari</v>
      </c>
      <c r="D117" s="36">
        <f ca="1" t="array" ref="D117">INDEX(Data_DBD!$E:$E,$A117)</f>
        <v>1</v>
      </c>
      <c r="E117" s="36" t="str">
        <f ca="1" t="array" ref="E117">INDEX(Data_DBD!$F:$F,$A117)</f>
        <v>Sedang</v>
      </c>
      <c r="H117" s="36">
        <v>15</v>
      </c>
      <c r="I117" s="36">
        <v>21</v>
      </c>
      <c r="J117" s="36">
        <v>2</v>
      </c>
      <c r="K117" s="36">
        <v>0</v>
      </c>
      <c r="L117" s="36" t="s">
        <v>26</v>
      </c>
    </row>
    <row r="118" spans="1:12">
      <c r="A118" s="36">
        <f ca="1" t="shared" si="1"/>
        <v>6</v>
      </c>
      <c r="B118" s="36">
        <f ca="1" t="array" ref="B118">INDEX(Data_DBD!$B:$B,$A118)</f>
        <v>14</v>
      </c>
      <c r="C118" s="36" t="str">
        <f ca="1" t="array" ref="C118">INDEX(Data_DBD!$C:$C,$A118)</f>
        <v>4 Hari</v>
      </c>
      <c r="D118" s="36">
        <f ca="1" t="array" ref="D118">INDEX(Data_DBD!$E:$E,$A118)</f>
        <v>0</v>
      </c>
      <c r="E118" s="36" t="str">
        <f ca="1" t="array" ref="E118">INDEX(Data_DBD!$F:$F,$A118)</f>
        <v>Sedang</v>
      </c>
      <c r="H118" s="36">
        <v>7</v>
      </c>
      <c r="I118" s="36">
        <v>12</v>
      </c>
      <c r="J118" s="36">
        <v>1</v>
      </c>
      <c r="K118" s="36">
        <v>1</v>
      </c>
      <c r="L118" s="36" t="s">
        <v>8</v>
      </c>
    </row>
    <row r="119" spans="1:12">
      <c r="A119" s="36">
        <f ca="1" t="shared" si="1"/>
        <v>126</v>
      </c>
      <c r="B119" s="36">
        <f ca="1" t="array" ref="B119">INDEX(Data_DBD!$B:$B,$A119)</f>
        <v>51</v>
      </c>
      <c r="C119" s="36" t="str">
        <f ca="1" t="array" ref="C119">INDEX(Data_DBD!$C:$C,$A119)</f>
        <v>3 Hari</v>
      </c>
      <c r="D119" s="36">
        <f ca="1" t="array" ref="D119">INDEX(Data_DBD!$E:$E,$A119)</f>
        <v>1</v>
      </c>
      <c r="E119" s="36" t="str">
        <f ca="1" t="array" ref="E119">INDEX(Data_DBD!$F:$F,$A119)</f>
        <v>Tinggi</v>
      </c>
      <c r="H119" s="36">
        <v>108</v>
      </c>
      <c r="I119" s="36">
        <v>69</v>
      </c>
      <c r="J119" s="36">
        <v>7</v>
      </c>
      <c r="K119" s="36">
        <v>1</v>
      </c>
      <c r="L119" s="36" t="s">
        <v>105</v>
      </c>
    </row>
    <row r="120" spans="1:12">
      <c r="A120" s="36">
        <f ca="1" t="shared" si="1"/>
        <v>33</v>
      </c>
      <c r="B120" s="36">
        <f ca="1" t="array" ref="B120">INDEX(Data_DBD!$B:$B,$A120)</f>
        <v>19</v>
      </c>
      <c r="C120" s="36" t="str">
        <f ca="1" t="array" ref="C120">INDEX(Data_DBD!$C:$C,$A120)</f>
        <v>4 Hari</v>
      </c>
      <c r="D120" s="36">
        <f ca="1" t="array" ref="D120">INDEX(Data_DBD!$E:$E,$A120)</f>
        <v>1</v>
      </c>
      <c r="E120" s="36" t="str">
        <f ca="1" t="array" ref="E120">INDEX(Data_DBD!$F:$F,$A120)</f>
        <v>Sedang</v>
      </c>
      <c r="H120" s="36">
        <v>13</v>
      </c>
      <c r="I120" s="36">
        <v>47</v>
      </c>
      <c r="J120" s="36">
        <v>2</v>
      </c>
      <c r="K120" s="36">
        <v>0</v>
      </c>
      <c r="L120" s="36" t="s">
        <v>8</v>
      </c>
    </row>
    <row r="121" spans="1:12">
      <c r="A121" s="36">
        <f ca="1" t="shared" si="1"/>
        <v>107</v>
      </c>
      <c r="B121" s="36">
        <f ca="1" t="array" ref="B121">INDEX(Data_DBD!$B:$B,$A121)</f>
        <v>48</v>
      </c>
      <c r="C121" s="36" t="str">
        <f ca="1" t="array" ref="C121">INDEX(Data_DBD!$C:$C,$A121)</f>
        <v>5 Hari</v>
      </c>
      <c r="D121" s="36">
        <f ca="1" t="array" ref="D121">INDEX(Data_DBD!$E:$E,$A121)</f>
        <v>0</v>
      </c>
      <c r="E121" s="36" t="str">
        <f ca="1" t="array" ref="E121">INDEX(Data_DBD!$F:$F,$A121)</f>
        <v>Tinggi</v>
      </c>
      <c r="H121" s="36">
        <v>150</v>
      </c>
      <c r="I121" s="36">
        <v>61</v>
      </c>
      <c r="J121" s="36">
        <v>5</v>
      </c>
      <c r="K121" s="36">
        <v>1</v>
      </c>
      <c r="L121" s="36" t="s">
        <v>105</v>
      </c>
    </row>
    <row r="122" spans="1:12">
      <c r="A122" s="36">
        <f ca="1" t="shared" si="1"/>
        <v>69</v>
      </c>
      <c r="B122" s="36">
        <f ca="1" t="array" ref="B122">INDEX(Data_DBD!$B:$B,$A122)</f>
        <v>24</v>
      </c>
      <c r="C122" s="36" t="str">
        <f ca="1" t="array" ref="C122">INDEX(Data_DBD!$C:$C,$A122)</f>
        <v>4 Hari</v>
      </c>
      <c r="D122" s="36">
        <f ca="1" t="array" ref="D122">INDEX(Data_DBD!$E:$E,$A122)</f>
        <v>1</v>
      </c>
      <c r="E122" s="36" t="str">
        <f ca="1" t="array" ref="E122">INDEX(Data_DBD!$F:$F,$A122)</f>
        <v>Sedang</v>
      </c>
      <c r="H122" s="36">
        <v>55</v>
      </c>
      <c r="I122" s="36">
        <v>7</v>
      </c>
      <c r="J122" s="36">
        <v>4</v>
      </c>
      <c r="K122" s="36">
        <v>1</v>
      </c>
      <c r="L122" s="36" t="s">
        <v>8</v>
      </c>
    </row>
    <row r="123" spans="1:12">
      <c r="A123" s="36">
        <f ca="1" t="shared" si="1"/>
        <v>129</v>
      </c>
      <c r="B123" s="36">
        <f ca="1" t="array" ref="B123">INDEX(Data_DBD!$B:$B,$A123)</f>
        <v>4.5</v>
      </c>
      <c r="C123" s="36" t="str">
        <f ca="1" t="array" ref="C123">INDEX(Data_DBD!$C:$C,$A123)</f>
        <v>3 Hari</v>
      </c>
      <c r="D123" s="36">
        <f ca="1" t="array" ref="D123">INDEX(Data_DBD!$E:$E,$A123)</f>
        <v>0</v>
      </c>
      <c r="E123" s="36" t="str">
        <f ca="1" t="array" ref="E123">INDEX(Data_DBD!$F:$F,$A123)</f>
        <v>Tinggi</v>
      </c>
      <c r="H123" s="36">
        <v>23</v>
      </c>
      <c r="I123" s="36">
        <v>28</v>
      </c>
      <c r="J123" s="36">
        <v>4</v>
      </c>
      <c r="K123" s="36">
        <v>1</v>
      </c>
      <c r="L123" s="36" t="s">
        <v>8</v>
      </c>
    </row>
    <row r="124" spans="1:12">
      <c r="A124" s="36">
        <f ca="1" t="shared" si="1"/>
        <v>22</v>
      </c>
      <c r="B124" s="36">
        <f ca="1" t="array" ref="B124">INDEX(Data_DBD!$B:$B,$A124)</f>
        <v>6</v>
      </c>
      <c r="C124" s="36" t="str">
        <f ca="1" t="array" ref="C124">INDEX(Data_DBD!$C:$C,$A124)</f>
        <v>3 Hari</v>
      </c>
      <c r="D124" s="36">
        <f ca="1" t="array" ref="D124">INDEX(Data_DBD!$E:$E,$A124)</f>
        <v>0</v>
      </c>
      <c r="E124" s="36" t="str">
        <f ca="1" t="array" ref="E124">INDEX(Data_DBD!$F:$F,$A124)</f>
        <v>Sedang</v>
      </c>
      <c r="H124" s="36">
        <v>70</v>
      </c>
      <c r="I124" s="36">
        <v>26</v>
      </c>
      <c r="J124" s="36">
        <v>3</v>
      </c>
      <c r="K124" s="36">
        <v>1</v>
      </c>
      <c r="L124" s="36" t="s">
        <v>8</v>
      </c>
    </row>
    <row r="125" spans="1:12">
      <c r="A125" s="36">
        <f ca="1" t="shared" si="1"/>
        <v>101</v>
      </c>
      <c r="B125" s="36">
        <f ca="1" t="array" ref="B125">INDEX(Data_DBD!$B:$B,$A125)</f>
        <v>42</v>
      </c>
      <c r="C125" s="36" t="str">
        <f ca="1" t="array" ref="C125">INDEX(Data_DBD!$C:$C,$A125)</f>
        <v>5 Hari</v>
      </c>
      <c r="D125" s="36">
        <f ca="1" t="array" ref="D125">INDEX(Data_DBD!$E:$E,$A125)</f>
        <v>0</v>
      </c>
      <c r="E125" s="36" t="str">
        <f ca="1" t="array" ref="E125">INDEX(Data_DBD!$F:$F,$A125)</f>
        <v>Tinggi</v>
      </c>
      <c r="H125" s="36">
        <v>135</v>
      </c>
      <c r="I125" s="36">
        <v>10</v>
      </c>
      <c r="J125" s="36">
        <v>2</v>
      </c>
      <c r="K125" s="36">
        <v>0</v>
      </c>
      <c r="L125" s="36" t="s">
        <v>105</v>
      </c>
    </row>
    <row r="126" spans="1:12">
      <c r="A126" s="36">
        <f ca="1" t="shared" si="1"/>
        <v>147</v>
      </c>
      <c r="B126" s="36">
        <f ca="1" t="array" ref="B126">INDEX(Data_DBD!$B:$B,$A126)</f>
        <v>66</v>
      </c>
      <c r="C126" s="36" t="str">
        <f ca="1" t="array" ref="C126">INDEX(Data_DBD!$C:$C,$A126)</f>
        <v>10 Hari</v>
      </c>
      <c r="D126" s="36">
        <f ca="1" t="array" ref="D126">INDEX(Data_DBD!$E:$E,$A126)</f>
        <v>1</v>
      </c>
      <c r="E126" s="36" t="str">
        <f ca="1" t="array" ref="E126">INDEX(Data_DBD!$F:$F,$A126)</f>
        <v>Tinggi</v>
      </c>
      <c r="H126" s="36">
        <v>133</v>
      </c>
      <c r="I126" s="36">
        <v>6</v>
      </c>
      <c r="J126" s="36">
        <v>4</v>
      </c>
      <c r="K126" s="36">
        <v>0</v>
      </c>
      <c r="L126" s="36" t="s">
        <v>105</v>
      </c>
    </row>
    <row r="127" spans="1:12">
      <c r="A127" s="36">
        <f ca="1" t="shared" si="1"/>
        <v>153</v>
      </c>
      <c r="B127" s="36">
        <f ca="1" t="array" ref="B127">INDEX(Data_DBD!$B:$B,$A127)</f>
        <v>73</v>
      </c>
      <c r="C127" s="36" t="str">
        <f ca="1" t="array" ref="C127">INDEX(Data_DBD!$C:$C,$A127)</f>
        <v>7 Hari</v>
      </c>
      <c r="D127" s="36">
        <f ca="1" t="array" ref="D127">INDEX(Data_DBD!$E:$E,$A127)</f>
        <v>1</v>
      </c>
      <c r="E127" s="36" t="str">
        <f ca="1" t="array" ref="E127">INDEX(Data_DBD!$F:$F,$A127)</f>
        <v>Tinggi</v>
      </c>
      <c r="H127" s="36">
        <v>88</v>
      </c>
      <c r="I127" s="36">
        <v>20</v>
      </c>
      <c r="J127" s="36">
        <v>4</v>
      </c>
      <c r="K127" s="36">
        <v>1</v>
      </c>
      <c r="L127" s="36" t="s">
        <v>8</v>
      </c>
    </row>
    <row r="128" spans="1:12">
      <c r="A128" s="36">
        <f ca="1" t="shared" si="1"/>
        <v>12</v>
      </c>
      <c r="B128" s="36">
        <f ca="1" t="array" ref="B128">INDEX(Data_DBD!$B:$B,$A128)</f>
        <v>23</v>
      </c>
      <c r="C128" s="36" t="str">
        <f ca="1" t="array" ref="C128">INDEX(Data_DBD!$C:$C,$A128)</f>
        <v>3 Hari</v>
      </c>
      <c r="D128" s="36">
        <f ca="1" t="array" ref="D128">INDEX(Data_DBD!$E:$E,$A128)</f>
        <v>0</v>
      </c>
      <c r="E128" s="36" t="str">
        <f ca="1" t="array" ref="E128">INDEX(Data_DBD!$F:$F,$A128)</f>
        <v>Sedang</v>
      </c>
      <c r="H128" s="36">
        <v>93</v>
      </c>
      <c r="I128" s="36">
        <v>65</v>
      </c>
      <c r="J128" s="36">
        <v>4</v>
      </c>
      <c r="K128" s="36">
        <v>0</v>
      </c>
      <c r="L128" s="36" t="s">
        <v>105</v>
      </c>
    </row>
    <row r="129" spans="1:12">
      <c r="A129" s="36">
        <f ca="1" t="shared" si="1"/>
        <v>64</v>
      </c>
      <c r="B129" s="36">
        <f ca="1" t="array" ref="B129">INDEX(Data_DBD!$B:$B,$A129)</f>
        <v>35</v>
      </c>
      <c r="C129" s="36" t="str">
        <f ca="1" t="array" ref="C129">INDEX(Data_DBD!$C:$C,$A129)</f>
        <v>1 Hari</v>
      </c>
      <c r="D129" s="36">
        <f ca="1" t="array" ref="D129">INDEX(Data_DBD!$E:$E,$A129)</f>
        <v>0</v>
      </c>
      <c r="E129" s="36" t="str">
        <f ca="1" t="array" ref="E129">INDEX(Data_DBD!$F:$F,$A129)</f>
        <v>Sedang</v>
      </c>
      <c r="H129" s="36">
        <v>101</v>
      </c>
      <c r="I129" s="36">
        <v>42</v>
      </c>
      <c r="J129" s="36">
        <v>5</v>
      </c>
      <c r="K129" s="36">
        <v>0</v>
      </c>
      <c r="L129" s="36" t="s">
        <v>105</v>
      </c>
    </row>
    <row r="130" spans="1:12">
      <c r="A130" s="36">
        <f ca="1" t="shared" si="1"/>
        <v>58</v>
      </c>
      <c r="B130" s="36">
        <f ca="1" t="array" ref="B130">INDEX(Data_DBD!$B:$B,$A130)</f>
        <v>17</v>
      </c>
      <c r="C130" s="36" t="str">
        <f ca="1" t="array" ref="C130">INDEX(Data_DBD!$C:$C,$A130)</f>
        <v>3 Hari</v>
      </c>
      <c r="D130" s="36">
        <f ca="1" t="array" ref="D130">INDEX(Data_DBD!$E:$E,$A130)</f>
        <v>0</v>
      </c>
      <c r="E130" s="36" t="str">
        <f ca="1" t="array" ref="E130">INDEX(Data_DBD!$F:$F,$A130)</f>
        <v>Sedang</v>
      </c>
      <c r="H130" s="36">
        <v>30</v>
      </c>
      <c r="I130" s="36">
        <v>3</v>
      </c>
      <c r="J130" s="36">
        <v>2</v>
      </c>
      <c r="K130" s="36">
        <v>1</v>
      </c>
      <c r="L130" s="36" t="s">
        <v>8</v>
      </c>
    </row>
    <row r="131" spans="1:12">
      <c r="A131" s="36">
        <f ca="1" t="shared" ref="A131:A164" si="2">RANDBETWEEN(2,164)</f>
        <v>9</v>
      </c>
      <c r="B131" s="36">
        <f ca="1" t="array" ref="B131">INDEX(Data_DBD!$B:$B,$A131)</f>
        <v>16</v>
      </c>
      <c r="C131" s="36" t="str">
        <f ca="1" t="array" ref="C131">INDEX(Data_DBD!$C:$C,$A131)</f>
        <v>6 Hari</v>
      </c>
      <c r="D131" s="36">
        <f ca="1" t="array" ref="D131">INDEX(Data_DBD!$E:$E,$A131)</f>
        <v>1</v>
      </c>
      <c r="E131" s="36" t="str">
        <f ca="1" t="array" ref="E131">INDEX(Data_DBD!$F:$F,$A131)</f>
        <v>Sedang</v>
      </c>
      <c r="H131" s="36">
        <v>158</v>
      </c>
      <c r="I131" s="36">
        <v>5</v>
      </c>
      <c r="J131" s="36">
        <v>2</v>
      </c>
      <c r="K131" s="36">
        <v>0</v>
      </c>
      <c r="L131" s="36" t="s">
        <v>105</v>
      </c>
    </row>
    <row r="132" spans="1:12">
      <c r="A132" s="36">
        <f ca="1" t="shared" si="2"/>
        <v>16</v>
      </c>
      <c r="B132" s="36">
        <f ca="1" t="array" ref="B132">INDEX(Data_DBD!$B:$B,$A132)</f>
        <v>66</v>
      </c>
      <c r="C132" s="36" t="str">
        <f ca="1" t="array" ref="C132">INDEX(Data_DBD!$C:$C,$A132)</f>
        <v>5 Hari</v>
      </c>
      <c r="D132" s="36">
        <f ca="1" t="array" ref="D132">INDEX(Data_DBD!$E:$E,$A132)</f>
        <v>1</v>
      </c>
      <c r="E132" s="36" t="str">
        <f ca="1" t="array" ref="E132">INDEX(Data_DBD!$F:$F,$A132)</f>
        <v>Rendah</v>
      </c>
      <c r="H132" s="36">
        <v>27</v>
      </c>
      <c r="I132" s="36">
        <v>37</v>
      </c>
      <c r="J132" s="36">
        <v>4</v>
      </c>
      <c r="K132" s="36">
        <v>1</v>
      </c>
      <c r="L132" s="36" t="s">
        <v>8</v>
      </c>
    </row>
    <row r="133" spans="1:12">
      <c r="A133" s="36">
        <f ca="1" t="shared" si="2"/>
        <v>140</v>
      </c>
      <c r="B133" s="36">
        <f ca="1" t="array" ref="B133">INDEX(Data_DBD!$B:$B,$A133)</f>
        <v>74</v>
      </c>
      <c r="C133" s="36" t="str">
        <f ca="1" t="array" ref="C133">INDEX(Data_DBD!$C:$C,$A133)</f>
        <v>5 Hari</v>
      </c>
      <c r="D133" s="36">
        <f ca="1" t="array" ref="D133">INDEX(Data_DBD!$E:$E,$A133)</f>
        <v>1</v>
      </c>
      <c r="E133" s="36" t="str">
        <f ca="1" t="array" ref="E133">INDEX(Data_DBD!$F:$F,$A133)</f>
        <v>Tinggi</v>
      </c>
      <c r="H133" s="36">
        <v>119</v>
      </c>
      <c r="I133" s="36">
        <v>30</v>
      </c>
      <c r="J133" s="36">
        <v>7</v>
      </c>
      <c r="K133" s="36">
        <v>0</v>
      </c>
      <c r="L133" s="36" t="s">
        <v>105</v>
      </c>
    </row>
    <row r="134" spans="1:12">
      <c r="A134" s="36">
        <f ca="1" t="shared" si="2"/>
        <v>137</v>
      </c>
      <c r="B134" s="36">
        <f ca="1" t="array" ref="B134">INDEX(Data_DBD!$B:$B,$A134)</f>
        <v>3.5</v>
      </c>
      <c r="C134" s="36" t="str">
        <f ca="1" t="array" ref="C134">INDEX(Data_DBD!$C:$C,$A134)</f>
        <v>1 Hari</v>
      </c>
      <c r="D134" s="36">
        <f ca="1" t="array" ref="D134">INDEX(Data_DBD!$E:$E,$A134)</f>
        <v>1</v>
      </c>
      <c r="E134" s="36" t="str">
        <f ca="1" t="array" ref="E134">INDEX(Data_DBD!$F:$F,$A134)</f>
        <v>Tinggi</v>
      </c>
      <c r="H134" s="36">
        <v>146</v>
      </c>
      <c r="I134" s="36">
        <v>34</v>
      </c>
      <c r="J134" s="36">
        <v>2</v>
      </c>
      <c r="K134" s="36">
        <v>1</v>
      </c>
      <c r="L134" s="36" t="s">
        <v>105</v>
      </c>
    </row>
    <row r="135" spans="1:12">
      <c r="A135" s="36">
        <f ca="1" t="shared" si="2"/>
        <v>39</v>
      </c>
      <c r="B135" s="36">
        <f ca="1" t="array" ref="B135">INDEX(Data_DBD!$B:$B,$A135)</f>
        <v>12</v>
      </c>
      <c r="C135" s="36" t="str">
        <f ca="1" t="array" ref="C135">INDEX(Data_DBD!$C:$C,$A135)</f>
        <v>5 Hari</v>
      </c>
      <c r="D135" s="36">
        <f ca="1" t="array" ref="D135">INDEX(Data_DBD!$E:$E,$A135)</f>
        <v>1</v>
      </c>
      <c r="E135" s="36" t="str">
        <f ca="1" t="array" ref="E135">INDEX(Data_DBD!$F:$F,$A135)</f>
        <v>Sedang</v>
      </c>
      <c r="H135" s="36">
        <v>42</v>
      </c>
      <c r="I135" s="36">
        <v>21</v>
      </c>
      <c r="J135" s="36">
        <v>5</v>
      </c>
      <c r="K135" s="36">
        <v>1</v>
      </c>
      <c r="L135" s="36" t="s">
        <v>8</v>
      </c>
    </row>
    <row r="136" spans="1:12">
      <c r="A136" s="36">
        <f ca="1" t="shared" si="2"/>
        <v>148</v>
      </c>
      <c r="B136" s="36">
        <f ca="1" t="array" ref="B136">INDEX(Data_DBD!$B:$B,$A136)</f>
        <v>55</v>
      </c>
      <c r="C136" s="36" t="str">
        <f ca="1" t="array" ref="C136">INDEX(Data_DBD!$C:$C,$A136)</f>
        <v>3 Hari</v>
      </c>
      <c r="D136" s="36">
        <f ca="1" t="array" ref="D136">INDEX(Data_DBD!$E:$E,$A136)</f>
        <v>1</v>
      </c>
      <c r="E136" s="36" t="str">
        <f ca="1" t="array" ref="E136">INDEX(Data_DBD!$F:$F,$A136)</f>
        <v>Tinggi</v>
      </c>
      <c r="H136" s="36">
        <v>153</v>
      </c>
      <c r="I136" s="36">
        <v>73</v>
      </c>
      <c r="J136" s="36">
        <v>7</v>
      </c>
      <c r="K136" s="36">
        <v>1</v>
      </c>
      <c r="L136" s="36" t="s">
        <v>105</v>
      </c>
    </row>
    <row r="137" spans="1:12">
      <c r="A137" s="36">
        <f ca="1" t="shared" si="2"/>
        <v>126</v>
      </c>
      <c r="B137" s="36">
        <f ca="1" t="array" ref="B137">INDEX(Data_DBD!$B:$B,$A137)</f>
        <v>51</v>
      </c>
      <c r="C137" s="36" t="str">
        <f ca="1" t="array" ref="C137">INDEX(Data_DBD!$C:$C,$A137)</f>
        <v>3 Hari</v>
      </c>
      <c r="D137" s="36">
        <f ca="1" t="array" ref="D137">INDEX(Data_DBD!$E:$E,$A137)</f>
        <v>1</v>
      </c>
      <c r="E137" s="36" t="str">
        <f ca="1" t="array" ref="E137">INDEX(Data_DBD!$F:$F,$A137)</f>
        <v>Tinggi</v>
      </c>
      <c r="H137" s="36">
        <v>58</v>
      </c>
      <c r="I137" s="36">
        <v>17</v>
      </c>
      <c r="J137" s="36">
        <v>3</v>
      </c>
      <c r="K137" s="36">
        <v>0</v>
      </c>
      <c r="L137" s="36" t="s">
        <v>8</v>
      </c>
    </row>
    <row r="138" spans="1:12">
      <c r="A138" s="36">
        <f ca="1" t="shared" si="2"/>
        <v>121</v>
      </c>
      <c r="B138" s="36">
        <f ca="1" t="array" ref="B138">INDEX(Data_DBD!$B:$B,$A138)</f>
        <v>82</v>
      </c>
      <c r="C138" s="36" t="str">
        <f ca="1" t="array" ref="C138">INDEX(Data_DBD!$C:$C,$A138)</f>
        <v>5 Hari</v>
      </c>
      <c r="D138" s="36">
        <f ca="1" t="array" ref="D138">INDEX(Data_DBD!$E:$E,$A138)</f>
        <v>1</v>
      </c>
      <c r="E138" s="36" t="str">
        <f ca="1" t="array" ref="E138">INDEX(Data_DBD!$F:$F,$A138)</f>
        <v>Tinggi</v>
      </c>
      <c r="H138" s="36">
        <v>143</v>
      </c>
      <c r="I138" s="36">
        <v>20</v>
      </c>
      <c r="J138" s="36">
        <v>4</v>
      </c>
      <c r="K138" s="36">
        <v>1</v>
      </c>
      <c r="L138" s="36" t="s">
        <v>105</v>
      </c>
    </row>
    <row r="139" spans="1:12">
      <c r="A139" s="36">
        <f ca="1" t="shared" si="2"/>
        <v>39</v>
      </c>
      <c r="B139" s="36">
        <f ca="1" t="array" ref="B139">INDEX(Data_DBD!$B:$B,$A139)</f>
        <v>12</v>
      </c>
      <c r="C139" s="36" t="str">
        <f ca="1" t="array" ref="C139">INDEX(Data_DBD!$C:$C,$A139)</f>
        <v>5 Hari</v>
      </c>
      <c r="D139" s="36">
        <f ca="1" t="array" ref="D139">INDEX(Data_DBD!$E:$E,$A139)</f>
        <v>1</v>
      </c>
      <c r="E139" s="36" t="str">
        <f ca="1" t="array" ref="E139">INDEX(Data_DBD!$F:$F,$A139)</f>
        <v>Sedang</v>
      </c>
      <c r="H139" s="36">
        <v>129</v>
      </c>
      <c r="I139" s="36">
        <v>4</v>
      </c>
      <c r="J139" s="36">
        <v>3</v>
      </c>
      <c r="K139" s="36">
        <v>0</v>
      </c>
      <c r="L139" s="36" t="s">
        <v>105</v>
      </c>
    </row>
    <row r="140" spans="1:12">
      <c r="A140" s="36">
        <f ca="1" t="shared" si="2"/>
        <v>26</v>
      </c>
      <c r="B140" s="36">
        <f ca="1" t="array" ref="B140">INDEX(Data_DBD!$B:$B,$A140)</f>
        <v>75</v>
      </c>
      <c r="C140" s="36" t="str">
        <f ca="1" t="array" ref="C140">INDEX(Data_DBD!$C:$C,$A140)</f>
        <v>4 Hari</v>
      </c>
      <c r="D140" s="36">
        <f ca="1" t="array" ref="D140">INDEX(Data_DBD!$E:$E,$A140)</f>
        <v>1</v>
      </c>
      <c r="E140" s="36" t="str">
        <f ca="1" t="array" ref="E140">INDEX(Data_DBD!$F:$F,$A140)</f>
        <v>Sedang</v>
      </c>
      <c r="H140" s="36">
        <v>2</v>
      </c>
      <c r="I140" s="36">
        <v>34</v>
      </c>
      <c r="J140" s="36">
        <v>3</v>
      </c>
      <c r="K140" s="36">
        <v>0</v>
      </c>
      <c r="L140" s="36" t="s">
        <v>8</v>
      </c>
    </row>
    <row r="141" spans="1:12">
      <c r="A141" s="36">
        <f ca="1" t="shared" si="2"/>
        <v>163</v>
      </c>
      <c r="B141" s="36">
        <f ca="1" t="array" ref="B141">INDEX(Data_DBD!$B:$B,$A141)</f>
        <v>34</v>
      </c>
      <c r="C141" s="36" t="str">
        <f ca="1" t="array" ref="C141">INDEX(Data_DBD!$C:$C,$A141)</f>
        <v>4 Hari</v>
      </c>
      <c r="D141" s="36">
        <f ca="1" t="array" ref="D141">INDEX(Data_DBD!$E:$E,$A141)</f>
        <v>1</v>
      </c>
      <c r="E141" s="36" t="str">
        <f ca="1" t="array" ref="E141">INDEX(Data_DBD!$F:$F,$A141)</f>
        <v>Rendah</v>
      </c>
      <c r="H141" s="36">
        <v>128</v>
      </c>
      <c r="I141" s="36">
        <v>38</v>
      </c>
      <c r="J141" s="36">
        <v>2</v>
      </c>
      <c r="K141" s="36">
        <v>0</v>
      </c>
      <c r="L141" s="36" t="s">
        <v>105</v>
      </c>
    </row>
    <row r="142" spans="1:12">
      <c r="A142" s="36">
        <f ca="1" t="shared" si="2"/>
        <v>29</v>
      </c>
      <c r="B142" s="36">
        <f ca="1" t="array" ref="B142">INDEX(Data_DBD!$B:$B,$A142)</f>
        <v>19</v>
      </c>
      <c r="C142" s="36" t="str">
        <f ca="1" t="array" ref="C142">INDEX(Data_DBD!$C:$C,$A142)</f>
        <v>2 Hari</v>
      </c>
      <c r="D142" s="36">
        <f ca="1" t="array" ref="D142">INDEX(Data_DBD!$E:$E,$A142)</f>
        <v>1</v>
      </c>
      <c r="E142" s="36" t="str">
        <f ca="1" t="array" ref="E142">INDEX(Data_DBD!$F:$F,$A142)</f>
        <v>Sedang</v>
      </c>
      <c r="H142" s="36">
        <v>46</v>
      </c>
      <c r="I142" s="36">
        <v>62</v>
      </c>
      <c r="J142" s="36">
        <v>2</v>
      </c>
      <c r="K142" s="36">
        <v>0</v>
      </c>
      <c r="L142" s="36" t="s">
        <v>8</v>
      </c>
    </row>
    <row r="143" spans="1:12">
      <c r="A143" s="36">
        <f ca="1" t="shared" si="2"/>
        <v>54</v>
      </c>
      <c r="B143" s="36">
        <f ca="1" t="array" ref="B143">INDEX(Data_DBD!$B:$B,$A143)</f>
        <v>7</v>
      </c>
      <c r="C143" s="36" t="str">
        <f ca="1" t="array" ref="C143">INDEX(Data_DBD!$C:$C,$A143)</f>
        <v>3 Hari</v>
      </c>
      <c r="D143" s="36">
        <f ca="1" t="array" ref="D143">INDEX(Data_DBD!$E:$E,$A143)</f>
        <v>0</v>
      </c>
      <c r="E143" s="36" t="str">
        <f ca="1" t="array" ref="E143">INDEX(Data_DBD!$F:$F,$A143)</f>
        <v>Sedang</v>
      </c>
      <c r="H143" s="36">
        <v>102</v>
      </c>
      <c r="I143" s="36">
        <v>41</v>
      </c>
      <c r="J143" s="36">
        <v>4</v>
      </c>
      <c r="K143" s="36">
        <v>0</v>
      </c>
      <c r="L143" s="36" t="s">
        <v>105</v>
      </c>
    </row>
    <row r="144" spans="1:12">
      <c r="A144" s="36">
        <f ca="1" t="shared" si="2"/>
        <v>119</v>
      </c>
      <c r="B144" s="36">
        <f ca="1" t="array" ref="B144">INDEX(Data_DBD!$B:$B,$A144)</f>
        <v>30</v>
      </c>
      <c r="C144" s="36" t="str">
        <f ca="1" t="array" ref="C144">INDEX(Data_DBD!$C:$C,$A144)</f>
        <v>7 Hari</v>
      </c>
      <c r="D144" s="36">
        <f ca="1" t="array" ref="D144">INDEX(Data_DBD!$E:$E,$A144)</f>
        <v>0</v>
      </c>
      <c r="E144" s="36" t="str">
        <f ca="1" t="array" ref="E144">INDEX(Data_DBD!$F:$F,$A144)</f>
        <v>Tinggi</v>
      </c>
      <c r="H144" s="36">
        <v>45</v>
      </c>
      <c r="I144" s="36">
        <v>75</v>
      </c>
      <c r="J144" s="36">
        <v>3</v>
      </c>
      <c r="K144" s="36">
        <v>1</v>
      </c>
      <c r="L144" s="36" t="s">
        <v>8</v>
      </c>
    </row>
    <row r="145" spans="1:12">
      <c r="A145" s="36">
        <f ca="1" t="shared" si="2"/>
        <v>110</v>
      </c>
      <c r="B145" s="36">
        <f ca="1" t="array" ref="B145">INDEX(Data_DBD!$B:$B,$A145)</f>
        <v>42</v>
      </c>
      <c r="C145" s="36" t="str">
        <f ca="1" t="array" ref="C145">INDEX(Data_DBD!$C:$C,$A145)</f>
        <v>2 Hari</v>
      </c>
      <c r="D145" s="36">
        <f ca="1" t="array" ref="D145">INDEX(Data_DBD!$E:$E,$A145)</f>
        <v>1</v>
      </c>
      <c r="E145" s="36" t="str">
        <f ca="1" t="array" ref="E145">INDEX(Data_DBD!$F:$F,$A145)</f>
        <v>Tinggi</v>
      </c>
      <c r="H145" s="36">
        <v>12</v>
      </c>
      <c r="I145" s="36">
        <v>23</v>
      </c>
      <c r="J145" s="36">
        <v>3</v>
      </c>
      <c r="K145" s="36">
        <v>0</v>
      </c>
      <c r="L145" s="36" t="s">
        <v>8</v>
      </c>
    </row>
    <row r="146" spans="1:12">
      <c r="A146" s="36">
        <f ca="1" t="shared" si="2"/>
        <v>161</v>
      </c>
      <c r="B146" s="36">
        <f ca="1" t="array" ref="B146">INDEX(Data_DBD!$B:$B,$A146)</f>
        <v>12</v>
      </c>
      <c r="C146" s="36" t="str">
        <f ca="1" t="array" ref="C146">INDEX(Data_DBD!$C:$C,$A146)</f>
        <v>3 Hari</v>
      </c>
      <c r="D146" s="36">
        <f ca="1" t="array" ref="D146">INDEX(Data_DBD!$E:$E,$A146)</f>
        <v>1</v>
      </c>
      <c r="E146" s="36" t="str">
        <f ca="1" t="array" ref="E146">INDEX(Data_DBD!$F:$F,$A146)</f>
        <v>Tinggi</v>
      </c>
      <c r="H146" s="36">
        <v>81</v>
      </c>
      <c r="I146" s="36">
        <v>23</v>
      </c>
      <c r="J146" s="36">
        <v>5</v>
      </c>
      <c r="K146" s="36">
        <v>1</v>
      </c>
      <c r="L146" s="36" t="s">
        <v>8</v>
      </c>
    </row>
    <row r="147" spans="1:12">
      <c r="A147" s="36">
        <f ca="1" t="shared" si="2"/>
        <v>32</v>
      </c>
      <c r="B147" s="36">
        <f ca="1" t="array" ref="B147">INDEX(Data_DBD!$B:$B,$A147)</f>
        <v>54</v>
      </c>
      <c r="C147" s="36" t="str">
        <f ca="1" t="array" ref="C147">INDEX(Data_DBD!$C:$C,$A147)</f>
        <v>4 Hari</v>
      </c>
      <c r="D147" s="36">
        <f ca="1" t="array" ref="D147">INDEX(Data_DBD!$E:$E,$A147)</f>
        <v>0</v>
      </c>
      <c r="E147" s="36" t="str">
        <f ca="1" t="array" ref="E147">INDEX(Data_DBD!$F:$F,$A147)</f>
        <v>Sedang</v>
      </c>
      <c r="H147" s="36">
        <v>36</v>
      </c>
      <c r="I147" s="36">
        <v>27</v>
      </c>
      <c r="J147" s="36">
        <v>1</v>
      </c>
      <c r="K147" s="36">
        <v>1</v>
      </c>
      <c r="L147" s="36" t="s">
        <v>26</v>
      </c>
    </row>
    <row r="148" spans="1:12">
      <c r="A148" s="36">
        <f ca="1" t="shared" si="2"/>
        <v>57</v>
      </c>
      <c r="B148" s="36">
        <f ca="1" t="array" ref="B148">INDEX(Data_DBD!$B:$B,$A148)</f>
        <v>2</v>
      </c>
      <c r="C148" s="36" t="str">
        <f ca="1" t="array" ref="C148">INDEX(Data_DBD!$C:$C,$A148)</f>
        <v>2 Hari</v>
      </c>
      <c r="D148" s="36">
        <f ca="1" t="array" ref="D148">INDEX(Data_DBD!$E:$E,$A148)</f>
        <v>1</v>
      </c>
      <c r="E148" s="36" t="str">
        <f ca="1" t="array" ref="E148">INDEX(Data_DBD!$F:$F,$A148)</f>
        <v>Sedang</v>
      </c>
      <c r="H148" s="36">
        <v>140</v>
      </c>
      <c r="I148" s="36">
        <v>74</v>
      </c>
      <c r="J148" s="36">
        <v>5</v>
      </c>
      <c r="K148" s="36">
        <v>1</v>
      </c>
      <c r="L148" s="36" t="s">
        <v>105</v>
      </c>
    </row>
    <row r="149" spans="1:12">
      <c r="A149" s="36">
        <f ca="1" t="shared" si="2"/>
        <v>42</v>
      </c>
      <c r="B149" s="36">
        <f ca="1" t="array" ref="B149">INDEX(Data_DBD!$B:$B,$A149)</f>
        <v>21</v>
      </c>
      <c r="C149" s="36" t="str">
        <f ca="1" t="array" ref="C149">INDEX(Data_DBD!$C:$C,$A149)</f>
        <v>5 Hari</v>
      </c>
      <c r="D149" s="36">
        <f ca="1" t="array" ref="D149">INDEX(Data_DBD!$E:$E,$A149)</f>
        <v>1</v>
      </c>
      <c r="E149" s="36" t="str">
        <f ca="1" t="array" ref="E149">INDEX(Data_DBD!$F:$F,$A149)</f>
        <v>Sedang</v>
      </c>
      <c r="H149" s="36">
        <v>91</v>
      </c>
      <c r="I149" s="36">
        <v>35</v>
      </c>
      <c r="J149" s="36">
        <v>1</v>
      </c>
      <c r="K149" s="36">
        <v>1</v>
      </c>
      <c r="L149" s="36" t="s">
        <v>105</v>
      </c>
    </row>
    <row r="150" spans="1:12">
      <c r="A150" s="36">
        <f ca="1" t="shared" si="2"/>
        <v>142</v>
      </c>
      <c r="B150" s="36">
        <f ca="1" t="array" ref="B150">INDEX(Data_DBD!$B:$B,$A150)</f>
        <v>39</v>
      </c>
      <c r="C150" s="36" t="str">
        <f ca="1" t="array" ref="C150">INDEX(Data_DBD!$C:$C,$A150)</f>
        <v>2 Hari</v>
      </c>
      <c r="D150" s="36">
        <f ca="1" t="array" ref="D150">INDEX(Data_DBD!$E:$E,$A150)</f>
        <v>1</v>
      </c>
      <c r="E150" s="36" t="str">
        <f ca="1" t="array" ref="E150">INDEX(Data_DBD!$F:$F,$A150)</f>
        <v>Tinggi</v>
      </c>
      <c r="H150" s="36">
        <v>57</v>
      </c>
      <c r="I150" s="36">
        <v>2</v>
      </c>
      <c r="J150" s="36">
        <v>2</v>
      </c>
      <c r="K150" s="36">
        <v>1</v>
      </c>
      <c r="L150" s="36" t="s">
        <v>8</v>
      </c>
    </row>
    <row r="151" spans="1:12">
      <c r="A151" s="36">
        <f ca="1" t="shared" si="2"/>
        <v>84</v>
      </c>
      <c r="B151" s="36">
        <f ca="1" t="array" ref="B151">INDEX(Data_DBD!$B:$B,$A151)</f>
        <v>42</v>
      </c>
      <c r="C151" s="36" t="str">
        <f ca="1" t="array" ref="C151">INDEX(Data_DBD!$C:$C,$A151)</f>
        <v>4 Hari</v>
      </c>
      <c r="D151" s="36">
        <f ca="1" t="array" ref="D151">INDEX(Data_DBD!$E:$E,$A151)</f>
        <v>1</v>
      </c>
      <c r="E151" s="36" t="str">
        <f ca="1" t="array" ref="E151">INDEX(Data_DBD!$F:$F,$A151)</f>
        <v>Sedang</v>
      </c>
      <c r="H151" s="36">
        <v>29</v>
      </c>
      <c r="I151" s="36">
        <v>19</v>
      </c>
      <c r="J151" s="36">
        <v>2</v>
      </c>
      <c r="K151" s="36">
        <v>1</v>
      </c>
      <c r="L151" s="36" t="s">
        <v>8</v>
      </c>
    </row>
    <row r="152" spans="1:12">
      <c r="A152" s="36">
        <f ca="1" t="shared" si="2"/>
        <v>18</v>
      </c>
      <c r="B152" s="36">
        <f ca="1" t="array" ref="B152">INDEX(Data_DBD!$B:$B,$A152)</f>
        <v>49</v>
      </c>
      <c r="C152" s="36" t="str">
        <f ca="1" t="array" ref="C152">INDEX(Data_DBD!$C:$C,$A152)</f>
        <v>4 Hari</v>
      </c>
      <c r="D152" s="36">
        <f ca="1" t="array" ref="D152">INDEX(Data_DBD!$E:$E,$A152)</f>
        <v>1</v>
      </c>
      <c r="E152" s="36" t="str">
        <f ca="1" t="array" ref="E152">INDEX(Data_DBD!$F:$F,$A152)</f>
        <v>Rendah</v>
      </c>
      <c r="H152" s="36">
        <v>163</v>
      </c>
      <c r="I152" s="36">
        <v>34</v>
      </c>
      <c r="J152" s="36">
        <v>4</v>
      </c>
      <c r="K152" s="36">
        <v>1</v>
      </c>
      <c r="L152" s="36" t="s">
        <v>26</v>
      </c>
    </row>
    <row r="153" spans="1:12">
      <c r="A153" s="36">
        <f ca="1" t="shared" si="2"/>
        <v>46</v>
      </c>
      <c r="B153" s="36">
        <f ca="1" t="array" ref="B153">INDEX(Data_DBD!$B:$B,$A153)</f>
        <v>62</v>
      </c>
      <c r="C153" s="36" t="str">
        <f ca="1" t="array" ref="C153">INDEX(Data_DBD!$C:$C,$A153)</f>
        <v>2 Hari</v>
      </c>
      <c r="D153" s="36">
        <f ca="1" t="array" ref="D153">INDEX(Data_DBD!$E:$E,$A153)</f>
        <v>0</v>
      </c>
      <c r="E153" s="36" t="str">
        <f ca="1" t="array" ref="E153">INDEX(Data_DBD!$F:$F,$A153)</f>
        <v>Sedang</v>
      </c>
      <c r="H153" s="36">
        <v>57</v>
      </c>
      <c r="I153" s="36">
        <v>2</v>
      </c>
      <c r="J153" s="36">
        <v>2</v>
      </c>
      <c r="K153" s="36">
        <v>1</v>
      </c>
      <c r="L153" s="36" t="s">
        <v>8</v>
      </c>
    </row>
    <row r="154" spans="1:12">
      <c r="A154" s="36">
        <f ca="1" t="shared" si="2"/>
        <v>106</v>
      </c>
      <c r="B154" s="36">
        <f ca="1" t="array" ref="B154">INDEX(Data_DBD!$B:$B,$A154)</f>
        <v>23</v>
      </c>
      <c r="C154" s="36" t="str">
        <f ca="1" t="array" ref="C154">INDEX(Data_DBD!$C:$C,$A154)</f>
        <v>3 Hari</v>
      </c>
      <c r="D154" s="36">
        <f ca="1" t="array" ref="D154">INDEX(Data_DBD!$E:$E,$A154)</f>
        <v>1</v>
      </c>
      <c r="E154" s="36" t="str">
        <f ca="1" t="array" ref="E154">INDEX(Data_DBD!$F:$F,$A154)</f>
        <v>Tinggi</v>
      </c>
      <c r="H154" s="36">
        <v>57</v>
      </c>
      <c r="I154" s="36">
        <v>2</v>
      </c>
      <c r="J154" s="36">
        <v>2</v>
      </c>
      <c r="K154" s="36">
        <v>1</v>
      </c>
      <c r="L154" s="36" t="s">
        <v>8</v>
      </c>
    </row>
    <row r="155" spans="1:12">
      <c r="A155" s="36">
        <f ca="1" t="shared" si="2"/>
        <v>38</v>
      </c>
      <c r="B155" s="36">
        <f ca="1" t="array" ref="B155">INDEX(Data_DBD!$B:$B,$A155)</f>
        <v>52</v>
      </c>
      <c r="C155" s="36" t="str">
        <f ca="1" t="array" ref="C155">INDEX(Data_DBD!$C:$C,$A155)</f>
        <v>3 Hari</v>
      </c>
      <c r="D155" s="36">
        <f ca="1" t="array" ref="D155">INDEX(Data_DBD!$E:$E,$A155)</f>
        <v>1</v>
      </c>
      <c r="E155" s="36" t="str">
        <f ca="1" t="array" ref="E155">INDEX(Data_DBD!$F:$F,$A155)</f>
        <v>Rendah</v>
      </c>
      <c r="H155" s="36">
        <v>51</v>
      </c>
      <c r="I155" s="36">
        <v>48</v>
      </c>
      <c r="J155" s="36">
        <v>4</v>
      </c>
      <c r="K155" s="36">
        <v>0</v>
      </c>
      <c r="L155" s="36" t="s">
        <v>8</v>
      </c>
    </row>
    <row r="156" spans="1:12">
      <c r="A156" s="36">
        <f ca="1" t="shared" si="2"/>
        <v>103</v>
      </c>
      <c r="B156" s="36">
        <f ca="1" t="array" ref="B156">INDEX(Data_DBD!$B:$B,$A156)</f>
        <v>22</v>
      </c>
      <c r="C156" s="36" t="str">
        <f ca="1" t="array" ref="C156">INDEX(Data_DBD!$C:$C,$A156)</f>
        <v>5 Hari</v>
      </c>
      <c r="D156" s="36">
        <f ca="1" t="array" ref="D156">INDEX(Data_DBD!$E:$E,$A156)</f>
        <v>0</v>
      </c>
      <c r="E156" s="36" t="str">
        <f ca="1" t="array" ref="E156">INDEX(Data_DBD!$F:$F,$A156)</f>
        <v>Tinggi</v>
      </c>
      <c r="H156" s="36">
        <v>13</v>
      </c>
      <c r="I156" s="36">
        <v>47</v>
      </c>
      <c r="J156" s="36">
        <v>2</v>
      </c>
      <c r="K156" s="36">
        <v>0</v>
      </c>
      <c r="L156" s="36" t="s">
        <v>8</v>
      </c>
    </row>
    <row r="157" spans="1:12">
      <c r="A157" s="36">
        <f ca="1" t="shared" si="2"/>
        <v>6</v>
      </c>
      <c r="B157" s="36">
        <f ca="1" t="array" ref="B157">INDEX(Data_DBD!$B:$B,$A157)</f>
        <v>14</v>
      </c>
      <c r="C157" s="36" t="str">
        <f ca="1" t="array" ref="C157">INDEX(Data_DBD!$C:$C,$A157)</f>
        <v>4 Hari</v>
      </c>
      <c r="D157" s="36">
        <f ca="1" t="array" ref="D157">INDEX(Data_DBD!$E:$E,$A157)</f>
        <v>0</v>
      </c>
      <c r="E157" s="36" t="str">
        <f ca="1" t="array" ref="E157">INDEX(Data_DBD!$F:$F,$A157)</f>
        <v>Sedang</v>
      </c>
      <c r="H157" s="36">
        <v>95</v>
      </c>
      <c r="I157" s="36">
        <v>11</v>
      </c>
      <c r="J157" s="36">
        <v>3</v>
      </c>
      <c r="K157" s="36">
        <v>1</v>
      </c>
      <c r="L157" s="36" t="s">
        <v>105</v>
      </c>
    </row>
    <row r="158" spans="1:12">
      <c r="A158" s="36">
        <f ca="1" t="shared" si="2"/>
        <v>3</v>
      </c>
      <c r="B158" s="36">
        <f ca="1" t="array" ref="B158">INDEX(Data_DBD!$B:$B,$A158)</f>
        <v>43</v>
      </c>
      <c r="C158" s="36" t="str">
        <f ca="1" t="array" ref="C158">INDEX(Data_DBD!$C:$C,$A158)</f>
        <v>3 Hari</v>
      </c>
      <c r="D158" s="36">
        <f ca="1" t="array" ref="D158">INDEX(Data_DBD!$E:$E,$A158)</f>
        <v>1</v>
      </c>
      <c r="E158" s="36" t="str">
        <f ca="1" t="array" ref="E158">INDEX(Data_DBD!$F:$F,$A158)</f>
        <v>Sedang</v>
      </c>
      <c r="H158" s="36">
        <v>92</v>
      </c>
      <c r="I158" s="36">
        <v>55</v>
      </c>
      <c r="J158" s="36">
        <v>7</v>
      </c>
      <c r="K158" s="36">
        <v>0</v>
      </c>
      <c r="L158" s="36" t="s">
        <v>105</v>
      </c>
    </row>
    <row r="159" ht="15.75" spans="1:23">
      <c r="A159" s="36">
        <f ca="1" t="shared" si="2"/>
        <v>15</v>
      </c>
      <c r="B159" s="36">
        <f ca="1" t="array" ref="B159">INDEX(Data_DBD!$B:$B,$A159)</f>
        <v>21</v>
      </c>
      <c r="C159" s="36" t="str">
        <f ca="1" t="array" ref="C159">INDEX(Data_DBD!$C:$C,$A159)</f>
        <v>2 Hari</v>
      </c>
      <c r="D159" s="36">
        <f ca="1" t="array" ref="D159">INDEX(Data_DBD!$E:$E,$A159)</f>
        <v>0</v>
      </c>
      <c r="E159" s="36" t="str">
        <f ca="1" t="array" ref="E159">INDEX(Data_DBD!$F:$F,$A159)</f>
        <v>Rendah</v>
      </c>
      <c r="H159" s="36">
        <v>123</v>
      </c>
      <c r="I159" s="36">
        <v>22</v>
      </c>
      <c r="J159" s="36">
        <v>4</v>
      </c>
      <c r="K159" s="36">
        <v>0</v>
      </c>
      <c r="L159" s="36" t="s">
        <v>105</v>
      </c>
      <c r="W159" s="42" t="s">
        <v>312</v>
      </c>
    </row>
    <row r="160" ht="15.75" spans="1:23">
      <c r="A160" s="36">
        <f ca="1" t="shared" si="2"/>
        <v>90</v>
      </c>
      <c r="B160" s="36">
        <f ca="1" t="array" ref="B160">INDEX(Data_DBD!$B:$B,$A160)</f>
        <v>47</v>
      </c>
      <c r="C160" s="36" t="str">
        <f ca="1" t="array" ref="C160">INDEX(Data_DBD!$C:$C,$A160)</f>
        <v>3 Hari</v>
      </c>
      <c r="D160" s="36">
        <f ca="1" t="array" ref="D160">INDEX(Data_DBD!$E:$E,$A160)</f>
        <v>0</v>
      </c>
      <c r="E160" s="36" t="str">
        <f ca="1" t="array" ref="E160">INDEX(Data_DBD!$F:$F,$A160)</f>
        <v>Tinggi</v>
      </c>
      <c r="H160" s="36">
        <v>135</v>
      </c>
      <c r="I160" s="36">
        <v>10</v>
      </c>
      <c r="J160" s="36">
        <v>2</v>
      </c>
      <c r="K160" s="36">
        <v>0</v>
      </c>
      <c r="L160" s="36" t="s">
        <v>105</v>
      </c>
      <c r="W160" s="43" t="s">
        <v>187</v>
      </c>
    </row>
    <row r="161" ht="15.75" spans="1:23">
      <c r="A161" s="36">
        <f ca="1" t="shared" si="2"/>
        <v>107</v>
      </c>
      <c r="B161" s="36">
        <f ca="1" t="array" ref="B161">INDEX(Data_DBD!$B:$B,$A161)</f>
        <v>48</v>
      </c>
      <c r="C161" s="36" t="str">
        <f ca="1" t="array" ref="C161">INDEX(Data_DBD!$C:$C,$A161)</f>
        <v>5 Hari</v>
      </c>
      <c r="D161" s="36">
        <f ca="1" t="array" ref="D161">INDEX(Data_DBD!$E:$E,$A161)</f>
        <v>0</v>
      </c>
      <c r="E161" s="36" t="str">
        <f ca="1" t="array" ref="E161">INDEX(Data_DBD!$F:$F,$A161)</f>
        <v>Tinggi</v>
      </c>
      <c r="H161" s="36">
        <v>71</v>
      </c>
      <c r="I161" s="36">
        <v>84</v>
      </c>
      <c r="J161" s="36">
        <v>3</v>
      </c>
      <c r="K161" s="36">
        <v>0</v>
      </c>
      <c r="L161" s="36" t="s">
        <v>8</v>
      </c>
      <c r="W161" s="44" t="s">
        <v>289</v>
      </c>
    </row>
    <row r="162" ht="15.75" spans="1:23">
      <c r="A162" s="36">
        <f ca="1" t="shared" si="2"/>
        <v>26</v>
      </c>
      <c r="B162" s="36">
        <f ca="1" t="array" ref="B162">INDEX(Data_DBD!$B:$B,$A162)</f>
        <v>75</v>
      </c>
      <c r="C162" s="36" t="str">
        <f ca="1" t="array" ref="C162">INDEX(Data_DBD!$C:$C,$A162)</f>
        <v>4 Hari</v>
      </c>
      <c r="D162" s="36">
        <f ca="1" t="array" ref="D162">INDEX(Data_DBD!$E:$E,$A162)</f>
        <v>1</v>
      </c>
      <c r="E162" s="36" t="str">
        <f ca="1" t="array" ref="E162">INDEX(Data_DBD!$F:$F,$A162)</f>
        <v>Sedang</v>
      </c>
      <c r="H162" s="36">
        <v>80</v>
      </c>
      <c r="I162" s="36">
        <v>27</v>
      </c>
      <c r="J162" s="36">
        <v>3</v>
      </c>
      <c r="K162" s="36">
        <v>1</v>
      </c>
      <c r="L162" s="36" t="s">
        <v>8</v>
      </c>
      <c r="W162" s="44" t="s">
        <v>290</v>
      </c>
    </row>
    <row r="163" ht="15.75" spans="1:23">
      <c r="A163" s="36">
        <f ca="1" t="shared" si="2"/>
        <v>103</v>
      </c>
      <c r="B163" s="36">
        <f ca="1" t="array" ref="B163">INDEX(Data_DBD!$B:$B,$A163)</f>
        <v>22</v>
      </c>
      <c r="C163" s="36" t="str">
        <f ca="1" t="array" ref="C163">INDEX(Data_DBD!$C:$C,$A163)</f>
        <v>5 Hari</v>
      </c>
      <c r="D163" s="36">
        <f ca="1" t="array" ref="D163">INDEX(Data_DBD!$E:$E,$A163)</f>
        <v>0</v>
      </c>
      <c r="E163" s="36" t="str">
        <f ca="1" t="array" ref="E163">INDEX(Data_DBD!$F:$F,$A163)</f>
        <v>Tinggi</v>
      </c>
      <c r="H163" s="36">
        <v>109</v>
      </c>
      <c r="I163" s="36">
        <v>40</v>
      </c>
      <c r="J163" s="36">
        <v>3</v>
      </c>
      <c r="K163" s="36">
        <v>1</v>
      </c>
      <c r="L163" s="36" t="s">
        <v>105</v>
      </c>
      <c r="W163" s="43" t="s">
        <v>190</v>
      </c>
    </row>
    <row r="164" ht="15.75" spans="1:23">
      <c r="A164" s="36">
        <f ca="1" t="shared" si="2"/>
        <v>51</v>
      </c>
      <c r="B164" s="36">
        <f ca="1" t="array" ref="B164">INDEX(Data_DBD!$B:$B,$A164)</f>
        <v>48</v>
      </c>
      <c r="C164" s="36" t="str">
        <f ca="1" t="array" ref="C164">INDEX(Data_DBD!$C:$C,$A164)</f>
        <v>4 Hari</v>
      </c>
      <c r="D164" s="36">
        <f ca="1" t="array" ref="D164">INDEX(Data_DBD!$E:$E,$A164)</f>
        <v>0</v>
      </c>
      <c r="E164" s="36" t="str">
        <f ca="1" t="array" ref="E164">INDEX(Data_DBD!$F:$F,$A164)</f>
        <v>Sedang</v>
      </c>
      <c r="H164" s="36">
        <v>63</v>
      </c>
      <c r="I164" s="36">
        <v>25</v>
      </c>
      <c r="J164" s="36">
        <v>3</v>
      </c>
      <c r="K164" s="36">
        <v>0</v>
      </c>
      <c r="L164" s="36" t="s">
        <v>8</v>
      </c>
      <c r="W164" s="44" t="s">
        <v>313</v>
      </c>
    </row>
    <row r="165" ht="15.75" spans="9:23">
      <c r="I165">
        <f>AVERAGE(I2:I164)</f>
        <v>32.5337423312883</v>
      </c>
      <c r="J165">
        <f>AVERAGE(J2:J164)</f>
        <v>3.5521472392638</v>
      </c>
      <c r="K165">
        <f>AVERAGE(K2:K164)</f>
        <v>0.570552147239264</v>
      </c>
      <c r="W165" s="44" t="s">
        <v>229</v>
      </c>
    </row>
    <row r="166" ht="15.75" spans="2:23">
      <c r="B166">
        <v>45</v>
      </c>
      <c r="W166" s="43" t="s">
        <v>193</v>
      </c>
    </row>
    <row r="167" ht="15.75" spans="23:23">
      <c r="W167" s="44" t="s">
        <v>314</v>
      </c>
    </row>
    <row r="168" spans="5:13">
      <c r="E168" s="40" t="s">
        <v>207</v>
      </c>
      <c r="I168" s="40" t="s">
        <v>208</v>
      </c>
      <c r="M168" s="40" t="s">
        <v>210</v>
      </c>
    </row>
    <row r="169" spans="5:15">
      <c r="E169" s="36" t="s">
        <v>1</v>
      </c>
      <c r="F169" s="36">
        <f>AVERAGEIF($I$2:$I$164,"&lt;="&amp;$I$165)</f>
        <v>15.9139784946237</v>
      </c>
      <c r="G169" s="36">
        <f>AVERAGEIF($I$2:$I$164,"&gt;"&amp;$I$165)</f>
        <v>54.6142857142857</v>
      </c>
      <c r="I169" s="36" t="s">
        <v>211</v>
      </c>
      <c r="J169" s="36">
        <f>AVERAGEIF($J$2:$J$164,"&lt;="&amp;$J$165)</f>
        <v>2.4</v>
      </c>
      <c r="K169" s="36">
        <f>AVERAGEIF($J$2:$J$164,"&gt;"&amp;$J$165)</f>
        <v>4.80769230769231</v>
      </c>
      <c r="M169" s="36" t="s">
        <v>213</v>
      </c>
      <c r="N169" s="36">
        <f>AVERAGEIF($K$2:$K$164,"&lt;="&amp;$K$165)</f>
        <v>0</v>
      </c>
      <c r="O169" s="36">
        <f>AVERAGEIF($K$2:$K$164,"&gt;"&amp;$K$165)</f>
        <v>1</v>
      </c>
    </row>
    <row r="170" spans="5:15">
      <c r="E170" s="36" t="str">
        <f t="array" ref="E170:E332">IF($I$2:$I$164&lt;$F$169,"kiri",IF($I$2:$I$164&lt;$G$169,"tengah","kanan"))</f>
        <v>kiri</v>
      </c>
      <c r="F170" s="36" t="s">
        <v>315</v>
      </c>
      <c r="G170" s="36"/>
      <c r="I170" s="36" t="str">
        <f t="array" ref="I170:I332">IF($J$2:$J$164&lt;$J$169,"kiri",IF($J$2:$J$164&lt;$K$169,"tengah","kanan"))</f>
        <v>tengah</v>
      </c>
      <c r="J170" s="36" t="s">
        <v>316</v>
      </c>
      <c r="K170" s="36"/>
      <c r="M170" s="36" t="str">
        <f t="array" ref="M170:M332">IF($K$2:$K$164&lt;$N$169,"kiri",IF($K$2:$K$164&lt;$O$169,"tengah","kanan"))</f>
        <v>tengah</v>
      </c>
      <c r="N170" s="36" t="s">
        <v>217</v>
      </c>
      <c r="O170" s="36"/>
    </row>
    <row r="171" spans="5:15">
      <c r="E171" s="36" t="str">
        <v>tengah</v>
      </c>
      <c r="F171" s="36">
        <f>COUNTIFS($E$170:$E$332,"Kanan",$L$2:$L$164,"Tinggi")</f>
        <v>16</v>
      </c>
      <c r="G171" s="36">
        <f>F171/34</f>
        <v>0.470588235294118</v>
      </c>
      <c r="I171" s="36" t="str">
        <v>kiri</v>
      </c>
      <c r="J171" s="36">
        <f>COUNTIFS($I$170:$I$332,"Kanan",$L$2:$L$164,"Tinggi")</f>
        <v>18</v>
      </c>
      <c r="K171" s="36">
        <f>J171/36</f>
        <v>0.5</v>
      </c>
      <c r="M171" s="36" t="str">
        <v>kanan</v>
      </c>
      <c r="N171" s="36">
        <f>COUNTIFS($M$170:$M$332,"Kanan",$L$2:$L$164,"Tinggi")</f>
        <v>36</v>
      </c>
      <c r="O171" s="36">
        <f>N171/93</f>
        <v>0.387096774193548</v>
      </c>
    </row>
    <row r="172" spans="5:15">
      <c r="E172" s="36" t="str">
        <v>tengah</v>
      </c>
      <c r="F172" s="36">
        <f>COUNTIFS($E$170:$E$332,"Kanan",$L$2:$L$164,"Sedang")</f>
        <v>17</v>
      </c>
      <c r="G172" s="36">
        <f>F172/34</f>
        <v>0.5</v>
      </c>
      <c r="I172" s="36" t="str">
        <v>tengah</v>
      </c>
      <c r="J172" s="36">
        <f>COUNTIFS($I$170:$I$332,"Kanan",$L$2:$L$164,"Sedang")</f>
        <v>17</v>
      </c>
      <c r="K172" s="36">
        <f>J172/36</f>
        <v>0.472222222222222</v>
      </c>
      <c r="M172" s="36" t="str">
        <v>tengah</v>
      </c>
      <c r="N172" s="36">
        <f>COUNTIFS($M$170:$M$332,"Kanan",$L$2:$L$164,"Sedang")</f>
        <v>49</v>
      </c>
      <c r="O172" s="36">
        <f>N172/93</f>
        <v>0.526881720430108</v>
      </c>
    </row>
    <row r="173" spans="5:15">
      <c r="E173" s="36" t="str">
        <v>tengah</v>
      </c>
      <c r="F173" s="36">
        <f>COUNTIFS($E$170:$E$332,"Kanan",$L$2:$L$164,"Rendah")</f>
        <v>1</v>
      </c>
      <c r="G173" s="36">
        <f>F173/34</f>
        <v>0.0294117647058824</v>
      </c>
      <c r="I173" s="36" t="str">
        <v>tengah</v>
      </c>
      <c r="J173" s="36">
        <f>COUNTIFS($I$170:$I$332,"Kanan",$L$2:$L$164,"Rendah")</f>
        <v>1</v>
      </c>
      <c r="K173" s="36">
        <f>J173/36</f>
        <v>0.0277777777777778</v>
      </c>
      <c r="M173" s="36" t="str">
        <v>kanan</v>
      </c>
      <c r="N173" s="36">
        <f>COUNTIFS($M$170:$M$332,"Kanan",$L$2:$L$164,"Rendah")</f>
        <v>8</v>
      </c>
      <c r="O173" s="36">
        <f>N173/93</f>
        <v>0.0860215053763441</v>
      </c>
    </row>
    <row r="174" spans="5:15">
      <c r="E174" s="36" t="str">
        <v>tengah</v>
      </c>
      <c r="F174" s="36" t="s">
        <v>218</v>
      </c>
      <c r="G174" s="36">
        <f>-(IFERROR(G171*LOG(G171,2),0)+IFERROR(G172*LOG(G172,2),0)+IFERROR(G173*LOG(G173,2),0))</f>
        <v>1.1613784794487</v>
      </c>
      <c r="I174" s="36" t="str">
        <v>kiri</v>
      </c>
      <c r="J174" s="36" t="s">
        <v>218</v>
      </c>
      <c r="K174" s="36">
        <f>-(IFERROR(K171*LOG(K171,2),0)+IFERROR(K172*LOG(K172,2),0)+IFERROR(K173*LOG(K173,2),0))</f>
        <v>1.15477171457516</v>
      </c>
      <c r="M174" s="36" t="str">
        <v>kanan</v>
      </c>
      <c r="N174" s="36" t="s">
        <v>218</v>
      </c>
      <c r="O174" s="36">
        <f>-(IFERROR(O171*LOG(O171,2),0)+IFERROR(O172*LOG(O172,2),0)+IFERROR(O173*LOG(O173,2),0))</f>
        <v>1.32154502171482</v>
      </c>
    </row>
    <row r="175" spans="5:15">
      <c r="E175" s="36" t="str">
        <v>tengah</v>
      </c>
      <c r="F175" s="36"/>
      <c r="G175" s="36">
        <f>SUM(F171:F173)/163</f>
        <v>0.208588957055215</v>
      </c>
      <c r="I175" s="36" t="str">
        <v>kiri</v>
      </c>
      <c r="J175" s="36"/>
      <c r="K175" s="36">
        <f>SUM(J171:J173)/163</f>
        <v>0.220858895705521</v>
      </c>
      <c r="M175" s="36" t="str">
        <v>kanan</v>
      </c>
      <c r="N175" s="36"/>
      <c r="O175" s="36">
        <f>SUM(N171:N173)/163</f>
        <v>0.570552147239264</v>
      </c>
    </row>
    <row r="176" spans="5:15">
      <c r="E176" s="36" t="str">
        <v>tengah</v>
      </c>
      <c r="F176" s="36"/>
      <c r="G176" s="41">
        <f>G174*G175</f>
        <v>0.242250725774575</v>
      </c>
      <c r="I176" s="36" t="str">
        <v>tengah</v>
      </c>
      <c r="J176" s="36"/>
      <c r="K176" s="41">
        <f>K174*K175</f>
        <v>0.255041605673042</v>
      </c>
      <c r="M176" s="36" t="str">
        <v>kanan</v>
      </c>
      <c r="N176" s="36"/>
      <c r="O176" s="41">
        <f>O174*O175</f>
        <v>0.754010349812752</v>
      </c>
    </row>
    <row r="177" spans="5:15">
      <c r="E177" s="36" t="str">
        <v>tengah</v>
      </c>
      <c r="F177" s="36"/>
      <c r="G177" s="36"/>
      <c r="I177" s="36" t="str">
        <v>tengah</v>
      </c>
      <c r="J177" s="36"/>
      <c r="K177" s="36"/>
      <c r="M177" s="36" t="str">
        <v>kanan</v>
      </c>
      <c r="N177" s="36"/>
      <c r="O177" s="36"/>
    </row>
    <row r="178" spans="5:15">
      <c r="E178" s="36" t="str">
        <v>tengah</v>
      </c>
      <c r="F178" s="36"/>
      <c r="G178" s="36"/>
      <c r="I178" s="36" t="str">
        <v>tengah</v>
      </c>
      <c r="J178" s="36"/>
      <c r="K178" s="36"/>
      <c r="M178" s="36" t="str">
        <v>kanan</v>
      </c>
      <c r="N178" s="36"/>
      <c r="O178" s="36"/>
    </row>
    <row r="179" spans="5:15">
      <c r="E179" s="36" t="str">
        <v>tengah</v>
      </c>
      <c r="F179" s="36" t="s">
        <v>294</v>
      </c>
      <c r="G179" s="36"/>
      <c r="I179" s="36" t="str">
        <v>tengah</v>
      </c>
      <c r="J179" s="36" t="s">
        <v>317</v>
      </c>
      <c r="K179" s="36"/>
      <c r="M179" s="36" t="str">
        <v>kanan</v>
      </c>
      <c r="N179" s="36" t="s">
        <v>222</v>
      </c>
      <c r="O179" s="36"/>
    </row>
    <row r="180" spans="5:15">
      <c r="E180" s="36" t="str">
        <v>tengah</v>
      </c>
      <c r="F180" s="36">
        <f>COUNTIFS($E$170:$E$332,"Kiri",$L$2:$L$164,"Tinggi")</f>
        <v>17</v>
      </c>
      <c r="G180" s="36">
        <f>F180/40</f>
        <v>0.425</v>
      </c>
      <c r="I180" s="36" t="str">
        <v>tengah</v>
      </c>
      <c r="J180" s="36">
        <f>COUNTIFS($I$170:$I$332,"Kiri",$L$2:$L$164,"Tinggi")</f>
        <v>20</v>
      </c>
      <c r="K180" s="36">
        <f>J180/44</f>
        <v>0.454545454545455</v>
      </c>
      <c r="M180" s="36" t="str">
        <v>kanan</v>
      </c>
      <c r="N180" s="36">
        <f>COUNTIFS($M$170:$M$332,"Kiri",$L$2:$L$164,"Tinggi")</f>
        <v>0</v>
      </c>
      <c r="O180" s="36">
        <f>N180/78</f>
        <v>0</v>
      </c>
    </row>
    <row r="181" spans="5:15">
      <c r="E181" s="36" t="str">
        <v>kiri</v>
      </c>
      <c r="F181" s="36">
        <f>COUNTIFS($E$170:$E$332,"Kiri",$L$2:$L$164,"Sedang")</f>
        <v>22</v>
      </c>
      <c r="G181" s="36">
        <f>F181/40</f>
        <v>0.55</v>
      </c>
      <c r="I181" s="36" t="str">
        <v>tengah</v>
      </c>
      <c r="J181" s="36">
        <f>COUNTIFS($I$170:$I$332,"Kiri",$L$2:$L$164,"Sedang")</f>
        <v>22</v>
      </c>
      <c r="K181" s="36">
        <f>J181/44</f>
        <v>0.5</v>
      </c>
      <c r="M181" s="36" t="str">
        <v>tengah</v>
      </c>
      <c r="N181" s="36">
        <f>COUNTIFS($T$170:$T$332,"Kiri",$M$2:$M$164,"Sedang")</f>
        <v>0</v>
      </c>
      <c r="O181" s="36">
        <f>N181/78</f>
        <v>0</v>
      </c>
    </row>
    <row r="182" spans="5:15">
      <c r="E182" s="36" t="str">
        <v>tengah</v>
      </c>
      <c r="F182" s="36">
        <f>COUNTIFS($E$170:$E$332,"Kiri",$L$2:$L$164,"Rendah")</f>
        <v>1</v>
      </c>
      <c r="G182" s="36">
        <f>F182/40</f>
        <v>0.025</v>
      </c>
      <c r="I182" s="36" t="str">
        <v>kiri</v>
      </c>
      <c r="J182" s="36">
        <f>COUNTIFS($I$170:$I$332,"Kiri",$L$2:$L$164,"Rendah")</f>
        <v>2</v>
      </c>
      <c r="K182" s="36">
        <f>J182/44</f>
        <v>0.0454545454545455</v>
      </c>
      <c r="M182" s="36" t="str">
        <v>tengah</v>
      </c>
      <c r="N182" s="36">
        <f>COUNTIFS($T$170:$T$332,"Kiri",$M$2:$M$164,"Rendah")</f>
        <v>0</v>
      </c>
      <c r="O182" s="36">
        <f>N182/78</f>
        <v>0</v>
      </c>
    </row>
    <row r="183" spans="5:15">
      <c r="E183" s="36" t="str">
        <v>kiri</v>
      </c>
      <c r="F183" s="36" t="s">
        <v>218</v>
      </c>
      <c r="G183" s="36">
        <f>-(IFERROR(G180*LOG(G180,2),0)+IFERROR(G181*LOG(G181,2),0)+IFERROR(G182*LOG(G182,2),0))</f>
        <v>1.13206899710545</v>
      </c>
      <c r="I183" s="36" t="str">
        <v>kiri</v>
      </c>
      <c r="J183" s="36" t="s">
        <v>218</v>
      </c>
      <c r="K183" s="36">
        <f>-(IFERROR(K180*LOG(K180,2),0)+IFERROR(K181*LOG(K181,2),0)+IFERROR(K182*LOG(K182,2),0))</f>
        <v>1.21974849346076</v>
      </c>
      <c r="M183" s="36" t="str">
        <v>kanan</v>
      </c>
      <c r="N183" s="36" t="s">
        <v>218</v>
      </c>
      <c r="O183" s="36">
        <f>-(IFERROR(O180*LOG(O180,2),0)+IFERROR(O181*LOG(O181,2),0)+IFERROR(O182*LOG(O182,2),0))</f>
        <v>0</v>
      </c>
    </row>
    <row r="184" spans="5:15">
      <c r="E184" s="36" t="str">
        <v>tengah</v>
      </c>
      <c r="F184" s="36"/>
      <c r="G184" s="36">
        <f>SUM(F180:F182)/163</f>
        <v>0.245398773006135</v>
      </c>
      <c r="I184" s="36" t="str">
        <v>kiri</v>
      </c>
      <c r="J184" s="36"/>
      <c r="K184" s="36">
        <f>SUM(J180:J182)/163</f>
        <v>0.269938650306748</v>
      </c>
      <c r="M184" s="36" t="str">
        <v>tengah</v>
      </c>
      <c r="N184" s="36"/>
      <c r="O184" s="36">
        <f>SUM(N180:N182)/163</f>
        <v>0</v>
      </c>
    </row>
    <row r="185" spans="5:15">
      <c r="E185" s="36" t="str">
        <v>kiri</v>
      </c>
      <c r="F185" s="36"/>
      <c r="G185" s="41">
        <f>G183*G184</f>
        <v>0.277808342847964</v>
      </c>
      <c r="I185" s="36" t="str">
        <v>tengah</v>
      </c>
      <c r="J185" s="36"/>
      <c r="K185" s="41">
        <f>K183*K184</f>
        <v>0.329257262038486</v>
      </c>
      <c r="M185" s="36" t="str">
        <v>kanan</v>
      </c>
      <c r="N185" s="36"/>
      <c r="O185" s="41">
        <f>O183*O184</f>
        <v>0</v>
      </c>
    </row>
    <row r="186" spans="5:15">
      <c r="E186" s="36" t="str">
        <v>tengah</v>
      </c>
      <c r="F186" s="36"/>
      <c r="G186" s="36"/>
      <c r="I186" s="36" t="str">
        <v>kiri</v>
      </c>
      <c r="J186" s="36"/>
      <c r="K186" s="36"/>
      <c r="M186" s="36" t="str">
        <v>tengah</v>
      </c>
      <c r="N186" s="36"/>
      <c r="O186" s="36"/>
    </row>
    <row r="187" spans="5:15">
      <c r="E187" s="36" t="str">
        <v>kiri</v>
      </c>
      <c r="F187" s="36"/>
      <c r="G187" s="36"/>
      <c r="I187" s="36" t="str">
        <v>tengah</v>
      </c>
      <c r="J187" s="36"/>
      <c r="K187" s="36"/>
      <c r="M187" s="36" t="str">
        <v>tengah</v>
      </c>
      <c r="N187" s="36"/>
      <c r="O187" s="36"/>
    </row>
    <row r="188" spans="5:15">
      <c r="E188" s="36" t="str">
        <v>tengah</v>
      </c>
      <c r="F188" s="36" t="s">
        <v>223</v>
      </c>
      <c r="G188" s="36"/>
      <c r="I188" s="36" t="str">
        <v>kiri</v>
      </c>
      <c r="J188" s="36" t="s">
        <v>223</v>
      </c>
      <c r="K188" s="36"/>
      <c r="M188" s="36" t="str">
        <v>kanan</v>
      </c>
      <c r="N188" s="36" t="s">
        <v>223</v>
      </c>
      <c r="O188" s="36"/>
    </row>
    <row r="189" spans="5:15">
      <c r="E189" s="36" t="str">
        <v>tengah</v>
      </c>
      <c r="F189" s="36">
        <f>COUNTIFS($E$170:$E$332,"Tengah",$L$2:$L$164,"Tinggi")</f>
        <v>36</v>
      </c>
      <c r="G189" s="36">
        <f>F189/89</f>
        <v>0.404494382022472</v>
      </c>
      <c r="I189" s="36" t="str">
        <v>kiri</v>
      </c>
      <c r="J189" s="36">
        <f>COUNTIFS($I$170:$I$332,"Tengah",$L$2:$L$164,"Tinggi")</f>
        <v>31</v>
      </c>
      <c r="K189" s="36">
        <f>J189/83</f>
        <v>0.373493975903614</v>
      </c>
      <c r="M189" s="36" t="str">
        <v>kanan</v>
      </c>
      <c r="N189" s="36">
        <f>COUNTIFS($M$170:$M$332,"Tengah",$L$2:$L$164,"Tinggi")</f>
        <v>33</v>
      </c>
      <c r="O189" s="36">
        <f>N189/70</f>
        <v>0.471428571428571</v>
      </c>
    </row>
    <row r="190" spans="5:15">
      <c r="E190" s="36" t="str">
        <v>kiri</v>
      </c>
      <c r="F190" s="36">
        <f>COUNTIFS($E$170:$E$332,"Tengah",$L$2:$L$164,"Sedang")</f>
        <v>45</v>
      </c>
      <c r="G190" s="36">
        <f>F190/89</f>
        <v>0.50561797752809</v>
      </c>
      <c r="I190" s="36" t="str">
        <v>kiri</v>
      </c>
      <c r="J190" s="36">
        <f>COUNTIFS($I$170:$I$332,"Tengah",$L$2:$L$164,"Sedang")</f>
        <v>45</v>
      </c>
      <c r="K190" s="36">
        <f>J190/83</f>
        <v>0.542168674698795</v>
      </c>
      <c r="M190" s="36" t="str">
        <v>tengah</v>
      </c>
      <c r="N190" s="36">
        <f>COUNTIFS($M$170:$M$332,"Tengah",$L$2:$L$164,"Sedang")</f>
        <v>35</v>
      </c>
      <c r="O190" s="36">
        <f>N190/70</f>
        <v>0.5</v>
      </c>
    </row>
    <row r="191" spans="5:15">
      <c r="E191" s="36" t="str">
        <v>kanan</v>
      </c>
      <c r="F191" s="36">
        <f>COUNTIFS($E$170:$E$332,"Tengah",$L$2:$L$164,"Rendah")</f>
        <v>8</v>
      </c>
      <c r="G191" s="36">
        <f>F191/89</f>
        <v>0.0898876404494382</v>
      </c>
      <c r="I191" s="36" t="str">
        <v>tengah</v>
      </c>
      <c r="J191" s="36">
        <f>COUNTIFS($I$170:$I$332,"Tengah",$L$2:$L$164,"Rendah")</f>
        <v>7</v>
      </c>
      <c r="K191" s="36">
        <f>J191/83</f>
        <v>0.0843373493975904</v>
      </c>
      <c r="M191" s="36" t="str">
        <v>tengah</v>
      </c>
      <c r="N191" s="36">
        <f>COUNTIFS($M$170:$M$332,"Tengah",$L$2:$L$164,"Rendah")</f>
        <v>2</v>
      </c>
      <c r="O191" s="36">
        <f>N191/70</f>
        <v>0.0285714285714286</v>
      </c>
    </row>
    <row r="192" spans="5:15">
      <c r="E192" s="36" t="str">
        <v>kanan</v>
      </c>
      <c r="F192" s="36" t="s">
        <v>218</v>
      </c>
      <c r="G192" s="36">
        <f>-(IFERROR(G189*LOG(G189,2),0)+IFERROR(G190*LOG(G190,2),0)+IFERROR(G191*LOG(G191,2),0))</f>
        <v>1.33808523560956</v>
      </c>
      <c r="I192" s="36" t="str">
        <v>kanan</v>
      </c>
      <c r="J192" s="36" t="s">
        <v>218</v>
      </c>
      <c r="K192" s="36">
        <f>-(IFERROR(K189*LOG(K189,2),0)+IFERROR(K190*LOG(K190,2),0)+IFERROR(K191*LOG(K191,2),0))</f>
        <v>1.31040136615136</v>
      </c>
      <c r="M192" s="36" t="str">
        <v>kanan</v>
      </c>
      <c r="N192" s="36" t="s">
        <v>218</v>
      </c>
      <c r="O192" s="36">
        <f>-(IFERROR(O189*LOG(O189,2),0)+IFERROR(O190*LOG(O190,2),0)+IFERROR(O191*LOG(O191,2),0))</f>
        <v>1.15799856648921</v>
      </c>
    </row>
    <row r="193" spans="5:15">
      <c r="E193" s="36" t="str">
        <v>tengah</v>
      </c>
      <c r="F193" s="36"/>
      <c r="G193" s="36">
        <f>SUM(F189:F191)/163</f>
        <v>0.54601226993865</v>
      </c>
      <c r="I193" s="36" t="str">
        <v>tengah</v>
      </c>
      <c r="J193" s="36"/>
      <c r="K193" s="36">
        <f>SUM(J189:J191)/163</f>
        <v>0.50920245398773</v>
      </c>
      <c r="M193" s="36" t="str">
        <v>kanan</v>
      </c>
      <c r="N193" s="36"/>
      <c r="O193" s="36">
        <f>SUM(N189:N191)/163</f>
        <v>0.429447852760736</v>
      </c>
    </row>
    <row r="194" spans="5:15">
      <c r="E194" s="36" t="str">
        <v>tengah</v>
      </c>
      <c r="F194" s="36"/>
      <c r="G194" s="41">
        <f>G192*G193</f>
        <v>0.730610956866569</v>
      </c>
      <c r="I194" s="36" t="str">
        <v>kanan</v>
      </c>
      <c r="J194" s="36"/>
      <c r="K194" s="41">
        <f>K192*K193</f>
        <v>0.667259591353147</v>
      </c>
      <c r="M194" s="36" t="str">
        <v>tengah</v>
      </c>
      <c r="N194" s="36"/>
      <c r="O194" s="41">
        <f>O192*O193</f>
        <v>0.497299997878803</v>
      </c>
    </row>
    <row r="195" spans="5:15">
      <c r="E195" s="36" t="str">
        <v>tengah</v>
      </c>
      <c r="F195" s="36"/>
      <c r="G195" s="36"/>
      <c r="I195" s="36" t="str">
        <v>kiri</v>
      </c>
      <c r="J195" s="36"/>
      <c r="K195" s="36"/>
      <c r="M195" s="36" t="str">
        <v>kanan</v>
      </c>
      <c r="N195" s="36"/>
      <c r="O195" s="36"/>
    </row>
    <row r="196" spans="5:15">
      <c r="E196" s="36" t="str">
        <v>tengah</v>
      </c>
      <c r="F196" s="36" t="s">
        <v>224</v>
      </c>
      <c r="G196" s="45" t="s">
        <v>218</v>
      </c>
      <c r="I196" s="36" t="str">
        <v>tengah</v>
      </c>
      <c r="J196" s="36" t="s">
        <v>224</v>
      </c>
      <c r="K196" s="45" t="s">
        <v>218</v>
      </c>
      <c r="M196" s="36" t="str">
        <v>tengah</v>
      </c>
      <c r="N196" s="36" t="s">
        <v>224</v>
      </c>
      <c r="O196" s="45" t="s">
        <v>218</v>
      </c>
    </row>
    <row r="197" spans="5:15">
      <c r="E197" s="36" t="str">
        <v>kanan</v>
      </c>
      <c r="F197" s="46">
        <f>P5-(G176+G185+G194)</f>
        <v>0.0142413681285756</v>
      </c>
      <c r="G197" s="41">
        <f>(G176+G185+G194)</f>
        <v>1.25067002548911</v>
      </c>
      <c r="I197" s="36" t="str">
        <v>kanan</v>
      </c>
      <c r="J197" s="46">
        <f>P5-(K176+K185+K194)</f>
        <v>0.0133529345530083</v>
      </c>
      <c r="K197" s="41">
        <f>(K176+K185+K194)</f>
        <v>1.25155845906467</v>
      </c>
      <c r="M197" s="36" t="str">
        <v>tengah</v>
      </c>
      <c r="N197" s="46">
        <f>P5-(O176+O185+O194)</f>
        <v>0.0136010459261298</v>
      </c>
      <c r="O197" s="41">
        <f>(O176+O185+O194)</f>
        <v>1.25131034769156</v>
      </c>
    </row>
    <row r="198" spans="5:15">
      <c r="E198" s="36" t="str">
        <v>tengah</v>
      </c>
      <c r="F198" s="36"/>
      <c r="G198" s="36"/>
      <c r="I198" s="36" t="str">
        <v>tengah</v>
      </c>
      <c r="J198" s="36"/>
      <c r="K198" s="36"/>
      <c r="M198" s="36" t="str">
        <v>kanan</v>
      </c>
      <c r="N198" s="36"/>
      <c r="O198" s="36"/>
    </row>
    <row r="199" spans="5:15">
      <c r="E199" s="36" t="str">
        <v>tengah</v>
      </c>
      <c r="F199" s="36"/>
      <c r="G199" s="36"/>
      <c r="I199" s="36" t="str">
        <v>kanan</v>
      </c>
      <c r="J199" s="36"/>
      <c r="K199" s="36"/>
      <c r="M199" s="36" t="str">
        <v>tengah</v>
      </c>
      <c r="N199" s="36"/>
      <c r="O199" s="36"/>
    </row>
    <row r="200" spans="5:15">
      <c r="E200" s="36" t="str">
        <v>tengah</v>
      </c>
      <c r="F200" s="36"/>
      <c r="G200" s="36"/>
      <c r="I200" s="36" t="str">
        <v>kanan</v>
      </c>
      <c r="J200" s="36"/>
      <c r="K200" s="36"/>
      <c r="M200" s="36" t="str">
        <v>tengah</v>
      </c>
      <c r="N200" s="36"/>
      <c r="O200" s="36"/>
    </row>
    <row r="201" spans="5:15">
      <c r="E201" s="36" t="str">
        <v>tengah</v>
      </c>
      <c r="F201" s="36"/>
      <c r="G201" s="36"/>
      <c r="I201" s="36" t="str">
        <v>kiri</v>
      </c>
      <c r="J201" s="36"/>
      <c r="K201" s="36"/>
      <c r="M201" s="36" t="str">
        <v>tengah</v>
      </c>
      <c r="N201" s="36"/>
      <c r="O201" s="36"/>
    </row>
    <row r="202" spans="5:15">
      <c r="E202" s="36" t="str">
        <v>kanan</v>
      </c>
      <c r="F202" s="36"/>
      <c r="G202" s="36"/>
      <c r="I202" s="36" t="str">
        <v>tengah</v>
      </c>
      <c r="J202" s="36"/>
      <c r="K202" s="36"/>
      <c r="M202" s="36" t="str">
        <v>kanan</v>
      </c>
      <c r="N202" s="36"/>
      <c r="O202" s="36"/>
    </row>
    <row r="203" spans="5:15">
      <c r="E203" s="36" t="str">
        <v>tengah</v>
      </c>
      <c r="F203" s="36"/>
      <c r="G203" s="36"/>
      <c r="I203" s="36" t="str">
        <v>tengah</v>
      </c>
      <c r="J203" s="36"/>
      <c r="K203" s="36"/>
      <c r="M203" s="36" t="str">
        <v>kanan</v>
      </c>
      <c r="N203" s="36"/>
      <c r="O203" s="36"/>
    </row>
    <row r="204" spans="5:15">
      <c r="E204" s="36" t="str">
        <v>kiri</v>
      </c>
      <c r="F204" s="36"/>
      <c r="G204" s="36"/>
      <c r="I204" s="36" t="str">
        <v>kiri</v>
      </c>
      <c r="J204" s="36"/>
      <c r="K204" s="36"/>
      <c r="M204" s="36" t="str">
        <v>kanan</v>
      </c>
      <c r="N204" s="36"/>
      <c r="O204" s="36"/>
    </row>
    <row r="205" spans="5:15">
      <c r="E205" s="36" t="str">
        <v>kanan</v>
      </c>
      <c r="F205" s="36"/>
      <c r="G205" s="36"/>
      <c r="I205" s="36" t="str">
        <v>kanan</v>
      </c>
      <c r="J205" s="36"/>
      <c r="K205" s="36"/>
      <c r="M205" s="36" t="str">
        <v>kanan</v>
      </c>
      <c r="N205" s="36"/>
      <c r="O205" s="36"/>
    </row>
    <row r="206" spans="5:15">
      <c r="E206" s="36" t="str">
        <v>tengah</v>
      </c>
      <c r="F206" s="36"/>
      <c r="G206" s="36"/>
      <c r="I206" s="36" t="str">
        <v>tengah</v>
      </c>
      <c r="J206" s="36"/>
      <c r="K206" s="36"/>
      <c r="M206" s="36" t="str">
        <v>kanan</v>
      </c>
      <c r="N206" s="36"/>
      <c r="O206" s="36"/>
    </row>
    <row r="207" spans="5:15">
      <c r="E207" s="36" t="str">
        <v>kiri</v>
      </c>
      <c r="F207" s="36"/>
      <c r="G207" s="36"/>
      <c r="I207" s="36" t="str">
        <v>kiri</v>
      </c>
      <c r="J207" s="36"/>
      <c r="K207" s="36"/>
      <c r="M207" s="36" t="str">
        <v>tengah</v>
      </c>
      <c r="N207" s="36"/>
      <c r="O207" s="36"/>
    </row>
    <row r="208" spans="5:15">
      <c r="E208" s="36" t="str">
        <v>kiri</v>
      </c>
      <c r="F208" s="36"/>
      <c r="G208" s="36"/>
      <c r="I208" s="36" t="str">
        <v>kiri</v>
      </c>
      <c r="J208" s="36"/>
      <c r="K208" s="36"/>
      <c r="M208" s="36" t="str">
        <v>tengah</v>
      </c>
      <c r="N208" s="36"/>
      <c r="O208" s="36"/>
    </row>
    <row r="209" spans="5:15">
      <c r="E209" s="36" t="str">
        <v>kanan</v>
      </c>
      <c r="F209" s="36"/>
      <c r="G209" s="36"/>
      <c r="I209" s="36" t="str">
        <v>kanan</v>
      </c>
      <c r="J209" s="36"/>
      <c r="K209" s="36"/>
      <c r="M209" s="36" t="str">
        <v>tengah</v>
      </c>
      <c r="N209" s="36"/>
      <c r="O209" s="36"/>
    </row>
    <row r="210" spans="5:15">
      <c r="E210" s="36" t="str">
        <v>kanan</v>
      </c>
      <c r="F210" s="36"/>
      <c r="G210" s="36"/>
      <c r="I210" s="36" t="str">
        <v>kanan</v>
      </c>
      <c r="J210" s="36"/>
      <c r="K210" s="36"/>
      <c r="M210" s="36" t="str">
        <v>kanan</v>
      </c>
      <c r="N210" s="36"/>
      <c r="O210" s="36"/>
    </row>
    <row r="211" spans="5:15">
      <c r="E211" s="36" t="str">
        <v>tengah</v>
      </c>
      <c r="F211" s="36"/>
      <c r="G211" s="36"/>
      <c r="I211" s="36" t="str">
        <v>tengah</v>
      </c>
      <c r="J211" s="36"/>
      <c r="K211" s="36"/>
      <c r="M211" s="36" t="str">
        <v>tengah</v>
      </c>
      <c r="N211" s="36"/>
      <c r="O211" s="36"/>
    </row>
    <row r="212" spans="5:15">
      <c r="E212" s="36" t="str">
        <v>tengah</v>
      </c>
      <c r="F212" s="36"/>
      <c r="G212" s="36"/>
      <c r="I212" s="36" t="str">
        <v>kanan</v>
      </c>
      <c r="J212" s="36"/>
      <c r="K212" s="36"/>
      <c r="M212" s="36" t="str">
        <v>kanan</v>
      </c>
      <c r="N212" s="36"/>
      <c r="O212" s="36"/>
    </row>
    <row r="213" spans="5:15">
      <c r="E213" s="36" t="str">
        <v>kiri</v>
      </c>
      <c r="F213" s="36"/>
      <c r="G213" s="36"/>
      <c r="I213" s="36" t="str">
        <v>kiri</v>
      </c>
      <c r="J213" s="36"/>
      <c r="K213" s="36"/>
      <c r="M213" s="36" t="str">
        <v>kanan</v>
      </c>
      <c r="N213" s="36"/>
      <c r="O213" s="36"/>
    </row>
    <row r="214" spans="5:15">
      <c r="E214" s="36" t="str">
        <v>tengah</v>
      </c>
      <c r="F214" s="36"/>
      <c r="G214" s="36"/>
      <c r="I214" s="36" t="str">
        <v>tengah</v>
      </c>
      <c r="J214" s="36"/>
      <c r="K214" s="36"/>
      <c r="M214" s="36" t="str">
        <v>tengah</v>
      </c>
      <c r="N214" s="36"/>
      <c r="O214" s="36"/>
    </row>
    <row r="215" spans="5:15">
      <c r="E215" s="36" t="str">
        <v>tengah</v>
      </c>
      <c r="F215" s="36"/>
      <c r="G215" s="36"/>
      <c r="I215" s="36" t="str">
        <v>tengah</v>
      </c>
      <c r="J215" s="36"/>
      <c r="K215" s="36"/>
      <c r="M215" s="36" t="str">
        <v>tengah</v>
      </c>
      <c r="N215" s="36"/>
      <c r="O215" s="36"/>
    </row>
    <row r="216" spans="5:15">
      <c r="E216" s="36" t="str">
        <v>kanan</v>
      </c>
      <c r="F216" s="36"/>
      <c r="G216" s="36"/>
      <c r="I216" s="36" t="str">
        <v>tengah</v>
      </c>
      <c r="J216" s="36"/>
      <c r="K216" s="36"/>
      <c r="M216" s="36" t="str">
        <v>kanan</v>
      </c>
      <c r="N216" s="36"/>
      <c r="O216" s="36"/>
    </row>
    <row r="217" spans="5:15">
      <c r="E217" s="36" t="str">
        <v>tengah</v>
      </c>
      <c r="F217" s="36"/>
      <c r="G217" s="36"/>
      <c r="I217" s="36" t="str">
        <v>tengah</v>
      </c>
      <c r="J217" s="36"/>
      <c r="K217" s="36"/>
      <c r="M217" s="36" t="str">
        <v>kanan</v>
      </c>
      <c r="N217" s="36"/>
      <c r="O217" s="36"/>
    </row>
    <row r="218" spans="5:15">
      <c r="E218" s="36" t="str">
        <v>tengah</v>
      </c>
      <c r="F218" s="36"/>
      <c r="G218" s="36"/>
      <c r="I218" s="36" t="str">
        <v>tengah</v>
      </c>
      <c r="J218" s="36"/>
      <c r="K218" s="36"/>
      <c r="M218" s="36" t="str">
        <v>kanan</v>
      </c>
      <c r="N218" s="36"/>
      <c r="O218" s="36"/>
    </row>
    <row r="219" spans="5:15">
      <c r="E219" s="36" t="str">
        <v>tengah</v>
      </c>
      <c r="F219" s="36"/>
      <c r="G219" s="36"/>
      <c r="I219" s="36" t="str">
        <v>tengah</v>
      </c>
      <c r="J219" s="36"/>
      <c r="K219" s="36"/>
      <c r="M219" s="36" t="str">
        <v>kanan</v>
      </c>
      <c r="N219" s="36"/>
      <c r="O219" s="36"/>
    </row>
    <row r="220" spans="5:15">
      <c r="E220" s="36" t="str">
        <v>kanan</v>
      </c>
      <c r="F220" s="36"/>
      <c r="G220" s="36"/>
      <c r="I220" s="36" t="str">
        <v>tengah</v>
      </c>
      <c r="J220" s="36"/>
      <c r="K220" s="36"/>
      <c r="M220" s="36" t="str">
        <v>kanan</v>
      </c>
      <c r="N220" s="36"/>
      <c r="O220" s="36"/>
    </row>
    <row r="221" spans="5:15">
      <c r="E221" s="36" t="str">
        <v>kanan</v>
      </c>
      <c r="F221" s="36"/>
      <c r="G221" s="36"/>
      <c r="I221" s="36" t="str">
        <v>kanan</v>
      </c>
      <c r="J221" s="36"/>
      <c r="K221" s="36"/>
      <c r="M221" s="36" t="str">
        <v>tengah</v>
      </c>
      <c r="N221" s="36"/>
      <c r="O221" s="36"/>
    </row>
    <row r="222" spans="5:15">
      <c r="E222" s="36" t="str">
        <v>tengah</v>
      </c>
      <c r="F222" s="36"/>
      <c r="G222" s="36"/>
      <c r="I222" s="36" t="str">
        <v>kanan</v>
      </c>
      <c r="J222" s="36"/>
      <c r="K222" s="36"/>
      <c r="M222" s="36" t="str">
        <v>kanan</v>
      </c>
      <c r="N222" s="36"/>
      <c r="O222" s="36"/>
    </row>
    <row r="223" spans="5:15">
      <c r="E223" s="36" t="str">
        <v>tengah</v>
      </c>
      <c r="F223" s="36"/>
      <c r="G223" s="36"/>
      <c r="I223" s="36" t="str">
        <v>tengah</v>
      </c>
      <c r="J223" s="36"/>
      <c r="K223" s="36"/>
      <c r="M223" s="36" t="str">
        <v>kanan</v>
      </c>
      <c r="N223" s="36"/>
      <c r="O223" s="36"/>
    </row>
    <row r="224" spans="5:15">
      <c r="E224" s="36" t="str">
        <v>tengah</v>
      </c>
      <c r="F224" s="36"/>
      <c r="G224" s="36"/>
      <c r="I224" s="36" t="str">
        <v>tengah</v>
      </c>
      <c r="J224" s="36"/>
      <c r="K224" s="36"/>
      <c r="M224" s="36" t="str">
        <v>tengah</v>
      </c>
      <c r="N224" s="36"/>
      <c r="O224" s="36"/>
    </row>
    <row r="225" spans="5:15">
      <c r="E225" s="36" t="str">
        <v>tengah</v>
      </c>
      <c r="F225" s="36"/>
      <c r="G225" s="36"/>
      <c r="I225" s="36" t="str">
        <v>tengah</v>
      </c>
      <c r="J225" s="36"/>
      <c r="K225" s="36"/>
      <c r="M225" s="36" t="str">
        <v>kanan</v>
      </c>
      <c r="N225" s="36"/>
      <c r="O225" s="36"/>
    </row>
    <row r="226" spans="5:15">
      <c r="E226" s="36" t="str">
        <v>kanan</v>
      </c>
      <c r="F226" s="36"/>
      <c r="G226" s="36"/>
      <c r="I226" s="36" t="str">
        <v>tengah</v>
      </c>
      <c r="J226" s="36"/>
      <c r="K226" s="36"/>
      <c r="M226" s="36" t="str">
        <v>tengah</v>
      </c>
      <c r="N226" s="36"/>
      <c r="O226" s="36"/>
    </row>
    <row r="227" spans="5:15">
      <c r="E227" s="36" t="str">
        <v>kanan</v>
      </c>
      <c r="F227" s="36"/>
      <c r="G227" s="36"/>
      <c r="I227" s="36" t="str">
        <v>tengah</v>
      </c>
      <c r="J227" s="36"/>
      <c r="K227" s="36"/>
      <c r="M227" s="36" t="str">
        <v>kanan</v>
      </c>
      <c r="N227" s="36"/>
      <c r="O227" s="36"/>
    </row>
    <row r="228" spans="5:15">
      <c r="E228" s="36" t="str">
        <v>kiri</v>
      </c>
      <c r="F228" s="36"/>
      <c r="G228" s="36"/>
      <c r="I228" s="36" t="str">
        <v>kiri</v>
      </c>
      <c r="J228" s="36"/>
      <c r="K228" s="36"/>
      <c r="M228" s="36" t="str">
        <v>kanan</v>
      </c>
      <c r="N228" s="36"/>
      <c r="O228" s="36"/>
    </row>
    <row r="229" spans="5:15">
      <c r="E229" s="36" t="str">
        <v>tengah</v>
      </c>
      <c r="F229" s="36"/>
      <c r="G229" s="36"/>
      <c r="I229" s="36" t="str">
        <v>tengah</v>
      </c>
      <c r="J229" s="36"/>
      <c r="K229" s="36"/>
      <c r="M229" s="36" t="str">
        <v>kanan</v>
      </c>
      <c r="N229" s="36"/>
      <c r="O229" s="36"/>
    </row>
    <row r="230" spans="5:15">
      <c r="E230" s="36" t="str">
        <v>kiri</v>
      </c>
      <c r="F230" s="36"/>
      <c r="G230" s="36"/>
      <c r="I230" s="36" t="str">
        <v>tengah</v>
      </c>
      <c r="J230" s="36"/>
      <c r="K230" s="36"/>
      <c r="M230" s="36" t="str">
        <v>kanan</v>
      </c>
      <c r="N230" s="36"/>
      <c r="O230" s="36"/>
    </row>
    <row r="231" spans="5:15">
      <c r="E231" s="36" t="str">
        <v>tengah</v>
      </c>
      <c r="F231" s="36"/>
      <c r="G231" s="36"/>
      <c r="I231" s="36" t="str">
        <v>tengah</v>
      </c>
      <c r="J231" s="36"/>
      <c r="K231" s="36"/>
      <c r="M231" s="36" t="str">
        <v>kanan</v>
      </c>
      <c r="N231" s="36"/>
      <c r="O231" s="36"/>
    </row>
    <row r="232" spans="5:15">
      <c r="E232" s="36" t="str">
        <v>kanan</v>
      </c>
      <c r="F232" s="36"/>
      <c r="G232" s="36"/>
      <c r="I232" s="36" t="str">
        <v>tengah</v>
      </c>
      <c r="J232" s="36"/>
      <c r="K232" s="36"/>
      <c r="M232" s="36" t="str">
        <v>tengah</v>
      </c>
      <c r="N232" s="36"/>
      <c r="O232" s="36"/>
    </row>
    <row r="233" spans="5:15">
      <c r="E233" s="36" t="str">
        <v>kiri</v>
      </c>
      <c r="F233" s="36"/>
      <c r="G233" s="36"/>
      <c r="I233" s="36" t="str">
        <v>kanan</v>
      </c>
      <c r="J233" s="36"/>
      <c r="K233" s="36"/>
      <c r="M233" s="36" t="str">
        <v>kanan</v>
      </c>
      <c r="N233" s="36"/>
      <c r="O233" s="36"/>
    </row>
    <row r="234" spans="5:15">
      <c r="E234" s="36" t="str">
        <v>kanan</v>
      </c>
      <c r="F234" s="36"/>
      <c r="G234" s="36"/>
      <c r="I234" s="36" t="str">
        <v>tengah</v>
      </c>
      <c r="J234" s="36"/>
      <c r="K234" s="36"/>
      <c r="M234" s="36" t="str">
        <v>tengah</v>
      </c>
      <c r="N234" s="36"/>
      <c r="O234" s="36"/>
    </row>
    <row r="235" spans="5:15">
      <c r="E235" s="36" t="str">
        <v>kanan</v>
      </c>
      <c r="F235" s="36"/>
      <c r="G235" s="36"/>
      <c r="I235" s="36" t="str">
        <v>kanan</v>
      </c>
      <c r="J235" s="36"/>
      <c r="K235" s="36"/>
      <c r="M235" s="36" t="str">
        <v>tengah</v>
      </c>
      <c r="N235" s="36"/>
      <c r="O235" s="36"/>
    </row>
    <row r="236" spans="5:15">
      <c r="E236" s="36" t="str">
        <v>tengah</v>
      </c>
      <c r="F236" s="36"/>
      <c r="G236" s="36"/>
      <c r="I236" s="36" t="str">
        <v>tengah</v>
      </c>
      <c r="J236" s="36"/>
      <c r="K236" s="36"/>
      <c r="M236" s="36" t="str">
        <v>tengah</v>
      </c>
      <c r="N236" s="36"/>
      <c r="O236" s="36"/>
    </row>
    <row r="237" spans="5:15">
      <c r="E237" s="36" t="str">
        <v>tengah</v>
      </c>
      <c r="F237" s="36"/>
      <c r="G237" s="36"/>
      <c r="I237" s="36" t="str">
        <v>kanan</v>
      </c>
      <c r="J237" s="36"/>
      <c r="K237" s="36"/>
      <c r="M237" s="36" t="str">
        <v>kanan</v>
      </c>
      <c r="N237" s="36"/>
      <c r="O237" s="36"/>
    </row>
    <row r="238" spans="5:15">
      <c r="E238" s="36" t="str">
        <v>kiri</v>
      </c>
      <c r="F238" s="36"/>
      <c r="G238" s="36"/>
      <c r="I238" s="36" t="str">
        <v>kiri</v>
      </c>
      <c r="J238" s="36"/>
      <c r="K238" s="36"/>
      <c r="M238" s="36" t="str">
        <v>kanan</v>
      </c>
      <c r="N238" s="36"/>
      <c r="O238" s="36"/>
    </row>
    <row r="239" spans="5:15">
      <c r="E239" s="36" t="str">
        <v>kiri</v>
      </c>
      <c r="F239" s="36"/>
      <c r="G239" s="36"/>
      <c r="I239" s="36" t="str">
        <v>kiri</v>
      </c>
      <c r="J239" s="36"/>
      <c r="K239" s="36"/>
      <c r="M239" s="36" t="str">
        <v>kanan</v>
      </c>
      <c r="N239" s="36"/>
      <c r="O239" s="36"/>
    </row>
    <row r="240" spans="5:15">
      <c r="E240" s="36" t="str">
        <v>kanan</v>
      </c>
      <c r="F240" s="36"/>
      <c r="G240" s="36"/>
      <c r="I240" s="36" t="str">
        <v>kanan</v>
      </c>
      <c r="J240" s="36"/>
      <c r="K240" s="36"/>
      <c r="M240" s="36" t="str">
        <v>kanan</v>
      </c>
      <c r="N240" s="36"/>
      <c r="O240" s="36"/>
    </row>
    <row r="241" spans="5:15">
      <c r="E241" s="36" t="str">
        <v>kanan</v>
      </c>
      <c r="F241" s="36"/>
      <c r="G241" s="36"/>
      <c r="I241" s="36" t="str">
        <v>kanan</v>
      </c>
      <c r="J241" s="36"/>
      <c r="K241" s="36"/>
      <c r="M241" s="36" t="str">
        <v>kanan</v>
      </c>
      <c r="N241" s="36"/>
      <c r="O241" s="36"/>
    </row>
    <row r="242" spans="5:15">
      <c r="E242" s="36" t="str">
        <v>kanan</v>
      </c>
      <c r="F242" s="36"/>
      <c r="G242" s="36"/>
      <c r="I242" s="36" t="str">
        <v>tengah</v>
      </c>
      <c r="J242" s="36"/>
      <c r="K242" s="36"/>
      <c r="M242" s="36" t="str">
        <v>kanan</v>
      </c>
      <c r="N242" s="36"/>
      <c r="O242" s="36"/>
    </row>
    <row r="243" spans="5:15">
      <c r="E243" s="36" t="str">
        <v>tengah</v>
      </c>
      <c r="F243" s="36"/>
      <c r="G243" s="36"/>
      <c r="I243" s="36" t="str">
        <v>kanan</v>
      </c>
      <c r="J243" s="36"/>
      <c r="K243" s="36"/>
      <c r="M243" s="36" t="str">
        <v>tengah</v>
      </c>
      <c r="N243" s="36"/>
      <c r="O243" s="36"/>
    </row>
    <row r="244" spans="5:15">
      <c r="E244" s="36" t="str">
        <v>kiri</v>
      </c>
      <c r="F244" s="36"/>
      <c r="G244" s="36"/>
      <c r="I244" s="36" t="str">
        <v>kanan</v>
      </c>
      <c r="J244" s="36"/>
      <c r="K244" s="36"/>
      <c r="M244" s="36" t="str">
        <v>kanan</v>
      </c>
      <c r="N244" s="36"/>
      <c r="O244" s="36"/>
    </row>
    <row r="245" spans="5:15">
      <c r="E245" s="36" t="str">
        <v>kiri</v>
      </c>
      <c r="F245" s="36"/>
      <c r="G245" s="36"/>
      <c r="I245" s="36" t="str">
        <v>kiri</v>
      </c>
      <c r="J245" s="36"/>
      <c r="K245" s="36"/>
      <c r="M245" s="36" t="str">
        <v>kanan</v>
      </c>
      <c r="N245" s="36"/>
      <c r="O245" s="36"/>
    </row>
    <row r="246" spans="5:15">
      <c r="E246" s="36" t="str">
        <v>kiri</v>
      </c>
      <c r="F246" s="36"/>
      <c r="G246" s="36"/>
      <c r="I246" s="36" t="str">
        <v>kiri</v>
      </c>
      <c r="J246" s="36"/>
      <c r="K246" s="36"/>
      <c r="M246" s="36" t="str">
        <v>tengah</v>
      </c>
      <c r="N246" s="36"/>
      <c r="O246" s="36"/>
    </row>
    <row r="247" spans="5:15">
      <c r="E247" s="36" t="str">
        <v>tengah</v>
      </c>
      <c r="F247" s="36"/>
      <c r="G247" s="36"/>
      <c r="I247" s="36" t="str">
        <v>tengah</v>
      </c>
      <c r="J247" s="36"/>
      <c r="K247" s="36"/>
      <c r="M247" s="36" t="str">
        <v>tengah</v>
      </c>
      <c r="N247" s="36"/>
      <c r="O247" s="36"/>
    </row>
    <row r="248" spans="5:15">
      <c r="E248" s="36" t="str">
        <v>tengah</v>
      </c>
      <c r="F248" s="36"/>
      <c r="G248" s="36"/>
      <c r="I248" s="36" t="str">
        <v>tengah</v>
      </c>
      <c r="J248" s="36"/>
      <c r="K248" s="36"/>
      <c r="M248" s="36" t="str">
        <v>kanan</v>
      </c>
      <c r="N248" s="36"/>
      <c r="O248" s="36"/>
    </row>
    <row r="249" spans="5:15">
      <c r="E249" s="36" t="str">
        <v>kanan</v>
      </c>
      <c r="F249" s="36"/>
      <c r="G249" s="36"/>
      <c r="I249" s="36" t="str">
        <v>tengah</v>
      </c>
      <c r="J249" s="36"/>
      <c r="K249" s="36"/>
      <c r="M249" s="36" t="str">
        <v>kanan</v>
      </c>
      <c r="N249" s="36"/>
      <c r="O249" s="36"/>
    </row>
    <row r="250" spans="5:15">
      <c r="E250" s="36" t="str">
        <v>kiri</v>
      </c>
      <c r="F250" s="36"/>
      <c r="G250" s="36"/>
      <c r="I250" s="36" t="str">
        <v>tengah</v>
      </c>
      <c r="J250" s="36"/>
      <c r="K250" s="36"/>
      <c r="M250" s="36" t="str">
        <v>tengah</v>
      </c>
      <c r="N250" s="36"/>
      <c r="O250" s="36"/>
    </row>
    <row r="251" spans="5:15">
      <c r="E251" s="36" t="str">
        <v>tengah</v>
      </c>
      <c r="F251" s="36"/>
      <c r="G251" s="36"/>
      <c r="I251" s="36" t="str">
        <v>tengah</v>
      </c>
      <c r="J251" s="36"/>
      <c r="K251" s="36"/>
      <c r="M251" s="36" t="str">
        <v>kanan</v>
      </c>
      <c r="N251" s="36"/>
      <c r="O251" s="36"/>
    </row>
    <row r="252" spans="5:15">
      <c r="E252" s="36" t="str">
        <v>tengah</v>
      </c>
      <c r="F252" s="36"/>
      <c r="G252" s="36"/>
      <c r="I252" s="36" t="str">
        <v>kiri</v>
      </c>
      <c r="J252" s="36"/>
      <c r="K252" s="36"/>
      <c r="M252" s="36" t="str">
        <v>tengah</v>
      </c>
      <c r="N252" s="36"/>
      <c r="O252" s="36"/>
    </row>
    <row r="253" spans="5:15">
      <c r="E253" s="36" t="str">
        <v>tengah</v>
      </c>
      <c r="F253" s="36"/>
      <c r="G253" s="36"/>
      <c r="I253" s="36" t="str">
        <v>kanan</v>
      </c>
      <c r="J253" s="36"/>
      <c r="K253" s="36"/>
      <c r="M253" s="36" t="str">
        <v>kanan</v>
      </c>
      <c r="N253" s="36"/>
      <c r="O253" s="36"/>
    </row>
    <row r="254" spans="5:15">
      <c r="E254" s="36" t="str">
        <v>tengah</v>
      </c>
      <c r="F254" s="36"/>
      <c r="G254" s="36"/>
      <c r="I254" s="36" t="str">
        <v>tengah</v>
      </c>
      <c r="J254" s="36"/>
      <c r="K254" s="36"/>
      <c r="M254" s="36" t="str">
        <v>kanan</v>
      </c>
      <c r="N254" s="36"/>
      <c r="O254" s="36"/>
    </row>
    <row r="255" spans="5:15">
      <c r="E255" s="36" t="str">
        <v>kanan</v>
      </c>
      <c r="F255" s="36"/>
      <c r="G255" s="36"/>
      <c r="I255" s="36" t="str">
        <v>tengah</v>
      </c>
      <c r="J255" s="36"/>
      <c r="K255" s="36"/>
      <c r="M255" s="36" t="str">
        <v>tengah</v>
      </c>
      <c r="N255" s="36"/>
      <c r="O255" s="36"/>
    </row>
    <row r="256" spans="5:15">
      <c r="E256" s="36" t="str">
        <v>kiri</v>
      </c>
      <c r="F256" s="36"/>
      <c r="G256" s="36"/>
      <c r="I256" s="36" t="str">
        <v>tengah</v>
      </c>
      <c r="J256" s="36"/>
      <c r="K256" s="36"/>
      <c r="M256" s="36" t="str">
        <v>tengah</v>
      </c>
      <c r="N256" s="36"/>
      <c r="O256" s="36"/>
    </row>
    <row r="257" spans="5:15">
      <c r="E257" s="36" t="str">
        <v>tengah</v>
      </c>
      <c r="F257" s="36"/>
      <c r="G257" s="36"/>
      <c r="I257" s="36" t="str">
        <v>tengah</v>
      </c>
      <c r="J257" s="36"/>
      <c r="K257" s="36"/>
      <c r="M257" s="36" t="str">
        <v>tengah</v>
      </c>
      <c r="N257" s="36"/>
      <c r="O257" s="36"/>
    </row>
    <row r="258" spans="5:15">
      <c r="E258" s="36" t="str">
        <v>kiri</v>
      </c>
      <c r="F258" s="36"/>
      <c r="G258" s="36"/>
      <c r="I258" s="36" t="str">
        <v>kiri</v>
      </c>
      <c r="J258" s="36"/>
      <c r="K258" s="36"/>
      <c r="M258" s="36" t="str">
        <v>tengah</v>
      </c>
      <c r="N258" s="36"/>
      <c r="O258" s="36"/>
    </row>
    <row r="259" spans="5:15">
      <c r="E259" s="36" t="str">
        <v>tengah</v>
      </c>
      <c r="F259" s="36"/>
      <c r="G259" s="36"/>
      <c r="I259" s="36" t="str">
        <v>kanan</v>
      </c>
      <c r="J259" s="36"/>
      <c r="K259" s="36"/>
      <c r="M259" s="36" t="str">
        <v>tengah</v>
      </c>
      <c r="N259" s="36"/>
      <c r="O259" s="36"/>
    </row>
    <row r="260" spans="5:15">
      <c r="E260" s="36" t="str">
        <v>tengah</v>
      </c>
      <c r="F260" s="36"/>
      <c r="G260" s="36"/>
      <c r="I260" s="36" t="str">
        <v>tengah</v>
      </c>
      <c r="J260" s="36"/>
      <c r="K260" s="36"/>
      <c r="M260" s="36" t="str">
        <v>tengah</v>
      </c>
      <c r="N260" s="36"/>
      <c r="O260" s="36"/>
    </row>
    <row r="261" spans="5:15">
      <c r="E261" s="36" t="str">
        <v>kanan</v>
      </c>
      <c r="F261" s="36"/>
      <c r="G261" s="36"/>
      <c r="I261" s="36" t="str">
        <v>kanan</v>
      </c>
      <c r="J261" s="36"/>
      <c r="K261" s="36"/>
      <c r="M261" s="36" t="str">
        <v>kanan</v>
      </c>
      <c r="N261" s="36"/>
      <c r="O261" s="36"/>
    </row>
    <row r="262" spans="5:15">
      <c r="E262" s="36" t="str">
        <v>tengah</v>
      </c>
      <c r="F262" s="36"/>
      <c r="G262" s="36"/>
      <c r="I262" s="36" t="str">
        <v>tengah</v>
      </c>
      <c r="J262" s="36"/>
      <c r="K262" s="36"/>
      <c r="M262" s="36" t="str">
        <v>kanan</v>
      </c>
      <c r="N262" s="36"/>
      <c r="O262" s="36"/>
    </row>
    <row r="263" spans="5:15">
      <c r="E263" s="36" t="str">
        <v>kiri</v>
      </c>
      <c r="F263" s="36"/>
      <c r="G263" s="36"/>
      <c r="I263" s="36" t="str">
        <v>tengah</v>
      </c>
      <c r="J263" s="36"/>
      <c r="K263" s="36"/>
      <c r="M263" s="36" t="str">
        <v>tengah</v>
      </c>
      <c r="N263" s="36"/>
      <c r="O263" s="36"/>
    </row>
    <row r="264" spans="5:15">
      <c r="E264" s="36" t="str">
        <v>kiri</v>
      </c>
      <c r="F264" s="36"/>
      <c r="G264" s="36"/>
      <c r="I264" s="36" t="str">
        <v>kiri</v>
      </c>
      <c r="J264" s="36"/>
      <c r="K264" s="36"/>
      <c r="M264" s="36" t="str">
        <v>tengah</v>
      </c>
      <c r="N264" s="36"/>
      <c r="O264" s="36"/>
    </row>
    <row r="265" spans="5:15">
      <c r="E265" s="36" t="str">
        <v>kanan</v>
      </c>
      <c r="F265" s="36"/>
      <c r="G265" s="36"/>
      <c r="I265" s="36" t="str">
        <v>kanan</v>
      </c>
      <c r="J265" s="36"/>
      <c r="K265" s="36"/>
      <c r="M265" s="36" t="str">
        <v>kanan</v>
      </c>
      <c r="N265" s="36"/>
      <c r="O265" s="36"/>
    </row>
    <row r="266" spans="5:15">
      <c r="E266" s="36" t="str">
        <v>kiri</v>
      </c>
      <c r="F266" s="36"/>
      <c r="G266" s="36"/>
      <c r="I266" s="36" t="str">
        <v>tengah</v>
      </c>
      <c r="J266" s="36"/>
      <c r="K266" s="36"/>
      <c r="M266" s="36" t="str">
        <v>tengah</v>
      </c>
      <c r="N266" s="36"/>
      <c r="O266" s="36"/>
    </row>
    <row r="267" spans="5:15">
      <c r="E267" s="36" t="str">
        <v>tengah</v>
      </c>
      <c r="F267" s="36"/>
      <c r="G267" s="36"/>
      <c r="I267" s="36" t="str">
        <v>kiri</v>
      </c>
      <c r="J267" s="36"/>
      <c r="K267" s="36"/>
      <c r="M267" s="36" t="str">
        <v>tengah</v>
      </c>
      <c r="N267" s="36"/>
      <c r="O267" s="36"/>
    </row>
    <row r="268" spans="5:15">
      <c r="E268" s="36" t="str">
        <v>kiri</v>
      </c>
      <c r="F268" s="36"/>
      <c r="G268" s="36"/>
      <c r="I268" s="36" t="str">
        <v>tengah</v>
      </c>
      <c r="J268" s="36"/>
      <c r="K268" s="36"/>
      <c r="M268" s="36" t="str">
        <v>tengah</v>
      </c>
      <c r="N268" s="36"/>
      <c r="O268" s="36"/>
    </row>
    <row r="269" spans="5:15">
      <c r="E269" s="36" t="str">
        <v>tengah</v>
      </c>
      <c r="F269" s="36"/>
      <c r="G269" s="36"/>
      <c r="I269" s="36" t="str">
        <v>tengah</v>
      </c>
      <c r="J269" s="36"/>
      <c r="K269" s="36"/>
      <c r="M269" s="36" t="str">
        <v>kanan</v>
      </c>
      <c r="N269" s="36"/>
      <c r="O269" s="36"/>
    </row>
    <row r="270" spans="5:15">
      <c r="E270" s="36" t="str">
        <v>tengah</v>
      </c>
      <c r="F270" s="36"/>
      <c r="G270" s="36"/>
      <c r="I270" s="36" t="str">
        <v>kanan</v>
      </c>
      <c r="J270" s="36"/>
      <c r="K270" s="36"/>
      <c r="M270" s="36" t="str">
        <v>kanan</v>
      </c>
      <c r="N270" s="36"/>
      <c r="O270" s="36"/>
    </row>
    <row r="271" spans="5:15">
      <c r="E271" s="36" t="str">
        <v>kanan</v>
      </c>
      <c r="F271" s="36"/>
      <c r="G271" s="36"/>
      <c r="I271" s="36" t="str">
        <v>kiri</v>
      </c>
      <c r="J271" s="36"/>
      <c r="K271" s="36"/>
      <c r="M271" s="36" t="str">
        <v>tengah</v>
      </c>
      <c r="N271" s="36"/>
      <c r="O271" s="36"/>
    </row>
    <row r="272" spans="5:15">
      <c r="E272" s="36" t="str">
        <v>kanan</v>
      </c>
      <c r="F272" s="36"/>
      <c r="G272" s="36"/>
      <c r="I272" s="36" t="str">
        <v>tengah</v>
      </c>
      <c r="J272" s="36"/>
      <c r="K272" s="36"/>
      <c r="M272" s="36" t="str">
        <v>kanan</v>
      </c>
      <c r="N272" s="36"/>
      <c r="O272" s="36"/>
    </row>
    <row r="273" spans="5:15">
      <c r="E273" s="36" t="str">
        <v>tengah</v>
      </c>
      <c r="F273" s="36"/>
      <c r="G273" s="36"/>
      <c r="I273" s="36" t="str">
        <v>kanan</v>
      </c>
      <c r="J273" s="36"/>
      <c r="K273" s="36"/>
      <c r="M273" s="36" t="str">
        <v>kanan</v>
      </c>
      <c r="N273" s="36"/>
      <c r="O273" s="36"/>
    </row>
    <row r="274" spans="5:15">
      <c r="E274" s="36" t="str">
        <v>tengah</v>
      </c>
      <c r="F274" s="36"/>
      <c r="G274" s="36"/>
      <c r="I274" s="36" t="str">
        <v>tengah</v>
      </c>
      <c r="J274" s="36"/>
      <c r="K274" s="36"/>
      <c r="M274" s="36" t="str">
        <v>kanan</v>
      </c>
      <c r="N274" s="36"/>
      <c r="O274" s="36"/>
    </row>
    <row r="275" spans="5:15">
      <c r="E275" s="36" t="str">
        <v>tengah</v>
      </c>
      <c r="F275" s="36"/>
      <c r="G275" s="36"/>
      <c r="I275" s="36" t="str">
        <v>tengah</v>
      </c>
      <c r="J275" s="36"/>
      <c r="K275" s="36"/>
      <c r="M275" s="36" t="str">
        <v>kanan</v>
      </c>
      <c r="N275" s="36"/>
      <c r="O275" s="36"/>
    </row>
    <row r="276" spans="5:15">
      <c r="E276" s="36" t="str">
        <v>kanan</v>
      </c>
      <c r="F276" s="36"/>
      <c r="G276" s="36"/>
      <c r="I276" s="36" t="str">
        <v>kanan</v>
      </c>
      <c r="J276" s="36"/>
      <c r="K276" s="36"/>
      <c r="M276" s="36" t="str">
        <v>tengah</v>
      </c>
      <c r="N276" s="36"/>
      <c r="O276" s="36"/>
    </row>
    <row r="277" spans="5:15">
      <c r="E277" s="36" t="str">
        <v>kiri</v>
      </c>
      <c r="F277" s="36"/>
      <c r="G277" s="36"/>
      <c r="I277" s="36" t="str">
        <v>tengah</v>
      </c>
      <c r="J277" s="36"/>
      <c r="K277" s="36"/>
      <c r="M277" s="36" t="str">
        <v>tengah</v>
      </c>
      <c r="N277" s="36"/>
      <c r="O277" s="36"/>
    </row>
    <row r="278" spans="5:15">
      <c r="E278" s="36" t="str">
        <v>tengah</v>
      </c>
      <c r="F278" s="36"/>
      <c r="G278" s="36"/>
      <c r="I278" s="36" t="str">
        <v>tengah</v>
      </c>
      <c r="J278" s="36"/>
      <c r="K278" s="36"/>
      <c r="M278" s="36" t="str">
        <v>kanan</v>
      </c>
      <c r="N278" s="36"/>
      <c r="O278" s="36"/>
    </row>
    <row r="279" spans="5:15">
      <c r="E279" s="36" t="str">
        <v>kiri</v>
      </c>
      <c r="F279" s="36"/>
      <c r="G279" s="36"/>
      <c r="I279" s="36" t="str">
        <v>kiri</v>
      </c>
      <c r="J279" s="36"/>
      <c r="K279" s="36"/>
      <c r="M279" s="36" t="str">
        <v>kanan</v>
      </c>
      <c r="N279" s="36"/>
      <c r="O279" s="36"/>
    </row>
    <row r="280" spans="5:15">
      <c r="E280" s="36" t="str">
        <v>kiri</v>
      </c>
      <c r="F280" s="36"/>
      <c r="G280" s="36"/>
      <c r="I280" s="36" t="str">
        <v>kanan</v>
      </c>
      <c r="J280" s="36"/>
      <c r="K280" s="36"/>
      <c r="M280" s="36" t="str">
        <v>kanan</v>
      </c>
      <c r="N280" s="36"/>
      <c r="O280" s="36"/>
    </row>
    <row r="281" spans="5:15">
      <c r="E281" s="36" t="str">
        <v>tengah</v>
      </c>
      <c r="F281" s="36"/>
      <c r="G281" s="36"/>
      <c r="I281" s="36" t="str">
        <v>tengah</v>
      </c>
      <c r="J281" s="36"/>
      <c r="K281" s="36"/>
      <c r="M281" s="36" t="str">
        <v>kanan</v>
      </c>
      <c r="N281" s="36"/>
      <c r="O281" s="36"/>
    </row>
    <row r="282" spans="5:15">
      <c r="E282" s="36" t="str">
        <v>tengah</v>
      </c>
      <c r="F282" s="36"/>
      <c r="G282" s="36"/>
      <c r="I282" s="36" t="str">
        <v>tengah</v>
      </c>
      <c r="J282" s="36"/>
      <c r="K282" s="36"/>
      <c r="M282" s="36" t="str">
        <v>kanan</v>
      </c>
      <c r="N282" s="36"/>
      <c r="O282" s="36"/>
    </row>
    <row r="283" spans="5:15">
      <c r="E283" s="36" t="str">
        <v>tengah</v>
      </c>
      <c r="F283" s="36"/>
      <c r="G283" s="36"/>
      <c r="I283" s="36" t="str">
        <v>kanan</v>
      </c>
      <c r="J283" s="36"/>
      <c r="K283" s="36"/>
      <c r="M283" s="36" t="str">
        <v>kanan</v>
      </c>
      <c r="N283" s="36"/>
      <c r="O283" s="36"/>
    </row>
    <row r="284" spans="5:15">
      <c r="E284" s="36" t="str">
        <v>tengah</v>
      </c>
      <c r="F284" s="36"/>
      <c r="G284" s="36"/>
      <c r="I284" s="36" t="str">
        <v>tengah</v>
      </c>
      <c r="J284" s="36"/>
      <c r="K284" s="36"/>
      <c r="M284" s="36" t="str">
        <v>tengah</v>
      </c>
      <c r="N284" s="36"/>
      <c r="O284" s="36"/>
    </row>
    <row r="285" spans="5:15">
      <c r="E285" s="36" t="str">
        <v>tengah</v>
      </c>
      <c r="F285" s="36"/>
      <c r="G285" s="36"/>
      <c r="I285" s="36" t="str">
        <v>kiri</v>
      </c>
      <c r="J285" s="36"/>
      <c r="K285" s="36"/>
      <c r="M285" s="36" t="str">
        <v>tengah</v>
      </c>
      <c r="N285" s="36"/>
      <c r="O285" s="36"/>
    </row>
    <row r="286" spans="5:15">
      <c r="E286" s="36" t="str">
        <v>kiri</v>
      </c>
      <c r="F286" s="36"/>
      <c r="G286" s="36"/>
      <c r="I286" s="36" t="str">
        <v>kiri</v>
      </c>
      <c r="J286" s="36"/>
      <c r="K286" s="36"/>
      <c r="M286" s="36" t="str">
        <v>kanan</v>
      </c>
      <c r="N286" s="36"/>
      <c r="O286" s="36"/>
    </row>
    <row r="287" spans="5:15">
      <c r="E287" s="36" t="str">
        <v>kanan</v>
      </c>
      <c r="F287" s="36"/>
      <c r="G287" s="36"/>
      <c r="I287" s="36" t="str">
        <v>kanan</v>
      </c>
      <c r="J287" s="36"/>
      <c r="K287" s="36"/>
      <c r="M287" s="36" t="str">
        <v>kanan</v>
      </c>
      <c r="N287" s="36"/>
      <c r="O287" s="36"/>
    </row>
    <row r="288" spans="5:15">
      <c r="E288" s="36" t="str">
        <v>tengah</v>
      </c>
      <c r="F288" s="36"/>
      <c r="G288" s="36"/>
      <c r="I288" s="36" t="str">
        <v>kiri</v>
      </c>
      <c r="J288" s="36"/>
      <c r="K288" s="36"/>
      <c r="M288" s="36" t="str">
        <v>tengah</v>
      </c>
      <c r="N288" s="36"/>
      <c r="O288" s="36"/>
    </row>
    <row r="289" spans="5:15">
      <c r="E289" s="36" t="str">
        <v>kanan</v>
      </c>
      <c r="F289" s="36"/>
      <c r="G289" s="36"/>
      <c r="I289" s="36" t="str">
        <v>kanan</v>
      </c>
      <c r="J289" s="36"/>
      <c r="K289" s="36"/>
      <c r="M289" s="36" t="str">
        <v>kanan</v>
      </c>
      <c r="N289" s="36"/>
      <c r="O289" s="36"/>
    </row>
    <row r="290" spans="5:15">
      <c r="E290" s="36" t="str">
        <v>kiri</v>
      </c>
      <c r="F290" s="36"/>
      <c r="G290" s="36"/>
      <c r="I290" s="36" t="str">
        <v>tengah</v>
      </c>
      <c r="J290" s="36"/>
      <c r="K290" s="36"/>
      <c r="M290" s="36" t="str">
        <v>kanan</v>
      </c>
      <c r="N290" s="36"/>
      <c r="O290" s="36"/>
    </row>
    <row r="291" spans="5:15">
      <c r="E291" s="36" t="str">
        <v>tengah</v>
      </c>
      <c r="F291" s="36"/>
      <c r="G291" s="36"/>
      <c r="I291" s="36" t="str">
        <v>tengah</v>
      </c>
      <c r="J291" s="36"/>
      <c r="K291" s="36"/>
      <c r="M291" s="36" t="str">
        <v>kanan</v>
      </c>
      <c r="N291" s="36"/>
      <c r="O291" s="36"/>
    </row>
    <row r="292" spans="5:15">
      <c r="E292" s="36" t="str">
        <v>tengah</v>
      </c>
      <c r="F292" s="36"/>
      <c r="G292" s="36"/>
      <c r="I292" s="36" t="str">
        <v>tengah</v>
      </c>
      <c r="J292" s="36"/>
      <c r="K292" s="36"/>
      <c r="M292" s="36" t="str">
        <v>kanan</v>
      </c>
      <c r="N292" s="36"/>
      <c r="O292" s="36"/>
    </row>
    <row r="293" spans="5:15">
      <c r="E293" s="36" t="str">
        <v>kiri</v>
      </c>
      <c r="F293" s="36"/>
      <c r="G293" s="36"/>
      <c r="I293" s="36" t="str">
        <v>kiri</v>
      </c>
      <c r="J293" s="36"/>
      <c r="K293" s="36"/>
      <c r="M293" s="36" t="str">
        <v>tengah</v>
      </c>
      <c r="N293" s="36"/>
      <c r="O293" s="36"/>
    </row>
    <row r="294" spans="5:15">
      <c r="E294" s="36" t="str">
        <v>kiri</v>
      </c>
      <c r="F294" s="36"/>
      <c r="G294" s="36"/>
      <c r="I294" s="36" t="str">
        <v>tengah</v>
      </c>
      <c r="J294" s="36"/>
      <c r="K294" s="36"/>
      <c r="M294" s="36" t="str">
        <v>tengah</v>
      </c>
      <c r="N294" s="36"/>
      <c r="O294" s="36"/>
    </row>
    <row r="295" spans="5:15">
      <c r="E295" s="36" t="str">
        <v>tengah</v>
      </c>
      <c r="F295" s="36"/>
      <c r="G295" s="36"/>
      <c r="I295" s="36" t="str">
        <v>tengah</v>
      </c>
      <c r="J295" s="36"/>
      <c r="K295" s="36"/>
      <c r="M295" s="36" t="str">
        <v>kanan</v>
      </c>
      <c r="N295" s="36"/>
      <c r="O295" s="36"/>
    </row>
    <row r="296" spans="5:15">
      <c r="E296" s="36" t="str">
        <v>kanan</v>
      </c>
      <c r="F296" s="36"/>
      <c r="G296" s="36"/>
      <c r="I296" s="36" t="str">
        <v>tengah</v>
      </c>
      <c r="J296" s="36"/>
      <c r="K296" s="36"/>
      <c r="M296" s="36" t="str">
        <v>tengah</v>
      </c>
      <c r="N296" s="36"/>
      <c r="O296" s="36"/>
    </row>
    <row r="297" spans="5:15">
      <c r="E297" s="36" t="str">
        <v>tengah</v>
      </c>
      <c r="F297" s="36"/>
      <c r="G297" s="36"/>
      <c r="I297" s="36" t="str">
        <v>kanan</v>
      </c>
      <c r="J297" s="36"/>
      <c r="K297" s="36"/>
      <c r="M297" s="36" t="str">
        <v>tengah</v>
      </c>
      <c r="N297" s="36"/>
      <c r="O297" s="36"/>
    </row>
    <row r="298" spans="5:15">
      <c r="E298" s="36" t="str">
        <v>kiri</v>
      </c>
      <c r="F298" s="36"/>
      <c r="G298" s="36"/>
      <c r="I298" s="36" t="str">
        <v>kiri</v>
      </c>
      <c r="J298" s="36"/>
      <c r="K298" s="36"/>
      <c r="M298" s="36" t="str">
        <v>kanan</v>
      </c>
      <c r="N298" s="36"/>
      <c r="O298" s="36"/>
    </row>
    <row r="299" spans="5:15">
      <c r="E299" s="36" t="str">
        <v>kiri</v>
      </c>
      <c r="F299" s="36"/>
      <c r="G299" s="36"/>
      <c r="I299" s="36" t="str">
        <v>kiri</v>
      </c>
      <c r="J299" s="36"/>
      <c r="K299" s="36"/>
      <c r="M299" s="36" t="str">
        <v>tengah</v>
      </c>
      <c r="N299" s="36"/>
      <c r="O299" s="36"/>
    </row>
    <row r="300" spans="5:15">
      <c r="E300" s="36" t="str">
        <v>tengah</v>
      </c>
      <c r="F300" s="36"/>
      <c r="G300" s="36"/>
      <c r="I300" s="36" t="str">
        <v>tengah</v>
      </c>
      <c r="J300" s="36"/>
      <c r="K300" s="36"/>
      <c r="M300" s="36" t="str">
        <v>kanan</v>
      </c>
      <c r="N300" s="36"/>
      <c r="O300" s="36"/>
    </row>
    <row r="301" spans="5:15">
      <c r="E301" s="36" t="str">
        <v>tengah</v>
      </c>
      <c r="F301" s="36"/>
      <c r="G301" s="36"/>
      <c r="I301" s="36" t="str">
        <v>kanan</v>
      </c>
      <c r="J301" s="36"/>
      <c r="K301" s="36"/>
      <c r="M301" s="36" t="str">
        <v>tengah</v>
      </c>
      <c r="N301" s="36"/>
      <c r="O301" s="36"/>
    </row>
    <row r="302" spans="5:15">
      <c r="E302" s="36" t="str">
        <v>tengah</v>
      </c>
      <c r="F302" s="36"/>
      <c r="G302" s="36"/>
      <c r="I302" s="36" t="str">
        <v>kiri</v>
      </c>
      <c r="J302" s="36"/>
      <c r="K302" s="36"/>
      <c r="M302" s="36" t="str">
        <v>kanan</v>
      </c>
      <c r="N302" s="36"/>
      <c r="O302" s="36"/>
    </row>
    <row r="303" spans="5:15">
      <c r="E303" s="36" t="str">
        <v>tengah</v>
      </c>
      <c r="F303" s="36"/>
      <c r="G303" s="36"/>
      <c r="I303" s="36" t="str">
        <v>kanan</v>
      </c>
      <c r="J303" s="36"/>
      <c r="K303" s="36"/>
      <c r="M303" s="36" t="str">
        <v>kanan</v>
      </c>
      <c r="N303" s="36"/>
      <c r="O303" s="36"/>
    </row>
    <row r="304" spans="5:15">
      <c r="E304" s="36" t="str">
        <v>kanan</v>
      </c>
      <c r="F304" s="36"/>
      <c r="G304" s="36"/>
      <c r="I304" s="36" t="str">
        <v>kanan</v>
      </c>
      <c r="J304" s="36"/>
      <c r="K304" s="36"/>
      <c r="M304" s="36" t="str">
        <v>kanan</v>
      </c>
      <c r="N304" s="36"/>
      <c r="O304" s="36"/>
    </row>
    <row r="305" spans="5:15">
      <c r="E305" s="36" t="str">
        <v>tengah</v>
      </c>
      <c r="F305" s="36"/>
      <c r="G305" s="36"/>
      <c r="I305" s="36" t="str">
        <v>tengah</v>
      </c>
      <c r="J305" s="36"/>
      <c r="K305" s="36"/>
      <c r="M305" s="36" t="str">
        <v>tengah</v>
      </c>
      <c r="N305" s="36"/>
      <c r="O305" s="36"/>
    </row>
    <row r="306" spans="5:15">
      <c r="E306" s="36" t="str">
        <v>tengah</v>
      </c>
      <c r="F306" s="36"/>
      <c r="G306" s="36"/>
      <c r="I306" s="36" t="str">
        <v>tengah</v>
      </c>
      <c r="J306" s="36"/>
      <c r="K306" s="36"/>
      <c r="M306" s="36" t="str">
        <v>kanan</v>
      </c>
      <c r="N306" s="36"/>
      <c r="O306" s="36"/>
    </row>
    <row r="307" spans="5:15">
      <c r="E307" s="36" t="str">
        <v>kiri</v>
      </c>
      <c r="F307" s="36"/>
      <c r="G307" s="36"/>
      <c r="I307" s="36" t="str">
        <v>tengah</v>
      </c>
      <c r="J307" s="36"/>
      <c r="K307" s="36"/>
      <c r="M307" s="36" t="str">
        <v>tengah</v>
      </c>
      <c r="N307" s="36"/>
      <c r="O307" s="36"/>
    </row>
    <row r="308" spans="5:15">
      <c r="E308" s="36" t="str">
        <v>tengah</v>
      </c>
      <c r="F308" s="36"/>
      <c r="G308" s="36"/>
      <c r="I308" s="36" t="str">
        <v>tengah</v>
      </c>
      <c r="J308" s="36"/>
      <c r="K308" s="36"/>
      <c r="M308" s="36" t="str">
        <v>tengah</v>
      </c>
      <c r="N308" s="36"/>
      <c r="O308" s="36"/>
    </row>
    <row r="309" spans="5:15">
      <c r="E309" s="36" t="str">
        <v>tengah</v>
      </c>
      <c r="F309" s="36"/>
      <c r="G309" s="36"/>
      <c r="I309" s="36" t="str">
        <v>kiri</v>
      </c>
      <c r="J309" s="36"/>
      <c r="K309" s="36"/>
      <c r="M309" s="36" t="str">
        <v>tengah</v>
      </c>
      <c r="N309" s="36"/>
      <c r="O309" s="36"/>
    </row>
    <row r="310" spans="5:15">
      <c r="E310" s="36" t="str">
        <v>kanan</v>
      </c>
      <c r="F310" s="36"/>
      <c r="G310" s="36"/>
      <c r="I310" s="36" t="str">
        <v>kiri</v>
      </c>
      <c r="J310" s="36"/>
      <c r="K310" s="36"/>
      <c r="M310" s="36" t="str">
        <v>tengah</v>
      </c>
      <c r="N310" s="36"/>
      <c r="O310" s="36"/>
    </row>
    <row r="311" spans="5:15">
      <c r="E311" s="36" t="str">
        <v>tengah</v>
      </c>
      <c r="F311" s="36"/>
      <c r="G311" s="36"/>
      <c r="I311" s="36" t="str">
        <v>tengah</v>
      </c>
      <c r="J311" s="36"/>
      <c r="K311" s="36"/>
      <c r="M311" s="36" t="str">
        <v>tengah</v>
      </c>
      <c r="N311" s="36"/>
      <c r="O311" s="36"/>
    </row>
    <row r="312" spans="5:15">
      <c r="E312" s="36" t="str">
        <v>kanan</v>
      </c>
      <c r="F312" s="36"/>
      <c r="G312" s="36"/>
      <c r="I312" s="36" t="str">
        <v>tengah</v>
      </c>
      <c r="J312" s="36"/>
      <c r="K312" s="36"/>
      <c r="M312" s="36" t="str">
        <v>kanan</v>
      </c>
      <c r="N312" s="36"/>
      <c r="O312" s="36"/>
    </row>
    <row r="313" spans="5:15">
      <c r="E313" s="36" t="str">
        <v>tengah</v>
      </c>
      <c r="F313" s="36"/>
      <c r="G313" s="36"/>
      <c r="I313" s="36" t="str">
        <v>tengah</v>
      </c>
      <c r="J313" s="36"/>
      <c r="K313" s="36"/>
      <c r="M313" s="36" t="str">
        <v>tengah</v>
      </c>
      <c r="N313" s="36"/>
      <c r="O313" s="36"/>
    </row>
    <row r="314" spans="5:15">
      <c r="E314" s="36" t="str">
        <v>tengah</v>
      </c>
      <c r="F314" s="36"/>
      <c r="G314" s="36"/>
      <c r="I314" s="36" t="str">
        <v>kanan</v>
      </c>
      <c r="J314" s="36"/>
      <c r="K314" s="36"/>
      <c r="M314" s="36" t="str">
        <v>kanan</v>
      </c>
      <c r="N314" s="36"/>
      <c r="O314" s="36"/>
    </row>
    <row r="315" spans="5:15">
      <c r="E315" s="36" t="str">
        <v>tengah</v>
      </c>
      <c r="F315" s="36"/>
      <c r="G315" s="36"/>
      <c r="I315" s="36" t="str">
        <v>kiri</v>
      </c>
      <c r="J315" s="36"/>
      <c r="K315" s="36"/>
      <c r="M315" s="36" t="str">
        <v>kanan</v>
      </c>
      <c r="N315" s="36"/>
      <c r="O315" s="36"/>
    </row>
    <row r="316" spans="5:15">
      <c r="E316" s="36" t="str">
        <v>kanan</v>
      </c>
      <c r="F316" s="36"/>
      <c r="G316" s="36"/>
      <c r="I316" s="36" t="str">
        <v>kanan</v>
      </c>
      <c r="J316" s="36"/>
      <c r="K316" s="36"/>
      <c r="M316" s="36" t="str">
        <v>kanan</v>
      </c>
      <c r="N316" s="36"/>
      <c r="O316" s="36"/>
    </row>
    <row r="317" spans="5:15">
      <c r="E317" s="36" t="str">
        <v>tengah</v>
      </c>
      <c r="F317" s="36"/>
      <c r="G317" s="36"/>
      <c r="I317" s="36" t="str">
        <v>kiri</v>
      </c>
      <c r="J317" s="36"/>
      <c r="K317" s="36"/>
      <c r="M317" s="36" t="str">
        <v>kanan</v>
      </c>
      <c r="N317" s="36"/>
      <c r="O317" s="36"/>
    </row>
    <row r="318" spans="5:15">
      <c r="E318" s="36" t="str">
        <v>kiri</v>
      </c>
      <c r="F318" s="36"/>
      <c r="G318" s="36"/>
      <c r="I318" s="36" t="str">
        <v>kiri</v>
      </c>
      <c r="J318" s="36"/>
      <c r="K318" s="36"/>
      <c r="M318" s="36" t="str">
        <v>kanan</v>
      </c>
      <c r="N318" s="36"/>
      <c r="O318" s="36"/>
    </row>
    <row r="319" spans="5:15">
      <c r="E319" s="36" t="str">
        <v>tengah</v>
      </c>
      <c r="F319" s="36"/>
      <c r="G319" s="36"/>
      <c r="I319" s="36" t="str">
        <v>kiri</v>
      </c>
      <c r="J319" s="36"/>
      <c r="K319" s="36"/>
      <c r="M319" s="36" t="str">
        <v>kanan</v>
      </c>
      <c r="N319" s="36"/>
      <c r="O319" s="36"/>
    </row>
    <row r="320" spans="5:15">
      <c r="E320" s="36" t="str">
        <v>tengah</v>
      </c>
      <c r="F320" s="36"/>
      <c r="G320" s="36"/>
      <c r="I320" s="36" t="str">
        <v>tengah</v>
      </c>
      <c r="J320" s="36"/>
      <c r="K320" s="36"/>
      <c r="M320" s="36" t="str">
        <v>kanan</v>
      </c>
      <c r="N320" s="36"/>
      <c r="O320" s="36"/>
    </row>
    <row r="321" spans="5:15">
      <c r="E321" s="36" t="str">
        <v>kiri</v>
      </c>
      <c r="F321" s="36"/>
      <c r="G321" s="36"/>
      <c r="I321" s="36" t="str">
        <v>kiri</v>
      </c>
      <c r="J321" s="36"/>
      <c r="K321" s="36"/>
      <c r="M321" s="36" t="str">
        <v>kanan</v>
      </c>
      <c r="N321" s="36"/>
      <c r="O321" s="36"/>
    </row>
    <row r="322" spans="5:15">
      <c r="E322" s="36" t="str">
        <v>kiri</v>
      </c>
      <c r="F322" s="36"/>
      <c r="G322" s="36"/>
      <c r="I322" s="36" t="str">
        <v>kiri</v>
      </c>
      <c r="J322" s="36"/>
      <c r="K322" s="36"/>
      <c r="M322" s="36" t="str">
        <v>kanan</v>
      </c>
      <c r="N322" s="36"/>
      <c r="O322" s="36"/>
    </row>
    <row r="323" spans="5:15">
      <c r="E323" s="36" t="str">
        <v>tengah</v>
      </c>
      <c r="F323" s="36"/>
      <c r="G323" s="36"/>
      <c r="I323" s="36" t="str">
        <v>tengah</v>
      </c>
      <c r="J323" s="36"/>
      <c r="K323" s="36"/>
      <c r="M323" s="36" t="str">
        <v>tengah</v>
      </c>
      <c r="N323" s="36"/>
      <c r="O323" s="36"/>
    </row>
    <row r="324" spans="5:15">
      <c r="E324" s="36" t="str">
        <v>tengah</v>
      </c>
      <c r="F324" s="36"/>
      <c r="G324" s="36"/>
      <c r="I324" s="36" t="str">
        <v>kiri</v>
      </c>
      <c r="J324" s="36"/>
      <c r="K324" s="36"/>
      <c r="M324" s="36" t="str">
        <v>tengah</v>
      </c>
      <c r="N324" s="36"/>
      <c r="O324" s="36"/>
    </row>
    <row r="325" spans="5:15">
      <c r="E325" s="36" t="str">
        <v>kiri</v>
      </c>
      <c r="F325" s="36"/>
      <c r="G325" s="36"/>
      <c r="I325" s="36" t="str">
        <v>tengah</v>
      </c>
      <c r="J325" s="36"/>
      <c r="K325" s="36"/>
      <c r="M325" s="36" t="str">
        <v>kanan</v>
      </c>
      <c r="N325" s="36"/>
      <c r="O325" s="36"/>
    </row>
    <row r="326" spans="5:15">
      <c r="E326" s="36" t="str">
        <v>kanan</v>
      </c>
      <c r="F326" s="36"/>
      <c r="G326" s="36"/>
      <c r="I326" s="36" t="str">
        <v>kanan</v>
      </c>
      <c r="J326" s="36"/>
      <c r="K326" s="36"/>
      <c r="M326" s="36" t="str">
        <v>tengah</v>
      </c>
      <c r="N326" s="36"/>
      <c r="O326" s="36"/>
    </row>
    <row r="327" spans="5:15">
      <c r="E327" s="36" t="str">
        <v>tengah</v>
      </c>
      <c r="F327" s="36"/>
      <c r="G327" s="36"/>
      <c r="I327" s="36" t="str">
        <v>tengah</v>
      </c>
      <c r="J327" s="36"/>
      <c r="K327" s="36"/>
      <c r="M327" s="36" t="str">
        <v>tengah</v>
      </c>
      <c r="N327" s="36"/>
      <c r="O327" s="36"/>
    </row>
    <row r="328" spans="5:15">
      <c r="E328" s="36" t="str">
        <v>kiri</v>
      </c>
      <c r="F328" s="36"/>
      <c r="G328" s="36"/>
      <c r="I328" s="36" t="str">
        <v>kiri</v>
      </c>
      <c r="J328" s="36"/>
      <c r="K328" s="36"/>
      <c r="M328" s="36" t="str">
        <v>tengah</v>
      </c>
      <c r="N328" s="36"/>
      <c r="O328" s="36"/>
    </row>
    <row r="329" spans="5:15">
      <c r="E329" s="36" t="str">
        <v>kanan</v>
      </c>
      <c r="F329" s="36"/>
      <c r="G329" s="36"/>
      <c r="I329" s="36" t="str">
        <v>tengah</v>
      </c>
      <c r="J329" s="36"/>
      <c r="K329" s="36"/>
      <c r="M329" s="36" t="str">
        <v>tengah</v>
      </c>
      <c r="N329" s="36"/>
      <c r="O329" s="36"/>
    </row>
    <row r="330" spans="5:15">
      <c r="E330" s="36" t="str">
        <v>tengah</v>
      </c>
      <c r="F330" s="36"/>
      <c r="G330" s="36"/>
      <c r="I330" s="36" t="str">
        <v>tengah</v>
      </c>
      <c r="J330" s="36"/>
      <c r="K330" s="36"/>
      <c r="M330" s="36" t="str">
        <v>kanan</v>
      </c>
      <c r="N330" s="36"/>
      <c r="O330" s="36"/>
    </row>
    <row r="331" spans="5:15">
      <c r="E331" s="36" t="str">
        <v>tengah</v>
      </c>
      <c r="F331" s="36"/>
      <c r="G331" s="36"/>
      <c r="I331" s="36" t="str">
        <v>tengah</v>
      </c>
      <c r="J331" s="36"/>
      <c r="K331" s="36"/>
      <c r="M331" s="36" t="str">
        <v>kanan</v>
      </c>
      <c r="N331" s="36"/>
      <c r="O331" s="36"/>
    </row>
    <row r="332" spans="5:15">
      <c r="E332" s="36" t="str">
        <v>tengah</v>
      </c>
      <c r="F332" s="36"/>
      <c r="G332" s="36"/>
      <c r="I332" s="36" t="str">
        <v>tengah</v>
      </c>
      <c r="J332" s="36"/>
      <c r="K332" s="36"/>
      <c r="M332" s="36" t="str">
        <v>tengah</v>
      </c>
      <c r="N332" s="36"/>
      <c r="O332" s="36"/>
    </row>
  </sheetData>
  <pageMargins left="0.7" right="0.7" top="0.75" bottom="0.75" header="0.3" footer="0.3"/>
  <headerFooter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32"/>
  <sheetViews>
    <sheetView topLeftCell="F1" workbookViewId="0">
      <selection activeCell="O197" sqref="O197"/>
    </sheetView>
  </sheetViews>
  <sheetFormatPr defaultColWidth="9" defaultRowHeight="15"/>
  <cols>
    <col min="2" max="2" width="15.8518518518519" customWidth="1"/>
    <col min="3" max="3" width="13.2814814814815" customWidth="1"/>
    <col min="4" max="4" width="13.8518518518519" customWidth="1"/>
    <col min="9" max="9" width="15.8518518518519" customWidth="1"/>
    <col min="10" max="10" width="13.2814814814815" customWidth="1"/>
    <col min="11" max="11" width="13.8518518518519" customWidth="1"/>
    <col min="14" max="14" width="10.4222222222222" customWidth="1"/>
    <col min="15" max="15" width="16.1407407407407" customWidth="1"/>
  </cols>
  <sheetData>
    <row r="1" spans="1:17">
      <c r="A1" s="35" t="s">
        <v>183</v>
      </c>
      <c r="B1" s="35" t="s">
        <v>2</v>
      </c>
      <c r="C1" s="35" t="s">
        <v>4</v>
      </c>
      <c r="D1" s="35" t="s">
        <v>5</v>
      </c>
      <c r="H1" s="35" t="s">
        <v>183</v>
      </c>
      <c r="I1" s="35" t="s">
        <v>2</v>
      </c>
      <c r="J1" s="35" t="s">
        <v>4</v>
      </c>
      <c r="K1" s="35" t="s">
        <v>5</v>
      </c>
      <c r="O1" s="35" t="s">
        <v>184</v>
      </c>
      <c r="P1" s="38"/>
      <c r="Q1" s="38"/>
    </row>
    <row r="2" spans="1:17">
      <c r="A2" s="36">
        <f ca="1">RANDBETWEEN(2,164)</f>
        <v>46</v>
      </c>
      <c r="B2" s="36" t="str">
        <f ca="1" t="array" ref="B2">INDEX(Data_DBD!$C:$C,$A2)</f>
        <v>2 Hari</v>
      </c>
      <c r="C2" s="36">
        <f ca="1" t="array" ref="C2">INDEX(Data_DBD!$E:$E,$A2)</f>
        <v>0</v>
      </c>
      <c r="D2" s="36" t="str">
        <f ca="1" t="array" ref="D2">INDEX(Data_DBD!$F:$F,$A2)</f>
        <v>Sedang</v>
      </c>
      <c r="H2" s="37">
        <v>39</v>
      </c>
      <c r="I2" s="37">
        <v>5</v>
      </c>
      <c r="J2" s="37">
        <v>1</v>
      </c>
      <c r="K2" s="37" t="s">
        <v>8</v>
      </c>
      <c r="O2" s="38" t="s">
        <v>105</v>
      </c>
      <c r="P2" s="38">
        <f>COUNTIF(K2:K164,"Tinggi")</f>
        <v>71</v>
      </c>
      <c r="Q2" s="38">
        <f>P2/163</f>
        <v>0.43558282208589</v>
      </c>
    </row>
    <row r="3" spans="1:17">
      <c r="A3" s="36">
        <f ca="1" t="shared" ref="A3:A66" si="0">RANDBETWEEN(2,164)</f>
        <v>121</v>
      </c>
      <c r="B3" s="36" t="str">
        <f ca="1" t="array" ref="B3">INDEX(Data_DBD!$C:$C,$A3)</f>
        <v>5 Hari</v>
      </c>
      <c r="C3" s="36">
        <f ca="1" t="array" ref="C3">INDEX(Data_DBD!$E:$E,$A3)</f>
        <v>1</v>
      </c>
      <c r="D3" s="36" t="str">
        <f ca="1" t="array" ref="D3">INDEX(Data_DBD!$F:$F,$A3)</f>
        <v>Tinggi</v>
      </c>
      <c r="H3" s="37">
        <v>30</v>
      </c>
      <c r="I3" s="37">
        <v>2</v>
      </c>
      <c r="J3" s="37">
        <v>1</v>
      </c>
      <c r="K3" s="37" t="s">
        <v>8</v>
      </c>
      <c r="O3" s="38" t="s">
        <v>8</v>
      </c>
      <c r="P3" s="38">
        <f>COUNTIF(K2:K164,"Sedang")</f>
        <v>73</v>
      </c>
      <c r="Q3" s="38">
        <f>P3/163</f>
        <v>0.447852760736196</v>
      </c>
    </row>
    <row r="4" spans="1:17">
      <c r="A4" s="36">
        <f ca="1" t="shared" si="0"/>
        <v>29</v>
      </c>
      <c r="B4" s="36" t="str">
        <f ca="1" t="array" ref="B4">INDEX(Data_DBD!$C:$C,$A4)</f>
        <v>2 Hari</v>
      </c>
      <c r="C4" s="36">
        <f ca="1" t="array" ref="C4">INDEX(Data_DBD!$E:$E,$A4)</f>
        <v>1</v>
      </c>
      <c r="D4" s="36" t="str">
        <f ca="1" t="array" ref="D4">INDEX(Data_DBD!$F:$F,$A4)</f>
        <v>Sedang</v>
      </c>
      <c r="H4" s="37">
        <v>52</v>
      </c>
      <c r="I4" s="37">
        <v>4</v>
      </c>
      <c r="J4" s="37">
        <v>1</v>
      </c>
      <c r="K4" s="37" t="s">
        <v>8</v>
      </c>
      <c r="O4" s="38" t="s">
        <v>26</v>
      </c>
      <c r="P4" s="38">
        <f>COUNTIF(K2:K164,"Rendah")</f>
        <v>19</v>
      </c>
      <c r="Q4" s="38">
        <f>P4/163</f>
        <v>0.116564417177914</v>
      </c>
    </row>
    <row r="5" spans="1:16">
      <c r="A5" s="36">
        <f ca="1" t="shared" si="0"/>
        <v>147</v>
      </c>
      <c r="B5" s="36" t="str">
        <f ca="1" t="array" ref="B5">INDEX(Data_DBD!$C:$C,$A5)</f>
        <v>10 Hari</v>
      </c>
      <c r="C5" s="36">
        <f ca="1" t="array" ref="C5">INDEX(Data_DBD!$E:$E,$A5)</f>
        <v>1</v>
      </c>
      <c r="D5" s="36" t="str">
        <f ca="1" t="array" ref="D5">INDEX(Data_DBD!$F:$F,$A5)</f>
        <v>Tinggi</v>
      </c>
      <c r="H5" s="37">
        <v>2</v>
      </c>
      <c r="I5" s="37">
        <v>3</v>
      </c>
      <c r="J5" s="37">
        <v>0</v>
      </c>
      <c r="K5" s="37" t="s">
        <v>8</v>
      </c>
      <c r="O5" s="39" t="s">
        <v>185</v>
      </c>
      <c r="P5">
        <f>-(IFERROR(Q2*LOG(Q2,2),0)+IFERROR(Q3*LOG(Q3,2),0)+IFERROR(Q4*LOG(Q4,2),0))</f>
        <v>1.40271673681696</v>
      </c>
    </row>
    <row r="6" spans="1:11">
      <c r="A6" s="36">
        <f ca="1" t="shared" si="0"/>
        <v>109</v>
      </c>
      <c r="B6" s="36" t="str">
        <f ca="1" t="array" ref="B6">INDEX(Data_DBD!$C:$C,$A6)</f>
        <v>3 Hari</v>
      </c>
      <c r="C6" s="36">
        <f ca="1" t="array" ref="C6">INDEX(Data_DBD!$E:$E,$A6)</f>
        <v>1</v>
      </c>
      <c r="D6" s="36" t="str">
        <f ca="1" t="array" ref="D6">INDEX(Data_DBD!$F:$F,$A6)</f>
        <v>Tinggi</v>
      </c>
      <c r="H6" s="37">
        <v>48</v>
      </c>
      <c r="I6" s="37">
        <v>5</v>
      </c>
      <c r="J6" s="37">
        <v>1</v>
      </c>
      <c r="K6" s="37" t="s">
        <v>8</v>
      </c>
    </row>
    <row r="7" spans="1:11">
      <c r="A7" s="36">
        <f ca="1" t="shared" si="0"/>
        <v>67</v>
      </c>
      <c r="B7" s="36" t="str">
        <f ca="1" t="array" ref="B7">INDEX(Data_DBD!$C:$C,$A7)</f>
        <v>3 Hari</v>
      </c>
      <c r="C7" s="36">
        <f ca="1" t="array" ref="C7">INDEX(Data_DBD!$E:$E,$A7)</f>
        <v>1</v>
      </c>
      <c r="D7" s="36" t="str">
        <f ca="1" t="array" ref="D7">INDEX(Data_DBD!$F:$F,$A7)</f>
        <v>Sedang</v>
      </c>
      <c r="H7" s="37">
        <v>164</v>
      </c>
      <c r="I7" s="37">
        <v>6</v>
      </c>
      <c r="J7" s="37">
        <v>0</v>
      </c>
      <c r="K7" s="37" t="s">
        <v>26</v>
      </c>
    </row>
    <row r="8" spans="1:11">
      <c r="A8" s="36">
        <f ca="1" t="shared" si="0"/>
        <v>60</v>
      </c>
      <c r="B8" s="36" t="str">
        <f ca="1" t="array" ref="B8">INDEX(Data_DBD!$C:$C,$A8)</f>
        <v>4 Hari</v>
      </c>
      <c r="C8" s="36">
        <f ca="1" t="array" ref="C8">INDEX(Data_DBD!$E:$E,$A8)</f>
        <v>0</v>
      </c>
      <c r="D8" s="36" t="str">
        <f ca="1" t="array" ref="D8">INDEX(Data_DBD!$F:$F,$A8)</f>
        <v>Sedang</v>
      </c>
      <c r="H8" s="37">
        <v>164</v>
      </c>
      <c r="I8" s="37">
        <v>6</v>
      </c>
      <c r="J8" s="37">
        <v>0</v>
      </c>
      <c r="K8" s="37" t="s">
        <v>26</v>
      </c>
    </row>
    <row r="9" spans="1:11">
      <c r="A9" s="36">
        <f ca="1" t="shared" si="0"/>
        <v>85</v>
      </c>
      <c r="B9" s="36" t="str">
        <f ca="1" t="array" ref="B9">INDEX(Data_DBD!$C:$C,$A9)</f>
        <v>9 Hari</v>
      </c>
      <c r="C9" s="36">
        <f ca="1" t="array" ref="C9">INDEX(Data_DBD!$E:$E,$A9)</f>
        <v>0</v>
      </c>
      <c r="D9" s="36" t="str">
        <f ca="1" t="array" ref="D9">INDEX(Data_DBD!$F:$F,$A9)</f>
        <v>Sedang</v>
      </c>
      <c r="H9" s="37">
        <v>72</v>
      </c>
      <c r="I9" s="37">
        <v>5</v>
      </c>
      <c r="J9" s="37">
        <v>1</v>
      </c>
      <c r="K9" s="37" t="s">
        <v>8</v>
      </c>
    </row>
    <row r="10" spans="1:11">
      <c r="A10" s="36">
        <f ca="1" t="shared" si="0"/>
        <v>11</v>
      </c>
      <c r="B10" s="36" t="str">
        <f ca="1" t="array" ref="B10">INDEX(Data_DBD!$C:$C,$A10)</f>
        <v>5 Hari</v>
      </c>
      <c r="C10" s="36">
        <f ca="1" t="array" ref="C10">INDEX(Data_DBD!$E:$E,$A10)</f>
        <v>1</v>
      </c>
      <c r="D10" s="36" t="str">
        <f ca="1" t="array" ref="D10">INDEX(Data_DBD!$F:$F,$A10)</f>
        <v>Sedang</v>
      </c>
      <c r="H10" s="37">
        <v>34</v>
      </c>
      <c r="I10" s="37">
        <v>3</v>
      </c>
      <c r="J10" s="37">
        <v>0</v>
      </c>
      <c r="K10" s="37" t="s">
        <v>8</v>
      </c>
    </row>
    <row r="11" spans="1:11">
      <c r="A11" s="36">
        <f ca="1" t="shared" si="0"/>
        <v>122</v>
      </c>
      <c r="B11" s="36" t="str">
        <f ca="1" t="array" ref="B11">INDEX(Data_DBD!$C:$C,$A11)</f>
        <v>3 Hari</v>
      </c>
      <c r="C11" s="36">
        <f ca="1" t="array" ref="C11">INDEX(Data_DBD!$E:$E,$A11)</f>
        <v>1</v>
      </c>
      <c r="D11" s="36" t="str">
        <f ca="1" t="array" ref="D11">INDEX(Data_DBD!$F:$F,$A11)</f>
        <v>Tinggi</v>
      </c>
      <c r="H11" s="37">
        <v>29</v>
      </c>
      <c r="I11" s="37">
        <v>2</v>
      </c>
      <c r="J11" s="37">
        <v>1</v>
      </c>
      <c r="K11" s="37" t="s">
        <v>8</v>
      </c>
    </row>
    <row r="12" spans="1:11">
      <c r="A12" s="36">
        <f ca="1" t="shared" si="0"/>
        <v>88</v>
      </c>
      <c r="B12" s="36" t="str">
        <f ca="1" t="array" ref="B12">INDEX(Data_DBD!$C:$C,$A12)</f>
        <v>4 Hari</v>
      </c>
      <c r="C12" s="36">
        <f ca="1" t="array" ref="C12">INDEX(Data_DBD!$E:$E,$A12)</f>
        <v>1</v>
      </c>
      <c r="D12" s="36" t="str">
        <f ca="1" t="array" ref="D12">INDEX(Data_DBD!$F:$F,$A12)</f>
        <v>Sedang</v>
      </c>
      <c r="H12" s="37">
        <v>128</v>
      </c>
      <c r="I12" s="37">
        <v>2</v>
      </c>
      <c r="J12" s="37">
        <v>0</v>
      </c>
      <c r="K12" s="37" t="s">
        <v>105</v>
      </c>
    </row>
    <row r="13" spans="1:11">
      <c r="A13" s="36">
        <f ca="1" t="shared" si="0"/>
        <v>164</v>
      </c>
      <c r="B13" s="36" t="str">
        <f ca="1" t="array" ref="B13">INDEX(Data_DBD!$C:$C,$A13)</f>
        <v>6 Hari</v>
      </c>
      <c r="C13" s="36">
        <f ca="1" t="array" ref="C13">INDEX(Data_DBD!$E:$E,$A13)</f>
        <v>0</v>
      </c>
      <c r="D13" s="36" t="str">
        <f ca="1" t="array" ref="D13">INDEX(Data_DBD!$F:$F,$A13)</f>
        <v>Rendah</v>
      </c>
      <c r="H13" s="37">
        <v>2</v>
      </c>
      <c r="I13" s="37">
        <v>3</v>
      </c>
      <c r="J13" s="37">
        <v>0</v>
      </c>
      <c r="K13" s="37" t="s">
        <v>8</v>
      </c>
    </row>
    <row r="14" spans="1:11">
      <c r="A14" s="36">
        <f ca="1" t="shared" si="0"/>
        <v>58</v>
      </c>
      <c r="B14" s="36" t="str">
        <f ca="1" t="array" ref="B14">INDEX(Data_DBD!$C:$C,$A14)</f>
        <v>3 Hari</v>
      </c>
      <c r="C14" s="36">
        <f ca="1" t="array" ref="C14">INDEX(Data_DBD!$E:$E,$A14)</f>
        <v>0</v>
      </c>
      <c r="D14" s="36" t="str">
        <f ca="1" t="array" ref="D14">INDEX(Data_DBD!$F:$F,$A14)</f>
        <v>Sedang</v>
      </c>
      <c r="H14" s="37">
        <v>18</v>
      </c>
      <c r="I14" s="37">
        <v>4</v>
      </c>
      <c r="J14" s="37">
        <v>1</v>
      </c>
      <c r="K14" s="37" t="s">
        <v>26</v>
      </c>
    </row>
    <row r="15" spans="1:11">
      <c r="A15" s="36">
        <f ca="1" t="shared" si="0"/>
        <v>106</v>
      </c>
      <c r="B15" s="36" t="str">
        <f ca="1" t="array" ref="B15">INDEX(Data_DBD!$C:$C,$A15)</f>
        <v>3 Hari</v>
      </c>
      <c r="C15" s="36">
        <f ca="1" t="array" ref="C15">INDEX(Data_DBD!$E:$E,$A15)</f>
        <v>1</v>
      </c>
      <c r="D15" s="36" t="str">
        <f ca="1" t="array" ref="D15">INDEX(Data_DBD!$F:$F,$A15)</f>
        <v>Tinggi</v>
      </c>
      <c r="H15" s="37">
        <v>23</v>
      </c>
      <c r="I15" s="37">
        <v>4</v>
      </c>
      <c r="J15" s="37">
        <v>1</v>
      </c>
      <c r="K15" s="37" t="s">
        <v>8</v>
      </c>
    </row>
    <row r="16" spans="1:11">
      <c r="A16" s="36">
        <f ca="1" t="shared" si="0"/>
        <v>20</v>
      </c>
      <c r="B16" s="36" t="str">
        <f ca="1" t="array" ref="B16">INDEX(Data_DBD!$C:$C,$A16)</f>
        <v>5 Hari</v>
      </c>
      <c r="C16" s="36">
        <f ca="1" t="array" ref="C16">INDEX(Data_DBD!$E:$E,$A16)</f>
        <v>0</v>
      </c>
      <c r="D16" s="36" t="str">
        <f ca="1" t="array" ref="D16">INDEX(Data_DBD!$F:$F,$A16)</f>
        <v>Rendah</v>
      </c>
      <c r="H16" s="37">
        <v>162</v>
      </c>
      <c r="I16" s="37">
        <v>3</v>
      </c>
      <c r="J16" s="37">
        <v>1</v>
      </c>
      <c r="K16" s="37" t="s">
        <v>26</v>
      </c>
    </row>
    <row r="17" spans="1:11">
      <c r="A17" s="36">
        <f ca="1" t="shared" si="0"/>
        <v>6</v>
      </c>
      <c r="B17" s="36" t="str">
        <f ca="1" t="array" ref="B17">INDEX(Data_DBD!$C:$C,$A17)</f>
        <v>4 Hari</v>
      </c>
      <c r="C17" s="36">
        <f ca="1" t="array" ref="C17">INDEX(Data_DBD!$E:$E,$A17)</f>
        <v>0</v>
      </c>
      <c r="D17" s="36" t="str">
        <f ca="1" t="array" ref="D17">INDEX(Data_DBD!$F:$F,$A17)</f>
        <v>Sedang</v>
      </c>
      <c r="H17" s="37">
        <v>27</v>
      </c>
      <c r="I17" s="37">
        <v>4</v>
      </c>
      <c r="J17" s="37">
        <v>1</v>
      </c>
      <c r="K17" s="37" t="s">
        <v>8</v>
      </c>
    </row>
    <row r="18" spans="1:11">
      <c r="A18" s="36">
        <f ca="1" t="shared" si="0"/>
        <v>10</v>
      </c>
      <c r="B18" s="36" t="str">
        <f ca="1" t="array" ref="B18">INDEX(Data_DBD!$C:$C,$A18)</f>
        <v>5 Hari</v>
      </c>
      <c r="C18" s="36">
        <f ca="1" t="array" ref="C18">INDEX(Data_DBD!$E:$E,$A18)</f>
        <v>0</v>
      </c>
      <c r="D18" s="36" t="str">
        <f ca="1" t="array" ref="D18">INDEX(Data_DBD!$F:$F,$A18)</f>
        <v>Sedang</v>
      </c>
      <c r="H18" s="37">
        <v>115</v>
      </c>
      <c r="I18" s="37">
        <v>3</v>
      </c>
      <c r="J18" s="37">
        <v>1</v>
      </c>
      <c r="K18" s="37" t="s">
        <v>105</v>
      </c>
    </row>
    <row r="19" spans="1:11">
      <c r="A19" s="36">
        <f ca="1" t="shared" si="0"/>
        <v>49</v>
      </c>
      <c r="B19" s="36" t="str">
        <f ca="1" t="array" ref="B19">INDEX(Data_DBD!$C:$C,$A19)</f>
        <v>5 Hari</v>
      </c>
      <c r="C19" s="36">
        <f ca="1" t="array" ref="C19">INDEX(Data_DBD!$E:$E,$A19)</f>
        <v>0</v>
      </c>
      <c r="D19" s="36" t="str">
        <f ca="1" t="array" ref="D19">INDEX(Data_DBD!$F:$F,$A19)</f>
        <v>Sedang</v>
      </c>
      <c r="H19" s="37">
        <v>155</v>
      </c>
      <c r="I19" s="37">
        <v>5</v>
      </c>
      <c r="J19" s="37">
        <v>1</v>
      </c>
      <c r="K19" s="37" t="s">
        <v>105</v>
      </c>
    </row>
    <row r="20" spans="1:11">
      <c r="A20" s="36">
        <f ca="1" t="shared" si="0"/>
        <v>138</v>
      </c>
      <c r="B20" s="36" t="str">
        <f ca="1" t="array" ref="B20">INDEX(Data_DBD!$C:$C,$A20)</f>
        <v>3 Hari</v>
      </c>
      <c r="C20" s="36">
        <f ca="1" t="array" ref="C20">INDEX(Data_DBD!$E:$E,$A20)</f>
        <v>1</v>
      </c>
      <c r="D20" s="36" t="str">
        <f ca="1" t="array" ref="D20">INDEX(Data_DBD!$F:$F,$A20)</f>
        <v>Tinggi</v>
      </c>
      <c r="H20" s="37">
        <v>38</v>
      </c>
      <c r="I20" s="37">
        <v>3</v>
      </c>
      <c r="J20" s="37">
        <v>1</v>
      </c>
      <c r="K20" s="37" t="s">
        <v>26</v>
      </c>
    </row>
    <row r="21" spans="1:11">
      <c r="A21" s="36">
        <f ca="1" t="shared" si="0"/>
        <v>114</v>
      </c>
      <c r="B21" s="36" t="str">
        <f ca="1" t="array" ref="B21">INDEX(Data_DBD!$C:$C,$A21)</f>
        <v>2 Hari</v>
      </c>
      <c r="C21" s="36">
        <f ca="1" t="array" ref="C21">INDEX(Data_DBD!$E:$E,$A21)</f>
        <v>1</v>
      </c>
      <c r="D21" s="36" t="str">
        <f ca="1" t="array" ref="D21">INDEX(Data_DBD!$F:$F,$A21)</f>
        <v>Tinggi</v>
      </c>
      <c r="H21" s="37">
        <v>74</v>
      </c>
      <c r="I21" s="37">
        <v>4</v>
      </c>
      <c r="J21" s="37">
        <v>0</v>
      </c>
      <c r="K21" s="37" t="s">
        <v>8</v>
      </c>
    </row>
    <row r="22" spans="1:11">
      <c r="A22" s="36">
        <f ca="1" t="shared" si="0"/>
        <v>85</v>
      </c>
      <c r="B22" s="36" t="str">
        <f ca="1" t="array" ref="B22">INDEX(Data_DBD!$C:$C,$A22)</f>
        <v>9 Hari</v>
      </c>
      <c r="C22" s="36">
        <f ca="1" t="array" ref="C22">INDEX(Data_DBD!$E:$E,$A22)</f>
        <v>0</v>
      </c>
      <c r="D22" s="36" t="str">
        <f ca="1" t="array" ref="D22">INDEX(Data_DBD!$F:$F,$A22)</f>
        <v>Sedang</v>
      </c>
      <c r="H22" s="37">
        <v>21</v>
      </c>
      <c r="I22" s="37">
        <v>5</v>
      </c>
      <c r="J22" s="37">
        <v>1</v>
      </c>
      <c r="K22" s="37" t="s">
        <v>8</v>
      </c>
    </row>
    <row r="23" spans="1:11">
      <c r="A23" s="36">
        <f ca="1" t="shared" si="0"/>
        <v>12</v>
      </c>
      <c r="B23" s="36" t="str">
        <f ca="1" t="array" ref="B23">INDEX(Data_DBD!$C:$C,$A23)</f>
        <v>3 Hari</v>
      </c>
      <c r="C23" s="36">
        <f ca="1" t="array" ref="C23">INDEX(Data_DBD!$E:$E,$A23)</f>
        <v>0</v>
      </c>
      <c r="D23" s="36" t="str">
        <f ca="1" t="array" ref="D23">INDEX(Data_DBD!$F:$F,$A23)</f>
        <v>Sedang</v>
      </c>
      <c r="H23" s="37">
        <v>112</v>
      </c>
      <c r="I23" s="37">
        <v>3</v>
      </c>
      <c r="J23" s="37">
        <v>1</v>
      </c>
      <c r="K23" s="37" t="s">
        <v>105</v>
      </c>
    </row>
    <row r="24" spans="1:11">
      <c r="A24" s="36">
        <f ca="1" t="shared" si="0"/>
        <v>67</v>
      </c>
      <c r="B24" s="36" t="str">
        <f ca="1" t="array" ref="B24">INDEX(Data_DBD!$C:$C,$A24)</f>
        <v>3 Hari</v>
      </c>
      <c r="C24" s="36">
        <f ca="1" t="array" ref="C24">INDEX(Data_DBD!$E:$E,$A24)</f>
        <v>1</v>
      </c>
      <c r="D24" s="36" t="str">
        <f ca="1" t="array" ref="D24">INDEX(Data_DBD!$F:$F,$A24)</f>
        <v>Sedang</v>
      </c>
      <c r="H24" s="37">
        <v>13</v>
      </c>
      <c r="I24" s="37">
        <v>2</v>
      </c>
      <c r="J24" s="37">
        <v>0</v>
      </c>
      <c r="K24" s="37" t="s">
        <v>8</v>
      </c>
    </row>
    <row r="25" spans="1:11">
      <c r="A25" s="36">
        <f ca="1" t="shared" si="0"/>
        <v>75</v>
      </c>
      <c r="B25" s="36" t="str">
        <f ca="1" t="array" ref="B25">INDEX(Data_DBD!$C:$C,$A25)</f>
        <v>2 Hari</v>
      </c>
      <c r="C25" s="36">
        <f ca="1" t="array" ref="C25">INDEX(Data_DBD!$E:$E,$A25)</f>
        <v>1</v>
      </c>
      <c r="D25" s="36" t="str">
        <f ca="1" t="array" ref="D25">INDEX(Data_DBD!$F:$F,$A25)</f>
        <v>Sedang</v>
      </c>
      <c r="H25" s="37">
        <v>23</v>
      </c>
      <c r="I25" s="37">
        <v>4</v>
      </c>
      <c r="J25" s="37">
        <v>1</v>
      </c>
      <c r="K25" s="37" t="s">
        <v>8</v>
      </c>
    </row>
    <row r="26" spans="1:11">
      <c r="A26" s="36">
        <f ca="1" t="shared" si="0"/>
        <v>33</v>
      </c>
      <c r="B26" s="36" t="str">
        <f ca="1" t="array" ref="B26">INDEX(Data_DBD!$C:$C,$A26)</f>
        <v>4 Hari</v>
      </c>
      <c r="C26" s="36">
        <f ca="1" t="array" ref="C26">INDEX(Data_DBD!$E:$E,$A26)</f>
        <v>1</v>
      </c>
      <c r="D26" s="36" t="str">
        <f ca="1" t="array" ref="D26">INDEX(Data_DBD!$F:$F,$A26)</f>
        <v>Sedang</v>
      </c>
      <c r="H26" s="37">
        <v>90</v>
      </c>
      <c r="I26" s="37">
        <v>3</v>
      </c>
      <c r="J26" s="37">
        <v>0</v>
      </c>
      <c r="K26" s="37" t="s">
        <v>105</v>
      </c>
    </row>
    <row r="27" spans="1:11">
      <c r="A27" s="36">
        <f ca="1" t="shared" si="0"/>
        <v>107</v>
      </c>
      <c r="B27" s="36" t="str">
        <f ca="1" t="array" ref="B27">INDEX(Data_DBD!$C:$C,$A27)</f>
        <v>5 Hari</v>
      </c>
      <c r="C27" s="36">
        <f ca="1" t="array" ref="C27">INDEX(Data_DBD!$E:$E,$A27)</f>
        <v>0</v>
      </c>
      <c r="D27" s="36" t="str">
        <f ca="1" t="array" ref="D27">INDEX(Data_DBD!$F:$F,$A27)</f>
        <v>Tinggi</v>
      </c>
      <c r="H27" s="37">
        <v>117</v>
      </c>
      <c r="I27" s="37">
        <v>4</v>
      </c>
      <c r="J27" s="37">
        <v>1</v>
      </c>
      <c r="K27" s="37" t="s">
        <v>105</v>
      </c>
    </row>
    <row r="28" spans="1:11">
      <c r="A28" s="36">
        <f ca="1" t="shared" si="0"/>
        <v>81</v>
      </c>
      <c r="B28" s="36" t="str">
        <f ca="1" t="array" ref="B28">INDEX(Data_DBD!$C:$C,$A28)</f>
        <v>5 Hari</v>
      </c>
      <c r="C28" s="36">
        <f ca="1" t="array" ref="C28">INDEX(Data_DBD!$E:$E,$A28)</f>
        <v>1</v>
      </c>
      <c r="D28" s="36" t="str">
        <f ca="1" t="array" ref="D28">INDEX(Data_DBD!$F:$F,$A28)</f>
        <v>Sedang</v>
      </c>
      <c r="H28" s="37">
        <v>53</v>
      </c>
      <c r="I28" s="37">
        <v>4</v>
      </c>
      <c r="J28" s="37">
        <v>1</v>
      </c>
      <c r="K28" s="37" t="s">
        <v>8</v>
      </c>
    </row>
    <row r="29" spans="1:11">
      <c r="A29" s="36">
        <f ca="1" t="shared" si="0"/>
        <v>134</v>
      </c>
      <c r="B29" s="36" t="str">
        <f ca="1" t="array" ref="B29">INDEX(Data_DBD!$C:$C,$A29)</f>
        <v>2 Hari</v>
      </c>
      <c r="C29" s="36">
        <f ca="1" t="array" ref="C29">INDEX(Data_DBD!$E:$E,$A29)</f>
        <v>1</v>
      </c>
      <c r="D29" s="36" t="str">
        <f ca="1" t="array" ref="D29">INDEX(Data_DBD!$F:$F,$A29)</f>
        <v>Tinggi</v>
      </c>
      <c r="H29" s="37">
        <v>68</v>
      </c>
      <c r="I29" s="37">
        <v>5</v>
      </c>
      <c r="J29" s="37">
        <v>0</v>
      </c>
      <c r="K29" s="37" t="s">
        <v>8</v>
      </c>
    </row>
    <row r="30" spans="1:11">
      <c r="A30" s="36">
        <f ca="1" t="shared" si="0"/>
        <v>85</v>
      </c>
      <c r="B30" s="36" t="str">
        <f ca="1" t="array" ref="B30">INDEX(Data_DBD!$C:$C,$A30)</f>
        <v>9 Hari</v>
      </c>
      <c r="C30" s="36">
        <f ca="1" t="array" ref="C30">INDEX(Data_DBD!$E:$E,$A30)</f>
        <v>0</v>
      </c>
      <c r="D30" s="36" t="str">
        <f ca="1" t="array" ref="D30">INDEX(Data_DBD!$F:$F,$A30)</f>
        <v>Sedang</v>
      </c>
      <c r="H30" s="37">
        <v>10</v>
      </c>
      <c r="I30" s="37">
        <v>5</v>
      </c>
      <c r="J30" s="37">
        <v>0</v>
      </c>
      <c r="K30" s="37" t="s">
        <v>8</v>
      </c>
    </row>
    <row r="31" spans="1:11">
      <c r="A31" s="36">
        <f ca="1" t="shared" si="0"/>
        <v>68</v>
      </c>
      <c r="B31" s="36" t="str">
        <f ca="1" t="array" ref="B31">INDEX(Data_DBD!$C:$C,$A31)</f>
        <v>5 Hari</v>
      </c>
      <c r="C31" s="36">
        <f ca="1" t="array" ref="C31">INDEX(Data_DBD!$E:$E,$A31)</f>
        <v>0</v>
      </c>
      <c r="D31" s="36" t="str">
        <f ca="1" t="array" ref="D31">INDEX(Data_DBD!$F:$F,$A31)</f>
        <v>Sedang</v>
      </c>
      <c r="H31" s="37">
        <v>156</v>
      </c>
      <c r="I31" s="37">
        <v>2</v>
      </c>
      <c r="J31" s="37">
        <v>0</v>
      </c>
      <c r="K31" s="37" t="s">
        <v>105</v>
      </c>
    </row>
    <row r="32" spans="1:11">
      <c r="A32" s="36">
        <f ca="1" t="shared" si="0"/>
        <v>50</v>
      </c>
      <c r="B32" s="36" t="str">
        <f ca="1" t="array" ref="B32">INDEX(Data_DBD!$C:$C,$A32)</f>
        <v>5 Hari</v>
      </c>
      <c r="C32" s="36">
        <f ca="1" t="array" ref="C32">INDEX(Data_DBD!$E:$E,$A32)</f>
        <v>0</v>
      </c>
      <c r="D32" s="36" t="str">
        <f ca="1" t="array" ref="D32">INDEX(Data_DBD!$F:$F,$A32)</f>
        <v>Sedang</v>
      </c>
      <c r="H32" s="37">
        <v>97</v>
      </c>
      <c r="I32" s="37">
        <v>2</v>
      </c>
      <c r="J32" s="37">
        <v>1</v>
      </c>
      <c r="K32" s="37" t="s">
        <v>105</v>
      </c>
    </row>
    <row r="33" spans="1:11">
      <c r="A33" s="36">
        <f ca="1" t="shared" si="0"/>
        <v>88</v>
      </c>
      <c r="B33" s="36" t="str">
        <f ca="1" t="array" ref="B33">INDEX(Data_DBD!$C:$C,$A33)</f>
        <v>4 Hari</v>
      </c>
      <c r="C33" s="36">
        <f ca="1" t="array" ref="C33">INDEX(Data_DBD!$E:$E,$A33)</f>
        <v>1</v>
      </c>
      <c r="D33" s="36" t="str">
        <f ca="1" t="array" ref="D33">INDEX(Data_DBD!$F:$F,$A33)</f>
        <v>Sedang</v>
      </c>
      <c r="H33" s="37">
        <v>117</v>
      </c>
      <c r="I33" s="37">
        <v>4</v>
      </c>
      <c r="J33" s="37">
        <v>1</v>
      </c>
      <c r="K33" s="37" t="s">
        <v>105</v>
      </c>
    </row>
    <row r="34" spans="1:11">
      <c r="A34" s="36">
        <f ca="1" t="shared" si="0"/>
        <v>104</v>
      </c>
      <c r="B34" s="36" t="str">
        <f ca="1" t="array" ref="B34">INDEX(Data_DBD!$C:$C,$A34)</f>
        <v>4 Hari</v>
      </c>
      <c r="C34" s="36">
        <f ca="1" t="array" ref="C34">INDEX(Data_DBD!$E:$E,$A34)</f>
        <v>1</v>
      </c>
      <c r="D34" s="36" t="str">
        <f ca="1" t="array" ref="D34">INDEX(Data_DBD!$F:$F,$A34)</f>
        <v>Tinggi</v>
      </c>
      <c r="H34" s="37">
        <v>129</v>
      </c>
      <c r="I34" s="37">
        <v>3</v>
      </c>
      <c r="J34" s="37">
        <v>0</v>
      </c>
      <c r="K34" s="37" t="s">
        <v>105</v>
      </c>
    </row>
    <row r="35" spans="1:11">
      <c r="A35" s="36">
        <f ca="1" t="shared" si="0"/>
        <v>33</v>
      </c>
      <c r="B35" s="36" t="str">
        <f ca="1" t="array" ref="B35">INDEX(Data_DBD!$C:$C,$A35)</f>
        <v>4 Hari</v>
      </c>
      <c r="C35" s="36">
        <f ca="1" t="array" ref="C35">INDEX(Data_DBD!$E:$E,$A35)</f>
        <v>1</v>
      </c>
      <c r="D35" s="36" t="str">
        <f ca="1" t="array" ref="D35">INDEX(Data_DBD!$F:$F,$A35)</f>
        <v>Sedang</v>
      </c>
      <c r="H35" s="37">
        <v>123</v>
      </c>
      <c r="I35" s="37">
        <v>4</v>
      </c>
      <c r="J35" s="37">
        <v>0</v>
      </c>
      <c r="K35" s="37" t="s">
        <v>105</v>
      </c>
    </row>
    <row r="36" spans="1:11">
      <c r="A36" s="36">
        <f ca="1" t="shared" si="0"/>
        <v>117</v>
      </c>
      <c r="B36" s="36" t="str">
        <f ca="1" t="array" ref="B36">INDEX(Data_DBD!$C:$C,$A36)</f>
        <v>4 Hari</v>
      </c>
      <c r="C36" s="36">
        <f ca="1" t="array" ref="C36">INDEX(Data_DBD!$E:$E,$A36)</f>
        <v>1</v>
      </c>
      <c r="D36" s="36" t="str">
        <f ca="1" t="array" ref="D36">INDEX(Data_DBD!$F:$F,$A36)</f>
        <v>Tinggi</v>
      </c>
      <c r="H36" s="37">
        <v>12</v>
      </c>
      <c r="I36" s="37">
        <v>3</v>
      </c>
      <c r="J36" s="37">
        <v>0</v>
      </c>
      <c r="K36" s="37" t="s">
        <v>8</v>
      </c>
    </row>
    <row r="37" spans="1:11">
      <c r="A37" s="36">
        <f ca="1" t="shared" si="0"/>
        <v>152</v>
      </c>
      <c r="B37" s="36" t="str">
        <f ca="1" t="array" ref="B37">INDEX(Data_DBD!$C:$C,$A37)</f>
        <v>3 Hari</v>
      </c>
      <c r="C37" s="36">
        <f ca="1" t="array" ref="C37">INDEX(Data_DBD!$E:$E,$A37)</f>
        <v>1</v>
      </c>
      <c r="D37" s="36" t="str">
        <f ca="1" t="array" ref="D37">INDEX(Data_DBD!$F:$F,$A37)</f>
        <v>Tinggi</v>
      </c>
      <c r="H37" s="37">
        <v>72</v>
      </c>
      <c r="I37" s="37">
        <v>5</v>
      </c>
      <c r="J37" s="37">
        <v>1</v>
      </c>
      <c r="K37" s="37" t="s">
        <v>8</v>
      </c>
    </row>
    <row r="38" spans="1:11">
      <c r="A38" s="36">
        <f ca="1" t="shared" si="0"/>
        <v>73</v>
      </c>
      <c r="B38" s="36" t="str">
        <f ca="1" t="array" ref="B38">INDEX(Data_DBD!$C:$C,$A38)</f>
        <v>3 Hari</v>
      </c>
      <c r="C38" s="36">
        <f ca="1" t="array" ref="C38">INDEX(Data_DBD!$E:$E,$A38)</f>
        <v>1</v>
      </c>
      <c r="D38" s="36" t="str">
        <f ca="1" t="array" ref="D38">INDEX(Data_DBD!$F:$F,$A38)</f>
        <v>Sedang</v>
      </c>
      <c r="H38" s="37">
        <v>110</v>
      </c>
      <c r="I38" s="37">
        <v>2</v>
      </c>
      <c r="J38" s="37">
        <v>1</v>
      </c>
      <c r="K38" s="37" t="s">
        <v>105</v>
      </c>
    </row>
    <row r="39" spans="1:11">
      <c r="A39" s="36">
        <f ca="1" t="shared" si="0"/>
        <v>134</v>
      </c>
      <c r="B39" s="36" t="str">
        <f ca="1" t="array" ref="B39">INDEX(Data_DBD!$C:$C,$A39)</f>
        <v>2 Hari</v>
      </c>
      <c r="C39" s="36">
        <f ca="1" t="array" ref="C39">INDEX(Data_DBD!$E:$E,$A39)</f>
        <v>1</v>
      </c>
      <c r="D39" s="36" t="str">
        <f ca="1" t="array" ref="D39">INDEX(Data_DBD!$F:$F,$A39)</f>
        <v>Tinggi</v>
      </c>
      <c r="H39" s="37">
        <v>60</v>
      </c>
      <c r="I39" s="37">
        <v>4</v>
      </c>
      <c r="J39" s="37">
        <v>0</v>
      </c>
      <c r="K39" s="37" t="s">
        <v>8</v>
      </c>
    </row>
    <row r="40" spans="1:11">
      <c r="A40" s="36">
        <f ca="1" t="shared" si="0"/>
        <v>137</v>
      </c>
      <c r="B40" s="36" t="str">
        <f ca="1" t="array" ref="B40">INDEX(Data_DBD!$C:$C,$A40)</f>
        <v>1 Hari</v>
      </c>
      <c r="C40" s="36">
        <f ca="1" t="array" ref="C40">INDEX(Data_DBD!$E:$E,$A40)</f>
        <v>1</v>
      </c>
      <c r="D40" s="36" t="str">
        <f ca="1" t="array" ref="D40">INDEX(Data_DBD!$F:$F,$A40)</f>
        <v>Tinggi</v>
      </c>
      <c r="H40" s="37">
        <v>99</v>
      </c>
      <c r="I40" s="37">
        <v>2</v>
      </c>
      <c r="J40" s="37">
        <v>1</v>
      </c>
      <c r="K40" s="37" t="s">
        <v>105</v>
      </c>
    </row>
    <row r="41" spans="1:11">
      <c r="A41" s="36">
        <f ca="1" t="shared" si="0"/>
        <v>29</v>
      </c>
      <c r="B41" s="36" t="str">
        <f ca="1" t="array" ref="B41">INDEX(Data_DBD!$C:$C,$A41)</f>
        <v>2 Hari</v>
      </c>
      <c r="C41" s="36">
        <f ca="1" t="array" ref="C41">INDEX(Data_DBD!$E:$E,$A41)</f>
        <v>1</v>
      </c>
      <c r="D41" s="36" t="str">
        <f ca="1" t="array" ref="D41">INDEX(Data_DBD!$F:$F,$A41)</f>
        <v>Sedang</v>
      </c>
      <c r="H41" s="37">
        <v>155</v>
      </c>
      <c r="I41" s="37">
        <v>5</v>
      </c>
      <c r="J41" s="37">
        <v>1</v>
      </c>
      <c r="K41" s="37" t="s">
        <v>105</v>
      </c>
    </row>
    <row r="42" spans="1:11">
      <c r="A42" s="36">
        <f ca="1" t="shared" si="0"/>
        <v>21</v>
      </c>
      <c r="B42" s="36" t="str">
        <f ca="1" t="array" ref="B42">INDEX(Data_DBD!$C:$C,$A42)</f>
        <v>5 Hari</v>
      </c>
      <c r="C42" s="36">
        <f ca="1" t="array" ref="C42">INDEX(Data_DBD!$E:$E,$A42)</f>
        <v>1</v>
      </c>
      <c r="D42" s="36" t="str">
        <f ca="1" t="array" ref="D42">INDEX(Data_DBD!$F:$F,$A42)</f>
        <v>Sedang</v>
      </c>
      <c r="H42" s="37">
        <v>27</v>
      </c>
      <c r="I42" s="37">
        <v>4</v>
      </c>
      <c r="J42" s="37">
        <v>1</v>
      </c>
      <c r="K42" s="37" t="s">
        <v>8</v>
      </c>
    </row>
    <row r="43" spans="1:11">
      <c r="A43" s="36">
        <f ca="1" t="shared" si="0"/>
        <v>42</v>
      </c>
      <c r="B43" s="36" t="str">
        <f ca="1" t="array" ref="B43">INDEX(Data_DBD!$C:$C,$A43)</f>
        <v>5 Hari</v>
      </c>
      <c r="C43" s="36">
        <f ca="1" t="array" ref="C43">INDEX(Data_DBD!$E:$E,$A43)</f>
        <v>1</v>
      </c>
      <c r="D43" s="36" t="str">
        <f ca="1" t="array" ref="D43">INDEX(Data_DBD!$F:$F,$A43)</f>
        <v>Sedang</v>
      </c>
      <c r="H43" s="37">
        <v>105</v>
      </c>
      <c r="I43" s="37">
        <v>3</v>
      </c>
      <c r="J43" s="37">
        <v>1</v>
      </c>
      <c r="K43" s="37" t="s">
        <v>105</v>
      </c>
    </row>
    <row r="44" spans="1:11">
      <c r="A44" s="36">
        <f ca="1" t="shared" si="0"/>
        <v>34</v>
      </c>
      <c r="B44" s="36" t="str">
        <f ca="1" t="array" ref="B44">INDEX(Data_DBD!$C:$C,$A44)</f>
        <v>3 Hari</v>
      </c>
      <c r="C44" s="36">
        <f ca="1" t="array" ref="C44">INDEX(Data_DBD!$E:$E,$A44)</f>
        <v>0</v>
      </c>
      <c r="D44" s="36" t="str">
        <f ca="1" t="array" ref="D44">INDEX(Data_DBD!$F:$F,$A44)</f>
        <v>Sedang</v>
      </c>
      <c r="H44" s="37">
        <v>106</v>
      </c>
      <c r="I44" s="37">
        <v>3</v>
      </c>
      <c r="J44" s="37">
        <v>1</v>
      </c>
      <c r="K44" s="37" t="s">
        <v>105</v>
      </c>
    </row>
    <row r="45" spans="1:11">
      <c r="A45" s="36">
        <f ca="1" t="shared" si="0"/>
        <v>137</v>
      </c>
      <c r="B45" s="36" t="str">
        <f ca="1" t="array" ref="B45">INDEX(Data_DBD!$C:$C,$A45)</f>
        <v>1 Hari</v>
      </c>
      <c r="C45" s="36">
        <f ca="1" t="array" ref="C45">INDEX(Data_DBD!$E:$E,$A45)</f>
        <v>1</v>
      </c>
      <c r="D45" s="36" t="str">
        <f ca="1" t="array" ref="D45">INDEX(Data_DBD!$F:$F,$A45)</f>
        <v>Tinggi</v>
      </c>
      <c r="H45" s="37">
        <v>127</v>
      </c>
      <c r="I45" s="37">
        <v>2</v>
      </c>
      <c r="J45" s="37">
        <v>0</v>
      </c>
      <c r="K45" s="37" t="s">
        <v>105</v>
      </c>
    </row>
    <row r="46" spans="1:11">
      <c r="A46" s="36">
        <f ca="1" t="shared" si="0"/>
        <v>4</v>
      </c>
      <c r="B46" s="36" t="str">
        <f ca="1" t="array" ref="B46">INDEX(Data_DBD!$C:$C,$A46)</f>
        <v>5 Hari</v>
      </c>
      <c r="C46" s="36">
        <f ca="1" t="array" ref="C46">INDEX(Data_DBD!$E:$E,$A46)</f>
        <v>0</v>
      </c>
      <c r="D46" s="36" t="str">
        <f ca="1" t="array" ref="D46">INDEX(Data_DBD!$F:$F,$A46)</f>
        <v>Sedang</v>
      </c>
      <c r="H46" s="37">
        <v>31</v>
      </c>
      <c r="I46" s="37">
        <v>4</v>
      </c>
      <c r="J46" s="37">
        <v>1</v>
      </c>
      <c r="K46" s="37" t="s">
        <v>8</v>
      </c>
    </row>
    <row r="47" spans="1:11">
      <c r="A47" s="36">
        <f ca="1" t="shared" si="0"/>
        <v>159</v>
      </c>
      <c r="B47" s="36" t="str">
        <f ca="1" t="array" ref="B47">INDEX(Data_DBD!$C:$C,$A47)</f>
        <v>2 Hari</v>
      </c>
      <c r="C47" s="36">
        <f ca="1" t="array" ref="C47">INDEX(Data_DBD!$E:$E,$A47)</f>
        <v>0</v>
      </c>
      <c r="D47" s="36" t="str">
        <f ca="1" t="array" ref="D47">INDEX(Data_DBD!$F:$F,$A47)</f>
        <v>Tinggi</v>
      </c>
      <c r="H47" s="37">
        <v>2</v>
      </c>
      <c r="I47" s="37">
        <v>3</v>
      </c>
      <c r="J47" s="37">
        <v>0</v>
      </c>
      <c r="K47" s="37" t="s">
        <v>8</v>
      </c>
    </row>
    <row r="48" spans="1:11">
      <c r="A48" s="36">
        <f ca="1" t="shared" si="0"/>
        <v>34</v>
      </c>
      <c r="B48" s="36" t="str">
        <f ca="1" t="array" ref="B48">INDEX(Data_DBD!$C:$C,$A48)</f>
        <v>3 Hari</v>
      </c>
      <c r="C48" s="36">
        <f ca="1" t="array" ref="C48">INDEX(Data_DBD!$E:$E,$A48)</f>
        <v>0</v>
      </c>
      <c r="D48" s="36" t="str">
        <f ca="1" t="array" ref="D48">INDEX(Data_DBD!$F:$F,$A48)</f>
        <v>Sedang</v>
      </c>
      <c r="H48" s="37">
        <v>117</v>
      </c>
      <c r="I48" s="37">
        <v>4</v>
      </c>
      <c r="J48" s="37">
        <v>1</v>
      </c>
      <c r="K48" s="37" t="s">
        <v>105</v>
      </c>
    </row>
    <row r="49" spans="1:11">
      <c r="A49" s="36">
        <f ca="1" t="shared" si="0"/>
        <v>50</v>
      </c>
      <c r="B49" s="36" t="str">
        <f ca="1" t="array" ref="B49">INDEX(Data_DBD!$C:$C,$A49)</f>
        <v>5 Hari</v>
      </c>
      <c r="C49" s="36">
        <f ca="1" t="array" ref="C49">INDEX(Data_DBD!$E:$E,$A49)</f>
        <v>0</v>
      </c>
      <c r="D49" s="36" t="str">
        <f ca="1" t="array" ref="D49">INDEX(Data_DBD!$F:$F,$A49)</f>
        <v>Sedang</v>
      </c>
      <c r="H49" s="37">
        <v>148</v>
      </c>
      <c r="I49" s="37">
        <v>3</v>
      </c>
      <c r="J49" s="37">
        <v>1</v>
      </c>
      <c r="K49" s="37" t="s">
        <v>105</v>
      </c>
    </row>
    <row r="50" spans="1:11">
      <c r="A50" s="36">
        <f ca="1" t="shared" si="0"/>
        <v>18</v>
      </c>
      <c r="B50" s="36" t="str">
        <f ca="1" t="array" ref="B50">INDEX(Data_DBD!$C:$C,$A50)</f>
        <v>4 Hari</v>
      </c>
      <c r="C50" s="36">
        <f ca="1" t="array" ref="C50">INDEX(Data_DBD!$E:$E,$A50)</f>
        <v>1</v>
      </c>
      <c r="D50" s="36" t="str">
        <f ca="1" t="array" ref="D50">INDEX(Data_DBD!$F:$F,$A50)</f>
        <v>Rendah</v>
      </c>
      <c r="H50" s="37">
        <v>90</v>
      </c>
      <c r="I50" s="37">
        <v>3</v>
      </c>
      <c r="J50" s="37">
        <v>0</v>
      </c>
      <c r="K50" s="37" t="s">
        <v>105</v>
      </c>
    </row>
    <row r="51" spans="1:11">
      <c r="A51" s="36">
        <f ca="1" t="shared" si="0"/>
        <v>116</v>
      </c>
      <c r="B51" s="36" t="str">
        <f ca="1" t="array" ref="B51">INDEX(Data_DBD!$C:$C,$A51)</f>
        <v>4 Hari</v>
      </c>
      <c r="C51" s="36">
        <f ca="1" t="array" ref="C51">INDEX(Data_DBD!$E:$E,$A51)</f>
        <v>1</v>
      </c>
      <c r="D51" s="36" t="str">
        <f ca="1" t="array" ref="D51">INDEX(Data_DBD!$F:$F,$A51)</f>
        <v>Tinggi</v>
      </c>
      <c r="H51" s="37">
        <v>69</v>
      </c>
      <c r="I51" s="37">
        <v>4</v>
      </c>
      <c r="J51" s="37">
        <v>1</v>
      </c>
      <c r="K51" s="37" t="s">
        <v>8</v>
      </c>
    </row>
    <row r="52" spans="1:11">
      <c r="A52" s="36">
        <f ca="1" t="shared" si="0"/>
        <v>159</v>
      </c>
      <c r="B52" s="36" t="str">
        <f ca="1" t="array" ref="B52">INDEX(Data_DBD!$C:$C,$A52)</f>
        <v>2 Hari</v>
      </c>
      <c r="C52" s="36">
        <f ca="1" t="array" ref="C52">INDEX(Data_DBD!$E:$E,$A52)</f>
        <v>0</v>
      </c>
      <c r="D52" s="36" t="str">
        <f ca="1" t="array" ref="D52">INDEX(Data_DBD!$F:$F,$A52)</f>
        <v>Tinggi</v>
      </c>
      <c r="H52" s="37">
        <v>15</v>
      </c>
      <c r="I52" s="37">
        <v>2</v>
      </c>
      <c r="J52" s="37">
        <v>0</v>
      </c>
      <c r="K52" s="37" t="s">
        <v>26</v>
      </c>
    </row>
    <row r="53" spans="1:11">
      <c r="A53" s="36">
        <f ca="1" t="shared" si="0"/>
        <v>100</v>
      </c>
      <c r="B53" s="36" t="str">
        <f ca="1" t="array" ref="B53">INDEX(Data_DBD!$C:$C,$A53)</f>
        <v>6 Hari</v>
      </c>
      <c r="C53" s="36">
        <f ca="1" t="array" ref="C53">INDEX(Data_DBD!$E:$E,$A53)</f>
        <v>0</v>
      </c>
      <c r="D53" s="36" t="str">
        <f ca="1" t="array" ref="D53">INDEX(Data_DBD!$F:$F,$A53)</f>
        <v>Tinggi</v>
      </c>
      <c r="H53" s="37">
        <v>145</v>
      </c>
      <c r="I53" s="37">
        <v>4</v>
      </c>
      <c r="J53" s="37">
        <v>1</v>
      </c>
      <c r="K53" s="37" t="s">
        <v>105</v>
      </c>
    </row>
    <row r="54" spans="1:11">
      <c r="A54" s="36">
        <f ca="1" t="shared" si="0"/>
        <v>101</v>
      </c>
      <c r="B54" s="36" t="str">
        <f ca="1" t="array" ref="B54">INDEX(Data_DBD!$C:$C,$A54)</f>
        <v>5 Hari</v>
      </c>
      <c r="C54" s="36">
        <f ca="1" t="array" ref="C54">INDEX(Data_DBD!$E:$E,$A54)</f>
        <v>0</v>
      </c>
      <c r="D54" s="36" t="str">
        <f ca="1" t="array" ref="D54">INDEX(Data_DBD!$F:$F,$A54)</f>
        <v>Tinggi</v>
      </c>
      <c r="H54" s="37">
        <v>49</v>
      </c>
      <c r="I54" s="37">
        <v>5</v>
      </c>
      <c r="J54" s="37">
        <v>0</v>
      </c>
      <c r="K54" s="37" t="s">
        <v>8</v>
      </c>
    </row>
    <row r="55" spans="1:11">
      <c r="A55" s="36">
        <f ca="1" t="shared" si="0"/>
        <v>40</v>
      </c>
      <c r="B55" s="36" t="str">
        <f ca="1" t="array" ref="B55">INDEX(Data_DBD!$C:$C,$A55)</f>
        <v>3 Hari</v>
      </c>
      <c r="C55" s="36">
        <f ca="1" t="array" ref="C55">INDEX(Data_DBD!$E:$E,$A55)</f>
        <v>1</v>
      </c>
      <c r="D55" s="36" t="str">
        <f ca="1" t="array" ref="D55">INDEX(Data_DBD!$F:$F,$A55)</f>
        <v>Sedang</v>
      </c>
      <c r="H55" s="37">
        <v>35</v>
      </c>
      <c r="I55" s="37">
        <v>3</v>
      </c>
      <c r="J55" s="37">
        <v>1</v>
      </c>
      <c r="K55" s="37" t="s">
        <v>26</v>
      </c>
    </row>
    <row r="56" spans="1:11">
      <c r="A56" s="36">
        <f ca="1" t="shared" si="0"/>
        <v>89</v>
      </c>
      <c r="B56" s="36" t="str">
        <f ca="1" t="array" ref="B56">INDEX(Data_DBD!$C:$C,$A56)</f>
        <v>4 Hari</v>
      </c>
      <c r="C56" s="36">
        <f ca="1" t="array" ref="C56">INDEX(Data_DBD!$E:$E,$A56)</f>
        <v>0</v>
      </c>
      <c r="D56" s="36" t="str">
        <f ca="1" t="array" ref="D56">INDEX(Data_DBD!$F:$F,$A56)</f>
        <v>Sedang</v>
      </c>
      <c r="H56" s="37">
        <v>119</v>
      </c>
      <c r="I56" s="37">
        <v>7</v>
      </c>
      <c r="J56" s="37">
        <v>0</v>
      </c>
      <c r="K56" s="37" t="s">
        <v>105</v>
      </c>
    </row>
    <row r="57" spans="1:11">
      <c r="A57" s="36">
        <f ca="1" t="shared" si="0"/>
        <v>115</v>
      </c>
      <c r="B57" s="36" t="str">
        <f ca="1" t="array" ref="B57">INDEX(Data_DBD!$C:$C,$A57)</f>
        <v>3 Hari</v>
      </c>
      <c r="C57" s="36">
        <f ca="1" t="array" ref="C57">INDEX(Data_DBD!$E:$E,$A57)</f>
        <v>1</v>
      </c>
      <c r="D57" s="36" t="str">
        <f ca="1" t="array" ref="D57">INDEX(Data_DBD!$F:$F,$A57)</f>
        <v>Tinggi</v>
      </c>
      <c r="H57" s="37">
        <v>161</v>
      </c>
      <c r="I57" s="37">
        <v>3</v>
      </c>
      <c r="J57" s="37">
        <v>1</v>
      </c>
      <c r="K57" s="37" t="s">
        <v>105</v>
      </c>
    </row>
    <row r="58" spans="1:11">
      <c r="A58" s="36">
        <f ca="1" t="shared" si="0"/>
        <v>156</v>
      </c>
      <c r="B58" s="36" t="str">
        <f ca="1" t="array" ref="B58">INDEX(Data_DBD!$C:$C,$A58)</f>
        <v>2 Hari</v>
      </c>
      <c r="C58" s="36">
        <f ca="1" t="array" ref="C58">INDEX(Data_DBD!$E:$E,$A58)</f>
        <v>0</v>
      </c>
      <c r="D58" s="36" t="str">
        <f ca="1" t="array" ref="D58">INDEX(Data_DBD!$F:$F,$A58)</f>
        <v>Tinggi</v>
      </c>
      <c r="H58" s="37">
        <v>51</v>
      </c>
      <c r="I58" s="37">
        <v>4</v>
      </c>
      <c r="J58" s="37">
        <v>0</v>
      </c>
      <c r="K58" s="37" t="s">
        <v>8</v>
      </c>
    </row>
    <row r="59" spans="1:11">
      <c r="A59" s="36">
        <f ca="1" t="shared" si="0"/>
        <v>71</v>
      </c>
      <c r="B59" s="36" t="str">
        <f ca="1" t="array" ref="B59">INDEX(Data_DBD!$C:$C,$A59)</f>
        <v>3 Hari</v>
      </c>
      <c r="C59" s="36">
        <f ca="1" t="array" ref="C59">INDEX(Data_DBD!$E:$E,$A59)</f>
        <v>0</v>
      </c>
      <c r="D59" s="36" t="str">
        <f ca="1" t="array" ref="D59">INDEX(Data_DBD!$F:$F,$A59)</f>
        <v>Sedang</v>
      </c>
      <c r="H59" s="37">
        <v>135</v>
      </c>
      <c r="I59" s="37">
        <v>2</v>
      </c>
      <c r="J59" s="37">
        <v>0</v>
      </c>
      <c r="K59" s="37" t="s">
        <v>105</v>
      </c>
    </row>
    <row r="60" spans="1:11">
      <c r="A60" s="36">
        <f ca="1" t="shared" si="0"/>
        <v>146</v>
      </c>
      <c r="B60" s="36" t="str">
        <f ca="1" t="array" ref="B60">INDEX(Data_DBD!$C:$C,$A60)</f>
        <v>2 Hari</v>
      </c>
      <c r="C60" s="36">
        <f ca="1" t="array" ref="C60">INDEX(Data_DBD!$E:$E,$A60)</f>
        <v>1</v>
      </c>
      <c r="D60" s="36" t="str">
        <f ca="1" t="array" ref="D60">INDEX(Data_DBD!$F:$F,$A60)</f>
        <v>Tinggi</v>
      </c>
      <c r="H60" s="37">
        <v>150</v>
      </c>
      <c r="I60" s="37">
        <v>5</v>
      </c>
      <c r="J60" s="37">
        <v>1</v>
      </c>
      <c r="K60" s="37" t="s">
        <v>105</v>
      </c>
    </row>
    <row r="61" spans="1:11">
      <c r="A61" s="36">
        <f ca="1" t="shared" si="0"/>
        <v>106</v>
      </c>
      <c r="B61" s="36" t="str">
        <f ca="1" t="array" ref="B61">INDEX(Data_DBD!$C:$C,$A61)</f>
        <v>3 Hari</v>
      </c>
      <c r="C61" s="36">
        <f ca="1" t="array" ref="C61">INDEX(Data_DBD!$E:$E,$A61)</f>
        <v>1</v>
      </c>
      <c r="D61" s="36" t="str">
        <f ca="1" t="array" ref="D61">INDEX(Data_DBD!$F:$F,$A61)</f>
        <v>Tinggi</v>
      </c>
      <c r="H61" s="37">
        <v>75</v>
      </c>
      <c r="I61" s="37">
        <v>2</v>
      </c>
      <c r="J61" s="37">
        <v>1</v>
      </c>
      <c r="K61" s="37" t="s">
        <v>8</v>
      </c>
    </row>
    <row r="62" spans="1:11">
      <c r="A62" s="36">
        <f ca="1" t="shared" si="0"/>
        <v>19</v>
      </c>
      <c r="B62" s="36" t="str">
        <f ca="1" t="array" ref="B62">INDEX(Data_DBD!$C:$C,$A62)</f>
        <v>4 Hari</v>
      </c>
      <c r="C62" s="36">
        <f ca="1" t="array" ref="C62">INDEX(Data_DBD!$E:$E,$A62)</f>
        <v>0</v>
      </c>
      <c r="D62" s="36" t="str">
        <f ca="1" t="array" ref="D62">INDEX(Data_DBD!$F:$F,$A62)</f>
        <v>Rendah</v>
      </c>
      <c r="H62" s="37">
        <v>161</v>
      </c>
      <c r="I62" s="37">
        <v>3</v>
      </c>
      <c r="J62" s="37">
        <v>1</v>
      </c>
      <c r="K62" s="37" t="s">
        <v>105</v>
      </c>
    </row>
    <row r="63" spans="1:11">
      <c r="A63" s="36">
        <f ca="1" t="shared" si="0"/>
        <v>89</v>
      </c>
      <c r="B63" s="36" t="str">
        <f ca="1" t="array" ref="B63">INDEX(Data_DBD!$C:$C,$A63)</f>
        <v>4 Hari</v>
      </c>
      <c r="C63" s="36">
        <f ca="1" t="array" ref="C63">INDEX(Data_DBD!$E:$E,$A63)</f>
        <v>0</v>
      </c>
      <c r="D63" s="36" t="str">
        <f ca="1" t="array" ref="D63">INDEX(Data_DBD!$F:$F,$A63)</f>
        <v>Sedang</v>
      </c>
      <c r="H63" s="37">
        <v>134</v>
      </c>
      <c r="I63" s="37">
        <v>2</v>
      </c>
      <c r="J63" s="37">
        <v>1</v>
      </c>
      <c r="K63" s="37" t="s">
        <v>105</v>
      </c>
    </row>
    <row r="64" spans="1:11">
      <c r="A64" s="36">
        <f ca="1" t="shared" si="0"/>
        <v>80</v>
      </c>
      <c r="B64" s="36" t="str">
        <f ca="1" t="array" ref="B64">INDEX(Data_DBD!$C:$C,$A64)</f>
        <v>3 Hari</v>
      </c>
      <c r="C64" s="36">
        <f ca="1" t="array" ref="C64">INDEX(Data_DBD!$E:$E,$A64)</f>
        <v>1</v>
      </c>
      <c r="D64" s="36" t="str">
        <f ca="1" t="array" ref="D64">INDEX(Data_DBD!$F:$F,$A64)</f>
        <v>Sedang</v>
      </c>
      <c r="H64" s="37">
        <v>143</v>
      </c>
      <c r="I64" s="37">
        <v>4</v>
      </c>
      <c r="J64" s="37">
        <v>1</v>
      </c>
      <c r="K64" s="37" t="s">
        <v>105</v>
      </c>
    </row>
    <row r="65" spans="1:11">
      <c r="A65" s="36">
        <f ca="1" t="shared" si="0"/>
        <v>106</v>
      </c>
      <c r="B65" s="36" t="str">
        <f ca="1" t="array" ref="B65">INDEX(Data_DBD!$C:$C,$A65)</f>
        <v>3 Hari</v>
      </c>
      <c r="C65" s="36">
        <f ca="1" t="array" ref="C65">INDEX(Data_DBD!$E:$E,$A65)</f>
        <v>1</v>
      </c>
      <c r="D65" s="36" t="str">
        <f ca="1" t="array" ref="D65">INDEX(Data_DBD!$F:$F,$A65)</f>
        <v>Tinggi</v>
      </c>
      <c r="H65" s="37">
        <v>67</v>
      </c>
      <c r="I65" s="37">
        <v>3</v>
      </c>
      <c r="J65" s="37">
        <v>1</v>
      </c>
      <c r="K65" s="37" t="s">
        <v>8</v>
      </c>
    </row>
    <row r="66" spans="1:11">
      <c r="A66" s="36">
        <f ca="1" t="shared" si="0"/>
        <v>151</v>
      </c>
      <c r="B66" s="36" t="str">
        <f ca="1" t="array" ref="B66">INDEX(Data_DBD!$C:$C,$A66)</f>
        <v>3 Hari</v>
      </c>
      <c r="C66" s="36">
        <f ca="1" t="array" ref="C66">INDEX(Data_DBD!$E:$E,$A66)</f>
        <v>0</v>
      </c>
      <c r="D66" s="36" t="str">
        <f ca="1" t="array" ref="D66">INDEX(Data_DBD!$F:$F,$A66)</f>
        <v>Tinggi</v>
      </c>
      <c r="H66" s="37">
        <v>68</v>
      </c>
      <c r="I66" s="37">
        <v>5</v>
      </c>
      <c r="J66" s="37">
        <v>0</v>
      </c>
      <c r="K66" s="37" t="s">
        <v>8</v>
      </c>
    </row>
    <row r="67" spans="1:11">
      <c r="A67" s="36">
        <f ca="1" t="shared" ref="A67:A130" si="1">RANDBETWEEN(2,164)</f>
        <v>78</v>
      </c>
      <c r="B67" s="36" t="str">
        <f ca="1" t="array" ref="B67">INDEX(Data_DBD!$C:$C,$A67)</f>
        <v>3 Hari</v>
      </c>
      <c r="C67" s="36">
        <f ca="1" t="array" ref="C67">INDEX(Data_DBD!$E:$E,$A67)</f>
        <v>0</v>
      </c>
      <c r="D67" s="36" t="str">
        <f ca="1" t="array" ref="D67">INDEX(Data_DBD!$F:$F,$A67)</f>
        <v>Sedang</v>
      </c>
      <c r="H67" s="37">
        <v>76</v>
      </c>
      <c r="I67" s="37">
        <v>2</v>
      </c>
      <c r="J67" s="37">
        <v>0</v>
      </c>
      <c r="K67" s="37" t="s">
        <v>8</v>
      </c>
    </row>
    <row r="68" spans="1:11">
      <c r="A68" s="36">
        <f ca="1" t="shared" si="1"/>
        <v>98</v>
      </c>
      <c r="B68" s="36" t="str">
        <f ca="1" t="array" ref="B68">INDEX(Data_DBD!$C:$C,$A68)</f>
        <v>2 Hari</v>
      </c>
      <c r="C68" s="36">
        <f ca="1" t="array" ref="C68">INDEX(Data_DBD!$E:$E,$A68)</f>
        <v>1</v>
      </c>
      <c r="D68" s="36" t="str">
        <f ca="1" t="array" ref="D68">INDEX(Data_DBD!$F:$F,$A68)</f>
        <v>Tinggi</v>
      </c>
      <c r="H68" s="37">
        <v>95</v>
      </c>
      <c r="I68" s="37">
        <v>3</v>
      </c>
      <c r="J68" s="37">
        <v>1</v>
      </c>
      <c r="K68" s="37" t="s">
        <v>105</v>
      </c>
    </row>
    <row r="69" spans="1:11">
      <c r="A69" s="36">
        <f ca="1" t="shared" si="1"/>
        <v>141</v>
      </c>
      <c r="B69" s="36" t="str">
        <f ca="1" t="array" ref="B69">INDEX(Data_DBD!$C:$C,$A69)</f>
        <v>2 Hari</v>
      </c>
      <c r="C69" s="36">
        <f ca="1" t="array" ref="C69">INDEX(Data_DBD!$E:$E,$A69)</f>
        <v>0</v>
      </c>
      <c r="D69" s="36" t="str">
        <f ca="1" t="array" ref="D69">INDEX(Data_DBD!$F:$F,$A69)</f>
        <v>Tinggi</v>
      </c>
      <c r="H69" s="37">
        <v>37</v>
      </c>
      <c r="I69" s="37">
        <v>4</v>
      </c>
      <c r="J69" s="37">
        <v>1</v>
      </c>
      <c r="K69" s="37" t="s">
        <v>26</v>
      </c>
    </row>
    <row r="70" spans="1:11">
      <c r="A70" s="36">
        <f ca="1" t="shared" si="1"/>
        <v>50</v>
      </c>
      <c r="B70" s="36" t="str">
        <f ca="1" t="array" ref="B70">INDEX(Data_DBD!$C:$C,$A70)</f>
        <v>5 Hari</v>
      </c>
      <c r="C70" s="36">
        <f ca="1" t="array" ref="C70">INDEX(Data_DBD!$E:$E,$A70)</f>
        <v>0</v>
      </c>
      <c r="D70" s="36" t="str">
        <f ca="1" t="array" ref="D70">INDEX(Data_DBD!$F:$F,$A70)</f>
        <v>Sedang</v>
      </c>
      <c r="H70" s="37">
        <v>80</v>
      </c>
      <c r="I70" s="37">
        <v>3</v>
      </c>
      <c r="J70" s="37">
        <v>1</v>
      </c>
      <c r="K70" s="37" t="s">
        <v>8</v>
      </c>
    </row>
    <row r="71" spans="1:11">
      <c r="A71" s="36">
        <f ca="1" t="shared" si="1"/>
        <v>32</v>
      </c>
      <c r="B71" s="36" t="str">
        <f ca="1" t="array" ref="B71">INDEX(Data_DBD!$C:$C,$A71)</f>
        <v>4 Hari</v>
      </c>
      <c r="C71" s="36">
        <f ca="1" t="array" ref="C71">INDEX(Data_DBD!$E:$E,$A71)</f>
        <v>0</v>
      </c>
      <c r="D71" s="36" t="str">
        <f ca="1" t="array" ref="D71">INDEX(Data_DBD!$F:$F,$A71)</f>
        <v>Sedang</v>
      </c>
      <c r="H71" s="37">
        <v>84</v>
      </c>
      <c r="I71" s="37">
        <v>4</v>
      </c>
      <c r="J71" s="37">
        <v>1</v>
      </c>
      <c r="K71" s="37" t="s">
        <v>8</v>
      </c>
    </row>
    <row r="72" spans="1:11">
      <c r="A72" s="36">
        <f ca="1" t="shared" si="1"/>
        <v>159</v>
      </c>
      <c r="B72" s="36" t="str">
        <f ca="1" t="array" ref="B72">INDEX(Data_DBD!$C:$C,$A72)</f>
        <v>2 Hari</v>
      </c>
      <c r="C72" s="36">
        <f ca="1" t="array" ref="C72">INDEX(Data_DBD!$E:$E,$A72)</f>
        <v>0</v>
      </c>
      <c r="D72" s="36" t="str">
        <f ca="1" t="array" ref="D72">INDEX(Data_DBD!$F:$F,$A72)</f>
        <v>Tinggi</v>
      </c>
      <c r="H72" s="37">
        <v>100</v>
      </c>
      <c r="I72" s="37">
        <v>6</v>
      </c>
      <c r="J72" s="37">
        <v>0</v>
      </c>
      <c r="K72" s="37" t="s">
        <v>105</v>
      </c>
    </row>
    <row r="73" spans="1:11">
      <c r="A73" s="36">
        <f ca="1" t="shared" si="1"/>
        <v>4</v>
      </c>
      <c r="B73" s="36" t="str">
        <f ca="1" t="array" ref="B73">INDEX(Data_DBD!$C:$C,$A73)</f>
        <v>5 Hari</v>
      </c>
      <c r="C73" s="36">
        <f ca="1" t="array" ref="C73">INDEX(Data_DBD!$E:$E,$A73)</f>
        <v>0</v>
      </c>
      <c r="D73" s="36" t="str">
        <f ca="1" t="array" ref="D73">INDEX(Data_DBD!$F:$F,$A73)</f>
        <v>Sedang</v>
      </c>
      <c r="H73" s="37">
        <v>146</v>
      </c>
      <c r="I73" s="37">
        <v>2</v>
      </c>
      <c r="J73" s="37">
        <v>1</v>
      </c>
      <c r="K73" s="37" t="s">
        <v>105</v>
      </c>
    </row>
    <row r="74" spans="1:11">
      <c r="A74" s="36">
        <f ca="1" t="shared" si="1"/>
        <v>103</v>
      </c>
      <c r="B74" s="36" t="str">
        <f ca="1" t="array" ref="B74">INDEX(Data_DBD!$C:$C,$A74)</f>
        <v>5 Hari</v>
      </c>
      <c r="C74" s="36">
        <f ca="1" t="array" ref="C74">INDEX(Data_DBD!$E:$E,$A74)</f>
        <v>0</v>
      </c>
      <c r="D74" s="36" t="str">
        <f ca="1" t="array" ref="D74">INDEX(Data_DBD!$F:$F,$A74)</f>
        <v>Tinggi</v>
      </c>
      <c r="H74" s="37">
        <v>143</v>
      </c>
      <c r="I74" s="37">
        <v>4</v>
      </c>
      <c r="J74" s="37">
        <v>1</v>
      </c>
      <c r="K74" s="37" t="s">
        <v>105</v>
      </c>
    </row>
    <row r="75" spans="1:11">
      <c r="A75" s="36">
        <f ca="1" t="shared" si="1"/>
        <v>48</v>
      </c>
      <c r="B75" s="36" t="str">
        <f ca="1" t="array" ref="B75">INDEX(Data_DBD!$C:$C,$A75)</f>
        <v>5 Hari</v>
      </c>
      <c r="C75" s="36">
        <f ca="1" t="array" ref="C75">INDEX(Data_DBD!$E:$E,$A75)</f>
        <v>1</v>
      </c>
      <c r="D75" s="36" t="str">
        <f ca="1" t="array" ref="D75">INDEX(Data_DBD!$F:$F,$A75)</f>
        <v>Sedang</v>
      </c>
      <c r="H75" s="37">
        <v>89</v>
      </c>
      <c r="I75" s="37">
        <v>4</v>
      </c>
      <c r="J75" s="37">
        <v>0</v>
      </c>
      <c r="K75" s="37" t="s">
        <v>8</v>
      </c>
    </row>
    <row r="76" spans="1:11">
      <c r="A76" s="36">
        <f ca="1" t="shared" si="1"/>
        <v>113</v>
      </c>
      <c r="B76" s="36" t="str">
        <f ca="1" t="array" ref="B76">INDEX(Data_DBD!$C:$C,$A76)</f>
        <v>1 Hari</v>
      </c>
      <c r="C76" s="36">
        <f ca="1" t="array" ref="C76">INDEX(Data_DBD!$E:$E,$A76)</f>
        <v>1</v>
      </c>
      <c r="D76" s="36" t="str">
        <f ca="1" t="array" ref="D76">INDEX(Data_DBD!$F:$F,$A76)</f>
        <v>Tinggi</v>
      </c>
      <c r="H76" s="37">
        <v>59</v>
      </c>
      <c r="I76" s="37">
        <v>4</v>
      </c>
      <c r="J76" s="37">
        <v>0</v>
      </c>
      <c r="K76" s="37" t="s">
        <v>8</v>
      </c>
    </row>
    <row r="77" spans="1:11">
      <c r="A77" s="36">
        <f ca="1" t="shared" si="1"/>
        <v>155</v>
      </c>
      <c r="B77" s="36" t="str">
        <f ca="1" t="array" ref="B77">INDEX(Data_DBD!$C:$C,$A77)</f>
        <v>5 Hari</v>
      </c>
      <c r="C77" s="36">
        <f ca="1" t="array" ref="C77">INDEX(Data_DBD!$E:$E,$A77)</f>
        <v>1</v>
      </c>
      <c r="D77" s="36" t="str">
        <f ca="1" t="array" ref="D77">INDEX(Data_DBD!$F:$F,$A77)</f>
        <v>Tinggi</v>
      </c>
      <c r="H77" s="37">
        <v>144</v>
      </c>
      <c r="I77" s="37">
        <v>4</v>
      </c>
      <c r="J77" s="37">
        <v>1</v>
      </c>
      <c r="K77" s="37" t="s">
        <v>105</v>
      </c>
    </row>
    <row r="78" spans="1:11">
      <c r="A78" s="36">
        <f ca="1" t="shared" si="1"/>
        <v>5</v>
      </c>
      <c r="B78" s="36" t="str">
        <f ca="1" t="array" ref="B78">INDEX(Data_DBD!$C:$C,$A78)</f>
        <v>2 Hari</v>
      </c>
      <c r="C78" s="36">
        <f ca="1" t="array" ref="C78">INDEX(Data_DBD!$E:$E,$A78)</f>
        <v>1</v>
      </c>
      <c r="D78" s="36" t="str">
        <f ca="1" t="array" ref="D78">INDEX(Data_DBD!$F:$F,$A78)</f>
        <v>Sedang</v>
      </c>
      <c r="H78" s="37">
        <v>110</v>
      </c>
      <c r="I78" s="37">
        <v>2</v>
      </c>
      <c r="J78" s="37">
        <v>1</v>
      </c>
      <c r="K78" s="37" t="s">
        <v>105</v>
      </c>
    </row>
    <row r="79" spans="1:11">
      <c r="A79" s="36">
        <f ca="1" t="shared" si="1"/>
        <v>33</v>
      </c>
      <c r="B79" s="36" t="str">
        <f ca="1" t="array" ref="B79">INDEX(Data_DBD!$C:$C,$A79)</f>
        <v>4 Hari</v>
      </c>
      <c r="C79" s="36">
        <f ca="1" t="array" ref="C79">INDEX(Data_DBD!$E:$E,$A79)</f>
        <v>1</v>
      </c>
      <c r="D79" s="36" t="str">
        <f ca="1" t="array" ref="D79">INDEX(Data_DBD!$F:$F,$A79)</f>
        <v>Sedang</v>
      </c>
      <c r="H79" s="37">
        <v>59</v>
      </c>
      <c r="I79" s="37">
        <v>4</v>
      </c>
      <c r="J79" s="37">
        <v>0</v>
      </c>
      <c r="K79" s="37" t="s">
        <v>8</v>
      </c>
    </row>
    <row r="80" spans="1:11">
      <c r="A80" s="36">
        <f ca="1" t="shared" si="1"/>
        <v>141</v>
      </c>
      <c r="B80" s="36" t="str">
        <f ca="1" t="array" ref="B80">INDEX(Data_DBD!$C:$C,$A80)</f>
        <v>2 Hari</v>
      </c>
      <c r="C80" s="36">
        <f ca="1" t="array" ref="C80">INDEX(Data_DBD!$E:$E,$A80)</f>
        <v>0</v>
      </c>
      <c r="D80" s="36" t="str">
        <f ca="1" t="array" ref="D80">INDEX(Data_DBD!$F:$F,$A80)</f>
        <v>Tinggi</v>
      </c>
      <c r="H80" s="37">
        <v>72</v>
      </c>
      <c r="I80" s="37">
        <v>5</v>
      </c>
      <c r="J80" s="37">
        <v>1</v>
      </c>
      <c r="K80" s="37" t="s">
        <v>8</v>
      </c>
    </row>
    <row r="81" spans="1:11">
      <c r="A81" s="36">
        <f ca="1" t="shared" si="1"/>
        <v>124</v>
      </c>
      <c r="B81" s="36" t="str">
        <f ca="1" t="array" ref="B81">INDEX(Data_DBD!$C:$C,$A81)</f>
        <v>3 Hari</v>
      </c>
      <c r="C81" s="36">
        <f ca="1" t="array" ref="C81">INDEX(Data_DBD!$E:$E,$A81)</f>
        <v>1</v>
      </c>
      <c r="D81" s="36" t="str">
        <f ca="1" t="array" ref="D81">INDEX(Data_DBD!$F:$F,$A81)</f>
        <v>Tinggi</v>
      </c>
      <c r="H81" s="37">
        <v>113</v>
      </c>
      <c r="I81" s="37">
        <v>1</v>
      </c>
      <c r="J81" s="37">
        <v>1</v>
      </c>
      <c r="K81" s="37" t="s">
        <v>105</v>
      </c>
    </row>
    <row r="82" spans="1:11">
      <c r="A82" s="36">
        <f ca="1" t="shared" si="1"/>
        <v>97</v>
      </c>
      <c r="B82" s="36" t="str">
        <f ca="1" t="array" ref="B82">INDEX(Data_DBD!$C:$C,$A82)</f>
        <v>2 Hari</v>
      </c>
      <c r="C82" s="36">
        <f ca="1" t="array" ref="C82">INDEX(Data_DBD!$E:$E,$A82)</f>
        <v>1</v>
      </c>
      <c r="D82" s="36" t="str">
        <f ca="1" t="array" ref="D82">INDEX(Data_DBD!$F:$F,$A82)</f>
        <v>Tinggi</v>
      </c>
      <c r="H82" s="37">
        <v>92</v>
      </c>
      <c r="I82" s="37">
        <v>7</v>
      </c>
      <c r="J82" s="37">
        <v>0</v>
      </c>
      <c r="K82" s="37" t="s">
        <v>105</v>
      </c>
    </row>
    <row r="83" spans="1:11">
      <c r="A83" s="36">
        <f ca="1" t="shared" si="1"/>
        <v>151</v>
      </c>
      <c r="B83" s="36" t="str">
        <f ca="1" t="array" ref="B83">INDEX(Data_DBD!$C:$C,$A83)</f>
        <v>3 Hari</v>
      </c>
      <c r="C83" s="36">
        <f ca="1" t="array" ref="C83">INDEX(Data_DBD!$E:$E,$A83)</f>
        <v>0</v>
      </c>
      <c r="D83" s="36" t="str">
        <f ca="1" t="array" ref="D83">INDEX(Data_DBD!$F:$F,$A83)</f>
        <v>Tinggi</v>
      </c>
      <c r="H83" s="37">
        <v>73</v>
      </c>
      <c r="I83" s="37">
        <v>3</v>
      </c>
      <c r="J83" s="37">
        <v>1</v>
      </c>
      <c r="K83" s="37" t="s">
        <v>8</v>
      </c>
    </row>
    <row r="84" spans="1:11">
      <c r="A84" s="36">
        <f ca="1" t="shared" si="1"/>
        <v>92</v>
      </c>
      <c r="B84" s="36" t="str">
        <f ca="1" t="array" ref="B84">INDEX(Data_DBD!$C:$C,$A84)</f>
        <v>7 Hari</v>
      </c>
      <c r="C84" s="36">
        <f ca="1" t="array" ref="C84">INDEX(Data_DBD!$E:$E,$A84)</f>
        <v>0</v>
      </c>
      <c r="D84" s="36" t="str">
        <f ca="1" t="array" ref="D84">INDEX(Data_DBD!$F:$F,$A84)</f>
        <v>Tinggi</v>
      </c>
      <c r="H84" s="37">
        <v>22</v>
      </c>
      <c r="I84" s="37">
        <v>3</v>
      </c>
      <c r="J84" s="37">
        <v>0</v>
      </c>
      <c r="K84" s="37" t="s">
        <v>8</v>
      </c>
    </row>
    <row r="85" spans="1:11">
      <c r="A85" s="36">
        <f ca="1" t="shared" si="1"/>
        <v>133</v>
      </c>
      <c r="B85" s="36" t="str">
        <f ca="1" t="array" ref="B85">INDEX(Data_DBD!$C:$C,$A85)</f>
        <v>4 Hari</v>
      </c>
      <c r="C85" s="36">
        <f ca="1" t="array" ref="C85">INDEX(Data_DBD!$E:$E,$A85)</f>
        <v>0</v>
      </c>
      <c r="D85" s="36" t="str">
        <f ca="1" t="array" ref="D85">INDEX(Data_DBD!$F:$F,$A85)</f>
        <v>Tinggi</v>
      </c>
      <c r="H85" s="37">
        <v>18</v>
      </c>
      <c r="I85" s="37">
        <v>4</v>
      </c>
      <c r="J85" s="37">
        <v>1</v>
      </c>
      <c r="K85" s="37" t="s">
        <v>26</v>
      </c>
    </row>
    <row r="86" spans="1:11">
      <c r="A86" s="36">
        <f ca="1" t="shared" si="1"/>
        <v>123</v>
      </c>
      <c r="B86" s="36" t="str">
        <f ca="1" t="array" ref="B86">INDEX(Data_DBD!$C:$C,$A86)</f>
        <v>4 Hari</v>
      </c>
      <c r="C86" s="36">
        <f ca="1" t="array" ref="C86">INDEX(Data_DBD!$E:$E,$A86)</f>
        <v>0</v>
      </c>
      <c r="D86" s="36" t="str">
        <f ca="1" t="array" ref="D86">INDEX(Data_DBD!$F:$F,$A86)</f>
        <v>Tinggi</v>
      </c>
      <c r="H86" s="37">
        <v>49</v>
      </c>
      <c r="I86" s="37">
        <v>5</v>
      </c>
      <c r="J86" s="37">
        <v>0</v>
      </c>
      <c r="K86" s="37" t="s">
        <v>8</v>
      </c>
    </row>
    <row r="87" spans="1:11">
      <c r="A87" s="36">
        <f ca="1" t="shared" si="1"/>
        <v>34</v>
      </c>
      <c r="B87" s="36" t="str">
        <f ca="1" t="array" ref="B87">INDEX(Data_DBD!$C:$C,$A87)</f>
        <v>3 Hari</v>
      </c>
      <c r="C87" s="36">
        <f ca="1" t="array" ref="C87">INDEX(Data_DBD!$E:$E,$A87)</f>
        <v>0</v>
      </c>
      <c r="D87" s="36" t="str">
        <f ca="1" t="array" ref="D87">INDEX(Data_DBD!$F:$F,$A87)</f>
        <v>Sedang</v>
      </c>
      <c r="H87" s="37">
        <v>104</v>
      </c>
      <c r="I87" s="37">
        <v>4</v>
      </c>
      <c r="J87" s="37">
        <v>1</v>
      </c>
      <c r="K87" s="37" t="s">
        <v>105</v>
      </c>
    </row>
    <row r="88" spans="1:11">
      <c r="A88" s="36">
        <f ca="1" t="shared" si="1"/>
        <v>11</v>
      </c>
      <c r="B88" s="36" t="str">
        <f ca="1" t="array" ref="B88">INDEX(Data_DBD!$C:$C,$A88)</f>
        <v>5 Hari</v>
      </c>
      <c r="C88" s="36">
        <f ca="1" t="array" ref="C88">INDEX(Data_DBD!$E:$E,$A88)</f>
        <v>1</v>
      </c>
      <c r="D88" s="36" t="str">
        <f ca="1" t="array" ref="D88">INDEX(Data_DBD!$F:$F,$A88)</f>
        <v>Sedang</v>
      </c>
      <c r="H88" s="37">
        <v>116</v>
      </c>
      <c r="I88" s="37">
        <v>4</v>
      </c>
      <c r="J88" s="37">
        <v>1</v>
      </c>
      <c r="K88" s="37" t="s">
        <v>105</v>
      </c>
    </row>
    <row r="89" spans="1:11">
      <c r="A89" s="36">
        <f ca="1" t="shared" si="1"/>
        <v>74</v>
      </c>
      <c r="B89" s="36" t="str">
        <f ca="1" t="array" ref="B89">INDEX(Data_DBD!$C:$C,$A89)</f>
        <v>4 Hari</v>
      </c>
      <c r="C89" s="36">
        <f ca="1" t="array" ref="C89">INDEX(Data_DBD!$E:$E,$A89)</f>
        <v>0</v>
      </c>
      <c r="D89" s="36" t="str">
        <f ca="1" t="array" ref="D89">INDEX(Data_DBD!$F:$F,$A89)</f>
        <v>Sedang</v>
      </c>
      <c r="H89" s="37">
        <v>63</v>
      </c>
      <c r="I89" s="37">
        <v>3</v>
      </c>
      <c r="J89" s="37">
        <v>0</v>
      </c>
      <c r="K89" s="37" t="s">
        <v>8</v>
      </c>
    </row>
    <row r="90" spans="1:11">
      <c r="A90" s="36">
        <f ca="1" t="shared" si="1"/>
        <v>32</v>
      </c>
      <c r="B90" s="36" t="str">
        <f ca="1" t="array" ref="B90">INDEX(Data_DBD!$C:$C,$A90)</f>
        <v>4 Hari</v>
      </c>
      <c r="C90" s="36">
        <f ca="1" t="array" ref="C90">INDEX(Data_DBD!$E:$E,$A90)</f>
        <v>0</v>
      </c>
      <c r="D90" s="36" t="str">
        <f ca="1" t="array" ref="D90">INDEX(Data_DBD!$F:$F,$A90)</f>
        <v>Sedang</v>
      </c>
      <c r="H90" s="37">
        <v>125</v>
      </c>
      <c r="I90" s="37">
        <v>4</v>
      </c>
      <c r="J90" s="37">
        <v>0</v>
      </c>
      <c r="K90" s="37" t="s">
        <v>105</v>
      </c>
    </row>
    <row r="91" spans="1:11">
      <c r="A91" s="36">
        <f ca="1" t="shared" si="1"/>
        <v>145</v>
      </c>
      <c r="B91" s="36" t="str">
        <f ca="1" t="array" ref="B91">INDEX(Data_DBD!$C:$C,$A91)</f>
        <v>4 Hari</v>
      </c>
      <c r="C91" s="36">
        <f ca="1" t="array" ref="C91">INDEX(Data_DBD!$E:$E,$A91)</f>
        <v>1</v>
      </c>
      <c r="D91" s="36" t="str">
        <f ca="1" t="array" ref="D91">INDEX(Data_DBD!$F:$F,$A91)</f>
        <v>Tinggi</v>
      </c>
      <c r="H91" s="37">
        <v>73</v>
      </c>
      <c r="I91" s="37">
        <v>3</v>
      </c>
      <c r="J91" s="37">
        <v>1</v>
      </c>
      <c r="K91" s="37" t="s">
        <v>8</v>
      </c>
    </row>
    <row r="92" spans="1:11">
      <c r="A92" s="36">
        <f ca="1" t="shared" si="1"/>
        <v>144</v>
      </c>
      <c r="B92" s="36" t="str">
        <f ca="1" t="array" ref="B92">INDEX(Data_DBD!$C:$C,$A92)</f>
        <v>4 Hari</v>
      </c>
      <c r="C92" s="36">
        <f ca="1" t="array" ref="C92">INDEX(Data_DBD!$E:$E,$A92)</f>
        <v>1</v>
      </c>
      <c r="D92" s="36" t="str">
        <f ca="1" t="array" ref="D92">INDEX(Data_DBD!$F:$F,$A92)</f>
        <v>Tinggi</v>
      </c>
      <c r="H92" s="37">
        <v>25</v>
      </c>
      <c r="I92" s="37">
        <v>5</v>
      </c>
      <c r="J92" s="37">
        <v>0</v>
      </c>
      <c r="K92" s="37" t="s">
        <v>8</v>
      </c>
    </row>
    <row r="93" spans="1:11">
      <c r="A93" s="36">
        <f ca="1" t="shared" si="1"/>
        <v>106</v>
      </c>
      <c r="B93" s="36" t="str">
        <f ca="1" t="array" ref="B93">INDEX(Data_DBD!$C:$C,$A93)</f>
        <v>3 Hari</v>
      </c>
      <c r="C93" s="36">
        <f ca="1" t="array" ref="C93">INDEX(Data_DBD!$E:$E,$A93)</f>
        <v>1</v>
      </c>
      <c r="D93" s="36" t="str">
        <f ca="1" t="array" ref="D93">INDEX(Data_DBD!$F:$F,$A93)</f>
        <v>Tinggi</v>
      </c>
      <c r="H93" s="37">
        <v>148</v>
      </c>
      <c r="I93" s="37">
        <v>3</v>
      </c>
      <c r="J93" s="37">
        <v>1</v>
      </c>
      <c r="K93" s="37" t="s">
        <v>105</v>
      </c>
    </row>
    <row r="94" spans="1:11">
      <c r="A94" s="36">
        <f ca="1" t="shared" si="1"/>
        <v>98</v>
      </c>
      <c r="B94" s="36" t="str">
        <f ca="1" t="array" ref="B94">INDEX(Data_DBD!$C:$C,$A94)</f>
        <v>2 Hari</v>
      </c>
      <c r="C94" s="36">
        <f ca="1" t="array" ref="C94">INDEX(Data_DBD!$E:$E,$A94)</f>
        <v>1</v>
      </c>
      <c r="D94" s="36" t="str">
        <f ca="1" t="array" ref="D94">INDEX(Data_DBD!$F:$F,$A94)</f>
        <v>Tinggi</v>
      </c>
      <c r="H94" s="37">
        <v>39</v>
      </c>
      <c r="I94" s="37">
        <v>5</v>
      </c>
      <c r="J94" s="37">
        <v>1</v>
      </c>
      <c r="K94" s="37" t="s">
        <v>8</v>
      </c>
    </row>
    <row r="95" spans="1:11">
      <c r="A95" s="36">
        <f ca="1" t="shared" si="1"/>
        <v>139</v>
      </c>
      <c r="B95" s="36" t="str">
        <f ca="1" t="array" ref="B95">INDEX(Data_DBD!$C:$C,$A95)</f>
        <v>7 Hari</v>
      </c>
      <c r="C95" s="36">
        <f ca="1" t="array" ref="C95">INDEX(Data_DBD!$E:$E,$A95)</f>
        <v>0</v>
      </c>
      <c r="D95" s="36" t="str">
        <f ca="1" t="array" ref="D95">INDEX(Data_DBD!$F:$F,$A95)</f>
        <v>Tinggi</v>
      </c>
      <c r="H95" s="37">
        <v>36</v>
      </c>
      <c r="I95" s="37">
        <v>1</v>
      </c>
      <c r="J95" s="37">
        <v>1</v>
      </c>
      <c r="K95" s="37" t="s">
        <v>26</v>
      </c>
    </row>
    <row r="96" spans="1:11">
      <c r="A96" s="36">
        <f ca="1" t="shared" si="1"/>
        <v>121</v>
      </c>
      <c r="B96" s="36" t="str">
        <f ca="1" t="array" ref="B96">INDEX(Data_DBD!$C:$C,$A96)</f>
        <v>5 Hari</v>
      </c>
      <c r="C96" s="36">
        <f ca="1" t="array" ref="C96">INDEX(Data_DBD!$E:$E,$A96)</f>
        <v>1</v>
      </c>
      <c r="D96" s="36" t="str">
        <f ca="1" t="array" ref="D96">INDEX(Data_DBD!$F:$F,$A96)</f>
        <v>Tinggi</v>
      </c>
      <c r="H96" s="37">
        <v>111</v>
      </c>
      <c r="I96" s="37">
        <v>4</v>
      </c>
      <c r="J96" s="37">
        <v>0</v>
      </c>
      <c r="K96" s="37" t="s">
        <v>105</v>
      </c>
    </row>
    <row r="97" spans="1:11">
      <c r="A97" s="36">
        <f ca="1" t="shared" si="1"/>
        <v>108</v>
      </c>
      <c r="B97" s="36" t="str">
        <f ca="1" t="array" ref="B97">INDEX(Data_DBD!$C:$C,$A97)</f>
        <v>7 Hari</v>
      </c>
      <c r="C97" s="36">
        <f ca="1" t="array" ref="C97">INDEX(Data_DBD!$E:$E,$A97)</f>
        <v>1</v>
      </c>
      <c r="D97" s="36" t="str">
        <f ca="1" t="array" ref="D97">INDEX(Data_DBD!$F:$F,$A97)</f>
        <v>Tinggi</v>
      </c>
      <c r="H97" s="37">
        <v>57</v>
      </c>
      <c r="I97" s="37">
        <v>2</v>
      </c>
      <c r="J97" s="37">
        <v>1</v>
      </c>
      <c r="K97" s="37" t="s">
        <v>8</v>
      </c>
    </row>
    <row r="98" spans="1:11">
      <c r="A98" s="36">
        <f ca="1" t="shared" si="1"/>
        <v>142</v>
      </c>
      <c r="B98" s="36" t="str">
        <f ca="1" t="array" ref="B98">INDEX(Data_DBD!$C:$C,$A98)</f>
        <v>2 Hari</v>
      </c>
      <c r="C98" s="36">
        <f ca="1" t="array" ref="C98">INDEX(Data_DBD!$E:$E,$A98)</f>
        <v>1</v>
      </c>
      <c r="D98" s="36" t="str">
        <f ca="1" t="array" ref="D98">INDEX(Data_DBD!$F:$F,$A98)</f>
        <v>Tinggi</v>
      </c>
      <c r="H98" s="37">
        <v>134</v>
      </c>
      <c r="I98" s="37">
        <v>2</v>
      </c>
      <c r="J98" s="37">
        <v>1</v>
      </c>
      <c r="K98" s="37" t="s">
        <v>105</v>
      </c>
    </row>
    <row r="99" spans="1:11">
      <c r="A99" s="36">
        <f ca="1" t="shared" si="1"/>
        <v>148</v>
      </c>
      <c r="B99" s="36" t="str">
        <f ca="1" t="array" ref="B99">INDEX(Data_DBD!$C:$C,$A99)</f>
        <v>3 Hari</v>
      </c>
      <c r="C99" s="36">
        <f ca="1" t="array" ref="C99">INDEX(Data_DBD!$E:$E,$A99)</f>
        <v>1</v>
      </c>
      <c r="D99" s="36" t="str">
        <f ca="1" t="array" ref="D99">INDEX(Data_DBD!$F:$F,$A99)</f>
        <v>Tinggi</v>
      </c>
      <c r="H99" s="37">
        <v>44</v>
      </c>
      <c r="I99" s="37">
        <v>5</v>
      </c>
      <c r="J99" s="37">
        <v>1</v>
      </c>
      <c r="K99" s="37" t="s">
        <v>8</v>
      </c>
    </row>
    <row r="100" spans="1:11">
      <c r="A100" s="36">
        <f ca="1" t="shared" si="1"/>
        <v>107</v>
      </c>
      <c r="B100" s="36" t="str">
        <f ca="1" t="array" ref="B100">INDEX(Data_DBD!$C:$C,$A100)</f>
        <v>5 Hari</v>
      </c>
      <c r="C100" s="36">
        <f ca="1" t="array" ref="C100">INDEX(Data_DBD!$E:$E,$A100)</f>
        <v>0</v>
      </c>
      <c r="D100" s="36" t="str">
        <f ca="1" t="array" ref="D100">INDEX(Data_DBD!$F:$F,$A100)</f>
        <v>Tinggi</v>
      </c>
      <c r="H100" s="37">
        <v>30</v>
      </c>
      <c r="I100" s="37">
        <v>2</v>
      </c>
      <c r="J100" s="37">
        <v>1</v>
      </c>
      <c r="K100" s="37" t="s">
        <v>8</v>
      </c>
    </row>
    <row r="101" spans="1:11">
      <c r="A101" s="36">
        <f ca="1" t="shared" si="1"/>
        <v>161</v>
      </c>
      <c r="B101" s="36" t="str">
        <f ca="1" t="array" ref="B101">INDEX(Data_DBD!$C:$C,$A101)</f>
        <v>3 Hari</v>
      </c>
      <c r="C101" s="36">
        <f ca="1" t="array" ref="C101">INDEX(Data_DBD!$E:$E,$A101)</f>
        <v>1</v>
      </c>
      <c r="D101" s="36" t="str">
        <f ca="1" t="array" ref="D101">INDEX(Data_DBD!$F:$F,$A101)</f>
        <v>Tinggi</v>
      </c>
      <c r="H101" s="37">
        <v>154</v>
      </c>
      <c r="I101" s="37">
        <v>5</v>
      </c>
      <c r="J101" s="37">
        <v>1</v>
      </c>
      <c r="K101" s="37" t="s">
        <v>105</v>
      </c>
    </row>
    <row r="102" spans="1:11">
      <c r="A102" s="36">
        <f ca="1" t="shared" si="1"/>
        <v>126</v>
      </c>
      <c r="B102" s="36" t="str">
        <f ca="1" t="array" ref="B102">INDEX(Data_DBD!$C:$C,$A102)</f>
        <v>3 Hari</v>
      </c>
      <c r="C102" s="36">
        <f ca="1" t="array" ref="C102">INDEX(Data_DBD!$E:$E,$A102)</f>
        <v>1</v>
      </c>
      <c r="D102" s="36" t="str">
        <f ca="1" t="array" ref="D102">INDEX(Data_DBD!$F:$F,$A102)</f>
        <v>Tinggi</v>
      </c>
      <c r="H102" s="37">
        <v>63</v>
      </c>
      <c r="I102" s="37">
        <v>3</v>
      </c>
      <c r="J102" s="37">
        <v>0</v>
      </c>
      <c r="K102" s="37" t="s">
        <v>8</v>
      </c>
    </row>
    <row r="103" spans="1:11">
      <c r="A103" s="36">
        <f ca="1" t="shared" si="1"/>
        <v>130</v>
      </c>
      <c r="B103" s="36" t="str">
        <f ca="1" t="array" ref="B103">INDEX(Data_DBD!$C:$C,$A103)</f>
        <v>4 Hari</v>
      </c>
      <c r="C103" s="36">
        <f ca="1" t="array" ref="C103">INDEX(Data_DBD!$E:$E,$A103)</f>
        <v>0</v>
      </c>
      <c r="D103" s="36" t="str">
        <f ca="1" t="array" ref="D103">INDEX(Data_DBD!$F:$F,$A103)</f>
        <v>Tinggi</v>
      </c>
      <c r="H103" s="37">
        <v>158</v>
      </c>
      <c r="I103" s="37">
        <v>2</v>
      </c>
      <c r="J103" s="37">
        <v>0</v>
      </c>
      <c r="K103" s="37" t="s">
        <v>105</v>
      </c>
    </row>
    <row r="104" spans="1:11">
      <c r="A104" s="36">
        <f ca="1" t="shared" si="1"/>
        <v>34</v>
      </c>
      <c r="B104" s="36" t="str">
        <f ca="1" t="array" ref="B104">INDEX(Data_DBD!$C:$C,$A104)</f>
        <v>3 Hari</v>
      </c>
      <c r="C104" s="36">
        <f ca="1" t="array" ref="C104">INDEX(Data_DBD!$E:$E,$A104)</f>
        <v>0</v>
      </c>
      <c r="D104" s="36" t="str">
        <f ca="1" t="array" ref="D104">INDEX(Data_DBD!$F:$F,$A104)</f>
        <v>Sedang</v>
      </c>
      <c r="H104" s="37">
        <v>95</v>
      </c>
      <c r="I104" s="37">
        <v>3</v>
      </c>
      <c r="J104" s="37">
        <v>1</v>
      </c>
      <c r="K104" s="37" t="s">
        <v>105</v>
      </c>
    </row>
    <row r="105" spans="1:11">
      <c r="A105" s="36">
        <f ca="1" t="shared" si="1"/>
        <v>68</v>
      </c>
      <c r="B105" s="36" t="str">
        <f ca="1" t="array" ref="B105">INDEX(Data_DBD!$C:$C,$A105)</f>
        <v>5 Hari</v>
      </c>
      <c r="C105" s="36">
        <f ca="1" t="array" ref="C105">INDEX(Data_DBD!$E:$E,$A105)</f>
        <v>0</v>
      </c>
      <c r="D105" s="36" t="str">
        <f ca="1" t="array" ref="D105">INDEX(Data_DBD!$F:$F,$A105)</f>
        <v>Sedang</v>
      </c>
      <c r="H105" s="37">
        <v>89</v>
      </c>
      <c r="I105" s="37">
        <v>4</v>
      </c>
      <c r="J105" s="37">
        <v>0</v>
      </c>
      <c r="K105" s="37" t="s">
        <v>8</v>
      </c>
    </row>
    <row r="106" spans="1:11">
      <c r="A106" s="36">
        <f ca="1" t="shared" si="1"/>
        <v>95</v>
      </c>
      <c r="B106" s="36" t="str">
        <f ca="1" t="array" ref="B106">INDEX(Data_DBD!$C:$C,$A106)</f>
        <v>3 Hari</v>
      </c>
      <c r="C106" s="36">
        <f ca="1" t="array" ref="C106">INDEX(Data_DBD!$E:$E,$A106)</f>
        <v>1</v>
      </c>
      <c r="D106" s="36" t="str">
        <f ca="1" t="array" ref="D106">INDEX(Data_DBD!$F:$F,$A106)</f>
        <v>Tinggi</v>
      </c>
      <c r="H106" s="37">
        <v>115</v>
      </c>
      <c r="I106" s="37">
        <v>3</v>
      </c>
      <c r="J106" s="37">
        <v>1</v>
      </c>
      <c r="K106" s="37" t="s">
        <v>105</v>
      </c>
    </row>
    <row r="107" spans="1:11">
      <c r="A107" s="36">
        <f ca="1" t="shared" si="1"/>
        <v>160</v>
      </c>
      <c r="B107" s="36" t="str">
        <f ca="1" t="array" ref="B107">INDEX(Data_DBD!$C:$C,$A107)</f>
        <v>3 Hari</v>
      </c>
      <c r="C107" s="36">
        <f ca="1" t="array" ref="C107">INDEX(Data_DBD!$E:$E,$A107)</f>
        <v>0</v>
      </c>
      <c r="D107" s="36" t="str">
        <f ca="1" t="array" ref="D107">INDEX(Data_DBD!$F:$F,$A107)</f>
        <v>Tinggi</v>
      </c>
      <c r="H107" s="37">
        <v>101</v>
      </c>
      <c r="I107" s="37">
        <v>5</v>
      </c>
      <c r="J107" s="37">
        <v>0</v>
      </c>
      <c r="K107" s="37" t="s">
        <v>105</v>
      </c>
    </row>
    <row r="108" spans="1:11">
      <c r="A108" s="36">
        <f ca="1" t="shared" si="1"/>
        <v>38</v>
      </c>
      <c r="B108" s="36" t="str">
        <f ca="1" t="array" ref="B108">INDEX(Data_DBD!$C:$C,$A108)</f>
        <v>3 Hari</v>
      </c>
      <c r="C108" s="36">
        <f ca="1" t="array" ref="C108">INDEX(Data_DBD!$E:$E,$A108)</f>
        <v>1</v>
      </c>
      <c r="D108" s="36" t="str">
        <f ca="1" t="array" ref="D108">INDEX(Data_DBD!$F:$F,$A108)</f>
        <v>Rendah</v>
      </c>
      <c r="H108" s="37">
        <v>162</v>
      </c>
      <c r="I108" s="37">
        <v>3</v>
      </c>
      <c r="J108" s="37">
        <v>1</v>
      </c>
      <c r="K108" s="37" t="s">
        <v>26</v>
      </c>
    </row>
    <row r="109" spans="1:11">
      <c r="A109" s="36">
        <f ca="1" t="shared" si="1"/>
        <v>129</v>
      </c>
      <c r="B109" s="36" t="str">
        <f ca="1" t="array" ref="B109">INDEX(Data_DBD!$C:$C,$A109)</f>
        <v>3 Hari</v>
      </c>
      <c r="C109" s="36">
        <f ca="1" t="array" ref="C109">INDEX(Data_DBD!$E:$E,$A109)</f>
        <v>0</v>
      </c>
      <c r="D109" s="36" t="str">
        <f ca="1" t="array" ref="D109">INDEX(Data_DBD!$F:$F,$A109)</f>
        <v>Tinggi</v>
      </c>
      <c r="H109" s="37">
        <v>60</v>
      </c>
      <c r="I109" s="37">
        <v>4</v>
      </c>
      <c r="J109" s="37">
        <v>0</v>
      </c>
      <c r="K109" s="37" t="s">
        <v>8</v>
      </c>
    </row>
    <row r="110" spans="1:11">
      <c r="A110" s="36">
        <f ca="1" t="shared" si="1"/>
        <v>39</v>
      </c>
      <c r="B110" s="36" t="str">
        <f ca="1" t="array" ref="B110">INDEX(Data_DBD!$C:$C,$A110)</f>
        <v>5 Hari</v>
      </c>
      <c r="C110" s="36">
        <f ca="1" t="array" ref="C110">INDEX(Data_DBD!$E:$E,$A110)</f>
        <v>1</v>
      </c>
      <c r="D110" s="36" t="str">
        <f ca="1" t="array" ref="D110">INDEX(Data_DBD!$F:$F,$A110)</f>
        <v>Sedang</v>
      </c>
      <c r="H110" s="37">
        <v>144</v>
      </c>
      <c r="I110" s="37">
        <v>4</v>
      </c>
      <c r="J110" s="37">
        <v>1</v>
      </c>
      <c r="K110" s="37" t="s">
        <v>105</v>
      </c>
    </row>
    <row r="111" spans="1:11">
      <c r="A111" s="36">
        <f ca="1" t="shared" si="1"/>
        <v>15</v>
      </c>
      <c r="B111" s="36" t="str">
        <f ca="1" t="array" ref="B111">INDEX(Data_DBD!$C:$C,$A111)</f>
        <v>2 Hari</v>
      </c>
      <c r="C111" s="36">
        <f ca="1" t="array" ref="C111">INDEX(Data_DBD!$E:$E,$A111)</f>
        <v>0</v>
      </c>
      <c r="D111" s="36" t="str">
        <f ca="1" t="array" ref="D111">INDEX(Data_DBD!$F:$F,$A111)</f>
        <v>Rendah</v>
      </c>
      <c r="H111" s="37">
        <v>38</v>
      </c>
      <c r="I111" s="37">
        <v>3</v>
      </c>
      <c r="J111" s="37">
        <v>1</v>
      </c>
      <c r="K111" s="37" t="s">
        <v>26</v>
      </c>
    </row>
    <row r="112" spans="1:11">
      <c r="A112" s="36">
        <f ca="1" t="shared" si="1"/>
        <v>164</v>
      </c>
      <c r="B112" s="36" t="str">
        <f ca="1" t="array" ref="B112">INDEX(Data_DBD!$C:$C,$A112)</f>
        <v>6 Hari</v>
      </c>
      <c r="C112" s="36">
        <f ca="1" t="array" ref="C112">INDEX(Data_DBD!$E:$E,$A112)</f>
        <v>0</v>
      </c>
      <c r="D112" s="36" t="str">
        <f ca="1" t="array" ref="D112">INDEX(Data_DBD!$F:$F,$A112)</f>
        <v>Rendah</v>
      </c>
      <c r="H112" s="37">
        <v>28</v>
      </c>
      <c r="I112" s="37">
        <v>2</v>
      </c>
      <c r="J112" s="37">
        <v>1</v>
      </c>
      <c r="K112" s="37" t="s">
        <v>8</v>
      </c>
    </row>
    <row r="113" spans="1:11">
      <c r="A113" s="36">
        <f ca="1" t="shared" si="1"/>
        <v>106</v>
      </c>
      <c r="B113" s="36" t="str">
        <f ca="1" t="array" ref="B113">INDEX(Data_DBD!$C:$C,$A113)</f>
        <v>3 Hari</v>
      </c>
      <c r="C113" s="36">
        <f ca="1" t="array" ref="C113">INDEX(Data_DBD!$E:$E,$A113)</f>
        <v>1</v>
      </c>
      <c r="D113" s="36" t="str">
        <f ca="1" t="array" ref="D113">INDEX(Data_DBD!$F:$F,$A113)</f>
        <v>Tinggi</v>
      </c>
      <c r="H113" s="37">
        <v>128</v>
      </c>
      <c r="I113" s="37">
        <v>2</v>
      </c>
      <c r="J113" s="37">
        <v>0</v>
      </c>
      <c r="K113" s="37" t="s">
        <v>105</v>
      </c>
    </row>
    <row r="114" spans="1:11">
      <c r="A114" s="36">
        <f ca="1" t="shared" si="1"/>
        <v>69</v>
      </c>
      <c r="B114" s="36" t="str">
        <f ca="1" t="array" ref="B114">INDEX(Data_DBD!$C:$C,$A114)</f>
        <v>4 Hari</v>
      </c>
      <c r="C114" s="36">
        <f ca="1" t="array" ref="C114">INDEX(Data_DBD!$E:$E,$A114)</f>
        <v>1</v>
      </c>
      <c r="D114" s="36" t="str">
        <f ca="1" t="array" ref="D114">INDEX(Data_DBD!$F:$F,$A114)</f>
        <v>Sedang</v>
      </c>
      <c r="H114" s="37">
        <v>33</v>
      </c>
      <c r="I114" s="37">
        <v>4</v>
      </c>
      <c r="J114" s="37">
        <v>1</v>
      </c>
      <c r="K114" s="37" t="s">
        <v>8</v>
      </c>
    </row>
    <row r="115" spans="1:11">
      <c r="A115" s="36">
        <f ca="1" t="shared" si="1"/>
        <v>80</v>
      </c>
      <c r="B115" s="36" t="str">
        <f ca="1" t="array" ref="B115">INDEX(Data_DBD!$C:$C,$A115)</f>
        <v>3 Hari</v>
      </c>
      <c r="C115" s="36">
        <f ca="1" t="array" ref="C115">INDEX(Data_DBD!$E:$E,$A115)</f>
        <v>1</v>
      </c>
      <c r="D115" s="36" t="str">
        <f ca="1" t="array" ref="D115">INDEX(Data_DBD!$F:$F,$A115)</f>
        <v>Sedang</v>
      </c>
      <c r="H115" s="37">
        <v>120</v>
      </c>
      <c r="I115" s="37">
        <v>4</v>
      </c>
      <c r="J115" s="37">
        <v>1</v>
      </c>
      <c r="K115" s="37" t="s">
        <v>105</v>
      </c>
    </row>
    <row r="116" spans="1:11">
      <c r="A116" s="36">
        <f ca="1" t="shared" si="1"/>
        <v>159</v>
      </c>
      <c r="B116" s="36" t="str">
        <f ca="1" t="array" ref="B116">INDEX(Data_DBD!$C:$C,$A116)</f>
        <v>2 Hari</v>
      </c>
      <c r="C116" s="36">
        <f ca="1" t="array" ref="C116">INDEX(Data_DBD!$E:$E,$A116)</f>
        <v>0</v>
      </c>
      <c r="D116" s="36" t="str">
        <f ca="1" t="array" ref="D116">INDEX(Data_DBD!$F:$F,$A116)</f>
        <v>Tinggi</v>
      </c>
      <c r="H116" s="37">
        <v>13</v>
      </c>
      <c r="I116" s="37">
        <v>2</v>
      </c>
      <c r="J116" s="37">
        <v>0</v>
      </c>
      <c r="K116" s="37" t="s">
        <v>8</v>
      </c>
    </row>
    <row r="117" spans="1:11">
      <c r="A117" s="36">
        <f ca="1" t="shared" si="1"/>
        <v>149</v>
      </c>
      <c r="B117" s="36" t="str">
        <f ca="1" t="array" ref="B117">INDEX(Data_DBD!$C:$C,$A117)</f>
        <v>5 Hari</v>
      </c>
      <c r="C117" s="36">
        <f ca="1" t="array" ref="C117">INDEX(Data_DBD!$E:$E,$A117)</f>
        <v>0</v>
      </c>
      <c r="D117" s="36" t="str">
        <f ca="1" t="array" ref="D117">INDEX(Data_DBD!$F:$F,$A117)</f>
        <v>Tinggi</v>
      </c>
      <c r="H117" s="37">
        <v>97</v>
      </c>
      <c r="I117" s="37">
        <v>2</v>
      </c>
      <c r="J117" s="37">
        <v>1</v>
      </c>
      <c r="K117" s="37" t="s">
        <v>105</v>
      </c>
    </row>
    <row r="118" spans="1:11">
      <c r="A118" s="36">
        <f ca="1" t="shared" si="1"/>
        <v>51</v>
      </c>
      <c r="B118" s="36" t="str">
        <f ca="1" t="array" ref="B118">INDEX(Data_DBD!$C:$C,$A118)</f>
        <v>4 Hari</v>
      </c>
      <c r="C118" s="36">
        <f ca="1" t="array" ref="C118">INDEX(Data_DBD!$E:$E,$A118)</f>
        <v>0</v>
      </c>
      <c r="D118" s="36" t="str">
        <f ca="1" t="array" ref="D118">INDEX(Data_DBD!$F:$F,$A118)</f>
        <v>Sedang</v>
      </c>
      <c r="H118" s="37">
        <v>72</v>
      </c>
      <c r="I118" s="37">
        <v>5</v>
      </c>
      <c r="J118" s="37">
        <v>1</v>
      </c>
      <c r="K118" s="37" t="s">
        <v>8</v>
      </c>
    </row>
    <row r="119" spans="1:11">
      <c r="A119" s="36">
        <f ca="1" t="shared" si="1"/>
        <v>64</v>
      </c>
      <c r="B119" s="36" t="str">
        <f ca="1" t="array" ref="B119">INDEX(Data_DBD!$C:$C,$A119)</f>
        <v>1 Hari</v>
      </c>
      <c r="C119" s="36">
        <f ca="1" t="array" ref="C119">INDEX(Data_DBD!$E:$E,$A119)</f>
        <v>0</v>
      </c>
      <c r="D119" s="36" t="str">
        <f ca="1" t="array" ref="D119">INDEX(Data_DBD!$F:$F,$A119)</f>
        <v>Sedang</v>
      </c>
      <c r="H119" s="37">
        <v>135</v>
      </c>
      <c r="I119" s="37">
        <v>2</v>
      </c>
      <c r="J119" s="37">
        <v>0</v>
      </c>
      <c r="K119" s="37" t="s">
        <v>105</v>
      </c>
    </row>
    <row r="120" spans="1:11">
      <c r="A120" s="36">
        <f ca="1" t="shared" si="1"/>
        <v>81</v>
      </c>
      <c r="B120" s="36" t="str">
        <f ca="1" t="array" ref="B120">INDEX(Data_DBD!$C:$C,$A120)</f>
        <v>5 Hari</v>
      </c>
      <c r="C120" s="36">
        <f ca="1" t="array" ref="C120">INDEX(Data_DBD!$E:$E,$A120)</f>
        <v>1</v>
      </c>
      <c r="D120" s="36" t="str">
        <f ca="1" t="array" ref="D120">INDEX(Data_DBD!$F:$F,$A120)</f>
        <v>Sedang</v>
      </c>
      <c r="H120" s="37">
        <v>162</v>
      </c>
      <c r="I120" s="37">
        <v>3</v>
      </c>
      <c r="J120" s="37">
        <v>1</v>
      </c>
      <c r="K120" s="37" t="s">
        <v>26</v>
      </c>
    </row>
    <row r="121" spans="1:11">
      <c r="A121" s="36">
        <f ca="1" t="shared" si="1"/>
        <v>18</v>
      </c>
      <c r="B121" s="36" t="str">
        <f ca="1" t="array" ref="B121">INDEX(Data_DBD!$C:$C,$A121)</f>
        <v>4 Hari</v>
      </c>
      <c r="C121" s="36">
        <f ca="1" t="array" ref="C121">INDEX(Data_DBD!$E:$E,$A121)</f>
        <v>1</v>
      </c>
      <c r="D121" s="36" t="str">
        <f ca="1" t="array" ref="D121">INDEX(Data_DBD!$F:$F,$A121)</f>
        <v>Rendah</v>
      </c>
      <c r="H121" s="37">
        <v>105</v>
      </c>
      <c r="I121" s="37">
        <v>3</v>
      </c>
      <c r="J121" s="37">
        <v>1</v>
      </c>
      <c r="K121" s="37" t="s">
        <v>105</v>
      </c>
    </row>
    <row r="122" spans="1:11">
      <c r="A122" s="36">
        <f ca="1" t="shared" si="1"/>
        <v>32</v>
      </c>
      <c r="B122" s="36" t="str">
        <f ca="1" t="array" ref="B122">INDEX(Data_DBD!$C:$C,$A122)</f>
        <v>4 Hari</v>
      </c>
      <c r="C122" s="36">
        <f ca="1" t="array" ref="C122">INDEX(Data_DBD!$E:$E,$A122)</f>
        <v>0</v>
      </c>
      <c r="D122" s="36" t="str">
        <f ca="1" t="array" ref="D122">INDEX(Data_DBD!$F:$F,$A122)</f>
        <v>Sedang</v>
      </c>
      <c r="H122" s="37">
        <v>130</v>
      </c>
      <c r="I122" s="37">
        <v>4</v>
      </c>
      <c r="J122" s="37">
        <v>0</v>
      </c>
      <c r="K122" s="37" t="s">
        <v>105</v>
      </c>
    </row>
    <row r="123" spans="1:11">
      <c r="A123" s="36">
        <f ca="1" t="shared" si="1"/>
        <v>67</v>
      </c>
      <c r="B123" s="36" t="str">
        <f ca="1" t="array" ref="B123">INDEX(Data_DBD!$C:$C,$A123)</f>
        <v>3 Hari</v>
      </c>
      <c r="C123" s="36">
        <f ca="1" t="array" ref="C123">INDEX(Data_DBD!$E:$E,$A123)</f>
        <v>1</v>
      </c>
      <c r="D123" s="36" t="str">
        <f ca="1" t="array" ref="D123">INDEX(Data_DBD!$F:$F,$A123)</f>
        <v>Sedang</v>
      </c>
      <c r="H123" s="37">
        <v>110</v>
      </c>
      <c r="I123" s="37">
        <v>2</v>
      </c>
      <c r="J123" s="37">
        <v>1</v>
      </c>
      <c r="K123" s="37" t="s">
        <v>105</v>
      </c>
    </row>
    <row r="124" spans="1:11">
      <c r="A124" s="36">
        <f ca="1" t="shared" si="1"/>
        <v>11</v>
      </c>
      <c r="B124" s="36" t="str">
        <f ca="1" t="array" ref="B124">INDEX(Data_DBD!$C:$C,$A124)</f>
        <v>5 Hari</v>
      </c>
      <c r="C124" s="36">
        <f ca="1" t="array" ref="C124">INDEX(Data_DBD!$E:$E,$A124)</f>
        <v>1</v>
      </c>
      <c r="D124" s="36" t="str">
        <f ca="1" t="array" ref="D124">INDEX(Data_DBD!$F:$F,$A124)</f>
        <v>Sedang</v>
      </c>
      <c r="H124" s="37">
        <v>80</v>
      </c>
      <c r="I124" s="37">
        <v>3</v>
      </c>
      <c r="J124" s="37">
        <v>1</v>
      </c>
      <c r="K124" s="37" t="s">
        <v>8</v>
      </c>
    </row>
    <row r="125" spans="1:11">
      <c r="A125" s="36">
        <f ca="1" t="shared" si="1"/>
        <v>32</v>
      </c>
      <c r="B125" s="36" t="str">
        <f ca="1" t="array" ref="B125">INDEX(Data_DBD!$C:$C,$A125)</f>
        <v>4 Hari</v>
      </c>
      <c r="C125" s="36">
        <f ca="1" t="array" ref="C125">INDEX(Data_DBD!$E:$E,$A125)</f>
        <v>0</v>
      </c>
      <c r="D125" s="36" t="str">
        <f ca="1" t="array" ref="D125">INDEX(Data_DBD!$F:$F,$A125)</f>
        <v>Sedang</v>
      </c>
      <c r="H125" s="37">
        <v>9</v>
      </c>
      <c r="I125" s="37">
        <v>6</v>
      </c>
      <c r="J125" s="37">
        <v>1</v>
      </c>
      <c r="K125" s="37" t="s">
        <v>8</v>
      </c>
    </row>
    <row r="126" spans="1:11">
      <c r="A126" s="36">
        <f ca="1" t="shared" si="1"/>
        <v>116</v>
      </c>
      <c r="B126" s="36" t="str">
        <f ca="1" t="array" ref="B126">INDEX(Data_DBD!$C:$C,$A126)</f>
        <v>4 Hari</v>
      </c>
      <c r="C126" s="36">
        <f ca="1" t="array" ref="C126">INDEX(Data_DBD!$E:$E,$A126)</f>
        <v>1</v>
      </c>
      <c r="D126" s="36" t="str">
        <f ca="1" t="array" ref="D126">INDEX(Data_DBD!$F:$F,$A126)</f>
        <v>Tinggi</v>
      </c>
      <c r="H126" s="37">
        <v>2</v>
      </c>
      <c r="I126" s="37">
        <v>3</v>
      </c>
      <c r="J126" s="37">
        <v>0</v>
      </c>
      <c r="K126" s="37" t="s">
        <v>8</v>
      </c>
    </row>
    <row r="127" spans="1:11">
      <c r="A127" s="36">
        <f ca="1" t="shared" si="1"/>
        <v>42</v>
      </c>
      <c r="B127" s="36" t="str">
        <f ca="1" t="array" ref="B127">INDEX(Data_DBD!$C:$C,$A127)</f>
        <v>5 Hari</v>
      </c>
      <c r="C127" s="36">
        <f ca="1" t="array" ref="C127">INDEX(Data_DBD!$E:$E,$A127)</f>
        <v>1</v>
      </c>
      <c r="D127" s="36" t="str">
        <f ca="1" t="array" ref="D127">INDEX(Data_DBD!$F:$F,$A127)</f>
        <v>Sedang</v>
      </c>
      <c r="H127" s="37">
        <v>107</v>
      </c>
      <c r="I127" s="37">
        <v>5</v>
      </c>
      <c r="J127" s="37">
        <v>0</v>
      </c>
      <c r="K127" s="37" t="s">
        <v>105</v>
      </c>
    </row>
    <row r="128" spans="1:11">
      <c r="A128" s="36">
        <f ca="1" t="shared" si="1"/>
        <v>140</v>
      </c>
      <c r="B128" s="36" t="str">
        <f ca="1" t="array" ref="B128">INDEX(Data_DBD!$C:$C,$A128)</f>
        <v>5 Hari</v>
      </c>
      <c r="C128" s="36">
        <f ca="1" t="array" ref="C128">INDEX(Data_DBD!$E:$E,$A128)</f>
        <v>1</v>
      </c>
      <c r="D128" s="36" t="str">
        <f ca="1" t="array" ref="D128">INDEX(Data_DBD!$F:$F,$A128)</f>
        <v>Tinggi</v>
      </c>
      <c r="H128" s="37">
        <v>68</v>
      </c>
      <c r="I128" s="37">
        <v>5</v>
      </c>
      <c r="J128" s="37">
        <v>0</v>
      </c>
      <c r="K128" s="37" t="s">
        <v>8</v>
      </c>
    </row>
    <row r="129" spans="1:11">
      <c r="A129" s="36">
        <f ca="1" t="shared" si="1"/>
        <v>107</v>
      </c>
      <c r="B129" s="36" t="str">
        <f ca="1" t="array" ref="B129">INDEX(Data_DBD!$C:$C,$A129)</f>
        <v>5 Hari</v>
      </c>
      <c r="C129" s="36">
        <f ca="1" t="array" ref="C129">INDEX(Data_DBD!$E:$E,$A129)</f>
        <v>0</v>
      </c>
      <c r="D129" s="36" t="str">
        <f ca="1" t="array" ref="D129">INDEX(Data_DBD!$F:$F,$A129)</f>
        <v>Tinggi</v>
      </c>
      <c r="H129" s="37">
        <v>144</v>
      </c>
      <c r="I129" s="37">
        <v>4</v>
      </c>
      <c r="J129" s="37">
        <v>1</v>
      </c>
      <c r="K129" s="37" t="s">
        <v>105</v>
      </c>
    </row>
    <row r="130" spans="1:11">
      <c r="A130" s="36">
        <f ca="1" t="shared" si="1"/>
        <v>44</v>
      </c>
      <c r="B130" s="36" t="str">
        <f ca="1" t="array" ref="B130">INDEX(Data_DBD!$C:$C,$A130)</f>
        <v>5 Hari</v>
      </c>
      <c r="C130" s="36">
        <f ca="1" t="array" ref="C130">INDEX(Data_DBD!$E:$E,$A130)</f>
        <v>1</v>
      </c>
      <c r="D130" s="36" t="str">
        <f ca="1" t="array" ref="D130">INDEX(Data_DBD!$F:$F,$A130)</f>
        <v>Sedang</v>
      </c>
      <c r="H130" s="37">
        <v>100</v>
      </c>
      <c r="I130" s="37">
        <v>6</v>
      </c>
      <c r="J130" s="37">
        <v>0</v>
      </c>
      <c r="K130" s="37" t="s">
        <v>105</v>
      </c>
    </row>
    <row r="131" spans="1:11">
      <c r="A131" s="36">
        <f ca="1" t="shared" ref="A131:A164" si="2">RANDBETWEEN(2,164)</f>
        <v>67</v>
      </c>
      <c r="B131" s="36" t="str">
        <f ca="1" t="array" ref="B131">INDEX(Data_DBD!$C:$C,$A131)</f>
        <v>3 Hari</v>
      </c>
      <c r="C131" s="36">
        <f ca="1" t="array" ref="C131">INDEX(Data_DBD!$E:$E,$A131)</f>
        <v>1</v>
      </c>
      <c r="D131" s="36" t="str">
        <f ca="1" t="array" ref="D131">INDEX(Data_DBD!$F:$F,$A131)</f>
        <v>Sedang</v>
      </c>
      <c r="H131" s="37">
        <v>91</v>
      </c>
      <c r="I131" s="37">
        <v>1</v>
      </c>
      <c r="J131" s="37">
        <v>1</v>
      </c>
      <c r="K131" s="37" t="s">
        <v>105</v>
      </c>
    </row>
    <row r="132" spans="1:11">
      <c r="A132" s="36">
        <f ca="1" t="shared" si="2"/>
        <v>163</v>
      </c>
      <c r="B132" s="36" t="str">
        <f ca="1" t="array" ref="B132">INDEX(Data_DBD!$C:$C,$A132)</f>
        <v>4 Hari</v>
      </c>
      <c r="C132" s="36">
        <f ca="1" t="array" ref="C132">INDEX(Data_DBD!$E:$E,$A132)</f>
        <v>1</v>
      </c>
      <c r="D132" s="36" t="str">
        <f ca="1" t="array" ref="D132">INDEX(Data_DBD!$F:$F,$A132)</f>
        <v>Rendah</v>
      </c>
      <c r="H132" s="37">
        <v>55</v>
      </c>
      <c r="I132" s="37">
        <v>4</v>
      </c>
      <c r="J132" s="37">
        <v>1</v>
      </c>
      <c r="K132" s="37" t="s">
        <v>8</v>
      </c>
    </row>
    <row r="133" spans="1:11">
      <c r="A133" s="36">
        <f ca="1" t="shared" si="2"/>
        <v>6</v>
      </c>
      <c r="B133" s="36" t="str">
        <f ca="1" t="array" ref="B133">INDEX(Data_DBD!$C:$C,$A133)</f>
        <v>4 Hari</v>
      </c>
      <c r="C133" s="36">
        <f ca="1" t="array" ref="C133">INDEX(Data_DBD!$E:$E,$A133)</f>
        <v>0</v>
      </c>
      <c r="D133" s="36" t="str">
        <f ca="1" t="array" ref="D133">INDEX(Data_DBD!$F:$F,$A133)</f>
        <v>Sedang</v>
      </c>
      <c r="H133" s="37">
        <v>117</v>
      </c>
      <c r="I133" s="37">
        <v>4</v>
      </c>
      <c r="J133" s="37">
        <v>1</v>
      </c>
      <c r="K133" s="37" t="s">
        <v>105</v>
      </c>
    </row>
    <row r="134" spans="1:11">
      <c r="A134" s="36">
        <f ca="1" t="shared" si="2"/>
        <v>33</v>
      </c>
      <c r="B134" s="36" t="str">
        <f ca="1" t="array" ref="B134">INDEX(Data_DBD!$C:$C,$A134)</f>
        <v>4 Hari</v>
      </c>
      <c r="C134" s="36">
        <f ca="1" t="array" ref="C134">INDEX(Data_DBD!$E:$E,$A134)</f>
        <v>1</v>
      </c>
      <c r="D134" s="36" t="str">
        <f ca="1" t="array" ref="D134">INDEX(Data_DBD!$F:$F,$A134)</f>
        <v>Sedang</v>
      </c>
      <c r="H134" s="37">
        <v>10</v>
      </c>
      <c r="I134" s="37">
        <v>5</v>
      </c>
      <c r="J134" s="37">
        <v>0</v>
      </c>
      <c r="K134" s="37" t="s">
        <v>8</v>
      </c>
    </row>
    <row r="135" spans="1:11">
      <c r="A135" s="36">
        <f ca="1" t="shared" si="2"/>
        <v>42</v>
      </c>
      <c r="B135" s="36" t="str">
        <f ca="1" t="array" ref="B135">INDEX(Data_DBD!$C:$C,$A135)</f>
        <v>5 Hari</v>
      </c>
      <c r="C135" s="36">
        <f ca="1" t="array" ref="C135">INDEX(Data_DBD!$E:$E,$A135)</f>
        <v>1</v>
      </c>
      <c r="D135" s="36" t="str">
        <f ca="1" t="array" ref="D135">INDEX(Data_DBD!$F:$F,$A135)</f>
        <v>Sedang</v>
      </c>
      <c r="H135" s="37">
        <v>35</v>
      </c>
      <c r="I135" s="37">
        <v>3</v>
      </c>
      <c r="J135" s="37">
        <v>1</v>
      </c>
      <c r="K135" s="37" t="s">
        <v>26</v>
      </c>
    </row>
    <row r="136" spans="1:11">
      <c r="A136" s="36">
        <f ca="1" t="shared" si="2"/>
        <v>4</v>
      </c>
      <c r="B136" s="36" t="str">
        <f ca="1" t="array" ref="B136">INDEX(Data_DBD!$C:$C,$A136)</f>
        <v>5 Hari</v>
      </c>
      <c r="C136" s="36">
        <f ca="1" t="array" ref="C136">INDEX(Data_DBD!$E:$E,$A136)</f>
        <v>0</v>
      </c>
      <c r="D136" s="36" t="str">
        <f ca="1" t="array" ref="D136">INDEX(Data_DBD!$F:$F,$A136)</f>
        <v>Sedang</v>
      </c>
      <c r="H136" s="37">
        <v>36</v>
      </c>
      <c r="I136" s="37">
        <v>1</v>
      </c>
      <c r="J136" s="37">
        <v>1</v>
      </c>
      <c r="K136" s="37" t="s">
        <v>26</v>
      </c>
    </row>
    <row r="137" spans="1:11">
      <c r="A137" s="36">
        <f ca="1" t="shared" si="2"/>
        <v>89</v>
      </c>
      <c r="B137" s="36" t="str">
        <f ca="1" t="array" ref="B137">INDEX(Data_DBD!$C:$C,$A137)</f>
        <v>4 Hari</v>
      </c>
      <c r="C137" s="36">
        <f ca="1" t="array" ref="C137">INDEX(Data_DBD!$E:$E,$A137)</f>
        <v>0</v>
      </c>
      <c r="D137" s="36" t="str">
        <f ca="1" t="array" ref="D137">INDEX(Data_DBD!$F:$F,$A137)</f>
        <v>Sedang</v>
      </c>
      <c r="H137" s="37">
        <v>102</v>
      </c>
      <c r="I137" s="37">
        <v>4</v>
      </c>
      <c r="J137" s="37">
        <v>0</v>
      </c>
      <c r="K137" s="37" t="s">
        <v>105</v>
      </c>
    </row>
    <row r="138" spans="1:11">
      <c r="A138" s="36">
        <f ca="1" t="shared" si="2"/>
        <v>98</v>
      </c>
      <c r="B138" s="36" t="str">
        <f ca="1" t="array" ref="B138">INDEX(Data_DBD!$C:$C,$A138)</f>
        <v>2 Hari</v>
      </c>
      <c r="C138" s="36">
        <f ca="1" t="array" ref="C138">INDEX(Data_DBD!$E:$E,$A138)</f>
        <v>1</v>
      </c>
      <c r="D138" s="36" t="str">
        <f ca="1" t="array" ref="D138">INDEX(Data_DBD!$F:$F,$A138)</f>
        <v>Tinggi</v>
      </c>
      <c r="H138" s="37">
        <v>72</v>
      </c>
      <c r="I138" s="37">
        <v>5</v>
      </c>
      <c r="J138" s="37">
        <v>1</v>
      </c>
      <c r="K138" s="37" t="s">
        <v>8</v>
      </c>
    </row>
    <row r="139" spans="1:11">
      <c r="A139" s="36">
        <f ca="1" t="shared" si="2"/>
        <v>3</v>
      </c>
      <c r="B139" s="36" t="str">
        <f ca="1" t="array" ref="B139">INDEX(Data_DBD!$C:$C,$A139)</f>
        <v>3 Hari</v>
      </c>
      <c r="C139" s="36">
        <f ca="1" t="array" ref="C139">INDEX(Data_DBD!$E:$E,$A139)</f>
        <v>1</v>
      </c>
      <c r="D139" s="36" t="str">
        <f ca="1" t="array" ref="D139">INDEX(Data_DBD!$F:$F,$A139)</f>
        <v>Sedang</v>
      </c>
      <c r="H139" s="37">
        <v>125</v>
      </c>
      <c r="I139" s="37">
        <v>4</v>
      </c>
      <c r="J139" s="37">
        <v>0</v>
      </c>
      <c r="K139" s="37" t="s">
        <v>105</v>
      </c>
    </row>
    <row r="140" spans="1:11">
      <c r="A140" s="36">
        <f ca="1" t="shared" si="2"/>
        <v>32</v>
      </c>
      <c r="B140" s="36" t="str">
        <f ca="1" t="array" ref="B140">INDEX(Data_DBD!$C:$C,$A140)</f>
        <v>4 Hari</v>
      </c>
      <c r="C140" s="36">
        <f ca="1" t="array" ref="C140">INDEX(Data_DBD!$E:$E,$A140)</f>
        <v>0</v>
      </c>
      <c r="D140" s="36" t="str">
        <f ca="1" t="array" ref="D140">INDEX(Data_DBD!$F:$F,$A140)</f>
        <v>Sedang</v>
      </c>
      <c r="H140" s="37">
        <v>13</v>
      </c>
      <c r="I140" s="37">
        <v>2</v>
      </c>
      <c r="J140" s="37">
        <v>0</v>
      </c>
      <c r="K140" s="37" t="s">
        <v>8</v>
      </c>
    </row>
    <row r="141" spans="1:11">
      <c r="A141" s="36">
        <f ca="1" t="shared" si="2"/>
        <v>106</v>
      </c>
      <c r="B141" s="36" t="str">
        <f ca="1" t="array" ref="B141">INDEX(Data_DBD!$C:$C,$A141)</f>
        <v>3 Hari</v>
      </c>
      <c r="C141" s="36">
        <f ca="1" t="array" ref="C141">INDEX(Data_DBD!$E:$E,$A141)</f>
        <v>1</v>
      </c>
      <c r="D141" s="36" t="str">
        <f ca="1" t="array" ref="D141">INDEX(Data_DBD!$F:$F,$A141)</f>
        <v>Tinggi</v>
      </c>
      <c r="H141" s="37">
        <v>2</v>
      </c>
      <c r="I141" s="37">
        <v>3</v>
      </c>
      <c r="J141" s="37">
        <v>0</v>
      </c>
      <c r="K141" s="37" t="s">
        <v>8</v>
      </c>
    </row>
    <row r="142" spans="1:11">
      <c r="A142" s="36">
        <f ca="1" t="shared" si="2"/>
        <v>26</v>
      </c>
      <c r="B142" s="36" t="str">
        <f ca="1" t="array" ref="B142">INDEX(Data_DBD!$C:$C,$A142)</f>
        <v>4 Hari</v>
      </c>
      <c r="C142" s="36">
        <f ca="1" t="array" ref="C142">INDEX(Data_DBD!$E:$E,$A142)</f>
        <v>1</v>
      </c>
      <c r="D142" s="36" t="str">
        <f ca="1" t="array" ref="D142">INDEX(Data_DBD!$F:$F,$A142)</f>
        <v>Sedang</v>
      </c>
      <c r="H142" s="37">
        <v>142</v>
      </c>
      <c r="I142" s="37">
        <v>2</v>
      </c>
      <c r="J142" s="37">
        <v>1</v>
      </c>
      <c r="K142" s="37" t="s">
        <v>105</v>
      </c>
    </row>
    <row r="143" spans="1:11">
      <c r="A143" s="36">
        <f ca="1" t="shared" si="2"/>
        <v>71</v>
      </c>
      <c r="B143" s="36" t="str">
        <f ca="1" t="array" ref="B143">INDEX(Data_DBD!$C:$C,$A143)</f>
        <v>3 Hari</v>
      </c>
      <c r="C143" s="36">
        <f ca="1" t="array" ref="C143">INDEX(Data_DBD!$E:$E,$A143)</f>
        <v>0</v>
      </c>
      <c r="D143" s="36" t="str">
        <f ca="1" t="array" ref="D143">INDEX(Data_DBD!$F:$F,$A143)</f>
        <v>Sedang</v>
      </c>
      <c r="H143" s="37">
        <v>11</v>
      </c>
      <c r="I143" s="37">
        <v>5</v>
      </c>
      <c r="J143" s="37">
        <v>1</v>
      </c>
      <c r="K143" s="37" t="s">
        <v>8</v>
      </c>
    </row>
    <row r="144" spans="1:11">
      <c r="A144" s="36">
        <f ca="1" t="shared" si="2"/>
        <v>126</v>
      </c>
      <c r="B144" s="36" t="str">
        <f ca="1" t="array" ref="B144">INDEX(Data_DBD!$C:$C,$A144)</f>
        <v>3 Hari</v>
      </c>
      <c r="C144" s="36">
        <f ca="1" t="array" ref="C144">INDEX(Data_DBD!$E:$E,$A144)</f>
        <v>1</v>
      </c>
      <c r="D144" s="36" t="str">
        <f ca="1" t="array" ref="D144">INDEX(Data_DBD!$F:$F,$A144)</f>
        <v>Tinggi</v>
      </c>
      <c r="H144" s="37">
        <v>19</v>
      </c>
      <c r="I144" s="37">
        <v>4</v>
      </c>
      <c r="J144" s="37">
        <v>0</v>
      </c>
      <c r="K144" s="37" t="s">
        <v>26</v>
      </c>
    </row>
    <row r="145" spans="1:11">
      <c r="A145" s="36">
        <f ca="1" t="shared" si="2"/>
        <v>91</v>
      </c>
      <c r="B145" s="36" t="str">
        <f ca="1" t="array" ref="B145">INDEX(Data_DBD!$C:$C,$A145)</f>
        <v>1 Hari</v>
      </c>
      <c r="C145" s="36">
        <f ca="1" t="array" ref="C145">INDEX(Data_DBD!$E:$E,$A145)</f>
        <v>1</v>
      </c>
      <c r="D145" s="36" t="str">
        <f ca="1" t="array" ref="D145">INDEX(Data_DBD!$F:$F,$A145)</f>
        <v>Tinggi</v>
      </c>
      <c r="H145" s="37">
        <v>87</v>
      </c>
      <c r="I145" s="37">
        <v>3</v>
      </c>
      <c r="J145" s="37">
        <v>0</v>
      </c>
      <c r="K145" s="37" t="s">
        <v>8</v>
      </c>
    </row>
    <row r="146" spans="1:11">
      <c r="A146" s="36">
        <f ca="1" t="shared" si="2"/>
        <v>24</v>
      </c>
      <c r="B146" s="36" t="str">
        <f ca="1" t="array" ref="B146">INDEX(Data_DBD!$C:$C,$A146)</f>
        <v>4 Hari</v>
      </c>
      <c r="C146" s="36">
        <f ca="1" t="array" ref="C146">INDEX(Data_DBD!$E:$E,$A146)</f>
        <v>0</v>
      </c>
      <c r="D146" s="36" t="str">
        <f ca="1" t="array" ref="D146">INDEX(Data_DBD!$F:$F,$A146)</f>
        <v>Sedang</v>
      </c>
      <c r="H146" s="37">
        <v>3</v>
      </c>
      <c r="I146" s="37">
        <v>3</v>
      </c>
      <c r="J146" s="37">
        <v>1</v>
      </c>
      <c r="K146" s="37" t="s">
        <v>8</v>
      </c>
    </row>
    <row r="147" spans="1:11">
      <c r="A147" s="36">
        <f ca="1" t="shared" si="2"/>
        <v>29</v>
      </c>
      <c r="B147" s="36" t="str">
        <f ca="1" t="array" ref="B147">INDEX(Data_DBD!$C:$C,$A147)</f>
        <v>2 Hari</v>
      </c>
      <c r="C147" s="36">
        <f ca="1" t="array" ref="C147">INDEX(Data_DBD!$E:$E,$A147)</f>
        <v>1</v>
      </c>
      <c r="D147" s="36" t="str">
        <f ca="1" t="array" ref="D147">INDEX(Data_DBD!$F:$F,$A147)</f>
        <v>Sedang</v>
      </c>
      <c r="H147" s="37">
        <v>6</v>
      </c>
      <c r="I147" s="37">
        <v>4</v>
      </c>
      <c r="J147" s="37">
        <v>0</v>
      </c>
      <c r="K147" s="37" t="s">
        <v>8</v>
      </c>
    </row>
    <row r="148" spans="1:11">
      <c r="A148" s="36">
        <f ca="1" t="shared" si="2"/>
        <v>71</v>
      </c>
      <c r="B148" s="36" t="str">
        <f ca="1" t="array" ref="B148">INDEX(Data_DBD!$C:$C,$A148)</f>
        <v>3 Hari</v>
      </c>
      <c r="C148" s="36">
        <f ca="1" t="array" ref="C148">INDEX(Data_DBD!$E:$E,$A148)</f>
        <v>0</v>
      </c>
      <c r="D148" s="36" t="str">
        <f ca="1" t="array" ref="D148">INDEX(Data_DBD!$F:$F,$A148)</f>
        <v>Sedang</v>
      </c>
      <c r="H148" s="37">
        <v>99</v>
      </c>
      <c r="I148" s="37">
        <v>2</v>
      </c>
      <c r="J148" s="37">
        <v>1</v>
      </c>
      <c r="K148" s="37" t="s">
        <v>105</v>
      </c>
    </row>
    <row r="149" spans="1:11">
      <c r="A149" s="36">
        <f ca="1" t="shared" si="2"/>
        <v>119</v>
      </c>
      <c r="B149" s="36" t="str">
        <f ca="1" t="array" ref="B149">INDEX(Data_DBD!$C:$C,$A149)</f>
        <v>7 Hari</v>
      </c>
      <c r="C149" s="36">
        <f ca="1" t="array" ref="C149">INDEX(Data_DBD!$E:$E,$A149)</f>
        <v>0</v>
      </c>
      <c r="D149" s="36" t="str">
        <f ca="1" t="array" ref="D149">INDEX(Data_DBD!$F:$F,$A149)</f>
        <v>Tinggi</v>
      </c>
      <c r="H149" s="37">
        <v>121</v>
      </c>
      <c r="I149" s="37">
        <v>5</v>
      </c>
      <c r="J149" s="37">
        <v>1</v>
      </c>
      <c r="K149" s="37" t="s">
        <v>105</v>
      </c>
    </row>
    <row r="150" spans="1:11">
      <c r="A150" s="36">
        <f ca="1" t="shared" si="2"/>
        <v>52</v>
      </c>
      <c r="B150" s="36" t="str">
        <f ca="1" t="array" ref="B150">INDEX(Data_DBD!$C:$C,$A150)</f>
        <v>4 Hari</v>
      </c>
      <c r="C150" s="36">
        <f ca="1" t="array" ref="C150">INDEX(Data_DBD!$E:$E,$A150)</f>
        <v>1</v>
      </c>
      <c r="D150" s="36" t="str">
        <f ca="1" t="array" ref="D150">INDEX(Data_DBD!$F:$F,$A150)</f>
        <v>Sedang</v>
      </c>
      <c r="H150" s="37">
        <v>11</v>
      </c>
      <c r="I150" s="37">
        <v>5</v>
      </c>
      <c r="J150" s="37">
        <v>1</v>
      </c>
      <c r="K150" s="37" t="s">
        <v>8</v>
      </c>
    </row>
    <row r="151" spans="1:11">
      <c r="A151" s="36">
        <f ca="1" t="shared" si="2"/>
        <v>109</v>
      </c>
      <c r="B151" s="36" t="str">
        <f ca="1" t="array" ref="B151">INDEX(Data_DBD!$C:$C,$A151)</f>
        <v>3 Hari</v>
      </c>
      <c r="C151" s="36">
        <f ca="1" t="array" ref="C151">INDEX(Data_DBD!$E:$E,$A151)</f>
        <v>1</v>
      </c>
      <c r="D151" s="36" t="str">
        <f ca="1" t="array" ref="D151">INDEX(Data_DBD!$F:$F,$A151)</f>
        <v>Tinggi</v>
      </c>
      <c r="H151" s="37">
        <v>150</v>
      </c>
      <c r="I151" s="37">
        <v>5</v>
      </c>
      <c r="J151" s="37">
        <v>1</v>
      </c>
      <c r="K151" s="37" t="s">
        <v>105</v>
      </c>
    </row>
    <row r="152" spans="1:11">
      <c r="A152" s="36">
        <f ca="1" t="shared" si="2"/>
        <v>126</v>
      </c>
      <c r="B152" s="36" t="str">
        <f ca="1" t="array" ref="B152">INDEX(Data_DBD!$C:$C,$A152)</f>
        <v>3 Hari</v>
      </c>
      <c r="C152" s="36">
        <f ca="1" t="array" ref="C152">INDEX(Data_DBD!$E:$E,$A152)</f>
        <v>1</v>
      </c>
      <c r="D152" s="36" t="str">
        <f ca="1" t="array" ref="D152">INDEX(Data_DBD!$F:$F,$A152)</f>
        <v>Tinggi</v>
      </c>
      <c r="H152" s="37">
        <v>7</v>
      </c>
      <c r="I152" s="37">
        <v>1</v>
      </c>
      <c r="J152" s="37">
        <v>1</v>
      </c>
      <c r="K152" s="37" t="s">
        <v>8</v>
      </c>
    </row>
    <row r="153" spans="1:11">
      <c r="A153" s="36">
        <f ca="1" t="shared" si="2"/>
        <v>118</v>
      </c>
      <c r="B153" s="36" t="str">
        <f ca="1" t="array" ref="B153">INDEX(Data_DBD!$C:$C,$A153)</f>
        <v>4 Hari</v>
      </c>
      <c r="C153" s="36">
        <f ca="1" t="array" ref="C153">INDEX(Data_DBD!$E:$E,$A153)</f>
        <v>1</v>
      </c>
      <c r="D153" s="36" t="str">
        <f ca="1" t="array" ref="D153">INDEX(Data_DBD!$F:$F,$A153)</f>
        <v>Tinggi</v>
      </c>
      <c r="H153" s="37">
        <v>164</v>
      </c>
      <c r="I153" s="37">
        <v>6</v>
      </c>
      <c r="J153" s="37">
        <v>0</v>
      </c>
      <c r="K153" s="37" t="s">
        <v>26</v>
      </c>
    </row>
    <row r="154" spans="1:11">
      <c r="A154" s="36">
        <f ca="1" t="shared" si="2"/>
        <v>4</v>
      </c>
      <c r="B154" s="36" t="str">
        <f ca="1" t="array" ref="B154">INDEX(Data_DBD!$C:$C,$A154)</f>
        <v>5 Hari</v>
      </c>
      <c r="C154" s="36">
        <f ca="1" t="array" ref="C154">INDEX(Data_DBD!$E:$E,$A154)</f>
        <v>0</v>
      </c>
      <c r="D154" s="36" t="str">
        <f ca="1" t="array" ref="D154">INDEX(Data_DBD!$F:$F,$A154)</f>
        <v>Sedang</v>
      </c>
      <c r="H154" s="37">
        <v>129</v>
      </c>
      <c r="I154" s="37">
        <v>3</v>
      </c>
      <c r="J154" s="37">
        <v>0</v>
      </c>
      <c r="K154" s="37" t="s">
        <v>105</v>
      </c>
    </row>
    <row r="155" spans="1:11">
      <c r="A155" s="36">
        <f ca="1" t="shared" si="2"/>
        <v>68</v>
      </c>
      <c r="B155" s="36" t="str">
        <f ca="1" t="array" ref="B155">INDEX(Data_DBD!$C:$C,$A155)</f>
        <v>5 Hari</v>
      </c>
      <c r="C155" s="36">
        <f ca="1" t="array" ref="C155">INDEX(Data_DBD!$E:$E,$A155)</f>
        <v>0</v>
      </c>
      <c r="D155" s="36" t="str">
        <f ca="1" t="array" ref="D155">INDEX(Data_DBD!$F:$F,$A155)</f>
        <v>Sedang</v>
      </c>
      <c r="H155" s="37">
        <v>132</v>
      </c>
      <c r="I155" s="37">
        <v>3</v>
      </c>
      <c r="J155" s="37">
        <v>1</v>
      </c>
      <c r="K155" s="37" t="s">
        <v>105</v>
      </c>
    </row>
    <row r="156" spans="1:11">
      <c r="A156" s="36">
        <f ca="1" t="shared" si="2"/>
        <v>142</v>
      </c>
      <c r="B156" s="36" t="str">
        <f ca="1" t="array" ref="B156">INDEX(Data_DBD!$C:$C,$A156)</f>
        <v>2 Hari</v>
      </c>
      <c r="C156" s="36">
        <f ca="1" t="array" ref="C156">INDEX(Data_DBD!$E:$E,$A156)</f>
        <v>1</v>
      </c>
      <c r="D156" s="36" t="str">
        <f ca="1" t="array" ref="D156">INDEX(Data_DBD!$F:$F,$A156)</f>
        <v>Tinggi</v>
      </c>
      <c r="H156" s="37">
        <v>147</v>
      </c>
      <c r="I156" s="37">
        <v>10</v>
      </c>
      <c r="J156" s="37">
        <v>1</v>
      </c>
      <c r="K156" s="37" t="s">
        <v>105</v>
      </c>
    </row>
    <row r="157" spans="1:11">
      <c r="A157" s="36">
        <f ca="1" t="shared" si="2"/>
        <v>36</v>
      </c>
      <c r="B157" s="36" t="str">
        <f ca="1" t="array" ref="B157">INDEX(Data_DBD!$C:$C,$A157)</f>
        <v>1 Hari</v>
      </c>
      <c r="C157" s="36">
        <f ca="1" t="array" ref="C157">INDEX(Data_DBD!$E:$E,$A157)</f>
        <v>1</v>
      </c>
      <c r="D157" s="36" t="str">
        <f ca="1" t="array" ref="D157">INDEX(Data_DBD!$F:$F,$A157)</f>
        <v>Rendah</v>
      </c>
      <c r="H157" s="37">
        <v>36</v>
      </c>
      <c r="I157" s="37">
        <v>1</v>
      </c>
      <c r="J157" s="37">
        <v>1</v>
      </c>
      <c r="K157" s="37" t="s">
        <v>26</v>
      </c>
    </row>
    <row r="158" ht="15.75" spans="1:20">
      <c r="A158" s="36">
        <f ca="1" t="shared" si="2"/>
        <v>54</v>
      </c>
      <c r="B158" s="36" t="str">
        <f ca="1" t="array" ref="B158">INDEX(Data_DBD!$C:$C,$A158)</f>
        <v>3 Hari</v>
      </c>
      <c r="C158" s="36">
        <f ca="1" t="array" ref="C158">INDEX(Data_DBD!$E:$E,$A158)</f>
        <v>0</v>
      </c>
      <c r="D158" s="36" t="str">
        <f ca="1" t="array" ref="D158">INDEX(Data_DBD!$F:$F,$A158)</f>
        <v>Sedang</v>
      </c>
      <c r="H158" s="37">
        <v>150</v>
      </c>
      <c r="I158" s="37">
        <v>5</v>
      </c>
      <c r="J158" s="37">
        <v>1</v>
      </c>
      <c r="K158" s="37" t="s">
        <v>105</v>
      </c>
      <c r="T158" s="42" t="s">
        <v>318</v>
      </c>
    </row>
    <row r="159" ht="15.75" spans="1:20">
      <c r="A159" s="36">
        <f ca="1" t="shared" si="2"/>
        <v>101</v>
      </c>
      <c r="B159" s="36" t="str">
        <f ca="1" t="array" ref="B159">INDEX(Data_DBD!$C:$C,$A159)</f>
        <v>5 Hari</v>
      </c>
      <c r="C159" s="36">
        <f ca="1" t="array" ref="C159">INDEX(Data_DBD!$E:$E,$A159)</f>
        <v>0</v>
      </c>
      <c r="D159" s="36" t="str">
        <f ca="1" t="array" ref="D159">INDEX(Data_DBD!$F:$F,$A159)</f>
        <v>Tinggi</v>
      </c>
      <c r="H159" s="37">
        <v>80</v>
      </c>
      <c r="I159" s="37">
        <v>3</v>
      </c>
      <c r="J159" s="37">
        <v>1</v>
      </c>
      <c r="K159" s="37" t="s">
        <v>8</v>
      </c>
      <c r="T159" s="43" t="s">
        <v>187</v>
      </c>
    </row>
    <row r="160" ht="15.75" spans="1:20">
      <c r="A160" s="36">
        <f ca="1" t="shared" si="2"/>
        <v>24</v>
      </c>
      <c r="B160" s="36" t="str">
        <f ca="1" t="array" ref="B160">INDEX(Data_DBD!$C:$C,$A160)</f>
        <v>4 Hari</v>
      </c>
      <c r="C160" s="36">
        <f ca="1" t="array" ref="C160">INDEX(Data_DBD!$E:$E,$A160)</f>
        <v>0</v>
      </c>
      <c r="D160" s="36" t="str">
        <f ca="1" t="array" ref="D160">INDEX(Data_DBD!$F:$F,$A160)</f>
        <v>Sedang</v>
      </c>
      <c r="H160" s="37">
        <v>117</v>
      </c>
      <c r="I160" s="37">
        <v>4</v>
      </c>
      <c r="J160" s="37">
        <v>1</v>
      </c>
      <c r="K160" s="37" t="s">
        <v>105</v>
      </c>
      <c r="T160" s="44" t="s">
        <v>319</v>
      </c>
    </row>
    <row r="161" ht="15.75" spans="1:20">
      <c r="A161" s="36">
        <f ca="1" t="shared" si="2"/>
        <v>34</v>
      </c>
      <c r="B161" s="36" t="str">
        <f ca="1" t="array" ref="B161">INDEX(Data_DBD!$C:$C,$A161)</f>
        <v>3 Hari</v>
      </c>
      <c r="C161" s="36">
        <f ca="1" t="array" ref="C161">INDEX(Data_DBD!$E:$E,$A161)</f>
        <v>0</v>
      </c>
      <c r="D161" s="36" t="str">
        <f ca="1" t="array" ref="D161">INDEX(Data_DBD!$F:$F,$A161)</f>
        <v>Sedang</v>
      </c>
      <c r="H161" s="37">
        <v>77</v>
      </c>
      <c r="I161" s="37">
        <v>4</v>
      </c>
      <c r="J161" s="37">
        <v>1</v>
      </c>
      <c r="K161" s="37" t="s">
        <v>8</v>
      </c>
      <c r="T161" s="44" t="s">
        <v>237</v>
      </c>
    </row>
    <row r="162" ht="15.75" spans="1:20">
      <c r="A162" s="36">
        <f ca="1" t="shared" si="2"/>
        <v>30</v>
      </c>
      <c r="B162" s="36" t="str">
        <f ca="1" t="array" ref="B162">INDEX(Data_DBD!$C:$C,$A162)</f>
        <v>2 Hari</v>
      </c>
      <c r="C162" s="36">
        <f ca="1" t="array" ref="C162">INDEX(Data_DBD!$E:$E,$A162)</f>
        <v>1</v>
      </c>
      <c r="D162" s="36" t="str">
        <f ca="1" t="array" ref="D162">INDEX(Data_DBD!$F:$F,$A162)</f>
        <v>Sedang</v>
      </c>
      <c r="H162" s="37">
        <v>33</v>
      </c>
      <c r="I162" s="37">
        <v>4</v>
      </c>
      <c r="J162" s="37">
        <v>1</v>
      </c>
      <c r="K162" s="37" t="s">
        <v>8</v>
      </c>
      <c r="T162" s="43" t="s">
        <v>190</v>
      </c>
    </row>
    <row r="163" ht="15.75" spans="1:20">
      <c r="A163" s="36">
        <f ca="1" t="shared" si="2"/>
        <v>117</v>
      </c>
      <c r="B163" s="36" t="str">
        <f ca="1" t="array" ref="B163">INDEX(Data_DBD!$C:$C,$A163)</f>
        <v>4 Hari</v>
      </c>
      <c r="C163" s="36">
        <f ca="1" t="array" ref="C163">INDEX(Data_DBD!$E:$E,$A163)</f>
        <v>1</v>
      </c>
      <c r="D163" s="36" t="str">
        <f ca="1" t="array" ref="D163">INDEX(Data_DBD!$F:$F,$A163)</f>
        <v>Tinggi</v>
      </c>
      <c r="H163" s="37">
        <v>20</v>
      </c>
      <c r="I163" s="37">
        <v>5</v>
      </c>
      <c r="J163" s="37">
        <v>0</v>
      </c>
      <c r="K163" s="37" t="s">
        <v>26</v>
      </c>
      <c r="T163" s="44" t="s">
        <v>320</v>
      </c>
    </row>
    <row r="164" ht="15.75" spans="1:20">
      <c r="A164" s="36">
        <f ca="1" t="shared" si="2"/>
        <v>71</v>
      </c>
      <c r="B164" s="36" t="str">
        <f ca="1" t="array" ref="B164">INDEX(Data_DBD!$C:$C,$A164)</f>
        <v>3 Hari</v>
      </c>
      <c r="C164" s="36">
        <f ca="1" t="array" ref="C164">INDEX(Data_DBD!$E:$E,$A164)</f>
        <v>0</v>
      </c>
      <c r="D164" s="36" t="str">
        <f ca="1" t="array" ref="D164">INDEX(Data_DBD!$F:$F,$A164)</f>
        <v>Sedang</v>
      </c>
      <c r="H164" s="37">
        <v>83</v>
      </c>
      <c r="I164" s="37">
        <v>3</v>
      </c>
      <c r="J164" s="37">
        <v>0</v>
      </c>
      <c r="K164" s="37" t="s">
        <v>8</v>
      </c>
      <c r="T164" s="44" t="s">
        <v>239</v>
      </c>
    </row>
    <row r="165" ht="15.75" spans="9:20">
      <c r="I165">
        <f>AVERAGE(I2:I164)</f>
        <v>3.60122699386503</v>
      </c>
      <c r="J165">
        <f>AVERAGE(J2:J164)</f>
        <v>0.619631901840491</v>
      </c>
      <c r="T165" s="43" t="s">
        <v>193</v>
      </c>
    </row>
    <row r="166" ht="15.75" spans="2:20">
      <c r="B166">
        <v>89</v>
      </c>
      <c r="T166" s="44" t="s">
        <v>321</v>
      </c>
    </row>
    <row r="168" spans="9:13">
      <c r="I168" s="40" t="s">
        <v>208</v>
      </c>
      <c r="M168" s="40" t="s">
        <v>210</v>
      </c>
    </row>
    <row r="169" spans="9:15">
      <c r="I169" s="36" t="s">
        <v>211</v>
      </c>
      <c r="J169" s="36">
        <f>AVERAGEIF($I$2:$I$164,"&lt;="&amp;$I$165)</f>
        <v>2.47435897435897</v>
      </c>
      <c r="K169" s="36">
        <f>AVERAGEIF($I$2:$I$164,"&gt;"&amp;$I$165)</f>
        <v>4.63529411764706</v>
      </c>
      <c r="M169" s="36" t="s">
        <v>213</v>
      </c>
      <c r="N169" s="36">
        <f>AVERAGEIF($J$2:$J$164,"&lt;="&amp;$J$165)</f>
        <v>0</v>
      </c>
      <c r="O169" s="36">
        <f>AVERAGEIF($J$2:$J$164,"&gt;"&amp;$J$165)</f>
        <v>1</v>
      </c>
    </row>
    <row r="170" spans="9:15">
      <c r="I170" s="36" t="str">
        <f t="array" ref="I170:I332">IF($I$2:$I$164&lt;$J$169,"kiri",IF($I$2:$I$164&lt;$K$169,"tengah","kanan"))</f>
        <v>kanan</v>
      </c>
      <c r="J170" s="36" t="s">
        <v>322</v>
      </c>
      <c r="K170" s="36"/>
      <c r="M170" s="36" t="str">
        <f t="array" ref="M170:M332">IF($J$2:$J$164&lt;$N$169,"kiri",IF($J$2:$J$164&lt;$O$169,"tengah","kanan"))</f>
        <v>kanan</v>
      </c>
      <c r="N170" s="36" t="s">
        <v>217</v>
      </c>
      <c r="O170" s="36"/>
    </row>
    <row r="171" spans="9:15">
      <c r="I171" s="36" t="str">
        <v>kiri</v>
      </c>
      <c r="J171" s="36">
        <f>COUNTIFS($I$170:$I$332,"Kanan",$K$2:$K$164,"Tinggi")</f>
        <v>14</v>
      </c>
      <c r="K171" s="36">
        <f>J171/39</f>
        <v>0.358974358974359</v>
      </c>
      <c r="M171" s="36" t="str">
        <v>kanan</v>
      </c>
      <c r="N171" s="36">
        <f>COUNTIFS($M$170:$M$332,"Kanan",$K$2:$K$164,"Tinggi")</f>
        <v>48</v>
      </c>
      <c r="O171" s="36">
        <f>N171/101</f>
        <v>0.475247524752475</v>
      </c>
    </row>
    <row r="172" spans="9:15">
      <c r="I172" s="36" t="str">
        <v>tengah</v>
      </c>
      <c r="J172" s="36">
        <f>COUNTIFS($I$170:$I$332,"Kanan",$K$2:$K$164,"Sedang")</f>
        <v>21</v>
      </c>
      <c r="K172" s="36">
        <f>J172/39</f>
        <v>0.538461538461538</v>
      </c>
      <c r="M172" s="36" t="str">
        <v>kanan</v>
      </c>
      <c r="N172" s="36">
        <f>COUNTIFS($M$170:$M$332,"Kanan",$K$2:$K$164,"Sedang")</f>
        <v>40</v>
      </c>
      <c r="O172" s="36">
        <f>N172/101</f>
        <v>0.396039603960396</v>
      </c>
    </row>
    <row r="173" spans="9:15">
      <c r="I173" s="36" t="str">
        <v>tengah</v>
      </c>
      <c r="J173" s="36">
        <f>COUNTIFS($I$170:$I$332,"Kanan",$K$2:$K$164,"Rendah")</f>
        <v>4</v>
      </c>
      <c r="K173" s="36">
        <f>J173/39</f>
        <v>0.102564102564103</v>
      </c>
      <c r="M173" s="36" t="str">
        <v>tengah</v>
      </c>
      <c r="N173" s="36">
        <f>COUNTIFS($M$170:$M$332,"Kanan",$K$2:$K$164,"Rendah")</f>
        <v>13</v>
      </c>
      <c r="O173" s="36">
        <f>N173/101</f>
        <v>0.128712871287129</v>
      </c>
    </row>
    <row r="174" spans="9:15">
      <c r="I174" s="36" t="str">
        <v>kanan</v>
      </c>
      <c r="J174" s="36" t="s">
        <v>218</v>
      </c>
      <c r="K174" s="36">
        <f>-(IFERROR(K171*LOG(K171,2),0)+IFERROR(K172*LOG(K172,2),0)+IFERROR(K173*LOG(K173,2),0))</f>
        <v>1.34843722431967</v>
      </c>
      <c r="M174" s="36" t="str">
        <v>kanan</v>
      </c>
      <c r="N174" s="36" t="s">
        <v>218</v>
      </c>
      <c r="O174" s="36">
        <f>-(IFERROR(O171*LOG(O171,2),0)+IFERROR(O172*LOG(O172,2),0)+IFERROR(O173*LOG(O173,2),0))</f>
        <v>1.4199833622969</v>
      </c>
    </row>
    <row r="175" spans="9:15">
      <c r="I175" s="36" t="str">
        <v>kanan</v>
      </c>
      <c r="J175" s="36"/>
      <c r="K175" s="36">
        <f>SUM(J171:J173)/163</f>
        <v>0.239263803680982</v>
      </c>
      <c r="M175" s="36" t="str">
        <v>tengah</v>
      </c>
      <c r="N175" s="36"/>
      <c r="O175" s="36">
        <f>SUM(N171:N173)/163</f>
        <v>0.619631901840491</v>
      </c>
    </row>
    <row r="176" spans="9:15">
      <c r="I176" s="36" t="str">
        <v>kanan</v>
      </c>
      <c r="J176" s="36"/>
      <c r="K176" s="41">
        <f>K174*K175</f>
        <v>0.32263221931575</v>
      </c>
      <c r="M176" s="36" t="str">
        <v>tengah</v>
      </c>
      <c r="N176" s="36"/>
      <c r="O176" s="41">
        <f>O174*O175</f>
        <v>0.879866991361884</v>
      </c>
    </row>
    <row r="177" spans="9:15">
      <c r="I177" s="36" t="str">
        <v>kanan</v>
      </c>
      <c r="J177" s="36"/>
      <c r="K177" s="36"/>
      <c r="M177" s="36" t="str">
        <v>kanan</v>
      </c>
      <c r="N177" s="36"/>
      <c r="O177" s="36"/>
    </row>
    <row r="178" spans="9:15">
      <c r="I178" s="36" t="str">
        <v>tengah</v>
      </c>
      <c r="J178" s="36"/>
      <c r="K178" s="36"/>
      <c r="M178" s="36" t="str">
        <v>tengah</v>
      </c>
      <c r="N178" s="36"/>
      <c r="O178" s="36"/>
    </row>
    <row r="179" spans="9:15">
      <c r="I179" s="36" t="str">
        <v>kiri</v>
      </c>
      <c r="J179" s="36" t="s">
        <v>323</v>
      </c>
      <c r="K179" s="36"/>
      <c r="M179" s="36" t="str">
        <v>kanan</v>
      </c>
      <c r="N179" s="36" t="s">
        <v>222</v>
      </c>
      <c r="O179" s="36"/>
    </row>
    <row r="180" spans="9:15">
      <c r="I180" s="36" t="str">
        <v>kiri</v>
      </c>
      <c r="J180" s="36">
        <f>COUNTIFS($I$170:$I$332,"Kiri",$K$2:$K$164,"Tinggi")</f>
        <v>20</v>
      </c>
      <c r="K180" s="36">
        <f>J180/35</f>
        <v>0.571428571428571</v>
      </c>
      <c r="M180" s="36" t="str">
        <v>tengah</v>
      </c>
      <c r="N180" s="36">
        <f ca="1">COUNTIFS($N$170:$N$332,"Kiri",$K$2:$K$164,"Tinggi")</f>
        <v>0</v>
      </c>
      <c r="O180" s="36">
        <f ca="1">N180/101</f>
        <v>0</v>
      </c>
    </row>
    <row r="181" spans="9:15">
      <c r="I181" s="36" t="str">
        <v>tengah</v>
      </c>
      <c r="J181" s="36">
        <f>COUNTIFS($I$170:$I$332,"Kiri",$K$2:$K$164,"Sedang")</f>
        <v>11</v>
      </c>
      <c r="K181" s="36">
        <f>J181/35</f>
        <v>0.314285714285714</v>
      </c>
      <c r="M181" s="36" t="str">
        <v>tengah</v>
      </c>
      <c r="N181" s="36">
        <f ca="1">COUNTIFS($N$170:$N$332,"Kiri",$K$2:$K$164,"Sedang")</f>
        <v>0</v>
      </c>
      <c r="O181" s="36">
        <f ca="1">N181/101</f>
        <v>0</v>
      </c>
    </row>
    <row r="182" spans="9:15">
      <c r="I182" s="36" t="str">
        <v>tengah</v>
      </c>
      <c r="J182" s="36">
        <f>COUNTIFS($I$170:$I$332,"Kiri",$K$2:$K$164,"Rendah")</f>
        <v>4</v>
      </c>
      <c r="K182" s="36">
        <f>J182/35</f>
        <v>0.114285714285714</v>
      </c>
      <c r="M182" s="36" t="str">
        <v>kanan</v>
      </c>
      <c r="N182" s="36">
        <f ca="1">COUNTIFS($N$170:$N$332,"Kiri",$K$2:$K$164,"Rendah")</f>
        <v>0</v>
      </c>
      <c r="O182" s="36">
        <f ca="1">N182/101</f>
        <v>0</v>
      </c>
    </row>
    <row r="183" spans="9:15">
      <c r="I183" s="36" t="str">
        <v>tengah</v>
      </c>
      <c r="J183" s="36" t="s">
        <v>218</v>
      </c>
      <c r="K183" s="36">
        <f>-(IFERROR(K180*LOG(K180,2),0)+IFERROR(K181*LOG(K181,2),0)+IFERROR(K182*LOG(K182,2),0))</f>
        <v>1.34378845400904</v>
      </c>
      <c r="M183" s="36" t="str">
        <v>kanan</v>
      </c>
      <c r="N183" s="36" t="s">
        <v>218</v>
      </c>
      <c r="O183" s="36">
        <f ca="1">-(IFERROR(O180*LOG(O180,2),0)+IFERROR(O181*LOG(O181,2),0)+IFERROR(O182*LOG(O182,2),0))</f>
        <v>0</v>
      </c>
    </row>
    <row r="184" spans="9:15">
      <c r="I184" s="36" t="str">
        <v>tengah</v>
      </c>
      <c r="J184" s="36"/>
      <c r="K184" s="36">
        <f>SUM(J180:J182)/163</f>
        <v>0.214723926380368</v>
      </c>
      <c r="M184" s="36" t="str">
        <v>kanan</v>
      </c>
      <c r="N184" s="36"/>
      <c r="O184" s="36">
        <f ca="1">SUM(N180:N182)/163</f>
        <v>0</v>
      </c>
    </row>
    <row r="185" spans="9:15">
      <c r="I185" s="36" t="str">
        <v>tengah</v>
      </c>
      <c r="J185" s="36"/>
      <c r="K185" s="41">
        <f>K183*K184</f>
        <v>0.288543533069425</v>
      </c>
      <c r="M185" s="36" t="str">
        <v>kanan</v>
      </c>
      <c r="N185" s="36"/>
      <c r="O185" s="41">
        <f ca="1">O183*O184</f>
        <v>0</v>
      </c>
    </row>
    <row r="186" spans="9:15">
      <c r="I186" s="36" t="str">
        <v>tengah</v>
      </c>
      <c r="J186" s="36"/>
      <c r="K186" s="36"/>
      <c r="M186" s="36" t="str">
        <v>kanan</v>
      </c>
      <c r="N186" s="36"/>
      <c r="O186" s="36"/>
    </row>
    <row r="187" spans="9:15">
      <c r="I187" s="36" t="str">
        <v>kanan</v>
      </c>
      <c r="J187" s="36"/>
      <c r="K187" s="36"/>
      <c r="M187" s="36" t="str">
        <v>kanan</v>
      </c>
      <c r="N187" s="36"/>
      <c r="O187" s="36"/>
    </row>
    <row r="188" spans="9:15">
      <c r="I188" s="36" t="str">
        <v>tengah</v>
      </c>
      <c r="J188" s="36" t="s">
        <v>223</v>
      </c>
      <c r="K188" s="36"/>
      <c r="M188" s="36" t="str">
        <v>kanan</v>
      </c>
      <c r="N188" s="36" t="s">
        <v>223</v>
      </c>
      <c r="O188" s="36"/>
    </row>
    <row r="189" spans="9:15">
      <c r="I189" s="36" t="str">
        <v>tengah</v>
      </c>
      <c r="J189" s="36">
        <f>COUNTIFS($I$170:$I$332,"Tengah",$K$2:$K$164,"Tinggi")</f>
        <v>37</v>
      </c>
      <c r="K189" s="36">
        <f>J189/89</f>
        <v>0.415730337078652</v>
      </c>
      <c r="M189" s="36" t="str">
        <v>tengah</v>
      </c>
      <c r="N189" s="36">
        <f>COUNTIFS($M$170:$M$332,"Tengah",$K$2:$K$164,"Tinggi")</f>
        <v>23</v>
      </c>
      <c r="O189" s="36">
        <f>N189/62</f>
        <v>0.370967741935484</v>
      </c>
    </row>
    <row r="190" spans="9:15">
      <c r="I190" s="36" t="str">
        <v>kanan</v>
      </c>
      <c r="J190" s="36">
        <f>COUNTIFS($I$170:$I$332,"Tengah",$K$2:$K$164,"Sedang")</f>
        <v>41</v>
      </c>
      <c r="K190" s="36">
        <f>J190/89</f>
        <v>0.460674157303371</v>
      </c>
      <c r="M190" s="36" t="str">
        <v>kanan</v>
      </c>
      <c r="N190" s="36">
        <f>COUNTIFS($M$170:$M$332,"Tengah",$K$2:$K$164,"Sedang")</f>
        <v>33</v>
      </c>
      <c r="O190" s="36">
        <f>N190/62</f>
        <v>0.532258064516129</v>
      </c>
    </row>
    <row r="191" spans="9:15">
      <c r="I191" s="36" t="str">
        <v>tengah</v>
      </c>
      <c r="J191" s="36">
        <f>COUNTIFS($I$170:$I$332,"Tengah",$K$2:$K$164,"Rendah")</f>
        <v>11</v>
      </c>
      <c r="K191" s="36">
        <f>J191/89</f>
        <v>0.123595505617978</v>
      </c>
      <c r="M191" s="36" t="str">
        <v>kanan</v>
      </c>
      <c r="N191" s="36">
        <f>COUNTIFS($M$170:$M$332,"Tengah",$K$2:$K$164,"Rendah")</f>
        <v>6</v>
      </c>
      <c r="O191" s="36">
        <f>N191/69</f>
        <v>0.0869565217391304</v>
      </c>
    </row>
    <row r="192" spans="9:15">
      <c r="I192" s="36" t="str">
        <v>kiri</v>
      </c>
      <c r="J192" s="36" t="s">
        <v>218</v>
      </c>
      <c r="K192" s="36">
        <f>-(IFERROR(K189*LOG(K189,2),0)+IFERROR(K190*LOG(K190,2),0)+IFERROR(K191*LOG(K191,2),0))</f>
        <v>1.41434967228524</v>
      </c>
      <c r="M192" s="36" t="str">
        <v>tengah</v>
      </c>
      <c r="N192" s="36" t="s">
        <v>218</v>
      </c>
      <c r="O192" s="36">
        <f>-(IFERROR(O189*LOG(O189,2),0)+IFERROR(O190*LOG(O190,2),0)+IFERROR(O191*LOG(O191,2),0))</f>
        <v>1.32136544108144</v>
      </c>
    </row>
    <row r="193" spans="9:15">
      <c r="I193" s="36" t="str">
        <v>tengah</v>
      </c>
      <c r="J193" s="36"/>
      <c r="K193" s="36">
        <f>SUM(J189:J191)/163</f>
        <v>0.54601226993865</v>
      </c>
      <c r="M193" s="36" t="str">
        <v>kanan</v>
      </c>
      <c r="N193" s="36"/>
      <c r="O193" s="36">
        <f>SUM(N189:N191)/163</f>
        <v>0.380368098159509</v>
      </c>
    </row>
    <row r="194" spans="9:15">
      <c r="I194" s="36" t="str">
        <v>tengah</v>
      </c>
      <c r="J194" s="36"/>
      <c r="K194" s="41">
        <f>K192*K193</f>
        <v>0.772252275051451</v>
      </c>
      <c r="M194" s="36" t="str">
        <v>tengah</v>
      </c>
      <c r="N194" s="36"/>
      <c r="O194" s="41">
        <f>O192*O193</f>
        <v>0.50260525979785</v>
      </c>
    </row>
    <row r="195" spans="9:15">
      <c r="I195" s="36" t="str">
        <v>tengah</v>
      </c>
      <c r="J195" s="36"/>
      <c r="K195" s="36"/>
      <c r="M195" s="36" t="str">
        <v>kanan</v>
      </c>
      <c r="N195" s="36"/>
      <c r="O195" s="36"/>
    </row>
    <row r="196" spans="9:15">
      <c r="I196" s="36" t="str">
        <v>tengah</v>
      </c>
      <c r="J196" s="36" t="s">
        <v>224</v>
      </c>
      <c r="K196" s="45" t="s">
        <v>218</v>
      </c>
      <c r="M196" s="36" t="str">
        <v>kanan</v>
      </c>
      <c r="N196" s="36" t="s">
        <v>224</v>
      </c>
      <c r="O196" s="45" t="s">
        <v>218</v>
      </c>
    </row>
    <row r="197" spans="9:15">
      <c r="I197" s="36" t="str">
        <v>kanan</v>
      </c>
      <c r="J197" s="46">
        <f>P5-(K176+K185+K194)</f>
        <v>0.0192887093803296</v>
      </c>
      <c r="K197" s="41">
        <f>(K176+K185+K194)</f>
        <v>1.38342802743663</v>
      </c>
      <c r="M197" s="36" t="str">
        <v>tengah</v>
      </c>
      <c r="N197" s="46">
        <f ca="1">P5-(O176+O185+O194)</f>
        <v>0</v>
      </c>
      <c r="O197" s="41">
        <f ca="1">(O176+O185+O194)</f>
        <v>0</v>
      </c>
    </row>
    <row r="198" spans="9:15">
      <c r="I198" s="36" t="str">
        <v>kanan</v>
      </c>
      <c r="J198" s="36"/>
      <c r="K198" s="36"/>
      <c r="M198" s="36" t="str">
        <v>tengah</v>
      </c>
      <c r="N198" s="36"/>
      <c r="O198" s="36"/>
    </row>
    <row r="199" spans="9:15">
      <c r="I199" s="36" t="str">
        <v>kiri</v>
      </c>
      <c r="J199" s="36"/>
      <c r="K199" s="36"/>
      <c r="M199" s="36" t="str">
        <v>tengah</v>
      </c>
      <c r="N199" s="36"/>
      <c r="O199" s="36"/>
    </row>
    <row r="200" spans="9:15">
      <c r="I200" s="36" t="str">
        <v>kiri</v>
      </c>
      <c r="J200" s="36"/>
      <c r="K200" s="36"/>
      <c r="M200" s="36" t="str">
        <v>kanan</v>
      </c>
      <c r="N200" s="36"/>
      <c r="O200" s="36"/>
    </row>
    <row r="201" spans="9:15">
      <c r="I201" s="36" t="str">
        <v>tengah</v>
      </c>
      <c r="J201" s="36"/>
      <c r="K201" s="36"/>
      <c r="M201" s="36" t="str">
        <v>kanan</v>
      </c>
      <c r="N201" s="36"/>
      <c r="O201" s="36"/>
    </row>
    <row r="202" spans="9:15">
      <c r="I202" s="36" t="str">
        <v>tengah</v>
      </c>
      <c r="J202" s="36"/>
      <c r="K202" s="36"/>
      <c r="M202" s="36" t="str">
        <v>tengah</v>
      </c>
      <c r="N202" s="36"/>
      <c r="O202" s="36"/>
    </row>
    <row r="203" spans="9:15">
      <c r="I203" s="36" t="str">
        <v>tengah</v>
      </c>
      <c r="J203" s="36"/>
      <c r="K203" s="36"/>
      <c r="M203" s="36" t="str">
        <v>tengah</v>
      </c>
      <c r="N203" s="36"/>
      <c r="O203" s="36"/>
    </row>
    <row r="204" spans="9:15">
      <c r="I204" s="36" t="str">
        <v>tengah</v>
      </c>
      <c r="J204" s="36"/>
      <c r="K204" s="36"/>
      <c r="M204" s="36" t="str">
        <v>tengah</v>
      </c>
      <c r="N204" s="36"/>
      <c r="O204" s="36"/>
    </row>
    <row r="205" spans="9:15">
      <c r="I205" s="36" t="str">
        <v>kanan</v>
      </c>
      <c r="J205" s="36"/>
      <c r="K205" s="36"/>
      <c r="M205" s="36" t="str">
        <v>kanan</v>
      </c>
      <c r="N205" s="36"/>
      <c r="O205" s="36"/>
    </row>
    <row r="206" spans="9:15">
      <c r="I206" s="36" t="str">
        <v>kiri</v>
      </c>
      <c r="J206" s="36"/>
      <c r="K206" s="36"/>
      <c r="M206" s="36" t="str">
        <v>kanan</v>
      </c>
      <c r="N206" s="36"/>
      <c r="O206" s="36"/>
    </row>
    <row r="207" spans="9:15">
      <c r="I207" s="36" t="str">
        <v>tengah</v>
      </c>
      <c r="J207" s="36"/>
      <c r="K207" s="36"/>
      <c r="M207" s="36" t="str">
        <v>tengah</v>
      </c>
      <c r="N207" s="36"/>
      <c r="O207" s="36"/>
    </row>
    <row r="208" spans="9:15">
      <c r="I208" s="36" t="str">
        <v>kiri</v>
      </c>
      <c r="J208" s="36"/>
      <c r="K208" s="36"/>
      <c r="M208" s="36" t="str">
        <v>kanan</v>
      </c>
      <c r="N208" s="36"/>
      <c r="O208" s="36"/>
    </row>
    <row r="209" spans="9:15">
      <c r="I209" s="36" t="str">
        <v>kanan</v>
      </c>
      <c r="J209" s="36"/>
      <c r="K209" s="36"/>
      <c r="M209" s="36" t="str">
        <v>kanan</v>
      </c>
      <c r="N209" s="36"/>
      <c r="O209" s="36"/>
    </row>
    <row r="210" spans="9:15">
      <c r="I210" s="36" t="str">
        <v>tengah</v>
      </c>
      <c r="J210" s="36"/>
      <c r="K210" s="36"/>
      <c r="M210" s="36" t="str">
        <v>kanan</v>
      </c>
      <c r="N210" s="36"/>
      <c r="O210" s="36"/>
    </row>
    <row r="211" spans="9:15">
      <c r="I211" s="36" t="str">
        <v>tengah</v>
      </c>
      <c r="J211" s="36"/>
      <c r="K211" s="36"/>
      <c r="M211" s="36" t="str">
        <v>kanan</v>
      </c>
      <c r="N211" s="36"/>
      <c r="O211" s="36"/>
    </row>
    <row r="212" spans="9:15">
      <c r="I212" s="36" t="str">
        <v>tengah</v>
      </c>
      <c r="J212" s="36"/>
      <c r="K212" s="36"/>
      <c r="M212" s="36" t="str">
        <v>kanan</v>
      </c>
      <c r="N212" s="36"/>
      <c r="O212" s="36"/>
    </row>
    <row r="213" spans="9:15">
      <c r="I213" s="36" t="str">
        <v>kiri</v>
      </c>
      <c r="J213" s="36"/>
      <c r="K213" s="36"/>
      <c r="M213" s="36" t="str">
        <v>tengah</v>
      </c>
      <c r="N213" s="36"/>
      <c r="O213" s="36"/>
    </row>
    <row r="214" spans="9:15">
      <c r="I214" s="36" t="str">
        <v>tengah</v>
      </c>
      <c r="J214" s="36"/>
      <c r="K214" s="36"/>
      <c r="M214" s="36" t="str">
        <v>kanan</v>
      </c>
      <c r="N214" s="36"/>
      <c r="O214" s="36"/>
    </row>
    <row r="215" spans="9:15">
      <c r="I215" s="36" t="str">
        <v>tengah</v>
      </c>
      <c r="J215" s="36"/>
      <c r="K215" s="36"/>
      <c r="M215" s="36" t="str">
        <v>tengah</v>
      </c>
      <c r="N215" s="36"/>
      <c r="O215" s="36"/>
    </row>
    <row r="216" spans="9:15">
      <c r="I216" s="36" t="str">
        <v>tengah</v>
      </c>
      <c r="J216" s="36"/>
      <c r="K216" s="36"/>
      <c r="M216" s="36" t="str">
        <v>kanan</v>
      </c>
      <c r="N216" s="36"/>
      <c r="O216" s="36"/>
    </row>
    <row r="217" spans="9:15">
      <c r="I217" s="36" t="str">
        <v>tengah</v>
      </c>
      <c r="J217" s="36"/>
      <c r="K217" s="36"/>
      <c r="M217" s="36" t="str">
        <v>kanan</v>
      </c>
      <c r="N217" s="36"/>
      <c r="O217" s="36"/>
    </row>
    <row r="218" spans="9:15">
      <c r="I218" s="36" t="str">
        <v>tengah</v>
      </c>
      <c r="J218" s="36"/>
      <c r="K218" s="36"/>
      <c r="M218" s="36" t="str">
        <v>tengah</v>
      </c>
      <c r="N218" s="36"/>
      <c r="O218" s="36"/>
    </row>
    <row r="219" spans="9:15">
      <c r="I219" s="36" t="str">
        <v>tengah</v>
      </c>
      <c r="J219" s="36"/>
      <c r="K219" s="36"/>
      <c r="M219" s="36" t="str">
        <v>kanan</v>
      </c>
      <c r="N219" s="36"/>
      <c r="O219" s="36"/>
    </row>
    <row r="220" spans="9:15">
      <c r="I220" s="36" t="str">
        <v>kiri</v>
      </c>
      <c r="J220" s="36"/>
      <c r="K220" s="36"/>
      <c r="M220" s="36" t="str">
        <v>tengah</v>
      </c>
      <c r="N220" s="36"/>
      <c r="O220" s="36"/>
    </row>
    <row r="221" spans="9:15">
      <c r="I221" s="36" t="str">
        <v>tengah</v>
      </c>
      <c r="J221" s="36"/>
      <c r="K221" s="36"/>
      <c r="M221" s="36" t="str">
        <v>kanan</v>
      </c>
      <c r="N221" s="36"/>
      <c r="O221" s="36"/>
    </row>
    <row r="222" spans="9:15">
      <c r="I222" s="36" t="str">
        <v>kanan</v>
      </c>
      <c r="J222" s="36"/>
      <c r="K222" s="36"/>
      <c r="M222" s="36" t="str">
        <v>tengah</v>
      </c>
      <c r="N222" s="36"/>
      <c r="O222" s="36"/>
    </row>
    <row r="223" spans="9:15">
      <c r="I223" s="36" t="str">
        <v>tengah</v>
      </c>
      <c r="J223" s="36"/>
      <c r="K223" s="36"/>
      <c r="M223" s="36" t="str">
        <v>kanan</v>
      </c>
      <c r="N223" s="36"/>
      <c r="O223" s="36"/>
    </row>
    <row r="224" spans="9:15">
      <c r="I224" s="36" t="str">
        <v>kanan</v>
      </c>
      <c r="J224" s="36"/>
      <c r="K224" s="36"/>
      <c r="M224" s="36" t="str">
        <v>tengah</v>
      </c>
      <c r="N224" s="36"/>
      <c r="O224" s="36"/>
    </row>
    <row r="225" spans="9:15">
      <c r="I225" s="36" t="str">
        <v>tengah</v>
      </c>
      <c r="J225" s="36"/>
      <c r="K225" s="36"/>
      <c r="M225" s="36" t="str">
        <v>kanan</v>
      </c>
      <c r="N225" s="36"/>
      <c r="O225" s="36"/>
    </row>
    <row r="226" spans="9:15">
      <c r="I226" s="36" t="str">
        <v>tengah</v>
      </c>
      <c r="J226" s="36"/>
      <c r="K226" s="36"/>
      <c r="M226" s="36" t="str">
        <v>tengah</v>
      </c>
      <c r="N226" s="36"/>
      <c r="O226" s="36"/>
    </row>
    <row r="227" spans="9:15">
      <c r="I227" s="36" t="str">
        <v>kiri</v>
      </c>
      <c r="J227" s="36"/>
      <c r="K227" s="36"/>
      <c r="M227" s="36" t="str">
        <v>tengah</v>
      </c>
      <c r="N227" s="36"/>
      <c r="O227" s="36"/>
    </row>
    <row r="228" spans="9:15">
      <c r="I228" s="36" t="str">
        <v>kanan</v>
      </c>
      <c r="J228" s="36"/>
      <c r="K228" s="36"/>
      <c r="M228" s="36" t="str">
        <v>kanan</v>
      </c>
      <c r="N228" s="36"/>
      <c r="O228" s="36"/>
    </row>
    <row r="229" spans="9:15">
      <c r="I229" s="36" t="str">
        <v>kiri</v>
      </c>
      <c r="J229" s="36"/>
      <c r="K229" s="36"/>
      <c r="M229" s="36" t="str">
        <v>kanan</v>
      </c>
      <c r="N229" s="36"/>
      <c r="O229" s="36"/>
    </row>
    <row r="230" spans="9:15">
      <c r="I230" s="36" t="str">
        <v>tengah</v>
      </c>
      <c r="J230" s="36"/>
      <c r="K230" s="36"/>
      <c r="M230" s="36" t="str">
        <v>kanan</v>
      </c>
      <c r="N230" s="36"/>
      <c r="O230" s="36"/>
    </row>
    <row r="231" spans="9:15">
      <c r="I231" s="36" t="str">
        <v>kiri</v>
      </c>
      <c r="J231" s="36"/>
      <c r="K231" s="36"/>
      <c r="M231" s="36" t="str">
        <v>kanan</v>
      </c>
      <c r="N231" s="36"/>
      <c r="O231" s="36"/>
    </row>
    <row r="232" spans="9:15">
      <c r="I232" s="36" t="str">
        <v>tengah</v>
      </c>
      <c r="J232" s="36"/>
      <c r="K232" s="36"/>
      <c r="M232" s="36" t="str">
        <v>kanan</v>
      </c>
      <c r="N232" s="36"/>
      <c r="O232" s="36"/>
    </row>
    <row r="233" spans="9:15">
      <c r="I233" s="36" t="str">
        <v>tengah</v>
      </c>
      <c r="J233" s="36"/>
      <c r="K233" s="36"/>
      <c r="M233" s="36" t="str">
        <v>kanan</v>
      </c>
      <c r="N233" s="36"/>
      <c r="O233" s="36"/>
    </row>
    <row r="234" spans="9:15">
      <c r="I234" s="36" t="str">
        <v>kanan</v>
      </c>
      <c r="J234" s="36"/>
      <c r="K234" s="36"/>
      <c r="M234" s="36" t="str">
        <v>tengah</v>
      </c>
      <c r="N234" s="36"/>
      <c r="O234" s="36"/>
    </row>
    <row r="235" spans="9:15">
      <c r="I235" s="36" t="str">
        <v>kiri</v>
      </c>
      <c r="J235" s="36"/>
      <c r="K235" s="36"/>
      <c r="M235" s="36" t="str">
        <v>tengah</v>
      </c>
      <c r="N235" s="36"/>
      <c r="O235" s="36"/>
    </row>
    <row r="236" spans="9:15">
      <c r="I236" s="36" t="str">
        <v>tengah</v>
      </c>
      <c r="J236" s="36"/>
      <c r="K236" s="36"/>
      <c r="M236" s="36" t="str">
        <v>kanan</v>
      </c>
      <c r="N236" s="36"/>
      <c r="O236" s="36"/>
    </row>
    <row r="237" spans="9:15">
      <c r="I237" s="36" t="str">
        <v>tengah</v>
      </c>
      <c r="J237" s="36"/>
      <c r="K237" s="36"/>
      <c r="M237" s="36" t="str">
        <v>kanan</v>
      </c>
      <c r="N237" s="36"/>
      <c r="O237" s="36"/>
    </row>
    <row r="238" spans="9:15">
      <c r="I238" s="36" t="str">
        <v>tengah</v>
      </c>
      <c r="J238" s="36"/>
      <c r="K238" s="36"/>
      <c r="M238" s="36" t="str">
        <v>kanan</v>
      </c>
      <c r="N238" s="36"/>
      <c r="O238" s="36"/>
    </row>
    <row r="239" spans="9:15">
      <c r="I239" s="36" t="str">
        <v>tengah</v>
      </c>
      <c r="J239" s="36"/>
      <c r="K239" s="36"/>
      <c r="M239" s="36" t="str">
        <v>kanan</v>
      </c>
      <c r="N239" s="36"/>
      <c r="O239" s="36"/>
    </row>
    <row r="240" spans="9:15">
      <c r="I240" s="36" t="str">
        <v>kanan</v>
      </c>
      <c r="J240" s="36"/>
      <c r="K240" s="36"/>
      <c r="M240" s="36" t="str">
        <v>tengah</v>
      </c>
      <c r="N240" s="36"/>
      <c r="O240" s="36"/>
    </row>
    <row r="241" spans="9:15">
      <c r="I241" s="36" t="str">
        <v>kiri</v>
      </c>
      <c r="J241" s="36"/>
      <c r="K241" s="36"/>
      <c r="M241" s="36" t="str">
        <v>kanan</v>
      </c>
      <c r="N241" s="36"/>
      <c r="O241" s="36"/>
    </row>
    <row r="242" spans="9:15">
      <c r="I242" s="36" t="str">
        <v>tengah</v>
      </c>
      <c r="J242" s="36"/>
      <c r="K242" s="36"/>
      <c r="M242" s="36" t="str">
        <v>kanan</v>
      </c>
      <c r="N242" s="36"/>
      <c r="O242" s="36"/>
    </row>
    <row r="243" spans="9:15">
      <c r="I243" s="36" t="str">
        <v>tengah</v>
      </c>
      <c r="J243" s="36"/>
      <c r="K243" s="36"/>
      <c r="M243" s="36" t="str">
        <v>tengah</v>
      </c>
      <c r="N243" s="36"/>
      <c r="O243" s="36"/>
    </row>
    <row r="244" spans="9:15">
      <c r="I244" s="36" t="str">
        <v>tengah</v>
      </c>
      <c r="J244" s="36"/>
      <c r="K244" s="36"/>
      <c r="M244" s="36" t="str">
        <v>tengah</v>
      </c>
      <c r="N244" s="36"/>
      <c r="O244" s="36"/>
    </row>
    <row r="245" spans="9:15">
      <c r="I245" s="36" t="str">
        <v>tengah</v>
      </c>
      <c r="J245" s="36"/>
      <c r="K245" s="36"/>
      <c r="M245" s="36" t="str">
        <v>kanan</v>
      </c>
      <c r="N245" s="36"/>
      <c r="O245" s="36"/>
    </row>
    <row r="246" spans="9:15">
      <c r="I246" s="36" t="str">
        <v>kiri</v>
      </c>
      <c r="J246" s="36"/>
      <c r="K246" s="36"/>
      <c r="M246" s="36" t="str">
        <v>kanan</v>
      </c>
      <c r="N246" s="36"/>
      <c r="O246" s="36"/>
    </row>
    <row r="247" spans="9:15">
      <c r="I247" s="36" t="str">
        <v>tengah</v>
      </c>
      <c r="J247" s="36"/>
      <c r="K247" s="36"/>
      <c r="M247" s="36" t="str">
        <v>tengah</v>
      </c>
      <c r="N247" s="36"/>
      <c r="O247" s="36"/>
    </row>
    <row r="248" spans="9:15">
      <c r="I248" s="36" t="str">
        <v>kanan</v>
      </c>
      <c r="J248" s="36"/>
      <c r="K248" s="36"/>
      <c r="M248" s="36" t="str">
        <v>kanan</v>
      </c>
      <c r="N248" s="36"/>
      <c r="O248" s="36"/>
    </row>
    <row r="249" spans="9:15">
      <c r="I249" s="36" t="str">
        <v>kiri</v>
      </c>
      <c r="J249" s="36"/>
      <c r="K249" s="36"/>
      <c r="M249" s="36" t="str">
        <v>kanan</v>
      </c>
      <c r="N249" s="36"/>
      <c r="O249" s="36"/>
    </row>
    <row r="250" spans="9:15">
      <c r="I250" s="36" t="str">
        <v>kanan</v>
      </c>
      <c r="J250" s="36"/>
      <c r="K250" s="36"/>
      <c r="M250" s="36" t="str">
        <v>tengah</v>
      </c>
      <c r="N250" s="36"/>
      <c r="O250" s="36"/>
    </row>
    <row r="251" spans="9:15">
      <c r="I251" s="36" t="str">
        <v>tengah</v>
      </c>
      <c r="J251" s="36"/>
      <c r="K251" s="36"/>
      <c r="M251" s="36" t="str">
        <v>kanan</v>
      </c>
      <c r="N251" s="36"/>
      <c r="O251" s="36"/>
    </row>
    <row r="252" spans="9:15">
      <c r="I252" s="36" t="str">
        <v>tengah</v>
      </c>
      <c r="J252" s="36"/>
      <c r="K252" s="36"/>
      <c r="M252" s="36" t="str">
        <v>tengah</v>
      </c>
      <c r="N252" s="36"/>
      <c r="O252" s="36"/>
    </row>
    <row r="253" spans="9:15">
      <c r="I253" s="36" t="str">
        <v>tengah</v>
      </c>
      <c r="J253" s="36"/>
      <c r="K253" s="36"/>
      <c r="M253" s="36" t="str">
        <v>kanan</v>
      </c>
      <c r="N253" s="36"/>
      <c r="O253" s="36"/>
    </row>
    <row r="254" spans="9:15">
      <c r="I254" s="36" t="str">
        <v>kanan</v>
      </c>
      <c r="J254" s="36"/>
      <c r="K254" s="36"/>
      <c r="M254" s="36" t="str">
        <v>tengah</v>
      </c>
      <c r="N254" s="36"/>
      <c r="O254" s="36"/>
    </row>
    <row r="255" spans="9:15">
      <c r="I255" s="36" t="str">
        <v>tengah</v>
      </c>
      <c r="J255" s="36"/>
      <c r="K255" s="36"/>
      <c r="M255" s="36" t="str">
        <v>kanan</v>
      </c>
      <c r="N255" s="36"/>
      <c r="O255" s="36"/>
    </row>
    <row r="256" spans="9:15">
      <c r="I256" s="36" t="str">
        <v>tengah</v>
      </c>
      <c r="J256" s="36"/>
      <c r="K256" s="36"/>
      <c r="M256" s="36" t="str">
        <v>kanan</v>
      </c>
      <c r="N256" s="36"/>
      <c r="O256" s="36"/>
    </row>
    <row r="257" spans="9:15">
      <c r="I257" s="36" t="str">
        <v>tengah</v>
      </c>
      <c r="J257" s="36"/>
      <c r="K257" s="36"/>
      <c r="M257" s="36" t="str">
        <v>tengah</v>
      </c>
      <c r="N257" s="36"/>
      <c r="O257" s="36"/>
    </row>
    <row r="258" spans="9:15">
      <c r="I258" s="36" t="str">
        <v>tengah</v>
      </c>
      <c r="J258" s="36"/>
      <c r="K258" s="36"/>
      <c r="M258" s="36" t="str">
        <v>tengah</v>
      </c>
      <c r="N258" s="36"/>
      <c r="O258" s="36"/>
    </row>
    <row r="259" spans="9:15">
      <c r="I259" s="36" t="str">
        <v>tengah</v>
      </c>
      <c r="J259" s="36"/>
      <c r="K259" s="36"/>
      <c r="M259" s="36" t="str">
        <v>kanan</v>
      </c>
      <c r="N259" s="36"/>
      <c r="O259" s="36"/>
    </row>
    <row r="260" spans="9:15">
      <c r="I260" s="36" t="str">
        <v>kanan</v>
      </c>
      <c r="J260" s="36"/>
      <c r="K260" s="36"/>
      <c r="M260" s="36" t="str">
        <v>tengah</v>
      </c>
      <c r="N260" s="36"/>
      <c r="O260" s="36"/>
    </row>
    <row r="261" spans="9:15">
      <c r="I261" s="36" t="str">
        <v>tengah</v>
      </c>
      <c r="J261" s="36"/>
      <c r="K261" s="36"/>
      <c r="M261" s="36" t="str">
        <v>kanan</v>
      </c>
      <c r="N261" s="36"/>
      <c r="O261" s="36"/>
    </row>
    <row r="262" spans="9:15">
      <c r="I262" s="36" t="str">
        <v>kanan</v>
      </c>
      <c r="J262" s="36"/>
      <c r="K262" s="36"/>
      <c r="M262" s="36" t="str">
        <v>kanan</v>
      </c>
      <c r="N262" s="36"/>
      <c r="O262" s="36"/>
    </row>
    <row r="263" spans="9:15">
      <c r="I263" s="36" t="str">
        <v>kiri</v>
      </c>
      <c r="J263" s="36"/>
      <c r="K263" s="36"/>
      <c r="M263" s="36" t="str">
        <v>kanan</v>
      </c>
      <c r="N263" s="36"/>
      <c r="O263" s="36"/>
    </row>
    <row r="264" spans="9:15">
      <c r="I264" s="36" t="str">
        <v>tengah</v>
      </c>
      <c r="J264" s="36"/>
      <c r="K264" s="36"/>
      <c r="M264" s="36" t="str">
        <v>tengah</v>
      </c>
      <c r="N264" s="36"/>
      <c r="O264" s="36"/>
    </row>
    <row r="265" spans="9:15">
      <c r="I265" s="36" t="str">
        <v>kiri</v>
      </c>
      <c r="J265" s="36"/>
      <c r="K265" s="36"/>
      <c r="M265" s="36" t="str">
        <v>kanan</v>
      </c>
      <c r="N265" s="36"/>
      <c r="O265" s="36"/>
    </row>
    <row r="266" spans="9:15">
      <c r="I266" s="36" t="str">
        <v>kiri</v>
      </c>
      <c r="J266" s="36"/>
      <c r="K266" s="36"/>
      <c r="M266" s="36" t="str">
        <v>kanan</v>
      </c>
      <c r="N266" s="36"/>
      <c r="O266" s="36"/>
    </row>
    <row r="267" spans="9:15">
      <c r="I267" s="36" t="str">
        <v>kanan</v>
      </c>
      <c r="J267" s="36"/>
      <c r="K267" s="36"/>
      <c r="M267" s="36" t="str">
        <v>kanan</v>
      </c>
      <c r="N267" s="36"/>
      <c r="O267" s="36"/>
    </row>
    <row r="268" spans="9:15">
      <c r="I268" s="36" t="str">
        <v>kiri</v>
      </c>
      <c r="J268" s="36"/>
      <c r="K268" s="36"/>
      <c r="M268" s="36" t="str">
        <v>kanan</v>
      </c>
      <c r="N268" s="36"/>
      <c r="O268" s="36"/>
    </row>
    <row r="269" spans="9:15">
      <c r="I269" s="36" t="str">
        <v>kanan</v>
      </c>
      <c r="J269" s="36"/>
      <c r="K269" s="36"/>
      <c r="M269" s="36" t="str">
        <v>kanan</v>
      </c>
      <c r="N269" s="36"/>
      <c r="O269" s="36"/>
    </row>
    <row r="270" spans="9:15">
      <c r="I270" s="36" t="str">
        <v>tengah</v>
      </c>
      <c r="J270" s="36"/>
      <c r="K270" s="36"/>
      <c r="M270" s="36" t="str">
        <v>tengah</v>
      </c>
      <c r="N270" s="36"/>
      <c r="O270" s="36"/>
    </row>
    <row r="271" spans="9:15">
      <c r="I271" s="36" t="str">
        <v>kiri</v>
      </c>
      <c r="J271" s="36"/>
      <c r="K271" s="36"/>
      <c r="M271" s="36" t="str">
        <v>tengah</v>
      </c>
      <c r="N271" s="36"/>
      <c r="O271" s="36"/>
    </row>
    <row r="272" spans="9:15">
      <c r="I272" s="36" t="str">
        <v>tengah</v>
      </c>
      <c r="J272" s="36"/>
      <c r="K272" s="36"/>
      <c r="M272" s="36" t="str">
        <v>kanan</v>
      </c>
      <c r="N272" s="36"/>
      <c r="O272" s="36"/>
    </row>
    <row r="273" spans="9:15">
      <c r="I273" s="36" t="str">
        <v>tengah</v>
      </c>
      <c r="J273" s="36"/>
      <c r="K273" s="36"/>
      <c r="M273" s="36" t="str">
        <v>tengah</v>
      </c>
      <c r="N273" s="36"/>
      <c r="O273" s="36"/>
    </row>
    <row r="274" spans="9:15">
      <c r="I274" s="36" t="str">
        <v>tengah</v>
      </c>
      <c r="J274" s="36"/>
      <c r="K274" s="36"/>
      <c r="M274" s="36" t="str">
        <v>kanan</v>
      </c>
      <c r="N274" s="36"/>
      <c r="O274" s="36"/>
    </row>
    <row r="275" spans="9:15">
      <c r="I275" s="36" t="str">
        <v>kanan</v>
      </c>
      <c r="J275" s="36"/>
      <c r="K275" s="36"/>
      <c r="M275" s="36" t="str">
        <v>tengah</v>
      </c>
      <c r="N275" s="36"/>
      <c r="O275" s="36"/>
    </row>
    <row r="276" spans="9:15">
      <c r="I276" s="36" t="str">
        <v>tengah</v>
      </c>
      <c r="J276" s="36"/>
      <c r="K276" s="36"/>
      <c r="M276" s="36" t="str">
        <v>kanan</v>
      </c>
      <c r="N276" s="36"/>
      <c r="O276" s="36"/>
    </row>
    <row r="277" spans="9:15">
      <c r="I277" s="36" t="str">
        <v>tengah</v>
      </c>
      <c r="J277" s="36"/>
      <c r="K277" s="36"/>
      <c r="M277" s="36" t="str">
        <v>tengah</v>
      </c>
      <c r="N277" s="36"/>
      <c r="O277" s="36"/>
    </row>
    <row r="278" spans="9:15">
      <c r="I278" s="36" t="str">
        <v>tengah</v>
      </c>
      <c r="J278" s="36"/>
      <c r="K278" s="36"/>
      <c r="M278" s="36" t="str">
        <v>kanan</v>
      </c>
      <c r="N278" s="36"/>
      <c r="O278" s="36"/>
    </row>
    <row r="279" spans="9:15">
      <c r="I279" s="36" t="str">
        <v>tengah</v>
      </c>
      <c r="J279" s="36"/>
      <c r="K279" s="36"/>
      <c r="M279" s="36" t="str">
        <v>kanan</v>
      </c>
      <c r="N279" s="36"/>
      <c r="O279" s="36"/>
    </row>
    <row r="280" spans="9:15">
      <c r="I280" s="36" t="str">
        <v>kiri</v>
      </c>
      <c r="J280" s="36"/>
      <c r="K280" s="36"/>
      <c r="M280" s="36" t="str">
        <v>kanan</v>
      </c>
      <c r="N280" s="36"/>
      <c r="O280" s="36"/>
    </row>
    <row r="281" spans="9:15">
      <c r="I281" s="36" t="str">
        <v>kiri</v>
      </c>
      <c r="J281" s="36"/>
      <c r="K281" s="36"/>
      <c r="M281" s="36" t="str">
        <v>tengah</v>
      </c>
      <c r="N281" s="36"/>
      <c r="O281" s="36"/>
    </row>
    <row r="282" spans="9:15">
      <c r="I282" s="36" t="str">
        <v>tengah</v>
      </c>
      <c r="J282" s="36"/>
      <c r="K282" s="36"/>
      <c r="M282" s="36" t="str">
        <v>kanan</v>
      </c>
      <c r="N282" s="36"/>
      <c r="O282" s="36"/>
    </row>
    <row r="283" spans="9:15">
      <c r="I283" s="36" t="str">
        <v>tengah</v>
      </c>
      <c r="J283" s="36"/>
      <c r="K283" s="36"/>
      <c r="M283" s="36" t="str">
        <v>kanan</v>
      </c>
      <c r="N283" s="36"/>
      <c r="O283" s="36"/>
    </row>
    <row r="284" spans="9:15">
      <c r="I284" s="36" t="str">
        <v>kiri</v>
      </c>
      <c r="J284" s="36"/>
      <c r="K284" s="36"/>
      <c r="M284" s="36" t="str">
        <v>tengah</v>
      </c>
      <c r="N284" s="36"/>
      <c r="O284" s="36"/>
    </row>
    <row r="285" spans="9:15">
      <c r="I285" s="36" t="str">
        <v>kiri</v>
      </c>
      <c r="J285" s="36"/>
      <c r="K285" s="36"/>
      <c r="M285" s="36" t="str">
        <v>kanan</v>
      </c>
      <c r="N285" s="36"/>
      <c r="O285" s="36"/>
    </row>
    <row r="286" spans="9:15">
      <c r="I286" s="36" t="str">
        <v>kanan</v>
      </c>
      <c r="J286" s="36"/>
      <c r="K286" s="36"/>
      <c r="M286" s="36" t="str">
        <v>kanan</v>
      </c>
      <c r="N286" s="36"/>
      <c r="O286" s="36"/>
    </row>
    <row r="287" spans="9:15">
      <c r="I287" s="36" t="str">
        <v>kiri</v>
      </c>
      <c r="J287" s="36"/>
      <c r="K287" s="36"/>
      <c r="M287" s="36" t="str">
        <v>tengah</v>
      </c>
      <c r="N287" s="36"/>
      <c r="O287" s="36"/>
    </row>
    <row r="288" spans="9:15">
      <c r="I288" s="36" t="str">
        <v>tengah</v>
      </c>
      <c r="J288" s="36"/>
      <c r="K288" s="36"/>
      <c r="M288" s="36" t="str">
        <v>kanan</v>
      </c>
      <c r="N288" s="36"/>
      <c r="O288" s="36"/>
    </row>
    <row r="289" spans="9:15">
      <c r="I289" s="36" t="str">
        <v>tengah</v>
      </c>
      <c r="J289" s="36"/>
      <c r="K289" s="36"/>
      <c r="M289" s="36" t="str">
        <v>kanan</v>
      </c>
      <c r="N289" s="36"/>
      <c r="O289" s="36"/>
    </row>
    <row r="290" spans="9:15">
      <c r="I290" s="36" t="str">
        <v>tengah</v>
      </c>
      <c r="J290" s="36"/>
      <c r="K290" s="36"/>
      <c r="M290" s="36" t="str">
        <v>tengah</v>
      </c>
      <c r="N290" s="36"/>
      <c r="O290" s="36"/>
    </row>
    <row r="291" spans="9:15">
      <c r="I291" s="36" t="str">
        <v>kiri</v>
      </c>
      <c r="J291" s="36"/>
      <c r="K291" s="36"/>
      <c r="M291" s="36" t="str">
        <v>kanan</v>
      </c>
      <c r="N291" s="36"/>
      <c r="O291" s="36"/>
    </row>
    <row r="292" spans="9:15">
      <c r="I292" s="36" t="str">
        <v>tengah</v>
      </c>
      <c r="J292" s="36"/>
      <c r="K292" s="36"/>
      <c r="M292" s="36" t="str">
        <v>kanan</v>
      </c>
      <c r="N292" s="36"/>
      <c r="O292" s="36"/>
    </row>
    <row r="293" spans="9:15">
      <c r="I293" s="36" t="str">
        <v>kanan</v>
      </c>
      <c r="J293" s="36"/>
      <c r="K293" s="36"/>
      <c r="M293" s="36" t="str">
        <v>kanan</v>
      </c>
      <c r="N293" s="36"/>
      <c r="O293" s="36"/>
    </row>
    <row r="294" spans="9:15">
      <c r="I294" s="36" t="str">
        <v>tengah</v>
      </c>
      <c r="J294" s="36"/>
      <c r="K294" s="36"/>
      <c r="M294" s="36" t="str">
        <v>tengah</v>
      </c>
      <c r="N294" s="36"/>
      <c r="O294" s="36"/>
    </row>
    <row r="295" spans="9:15">
      <c r="I295" s="36" t="str">
        <v>kanan</v>
      </c>
      <c r="J295" s="36"/>
      <c r="K295" s="36"/>
      <c r="M295" s="36" t="str">
        <v>tengah</v>
      </c>
      <c r="N295" s="36"/>
      <c r="O295" s="36"/>
    </row>
    <row r="296" spans="9:15">
      <c r="I296" s="36" t="str">
        <v>kanan</v>
      </c>
      <c r="J296" s="36"/>
      <c r="K296" s="36"/>
      <c r="M296" s="36" t="str">
        <v>tengah</v>
      </c>
      <c r="N296" s="36"/>
      <c r="O296" s="36"/>
    </row>
    <row r="297" spans="9:15">
      <c r="I297" s="36" t="str">
        <v>tengah</v>
      </c>
      <c r="J297" s="36"/>
      <c r="K297" s="36"/>
      <c r="M297" s="36" t="str">
        <v>kanan</v>
      </c>
      <c r="N297" s="36"/>
      <c r="O297" s="36"/>
    </row>
    <row r="298" spans="9:15">
      <c r="I298" s="36" t="str">
        <v>kanan</v>
      </c>
      <c r="J298" s="36"/>
      <c r="K298" s="36"/>
      <c r="M298" s="36" t="str">
        <v>tengah</v>
      </c>
      <c r="N298" s="36"/>
      <c r="O298" s="36"/>
    </row>
    <row r="299" spans="9:15">
      <c r="I299" s="36" t="str">
        <v>kiri</v>
      </c>
      <c r="J299" s="36"/>
      <c r="K299" s="36"/>
      <c r="M299" s="36" t="str">
        <v>kanan</v>
      </c>
      <c r="N299" s="36"/>
      <c r="O299" s="36"/>
    </row>
    <row r="300" spans="9:15">
      <c r="I300" s="36" t="str">
        <v>tengah</v>
      </c>
      <c r="J300" s="36"/>
      <c r="K300" s="36"/>
      <c r="M300" s="36" t="str">
        <v>kanan</v>
      </c>
      <c r="N300" s="36"/>
      <c r="O300" s="36"/>
    </row>
    <row r="301" spans="9:15">
      <c r="I301" s="36" t="str">
        <v>tengah</v>
      </c>
      <c r="J301" s="36"/>
      <c r="K301" s="36"/>
      <c r="M301" s="36" t="str">
        <v>kanan</v>
      </c>
      <c r="N301" s="36"/>
      <c r="O301" s="36"/>
    </row>
    <row r="302" spans="9:15">
      <c r="I302" s="36" t="str">
        <v>kanan</v>
      </c>
      <c r="J302" s="36"/>
      <c r="K302" s="36"/>
      <c r="M302" s="36" t="str">
        <v>tengah</v>
      </c>
      <c r="N302" s="36"/>
      <c r="O302" s="36"/>
    </row>
    <row r="303" spans="9:15">
      <c r="I303" s="36" t="str">
        <v>tengah</v>
      </c>
      <c r="J303" s="36"/>
      <c r="K303" s="36"/>
      <c r="M303" s="36" t="str">
        <v>kanan</v>
      </c>
      <c r="N303" s="36"/>
      <c r="O303" s="36"/>
    </row>
    <row r="304" spans="9:15">
      <c r="I304" s="36" t="str">
        <v>kiri</v>
      </c>
      <c r="J304" s="36"/>
      <c r="K304" s="36"/>
      <c r="M304" s="36" t="str">
        <v>kanan</v>
      </c>
      <c r="N304" s="36"/>
      <c r="O304" s="36"/>
    </row>
    <row r="305" spans="9:15">
      <c r="I305" s="36" t="str">
        <v>tengah</v>
      </c>
      <c r="J305" s="36"/>
      <c r="K305" s="36"/>
      <c r="M305" s="36" t="str">
        <v>tengah</v>
      </c>
      <c r="N305" s="36"/>
      <c r="O305" s="36"/>
    </row>
    <row r="306" spans="9:15">
      <c r="I306" s="36" t="str">
        <v>kanan</v>
      </c>
      <c r="J306" s="36"/>
      <c r="K306" s="36"/>
      <c r="M306" s="36" t="str">
        <v>kanan</v>
      </c>
      <c r="N306" s="36"/>
      <c r="O306" s="36"/>
    </row>
    <row r="307" spans="9:15">
      <c r="I307" s="36" t="str">
        <v>tengah</v>
      </c>
      <c r="J307" s="36"/>
      <c r="K307" s="36"/>
      <c r="M307" s="36" t="str">
        <v>tengah</v>
      </c>
      <c r="N307" s="36"/>
      <c r="O307" s="36"/>
    </row>
    <row r="308" spans="9:15">
      <c r="I308" s="36" t="str">
        <v>kiri</v>
      </c>
      <c r="J308" s="36"/>
      <c r="K308" s="36"/>
      <c r="M308" s="36" t="str">
        <v>tengah</v>
      </c>
      <c r="N308" s="36"/>
      <c r="O308" s="36"/>
    </row>
    <row r="309" spans="9:15">
      <c r="I309" s="36" t="str">
        <v>tengah</v>
      </c>
      <c r="J309" s="36"/>
      <c r="K309" s="36"/>
      <c r="M309" s="36" t="str">
        <v>tengah</v>
      </c>
      <c r="N309" s="36"/>
      <c r="O309" s="36"/>
    </row>
    <row r="310" spans="9:15">
      <c r="I310" s="36" t="str">
        <v>kiri</v>
      </c>
      <c r="J310" s="36"/>
      <c r="K310" s="36"/>
      <c r="M310" s="36" t="str">
        <v>kanan</v>
      </c>
      <c r="N310" s="36"/>
      <c r="O310" s="36"/>
    </row>
    <row r="311" spans="9:15">
      <c r="I311" s="36" t="str">
        <v>kanan</v>
      </c>
      <c r="J311" s="36"/>
      <c r="K311" s="36"/>
      <c r="M311" s="36" t="str">
        <v>kanan</v>
      </c>
      <c r="N311" s="36"/>
      <c r="O311" s="36"/>
    </row>
    <row r="312" spans="9:15">
      <c r="I312" s="36" t="str">
        <v>tengah</v>
      </c>
      <c r="J312" s="36"/>
      <c r="K312" s="36"/>
      <c r="M312" s="36" t="str">
        <v>tengah</v>
      </c>
      <c r="N312" s="36"/>
      <c r="O312" s="36"/>
    </row>
    <row r="313" spans="9:15">
      <c r="I313" s="36" t="str">
        <v>tengah</v>
      </c>
      <c r="J313" s="36"/>
      <c r="K313" s="36"/>
      <c r="M313" s="36" t="str">
        <v>tengah</v>
      </c>
      <c r="N313" s="36"/>
      <c r="O313" s="36"/>
    </row>
    <row r="314" spans="9:15">
      <c r="I314" s="36" t="str">
        <v>tengah</v>
      </c>
      <c r="J314" s="36"/>
      <c r="K314" s="36"/>
      <c r="M314" s="36" t="str">
        <v>kanan</v>
      </c>
      <c r="N314" s="36"/>
      <c r="O314" s="36"/>
    </row>
    <row r="315" spans="9:15">
      <c r="I315" s="36" t="str">
        <v>tengah</v>
      </c>
      <c r="J315" s="36"/>
      <c r="K315" s="36"/>
      <c r="M315" s="36" t="str">
        <v>tengah</v>
      </c>
      <c r="N315" s="36"/>
      <c r="O315" s="36"/>
    </row>
    <row r="316" spans="9:15">
      <c r="I316" s="36" t="str">
        <v>kiri</v>
      </c>
      <c r="J316" s="36"/>
      <c r="K316" s="36"/>
      <c r="M316" s="36" t="str">
        <v>kanan</v>
      </c>
      <c r="N316" s="36"/>
      <c r="O316" s="36"/>
    </row>
    <row r="317" spans="9:15">
      <c r="I317" s="36" t="str">
        <v>kanan</v>
      </c>
      <c r="J317" s="36"/>
      <c r="K317" s="36"/>
      <c r="M317" s="36" t="str">
        <v>kanan</v>
      </c>
      <c r="N317" s="36"/>
      <c r="O317" s="36"/>
    </row>
    <row r="318" spans="9:15">
      <c r="I318" s="36" t="str">
        <v>kanan</v>
      </c>
      <c r="J318" s="36"/>
      <c r="K318" s="36"/>
      <c r="M318" s="36" t="str">
        <v>kanan</v>
      </c>
      <c r="N318" s="36"/>
      <c r="O318" s="36"/>
    </row>
    <row r="319" spans="9:15">
      <c r="I319" s="36" t="str">
        <v>kanan</v>
      </c>
      <c r="J319" s="36"/>
      <c r="K319" s="36"/>
      <c r="M319" s="36" t="str">
        <v>kanan</v>
      </c>
      <c r="N319" s="36"/>
      <c r="O319" s="36"/>
    </row>
    <row r="320" spans="9:15">
      <c r="I320" s="36" t="str">
        <v>kiri</v>
      </c>
      <c r="J320" s="36"/>
      <c r="K320" s="36"/>
      <c r="M320" s="36" t="str">
        <v>kanan</v>
      </c>
      <c r="N320" s="36"/>
      <c r="O320" s="36"/>
    </row>
    <row r="321" spans="9:15">
      <c r="I321" s="36" t="str">
        <v>kanan</v>
      </c>
      <c r="J321" s="36"/>
      <c r="K321" s="36"/>
      <c r="M321" s="36" t="str">
        <v>tengah</v>
      </c>
      <c r="N321" s="36"/>
      <c r="O321" s="36"/>
    </row>
    <row r="322" spans="9:15">
      <c r="I322" s="36" t="str">
        <v>tengah</v>
      </c>
      <c r="J322" s="36"/>
      <c r="K322" s="36"/>
      <c r="M322" s="36" t="str">
        <v>tengah</v>
      </c>
      <c r="N322" s="36"/>
      <c r="O322" s="36"/>
    </row>
    <row r="323" spans="9:15">
      <c r="I323" s="36" t="str">
        <v>tengah</v>
      </c>
      <c r="J323" s="36"/>
      <c r="K323" s="36"/>
      <c r="M323" s="36" t="str">
        <v>kanan</v>
      </c>
      <c r="N323" s="36"/>
      <c r="O323" s="36"/>
    </row>
    <row r="324" spans="9:15">
      <c r="I324" s="36" t="str">
        <v>kanan</v>
      </c>
      <c r="J324" s="36"/>
      <c r="K324" s="36"/>
      <c r="M324" s="36" t="str">
        <v>kanan</v>
      </c>
      <c r="N324" s="36"/>
      <c r="O324" s="36"/>
    </row>
    <row r="325" spans="9:15">
      <c r="I325" s="36" t="str">
        <v>kiri</v>
      </c>
      <c r="J325" s="36"/>
      <c r="K325" s="36"/>
      <c r="M325" s="36" t="str">
        <v>kanan</v>
      </c>
      <c r="N325" s="36"/>
      <c r="O325" s="36"/>
    </row>
    <row r="326" spans="9:15">
      <c r="I326" s="36" t="str">
        <v>kanan</v>
      </c>
      <c r="J326" s="36"/>
      <c r="K326" s="36"/>
      <c r="M326" s="36" t="str">
        <v>kanan</v>
      </c>
      <c r="N326" s="36"/>
      <c r="O326" s="36"/>
    </row>
    <row r="327" spans="9:15">
      <c r="I327" s="36" t="str">
        <v>tengah</v>
      </c>
      <c r="J327" s="36"/>
      <c r="K327" s="36"/>
      <c r="M327" s="36" t="str">
        <v>kanan</v>
      </c>
      <c r="N327" s="36"/>
      <c r="O327" s="36"/>
    </row>
    <row r="328" spans="9:15">
      <c r="I328" s="36" t="str">
        <v>tengah</v>
      </c>
      <c r="J328" s="36"/>
      <c r="K328" s="36"/>
      <c r="M328" s="36" t="str">
        <v>kanan</v>
      </c>
      <c r="N328" s="36"/>
      <c r="O328" s="36"/>
    </row>
    <row r="329" spans="9:15">
      <c r="I329" s="36" t="str">
        <v>tengah</v>
      </c>
      <c r="J329" s="36"/>
      <c r="K329" s="36"/>
      <c r="M329" s="36" t="str">
        <v>kanan</v>
      </c>
      <c r="N329" s="36"/>
      <c r="O329" s="36"/>
    </row>
    <row r="330" spans="9:15">
      <c r="I330" s="36" t="str">
        <v>tengah</v>
      </c>
      <c r="J330" s="36"/>
      <c r="K330" s="36"/>
      <c r="M330" s="36" t="str">
        <v>kanan</v>
      </c>
      <c r="N330" s="36"/>
      <c r="O330" s="36"/>
    </row>
    <row r="331" spans="9:15">
      <c r="I331" s="36" t="str">
        <v>kanan</v>
      </c>
      <c r="J331" s="36"/>
      <c r="K331" s="36"/>
      <c r="M331" s="36" t="str">
        <v>tengah</v>
      </c>
      <c r="N331" s="36"/>
      <c r="O331" s="36"/>
    </row>
    <row r="332" spans="9:15">
      <c r="I332" s="36" t="str">
        <v>tengah</v>
      </c>
      <c r="J332" s="36"/>
      <c r="K332" s="36"/>
      <c r="M332" s="36" t="str">
        <v>tengah</v>
      </c>
      <c r="N332" s="36"/>
      <c r="O332" s="36"/>
    </row>
  </sheetData>
  <pageMargins left="0.7" right="0.7" top="0.75" bottom="0.75" header="0.3" footer="0.3"/>
  <headerFooter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7"/>
  <sheetViews>
    <sheetView zoomScale="77" zoomScaleNormal="77" topLeftCell="A185" workbookViewId="0">
      <selection activeCell="I192" sqref="I192"/>
    </sheetView>
  </sheetViews>
  <sheetFormatPr defaultColWidth="9" defaultRowHeight="15"/>
  <cols>
    <col min="2" max="2" width="17.4222222222222" customWidth="1"/>
    <col min="3" max="3" width="12.7111111111111" customWidth="1"/>
    <col min="4" max="4" width="13" customWidth="1"/>
    <col min="5" max="5" width="14.8518518518519" customWidth="1"/>
    <col min="6" max="6" width="12" customWidth="1"/>
  </cols>
  <sheetData>
    <row r="1" spans="1:1">
      <c r="A1" s="20" t="s">
        <v>324</v>
      </c>
    </row>
    <row r="2" ht="15.75"/>
    <row r="3" ht="48" spans="1:6">
      <c r="A3" s="22" t="s">
        <v>196</v>
      </c>
      <c r="B3" s="3" t="s">
        <v>197</v>
      </c>
      <c r="C3" s="3" t="s">
        <v>198</v>
      </c>
      <c r="D3" s="3" t="s">
        <v>199</v>
      </c>
      <c r="E3" s="3" t="s">
        <v>200</v>
      </c>
      <c r="F3" s="3" t="s">
        <v>201</v>
      </c>
    </row>
    <row r="4" ht="16.5" spans="1:9">
      <c r="A4" s="23">
        <v>46</v>
      </c>
      <c r="B4" s="5">
        <v>13</v>
      </c>
      <c r="C4" s="5">
        <f>ABS(B4-A4)</f>
        <v>33</v>
      </c>
      <c r="D4" s="5">
        <f>(B4-A4)^2</f>
        <v>1089</v>
      </c>
      <c r="E4" s="5">
        <f>B4-$B$9</f>
        <v>-5.8</v>
      </c>
      <c r="F4" s="5">
        <f>E4^2</f>
        <v>33.64</v>
      </c>
      <c r="H4" s="9" t="s">
        <v>203</v>
      </c>
      <c r="I4" s="10">
        <f>AVERAGE(C4:C8)</f>
        <v>22.6</v>
      </c>
    </row>
    <row r="5" ht="16.5" spans="1:9">
      <c r="A5" s="23">
        <v>11</v>
      </c>
      <c r="B5" s="5">
        <v>33</v>
      </c>
      <c r="C5" s="5">
        <f t="shared" ref="C5:C8" si="0">ABS(B5-A5)</f>
        <v>22</v>
      </c>
      <c r="D5" s="5">
        <f t="shared" ref="D5:D8" si="1">(B5-A5)^2</f>
        <v>484</v>
      </c>
      <c r="E5" s="5">
        <f t="shared" ref="E5:E8" si="2">B5-$B$9</f>
        <v>14.2</v>
      </c>
      <c r="F5" s="5">
        <f>E5^2</f>
        <v>201.64</v>
      </c>
      <c r="H5" s="9" t="s">
        <v>204</v>
      </c>
      <c r="I5" s="10">
        <f>AVERAGE(D4:D8)</f>
        <v>556.6</v>
      </c>
    </row>
    <row r="6" ht="16.5" spans="1:9">
      <c r="A6" s="23">
        <v>40</v>
      </c>
      <c r="B6" s="5">
        <v>15</v>
      </c>
      <c r="C6" s="5">
        <f t="shared" si="0"/>
        <v>25</v>
      </c>
      <c r="D6" s="5">
        <f t="shared" si="1"/>
        <v>625</v>
      </c>
      <c r="E6" s="5">
        <f t="shared" si="2"/>
        <v>-3.8</v>
      </c>
      <c r="F6" s="5">
        <f t="shared" ref="F6:F8" si="3">E6^2</f>
        <v>14.44</v>
      </c>
      <c r="H6" s="9" t="s">
        <v>205</v>
      </c>
      <c r="I6" s="9">
        <f>SQRT(AVERAGE(D4:D8))</f>
        <v>23.5923716484799</v>
      </c>
    </row>
    <row r="7" ht="16.5" spans="1:9">
      <c r="A7" s="23">
        <v>33</v>
      </c>
      <c r="B7" s="5">
        <v>21</v>
      </c>
      <c r="C7" s="5">
        <f t="shared" si="0"/>
        <v>12</v>
      </c>
      <c r="D7" s="5">
        <f t="shared" si="1"/>
        <v>144</v>
      </c>
      <c r="E7" s="5">
        <f t="shared" si="2"/>
        <v>2.2</v>
      </c>
      <c r="F7" s="5">
        <f t="shared" si="3"/>
        <v>4.84</v>
      </c>
      <c r="H7" s="9" t="s">
        <v>206</v>
      </c>
      <c r="I7" s="10">
        <f>1-(SUM(D4:D8)/SUM(F4:F8))</f>
        <v>-8.25199468085106</v>
      </c>
    </row>
    <row r="8" ht="16.5" spans="1:6">
      <c r="A8" s="23">
        <v>33</v>
      </c>
      <c r="B8" s="5">
        <v>12</v>
      </c>
      <c r="C8" s="5">
        <f t="shared" si="0"/>
        <v>21</v>
      </c>
      <c r="D8" s="5">
        <f t="shared" si="1"/>
        <v>441</v>
      </c>
      <c r="E8" s="5">
        <f t="shared" si="2"/>
        <v>-6.8</v>
      </c>
      <c r="F8" s="5">
        <f t="shared" si="3"/>
        <v>46.24</v>
      </c>
    </row>
    <row r="9" ht="32.25" spans="1:6">
      <c r="A9" s="24" t="s">
        <v>202</v>
      </c>
      <c r="B9" s="5">
        <f>AVERAGE(B4:B8)</f>
        <v>18.8</v>
      </c>
      <c r="C9" s="5">
        <f>AVERAGE(C4:C8)</f>
        <v>22.6</v>
      </c>
      <c r="D9" s="5">
        <f>SUM(D4:D8)</f>
        <v>2783</v>
      </c>
      <c r="E9" s="5"/>
      <c r="F9" s="5"/>
    </row>
    <row r="12" spans="1:1">
      <c r="A12" s="20" t="s">
        <v>325</v>
      </c>
    </row>
    <row r="13" ht="15.75"/>
    <row r="14" ht="48" spans="1:6">
      <c r="A14" s="22" t="s">
        <v>326</v>
      </c>
      <c r="B14" s="3" t="s">
        <v>327</v>
      </c>
      <c r="C14" s="3" t="s">
        <v>198</v>
      </c>
      <c r="D14" s="3" t="s">
        <v>199</v>
      </c>
      <c r="E14" s="3" t="s">
        <v>200</v>
      </c>
      <c r="F14" s="3" t="s">
        <v>201</v>
      </c>
    </row>
    <row r="15" ht="16.5" spans="1:9">
      <c r="A15" s="23">
        <v>21</v>
      </c>
      <c r="B15" s="5">
        <v>11</v>
      </c>
      <c r="C15" s="5">
        <f>ABS(B15-A15)</f>
        <v>10</v>
      </c>
      <c r="D15" s="5">
        <f>(B15-A15)^2</f>
        <v>100</v>
      </c>
      <c r="E15" s="5">
        <f>B15-$B$22</f>
        <v>-16</v>
      </c>
      <c r="F15" s="5">
        <f>E15^2</f>
        <v>256</v>
      </c>
      <c r="H15" s="9" t="s">
        <v>203</v>
      </c>
      <c r="I15" s="10">
        <f>AVERAGE(C15:C21)</f>
        <v>23.2857142857143</v>
      </c>
    </row>
    <row r="16" ht="16.5" spans="1:9">
      <c r="A16" s="23">
        <v>23</v>
      </c>
      <c r="B16" s="5">
        <v>70</v>
      </c>
      <c r="C16" s="5">
        <f t="shared" ref="C16:C21" si="4">ABS(B16-A16)</f>
        <v>47</v>
      </c>
      <c r="D16" s="5">
        <f t="shared" ref="D16:D21" si="5">(B16-A16)^2</f>
        <v>2209</v>
      </c>
      <c r="E16" s="5">
        <f t="shared" ref="E16:E21" si="6">B16-$B$22</f>
        <v>43</v>
      </c>
      <c r="F16" s="5">
        <f t="shared" ref="F16:F21" si="7">E16^2</f>
        <v>1849</v>
      </c>
      <c r="H16" s="9" t="s">
        <v>204</v>
      </c>
      <c r="I16" s="10">
        <f>AVERAGE(D15:D21)</f>
        <v>767.571428571429</v>
      </c>
    </row>
    <row r="17" ht="16.5" spans="1:9">
      <c r="A17" s="23">
        <v>4</v>
      </c>
      <c r="B17" s="5">
        <v>23</v>
      </c>
      <c r="C17" s="5">
        <f t="shared" si="4"/>
        <v>19</v>
      </c>
      <c r="D17" s="5">
        <f t="shared" si="5"/>
        <v>361</v>
      </c>
      <c r="E17" s="5">
        <f t="shared" si="6"/>
        <v>-4</v>
      </c>
      <c r="F17" s="5">
        <f t="shared" si="7"/>
        <v>16</v>
      </c>
      <c r="H17" s="9" t="s">
        <v>205</v>
      </c>
      <c r="I17" s="9">
        <f>SQRT(AVERAGE(D15:D21))</f>
        <v>27.7050794723897</v>
      </c>
    </row>
    <row r="18" ht="16.5" spans="1:9">
      <c r="A18" s="23">
        <v>30</v>
      </c>
      <c r="B18" s="5">
        <v>27</v>
      </c>
      <c r="C18" s="5">
        <f t="shared" si="4"/>
        <v>3</v>
      </c>
      <c r="D18" s="5">
        <f t="shared" si="5"/>
        <v>9</v>
      </c>
      <c r="E18" s="5">
        <f t="shared" si="6"/>
        <v>0</v>
      </c>
      <c r="F18" s="5">
        <f t="shared" si="7"/>
        <v>0</v>
      </c>
      <c r="H18" s="9" t="s">
        <v>206</v>
      </c>
      <c r="I18" s="10">
        <f>1-(SUM(D15:D21)/SUM(F15:F21))</f>
        <v>-0.518654607122668</v>
      </c>
    </row>
    <row r="19" ht="16.5" spans="1:6">
      <c r="A19" s="23">
        <v>44</v>
      </c>
      <c r="B19" s="5">
        <v>7</v>
      </c>
      <c r="C19" s="5">
        <f t="shared" si="4"/>
        <v>37</v>
      </c>
      <c r="D19" s="5">
        <f t="shared" si="5"/>
        <v>1369</v>
      </c>
      <c r="E19" s="5">
        <f t="shared" si="6"/>
        <v>-20</v>
      </c>
      <c r="F19" s="5">
        <f t="shared" si="7"/>
        <v>400</v>
      </c>
    </row>
    <row r="20" ht="16.5" spans="1:6">
      <c r="A20" s="23">
        <v>14</v>
      </c>
      <c r="B20" s="5">
        <v>48</v>
      </c>
      <c r="C20" s="5">
        <f t="shared" si="4"/>
        <v>34</v>
      </c>
      <c r="D20" s="5">
        <f t="shared" si="5"/>
        <v>1156</v>
      </c>
      <c r="E20" s="5">
        <f t="shared" si="6"/>
        <v>21</v>
      </c>
      <c r="F20" s="5">
        <f t="shared" si="7"/>
        <v>441</v>
      </c>
    </row>
    <row r="21" ht="16.5" spans="1:6">
      <c r="A21" s="23">
        <v>16</v>
      </c>
      <c r="B21" s="5">
        <v>3</v>
      </c>
      <c r="C21" s="5">
        <f t="shared" si="4"/>
        <v>13</v>
      </c>
      <c r="D21" s="5">
        <f t="shared" si="5"/>
        <v>169</v>
      </c>
      <c r="E21" s="5">
        <f t="shared" si="6"/>
        <v>-24</v>
      </c>
      <c r="F21" s="5">
        <f t="shared" si="7"/>
        <v>576</v>
      </c>
    </row>
    <row r="22" ht="32.25" spans="1:6">
      <c r="A22" s="24" t="s">
        <v>202</v>
      </c>
      <c r="B22" s="5">
        <f>AVERAGE(B15:B21)</f>
        <v>27</v>
      </c>
      <c r="C22" s="5">
        <f>AVERAGE(C15:C21)</f>
        <v>23.2857142857143</v>
      </c>
      <c r="D22" s="5">
        <f>AVERAGE(D15:D21)</f>
        <v>767.571428571429</v>
      </c>
      <c r="E22" s="5"/>
      <c r="F22" s="5"/>
    </row>
    <row r="25" spans="1:1">
      <c r="A25" s="20" t="s">
        <v>328</v>
      </c>
    </row>
    <row r="26" ht="15.75"/>
    <row r="27" ht="48" spans="1:6">
      <c r="A27" s="22" t="s">
        <v>329</v>
      </c>
      <c r="B27" s="3" t="s">
        <v>330</v>
      </c>
      <c r="C27" s="3" t="s">
        <v>198</v>
      </c>
      <c r="D27" s="3" t="s">
        <v>199</v>
      </c>
      <c r="E27" s="3" t="s">
        <v>200</v>
      </c>
      <c r="F27" s="3" t="s">
        <v>201</v>
      </c>
    </row>
    <row r="28" ht="16.5" spans="1:9">
      <c r="A28" s="23">
        <v>23</v>
      </c>
      <c r="B28" s="5">
        <v>2</v>
      </c>
      <c r="C28" s="5">
        <f>ABS(B28-A28)</f>
        <v>21</v>
      </c>
      <c r="D28" s="5">
        <f>(B28-A28)^2</f>
        <v>441</v>
      </c>
      <c r="E28" s="5">
        <f>B28-$B$37</f>
        <v>-1.22222222222222</v>
      </c>
      <c r="F28" s="25">
        <f>E28^2</f>
        <v>1.49382716049383</v>
      </c>
      <c r="H28" s="9" t="s">
        <v>203</v>
      </c>
      <c r="I28" s="10">
        <f>AVERAGE(C28:C36)</f>
        <v>14.8888888888889</v>
      </c>
    </row>
    <row r="29" ht="16.5" spans="1:9">
      <c r="A29" s="23">
        <v>9</v>
      </c>
      <c r="B29" s="5">
        <v>5</v>
      </c>
      <c r="C29" s="5">
        <f t="shared" ref="C29:C36" si="8">ABS(B29-A29)</f>
        <v>4</v>
      </c>
      <c r="D29" s="5">
        <f t="shared" ref="D29:D36" si="9">(B29-A29)^2</f>
        <v>16</v>
      </c>
      <c r="E29" s="5">
        <f t="shared" ref="E29:E36" si="10">B29-$B$37</f>
        <v>1.77777777777778</v>
      </c>
      <c r="F29" s="25">
        <f t="shared" ref="F29:F36" si="11">E29^2</f>
        <v>3.16049382716049</v>
      </c>
      <c r="H29" s="9" t="s">
        <v>204</v>
      </c>
      <c r="I29" s="10">
        <f>AVERAGE(D28:D36)</f>
        <v>446.222222222222</v>
      </c>
    </row>
    <row r="30" ht="16.5" spans="1:9">
      <c r="A30" s="23">
        <v>4</v>
      </c>
      <c r="B30" s="5">
        <v>4</v>
      </c>
      <c r="C30" s="5">
        <f t="shared" si="8"/>
        <v>0</v>
      </c>
      <c r="D30" s="5">
        <f t="shared" si="9"/>
        <v>0</v>
      </c>
      <c r="E30" s="5">
        <f t="shared" si="10"/>
        <v>0.777777777777778</v>
      </c>
      <c r="F30" s="25">
        <f t="shared" si="11"/>
        <v>0.604938271604938</v>
      </c>
      <c r="H30" s="9" t="s">
        <v>205</v>
      </c>
      <c r="I30" s="9">
        <f>SQRT(AVERAGE(D28:D36))</f>
        <v>21.1239726903398</v>
      </c>
    </row>
    <row r="31" ht="16.5" spans="1:9">
      <c r="A31" s="23">
        <v>28</v>
      </c>
      <c r="B31" s="5">
        <v>3</v>
      </c>
      <c r="C31" s="5">
        <f t="shared" si="8"/>
        <v>25</v>
      </c>
      <c r="D31" s="5">
        <f t="shared" si="9"/>
        <v>625</v>
      </c>
      <c r="E31" s="5">
        <f t="shared" si="10"/>
        <v>-0.222222222222222</v>
      </c>
      <c r="F31" s="25">
        <f t="shared" si="11"/>
        <v>0.0493827160493828</v>
      </c>
      <c r="H31" s="9" t="s">
        <v>206</v>
      </c>
      <c r="I31" s="10">
        <f>1-(SUM(D28:D36)/SUM(F28:F36))</f>
        <v>-257.171428571429</v>
      </c>
    </row>
    <row r="32" ht="16.5" spans="1:6">
      <c r="A32" s="23">
        <v>54</v>
      </c>
      <c r="B32" s="5">
        <v>4</v>
      </c>
      <c r="C32" s="5">
        <f t="shared" si="8"/>
        <v>50</v>
      </c>
      <c r="D32" s="5">
        <f t="shared" si="9"/>
        <v>2500</v>
      </c>
      <c r="E32" s="5">
        <f t="shared" si="10"/>
        <v>0.777777777777778</v>
      </c>
      <c r="F32" s="25">
        <f t="shared" si="11"/>
        <v>0.604938271604938</v>
      </c>
    </row>
    <row r="33" ht="16.5" spans="1:6">
      <c r="A33" s="23">
        <v>5</v>
      </c>
      <c r="B33" s="5">
        <v>2</v>
      </c>
      <c r="C33" s="5">
        <f t="shared" si="8"/>
        <v>3</v>
      </c>
      <c r="D33" s="5">
        <f t="shared" si="9"/>
        <v>9</v>
      </c>
      <c r="E33" s="5">
        <f t="shared" si="10"/>
        <v>-1.22222222222222</v>
      </c>
      <c r="F33" s="25">
        <f t="shared" si="11"/>
        <v>1.49382716049383</v>
      </c>
    </row>
    <row r="34" ht="16.5" spans="1:6">
      <c r="A34" s="23">
        <v>19</v>
      </c>
      <c r="B34" s="5">
        <v>5</v>
      </c>
      <c r="C34" s="5">
        <f t="shared" si="8"/>
        <v>14</v>
      </c>
      <c r="D34" s="5">
        <f t="shared" si="9"/>
        <v>196</v>
      </c>
      <c r="E34" s="5">
        <f t="shared" si="10"/>
        <v>1.77777777777778</v>
      </c>
      <c r="F34" s="25">
        <f t="shared" si="11"/>
        <v>3.16049382716049</v>
      </c>
    </row>
    <row r="35" ht="16.5" spans="1:6">
      <c r="A35" s="23">
        <v>18</v>
      </c>
      <c r="B35" s="5">
        <v>3</v>
      </c>
      <c r="C35" s="5">
        <f t="shared" si="8"/>
        <v>15</v>
      </c>
      <c r="D35" s="5">
        <f t="shared" si="9"/>
        <v>225</v>
      </c>
      <c r="E35" s="5">
        <f t="shared" si="10"/>
        <v>-0.222222222222222</v>
      </c>
      <c r="F35" s="25">
        <f t="shared" si="11"/>
        <v>0.0493827160493828</v>
      </c>
    </row>
    <row r="36" ht="16.5" spans="1:6">
      <c r="A36" s="23">
        <v>3</v>
      </c>
      <c r="B36" s="5">
        <v>1</v>
      </c>
      <c r="C36" s="5">
        <f t="shared" si="8"/>
        <v>2</v>
      </c>
      <c r="D36" s="5">
        <f t="shared" si="9"/>
        <v>4</v>
      </c>
      <c r="E36" s="5">
        <f t="shared" si="10"/>
        <v>-2.22222222222222</v>
      </c>
      <c r="F36" s="25">
        <f t="shared" si="11"/>
        <v>4.93827160493827</v>
      </c>
    </row>
    <row r="37" ht="32.25" spans="1:6">
      <c r="A37" s="24" t="s">
        <v>202</v>
      </c>
      <c r="B37" s="5">
        <f>AVERAGE(B28:B36)</f>
        <v>3.22222222222222</v>
      </c>
      <c r="C37" s="5">
        <f>AVERAGE(C28:C36)</f>
        <v>14.8888888888889</v>
      </c>
      <c r="D37" s="5">
        <f>AVERAGE(D28:D36)</f>
        <v>446.222222222222</v>
      </c>
      <c r="E37" s="5"/>
      <c r="F37" s="5"/>
    </row>
    <row r="40" spans="1:1">
      <c r="A40" s="20" t="s">
        <v>331</v>
      </c>
    </row>
    <row r="41" ht="15.75"/>
    <row r="42" ht="48" spans="1:6">
      <c r="A42" s="22" t="s">
        <v>332</v>
      </c>
      <c r="B42" s="3" t="s">
        <v>333</v>
      </c>
      <c r="C42" s="3" t="s">
        <v>198</v>
      </c>
      <c r="D42" s="3" t="s">
        <v>199</v>
      </c>
      <c r="E42" s="3" t="s">
        <v>200</v>
      </c>
      <c r="F42" s="3" t="s">
        <v>201</v>
      </c>
    </row>
    <row r="43" ht="16.5" spans="1:9">
      <c r="A43" s="23">
        <v>42</v>
      </c>
      <c r="B43" s="5">
        <v>0</v>
      </c>
      <c r="C43" s="5">
        <f>ABS(B43-A43)</f>
        <v>42</v>
      </c>
      <c r="D43" s="5">
        <f>(B43-A43)^2</f>
        <v>1764</v>
      </c>
      <c r="E43" s="5">
        <f>B43-$B$49</f>
        <v>-0.5</v>
      </c>
      <c r="F43" s="5">
        <f>E43^2</f>
        <v>0.25</v>
      </c>
      <c r="H43" s="9" t="s">
        <v>203</v>
      </c>
      <c r="I43" s="10">
        <f>AVERAGE(C43:C48)</f>
        <v>26.6666666666667</v>
      </c>
    </row>
    <row r="44" ht="16.5" spans="1:9">
      <c r="A44" s="23">
        <v>36</v>
      </c>
      <c r="B44" s="5">
        <v>1</v>
      </c>
      <c r="C44" s="5">
        <f t="shared" ref="C44:C48" si="12">ABS(B44-A44)</f>
        <v>35</v>
      </c>
      <c r="D44" s="5">
        <f t="shared" ref="D44:D48" si="13">(B44-A44)^2</f>
        <v>1225</v>
      </c>
      <c r="E44" s="5">
        <f t="shared" ref="E44:E48" si="14">B44-$B$49</f>
        <v>0.5</v>
      </c>
      <c r="F44" s="5">
        <f t="shared" ref="F44:F48" si="15">E44^2</f>
        <v>0.25</v>
      </c>
      <c r="H44" s="9" t="s">
        <v>204</v>
      </c>
      <c r="I44" s="10">
        <f>AVERAGE(D43:D48)</f>
        <v>957.666666666667</v>
      </c>
    </row>
    <row r="45" ht="16.5" spans="1:9">
      <c r="A45" s="23">
        <v>5</v>
      </c>
      <c r="B45" s="5">
        <v>1</v>
      </c>
      <c r="C45" s="5">
        <f t="shared" si="12"/>
        <v>4</v>
      </c>
      <c r="D45" s="5">
        <f t="shared" si="13"/>
        <v>16</v>
      </c>
      <c r="E45" s="5">
        <f t="shared" si="14"/>
        <v>0.5</v>
      </c>
      <c r="F45" s="5">
        <f t="shared" si="15"/>
        <v>0.25</v>
      </c>
      <c r="H45" s="9" t="s">
        <v>205</v>
      </c>
      <c r="I45" s="9">
        <f>SQRT(AVERAGE(D43:D48))</f>
        <v>30.946189857019</v>
      </c>
    </row>
    <row r="46" ht="16.5" spans="1:9">
      <c r="A46" s="23">
        <v>41</v>
      </c>
      <c r="B46" s="5">
        <v>0</v>
      </c>
      <c r="C46" s="5">
        <f t="shared" si="12"/>
        <v>41</v>
      </c>
      <c r="D46" s="5">
        <f t="shared" si="13"/>
        <v>1681</v>
      </c>
      <c r="E46" s="5">
        <f t="shared" si="14"/>
        <v>-0.5</v>
      </c>
      <c r="F46" s="5">
        <f t="shared" si="15"/>
        <v>0.25</v>
      </c>
      <c r="H46" s="9" t="s">
        <v>206</v>
      </c>
      <c r="I46" s="10">
        <f>1-(SUM(D43:D48)/SUM(F43:F48))</f>
        <v>-3829.66666666667</v>
      </c>
    </row>
    <row r="47" ht="16.5" spans="1:6">
      <c r="A47" s="23">
        <v>33</v>
      </c>
      <c r="B47" s="5">
        <v>1</v>
      </c>
      <c r="C47" s="5">
        <f t="shared" si="12"/>
        <v>32</v>
      </c>
      <c r="D47" s="5">
        <f t="shared" si="13"/>
        <v>1024</v>
      </c>
      <c r="E47" s="5">
        <f t="shared" si="14"/>
        <v>0.5</v>
      </c>
      <c r="F47" s="5">
        <f t="shared" si="15"/>
        <v>0.25</v>
      </c>
    </row>
    <row r="48" ht="16.5" spans="1:6">
      <c r="A48" s="23">
        <v>6</v>
      </c>
      <c r="B48" s="5">
        <v>0</v>
      </c>
      <c r="C48" s="5">
        <f t="shared" si="12"/>
        <v>6</v>
      </c>
      <c r="D48" s="5">
        <f t="shared" si="13"/>
        <v>36</v>
      </c>
      <c r="E48" s="5">
        <f t="shared" si="14"/>
        <v>-0.5</v>
      </c>
      <c r="F48" s="5">
        <f t="shared" si="15"/>
        <v>0.25</v>
      </c>
    </row>
    <row r="49" ht="32.25" spans="1:6">
      <c r="A49" s="24" t="s">
        <v>202</v>
      </c>
      <c r="B49" s="5">
        <f>AVERAGE(B43:B48)</f>
        <v>0.5</v>
      </c>
      <c r="C49" s="5">
        <f>AVERAGE(C43:C48)</f>
        <v>26.6666666666667</v>
      </c>
      <c r="D49" s="5">
        <f>AVERAGE(D43:D48)</f>
        <v>957.666666666667</v>
      </c>
      <c r="E49" s="5"/>
      <c r="F49" s="5"/>
    </row>
    <row r="52" spans="1:1">
      <c r="A52" s="20" t="s">
        <v>334</v>
      </c>
    </row>
    <row r="53" ht="15.75"/>
    <row r="54" ht="48" spans="1:6">
      <c r="A54" s="22" t="s">
        <v>335</v>
      </c>
      <c r="B54" s="3" t="s">
        <v>336</v>
      </c>
      <c r="C54" s="3" t="s">
        <v>198</v>
      </c>
      <c r="D54" s="3" t="s">
        <v>199</v>
      </c>
      <c r="E54" s="3" t="s">
        <v>200</v>
      </c>
      <c r="F54" s="3" t="s">
        <v>201</v>
      </c>
    </row>
    <row r="55" ht="16.5" spans="1:9">
      <c r="A55" s="23">
        <v>13</v>
      </c>
      <c r="B55" s="5">
        <v>7</v>
      </c>
      <c r="C55" s="5">
        <f>ABS(B55-A55)</f>
        <v>6</v>
      </c>
      <c r="D55" s="5">
        <f>(B55-A55)^2</f>
        <v>36</v>
      </c>
      <c r="E55" s="5">
        <f>B55-$B$60</f>
        <v>-11</v>
      </c>
      <c r="F55" s="5">
        <f>E55^2</f>
        <v>121</v>
      </c>
      <c r="H55" s="9" t="s">
        <v>203</v>
      </c>
      <c r="I55" s="10">
        <f>AVERAGE(C55:C59)</f>
        <v>20.6</v>
      </c>
    </row>
    <row r="56" ht="16.5" spans="1:9">
      <c r="A56" s="23">
        <v>18</v>
      </c>
      <c r="B56" s="5">
        <v>33</v>
      </c>
      <c r="C56" s="5">
        <f t="shared" ref="C56:C59" si="16">ABS(B56-A56)</f>
        <v>15</v>
      </c>
      <c r="D56" s="5">
        <f t="shared" ref="D56:D59" si="17">(B56-A56)^2</f>
        <v>225</v>
      </c>
      <c r="E56" s="5">
        <f t="shared" ref="E56:E59" si="18">B56-$B$60</f>
        <v>15</v>
      </c>
      <c r="F56" s="5">
        <f t="shared" ref="F56:F59" si="19">E56^2</f>
        <v>225</v>
      </c>
      <c r="H56" s="9" t="s">
        <v>204</v>
      </c>
      <c r="I56" s="10">
        <f>AVERAGE(D55:D59)</f>
        <v>524.6</v>
      </c>
    </row>
    <row r="57" ht="16.5" spans="1:9">
      <c r="A57" s="23">
        <v>36</v>
      </c>
      <c r="B57" s="5">
        <v>15</v>
      </c>
      <c r="C57" s="5">
        <f t="shared" si="16"/>
        <v>21</v>
      </c>
      <c r="D57" s="5">
        <f t="shared" si="17"/>
        <v>441</v>
      </c>
      <c r="E57" s="5">
        <f t="shared" si="18"/>
        <v>-3</v>
      </c>
      <c r="F57" s="5">
        <f t="shared" si="19"/>
        <v>9</v>
      </c>
      <c r="H57" s="9" t="s">
        <v>205</v>
      </c>
      <c r="I57" s="9">
        <f>SQRT(AVERAGE(D55:D59))</f>
        <v>22.9041480959236</v>
      </c>
    </row>
    <row r="58" ht="16.5" spans="1:9">
      <c r="A58" s="23">
        <v>57</v>
      </c>
      <c r="B58" s="5">
        <v>21</v>
      </c>
      <c r="C58" s="5">
        <f t="shared" si="16"/>
        <v>36</v>
      </c>
      <c r="D58" s="5">
        <f t="shared" si="17"/>
        <v>1296</v>
      </c>
      <c r="E58" s="5">
        <f t="shared" si="18"/>
        <v>3</v>
      </c>
      <c r="F58" s="5">
        <f t="shared" si="19"/>
        <v>9</v>
      </c>
      <c r="H58" s="9" t="s">
        <v>206</v>
      </c>
      <c r="I58" s="10">
        <f>1-(SUM(D55:D59)/SUM(F55:F59))</f>
        <v>-5.90263157894737</v>
      </c>
    </row>
    <row r="59" ht="16.5" spans="1:6">
      <c r="A59" s="23">
        <v>39</v>
      </c>
      <c r="B59" s="5">
        <v>14</v>
      </c>
      <c r="C59" s="5">
        <f t="shared" si="16"/>
        <v>25</v>
      </c>
      <c r="D59" s="5">
        <f t="shared" si="17"/>
        <v>625</v>
      </c>
      <c r="E59" s="5">
        <f t="shared" si="18"/>
        <v>-4</v>
      </c>
      <c r="F59" s="5">
        <f t="shared" si="19"/>
        <v>16</v>
      </c>
    </row>
    <row r="60" ht="32.25" spans="1:6">
      <c r="A60" s="24" t="s">
        <v>202</v>
      </c>
      <c r="B60" s="5">
        <f>AVERAGE(B55:B59)</f>
        <v>18</v>
      </c>
      <c r="C60" s="5">
        <f>AVERAGE(C55:C59)</f>
        <v>20.6</v>
      </c>
      <c r="D60" s="5">
        <f>AVERAGE(D55:D59)</f>
        <v>524.6</v>
      </c>
      <c r="E60" s="5"/>
      <c r="F60" s="5"/>
    </row>
    <row r="63" spans="1:1">
      <c r="A63" s="20" t="s">
        <v>337</v>
      </c>
    </row>
    <row r="64" ht="15.75"/>
    <row r="65" ht="48" spans="1:6">
      <c r="A65" s="22" t="s">
        <v>338</v>
      </c>
      <c r="B65" s="3" t="s">
        <v>339</v>
      </c>
      <c r="C65" s="3" t="s">
        <v>198</v>
      </c>
      <c r="D65" s="3" t="s">
        <v>199</v>
      </c>
      <c r="E65" s="3" t="s">
        <v>200</v>
      </c>
      <c r="F65" s="3" t="s">
        <v>201</v>
      </c>
    </row>
    <row r="66" ht="16.5" spans="1:9">
      <c r="A66" s="23">
        <v>20</v>
      </c>
      <c r="B66" s="5">
        <v>5</v>
      </c>
      <c r="C66" s="5">
        <f>ABS(B66-A66)</f>
        <v>15</v>
      </c>
      <c r="D66" s="5">
        <f>(B66-A66)^2</f>
        <v>225</v>
      </c>
      <c r="E66" s="5">
        <f>B66-$B$73</f>
        <v>1</v>
      </c>
      <c r="F66" s="5">
        <f>E66^2</f>
        <v>1</v>
      </c>
      <c r="H66" s="9" t="s">
        <v>203</v>
      </c>
      <c r="I66" s="10">
        <f>AVERAGE(C66:C72)</f>
        <v>20</v>
      </c>
    </row>
    <row r="67" ht="16.5" spans="1:9">
      <c r="A67" s="23">
        <v>17</v>
      </c>
      <c r="B67" s="5">
        <v>2</v>
      </c>
      <c r="C67" s="5">
        <f t="shared" ref="C67:C72" si="20">ABS(B67-A67)</f>
        <v>15</v>
      </c>
      <c r="D67" s="5">
        <f t="shared" ref="D67:D72" si="21">(B67-A67)^2</f>
        <v>225</v>
      </c>
      <c r="E67" s="5">
        <f t="shared" ref="E67:E72" si="22">B67-$B$73</f>
        <v>-2</v>
      </c>
      <c r="F67" s="5">
        <f t="shared" ref="F67:F72" si="23">E67^2</f>
        <v>4</v>
      </c>
      <c r="H67" s="9" t="s">
        <v>204</v>
      </c>
      <c r="I67" s="10">
        <f>AVERAGE(D66:D72)</f>
        <v>636.571428571429</v>
      </c>
    </row>
    <row r="68" ht="16.5" spans="1:9">
      <c r="A68" s="23">
        <v>4</v>
      </c>
      <c r="B68" s="5">
        <v>7</v>
      </c>
      <c r="C68" s="5">
        <f t="shared" si="20"/>
        <v>3</v>
      </c>
      <c r="D68" s="5">
        <f t="shared" si="21"/>
        <v>9</v>
      </c>
      <c r="E68" s="5">
        <f t="shared" si="22"/>
        <v>3</v>
      </c>
      <c r="F68" s="5">
        <f t="shared" si="23"/>
        <v>9</v>
      </c>
      <c r="H68" s="9" t="s">
        <v>205</v>
      </c>
      <c r="I68" s="9">
        <f>SQRT(AVERAGE(D66:D72))</f>
        <v>25.2303671905787</v>
      </c>
    </row>
    <row r="69" ht="16.5" spans="1:9">
      <c r="A69" s="23">
        <v>36</v>
      </c>
      <c r="B69" s="5">
        <v>4</v>
      </c>
      <c r="C69" s="5">
        <f t="shared" si="20"/>
        <v>32</v>
      </c>
      <c r="D69" s="5">
        <f t="shared" si="21"/>
        <v>1024</v>
      </c>
      <c r="E69" s="5">
        <f t="shared" si="22"/>
        <v>0</v>
      </c>
      <c r="F69" s="5">
        <f t="shared" si="23"/>
        <v>0</v>
      </c>
      <c r="H69" s="9" t="s">
        <v>206</v>
      </c>
      <c r="I69" s="10">
        <f>1-(SUM(D66:D72)/SUM(F66:F72))</f>
        <v>-221.8</v>
      </c>
    </row>
    <row r="70" ht="16.5" spans="1:6">
      <c r="A70" s="23">
        <v>57</v>
      </c>
      <c r="B70" s="5">
        <v>5</v>
      </c>
      <c r="C70" s="5">
        <f t="shared" si="20"/>
        <v>52</v>
      </c>
      <c r="D70" s="5">
        <f t="shared" si="21"/>
        <v>2704</v>
      </c>
      <c r="E70" s="5">
        <f t="shared" si="22"/>
        <v>1</v>
      </c>
      <c r="F70" s="5">
        <f t="shared" si="23"/>
        <v>1</v>
      </c>
    </row>
    <row r="71" ht="16.5" spans="1:6">
      <c r="A71" s="23">
        <v>13</v>
      </c>
      <c r="B71" s="14">
        <v>3</v>
      </c>
      <c r="C71" s="5">
        <f t="shared" si="20"/>
        <v>10</v>
      </c>
      <c r="D71" s="5">
        <f t="shared" si="21"/>
        <v>100</v>
      </c>
      <c r="E71" s="5">
        <f t="shared" si="22"/>
        <v>-1</v>
      </c>
      <c r="F71" s="5">
        <f t="shared" si="23"/>
        <v>1</v>
      </c>
    </row>
    <row r="72" ht="16.5" spans="1:6">
      <c r="A72" s="23">
        <v>15</v>
      </c>
      <c r="B72" s="14">
        <v>2</v>
      </c>
      <c r="C72" s="5">
        <f t="shared" si="20"/>
        <v>13</v>
      </c>
      <c r="D72" s="5">
        <f t="shared" si="21"/>
        <v>169</v>
      </c>
      <c r="E72" s="5">
        <f t="shared" si="22"/>
        <v>-2</v>
      </c>
      <c r="F72" s="5">
        <f t="shared" si="23"/>
        <v>4</v>
      </c>
    </row>
    <row r="73" ht="32.25" spans="1:6">
      <c r="A73" s="24" t="s">
        <v>202</v>
      </c>
      <c r="B73" s="5">
        <f>AVERAGE(B66:B72)</f>
        <v>4</v>
      </c>
      <c r="C73" s="5">
        <f>AVERAGE(C66:C72)</f>
        <v>20</v>
      </c>
      <c r="D73" s="5">
        <f>AVERAGE(D66:D72)</f>
        <v>636.571428571429</v>
      </c>
      <c r="E73" s="5"/>
      <c r="F73" s="5"/>
    </row>
    <row r="76" spans="1:1">
      <c r="A76" s="20" t="s">
        <v>340</v>
      </c>
    </row>
    <row r="77" ht="15.75"/>
    <row r="78" ht="48" spans="1:6">
      <c r="A78" s="22" t="s">
        <v>341</v>
      </c>
      <c r="B78" s="3" t="s">
        <v>342</v>
      </c>
      <c r="C78" s="3" t="s">
        <v>198</v>
      </c>
      <c r="D78" s="3" t="s">
        <v>199</v>
      </c>
      <c r="E78" s="3" t="s">
        <v>200</v>
      </c>
      <c r="F78" s="3" t="s">
        <v>201</v>
      </c>
    </row>
    <row r="79" ht="16.5" spans="1:9">
      <c r="A79" s="23">
        <v>24</v>
      </c>
      <c r="B79" s="5">
        <v>1</v>
      </c>
      <c r="C79" s="5">
        <f>ABS(B79-A79)</f>
        <v>23</v>
      </c>
      <c r="D79" s="5">
        <f>(B79-A79)^2</f>
        <v>529</v>
      </c>
      <c r="E79" s="5">
        <f>B79-$B$85</f>
        <v>0.5</v>
      </c>
      <c r="F79" s="5">
        <f>E79^2</f>
        <v>0.25</v>
      </c>
      <c r="H79" s="9" t="s">
        <v>203</v>
      </c>
      <c r="I79" s="10">
        <f>AVERAGE(C79:C84)</f>
        <v>26.6666666666667</v>
      </c>
    </row>
    <row r="80" ht="16.5" spans="1:9">
      <c r="A80" s="23">
        <v>33</v>
      </c>
      <c r="B80" s="5">
        <v>0</v>
      </c>
      <c r="C80" s="5">
        <f t="shared" ref="C80:C84" si="24">ABS(B80-A80)</f>
        <v>33</v>
      </c>
      <c r="D80" s="5">
        <f t="shared" ref="D80:D84" si="25">(B80-A80)^2</f>
        <v>1089</v>
      </c>
      <c r="E80" s="5">
        <f t="shared" ref="E80:E84" si="26">B80-$B$85</f>
        <v>-0.5</v>
      </c>
      <c r="F80" s="5">
        <f t="shared" ref="F80:F84" si="27">E80^2</f>
        <v>0.25</v>
      </c>
      <c r="H80" s="9" t="s">
        <v>204</v>
      </c>
      <c r="I80" s="10">
        <f>AVERAGE(D79:D84)</f>
        <v>904.666666666667</v>
      </c>
    </row>
    <row r="81" ht="16.5" spans="1:9">
      <c r="A81" s="23">
        <v>9</v>
      </c>
      <c r="B81" s="5">
        <v>1</v>
      </c>
      <c r="C81" s="5">
        <f t="shared" si="24"/>
        <v>8</v>
      </c>
      <c r="D81" s="5">
        <f t="shared" si="25"/>
        <v>64</v>
      </c>
      <c r="E81" s="5">
        <f t="shared" si="26"/>
        <v>0.5</v>
      </c>
      <c r="F81" s="5">
        <f t="shared" si="27"/>
        <v>0.25</v>
      </c>
      <c r="H81" s="9" t="s">
        <v>205</v>
      </c>
      <c r="I81" s="9">
        <f>SQRT(AVERAGE(D79:D84))</f>
        <v>30.0776772152815</v>
      </c>
    </row>
    <row r="82" ht="16.5" spans="1:9">
      <c r="A82" s="23">
        <v>45</v>
      </c>
      <c r="B82" s="5">
        <v>0</v>
      </c>
      <c r="C82" s="5">
        <f t="shared" si="24"/>
        <v>45</v>
      </c>
      <c r="D82" s="5">
        <f t="shared" si="25"/>
        <v>2025</v>
      </c>
      <c r="E82" s="5">
        <f t="shared" si="26"/>
        <v>-0.5</v>
      </c>
      <c r="F82" s="5">
        <f t="shared" si="27"/>
        <v>0.25</v>
      </c>
      <c r="H82" s="9" t="s">
        <v>206</v>
      </c>
      <c r="I82" s="10">
        <f>1-(SUM(D79:D84)/SUM(F79:F84))</f>
        <v>-3617.66666666667</v>
      </c>
    </row>
    <row r="83" ht="16.5" spans="1:6">
      <c r="A83" s="23">
        <v>41</v>
      </c>
      <c r="B83" s="5">
        <v>1</v>
      </c>
      <c r="C83" s="5">
        <f t="shared" si="24"/>
        <v>40</v>
      </c>
      <c r="D83" s="5">
        <f t="shared" si="25"/>
        <v>1600</v>
      </c>
      <c r="E83" s="5">
        <f t="shared" si="26"/>
        <v>0.5</v>
      </c>
      <c r="F83" s="5">
        <f t="shared" si="27"/>
        <v>0.25</v>
      </c>
    </row>
    <row r="84" ht="16.5" spans="1:6">
      <c r="A84" s="23">
        <v>11</v>
      </c>
      <c r="B84" s="5">
        <v>0</v>
      </c>
      <c r="C84" s="5">
        <f t="shared" si="24"/>
        <v>11</v>
      </c>
      <c r="D84" s="5">
        <f t="shared" si="25"/>
        <v>121</v>
      </c>
      <c r="E84" s="5">
        <f t="shared" si="26"/>
        <v>-0.5</v>
      </c>
      <c r="F84" s="5">
        <f t="shared" si="27"/>
        <v>0.25</v>
      </c>
    </row>
    <row r="85" ht="32.25" spans="1:6">
      <c r="A85" s="24" t="s">
        <v>202</v>
      </c>
      <c r="B85" s="5">
        <f>AVERAGE(B79:B84)</f>
        <v>0.5</v>
      </c>
      <c r="C85" s="5">
        <f>AVERAGE(C79:C84)</f>
        <v>26.6666666666667</v>
      </c>
      <c r="D85" s="5">
        <f>AVERAGE(D79:D84)</f>
        <v>904.666666666667</v>
      </c>
      <c r="E85" s="5"/>
      <c r="F85" s="5"/>
    </row>
    <row r="88" spans="1:1">
      <c r="A88" s="20" t="s">
        <v>343</v>
      </c>
    </row>
    <row r="89" ht="15.75"/>
    <row r="90" ht="15.75" spans="1:6">
      <c r="A90" s="26" t="s">
        <v>344</v>
      </c>
      <c r="B90" s="27" t="s">
        <v>345</v>
      </c>
      <c r="C90" s="26" t="s">
        <v>198</v>
      </c>
      <c r="D90" s="26" t="s">
        <v>199</v>
      </c>
      <c r="E90" s="26" t="s">
        <v>200</v>
      </c>
      <c r="F90" s="26" t="s">
        <v>201</v>
      </c>
    </row>
    <row r="91" ht="16.5" spans="1:6">
      <c r="A91" s="24"/>
      <c r="B91" s="28" t="s">
        <v>346</v>
      </c>
      <c r="C91" s="24"/>
      <c r="D91" s="24"/>
      <c r="E91" s="24"/>
      <c r="F91" s="24"/>
    </row>
    <row r="92" ht="16.5" spans="1:9">
      <c r="A92" s="23">
        <v>19</v>
      </c>
      <c r="B92" s="5">
        <v>41</v>
      </c>
      <c r="C92" s="5">
        <f>ABS(B92-A92)</f>
        <v>22</v>
      </c>
      <c r="D92" s="5">
        <f>(B92-A92)^2</f>
        <v>484</v>
      </c>
      <c r="E92" s="5">
        <f>B92-$B$100</f>
        <v>8.375</v>
      </c>
      <c r="F92" s="25">
        <f>E92^2</f>
        <v>70.140625</v>
      </c>
      <c r="H92" s="9" t="s">
        <v>203</v>
      </c>
      <c r="I92" s="10">
        <f>AVERAGE(C92:C99)</f>
        <v>25.5</v>
      </c>
    </row>
    <row r="93" ht="16.5" spans="1:9">
      <c r="A93" s="23">
        <v>21</v>
      </c>
      <c r="B93" s="5">
        <v>70</v>
      </c>
      <c r="C93" s="5">
        <f t="shared" ref="C93:C99" si="28">ABS(B93-A93)</f>
        <v>49</v>
      </c>
      <c r="D93" s="5">
        <f t="shared" ref="D93:D99" si="29">(B93-A93)^2</f>
        <v>2401</v>
      </c>
      <c r="E93" s="5">
        <f t="shared" ref="E93:E99" si="30">B93-$B$100</f>
        <v>37.375</v>
      </c>
      <c r="F93" s="25">
        <f t="shared" ref="F93:F99" si="31">E93^2</f>
        <v>1396.890625</v>
      </c>
      <c r="H93" s="9" t="s">
        <v>204</v>
      </c>
      <c r="I93" s="10">
        <f>AVERAGE(D92:D99)</f>
        <v>895.75</v>
      </c>
    </row>
    <row r="94" ht="16.5" spans="1:9">
      <c r="A94" s="23">
        <v>6</v>
      </c>
      <c r="B94" s="5">
        <v>34</v>
      </c>
      <c r="C94" s="5">
        <f t="shared" si="28"/>
        <v>28</v>
      </c>
      <c r="D94" s="5">
        <f t="shared" si="29"/>
        <v>784</v>
      </c>
      <c r="E94" s="5">
        <f t="shared" si="30"/>
        <v>1.375</v>
      </c>
      <c r="F94" s="25">
        <f t="shared" si="31"/>
        <v>1.890625</v>
      </c>
      <c r="H94" s="9" t="s">
        <v>205</v>
      </c>
      <c r="I94" s="9">
        <f>SQRT(AVERAGE(D92:D99))</f>
        <v>29.9290828459544</v>
      </c>
    </row>
    <row r="95" ht="16.5" spans="1:9">
      <c r="A95" s="23">
        <v>36</v>
      </c>
      <c r="B95" s="5">
        <v>22</v>
      </c>
      <c r="C95" s="5">
        <f t="shared" si="28"/>
        <v>14</v>
      </c>
      <c r="D95" s="5">
        <f t="shared" si="29"/>
        <v>196</v>
      </c>
      <c r="E95" s="5">
        <f t="shared" si="30"/>
        <v>-10.625</v>
      </c>
      <c r="F95" s="25">
        <f t="shared" si="31"/>
        <v>112.890625</v>
      </c>
      <c r="H95" s="9" t="s">
        <v>206</v>
      </c>
      <c r="I95" s="10">
        <f>1-(SUM(D92:D99)/SUM(F92:F99))</f>
        <v>-1.09539822361928</v>
      </c>
    </row>
    <row r="96" ht="16.5" spans="1:6">
      <c r="A96" s="23">
        <v>42</v>
      </c>
      <c r="B96" s="5">
        <v>12</v>
      </c>
      <c r="C96" s="5">
        <f t="shared" si="28"/>
        <v>30</v>
      </c>
      <c r="D96" s="5">
        <f t="shared" si="29"/>
        <v>900</v>
      </c>
      <c r="E96" s="5">
        <f t="shared" si="30"/>
        <v>-20.625</v>
      </c>
      <c r="F96" s="25">
        <f t="shared" si="31"/>
        <v>425.390625</v>
      </c>
    </row>
    <row r="97" ht="16.5" spans="1:6">
      <c r="A97" s="23">
        <v>7</v>
      </c>
      <c r="B97" s="5">
        <v>55</v>
      </c>
      <c r="C97" s="5">
        <f t="shared" si="28"/>
        <v>48</v>
      </c>
      <c r="D97" s="5">
        <f t="shared" si="29"/>
        <v>2304</v>
      </c>
      <c r="E97" s="5">
        <f t="shared" si="30"/>
        <v>22.375</v>
      </c>
      <c r="F97" s="25">
        <f t="shared" si="31"/>
        <v>500.640625</v>
      </c>
    </row>
    <row r="98" ht="16.5" spans="1:6">
      <c r="A98" s="23">
        <v>19</v>
      </c>
      <c r="B98" s="5">
        <v>23</v>
      </c>
      <c r="C98" s="5">
        <f t="shared" si="28"/>
        <v>4</v>
      </c>
      <c r="D98" s="5">
        <f t="shared" si="29"/>
        <v>16</v>
      </c>
      <c r="E98" s="5">
        <f t="shared" si="30"/>
        <v>-9.625</v>
      </c>
      <c r="F98" s="25">
        <f t="shared" si="31"/>
        <v>92.640625</v>
      </c>
    </row>
    <row r="99" ht="16.5" spans="1:6">
      <c r="A99" s="23">
        <v>13</v>
      </c>
      <c r="B99" s="5">
        <v>4</v>
      </c>
      <c r="C99" s="5">
        <f t="shared" si="28"/>
        <v>9</v>
      </c>
      <c r="D99" s="5">
        <f t="shared" si="29"/>
        <v>81</v>
      </c>
      <c r="E99" s="5">
        <f t="shared" si="30"/>
        <v>-28.625</v>
      </c>
      <c r="F99" s="25">
        <f t="shared" si="31"/>
        <v>819.390625</v>
      </c>
    </row>
    <row r="100" ht="32.25" spans="1:6">
      <c r="A100" s="24" t="s">
        <v>202</v>
      </c>
      <c r="B100" s="5">
        <f>AVERAGE(B92:B99)</f>
        <v>32.625</v>
      </c>
      <c r="C100" s="5">
        <f>AVERAGE(C92:C99)</f>
        <v>25.5</v>
      </c>
      <c r="D100" s="5">
        <f>AVERAGE(D92:D99)</f>
        <v>895.75</v>
      </c>
      <c r="E100" s="5"/>
      <c r="F100" s="5"/>
    </row>
    <row r="103" spans="1:1">
      <c r="A103" s="20" t="s">
        <v>347</v>
      </c>
    </row>
    <row r="104" ht="15.75"/>
    <row r="105" ht="15.75" spans="1:6">
      <c r="A105" s="26" t="s">
        <v>348</v>
      </c>
      <c r="B105" s="27" t="s">
        <v>345</v>
      </c>
      <c r="C105" s="26" t="s">
        <v>198</v>
      </c>
      <c r="D105" s="26" t="s">
        <v>199</v>
      </c>
      <c r="E105" s="26" t="s">
        <v>200</v>
      </c>
      <c r="F105" s="26" t="s">
        <v>201</v>
      </c>
    </row>
    <row r="106" ht="32.25" spans="1:6">
      <c r="A106" s="24"/>
      <c r="B106" s="28" t="s">
        <v>349</v>
      </c>
      <c r="C106" s="24"/>
      <c r="D106" s="24"/>
      <c r="E106" s="24"/>
      <c r="F106" s="24"/>
    </row>
    <row r="107" ht="16.5" spans="1:9">
      <c r="A107" s="23">
        <v>9</v>
      </c>
      <c r="B107" s="5">
        <v>21</v>
      </c>
      <c r="C107" s="5">
        <f>ABS(B107-A107)</f>
        <v>12</v>
      </c>
      <c r="D107" s="5">
        <f>(B107-A107)^2</f>
        <v>144</v>
      </c>
      <c r="E107" s="5">
        <f>B107-$B$112</f>
        <v>10.6</v>
      </c>
      <c r="F107" s="5">
        <f>E107^2</f>
        <v>112.36</v>
      </c>
      <c r="H107" s="9" t="s">
        <v>203</v>
      </c>
      <c r="I107" s="10">
        <f>AVERAGE(C107:C111)</f>
        <v>27</v>
      </c>
    </row>
    <row r="108" ht="16.5" spans="1:9">
      <c r="A108" s="23">
        <v>19</v>
      </c>
      <c r="B108" s="5">
        <v>10</v>
      </c>
      <c r="C108" s="5">
        <f t="shared" ref="C108:C111" si="32">ABS(B108-A108)</f>
        <v>9</v>
      </c>
      <c r="D108" s="5">
        <f t="shared" ref="D108:D111" si="33">(B108-A108)^2</f>
        <v>81</v>
      </c>
      <c r="E108" s="5">
        <f t="shared" ref="E108:E111" si="34">B108-$B$112</f>
        <v>-0.4</v>
      </c>
      <c r="F108" s="5">
        <f t="shared" ref="F108:F111" si="35">E108^2</f>
        <v>0.16</v>
      </c>
      <c r="H108" s="9" t="s">
        <v>204</v>
      </c>
      <c r="I108" s="10">
        <f>AVERAGE(D107:D111)</f>
        <v>1103.8</v>
      </c>
    </row>
    <row r="109" ht="16.5" spans="1:9">
      <c r="A109" s="23">
        <v>37</v>
      </c>
      <c r="B109" s="5">
        <v>4</v>
      </c>
      <c r="C109" s="5">
        <f t="shared" si="32"/>
        <v>33</v>
      </c>
      <c r="D109" s="5">
        <f t="shared" si="33"/>
        <v>1089</v>
      </c>
      <c r="E109" s="5">
        <f t="shared" si="34"/>
        <v>-6.4</v>
      </c>
      <c r="F109" s="5">
        <f t="shared" si="35"/>
        <v>40.96</v>
      </c>
      <c r="H109" s="9" t="s">
        <v>205</v>
      </c>
      <c r="I109" s="9">
        <f>SQRT(AVERAGE(D107:D111))</f>
        <v>33.2234856690264</v>
      </c>
    </row>
    <row r="110" ht="16.5" spans="1:9">
      <c r="A110" s="23">
        <v>64</v>
      </c>
      <c r="B110" s="5">
        <v>2</v>
      </c>
      <c r="C110" s="5">
        <f t="shared" si="32"/>
        <v>62</v>
      </c>
      <c r="D110" s="5">
        <f t="shared" si="33"/>
        <v>3844</v>
      </c>
      <c r="E110" s="5">
        <f t="shared" si="34"/>
        <v>-8.4</v>
      </c>
      <c r="F110" s="5">
        <f t="shared" si="35"/>
        <v>70.56</v>
      </c>
      <c r="H110" s="9" t="s">
        <v>206</v>
      </c>
      <c r="I110" s="10">
        <f>1-(SUM(D107:D111)/SUM(F107:F111))</f>
        <v>-21.5081566068515</v>
      </c>
    </row>
    <row r="111" ht="16.5" spans="1:6">
      <c r="A111" s="23">
        <v>34</v>
      </c>
      <c r="B111" s="5">
        <v>15</v>
      </c>
      <c r="C111" s="5">
        <f t="shared" si="32"/>
        <v>19</v>
      </c>
      <c r="D111" s="5">
        <f t="shared" si="33"/>
        <v>361</v>
      </c>
      <c r="E111" s="5">
        <f t="shared" si="34"/>
        <v>4.6</v>
      </c>
      <c r="F111" s="5">
        <f t="shared" si="35"/>
        <v>21.16</v>
      </c>
    </row>
    <row r="112" ht="32.25" spans="1:6">
      <c r="A112" s="24" t="s">
        <v>202</v>
      </c>
      <c r="B112" s="5">
        <f>AVERAGE(B107:B111)</f>
        <v>10.4</v>
      </c>
      <c r="C112" s="5">
        <f>AVERAGE(C107:C111)</f>
        <v>27</v>
      </c>
      <c r="D112" s="5">
        <f>AVERAGE(D107:D111)</f>
        <v>1103.8</v>
      </c>
      <c r="E112" s="5"/>
      <c r="F112" s="5"/>
    </row>
    <row r="115" spans="1:1">
      <c r="A115" s="20" t="s">
        <v>350</v>
      </c>
    </row>
    <row r="116" ht="15.75"/>
    <row r="117" customHeight="1" spans="1:6">
      <c r="A117" s="26" t="s">
        <v>351</v>
      </c>
      <c r="B117" s="27" t="s">
        <v>345</v>
      </c>
      <c r="C117" s="26" t="s">
        <v>198</v>
      </c>
      <c r="D117" s="26" t="s">
        <v>199</v>
      </c>
      <c r="E117" s="26" t="s">
        <v>200</v>
      </c>
      <c r="F117" s="26" t="s">
        <v>201</v>
      </c>
    </row>
    <row r="118" ht="15.75" spans="1:6">
      <c r="A118" s="29"/>
      <c r="B118" s="30" t="s">
        <v>352</v>
      </c>
      <c r="C118" s="29"/>
      <c r="D118" s="29"/>
      <c r="E118" s="29"/>
      <c r="F118" s="29"/>
    </row>
    <row r="119" ht="16.5" spans="1:6">
      <c r="A119" s="24"/>
      <c r="B119" s="28" t="s">
        <v>353</v>
      </c>
      <c r="C119" s="24"/>
      <c r="D119" s="24"/>
      <c r="E119" s="24"/>
      <c r="F119" s="24"/>
    </row>
    <row r="120" ht="16.5" spans="1:9">
      <c r="A120" s="23">
        <v>19</v>
      </c>
      <c r="B120" s="5">
        <v>61</v>
      </c>
      <c r="C120" s="5">
        <f>ABS(B120-A120)</f>
        <v>42</v>
      </c>
      <c r="D120" s="5">
        <f>(B120-A120)^2</f>
        <v>1764</v>
      </c>
      <c r="E120" s="5">
        <f>B120-$B$128</f>
        <v>36.375</v>
      </c>
      <c r="F120" s="5">
        <f>E120^2</f>
        <v>1323.140625</v>
      </c>
      <c r="H120" s="9" t="s">
        <v>203</v>
      </c>
      <c r="I120" s="10">
        <f>AVERAGE(C120:C127)</f>
        <v>18</v>
      </c>
    </row>
    <row r="121" ht="16.5" spans="1:9">
      <c r="A121" s="23">
        <v>16</v>
      </c>
      <c r="B121" s="5">
        <v>34</v>
      </c>
      <c r="C121" s="5">
        <f t="shared" ref="C121:C127" si="36">ABS(B121-A121)</f>
        <v>18</v>
      </c>
      <c r="D121" s="5">
        <f t="shared" ref="D121:D127" si="37">(B121-A121)^2</f>
        <v>324</v>
      </c>
      <c r="E121" s="5">
        <f t="shared" ref="E121:E127" si="38">B121-$B$128</f>
        <v>9.375</v>
      </c>
      <c r="F121" s="5">
        <f t="shared" ref="F121:F127" si="39">E121^2</f>
        <v>87.890625</v>
      </c>
      <c r="H121" s="9" t="s">
        <v>204</v>
      </c>
      <c r="I121" s="10">
        <f>AVERAGE(D120:D127)</f>
        <v>465</v>
      </c>
    </row>
    <row r="122" ht="16.5" spans="1:9">
      <c r="A122" s="23">
        <v>3</v>
      </c>
      <c r="B122" s="5">
        <v>8</v>
      </c>
      <c r="C122" s="5">
        <f t="shared" si="36"/>
        <v>5</v>
      </c>
      <c r="D122" s="5">
        <f t="shared" si="37"/>
        <v>25</v>
      </c>
      <c r="E122" s="5">
        <f t="shared" si="38"/>
        <v>-16.625</v>
      </c>
      <c r="F122" s="5">
        <f t="shared" si="39"/>
        <v>276.390625</v>
      </c>
      <c r="H122" s="9" t="s">
        <v>205</v>
      </c>
      <c r="I122" s="9">
        <f>SQRT(AVERAGE(D120:D127))</f>
        <v>21.5638586528478</v>
      </c>
    </row>
    <row r="123" ht="16.5" spans="1:9">
      <c r="A123" s="23">
        <v>39</v>
      </c>
      <c r="B123" s="5">
        <v>25</v>
      </c>
      <c r="C123" s="5">
        <f t="shared" si="36"/>
        <v>14</v>
      </c>
      <c r="D123" s="5">
        <f t="shared" si="37"/>
        <v>196</v>
      </c>
      <c r="E123" s="5">
        <f t="shared" si="38"/>
        <v>0.375</v>
      </c>
      <c r="F123" s="5">
        <f t="shared" si="39"/>
        <v>0.140625</v>
      </c>
      <c r="H123" s="9" t="s">
        <v>206</v>
      </c>
      <c r="I123" s="10">
        <f>1-(SUM(D120:D127)/SUM(F120:F127))</f>
        <v>-0.812975936643314</v>
      </c>
    </row>
    <row r="124" ht="16.5" spans="1:6">
      <c r="A124" s="23">
        <v>48</v>
      </c>
      <c r="B124" s="5">
        <v>16</v>
      </c>
      <c r="C124" s="5">
        <f t="shared" si="36"/>
        <v>32</v>
      </c>
      <c r="D124" s="5">
        <f t="shared" si="37"/>
        <v>1024</v>
      </c>
      <c r="E124" s="5">
        <f t="shared" si="38"/>
        <v>-8.625</v>
      </c>
      <c r="F124" s="5">
        <f t="shared" si="39"/>
        <v>74.390625</v>
      </c>
    </row>
    <row r="125" ht="16.5" spans="1:6">
      <c r="A125" s="23">
        <v>6</v>
      </c>
      <c r="B125" s="5">
        <v>21</v>
      </c>
      <c r="C125" s="5">
        <f t="shared" si="36"/>
        <v>15</v>
      </c>
      <c r="D125" s="5">
        <f t="shared" si="37"/>
        <v>225</v>
      </c>
      <c r="E125" s="5">
        <f t="shared" si="38"/>
        <v>-3.625</v>
      </c>
      <c r="F125" s="5">
        <f t="shared" si="39"/>
        <v>13.140625</v>
      </c>
    </row>
    <row r="126" ht="16.5" spans="1:6">
      <c r="A126" s="23">
        <v>17</v>
      </c>
      <c r="B126" s="5">
        <v>8</v>
      </c>
      <c r="C126" s="5">
        <f t="shared" si="36"/>
        <v>9</v>
      </c>
      <c r="D126" s="5">
        <f t="shared" si="37"/>
        <v>81</v>
      </c>
      <c r="E126" s="5">
        <f t="shared" si="38"/>
        <v>-16.625</v>
      </c>
      <c r="F126" s="5">
        <f t="shared" si="39"/>
        <v>276.390625</v>
      </c>
    </row>
    <row r="127" ht="16.5" spans="1:6">
      <c r="A127" s="23">
        <v>15</v>
      </c>
      <c r="B127" s="5">
        <v>24</v>
      </c>
      <c r="C127" s="5">
        <f t="shared" si="36"/>
        <v>9</v>
      </c>
      <c r="D127" s="5">
        <f t="shared" si="37"/>
        <v>81</v>
      </c>
      <c r="E127" s="5">
        <f t="shared" si="38"/>
        <v>-0.625</v>
      </c>
      <c r="F127" s="5">
        <f t="shared" si="39"/>
        <v>0.390625</v>
      </c>
    </row>
    <row r="128" ht="32.25" spans="1:6">
      <c r="A128" s="24" t="s">
        <v>202</v>
      </c>
      <c r="B128" s="5">
        <f>AVERAGE(B120:B127)</f>
        <v>24.625</v>
      </c>
      <c r="C128" s="5">
        <f>AVERAGE(C120:C127)</f>
        <v>18</v>
      </c>
      <c r="D128" s="5">
        <f>AVERAGE(D120:D127)</f>
        <v>465</v>
      </c>
      <c r="E128" s="5"/>
      <c r="F128" s="5"/>
    </row>
    <row r="131" spans="1:1">
      <c r="A131" s="20" t="s">
        <v>354</v>
      </c>
    </row>
    <row r="132" ht="15.75"/>
    <row r="133" ht="15.75" spans="1:6">
      <c r="A133" s="26" t="s">
        <v>355</v>
      </c>
      <c r="B133" s="27" t="s">
        <v>345</v>
      </c>
      <c r="C133" s="26" t="s">
        <v>198</v>
      </c>
      <c r="D133" s="26" t="s">
        <v>199</v>
      </c>
      <c r="E133" s="26" t="s">
        <v>200</v>
      </c>
      <c r="F133" s="26" t="s">
        <v>201</v>
      </c>
    </row>
    <row r="134" ht="32.25" spans="1:6">
      <c r="A134" s="24"/>
      <c r="B134" s="28" t="s">
        <v>356</v>
      </c>
      <c r="C134" s="24"/>
      <c r="D134" s="24"/>
      <c r="E134" s="24"/>
      <c r="F134" s="24"/>
    </row>
    <row r="135" ht="16.5" spans="1:9">
      <c r="A135" s="23">
        <v>20</v>
      </c>
      <c r="B135" s="5">
        <v>3</v>
      </c>
      <c r="C135" s="5">
        <f>ABS(B135-A135)</f>
        <v>17</v>
      </c>
      <c r="D135" s="5">
        <f>(B135-A135)^2</f>
        <v>289</v>
      </c>
      <c r="E135" s="5">
        <f>B135-$B$144</f>
        <v>-0.444444444444445</v>
      </c>
      <c r="F135" s="5">
        <f>E135^2</f>
        <v>0.197530864197531</v>
      </c>
      <c r="H135" s="9" t="s">
        <v>203</v>
      </c>
      <c r="I135" s="10">
        <f>AVERAGE(C135:C143)</f>
        <v>14.6666666666667</v>
      </c>
    </row>
    <row r="136" ht="16.5" spans="1:9">
      <c r="A136" s="23">
        <v>18</v>
      </c>
      <c r="B136" s="5">
        <v>5</v>
      </c>
      <c r="C136" s="5">
        <f t="shared" ref="C136:C143" si="40">ABS(B136-A136)</f>
        <v>13</v>
      </c>
      <c r="D136" s="5">
        <f t="shared" ref="D136:D143" si="41">(B136-A136)^2</f>
        <v>169</v>
      </c>
      <c r="E136" s="5">
        <f t="shared" ref="E136:E143" si="42">B136-$B$144</f>
        <v>1.55555555555556</v>
      </c>
      <c r="F136" s="5">
        <f t="shared" ref="F136:F143" si="43">E136^2</f>
        <v>2.41975308641975</v>
      </c>
      <c r="H136" s="9" t="s">
        <v>204</v>
      </c>
      <c r="I136" s="10">
        <f>AVERAGE(D135:D143)</f>
        <v>401.111111111111</v>
      </c>
    </row>
    <row r="137" ht="16.5" spans="1:9">
      <c r="A137" s="23">
        <v>4</v>
      </c>
      <c r="B137" s="5">
        <v>4</v>
      </c>
      <c r="C137" s="5">
        <f t="shared" si="40"/>
        <v>0</v>
      </c>
      <c r="D137" s="5">
        <f t="shared" si="41"/>
        <v>0</v>
      </c>
      <c r="E137" s="5">
        <f t="shared" si="42"/>
        <v>0.555555555555555</v>
      </c>
      <c r="F137" s="5">
        <f t="shared" si="43"/>
        <v>0.308641975308642</v>
      </c>
      <c r="H137" s="9" t="s">
        <v>205</v>
      </c>
      <c r="I137" s="9">
        <f>SQRT(AVERAGE(D135:D143))</f>
        <v>20.0277585143997</v>
      </c>
    </row>
    <row r="138" ht="16.5" spans="1:9">
      <c r="A138" s="23">
        <v>43</v>
      </c>
      <c r="B138" s="5">
        <v>2</v>
      </c>
      <c r="C138" s="5">
        <f t="shared" si="40"/>
        <v>41</v>
      </c>
      <c r="D138" s="5">
        <f t="shared" si="41"/>
        <v>1681</v>
      </c>
      <c r="E138" s="5">
        <f t="shared" si="42"/>
        <v>-1.44444444444444</v>
      </c>
      <c r="F138" s="5">
        <f t="shared" si="43"/>
        <v>2.08641975308642</v>
      </c>
      <c r="H138" s="9" t="s">
        <v>206</v>
      </c>
      <c r="I138" s="10">
        <f>1-(SUM(D135:D143)/SUM(F135:F143))</f>
        <v>-252.828125</v>
      </c>
    </row>
    <row r="139" ht="16.5" spans="1:6">
      <c r="A139" s="23">
        <v>41</v>
      </c>
      <c r="B139" s="5">
        <v>5</v>
      </c>
      <c r="C139" s="5">
        <f t="shared" si="40"/>
        <v>36</v>
      </c>
      <c r="D139" s="5">
        <f t="shared" si="41"/>
        <v>1296</v>
      </c>
      <c r="E139" s="5">
        <f t="shared" si="42"/>
        <v>1.55555555555556</v>
      </c>
      <c r="F139" s="5">
        <f t="shared" si="43"/>
        <v>2.41975308641975</v>
      </c>
    </row>
    <row r="140" ht="16.5" spans="1:6">
      <c r="A140" s="23">
        <v>10</v>
      </c>
      <c r="B140" s="5">
        <v>4</v>
      </c>
      <c r="C140" s="5">
        <f t="shared" si="40"/>
        <v>6</v>
      </c>
      <c r="D140" s="5">
        <f t="shared" si="41"/>
        <v>36</v>
      </c>
      <c r="E140" s="5">
        <f t="shared" si="42"/>
        <v>0.555555555555555</v>
      </c>
      <c r="F140" s="5">
        <f t="shared" si="43"/>
        <v>0.308641975308642</v>
      </c>
    </row>
    <row r="141" ht="16.5" spans="1:6">
      <c r="A141" s="23">
        <v>10</v>
      </c>
      <c r="B141" s="5">
        <v>3</v>
      </c>
      <c r="C141" s="5">
        <f t="shared" si="40"/>
        <v>7</v>
      </c>
      <c r="D141" s="5">
        <f t="shared" si="41"/>
        <v>49</v>
      </c>
      <c r="E141" s="5">
        <f t="shared" si="42"/>
        <v>-0.444444444444445</v>
      </c>
      <c r="F141" s="5">
        <f t="shared" si="43"/>
        <v>0.197530864197531</v>
      </c>
    </row>
    <row r="142" ht="16.5" spans="1:6">
      <c r="A142" s="23">
        <v>13</v>
      </c>
      <c r="B142" s="5">
        <v>4</v>
      </c>
      <c r="C142" s="5">
        <f t="shared" si="40"/>
        <v>9</v>
      </c>
      <c r="D142" s="5">
        <f t="shared" si="41"/>
        <v>81</v>
      </c>
      <c r="E142" s="5">
        <f t="shared" si="42"/>
        <v>0.555555555555555</v>
      </c>
      <c r="F142" s="5">
        <f t="shared" si="43"/>
        <v>0.308641975308642</v>
      </c>
    </row>
    <row r="143" ht="16.5" spans="1:6">
      <c r="A143" s="23">
        <v>4</v>
      </c>
      <c r="B143" s="5">
        <v>1</v>
      </c>
      <c r="C143" s="5">
        <f t="shared" si="40"/>
        <v>3</v>
      </c>
      <c r="D143" s="5">
        <f t="shared" si="41"/>
        <v>9</v>
      </c>
      <c r="E143" s="5">
        <f t="shared" si="42"/>
        <v>-2.44444444444444</v>
      </c>
      <c r="F143" s="5">
        <f t="shared" si="43"/>
        <v>5.97530864197531</v>
      </c>
    </row>
    <row r="144" ht="32.25" spans="1:6">
      <c r="A144" s="24" t="s">
        <v>202</v>
      </c>
      <c r="B144" s="5">
        <f>AVERAGE(B135:B143)</f>
        <v>3.44444444444444</v>
      </c>
      <c r="C144" s="5">
        <f>AVERAGE(C135:C143)</f>
        <v>14.6666666666667</v>
      </c>
      <c r="D144" s="5">
        <f>AVERAGE(D135:D143)</f>
        <v>401.111111111111</v>
      </c>
      <c r="E144" s="5"/>
      <c r="F144" s="25"/>
    </row>
    <row r="147" spans="1:1">
      <c r="A147" s="20" t="s">
        <v>357</v>
      </c>
    </row>
    <row r="148" ht="15.75"/>
    <row r="149" ht="48" spans="1:6">
      <c r="A149" s="22" t="s">
        <v>358</v>
      </c>
      <c r="B149" s="3" t="s">
        <v>342</v>
      </c>
      <c r="C149" s="3" t="s">
        <v>198</v>
      </c>
      <c r="D149" s="3" t="s">
        <v>199</v>
      </c>
      <c r="E149" s="3" t="s">
        <v>200</v>
      </c>
      <c r="F149" s="3" t="s">
        <v>201</v>
      </c>
    </row>
    <row r="150" ht="16.5" spans="1:9">
      <c r="A150" s="23">
        <v>27</v>
      </c>
      <c r="B150" s="5">
        <v>1</v>
      </c>
      <c r="C150" s="5">
        <f>ABS(B150-A150)</f>
        <v>26</v>
      </c>
      <c r="D150" s="5">
        <f>(B150-A150)^2</f>
        <v>676</v>
      </c>
      <c r="E150" s="5">
        <f>B150-$B$156</f>
        <v>0.333333333333333</v>
      </c>
      <c r="F150" s="5">
        <f>E150^2</f>
        <v>0.111111111111111</v>
      </c>
      <c r="H150" s="9" t="s">
        <v>203</v>
      </c>
      <c r="I150" s="10">
        <f>AVERAGE(C150:C155)</f>
        <v>26.5</v>
      </c>
    </row>
    <row r="151" ht="16.5" spans="1:9">
      <c r="A151" s="23">
        <v>40</v>
      </c>
      <c r="B151" s="5">
        <v>1</v>
      </c>
      <c r="C151" s="5">
        <f t="shared" ref="C151:C155" si="44">ABS(B151-A151)</f>
        <v>39</v>
      </c>
      <c r="D151" s="5">
        <f t="shared" ref="D151:D155" si="45">(B151-A151)^2</f>
        <v>1521</v>
      </c>
      <c r="E151" s="5">
        <f t="shared" ref="E151:E155" si="46">B151-$B$156</f>
        <v>0.333333333333333</v>
      </c>
      <c r="F151" s="5">
        <f t="shared" ref="F151:F155" si="47">E151^2</f>
        <v>0.111111111111111</v>
      </c>
      <c r="H151" s="9" t="s">
        <v>204</v>
      </c>
      <c r="I151" s="10">
        <f>AVERAGE(D150:D155)</f>
        <v>888.5</v>
      </c>
    </row>
    <row r="152" ht="16.5" spans="1:9">
      <c r="A152" s="23">
        <v>8</v>
      </c>
      <c r="B152" s="5">
        <v>0</v>
      </c>
      <c r="C152" s="5">
        <f t="shared" si="44"/>
        <v>8</v>
      </c>
      <c r="D152" s="5">
        <f t="shared" si="45"/>
        <v>64</v>
      </c>
      <c r="E152" s="5">
        <f t="shared" si="46"/>
        <v>-0.666666666666667</v>
      </c>
      <c r="F152" s="5">
        <f t="shared" si="47"/>
        <v>0.444444444444444</v>
      </c>
      <c r="H152" s="9" t="s">
        <v>205</v>
      </c>
      <c r="I152" s="9">
        <f>SQRT(AVERAGE(D150:D155))</f>
        <v>29.8077171215778</v>
      </c>
    </row>
    <row r="153" ht="16.5" spans="1:9">
      <c r="A153" s="23">
        <v>35</v>
      </c>
      <c r="B153" s="5">
        <v>0</v>
      </c>
      <c r="C153" s="5">
        <f t="shared" si="44"/>
        <v>35</v>
      </c>
      <c r="D153" s="5">
        <f t="shared" si="45"/>
        <v>1225</v>
      </c>
      <c r="E153" s="5">
        <f t="shared" si="46"/>
        <v>-0.666666666666667</v>
      </c>
      <c r="F153" s="5">
        <f t="shared" si="47"/>
        <v>0.444444444444444</v>
      </c>
      <c r="H153" s="9" t="s">
        <v>206</v>
      </c>
      <c r="I153" s="10">
        <f>1-(SUM(D150:D155)/SUM(F150:F155))</f>
        <v>-3997.25</v>
      </c>
    </row>
    <row r="154" ht="16.5" spans="1:6">
      <c r="A154" s="23">
        <v>43</v>
      </c>
      <c r="B154" s="5">
        <v>1</v>
      </c>
      <c r="C154" s="5">
        <f t="shared" si="44"/>
        <v>42</v>
      </c>
      <c r="D154" s="5">
        <f t="shared" si="45"/>
        <v>1764</v>
      </c>
      <c r="E154" s="5">
        <f t="shared" si="46"/>
        <v>0.333333333333333</v>
      </c>
      <c r="F154" s="5">
        <f t="shared" si="47"/>
        <v>0.111111111111111</v>
      </c>
    </row>
    <row r="155" ht="16.5" spans="1:6">
      <c r="A155" s="23">
        <v>10</v>
      </c>
      <c r="B155" s="5">
        <v>1</v>
      </c>
      <c r="C155" s="5">
        <f t="shared" si="44"/>
        <v>9</v>
      </c>
      <c r="D155" s="5">
        <f t="shared" si="45"/>
        <v>81</v>
      </c>
      <c r="E155" s="5">
        <f t="shared" si="46"/>
        <v>0.333333333333333</v>
      </c>
      <c r="F155" s="5">
        <f t="shared" si="47"/>
        <v>0.111111111111111</v>
      </c>
    </row>
    <row r="156" ht="32.25" spans="1:6">
      <c r="A156" s="24" t="s">
        <v>202</v>
      </c>
      <c r="B156" s="5">
        <f>AVERAGE(B150:B155)</f>
        <v>0.666666666666667</v>
      </c>
      <c r="C156" s="5">
        <f>AVERAGE(C150:C155)</f>
        <v>26.5</v>
      </c>
      <c r="D156" s="25">
        <f>AVERAGE(D150:D155)</f>
        <v>888.5</v>
      </c>
      <c r="E156" s="5"/>
      <c r="F156" s="25"/>
    </row>
    <row r="159" spans="1:1">
      <c r="A159" s="20" t="s">
        <v>359</v>
      </c>
    </row>
    <row r="160" ht="15.75"/>
    <row r="161" ht="48" spans="1:6">
      <c r="A161" s="22" t="s">
        <v>360</v>
      </c>
      <c r="B161" s="3" t="s">
        <v>336</v>
      </c>
      <c r="C161" s="3" t="s">
        <v>198</v>
      </c>
      <c r="D161" s="3" t="s">
        <v>199</v>
      </c>
      <c r="E161" s="3" t="s">
        <v>200</v>
      </c>
      <c r="F161" s="3" t="s">
        <v>201</v>
      </c>
    </row>
    <row r="162" ht="16.5" spans="1:9">
      <c r="A162" s="23">
        <v>6</v>
      </c>
      <c r="B162" s="5">
        <v>18</v>
      </c>
      <c r="C162" s="5">
        <f>ABS(B162-A162)</f>
        <v>12</v>
      </c>
      <c r="D162" s="5">
        <f>(B162-A162)^2</f>
        <v>144</v>
      </c>
      <c r="E162" s="5">
        <f>B162-$B$167</f>
        <v>-0.199999999999999</v>
      </c>
      <c r="F162" s="5">
        <f>E162^2</f>
        <v>0.0399999999999997</v>
      </c>
      <c r="H162" s="9" t="s">
        <v>203</v>
      </c>
      <c r="I162" s="10">
        <f>AVERAGE(C162:C166)</f>
        <v>25.2</v>
      </c>
    </row>
    <row r="163" ht="16.5" spans="1:9">
      <c r="A163" s="23">
        <v>18</v>
      </c>
      <c r="B163" s="5">
        <v>33</v>
      </c>
      <c r="C163" s="5">
        <f t="shared" ref="C163:C166" si="48">ABS(B163-A163)</f>
        <v>15</v>
      </c>
      <c r="D163" s="5">
        <f t="shared" ref="D163:D166" si="49">(B163-A163)^2</f>
        <v>225</v>
      </c>
      <c r="E163" s="5">
        <f t="shared" ref="E163:E166" si="50">B163-$B$167</f>
        <v>14.8</v>
      </c>
      <c r="F163" s="5">
        <f t="shared" ref="F163:F166" si="51">E163^2</f>
        <v>219.04</v>
      </c>
      <c r="H163" s="9" t="s">
        <v>204</v>
      </c>
      <c r="I163" s="10">
        <f>AVERAGE(D162:D166)</f>
        <v>838</v>
      </c>
    </row>
    <row r="164" ht="16.5" spans="1:9">
      <c r="A164" s="23">
        <v>44</v>
      </c>
      <c r="B164" s="5">
        <v>4</v>
      </c>
      <c r="C164" s="5">
        <f t="shared" si="48"/>
        <v>40</v>
      </c>
      <c r="D164" s="5">
        <f t="shared" si="49"/>
        <v>1600</v>
      </c>
      <c r="E164" s="5">
        <f t="shared" si="50"/>
        <v>-14.2</v>
      </c>
      <c r="F164" s="5">
        <f t="shared" si="51"/>
        <v>201.64</v>
      </c>
      <c r="H164" s="9" t="s">
        <v>205</v>
      </c>
      <c r="I164" s="9">
        <f>SQRT(AVERAGE(D162:D166))</f>
        <v>28.9482296522603</v>
      </c>
    </row>
    <row r="165" ht="16.5" spans="1:9">
      <c r="A165" s="23">
        <v>66</v>
      </c>
      <c r="B165" s="5">
        <v>21</v>
      </c>
      <c r="C165" s="5">
        <f t="shared" si="48"/>
        <v>45</v>
      </c>
      <c r="D165" s="5">
        <f t="shared" si="49"/>
        <v>2025</v>
      </c>
      <c r="E165" s="5">
        <f t="shared" si="50"/>
        <v>2.8</v>
      </c>
      <c r="F165" s="5">
        <f t="shared" si="51"/>
        <v>7.84</v>
      </c>
      <c r="H165" s="9" t="s">
        <v>206</v>
      </c>
      <c r="I165" s="10">
        <f>1-(SUM(D162:D166)/SUM(F162:F166))</f>
        <v>-8.54876937101185</v>
      </c>
    </row>
    <row r="166" ht="16.5" spans="1:6">
      <c r="A166" s="23">
        <v>29</v>
      </c>
      <c r="B166" s="5">
        <v>15</v>
      </c>
      <c r="C166" s="5">
        <f t="shared" si="48"/>
        <v>14</v>
      </c>
      <c r="D166" s="5">
        <f t="shared" si="49"/>
        <v>196</v>
      </c>
      <c r="E166" s="5">
        <f t="shared" si="50"/>
        <v>-3.2</v>
      </c>
      <c r="F166" s="5">
        <f t="shared" si="51"/>
        <v>10.24</v>
      </c>
    </row>
    <row r="167" ht="32.25" spans="1:6">
      <c r="A167" s="24" t="s">
        <v>202</v>
      </c>
      <c r="B167" s="5">
        <f>AVERAGE(B162:B166)</f>
        <v>18.2</v>
      </c>
      <c r="C167" s="5">
        <f>AVERAGE(C162:C166)</f>
        <v>25.2</v>
      </c>
      <c r="D167" s="25">
        <f>AVERAGE(D162:D166)</f>
        <v>838</v>
      </c>
      <c r="E167" s="5"/>
      <c r="F167" s="5"/>
    </row>
    <row r="170" spans="1:1">
      <c r="A170" s="20" t="s">
        <v>361</v>
      </c>
    </row>
    <row r="171" ht="15.75"/>
    <row r="172" ht="48" spans="1:6">
      <c r="A172" s="22" t="s">
        <v>362</v>
      </c>
      <c r="B172" s="3" t="s">
        <v>363</v>
      </c>
      <c r="C172" s="3" t="s">
        <v>198</v>
      </c>
      <c r="D172" s="3" t="s">
        <v>199</v>
      </c>
      <c r="E172" s="3" t="s">
        <v>200</v>
      </c>
      <c r="F172" s="3" t="s">
        <v>201</v>
      </c>
    </row>
    <row r="173" ht="16.5" spans="1:9">
      <c r="A173" s="23">
        <v>17</v>
      </c>
      <c r="B173" s="5">
        <v>35</v>
      </c>
      <c r="C173" s="5">
        <f>ABS(B173-A173)</f>
        <v>18</v>
      </c>
      <c r="D173" s="5">
        <f>(B173-A173)^2</f>
        <v>324</v>
      </c>
      <c r="E173" s="5">
        <f>B173-$B$182</f>
        <v>2</v>
      </c>
      <c r="F173" s="5">
        <f>E173^2</f>
        <v>4</v>
      </c>
      <c r="H173" s="9" t="s">
        <v>203</v>
      </c>
      <c r="I173" s="10">
        <f>AVERAGE(C173:C181)</f>
        <v>20.6666666666667</v>
      </c>
    </row>
    <row r="174" ht="16.5" spans="1:9">
      <c r="A174" s="23">
        <v>22</v>
      </c>
      <c r="B174" s="5">
        <v>28</v>
      </c>
      <c r="C174" s="5">
        <f t="shared" ref="C174:C181" si="52">ABS(B174-A174)</f>
        <v>6</v>
      </c>
      <c r="D174" s="5">
        <f t="shared" ref="D174:D181" si="53">(B174-A174)^2</f>
        <v>36</v>
      </c>
      <c r="E174" s="5">
        <f t="shared" ref="E174:E181" si="54">B174-$B$182</f>
        <v>-5</v>
      </c>
      <c r="F174" s="5">
        <f t="shared" ref="F174:F181" si="55">E174^2</f>
        <v>25</v>
      </c>
      <c r="H174" s="9" t="s">
        <v>204</v>
      </c>
      <c r="I174" s="10">
        <f>AVERAGE(D173:D181)</f>
        <v>642.444444444444</v>
      </c>
    </row>
    <row r="175" ht="16.5" spans="1:9">
      <c r="A175" s="23">
        <v>1</v>
      </c>
      <c r="B175" s="5">
        <v>7</v>
      </c>
      <c r="C175" s="5">
        <f t="shared" si="52"/>
        <v>6</v>
      </c>
      <c r="D175" s="5">
        <f t="shared" si="53"/>
        <v>36</v>
      </c>
      <c r="E175" s="5">
        <f t="shared" si="54"/>
        <v>-26</v>
      </c>
      <c r="F175" s="5">
        <f t="shared" si="55"/>
        <v>676</v>
      </c>
      <c r="H175" s="9" t="s">
        <v>205</v>
      </c>
      <c r="I175" s="9">
        <f>SQRT(AVERAGE(D173:D181))</f>
        <v>25.3464878128005</v>
      </c>
    </row>
    <row r="176" ht="16.5" spans="1:9">
      <c r="A176" s="23">
        <v>36</v>
      </c>
      <c r="B176" s="5">
        <v>52</v>
      </c>
      <c r="C176" s="5">
        <f t="shared" si="52"/>
        <v>16</v>
      </c>
      <c r="D176" s="5">
        <f t="shared" si="53"/>
        <v>256</v>
      </c>
      <c r="E176" s="5">
        <f t="shared" si="54"/>
        <v>19</v>
      </c>
      <c r="F176" s="5">
        <f t="shared" si="55"/>
        <v>361</v>
      </c>
      <c r="H176" s="9" t="s">
        <v>206</v>
      </c>
      <c r="I176" s="10">
        <f>1-(SUM(D173:D181)/SUM(F173:F181))</f>
        <v>-0.700588235294118</v>
      </c>
    </row>
    <row r="177" ht="16.5" spans="1:6">
      <c r="A177" s="23">
        <v>45</v>
      </c>
      <c r="B177" s="5">
        <v>19</v>
      </c>
      <c r="C177" s="5">
        <f t="shared" si="52"/>
        <v>26</v>
      </c>
      <c r="D177" s="5">
        <f t="shared" si="53"/>
        <v>676</v>
      </c>
      <c r="E177" s="5">
        <f t="shared" si="54"/>
        <v>-14</v>
      </c>
      <c r="F177" s="5">
        <f t="shared" si="55"/>
        <v>196</v>
      </c>
    </row>
    <row r="178" ht="16.5" spans="1:6">
      <c r="A178" s="31">
        <v>8</v>
      </c>
      <c r="B178" s="32">
        <v>23</v>
      </c>
      <c r="C178" s="5">
        <f t="shared" si="52"/>
        <v>15</v>
      </c>
      <c r="D178" s="5">
        <f t="shared" si="53"/>
        <v>225</v>
      </c>
      <c r="E178" s="5">
        <f t="shared" si="54"/>
        <v>-10</v>
      </c>
      <c r="F178" s="5">
        <f t="shared" si="55"/>
        <v>100</v>
      </c>
    </row>
    <row r="179" ht="16.5" spans="1:6">
      <c r="A179" s="23">
        <v>16</v>
      </c>
      <c r="B179" s="5">
        <v>40</v>
      </c>
      <c r="C179" s="5">
        <f t="shared" si="52"/>
        <v>24</v>
      </c>
      <c r="D179" s="5">
        <f t="shared" si="53"/>
        <v>576</v>
      </c>
      <c r="E179" s="5">
        <f t="shared" si="54"/>
        <v>7</v>
      </c>
      <c r="F179" s="5">
        <f t="shared" si="55"/>
        <v>49</v>
      </c>
    </row>
    <row r="180" ht="16.5" spans="1:6">
      <c r="A180" s="23">
        <v>17</v>
      </c>
      <c r="B180" s="5">
        <v>75</v>
      </c>
      <c r="C180" s="5">
        <f t="shared" si="52"/>
        <v>58</v>
      </c>
      <c r="D180" s="5">
        <f t="shared" si="53"/>
        <v>3364</v>
      </c>
      <c r="E180" s="5">
        <f t="shared" si="54"/>
        <v>42</v>
      </c>
      <c r="F180" s="5">
        <f t="shared" si="55"/>
        <v>1764</v>
      </c>
    </row>
    <row r="181" ht="16.5" spans="1:6">
      <c r="A181" s="23">
        <v>1</v>
      </c>
      <c r="B181" s="5">
        <v>18</v>
      </c>
      <c r="C181" s="5">
        <f t="shared" si="52"/>
        <v>17</v>
      </c>
      <c r="D181" s="5">
        <f t="shared" si="53"/>
        <v>289</v>
      </c>
      <c r="E181" s="5">
        <f t="shared" si="54"/>
        <v>-15</v>
      </c>
      <c r="F181" s="5">
        <f t="shared" si="55"/>
        <v>225</v>
      </c>
    </row>
    <row r="182" ht="32.25" spans="1:6">
      <c r="A182" s="22" t="s">
        <v>202</v>
      </c>
      <c r="B182" s="33">
        <f>AVERAGE(B173:B181)</f>
        <v>33</v>
      </c>
      <c r="C182" s="33">
        <f>AVERAGE(C173:C181)</f>
        <v>20.6666666666667</v>
      </c>
      <c r="D182" s="34">
        <f>AVERAGE(D173:D181)</f>
        <v>642.444444444444</v>
      </c>
      <c r="E182" s="33"/>
      <c r="F182" s="34"/>
    </row>
    <row r="185" spans="1:1">
      <c r="A185" s="20" t="s">
        <v>364</v>
      </c>
    </row>
    <row r="186" ht="15.75"/>
    <row r="187" ht="48" spans="1:6">
      <c r="A187" s="22" t="s">
        <v>365</v>
      </c>
      <c r="B187" s="3" t="s">
        <v>366</v>
      </c>
      <c r="C187" s="3" t="s">
        <v>198</v>
      </c>
      <c r="D187" s="3" t="s">
        <v>199</v>
      </c>
      <c r="E187" s="3" t="s">
        <v>200</v>
      </c>
      <c r="F187" s="3" t="s">
        <v>201</v>
      </c>
    </row>
    <row r="188" ht="16.5" spans="1:9">
      <c r="A188" s="23">
        <v>20</v>
      </c>
      <c r="B188" s="5">
        <v>5</v>
      </c>
      <c r="C188" s="5">
        <f>ABS(B188-A188)</f>
        <v>15</v>
      </c>
      <c r="D188" s="5">
        <f>(B188-A188)^2</f>
        <v>225</v>
      </c>
      <c r="E188" s="5">
        <f>B188-$B$197</f>
        <v>1.66666666666667</v>
      </c>
      <c r="F188" s="25">
        <f>E188^2</f>
        <v>2.77777777777778</v>
      </c>
      <c r="H188" s="9" t="s">
        <v>203</v>
      </c>
      <c r="I188" s="10">
        <f>AVERAGE(C188:C196)</f>
        <v>14.7777777777778</v>
      </c>
    </row>
    <row r="189" ht="16.5" spans="1:9">
      <c r="A189" s="23">
        <v>11</v>
      </c>
      <c r="B189" s="5">
        <v>2</v>
      </c>
      <c r="C189" s="5">
        <f t="shared" ref="C189:C196" si="56">ABS(B189-A189)</f>
        <v>9</v>
      </c>
      <c r="D189" s="5">
        <f t="shared" ref="D189:D196" si="57">(B189-A189)^2</f>
        <v>81</v>
      </c>
      <c r="E189" s="5">
        <f t="shared" ref="E189:E196" si="58">B189-$B$197</f>
        <v>-1.33333333333333</v>
      </c>
      <c r="F189" s="25">
        <f t="shared" ref="F189:F196" si="59">E189^2</f>
        <v>1.77777777777778</v>
      </c>
      <c r="H189" s="9" t="s">
        <v>204</v>
      </c>
      <c r="I189" s="10">
        <f>AVERAGE(D188:D196)</f>
        <v>355.666666666667</v>
      </c>
    </row>
    <row r="190" ht="16.5" spans="1:9">
      <c r="A190" s="23">
        <v>4</v>
      </c>
      <c r="B190" s="5">
        <v>4</v>
      </c>
      <c r="C190" s="5">
        <f t="shared" si="56"/>
        <v>0</v>
      </c>
      <c r="D190" s="5">
        <f t="shared" si="57"/>
        <v>0</v>
      </c>
      <c r="E190" s="5">
        <f t="shared" si="58"/>
        <v>0.666666666666667</v>
      </c>
      <c r="F190" s="25">
        <f t="shared" si="59"/>
        <v>0.444444444444444</v>
      </c>
      <c r="H190" s="9" t="s">
        <v>205</v>
      </c>
      <c r="I190" s="9">
        <f>SQRT(AVERAGE(D188:D196))</f>
        <v>18.8591268797542</v>
      </c>
    </row>
    <row r="191" ht="16.5" spans="1:9">
      <c r="A191" s="23">
        <v>37</v>
      </c>
      <c r="B191" s="5">
        <v>3</v>
      </c>
      <c r="C191" s="5">
        <f t="shared" si="56"/>
        <v>34</v>
      </c>
      <c r="D191" s="5">
        <f t="shared" si="57"/>
        <v>1156</v>
      </c>
      <c r="E191" s="5">
        <f t="shared" si="58"/>
        <v>-0.333333333333333</v>
      </c>
      <c r="F191" s="25">
        <f t="shared" si="59"/>
        <v>0.111111111111111</v>
      </c>
      <c r="H191" s="9" t="s">
        <v>206</v>
      </c>
      <c r="I191" s="10">
        <f>1-(SUM(D188:D196)/SUM(F188:F196))</f>
        <v>-159.05</v>
      </c>
    </row>
    <row r="192" ht="16.5" spans="1:6">
      <c r="A192" s="23">
        <v>41</v>
      </c>
      <c r="B192" s="5">
        <v>6</v>
      </c>
      <c r="C192" s="5">
        <f t="shared" si="56"/>
        <v>35</v>
      </c>
      <c r="D192" s="5">
        <f t="shared" si="57"/>
        <v>1225</v>
      </c>
      <c r="E192" s="5">
        <f t="shared" si="58"/>
        <v>2.66666666666667</v>
      </c>
      <c r="F192" s="25">
        <f t="shared" si="59"/>
        <v>7.11111111111111</v>
      </c>
    </row>
    <row r="193" ht="16.5" spans="1:6">
      <c r="A193" s="23">
        <v>11</v>
      </c>
      <c r="B193" s="5">
        <v>2</v>
      </c>
      <c r="C193" s="5">
        <f t="shared" si="56"/>
        <v>9</v>
      </c>
      <c r="D193" s="5">
        <f t="shared" si="57"/>
        <v>81</v>
      </c>
      <c r="E193" s="5">
        <f t="shared" si="58"/>
        <v>-1.33333333333333</v>
      </c>
      <c r="F193" s="25">
        <f t="shared" si="59"/>
        <v>1.77777777777778</v>
      </c>
    </row>
    <row r="194" ht="16.5" spans="1:6">
      <c r="A194" s="23">
        <v>14</v>
      </c>
      <c r="B194" s="5">
        <v>4</v>
      </c>
      <c r="C194" s="5">
        <f t="shared" si="56"/>
        <v>10</v>
      </c>
      <c r="D194" s="5">
        <f t="shared" si="57"/>
        <v>100</v>
      </c>
      <c r="E194" s="5">
        <f t="shared" si="58"/>
        <v>0.666666666666667</v>
      </c>
      <c r="F194" s="25">
        <f t="shared" si="59"/>
        <v>0.444444444444444</v>
      </c>
    </row>
    <row r="195" ht="16.5" spans="1:6">
      <c r="A195" s="23">
        <v>21</v>
      </c>
      <c r="B195" s="5">
        <v>3</v>
      </c>
      <c r="C195" s="5">
        <f t="shared" si="56"/>
        <v>18</v>
      </c>
      <c r="D195" s="5">
        <f t="shared" si="57"/>
        <v>324</v>
      </c>
      <c r="E195" s="5">
        <f t="shared" si="58"/>
        <v>-0.333333333333333</v>
      </c>
      <c r="F195" s="25">
        <f t="shared" si="59"/>
        <v>0.111111111111111</v>
      </c>
    </row>
    <row r="196" ht="16.5" spans="1:6">
      <c r="A196" s="23">
        <v>4</v>
      </c>
      <c r="B196" s="5">
        <v>1</v>
      </c>
      <c r="C196" s="5">
        <f t="shared" si="56"/>
        <v>3</v>
      </c>
      <c r="D196" s="5">
        <f t="shared" si="57"/>
        <v>9</v>
      </c>
      <c r="E196" s="5">
        <f t="shared" si="58"/>
        <v>-2.33333333333333</v>
      </c>
      <c r="F196" s="25">
        <f t="shared" si="59"/>
        <v>5.44444444444445</v>
      </c>
    </row>
    <row r="197" ht="32.25" spans="1:6">
      <c r="A197" s="24" t="s">
        <v>202</v>
      </c>
      <c r="B197" s="5">
        <f>AVERAGE(B188:B196)</f>
        <v>3.33333333333333</v>
      </c>
      <c r="C197" s="5">
        <f>AVERAGE(C188:C196)</f>
        <v>14.7777777777778</v>
      </c>
      <c r="D197" s="25">
        <f>AVERAGE(D188:D196)</f>
        <v>355.666666666667</v>
      </c>
      <c r="E197" s="5"/>
      <c r="F197" s="5"/>
    </row>
  </sheetData>
  <mergeCells count="20">
    <mergeCell ref="A90:A91"/>
    <mergeCell ref="A105:A106"/>
    <mergeCell ref="A117:A119"/>
    <mergeCell ref="A133:A134"/>
    <mergeCell ref="C90:C91"/>
    <mergeCell ref="C105:C106"/>
    <mergeCell ref="C117:C119"/>
    <mergeCell ref="C133:C134"/>
    <mergeCell ref="D90:D91"/>
    <mergeCell ref="D105:D106"/>
    <mergeCell ref="D117:D119"/>
    <mergeCell ref="D133:D134"/>
    <mergeCell ref="E90:E91"/>
    <mergeCell ref="E105:E106"/>
    <mergeCell ref="E117:E119"/>
    <mergeCell ref="E133:E134"/>
    <mergeCell ref="F90:F91"/>
    <mergeCell ref="F105:F106"/>
    <mergeCell ref="F117:F119"/>
    <mergeCell ref="F133:F134"/>
  </mergeCells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"/>
  <sheetViews>
    <sheetView topLeftCell="A6" workbookViewId="0">
      <selection activeCell="D20" sqref="D20"/>
    </sheetView>
  </sheetViews>
  <sheetFormatPr defaultColWidth="9" defaultRowHeight="15" outlineLevelCol="5"/>
  <cols>
    <col min="2" max="2" width="19.4222222222222" customWidth="1"/>
    <col min="3" max="3" width="15.1407407407407" customWidth="1"/>
    <col min="4" max="4" width="14.7111111111111" customWidth="1"/>
    <col min="5" max="5" width="16" customWidth="1"/>
  </cols>
  <sheetData>
    <row r="1" ht="16.5" spans="1:5">
      <c r="A1" s="11" t="s">
        <v>183</v>
      </c>
      <c r="B1" s="12" t="s">
        <v>367</v>
      </c>
      <c r="C1" s="12" t="s">
        <v>203</v>
      </c>
      <c r="D1" s="12" t="s">
        <v>205</v>
      </c>
      <c r="E1" s="12" t="s">
        <v>206</v>
      </c>
    </row>
    <row r="2" ht="16.5" spans="1:5">
      <c r="A2" s="13">
        <v>1</v>
      </c>
      <c r="B2" s="14" t="s">
        <v>368</v>
      </c>
      <c r="C2" s="14">
        <v>22.6</v>
      </c>
      <c r="D2" s="14">
        <v>23.5924</v>
      </c>
      <c r="E2" s="14">
        <v>-8.252</v>
      </c>
    </row>
    <row r="3" ht="16.5" spans="1:5">
      <c r="A3" s="13">
        <v>2</v>
      </c>
      <c r="B3" s="14" t="s">
        <v>369</v>
      </c>
      <c r="C3" s="14">
        <v>23.2857</v>
      </c>
      <c r="D3" s="14">
        <v>27.7051</v>
      </c>
      <c r="E3" s="14">
        <v>-0.5187</v>
      </c>
    </row>
    <row r="4" ht="16.5" spans="1:5">
      <c r="A4" s="13">
        <v>3</v>
      </c>
      <c r="B4" s="14" t="s">
        <v>370</v>
      </c>
      <c r="C4" s="14">
        <v>14.8889</v>
      </c>
      <c r="D4" s="14">
        <v>21.124</v>
      </c>
      <c r="E4" s="14">
        <v>-257.17</v>
      </c>
    </row>
    <row r="5" ht="16.5" spans="1:5">
      <c r="A5" s="15">
        <v>4</v>
      </c>
      <c r="B5" s="16" t="s">
        <v>371</v>
      </c>
      <c r="C5" s="16">
        <v>26.6667</v>
      </c>
      <c r="D5" s="16">
        <v>30.9462</v>
      </c>
      <c r="E5" s="19">
        <v>-3830</v>
      </c>
    </row>
    <row r="6" ht="16.5" spans="1:5">
      <c r="A6" s="15">
        <v>5</v>
      </c>
      <c r="B6" s="16" t="s">
        <v>372</v>
      </c>
      <c r="C6" s="16">
        <v>20.6</v>
      </c>
      <c r="D6" s="16">
        <v>22.9041</v>
      </c>
      <c r="E6" s="16">
        <v>-5.9026</v>
      </c>
    </row>
    <row r="7" ht="16.5" spans="1:5">
      <c r="A7" s="13">
        <v>6</v>
      </c>
      <c r="B7" s="14" t="s">
        <v>373</v>
      </c>
      <c r="C7" s="14">
        <v>20</v>
      </c>
      <c r="D7" s="14">
        <v>25.2304</v>
      </c>
      <c r="E7" s="14">
        <v>-221.8</v>
      </c>
    </row>
    <row r="8" ht="16.5" spans="1:5">
      <c r="A8" s="13">
        <v>7</v>
      </c>
      <c r="B8" s="14" t="s">
        <v>374</v>
      </c>
      <c r="C8" s="14">
        <v>26.6667</v>
      </c>
      <c r="D8" s="14">
        <v>30.0777</v>
      </c>
      <c r="E8" s="14">
        <v>-3617.7</v>
      </c>
    </row>
    <row r="9" ht="16.5" spans="1:5">
      <c r="A9" s="13">
        <v>8</v>
      </c>
      <c r="B9" s="14" t="s">
        <v>375</v>
      </c>
      <c r="C9" s="14">
        <v>25.5</v>
      </c>
      <c r="D9" s="14">
        <v>29.9291</v>
      </c>
      <c r="E9" s="14">
        <v>-1.0954</v>
      </c>
    </row>
    <row r="10" ht="16.5" spans="1:5">
      <c r="A10" s="13">
        <v>9</v>
      </c>
      <c r="B10" s="14" t="s">
        <v>376</v>
      </c>
      <c r="C10" s="14">
        <v>27</v>
      </c>
      <c r="D10" s="14">
        <v>33</v>
      </c>
      <c r="E10" s="14">
        <v>-21.508</v>
      </c>
    </row>
    <row r="11" ht="16.5" spans="1:5">
      <c r="A11" s="13">
        <v>10</v>
      </c>
      <c r="B11" s="14" t="s">
        <v>377</v>
      </c>
      <c r="C11" s="14">
        <v>18</v>
      </c>
      <c r="D11" s="14">
        <v>21.5639</v>
      </c>
      <c r="E11" s="14">
        <v>-1</v>
      </c>
    </row>
    <row r="12" ht="16.5" spans="1:6">
      <c r="A12" s="17">
        <v>11</v>
      </c>
      <c r="B12" s="18" t="s">
        <v>378</v>
      </c>
      <c r="C12" s="18">
        <v>14.6667</v>
      </c>
      <c r="D12" s="18">
        <v>20.0278</v>
      </c>
      <c r="E12" s="18">
        <v>-252.83</v>
      </c>
      <c r="F12" s="20"/>
    </row>
    <row r="13" ht="16.5" spans="1:5">
      <c r="A13" s="13">
        <v>12</v>
      </c>
      <c r="B13" s="14" t="s">
        <v>379</v>
      </c>
      <c r="C13" s="14">
        <v>26.5</v>
      </c>
      <c r="D13" s="14">
        <v>29.8077</v>
      </c>
      <c r="E13" s="21">
        <v>-3997</v>
      </c>
    </row>
    <row r="14" ht="16.5" spans="1:5">
      <c r="A14" s="13">
        <v>13</v>
      </c>
      <c r="B14" s="14" t="s">
        <v>380</v>
      </c>
      <c r="C14" s="14">
        <v>25.2</v>
      </c>
      <c r="D14" s="14">
        <v>28.9482</v>
      </c>
      <c r="E14" s="14">
        <v>-8.5488</v>
      </c>
    </row>
    <row r="15" ht="16.5" spans="1:5">
      <c r="A15" s="13">
        <v>14</v>
      </c>
      <c r="B15" s="14" t="s">
        <v>381</v>
      </c>
      <c r="C15" s="14">
        <v>20.6667</v>
      </c>
      <c r="D15" s="14">
        <v>23.3465</v>
      </c>
      <c r="E15" s="14">
        <v>-0.7006</v>
      </c>
    </row>
    <row r="16" ht="16.5" spans="1:5">
      <c r="A16" s="13">
        <v>15</v>
      </c>
      <c r="B16" s="14" t="s">
        <v>382</v>
      </c>
      <c r="C16" s="14">
        <v>14.7778</v>
      </c>
      <c r="D16" s="14">
        <v>18.8591</v>
      </c>
      <c r="E16" s="14">
        <v>-159.05</v>
      </c>
    </row>
  </sheetData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topLeftCell="B1" workbookViewId="0">
      <selection activeCell="H6" sqref="H6"/>
    </sheetView>
  </sheetViews>
  <sheetFormatPr defaultColWidth="9" defaultRowHeight="15"/>
  <cols>
    <col min="3" max="3" width="12.5703703703704" customWidth="1"/>
    <col min="4" max="4" width="11.8518518518519" customWidth="1"/>
    <col min="5" max="5" width="13.8518518518519" customWidth="1"/>
    <col min="6" max="6" width="11.1407407407407" customWidth="1"/>
    <col min="7" max="7" width="9.42222222222222" customWidth="1"/>
  </cols>
  <sheetData>
    <row r="1" ht="54.75" spans="1:7">
      <c r="A1" s="1" t="s">
        <v>183</v>
      </c>
      <c r="B1" s="2" t="s">
        <v>383</v>
      </c>
      <c r="C1" s="2" t="s">
        <v>384</v>
      </c>
      <c r="D1" s="3" t="s">
        <v>198</v>
      </c>
      <c r="E1" s="3" t="s">
        <v>199</v>
      </c>
      <c r="F1" s="3" t="s">
        <v>200</v>
      </c>
      <c r="G1" s="3" t="s">
        <v>201</v>
      </c>
    </row>
    <row r="2" ht="18.75" spans="1:9">
      <c r="A2" s="4">
        <v>1</v>
      </c>
      <c r="B2" s="5">
        <v>2</v>
      </c>
      <c r="C2" s="5">
        <v>2</v>
      </c>
      <c r="D2" s="6">
        <f>ABS(C2-B2)</f>
        <v>0</v>
      </c>
      <c r="E2" s="6">
        <f>(C2-B2)^2</f>
        <v>0</v>
      </c>
      <c r="F2" s="6">
        <f>B2-$B$11</f>
        <v>1</v>
      </c>
      <c r="G2" s="6">
        <f>F2^2</f>
        <v>1</v>
      </c>
      <c r="H2" s="9" t="s">
        <v>203</v>
      </c>
      <c r="I2" s="10">
        <f>AVERAGE(D2:D11)</f>
        <v>0.7</v>
      </c>
    </row>
    <row r="3" ht="18.75" spans="1:9">
      <c r="A3" s="4">
        <v>2</v>
      </c>
      <c r="B3" s="5">
        <v>2</v>
      </c>
      <c r="C3" s="5">
        <v>2</v>
      </c>
      <c r="D3" s="6">
        <f t="shared" ref="D3:D11" si="0">ABS(C3-B3)</f>
        <v>0</v>
      </c>
      <c r="E3" s="6">
        <f t="shared" ref="E3:E11" si="1">(C3-B3)^2</f>
        <v>0</v>
      </c>
      <c r="F3" s="6">
        <f t="shared" ref="F3:F11" si="2">B3-$B$11</f>
        <v>1</v>
      </c>
      <c r="G3" s="6">
        <f t="shared" ref="G3:G11" si="3">F3^2</f>
        <v>1</v>
      </c>
      <c r="H3" s="9" t="s">
        <v>204</v>
      </c>
      <c r="I3" s="10">
        <f>AVERAGE(E2:E11)</f>
        <v>0.7</v>
      </c>
    </row>
    <row r="4" ht="18.75" spans="1:9">
      <c r="A4" s="4">
        <v>3</v>
      </c>
      <c r="B4" s="5">
        <v>1</v>
      </c>
      <c r="C4" s="5">
        <v>2</v>
      </c>
      <c r="D4" s="6">
        <f t="shared" si="0"/>
        <v>1</v>
      </c>
      <c r="E4" s="6">
        <f t="shared" si="1"/>
        <v>1</v>
      </c>
      <c r="F4" s="6">
        <f t="shared" si="2"/>
        <v>0</v>
      </c>
      <c r="G4" s="6">
        <f t="shared" si="3"/>
        <v>0</v>
      </c>
      <c r="H4" s="9" t="s">
        <v>205</v>
      </c>
      <c r="I4" s="9">
        <f>SQRT(AVERAGE(E2:E11))</f>
        <v>0.836660026534076</v>
      </c>
    </row>
    <row r="5" ht="18.75" spans="1:9">
      <c r="A5" s="4">
        <v>4</v>
      </c>
      <c r="B5" s="5">
        <v>1</v>
      </c>
      <c r="C5" s="5">
        <v>2</v>
      </c>
      <c r="D5" s="6">
        <f t="shared" si="0"/>
        <v>1</v>
      </c>
      <c r="E5" s="6">
        <f t="shared" si="1"/>
        <v>1</v>
      </c>
      <c r="F5" s="6">
        <f t="shared" si="2"/>
        <v>0</v>
      </c>
      <c r="G5" s="6">
        <f t="shared" si="3"/>
        <v>0</v>
      </c>
      <c r="H5" s="9" t="s">
        <v>206</v>
      </c>
      <c r="I5" s="10">
        <f>1-(SUM(E2:E11)/SUM(G2:G11))</f>
        <v>0.681818181818182</v>
      </c>
    </row>
    <row r="6" ht="18.75" spans="1:7">
      <c r="A6" s="4">
        <v>5</v>
      </c>
      <c r="B6" s="5">
        <v>3</v>
      </c>
      <c r="C6" s="5">
        <v>2</v>
      </c>
      <c r="D6" s="6">
        <f t="shared" si="0"/>
        <v>1</v>
      </c>
      <c r="E6" s="6">
        <f t="shared" si="1"/>
        <v>1</v>
      </c>
      <c r="F6" s="6">
        <f t="shared" si="2"/>
        <v>2</v>
      </c>
      <c r="G6" s="6">
        <f t="shared" si="3"/>
        <v>4</v>
      </c>
    </row>
    <row r="7" ht="18.75" spans="1:7">
      <c r="A7" s="4">
        <v>6</v>
      </c>
      <c r="B7" s="5">
        <v>3</v>
      </c>
      <c r="C7" s="5">
        <v>2</v>
      </c>
      <c r="D7" s="6">
        <f t="shared" si="0"/>
        <v>1</v>
      </c>
      <c r="E7" s="6">
        <f t="shared" si="1"/>
        <v>1</v>
      </c>
      <c r="F7" s="6">
        <f t="shared" si="2"/>
        <v>2</v>
      </c>
      <c r="G7" s="6">
        <f t="shared" si="3"/>
        <v>4</v>
      </c>
    </row>
    <row r="8" ht="18.75" spans="1:7">
      <c r="A8" s="4">
        <v>7</v>
      </c>
      <c r="B8" s="5">
        <v>3</v>
      </c>
      <c r="C8" s="5">
        <v>2</v>
      </c>
      <c r="D8" s="6">
        <f t="shared" si="0"/>
        <v>1</v>
      </c>
      <c r="E8" s="6">
        <f t="shared" si="1"/>
        <v>1</v>
      </c>
      <c r="F8" s="6">
        <f t="shared" si="2"/>
        <v>2</v>
      </c>
      <c r="G8" s="6">
        <f t="shared" si="3"/>
        <v>4</v>
      </c>
    </row>
    <row r="9" ht="18.75" spans="1:7">
      <c r="A9" s="4">
        <v>8</v>
      </c>
      <c r="B9" s="5">
        <v>3</v>
      </c>
      <c r="C9" s="5">
        <v>3</v>
      </c>
      <c r="D9" s="6">
        <f t="shared" si="0"/>
        <v>0</v>
      </c>
      <c r="E9" s="6">
        <f t="shared" si="1"/>
        <v>0</v>
      </c>
      <c r="F9" s="6">
        <f t="shared" si="2"/>
        <v>2</v>
      </c>
      <c r="G9" s="6">
        <f t="shared" si="3"/>
        <v>4</v>
      </c>
    </row>
    <row r="10" ht="18.75" spans="1:7">
      <c r="A10" s="4">
        <v>9</v>
      </c>
      <c r="B10" s="5">
        <v>3</v>
      </c>
      <c r="C10" s="5">
        <v>2</v>
      </c>
      <c r="D10" s="6">
        <f t="shared" si="0"/>
        <v>1</v>
      </c>
      <c r="E10" s="6">
        <f t="shared" si="1"/>
        <v>1</v>
      </c>
      <c r="F10" s="6">
        <f t="shared" si="2"/>
        <v>2</v>
      </c>
      <c r="G10" s="6">
        <f t="shared" si="3"/>
        <v>4</v>
      </c>
    </row>
    <row r="11" ht="18.75" spans="1:7">
      <c r="A11" s="4">
        <v>10</v>
      </c>
      <c r="B11" s="5">
        <v>1</v>
      </c>
      <c r="C11" s="5">
        <v>2</v>
      </c>
      <c r="D11" s="6">
        <f t="shared" si="0"/>
        <v>1</v>
      </c>
      <c r="E11" s="6">
        <f t="shared" si="1"/>
        <v>1</v>
      </c>
      <c r="F11" s="6">
        <f t="shared" si="2"/>
        <v>0</v>
      </c>
      <c r="G11" s="6">
        <f t="shared" si="3"/>
        <v>0</v>
      </c>
    </row>
    <row r="12" ht="18.75" spans="1:7">
      <c r="A12" s="7" t="s">
        <v>385</v>
      </c>
      <c r="B12" s="8">
        <f>AVERAGE(B2:B11)</f>
        <v>2.2</v>
      </c>
      <c r="C12" s="8"/>
      <c r="D12" s="8">
        <f>AVERAGE(D2:D11)</f>
        <v>0.7</v>
      </c>
      <c r="E12" s="8">
        <f>SUM(E2:E11)</f>
        <v>7</v>
      </c>
      <c r="F12" s="8"/>
      <c r="G12" s="8">
        <f>SUM(G2:G11)</f>
        <v>22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Data_DBD</vt:lpstr>
      <vt:lpstr>Pemilihan Fitur</vt:lpstr>
      <vt:lpstr>Data Uji</vt:lpstr>
      <vt:lpstr>Data Latih</vt:lpstr>
      <vt:lpstr>Pohon 1</vt:lpstr>
      <vt:lpstr>Pohon 2</vt:lpstr>
      <vt:lpstr>Pohon 3</vt:lpstr>
      <vt:lpstr>Pohon 4</vt:lpstr>
      <vt:lpstr>Pohon 5</vt:lpstr>
      <vt:lpstr>Pohon 6</vt:lpstr>
      <vt:lpstr>Pohon 7</vt:lpstr>
      <vt:lpstr>Pohon 8 </vt:lpstr>
      <vt:lpstr>Pohon 9</vt:lpstr>
      <vt:lpstr>Pohon 10</vt:lpstr>
      <vt:lpstr>Pohon 11</vt:lpstr>
      <vt:lpstr>Pohon 12</vt:lpstr>
      <vt:lpstr>Pohon 13</vt:lpstr>
      <vt:lpstr>Pohon 14</vt:lpstr>
      <vt:lpstr>Pohon 15</vt:lpstr>
      <vt:lpstr>PerhitunganRF</vt:lpstr>
      <vt:lpstr>PenentuanPohonterbaik</vt:lpstr>
      <vt:lpstr>perhitungan data uji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Ghina Lutfiyyah</dc:creator>
  <cp:lastModifiedBy>vue</cp:lastModifiedBy>
  <dcterms:created xsi:type="dcterms:W3CDTF">2026-06-02T10:47:00Z</dcterms:created>
  <dcterms:modified xsi:type="dcterms:W3CDTF">2026-07-29T22:52:07Z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47EA536D8EFE4697A8E59E8949CBD34B_12</vt:lpwstr>
  </property>
  <property fmtid="{D5CDD505-2E9C-101B-9397-08002B2CF9AE}" pid="3" name="KSOProductBuildVer">
    <vt:lpwstr>1033-11.1.0.11723</vt:lpwstr>
  </property>
  <property fmtid="{D5CDD505-2E9C-101B-9397-08002B2CF9AE}" pid="4" name="CalculationRule">
    <vt:i4>0</vt:i4>
  </property>
</Properties>
</file>